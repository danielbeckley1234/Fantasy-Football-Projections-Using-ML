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1F5915C597C5FB/Documents/"/>
    </mc:Choice>
  </mc:AlternateContent>
  <xr:revisionPtr revIDLastSave="274" documentId="8_{3ADB497A-69AC-465F-A9F4-68B40D0AC9B8}" xr6:coauthVersionLast="47" xr6:coauthVersionMax="47" xr10:uidLastSave="{EABEB5B5-BEBB-45ED-B20E-29B2C132176A}"/>
  <bookViews>
    <workbookView xWindow="-98" yWindow="-98" windowWidth="21795" windowHeight="12975" xr2:uid="{A3AEC978-8B65-4035-A006-774BC7140D55}"/>
  </bookViews>
  <sheets>
    <sheet name="RB_advTD" sheetId="3" r:id="rId1"/>
    <sheet name="Inside5" sheetId="2" r:id="rId2"/>
    <sheet name="TDrate" sheetId="4" r:id="rId3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G1390" i="3" l="1" a="1"/>
  <c r="G1390" i="3" s="1"/>
  <c r="G1391" i="3" a="1"/>
  <c r="G1391" i="3" s="1"/>
  <c r="G1396" i="3" a="1"/>
  <c r="G1396" i="3" s="1"/>
  <c r="G1397" i="3" a="1"/>
  <c r="G1397" i="3" s="1"/>
  <c r="G1402" i="3" a="1"/>
  <c r="G1402" i="3" s="1"/>
  <c r="G1408" i="3" a="1"/>
  <c r="G1408" i="3" s="1"/>
  <c r="G1409" i="3" a="1"/>
  <c r="G1409" i="3" s="1"/>
  <c r="G1414" i="3" a="1"/>
  <c r="G1414" i="3" s="1"/>
  <c r="G1415" i="3" a="1"/>
  <c r="G1415" i="3" s="1"/>
  <c r="G1420" i="3" a="1"/>
  <c r="G1420" i="3" s="1"/>
  <c r="G1421" i="3" a="1"/>
  <c r="G1421" i="3" s="1"/>
  <c r="G1423" i="3" a="1"/>
  <c r="G1423" i="3" s="1"/>
  <c r="G1424" i="3" a="1"/>
  <c r="G1424" i="3" s="1"/>
  <c r="G1426" i="3" a="1"/>
  <c r="G1426" i="3" s="1"/>
  <c r="G1427" i="3" a="1"/>
  <c r="G1427" i="3" s="1"/>
  <c r="G1430" i="3" a="1"/>
  <c r="G1430" i="3" s="1"/>
  <c r="G1432" i="3" a="1"/>
  <c r="G1432" i="3" s="1"/>
  <c r="G1433" i="3" a="1"/>
  <c r="G1433" i="3" s="1"/>
  <c r="G1436" i="3" a="1"/>
  <c r="G1436" i="3" s="1"/>
  <c r="G1438" i="3" a="1"/>
  <c r="G1438" i="3" s="1"/>
  <c r="G1439" i="3" a="1"/>
  <c r="G1439" i="3" s="1"/>
  <c r="G1441" i="3" a="1"/>
  <c r="G1441" i="3" s="1"/>
  <c r="G717" i="4"/>
  <c r="F717" i="4"/>
  <c r="G716" i="4"/>
  <c r="F716" i="4"/>
  <c r="G715" i="4"/>
  <c r="F715" i="4"/>
  <c r="G714" i="4"/>
  <c r="F714" i="4"/>
  <c r="G713" i="4"/>
  <c r="F713" i="4"/>
  <c r="G712" i="4"/>
  <c r="F712" i="4"/>
  <c r="G711" i="4"/>
  <c r="F711" i="4"/>
  <c r="G710" i="4"/>
  <c r="F710" i="4"/>
  <c r="G709" i="4"/>
  <c r="F709" i="4"/>
  <c r="G708" i="4"/>
  <c r="F708" i="4"/>
  <c r="G707" i="4"/>
  <c r="F707" i="4"/>
  <c r="G706" i="4"/>
  <c r="F706" i="4"/>
  <c r="G705" i="4"/>
  <c r="F705" i="4"/>
  <c r="G704" i="4"/>
  <c r="F704" i="4"/>
  <c r="G703" i="4"/>
  <c r="F703" i="4"/>
  <c r="G702" i="4"/>
  <c r="F702" i="4"/>
  <c r="G701" i="4"/>
  <c r="F701" i="4"/>
  <c r="G700" i="4"/>
  <c r="F700" i="4"/>
  <c r="G699" i="4"/>
  <c r="F699" i="4"/>
  <c r="G698" i="4"/>
  <c r="F698" i="4"/>
  <c r="G697" i="4"/>
  <c r="F697" i="4"/>
  <c r="G696" i="4"/>
  <c r="F696" i="4"/>
  <c r="G695" i="4"/>
  <c r="F695" i="4"/>
  <c r="G694" i="4"/>
  <c r="F694" i="4"/>
  <c r="G693" i="4"/>
  <c r="F693" i="4"/>
  <c r="G692" i="4"/>
  <c r="F692" i="4"/>
  <c r="G691" i="4"/>
  <c r="F691" i="4"/>
  <c r="G690" i="4"/>
  <c r="F690" i="4"/>
  <c r="G689" i="4"/>
  <c r="F689" i="4"/>
  <c r="G688" i="4"/>
  <c r="F688" i="4"/>
  <c r="G687" i="4"/>
  <c r="F687" i="4"/>
  <c r="G686" i="4"/>
  <c r="F686" i="4"/>
  <c r="G685" i="4"/>
  <c r="F685" i="4"/>
  <c r="G684" i="4"/>
  <c r="F684" i="4"/>
  <c r="G683" i="4"/>
  <c r="F683" i="4"/>
  <c r="G682" i="4"/>
  <c r="F682" i="4"/>
  <c r="G681" i="4"/>
  <c r="F681" i="4"/>
  <c r="G680" i="4"/>
  <c r="F680" i="4"/>
  <c r="G679" i="4"/>
  <c r="F679" i="4"/>
  <c r="G678" i="4"/>
  <c r="F678" i="4"/>
  <c r="G677" i="4"/>
  <c r="F677" i="4"/>
  <c r="G676" i="4"/>
  <c r="F676" i="4"/>
  <c r="G675" i="4"/>
  <c r="F675" i="4"/>
  <c r="G674" i="4"/>
  <c r="F674" i="4"/>
  <c r="G673" i="4"/>
  <c r="F673" i="4"/>
  <c r="G672" i="4"/>
  <c r="F672" i="4"/>
  <c r="G671" i="4"/>
  <c r="F671" i="4"/>
  <c r="G670" i="4"/>
  <c r="F670" i="4"/>
  <c r="G669" i="4"/>
  <c r="F669" i="4"/>
  <c r="G668" i="4"/>
  <c r="F668" i="4"/>
  <c r="G667" i="4"/>
  <c r="F667" i="4"/>
  <c r="G666" i="4"/>
  <c r="F666" i="4"/>
  <c r="G665" i="4"/>
  <c r="F665" i="4"/>
  <c r="G664" i="4"/>
  <c r="F664" i="4"/>
  <c r="G663" i="4"/>
  <c r="F663" i="4"/>
  <c r="G662" i="4"/>
  <c r="F662" i="4"/>
  <c r="G661" i="4"/>
  <c r="F661" i="4"/>
  <c r="G660" i="4"/>
  <c r="F660" i="4"/>
  <c r="G659" i="4"/>
  <c r="F659" i="4"/>
  <c r="G658" i="4"/>
  <c r="F658" i="4"/>
  <c r="G657" i="4"/>
  <c r="F657" i="4"/>
  <c r="G656" i="4"/>
  <c r="F656" i="4"/>
  <c r="G655" i="4"/>
  <c r="F655" i="4"/>
  <c r="G654" i="4"/>
  <c r="F654" i="4"/>
  <c r="G653" i="4"/>
  <c r="F653" i="4"/>
  <c r="G652" i="4"/>
  <c r="F652" i="4"/>
  <c r="G651" i="4"/>
  <c r="F651" i="4"/>
  <c r="G650" i="4"/>
  <c r="F650" i="4"/>
  <c r="G649" i="4"/>
  <c r="F649" i="4"/>
  <c r="G648" i="4"/>
  <c r="F648" i="4"/>
  <c r="G647" i="4"/>
  <c r="F647" i="4"/>
  <c r="G646" i="4"/>
  <c r="F646" i="4"/>
  <c r="G645" i="4"/>
  <c r="F645" i="4"/>
  <c r="G644" i="4"/>
  <c r="F644" i="4"/>
  <c r="G643" i="4"/>
  <c r="F643" i="4"/>
  <c r="G642" i="4"/>
  <c r="F642" i="4"/>
  <c r="G641" i="4"/>
  <c r="F641" i="4"/>
  <c r="G640" i="4"/>
  <c r="F640" i="4"/>
  <c r="G639" i="4"/>
  <c r="F639" i="4"/>
  <c r="G638" i="4"/>
  <c r="F638" i="4"/>
  <c r="G637" i="4"/>
  <c r="F637" i="4"/>
  <c r="G636" i="4"/>
  <c r="F636" i="4"/>
  <c r="G635" i="4"/>
  <c r="F635" i="4"/>
  <c r="G634" i="4"/>
  <c r="F634" i="4"/>
  <c r="G633" i="4"/>
  <c r="F633" i="4"/>
  <c r="G632" i="4"/>
  <c r="F632" i="4"/>
  <c r="G631" i="4"/>
  <c r="F631" i="4"/>
  <c r="G630" i="4"/>
  <c r="F630" i="4"/>
  <c r="G629" i="4"/>
  <c r="F629" i="4"/>
  <c r="G628" i="4"/>
  <c r="F628" i="4"/>
  <c r="G627" i="4"/>
  <c r="F627" i="4"/>
  <c r="G626" i="4"/>
  <c r="F626" i="4"/>
  <c r="G625" i="4"/>
  <c r="F625" i="4"/>
  <c r="G624" i="4"/>
  <c r="F624" i="4"/>
  <c r="G623" i="4"/>
  <c r="F623" i="4"/>
  <c r="G622" i="4"/>
  <c r="F622" i="4"/>
  <c r="G621" i="4"/>
  <c r="F621" i="4"/>
  <c r="G620" i="4"/>
  <c r="F620" i="4"/>
  <c r="G619" i="4"/>
  <c r="F619" i="4"/>
  <c r="G618" i="4"/>
  <c r="F618" i="4"/>
  <c r="G617" i="4"/>
  <c r="F617" i="4"/>
  <c r="G616" i="4"/>
  <c r="F616" i="4"/>
  <c r="G615" i="4"/>
  <c r="F615" i="4"/>
  <c r="G614" i="4"/>
  <c r="F614" i="4"/>
  <c r="G613" i="4"/>
  <c r="F613" i="4"/>
  <c r="G612" i="4"/>
  <c r="F612" i="4"/>
  <c r="G611" i="4"/>
  <c r="F611" i="4"/>
  <c r="G610" i="4"/>
  <c r="F610" i="4"/>
  <c r="G609" i="4"/>
  <c r="F609" i="4"/>
  <c r="G608" i="4"/>
  <c r="F608" i="4"/>
  <c r="G607" i="4"/>
  <c r="F607" i="4"/>
  <c r="G606" i="4"/>
  <c r="F606" i="4"/>
  <c r="G605" i="4"/>
  <c r="F605" i="4"/>
  <c r="G604" i="4"/>
  <c r="F604" i="4"/>
  <c r="G603" i="4"/>
  <c r="F603" i="4"/>
  <c r="G602" i="4"/>
  <c r="F602" i="4"/>
  <c r="G601" i="4"/>
  <c r="F601" i="4"/>
  <c r="G600" i="4"/>
  <c r="F600" i="4"/>
  <c r="G599" i="4"/>
  <c r="F599" i="4"/>
  <c r="G598" i="4"/>
  <c r="F598" i="4"/>
  <c r="G597" i="4"/>
  <c r="F597" i="4"/>
  <c r="G596" i="4"/>
  <c r="F596" i="4"/>
  <c r="G595" i="4"/>
  <c r="F595" i="4"/>
  <c r="G594" i="4"/>
  <c r="F594" i="4"/>
  <c r="G593" i="4"/>
  <c r="F593" i="4"/>
  <c r="G592" i="4"/>
  <c r="F592" i="4"/>
  <c r="G591" i="4"/>
  <c r="F591" i="4"/>
  <c r="G590" i="4"/>
  <c r="F590" i="4"/>
  <c r="G589" i="4"/>
  <c r="F589" i="4"/>
  <c r="G588" i="4"/>
  <c r="F588" i="4"/>
  <c r="G587" i="4"/>
  <c r="F587" i="4"/>
  <c r="G586" i="4"/>
  <c r="F586" i="4"/>
  <c r="G585" i="4"/>
  <c r="F585" i="4"/>
  <c r="G584" i="4"/>
  <c r="F584" i="4"/>
  <c r="G583" i="4"/>
  <c r="F583" i="4"/>
  <c r="G582" i="4"/>
  <c r="F582" i="4"/>
  <c r="G581" i="4"/>
  <c r="F581" i="4"/>
  <c r="G580" i="4"/>
  <c r="F580" i="4"/>
  <c r="G579" i="4"/>
  <c r="F579" i="4"/>
  <c r="G578" i="4"/>
  <c r="F578" i="4"/>
  <c r="G577" i="4"/>
  <c r="F577" i="4"/>
  <c r="G576" i="4"/>
  <c r="F576" i="4"/>
  <c r="G575" i="4"/>
  <c r="F575" i="4"/>
  <c r="G574" i="4"/>
  <c r="F574" i="4"/>
  <c r="G573" i="4"/>
  <c r="F573" i="4"/>
  <c r="G572" i="4"/>
  <c r="F572" i="4"/>
  <c r="G571" i="4"/>
  <c r="F571" i="4"/>
  <c r="G570" i="4"/>
  <c r="F570" i="4"/>
  <c r="G569" i="4"/>
  <c r="F569" i="4"/>
  <c r="G568" i="4"/>
  <c r="F568" i="4"/>
  <c r="G567" i="4"/>
  <c r="F567" i="4"/>
  <c r="G566" i="4"/>
  <c r="F566" i="4"/>
  <c r="G565" i="4"/>
  <c r="F565" i="4"/>
  <c r="G564" i="4"/>
  <c r="F564" i="4"/>
  <c r="G563" i="4"/>
  <c r="F563" i="4"/>
  <c r="G562" i="4"/>
  <c r="F562" i="4"/>
  <c r="G561" i="4"/>
  <c r="F561" i="4"/>
  <c r="G560" i="4"/>
  <c r="F560" i="4"/>
  <c r="G559" i="4"/>
  <c r="F559" i="4"/>
  <c r="G558" i="4"/>
  <c r="F558" i="4"/>
  <c r="G557" i="4"/>
  <c r="F557" i="4"/>
  <c r="G556" i="4"/>
  <c r="F556" i="4"/>
  <c r="G555" i="4"/>
  <c r="F555" i="4"/>
  <c r="G554" i="4"/>
  <c r="F554" i="4"/>
  <c r="G553" i="4"/>
  <c r="F553" i="4"/>
  <c r="G552" i="4"/>
  <c r="F552" i="4"/>
  <c r="G551" i="4"/>
  <c r="F551" i="4"/>
  <c r="G550" i="4"/>
  <c r="F550" i="4"/>
  <c r="G549" i="4"/>
  <c r="F549" i="4"/>
  <c r="G548" i="4"/>
  <c r="F548" i="4"/>
  <c r="G547" i="4"/>
  <c r="F547" i="4"/>
  <c r="G546" i="4"/>
  <c r="F546" i="4"/>
  <c r="G545" i="4"/>
  <c r="F545" i="4"/>
  <c r="G544" i="4"/>
  <c r="F544" i="4"/>
  <c r="G543" i="4"/>
  <c r="F543" i="4"/>
  <c r="G542" i="4"/>
  <c r="F542" i="4"/>
  <c r="G541" i="4"/>
  <c r="F541" i="4"/>
  <c r="G540" i="4"/>
  <c r="F540" i="4"/>
  <c r="G539" i="4"/>
  <c r="F539" i="4"/>
  <c r="G538" i="4"/>
  <c r="F538" i="4"/>
  <c r="G537" i="4"/>
  <c r="F537" i="4"/>
  <c r="G536" i="4"/>
  <c r="F536" i="4"/>
  <c r="G535" i="4"/>
  <c r="F535" i="4"/>
  <c r="G534" i="4"/>
  <c r="F534" i="4"/>
  <c r="G533" i="4"/>
  <c r="F533" i="4"/>
  <c r="G532" i="4"/>
  <c r="F532" i="4"/>
  <c r="G531" i="4"/>
  <c r="F531" i="4"/>
  <c r="G530" i="4"/>
  <c r="F530" i="4"/>
  <c r="G529" i="4"/>
  <c r="F529" i="4"/>
  <c r="G528" i="4"/>
  <c r="F528" i="4"/>
  <c r="G527" i="4"/>
  <c r="F527" i="4"/>
  <c r="G526" i="4"/>
  <c r="F526" i="4"/>
  <c r="G525" i="4"/>
  <c r="F525" i="4"/>
  <c r="G524" i="4"/>
  <c r="F524" i="4"/>
  <c r="G523" i="4"/>
  <c r="F523" i="4"/>
  <c r="G522" i="4"/>
  <c r="F522" i="4"/>
  <c r="G521" i="4"/>
  <c r="F521" i="4"/>
  <c r="G520" i="4"/>
  <c r="F520" i="4"/>
  <c r="G519" i="4"/>
  <c r="F519" i="4"/>
  <c r="G518" i="4"/>
  <c r="F518" i="4"/>
  <c r="G517" i="4"/>
  <c r="F517" i="4"/>
  <c r="G516" i="4"/>
  <c r="F516" i="4"/>
  <c r="G515" i="4"/>
  <c r="F515" i="4"/>
  <c r="G514" i="4"/>
  <c r="F514" i="4"/>
  <c r="G513" i="4"/>
  <c r="F513" i="4"/>
  <c r="G512" i="4"/>
  <c r="F512" i="4"/>
  <c r="G511" i="4"/>
  <c r="F511" i="4"/>
  <c r="G510" i="4"/>
  <c r="F510" i="4"/>
  <c r="G509" i="4"/>
  <c r="F509" i="4"/>
  <c r="G508" i="4"/>
  <c r="F508" i="4"/>
  <c r="G507" i="4"/>
  <c r="F507" i="4"/>
  <c r="G506" i="4"/>
  <c r="F506" i="4"/>
  <c r="G505" i="4"/>
  <c r="F505" i="4"/>
  <c r="G504" i="4"/>
  <c r="F504" i="4"/>
  <c r="G503" i="4"/>
  <c r="F503" i="4"/>
  <c r="G502" i="4"/>
  <c r="F502" i="4"/>
  <c r="G501" i="4"/>
  <c r="F501" i="4"/>
  <c r="G500" i="4"/>
  <c r="F500" i="4"/>
  <c r="G499" i="4"/>
  <c r="F499" i="4"/>
  <c r="G498" i="4"/>
  <c r="F498" i="4"/>
  <c r="G497" i="4"/>
  <c r="F497" i="4"/>
  <c r="G496" i="4"/>
  <c r="F496" i="4"/>
  <c r="G495" i="4"/>
  <c r="F495" i="4"/>
  <c r="G494" i="4"/>
  <c r="F494" i="4"/>
  <c r="G493" i="4"/>
  <c r="F493" i="4"/>
  <c r="G492" i="4"/>
  <c r="F492" i="4"/>
  <c r="G491" i="4"/>
  <c r="F491" i="4"/>
  <c r="G490" i="4"/>
  <c r="F490" i="4"/>
  <c r="G489" i="4"/>
  <c r="F489" i="4"/>
  <c r="G488" i="4"/>
  <c r="F488" i="4"/>
  <c r="G487" i="4"/>
  <c r="F487" i="4"/>
  <c r="G486" i="4"/>
  <c r="F486" i="4"/>
  <c r="G485" i="4"/>
  <c r="F485" i="4"/>
  <c r="G484" i="4"/>
  <c r="F484" i="4"/>
  <c r="G483" i="4"/>
  <c r="F483" i="4"/>
  <c r="G482" i="4"/>
  <c r="F482" i="4"/>
  <c r="G481" i="4"/>
  <c r="F481" i="4"/>
  <c r="G480" i="4"/>
  <c r="F480" i="4"/>
  <c r="G479" i="4"/>
  <c r="F479" i="4"/>
  <c r="G478" i="4"/>
  <c r="F478" i="4"/>
  <c r="G477" i="4"/>
  <c r="F477" i="4"/>
  <c r="G476" i="4"/>
  <c r="F476" i="4"/>
  <c r="G475" i="4"/>
  <c r="F475" i="4"/>
  <c r="G474" i="4"/>
  <c r="F474" i="4"/>
  <c r="G473" i="4"/>
  <c r="F473" i="4"/>
  <c r="G472" i="4"/>
  <c r="F472" i="4"/>
  <c r="G471" i="4"/>
  <c r="F471" i="4"/>
  <c r="G470" i="4"/>
  <c r="F470" i="4"/>
  <c r="G469" i="4"/>
  <c r="F469" i="4"/>
  <c r="G468" i="4"/>
  <c r="F468" i="4"/>
  <c r="G467" i="4"/>
  <c r="F467" i="4"/>
  <c r="G466" i="4"/>
  <c r="F466" i="4"/>
  <c r="G465" i="4"/>
  <c r="F465" i="4"/>
  <c r="G464" i="4"/>
  <c r="F464" i="4"/>
  <c r="G463" i="4"/>
  <c r="F463" i="4"/>
  <c r="G462" i="4"/>
  <c r="F462" i="4"/>
  <c r="G461" i="4"/>
  <c r="F461" i="4"/>
  <c r="G460" i="4"/>
  <c r="F460" i="4"/>
  <c r="G459" i="4"/>
  <c r="F459" i="4"/>
  <c r="G458" i="4"/>
  <c r="F458" i="4"/>
  <c r="G457" i="4"/>
  <c r="F457" i="4"/>
  <c r="G456" i="4"/>
  <c r="F456" i="4"/>
  <c r="G455" i="4"/>
  <c r="F455" i="4"/>
  <c r="G454" i="4"/>
  <c r="F454" i="4"/>
  <c r="G453" i="4"/>
  <c r="F453" i="4"/>
  <c r="G452" i="4"/>
  <c r="F452" i="4"/>
  <c r="G451" i="4"/>
  <c r="F451" i="4"/>
  <c r="G450" i="4"/>
  <c r="F450" i="4"/>
  <c r="G449" i="4"/>
  <c r="F449" i="4"/>
  <c r="G448" i="4"/>
  <c r="F448" i="4"/>
  <c r="G447" i="4"/>
  <c r="F447" i="4"/>
  <c r="G446" i="4"/>
  <c r="F446" i="4"/>
  <c r="G445" i="4"/>
  <c r="F445" i="4"/>
  <c r="G444" i="4"/>
  <c r="F444" i="4"/>
  <c r="G443" i="4"/>
  <c r="F443" i="4"/>
  <c r="G442" i="4"/>
  <c r="F442" i="4"/>
  <c r="G441" i="4"/>
  <c r="F441" i="4"/>
  <c r="G440" i="4"/>
  <c r="F440" i="4"/>
  <c r="G439" i="4"/>
  <c r="F439" i="4"/>
  <c r="G438" i="4"/>
  <c r="F438" i="4"/>
  <c r="G437" i="4"/>
  <c r="F437" i="4"/>
  <c r="G436" i="4"/>
  <c r="F436" i="4"/>
  <c r="G435" i="4"/>
  <c r="F435" i="4"/>
  <c r="G434" i="4"/>
  <c r="F434" i="4"/>
  <c r="G433" i="4"/>
  <c r="F433" i="4"/>
  <c r="G432" i="4"/>
  <c r="F432" i="4"/>
  <c r="G431" i="4"/>
  <c r="F431" i="4"/>
  <c r="G430" i="4"/>
  <c r="F430" i="4"/>
  <c r="G429" i="4"/>
  <c r="F429" i="4"/>
  <c r="G428" i="4"/>
  <c r="F428" i="4"/>
  <c r="G427" i="4"/>
  <c r="F427" i="4"/>
  <c r="G426" i="4"/>
  <c r="F426" i="4"/>
  <c r="G425" i="4"/>
  <c r="F425" i="4"/>
  <c r="G424" i="4"/>
  <c r="F424" i="4"/>
  <c r="G423" i="4"/>
  <c r="F423" i="4"/>
  <c r="G422" i="4"/>
  <c r="F422" i="4"/>
  <c r="G421" i="4"/>
  <c r="F421" i="4"/>
  <c r="G420" i="4"/>
  <c r="F420" i="4"/>
  <c r="G419" i="4"/>
  <c r="F419" i="4"/>
  <c r="G418" i="4"/>
  <c r="F418" i="4"/>
  <c r="G417" i="4"/>
  <c r="F417" i="4"/>
  <c r="G416" i="4"/>
  <c r="F416" i="4"/>
  <c r="G415" i="4"/>
  <c r="F415" i="4"/>
  <c r="G414" i="4"/>
  <c r="F414" i="4"/>
  <c r="G413" i="4"/>
  <c r="F413" i="4"/>
  <c r="G412" i="4"/>
  <c r="F412" i="4"/>
  <c r="G411" i="4"/>
  <c r="F411" i="4"/>
  <c r="G410" i="4"/>
  <c r="F410" i="4"/>
  <c r="G409" i="4"/>
  <c r="F409" i="4"/>
  <c r="G408" i="4"/>
  <c r="F408" i="4"/>
  <c r="G407" i="4"/>
  <c r="F407" i="4"/>
  <c r="G406" i="4"/>
  <c r="F406" i="4"/>
  <c r="G405" i="4"/>
  <c r="F405" i="4"/>
  <c r="G404" i="4"/>
  <c r="F404" i="4"/>
  <c r="G403" i="4"/>
  <c r="F403" i="4"/>
  <c r="G402" i="4"/>
  <c r="F402" i="4"/>
  <c r="G401" i="4"/>
  <c r="F401" i="4"/>
  <c r="G400" i="4"/>
  <c r="F400" i="4"/>
  <c r="G399" i="4"/>
  <c r="F399" i="4"/>
  <c r="G398" i="4"/>
  <c r="F398" i="4"/>
  <c r="G397" i="4"/>
  <c r="F397" i="4"/>
  <c r="G396" i="4"/>
  <c r="F396" i="4"/>
  <c r="G395" i="4"/>
  <c r="F395" i="4"/>
  <c r="G394" i="4"/>
  <c r="F394" i="4"/>
  <c r="G393" i="4"/>
  <c r="F393" i="4"/>
  <c r="G392" i="4"/>
  <c r="F392" i="4"/>
  <c r="G391" i="4"/>
  <c r="F391" i="4"/>
  <c r="G390" i="4"/>
  <c r="F390" i="4"/>
  <c r="G389" i="4"/>
  <c r="F389" i="4"/>
  <c r="G388" i="4"/>
  <c r="F388" i="4"/>
  <c r="G387" i="4"/>
  <c r="F387" i="4"/>
  <c r="G386" i="4"/>
  <c r="F386" i="4"/>
  <c r="G385" i="4"/>
  <c r="F385" i="4"/>
  <c r="G384" i="4"/>
  <c r="F384" i="4"/>
  <c r="G383" i="4"/>
  <c r="F383" i="4"/>
  <c r="G382" i="4"/>
  <c r="F382" i="4"/>
  <c r="G381" i="4"/>
  <c r="F381" i="4"/>
  <c r="G380" i="4"/>
  <c r="F380" i="4"/>
  <c r="G379" i="4"/>
  <c r="F379" i="4"/>
  <c r="G378" i="4"/>
  <c r="F378" i="4"/>
  <c r="G377" i="4"/>
  <c r="F377" i="4"/>
  <c r="G376" i="4"/>
  <c r="F376" i="4"/>
  <c r="G375" i="4"/>
  <c r="F375" i="4"/>
  <c r="G374" i="4"/>
  <c r="F374" i="4"/>
  <c r="G373" i="4"/>
  <c r="F373" i="4"/>
  <c r="G372" i="4"/>
  <c r="F372" i="4"/>
  <c r="G371" i="4"/>
  <c r="F371" i="4"/>
  <c r="G370" i="4"/>
  <c r="F370" i="4"/>
  <c r="G369" i="4"/>
  <c r="F369" i="4"/>
  <c r="G368" i="4"/>
  <c r="F368" i="4"/>
  <c r="G367" i="4"/>
  <c r="F367" i="4"/>
  <c r="G366" i="4"/>
  <c r="F366" i="4"/>
  <c r="G365" i="4"/>
  <c r="F365" i="4"/>
  <c r="G364" i="4"/>
  <c r="F364" i="4"/>
  <c r="G363" i="4"/>
  <c r="F363" i="4"/>
  <c r="G362" i="4"/>
  <c r="F362" i="4"/>
  <c r="G361" i="4"/>
  <c r="F361" i="4"/>
  <c r="G360" i="4"/>
  <c r="F360" i="4"/>
  <c r="G359" i="4"/>
  <c r="F359" i="4"/>
  <c r="G358" i="4"/>
  <c r="F358" i="4"/>
  <c r="G357" i="4"/>
  <c r="F357" i="4"/>
  <c r="G356" i="4"/>
  <c r="F356" i="4"/>
  <c r="G355" i="4"/>
  <c r="F355" i="4"/>
  <c r="G354" i="4"/>
  <c r="F354" i="4"/>
  <c r="G353" i="4"/>
  <c r="F353" i="4"/>
  <c r="G352" i="4"/>
  <c r="F352" i="4"/>
  <c r="G351" i="4"/>
  <c r="F351" i="4"/>
  <c r="G350" i="4"/>
  <c r="F350" i="4"/>
  <c r="G349" i="4"/>
  <c r="F349" i="4"/>
  <c r="G348" i="4"/>
  <c r="F348" i="4"/>
  <c r="G347" i="4"/>
  <c r="F347" i="4"/>
  <c r="G346" i="4"/>
  <c r="F346" i="4"/>
  <c r="G345" i="4"/>
  <c r="F345" i="4"/>
  <c r="G344" i="4"/>
  <c r="F344" i="4"/>
  <c r="G343" i="4"/>
  <c r="F343" i="4"/>
  <c r="G342" i="4"/>
  <c r="F342" i="4"/>
  <c r="G341" i="4"/>
  <c r="F341" i="4"/>
  <c r="G340" i="4"/>
  <c r="F340" i="4"/>
  <c r="G339" i="4"/>
  <c r="F339" i="4"/>
  <c r="G338" i="4"/>
  <c r="F338" i="4"/>
  <c r="G337" i="4"/>
  <c r="F337" i="4"/>
  <c r="G336" i="4"/>
  <c r="F336" i="4"/>
  <c r="G335" i="4"/>
  <c r="F335" i="4"/>
  <c r="G334" i="4"/>
  <c r="F334" i="4"/>
  <c r="G333" i="4"/>
  <c r="F333" i="4"/>
  <c r="G332" i="4"/>
  <c r="F332" i="4"/>
  <c r="G331" i="4"/>
  <c r="F331" i="4"/>
  <c r="G330" i="4"/>
  <c r="F330" i="4"/>
  <c r="G329" i="4"/>
  <c r="F329" i="4"/>
  <c r="G328" i="4"/>
  <c r="F328" i="4"/>
  <c r="G327" i="4"/>
  <c r="F327" i="4"/>
  <c r="G326" i="4"/>
  <c r="F326" i="4"/>
  <c r="G325" i="4"/>
  <c r="F325" i="4"/>
  <c r="G324" i="4"/>
  <c r="F324" i="4"/>
  <c r="G323" i="4"/>
  <c r="F323" i="4"/>
  <c r="G322" i="4"/>
  <c r="F322" i="4"/>
  <c r="G321" i="4"/>
  <c r="F321" i="4"/>
  <c r="G320" i="4"/>
  <c r="F320" i="4"/>
  <c r="G319" i="4"/>
  <c r="F319" i="4"/>
  <c r="G318" i="4"/>
  <c r="F318" i="4"/>
  <c r="G317" i="4"/>
  <c r="F317" i="4"/>
  <c r="G316" i="4"/>
  <c r="F316" i="4"/>
  <c r="G315" i="4"/>
  <c r="F315" i="4"/>
  <c r="G314" i="4"/>
  <c r="F314" i="4"/>
  <c r="G313" i="4"/>
  <c r="F313" i="4"/>
  <c r="G312" i="4"/>
  <c r="F312" i="4"/>
  <c r="G311" i="4"/>
  <c r="F311" i="4"/>
  <c r="G310" i="4"/>
  <c r="F310" i="4"/>
  <c r="G309" i="4"/>
  <c r="F309" i="4"/>
  <c r="G308" i="4"/>
  <c r="F308" i="4"/>
  <c r="G307" i="4"/>
  <c r="F307" i="4"/>
  <c r="G306" i="4"/>
  <c r="F306" i="4"/>
  <c r="G305" i="4"/>
  <c r="F305" i="4"/>
  <c r="G304" i="4"/>
  <c r="F304" i="4"/>
  <c r="G303" i="4"/>
  <c r="F303" i="4"/>
  <c r="G302" i="4"/>
  <c r="F302" i="4"/>
  <c r="G301" i="4"/>
  <c r="F301" i="4"/>
  <c r="G300" i="4"/>
  <c r="F300" i="4"/>
  <c r="G299" i="4"/>
  <c r="F299" i="4"/>
  <c r="G298" i="4"/>
  <c r="F298" i="4"/>
  <c r="G297" i="4"/>
  <c r="F297" i="4"/>
  <c r="G296" i="4"/>
  <c r="F296" i="4"/>
  <c r="G295" i="4"/>
  <c r="F295" i="4"/>
  <c r="G294" i="4"/>
  <c r="F294" i="4"/>
  <c r="G293" i="4"/>
  <c r="F293" i="4"/>
  <c r="G292" i="4"/>
  <c r="F292" i="4"/>
  <c r="G291" i="4"/>
  <c r="F291" i="4"/>
  <c r="G290" i="4"/>
  <c r="F290" i="4"/>
  <c r="G289" i="4"/>
  <c r="F289" i="4"/>
  <c r="G288" i="4"/>
  <c r="F288" i="4"/>
  <c r="G287" i="4"/>
  <c r="F287" i="4"/>
  <c r="G286" i="4"/>
  <c r="F286" i="4"/>
  <c r="G285" i="4"/>
  <c r="F285" i="4"/>
  <c r="G284" i="4"/>
  <c r="F284" i="4"/>
  <c r="G283" i="4"/>
  <c r="F283" i="4"/>
  <c r="G282" i="4"/>
  <c r="F282" i="4"/>
  <c r="G281" i="4"/>
  <c r="F281" i="4"/>
  <c r="G280" i="4"/>
  <c r="F280" i="4"/>
  <c r="G279" i="4"/>
  <c r="F279" i="4"/>
  <c r="G278" i="4"/>
  <c r="F278" i="4"/>
  <c r="G277" i="4"/>
  <c r="F277" i="4"/>
  <c r="G276" i="4"/>
  <c r="F276" i="4"/>
  <c r="G275" i="4"/>
  <c r="F275" i="4"/>
  <c r="G274" i="4"/>
  <c r="F274" i="4"/>
  <c r="G273" i="4"/>
  <c r="F273" i="4"/>
  <c r="G272" i="4"/>
  <c r="F272" i="4"/>
  <c r="G271" i="4"/>
  <c r="F271" i="4"/>
  <c r="G270" i="4"/>
  <c r="F270" i="4"/>
  <c r="G269" i="4"/>
  <c r="F269" i="4"/>
  <c r="G268" i="4"/>
  <c r="F268" i="4"/>
  <c r="G267" i="4"/>
  <c r="F267" i="4"/>
  <c r="G266" i="4"/>
  <c r="F266" i="4"/>
  <c r="G265" i="4"/>
  <c r="F265" i="4"/>
  <c r="G264" i="4"/>
  <c r="F264" i="4"/>
  <c r="G263" i="4"/>
  <c r="F263" i="4"/>
  <c r="G262" i="4"/>
  <c r="F262" i="4"/>
  <c r="G261" i="4"/>
  <c r="F261" i="4"/>
  <c r="G260" i="4"/>
  <c r="F260" i="4"/>
  <c r="G259" i="4"/>
  <c r="F259" i="4"/>
  <c r="G258" i="4"/>
  <c r="F258" i="4"/>
  <c r="G257" i="4"/>
  <c r="F257" i="4"/>
  <c r="G256" i="4"/>
  <c r="F256" i="4"/>
  <c r="G255" i="4"/>
  <c r="F255" i="4"/>
  <c r="G254" i="4"/>
  <c r="F254" i="4"/>
  <c r="G253" i="4"/>
  <c r="F253" i="4"/>
  <c r="G252" i="4"/>
  <c r="F252" i="4"/>
  <c r="G251" i="4"/>
  <c r="F251" i="4"/>
  <c r="G250" i="4"/>
  <c r="F250" i="4"/>
  <c r="G249" i="4"/>
  <c r="F249" i="4"/>
  <c r="G248" i="4"/>
  <c r="F248" i="4"/>
  <c r="G247" i="4"/>
  <c r="F247" i="4"/>
  <c r="G246" i="4"/>
  <c r="F246" i="4"/>
  <c r="G245" i="4"/>
  <c r="F245" i="4"/>
  <c r="G244" i="4"/>
  <c r="F244" i="4"/>
  <c r="G243" i="4"/>
  <c r="F243" i="4"/>
  <c r="G242" i="4"/>
  <c r="F242" i="4"/>
  <c r="G241" i="4"/>
  <c r="F241" i="4"/>
  <c r="G240" i="4"/>
  <c r="F240" i="4"/>
  <c r="G239" i="4"/>
  <c r="F239" i="4"/>
  <c r="G238" i="4"/>
  <c r="F238" i="4"/>
  <c r="G237" i="4"/>
  <c r="F237" i="4"/>
  <c r="G236" i="4"/>
  <c r="F236" i="4"/>
  <c r="G235" i="4"/>
  <c r="F235" i="4"/>
  <c r="G234" i="4"/>
  <c r="F234" i="4"/>
  <c r="G233" i="4"/>
  <c r="F233" i="4"/>
  <c r="G232" i="4"/>
  <c r="F232" i="4"/>
  <c r="G231" i="4"/>
  <c r="F231" i="4"/>
  <c r="G230" i="4"/>
  <c r="F230" i="4"/>
  <c r="G229" i="4"/>
  <c r="F229" i="4"/>
  <c r="G228" i="4"/>
  <c r="F228" i="4"/>
  <c r="G227" i="4"/>
  <c r="F227" i="4"/>
  <c r="G226" i="4"/>
  <c r="F226" i="4"/>
  <c r="G225" i="4"/>
  <c r="F225" i="4"/>
  <c r="G224" i="4"/>
  <c r="F224" i="4"/>
  <c r="G223" i="4"/>
  <c r="F223" i="4"/>
  <c r="G222" i="4"/>
  <c r="F222" i="4"/>
  <c r="G221" i="4"/>
  <c r="F221" i="4"/>
  <c r="G220" i="4"/>
  <c r="F220" i="4"/>
  <c r="G219" i="4"/>
  <c r="F219" i="4"/>
  <c r="G218" i="4"/>
  <c r="F218" i="4"/>
  <c r="G217" i="4"/>
  <c r="F217" i="4"/>
  <c r="G216" i="4"/>
  <c r="F216" i="4"/>
  <c r="G215" i="4"/>
  <c r="F215" i="4"/>
  <c r="G214" i="4"/>
  <c r="F214" i="4"/>
  <c r="G213" i="4"/>
  <c r="F213" i="4"/>
  <c r="G212" i="4"/>
  <c r="F212" i="4"/>
  <c r="G211" i="4"/>
  <c r="F211" i="4"/>
  <c r="G210" i="4"/>
  <c r="F210" i="4"/>
  <c r="G209" i="4"/>
  <c r="F209" i="4"/>
  <c r="G208" i="4"/>
  <c r="F208" i="4"/>
  <c r="G207" i="4"/>
  <c r="F207" i="4"/>
  <c r="G206" i="4"/>
  <c r="F206" i="4"/>
  <c r="G205" i="4"/>
  <c r="F205" i="4"/>
  <c r="G204" i="4"/>
  <c r="F204" i="4"/>
  <c r="G203" i="4"/>
  <c r="F203" i="4"/>
  <c r="G202" i="4"/>
  <c r="F202" i="4"/>
  <c r="G201" i="4"/>
  <c r="F201" i="4"/>
  <c r="G200" i="4"/>
  <c r="F200" i="4"/>
  <c r="G199" i="4"/>
  <c r="F199" i="4"/>
  <c r="G198" i="4"/>
  <c r="F198" i="4"/>
  <c r="G197" i="4"/>
  <c r="F197" i="4"/>
  <c r="G196" i="4"/>
  <c r="F196" i="4"/>
  <c r="G195" i="4"/>
  <c r="F195" i="4"/>
  <c r="G194" i="4"/>
  <c r="F194" i="4"/>
  <c r="G193" i="4"/>
  <c r="F193" i="4"/>
  <c r="G192" i="4"/>
  <c r="F192" i="4"/>
  <c r="G191" i="4"/>
  <c r="F191" i="4"/>
  <c r="G190" i="4"/>
  <c r="F190" i="4"/>
  <c r="G189" i="4"/>
  <c r="F189" i="4"/>
  <c r="G188" i="4"/>
  <c r="F188" i="4"/>
  <c r="G187" i="4"/>
  <c r="F187" i="4"/>
  <c r="G186" i="4"/>
  <c r="F186" i="4"/>
  <c r="G185" i="4"/>
  <c r="F185" i="4"/>
  <c r="G184" i="4"/>
  <c r="F184" i="4"/>
  <c r="G183" i="4"/>
  <c r="F183" i="4"/>
  <c r="G182" i="4"/>
  <c r="F182" i="4"/>
  <c r="G181" i="4"/>
  <c r="F181" i="4"/>
  <c r="G180" i="4"/>
  <c r="F180" i="4"/>
  <c r="G179" i="4"/>
  <c r="F179" i="4"/>
  <c r="G178" i="4"/>
  <c r="F178" i="4"/>
  <c r="G177" i="4"/>
  <c r="F177" i="4"/>
  <c r="G176" i="4"/>
  <c r="F176" i="4"/>
  <c r="G175" i="4"/>
  <c r="F175" i="4"/>
  <c r="G174" i="4"/>
  <c r="F174" i="4"/>
  <c r="G173" i="4"/>
  <c r="F173" i="4"/>
  <c r="G172" i="4"/>
  <c r="F172" i="4"/>
  <c r="G171" i="4"/>
  <c r="F171" i="4"/>
  <c r="G170" i="4"/>
  <c r="F170" i="4"/>
  <c r="G169" i="4"/>
  <c r="F169" i="4"/>
  <c r="G168" i="4"/>
  <c r="F168" i="4"/>
  <c r="G167" i="4"/>
  <c r="F167" i="4"/>
  <c r="G166" i="4"/>
  <c r="F166" i="4"/>
  <c r="G165" i="4"/>
  <c r="F165" i="4"/>
  <c r="G164" i="4"/>
  <c r="F164" i="4"/>
  <c r="G163" i="4"/>
  <c r="F163" i="4"/>
  <c r="G162" i="4"/>
  <c r="F162" i="4"/>
  <c r="G161" i="4"/>
  <c r="F161" i="4"/>
  <c r="G160" i="4"/>
  <c r="F160" i="4"/>
  <c r="G159" i="4"/>
  <c r="F159" i="4"/>
  <c r="G158" i="4"/>
  <c r="F158" i="4"/>
  <c r="G157" i="4"/>
  <c r="F157" i="4"/>
  <c r="G156" i="4"/>
  <c r="F156" i="4"/>
  <c r="G155" i="4"/>
  <c r="F155" i="4"/>
  <c r="G154" i="4"/>
  <c r="F154" i="4"/>
  <c r="G153" i="4"/>
  <c r="F153" i="4"/>
  <c r="G152" i="4"/>
  <c r="F152" i="4"/>
  <c r="G151" i="4"/>
  <c r="F151" i="4"/>
  <c r="G150" i="4"/>
  <c r="F150" i="4"/>
  <c r="G149" i="4"/>
  <c r="F149" i="4"/>
  <c r="G148" i="4"/>
  <c r="F148" i="4"/>
  <c r="G147" i="4"/>
  <c r="F147" i="4"/>
  <c r="G146" i="4"/>
  <c r="F146" i="4"/>
  <c r="G145" i="4"/>
  <c r="F145" i="4"/>
  <c r="G144" i="4"/>
  <c r="F144" i="4"/>
  <c r="G143" i="4"/>
  <c r="F143" i="4"/>
  <c r="G142" i="4"/>
  <c r="F142" i="4"/>
  <c r="G141" i="4"/>
  <c r="F141" i="4"/>
  <c r="G140" i="4"/>
  <c r="F140" i="4"/>
  <c r="G139" i="4"/>
  <c r="F139" i="4"/>
  <c r="G138" i="4"/>
  <c r="F138" i="4"/>
  <c r="G137" i="4"/>
  <c r="F137" i="4"/>
  <c r="G136" i="4"/>
  <c r="F136" i="4"/>
  <c r="G135" i="4"/>
  <c r="F135" i="4"/>
  <c r="G134" i="4"/>
  <c r="F134" i="4"/>
  <c r="G133" i="4"/>
  <c r="F133" i="4"/>
  <c r="G132" i="4"/>
  <c r="F132" i="4"/>
  <c r="G131" i="4"/>
  <c r="F131" i="4"/>
  <c r="G130" i="4"/>
  <c r="F130" i="4"/>
  <c r="G129" i="4"/>
  <c r="F129" i="4"/>
  <c r="G128" i="4"/>
  <c r="F128" i="4"/>
  <c r="G127" i="4"/>
  <c r="F127" i="4"/>
  <c r="G126" i="4"/>
  <c r="F126" i="4"/>
  <c r="G125" i="4"/>
  <c r="F125" i="4"/>
  <c r="G124" i="4"/>
  <c r="F124" i="4"/>
  <c r="G123" i="4"/>
  <c r="F123" i="4"/>
  <c r="G122" i="4"/>
  <c r="F122" i="4"/>
  <c r="G121" i="4"/>
  <c r="F121" i="4"/>
  <c r="G120" i="4"/>
  <c r="F120" i="4"/>
  <c r="G119" i="4"/>
  <c r="F119" i="4"/>
  <c r="G118" i="4"/>
  <c r="F118" i="4"/>
  <c r="G117" i="4"/>
  <c r="F117" i="4"/>
  <c r="G116" i="4"/>
  <c r="F116" i="4"/>
  <c r="G115" i="4"/>
  <c r="F115" i="4"/>
  <c r="G114" i="4"/>
  <c r="F114" i="4"/>
  <c r="G113" i="4"/>
  <c r="F113" i="4"/>
  <c r="G112" i="4"/>
  <c r="F112" i="4"/>
  <c r="G111" i="4"/>
  <c r="F111" i="4"/>
  <c r="G110" i="4"/>
  <c r="F110" i="4"/>
  <c r="G109" i="4"/>
  <c r="F109" i="4"/>
  <c r="G108" i="4"/>
  <c r="F108" i="4"/>
  <c r="G107" i="4"/>
  <c r="F107" i="4"/>
  <c r="G106" i="4"/>
  <c r="F106" i="4"/>
  <c r="G105" i="4"/>
  <c r="F105" i="4"/>
  <c r="G104" i="4"/>
  <c r="F104" i="4"/>
  <c r="G103" i="4"/>
  <c r="F103" i="4"/>
  <c r="G102" i="4"/>
  <c r="F102" i="4"/>
  <c r="G101" i="4"/>
  <c r="F101" i="4"/>
  <c r="G100" i="4"/>
  <c r="F100" i="4"/>
  <c r="G99" i="4"/>
  <c r="F99" i="4"/>
  <c r="G98" i="4"/>
  <c r="F98" i="4"/>
  <c r="G97" i="4"/>
  <c r="F97" i="4"/>
  <c r="G96" i="4"/>
  <c r="F96" i="4"/>
  <c r="G95" i="4"/>
  <c r="F95" i="4"/>
  <c r="G94" i="4"/>
  <c r="F94" i="4"/>
  <c r="G93" i="4"/>
  <c r="F93" i="4"/>
  <c r="G92" i="4"/>
  <c r="F92" i="4"/>
  <c r="G91" i="4"/>
  <c r="F91" i="4"/>
  <c r="G90" i="4"/>
  <c r="F90" i="4"/>
  <c r="G89" i="4"/>
  <c r="F89" i="4"/>
  <c r="G88" i="4"/>
  <c r="F88" i="4"/>
  <c r="G87" i="4"/>
  <c r="F87" i="4"/>
  <c r="G86" i="4"/>
  <c r="F86" i="4"/>
  <c r="G85" i="4"/>
  <c r="F85" i="4"/>
  <c r="G84" i="4"/>
  <c r="F84" i="4"/>
  <c r="G83" i="4"/>
  <c r="F83" i="4"/>
  <c r="G82" i="4"/>
  <c r="F82" i="4"/>
  <c r="G81" i="4"/>
  <c r="F81" i="4"/>
  <c r="G80" i="4"/>
  <c r="F80" i="4"/>
  <c r="G79" i="4"/>
  <c r="F79" i="4"/>
  <c r="G78" i="4"/>
  <c r="F78" i="4"/>
  <c r="G77" i="4"/>
  <c r="F77" i="4"/>
  <c r="G76" i="4"/>
  <c r="F76" i="4"/>
  <c r="G75" i="4"/>
  <c r="F75" i="4"/>
  <c r="G74" i="4"/>
  <c r="F74" i="4"/>
  <c r="G73" i="4"/>
  <c r="F73" i="4"/>
  <c r="G72" i="4"/>
  <c r="F72" i="4"/>
  <c r="G71" i="4"/>
  <c r="F71" i="4"/>
  <c r="G70" i="4"/>
  <c r="F70" i="4"/>
  <c r="G69" i="4"/>
  <c r="F69" i="4"/>
  <c r="G68" i="4"/>
  <c r="F68" i="4"/>
  <c r="G67" i="4"/>
  <c r="F67" i="4"/>
  <c r="G66" i="4"/>
  <c r="F66" i="4"/>
  <c r="G65" i="4"/>
  <c r="F65" i="4"/>
  <c r="G64" i="4"/>
  <c r="F64" i="4"/>
  <c r="G63" i="4"/>
  <c r="F63" i="4"/>
  <c r="G62" i="4"/>
  <c r="F62" i="4"/>
  <c r="G61" i="4"/>
  <c r="F61" i="4"/>
  <c r="G60" i="4"/>
  <c r="F60" i="4"/>
  <c r="G59" i="4"/>
  <c r="F59" i="4"/>
  <c r="G58" i="4"/>
  <c r="F58" i="4"/>
  <c r="G57" i="4"/>
  <c r="F57" i="4"/>
  <c r="G56" i="4"/>
  <c r="F56" i="4"/>
  <c r="G55" i="4"/>
  <c r="F55" i="4"/>
  <c r="G54" i="4"/>
  <c r="F54" i="4"/>
  <c r="G53" i="4"/>
  <c r="F53" i="4"/>
  <c r="G52" i="4"/>
  <c r="F52" i="4"/>
  <c r="G51" i="4"/>
  <c r="F51" i="4"/>
  <c r="G50" i="4"/>
  <c r="F50" i="4"/>
  <c r="G49" i="4"/>
  <c r="F49" i="4"/>
  <c r="G48" i="4"/>
  <c r="F48" i="4"/>
  <c r="G47" i="4"/>
  <c r="F47" i="4"/>
  <c r="G46" i="4"/>
  <c r="F46" i="4"/>
  <c r="G45" i="4"/>
  <c r="F45" i="4"/>
  <c r="G44" i="4"/>
  <c r="F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G4" i="4"/>
  <c r="F4" i="4"/>
  <c r="G3" i="4"/>
  <c r="F3" i="4"/>
  <c r="G2" i="4"/>
  <c r="F2" i="4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J1415" i="3" s="1" a="1"/>
  <c r="J1415" i="3" s="1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D1441" i="3"/>
  <c r="C1441" i="3"/>
  <c r="D1440" i="3"/>
  <c r="C1440" i="3"/>
  <c r="J1440" i="3" s="1" a="1"/>
  <c r="J1440" i="3" s="1"/>
  <c r="D1439" i="3"/>
  <c r="C1439" i="3"/>
  <c r="D1438" i="3"/>
  <c r="C1438" i="3"/>
  <c r="D1437" i="3"/>
  <c r="C1437" i="3"/>
  <c r="G1437" i="3" s="1" a="1"/>
  <c r="G1437" i="3" s="1"/>
  <c r="D1436" i="3"/>
  <c r="C1436" i="3"/>
  <c r="D1435" i="3"/>
  <c r="C1435" i="3"/>
  <c r="G1435" i="3" s="1" a="1"/>
  <c r="G1435" i="3" s="1"/>
  <c r="D1434" i="3"/>
  <c r="C1434" i="3"/>
  <c r="G1434" i="3" s="1" a="1"/>
  <c r="G1434" i="3" s="1"/>
  <c r="D1433" i="3"/>
  <c r="C1433" i="3"/>
  <c r="D1432" i="3"/>
  <c r="C1432" i="3"/>
  <c r="D1431" i="3"/>
  <c r="C1431" i="3"/>
  <c r="G1431" i="3" s="1" a="1"/>
  <c r="G1431" i="3" s="1"/>
  <c r="D1430" i="3"/>
  <c r="C1430" i="3"/>
  <c r="D1429" i="3"/>
  <c r="C1429" i="3"/>
  <c r="G1429" i="3" s="1" a="1"/>
  <c r="G1429" i="3" s="1"/>
  <c r="D1428" i="3"/>
  <c r="C1428" i="3"/>
  <c r="G1428" i="3" s="1" a="1"/>
  <c r="G1428" i="3" s="1"/>
  <c r="D1427" i="3"/>
  <c r="C1427" i="3"/>
  <c r="D1426" i="3"/>
  <c r="C1426" i="3"/>
  <c r="D1425" i="3"/>
  <c r="C1425" i="3"/>
  <c r="G1425" i="3" s="1" a="1"/>
  <c r="G1425" i="3" s="1"/>
  <c r="D1424" i="3"/>
  <c r="C1424" i="3"/>
  <c r="D1423" i="3"/>
  <c r="C1423" i="3"/>
  <c r="D1422" i="3"/>
  <c r="C1422" i="3"/>
  <c r="J1422" i="3" s="1" a="1"/>
  <c r="J1422" i="3" s="1"/>
  <c r="D1421" i="3"/>
  <c r="C1421" i="3"/>
  <c r="J1421" i="3" s="1" a="1"/>
  <c r="J1421" i="3" s="1"/>
  <c r="D1420" i="3"/>
  <c r="C1420" i="3"/>
  <c r="D1419" i="3"/>
  <c r="C1419" i="3"/>
  <c r="G1419" i="3" s="1" a="1"/>
  <c r="G1419" i="3" s="1"/>
  <c r="D1418" i="3"/>
  <c r="C1418" i="3"/>
  <c r="G1418" i="3" s="1" a="1"/>
  <c r="G1418" i="3" s="1"/>
  <c r="D1417" i="3"/>
  <c r="C1417" i="3"/>
  <c r="G1417" i="3" s="1" a="1"/>
  <c r="G1417" i="3" s="1"/>
  <c r="D1416" i="3"/>
  <c r="C1416" i="3"/>
  <c r="G1416" i="3" s="1" a="1"/>
  <c r="G1416" i="3" s="1"/>
  <c r="D1415" i="3"/>
  <c r="C1415" i="3"/>
  <c r="D1414" i="3"/>
  <c r="C1414" i="3"/>
  <c r="D1413" i="3"/>
  <c r="C1413" i="3"/>
  <c r="G1413" i="3" s="1" a="1"/>
  <c r="G1413" i="3" s="1"/>
  <c r="D1412" i="3"/>
  <c r="C1412" i="3"/>
  <c r="G1412" i="3" s="1" a="1"/>
  <c r="G1412" i="3" s="1"/>
  <c r="D1411" i="3"/>
  <c r="C1411" i="3"/>
  <c r="G1411" i="3" s="1" a="1"/>
  <c r="G1411" i="3" s="1"/>
  <c r="D1410" i="3"/>
  <c r="C1410" i="3"/>
  <c r="G1410" i="3" s="1" a="1"/>
  <c r="G1410" i="3" s="1"/>
  <c r="D1409" i="3"/>
  <c r="C1409" i="3"/>
  <c r="D1408" i="3"/>
  <c r="C1408" i="3"/>
  <c r="D1407" i="3"/>
  <c r="C1407" i="3"/>
  <c r="G1407" i="3" s="1" a="1"/>
  <c r="G1407" i="3" s="1"/>
  <c r="D1406" i="3"/>
  <c r="C1406" i="3"/>
  <c r="G1406" i="3" s="1" a="1"/>
  <c r="G1406" i="3" s="1"/>
  <c r="D1405" i="3"/>
  <c r="C1405" i="3"/>
  <c r="G1405" i="3" s="1" a="1"/>
  <c r="G1405" i="3" s="1"/>
  <c r="D1404" i="3"/>
  <c r="C1404" i="3"/>
  <c r="D1403" i="3"/>
  <c r="C1403" i="3"/>
  <c r="D1402" i="3"/>
  <c r="C1402" i="3"/>
  <c r="D1401" i="3"/>
  <c r="C1401" i="3"/>
  <c r="G1401" i="3" s="1" a="1"/>
  <c r="G1401" i="3" s="1"/>
  <c r="D1400" i="3"/>
  <c r="C1400" i="3"/>
  <c r="G1400" i="3" s="1" a="1"/>
  <c r="G1400" i="3" s="1"/>
  <c r="D1399" i="3"/>
  <c r="C1399" i="3"/>
  <c r="G1399" i="3" s="1" a="1"/>
  <c r="G1399" i="3" s="1"/>
  <c r="D1398" i="3"/>
  <c r="C1398" i="3"/>
  <c r="G1398" i="3" s="1" a="1"/>
  <c r="G1398" i="3" s="1"/>
  <c r="D1397" i="3"/>
  <c r="C1397" i="3"/>
  <c r="D1396" i="3"/>
  <c r="C1396" i="3"/>
  <c r="D1395" i="3"/>
  <c r="C1395" i="3"/>
  <c r="G1395" i="3" s="1" a="1"/>
  <c r="G1395" i="3" s="1"/>
  <c r="D1394" i="3"/>
  <c r="C1394" i="3"/>
  <c r="G1394" i="3" s="1" a="1"/>
  <c r="G1394" i="3" s="1"/>
  <c r="D1393" i="3"/>
  <c r="C1393" i="3"/>
  <c r="G1393" i="3" s="1" a="1"/>
  <c r="G1393" i="3" s="1"/>
  <c r="D1392" i="3"/>
  <c r="C1392" i="3"/>
  <c r="G1392" i="3" s="1" a="1"/>
  <c r="G1392" i="3" s="1"/>
  <c r="D1391" i="3"/>
  <c r="C1391" i="3"/>
  <c r="D1390" i="3"/>
  <c r="C1390" i="3"/>
  <c r="D1389" i="3"/>
  <c r="C1389" i="3"/>
  <c r="G1389" i="3" s="1" a="1"/>
  <c r="G1389" i="3" s="1"/>
  <c r="D1388" i="3"/>
  <c r="C1388" i="3"/>
  <c r="G1388" i="3" s="1" a="1"/>
  <c r="G1388" i="3" s="1"/>
  <c r="D1387" i="3"/>
  <c r="C1387" i="3"/>
  <c r="G1387" i="3" s="1" a="1"/>
  <c r="G1387" i="3" s="1"/>
  <c r="D1386" i="3"/>
  <c r="C1386" i="3"/>
  <c r="D1385" i="3"/>
  <c r="C1385" i="3"/>
  <c r="D1384" i="3"/>
  <c r="C1384" i="3"/>
  <c r="G1384" i="3" s="1" a="1"/>
  <c r="G1384" i="3" s="1"/>
  <c r="D1383" i="3"/>
  <c r="C1383" i="3"/>
  <c r="G1383" i="3" s="1" a="1"/>
  <c r="G1383" i="3" s="1"/>
  <c r="D1382" i="3"/>
  <c r="C1382" i="3"/>
  <c r="G1382" i="3" s="1" a="1"/>
  <c r="G1382" i="3" s="1"/>
  <c r="D1381" i="3"/>
  <c r="C1381" i="3"/>
  <c r="G1381" i="3" s="1" a="1"/>
  <c r="G1381" i="3" s="1"/>
  <c r="D1380" i="3"/>
  <c r="C1380" i="3"/>
  <c r="G1380" i="3" s="1" a="1"/>
  <c r="G1380" i="3" s="1"/>
  <c r="D1379" i="3"/>
  <c r="C1379" i="3"/>
  <c r="G1379" i="3" s="1" a="1"/>
  <c r="G1379" i="3" s="1"/>
  <c r="D1378" i="3"/>
  <c r="C1378" i="3"/>
  <c r="G1378" i="3" s="1" a="1"/>
  <c r="G1378" i="3" s="1"/>
  <c r="D1377" i="3"/>
  <c r="C1377" i="3"/>
  <c r="G1377" i="3" s="1" a="1"/>
  <c r="G1377" i="3" s="1"/>
  <c r="D1376" i="3"/>
  <c r="C1376" i="3"/>
  <c r="G1376" i="3" s="1" a="1"/>
  <c r="G1376" i="3" s="1"/>
  <c r="D1375" i="3"/>
  <c r="C1375" i="3"/>
  <c r="G1375" i="3" s="1" a="1"/>
  <c r="G1375" i="3" s="1"/>
  <c r="D1374" i="3"/>
  <c r="C1374" i="3"/>
  <c r="G1374" i="3" s="1" a="1"/>
  <c r="G1374" i="3" s="1"/>
  <c r="D1373" i="3"/>
  <c r="C1373" i="3"/>
  <c r="G1373" i="3" s="1" a="1"/>
  <c r="G1373" i="3" s="1"/>
  <c r="D1372" i="3"/>
  <c r="C1372" i="3"/>
  <c r="G1372" i="3" s="1" a="1"/>
  <c r="G1372" i="3" s="1"/>
  <c r="D1371" i="3"/>
  <c r="C1371" i="3"/>
  <c r="G1371" i="3" s="1" a="1"/>
  <c r="G1371" i="3" s="1"/>
  <c r="D1370" i="3"/>
  <c r="C1370" i="3"/>
  <c r="G1370" i="3" s="1" a="1"/>
  <c r="G1370" i="3" s="1"/>
  <c r="D1369" i="3"/>
  <c r="C1369" i="3"/>
  <c r="G1369" i="3" s="1" a="1"/>
  <c r="G1369" i="3" s="1"/>
  <c r="D1368" i="3"/>
  <c r="C1368" i="3"/>
  <c r="J1368" i="3" s="1" a="1"/>
  <c r="J1368" i="3" s="1"/>
  <c r="D1367" i="3"/>
  <c r="C1367" i="3"/>
  <c r="J1367" i="3" s="1" a="1"/>
  <c r="J1367" i="3" s="1"/>
  <c r="D1366" i="3"/>
  <c r="C1366" i="3"/>
  <c r="G1366" i="3" s="1" a="1"/>
  <c r="G1366" i="3" s="1"/>
  <c r="D1365" i="3"/>
  <c r="C1365" i="3"/>
  <c r="G1365" i="3" s="1" a="1"/>
  <c r="G1365" i="3" s="1"/>
  <c r="D1364" i="3"/>
  <c r="C1364" i="3"/>
  <c r="G1364" i="3" s="1" a="1"/>
  <c r="G1364" i="3" s="1"/>
  <c r="D1363" i="3"/>
  <c r="C1363" i="3"/>
  <c r="G1363" i="3" s="1" a="1"/>
  <c r="G1363" i="3" s="1"/>
  <c r="D1362" i="3"/>
  <c r="C1362" i="3"/>
  <c r="G1362" i="3" s="1" a="1"/>
  <c r="G1362" i="3" s="1"/>
  <c r="D1361" i="3"/>
  <c r="C1361" i="3"/>
  <c r="G1361" i="3" s="1" a="1"/>
  <c r="G1361" i="3" s="1"/>
  <c r="D1360" i="3"/>
  <c r="C1360" i="3"/>
  <c r="G1360" i="3" s="1" a="1"/>
  <c r="G1360" i="3" s="1"/>
  <c r="D1359" i="3"/>
  <c r="C1359" i="3"/>
  <c r="G1359" i="3" s="1" a="1"/>
  <c r="G1359" i="3" s="1"/>
  <c r="D1358" i="3"/>
  <c r="C1358" i="3"/>
  <c r="G1358" i="3" s="1" a="1"/>
  <c r="G1358" i="3" s="1"/>
  <c r="D1357" i="3"/>
  <c r="C1357" i="3"/>
  <c r="G1357" i="3" s="1" a="1"/>
  <c r="G1357" i="3" s="1"/>
  <c r="D1356" i="3"/>
  <c r="C1356" i="3"/>
  <c r="G1356" i="3" s="1" a="1"/>
  <c r="G1356" i="3" s="1"/>
  <c r="D1355" i="3"/>
  <c r="C1355" i="3"/>
  <c r="G1355" i="3" s="1" a="1"/>
  <c r="G1355" i="3" s="1"/>
  <c r="D1354" i="3"/>
  <c r="C1354" i="3"/>
  <c r="G1354" i="3" s="1" a="1"/>
  <c r="G1354" i="3" s="1"/>
  <c r="D1353" i="3"/>
  <c r="C1353" i="3"/>
  <c r="G1353" i="3" s="1" a="1"/>
  <c r="G1353" i="3" s="1"/>
  <c r="D1352" i="3"/>
  <c r="C1352" i="3"/>
  <c r="G1352" i="3" s="1" a="1"/>
  <c r="G1352" i="3" s="1"/>
  <c r="D1351" i="3"/>
  <c r="C1351" i="3"/>
  <c r="G1351" i="3" s="1" a="1"/>
  <c r="G1351" i="3" s="1"/>
  <c r="D1350" i="3"/>
  <c r="C1350" i="3"/>
  <c r="J1350" i="3" s="1" a="1"/>
  <c r="J1350" i="3" s="1"/>
  <c r="D1349" i="3"/>
  <c r="C1349" i="3"/>
  <c r="G1349" i="3" s="1" a="1"/>
  <c r="G1349" i="3" s="1"/>
  <c r="D1348" i="3"/>
  <c r="C1348" i="3"/>
  <c r="G1348" i="3" s="1" a="1"/>
  <c r="G1348" i="3" s="1"/>
  <c r="D1347" i="3"/>
  <c r="C1347" i="3"/>
  <c r="G1347" i="3" s="1" a="1"/>
  <c r="G1347" i="3" s="1"/>
  <c r="D1346" i="3"/>
  <c r="C1346" i="3"/>
  <c r="G1346" i="3" s="1" a="1"/>
  <c r="G1346" i="3" s="1"/>
  <c r="D1345" i="3"/>
  <c r="C1345" i="3"/>
  <c r="G1345" i="3" s="1" a="1"/>
  <c r="G1345" i="3" s="1"/>
  <c r="D1344" i="3"/>
  <c r="C1344" i="3"/>
  <c r="G1344" i="3" s="1" a="1"/>
  <c r="G1344" i="3" s="1"/>
  <c r="D1343" i="3"/>
  <c r="C1343" i="3"/>
  <c r="J1343" i="3" s="1" a="1"/>
  <c r="J1343" i="3" s="1"/>
  <c r="D1342" i="3"/>
  <c r="C1342" i="3"/>
  <c r="G1342" i="3" s="1" a="1"/>
  <c r="G1342" i="3" s="1"/>
  <c r="D1341" i="3"/>
  <c r="C1341" i="3"/>
  <c r="G1341" i="3" s="1" a="1"/>
  <c r="G1341" i="3" s="1"/>
  <c r="D1340" i="3"/>
  <c r="C1340" i="3"/>
  <c r="G1340" i="3" s="1" a="1"/>
  <c r="G1340" i="3" s="1"/>
  <c r="D1339" i="3"/>
  <c r="C1339" i="3"/>
  <c r="G1339" i="3" s="1" a="1"/>
  <c r="G1339" i="3" s="1"/>
  <c r="D1338" i="3"/>
  <c r="C1338" i="3"/>
  <c r="J1338" i="3" s="1" a="1"/>
  <c r="J1338" i="3" s="1"/>
  <c r="D1337" i="3"/>
  <c r="C1337" i="3"/>
  <c r="D1336" i="3"/>
  <c r="C1336" i="3"/>
  <c r="G1336" i="3" s="1" a="1"/>
  <c r="G1336" i="3" s="1"/>
  <c r="D1335" i="3"/>
  <c r="C1335" i="3"/>
  <c r="G1335" i="3" s="1" a="1"/>
  <c r="G1335" i="3" s="1"/>
  <c r="D1334" i="3"/>
  <c r="C1334" i="3"/>
  <c r="G1334" i="3" s="1" a="1"/>
  <c r="G1334" i="3" s="1"/>
  <c r="D1333" i="3"/>
  <c r="C1333" i="3"/>
  <c r="G1333" i="3" s="1" a="1"/>
  <c r="G1333" i="3" s="1"/>
  <c r="D1332" i="3"/>
  <c r="C1332" i="3"/>
  <c r="J1332" i="3" s="1" a="1"/>
  <c r="J1332" i="3" s="1"/>
  <c r="D1331" i="3"/>
  <c r="C1331" i="3"/>
  <c r="M1331" i="3" s="1" a="1"/>
  <c r="M1331" i="3" s="1"/>
  <c r="D1330" i="3"/>
  <c r="C1330" i="3"/>
  <c r="G1330" i="3" s="1" a="1"/>
  <c r="G1330" i="3" s="1"/>
  <c r="D1329" i="3"/>
  <c r="C1329" i="3"/>
  <c r="G1329" i="3" s="1" a="1"/>
  <c r="G1329" i="3" s="1"/>
  <c r="D1328" i="3"/>
  <c r="C1328" i="3"/>
  <c r="G1328" i="3" s="1" a="1"/>
  <c r="G1328" i="3" s="1"/>
  <c r="D1327" i="3"/>
  <c r="C1327" i="3"/>
  <c r="G1327" i="3" s="1" a="1"/>
  <c r="G1327" i="3" s="1"/>
  <c r="D1326" i="3"/>
  <c r="C1326" i="3"/>
  <c r="J1326" i="3" s="1" a="1"/>
  <c r="J1326" i="3" s="1"/>
  <c r="D1325" i="3"/>
  <c r="C1325" i="3"/>
  <c r="D1324" i="3"/>
  <c r="C1324" i="3"/>
  <c r="G1324" i="3" s="1" a="1"/>
  <c r="G1324" i="3" s="1"/>
  <c r="D1323" i="3"/>
  <c r="C1323" i="3"/>
  <c r="G1323" i="3" s="1" a="1"/>
  <c r="G1323" i="3" s="1"/>
  <c r="D1322" i="3"/>
  <c r="C1322" i="3"/>
  <c r="G1322" i="3" s="1" a="1"/>
  <c r="G1322" i="3" s="1"/>
  <c r="D1321" i="3"/>
  <c r="C1321" i="3"/>
  <c r="G1321" i="3" s="1" a="1"/>
  <c r="G1321" i="3" s="1"/>
  <c r="D1320" i="3"/>
  <c r="C1320" i="3"/>
  <c r="G1320" i="3" s="1" a="1"/>
  <c r="G1320" i="3" s="1"/>
  <c r="D1319" i="3"/>
  <c r="C1319" i="3"/>
  <c r="M1319" i="3" s="1" a="1"/>
  <c r="M1319" i="3" s="1"/>
  <c r="D1318" i="3"/>
  <c r="C1318" i="3"/>
  <c r="G1318" i="3" s="1" a="1"/>
  <c r="G1318" i="3" s="1"/>
  <c r="D1317" i="3"/>
  <c r="C1317" i="3"/>
  <c r="G1317" i="3" s="1" a="1"/>
  <c r="G1317" i="3" s="1"/>
  <c r="D1316" i="3"/>
  <c r="C1316" i="3"/>
  <c r="G1316" i="3" s="1" a="1"/>
  <c r="G1316" i="3" s="1"/>
  <c r="D1315" i="3"/>
  <c r="C1315" i="3"/>
  <c r="G1315" i="3" s="1" a="1"/>
  <c r="G1315" i="3" s="1"/>
  <c r="D1314" i="3"/>
  <c r="C1314" i="3"/>
  <c r="G1314" i="3" s="1" a="1"/>
  <c r="G1314" i="3" s="1"/>
  <c r="D1313" i="3"/>
  <c r="C1313" i="3"/>
  <c r="D1312" i="3"/>
  <c r="C1312" i="3"/>
  <c r="G1312" i="3" s="1" a="1"/>
  <c r="G1312" i="3" s="1"/>
  <c r="D1311" i="3"/>
  <c r="C1311" i="3"/>
  <c r="G1311" i="3" s="1" a="1"/>
  <c r="G1311" i="3" s="1"/>
  <c r="D1310" i="3"/>
  <c r="C1310" i="3"/>
  <c r="G1310" i="3" s="1" a="1"/>
  <c r="G1310" i="3" s="1"/>
  <c r="D1309" i="3"/>
  <c r="C1309" i="3"/>
  <c r="G1309" i="3" s="1" a="1"/>
  <c r="G1309" i="3" s="1"/>
  <c r="D1308" i="3"/>
  <c r="C1308" i="3"/>
  <c r="J1308" i="3" s="1" a="1"/>
  <c r="J1308" i="3" s="1"/>
  <c r="D1307" i="3"/>
  <c r="C1307" i="3"/>
  <c r="J1307" i="3" s="1" a="1"/>
  <c r="J1307" i="3" s="1"/>
  <c r="D1306" i="3"/>
  <c r="C1306" i="3"/>
  <c r="G1306" i="3" s="1" a="1"/>
  <c r="G1306" i="3" s="1"/>
  <c r="D1305" i="3"/>
  <c r="C1305" i="3"/>
  <c r="G1305" i="3" s="1" a="1"/>
  <c r="G1305" i="3" s="1"/>
  <c r="D1304" i="3"/>
  <c r="C1304" i="3"/>
  <c r="G1304" i="3" s="1" a="1"/>
  <c r="G1304" i="3" s="1"/>
  <c r="D1303" i="3"/>
  <c r="C1303" i="3"/>
  <c r="G1303" i="3" s="1" a="1"/>
  <c r="G1303" i="3" s="1"/>
  <c r="D1302" i="3"/>
  <c r="C1302" i="3"/>
  <c r="G1302" i="3" s="1" a="1"/>
  <c r="G1302" i="3" s="1"/>
  <c r="D1301" i="3"/>
  <c r="C1301" i="3"/>
  <c r="D1300" i="3"/>
  <c r="C1300" i="3"/>
  <c r="G1300" i="3" s="1" a="1"/>
  <c r="G1300" i="3" s="1"/>
  <c r="D1299" i="3"/>
  <c r="C1299" i="3"/>
  <c r="G1299" i="3" s="1" a="1"/>
  <c r="G1299" i="3" s="1"/>
  <c r="D1298" i="3"/>
  <c r="C1298" i="3"/>
  <c r="G1298" i="3" s="1" a="1"/>
  <c r="G1298" i="3" s="1"/>
  <c r="D1297" i="3"/>
  <c r="C1297" i="3"/>
  <c r="G1297" i="3" s="1" a="1"/>
  <c r="G1297" i="3" s="1"/>
  <c r="D1296" i="3"/>
  <c r="C1296" i="3"/>
  <c r="J1296" i="3" s="1" a="1"/>
  <c r="J1296" i="3" s="1"/>
  <c r="D1295" i="3"/>
  <c r="C1295" i="3"/>
  <c r="M1295" i="3" s="1" a="1"/>
  <c r="M1295" i="3" s="1"/>
  <c r="D1294" i="3"/>
  <c r="C1294" i="3"/>
  <c r="G1294" i="3" s="1" a="1"/>
  <c r="G1294" i="3" s="1"/>
  <c r="D1293" i="3"/>
  <c r="C1293" i="3"/>
  <c r="G1293" i="3" s="1" a="1"/>
  <c r="G1293" i="3" s="1"/>
  <c r="D1292" i="3"/>
  <c r="C1292" i="3"/>
  <c r="G1292" i="3" s="1" a="1"/>
  <c r="G1292" i="3" s="1"/>
  <c r="D1291" i="3"/>
  <c r="C1291" i="3"/>
  <c r="G1291" i="3" s="1" a="1"/>
  <c r="G1291" i="3" s="1"/>
  <c r="D1290" i="3"/>
  <c r="C1290" i="3"/>
  <c r="G1290" i="3" s="1" a="1"/>
  <c r="G1290" i="3" s="1"/>
  <c r="D1289" i="3"/>
  <c r="C1289" i="3"/>
  <c r="D1288" i="3"/>
  <c r="C1288" i="3"/>
  <c r="G1288" i="3" s="1" a="1"/>
  <c r="G1288" i="3" s="1"/>
  <c r="D1287" i="3"/>
  <c r="C1287" i="3"/>
  <c r="G1287" i="3" s="1" a="1"/>
  <c r="G1287" i="3" s="1"/>
  <c r="D1286" i="3"/>
  <c r="C1286" i="3"/>
  <c r="G1286" i="3" s="1" a="1"/>
  <c r="G1286" i="3" s="1"/>
  <c r="D1285" i="3"/>
  <c r="C1285" i="3"/>
  <c r="G1285" i="3" s="1" a="1"/>
  <c r="G1285" i="3" s="1"/>
  <c r="D1284" i="3"/>
  <c r="C1284" i="3"/>
  <c r="G1284" i="3" s="1" a="1"/>
  <c r="G1284" i="3" s="1"/>
  <c r="D1283" i="3"/>
  <c r="C1283" i="3"/>
  <c r="J1283" i="3" s="1" a="1"/>
  <c r="J1283" i="3" s="1"/>
  <c r="D1282" i="3"/>
  <c r="C1282" i="3"/>
  <c r="G1282" i="3" s="1" a="1"/>
  <c r="G1282" i="3" s="1"/>
  <c r="D1281" i="3"/>
  <c r="C1281" i="3"/>
  <c r="G1281" i="3" s="1" a="1"/>
  <c r="G1281" i="3" s="1"/>
  <c r="D1280" i="3"/>
  <c r="C1280" i="3"/>
  <c r="G1280" i="3" s="1" a="1"/>
  <c r="G1280" i="3" s="1"/>
  <c r="D1279" i="3"/>
  <c r="C1279" i="3"/>
  <c r="G1279" i="3" s="1" a="1"/>
  <c r="G1279" i="3" s="1"/>
  <c r="D1278" i="3"/>
  <c r="C1278" i="3"/>
  <c r="G1278" i="3" s="1" a="1"/>
  <c r="G1278" i="3" s="1"/>
  <c r="D1277" i="3"/>
  <c r="C1277" i="3"/>
  <c r="D1276" i="3"/>
  <c r="C1276" i="3"/>
  <c r="G1276" i="3" s="1" a="1"/>
  <c r="G1276" i="3" s="1"/>
  <c r="D1275" i="3"/>
  <c r="C1275" i="3"/>
  <c r="G1275" i="3" s="1" a="1"/>
  <c r="G1275" i="3" s="1"/>
  <c r="D1274" i="3"/>
  <c r="C1274" i="3"/>
  <c r="G1274" i="3" s="1" a="1"/>
  <c r="G1274" i="3" s="1"/>
  <c r="D1273" i="3"/>
  <c r="C1273" i="3"/>
  <c r="G1273" i="3" s="1" a="1"/>
  <c r="G1273" i="3" s="1"/>
  <c r="D1272" i="3"/>
  <c r="C1272" i="3"/>
  <c r="G1272" i="3" s="1" a="1"/>
  <c r="G1272" i="3" s="1"/>
  <c r="D1271" i="3"/>
  <c r="C1271" i="3"/>
  <c r="M1271" i="3" s="1" a="1"/>
  <c r="M1271" i="3" s="1"/>
  <c r="D1270" i="3"/>
  <c r="C1270" i="3"/>
  <c r="G1270" i="3" s="1" a="1"/>
  <c r="G1270" i="3" s="1"/>
  <c r="D1269" i="3"/>
  <c r="C1269" i="3"/>
  <c r="G1269" i="3" s="1" a="1"/>
  <c r="G1269" i="3" s="1"/>
  <c r="D1268" i="3"/>
  <c r="C1268" i="3"/>
  <c r="G1268" i="3" s="1" a="1"/>
  <c r="G1268" i="3" s="1"/>
  <c r="D1267" i="3"/>
  <c r="C1267" i="3"/>
  <c r="G1267" i="3" s="1" a="1"/>
  <c r="G1267" i="3" s="1"/>
  <c r="D1266" i="3"/>
  <c r="C1266" i="3"/>
  <c r="J1266" i="3" s="1" a="1"/>
  <c r="J1266" i="3" s="1"/>
  <c r="D1265" i="3"/>
  <c r="C1265" i="3"/>
  <c r="D1264" i="3"/>
  <c r="C1264" i="3"/>
  <c r="G1264" i="3" s="1" a="1"/>
  <c r="G1264" i="3" s="1"/>
  <c r="D1263" i="3"/>
  <c r="C1263" i="3"/>
  <c r="G1263" i="3" s="1" a="1"/>
  <c r="G1263" i="3" s="1"/>
  <c r="D1262" i="3"/>
  <c r="C1262" i="3"/>
  <c r="G1262" i="3" s="1" a="1"/>
  <c r="G1262" i="3" s="1"/>
  <c r="D1261" i="3"/>
  <c r="C1261" i="3"/>
  <c r="G1261" i="3" s="1" a="1"/>
  <c r="G1261" i="3" s="1"/>
  <c r="D1260" i="3"/>
  <c r="C1260" i="3"/>
  <c r="G1260" i="3" s="1" a="1"/>
  <c r="G1260" i="3" s="1"/>
  <c r="D1259" i="3"/>
  <c r="C1259" i="3"/>
  <c r="H1259" i="3" s="1" a="1"/>
  <c r="H1259" i="3" s="1"/>
  <c r="D1258" i="3"/>
  <c r="C1258" i="3"/>
  <c r="G1258" i="3" s="1" a="1"/>
  <c r="G1258" i="3" s="1"/>
  <c r="D1257" i="3"/>
  <c r="C1257" i="3"/>
  <c r="G1257" i="3" s="1" a="1"/>
  <c r="G1257" i="3" s="1"/>
  <c r="D1256" i="3"/>
  <c r="C1256" i="3"/>
  <c r="G1256" i="3" s="1" a="1"/>
  <c r="G1256" i="3" s="1"/>
  <c r="D1255" i="3"/>
  <c r="C1255" i="3"/>
  <c r="G1255" i="3" s="1" a="1"/>
  <c r="G1255" i="3" s="1"/>
  <c r="D1254" i="3"/>
  <c r="C1254" i="3"/>
  <c r="G1254" i="3" s="1" a="1"/>
  <c r="G1254" i="3" s="1"/>
  <c r="D1253" i="3"/>
  <c r="C1253" i="3"/>
  <c r="D1252" i="3"/>
  <c r="C1252" i="3"/>
  <c r="G1252" i="3" s="1" a="1"/>
  <c r="G1252" i="3" s="1"/>
  <c r="D1251" i="3"/>
  <c r="C1251" i="3"/>
  <c r="G1251" i="3" s="1" a="1"/>
  <c r="G1251" i="3" s="1"/>
  <c r="D1250" i="3"/>
  <c r="C1250" i="3"/>
  <c r="G1250" i="3" s="1" a="1"/>
  <c r="G1250" i="3" s="1"/>
  <c r="D1249" i="3"/>
  <c r="C1249" i="3"/>
  <c r="G1249" i="3" s="1" a="1"/>
  <c r="G1249" i="3" s="1"/>
  <c r="D1248" i="3"/>
  <c r="C1248" i="3"/>
  <c r="G1248" i="3" s="1" a="1"/>
  <c r="G1248" i="3" s="1"/>
  <c r="D1247" i="3"/>
  <c r="C1247" i="3"/>
  <c r="M1247" i="3" s="1" a="1"/>
  <c r="M1247" i="3" s="1"/>
  <c r="D1246" i="3"/>
  <c r="C1246" i="3"/>
  <c r="G1246" i="3" s="1" a="1"/>
  <c r="G1246" i="3" s="1"/>
  <c r="D1245" i="3"/>
  <c r="C1245" i="3"/>
  <c r="G1245" i="3" s="1" a="1"/>
  <c r="G1245" i="3" s="1"/>
  <c r="D1244" i="3"/>
  <c r="C1244" i="3"/>
  <c r="G1244" i="3" s="1" a="1"/>
  <c r="G1244" i="3" s="1"/>
  <c r="D1243" i="3"/>
  <c r="C1243" i="3"/>
  <c r="G1243" i="3" s="1" a="1"/>
  <c r="G1243" i="3" s="1"/>
  <c r="D1242" i="3"/>
  <c r="C1242" i="3"/>
  <c r="G1242" i="3" s="1" a="1"/>
  <c r="G1242" i="3" s="1"/>
  <c r="D1241" i="3"/>
  <c r="C1241" i="3"/>
  <c r="D1240" i="3"/>
  <c r="C1240" i="3"/>
  <c r="G1240" i="3" s="1" a="1"/>
  <c r="G1240" i="3" s="1"/>
  <c r="D1239" i="3"/>
  <c r="C1239" i="3"/>
  <c r="G1239" i="3" s="1" a="1"/>
  <c r="G1239" i="3" s="1"/>
  <c r="D1238" i="3"/>
  <c r="C1238" i="3"/>
  <c r="G1238" i="3" s="1" a="1"/>
  <c r="G1238" i="3" s="1"/>
  <c r="D1237" i="3"/>
  <c r="C1237" i="3"/>
  <c r="G1237" i="3" s="1" a="1"/>
  <c r="G1237" i="3" s="1"/>
  <c r="D1236" i="3"/>
  <c r="C1236" i="3"/>
  <c r="G1236" i="3" s="1" a="1"/>
  <c r="G1236" i="3" s="1"/>
  <c r="D1235" i="3"/>
  <c r="C1235" i="3"/>
  <c r="J1235" i="3" s="1" a="1"/>
  <c r="J1235" i="3" s="1"/>
  <c r="D1234" i="3"/>
  <c r="C1234" i="3"/>
  <c r="G1234" i="3" s="1" a="1"/>
  <c r="G1234" i="3" s="1"/>
  <c r="D1233" i="3"/>
  <c r="C1233" i="3"/>
  <c r="G1233" i="3" s="1" a="1"/>
  <c r="G1233" i="3" s="1"/>
  <c r="D1232" i="3"/>
  <c r="C1232" i="3"/>
  <c r="G1232" i="3" s="1" a="1"/>
  <c r="G1232" i="3" s="1"/>
  <c r="D1231" i="3"/>
  <c r="C1231" i="3"/>
  <c r="G1231" i="3" s="1" a="1"/>
  <c r="G1231" i="3" s="1"/>
  <c r="D1230" i="3"/>
  <c r="C1230" i="3"/>
  <c r="G1230" i="3" s="1" a="1"/>
  <c r="G1230" i="3" s="1"/>
  <c r="D1229" i="3"/>
  <c r="C1229" i="3"/>
  <c r="D1228" i="3"/>
  <c r="C1228" i="3"/>
  <c r="G1228" i="3" s="1" a="1"/>
  <c r="G1228" i="3" s="1"/>
  <c r="D1227" i="3"/>
  <c r="C1227" i="3"/>
  <c r="G1227" i="3" s="1" a="1"/>
  <c r="G1227" i="3" s="1"/>
  <c r="D1226" i="3"/>
  <c r="C1226" i="3"/>
  <c r="G1226" i="3" s="1" a="1"/>
  <c r="G1226" i="3" s="1"/>
  <c r="D1225" i="3"/>
  <c r="C1225" i="3"/>
  <c r="G1225" i="3" s="1" a="1"/>
  <c r="G1225" i="3" s="1"/>
  <c r="D1224" i="3"/>
  <c r="C1224" i="3"/>
  <c r="J1224" i="3" s="1" a="1"/>
  <c r="J1224" i="3" s="1"/>
  <c r="D1223" i="3"/>
  <c r="C1223" i="3"/>
  <c r="M1223" i="3" s="1" a="1"/>
  <c r="M1223" i="3" s="1"/>
  <c r="D1222" i="3"/>
  <c r="C1222" i="3"/>
  <c r="G1222" i="3" s="1" a="1"/>
  <c r="G1222" i="3" s="1"/>
  <c r="D1221" i="3"/>
  <c r="C1221" i="3"/>
  <c r="G1221" i="3" s="1" a="1"/>
  <c r="G1221" i="3" s="1"/>
  <c r="D1220" i="3"/>
  <c r="C1220" i="3"/>
  <c r="G1220" i="3" s="1" a="1"/>
  <c r="G1220" i="3" s="1"/>
  <c r="D1219" i="3"/>
  <c r="C1219" i="3"/>
  <c r="G1219" i="3" s="1" a="1"/>
  <c r="G1219" i="3" s="1"/>
  <c r="D1218" i="3"/>
  <c r="C1218" i="3"/>
  <c r="G1218" i="3" s="1" a="1"/>
  <c r="G1218" i="3" s="1"/>
  <c r="D1217" i="3"/>
  <c r="C1217" i="3"/>
  <c r="D1216" i="3"/>
  <c r="C1216" i="3"/>
  <c r="G1216" i="3" s="1" a="1"/>
  <c r="G1216" i="3" s="1"/>
  <c r="D1215" i="3"/>
  <c r="C1215" i="3"/>
  <c r="G1215" i="3" s="1" a="1"/>
  <c r="G1215" i="3" s="1"/>
  <c r="D1214" i="3"/>
  <c r="C1214" i="3"/>
  <c r="G1214" i="3" s="1" a="1"/>
  <c r="G1214" i="3" s="1"/>
  <c r="D1213" i="3"/>
  <c r="C1213" i="3"/>
  <c r="G1213" i="3" s="1" a="1"/>
  <c r="G1213" i="3" s="1"/>
  <c r="D1212" i="3"/>
  <c r="C1212" i="3"/>
  <c r="J1212" i="3" s="1" a="1"/>
  <c r="J1212" i="3" s="1"/>
  <c r="D1211" i="3"/>
  <c r="C1211" i="3"/>
  <c r="M1211" i="3" s="1" a="1"/>
  <c r="M1211" i="3" s="1"/>
  <c r="D1210" i="3"/>
  <c r="C1210" i="3"/>
  <c r="G1210" i="3" s="1" a="1"/>
  <c r="G1210" i="3" s="1"/>
  <c r="D1209" i="3"/>
  <c r="C1209" i="3"/>
  <c r="G1209" i="3" s="1" a="1"/>
  <c r="G1209" i="3" s="1"/>
  <c r="D1208" i="3"/>
  <c r="C1208" i="3"/>
  <c r="G1208" i="3" s="1" a="1"/>
  <c r="G1208" i="3" s="1"/>
  <c r="D1207" i="3"/>
  <c r="C1207" i="3"/>
  <c r="G1207" i="3" s="1" a="1"/>
  <c r="G1207" i="3" s="1"/>
  <c r="D1206" i="3"/>
  <c r="C1206" i="3"/>
  <c r="J1206" i="3" s="1" a="1"/>
  <c r="J1206" i="3" s="1"/>
  <c r="D1205" i="3"/>
  <c r="C1205" i="3"/>
  <c r="D1204" i="3"/>
  <c r="C1204" i="3"/>
  <c r="G1204" i="3" s="1" a="1"/>
  <c r="G1204" i="3" s="1"/>
  <c r="D1203" i="3"/>
  <c r="C1203" i="3"/>
  <c r="G1203" i="3" s="1" a="1"/>
  <c r="G1203" i="3" s="1"/>
  <c r="D1202" i="3"/>
  <c r="C1202" i="3"/>
  <c r="G1202" i="3" s="1" a="1"/>
  <c r="G1202" i="3" s="1"/>
  <c r="D1201" i="3"/>
  <c r="C1201" i="3"/>
  <c r="G1201" i="3" s="1" a="1"/>
  <c r="G1201" i="3" s="1"/>
  <c r="D1200" i="3"/>
  <c r="C1200" i="3"/>
  <c r="J1200" i="3" s="1" a="1"/>
  <c r="J1200" i="3" s="1"/>
  <c r="D1199" i="3"/>
  <c r="C1199" i="3"/>
  <c r="M1199" i="3" s="1" a="1"/>
  <c r="M1199" i="3" s="1"/>
  <c r="D1198" i="3"/>
  <c r="C1198" i="3"/>
  <c r="G1198" i="3" s="1" a="1"/>
  <c r="G1198" i="3" s="1"/>
  <c r="D1197" i="3"/>
  <c r="C1197" i="3"/>
  <c r="G1197" i="3" s="1" a="1"/>
  <c r="G1197" i="3" s="1"/>
  <c r="D1196" i="3"/>
  <c r="C1196" i="3"/>
  <c r="G1196" i="3" s="1" a="1"/>
  <c r="G1196" i="3" s="1"/>
  <c r="D1195" i="3"/>
  <c r="C1195" i="3"/>
  <c r="G1195" i="3" s="1" a="1"/>
  <c r="G1195" i="3" s="1"/>
  <c r="D1194" i="3"/>
  <c r="C1194" i="3"/>
  <c r="G1194" i="3" s="1" a="1"/>
  <c r="G1194" i="3" s="1"/>
  <c r="D1193" i="3"/>
  <c r="C1193" i="3"/>
  <c r="D1192" i="3"/>
  <c r="C1192" i="3"/>
  <c r="G1192" i="3" s="1" a="1"/>
  <c r="G1192" i="3" s="1"/>
  <c r="D1191" i="3"/>
  <c r="C1191" i="3"/>
  <c r="G1191" i="3" s="1" a="1"/>
  <c r="G1191" i="3" s="1"/>
  <c r="D1190" i="3"/>
  <c r="C1190" i="3"/>
  <c r="G1190" i="3" s="1" a="1"/>
  <c r="G1190" i="3" s="1"/>
  <c r="D1189" i="3"/>
  <c r="C1189" i="3"/>
  <c r="G1189" i="3" s="1" a="1"/>
  <c r="G1189" i="3" s="1"/>
  <c r="D1188" i="3"/>
  <c r="C1188" i="3"/>
  <c r="G1188" i="3" s="1" a="1"/>
  <c r="G1188" i="3" s="1"/>
  <c r="D1187" i="3"/>
  <c r="C1187" i="3"/>
  <c r="M1187" i="3" s="1" a="1"/>
  <c r="M1187" i="3" s="1"/>
  <c r="D1186" i="3"/>
  <c r="C1186" i="3"/>
  <c r="G1186" i="3" s="1" a="1"/>
  <c r="G1186" i="3" s="1"/>
  <c r="D1185" i="3"/>
  <c r="C1185" i="3"/>
  <c r="G1185" i="3" s="1" a="1"/>
  <c r="G1185" i="3" s="1"/>
  <c r="D1184" i="3"/>
  <c r="C1184" i="3"/>
  <c r="G1184" i="3" s="1" a="1"/>
  <c r="G1184" i="3" s="1"/>
  <c r="D1183" i="3"/>
  <c r="C1183" i="3"/>
  <c r="G1183" i="3" s="1" a="1"/>
  <c r="G1183" i="3" s="1"/>
  <c r="D1182" i="3"/>
  <c r="C1182" i="3"/>
  <c r="G1182" i="3" s="1" a="1"/>
  <c r="G1182" i="3" s="1"/>
  <c r="D1181" i="3"/>
  <c r="C1181" i="3"/>
  <c r="D1180" i="3"/>
  <c r="C1180" i="3"/>
  <c r="G1180" i="3" s="1" a="1"/>
  <c r="G1180" i="3" s="1"/>
  <c r="D1179" i="3"/>
  <c r="C1179" i="3"/>
  <c r="G1179" i="3" s="1" a="1"/>
  <c r="G1179" i="3" s="1"/>
  <c r="D1178" i="3"/>
  <c r="C1178" i="3"/>
  <c r="G1178" i="3" s="1" a="1"/>
  <c r="G1178" i="3" s="1"/>
  <c r="D1177" i="3"/>
  <c r="C1177" i="3"/>
  <c r="G1177" i="3" s="1" a="1"/>
  <c r="G1177" i="3" s="1"/>
  <c r="D1176" i="3"/>
  <c r="C1176" i="3"/>
  <c r="G1176" i="3" s="1" a="1"/>
  <c r="G1176" i="3" s="1"/>
  <c r="D1175" i="3"/>
  <c r="C1175" i="3"/>
  <c r="M1175" i="3" s="1" a="1"/>
  <c r="M1175" i="3" s="1"/>
  <c r="D1174" i="3"/>
  <c r="C1174" i="3"/>
  <c r="G1174" i="3" s="1" a="1"/>
  <c r="G1174" i="3" s="1"/>
  <c r="D1173" i="3"/>
  <c r="C1173" i="3"/>
  <c r="G1173" i="3" s="1" a="1"/>
  <c r="G1173" i="3" s="1"/>
  <c r="D1172" i="3"/>
  <c r="C1172" i="3"/>
  <c r="G1172" i="3" s="1" a="1"/>
  <c r="G1172" i="3" s="1"/>
  <c r="D1171" i="3"/>
  <c r="C1171" i="3"/>
  <c r="G1171" i="3" s="1" a="1"/>
  <c r="G1171" i="3" s="1"/>
  <c r="D1170" i="3"/>
  <c r="C1170" i="3"/>
  <c r="G1170" i="3" s="1" a="1"/>
  <c r="G1170" i="3" s="1"/>
  <c r="D1169" i="3"/>
  <c r="C1169" i="3"/>
  <c r="D1168" i="3"/>
  <c r="C1168" i="3"/>
  <c r="G1168" i="3" s="1" a="1"/>
  <c r="G1168" i="3" s="1"/>
  <c r="D1167" i="3"/>
  <c r="C1167" i="3"/>
  <c r="G1167" i="3" s="1" a="1"/>
  <c r="G1167" i="3" s="1"/>
  <c r="D1166" i="3"/>
  <c r="C1166" i="3"/>
  <c r="G1166" i="3" s="1" a="1"/>
  <c r="G1166" i="3" s="1"/>
  <c r="D1165" i="3"/>
  <c r="C1165" i="3"/>
  <c r="G1165" i="3" s="1" a="1"/>
  <c r="G1165" i="3" s="1"/>
  <c r="D1164" i="3"/>
  <c r="C1164" i="3"/>
  <c r="G1164" i="3" s="1" a="1"/>
  <c r="G1164" i="3" s="1"/>
  <c r="D1163" i="3"/>
  <c r="C1163" i="3"/>
  <c r="M1163" i="3" s="1" a="1"/>
  <c r="M1163" i="3" s="1"/>
  <c r="D1162" i="3"/>
  <c r="C1162" i="3"/>
  <c r="G1162" i="3" s="1" a="1"/>
  <c r="G1162" i="3" s="1"/>
  <c r="D1161" i="3"/>
  <c r="C1161" i="3"/>
  <c r="G1161" i="3" s="1" a="1"/>
  <c r="G1161" i="3" s="1"/>
  <c r="D1160" i="3"/>
  <c r="C1160" i="3"/>
  <c r="G1160" i="3" s="1" a="1"/>
  <c r="G1160" i="3" s="1"/>
  <c r="D1159" i="3"/>
  <c r="C1159" i="3"/>
  <c r="G1159" i="3" s="1" a="1"/>
  <c r="G1159" i="3" s="1"/>
  <c r="D1158" i="3"/>
  <c r="C1158" i="3"/>
  <c r="D1157" i="3"/>
  <c r="C1157" i="3"/>
  <c r="D1156" i="3"/>
  <c r="C1156" i="3"/>
  <c r="G1156" i="3" s="1" a="1"/>
  <c r="G1156" i="3" s="1"/>
  <c r="D1155" i="3"/>
  <c r="C1155" i="3"/>
  <c r="G1155" i="3" s="1" a="1"/>
  <c r="G1155" i="3" s="1"/>
  <c r="D1154" i="3"/>
  <c r="C1154" i="3"/>
  <c r="G1154" i="3" s="1" a="1"/>
  <c r="G1154" i="3" s="1"/>
  <c r="D1153" i="3"/>
  <c r="C1153" i="3"/>
  <c r="G1153" i="3" s="1" a="1"/>
  <c r="G1153" i="3" s="1"/>
  <c r="D1152" i="3"/>
  <c r="C1152" i="3"/>
  <c r="G1152" i="3" s="1" a="1"/>
  <c r="G1152" i="3" s="1"/>
  <c r="D1151" i="3"/>
  <c r="C1151" i="3"/>
  <c r="M1151" i="3" s="1" a="1"/>
  <c r="M1151" i="3" s="1"/>
  <c r="D1150" i="3"/>
  <c r="C1150" i="3"/>
  <c r="G1150" i="3" s="1" a="1"/>
  <c r="G1150" i="3" s="1"/>
  <c r="D1149" i="3"/>
  <c r="C1149" i="3"/>
  <c r="G1149" i="3" s="1" a="1"/>
  <c r="G1149" i="3" s="1"/>
  <c r="D1148" i="3"/>
  <c r="C1148" i="3"/>
  <c r="G1148" i="3" s="1" a="1"/>
  <c r="G1148" i="3" s="1"/>
  <c r="D1147" i="3"/>
  <c r="C1147" i="3"/>
  <c r="G1147" i="3" s="1" a="1"/>
  <c r="G1147" i="3" s="1"/>
  <c r="D1146" i="3"/>
  <c r="C1146" i="3"/>
  <c r="G1146" i="3" s="1" a="1"/>
  <c r="G1146" i="3" s="1"/>
  <c r="D1145" i="3"/>
  <c r="C1145" i="3"/>
  <c r="D1144" i="3"/>
  <c r="C1144" i="3"/>
  <c r="G1144" i="3" s="1" a="1"/>
  <c r="G1144" i="3" s="1"/>
  <c r="D1143" i="3"/>
  <c r="C1143" i="3"/>
  <c r="G1143" i="3" s="1" a="1"/>
  <c r="G1143" i="3" s="1"/>
  <c r="D1142" i="3"/>
  <c r="C1142" i="3"/>
  <c r="G1142" i="3" s="1" a="1"/>
  <c r="G1142" i="3" s="1"/>
  <c r="D1141" i="3"/>
  <c r="C1141" i="3"/>
  <c r="G1141" i="3" s="1" a="1"/>
  <c r="G1141" i="3" s="1"/>
  <c r="D1140" i="3"/>
  <c r="C1140" i="3"/>
  <c r="G1140" i="3" s="1" a="1"/>
  <c r="G1140" i="3" s="1"/>
  <c r="D1139" i="3"/>
  <c r="C1139" i="3"/>
  <c r="J1139" i="3" s="1" a="1"/>
  <c r="J1139" i="3" s="1"/>
  <c r="D1138" i="3"/>
  <c r="C1138" i="3"/>
  <c r="G1138" i="3" s="1" a="1"/>
  <c r="G1138" i="3" s="1"/>
  <c r="D1137" i="3"/>
  <c r="C1137" i="3"/>
  <c r="G1137" i="3" s="1" a="1"/>
  <c r="G1137" i="3" s="1"/>
  <c r="D1136" i="3"/>
  <c r="C1136" i="3"/>
  <c r="G1136" i="3" s="1" a="1"/>
  <c r="G1136" i="3" s="1"/>
  <c r="D1135" i="3"/>
  <c r="C1135" i="3"/>
  <c r="G1135" i="3" s="1" a="1"/>
  <c r="G1135" i="3" s="1"/>
  <c r="D1134" i="3"/>
  <c r="C1134" i="3"/>
  <c r="G1134" i="3" s="1" a="1"/>
  <c r="G1134" i="3" s="1"/>
  <c r="D1133" i="3"/>
  <c r="C1133" i="3"/>
  <c r="D1132" i="3"/>
  <c r="C1132" i="3"/>
  <c r="G1132" i="3" s="1" a="1"/>
  <c r="G1132" i="3" s="1"/>
  <c r="D1131" i="3"/>
  <c r="C1131" i="3"/>
  <c r="G1131" i="3" s="1" a="1"/>
  <c r="G1131" i="3" s="1"/>
  <c r="D1130" i="3"/>
  <c r="C1130" i="3"/>
  <c r="G1130" i="3" s="1" a="1"/>
  <c r="G1130" i="3" s="1"/>
  <c r="D1129" i="3"/>
  <c r="C1129" i="3"/>
  <c r="G1129" i="3" s="1" a="1"/>
  <c r="G1129" i="3" s="1"/>
  <c r="D1128" i="3"/>
  <c r="C1128" i="3"/>
  <c r="G1128" i="3" s="1" a="1"/>
  <c r="G1128" i="3" s="1"/>
  <c r="D1127" i="3"/>
  <c r="C1127" i="3"/>
  <c r="M1127" i="3" s="1" a="1"/>
  <c r="M1127" i="3" s="1"/>
  <c r="D1126" i="3"/>
  <c r="C1126" i="3"/>
  <c r="G1126" i="3" s="1" a="1"/>
  <c r="G1126" i="3" s="1"/>
  <c r="D1125" i="3"/>
  <c r="C1125" i="3"/>
  <c r="G1125" i="3" s="1" a="1"/>
  <c r="G1125" i="3" s="1"/>
  <c r="D1124" i="3"/>
  <c r="C1124" i="3"/>
  <c r="G1124" i="3" s="1" a="1"/>
  <c r="G1124" i="3" s="1"/>
  <c r="D1123" i="3"/>
  <c r="C1123" i="3"/>
  <c r="G1123" i="3" s="1" a="1"/>
  <c r="G1123" i="3" s="1"/>
  <c r="D1122" i="3"/>
  <c r="C1122" i="3"/>
  <c r="G1122" i="3" s="1" a="1"/>
  <c r="G1122" i="3" s="1"/>
  <c r="D1121" i="3"/>
  <c r="C1121" i="3"/>
  <c r="D1120" i="3"/>
  <c r="C1120" i="3"/>
  <c r="G1120" i="3" s="1" a="1"/>
  <c r="G1120" i="3" s="1"/>
  <c r="D1119" i="3"/>
  <c r="C1119" i="3"/>
  <c r="G1119" i="3" s="1" a="1"/>
  <c r="G1119" i="3" s="1"/>
  <c r="D1118" i="3"/>
  <c r="C1118" i="3"/>
  <c r="G1118" i="3" s="1" a="1"/>
  <c r="G1118" i="3" s="1"/>
  <c r="D1117" i="3"/>
  <c r="C1117" i="3"/>
  <c r="G1117" i="3" s="1" a="1"/>
  <c r="G1117" i="3" s="1"/>
  <c r="D1116" i="3"/>
  <c r="C1116" i="3"/>
  <c r="J1116" i="3" s="1" a="1"/>
  <c r="J1116" i="3" s="1"/>
  <c r="D1115" i="3"/>
  <c r="C1115" i="3"/>
  <c r="H1115" i="3" s="1" a="1"/>
  <c r="H1115" i="3" s="1"/>
  <c r="D1114" i="3"/>
  <c r="C1114" i="3"/>
  <c r="G1114" i="3" s="1" a="1"/>
  <c r="G1114" i="3" s="1"/>
  <c r="D1113" i="3"/>
  <c r="C1113" i="3"/>
  <c r="G1113" i="3" s="1" a="1"/>
  <c r="G1113" i="3" s="1"/>
  <c r="D1112" i="3"/>
  <c r="C1112" i="3"/>
  <c r="G1112" i="3" s="1" a="1"/>
  <c r="G1112" i="3" s="1"/>
  <c r="D1111" i="3"/>
  <c r="C1111" i="3"/>
  <c r="G1111" i="3" s="1" a="1"/>
  <c r="G1111" i="3" s="1"/>
  <c r="D1110" i="3"/>
  <c r="C1110" i="3"/>
  <c r="G1110" i="3" s="1" a="1"/>
  <c r="G1110" i="3" s="1"/>
  <c r="D1109" i="3"/>
  <c r="C1109" i="3"/>
  <c r="D1108" i="3"/>
  <c r="C1108" i="3"/>
  <c r="G1108" i="3" s="1" a="1"/>
  <c r="G1108" i="3" s="1"/>
  <c r="D1107" i="3"/>
  <c r="C1107" i="3"/>
  <c r="G1107" i="3" s="1" a="1"/>
  <c r="G1107" i="3" s="1"/>
  <c r="D1106" i="3"/>
  <c r="C1106" i="3"/>
  <c r="G1106" i="3" s="1" a="1"/>
  <c r="G1106" i="3" s="1"/>
  <c r="D1105" i="3"/>
  <c r="C1105" i="3"/>
  <c r="G1105" i="3" s="1" a="1"/>
  <c r="G1105" i="3" s="1"/>
  <c r="D1104" i="3"/>
  <c r="C1104" i="3"/>
  <c r="G1104" i="3" s="1" a="1"/>
  <c r="G1104" i="3" s="1"/>
  <c r="D1103" i="3"/>
  <c r="C1103" i="3"/>
  <c r="M1103" i="3" s="1" a="1"/>
  <c r="M1103" i="3" s="1"/>
  <c r="D1102" i="3"/>
  <c r="C1102" i="3"/>
  <c r="G1102" i="3" s="1" a="1"/>
  <c r="G1102" i="3" s="1"/>
  <c r="D1101" i="3"/>
  <c r="C1101" i="3"/>
  <c r="G1101" i="3" s="1" a="1"/>
  <c r="G1101" i="3" s="1"/>
  <c r="D1100" i="3"/>
  <c r="C1100" i="3"/>
  <c r="G1100" i="3" s="1" a="1"/>
  <c r="G1100" i="3" s="1"/>
  <c r="D1099" i="3"/>
  <c r="C1099" i="3"/>
  <c r="G1099" i="3" s="1" a="1"/>
  <c r="G1099" i="3" s="1"/>
  <c r="D1098" i="3"/>
  <c r="C1098" i="3"/>
  <c r="D1097" i="3"/>
  <c r="C1097" i="3"/>
  <c r="D1096" i="3"/>
  <c r="C1096" i="3"/>
  <c r="G1096" i="3" s="1" a="1"/>
  <c r="G1096" i="3" s="1"/>
  <c r="D1095" i="3"/>
  <c r="C1095" i="3"/>
  <c r="G1095" i="3" s="1" a="1"/>
  <c r="G1095" i="3" s="1"/>
  <c r="D1094" i="3"/>
  <c r="C1094" i="3"/>
  <c r="G1094" i="3" s="1" a="1"/>
  <c r="G1094" i="3" s="1"/>
  <c r="D1093" i="3"/>
  <c r="C1093" i="3"/>
  <c r="G1093" i="3" s="1" a="1"/>
  <c r="G1093" i="3" s="1"/>
  <c r="D1092" i="3"/>
  <c r="C1092" i="3"/>
  <c r="G1092" i="3" s="1" a="1"/>
  <c r="G1092" i="3" s="1"/>
  <c r="D1091" i="3"/>
  <c r="C1091" i="3"/>
  <c r="M1091" i="3" s="1" a="1"/>
  <c r="M1091" i="3" s="1"/>
  <c r="D1090" i="3"/>
  <c r="C1090" i="3"/>
  <c r="G1090" i="3" s="1" a="1"/>
  <c r="G1090" i="3" s="1"/>
  <c r="D1089" i="3"/>
  <c r="C1089" i="3"/>
  <c r="G1089" i="3" s="1" a="1"/>
  <c r="G1089" i="3" s="1"/>
  <c r="D1088" i="3"/>
  <c r="C1088" i="3"/>
  <c r="G1088" i="3" s="1" a="1"/>
  <c r="G1088" i="3" s="1"/>
  <c r="D1087" i="3"/>
  <c r="C1087" i="3"/>
  <c r="G1087" i="3" s="1" a="1"/>
  <c r="G1087" i="3" s="1"/>
  <c r="D1086" i="3"/>
  <c r="C1086" i="3"/>
  <c r="G1086" i="3" s="1" a="1"/>
  <c r="G1086" i="3" s="1"/>
  <c r="D1085" i="3"/>
  <c r="C1085" i="3"/>
  <c r="D1084" i="3"/>
  <c r="C1084" i="3"/>
  <c r="G1084" i="3" s="1" a="1"/>
  <c r="G1084" i="3" s="1"/>
  <c r="D1083" i="3"/>
  <c r="C1083" i="3"/>
  <c r="G1083" i="3" s="1" a="1"/>
  <c r="G1083" i="3" s="1"/>
  <c r="D1082" i="3"/>
  <c r="C1082" i="3"/>
  <c r="G1082" i="3" s="1" a="1"/>
  <c r="G1082" i="3" s="1"/>
  <c r="D1081" i="3"/>
  <c r="C1081" i="3"/>
  <c r="G1081" i="3" s="1" a="1"/>
  <c r="G1081" i="3" s="1"/>
  <c r="D1080" i="3"/>
  <c r="C1080" i="3"/>
  <c r="G1080" i="3" s="1" a="1"/>
  <c r="G1080" i="3" s="1"/>
  <c r="D1079" i="3"/>
  <c r="C1079" i="3"/>
  <c r="M1079" i="3" s="1" a="1"/>
  <c r="M1079" i="3" s="1"/>
  <c r="D1078" i="3"/>
  <c r="C1078" i="3"/>
  <c r="G1078" i="3" s="1" a="1"/>
  <c r="G1078" i="3" s="1"/>
  <c r="D1077" i="3"/>
  <c r="C1077" i="3"/>
  <c r="G1077" i="3" s="1" a="1"/>
  <c r="G1077" i="3" s="1"/>
  <c r="D1076" i="3"/>
  <c r="C1076" i="3"/>
  <c r="G1076" i="3" s="1" a="1"/>
  <c r="G1076" i="3" s="1"/>
  <c r="D1075" i="3"/>
  <c r="C1075" i="3"/>
  <c r="G1075" i="3" s="1" a="1"/>
  <c r="G1075" i="3" s="1"/>
  <c r="D1074" i="3"/>
  <c r="C1074" i="3"/>
  <c r="G1074" i="3" s="1" a="1"/>
  <c r="G1074" i="3" s="1"/>
  <c r="D1073" i="3"/>
  <c r="C1073" i="3"/>
  <c r="D1072" i="3"/>
  <c r="C1072" i="3"/>
  <c r="G1072" i="3" s="1" a="1"/>
  <c r="G1072" i="3" s="1"/>
  <c r="D1071" i="3"/>
  <c r="C1071" i="3"/>
  <c r="G1071" i="3" s="1" a="1"/>
  <c r="G1071" i="3" s="1"/>
  <c r="D1070" i="3"/>
  <c r="C1070" i="3"/>
  <c r="G1070" i="3" s="1" a="1"/>
  <c r="G1070" i="3" s="1"/>
  <c r="D1069" i="3"/>
  <c r="C1069" i="3"/>
  <c r="G1069" i="3" s="1" a="1"/>
  <c r="G1069" i="3" s="1"/>
  <c r="D1068" i="3"/>
  <c r="C1068" i="3"/>
  <c r="J1068" i="3" s="1" a="1"/>
  <c r="J1068" i="3" s="1"/>
  <c r="D1067" i="3"/>
  <c r="C1067" i="3"/>
  <c r="M1067" i="3" s="1" a="1"/>
  <c r="M1067" i="3" s="1"/>
  <c r="D1066" i="3"/>
  <c r="C1066" i="3"/>
  <c r="G1066" i="3" s="1" a="1"/>
  <c r="G1066" i="3" s="1"/>
  <c r="D1065" i="3"/>
  <c r="C1065" i="3"/>
  <c r="G1065" i="3" s="1" a="1"/>
  <c r="G1065" i="3" s="1"/>
  <c r="D1064" i="3"/>
  <c r="C1064" i="3"/>
  <c r="G1064" i="3" s="1" a="1"/>
  <c r="G1064" i="3" s="1"/>
  <c r="D1063" i="3"/>
  <c r="C1063" i="3"/>
  <c r="G1063" i="3" s="1" a="1"/>
  <c r="G1063" i="3" s="1"/>
  <c r="D1062" i="3"/>
  <c r="C1062" i="3"/>
  <c r="G1062" i="3" s="1" a="1"/>
  <c r="G1062" i="3" s="1"/>
  <c r="D1061" i="3"/>
  <c r="C1061" i="3"/>
  <c r="D1060" i="3"/>
  <c r="C1060" i="3"/>
  <c r="G1060" i="3" s="1" a="1"/>
  <c r="G1060" i="3" s="1"/>
  <c r="D1059" i="3"/>
  <c r="C1059" i="3"/>
  <c r="G1059" i="3" s="1" a="1"/>
  <c r="G1059" i="3" s="1"/>
  <c r="D1058" i="3"/>
  <c r="C1058" i="3"/>
  <c r="G1058" i="3" s="1" a="1"/>
  <c r="G1058" i="3" s="1"/>
  <c r="D1057" i="3"/>
  <c r="C1057" i="3"/>
  <c r="G1057" i="3" s="1" a="1"/>
  <c r="G1057" i="3" s="1"/>
  <c r="D1056" i="3"/>
  <c r="C1056" i="3"/>
  <c r="G1056" i="3" s="1" a="1"/>
  <c r="G1056" i="3" s="1"/>
  <c r="D1055" i="3"/>
  <c r="C1055" i="3"/>
  <c r="M1055" i="3" s="1" a="1"/>
  <c r="M1055" i="3" s="1"/>
  <c r="D1054" i="3"/>
  <c r="C1054" i="3"/>
  <c r="G1054" i="3" s="1" a="1"/>
  <c r="G1054" i="3" s="1"/>
  <c r="D1053" i="3"/>
  <c r="C1053" i="3"/>
  <c r="G1053" i="3" s="1" a="1"/>
  <c r="G1053" i="3" s="1"/>
  <c r="D1052" i="3"/>
  <c r="C1052" i="3"/>
  <c r="G1052" i="3" s="1" a="1"/>
  <c r="G1052" i="3" s="1"/>
  <c r="D1051" i="3"/>
  <c r="C1051" i="3"/>
  <c r="G1051" i="3" s="1" a="1"/>
  <c r="G1051" i="3" s="1"/>
  <c r="D1050" i="3"/>
  <c r="C1050" i="3"/>
  <c r="D1049" i="3"/>
  <c r="C1049" i="3"/>
  <c r="D1048" i="3"/>
  <c r="C1048" i="3"/>
  <c r="G1048" i="3" s="1" a="1"/>
  <c r="G1048" i="3" s="1"/>
  <c r="D1047" i="3"/>
  <c r="C1047" i="3"/>
  <c r="G1047" i="3" s="1" a="1"/>
  <c r="G1047" i="3" s="1"/>
  <c r="D1046" i="3"/>
  <c r="C1046" i="3"/>
  <c r="G1046" i="3" s="1" a="1"/>
  <c r="G1046" i="3" s="1"/>
  <c r="D1045" i="3"/>
  <c r="C1045" i="3"/>
  <c r="G1045" i="3" s="1" a="1"/>
  <c r="G1045" i="3" s="1"/>
  <c r="D1044" i="3"/>
  <c r="C1044" i="3"/>
  <c r="M1044" i="3" s="1" a="1"/>
  <c r="M1044" i="3" s="1"/>
  <c r="D1043" i="3"/>
  <c r="C1043" i="3"/>
  <c r="M1043" i="3" s="1" a="1"/>
  <c r="M1043" i="3" s="1"/>
  <c r="D1042" i="3"/>
  <c r="C1042" i="3"/>
  <c r="G1042" i="3" s="1" a="1"/>
  <c r="G1042" i="3" s="1"/>
  <c r="D1041" i="3"/>
  <c r="C1041" i="3"/>
  <c r="G1041" i="3" s="1" a="1"/>
  <c r="G1041" i="3" s="1"/>
  <c r="D1040" i="3"/>
  <c r="C1040" i="3"/>
  <c r="G1040" i="3" s="1" a="1"/>
  <c r="G1040" i="3" s="1"/>
  <c r="D1039" i="3"/>
  <c r="C1039" i="3"/>
  <c r="G1039" i="3" s="1" a="1"/>
  <c r="G1039" i="3" s="1"/>
  <c r="D1038" i="3"/>
  <c r="C1038" i="3"/>
  <c r="D1037" i="3"/>
  <c r="C1037" i="3"/>
  <c r="D1036" i="3"/>
  <c r="C1036" i="3"/>
  <c r="G1036" i="3" s="1" a="1"/>
  <c r="G1036" i="3" s="1"/>
  <c r="D1035" i="3"/>
  <c r="C1035" i="3"/>
  <c r="G1035" i="3" s="1" a="1"/>
  <c r="G1035" i="3" s="1"/>
  <c r="D1034" i="3"/>
  <c r="C1034" i="3"/>
  <c r="G1034" i="3" s="1" a="1"/>
  <c r="G1034" i="3" s="1"/>
  <c r="D1033" i="3"/>
  <c r="C1033" i="3"/>
  <c r="G1033" i="3" s="1" a="1"/>
  <c r="G1033" i="3" s="1"/>
  <c r="D1032" i="3"/>
  <c r="C1032" i="3"/>
  <c r="J1032" i="3" s="1" a="1"/>
  <c r="J1032" i="3" s="1"/>
  <c r="D1031" i="3"/>
  <c r="C1031" i="3"/>
  <c r="J1031" i="3" s="1" a="1"/>
  <c r="J1031" i="3" s="1"/>
  <c r="D1030" i="3"/>
  <c r="C1030" i="3"/>
  <c r="G1030" i="3" s="1" a="1"/>
  <c r="G1030" i="3" s="1"/>
  <c r="D1029" i="3"/>
  <c r="C1029" i="3"/>
  <c r="G1029" i="3" s="1" a="1"/>
  <c r="G1029" i="3" s="1"/>
  <c r="D1028" i="3"/>
  <c r="C1028" i="3"/>
  <c r="G1028" i="3" s="1" a="1"/>
  <c r="G1028" i="3" s="1"/>
  <c r="D1027" i="3"/>
  <c r="C1027" i="3"/>
  <c r="G1027" i="3" s="1" a="1"/>
  <c r="G1027" i="3" s="1"/>
  <c r="D1026" i="3"/>
  <c r="C1026" i="3"/>
  <c r="D1025" i="3"/>
  <c r="C1025" i="3"/>
  <c r="D1024" i="3"/>
  <c r="C1024" i="3"/>
  <c r="G1024" i="3" s="1" a="1"/>
  <c r="G1024" i="3" s="1"/>
  <c r="D1023" i="3"/>
  <c r="C1023" i="3"/>
  <c r="G1023" i="3" s="1" a="1"/>
  <c r="G1023" i="3" s="1"/>
  <c r="D1022" i="3"/>
  <c r="C1022" i="3"/>
  <c r="G1022" i="3" s="1" a="1"/>
  <c r="G1022" i="3" s="1"/>
  <c r="D1021" i="3"/>
  <c r="C1021" i="3"/>
  <c r="G1021" i="3" s="1" a="1"/>
  <c r="G1021" i="3" s="1"/>
  <c r="D1020" i="3"/>
  <c r="C1020" i="3"/>
  <c r="M1020" i="3" s="1" a="1"/>
  <c r="M1020" i="3" s="1"/>
  <c r="D1019" i="3"/>
  <c r="C1019" i="3"/>
  <c r="M1019" i="3" s="1" a="1"/>
  <c r="M1019" i="3" s="1"/>
  <c r="D1018" i="3"/>
  <c r="C1018" i="3"/>
  <c r="G1018" i="3" s="1" a="1"/>
  <c r="G1018" i="3" s="1"/>
  <c r="D1017" i="3"/>
  <c r="C1017" i="3"/>
  <c r="G1017" i="3" s="1" a="1"/>
  <c r="G1017" i="3" s="1"/>
  <c r="D1016" i="3"/>
  <c r="C1016" i="3"/>
  <c r="G1016" i="3" s="1" a="1"/>
  <c r="G1016" i="3" s="1"/>
  <c r="D1015" i="3"/>
  <c r="C1015" i="3"/>
  <c r="G1015" i="3" s="1" a="1"/>
  <c r="G1015" i="3" s="1"/>
  <c r="D1014" i="3"/>
  <c r="C1014" i="3"/>
  <c r="D1013" i="3"/>
  <c r="C1013" i="3"/>
  <c r="D1012" i="3"/>
  <c r="C1012" i="3"/>
  <c r="G1012" i="3" s="1" a="1"/>
  <c r="G1012" i="3" s="1"/>
  <c r="D1011" i="3"/>
  <c r="C1011" i="3"/>
  <c r="G1011" i="3" s="1" a="1"/>
  <c r="G1011" i="3" s="1"/>
  <c r="D1010" i="3"/>
  <c r="C1010" i="3"/>
  <c r="G1010" i="3" s="1" a="1"/>
  <c r="G1010" i="3" s="1"/>
  <c r="D1009" i="3"/>
  <c r="C1009" i="3"/>
  <c r="G1009" i="3" s="1" a="1"/>
  <c r="G1009" i="3" s="1"/>
  <c r="D1008" i="3"/>
  <c r="C1008" i="3"/>
  <c r="M1008" i="3" s="1" a="1"/>
  <c r="M1008" i="3" s="1"/>
  <c r="D1007" i="3"/>
  <c r="C1007" i="3"/>
  <c r="M1007" i="3" s="1" a="1"/>
  <c r="M1007" i="3" s="1"/>
  <c r="D1006" i="3"/>
  <c r="C1006" i="3"/>
  <c r="G1006" i="3" s="1" a="1"/>
  <c r="G1006" i="3" s="1"/>
  <c r="D1005" i="3"/>
  <c r="C1005" i="3"/>
  <c r="G1005" i="3" s="1" a="1"/>
  <c r="G1005" i="3" s="1"/>
  <c r="D1004" i="3"/>
  <c r="C1004" i="3"/>
  <c r="G1004" i="3" s="1" a="1"/>
  <c r="G1004" i="3" s="1"/>
  <c r="D1003" i="3"/>
  <c r="C1003" i="3"/>
  <c r="G1003" i="3" s="1" a="1"/>
  <c r="G1003" i="3" s="1"/>
  <c r="D1002" i="3"/>
  <c r="C1002" i="3"/>
  <c r="D1001" i="3"/>
  <c r="C1001" i="3"/>
  <c r="D1000" i="3"/>
  <c r="C1000" i="3"/>
  <c r="G1000" i="3" s="1" a="1"/>
  <c r="G1000" i="3" s="1"/>
  <c r="D999" i="3"/>
  <c r="C999" i="3"/>
  <c r="G999" i="3" s="1" a="1"/>
  <c r="G999" i="3" s="1"/>
  <c r="D998" i="3"/>
  <c r="C998" i="3"/>
  <c r="G998" i="3" s="1" a="1"/>
  <c r="G998" i="3" s="1"/>
  <c r="D997" i="3"/>
  <c r="C997" i="3"/>
  <c r="G997" i="3" s="1" a="1"/>
  <c r="G997" i="3" s="1"/>
  <c r="D996" i="3"/>
  <c r="C996" i="3"/>
  <c r="M996" i="3" s="1" a="1"/>
  <c r="M996" i="3" s="1"/>
  <c r="D995" i="3"/>
  <c r="C995" i="3"/>
  <c r="M995" i="3" s="1" a="1"/>
  <c r="M995" i="3" s="1"/>
  <c r="D994" i="3"/>
  <c r="C994" i="3"/>
  <c r="G994" i="3" s="1" a="1"/>
  <c r="G994" i="3" s="1"/>
  <c r="D993" i="3"/>
  <c r="C993" i="3"/>
  <c r="G993" i="3" s="1" a="1"/>
  <c r="G993" i="3" s="1"/>
  <c r="D992" i="3"/>
  <c r="C992" i="3"/>
  <c r="G992" i="3" s="1" a="1"/>
  <c r="G992" i="3" s="1"/>
  <c r="D991" i="3"/>
  <c r="C991" i="3"/>
  <c r="G991" i="3" s="1" a="1"/>
  <c r="G991" i="3" s="1"/>
  <c r="D990" i="3"/>
  <c r="C990" i="3"/>
  <c r="D989" i="3"/>
  <c r="C989" i="3"/>
  <c r="D988" i="3"/>
  <c r="C988" i="3"/>
  <c r="G988" i="3" s="1" a="1"/>
  <c r="G988" i="3" s="1"/>
  <c r="D987" i="3"/>
  <c r="C987" i="3"/>
  <c r="G987" i="3" s="1" a="1"/>
  <c r="G987" i="3" s="1"/>
  <c r="D986" i="3"/>
  <c r="C986" i="3"/>
  <c r="G986" i="3" s="1" a="1"/>
  <c r="G986" i="3" s="1"/>
  <c r="D985" i="3"/>
  <c r="C985" i="3"/>
  <c r="G985" i="3" s="1" a="1"/>
  <c r="G985" i="3" s="1"/>
  <c r="D984" i="3"/>
  <c r="C984" i="3"/>
  <c r="M984" i="3" s="1" a="1"/>
  <c r="M984" i="3" s="1"/>
  <c r="D983" i="3"/>
  <c r="C983" i="3"/>
  <c r="J983" i="3" s="1" a="1"/>
  <c r="J983" i="3" s="1"/>
  <c r="D982" i="3"/>
  <c r="C982" i="3"/>
  <c r="G982" i="3" s="1" a="1"/>
  <c r="G982" i="3" s="1"/>
  <c r="D981" i="3"/>
  <c r="C981" i="3"/>
  <c r="G981" i="3" s="1" a="1"/>
  <c r="G981" i="3" s="1"/>
  <c r="D980" i="3"/>
  <c r="C980" i="3"/>
  <c r="G980" i="3" s="1" a="1"/>
  <c r="G980" i="3" s="1"/>
  <c r="D979" i="3"/>
  <c r="C979" i="3"/>
  <c r="G979" i="3" s="1" a="1"/>
  <c r="G979" i="3" s="1"/>
  <c r="D978" i="3"/>
  <c r="C978" i="3"/>
  <c r="D977" i="3"/>
  <c r="C977" i="3"/>
  <c r="D976" i="3"/>
  <c r="C976" i="3"/>
  <c r="G976" i="3" s="1" a="1"/>
  <c r="G976" i="3" s="1"/>
  <c r="D975" i="3"/>
  <c r="C975" i="3"/>
  <c r="G975" i="3" s="1" a="1"/>
  <c r="G975" i="3" s="1"/>
  <c r="D974" i="3"/>
  <c r="C974" i="3"/>
  <c r="G974" i="3" s="1" a="1"/>
  <c r="G974" i="3" s="1"/>
  <c r="D973" i="3"/>
  <c r="C973" i="3"/>
  <c r="G973" i="3" s="1" a="1"/>
  <c r="G973" i="3" s="1"/>
  <c r="D972" i="3"/>
  <c r="C972" i="3"/>
  <c r="M972" i="3" s="1" a="1"/>
  <c r="M972" i="3" s="1"/>
  <c r="D971" i="3"/>
  <c r="C971" i="3"/>
  <c r="M971" i="3" s="1" a="1"/>
  <c r="M971" i="3" s="1"/>
  <c r="D970" i="3"/>
  <c r="C970" i="3"/>
  <c r="G970" i="3" s="1" a="1"/>
  <c r="G970" i="3" s="1"/>
  <c r="D969" i="3"/>
  <c r="C969" i="3"/>
  <c r="G969" i="3" s="1" a="1"/>
  <c r="G969" i="3" s="1"/>
  <c r="D968" i="3"/>
  <c r="C968" i="3"/>
  <c r="G968" i="3" s="1" a="1"/>
  <c r="G968" i="3" s="1"/>
  <c r="D967" i="3"/>
  <c r="C967" i="3"/>
  <c r="G967" i="3" s="1" a="1"/>
  <c r="G967" i="3" s="1"/>
  <c r="D966" i="3"/>
  <c r="C966" i="3"/>
  <c r="D965" i="3"/>
  <c r="C965" i="3"/>
  <c r="D964" i="3"/>
  <c r="C964" i="3"/>
  <c r="G964" i="3" s="1" a="1"/>
  <c r="G964" i="3" s="1"/>
  <c r="D963" i="3"/>
  <c r="C963" i="3"/>
  <c r="G963" i="3" s="1" a="1"/>
  <c r="G963" i="3" s="1"/>
  <c r="D962" i="3"/>
  <c r="C962" i="3"/>
  <c r="G962" i="3" s="1" a="1"/>
  <c r="G962" i="3" s="1"/>
  <c r="D961" i="3"/>
  <c r="C961" i="3"/>
  <c r="G961" i="3" s="1" a="1"/>
  <c r="G961" i="3" s="1"/>
  <c r="D960" i="3"/>
  <c r="C960" i="3"/>
  <c r="J960" i="3" s="1" a="1"/>
  <c r="J960" i="3" s="1"/>
  <c r="D959" i="3"/>
  <c r="C959" i="3"/>
  <c r="M959" i="3" s="1" a="1"/>
  <c r="M959" i="3" s="1"/>
  <c r="D958" i="3"/>
  <c r="C958" i="3"/>
  <c r="G958" i="3" s="1" a="1"/>
  <c r="G958" i="3" s="1"/>
  <c r="D957" i="3"/>
  <c r="C957" i="3"/>
  <c r="G957" i="3" s="1" a="1"/>
  <c r="G957" i="3" s="1"/>
  <c r="D956" i="3"/>
  <c r="C956" i="3"/>
  <c r="G956" i="3" s="1" a="1"/>
  <c r="G956" i="3" s="1"/>
  <c r="D955" i="3"/>
  <c r="C955" i="3"/>
  <c r="G955" i="3" s="1" a="1"/>
  <c r="G955" i="3" s="1"/>
  <c r="D954" i="3"/>
  <c r="C954" i="3"/>
  <c r="D953" i="3"/>
  <c r="C953" i="3"/>
  <c r="D952" i="3"/>
  <c r="C952" i="3"/>
  <c r="G952" i="3" s="1" a="1"/>
  <c r="G952" i="3" s="1"/>
  <c r="D951" i="3"/>
  <c r="C951" i="3"/>
  <c r="G951" i="3" s="1" a="1"/>
  <c r="G951" i="3" s="1"/>
  <c r="D950" i="3"/>
  <c r="C950" i="3"/>
  <c r="G950" i="3" s="1" a="1"/>
  <c r="G950" i="3" s="1"/>
  <c r="D949" i="3"/>
  <c r="C949" i="3"/>
  <c r="G949" i="3" s="1" a="1"/>
  <c r="G949" i="3" s="1"/>
  <c r="D948" i="3"/>
  <c r="C948" i="3"/>
  <c r="J948" i="3" s="1" a="1"/>
  <c r="J948" i="3" s="1"/>
  <c r="D947" i="3"/>
  <c r="C947" i="3"/>
  <c r="J947" i="3" s="1" a="1"/>
  <c r="J947" i="3" s="1"/>
  <c r="D946" i="3"/>
  <c r="C946" i="3"/>
  <c r="G946" i="3" s="1" a="1"/>
  <c r="G946" i="3" s="1"/>
  <c r="D945" i="3"/>
  <c r="C945" i="3"/>
  <c r="G945" i="3" s="1" a="1"/>
  <c r="G945" i="3" s="1"/>
  <c r="D944" i="3"/>
  <c r="C944" i="3"/>
  <c r="G944" i="3" s="1" a="1"/>
  <c r="G944" i="3" s="1"/>
  <c r="D943" i="3"/>
  <c r="C943" i="3"/>
  <c r="G943" i="3" s="1" a="1"/>
  <c r="G943" i="3" s="1"/>
  <c r="D942" i="3"/>
  <c r="C942" i="3"/>
  <c r="D941" i="3"/>
  <c r="C941" i="3"/>
  <c r="D940" i="3"/>
  <c r="C940" i="3"/>
  <c r="G940" i="3" s="1" a="1"/>
  <c r="G940" i="3" s="1"/>
  <c r="D939" i="3"/>
  <c r="C939" i="3"/>
  <c r="G939" i="3" s="1" a="1"/>
  <c r="G939" i="3" s="1"/>
  <c r="D938" i="3"/>
  <c r="C938" i="3"/>
  <c r="G938" i="3" s="1" a="1"/>
  <c r="G938" i="3" s="1"/>
  <c r="D937" i="3"/>
  <c r="C937" i="3"/>
  <c r="G937" i="3" s="1" a="1"/>
  <c r="G937" i="3" s="1"/>
  <c r="D936" i="3"/>
  <c r="C936" i="3"/>
  <c r="D935" i="3"/>
  <c r="C935" i="3"/>
  <c r="M935" i="3" s="1" a="1"/>
  <c r="M935" i="3" s="1"/>
  <c r="D934" i="3"/>
  <c r="C934" i="3"/>
  <c r="G934" i="3" s="1" a="1"/>
  <c r="G934" i="3" s="1"/>
  <c r="D933" i="3"/>
  <c r="C933" i="3"/>
  <c r="G933" i="3" s="1" a="1"/>
  <c r="G933" i="3" s="1"/>
  <c r="D932" i="3"/>
  <c r="C932" i="3"/>
  <c r="G932" i="3" s="1" a="1"/>
  <c r="G932" i="3" s="1"/>
  <c r="D931" i="3"/>
  <c r="C931" i="3"/>
  <c r="G931" i="3" s="1" a="1"/>
  <c r="G931" i="3" s="1"/>
  <c r="D930" i="3"/>
  <c r="C930" i="3"/>
  <c r="D929" i="3"/>
  <c r="C929" i="3"/>
  <c r="D928" i="3"/>
  <c r="C928" i="3"/>
  <c r="G928" i="3" s="1" a="1"/>
  <c r="G928" i="3" s="1"/>
  <c r="D927" i="3"/>
  <c r="C927" i="3"/>
  <c r="G927" i="3" s="1" a="1"/>
  <c r="G927" i="3" s="1"/>
  <c r="D926" i="3"/>
  <c r="C926" i="3"/>
  <c r="G926" i="3" s="1" a="1"/>
  <c r="G926" i="3" s="1"/>
  <c r="D925" i="3"/>
  <c r="C925" i="3"/>
  <c r="G925" i="3" s="1" a="1"/>
  <c r="G925" i="3" s="1"/>
  <c r="D924" i="3"/>
  <c r="C924" i="3"/>
  <c r="D923" i="3"/>
  <c r="C923" i="3"/>
  <c r="M923" i="3" s="1" a="1"/>
  <c r="M923" i="3" s="1"/>
  <c r="D922" i="3"/>
  <c r="C922" i="3"/>
  <c r="G922" i="3" s="1" a="1"/>
  <c r="G922" i="3" s="1"/>
  <c r="D921" i="3"/>
  <c r="C921" i="3"/>
  <c r="G921" i="3" s="1" a="1"/>
  <c r="G921" i="3" s="1"/>
  <c r="D920" i="3"/>
  <c r="C920" i="3"/>
  <c r="G920" i="3" s="1" a="1"/>
  <c r="G920" i="3" s="1"/>
  <c r="D919" i="3"/>
  <c r="C919" i="3"/>
  <c r="G919" i="3" s="1" a="1"/>
  <c r="G919" i="3" s="1"/>
  <c r="D918" i="3"/>
  <c r="C918" i="3"/>
  <c r="M918" i="3" s="1" a="1"/>
  <c r="M918" i="3" s="1"/>
  <c r="D917" i="3"/>
  <c r="C917" i="3"/>
  <c r="M917" i="3" s="1" a="1"/>
  <c r="M917" i="3" s="1"/>
  <c r="D916" i="3"/>
  <c r="C916" i="3"/>
  <c r="G916" i="3" s="1" a="1"/>
  <c r="G916" i="3" s="1"/>
  <c r="D915" i="3"/>
  <c r="C915" i="3"/>
  <c r="G915" i="3" s="1" a="1"/>
  <c r="G915" i="3" s="1"/>
  <c r="D914" i="3"/>
  <c r="C914" i="3"/>
  <c r="G914" i="3" s="1" a="1"/>
  <c r="G914" i="3" s="1"/>
  <c r="D913" i="3"/>
  <c r="C913" i="3"/>
  <c r="G913" i="3" s="1" a="1"/>
  <c r="G913" i="3" s="1"/>
  <c r="D912" i="3"/>
  <c r="C912" i="3"/>
  <c r="D911" i="3"/>
  <c r="C911" i="3"/>
  <c r="D910" i="3"/>
  <c r="C910" i="3"/>
  <c r="G910" i="3" s="1" a="1"/>
  <c r="G910" i="3" s="1"/>
  <c r="D909" i="3"/>
  <c r="C909" i="3"/>
  <c r="G909" i="3" s="1" a="1"/>
  <c r="G909" i="3" s="1"/>
  <c r="D908" i="3"/>
  <c r="C908" i="3"/>
  <c r="G908" i="3" s="1" a="1"/>
  <c r="G908" i="3" s="1"/>
  <c r="D907" i="3"/>
  <c r="C907" i="3"/>
  <c r="G907" i="3" s="1" a="1"/>
  <c r="G907" i="3" s="1"/>
  <c r="D906" i="3"/>
  <c r="C906" i="3"/>
  <c r="G906" i="3" s="1" a="1"/>
  <c r="G906" i="3" s="1"/>
  <c r="D905" i="3"/>
  <c r="C905" i="3"/>
  <c r="M905" i="3" s="1" a="1"/>
  <c r="M905" i="3" s="1"/>
  <c r="D904" i="3"/>
  <c r="C904" i="3"/>
  <c r="G904" i="3" s="1" a="1"/>
  <c r="G904" i="3" s="1"/>
  <c r="D903" i="3"/>
  <c r="C903" i="3"/>
  <c r="G903" i="3" s="1" a="1"/>
  <c r="G903" i="3" s="1"/>
  <c r="D902" i="3"/>
  <c r="C902" i="3"/>
  <c r="G902" i="3" s="1" a="1"/>
  <c r="G902" i="3" s="1"/>
  <c r="D901" i="3"/>
  <c r="C901" i="3"/>
  <c r="G901" i="3" s="1" a="1"/>
  <c r="G901" i="3" s="1"/>
  <c r="D900" i="3"/>
  <c r="C900" i="3"/>
  <c r="D899" i="3"/>
  <c r="C899" i="3"/>
  <c r="D898" i="3"/>
  <c r="C898" i="3"/>
  <c r="G898" i="3" s="1" a="1"/>
  <c r="G898" i="3" s="1"/>
  <c r="D897" i="3"/>
  <c r="C897" i="3"/>
  <c r="G897" i="3" s="1" a="1"/>
  <c r="G897" i="3" s="1"/>
  <c r="D896" i="3"/>
  <c r="C896" i="3"/>
  <c r="G896" i="3" s="1" a="1"/>
  <c r="G896" i="3" s="1"/>
  <c r="D895" i="3"/>
  <c r="C895" i="3"/>
  <c r="G895" i="3" s="1" a="1"/>
  <c r="G895" i="3" s="1"/>
  <c r="D894" i="3"/>
  <c r="C894" i="3"/>
  <c r="D893" i="3"/>
  <c r="C893" i="3"/>
  <c r="D892" i="3"/>
  <c r="C892" i="3"/>
  <c r="G892" i="3" s="1" a="1"/>
  <c r="G892" i="3" s="1"/>
  <c r="D891" i="3"/>
  <c r="C891" i="3"/>
  <c r="G891" i="3" s="1" a="1"/>
  <c r="G891" i="3" s="1"/>
  <c r="D890" i="3"/>
  <c r="C890" i="3"/>
  <c r="G890" i="3" s="1" a="1"/>
  <c r="G890" i="3" s="1"/>
  <c r="D889" i="3"/>
  <c r="C889" i="3"/>
  <c r="G889" i="3" s="1" a="1"/>
  <c r="G889" i="3" s="1"/>
  <c r="D888" i="3"/>
  <c r="C888" i="3"/>
  <c r="D887" i="3"/>
  <c r="C887" i="3"/>
  <c r="D886" i="3"/>
  <c r="C886" i="3"/>
  <c r="G886" i="3" s="1" a="1"/>
  <c r="G886" i="3" s="1"/>
  <c r="D885" i="3"/>
  <c r="C885" i="3"/>
  <c r="G885" i="3" s="1" a="1"/>
  <c r="G885" i="3" s="1"/>
  <c r="D884" i="3"/>
  <c r="C884" i="3"/>
  <c r="G884" i="3" s="1" a="1"/>
  <c r="G884" i="3" s="1"/>
  <c r="D883" i="3"/>
  <c r="C883" i="3"/>
  <c r="G883" i="3" s="1" a="1"/>
  <c r="G883" i="3" s="1"/>
  <c r="D882" i="3"/>
  <c r="C882" i="3"/>
  <c r="D881" i="3"/>
  <c r="C881" i="3"/>
  <c r="D880" i="3"/>
  <c r="C880" i="3"/>
  <c r="G880" i="3" s="1" a="1"/>
  <c r="G880" i="3" s="1"/>
  <c r="D879" i="3"/>
  <c r="C879" i="3"/>
  <c r="G879" i="3" s="1" a="1"/>
  <c r="G879" i="3" s="1"/>
  <c r="D878" i="3"/>
  <c r="C878" i="3"/>
  <c r="G878" i="3" s="1" a="1"/>
  <c r="G878" i="3" s="1"/>
  <c r="D877" i="3"/>
  <c r="C877" i="3"/>
  <c r="G877" i="3" s="1" a="1"/>
  <c r="G877" i="3" s="1"/>
  <c r="D876" i="3"/>
  <c r="C876" i="3"/>
  <c r="M876" i="3" s="1" a="1"/>
  <c r="M876" i="3" s="1"/>
  <c r="D875" i="3"/>
  <c r="C875" i="3"/>
  <c r="M875" i="3" s="1" a="1"/>
  <c r="M875" i="3" s="1"/>
  <c r="D874" i="3"/>
  <c r="C874" i="3"/>
  <c r="G874" i="3" s="1" a="1"/>
  <c r="G874" i="3" s="1"/>
  <c r="D873" i="3"/>
  <c r="C873" i="3"/>
  <c r="G873" i="3" s="1" a="1"/>
  <c r="G873" i="3" s="1"/>
  <c r="D872" i="3"/>
  <c r="C872" i="3"/>
  <c r="G872" i="3" s="1" a="1"/>
  <c r="G872" i="3" s="1"/>
  <c r="D871" i="3"/>
  <c r="C871" i="3"/>
  <c r="G871" i="3" s="1" a="1"/>
  <c r="G871" i="3" s="1"/>
  <c r="D870" i="3"/>
  <c r="C870" i="3"/>
  <c r="D869" i="3"/>
  <c r="C869" i="3"/>
  <c r="D868" i="3"/>
  <c r="C868" i="3"/>
  <c r="G868" i="3" s="1" a="1"/>
  <c r="G868" i="3" s="1"/>
  <c r="D867" i="3"/>
  <c r="C867" i="3"/>
  <c r="G867" i="3" s="1" a="1"/>
  <c r="G867" i="3" s="1"/>
  <c r="D866" i="3"/>
  <c r="C866" i="3"/>
  <c r="G866" i="3" s="1" a="1"/>
  <c r="G866" i="3" s="1"/>
  <c r="D865" i="3"/>
  <c r="C865" i="3"/>
  <c r="G865" i="3" s="1" a="1"/>
  <c r="G865" i="3" s="1"/>
  <c r="D864" i="3"/>
  <c r="C864" i="3"/>
  <c r="M864" i="3" s="1" a="1"/>
  <c r="M864" i="3" s="1"/>
  <c r="D863" i="3"/>
  <c r="C863" i="3"/>
  <c r="D862" i="3"/>
  <c r="C862" i="3"/>
  <c r="G862" i="3" s="1" a="1"/>
  <c r="G862" i="3" s="1"/>
  <c r="D861" i="3"/>
  <c r="C861" i="3"/>
  <c r="G861" i="3" s="1" a="1"/>
  <c r="G861" i="3" s="1"/>
  <c r="D860" i="3"/>
  <c r="C860" i="3"/>
  <c r="G860" i="3" s="1" a="1"/>
  <c r="G860" i="3" s="1"/>
  <c r="D859" i="3"/>
  <c r="C859" i="3"/>
  <c r="G859" i="3" s="1" a="1"/>
  <c r="G859" i="3" s="1"/>
  <c r="D858" i="3"/>
  <c r="C858" i="3"/>
  <c r="D857" i="3"/>
  <c r="C857" i="3"/>
  <c r="D856" i="3"/>
  <c r="C856" i="3"/>
  <c r="G856" i="3" s="1" a="1"/>
  <c r="G856" i="3" s="1"/>
  <c r="D855" i="3"/>
  <c r="C855" i="3"/>
  <c r="G855" i="3" s="1" a="1"/>
  <c r="G855" i="3" s="1"/>
  <c r="D854" i="3"/>
  <c r="C854" i="3"/>
  <c r="G854" i="3" s="1" a="1"/>
  <c r="G854" i="3" s="1"/>
  <c r="D853" i="3"/>
  <c r="C853" i="3"/>
  <c r="G853" i="3" s="1" a="1"/>
  <c r="G853" i="3" s="1"/>
  <c r="D852" i="3"/>
  <c r="C852" i="3"/>
  <c r="J852" i="3" s="1" a="1"/>
  <c r="J852" i="3" s="1"/>
  <c r="D851" i="3"/>
  <c r="C851" i="3"/>
  <c r="D850" i="3"/>
  <c r="C850" i="3"/>
  <c r="G850" i="3" s="1" a="1"/>
  <c r="G850" i="3" s="1"/>
  <c r="D849" i="3"/>
  <c r="C849" i="3"/>
  <c r="G849" i="3" s="1" a="1"/>
  <c r="G849" i="3" s="1"/>
  <c r="D848" i="3"/>
  <c r="C848" i="3"/>
  <c r="G848" i="3" s="1" a="1"/>
  <c r="G848" i="3" s="1"/>
  <c r="D847" i="3"/>
  <c r="C847" i="3"/>
  <c r="G847" i="3" s="1" a="1"/>
  <c r="G847" i="3" s="1"/>
  <c r="D846" i="3"/>
  <c r="C846" i="3"/>
  <c r="D845" i="3"/>
  <c r="C845" i="3"/>
  <c r="D844" i="3"/>
  <c r="C844" i="3"/>
  <c r="G844" i="3" s="1" a="1"/>
  <c r="G844" i="3" s="1"/>
  <c r="D843" i="3"/>
  <c r="C843" i="3"/>
  <c r="G843" i="3" s="1" a="1"/>
  <c r="G843" i="3" s="1"/>
  <c r="D842" i="3"/>
  <c r="C842" i="3"/>
  <c r="G842" i="3" s="1" a="1"/>
  <c r="G842" i="3" s="1"/>
  <c r="D841" i="3"/>
  <c r="C841" i="3"/>
  <c r="G841" i="3" s="1" a="1"/>
  <c r="G841" i="3" s="1"/>
  <c r="D840" i="3"/>
  <c r="C840" i="3"/>
  <c r="M840" i="3" s="1" a="1"/>
  <c r="M840" i="3" s="1"/>
  <c r="D839" i="3"/>
  <c r="C839" i="3"/>
  <c r="D838" i="3"/>
  <c r="C838" i="3"/>
  <c r="G838" i="3" s="1" a="1"/>
  <c r="G838" i="3" s="1"/>
  <c r="D837" i="3"/>
  <c r="C837" i="3"/>
  <c r="G837" i="3" s="1" a="1"/>
  <c r="G837" i="3" s="1"/>
  <c r="D836" i="3"/>
  <c r="C836" i="3"/>
  <c r="G836" i="3" s="1" a="1"/>
  <c r="G836" i="3" s="1"/>
  <c r="D835" i="3"/>
  <c r="C835" i="3"/>
  <c r="G835" i="3" s="1" a="1"/>
  <c r="G835" i="3" s="1"/>
  <c r="D834" i="3"/>
  <c r="C834" i="3"/>
  <c r="M834" i="3" s="1" a="1"/>
  <c r="M834" i="3" s="1"/>
  <c r="D833" i="3"/>
  <c r="C833" i="3"/>
  <c r="M833" i="3" s="1" a="1"/>
  <c r="M833" i="3" s="1"/>
  <c r="D832" i="3"/>
  <c r="C832" i="3"/>
  <c r="G832" i="3" s="1" a="1"/>
  <c r="G832" i="3" s="1"/>
  <c r="D831" i="3"/>
  <c r="C831" i="3"/>
  <c r="G831" i="3" s="1" a="1"/>
  <c r="G831" i="3" s="1"/>
  <c r="D830" i="3"/>
  <c r="C830" i="3"/>
  <c r="G830" i="3" s="1" a="1"/>
  <c r="G830" i="3" s="1"/>
  <c r="D829" i="3"/>
  <c r="C829" i="3"/>
  <c r="G829" i="3" s="1" a="1"/>
  <c r="G829" i="3" s="1"/>
  <c r="D828" i="3"/>
  <c r="C828" i="3"/>
  <c r="G828" i="3" s="1" a="1"/>
  <c r="G828" i="3" s="1"/>
  <c r="D827" i="3"/>
  <c r="C827" i="3"/>
  <c r="D826" i="3"/>
  <c r="C826" i="3"/>
  <c r="G826" i="3" s="1" a="1"/>
  <c r="G826" i="3" s="1"/>
  <c r="D825" i="3"/>
  <c r="C825" i="3"/>
  <c r="G825" i="3" s="1" a="1"/>
  <c r="G825" i="3" s="1"/>
  <c r="D824" i="3"/>
  <c r="C824" i="3"/>
  <c r="G824" i="3" s="1" a="1"/>
  <c r="G824" i="3" s="1"/>
  <c r="D823" i="3"/>
  <c r="C823" i="3"/>
  <c r="G823" i="3" s="1" a="1"/>
  <c r="G823" i="3" s="1"/>
  <c r="D822" i="3"/>
  <c r="C822" i="3"/>
  <c r="G822" i="3" s="1" a="1"/>
  <c r="G822" i="3" s="1"/>
  <c r="D821" i="3"/>
  <c r="C821" i="3"/>
  <c r="M821" i="3" s="1" a="1"/>
  <c r="M821" i="3" s="1"/>
  <c r="D820" i="3"/>
  <c r="C820" i="3"/>
  <c r="G820" i="3" s="1" a="1"/>
  <c r="G820" i="3" s="1"/>
  <c r="D819" i="3"/>
  <c r="C819" i="3"/>
  <c r="G819" i="3" s="1" a="1"/>
  <c r="G819" i="3" s="1"/>
  <c r="D818" i="3"/>
  <c r="C818" i="3"/>
  <c r="G818" i="3" s="1" a="1"/>
  <c r="G818" i="3" s="1"/>
  <c r="D817" i="3"/>
  <c r="C817" i="3"/>
  <c r="G817" i="3" s="1" a="1"/>
  <c r="G817" i="3" s="1"/>
  <c r="D816" i="3"/>
  <c r="C816" i="3"/>
  <c r="D815" i="3"/>
  <c r="C815" i="3"/>
  <c r="D814" i="3"/>
  <c r="C814" i="3"/>
  <c r="G814" i="3" s="1" a="1"/>
  <c r="G814" i="3" s="1"/>
  <c r="D813" i="3"/>
  <c r="C813" i="3"/>
  <c r="G813" i="3" s="1" a="1"/>
  <c r="G813" i="3" s="1"/>
  <c r="D812" i="3"/>
  <c r="C812" i="3"/>
  <c r="G812" i="3" s="1" a="1"/>
  <c r="G812" i="3" s="1"/>
  <c r="D811" i="3"/>
  <c r="C811" i="3"/>
  <c r="G811" i="3" s="1" a="1"/>
  <c r="G811" i="3" s="1"/>
  <c r="D810" i="3"/>
  <c r="C810" i="3"/>
  <c r="M810" i="3" s="1" a="1"/>
  <c r="M810" i="3" s="1"/>
  <c r="D809" i="3"/>
  <c r="C809" i="3"/>
  <c r="M809" i="3" s="1" a="1"/>
  <c r="M809" i="3" s="1"/>
  <c r="D808" i="3"/>
  <c r="C808" i="3"/>
  <c r="G808" i="3" s="1" a="1"/>
  <c r="G808" i="3" s="1"/>
  <c r="D807" i="3"/>
  <c r="C807" i="3"/>
  <c r="G807" i="3" s="1" a="1"/>
  <c r="G807" i="3" s="1"/>
  <c r="D806" i="3"/>
  <c r="C806" i="3"/>
  <c r="G806" i="3" s="1" a="1"/>
  <c r="G806" i="3" s="1"/>
  <c r="D805" i="3"/>
  <c r="C805" i="3"/>
  <c r="G805" i="3" s="1" a="1"/>
  <c r="G805" i="3" s="1"/>
  <c r="D804" i="3"/>
  <c r="C804" i="3"/>
  <c r="D803" i="3"/>
  <c r="C803" i="3"/>
  <c r="D802" i="3"/>
  <c r="C802" i="3"/>
  <c r="G802" i="3" s="1" a="1"/>
  <c r="G802" i="3" s="1"/>
  <c r="D801" i="3"/>
  <c r="C801" i="3"/>
  <c r="G801" i="3" s="1" a="1"/>
  <c r="G801" i="3" s="1"/>
  <c r="D800" i="3"/>
  <c r="C800" i="3"/>
  <c r="G800" i="3" s="1" a="1"/>
  <c r="G800" i="3" s="1"/>
  <c r="D799" i="3"/>
  <c r="C799" i="3"/>
  <c r="G799" i="3" s="1" a="1"/>
  <c r="G799" i="3" s="1"/>
  <c r="D798" i="3"/>
  <c r="C798" i="3"/>
  <c r="M798" i="3" s="1" a="1"/>
  <c r="M798" i="3" s="1"/>
  <c r="D797" i="3"/>
  <c r="C797" i="3"/>
  <c r="D796" i="3"/>
  <c r="C796" i="3"/>
  <c r="G796" i="3" s="1" a="1"/>
  <c r="G796" i="3" s="1"/>
  <c r="D795" i="3"/>
  <c r="C795" i="3"/>
  <c r="G795" i="3" s="1" a="1"/>
  <c r="G795" i="3" s="1"/>
  <c r="D794" i="3"/>
  <c r="C794" i="3"/>
  <c r="G794" i="3" s="1" a="1"/>
  <c r="G794" i="3" s="1"/>
  <c r="D793" i="3"/>
  <c r="C793" i="3"/>
  <c r="G793" i="3" s="1" a="1"/>
  <c r="G793" i="3" s="1"/>
  <c r="D792" i="3"/>
  <c r="C792" i="3"/>
  <c r="D791" i="3"/>
  <c r="C791" i="3"/>
  <c r="D790" i="3"/>
  <c r="C790" i="3"/>
  <c r="G790" i="3" s="1" a="1"/>
  <c r="G790" i="3" s="1"/>
  <c r="D789" i="3"/>
  <c r="C789" i="3"/>
  <c r="G789" i="3" s="1" a="1"/>
  <c r="G789" i="3" s="1"/>
  <c r="D788" i="3"/>
  <c r="C788" i="3"/>
  <c r="G788" i="3" s="1" a="1"/>
  <c r="G788" i="3" s="1"/>
  <c r="D787" i="3"/>
  <c r="C787" i="3"/>
  <c r="G787" i="3" s="1" a="1"/>
  <c r="G787" i="3" s="1"/>
  <c r="D786" i="3"/>
  <c r="C786" i="3"/>
  <c r="G786" i="3" s="1" a="1"/>
  <c r="G786" i="3" s="1"/>
  <c r="D785" i="3"/>
  <c r="C785" i="3"/>
  <c r="G785" i="3" s="1" a="1"/>
  <c r="G785" i="3" s="1"/>
  <c r="D784" i="3"/>
  <c r="C784" i="3"/>
  <c r="G784" i="3" s="1" a="1"/>
  <c r="G784" i="3" s="1"/>
  <c r="D783" i="3"/>
  <c r="C783" i="3"/>
  <c r="G783" i="3" s="1" a="1"/>
  <c r="G783" i="3" s="1"/>
  <c r="D782" i="3"/>
  <c r="C782" i="3"/>
  <c r="G782" i="3" s="1" a="1"/>
  <c r="G782" i="3" s="1"/>
  <c r="D781" i="3"/>
  <c r="C781" i="3"/>
  <c r="G781" i="3" s="1" a="1"/>
  <c r="G781" i="3" s="1"/>
  <c r="D780" i="3"/>
  <c r="C780" i="3"/>
  <c r="D779" i="3"/>
  <c r="C779" i="3"/>
  <c r="D778" i="3"/>
  <c r="C778" i="3"/>
  <c r="G778" i="3" s="1" a="1"/>
  <c r="G778" i="3" s="1"/>
  <c r="D777" i="3"/>
  <c r="C777" i="3"/>
  <c r="G777" i="3" s="1" a="1"/>
  <c r="G777" i="3" s="1"/>
  <c r="D776" i="3"/>
  <c r="C776" i="3"/>
  <c r="G776" i="3" s="1" a="1"/>
  <c r="G776" i="3" s="1"/>
  <c r="D775" i="3"/>
  <c r="C775" i="3"/>
  <c r="G775" i="3" s="1" a="1"/>
  <c r="G775" i="3" s="1"/>
  <c r="D774" i="3"/>
  <c r="C774" i="3"/>
  <c r="M774" i="3" s="1" a="1"/>
  <c r="M774" i="3" s="1"/>
  <c r="D773" i="3"/>
  <c r="C773" i="3"/>
  <c r="M773" i="3" s="1" a="1"/>
  <c r="M773" i="3" s="1"/>
  <c r="D772" i="3"/>
  <c r="C772" i="3"/>
  <c r="G772" i="3" s="1" a="1"/>
  <c r="G772" i="3" s="1"/>
  <c r="D771" i="3"/>
  <c r="C771" i="3"/>
  <c r="G771" i="3" s="1" a="1"/>
  <c r="G771" i="3" s="1"/>
  <c r="D770" i="3"/>
  <c r="C770" i="3"/>
  <c r="G770" i="3" s="1" a="1"/>
  <c r="G770" i="3" s="1"/>
  <c r="D769" i="3"/>
  <c r="C769" i="3"/>
  <c r="G769" i="3" s="1" a="1"/>
  <c r="G769" i="3" s="1"/>
  <c r="D768" i="3"/>
  <c r="C768" i="3"/>
  <c r="D767" i="3"/>
  <c r="C767" i="3"/>
  <c r="G767" i="3" s="1" a="1"/>
  <c r="G767" i="3" s="1"/>
  <c r="D766" i="3"/>
  <c r="C766" i="3"/>
  <c r="G766" i="3" s="1" a="1"/>
  <c r="G766" i="3" s="1"/>
  <c r="D765" i="3"/>
  <c r="C765" i="3"/>
  <c r="G765" i="3" s="1" a="1"/>
  <c r="G765" i="3" s="1"/>
  <c r="D764" i="3"/>
  <c r="C764" i="3"/>
  <c r="G764" i="3" s="1" a="1"/>
  <c r="G764" i="3" s="1"/>
  <c r="D763" i="3"/>
  <c r="C763" i="3"/>
  <c r="G763" i="3" s="1" a="1"/>
  <c r="G763" i="3" s="1"/>
  <c r="D762" i="3"/>
  <c r="C762" i="3"/>
  <c r="M762" i="3" s="1" a="1"/>
  <c r="M762" i="3" s="1"/>
  <c r="D761" i="3"/>
  <c r="C761" i="3"/>
  <c r="M761" i="3" s="1" a="1"/>
  <c r="M761" i="3" s="1"/>
  <c r="D760" i="3"/>
  <c r="C760" i="3"/>
  <c r="G760" i="3" s="1" a="1"/>
  <c r="G760" i="3" s="1"/>
  <c r="D759" i="3"/>
  <c r="C759" i="3"/>
  <c r="G759" i="3" s="1" a="1"/>
  <c r="G759" i="3" s="1"/>
  <c r="D758" i="3"/>
  <c r="C758" i="3"/>
  <c r="G758" i="3" s="1" a="1"/>
  <c r="G758" i="3" s="1"/>
  <c r="D757" i="3"/>
  <c r="C757" i="3"/>
  <c r="G757" i="3" s="1" a="1"/>
  <c r="G757" i="3" s="1"/>
  <c r="D756" i="3"/>
  <c r="C756" i="3"/>
  <c r="D755" i="3"/>
  <c r="C755" i="3"/>
  <c r="D754" i="3"/>
  <c r="C754" i="3"/>
  <c r="G754" i="3" s="1" a="1"/>
  <c r="G754" i="3" s="1"/>
  <c r="D753" i="3"/>
  <c r="C753" i="3"/>
  <c r="G753" i="3" s="1" a="1"/>
  <c r="G753" i="3" s="1"/>
  <c r="D752" i="3"/>
  <c r="C752" i="3"/>
  <c r="G752" i="3" s="1" a="1"/>
  <c r="G752" i="3" s="1"/>
  <c r="D751" i="3"/>
  <c r="C751" i="3"/>
  <c r="G751" i="3" s="1" a="1"/>
  <c r="G751" i="3" s="1"/>
  <c r="D750" i="3"/>
  <c r="C750" i="3"/>
  <c r="M750" i="3" s="1" a="1"/>
  <c r="M750" i="3" s="1"/>
  <c r="D749" i="3"/>
  <c r="C749" i="3"/>
  <c r="D748" i="3"/>
  <c r="C748" i="3"/>
  <c r="G748" i="3" s="1" a="1"/>
  <c r="G748" i="3" s="1"/>
  <c r="D747" i="3"/>
  <c r="C747" i="3"/>
  <c r="G747" i="3" s="1" a="1"/>
  <c r="G747" i="3" s="1"/>
  <c r="D746" i="3"/>
  <c r="C746" i="3"/>
  <c r="G746" i="3" s="1" a="1"/>
  <c r="G746" i="3" s="1"/>
  <c r="D745" i="3"/>
  <c r="C745" i="3"/>
  <c r="G745" i="3" s="1" a="1"/>
  <c r="G745" i="3" s="1"/>
  <c r="D744" i="3"/>
  <c r="C744" i="3"/>
  <c r="G744" i="3" s="1" a="1"/>
  <c r="G744" i="3" s="1"/>
  <c r="D743" i="3"/>
  <c r="C743" i="3"/>
  <c r="G743" i="3" s="1" a="1"/>
  <c r="G743" i="3" s="1"/>
  <c r="D742" i="3"/>
  <c r="C742" i="3"/>
  <c r="G742" i="3" s="1" a="1"/>
  <c r="G742" i="3" s="1"/>
  <c r="D741" i="3"/>
  <c r="C741" i="3"/>
  <c r="G741" i="3" s="1" a="1"/>
  <c r="G741" i="3" s="1"/>
  <c r="D740" i="3"/>
  <c r="C740" i="3"/>
  <c r="G740" i="3" s="1" a="1"/>
  <c r="G740" i="3" s="1"/>
  <c r="D739" i="3"/>
  <c r="C739" i="3"/>
  <c r="G739" i="3" s="1" a="1"/>
  <c r="G739" i="3" s="1"/>
  <c r="D738" i="3"/>
  <c r="C738" i="3"/>
  <c r="G738" i="3" s="1" a="1"/>
  <c r="G738" i="3" s="1"/>
  <c r="D737" i="3"/>
  <c r="C737" i="3"/>
  <c r="M737" i="3" s="1" a="1"/>
  <c r="M737" i="3" s="1"/>
  <c r="D736" i="3"/>
  <c r="C736" i="3"/>
  <c r="G736" i="3" s="1" a="1"/>
  <c r="G736" i="3" s="1"/>
  <c r="D735" i="3"/>
  <c r="C735" i="3"/>
  <c r="G735" i="3" s="1" a="1"/>
  <c r="G735" i="3" s="1"/>
  <c r="D734" i="3"/>
  <c r="C734" i="3"/>
  <c r="G734" i="3" s="1" a="1"/>
  <c r="G734" i="3" s="1"/>
  <c r="D733" i="3"/>
  <c r="C733" i="3"/>
  <c r="G733" i="3" s="1" a="1"/>
  <c r="G733" i="3" s="1"/>
  <c r="D732" i="3"/>
  <c r="C732" i="3"/>
  <c r="D731" i="3"/>
  <c r="C731" i="3"/>
  <c r="D730" i="3"/>
  <c r="C730" i="3"/>
  <c r="G730" i="3" s="1" a="1"/>
  <c r="G730" i="3" s="1"/>
  <c r="D729" i="3"/>
  <c r="C729" i="3"/>
  <c r="G729" i="3" s="1" a="1"/>
  <c r="G729" i="3" s="1"/>
  <c r="D728" i="3"/>
  <c r="C728" i="3"/>
  <c r="G728" i="3" s="1" a="1"/>
  <c r="G728" i="3" s="1"/>
  <c r="D727" i="3"/>
  <c r="C727" i="3"/>
  <c r="G727" i="3" s="1" a="1"/>
  <c r="G727" i="3" s="1"/>
  <c r="D726" i="3"/>
  <c r="C726" i="3"/>
  <c r="D725" i="3"/>
  <c r="C725" i="3"/>
  <c r="D724" i="3"/>
  <c r="C724" i="3"/>
  <c r="G724" i="3" s="1" a="1"/>
  <c r="G724" i="3" s="1"/>
  <c r="D723" i="3"/>
  <c r="C723" i="3"/>
  <c r="G723" i="3" s="1" a="1"/>
  <c r="G723" i="3" s="1"/>
  <c r="D722" i="3"/>
  <c r="C722" i="3"/>
  <c r="G722" i="3" s="1" a="1"/>
  <c r="G722" i="3" s="1"/>
  <c r="D721" i="3"/>
  <c r="C721" i="3"/>
  <c r="G721" i="3" s="1" a="1"/>
  <c r="G721" i="3" s="1"/>
  <c r="D720" i="3"/>
  <c r="C720" i="3"/>
  <c r="G720" i="3" s="1" a="1"/>
  <c r="G720" i="3" s="1"/>
  <c r="D719" i="3"/>
  <c r="C719" i="3"/>
  <c r="D718" i="3"/>
  <c r="C718" i="3"/>
  <c r="G718" i="3" s="1" a="1"/>
  <c r="G718" i="3" s="1"/>
  <c r="D717" i="3"/>
  <c r="C717" i="3"/>
  <c r="G717" i="3" s="1" a="1"/>
  <c r="G717" i="3" s="1"/>
  <c r="D716" i="3"/>
  <c r="C716" i="3"/>
  <c r="G716" i="3" s="1" a="1"/>
  <c r="G716" i="3" s="1"/>
  <c r="D715" i="3"/>
  <c r="C715" i="3"/>
  <c r="G715" i="3" s="1" a="1"/>
  <c r="G715" i="3" s="1"/>
  <c r="D714" i="3"/>
  <c r="C714" i="3"/>
  <c r="D713" i="3"/>
  <c r="C713" i="3"/>
  <c r="D712" i="3"/>
  <c r="C712" i="3"/>
  <c r="G712" i="3" s="1" a="1"/>
  <c r="G712" i="3" s="1"/>
  <c r="D711" i="3"/>
  <c r="C711" i="3"/>
  <c r="G711" i="3" s="1" a="1"/>
  <c r="G711" i="3" s="1"/>
  <c r="D710" i="3"/>
  <c r="C710" i="3"/>
  <c r="G710" i="3" s="1" a="1"/>
  <c r="G710" i="3" s="1"/>
  <c r="D709" i="3"/>
  <c r="C709" i="3"/>
  <c r="G709" i="3" s="1" a="1"/>
  <c r="G709" i="3" s="1"/>
  <c r="D708" i="3"/>
  <c r="C708" i="3"/>
  <c r="M708" i="3" s="1" a="1"/>
  <c r="M708" i="3" s="1"/>
  <c r="D707" i="3"/>
  <c r="C707" i="3"/>
  <c r="D706" i="3"/>
  <c r="C706" i="3"/>
  <c r="G706" i="3" s="1" a="1"/>
  <c r="G706" i="3" s="1"/>
  <c r="D705" i="3"/>
  <c r="C705" i="3"/>
  <c r="G705" i="3" s="1" a="1"/>
  <c r="G705" i="3" s="1"/>
  <c r="D704" i="3"/>
  <c r="C704" i="3"/>
  <c r="G704" i="3" s="1" a="1"/>
  <c r="G704" i="3" s="1"/>
  <c r="D703" i="3"/>
  <c r="C703" i="3"/>
  <c r="G703" i="3" s="1" a="1"/>
  <c r="G703" i="3" s="1"/>
  <c r="D702" i="3"/>
  <c r="C702" i="3"/>
  <c r="M702" i="3" s="1" a="1"/>
  <c r="M702" i="3" s="1"/>
  <c r="D701" i="3"/>
  <c r="C701" i="3"/>
  <c r="D700" i="3"/>
  <c r="C700" i="3"/>
  <c r="G700" i="3" s="1" a="1"/>
  <c r="G700" i="3" s="1"/>
  <c r="D699" i="3"/>
  <c r="C699" i="3"/>
  <c r="G699" i="3" s="1" a="1"/>
  <c r="G699" i="3" s="1"/>
  <c r="D698" i="3"/>
  <c r="C698" i="3"/>
  <c r="G698" i="3" s="1" a="1"/>
  <c r="G698" i="3" s="1"/>
  <c r="D697" i="3"/>
  <c r="C697" i="3"/>
  <c r="G697" i="3" s="1" a="1"/>
  <c r="G697" i="3" s="1"/>
  <c r="D696" i="3"/>
  <c r="C696" i="3"/>
  <c r="D695" i="3"/>
  <c r="C695" i="3"/>
  <c r="D694" i="3"/>
  <c r="C694" i="3"/>
  <c r="G694" i="3" s="1" a="1"/>
  <c r="G694" i="3" s="1"/>
  <c r="D693" i="3"/>
  <c r="C693" i="3"/>
  <c r="G693" i="3" s="1" a="1"/>
  <c r="G693" i="3" s="1"/>
  <c r="D692" i="3"/>
  <c r="C692" i="3"/>
  <c r="G692" i="3" s="1" a="1"/>
  <c r="G692" i="3" s="1"/>
  <c r="D691" i="3"/>
  <c r="C691" i="3"/>
  <c r="G691" i="3" s="1" a="1"/>
  <c r="G691" i="3" s="1"/>
  <c r="D690" i="3"/>
  <c r="C690" i="3"/>
  <c r="G690" i="3" s="1" a="1"/>
  <c r="G690" i="3" s="1"/>
  <c r="D689" i="3"/>
  <c r="C689" i="3"/>
  <c r="M689" i="3" s="1" a="1"/>
  <c r="M689" i="3" s="1"/>
  <c r="D688" i="3"/>
  <c r="C688" i="3"/>
  <c r="G688" i="3" s="1" a="1"/>
  <c r="G688" i="3" s="1"/>
  <c r="D687" i="3"/>
  <c r="C687" i="3"/>
  <c r="G687" i="3" s="1" a="1"/>
  <c r="G687" i="3" s="1"/>
  <c r="D686" i="3"/>
  <c r="C686" i="3"/>
  <c r="G686" i="3" s="1" a="1"/>
  <c r="G686" i="3" s="1"/>
  <c r="D685" i="3"/>
  <c r="C685" i="3"/>
  <c r="G685" i="3" s="1" a="1"/>
  <c r="G685" i="3" s="1"/>
  <c r="D684" i="3"/>
  <c r="C684" i="3"/>
  <c r="D683" i="3"/>
  <c r="C683" i="3"/>
  <c r="D682" i="3"/>
  <c r="C682" i="3"/>
  <c r="G682" i="3" s="1" a="1"/>
  <c r="G682" i="3" s="1"/>
  <c r="D681" i="3"/>
  <c r="C681" i="3"/>
  <c r="G681" i="3" s="1" a="1"/>
  <c r="G681" i="3" s="1"/>
  <c r="D680" i="3"/>
  <c r="C680" i="3"/>
  <c r="G680" i="3" s="1" a="1"/>
  <c r="G680" i="3" s="1"/>
  <c r="D679" i="3"/>
  <c r="C679" i="3"/>
  <c r="G679" i="3" s="1" a="1"/>
  <c r="G679" i="3" s="1"/>
  <c r="D678" i="3"/>
  <c r="C678" i="3"/>
  <c r="G678" i="3" s="1" a="1"/>
  <c r="G678" i="3" s="1"/>
  <c r="D677" i="3"/>
  <c r="C677" i="3"/>
  <c r="D676" i="3"/>
  <c r="C676" i="3"/>
  <c r="G676" i="3" s="1" a="1"/>
  <c r="G676" i="3" s="1"/>
  <c r="D675" i="3"/>
  <c r="C675" i="3"/>
  <c r="G675" i="3" s="1" a="1"/>
  <c r="G675" i="3" s="1"/>
  <c r="D674" i="3"/>
  <c r="C674" i="3"/>
  <c r="G674" i="3" s="1" a="1"/>
  <c r="G674" i="3" s="1"/>
  <c r="D673" i="3"/>
  <c r="C673" i="3"/>
  <c r="G673" i="3" s="1" a="1"/>
  <c r="G673" i="3" s="1"/>
  <c r="D672" i="3"/>
  <c r="C672" i="3"/>
  <c r="D671" i="3"/>
  <c r="C671" i="3"/>
  <c r="G671" i="3" s="1" a="1"/>
  <c r="G671" i="3" s="1"/>
  <c r="D670" i="3"/>
  <c r="C670" i="3"/>
  <c r="G670" i="3" s="1" a="1"/>
  <c r="G670" i="3" s="1"/>
  <c r="D669" i="3"/>
  <c r="C669" i="3"/>
  <c r="G669" i="3" s="1" a="1"/>
  <c r="G669" i="3" s="1"/>
  <c r="D668" i="3"/>
  <c r="C668" i="3"/>
  <c r="G668" i="3" s="1" a="1"/>
  <c r="G668" i="3" s="1"/>
  <c r="D667" i="3"/>
  <c r="C667" i="3"/>
  <c r="G667" i="3" s="1" a="1"/>
  <c r="G667" i="3" s="1"/>
  <c r="D666" i="3"/>
  <c r="C666" i="3"/>
  <c r="G666" i="3" s="1" a="1"/>
  <c r="G666" i="3" s="1"/>
  <c r="D665" i="3"/>
  <c r="C665" i="3"/>
  <c r="D664" i="3"/>
  <c r="C664" i="3"/>
  <c r="G664" i="3" s="1" a="1"/>
  <c r="G664" i="3" s="1"/>
  <c r="D663" i="3"/>
  <c r="C663" i="3"/>
  <c r="G663" i="3" s="1" a="1"/>
  <c r="G663" i="3" s="1"/>
  <c r="D662" i="3"/>
  <c r="C662" i="3"/>
  <c r="G662" i="3" s="1" a="1"/>
  <c r="G662" i="3" s="1"/>
  <c r="D661" i="3"/>
  <c r="C661" i="3"/>
  <c r="G661" i="3" s="1" a="1"/>
  <c r="G661" i="3" s="1"/>
  <c r="D660" i="3"/>
  <c r="C660" i="3"/>
  <c r="M660" i="3" s="1" a="1"/>
  <c r="M660" i="3" s="1"/>
  <c r="D659" i="3"/>
  <c r="C659" i="3"/>
  <c r="M659" i="3" s="1" a="1"/>
  <c r="M659" i="3" s="1"/>
  <c r="D658" i="3"/>
  <c r="C658" i="3"/>
  <c r="G658" i="3" s="1" a="1"/>
  <c r="G658" i="3" s="1"/>
  <c r="D657" i="3"/>
  <c r="C657" i="3"/>
  <c r="G657" i="3" s="1" a="1"/>
  <c r="G657" i="3" s="1"/>
  <c r="D656" i="3"/>
  <c r="C656" i="3"/>
  <c r="G656" i="3" s="1" a="1"/>
  <c r="G656" i="3" s="1"/>
  <c r="D655" i="3"/>
  <c r="C655" i="3"/>
  <c r="G655" i="3" s="1" a="1"/>
  <c r="G655" i="3" s="1"/>
  <c r="D654" i="3"/>
  <c r="C654" i="3"/>
  <c r="G654" i="3" s="1" a="1"/>
  <c r="G654" i="3" s="1"/>
  <c r="D653" i="3"/>
  <c r="C653" i="3"/>
  <c r="M653" i="3" s="1" a="1"/>
  <c r="M653" i="3" s="1"/>
  <c r="D652" i="3"/>
  <c r="C652" i="3"/>
  <c r="G652" i="3" s="1" a="1"/>
  <c r="G652" i="3" s="1"/>
  <c r="D651" i="3"/>
  <c r="C651" i="3"/>
  <c r="G651" i="3" s="1" a="1"/>
  <c r="G651" i="3" s="1"/>
  <c r="D650" i="3"/>
  <c r="C650" i="3"/>
  <c r="G650" i="3" s="1" a="1"/>
  <c r="G650" i="3" s="1"/>
  <c r="D649" i="3"/>
  <c r="C649" i="3"/>
  <c r="G649" i="3" s="1" a="1"/>
  <c r="G649" i="3" s="1"/>
  <c r="D648" i="3"/>
  <c r="C648" i="3"/>
  <c r="D647" i="3"/>
  <c r="C647" i="3"/>
  <c r="D646" i="3"/>
  <c r="C646" i="3"/>
  <c r="G646" i="3" s="1" a="1"/>
  <c r="G646" i="3" s="1"/>
  <c r="D645" i="3"/>
  <c r="C645" i="3"/>
  <c r="G645" i="3" s="1" a="1"/>
  <c r="G645" i="3" s="1"/>
  <c r="D644" i="3"/>
  <c r="C644" i="3"/>
  <c r="G644" i="3" s="1" a="1"/>
  <c r="G644" i="3" s="1"/>
  <c r="D643" i="3"/>
  <c r="C643" i="3"/>
  <c r="G643" i="3" s="1" a="1"/>
  <c r="G643" i="3" s="1"/>
  <c r="D642" i="3"/>
  <c r="C642" i="3"/>
  <c r="M642" i="3" s="1" a="1"/>
  <c r="M642" i="3" s="1"/>
  <c r="D641" i="3"/>
  <c r="C641" i="3"/>
  <c r="M641" i="3" s="1" a="1"/>
  <c r="M641" i="3" s="1"/>
  <c r="D640" i="3"/>
  <c r="C640" i="3"/>
  <c r="G640" i="3" s="1" a="1"/>
  <c r="G640" i="3" s="1"/>
  <c r="D639" i="3"/>
  <c r="C639" i="3"/>
  <c r="G639" i="3" s="1" a="1"/>
  <c r="G639" i="3" s="1"/>
  <c r="D638" i="3"/>
  <c r="C638" i="3"/>
  <c r="G638" i="3" s="1" a="1"/>
  <c r="G638" i="3" s="1"/>
  <c r="D637" i="3"/>
  <c r="C637" i="3"/>
  <c r="G637" i="3" s="1" a="1"/>
  <c r="G637" i="3" s="1"/>
  <c r="D636" i="3"/>
  <c r="C636" i="3"/>
  <c r="D635" i="3"/>
  <c r="C635" i="3"/>
  <c r="D634" i="3"/>
  <c r="C634" i="3"/>
  <c r="G634" i="3" s="1" a="1"/>
  <c r="G634" i="3" s="1"/>
  <c r="D633" i="3"/>
  <c r="C633" i="3"/>
  <c r="G633" i="3" s="1" a="1"/>
  <c r="G633" i="3" s="1"/>
  <c r="D632" i="3"/>
  <c r="C632" i="3"/>
  <c r="G632" i="3" s="1" a="1"/>
  <c r="G632" i="3" s="1"/>
  <c r="D631" i="3"/>
  <c r="C631" i="3"/>
  <c r="G631" i="3" s="1" a="1"/>
  <c r="G631" i="3" s="1"/>
  <c r="D630" i="3"/>
  <c r="C630" i="3"/>
  <c r="D629" i="3"/>
  <c r="C629" i="3"/>
  <c r="D628" i="3"/>
  <c r="C628" i="3"/>
  <c r="G628" i="3" s="1" a="1"/>
  <c r="G628" i="3" s="1"/>
  <c r="D627" i="3"/>
  <c r="C627" i="3"/>
  <c r="G627" i="3" s="1" a="1"/>
  <c r="G627" i="3" s="1"/>
  <c r="D626" i="3"/>
  <c r="C626" i="3"/>
  <c r="G626" i="3" s="1" a="1"/>
  <c r="G626" i="3" s="1"/>
  <c r="D625" i="3"/>
  <c r="C625" i="3"/>
  <c r="G625" i="3" s="1" a="1"/>
  <c r="G625" i="3" s="1"/>
  <c r="D624" i="3"/>
  <c r="C624" i="3"/>
  <c r="M624" i="3" s="1" a="1"/>
  <c r="M624" i="3" s="1"/>
  <c r="D623" i="3"/>
  <c r="C623" i="3"/>
  <c r="D622" i="3"/>
  <c r="C622" i="3"/>
  <c r="G622" i="3" s="1" a="1"/>
  <c r="G622" i="3" s="1"/>
  <c r="D621" i="3"/>
  <c r="C621" i="3"/>
  <c r="G621" i="3" s="1" a="1"/>
  <c r="G621" i="3" s="1"/>
  <c r="D620" i="3"/>
  <c r="C620" i="3"/>
  <c r="G620" i="3" s="1" a="1"/>
  <c r="G620" i="3" s="1"/>
  <c r="D619" i="3"/>
  <c r="C619" i="3"/>
  <c r="G619" i="3" s="1" a="1"/>
  <c r="G619" i="3" s="1"/>
  <c r="D618" i="3"/>
  <c r="C618" i="3"/>
  <c r="D617" i="3"/>
  <c r="C617" i="3"/>
  <c r="D616" i="3"/>
  <c r="C616" i="3"/>
  <c r="G616" i="3" s="1" a="1"/>
  <c r="G616" i="3" s="1"/>
  <c r="D615" i="3"/>
  <c r="C615" i="3"/>
  <c r="G615" i="3" s="1" a="1"/>
  <c r="G615" i="3" s="1"/>
  <c r="D614" i="3"/>
  <c r="C614" i="3"/>
  <c r="G614" i="3" s="1" a="1"/>
  <c r="G614" i="3" s="1"/>
  <c r="D613" i="3"/>
  <c r="C613" i="3"/>
  <c r="G613" i="3" s="1" a="1"/>
  <c r="G613" i="3" s="1"/>
  <c r="D612" i="3"/>
  <c r="C612" i="3"/>
  <c r="D611" i="3"/>
  <c r="C611" i="3"/>
  <c r="M611" i="3" s="1" a="1"/>
  <c r="M611" i="3" s="1"/>
  <c r="D610" i="3"/>
  <c r="C610" i="3"/>
  <c r="G610" i="3" s="1" a="1"/>
  <c r="G610" i="3" s="1"/>
  <c r="D609" i="3"/>
  <c r="C609" i="3"/>
  <c r="G609" i="3" s="1" a="1"/>
  <c r="G609" i="3" s="1"/>
  <c r="D608" i="3"/>
  <c r="C608" i="3"/>
  <c r="G608" i="3" s="1" a="1"/>
  <c r="G608" i="3" s="1"/>
  <c r="D607" i="3"/>
  <c r="C607" i="3"/>
  <c r="G607" i="3" s="1" a="1"/>
  <c r="G607" i="3" s="1"/>
  <c r="D606" i="3"/>
  <c r="C606" i="3"/>
  <c r="D605" i="3"/>
  <c r="C605" i="3"/>
  <c r="D604" i="3"/>
  <c r="C604" i="3"/>
  <c r="G604" i="3" s="1" a="1"/>
  <c r="G604" i="3" s="1"/>
  <c r="D603" i="3"/>
  <c r="C603" i="3"/>
  <c r="G603" i="3" s="1" a="1"/>
  <c r="G603" i="3" s="1"/>
  <c r="D602" i="3"/>
  <c r="C602" i="3"/>
  <c r="G602" i="3" s="1" a="1"/>
  <c r="G602" i="3" s="1"/>
  <c r="D601" i="3"/>
  <c r="C601" i="3"/>
  <c r="G601" i="3" s="1" a="1"/>
  <c r="G601" i="3" s="1"/>
  <c r="D600" i="3"/>
  <c r="C600" i="3"/>
  <c r="D599" i="3"/>
  <c r="C599" i="3"/>
  <c r="D598" i="3"/>
  <c r="C598" i="3"/>
  <c r="G598" i="3" s="1" a="1"/>
  <c r="G598" i="3" s="1"/>
  <c r="D597" i="3"/>
  <c r="C597" i="3"/>
  <c r="M597" i="3" s="1" a="1"/>
  <c r="M597" i="3" s="1"/>
  <c r="D596" i="3"/>
  <c r="C596" i="3"/>
  <c r="G596" i="3" s="1" a="1"/>
  <c r="G596" i="3" s="1"/>
  <c r="D595" i="3"/>
  <c r="C595" i="3"/>
  <c r="G595" i="3" s="1" a="1"/>
  <c r="G595" i="3" s="1"/>
  <c r="D594" i="3"/>
  <c r="C594" i="3"/>
  <c r="M594" i="3" s="1" a="1"/>
  <c r="M594" i="3" s="1"/>
  <c r="D593" i="3"/>
  <c r="C593" i="3"/>
  <c r="M593" i="3" s="1" a="1"/>
  <c r="M593" i="3" s="1"/>
  <c r="D592" i="3"/>
  <c r="C592" i="3"/>
  <c r="G592" i="3" s="1" a="1"/>
  <c r="G592" i="3" s="1"/>
  <c r="D591" i="3"/>
  <c r="C591" i="3"/>
  <c r="G591" i="3" s="1" a="1"/>
  <c r="G591" i="3" s="1"/>
  <c r="D590" i="3"/>
  <c r="C590" i="3"/>
  <c r="G590" i="3" s="1" a="1"/>
  <c r="G590" i="3" s="1"/>
  <c r="D589" i="3"/>
  <c r="C589" i="3"/>
  <c r="G589" i="3" s="1" a="1"/>
  <c r="G589" i="3" s="1"/>
  <c r="D588" i="3"/>
  <c r="C588" i="3"/>
  <c r="D587" i="3"/>
  <c r="C587" i="3"/>
  <c r="G587" i="3" s="1" a="1"/>
  <c r="G587" i="3" s="1"/>
  <c r="D586" i="3"/>
  <c r="C586" i="3"/>
  <c r="G586" i="3" s="1" a="1"/>
  <c r="G586" i="3" s="1"/>
  <c r="D585" i="3"/>
  <c r="C585" i="3"/>
  <c r="G585" i="3" s="1" a="1"/>
  <c r="G585" i="3" s="1"/>
  <c r="D584" i="3"/>
  <c r="C584" i="3"/>
  <c r="G584" i="3" s="1" a="1"/>
  <c r="G584" i="3" s="1"/>
  <c r="D583" i="3"/>
  <c r="C583" i="3"/>
  <c r="G583" i="3" s="1" a="1"/>
  <c r="G583" i="3" s="1"/>
  <c r="D582" i="3"/>
  <c r="C582" i="3"/>
  <c r="M582" i="3" s="1" a="1"/>
  <c r="M582" i="3" s="1"/>
  <c r="D581" i="3"/>
  <c r="C581" i="3"/>
  <c r="D580" i="3"/>
  <c r="C580" i="3"/>
  <c r="G580" i="3" s="1" a="1"/>
  <c r="G580" i="3" s="1"/>
  <c r="D579" i="3"/>
  <c r="C579" i="3"/>
  <c r="D578" i="3"/>
  <c r="C578" i="3"/>
  <c r="G578" i="3" s="1" a="1"/>
  <c r="G578" i="3" s="1"/>
  <c r="D577" i="3"/>
  <c r="C577" i="3"/>
  <c r="G577" i="3" s="1" a="1"/>
  <c r="G577" i="3" s="1"/>
  <c r="D576" i="3"/>
  <c r="C576" i="3"/>
  <c r="M576" i="3" s="1" a="1"/>
  <c r="M576" i="3" s="1"/>
  <c r="D575" i="3"/>
  <c r="C575" i="3"/>
  <c r="D574" i="3"/>
  <c r="C574" i="3"/>
  <c r="G574" i="3" s="1" a="1"/>
  <c r="G574" i="3" s="1"/>
  <c r="D573" i="3"/>
  <c r="C573" i="3"/>
  <c r="D572" i="3"/>
  <c r="C572" i="3"/>
  <c r="G572" i="3" s="1" a="1"/>
  <c r="G572" i="3" s="1"/>
  <c r="D571" i="3"/>
  <c r="C571" i="3"/>
  <c r="G571" i="3" s="1" a="1"/>
  <c r="G571" i="3" s="1"/>
  <c r="D570" i="3"/>
  <c r="C570" i="3"/>
  <c r="D569" i="3"/>
  <c r="C569" i="3"/>
  <c r="M569" i="3" s="1" a="1"/>
  <c r="M569" i="3" s="1"/>
  <c r="D568" i="3"/>
  <c r="C568" i="3"/>
  <c r="G568" i="3" s="1" a="1"/>
  <c r="G568" i="3" s="1"/>
  <c r="D567" i="3"/>
  <c r="C567" i="3"/>
  <c r="D566" i="3"/>
  <c r="C566" i="3"/>
  <c r="G566" i="3" s="1" a="1"/>
  <c r="G566" i="3" s="1"/>
  <c r="D565" i="3"/>
  <c r="C565" i="3"/>
  <c r="G565" i="3" s="1" a="1"/>
  <c r="G565" i="3" s="1"/>
  <c r="D564" i="3"/>
  <c r="C564" i="3"/>
  <c r="D563" i="3"/>
  <c r="C563" i="3"/>
  <c r="D562" i="3"/>
  <c r="C562" i="3"/>
  <c r="G562" i="3" s="1" a="1"/>
  <c r="G562" i="3" s="1"/>
  <c r="D561" i="3"/>
  <c r="C561" i="3"/>
  <c r="M561" i="3" s="1" a="1"/>
  <c r="M561" i="3" s="1"/>
  <c r="D560" i="3"/>
  <c r="C560" i="3"/>
  <c r="G560" i="3" s="1" a="1"/>
  <c r="G560" i="3" s="1"/>
  <c r="D559" i="3"/>
  <c r="C559" i="3"/>
  <c r="G559" i="3" s="1" a="1"/>
  <c r="G559" i="3" s="1"/>
  <c r="D558" i="3"/>
  <c r="C558" i="3"/>
  <c r="D557" i="3"/>
  <c r="C557" i="3"/>
  <c r="D556" i="3"/>
  <c r="C556" i="3"/>
  <c r="G556" i="3" s="1" a="1"/>
  <c r="G556" i="3" s="1"/>
  <c r="D555" i="3"/>
  <c r="C555" i="3"/>
  <c r="D554" i="3"/>
  <c r="C554" i="3"/>
  <c r="G554" i="3" s="1" a="1"/>
  <c r="G554" i="3" s="1"/>
  <c r="D553" i="3"/>
  <c r="C553" i="3"/>
  <c r="G553" i="3" s="1" a="1"/>
  <c r="G553" i="3" s="1"/>
  <c r="D552" i="3"/>
  <c r="C552" i="3"/>
  <c r="G552" i="3" s="1" a="1"/>
  <c r="G552" i="3" s="1"/>
  <c r="D551" i="3"/>
  <c r="C551" i="3"/>
  <c r="M551" i="3" s="1" a="1"/>
  <c r="M551" i="3" s="1"/>
  <c r="D550" i="3"/>
  <c r="C550" i="3"/>
  <c r="G550" i="3" s="1" a="1"/>
  <c r="G550" i="3" s="1"/>
  <c r="D549" i="3"/>
  <c r="C549" i="3"/>
  <c r="M549" i="3" s="1" a="1"/>
  <c r="M549" i="3" s="1"/>
  <c r="D548" i="3"/>
  <c r="C548" i="3"/>
  <c r="G548" i="3" s="1" a="1"/>
  <c r="G548" i="3" s="1"/>
  <c r="D547" i="3"/>
  <c r="C547" i="3"/>
  <c r="G547" i="3" s="1" a="1"/>
  <c r="G547" i="3" s="1"/>
  <c r="D546" i="3"/>
  <c r="C546" i="3"/>
  <c r="D545" i="3"/>
  <c r="C545" i="3"/>
  <c r="D544" i="3"/>
  <c r="C544" i="3"/>
  <c r="G544" i="3" s="1" a="1"/>
  <c r="G544" i="3" s="1"/>
  <c r="D543" i="3"/>
  <c r="C543" i="3"/>
  <c r="G543" i="3" s="1" a="1"/>
  <c r="G543" i="3" s="1"/>
  <c r="D542" i="3"/>
  <c r="C542" i="3"/>
  <c r="G542" i="3" s="1" a="1"/>
  <c r="G542" i="3" s="1"/>
  <c r="D541" i="3"/>
  <c r="C541" i="3"/>
  <c r="G541" i="3" s="1" a="1"/>
  <c r="G541" i="3" s="1"/>
  <c r="D540" i="3"/>
  <c r="C540" i="3"/>
  <c r="M540" i="3" s="1" a="1"/>
  <c r="M540" i="3" s="1"/>
  <c r="D539" i="3"/>
  <c r="C539" i="3"/>
  <c r="D538" i="3"/>
  <c r="C538" i="3"/>
  <c r="G538" i="3" s="1" a="1"/>
  <c r="G538" i="3" s="1"/>
  <c r="D537" i="3"/>
  <c r="C537" i="3"/>
  <c r="M537" i="3" s="1" a="1"/>
  <c r="M537" i="3" s="1"/>
  <c r="D536" i="3"/>
  <c r="C536" i="3"/>
  <c r="G536" i="3" s="1" a="1"/>
  <c r="G536" i="3" s="1"/>
  <c r="D535" i="3"/>
  <c r="C535" i="3"/>
  <c r="G535" i="3" s="1" a="1"/>
  <c r="G535" i="3" s="1"/>
  <c r="D534" i="3"/>
  <c r="C534" i="3"/>
  <c r="M534" i="3" s="1" a="1"/>
  <c r="M534" i="3" s="1"/>
  <c r="D533" i="3"/>
  <c r="C533" i="3"/>
  <c r="D532" i="3"/>
  <c r="C532" i="3"/>
  <c r="G532" i="3" s="1" a="1"/>
  <c r="G532" i="3" s="1"/>
  <c r="D531" i="3"/>
  <c r="C531" i="3"/>
  <c r="D530" i="3"/>
  <c r="C530" i="3"/>
  <c r="G530" i="3" s="1" a="1"/>
  <c r="G530" i="3" s="1"/>
  <c r="D529" i="3"/>
  <c r="C529" i="3"/>
  <c r="G529" i="3" s="1" a="1"/>
  <c r="G529" i="3" s="1"/>
  <c r="D528" i="3"/>
  <c r="C528" i="3"/>
  <c r="D527" i="3"/>
  <c r="C527" i="3"/>
  <c r="M527" i="3" s="1" a="1"/>
  <c r="M527" i="3" s="1"/>
  <c r="D526" i="3"/>
  <c r="C526" i="3"/>
  <c r="G526" i="3" s="1" a="1"/>
  <c r="G526" i="3" s="1"/>
  <c r="D525" i="3"/>
  <c r="C525" i="3"/>
  <c r="M525" i="3" s="1" a="1"/>
  <c r="M525" i="3" s="1"/>
  <c r="D524" i="3"/>
  <c r="C524" i="3"/>
  <c r="G524" i="3" s="1" a="1"/>
  <c r="G524" i="3" s="1"/>
  <c r="D523" i="3"/>
  <c r="C523" i="3"/>
  <c r="G523" i="3" s="1" a="1"/>
  <c r="G523" i="3" s="1"/>
  <c r="D522" i="3"/>
  <c r="C522" i="3"/>
  <c r="M522" i="3" s="1" a="1"/>
  <c r="M522" i="3" s="1"/>
  <c r="D521" i="3"/>
  <c r="C521" i="3"/>
  <c r="M521" i="3" s="1" a="1"/>
  <c r="M521" i="3" s="1"/>
  <c r="D520" i="3"/>
  <c r="C520" i="3"/>
  <c r="G520" i="3" s="1" a="1"/>
  <c r="G520" i="3" s="1"/>
  <c r="D519" i="3"/>
  <c r="C519" i="3"/>
  <c r="D518" i="3"/>
  <c r="C518" i="3"/>
  <c r="G518" i="3" s="1" a="1"/>
  <c r="G518" i="3" s="1"/>
  <c r="D517" i="3"/>
  <c r="C517" i="3"/>
  <c r="G517" i="3" s="1" a="1"/>
  <c r="G517" i="3" s="1"/>
  <c r="D516" i="3"/>
  <c r="C516" i="3"/>
  <c r="D515" i="3"/>
  <c r="C515" i="3"/>
  <c r="D514" i="3"/>
  <c r="C514" i="3"/>
  <c r="G514" i="3" s="1" a="1"/>
  <c r="G514" i="3" s="1"/>
  <c r="D513" i="3"/>
  <c r="C513" i="3"/>
  <c r="D512" i="3"/>
  <c r="C512" i="3"/>
  <c r="G512" i="3" s="1" a="1"/>
  <c r="G512" i="3" s="1"/>
  <c r="D511" i="3"/>
  <c r="C511" i="3"/>
  <c r="G511" i="3" s="1" a="1"/>
  <c r="G511" i="3" s="1"/>
  <c r="D510" i="3"/>
  <c r="C510" i="3"/>
  <c r="M510" i="3" s="1" a="1"/>
  <c r="M510" i="3" s="1"/>
  <c r="D509" i="3"/>
  <c r="C509" i="3"/>
  <c r="M509" i="3" s="1" a="1"/>
  <c r="M509" i="3" s="1"/>
  <c r="D508" i="3"/>
  <c r="C508" i="3"/>
  <c r="G508" i="3" s="1" a="1"/>
  <c r="G508" i="3" s="1"/>
  <c r="D507" i="3"/>
  <c r="C507" i="3"/>
  <c r="D506" i="3"/>
  <c r="C506" i="3"/>
  <c r="G506" i="3" s="1" a="1"/>
  <c r="G506" i="3" s="1"/>
  <c r="D505" i="3"/>
  <c r="C505" i="3"/>
  <c r="G505" i="3" s="1" a="1"/>
  <c r="G505" i="3" s="1"/>
  <c r="D504" i="3"/>
  <c r="C504" i="3"/>
  <c r="D503" i="3"/>
  <c r="C503" i="3"/>
  <c r="D502" i="3"/>
  <c r="C502" i="3"/>
  <c r="G502" i="3" s="1" a="1"/>
  <c r="G502" i="3" s="1"/>
  <c r="D501" i="3"/>
  <c r="C501" i="3"/>
  <c r="D500" i="3"/>
  <c r="C500" i="3"/>
  <c r="G500" i="3" s="1" a="1"/>
  <c r="G500" i="3" s="1"/>
  <c r="D499" i="3"/>
  <c r="C499" i="3"/>
  <c r="G499" i="3" s="1" a="1"/>
  <c r="G499" i="3" s="1"/>
  <c r="D498" i="3"/>
  <c r="C498" i="3"/>
  <c r="G498" i="3" s="1" a="1"/>
  <c r="G498" i="3" s="1"/>
  <c r="D497" i="3"/>
  <c r="C497" i="3"/>
  <c r="M497" i="3" s="1" a="1"/>
  <c r="M497" i="3" s="1"/>
  <c r="D496" i="3"/>
  <c r="C496" i="3"/>
  <c r="G496" i="3" s="1" a="1"/>
  <c r="G496" i="3" s="1"/>
  <c r="D495" i="3"/>
  <c r="C495" i="3"/>
  <c r="M495" i="3" s="1" a="1"/>
  <c r="M495" i="3" s="1"/>
  <c r="D494" i="3"/>
  <c r="C494" i="3"/>
  <c r="G494" i="3" s="1" a="1"/>
  <c r="G494" i="3" s="1"/>
  <c r="D493" i="3"/>
  <c r="C493" i="3"/>
  <c r="G493" i="3" s="1" a="1"/>
  <c r="G493" i="3" s="1"/>
  <c r="D492" i="3"/>
  <c r="C492" i="3"/>
  <c r="D491" i="3"/>
  <c r="C491" i="3"/>
  <c r="D490" i="3"/>
  <c r="C490" i="3"/>
  <c r="G490" i="3" s="1" a="1"/>
  <c r="G490" i="3" s="1"/>
  <c r="D489" i="3"/>
  <c r="C489" i="3"/>
  <c r="G489" i="3" s="1" a="1"/>
  <c r="G489" i="3" s="1"/>
  <c r="D488" i="3"/>
  <c r="C488" i="3"/>
  <c r="G488" i="3" s="1" a="1"/>
  <c r="G488" i="3" s="1"/>
  <c r="D487" i="3"/>
  <c r="C487" i="3"/>
  <c r="G487" i="3" s="1" a="1"/>
  <c r="G487" i="3" s="1"/>
  <c r="D486" i="3"/>
  <c r="C486" i="3"/>
  <c r="D485" i="3"/>
  <c r="C485" i="3"/>
  <c r="D484" i="3"/>
  <c r="C484" i="3"/>
  <c r="G484" i="3" s="1" a="1"/>
  <c r="G484" i="3" s="1"/>
  <c r="D483" i="3"/>
  <c r="C483" i="3"/>
  <c r="D482" i="3"/>
  <c r="C482" i="3"/>
  <c r="G482" i="3" s="1" a="1"/>
  <c r="G482" i="3" s="1"/>
  <c r="D481" i="3"/>
  <c r="C481" i="3"/>
  <c r="G481" i="3" s="1" a="1"/>
  <c r="G481" i="3" s="1"/>
  <c r="D480" i="3"/>
  <c r="C480" i="3"/>
  <c r="M480" i="3" s="1" a="1"/>
  <c r="M480" i="3" s="1"/>
  <c r="D479" i="3"/>
  <c r="C479" i="3"/>
  <c r="G479" i="3" s="1" a="1"/>
  <c r="G479" i="3" s="1"/>
  <c r="D478" i="3"/>
  <c r="C478" i="3"/>
  <c r="G478" i="3" s="1" a="1"/>
  <c r="G478" i="3" s="1"/>
  <c r="D477" i="3"/>
  <c r="C477" i="3"/>
  <c r="M477" i="3" s="1" a="1"/>
  <c r="M477" i="3" s="1"/>
  <c r="D476" i="3"/>
  <c r="C476" i="3"/>
  <c r="G476" i="3" s="1" a="1"/>
  <c r="G476" i="3" s="1"/>
  <c r="D475" i="3"/>
  <c r="C475" i="3"/>
  <c r="G475" i="3" s="1" a="1"/>
  <c r="G475" i="3" s="1"/>
  <c r="D474" i="3"/>
  <c r="C474" i="3"/>
  <c r="D473" i="3"/>
  <c r="C473" i="3"/>
  <c r="D472" i="3"/>
  <c r="C472" i="3"/>
  <c r="G472" i="3" s="1" a="1"/>
  <c r="G472" i="3" s="1"/>
  <c r="D471" i="3"/>
  <c r="C471" i="3"/>
  <c r="D470" i="3"/>
  <c r="C470" i="3"/>
  <c r="G470" i="3" s="1" a="1"/>
  <c r="G470" i="3" s="1"/>
  <c r="D469" i="3"/>
  <c r="C469" i="3"/>
  <c r="G469" i="3" s="1" a="1"/>
  <c r="G469" i="3" s="1"/>
  <c r="D468" i="3"/>
  <c r="C468" i="3"/>
  <c r="D467" i="3"/>
  <c r="C467" i="3"/>
  <c r="D466" i="3"/>
  <c r="C466" i="3"/>
  <c r="G466" i="3" s="1" a="1"/>
  <c r="G466" i="3" s="1"/>
  <c r="D465" i="3"/>
  <c r="C465" i="3"/>
  <c r="M465" i="3" s="1" a="1"/>
  <c r="M465" i="3" s="1"/>
  <c r="D464" i="3"/>
  <c r="C464" i="3"/>
  <c r="G464" i="3" s="1" a="1"/>
  <c r="G464" i="3" s="1"/>
  <c r="D463" i="3"/>
  <c r="C463" i="3"/>
  <c r="G463" i="3" s="1" a="1"/>
  <c r="G463" i="3" s="1"/>
  <c r="D462" i="3"/>
  <c r="C462" i="3"/>
  <c r="M462" i="3" s="1" a="1"/>
  <c r="M462" i="3" s="1"/>
  <c r="D461" i="3"/>
  <c r="C461" i="3"/>
  <c r="M461" i="3" s="1" a="1"/>
  <c r="M461" i="3" s="1"/>
  <c r="D460" i="3"/>
  <c r="C460" i="3"/>
  <c r="G460" i="3" s="1" a="1"/>
  <c r="G460" i="3" s="1"/>
  <c r="D459" i="3"/>
  <c r="C459" i="3"/>
  <c r="D458" i="3"/>
  <c r="C458" i="3"/>
  <c r="G458" i="3" s="1" a="1"/>
  <c r="G458" i="3" s="1"/>
  <c r="D457" i="3"/>
  <c r="C457" i="3"/>
  <c r="G457" i="3" s="1" a="1"/>
  <c r="G457" i="3" s="1"/>
  <c r="D456" i="3"/>
  <c r="C456" i="3"/>
  <c r="D455" i="3"/>
  <c r="C455" i="3"/>
  <c r="D454" i="3"/>
  <c r="C454" i="3"/>
  <c r="G454" i="3" s="1" a="1"/>
  <c r="G454" i="3" s="1"/>
  <c r="D453" i="3"/>
  <c r="C453" i="3"/>
  <c r="D452" i="3"/>
  <c r="C452" i="3"/>
  <c r="G452" i="3" s="1" a="1"/>
  <c r="G452" i="3" s="1"/>
  <c r="D451" i="3"/>
  <c r="C451" i="3"/>
  <c r="G451" i="3" s="1" a="1"/>
  <c r="G451" i="3" s="1"/>
  <c r="D450" i="3"/>
  <c r="C450" i="3"/>
  <c r="M450" i="3" s="1" a="1"/>
  <c r="M450" i="3" s="1"/>
  <c r="D449" i="3"/>
  <c r="C449" i="3"/>
  <c r="M449" i="3" s="1" a="1"/>
  <c r="M449" i="3" s="1"/>
  <c r="D448" i="3"/>
  <c r="C448" i="3"/>
  <c r="G448" i="3" s="1" a="1"/>
  <c r="G448" i="3" s="1"/>
  <c r="D447" i="3"/>
  <c r="C447" i="3"/>
  <c r="D446" i="3"/>
  <c r="C446" i="3"/>
  <c r="G446" i="3" s="1" a="1"/>
  <c r="G446" i="3" s="1"/>
  <c r="D445" i="3"/>
  <c r="C445" i="3"/>
  <c r="G445" i="3" s="1" a="1"/>
  <c r="G445" i="3" s="1"/>
  <c r="D444" i="3"/>
  <c r="C444" i="3"/>
  <c r="D443" i="3"/>
  <c r="C443" i="3"/>
  <c r="D442" i="3"/>
  <c r="C442" i="3"/>
  <c r="G442" i="3" s="1" a="1"/>
  <c r="G442" i="3" s="1"/>
  <c r="D441" i="3"/>
  <c r="C441" i="3"/>
  <c r="D440" i="3"/>
  <c r="C440" i="3"/>
  <c r="G440" i="3" s="1" a="1"/>
  <c r="G440" i="3" s="1"/>
  <c r="D439" i="3"/>
  <c r="C439" i="3"/>
  <c r="G439" i="3" s="1" a="1"/>
  <c r="G439" i="3" s="1"/>
  <c r="D438" i="3"/>
  <c r="C438" i="3"/>
  <c r="D437" i="3"/>
  <c r="C437" i="3"/>
  <c r="D436" i="3"/>
  <c r="C436" i="3"/>
  <c r="G436" i="3" s="1" a="1"/>
  <c r="G436" i="3" s="1"/>
  <c r="D435" i="3"/>
  <c r="C435" i="3"/>
  <c r="M435" i="3" s="1" a="1"/>
  <c r="M435" i="3" s="1"/>
  <c r="D434" i="3"/>
  <c r="C434" i="3"/>
  <c r="G434" i="3" s="1" a="1"/>
  <c r="G434" i="3" s="1"/>
  <c r="D433" i="3"/>
  <c r="C433" i="3"/>
  <c r="G433" i="3" s="1" a="1"/>
  <c r="G433" i="3" s="1"/>
  <c r="D432" i="3"/>
  <c r="C432" i="3"/>
  <c r="M432" i="3" s="1" a="1"/>
  <c r="M432" i="3" s="1"/>
  <c r="D431" i="3"/>
  <c r="C431" i="3"/>
  <c r="M431" i="3" s="1" a="1"/>
  <c r="M431" i="3" s="1"/>
  <c r="D430" i="3"/>
  <c r="C430" i="3"/>
  <c r="G430" i="3" s="1" a="1"/>
  <c r="G430" i="3" s="1"/>
  <c r="D429" i="3"/>
  <c r="C429" i="3"/>
  <c r="D428" i="3"/>
  <c r="C428" i="3"/>
  <c r="G428" i="3" s="1" a="1"/>
  <c r="G428" i="3" s="1"/>
  <c r="D427" i="3"/>
  <c r="C427" i="3"/>
  <c r="G427" i="3" s="1" a="1"/>
  <c r="G427" i="3" s="1"/>
  <c r="D426" i="3"/>
  <c r="C426" i="3"/>
  <c r="D425" i="3"/>
  <c r="C425" i="3"/>
  <c r="D424" i="3"/>
  <c r="C424" i="3"/>
  <c r="G424" i="3" s="1" a="1"/>
  <c r="G424" i="3" s="1"/>
  <c r="D423" i="3"/>
  <c r="C423" i="3"/>
  <c r="D422" i="3"/>
  <c r="C422" i="3"/>
  <c r="G422" i="3" s="1" a="1"/>
  <c r="G422" i="3" s="1"/>
  <c r="D421" i="3"/>
  <c r="C421" i="3"/>
  <c r="G421" i="3" s="1" a="1"/>
  <c r="G421" i="3" s="1"/>
  <c r="D420" i="3"/>
  <c r="C420" i="3"/>
  <c r="D419" i="3"/>
  <c r="C419" i="3"/>
  <c r="M419" i="3" s="1" a="1"/>
  <c r="M419" i="3" s="1"/>
  <c r="D418" i="3"/>
  <c r="C418" i="3"/>
  <c r="G418" i="3" s="1" a="1"/>
  <c r="G418" i="3" s="1"/>
  <c r="D417" i="3"/>
  <c r="C417" i="3"/>
  <c r="M417" i="3" s="1" a="1"/>
  <c r="M417" i="3" s="1"/>
  <c r="D416" i="3"/>
  <c r="C416" i="3"/>
  <c r="G416" i="3" s="1" a="1"/>
  <c r="G416" i="3" s="1"/>
  <c r="D415" i="3"/>
  <c r="C415" i="3"/>
  <c r="M415" i="3" s="1" a="1"/>
  <c r="M415" i="3" s="1"/>
  <c r="D414" i="3"/>
  <c r="C414" i="3"/>
  <c r="M414" i="3" s="1" a="1"/>
  <c r="M414" i="3" s="1"/>
  <c r="D413" i="3"/>
  <c r="C413" i="3"/>
  <c r="M413" i="3" s="1" a="1"/>
  <c r="M413" i="3" s="1"/>
  <c r="D412" i="3"/>
  <c r="C412" i="3"/>
  <c r="G412" i="3" s="1" a="1"/>
  <c r="G412" i="3" s="1"/>
  <c r="D411" i="3"/>
  <c r="C411" i="3"/>
  <c r="D410" i="3"/>
  <c r="C410" i="3"/>
  <c r="G410" i="3" s="1" a="1"/>
  <c r="G410" i="3" s="1"/>
  <c r="D409" i="3"/>
  <c r="C409" i="3"/>
  <c r="D408" i="3"/>
  <c r="C408" i="3"/>
  <c r="D407" i="3"/>
  <c r="C407" i="3"/>
  <c r="D406" i="3"/>
  <c r="C406" i="3"/>
  <c r="G406" i="3" s="1" a="1"/>
  <c r="G406" i="3" s="1"/>
  <c r="D405" i="3"/>
  <c r="C405" i="3"/>
  <c r="M405" i="3" s="1" a="1"/>
  <c r="M405" i="3" s="1"/>
  <c r="D404" i="3"/>
  <c r="C404" i="3"/>
  <c r="G404" i="3" s="1" a="1"/>
  <c r="G404" i="3" s="1"/>
  <c r="D403" i="3"/>
  <c r="C403" i="3"/>
  <c r="D402" i="3"/>
  <c r="C402" i="3"/>
  <c r="D401" i="3"/>
  <c r="C401" i="3"/>
  <c r="M401" i="3" s="1" a="1"/>
  <c r="M401" i="3" s="1"/>
  <c r="D400" i="3"/>
  <c r="C400" i="3"/>
  <c r="G400" i="3" s="1" a="1"/>
  <c r="G400" i="3" s="1"/>
  <c r="D399" i="3"/>
  <c r="C399" i="3"/>
  <c r="D398" i="3"/>
  <c r="C398" i="3"/>
  <c r="G398" i="3" s="1" a="1"/>
  <c r="G398" i="3" s="1"/>
  <c r="D397" i="3"/>
  <c r="C397" i="3"/>
  <c r="D396" i="3"/>
  <c r="C396" i="3"/>
  <c r="M396" i="3" s="1" a="1"/>
  <c r="M396" i="3" s="1"/>
  <c r="D395" i="3"/>
  <c r="C395" i="3"/>
  <c r="D394" i="3"/>
  <c r="C394" i="3"/>
  <c r="G394" i="3" s="1" a="1"/>
  <c r="G394" i="3" s="1"/>
  <c r="D393" i="3"/>
  <c r="C393" i="3"/>
  <c r="D392" i="3"/>
  <c r="C392" i="3"/>
  <c r="G392" i="3" s="1" a="1"/>
  <c r="G392" i="3" s="1"/>
  <c r="D391" i="3"/>
  <c r="C391" i="3"/>
  <c r="D390" i="3"/>
  <c r="C390" i="3"/>
  <c r="M390" i="3" s="1" a="1"/>
  <c r="M390" i="3" s="1"/>
  <c r="D389" i="3"/>
  <c r="C389" i="3"/>
  <c r="D388" i="3"/>
  <c r="C388" i="3"/>
  <c r="G388" i="3" s="1" a="1"/>
  <c r="G388" i="3" s="1"/>
  <c r="D387" i="3"/>
  <c r="C387" i="3"/>
  <c r="D386" i="3"/>
  <c r="C386" i="3"/>
  <c r="G386" i="3" s="1" a="1"/>
  <c r="G386" i="3" s="1"/>
  <c r="D385" i="3"/>
  <c r="C385" i="3"/>
  <c r="D384" i="3"/>
  <c r="C384" i="3"/>
  <c r="D383" i="3"/>
  <c r="C383" i="3"/>
  <c r="M383" i="3" s="1" a="1"/>
  <c r="M383" i="3" s="1"/>
  <c r="D382" i="3"/>
  <c r="C382" i="3"/>
  <c r="G382" i="3" s="1" a="1"/>
  <c r="G382" i="3" s="1"/>
  <c r="D381" i="3"/>
  <c r="C381" i="3"/>
  <c r="D380" i="3"/>
  <c r="C380" i="3"/>
  <c r="G380" i="3" s="1" a="1"/>
  <c r="G380" i="3" s="1"/>
  <c r="D379" i="3"/>
  <c r="C379" i="3"/>
  <c r="D378" i="3"/>
  <c r="C378" i="3"/>
  <c r="D377" i="3"/>
  <c r="C377" i="3"/>
  <c r="D376" i="3"/>
  <c r="C376" i="3"/>
  <c r="G376" i="3" s="1" a="1"/>
  <c r="G376" i="3" s="1"/>
  <c r="D375" i="3"/>
  <c r="C375" i="3"/>
  <c r="D374" i="3"/>
  <c r="C374" i="3"/>
  <c r="G374" i="3" s="1" a="1"/>
  <c r="G374" i="3" s="1"/>
  <c r="D373" i="3"/>
  <c r="C373" i="3"/>
  <c r="M373" i="3" s="1" a="1"/>
  <c r="M373" i="3" s="1"/>
  <c r="D372" i="3"/>
  <c r="C372" i="3"/>
  <c r="M372" i="3" s="1" a="1"/>
  <c r="M372" i="3" s="1"/>
  <c r="D371" i="3"/>
  <c r="C371" i="3"/>
  <c r="M371" i="3" s="1" a="1"/>
  <c r="M371" i="3" s="1"/>
  <c r="D370" i="3"/>
  <c r="C370" i="3"/>
  <c r="G370" i="3" s="1" a="1"/>
  <c r="G370" i="3" s="1"/>
  <c r="D369" i="3"/>
  <c r="C369" i="3"/>
  <c r="D368" i="3"/>
  <c r="C368" i="3"/>
  <c r="G368" i="3" s="1" a="1"/>
  <c r="G368" i="3" s="1"/>
  <c r="D367" i="3"/>
  <c r="C367" i="3"/>
  <c r="M367" i="3" s="1" a="1"/>
  <c r="M367" i="3" s="1"/>
  <c r="D366" i="3"/>
  <c r="C366" i="3"/>
  <c r="D365" i="3"/>
  <c r="C365" i="3"/>
  <c r="D364" i="3"/>
  <c r="C364" i="3"/>
  <c r="G364" i="3" s="1" a="1"/>
  <c r="G364" i="3" s="1"/>
  <c r="D363" i="3"/>
  <c r="C363" i="3"/>
  <c r="G363" i="3" s="1" a="1"/>
  <c r="G363" i="3" s="1"/>
  <c r="D362" i="3"/>
  <c r="C362" i="3"/>
  <c r="G362" i="3" s="1" a="1"/>
  <c r="G362" i="3" s="1"/>
  <c r="D361" i="3"/>
  <c r="C361" i="3"/>
  <c r="D360" i="3"/>
  <c r="C360" i="3"/>
  <c r="D359" i="3"/>
  <c r="C359" i="3"/>
  <c r="D358" i="3"/>
  <c r="C358" i="3"/>
  <c r="G358" i="3" s="1" a="1"/>
  <c r="G358" i="3" s="1"/>
  <c r="D357" i="3"/>
  <c r="C357" i="3"/>
  <c r="M357" i="3" s="1" a="1"/>
  <c r="M357" i="3" s="1"/>
  <c r="D356" i="3"/>
  <c r="C356" i="3"/>
  <c r="G356" i="3" s="1" a="1"/>
  <c r="G356" i="3" s="1"/>
  <c r="D355" i="3"/>
  <c r="C355" i="3"/>
  <c r="M355" i="3" s="1" a="1"/>
  <c r="M355" i="3" s="1"/>
  <c r="D354" i="3"/>
  <c r="C354" i="3"/>
  <c r="D353" i="3"/>
  <c r="C353" i="3"/>
  <c r="G353" i="3" s="1" a="1"/>
  <c r="G353" i="3" s="1"/>
  <c r="D352" i="3"/>
  <c r="C352" i="3"/>
  <c r="G352" i="3" s="1" a="1"/>
  <c r="G352" i="3" s="1"/>
  <c r="D351" i="3"/>
  <c r="C351" i="3"/>
  <c r="G351" i="3" s="1" a="1"/>
  <c r="G351" i="3" s="1"/>
  <c r="D350" i="3"/>
  <c r="C350" i="3"/>
  <c r="G350" i="3" s="1" a="1"/>
  <c r="G350" i="3" s="1"/>
  <c r="D349" i="3"/>
  <c r="C349" i="3"/>
  <c r="D348" i="3"/>
  <c r="C348" i="3"/>
  <c r="D347" i="3"/>
  <c r="C347" i="3"/>
  <c r="D346" i="3"/>
  <c r="C346" i="3"/>
  <c r="G346" i="3" s="1" a="1"/>
  <c r="G346" i="3" s="1"/>
  <c r="D345" i="3"/>
  <c r="C345" i="3"/>
  <c r="M345" i="3" s="1" a="1"/>
  <c r="M345" i="3" s="1"/>
  <c r="D344" i="3"/>
  <c r="C344" i="3"/>
  <c r="G344" i="3" s="1" a="1"/>
  <c r="G344" i="3" s="1"/>
  <c r="D343" i="3"/>
  <c r="C343" i="3"/>
  <c r="D342" i="3"/>
  <c r="C342" i="3"/>
  <c r="D341" i="3"/>
  <c r="C341" i="3"/>
  <c r="G341" i="3" s="1" a="1"/>
  <c r="G341" i="3" s="1"/>
  <c r="D340" i="3"/>
  <c r="C340" i="3"/>
  <c r="G340" i="3" s="1" a="1"/>
  <c r="G340" i="3" s="1"/>
  <c r="D339" i="3"/>
  <c r="C339" i="3"/>
  <c r="D338" i="3"/>
  <c r="C338" i="3"/>
  <c r="G338" i="3" s="1" a="1"/>
  <c r="G338" i="3" s="1"/>
  <c r="D337" i="3"/>
  <c r="C337" i="3"/>
  <c r="M337" i="3" s="1" a="1"/>
  <c r="M337" i="3" s="1"/>
  <c r="D336" i="3"/>
  <c r="C336" i="3"/>
  <c r="D335" i="3"/>
  <c r="C335" i="3"/>
  <c r="D334" i="3"/>
  <c r="C334" i="3"/>
  <c r="G334" i="3" s="1" a="1"/>
  <c r="G334" i="3" s="1"/>
  <c r="D333" i="3"/>
  <c r="C333" i="3"/>
  <c r="D332" i="3"/>
  <c r="C332" i="3"/>
  <c r="G332" i="3" s="1" a="1"/>
  <c r="G332" i="3" s="1"/>
  <c r="D331" i="3"/>
  <c r="C331" i="3"/>
  <c r="D330" i="3"/>
  <c r="C330" i="3"/>
  <c r="D329" i="3"/>
  <c r="C329" i="3"/>
  <c r="D328" i="3"/>
  <c r="C328" i="3"/>
  <c r="G328" i="3" s="1" a="1"/>
  <c r="G328" i="3" s="1"/>
  <c r="D327" i="3"/>
  <c r="C327" i="3"/>
  <c r="M327" i="3" s="1" a="1"/>
  <c r="M327" i="3" s="1"/>
  <c r="D326" i="3"/>
  <c r="C326" i="3"/>
  <c r="G326" i="3" s="1" a="1"/>
  <c r="G326" i="3" s="1"/>
  <c r="D325" i="3"/>
  <c r="C325" i="3"/>
  <c r="M325" i="3" s="1" a="1"/>
  <c r="M325" i="3" s="1"/>
  <c r="D324" i="3"/>
  <c r="C324" i="3"/>
  <c r="D323" i="3"/>
  <c r="C323" i="3"/>
  <c r="M323" i="3" s="1" a="1"/>
  <c r="M323" i="3" s="1"/>
  <c r="D322" i="3"/>
  <c r="C322" i="3"/>
  <c r="G322" i="3" s="1" a="1"/>
  <c r="G322" i="3" s="1"/>
  <c r="D321" i="3"/>
  <c r="C321" i="3"/>
  <c r="D320" i="3"/>
  <c r="C320" i="3"/>
  <c r="G320" i="3" s="1" a="1"/>
  <c r="G320" i="3" s="1"/>
  <c r="D319" i="3"/>
  <c r="C319" i="3"/>
  <c r="D318" i="3"/>
  <c r="C318" i="3"/>
  <c r="D317" i="3"/>
  <c r="C317" i="3"/>
  <c r="D316" i="3"/>
  <c r="C316" i="3"/>
  <c r="G316" i="3" s="1" a="1"/>
  <c r="G316" i="3" s="1"/>
  <c r="D315" i="3"/>
  <c r="C315" i="3"/>
  <c r="D314" i="3"/>
  <c r="C314" i="3"/>
  <c r="G314" i="3" s="1" a="1"/>
  <c r="G314" i="3" s="1"/>
  <c r="D313" i="3"/>
  <c r="C313" i="3"/>
  <c r="D312" i="3"/>
  <c r="C312" i="3"/>
  <c r="D311" i="3"/>
  <c r="C311" i="3"/>
  <c r="M311" i="3" s="1" a="1"/>
  <c r="M311" i="3" s="1"/>
  <c r="D310" i="3"/>
  <c r="C310" i="3"/>
  <c r="G310" i="3" s="1" a="1"/>
  <c r="G310" i="3" s="1"/>
  <c r="D309" i="3"/>
  <c r="C309" i="3"/>
  <c r="D308" i="3"/>
  <c r="C308" i="3"/>
  <c r="G308" i="3" s="1" a="1"/>
  <c r="G308" i="3" s="1"/>
  <c r="D307" i="3"/>
  <c r="C307" i="3"/>
  <c r="D306" i="3"/>
  <c r="C306" i="3"/>
  <c r="M306" i="3" s="1" a="1"/>
  <c r="M306" i="3" s="1"/>
  <c r="D305" i="3"/>
  <c r="C305" i="3"/>
  <c r="D304" i="3"/>
  <c r="C304" i="3"/>
  <c r="G304" i="3" s="1" a="1"/>
  <c r="G304" i="3" s="1"/>
  <c r="D303" i="3"/>
  <c r="C303" i="3"/>
  <c r="M303" i="3" s="1" a="1"/>
  <c r="M303" i="3" s="1"/>
  <c r="D302" i="3"/>
  <c r="C302" i="3"/>
  <c r="G302" i="3" s="1" a="1"/>
  <c r="G302" i="3" s="1"/>
  <c r="D301" i="3"/>
  <c r="C301" i="3"/>
  <c r="D300" i="3"/>
  <c r="C300" i="3"/>
  <c r="D299" i="3"/>
  <c r="C299" i="3"/>
  <c r="D298" i="3"/>
  <c r="C298" i="3"/>
  <c r="G298" i="3" s="1" a="1"/>
  <c r="G298" i="3" s="1"/>
  <c r="D297" i="3"/>
  <c r="C297" i="3"/>
  <c r="M297" i="3" s="1" a="1"/>
  <c r="M297" i="3" s="1"/>
  <c r="D296" i="3"/>
  <c r="C296" i="3"/>
  <c r="G296" i="3" s="1" a="1"/>
  <c r="G296" i="3" s="1"/>
  <c r="D295" i="3"/>
  <c r="C295" i="3"/>
  <c r="D294" i="3"/>
  <c r="C294" i="3"/>
  <c r="M294" i="3" s="1" a="1"/>
  <c r="M294" i="3" s="1"/>
  <c r="D293" i="3"/>
  <c r="C293" i="3"/>
  <c r="D292" i="3"/>
  <c r="C292" i="3"/>
  <c r="G292" i="3" s="1" a="1"/>
  <c r="G292" i="3" s="1"/>
  <c r="D291" i="3"/>
  <c r="C291" i="3"/>
  <c r="M291" i="3" s="1" a="1"/>
  <c r="M291" i="3" s="1"/>
  <c r="D290" i="3"/>
  <c r="C290" i="3"/>
  <c r="G290" i="3" s="1" a="1"/>
  <c r="G290" i="3" s="1"/>
  <c r="D289" i="3"/>
  <c r="C289" i="3"/>
  <c r="D288" i="3"/>
  <c r="C288" i="3"/>
  <c r="M288" i="3" s="1" a="1"/>
  <c r="M288" i="3" s="1"/>
  <c r="D287" i="3"/>
  <c r="C287" i="3"/>
  <c r="D286" i="3"/>
  <c r="C286" i="3"/>
  <c r="G286" i="3" s="1" a="1"/>
  <c r="G286" i="3" s="1"/>
  <c r="D285" i="3"/>
  <c r="C285" i="3"/>
  <c r="D284" i="3"/>
  <c r="C284" i="3"/>
  <c r="G284" i="3" s="1" a="1"/>
  <c r="G284" i="3" s="1"/>
  <c r="D283" i="3"/>
  <c r="C283" i="3"/>
  <c r="D282" i="3"/>
  <c r="C282" i="3"/>
  <c r="D281" i="3"/>
  <c r="C281" i="3"/>
  <c r="D280" i="3"/>
  <c r="C280" i="3"/>
  <c r="G280" i="3" s="1" a="1"/>
  <c r="G280" i="3" s="1"/>
  <c r="D279" i="3"/>
  <c r="C279" i="3"/>
  <c r="G279" i="3" s="1" a="1"/>
  <c r="G279" i="3" s="1"/>
  <c r="D278" i="3"/>
  <c r="C278" i="3"/>
  <c r="G278" i="3" s="1" a="1"/>
  <c r="G278" i="3" s="1"/>
  <c r="D277" i="3"/>
  <c r="C277" i="3"/>
  <c r="M277" i="3" s="1" a="1"/>
  <c r="M277" i="3" s="1"/>
  <c r="D276" i="3"/>
  <c r="C276" i="3"/>
  <c r="M276" i="3" s="1" a="1"/>
  <c r="M276" i="3" s="1"/>
  <c r="D275" i="3"/>
  <c r="C275" i="3"/>
  <c r="M275" i="3" s="1" a="1"/>
  <c r="M275" i="3" s="1"/>
  <c r="D274" i="3"/>
  <c r="C274" i="3"/>
  <c r="G274" i="3" s="1" a="1"/>
  <c r="G274" i="3" s="1"/>
  <c r="D273" i="3"/>
  <c r="C273" i="3"/>
  <c r="D272" i="3"/>
  <c r="C272" i="3"/>
  <c r="G272" i="3" s="1" a="1"/>
  <c r="G272" i="3" s="1"/>
  <c r="D271" i="3"/>
  <c r="C271" i="3"/>
  <c r="D270" i="3"/>
  <c r="C270" i="3"/>
  <c r="D269" i="3"/>
  <c r="C269" i="3"/>
  <c r="D268" i="3"/>
  <c r="C268" i="3"/>
  <c r="G268" i="3" s="1" a="1"/>
  <c r="G268" i="3" s="1"/>
  <c r="D267" i="3"/>
  <c r="C267" i="3"/>
  <c r="D266" i="3"/>
  <c r="C266" i="3"/>
  <c r="D265" i="3"/>
  <c r="C265" i="3"/>
  <c r="M265" i="3" s="1" a="1"/>
  <c r="M265" i="3" s="1"/>
  <c r="D264" i="3"/>
  <c r="C264" i="3"/>
  <c r="G264" i="3" s="1" a="1"/>
  <c r="G264" i="3" s="1"/>
  <c r="D263" i="3"/>
  <c r="C263" i="3"/>
  <c r="D262" i="3"/>
  <c r="C262" i="3"/>
  <c r="G262" i="3" s="1" a="1"/>
  <c r="G262" i="3" s="1"/>
  <c r="D261" i="3"/>
  <c r="C261" i="3"/>
  <c r="M261" i="3" s="1" a="1"/>
  <c r="M261" i="3" s="1"/>
  <c r="D260" i="3"/>
  <c r="C260" i="3"/>
  <c r="D259" i="3"/>
  <c r="C259" i="3"/>
  <c r="M259" i="3" s="1" a="1"/>
  <c r="M259" i="3" s="1"/>
  <c r="D258" i="3"/>
  <c r="C258" i="3"/>
  <c r="D257" i="3"/>
  <c r="C257" i="3"/>
  <c r="D256" i="3"/>
  <c r="C256" i="3"/>
  <c r="G256" i="3" s="1" a="1"/>
  <c r="G256" i="3" s="1"/>
  <c r="D255" i="3"/>
  <c r="C255" i="3"/>
  <c r="D254" i="3"/>
  <c r="C254" i="3"/>
  <c r="D253" i="3"/>
  <c r="C253" i="3"/>
  <c r="D252" i="3"/>
  <c r="C252" i="3"/>
  <c r="D251" i="3"/>
  <c r="C251" i="3"/>
  <c r="D250" i="3"/>
  <c r="C250" i="3"/>
  <c r="G250" i="3" s="1" a="1"/>
  <c r="G250" i="3" s="1"/>
  <c r="D249" i="3"/>
  <c r="C249" i="3"/>
  <c r="D248" i="3"/>
  <c r="C248" i="3"/>
  <c r="M248" i="3" s="1" a="1"/>
  <c r="M248" i="3" s="1"/>
  <c r="D247" i="3"/>
  <c r="C247" i="3"/>
  <c r="D246" i="3"/>
  <c r="C246" i="3"/>
  <c r="D245" i="3"/>
  <c r="C245" i="3"/>
  <c r="D244" i="3"/>
  <c r="C244" i="3"/>
  <c r="G244" i="3" s="1" a="1"/>
  <c r="G244" i="3" s="1"/>
  <c r="D243" i="3"/>
  <c r="C243" i="3"/>
  <c r="M243" i="3" s="1" a="1"/>
  <c r="M243" i="3" s="1"/>
  <c r="D242" i="3"/>
  <c r="C242" i="3"/>
  <c r="G242" i="3" s="1" a="1"/>
  <c r="G242" i="3" s="1"/>
  <c r="D241" i="3"/>
  <c r="C241" i="3"/>
  <c r="M241" i="3" s="1" a="1"/>
  <c r="M241" i="3" s="1"/>
  <c r="D240" i="3"/>
  <c r="C240" i="3"/>
  <c r="G240" i="3" s="1" a="1"/>
  <c r="G240" i="3" s="1"/>
  <c r="D239" i="3"/>
  <c r="C239" i="3"/>
  <c r="D238" i="3"/>
  <c r="C238" i="3"/>
  <c r="G238" i="3" s="1" a="1"/>
  <c r="G238" i="3" s="1"/>
  <c r="D237" i="3"/>
  <c r="C237" i="3"/>
  <c r="D236" i="3"/>
  <c r="C236" i="3"/>
  <c r="D235" i="3"/>
  <c r="C235" i="3"/>
  <c r="D234" i="3"/>
  <c r="C234" i="3"/>
  <c r="D233" i="3"/>
  <c r="C233" i="3"/>
  <c r="M233" i="3" s="1" a="1"/>
  <c r="M233" i="3" s="1"/>
  <c r="D232" i="3"/>
  <c r="C232" i="3"/>
  <c r="G232" i="3" s="1" a="1"/>
  <c r="G232" i="3" s="1"/>
  <c r="D231" i="3"/>
  <c r="C231" i="3"/>
  <c r="M231" i="3" s="1" a="1"/>
  <c r="M231" i="3" s="1"/>
  <c r="D230" i="3"/>
  <c r="C230" i="3"/>
  <c r="M230" i="3" s="1" a="1"/>
  <c r="M230" i="3" s="1"/>
  <c r="D229" i="3"/>
  <c r="C229" i="3"/>
  <c r="M229" i="3" s="1" a="1"/>
  <c r="M229" i="3" s="1"/>
  <c r="D228" i="3"/>
  <c r="C228" i="3"/>
  <c r="D227" i="3"/>
  <c r="C227" i="3"/>
  <c r="D226" i="3"/>
  <c r="C226" i="3"/>
  <c r="G226" i="3" s="1" a="1"/>
  <c r="G226" i="3" s="1"/>
  <c r="D225" i="3"/>
  <c r="C225" i="3"/>
  <c r="D224" i="3"/>
  <c r="C224" i="3"/>
  <c r="D223" i="3"/>
  <c r="C223" i="3"/>
  <c r="D222" i="3"/>
  <c r="C222" i="3"/>
  <c r="D221" i="3"/>
  <c r="C221" i="3"/>
  <c r="D220" i="3"/>
  <c r="C220" i="3"/>
  <c r="G220" i="3" s="1" a="1"/>
  <c r="G220" i="3" s="1"/>
  <c r="D219" i="3"/>
  <c r="C219" i="3"/>
  <c r="D218" i="3"/>
  <c r="C218" i="3"/>
  <c r="D217" i="3"/>
  <c r="C217" i="3"/>
  <c r="M217" i="3" s="1" a="1"/>
  <c r="M217" i="3" s="1"/>
  <c r="D216" i="3"/>
  <c r="C216" i="3"/>
  <c r="M216" i="3" s="1" a="1"/>
  <c r="M216" i="3" s="1"/>
  <c r="D215" i="3"/>
  <c r="C215" i="3"/>
  <c r="M215" i="3" s="1" a="1"/>
  <c r="M215" i="3" s="1"/>
  <c r="D214" i="3"/>
  <c r="C214" i="3"/>
  <c r="G214" i="3" s="1" a="1"/>
  <c r="G214" i="3" s="1"/>
  <c r="D213" i="3"/>
  <c r="C213" i="3"/>
  <c r="D212" i="3"/>
  <c r="C212" i="3"/>
  <c r="D211" i="3"/>
  <c r="C211" i="3"/>
  <c r="D210" i="3"/>
  <c r="C210" i="3"/>
  <c r="D209" i="3"/>
  <c r="C209" i="3"/>
  <c r="M209" i="3" s="1" a="1"/>
  <c r="M209" i="3" s="1"/>
  <c r="D208" i="3"/>
  <c r="C208" i="3"/>
  <c r="G208" i="3" s="1" a="1"/>
  <c r="G208" i="3" s="1"/>
  <c r="D207" i="3"/>
  <c r="C207" i="3"/>
  <c r="D206" i="3"/>
  <c r="C206" i="3"/>
  <c r="G206" i="3" s="1" a="1"/>
  <c r="G206" i="3" s="1"/>
  <c r="D205" i="3"/>
  <c r="C205" i="3"/>
  <c r="M205" i="3" s="1" a="1"/>
  <c r="M205" i="3" s="1"/>
  <c r="D204" i="3"/>
  <c r="C204" i="3"/>
  <c r="D203" i="3"/>
  <c r="C203" i="3"/>
  <c r="D202" i="3"/>
  <c r="C202" i="3"/>
  <c r="G202" i="3" s="1" a="1"/>
  <c r="G202" i="3" s="1"/>
  <c r="D201" i="3"/>
  <c r="C201" i="3"/>
  <c r="D200" i="3"/>
  <c r="C200" i="3"/>
  <c r="D199" i="3"/>
  <c r="C199" i="3"/>
  <c r="M199" i="3" s="1" a="1"/>
  <c r="M199" i="3" s="1"/>
  <c r="D198" i="3"/>
  <c r="C198" i="3"/>
  <c r="M198" i="3" s="1" a="1"/>
  <c r="M198" i="3" s="1"/>
  <c r="D197" i="3"/>
  <c r="C197" i="3"/>
  <c r="M197" i="3" s="1" a="1"/>
  <c r="M197" i="3" s="1"/>
  <c r="D196" i="3"/>
  <c r="C196" i="3"/>
  <c r="G196" i="3" s="1" a="1"/>
  <c r="G196" i="3" s="1"/>
  <c r="D195" i="3"/>
  <c r="C195" i="3"/>
  <c r="D194" i="3"/>
  <c r="C194" i="3"/>
  <c r="D193" i="3"/>
  <c r="C193" i="3"/>
  <c r="D192" i="3"/>
  <c r="C192" i="3"/>
  <c r="D191" i="3"/>
  <c r="C191" i="3"/>
  <c r="D190" i="3"/>
  <c r="C190" i="3"/>
  <c r="G190" i="3" s="1" a="1"/>
  <c r="G190" i="3" s="1"/>
  <c r="D189" i="3"/>
  <c r="C189" i="3"/>
  <c r="G189" i="3" s="1" a="1"/>
  <c r="G189" i="3" s="1"/>
  <c r="D188" i="3"/>
  <c r="C188" i="3"/>
  <c r="M188" i="3" s="1" a="1"/>
  <c r="M188" i="3" s="1"/>
  <c r="D187" i="3"/>
  <c r="C187" i="3"/>
  <c r="M187" i="3" s="1" a="1"/>
  <c r="M187" i="3" s="1"/>
  <c r="D186" i="3"/>
  <c r="C186" i="3"/>
  <c r="D185" i="3"/>
  <c r="C185" i="3"/>
  <c r="D184" i="3"/>
  <c r="C184" i="3"/>
  <c r="G184" i="3" s="1" a="1"/>
  <c r="G184" i="3" s="1"/>
  <c r="D183" i="3"/>
  <c r="C183" i="3"/>
  <c r="M183" i="3" s="1" a="1"/>
  <c r="M183" i="3" s="1"/>
  <c r="D182" i="3"/>
  <c r="C182" i="3"/>
  <c r="M182" i="3" s="1" a="1"/>
  <c r="M182" i="3" s="1"/>
  <c r="D181" i="3"/>
  <c r="C181" i="3"/>
  <c r="M181" i="3" s="1" a="1"/>
  <c r="M181" i="3" s="1"/>
  <c r="D180" i="3"/>
  <c r="C180" i="3"/>
  <c r="D179" i="3"/>
  <c r="C179" i="3"/>
  <c r="D178" i="3"/>
  <c r="C178" i="3"/>
  <c r="G178" i="3" s="1" a="1"/>
  <c r="G178" i="3" s="1"/>
  <c r="D177" i="3"/>
  <c r="C177" i="3"/>
  <c r="D176" i="3"/>
  <c r="C176" i="3"/>
  <c r="D175" i="3"/>
  <c r="C175" i="3"/>
  <c r="D174" i="3"/>
  <c r="C174" i="3"/>
  <c r="M174" i="3" s="1" a="1"/>
  <c r="M174" i="3" s="1"/>
  <c r="D173" i="3"/>
  <c r="C173" i="3"/>
  <c r="M173" i="3" s="1" a="1"/>
  <c r="M173" i="3" s="1"/>
  <c r="D172" i="3"/>
  <c r="C172" i="3"/>
  <c r="G172" i="3" s="1" a="1"/>
  <c r="G172" i="3" s="1"/>
  <c r="D171" i="3"/>
  <c r="C171" i="3"/>
  <c r="M171" i="3" s="1" a="1"/>
  <c r="M171" i="3" s="1"/>
  <c r="D170" i="3"/>
  <c r="C170" i="3"/>
  <c r="M170" i="3" s="1" a="1"/>
  <c r="M170" i="3" s="1"/>
  <c r="D169" i="3"/>
  <c r="C169" i="3"/>
  <c r="D168" i="3"/>
  <c r="C168" i="3"/>
  <c r="D167" i="3"/>
  <c r="C167" i="3"/>
  <c r="M167" i="3" s="1" a="1"/>
  <c r="M167" i="3" s="1"/>
  <c r="D166" i="3"/>
  <c r="C166" i="3"/>
  <c r="G166" i="3" s="1" a="1"/>
  <c r="G166" i="3" s="1"/>
  <c r="D165" i="3"/>
  <c r="C165" i="3"/>
  <c r="D164" i="3"/>
  <c r="C164" i="3"/>
  <c r="D163" i="3"/>
  <c r="C163" i="3"/>
  <c r="D162" i="3"/>
  <c r="C162" i="3"/>
  <c r="D161" i="3"/>
  <c r="C161" i="3"/>
  <c r="D160" i="3"/>
  <c r="C160" i="3"/>
  <c r="G160" i="3" s="1" a="1"/>
  <c r="G160" i="3" s="1"/>
  <c r="D159" i="3"/>
  <c r="C159" i="3"/>
  <c r="D158" i="3"/>
  <c r="C158" i="3"/>
  <c r="M158" i="3" s="1" a="1"/>
  <c r="M158" i="3" s="1"/>
  <c r="D157" i="3"/>
  <c r="C157" i="3"/>
  <c r="D156" i="3"/>
  <c r="C156" i="3"/>
  <c r="M156" i="3" s="1" a="1"/>
  <c r="M156" i="3" s="1"/>
  <c r="D155" i="3"/>
  <c r="C155" i="3"/>
  <c r="D154" i="3"/>
  <c r="C154" i="3"/>
  <c r="G154" i="3" s="1" a="1"/>
  <c r="G154" i="3" s="1"/>
  <c r="D153" i="3"/>
  <c r="C153" i="3"/>
  <c r="D152" i="3"/>
  <c r="C152" i="3"/>
  <c r="D151" i="3"/>
  <c r="C151" i="3"/>
  <c r="D150" i="3"/>
  <c r="C150" i="3"/>
  <c r="M150" i="3" s="1" a="1"/>
  <c r="M150" i="3" s="1"/>
  <c r="D149" i="3"/>
  <c r="C149" i="3"/>
  <c r="D148" i="3"/>
  <c r="C148" i="3"/>
  <c r="G148" i="3" s="1" a="1"/>
  <c r="G148" i="3" s="1"/>
  <c r="D147" i="3"/>
  <c r="C147" i="3"/>
  <c r="D146" i="3"/>
  <c r="C146" i="3"/>
  <c r="D145" i="3"/>
  <c r="C145" i="3"/>
  <c r="D144" i="3"/>
  <c r="C144" i="3"/>
  <c r="D143" i="3"/>
  <c r="C143" i="3"/>
  <c r="D142" i="3"/>
  <c r="C142" i="3"/>
  <c r="G142" i="3" s="1" a="1"/>
  <c r="G142" i="3" s="1"/>
  <c r="D141" i="3"/>
  <c r="C141" i="3"/>
  <c r="M141" i="3" s="1" a="1"/>
  <c r="M141" i="3" s="1"/>
  <c r="D140" i="3"/>
  <c r="C140" i="3"/>
  <c r="M140" i="3" s="1" a="1"/>
  <c r="M140" i="3" s="1"/>
  <c r="D139" i="3"/>
  <c r="C139" i="3"/>
  <c r="M139" i="3" s="1" a="1"/>
  <c r="M139" i="3" s="1"/>
  <c r="D138" i="3"/>
  <c r="C138" i="3"/>
  <c r="G138" i="3" s="1" a="1"/>
  <c r="G138" i="3" s="1"/>
  <c r="D137" i="3"/>
  <c r="C137" i="3"/>
  <c r="M137" i="3" s="1" a="1"/>
  <c r="M137" i="3" s="1"/>
  <c r="D136" i="3"/>
  <c r="C136" i="3"/>
  <c r="G136" i="3" s="1" a="1"/>
  <c r="G136" i="3" s="1"/>
  <c r="D135" i="3"/>
  <c r="C135" i="3"/>
  <c r="D134" i="3"/>
  <c r="C134" i="3"/>
  <c r="D133" i="3"/>
  <c r="C133" i="3"/>
  <c r="D132" i="3"/>
  <c r="C132" i="3"/>
  <c r="D131" i="3"/>
  <c r="C131" i="3"/>
  <c r="D130" i="3"/>
  <c r="C130" i="3"/>
  <c r="G130" i="3" s="1" a="1"/>
  <c r="G130" i="3" s="1"/>
  <c r="D129" i="3"/>
  <c r="C129" i="3"/>
  <c r="M129" i="3" s="1" a="1"/>
  <c r="M129" i="3" s="1"/>
  <c r="D128" i="3"/>
  <c r="C128" i="3"/>
  <c r="M128" i="3" s="1" a="1"/>
  <c r="M128" i="3" s="1"/>
  <c r="D127" i="3"/>
  <c r="C127" i="3"/>
  <c r="D126" i="3"/>
  <c r="C126" i="3"/>
  <c r="D125" i="3"/>
  <c r="C125" i="3"/>
  <c r="D124" i="3"/>
  <c r="C124" i="3"/>
  <c r="G124" i="3" s="1" a="1"/>
  <c r="G124" i="3" s="1"/>
  <c r="D123" i="3"/>
  <c r="C123" i="3"/>
  <c r="D122" i="3"/>
  <c r="C122" i="3"/>
  <c r="M122" i="3" s="1" a="1"/>
  <c r="M122" i="3" s="1"/>
  <c r="D121" i="3"/>
  <c r="C121" i="3"/>
  <c r="D120" i="3"/>
  <c r="C120" i="3"/>
  <c r="D119" i="3"/>
  <c r="C119" i="3"/>
  <c r="D118" i="3"/>
  <c r="C118" i="3"/>
  <c r="G118" i="3" s="1" a="1"/>
  <c r="G118" i="3" s="1"/>
  <c r="D117" i="3"/>
  <c r="C117" i="3"/>
  <c r="D116" i="3"/>
  <c r="C116" i="3"/>
  <c r="D115" i="3"/>
  <c r="C115" i="3"/>
  <c r="D114" i="3"/>
  <c r="C114" i="3"/>
  <c r="M114" i="3" s="1" a="1"/>
  <c r="M114" i="3" s="1"/>
  <c r="D113" i="3"/>
  <c r="C113" i="3"/>
  <c r="M113" i="3" s="1" a="1"/>
  <c r="M113" i="3" s="1"/>
  <c r="D112" i="3"/>
  <c r="C112" i="3"/>
  <c r="G112" i="3" s="1" a="1"/>
  <c r="G112" i="3" s="1"/>
  <c r="D111" i="3"/>
  <c r="C111" i="3"/>
  <c r="M111" i="3" s="1" a="1"/>
  <c r="M111" i="3" s="1"/>
  <c r="D110" i="3"/>
  <c r="C110" i="3"/>
  <c r="D109" i="3"/>
  <c r="C109" i="3"/>
  <c r="D108" i="3"/>
  <c r="C108" i="3"/>
  <c r="D107" i="3"/>
  <c r="C107" i="3"/>
  <c r="M107" i="3" s="1" a="1"/>
  <c r="M107" i="3" s="1"/>
  <c r="D106" i="3"/>
  <c r="C106" i="3"/>
  <c r="G106" i="3" s="1" a="1"/>
  <c r="G106" i="3" s="1"/>
  <c r="D105" i="3"/>
  <c r="C105" i="3"/>
  <c r="D104" i="3"/>
  <c r="C104" i="3"/>
  <c r="D103" i="3"/>
  <c r="C103" i="3"/>
  <c r="D102" i="3"/>
  <c r="C102" i="3"/>
  <c r="D101" i="3"/>
  <c r="C101" i="3"/>
  <c r="D100" i="3"/>
  <c r="C100" i="3"/>
  <c r="G100" i="3" s="1" a="1"/>
  <c r="G100" i="3" s="1"/>
  <c r="D99" i="3"/>
  <c r="C99" i="3"/>
  <c r="D98" i="3"/>
  <c r="C98" i="3"/>
  <c r="D97" i="3"/>
  <c r="C97" i="3"/>
  <c r="D96" i="3"/>
  <c r="C96" i="3"/>
  <c r="M96" i="3" s="1" a="1"/>
  <c r="M96" i="3" s="1"/>
  <c r="D95" i="3"/>
  <c r="C95" i="3"/>
  <c r="M95" i="3" s="1" a="1"/>
  <c r="M95" i="3" s="1"/>
  <c r="D94" i="3"/>
  <c r="C94" i="3"/>
  <c r="G94" i="3" s="1" a="1"/>
  <c r="G94" i="3" s="1"/>
  <c r="D93" i="3"/>
  <c r="C93" i="3"/>
  <c r="D92" i="3"/>
  <c r="C92" i="3"/>
  <c r="D91" i="3"/>
  <c r="C91" i="3"/>
  <c r="M91" i="3" s="1" a="1"/>
  <c r="M91" i="3" s="1"/>
  <c r="D90" i="3"/>
  <c r="C90" i="3"/>
  <c r="D89" i="3"/>
  <c r="C89" i="3"/>
  <c r="D88" i="3"/>
  <c r="C88" i="3"/>
  <c r="G88" i="3" s="1" a="1"/>
  <c r="G88" i="3" s="1"/>
  <c r="D87" i="3"/>
  <c r="C87" i="3"/>
  <c r="D86" i="3"/>
  <c r="C86" i="3"/>
  <c r="G86" i="3" s="1" a="1"/>
  <c r="G86" i="3" s="1"/>
  <c r="D85" i="3"/>
  <c r="C85" i="3"/>
  <c r="D84" i="3"/>
  <c r="C84" i="3"/>
  <c r="D83" i="3"/>
  <c r="C83" i="3"/>
  <c r="D82" i="3"/>
  <c r="C82" i="3"/>
  <c r="G82" i="3" s="1" a="1"/>
  <c r="G82" i="3" s="1"/>
  <c r="D81" i="3"/>
  <c r="C81" i="3"/>
  <c r="M81" i="3" s="1" a="1"/>
  <c r="M81" i="3" s="1"/>
  <c r="D80" i="3"/>
  <c r="C80" i="3"/>
  <c r="M80" i="3" s="1" a="1"/>
  <c r="M80" i="3" s="1"/>
  <c r="D79" i="3"/>
  <c r="C79" i="3"/>
  <c r="D78" i="3"/>
  <c r="C78" i="3"/>
  <c r="M78" i="3" s="1" a="1"/>
  <c r="M78" i="3" s="1"/>
  <c r="D77" i="3"/>
  <c r="C77" i="3"/>
  <c r="D76" i="3"/>
  <c r="C76" i="3"/>
  <c r="G76" i="3" s="1" a="1"/>
  <c r="G76" i="3" s="1"/>
  <c r="D75" i="3"/>
  <c r="C75" i="3"/>
  <c r="D74" i="3"/>
  <c r="C74" i="3"/>
  <c r="D73" i="3"/>
  <c r="C73" i="3"/>
  <c r="D72" i="3"/>
  <c r="C72" i="3"/>
  <c r="D71" i="3"/>
  <c r="C71" i="3"/>
  <c r="D70" i="3"/>
  <c r="C70" i="3"/>
  <c r="G70" i="3" s="1" a="1"/>
  <c r="G70" i="3" s="1"/>
  <c r="D69" i="3"/>
  <c r="C69" i="3"/>
  <c r="D68" i="3"/>
  <c r="C68" i="3"/>
  <c r="D67" i="3"/>
  <c r="C67" i="3"/>
  <c r="D66" i="3"/>
  <c r="C66" i="3"/>
  <c r="D65" i="3"/>
  <c r="C65" i="3"/>
  <c r="M65" i="3" s="1" a="1"/>
  <c r="M65" i="3" s="1"/>
  <c r="D64" i="3"/>
  <c r="C64" i="3"/>
  <c r="G64" i="3" s="1" a="1"/>
  <c r="G64" i="3" s="1"/>
  <c r="D63" i="3"/>
  <c r="C63" i="3"/>
  <c r="M63" i="3" s="1" a="1"/>
  <c r="M63" i="3" s="1"/>
  <c r="D62" i="3"/>
  <c r="C62" i="3"/>
  <c r="M62" i="3" s="1" a="1"/>
  <c r="M62" i="3" s="1"/>
  <c r="D61" i="3"/>
  <c r="C61" i="3"/>
  <c r="M61" i="3" s="1" a="1"/>
  <c r="M61" i="3" s="1"/>
  <c r="D60" i="3"/>
  <c r="C60" i="3"/>
  <c r="D59" i="3"/>
  <c r="C59" i="3"/>
  <c r="D58" i="3"/>
  <c r="C58" i="3"/>
  <c r="G58" i="3" s="1" a="1"/>
  <c r="G58" i="3" s="1"/>
  <c r="D57" i="3"/>
  <c r="C57" i="3"/>
  <c r="G57" i="3" s="1" a="1"/>
  <c r="G57" i="3" s="1"/>
  <c r="D56" i="3"/>
  <c r="C56" i="3"/>
  <c r="D55" i="3"/>
  <c r="C55" i="3"/>
  <c r="D54" i="3"/>
  <c r="C54" i="3"/>
  <c r="D53" i="3"/>
  <c r="C53" i="3"/>
  <c r="D52" i="3"/>
  <c r="C52" i="3"/>
  <c r="G52" i="3" s="1" a="1"/>
  <c r="G52" i="3" s="1"/>
  <c r="D51" i="3"/>
  <c r="C51" i="3"/>
  <c r="M51" i="3" s="1" a="1"/>
  <c r="M51" i="3" s="1"/>
  <c r="D50" i="3"/>
  <c r="C50" i="3"/>
  <c r="N50" i="3" s="1" a="1"/>
  <c r="N50" i="3" s="1"/>
  <c r="D49" i="3"/>
  <c r="C49" i="3"/>
  <c r="D48" i="3"/>
  <c r="C48" i="3"/>
  <c r="M48" i="3" s="1" a="1"/>
  <c r="M48" i="3" s="1"/>
  <c r="D47" i="3"/>
  <c r="C47" i="3"/>
  <c r="M47" i="3" s="1" a="1"/>
  <c r="M47" i="3" s="1"/>
  <c r="D46" i="3"/>
  <c r="C46" i="3"/>
  <c r="G46" i="3" s="1" a="1"/>
  <c r="G46" i="3" s="1"/>
  <c r="D45" i="3"/>
  <c r="C45" i="3"/>
  <c r="D44" i="3"/>
  <c r="C44" i="3"/>
  <c r="D43" i="3"/>
  <c r="C43" i="3"/>
  <c r="N43" i="3" s="1" a="1"/>
  <c r="N43" i="3" s="1"/>
  <c r="D42" i="3"/>
  <c r="C42" i="3"/>
  <c r="D41" i="3"/>
  <c r="C41" i="3"/>
  <c r="N41" i="3" s="1" a="1"/>
  <c r="N41" i="3" s="1"/>
  <c r="D40" i="3"/>
  <c r="C40" i="3"/>
  <c r="M40" i="3" s="1" a="1"/>
  <c r="M40" i="3" s="1"/>
  <c r="D39" i="3"/>
  <c r="C39" i="3"/>
  <c r="D38" i="3"/>
  <c r="C38" i="3"/>
  <c r="D37" i="3"/>
  <c r="C37" i="3"/>
  <c r="M37" i="3" s="1" a="1"/>
  <c r="M37" i="3" s="1"/>
  <c r="D36" i="3"/>
  <c r="C36" i="3"/>
  <c r="M36" i="3" s="1" a="1"/>
  <c r="M36" i="3" s="1"/>
  <c r="D35" i="3"/>
  <c r="C35" i="3"/>
  <c r="G35" i="3" s="1" a="1"/>
  <c r="G35" i="3" s="1"/>
  <c r="D34" i="3"/>
  <c r="C34" i="3"/>
  <c r="N34" i="3" s="1" a="1"/>
  <c r="N34" i="3" s="1"/>
  <c r="D33" i="3"/>
  <c r="C33" i="3"/>
  <c r="N33" i="3" s="1" a="1"/>
  <c r="N33" i="3" s="1"/>
  <c r="D32" i="3"/>
  <c r="C32" i="3"/>
  <c r="N32" i="3" s="1" a="1"/>
  <c r="N32" i="3" s="1"/>
  <c r="D31" i="3"/>
  <c r="C31" i="3"/>
  <c r="N31" i="3" s="1" a="1"/>
  <c r="N31" i="3" s="1"/>
  <c r="D30" i="3"/>
  <c r="C30" i="3"/>
  <c r="M30" i="3" s="1" a="1"/>
  <c r="M30" i="3" s="1"/>
  <c r="D29" i="3"/>
  <c r="C29" i="3"/>
  <c r="D28" i="3"/>
  <c r="C28" i="3"/>
  <c r="N28" i="3" s="1" a="1"/>
  <c r="N28" i="3" s="1"/>
  <c r="D27" i="3"/>
  <c r="C27" i="3"/>
  <c r="D26" i="3"/>
  <c r="C26" i="3"/>
  <c r="N26" i="3" s="1" a="1"/>
  <c r="N26" i="3" s="1"/>
  <c r="D25" i="3"/>
  <c r="C25" i="3"/>
  <c r="N25" i="3" s="1" a="1"/>
  <c r="N25" i="3" s="1"/>
  <c r="D24" i="3"/>
  <c r="C24" i="3"/>
  <c r="N24" i="3" s="1" a="1"/>
  <c r="N24" i="3" s="1"/>
  <c r="D23" i="3"/>
  <c r="C23" i="3"/>
  <c r="N23" i="3" s="1" a="1"/>
  <c r="N23" i="3" s="1"/>
  <c r="D22" i="3"/>
  <c r="C22" i="3"/>
  <c r="G22" i="3" s="1" a="1"/>
  <c r="G22" i="3" s="1"/>
  <c r="D21" i="3"/>
  <c r="C21" i="3"/>
  <c r="M21" i="3" s="1" a="1"/>
  <c r="M21" i="3" s="1"/>
  <c r="D20" i="3"/>
  <c r="C20" i="3"/>
  <c r="M20" i="3" s="1" a="1"/>
  <c r="M20" i="3" s="1"/>
  <c r="D19" i="3"/>
  <c r="C19" i="3"/>
  <c r="N19" i="3" s="1" a="1"/>
  <c r="N19" i="3" s="1"/>
  <c r="D18" i="3"/>
  <c r="C18" i="3"/>
  <c r="G18" i="3" s="1" a="1"/>
  <c r="G18" i="3" s="1"/>
  <c r="D17" i="3"/>
  <c r="C17" i="3"/>
  <c r="N17" i="3" s="1" a="1"/>
  <c r="N17" i="3" s="1"/>
  <c r="D16" i="3"/>
  <c r="C16" i="3"/>
  <c r="N16" i="3" s="1" a="1"/>
  <c r="N16" i="3" s="1"/>
  <c r="D15" i="3"/>
  <c r="C15" i="3"/>
  <c r="G15" i="3" s="1" a="1"/>
  <c r="G15" i="3" s="1"/>
  <c r="D14" i="3"/>
  <c r="C14" i="3"/>
  <c r="M14" i="3" s="1" a="1"/>
  <c r="M14" i="3" s="1"/>
  <c r="D13" i="3"/>
  <c r="C13" i="3"/>
  <c r="N13" i="3" s="1" a="1"/>
  <c r="N13" i="3" s="1"/>
  <c r="D12" i="3"/>
  <c r="C12" i="3"/>
  <c r="N12" i="3" s="1" a="1"/>
  <c r="N12" i="3" s="1"/>
  <c r="D11" i="3"/>
  <c r="C11" i="3"/>
  <c r="N11" i="3" s="1" a="1"/>
  <c r="N11" i="3" s="1"/>
  <c r="D10" i="3"/>
  <c r="C10" i="3"/>
  <c r="G10" i="3" s="1" a="1"/>
  <c r="G10" i="3" s="1"/>
  <c r="D9" i="3"/>
  <c r="C9" i="3"/>
  <c r="N9" i="3" s="1" a="1"/>
  <c r="N9" i="3" s="1"/>
  <c r="D8" i="3"/>
  <c r="C8" i="3"/>
  <c r="N8" i="3" s="1" a="1"/>
  <c r="N8" i="3" s="1"/>
  <c r="D7" i="3"/>
  <c r="C7" i="3"/>
  <c r="N7" i="3" s="1" a="1"/>
  <c r="N7" i="3" s="1"/>
  <c r="D6" i="3"/>
  <c r="C6" i="3"/>
  <c r="D5" i="3"/>
  <c r="C5" i="3"/>
  <c r="N5" i="3" s="1" a="1"/>
  <c r="N5" i="3" s="1"/>
  <c r="D4" i="3"/>
  <c r="C4" i="3"/>
  <c r="M4" i="3" s="1" a="1"/>
  <c r="M4" i="3" s="1"/>
  <c r="D3" i="3"/>
  <c r="C3" i="3"/>
  <c r="D2" i="3"/>
  <c r="C2" i="3"/>
  <c r="N2" i="3" s="1" a="1"/>
  <c r="N2" i="3" s="1"/>
  <c r="G1091" i="3" l="1" a="1"/>
  <c r="G1091" i="3" s="1"/>
  <c r="G947" i="3" a="1"/>
  <c r="G947" i="3" s="1"/>
  <c r="G917" i="3" a="1"/>
  <c r="G917" i="3" s="1"/>
  <c r="G821" i="3" a="1"/>
  <c r="G821" i="3" s="1"/>
  <c r="G1031" i="3" a="1"/>
  <c r="G1031" i="3" s="1"/>
  <c r="G1115" i="3" a="1"/>
  <c r="G1115" i="3" s="1"/>
  <c r="G971" i="3" a="1"/>
  <c r="G971" i="3" s="1"/>
  <c r="G809" i="3" a="1"/>
  <c r="G809" i="3" s="1"/>
  <c r="G1331" i="3" a="1"/>
  <c r="G1331" i="3" s="1"/>
  <c r="G1307" i="3" a="1"/>
  <c r="G1307" i="3" s="1"/>
  <c r="G1283" i="3" a="1"/>
  <c r="G1283" i="3" s="1"/>
  <c r="G1259" i="3" a="1"/>
  <c r="G1259" i="3" s="1"/>
  <c r="G1235" i="3" a="1"/>
  <c r="G1235" i="3" s="1"/>
  <c r="G1211" i="3" a="1"/>
  <c r="G1211" i="3" s="1"/>
  <c r="G1187" i="3" a="1"/>
  <c r="G1187" i="3" s="1"/>
  <c r="G1163" i="3" a="1"/>
  <c r="G1163" i="3" s="1"/>
  <c r="G1139" i="3" a="1"/>
  <c r="G1139" i="3" s="1"/>
  <c r="G1055" i="3" a="1"/>
  <c r="G1055" i="3" s="1"/>
  <c r="G995" i="3" a="1"/>
  <c r="G995" i="3" s="1"/>
  <c r="G905" i="3" a="1"/>
  <c r="G905" i="3" s="1"/>
  <c r="G773" i="3" a="1"/>
  <c r="G773" i="3" s="1"/>
  <c r="M1401" i="3" a="1"/>
  <c r="M1401" i="3" s="1"/>
  <c r="G1079" i="3" a="1"/>
  <c r="G1079" i="3" s="1"/>
  <c r="G935" i="3" a="1"/>
  <c r="G935" i="3" s="1"/>
  <c r="G761" i="3" a="1"/>
  <c r="G761" i="3" s="1"/>
  <c r="G1019" i="3" a="1"/>
  <c r="G1019" i="3" s="1"/>
  <c r="G737" i="3" a="1"/>
  <c r="G737" i="3" s="1"/>
  <c r="M1004" i="3" a="1"/>
  <c r="M1004" i="3" s="1"/>
  <c r="G1103" i="3" a="1"/>
  <c r="G1103" i="3" s="1"/>
  <c r="G959" i="3" a="1"/>
  <c r="G959" i="3" s="1"/>
  <c r="G689" i="3" a="1"/>
  <c r="G689" i="3" s="1"/>
  <c r="G1043" i="3" a="1"/>
  <c r="G1043" i="3" s="1"/>
  <c r="G1367" i="3" a="1"/>
  <c r="G1367" i="3" s="1"/>
  <c r="G1343" i="3" a="1"/>
  <c r="G1343" i="3" s="1"/>
  <c r="G1319" i="3" a="1"/>
  <c r="G1319" i="3" s="1"/>
  <c r="G1295" i="3" a="1"/>
  <c r="G1295" i="3" s="1"/>
  <c r="G1271" i="3" a="1"/>
  <c r="G1271" i="3" s="1"/>
  <c r="G1247" i="3" a="1"/>
  <c r="G1247" i="3" s="1"/>
  <c r="G1223" i="3" a="1"/>
  <c r="G1223" i="3" s="1"/>
  <c r="G1199" i="3" a="1"/>
  <c r="G1199" i="3" s="1"/>
  <c r="G1175" i="3" a="1"/>
  <c r="G1175" i="3" s="1"/>
  <c r="G1151" i="3" a="1"/>
  <c r="G1151" i="3" s="1"/>
  <c r="G1127" i="3" a="1"/>
  <c r="G1127" i="3" s="1"/>
  <c r="G983" i="3" a="1"/>
  <c r="G983" i="3" s="1"/>
  <c r="G923" i="3" a="1"/>
  <c r="G923" i="3" s="1"/>
  <c r="G659" i="3" a="1"/>
  <c r="G659" i="3" s="1"/>
  <c r="G1067" i="3" a="1"/>
  <c r="G1067" i="3" s="1"/>
  <c r="G875" i="3" a="1"/>
  <c r="G875" i="3" s="1"/>
  <c r="G653" i="3" a="1"/>
  <c r="G653" i="3" s="1"/>
  <c r="G1007" i="3" a="1"/>
  <c r="G1007" i="3" s="1"/>
  <c r="G833" i="3" a="1"/>
  <c r="G833" i="3" s="1"/>
  <c r="G641" i="3" a="1"/>
  <c r="G641" i="3" s="1"/>
  <c r="N36" i="3" a="1"/>
  <c r="N36" i="3" s="1"/>
  <c r="N22" i="3" a="1"/>
  <c r="N22" i="3" s="1"/>
  <c r="G864" i="3" a="1"/>
  <c r="G864" i="3" s="1"/>
  <c r="G561" i="3" a="1"/>
  <c r="G561" i="3" s="1"/>
  <c r="G510" i="3" a="1"/>
  <c r="G510" i="3" s="1"/>
  <c r="G461" i="3" a="1"/>
  <c r="G461" i="3" s="1"/>
  <c r="G432" i="3" a="1"/>
  <c r="G432" i="3" s="1"/>
  <c r="G405" i="3" a="1"/>
  <c r="G405" i="3" s="1"/>
  <c r="G355" i="3" a="1"/>
  <c r="G355" i="3" s="1"/>
  <c r="G325" i="3" a="1"/>
  <c r="G325" i="3" s="1"/>
  <c r="G297" i="3" a="1"/>
  <c r="G297" i="3" s="1"/>
  <c r="G243" i="3" a="1"/>
  <c r="G243" i="3" s="1"/>
  <c r="G217" i="3" a="1"/>
  <c r="G217" i="3" s="1"/>
  <c r="G170" i="3" a="1"/>
  <c r="G170" i="3" s="1"/>
  <c r="G141" i="3" a="1"/>
  <c r="G141" i="3" s="1"/>
  <c r="G114" i="3" a="1"/>
  <c r="G114" i="3" s="1"/>
  <c r="G63" i="3" a="1"/>
  <c r="G63" i="3" s="1"/>
  <c r="N35" i="3" a="1"/>
  <c r="N35" i="3" s="1"/>
  <c r="N21" i="3" a="1"/>
  <c r="N21" i="3" s="1"/>
  <c r="G1422" i="3" a="1"/>
  <c r="G1422" i="3" s="1"/>
  <c r="G1326" i="3" a="1"/>
  <c r="G1326" i="3" s="1"/>
  <c r="G1116" i="3" a="1"/>
  <c r="G1116" i="3" s="1"/>
  <c r="G972" i="3" a="1"/>
  <c r="G972" i="3" s="1"/>
  <c r="G660" i="3" a="1"/>
  <c r="G660" i="3" s="1"/>
  <c r="G431" i="3" a="1"/>
  <c r="G431" i="3" s="1"/>
  <c r="G323" i="3" a="1"/>
  <c r="G323" i="3" s="1"/>
  <c r="G275" i="3" a="1"/>
  <c r="G275" i="3" s="1"/>
  <c r="G167" i="3" a="1"/>
  <c r="G167" i="3" s="1"/>
  <c r="G140" i="3" a="1"/>
  <c r="G140" i="3" s="1"/>
  <c r="G113" i="3" a="1"/>
  <c r="G113" i="3" s="1"/>
  <c r="G91" i="3" a="1"/>
  <c r="G91" i="3" s="1"/>
  <c r="G62" i="3" a="1"/>
  <c r="G62" i="3" s="1"/>
  <c r="G36" i="3" a="1"/>
  <c r="G36" i="3" s="1"/>
  <c r="G1032" i="3" a="1"/>
  <c r="G1032" i="3" s="1"/>
  <c r="G762" i="3" a="1"/>
  <c r="G762" i="3" s="1"/>
  <c r="G582" i="3" a="1"/>
  <c r="G582" i="3" s="1"/>
  <c r="G534" i="3" a="1"/>
  <c r="G534" i="3" s="1"/>
  <c r="G509" i="3" a="1"/>
  <c r="G509" i="3" s="1"/>
  <c r="G480" i="3" a="1"/>
  <c r="G480" i="3" s="1"/>
  <c r="G401" i="3" a="1"/>
  <c r="G401" i="3" s="1"/>
  <c r="G373" i="3" a="1"/>
  <c r="G373" i="3" s="1"/>
  <c r="G294" i="3" a="1"/>
  <c r="G294" i="3" s="1"/>
  <c r="G265" i="3" a="1"/>
  <c r="G265" i="3" s="1"/>
  <c r="G241" i="3" a="1"/>
  <c r="G241" i="3" s="1"/>
  <c r="G216" i="3" a="1"/>
  <c r="G216" i="3" s="1"/>
  <c r="G188" i="3" a="1"/>
  <c r="G188" i="3" s="1"/>
  <c r="G139" i="3" a="1"/>
  <c r="G139" i="3" s="1"/>
  <c r="G111" i="3" a="1"/>
  <c r="G111" i="3" s="1"/>
  <c r="M28" i="3" a="1"/>
  <c r="M28" i="3" s="1"/>
  <c r="N20" i="3" a="1"/>
  <c r="N20" i="3" s="1"/>
  <c r="M22" i="3" a="1"/>
  <c r="M22" i="3" s="1"/>
  <c r="G1212" i="3" a="1"/>
  <c r="G1212" i="3" s="1"/>
  <c r="G948" i="3" a="1"/>
  <c r="G948" i="3" s="1"/>
  <c r="G527" i="3" a="1"/>
  <c r="G527" i="3" s="1"/>
  <c r="G372" i="3" a="1"/>
  <c r="G372" i="3" s="1"/>
  <c r="G215" i="3" a="1"/>
  <c r="G215" i="3" s="1"/>
  <c r="G187" i="3" a="1"/>
  <c r="G187" i="3" s="1"/>
  <c r="G158" i="3" a="1"/>
  <c r="G158" i="3" s="1"/>
  <c r="G61" i="3" a="1"/>
  <c r="G61" i="3" s="1"/>
  <c r="G840" i="3" a="1"/>
  <c r="G840" i="3" s="1"/>
  <c r="G708" i="3" a="1"/>
  <c r="G708" i="3" s="1"/>
  <c r="G477" i="3" a="1"/>
  <c r="G477" i="3" s="1"/>
  <c r="G450" i="3" a="1"/>
  <c r="G450" i="3" s="1"/>
  <c r="G419" i="3" a="1"/>
  <c r="G419" i="3" s="1"/>
  <c r="G371" i="3" a="1"/>
  <c r="G371" i="3" s="1"/>
  <c r="G345" i="3" a="1"/>
  <c r="G345" i="3" s="1"/>
  <c r="G291" i="3" a="1"/>
  <c r="G291" i="3" s="1"/>
  <c r="G233" i="3" a="1"/>
  <c r="G233" i="3" s="1"/>
  <c r="G183" i="3" a="1"/>
  <c r="G183" i="3" s="1"/>
  <c r="G137" i="3" a="1"/>
  <c r="G137" i="3" s="1"/>
  <c r="G107" i="3" a="1"/>
  <c r="G107" i="3" s="1"/>
  <c r="G30" i="3" a="1"/>
  <c r="G30" i="3" s="1"/>
  <c r="G1008" i="3" a="1"/>
  <c r="G1008" i="3" s="1"/>
  <c r="M16" i="3" a="1"/>
  <c r="M16" i="3" s="1"/>
  <c r="N14" i="3" a="1"/>
  <c r="N14" i="3" s="1"/>
  <c r="G1338" i="3" a="1"/>
  <c r="G1338" i="3" s="1"/>
  <c r="G1266" i="3" a="1"/>
  <c r="G1266" i="3" s="1"/>
  <c r="G1068" i="3" a="1"/>
  <c r="G1068" i="3" s="1"/>
  <c r="G852" i="3" a="1"/>
  <c r="G852" i="3" s="1"/>
  <c r="G597" i="3" a="1"/>
  <c r="G597" i="3" s="1"/>
  <c r="G576" i="3" a="1"/>
  <c r="G576" i="3" s="1"/>
  <c r="G551" i="3" a="1"/>
  <c r="G551" i="3" s="1"/>
  <c r="G525" i="3" a="1"/>
  <c r="G525" i="3" s="1"/>
  <c r="G396" i="3" a="1"/>
  <c r="G396" i="3" s="1"/>
  <c r="G209" i="3" a="1"/>
  <c r="G209" i="3" s="1"/>
  <c r="G182" i="3" a="1"/>
  <c r="G182" i="3" s="1"/>
  <c r="G156" i="3" a="1"/>
  <c r="G156" i="3" s="1"/>
  <c r="G81" i="3" a="1"/>
  <c r="G81" i="3" s="1"/>
  <c r="G28" i="3" a="1"/>
  <c r="G28" i="3" s="1"/>
  <c r="J688" i="3" a="1"/>
  <c r="J688" i="3" s="1"/>
  <c r="M10" i="3" a="1"/>
  <c r="M10" i="3" s="1"/>
  <c r="N30" i="3" a="1"/>
  <c r="N30" i="3" s="1"/>
  <c r="G1440" i="3" a="1"/>
  <c r="G1440" i="3" s="1"/>
  <c r="G1368" i="3" a="1"/>
  <c r="G1368" i="3" s="1"/>
  <c r="G984" i="3" a="1"/>
  <c r="G984" i="3" s="1"/>
  <c r="G876" i="3" a="1"/>
  <c r="G876" i="3" s="1"/>
  <c r="G834" i="3" a="1"/>
  <c r="G834" i="3" s="1"/>
  <c r="G798" i="3" a="1"/>
  <c r="G798" i="3" s="1"/>
  <c r="G522" i="3" a="1"/>
  <c r="G522" i="3" s="1"/>
  <c r="G497" i="3" a="1"/>
  <c r="G497" i="3" s="1"/>
  <c r="G449" i="3" a="1"/>
  <c r="G449" i="3" s="1"/>
  <c r="G417" i="3" a="1"/>
  <c r="G417" i="3" s="1"/>
  <c r="G311" i="3" a="1"/>
  <c r="G311" i="3" s="1"/>
  <c r="G288" i="3" a="1"/>
  <c r="G288" i="3" s="1"/>
  <c r="G261" i="3" a="1"/>
  <c r="G261" i="3" s="1"/>
  <c r="G231" i="3" a="1"/>
  <c r="G231" i="3" s="1"/>
  <c r="G205" i="3" a="1"/>
  <c r="G205" i="3" s="1"/>
  <c r="G129" i="3" a="1"/>
  <c r="G129" i="3" s="1"/>
  <c r="G80" i="3" a="1"/>
  <c r="G80" i="3" s="1"/>
  <c r="G51" i="3" a="1"/>
  <c r="G51" i="3" s="1"/>
  <c r="G21" i="3" a="1"/>
  <c r="G21" i="3" s="1"/>
  <c r="G1332" i="3" a="1"/>
  <c r="G1332" i="3" s="1"/>
  <c r="G1296" i="3" a="1"/>
  <c r="G1296" i="3" s="1"/>
  <c r="G1224" i="3" a="1"/>
  <c r="G1224" i="3" s="1"/>
  <c r="G1044" i="3" a="1"/>
  <c r="G1044" i="3" s="1"/>
  <c r="G774" i="3" a="1"/>
  <c r="G774" i="3" s="1"/>
  <c r="G624" i="3" a="1"/>
  <c r="G624" i="3" s="1"/>
  <c r="G569" i="3" a="1"/>
  <c r="G569" i="3" s="1"/>
  <c r="G549" i="3" a="1"/>
  <c r="G549" i="3" s="1"/>
  <c r="G390" i="3" a="1"/>
  <c r="G390" i="3" s="1"/>
  <c r="G367" i="3" a="1"/>
  <c r="G367" i="3" s="1"/>
  <c r="G259" i="3" a="1"/>
  <c r="G259" i="3" s="1"/>
  <c r="G230" i="3" a="1"/>
  <c r="G230" i="3" s="1"/>
  <c r="G181" i="3" a="1"/>
  <c r="G181" i="3" s="1"/>
  <c r="G128" i="3" a="1"/>
  <c r="G128" i="3" s="1"/>
  <c r="G78" i="3" a="1"/>
  <c r="G78" i="3" s="1"/>
  <c r="G48" i="3" a="1"/>
  <c r="G48" i="3" s="1"/>
  <c r="G20" i="3" a="1"/>
  <c r="G20" i="3" s="1"/>
  <c r="G960" i="3" a="1"/>
  <c r="G960" i="3" s="1"/>
  <c r="G750" i="3" a="1"/>
  <c r="G750" i="3" s="1"/>
  <c r="G702" i="3" a="1"/>
  <c r="G702" i="3" s="1"/>
  <c r="G642" i="3" a="1"/>
  <c r="G642" i="3" s="1"/>
  <c r="G594" i="3" a="1"/>
  <c r="G594" i="3" s="1"/>
  <c r="G521" i="3" a="1"/>
  <c r="G521" i="3" s="1"/>
  <c r="G415" i="3" a="1"/>
  <c r="G415" i="3" s="1"/>
  <c r="G337" i="3" a="1"/>
  <c r="G337" i="3" s="1"/>
  <c r="G174" i="3" a="1"/>
  <c r="G174" i="3" s="1"/>
  <c r="G96" i="3" a="1"/>
  <c r="G96" i="3" s="1"/>
  <c r="N10" i="3" a="1"/>
  <c r="N10" i="3" s="1"/>
  <c r="G1350" i="3" a="1"/>
  <c r="G1350" i="3" s="1"/>
  <c r="G1206" i="3" a="1"/>
  <c r="G1206" i="3" s="1"/>
  <c r="G1020" i="3" a="1"/>
  <c r="G1020" i="3" s="1"/>
  <c r="G918" i="3" a="1"/>
  <c r="G918" i="3" s="1"/>
  <c r="G810" i="3" a="1"/>
  <c r="G810" i="3" s="1"/>
  <c r="G495" i="3" a="1"/>
  <c r="G495" i="3" s="1"/>
  <c r="G465" i="3" a="1"/>
  <c r="G465" i="3" s="1"/>
  <c r="G414" i="3" a="1"/>
  <c r="G414" i="3" s="1"/>
  <c r="G277" i="3" a="1"/>
  <c r="G277" i="3" s="1"/>
  <c r="G229" i="3" a="1"/>
  <c r="G229" i="3" s="1"/>
  <c r="G199" i="3" a="1"/>
  <c r="G199" i="3" s="1"/>
  <c r="G173" i="3" a="1"/>
  <c r="G173" i="3" s="1"/>
  <c r="G150" i="3" a="1"/>
  <c r="G150" i="3" s="1"/>
  <c r="G47" i="3" a="1"/>
  <c r="G47" i="3" s="1"/>
  <c r="G16" i="3" a="1"/>
  <c r="G16" i="3" s="1"/>
  <c r="G593" i="3" a="1"/>
  <c r="G593" i="3" s="1"/>
  <c r="G540" i="3" a="1"/>
  <c r="G540" i="3" s="1"/>
  <c r="G435" i="3" a="1"/>
  <c r="G435" i="3" s="1"/>
  <c r="G413" i="3" a="1"/>
  <c r="G413" i="3" s="1"/>
  <c r="G383" i="3" a="1"/>
  <c r="G383" i="3" s="1"/>
  <c r="G357" i="3" a="1"/>
  <c r="G357" i="3" s="1"/>
  <c r="G327" i="3" a="1"/>
  <c r="G327" i="3" s="1"/>
  <c r="G306" i="3" a="1"/>
  <c r="G306" i="3" s="1"/>
  <c r="G198" i="3" a="1"/>
  <c r="G198" i="3" s="1"/>
  <c r="G122" i="3" a="1"/>
  <c r="G122" i="3" s="1"/>
  <c r="G95" i="3" a="1"/>
  <c r="G95" i="3" s="1"/>
  <c r="N37" i="3" a="1"/>
  <c r="N37" i="3" s="1"/>
  <c r="G1308" i="3" a="1"/>
  <c r="G1308" i="3" s="1"/>
  <c r="G1200" i="3" a="1"/>
  <c r="G1200" i="3" s="1"/>
  <c r="G996" i="3" a="1"/>
  <c r="G996" i="3" s="1"/>
  <c r="G611" i="3" a="1"/>
  <c r="G611" i="3" s="1"/>
  <c r="G537" i="3" a="1"/>
  <c r="G537" i="3" s="1"/>
  <c r="G462" i="3" a="1"/>
  <c r="G462" i="3" s="1"/>
  <c r="G303" i="3" a="1"/>
  <c r="G303" i="3" s="1"/>
  <c r="G276" i="3" a="1"/>
  <c r="G276" i="3" s="1"/>
  <c r="G248" i="3" a="1"/>
  <c r="G248" i="3" s="1"/>
  <c r="G197" i="3" a="1"/>
  <c r="G197" i="3" s="1"/>
  <c r="G171" i="3" a="1"/>
  <c r="G171" i="3" s="1"/>
  <c r="G65" i="3" a="1"/>
  <c r="G65" i="3" s="1"/>
  <c r="G37" i="3" a="1"/>
  <c r="G37" i="3" s="1"/>
  <c r="G14" i="3" a="1"/>
  <c r="G14" i="3" s="1"/>
  <c r="M2" i="3" a="1"/>
  <c r="M2" i="3" s="1"/>
  <c r="G2" i="3" a="1"/>
  <c r="G2" i="3" s="1"/>
  <c r="M3" i="3" a="1"/>
  <c r="M3" i="3" s="1"/>
  <c r="G3" i="3" a="1"/>
  <c r="G3" i="3" s="1"/>
  <c r="N3" i="3" a="1"/>
  <c r="N3" i="3" s="1"/>
  <c r="G4" i="3" a="1"/>
  <c r="G4" i="3" s="1"/>
  <c r="N4" i="3" a="1"/>
  <c r="N4" i="3" s="1"/>
  <c r="M5" i="3" a="1"/>
  <c r="M5" i="3" s="1"/>
  <c r="G5" i="3" a="1"/>
  <c r="G5" i="3" s="1"/>
  <c r="M6" i="3" a="1"/>
  <c r="M6" i="3" s="1"/>
  <c r="G6" i="3" a="1"/>
  <c r="G6" i="3" s="1"/>
  <c r="N6" i="3" a="1"/>
  <c r="N6" i="3" s="1"/>
  <c r="M7" i="3" a="1"/>
  <c r="M7" i="3" s="1"/>
  <c r="G7" i="3" a="1"/>
  <c r="G7" i="3" s="1"/>
  <c r="M8" i="3" a="1"/>
  <c r="M8" i="3" s="1"/>
  <c r="G8" i="3" a="1"/>
  <c r="G8" i="3" s="1"/>
  <c r="M9" i="3" a="1"/>
  <c r="M9" i="3" s="1"/>
  <c r="G9" i="3" a="1"/>
  <c r="G9" i="3" s="1"/>
  <c r="M11" i="3" a="1"/>
  <c r="M11" i="3" s="1"/>
  <c r="G11" i="3" a="1"/>
  <c r="G11" i="3" s="1"/>
  <c r="M12" i="3" a="1"/>
  <c r="M12" i="3" s="1"/>
  <c r="G12" i="3" a="1"/>
  <c r="G12" i="3" s="1"/>
  <c r="M13" i="3" a="1"/>
  <c r="M13" i="3" s="1"/>
  <c r="G13" i="3" a="1"/>
  <c r="G13" i="3" s="1"/>
  <c r="M15" i="3" a="1"/>
  <c r="M15" i="3" s="1"/>
  <c r="N15" i="3" a="1"/>
  <c r="N15" i="3" s="1"/>
  <c r="M17" i="3" a="1"/>
  <c r="M17" i="3" s="1"/>
  <c r="G17" i="3" a="1"/>
  <c r="G17" i="3" s="1"/>
  <c r="M18" i="3" a="1"/>
  <c r="M18" i="3" s="1"/>
  <c r="N18" i="3" a="1"/>
  <c r="N18" i="3" s="1"/>
  <c r="M19" i="3" a="1"/>
  <c r="M19" i="3" s="1"/>
  <c r="G19" i="3" a="1"/>
  <c r="G19" i="3" s="1"/>
  <c r="M23" i="3" a="1"/>
  <c r="M23" i="3" s="1"/>
  <c r="G23" i="3" a="1"/>
  <c r="G23" i="3" s="1"/>
  <c r="M24" i="3" a="1"/>
  <c r="M24" i="3" s="1"/>
  <c r="G24" i="3" a="1"/>
  <c r="G24" i="3" s="1"/>
  <c r="M25" i="3" a="1"/>
  <c r="M25" i="3" s="1"/>
  <c r="G25" i="3" a="1"/>
  <c r="G25" i="3" s="1"/>
  <c r="M26" i="3" a="1"/>
  <c r="M26" i="3" s="1"/>
  <c r="G26" i="3" a="1"/>
  <c r="G26" i="3" s="1"/>
  <c r="M27" i="3" a="1"/>
  <c r="M27" i="3" s="1"/>
  <c r="N27" i="3" a="1"/>
  <c r="N27" i="3" s="1"/>
  <c r="G27" i="3" a="1"/>
  <c r="G27" i="3" s="1"/>
  <c r="M29" i="3" a="1"/>
  <c r="M29" i="3" s="1"/>
  <c r="G29" i="3" a="1"/>
  <c r="G29" i="3" s="1"/>
  <c r="N29" i="3" a="1"/>
  <c r="N29" i="3" s="1"/>
  <c r="M31" i="3" a="1"/>
  <c r="M31" i="3" s="1"/>
  <c r="G31" i="3" a="1"/>
  <c r="G31" i="3" s="1"/>
  <c r="M32" i="3" a="1"/>
  <c r="M32" i="3" s="1"/>
  <c r="G32" i="3" a="1"/>
  <c r="G32" i="3" s="1"/>
  <c r="M33" i="3" a="1"/>
  <c r="M33" i="3" s="1"/>
  <c r="G33" i="3" a="1"/>
  <c r="G33" i="3" s="1"/>
  <c r="G34" i="3" a="1"/>
  <c r="G34" i="3" s="1"/>
  <c r="M34" i="3" a="1"/>
  <c r="M34" i="3" s="1"/>
  <c r="M38" i="3" a="1"/>
  <c r="M38" i="3" s="1"/>
  <c r="G38" i="3" a="1"/>
  <c r="G38" i="3" s="1"/>
  <c r="M39" i="3" a="1"/>
  <c r="M39" i="3" s="1"/>
  <c r="N39" i="3" a="1"/>
  <c r="N39" i="3" s="1"/>
  <c r="G39" i="3" a="1"/>
  <c r="G39" i="3" s="1"/>
  <c r="G40" i="3" a="1"/>
  <c r="G40" i="3" s="1"/>
  <c r="N40" i="3" a="1"/>
  <c r="N40" i="3" s="1"/>
  <c r="M41" i="3" a="1"/>
  <c r="M41" i="3" s="1"/>
  <c r="G41" i="3" a="1"/>
  <c r="G41" i="3" s="1"/>
  <c r="M42" i="3" a="1"/>
  <c r="M42" i="3" s="1"/>
  <c r="G42" i="3" a="1"/>
  <c r="G42" i="3" s="1"/>
  <c r="N42" i="3" a="1"/>
  <c r="N42" i="3" s="1"/>
  <c r="M43" i="3" a="1"/>
  <c r="M43" i="3" s="1"/>
  <c r="G43" i="3" a="1"/>
  <c r="G43" i="3" s="1"/>
  <c r="M44" i="3" a="1"/>
  <c r="M44" i="3" s="1"/>
  <c r="G44" i="3" a="1"/>
  <c r="G44" i="3" s="1"/>
  <c r="M45" i="3" a="1"/>
  <c r="M45" i="3" s="1"/>
  <c r="G45" i="3" a="1"/>
  <c r="G45" i="3" s="1"/>
  <c r="M49" i="3" a="1"/>
  <c r="M49" i="3" s="1"/>
  <c r="G49" i="3" a="1"/>
  <c r="G49" i="3" s="1"/>
  <c r="M50" i="3" a="1"/>
  <c r="M50" i="3" s="1"/>
  <c r="G50" i="3" a="1"/>
  <c r="G50" i="3" s="1"/>
  <c r="M53" i="3" a="1"/>
  <c r="M53" i="3" s="1"/>
  <c r="G53" i="3" a="1"/>
  <c r="G53" i="3" s="1"/>
  <c r="M54" i="3" a="1"/>
  <c r="M54" i="3" s="1"/>
  <c r="G54" i="3" a="1"/>
  <c r="G54" i="3" s="1"/>
  <c r="M55" i="3" a="1"/>
  <c r="M55" i="3" s="1"/>
  <c r="G55" i="3" a="1"/>
  <c r="G55" i="3" s="1"/>
  <c r="M56" i="3" a="1"/>
  <c r="M56" i="3" s="1"/>
  <c r="G56" i="3" a="1"/>
  <c r="G56" i="3" s="1"/>
  <c r="M59" i="3" a="1"/>
  <c r="M59" i="3" s="1"/>
  <c r="G59" i="3" a="1"/>
  <c r="G59" i="3" s="1"/>
  <c r="M60" i="3" a="1"/>
  <c r="M60" i="3" s="1"/>
  <c r="G60" i="3" a="1"/>
  <c r="G60" i="3" s="1"/>
  <c r="M66" i="3" a="1"/>
  <c r="M66" i="3" s="1"/>
  <c r="G66" i="3" a="1"/>
  <c r="G66" i="3" s="1"/>
  <c r="M67" i="3" a="1"/>
  <c r="M67" i="3" s="1"/>
  <c r="G67" i="3" a="1"/>
  <c r="G67" i="3" s="1"/>
  <c r="M68" i="3" a="1"/>
  <c r="M68" i="3" s="1"/>
  <c r="G68" i="3" a="1"/>
  <c r="G68" i="3" s="1"/>
  <c r="M69" i="3" a="1"/>
  <c r="M69" i="3" s="1"/>
  <c r="G69" i="3" a="1"/>
  <c r="G69" i="3" s="1"/>
  <c r="M71" i="3" a="1"/>
  <c r="M71" i="3" s="1"/>
  <c r="G71" i="3" a="1"/>
  <c r="G71" i="3" s="1"/>
  <c r="M72" i="3" a="1"/>
  <c r="M72" i="3" s="1"/>
  <c r="G72" i="3" a="1"/>
  <c r="G72" i="3" s="1"/>
  <c r="M73" i="3" a="1"/>
  <c r="M73" i="3" s="1"/>
  <c r="G73" i="3" a="1"/>
  <c r="G73" i="3" s="1"/>
  <c r="M74" i="3" a="1"/>
  <c r="M74" i="3" s="1"/>
  <c r="G74" i="3" a="1"/>
  <c r="G74" i="3" s="1"/>
  <c r="M75" i="3" a="1"/>
  <c r="M75" i="3" s="1"/>
  <c r="G75" i="3" a="1"/>
  <c r="G75" i="3" s="1"/>
  <c r="M77" i="3" a="1"/>
  <c r="M77" i="3" s="1"/>
  <c r="G77" i="3" a="1"/>
  <c r="G77" i="3" s="1"/>
  <c r="M79" i="3" a="1"/>
  <c r="M79" i="3" s="1"/>
  <c r="G79" i="3" a="1"/>
  <c r="G79" i="3" s="1"/>
  <c r="M83" i="3" a="1"/>
  <c r="M83" i="3" s="1"/>
  <c r="G83" i="3" a="1"/>
  <c r="G83" i="3" s="1"/>
  <c r="M84" i="3" a="1"/>
  <c r="M84" i="3" s="1"/>
  <c r="G84" i="3" a="1"/>
  <c r="G84" i="3" s="1"/>
  <c r="M85" i="3" a="1"/>
  <c r="M85" i="3" s="1"/>
  <c r="G85" i="3" a="1"/>
  <c r="G85" i="3" s="1"/>
  <c r="M87" i="3" a="1"/>
  <c r="M87" i="3" s="1"/>
  <c r="G87" i="3" a="1"/>
  <c r="G87" i="3" s="1"/>
  <c r="M89" i="3" a="1"/>
  <c r="M89" i="3" s="1"/>
  <c r="G89" i="3" a="1"/>
  <c r="G89" i="3" s="1"/>
  <c r="M90" i="3" a="1"/>
  <c r="M90" i="3" s="1"/>
  <c r="G90" i="3" a="1"/>
  <c r="G90" i="3" s="1"/>
  <c r="M92" i="3" a="1"/>
  <c r="M92" i="3" s="1"/>
  <c r="G92" i="3" a="1"/>
  <c r="G92" i="3" s="1"/>
  <c r="M93" i="3" a="1"/>
  <c r="M93" i="3" s="1"/>
  <c r="G93" i="3" a="1"/>
  <c r="G93" i="3" s="1"/>
  <c r="M97" i="3" a="1"/>
  <c r="M97" i="3" s="1"/>
  <c r="G97" i="3" a="1"/>
  <c r="G97" i="3" s="1"/>
  <c r="M98" i="3" a="1"/>
  <c r="M98" i="3" s="1"/>
  <c r="G98" i="3" a="1"/>
  <c r="G98" i="3" s="1"/>
  <c r="M99" i="3" a="1"/>
  <c r="M99" i="3" s="1"/>
  <c r="G99" i="3" a="1"/>
  <c r="G99" i="3" s="1"/>
  <c r="M101" i="3" a="1"/>
  <c r="M101" i="3" s="1"/>
  <c r="G101" i="3" a="1"/>
  <c r="G101" i="3" s="1"/>
  <c r="M102" i="3" a="1"/>
  <c r="M102" i="3" s="1"/>
  <c r="G102" i="3" a="1"/>
  <c r="G102" i="3" s="1"/>
  <c r="M103" i="3" a="1"/>
  <c r="M103" i="3" s="1"/>
  <c r="G103" i="3" a="1"/>
  <c r="G103" i="3" s="1"/>
  <c r="M104" i="3" a="1"/>
  <c r="M104" i="3" s="1"/>
  <c r="G104" i="3" a="1"/>
  <c r="G104" i="3" s="1"/>
  <c r="M105" i="3" a="1"/>
  <c r="M105" i="3" s="1"/>
  <c r="G105" i="3" a="1"/>
  <c r="G105" i="3" s="1"/>
  <c r="M108" i="3" a="1"/>
  <c r="M108" i="3" s="1"/>
  <c r="G108" i="3" a="1"/>
  <c r="G108" i="3" s="1"/>
  <c r="M109" i="3" a="1"/>
  <c r="M109" i="3" s="1"/>
  <c r="G109" i="3" a="1"/>
  <c r="G109" i="3" s="1"/>
  <c r="M110" i="3" a="1"/>
  <c r="M110" i="3" s="1"/>
  <c r="G110" i="3" a="1"/>
  <c r="G110" i="3" s="1"/>
  <c r="M115" i="3" a="1"/>
  <c r="M115" i="3" s="1"/>
  <c r="G115" i="3" a="1"/>
  <c r="G115" i="3" s="1"/>
  <c r="M116" i="3" a="1"/>
  <c r="M116" i="3" s="1"/>
  <c r="G116" i="3" a="1"/>
  <c r="G116" i="3" s="1"/>
  <c r="M117" i="3" a="1"/>
  <c r="M117" i="3" s="1"/>
  <c r="G117" i="3" a="1"/>
  <c r="G117" i="3" s="1"/>
  <c r="M119" i="3" a="1"/>
  <c r="M119" i="3" s="1"/>
  <c r="G119" i="3" a="1"/>
  <c r="G119" i="3" s="1"/>
  <c r="M120" i="3" a="1"/>
  <c r="M120" i="3" s="1"/>
  <c r="G120" i="3" a="1"/>
  <c r="G120" i="3" s="1"/>
  <c r="M121" i="3" a="1"/>
  <c r="M121" i="3" s="1"/>
  <c r="G121" i="3" a="1"/>
  <c r="G121" i="3" s="1"/>
  <c r="M123" i="3" a="1"/>
  <c r="M123" i="3" s="1"/>
  <c r="G123" i="3" a="1"/>
  <c r="G123" i="3" s="1"/>
  <c r="M125" i="3" a="1"/>
  <c r="M125" i="3" s="1"/>
  <c r="G125" i="3" a="1"/>
  <c r="G125" i="3" s="1"/>
  <c r="M126" i="3" a="1"/>
  <c r="M126" i="3" s="1"/>
  <c r="G126" i="3" a="1"/>
  <c r="G126" i="3" s="1"/>
  <c r="M127" i="3" a="1"/>
  <c r="M127" i="3" s="1"/>
  <c r="G127" i="3" a="1"/>
  <c r="G127" i="3" s="1"/>
  <c r="M131" i="3" a="1"/>
  <c r="M131" i="3" s="1"/>
  <c r="G131" i="3" a="1"/>
  <c r="G131" i="3" s="1"/>
  <c r="M132" i="3" a="1"/>
  <c r="M132" i="3" s="1"/>
  <c r="G132" i="3" a="1"/>
  <c r="G132" i="3" s="1"/>
  <c r="M133" i="3" a="1"/>
  <c r="M133" i="3" s="1"/>
  <c r="G133" i="3" a="1"/>
  <c r="G133" i="3" s="1"/>
  <c r="M134" i="3" a="1"/>
  <c r="M134" i="3" s="1"/>
  <c r="G134" i="3" a="1"/>
  <c r="G134" i="3" s="1"/>
  <c r="M135" i="3" a="1"/>
  <c r="M135" i="3" s="1"/>
  <c r="G135" i="3" a="1"/>
  <c r="G135" i="3" s="1"/>
  <c r="M143" i="3" a="1"/>
  <c r="M143" i="3" s="1"/>
  <c r="G143" i="3" a="1"/>
  <c r="G143" i="3" s="1"/>
  <c r="M144" i="3" a="1"/>
  <c r="M144" i="3" s="1"/>
  <c r="G144" i="3" a="1"/>
  <c r="G144" i="3" s="1"/>
  <c r="M145" i="3" a="1"/>
  <c r="M145" i="3" s="1"/>
  <c r="G145" i="3" a="1"/>
  <c r="G145" i="3" s="1"/>
  <c r="M146" i="3" a="1"/>
  <c r="M146" i="3" s="1"/>
  <c r="G146" i="3" a="1"/>
  <c r="G146" i="3" s="1"/>
  <c r="M147" i="3" a="1"/>
  <c r="M147" i="3" s="1"/>
  <c r="G147" i="3" a="1"/>
  <c r="G147" i="3" s="1"/>
  <c r="M149" i="3" a="1"/>
  <c r="M149" i="3" s="1"/>
  <c r="G149" i="3" a="1"/>
  <c r="G149" i="3" s="1"/>
  <c r="M151" i="3" a="1"/>
  <c r="M151" i="3" s="1"/>
  <c r="G151" i="3" a="1"/>
  <c r="G151" i="3" s="1"/>
  <c r="M152" i="3" a="1"/>
  <c r="M152" i="3" s="1"/>
  <c r="G152" i="3" a="1"/>
  <c r="G152" i="3" s="1"/>
  <c r="M153" i="3" a="1"/>
  <c r="M153" i="3" s="1"/>
  <c r="G153" i="3" a="1"/>
  <c r="G153" i="3" s="1"/>
  <c r="M155" i="3" a="1"/>
  <c r="M155" i="3" s="1"/>
  <c r="G155" i="3" a="1"/>
  <c r="G155" i="3" s="1"/>
  <c r="M157" i="3" a="1"/>
  <c r="M157" i="3" s="1"/>
  <c r="G157" i="3" a="1"/>
  <c r="G157" i="3" s="1"/>
  <c r="M159" i="3" a="1"/>
  <c r="M159" i="3" s="1"/>
  <c r="G159" i="3" a="1"/>
  <c r="G159" i="3" s="1"/>
  <c r="M161" i="3" a="1"/>
  <c r="M161" i="3" s="1"/>
  <c r="G161" i="3" a="1"/>
  <c r="G161" i="3" s="1"/>
  <c r="M162" i="3" a="1"/>
  <c r="M162" i="3" s="1"/>
  <c r="G162" i="3" a="1"/>
  <c r="G162" i="3" s="1"/>
  <c r="M163" i="3" a="1"/>
  <c r="M163" i="3" s="1"/>
  <c r="G163" i="3" a="1"/>
  <c r="G163" i="3" s="1"/>
  <c r="M164" i="3" a="1"/>
  <c r="M164" i="3" s="1"/>
  <c r="G164" i="3" a="1"/>
  <c r="G164" i="3" s="1"/>
  <c r="M165" i="3" a="1"/>
  <c r="M165" i="3" s="1"/>
  <c r="G165" i="3" a="1"/>
  <c r="G165" i="3" s="1"/>
  <c r="M168" i="3" a="1"/>
  <c r="M168" i="3" s="1"/>
  <c r="G168" i="3" a="1"/>
  <c r="G168" i="3" s="1"/>
  <c r="M169" i="3" a="1"/>
  <c r="M169" i="3" s="1"/>
  <c r="G169" i="3" a="1"/>
  <c r="G169" i="3" s="1"/>
  <c r="M175" i="3" a="1"/>
  <c r="M175" i="3" s="1"/>
  <c r="G175" i="3" a="1"/>
  <c r="G175" i="3" s="1"/>
  <c r="M176" i="3" a="1"/>
  <c r="M176" i="3" s="1"/>
  <c r="G176" i="3" a="1"/>
  <c r="G176" i="3" s="1"/>
  <c r="M177" i="3" a="1"/>
  <c r="M177" i="3" s="1"/>
  <c r="G177" i="3" a="1"/>
  <c r="G177" i="3" s="1"/>
  <c r="M179" i="3" a="1"/>
  <c r="M179" i="3" s="1"/>
  <c r="G179" i="3" a="1"/>
  <c r="G179" i="3" s="1"/>
  <c r="M180" i="3" a="1"/>
  <c r="M180" i="3" s="1"/>
  <c r="G180" i="3" a="1"/>
  <c r="G180" i="3" s="1"/>
  <c r="M185" i="3" a="1"/>
  <c r="M185" i="3" s="1"/>
  <c r="G185" i="3" a="1"/>
  <c r="G185" i="3" s="1"/>
  <c r="M186" i="3" a="1"/>
  <c r="M186" i="3" s="1"/>
  <c r="G186" i="3" a="1"/>
  <c r="G186" i="3" s="1"/>
  <c r="M191" i="3" a="1"/>
  <c r="M191" i="3" s="1"/>
  <c r="G191" i="3" a="1"/>
  <c r="G191" i="3" s="1"/>
  <c r="M192" i="3" a="1"/>
  <c r="M192" i="3" s="1"/>
  <c r="G192" i="3" a="1"/>
  <c r="G192" i="3" s="1"/>
  <c r="M193" i="3" a="1"/>
  <c r="M193" i="3" s="1"/>
  <c r="G193" i="3" a="1"/>
  <c r="G193" i="3" s="1"/>
  <c r="M194" i="3" a="1"/>
  <c r="M194" i="3" s="1"/>
  <c r="G194" i="3" a="1"/>
  <c r="G194" i="3" s="1"/>
  <c r="M195" i="3" a="1"/>
  <c r="M195" i="3" s="1"/>
  <c r="G195" i="3" a="1"/>
  <c r="G195" i="3" s="1"/>
  <c r="M200" i="3" a="1"/>
  <c r="M200" i="3" s="1"/>
  <c r="G200" i="3" a="1"/>
  <c r="G200" i="3" s="1"/>
  <c r="M201" i="3" a="1"/>
  <c r="M201" i="3" s="1"/>
  <c r="G201" i="3" a="1"/>
  <c r="G201" i="3" s="1"/>
  <c r="M203" i="3" a="1"/>
  <c r="M203" i="3" s="1"/>
  <c r="G203" i="3" a="1"/>
  <c r="G203" i="3" s="1"/>
  <c r="M204" i="3" a="1"/>
  <c r="M204" i="3" s="1"/>
  <c r="G204" i="3" a="1"/>
  <c r="G204" i="3" s="1"/>
  <c r="M207" i="3" a="1"/>
  <c r="M207" i="3" s="1"/>
  <c r="G207" i="3" a="1"/>
  <c r="G207" i="3" s="1"/>
  <c r="M210" i="3" a="1"/>
  <c r="M210" i="3" s="1"/>
  <c r="G210" i="3" a="1"/>
  <c r="G210" i="3" s="1"/>
  <c r="M211" i="3" a="1"/>
  <c r="M211" i="3" s="1"/>
  <c r="G211" i="3" a="1"/>
  <c r="G211" i="3" s="1"/>
  <c r="M212" i="3" a="1"/>
  <c r="M212" i="3" s="1"/>
  <c r="G212" i="3" a="1"/>
  <c r="G212" i="3" s="1"/>
  <c r="M213" i="3" a="1"/>
  <c r="M213" i="3" s="1"/>
  <c r="G213" i="3" a="1"/>
  <c r="G213" i="3" s="1"/>
  <c r="M218" i="3" a="1"/>
  <c r="M218" i="3" s="1"/>
  <c r="G218" i="3" a="1"/>
  <c r="G218" i="3" s="1"/>
  <c r="M219" i="3" a="1"/>
  <c r="M219" i="3" s="1"/>
  <c r="G219" i="3" a="1"/>
  <c r="G219" i="3" s="1"/>
  <c r="M221" i="3" a="1"/>
  <c r="M221" i="3" s="1"/>
  <c r="G221" i="3" a="1"/>
  <c r="G221" i="3" s="1"/>
  <c r="M222" i="3" a="1"/>
  <c r="M222" i="3" s="1"/>
  <c r="G222" i="3" a="1"/>
  <c r="G222" i="3" s="1"/>
  <c r="M223" i="3" a="1"/>
  <c r="M223" i="3" s="1"/>
  <c r="G223" i="3" a="1"/>
  <c r="G223" i="3" s="1"/>
  <c r="M224" i="3" a="1"/>
  <c r="M224" i="3" s="1"/>
  <c r="G224" i="3" a="1"/>
  <c r="G224" i="3" s="1"/>
  <c r="M225" i="3" a="1"/>
  <c r="M225" i="3" s="1"/>
  <c r="G225" i="3" a="1"/>
  <c r="G225" i="3" s="1"/>
  <c r="M227" i="3" a="1"/>
  <c r="M227" i="3" s="1"/>
  <c r="G227" i="3" a="1"/>
  <c r="G227" i="3" s="1"/>
  <c r="M228" i="3" a="1"/>
  <c r="M228" i="3" s="1"/>
  <c r="G228" i="3" a="1"/>
  <c r="G228" i="3" s="1"/>
  <c r="M234" i="3" a="1"/>
  <c r="M234" i="3" s="1"/>
  <c r="G234" i="3" a="1"/>
  <c r="G234" i="3" s="1"/>
  <c r="M235" i="3" a="1"/>
  <c r="M235" i="3" s="1"/>
  <c r="G235" i="3" a="1"/>
  <c r="G235" i="3" s="1"/>
  <c r="M236" i="3" a="1"/>
  <c r="M236" i="3" s="1"/>
  <c r="G236" i="3" a="1"/>
  <c r="G236" i="3" s="1"/>
  <c r="M237" i="3" a="1"/>
  <c r="M237" i="3" s="1"/>
  <c r="G237" i="3" a="1"/>
  <c r="G237" i="3" s="1"/>
  <c r="M239" i="3" a="1"/>
  <c r="M239" i="3" s="1"/>
  <c r="G239" i="3" a="1"/>
  <c r="G239" i="3" s="1"/>
  <c r="M245" i="3" a="1"/>
  <c r="M245" i="3" s="1"/>
  <c r="G245" i="3" a="1"/>
  <c r="G245" i="3" s="1"/>
  <c r="M246" i="3" a="1"/>
  <c r="M246" i="3" s="1"/>
  <c r="G246" i="3" a="1"/>
  <c r="G246" i="3" s="1"/>
  <c r="M247" i="3" a="1"/>
  <c r="M247" i="3" s="1"/>
  <c r="G247" i="3" a="1"/>
  <c r="G247" i="3" s="1"/>
  <c r="M249" i="3" a="1"/>
  <c r="M249" i="3" s="1"/>
  <c r="G249" i="3" a="1"/>
  <c r="G249" i="3" s="1"/>
  <c r="M251" i="3" a="1"/>
  <c r="M251" i="3" s="1"/>
  <c r="G251" i="3" a="1"/>
  <c r="G251" i="3" s="1"/>
  <c r="M252" i="3" a="1"/>
  <c r="M252" i="3" s="1"/>
  <c r="G252" i="3" a="1"/>
  <c r="G252" i="3" s="1"/>
  <c r="M253" i="3" a="1"/>
  <c r="M253" i="3" s="1"/>
  <c r="G253" i="3" a="1"/>
  <c r="G253" i="3" s="1"/>
  <c r="M254" i="3" a="1"/>
  <c r="M254" i="3" s="1"/>
  <c r="G254" i="3" a="1"/>
  <c r="G254" i="3" s="1"/>
  <c r="M255" i="3" a="1"/>
  <c r="M255" i="3" s="1"/>
  <c r="G255" i="3" a="1"/>
  <c r="G255" i="3" s="1"/>
  <c r="M257" i="3" a="1"/>
  <c r="M257" i="3" s="1"/>
  <c r="G257" i="3" a="1"/>
  <c r="G257" i="3" s="1"/>
  <c r="M258" i="3" a="1"/>
  <c r="M258" i="3" s="1"/>
  <c r="G258" i="3" a="1"/>
  <c r="G258" i="3" s="1"/>
  <c r="M260" i="3" a="1"/>
  <c r="M260" i="3" s="1"/>
  <c r="G260" i="3" a="1"/>
  <c r="G260" i="3" s="1"/>
  <c r="M263" i="3" a="1"/>
  <c r="M263" i="3" s="1"/>
  <c r="G263" i="3" a="1"/>
  <c r="G263" i="3" s="1"/>
  <c r="M266" i="3" a="1"/>
  <c r="M266" i="3" s="1"/>
  <c r="G266" i="3" a="1"/>
  <c r="G266" i="3" s="1"/>
  <c r="M267" i="3" a="1"/>
  <c r="M267" i="3" s="1"/>
  <c r="G267" i="3" a="1"/>
  <c r="G267" i="3" s="1"/>
  <c r="M269" i="3" a="1"/>
  <c r="M269" i="3" s="1"/>
  <c r="G269" i="3" a="1"/>
  <c r="G269" i="3" s="1"/>
  <c r="M270" i="3" a="1"/>
  <c r="M270" i="3" s="1"/>
  <c r="G270" i="3" a="1"/>
  <c r="G270" i="3" s="1"/>
  <c r="M271" i="3" a="1"/>
  <c r="M271" i="3" s="1"/>
  <c r="G271" i="3" a="1"/>
  <c r="G271" i="3" s="1"/>
  <c r="M273" i="3" a="1"/>
  <c r="M273" i="3" s="1"/>
  <c r="G273" i="3" a="1"/>
  <c r="G273" i="3" s="1"/>
  <c r="M281" i="3" a="1"/>
  <c r="M281" i="3" s="1"/>
  <c r="G281" i="3" a="1"/>
  <c r="G281" i="3" s="1"/>
  <c r="M282" i="3" a="1"/>
  <c r="M282" i="3" s="1"/>
  <c r="G282" i="3" a="1"/>
  <c r="G282" i="3" s="1"/>
  <c r="M283" i="3" a="1"/>
  <c r="M283" i="3" s="1"/>
  <c r="G283" i="3" a="1"/>
  <c r="G283" i="3" s="1"/>
  <c r="M285" i="3" a="1"/>
  <c r="M285" i="3" s="1"/>
  <c r="G285" i="3" a="1"/>
  <c r="G285" i="3" s="1"/>
  <c r="M287" i="3" a="1"/>
  <c r="M287" i="3" s="1"/>
  <c r="G287" i="3" a="1"/>
  <c r="G287" i="3" s="1"/>
  <c r="M289" i="3" a="1"/>
  <c r="M289" i="3" s="1"/>
  <c r="G289" i="3" a="1"/>
  <c r="G289" i="3" s="1"/>
  <c r="M293" i="3" a="1"/>
  <c r="M293" i="3" s="1"/>
  <c r="G293" i="3" a="1"/>
  <c r="G293" i="3" s="1"/>
  <c r="M295" i="3" a="1"/>
  <c r="M295" i="3" s="1"/>
  <c r="G295" i="3" a="1"/>
  <c r="G295" i="3" s="1"/>
  <c r="M299" i="3" a="1"/>
  <c r="M299" i="3" s="1"/>
  <c r="G299" i="3" a="1"/>
  <c r="G299" i="3" s="1"/>
  <c r="M300" i="3" a="1"/>
  <c r="M300" i="3" s="1"/>
  <c r="G300" i="3" a="1"/>
  <c r="G300" i="3" s="1"/>
  <c r="M301" i="3" a="1"/>
  <c r="M301" i="3" s="1"/>
  <c r="G301" i="3" a="1"/>
  <c r="G301" i="3" s="1"/>
  <c r="M305" i="3" a="1"/>
  <c r="M305" i="3" s="1"/>
  <c r="G305" i="3" a="1"/>
  <c r="G305" i="3" s="1"/>
  <c r="M307" i="3" a="1"/>
  <c r="M307" i="3" s="1"/>
  <c r="G307" i="3" a="1"/>
  <c r="G307" i="3" s="1"/>
  <c r="M309" i="3" a="1"/>
  <c r="M309" i="3" s="1"/>
  <c r="G309" i="3" a="1"/>
  <c r="G309" i="3" s="1"/>
  <c r="M312" i="3" a="1"/>
  <c r="M312" i="3" s="1"/>
  <c r="G312" i="3" a="1"/>
  <c r="G312" i="3" s="1"/>
  <c r="M313" i="3" a="1"/>
  <c r="M313" i="3" s="1"/>
  <c r="G313" i="3" a="1"/>
  <c r="G313" i="3" s="1"/>
  <c r="M315" i="3" a="1"/>
  <c r="M315" i="3" s="1"/>
  <c r="G315" i="3" a="1"/>
  <c r="G315" i="3" s="1"/>
  <c r="M317" i="3" a="1"/>
  <c r="M317" i="3" s="1"/>
  <c r="G317" i="3" a="1"/>
  <c r="G317" i="3" s="1"/>
  <c r="M318" i="3" a="1"/>
  <c r="M318" i="3" s="1"/>
  <c r="G318" i="3" a="1"/>
  <c r="G318" i="3" s="1"/>
  <c r="M319" i="3" a="1"/>
  <c r="M319" i="3" s="1"/>
  <c r="G319" i="3" a="1"/>
  <c r="G319" i="3" s="1"/>
  <c r="M321" i="3" a="1"/>
  <c r="M321" i="3" s="1"/>
  <c r="G321" i="3" a="1"/>
  <c r="G321" i="3" s="1"/>
  <c r="M324" i="3" a="1"/>
  <c r="M324" i="3" s="1"/>
  <c r="G324" i="3" a="1"/>
  <c r="G324" i="3" s="1"/>
  <c r="M329" i="3" a="1"/>
  <c r="M329" i="3" s="1"/>
  <c r="G329" i="3" a="1"/>
  <c r="G329" i="3" s="1"/>
  <c r="M330" i="3" a="1"/>
  <c r="M330" i="3" s="1"/>
  <c r="G330" i="3" a="1"/>
  <c r="G330" i="3" s="1"/>
  <c r="M331" i="3" a="1"/>
  <c r="M331" i="3" s="1"/>
  <c r="G331" i="3" a="1"/>
  <c r="G331" i="3" s="1"/>
  <c r="M333" i="3" a="1"/>
  <c r="M333" i="3" s="1"/>
  <c r="G333" i="3" a="1"/>
  <c r="G333" i="3" s="1"/>
  <c r="M335" i="3" a="1"/>
  <c r="M335" i="3" s="1"/>
  <c r="G335" i="3" a="1"/>
  <c r="G335" i="3" s="1"/>
  <c r="M336" i="3" a="1"/>
  <c r="M336" i="3" s="1"/>
  <c r="G336" i="3" a="1"/>
  <c r="G336" i="3" s="1"/>
  <c r="M339" i="3" a="1"/>
  <c r="M339" i="3" s="1"/>
  <c r="G339" i="3" a="1"/>
  <c r="G339" i="3" s="1"/>
  <c r="M342" i="3" a="1"/>
  <c r="M342" i="3" s="1"/>
  <c r="G342" i="3" a="1"/>
  <c r="G342" i="3" s="1"/>
  <c r="M343" i="3" a="1"/>
  <c r="M343" i="3" s="1"/>
  <c r="G343" i="3" a="1"/>
  <c r="G343" i="3" s="1"/>
  <c r="M347" i="3" a="1"/>
  <c r="M347" i="3" s="1"/>
  <c r="G347" i="3" a="1"/>
  <c r="G347" i="3" s="1"/>
  <c r="M348" i="3" a="1"/>
  <c r="M348" i="3" s="1"/>
  <c r="G348" i="3" a="1"/>
  <c r="G348" i="3" s="1"/>
  <c r="M349" i="3" a="1"/>
  <c r="M349" i="3" s="1"/>
  <c r="G349" i="3" a="1"/>
  <c r="G349" i="3" s="1"/>
  <c r="M354" i="3" a="1"/>
  <c r="M354" i="3" s="1"/>
  <c r="G354" i="3" a="1"/>
  <c r="G354" i="3" s="1"/>
  <c r="M359" i="3" a="1"/>
  <c r="M359" i="3" s="1"/>
  <c r="G359" i="3" a="1"/>
  <c r="G359" i="3" s="1"/>
  <c r="M360" i="3" a="1"/>
  <c r="M360" i="3" s="1"/>
  <c r="G360" i="3" a="1"/>
  <c r="G360" i="3" s="1"/>
  <c r="M361" i="3" a="1"/>
  <c r="M361" i="3" s="1"/>
  <c r="G361" i="3" a="1"/>
  <c r="G361" i="3" s="1"/>
  <c r="M365" i="3" a="1"/>
  <c r="M365" i="3" s="1"/>
  <c r="G365" i="3" a="1"/>
  <c r="G365" i="3" s="1"/>
  <c r="M366" i="3" a="1"/>
  <c r="M366" i="3" s="1"/>
  <c r="G366" i="3" a="1"/>
  <c r="G366" i="3" s="1"/>
  <c r="M369" i="3" a="1"/>
  <c r="M369" i="3" s="1"/>
  <c r="G369" i="3" a="1"/>
  <c r="G369" i="3" s="1"/>
  <c r="M375" i="3" a="1"/>
  <c r="M375" i="3" s="1"/>
  <c r="G375" i="3" a="1"/>
  <c r="G375" i="3" s="1"/>
  <c r="M377" i="3" a="1"/>
  <c r="M377" i="3" s="1"/>
  <c r="G377" i="3" a="1"/>
  <c r="G377" i="3" s="1"/>
  <c r="M378" i="3" a="1"/>
  <c r="M378" i="3" s="1"/>
  <c r="G378" i="3" a="1"/>
  <c r="G378" i="3" s="1"/>
  <c r="M379" i="3" a="1"/>
  <c r="M379" i="3" s="1"/>
  <c r="G379" i="3" a="1"/>
  <c r="G379" i="3" s="1"/>
  <c r="M381" i="3" a="1"/>
  <c r="M381" i="3" s="1"/>
  <c r="G381" i="3" a="1"/>
  <c r="G381" i="3" s="1"/>
  <c r="M384" i="3" a="1"/>
  <c r="M384" i="3" s="1"/>
  <c r="G384" i="3" a="1"/>
  <c r="G384" i="3" s="1"/>
  <c r="M385" i="3" a="1"/>
  <c r="M385" i="3" s="1"/>
  <c r="G385" i="3" a="1"/>
  <c r="G385" i="3" s="1"/>
  <c r="M387" i="3" a="1"/>
  <c r="M387" i="3" s="1"/>
  <c r="G387" i="3" a="1"/>
  <c r="G387" i="3" s="1"/>
  <c r="M389" i="3" a="1"/>
  <c r="M389" i="3" s="1"/>
  <c r="G389" i="3" a="1"/>
  <c r="G389" i="3" s="1"/>
  <c r="M391" i="3" a="1"/>
  <c r="M391" i="3" s="1"/>
  <c r="G391" i="3" a="1"/>
  <c r="G391" i="3" s="1"/>
  <c r="M393" i="3" a="1"/>
  <c r="M393" i="3" s="1"/>
  <c r="G393" i="3" a="1"/>
  <c r="G393" i="3" s="1"/>
  <c r="M395" i="3" a="1"/>
  <c r="M395" i="3" s="1"/>
  <c r="G395" i="3" a="1"/>
  <c r="G395" i="3" s="1"/>
  <c r="M397" i="3" a="1"/>
  <c r="M397" i="3" s="1"/>
  <c r="G397" i="3" a="1"/>
  <c r="G397" i="3" s="1"/>
  <c r="M399" i="3" a="1"/>
  <c r="M399" i="3" s="1"/>
  <c r="G399" i="3" a="1"/>
  <c r="G399" i="3" s="1"/>
  <c r="M402" i="3" a="1"/>
  <c r="M402" i="3" s="1"/>
  <c r="G402" i="3" a="1"/>
  <c r="G402" i="3" s="1"/>
  <c r="M403" i="3" a="1"/>
  <c r="M403" i="3" s="1"/>
  <c r="G403" i="3" a="1"/>
  <c r="G403" i="3" s="1"/>
  <c r="M407" i="3" a="1"/>
  <c r="M407" i="3" s="1"/>
  <c r="G407" i="3" a="1"/>
  <c r="G407" i="3" s="1"/>
  <c r="M408" i="3" a="1"/>
  <c r="M408" i="3" s="1"/>
  <c r="G408" i="3" a="1"/>
  <c r="G408" i="3" s="1"/>
  <c r="M409" i="3" a="1"/>
  <c r="M409" i="3" s="1"/>
  <c r="G409" i="3" a="1"/>
  <c r="G409" i="3" s="1"/>
  <c r="M411" i="3" a="1"/>
  <c r="M411" i="3" s="1"/>
  <c r="G411" i="3" a="1"/>
  <c r="G411" i="3" s="1"/>
  <c r="M420" i="3" a="1"/>
  <c r="M420" i="3" s="1"/>
  <c r="G420" i="3" a="1"/>
  <c r="G420" i="3" s="1"/>
  <c r="M423" i="3" a="1"/>
  <c r="M423" i="3" s="1"/>
  <c r="G423" i="3" a="1"/>
  <c r="G423" i="3" s="1"/>
  <c r="M425" i="3" a="1"/>
  <c r="M425" i="3" s="1"/>
  <c r="G425" i="3" a="1"/>
  <c r="G425" i="3" s="1"/>
  <c r="M426" i="3" a="1"/>
  <c r="M426" i="3" s="1"/>
  <c r="G426" i="3" a="1"/>
  <c r="G426" i="3" s="1"/>
  <c r="M429" i="3" a="1"/>
  <c r="M429" i="3" s="1"/>
  <c r="G429" i="3" a="1"/>
  <c r="G429" i="3" s="1"/>
  <c r="M437" i="3" a="1"/>
  <c r="M437" i="3" s="1"/>
  <c r="G437" i="3" a="1"/>
  <c r="G437" i="3" s="1"/>
  <c r="M438" i="3" a="1"/>
  <c r="M438" i="3" s="1"/>
  <c r="G438" i="3" a="1"/>
  <c r="G438" i="3" s="1"/>
  <c r="M441" i="3" a="1"/>
  <c r="M441" i="3" s="1"/>
  <c r="G441" i="3" a="1"/>
  <c r="G441" i="3" s="1"/>
  <c r="M443" i="3" a="1"/>
  <c r="M443" i="3" s="1"/>
  <c r="G443" i="3" a="1"/>
  <c r="G443" i="3" s="1"/>
  <c r="M444" i="3" a="1"/>
  <c r="M444" i="3" s="1"/>
  <c r="G444" i="3" a="1"/>
  <c r="G444" i="3" s="1"/>
  <c r="M447" i="3" a="1"/>
  <c r="M447" i="3" s="1"/>
  <c r="G447" i="3" a="1"/>
  <c r="G447" i="3" s="1"/>
  <c r="M453" i="3" a="1"/>
  <c r="M453" i="3" s="1"/>
  <c r="G453" i="3" a="1"/>
  <c r="G453" i="3" s="1"/>
  <c r="M455" i="3" a="1"/>
  <c r="M455" i="3" s="1"/>
  <c r="G455" i="3" a="1"/>
  <c r="G455" i="3" s="1"/>
  <c r="M456" i="3" a="1"/>
  <c r="M456" i="3" s="1"/>
  <c r="G456" i="3" a="1"/>
  <c r="G456" i="3" s="1"/>
  <c r="M459" i="3" a="1"/>
  <c r="M459" i="3" s="1"/>
  <c r="G459" i="3" a="1"/>
  <c r="G459" i="3" s="1"/>
  <c r="M467" i="3" a="1"/>
  <c r="M467" i="3" s="1"/>
  <c r="G467" i="3" a="1"/>
  <c r="G467" i="3" s="1"/>
  <c r="M468" i="3" a="1"/>
  <c r="M468" i="3" s="1"/>
  <c r="G468" i="3" a="1"/>
  <c r="G468" i="3" s="1"/>
  <c r="M471" i="3" a="1"/>
  <c r="M471" i="3" s="1"/>
  <c r="G471" i="3" a="1"/>
  <c r="G471" i="3" s="1"/>
  <c r="M473" i="3" a="1"/>
  <c r="M473" i="3" s="1"/>
  <c r="G473" i="3" a="1"/>
  <c r="G473" i="3" s="1"/>
  <c r="M474" i="3" a="1"/>
  <c r="M474" i="3" s="1"/>
  <c r="G474" i="3" a="1"/>
  <c r="G474" i="3" s="1"/>
  <c r="M483" i="3" a="1"/>
  <c r="M483" i="3" s="1"/>
  <c r="G483" i="3" a="1"/>
  <c r="G483" i="3" s="1"/>
  <c r="M485" i="3" a="1"/>
  <c r="M485" i="3" s="1"/>
  <c r="G485" i="3" a="1"/>
  <c r="G485" i="3" s="1"/>
  <c r="M486" i="3" a="1"/>
  <c r="M486" i="3" s="1"/>
  <c r="G486" i="3" a="1"/>
  <c r="G486" i="3" s="1"/>
  <c r="M491" i="3" a="1"/>
  <c r="M491" i="3" s="1"/>
  <c r="G491" i="3" a="1"/>
  <c r="G491" i="3" s="1"/>
  <c r="M492" i="3" a="1"/>
  <c r="M492" i="3" s="1"/>
  <c r="G492" i="3" a="1"/>
  <c r="G492" i="3" s="1"/>
  <c r="M501" i="3" a="1"/>
  <c r="M501" i="3" s="1"/>
  <c r="G501" i="3" a="1"/>
  <c r="G501" i="3" s="1"/>
  <c r="M503" i="3" a="1"/>
  <c r="M503" i="3" s="1"/>
  <c r="G503" i="3" a="1"/>
  <c r="G503" i="3" s="1"/>
  <c r="M504" i="3" a="1"/>
  <c r="M504" i="3" s="1"/>
  <c r="G504" i="3" a="1"/>
  <c r="G504" i="3" s="1"/>
  <c r="M507" i="3" a="1"/>
  <c r="M507" i="3" s="1"/>
  <c r="G507" i="3" a="1"/>
  <c r="G507" i="3" s="1"/>
  <c r="M513" i="3" a="1"/>
  <c r="M513" i="3" s="1"/>
  <c r="G513" i="3" a="1"/>
  <c r="G513" i="3" s="1"/>
  <c r="M515" i="3" a="1"/>
  <c r="M515" i="3" s="1"/>
  <c r="G515" i="3" a="1"/>
  <c r="G515" i="3" s="1"/>
  <c r="M516" i="3" a="1"/>
  <c r="M516" i="3" s="1"/>
  <c r="G516" i="3" a="1"/>
  <c r="G516" i="3" s="1"/>
  <c r="M519" i="3" a="1"/>
  <c r="M519" i="3" s="1"/>
  <c r="G519" i="3" a="1"/>
  <c r="G519" i="3" s="1"/>
  <c r="M528" i="3" a="1"/>
  <c r="M528" i="3" s="1"/>
  <c r="G528" i="3" a="1"/>
  <c r="G528" i="3" s="1"/>
  <c r="M531" i="3" a="1"/>
  <c r="M531" i="3" s="1"/>
  <c r="G531" i="3" a="1"/>
  <c r="G531" i="3" s="1"/>
  <c r="M533" i="3" a="1"/>
  <c r="M533" i="3" s="1"/>
  <c r="G533" i="3" a="1"/>
  <c r="G533" i="3" s="1"/>
  <c r="M539" i="3" a="1"/>
  <c r="M539" i="3" s="1"/>
  <c r="G539" i="3" a="1"/>
  <c r="G539" i="3" s="1"/>
  <c r="M545" i="3" a="1"/>
  <c r="M545" i="3" s="1"/>
  <c r="G545" i="3" a="1"/>
  <c r="G545" i="3" s="1"/>
  <c r="M546" i="3" a="1"/>
  <c r="M546" i="3" s="1"/>
  <c r="G546" i="3" a="1"/>
  <c r="G546" i="3" s="1"/>
  <c r="M555" i="3" a="1"/>
  <c r="M555" i="3" s="1"/>
  <c r="G555" i="3" a="1"/>
  <c r="G555" i="3" s="1"/>
  <c r="M557" i="3" a="1"/>
  <c r="M557" i="3" s="1"/>
  <c r="G557" i="3" a="1"/>
  <c r="G557" i="3" s="1"/>
  <c r="M558" i="3" a="1"/>
  <c r="M558" i="3" s="1"/>
  <c r="G558" i="3" a="1"/>
  <c r="G558" i="3" s="1"/>
  <c r="M563" i="3" a="1"/>
  <c r="M563" i="3" s="1"/>
  <c r="G563" i="3" a="1"/>
  <c r="G563" i="3" s="1"/>
  <c r="M564" i="3" a="1"/>
  <c r="M564" i="3" s="1"/>
  <c r="G564" i="3" a="1"/>
  <c r="G564" i="3" s="1"/>
  <c r="M567" i="3" a="1"/>
  <c r="M567" i="3" s="1"/>
  <c r="G567" i="3" a="1"/>
  <c r="G567" i="3" s="1"/>
  <c r="M570" i="3" a="1"/>
  <c r="M570" i="3" s="1"/>
  <c r="G570" i="3" a="1"/>
  <c r="G570" i="3" s="1"/>
  <c r="M573" i="3" a="1"/>
  <c r="M573" i="3" s="1"/>
  <c r="G573" i="3" a="1"/>
  <c r="G573" i="3" s="1"/>
  <c r="M575" i="3" a="1"/>
  <c r="M575" i="3" s="1"/>
  <c r="G575" i="3" a="1"/>
  <c r="G575" i="3" s="1"/>
  <c r="M579" i="3" a="1"/>
  <c r="M579" i="3" s="1"/>
  <c r="G579" i="3" a="1"/>
  <c r="G579" i="3" s="1"/>
  <c r="M581" i="3" a="1"/>
  <c r="M581" i="3" s="1"/>
  <c r="G581" i="3" a="1"/>
  <c r="G581" i="3" s="1"/>
  <c r="M588" i="3" a="1"/>
  <c r="M588" i="3" s="1"/>
  <c r="G588" i="3" a="1"/>
  <c r="G588" i="3" s="1"/>
  <c r="M599" i="3" a="1"/>
  <c r="M599" i="3" s="1"/>
  <c r="G599" i="3" a="1"/>
  <c r="G599" i="3" s="1"/>
  <c r="M600" i="3" a="1"/>
  <c r="M600" i="3" s="1"/>
  <c r="G600" i="3" a="1"/>
  <c r="G600" i="3" s="1"/>
  <c r="M605" i="3" a="1"/>
  <c r="M605" i="3" s="1"/>
  <c r="G605" i="3" a="1"/>
  <c r="G605" i="3" s="1"/>
  <c r="M606" i="3" a="1"/>
  <c r="M606" i="3" s="1"/>
  <c r="G606" i="3" a="1"/>
  <c r="G606" i="3" s="1"/>
  <c r="M612" i="3" a="1"/>
  <c r="M612" i="3" s="1"/>
  <c r="G612" i="3" a="1"/>
  <c r="G612" i="3" s="1"/>
  <c r="M617" i="3" a="1"/>
  <c r="M617" i="3" s="1"/>
  <c r="G617" i="3" a="1"/>
  <c r="G617" i="3" s="1"/>
  <c r="M618" i="3" a="1"/>
  <c r="M618" i="3" s="1"/>
  <c r="G618" i="3" a="1"/>
  <c r="G618" i="3" s="1"/>
  <c r="M623" i="3" a="1"/>
  <c r="M623" i="3" s="1"/>
  <c r="G623" i="3" a="1"/>
  <c r="G623" i="3" s="1"/>
  <c r="M629" i="3" a="1"/>
  <c r="M629" i="3" s="1"/>
  <c r="G629" i="3" a="1"/>
  <c r="G629" i="3" s="1"/>
  <c r="M630" i="3" a="1"/>
  <c r="M630" i="3" s="1"/>
  <c r="G630" i="3" a="1"/>
  <c r="G630" i="3" s="1"/>
  <c r="M635" i="3" a="1"/>
  <c r="M635" i="3" s="1"/>
  <c r="G635" i="3" a="1"/>
  <c r="G635" i="3" s="1"/>
  <c r="M636" i="3" a="1"/>
  <c r="M636" i="3" s="1"/>
  <c r="G636" i="3" a="1"/>
  <c r="G636" i="3" s="1"/>
  <c r="M647" i="3" a="1"/>
  <c r="M647" i="3" s="1"/>
  <c r="G647" i="3" a="1"/>
  <c r="G647" i="3" s="1"/>
  <c r="M648" i="3" a="1"/>
  <c r="M648" i="3" s="1"/>
  <c r="G648" i="3" a="1"/>
  <c r="G648" i="3" s="1"/>
  <c r="M665" i="3" a="1"/>
  <c r="M665" i="3" s="1"/>
  <c r="G665" i="3" a="1"/>
  <c r="G665" i="3" s="1"/>
  <c r="M672" i="3" a="1"/>
  <c r="M672" i="3" s="1"/>
  <c r="G672" i="3" a="1"/>
  <c r="G672" i="3" s="1"/>
  <c r="M677" i="3" a="1"/>
  <c r="M677" i="3" s="1"/>
  <c r="G677" i="3" a="1"/>
  <c r="G677" i="3" s="1"/>
  <c r="M683" i="3" a="1"/>
  <c r="M683" i="3" s="1"/>
  <c r="G683" i="3" a="1"/>
  <c r="G683" i="3" s="1"/>
  <c r="M684" i="3" a="1"/>
  <c r="M684" i="3" s="1"/>
  <c r="G684" i="3" a="1"/>
  <c r="G684" i="3" s="1"/>
  <c r="M695" i="3" a="1"/>
  <c r="M695" i="3" s="1"/>
  <c r="G695" i="3" a="1"/>
  <c r="G695" i="3" s="1"/>
  <c r="M696" i="3" a="1"/>
  <c r="M696" i="3" s="1"/>
  <c r="G696" i="3" a="1"/>
  <c r="G696" i="3" s="1"/>
  <c r="M701" i="3" a="1"/>
  <c r="M701" i="3" s="1"/>
  <c r="G701" i="3" a="1"/>
  <c r="G701" i="3" s="1"/>
  <c r="M707" i="3" a="1"/>
  <c r="M707" i="3" s="1"/>
  <c r="G707" i="3" a="1"/>
  <c r="G707" i="3" s="1"/>
  <c r="M713" i="3" a="1"/>
  <c r="M713" i="3" s="1"/>
  <c r="G713" i="3" a="1"/>
  <c r="G713" i="3" s="1"/>
  <c r="M714" i="3" a="1"/>
  <c r="M714" i="3" s="1"/>
  <c r="G714" i="3" a="1"/>
  <c r="G714" i="3" s="1"/>
  <c r="M719" i="3" a="1"/>
  <c r="M719" i="3" s="1"/>
  <c r="G719" i="3" a="1"/>
  <c r="G719" i="3" s="1"/>
  <c r="M725" i="3" a="1"/>
  <c r="M725" i="3" s="1"/>
  <c r="G725" i="3" a="1"/>
  <c r="G725" i="3" s="1"/>
  <c r="M726" i="3" a="1"/>
  <c r="M726" i="3" s="1"/>
  <c r="G726" i="3" a="1"/>
  <c r="G726" i="3" s="1"/>
  <c r="M731" i="3" a="1"/>
  <c r="M731" i="3" s="1"/>
  <c r="G731" i="3" a="1"/>
  <c r="G731" i="3" s="1"/>
  <c r="M732" i="3" a="1"/>
  <c r="M732" i="3" s="1"/>
  <c r="G732" i="3" a="1"/>
  <c r="G732" i="3" s="1"/>
  <c r="M749" i="3" a="1"/>
  <c r="M749" i="3" s="1"/>
  <c r="G749" i="3" a="1"/>
  <c r="G749" i="3" s="1"/>
  <c r="M755" i="3" a="1"/>
  <c r="M755" i="3" s="1"/>
  <c r="G755" i="3" a="1"/>
  <c r="G755" i="3" s="1"/>
  <c r="M756" i="3" a="1"/>
  <c r="M756" i="3" s="1"/>
  <c r="G756" i="3" a="1"/>
  <c r="G756" i="3" s="1"/>
  <c r="M768" i="3" a="1"/>
  <c r="M768" i="3" s="1"/>
  <c r="G768" i="3" a="1"/>
  <c r="G768" i="3" s="1"/>
  <c r="M779" i="3" a="1"/>
  <c r="M779" i="3" s="1"/>
  <c r="G779" i="3" a="1"/>
  <c r="G779" i="3" s="1"/>
  <c r="M780" i="3" a="1"/>
  <c r="M780" i="3" s="1"/>
  <c r="G780" i="3" a="1"/>
  <c r="G780" i="3" s="1"/>
  <c r="M791" i="3" a="1"/>
  <c r="M791" i="3" s="1"/>
  <c r="G791" i="3" a="1"/>
  <c r="G791" i="3" s="1"/>
  <c r="M792" i="3" a="1"/>
  <c r="M792" i="3" s="1"/>
  <c r="G792" i="3" a="1"/>
  <c r="G792" i="3" s="1"/>
  <c r="M797" i="3" a="1"/>
  <c r="M797" i="3" s="1"/>
  <c r="G797" i="3" a="1"/>
  <c r="G797" i="3" s="1"/>
  <c r="M803" i="3" a="1"/>
  <c r="M803" i="3" s="1"/>
  <c r="G803" i="3" a="1"/>
  <c r="G803" i="3" s="1"/>
  <c r="M804" i="3" a="1"/>
  <c r="M804" i="3" s="1"/>
  <c r="G804" i="3" a="1"/>
  <c r="G804" i="3" s="1"/>
  <c r="M815" i="3" a="1"/>
  <c r="M815" i="3" s="1"/>
  <c r="G815" i="3" a="1"/>
  <c r="G815" i="3" s="1"/>
  <c r="M816" i="3" a="1"/>
  <c r="M816" i="3" s="1"/>
  <c r="G816" i="3" a="1"/>
  <c r="G816" i="3" s="1"/>
  <c r="M827" i="3" a="1"/>
  <c r="M827" i="3" s="1"/>
  <c r="G827" i="3" a="1"/>
  <c r="G827" i="3" s="1"/>
  <c r="M839" i="3" a="1"/>
  <c r="M839" i="3" s="1"/>
  <c r="G839" i="3" a="1"/>
  <c r="G839" i="3" s="1"/>
  <c r="M845" i="3" a="1"/>
  <c r="M845" i="3" s="1"/>
  <c r="G845" i="3" a="1"/>
  <c r="G845" i="3" s="1"/>
  <c r="M846" i="3" a="1"/>
  <c r="M846" i="3" s="1"/>
  <c r="G846" i="3" a="1"/>
  <c r="G846" i="3" s="1"/>
  <c r="J851" i="3" a="1"/>
  <c r="J851" i="3" s="1"/>
  <c r="G851" i="3" a="1"/>
  <c r="G851" i="3" s="1"/>
  <c r="M857" i="3" a="1"/>
  <c r="M857" i="3" s="1"/>
  <c r="G857" i="3" a="1"/>
  <c r="G857" i="3" s="1"/>
  <c r="M858" i="3" a="1"/>
  <c r="M858" i="3" s="1"/>
  <c r="G858" i="3" a="1"/>
  <c r="G858" i="3" s="1"/>
  <c r="M863" i="3" a="1"/>
  <c r="M863" i="3" s="1"/>
  <c r="G863" i="3" a="1"/>
  <c r="G863" i="3" s="1"/>
  <c r="M869" i="3" a="1"/>
  <c r="M869" i="3" s="1"/>
  <c r="G869" i="3" a="1"/>
  <c r="G869" i="3" s="1"/>
  <c r="M870" i="3" a="1"/>
  <c r="M870" i="3" s="1"/>
  <c r="G870" i="3" a="1"/>
  <c r="G870" i="3" s="1"/>
  <c r="M881" i="3" a="1"/>
  <c r="M881" i="3" s="1"/>
  <c r="G881" i="3" a="1"/>
  <c r="G881" i="3" s="1"/>
  <c r="M882" i="3" a="1"/>
  <c r="M882" i="3" s="1"/>
  <c r="G882" i="3" a="1"/>
  <c r="G882" i="3" s="1"/>
  <c r="M887" i="3" a="1"/>
  <c r="M887" i="3" s="1"/>
  <c r="G887" i="3" a="1"/>
  <c r="G887" i="3" s="1"/>
  <c r="M888" i="3" a="1"/>
  <c r="M888" i="3" s="1"/>
  <c r="G888" i="3" a="1"/>
  <c r="G888" i="3" s="1"/>
  <c r="M893" i="3" a="1"/>
  <c r="M893" i="3" s="1"/>
  <c r="G893" i="3" a="1"/>
  <c r="G893" i="3" s="1"/>
  <c r="M894" i="3" a="1"/>
  <c r="M894" i="3" s="1"/>
  <c r="G894" i="3" a="1"/>
  <c r="G894" i="3" s="1"/>
  <c r="J899" i="3" a="1"/>
  <c r="J899" i="3" s="1"/>
  <c r="G899" i="3" a="1"/>
  <c r="G899" i="3" s="1"/>
  <c r="J900" i="3" a="1"/>
  <c r="J900" i="3" s="1"/>
  <c r="G900" i="3" a="1"/>
  <c r="G900" i="3" s="1"/>
  <c r="M911" i="3" a="1"/>
  <c r="M911" i="3" s="1"/>
  <c r="G911" i="3" a="1"/>
  <c r="G911" i="3" s="1"/>
  <c r="I912" i="3" a="1"/>
  <c r="I912" i="3" s="1"/>
  <c r="G912" i="3" a="1"/>
  <c r="G912" i="3" s="1"/>
  <c r="M924" i="3" a="1"/>
  <c r="M924" i="3" s="1"/>
  <c r="G924" i="3" a="1"/>
  <c r="G924" i="3" s="1"/>
  <c r="J929" i="3" a="1"/>
  <c r="J929" i="3" s="1"/>
  <c r="G929" i="3" a="1"/>
  <c r="G929" i="3" s="1"/>
  <c r="M930" i="3" a="1"/>
  <c r="M930" i="3" s="1"/>
  <c r="G930" i="3" a="1"/>
  <c r="G930" i="3" s="1"/>
  <c r="J936" i="3" a="1"/>
  <c r="J936" i="3" s="1"/>
  <c r="G936" i="3" a="1"/>
  <c r="G936" i="3" s="1"/>
  <c r="M941" i="3" a="1"/>
  <c r="M941" i="3" s="1"/>
  <c r="G941" i="3" a="1"/>
  <c r="G941" i="3" s="1"/>
  <c r="M942" i="3" a="1"/>
  <c r="M942" i="3" s="1"/>
  <c r="G942" i="3" a="1"/>
  <c r="G942" i="3" s="1"/>
  <c r="M953" i="3" a="1"/>
  <c r="M953" i="3" s="1"/>
  <c r="G953" i="3" a="1"/>
  <c r="G953" i="3" s="1"/>
  <c r="M954" i="3" a="1"/>
  <c r="M954" i="3" s="1"/>
  <c r="G954" i="3" a="1"/>
  <c r="G954" i="3" s="1"/>
  <c r="J965" i="3" a="1"/>
  <c r="J965" i="3" s="1"/>
  <c r="G965" i="3" a="1"/>
  <c r="G965" i="3" s="1"/>
  <c r="M966" i="3" a="1"/>
  <c r="M966" i="3" s="1"/>
  <c r="G966" i="3" a="1"/>
  <c r="G966" i="3" s="1"/>
  <c r="M977" i="3" a="1"/>
  <c r="M977" i="3" s="1"/>
  <c r="G977" i="3" a="1"/>
  <c r="G977" i="3" s="1"/>
  <c r="J978" i="3" a="1"/>
  <c r="J978" i="3" s="1"/>
  <c r="G978" i="3" a="1"/>
  <c r="G978" i="3" s="1"/>
  <c r="J989" i="3" a="1"/>
  <c r="J989" i="3" s="1"/>
  <c r="G989" i="3" a="1"/>
  <c r="G989" i="3" s="1"/>
  <c r="M990" i="3" a="1"/>
  <c r="M990" i="3" s="1"/>
  <c r="G990" i="3" a="1"/>
  <c r="G990" i="3" s="1"/>
  <c r="M1001" i="3" a="1"/>
  <c r="M1001" i="3" s="1"/>
  <c r="G1001" i="3" a="1"/>
  <c r="G1001" i="3" s="1"/>
  <c r="M1002" i="3" a="1"/>
  <c r="M1002" i="3" s="1"/>
  <c r="G1002" i="3" a="1"/>
  <c r="G1002" i="3" s="1"/>
  <c r="M1013" i="3" a="1"/>
  <c r="M1013" i="3" s="1"/>
  <c r="G1013" i="3" a="1"/>
  <c r="G1013" i="3" s="1"/>
  <c r="J1014" i="3" a="1"/>
  <c r="J1014" i="3" s="1"/>
  <c r="G1014" i="3" a="1"/>
  <c r="G1014" i="3" s="1"/>
  <c r="M1025" i="3" a="1"/>
  <c r="M1025" i="3" s="1"/>
  <c r="G1025" i="3" a="1"/>
  <c r="G1025" i="3" s="1"/>
  <c r="M1026" i="3" a="1"/>
  <c r="M1026" i="3" s="1"/>
  <c r="G1026" i="3" a="1"/>
  <c r="G1026" i="3" s="1"/>
  <c r="M1037" i="3" a="1"/>
  <c r="M1037" i="3" s="1"/>
  <c r="G1037" i="3" a="1"/>
  <c r="G1037" i="3" s="1"/>
  <c r="M1038" i="3" a="1"/>
  <c r="M1038" i="3" s="1"/>
  <c r="G1038" i="3" a="1"/>
  <c r="G1038" i="3" s="1"/>
  <c r="J1049" i="3" a="1"/>
  <c r="J1049" i="3" s="1"/>
  <c r="G1049" i="3" a="1"/>
  <c r="G1049" i="3" s="1"/>
  <c r="M1050" i="3" a="1"/>
  <c r="M1050" i="3" s="1"/>
  <c r="G1050" i="3" a="1"/>
  <c r="G1050" i="3" s="1"/>
  <c r="M1061" i="3" a="1"/>
  <c r="M1061" i="3" s="1"/>
  <c r="G1061" i="3" a="1"/>
  <c r="G1061" i="3" s="1"/>
  <c r="M1073" i="3" a="1"/>
  <c r="M1073" i="3" s="1"/>
  <c r="G1073" i="3" a="1"/>
  <c r="G1073" i="3" s="1"/>
  <c r="M1085" i="3" a="1"/>
  <c r="M1085" i="3" s="1"/>
  <c r="G1085" i="3" a="1"/>
  <c r="G1085" i="3" s="1"/>
  <c r="M1097" i="3" a="1"/>
  <c r="M1097" i="3" s="1"/>
  <c r="G1097" i="3" a="1"/>
  <c r="G1097" i="3" s="1"/>
  <c r="J1098" i="3" a="1"/>
  <c r="J1098" i="3" s="1"/>
  <c r="G1098" i="3" a="1"/>
  <c r="G1098" i="3" s="1"/>
  <c r="M1109" i="3" a="1"/>
  <c r="M1109" i="3" s="1"/>
  <c r="G1109" i="3" a="1"/>
  <c r="G1109" i="3" s="1"/>
  <c r="M1121" i="3" a="1"/>
  <c r="M1121" i="3" s="1"/>
  <c r="G1121" i="3" a="1"/>
  <c r="G1121" i="3" s="1"/>
  <c r="M1133" i="3" a="1"/>
  <c r="M1133" i="3" s="1"/>
  <c r="G1133" i="3" a="1"/>
  <c r="G1133" i="3" s="1"/>
  <c r="M1145" i="3" a="1"/>
  <c r="M1145" i="3" s="1"/>
  <c r="G1145" i="3" a="1"/>
  <c r="G1145" i="3" s="1"/>
  <c r="M1157" i="3" a="1"/>
  <c r="M1157" i="3" s="1"/>
  <c r="G1157" i="3" a="1"/>
  <c r="G1157" i="3" s="1"/>
  <c r="J1158" i="3" a="1"/>
  <c r="J1158" i="3" s="1"/>
  <c r="G1158" i="3" a="1"/>
  <c r="G1158" i="3" s="1"/>
  <c r="J1169" i="3" a="1"/>
  <c r="J1169" i="3" s="1"/>
  <c r="G1169" i="3" a="1"/>
  <c r="G1169" i="3" s="1"/>
  <c r="J1181" i="3" a="1"/>
  <c r="J1181" i="3" s="1"/>
  <c r="G1181" i="3" a="1"/>
  <c r="G1181" i="3" s="1"/>
  <c r="M1193" i="3" a="1"/>
  <c r="M1193" i="3" s="1"/>
  <c r="G1193" i="3" a="1"/>
  <c r="G1193" i="3" s="1"/>
  <c r="M1205" i="3" a="1"/>
  <c r="M1205" i="3" s="1"/>
  <c r="G1205" i="3" a="1"/>
  <c r="G1205" i="3" s="1"/>
  <c r="M1217" i="3" a="1"/>
  <c r="M1217" i="3" s="1"/>
  <c r="G1217" i="3" a="1"/>
  <c r="G1217" i="3" s="1"/>
  <c r="M1229" i="3" a="1"/>
  <c r="M1229" i="3" s="1"/>
  <c r="G1229" i="3" a="1"/>
  <c r="G1229" i="3" s="1"/>
  <c r="J1241" i="3" a="1"/>
  <c r="J1241" i="3" s="1"/>
  <c r="G1241" i="3" a="1"/>
  <c r="G1241" i="3" s="1"/>
  <c r="J1253" i="3" a="1"/>
  <c r="J1253" i="3" s="1"/>
  <c r="G1253" i="3" a="1"/>
  <c r="G1253" i="3" s="1"/>
  <c r="J1265" i="3" a="1"/>
  <c r="J1265" i="3" s="1"/>
  <c r="G1265" i="3" a="1"/>
  <c r="G1265" i="3" s="1"/>
  <c r="J1277" i="3" a="1"/>
  <c r="J1277" i="3" s="1"/>
  <c r="G1277" i="3" a="1"/>
  <c r="G1277" i="3" s="1"/>
  <c r="J1289" i="3" a="1"/>
  <c r="J1289" i="3" s="1"/>
  <c r="G1289" i="3" a="1"/>
  <c r="G1289" i="3" s="1"/>
  <c r="J1301" i="3" a="1"/>
  <c r="J1301" i="3" s="1"/>
  <c r="G1301" i="3" a="1"/>
  <c r="G1301" i="3" s="1"/>
  <c r="M1313" i="3" a="1"/>
  <c r="M1313" i="3" s="1"/>
  <c r="G1313" i="3" a="1"/>
  <c r="G1313" i="3" s="1"/>
  <c r="J1325" i="3" a="1"/>
  <c r="J1325" i="3" s="1"/>
  <c r="G1325" i="3" a="1"/>
  <c r="G1325" i="3" s="1"/>
  <c r="M1337" i="3" a="1"/>
  <c r="M1337" i="3" s="1"/>
  <c r="G1337" i="3" a="1"/>
  <c r="G1337" i="3" s="1"/>
  <c r="J1385" i="3" a="1"/>
  <c r="J1385" i="3" s="1"/>
  <c r="G1385" i="3" a="1"/>
  <c r="G1385" i="3" s="1"/>
  <c r="J1386" i="3" a="1"/>
  <c r="J1386" i="3" s="1"/>
  <c r="G1386" i="3" a="1"/>
  <c r="G1386" i="3" s="1"/>
  <c r="J1403" i="3" a="1"/>
  <c r="J1403" i="3" s="1"/>
  <c r="G1403" i="3" a="1"/>
  <c r="G1403" i="3" s="1"/>
  <c r="J1404" i="3" a="1"/>
  <c r="J1404" i="3" s="1"/>
  <c r="G1404" i="3" a="1"/>
  <c r="G1404" i="3" s="1"/>
  <c r="M591" i="3" a="1"/>
  <c r="M591" i="3" s="1"/>
  <c r="M1441" i="3" a="1"/>
  <c r="M1441" i="3" s="1"/>
  <c r="M1424" i="3" a="1"/>
  <c r="M1424" i="3" s="1"/>
  <c r="M1404" i="3" a="1"/>
  <c r="M1404" i="3" s="1"/>
  <c r="M1388" i="3" a="1"/>
  <c r="M1388" i="3" s="1"/>
  <c r="M1368" i="3" a="1"/>
  <c r="M1368" i="3" s="1"/>
  <c r="M1333" i="3" a="1"/>
  <c r="M1333" i="3" s="1"/>
  <c r="M1306" i="3" a="1"/>
  <c r="M1306" i="3" s="1"/>
  <c r="M1280" i="3" a="1"/>
  <c r="M1280" i="3" s="1"/>
  <c r="M1255" i="3" a="1"/>
  <c r="M1255" i="3" s="1"/>
  <c r="M1228" i="3" a="1"/>
  <c r="M1228" i="3" s="1"/>
  <c r="M1196" i="3" a="1"/>
  <c r="M1196" i="3" s="1"/>
  <c r="M1147" i="3" a="1"/>
  <c r="M1147" i="3" s="1"/>
  <c r="M1123" i="3" a="1"/>
  <c r="M1123" i="3" s="1"/>
  <c r="M1096" i="3" a="1"/>
  <c r="M1096" i="3" s="1"/>
  <c r="M1070" i="3" a="1"/>
  <c r="M1070" i="3" s="1"/>
  <c r="M1045" i="3" a="1"/>
  <c r="M1045" i="3" s="1"/>
  <c r="M1440" i="3" a="1"/>
  <c r="M1440" i="3" s="1"/>
  <c r="M1439" i="3" a="1"/>
  <c r="M1439" i="3" s="1"/>
  <c r="M1423" i="3" a="1"/>
  <c r="M1423" i="3" s="1"/>
  <c r="M1403" i="3" a="1"/>
  <c r="M1403" i="3" s="1"/>
  <c r="M1387" i="3" a="1"/>
  <c r="M1387" i="3" s="1"/>
  <c r="M1349" i="3" a="1"/>
  <c r="M1349" i="3" s="1"/>
  <c r="M1326" i="3" a="1"/>
  <c r="M1326" i="3" s="1"/>
  <c r="M1305" i="3" a="1"/>
  <c r="M1305" i="3" s="1"/>
  <c r="M1279" i="3" a="1"/>
  <c r="M1279" i="3" s="1"/>
  <c r="M1252" i="3" a="1"/>
  <c r="M1252" i="3" s="1"/>
  <c r="M1227" i="3" a="1"/>
  <c r="M1227" i="3" s="1"/>
  <c r="M1195" i="3" a="1"/>
  <c r="M1195" i="3" s="1"/>
  <c r="M1166" i="3" a="1"/>
  <c r="M1166" i="3" s="1"/>
  <c r="M1095" i="3" a="1"/>
  <c r="M1095" i="3" s="1"/>
  <c r="M1042" i="3" a="1"/>
  <c r="M1042" i="3" s="1"/>
  <c r="M1010" i="3" a="1"/>
  <c r="M1010" i="3" s="1"/>
  <c r="M1438" i="3" a="1"/>
  <c r="M1438" i="3" s="1"/>
  <c r="M1418" i="3" a="1"/>
  <c r="M1418" i="3" s="1"/>
  <c r="M1402" i="3" a="1"/>
  <c r="M1402" i="3" s="1"/>
  <c r="M1382" i="3" a="1"/>
  <c r="M1382" i="3" s="1"/>
  <c r="M1367" i="3" a="1"/>
  <c r="M1367" i="3" s="1"/>
  <c r="M1348" i="3" a="1"/>
  <c r="M1348" i="3" s="1"/>
  <c r="M1324" i="3" a="1"/>
  <c r="M1324" i="3" s="1"/>
  <c r="M1304" i="3" a="1"/>
  <c r="M1304" i="3" s="1"/>
  <c r="M1278" i="3" a="1"/>
  <c r="M1278" i="3" s="1"/>
  <c r="M1251" i="3" a="1"/>
  <c r="M1251" i="3" s="1"/>
  <c r="M1219" i="3" a="1"/>
  <c r="M1219" i="3" s="1"/>
  <c r="M1192" i="3" a="1"/>
  <c r="M1192" i="3" s="1"/>
  <c r="M1165" i="3" a="1"/>
  <c r="M1165" i="3" s="1"/>
  <c r="M1138" i="3" a="1"/>
  <c r="M1138" i="3" s="1"/>
  <c r="M1114" i="3" a="1"/>
  <c r="M1114" i="3" s="1"/>
  <c r="M1036" i="3" a="1"/>
  <c r="M1036" i="3" s="1"/>
  <c r="M1006" i="3" a="1"/>
  <c r="M1006" i="3" s="1"/>
  <c r="M1417" i="3" a="1"/>
  <c r="M1417" i="3" s="1"/>
  <c r="M1381" i="3" a="1"/>
  <c r="M1381" i="3" s="1"/>
  <c r="M1366" i="3" a="1"/>
  <c r="M1366" i="3" s="1"/>
  <c r="M1347" i="3" a="1"/>
  <c r="M1347" i="3" s="1"/>
  <c r="M1323" i="3" a="1"/>
  <c r="M1323" i="3" s="1"/>
  <c r="M1297" i="3" a="1"/>
  <c r="M1297" i="3" s="1"/>
  <c r="M1276" i="3" a="1"/>
  <c r="M1276" i="3" s="1"/>
  <c r="M1250" i="3" a="1"/>
  <c r="M1250" i="3" s="1"/>
  <c r="M1216" i="3" a="1"/>
  <c r="M1216" i="3" s="1"/>
  <c r="M1191" i="3" a="1"/>
  <c r="M1191" i="3" s="1"/>
  <c r="M1162" i="3" a="1"/>
  <c r="M1162" i="3" s="1"/>
  <c r="M1137" i="3" a="1"/>
  <c r="M1137" i="3" s="1"/>
  <c r="M1113" i="3" a="1"/>
  <c r="M1113" i="3" s="1"/>
  <c r="M1088" i="3" a="1"/>
  <c r="M1088" i="3" s="1"/>
  <c r="M1060" i="3" a="1"/>
  <c r="M1060" i="3" s="1"/>
  <c r="M1035" i="3" a="1"/>
  <c r="M1035" i="3" s="1"/>
  <c r="M1437" i="3" a="1"/>
  <c r="M1437" i="3" s="1"/>
  <c r="N695" i="3" a="1"/>
  <c r="N695" i="3" s="1"/>
  <c r="N729" i="3" a="1"/>
  <c r="N729" i="3" s="1"/>
  <c r="N747" i="3" a="1"/>
  <c r="N747" i="3" s="1"/>
  <c r="N786" i="3" a="1"/>
  <c r="N786" i="3" s="1"/>
  <c r="N813" i="3" a="1"/>
  <c r="N813" i="3" s="1"/>
  <c r="N831" i="3" a="1"/>
  <c r="N831" i="3" s="1"/>
  <c r="N854" i="3" a="1"/>
  <c r="N854" i="3" s="1"/>
  <c r="N872" i="3" a="1"/>
  <c r="N872" i="3" s="1"/>
  <c r="N891" i="3" a="1"/>
  <c r="N891" i="3" s="1"/>
  <c r="N922" i="3" a="1"/>
  <c r="N922" i="3" s="1"/>
  <c r="N935" i="3" a="1"/>
  <c r="N935" i="3" s="1"/>
  <c r="N966" i="3" a="1"/>
  <c r="N966" i="3" s="1"/>
  <c r="N983" i="3" a="1"/>
  <c r="N983" i="3" s="1"/>
  <c r="N997" i="3" a="1"/>
  <c r="N997" i="3" s="1"/>
  <c r="N1014" i="3" a="1"/>
  <c r="N1014" i="3" s="1"/>
  <c r="N1028" i="3" a="1"/>
  <c r="N1028" i="3" s="1"/>
  <c r="N1045" i="3" a="1"/>
  <c r="N1045" i="3" s="1"/>
  <c r="N1059" i="3" a="1"/>
  <c r="N1059" i="3" s="1"/>
  <c r="N1076" i="3" a="1"/>
  <c r="N1076" i="3" s="1"/>
  <c r="N1090" i="3" a="1"/>
  <c r="N1090" i="3" s="1"/>
  <c r="N1107" i="3" a="1"/>
  <c r="N1107" i="3" s="1"/>
  <c r="N1138" i="3" a="1"/>
  <c r="N1138" i="3" s="1"/>
  <c r="N1151" i="3" a="1"/>
  <c r="N1151" i="3" s="1"/>
  <c r="N1182" i="3" a="1"/>
  <c r="N1182" i="3" s="1"/>
  <c r="N1208" i="3" a="1"/>
  <c r="N1208" i="3" s="1"/>
  <c r="N1222" i="3" a="1"/>
  <c r="N1222" i="3" s="1"/>
  <c r="N1233" i="3" a="1"/>
  <c r="N1233" i="3" s="1"/>
  <c r="N1248" i="3" a="1"/>
  <c r="N1248" i="3" s="1"/>
  <c r="N1259" i="3" a="1"/>
  <c r="N1259" i="3" s="1"/>
  <c r="N1274" i="3" a="1"/>
  <c r="N1274" i="3" s="1"/>
  <c r="N1285" i="3" a="1"/>
  <c r="N1285" i="3" s="1"/>
  <c r="N1300" i="3" a="1"/>
  <c r="N1300" i="3" s="1"/>
  <c r="N696" i="3" a="1"/>
  <c r="N696" i="3" s="1"/>
  <c r="N748" i="3" a="1"/>
  <c r="N748" i="3" s="1"/>
  <c r="N767" i="3" a="1"/>
  <c r="N767" i="3" s="1"/>
  <c r="N787" i="3" a="1"/>
  <c r="N787" i="3" s="1"/>
  <c r="N814" i="3" a="1"/>
  <c r="N814" i="3" s="1"/>
  <c r="N832" i="3" a="1"/>
  <c r="N832" i="3" s="1"/>
  <c r="N855" i="3" a="1"/>
  <c r="N855" i="3" s="1"/>
  <c r="N873" i="3" a="1"/>
  <c r="N873" i="3" s="1"/>
  <c r="N892" i="3" a="1"/>
  <c r="N892" i="3" s="1"/>
  <c r="N905" i="3" a="1"/>
  <c r="N905" i="3" s="1"/>
  <c r="N936" i="3" a="1"/>
  <c r="N936" i="3" s="1"/>
  <c r="N953" i="3" a="1"/>
  <c r="N953" i="3" s="1"/>
  <c r="N967" i="3" a="1"/>
  <c r="N967" i="3" s="1"/>
  <c r="N984" i="3" a="1"/>
  <c r="N984" i="3" s="1"/>
  <c r="N998" i="3" a="1"/>
  <c r="N998" i="3" s="1"/>
  <c r="N1015" i="3" a="1"/>
  <c r="N1015" i="3" s="1"/>
  <c r="N1029" i="3" a="1"/>
  <c r="N1029" i="3" s="1"/>
  <c r="N1046" i="3" a="1"/>
  <c r="N1046" i="3" s="1"/>
  <c r="N1060" i="3" a="1"/>
  <c r="N1060" i="3" s="1"/>
  <c r="N1077" i="3" a="1"/>
  <c r="N1077" i="3" s="1"/>
  <c r="N1108" i="3" a="1"/>
  <c r="N1108" i="3" s="1"/>
  <c r="N1121" i="3" a="1"/>
  <c r="N1121" i="3" s="1"/>
  <c r="N1152" i="3" a="1"/>
  <c r="N1152" i="3" s="1"/>
  <c r="N1169" i="3" a="1"/>
  <c r="N1169" i="3" s="1"/>
  <c r="N1183" i="3" a="1"/>
  <c r="N1183" i="3" s="1"/>
  <c r="N1197" i="3" a="1"/>
  <c r="N1197" i="3" s="1"/>
  <c r="N1223" i="3" a="1"/>
  <c r="N1223" i="3" s="1"/>
  <c r="N1234" i="3" a="1"/>
  <c r="N1234" i="3" s="1"/>
  <c r="N1249" i="3" a="1"/>
  <c r="N1249" i="3" s="1"/>
  <c r="N1260" i="3" a="1"/>
  <c r="N1260" i="3" s="1"/>
  <c r="N1275" i="3" a="1"/>
  <c r="N1275" i="3" s="1"/>
  <c r="N1286" i="3" a="1"/>
  <c r="N1286" i="3" s="1"/>
  <c r="N1312" i="3" a="1"/>
  <c r="N1312" i="3" s="1"/>
  <c r="N1337" i="3" a="1"/>
  <c r="N1337" i="3" s="1"/>
  <c r="N1362" i="3" a="1"/>
  <c r="N1362" i="3" s="1"/>
  <c r="N1373" i="3" a="1"/>
  <c r="N1373" i="3" s="1"/>
  <c r="N1382" i="3" a="1"/>
  <c r="N1382" i="3" s="1"/>
  <c r="N1390" i="3" a="1"/>
  <c r="N1390" i="3" s="1"/>
  <c r="N1399" i="3" a="1"/>
  <c r="N1399" i="3" s="1"/>
  <c r="N1416" i="3" a="1"/>
  <c r="N1416" i="3" s="1"/>
  <c r="N1424" i="3" a="1"/>
  <c r="N1424" i="3" s="1"/>
  <c r="M58" i="3" a="1"/>
  <c r="M58" i="3" s="1"/>
  <c r="M214" i="3" a="1"/>
  <c r="M214" i="3" s="1"/>
  <c r="M268" i="3" a="1"/>
  <c r="M268" i="3" s="1"/>
  <c r="M370" i="3" a="1"/>
  <c r="M370" i="3" s="1"/>
  <c r="M418" i="3" a="1"/>
  <c r="M418" i="3" s="1"/>
  <c r="M454" i="3" a="1"/>
  <c r="M454" i="3" s="1"/>
  <c r="M488" i="3" a="1"/>
  <c r="M488" i="3" s="1"/>
  <c r="N730" i="3" a="1"/>
  <c r="N730" i="3" s="1"/>
  <c r="N768" i="3" a="1"/>
  <c r="N768" i="3" s="1"/>
  <c r="N856" i="3" a="1"/>
  <c r="N856" i="3" s="1"/>
  <c r="N874" i="3" a="1"/>
  <c r="N874" i="3" s="1"/>
  <c r="N906" i="3" a="1"/>
  <c r="N906" i="3" s="1"/>
  <c r="N923" i="3" a="1"/>
  <c r="N923" i="3" s="1"/>
  <c r="N937" i="3" a="1"/>
  <c r="N937" i="3" s="1"/>
  <c r="N954" i="3" a="1"/>
  <c r="N954" i="3" s="1"/>
  <c r="N968" i="3" a="1"/>
  <c r="N968" i="3" s="1"/>
  <c r="N985" i="3" a="1"/>
  <c r="N985" i="3" s="1"/>
  <c r="N999" i="3" a="1"/>
  <c r="N999" i="3" s="1"/>
  <c r="N1016" i="3" a="1"/>
  <c r="N1016" i="3" s="1"/>
  <c r="N1030" i="3" a="1"/>
  <c r="N1030" i="3" s="1"/>
  <c r="N1047" i="3" a="1"/>
  <c r="N1047" i="3" s="1"/>
  <c r="N1078" i="3" a="1"/>
  <c r="N1078" i="3" s="1"/>
  <c r="N1091" i="3" a="1"/>
  <c r="N1091" i="3" s="1"/>
  <c r="N1122" i="3" a="1"/>
  <c r="N1122" i="3" s="1"/>
  <c r="N1139" i="3" a="1"/>
  <c r="N1139" i="3" s="1"/>
  <c r="N1153" i="3" a="1"/>
  <c r="N1153" i="3" s="1"/>
  <c r="N1170" i="3" a="1"/>
  <c r="N1170" i="3" s="1"/>
  <c r="N1184" i="3" a="1"/>
  <c r="N1184" i="3" s="1"/>
  <c r="N1198" i="3" a="1"/>
  <c r="N1198" i="3" s="1"/>
  <c r="N1209" i="3" a="1"/>
  <c r="N1209" i="3" s="1"/>
  <c r="N1224" i="3" a="1"/>
  <c r="N1224" i="3" s="1"/>
  <c r="N1235" i="3" a="1"/>
  <c r="N1235" i="3" s="1"/>
  <c r="N1250" i="3" a="1"/>
  <c r="N1250" i="3" s="1"/>
  <c r="N1261" i="3" a="1"/>
  <c r="N1261" i="3" s="1"/>
  <c r="N1276" i="3" a="1"/>
  <c r="N1276" i="3" s="1"/>
  <c r="N1287" i="3" a="1"/>
  <c r="N1287" i="3" s="1"/>
  <c r="N1301" i="3" a="1"/>
  <c r="N1301" i="3" s="1"/>
  <c r="N1326" i="3" a="1"/>
  <c r="N1326" i="3" s="1"/>
  <c r="N1351" i="3" a="1"/>
  <c r="N1351" i="3" s="1"/>
  <c r="N1384" i="3" a="1"/>
  <c r="N1384" i="3" s="1"/>
  <c r="N1391" i="3" a="1"/>
  <c r="N1391" i="3" s="1"/>
  <c r="N1409" i="3" a="1"/>
  <c r="N1409" i="3" s="1"/>
  <c r="N1417" i="3" a="1"/>
  <c r="N1417" i="3" s="1"/>
  <c r="N1434" i="3" a="1"/>
  <c r="N1434" i="3" s="1"/>
  <c r="M112" i="3" a="1"/>
  <c r="M112" i="3" s="1"/>
  <c r="M166" i="3" a="1"/>
  <c r="M166" i="3" s="1"/>
  <c r="M220" i="3" a="1"/>
  <c r="M220" i="3" s="1"/>
  <c r="M274" i="3" a="1"/>
  <c r="M274" i="3" s="1"/>
  <c r="M322" i="3" a="1"/>
  <c r="M322" i="3" s="1"/>
  <c r="M376" i="3" a="1"/>
  <c r="M376" i="3" s="1"/>
  <c r="M458" i="3" a="1"/>
  <c r="M458" i="3" s="1"/>
  <c r="M490" i="3" a="1"/>
  <c r="M490" i="3" s="1"/>
  <c r="M536" i="3" a="1"/>
  <c r="M536" i="3" s="1"/>
  <c r="M562" i="3" a="1"/>
  <c r="M562" i="3" s="1"/>
  <c r="M592" i="3" a="1"/>
  <c r="M592" i="3" s="1"/>
  <c r="M640" i="3" a="1"/>
  <c r="M640" i="3" s="1"/>
  <c r="M664" i="3" a="1"/>
  <c r="M664" i="3" s="1"/>
  <c r="M688" i="3" a="1"/>
  <c r="M688" i="3" s="1"/>
  <c r="M734" i="3" a="1"/>
  <c r="M734" i="3" s="1"/>
  <c r="M760" i="3" a="1"/>
  <c r="M760" i="3" s="1"/>
  <c r="M778" i="3" a="1"/>
  <c r="M778" i="3" s="1"/>
  <c r="M832" i="3" a="1"/>
  <c r="M832" i="3" s="1"/>
  <c r="M865" i="3" a="1"/>
  <c r="M865" i="3" s="1"/>
  <c r="M901" i="3" a="1"/>
  <c r="M901" i="3" s="1"/>
  <c r="M914" i="3" a="1"/>
  <c r="M914" i="3" s="1"/>
  <c r="M927" i="3" a="1"/>
  <c r="M927" i="3" s="1"/>
  <c r="M939" i="3" a="1"/>
  <c r="M939" i="3" s="1"/>
  <c r="M951" i="3" a="1"/>
  <c r="M951" i="3" s="1"/>
  <c r="N705" i="3" a="1"/>
  <c r="N705" i="3" s="1"/>
  <c r="N731" i="3" a="1"/>
  <c r="N731" i="3" s="1"/>
  <c r="N749" i="3" a="1"/>
  <c r="N749" i="3" s="1"/>
  <c r="N791" i="3" a="1"/>
  <c r="N791" i="3" s="1"/>
  <c r="N815" i="3" a="1"/>
  <c r="N815" i="3" s="1"/>
  <c r="N833" i="3" a="1"/>
  <c r="N833" i="3" s="1"/>
  <c r="N893" i="3" a="1"/>
  <c r="N893" i="3" s="1"/>
  <c r="N907" i="3" a="1"/>
  <c r="N907" i="3" s="1"/>
  <c r="N924" i="3" a="1"/>
  <c r="N924" i="3" s="1"/>
  <c r="N938" i="3" a="1"/>
  <c r="N938" i="3" s="1"/>
  <c r="N955" i="3" a="1"/>
  <c r="N955" i="3" s="1"/>
  <c r="N969" i="3" a="1"/>
  <c r="N969" i="3" s="1"/>
  <c r="N986" i="3" a="1"/>
  <c r="N986" i="3" s="1"/>
  <c r="N1000" i="3" a="1"/>
  <c r="N1000" i="3" s="1"/>
  <c r="N1017" i="3" a="1"/>
  <c r="N1017" i="3" s="1"/>
  <c r="N1048" i="3" a="1"/>
  <c r="N1048" i="3" s="1"/>
  <c r="N1061" i="3" a="1"/>
  <c r="N1061" i="3" s="1"/>
  <c r="N1092" i="3" a="1"/>
  <c r="N1092" i="3" s="1"/>
  <c r="N1109" i="3" a="1"/>
  <c r="N1109" i="3" s="1"/>
  <c r="N1123" i="3" a="1"/>
  <c r="N1123" i="3" s="1"/>
  <c r="N1140" i="3" a="1"/>
  <c r="N1140" i="3" s="1"/>
  <c r="N1154" i="3" a="1"/>
  <c r="N1154" i="3" s="1"/>
  <c r="N1171" i="3" a="1"/>
  <c r="N1171" i="3" s="1"/>
  <c r="N1185" i="3" a="1"/>
  <c r="N1185" i="3" s="1"/>
  <c r="N1199" i="3" a="1"/>
  <c r="N1199" i="3" s="1"/>
  <c r="N1210" i="3" a="1"/>
  <c r="N1210" i="3" s="1"/>
  <c r="N1225" i="3" a="1"/>
  <c r="N1225" i="3" s="1"/>
  <c r="N1236" i="3" a="1"/>
  <c r="N1236" i="3" s="1"/>
  <c r="N1251" i="3" a="1"/>
  <c r="N1251" i="3" s="1"/>
  <c r="N1262" i="3" a="1"/>
  <c r="N1262" i="3" s="1"/>
  <c r="N1288" i="3" a="1"/>
  <c r="N1288" i="3" s="1"/>
  <c r="N1313" i="3" a="1"/>
  <c r="N1313" i="3" s="1"/>
  <c r="N1338" i="3" a="1"/>
  <c r="N1338" i="3" s="1"/>
  <c r="N1363" i="3" a="1"/>
  <c r="N1363" i="3" s="1"/>
  <c r="N1392" i="3" a="1"/>
  <c r="N1392" i="3" s="1"/>
  <c r="N1400" i="3" a="1"/>
  <c r="N1400" i="3" s="1"/>
  <c r="N1418" i="3" a="1"/>
  <c r="N1418" i="3" s="1"/>
  <c r="N1425" i="3" a="1"/>
  <c r="N1425" i="3" s="1"/>
  <c r="M64" i="3" a="1"/>
  <c r="M64" i="3" s="1"/>
  <c r="M118" i="3" a="1"/>
  <c r="M118" i="3" s="1"/>
  <c r="M172" i="3" a="1"/>
  <c r="M172" i="3" s="1"/>
  <c r="M226" i="3" a="1"/>
  <c r="M226" i="3" s="1"/>
  <c r="M424" i="3" a="1"/>
  <c r="M424" i="3" s="1"/>
  <c r="M460" i="3" a="1"/>
  <c r="M460" i="3" s="1"/>
  <c r="M514" i="3" a="1"/>
  <c r="M514" i="3" s="1"/>
  <c r="M538" i="3" a="1"/>
  <c r="M538" i="3" s="1"/>
  <c r="M566" i="3" a="1"/>
  <c r="M566" i="3" s="1"/>
  <c r="M620" i="3" a="1"/>
  <c r="M620" i="3" s="1"/>
  <c r="M712" i="3" a="1"/>
  <c r="M712" i="3" s="1"/>
  <c r="M736" i="3" a="1"/>
  <c r="M736" i="3" s="1"/>
  <c r="M781" i="3" a="1"/>
  <c r="M781" i="3" s="1"/>
  <c r="M799" i="3" a="1"/>
  <c r="M799" i="3" s="1"/>
  <c r="M814" i="3" a="1"/>
  <c r="M814" i="3" s="1"/>
  <c r="M848" i="3" a="1"/>
  <c r="M848" i="3" s="1"/>
  <c r="M866" i="3" a="1"/>
  <c r="M866" i="3" s="1"/>
  <c r="M884" i="3" a="1"/>
  <c r="M884" i="3" s="1"/>
  <c r="M902" i="3" a="1"/>
  <c r="M902" i="3" s="1"/>
  <c r="M915" i="3" a="1"/>
  <c r="M915" i="3" s="1"/>
  <c r="N755" i="3" a="1"/>
  <c r="N755" i="3" s="1"/>
  <c r="N773" i="3" a="1"/>
  <c r="N773" i="3" s="1"/>
  <c r="N795" i="3" a="1"/>
  <c r="N795" i="3" s="1"/>
  <c r="N816" i="3" a="1"/>
  <c r="N816" i="3" s="1"/>
  <c r="N841" i="3" a="1"/>
  <c r="N841" i="3" s="1"/>
  <c r="N857" i="3" a="1"/>
  <c r="N857" i="3" s="1"/>
  <c r="N879" i="3" a="1"/>
  <c r="N879" i="3" s="1"/>
  <c r="N894" i="3" a="1"/>
  <c r="N894" i="3" s="1"/>
  <c r="N911" i="3" a="1"/>
  <c r="N911" i="3" s="1"/>
  <c r="N925" i="3" a="1"/>
  <c r="N925" i="3" s="1"/>
  <c r="N942" i="3" a="1"/>
  <c r="N942" i="3" s="1"/>
  <c r="N956" i="3" a="1"/>
  <c r="N956" i="3" s="1"/>
  <c r="N973" i="3" a="1"/>
  <c r="N973" i="3" s="1"/>
  <c r="N987" i="3" a="1"/>
  <c r="N987" i="3" s="1"/>
  <c r="N1004" i="3" a="1"/>
  <c r="N1004" i="3" s="1"/>
  <c r="N1018" i="3" a="1"/>
  <c r="N1018" i="3" s="1"/>
  <c r="N1035" i="3" a="1"/>
  <c r="N1035" i="3" s="1"/>
  <c r="N1066" i="3" a="1"/>
  <c r="N1066" i="3" s="1"/>
  <c r="N1079" i="3" a="1"/>
  <c r="N1079" i="3" s="1"/>
  <c r="N1110" i="3" a="1"/>
  <c r="N1110" i="3" s="1"/>
  <c r="N1127" i="3" a="1"/>
  <c r="N1127" i="3" s="1"/>
  <c r="N1141" i="3" a="1"/>
  <c r="N1141" i="3" s="1"/>
  <c r="N1158" i="3" a="1"/>
  <c r="N1158" i="3" s="1"/>
  <c r="N1172" i="3" a="1"/>
  <c r="N1172" i="3" s="1"/>
  <c r="N1189" i="3" a="1"/>
  <c r="N1189" i="3" s="1"/>
  <c r="N1200" i="3" a="1"/>
  <c r="N1200" i="3" s="1"/>
  <c r="N1215" i="3" a="1"/>
  <c r="N1215" i="3" s="1"/>
  <c r="N1226" i="3" a="1"/>
  <c r="N1226" i="3" s="1"/>
  <c r="N1252" i="3" a="1"/>
  <c r="N1252" i="3" s="1"/>
  <c r="N1277" i="3" a="1"/>
  <c r="N1277" i="3" s="1"/>
  <c r="N1302" i="3" a="1"/>
  <c r="N1302" i="3" s="1"/>
  <c r="N1327" i="3" a="1"/>
  <c r="N1327" i="3" s="1"/>
  <c r="N1352" i="3" a="1"/>
  <c r="N1352" i="3" s="1"/>
  <c r="N1375" i="3" a="1"/>
  <c r="N1375" i="3" s="1"/>
  <c r="N1385" i="3" a="1"/>
  <c r="N1385" i="3" s="1"/>
  <c r="N1393" i="3" a="1"/>
  <c r="N1393" i="3" s="1"/>
  <c r="N1410" i="3" a="1"/>
  <c r="N1410" i="3" s="1"/>
  <c r="N1419" i="3" a="1"/>
  <c r="N1419" i="3" s="1"/>
  <c r="N1426" i="3" a="1"/>
  <c r="N1426" i="3" s="1"/>
  <c r="N1435" i="3" a="1"/>
  <c r="N1435" i="3" s="1"/>
  <c r="M124" i="3" a="1"/>
  <c r="M124" i="3" s="1"/>
  <c r="M178" i="3" a="1"/>
  <c r="M178" i="3" s="1"/>
  <c r="M232" i="3" a="1"/>
  <c r="M232" i="3" s="1"/>
  <c r="M280" i="3" a="1"/>
  <c r="M280" i="3" s="1"/>
  <c r="M328" i="3" a="1"/>
  <c r="M328" i="3" s="1"/>
  <c r="M382" i="3" a="1"/>
  <c r="M382" i="3" s="1"/>
  <c r="M430" i="3" a="1"/>
  <c r="M430" i="3" s="1"/>
  <c r="M464" i="3" a="1"/>
  <c r="M464" i="3" s="1"/>
  <c r="M494" i="3" a="1"/>
  <c r="M494" i="3" s="1"/>
  <c r="M568" i="3" a="1"/>
  <c r="M568" i="3" s="1"/>
  <c r="M596" i="3" a="1"/>
  <c r="M596" i="3" s="1"/>
  <c r="M644" i="3" a="1"/>
  <c r="M644" i="3" s="1"/>
  <c r="M668" i="3" a="1"/>
  <c r="M668" i="3" s="1"/>
  <c r="M692" i="3" a="1"/>
  <c r="M692" i="3" s="1"/>
  <c r="M764" i="3" a="1"/>
  <c r="M764" i="3" s="1"/>
  <c r="M782" i="3" a="1"/>
  <c r="M782" i="3" s="1"/>
  <c r="M817" i="3" a="1"/>
  <c r="M817" i="3" s="1"/>
  <c r="M835" i="3" a="1"/>
  <c r="M835" i="3" s="1"/>
  <c r="M868" i="3" a="1"/>
  <c r="M868" i="3" s="1"/>
  <c r="M903" i="3" a="1"/>
  <c r="M903" i="3" s="1"/>
  <c r="M916" i="3" a="1"/>
  <c r="M916" i="3" s="1"/>
  <c r="M952" i="3" a="1"/>
  <c r="M952" i="3" s="1"/>
  <c r="M967" i="3" a="1"/>
  <c r="M967" i="3" s="1"/>
  <c r="N706" i="3" a="1"/>
  <c r="N706" i="3" s="1"/>
  <c r="N732" i="3" a="1"/>
  <c r="N732" i="3" s="1"/>
  <c r="N756" i="3" a="1"/>
  <c r="N756" i="3" s="1"/>
  <c r="N774" i="3" a="1"/>
  <c r="N774" i="3" s="1"/>
  <c r="N796" i="3" a="1"/>
  <c r="N796" i="3" s="1"/>
  <c r="N842" i="3" a="1"/>
  <c r="N842" i="3" s="1"/>
  <c r="N861" i="3" a="1"/>
  <c r="N861" i="3" s="1"/>
  <c r="N880" i="3" a="1"/>
  <c r="N880" i="3" s="1"/>
  <c r="N895" i="3" a="1"/>
  <c r="N895" i="3" s="1"/>
  <c r="N912" i="3" a="1"/>
  <c r="N912" i="3" s="1"/>
  <c r="N926" i="3" a="1"/>
  <c r="N926" i="3" s="1"/>
  <c r="N943" i="3" a="1"/>
  <c r="N943" i="3" s="1"/>
  <c r="N957" i="3" a="1"/>
  <c r="N957" i="3" s="1"/>
  <c r="N974" i="3" a="1"/>
  <c r="N974" i="3" s="1"/>
  <c r="N988" i="3" a="1"/>
  <c r="N988" i="3" s="1"/>
  <c r="N1005" i="3" a="1"/>
  <c r="N1005" i="3" s="1"/>
  <c r="N1036" i="3" a="1"/>
  <c r="N1036" i="3" s="1"/>
  <c r="N1049" i="3" a="1"/>
  <c r="N1049" i="3" s="1"/>
  <c r="N1080" i="3" a="1"/>
  <c r="N1080" i="3" s="1"/>
  <c r="N1097" i="3" a="1"/>
  <c r="N1097" i="3" s="1"/>
  <c r="N1111" i="3" a="1"/>
  <c r="N1111" i="3" s="1"/>
  <c r="N1128" i="3" a="1"/>
  <c r="N1128" i="3" s="1"/>
  <c r="N1142" i="3" a="1"/>
  <c r="N1142" i="3" s="1"/>
  <c r="N1159" i="3" a="1"/>
  <c r="N1159" i="3" s="1"/>
  <c r="N1173" i="3" a="1"/>
  <c r="N1173" i="3" s="1"/>
  <c r="N1190" i="3" a="1"/>
  <c r="N1190" i="3" s="1"/>
  <c r="N1201" i="3" a="1"/>
  <c r="N1201" i="3" s="1"/>
  <c r="N1216" i="3" a="1"/>
  <c r="N1216" i="3" s="1"/>
  <c r="N1227" i="3" a="1"/>
  <c r="N1227" i="3" s="1"/>
  <c r="N1241" i="3" a="1"/>
  <c r="N1241" i="3" s="1"/>
  <c r="N1266" i="3" a="1"/>
  <c r="N1266" i="3" s="1"/>
  <c r="N1291" i="3" a="1"/>
  <c r="N1291" i="3" s="1"/>
  <c r="N1316" i="3" a="1"/>
  <c r="N1316" i="3" s="1"/>
  <c r="N1341" i="3" a="1"/>
  <c r="N1341" i="3" s="1"/>
  <c r="N1366" i="3" a="1"/>
  <c r="N1366" i="3" s="1"/>
  <c r="N1394" i="3" a="1"/>
  <c r="N1394" i="3" s="1"/>
  <c r="N1401" i="3" a="1"/>
  <c r="N1401" i="3" s="1"/>
  <c r="N1420" i="3" a="1"/>
  <c r="N1420" i="3" s="1"/>
  <c r="N1427" i="3" a="1"/>
  <c r="N1427" i="3" s="1"/>
  <c r="M70" i="3" a="1"/>
  <c r="M70" i="3" s="1"/>
  <c r="M130" i="3" a="1"/>
  <c r="M130" i="3" s="1"/>
  <c r="M286" i="3" a="1"/>
  <c r="M286" i="3" s="1"/>
  <c r="M334" i="3" a="1"/>
  <c r="M334" i="3" s="1"/>
  <c r="M388" i="3" a="1"/>
  <c r="M388" i="3" s="1"/>
  <c r="M434" i="3" a="1"/>
  <c r="M434" i="3" s="1"/>
  <c r="M466" i="3" a="1"/>
  <c r="M466" i="3" s="1"/>
  <c r="M496" i="3" a="1"/>
  <c r="M496" i="3" s="1"/>
  <c r="M518" i="3" a="1"/>
  <c r="M518" i="3" s="1"/>
  <c r="M542" i="3" a="1"/>
  <c r="M542" i="3" s="1"/>
  <c r="M572" i="3" a="1"/>
  <c r="M572" i="3" s="1"/>
  <c r="M598" i="3" a="1"/>
  <c r="M598" i="3" s="1"/>
  <c r="M622" i="3" a="1"/>
  <c r="M622" i="3" s="1"/>
  <c r="M646" i="3" a="1"/>
  <c r="M646" i="3" s="1"/>
  <c r="M716" i="3" a="1"/>
  <c r="M716" i="3" s="1"/>
  <c r="M740" i="3" a="1"/>
  <c r="M740" i="3" s="1"/>
  <c r="M784" i="3" a="1"/>
  <c r="M784" i="3" s="1"/>
  <c r="M800" i="3" a="1"/>
  <c r="M800" i="3" s="1"/>
  <c r="M818" i="3" a="1"/>
  <c r="M818" i="3" s="1"/>
  <c r="M850" i="3" a="1"/>
  <c r="M850" i="3" s="1"/>
  <c r="M871" i="3" a="1"/>
  <c r="M871" i="3" s="1"/>
  <c r="M886" i="3" a="1"/>
  <c r="M886" i="3" s="1"/>
  <c r="M904" i="3" a="1"/>
  <c r="M904" i="3" s="1"/>
  <c r="M919" i="3" a="1"/>
  <c r="M919" i="3" s="1"/>
  <c r="M931" i="3" a="1"/>
  <c r="M931" i="3" s="1"/>
  <c r="M943" i="3" a="1"/>
  <c r="M943" i="3" s="1"/>
  <c r="M955" i="3" a="1"/>
  <c r="M955" i="3" s="1"/>
  <c r="N733" i="3" a="1"/>
  <c r="N733" i="3" s="1"/>
  <c r="N757" i="3" a="1"/>
  <c r="N757" i="3" s="1"/>
  <c r="N775" i="3" a="1"/>
  <c r="N775" i="3" s="1"/>
  <c r="N817" i="3" a="1"/>
  <c r="N817" i="3" s="1"/>
  <c r="N843" i="3" a="1"/>
  <c r="N843" i="3" s="1"/>
  <c r="N862" i="3" a="1"/>
  <c r="N862" i="3" s="1"/>
  <c r="N882" i="3" a="1"/>
  <c r="N882" i="3" s="1"/>
  <c r="N896" i="3" a="1"/>
  <c r="N896" i="3" s="1"/>
  <c r="N913" i="3" a="1"/>
  <c r="N913" i="3" s="1"/>
  <c r="N927" i="3" a="1"/>
  <c r="N927" i="3" s="1"/>
  <c r="N944" i="3" a="1"/>
  <c r="N944" i="3" s="1"/>
  <c r="N958" i="3" a="1"/>
  <c r="N958" i="3" s="1"/>
  <c r="N975" i="3" a="1"/>
  <c r="N975" i="3" s="1"/>
  <c r="N1006" i="3" a="1"/>
  <c r="N1006" i="3" s="1"/>
  <c r="N1019" i="3" a="1"/>
  <c r="N1019" i="3" s="1"/>
  <c r="N1050" i="3" a="1"/>
  <c r="N1050" i="3" s="1"/>
  <c r="N1067" i="3" a="1"/>
  <c r="N1067" i="3" s="1"/>
  <c r="N1081" i="3" a="1"/>
  <c r="N1081" i="3" s="1"/>
  <c r="N1098" i="3" a="1"/>
  <c r="N1098" i="3" s="1"/>
  <c r="N1112" i="3" a="1"/>
  <c r="N1112" i="3" s="1"/>
  <c r="N1129" i="3" a="1"/>
  <c r="N1129" i="3" s="1"/>
  <c r="N1143" i="3" a="1"/>
  <c r="N1143" i="3" s="1"/>
  <c r="N1160" i="3" a="1"/>
  <c r="N1160" i="3" s="1"/>
  <c r="N1174" i="3" a="1"/>
  <c r="N1174" i="3" s="1"/>
  <c r="N1191" i="3" a="1"/>
  <c r="N1191" i="3" s="1"/>
  <c r="N1202" i="3" a="1"/>
  <c r="N1202" i="3" s="1"/>
  <c r="N1228" i="3" a="1"/>
  <c r="N1228" i="3" s="1"/>
  <c r="N1253" i="3" a="1"/>
  <c r="N1253" i="3" s="1"/>
  <c r="N1278" i="3" a="1"/>
  <c r="N1278" i="3" s="1"/>
  <c r="N1303" i="3" a="1"/>
  <c r="N1303" i="3" s="1"/>
  <c r="N1328" i="3" a="1"/>
  <c r="N1328" i="3" s="1"/>
  <c r="N1342" i="3" a="1"/>
  <c r="N1342" i="3" s="1"/>
  <c r="N715" i="3" a="1"/>
  <c r="N715" i="3" s="1"/>
  <c r="N737" i="3" a="1"/>
  <c r="N737" i="3" s="1"/>
  <c r="N776" i="3" a="1"/>
  <c r="N776" i="3" s="1"/>
  <c r="N801" i="3" a="1"/>
  <c r="N801" i="3" s="1"/>
  <c r="N821" i="3" a="1"/>
  <c r="N821" i="3" s="1"/>
  <c r="N844" i="3" a="1"/>
  <c r="N844" i="3" s="1"/>
  <c r="N883" i="3" a="1"/>
  <c r="N883" i="3" s="1"/>
  <c r="N897" i="3" a="1"/>
  <c r="N897" i="3" s="1"/>
  <c r="N914" i="3" a="1"/>
  <c r="N914" i="3" s="1"/>
  <c r="N928" i="3" a="1"/>
  <c r="N928" i="3" s="1"/>
  <c r="N945" i="3" a="1"/>
  <c r="N945" i="3" s="1"/>
  <c r="N976" i="3" a="1"/>
  <c r="N976" i="3" s="1"/>
  <c r="N989" i="3" a="1"/>
  <c r="N989" i="3" s="1"/>
  <c r="N1020" i="3" a="1"/>
  <c r="N1020" i="3" s="1"/>
  <c r="N1037" i="3" a="1"/>
  <c r="N1037" i="3" s="1"/>
  <c r="N1051" i="3" a="1"/>
  <c r="N1051" i="3" s="1"/>
  <c r="N1068" i="3" a="1"/>
  <c r="N1068" i="3" s="1"/>
  <c r="N1082" i="3" a="1"/>
  <c r="N1082" i="3" s="1"/>
  <c r="N1099" i="3" a="1"/>
  <c r="N1099" i="3" s="1"/>
  <c r="N1113" i="3" a="1"/>
  <c r="N1113" i="3" s="1"/>
  <c r="N1130" i="3" a="1"/>
  <c r="N1130" i="3" s="1"/>
  <c r="N1144" i="3" a="1"/>
  <c r="N1144" i="3" s="1"/>
  <c r="N1161" i="3" a="1"/>
  <c r="N1161" i="3" s="1"/>
  <c r="N1192" i="3" a="1"/>
  <c r="N1192" i="3" s="1"/>
  <c r="N1203" i="3" a="1"/>
  <c r="N1203" i="3" s="1"/>
  <c r="N1217" i="3" a="1"/>
  <c r="N1217" i="3" s="1"/>
  <c r="N1242" i="3" a="1"/>
  <c r="N1242" i="3" s="1"/>
  <c r="N1267" i="3" a="1"/>
  <c r="N1267" i="3" s="1"/>
  <c r="N1292" i="3" a="1"/>
  <c r="N1292" i="3" s="1"/>
  <c r="N1317" i="3" a="1"/>
  <c r="N1317" i="3" s="1"/>
  <c r="N1343" i="3" a="1"/>
  <c r="N1343" i="3" s="1"/>
  <c r="N1354" i="3" a="1"/>
  <c r="N1354" i="3" s="1"/>
  <c r="N679" i="3" a="1"/>
  <c r="N679" i="3" s="1"/>
  <c r="N717" i="3" a="1"/>
  <c r="N717" i="3" s="1"/>
  <c r="N741" i="3" a="1"/>
  <c r="N741" i="3" s="1"/>
  <c r="N758" i="3" a="1"/>
  <c r="N758" i="3" s="1"/>
  <c r="N783" i="3" a="1"/>
  <c r="N783" i="3" s="1"/>
  <c r="N802" i="3" a="1"/>
  <c r="N802" i="3" s="1"/>
  <c r="N825" i="3" a="1"/>
  <c r="N825" i="3" s="1"/>
  <c r="N845" i="3" a="1"/>
  <c r="N845" i="3" s="1"/>
  <c r="N867" i="3" a="1"/>
  <c r="N867" i="3" s="1"/>
  <c r="N884" i="3" a="1"/>
  <c r="N884" i="3" s="1"/>
  <c r="N901" i="3" a="1"/>
  <c r="N901" i="3" s="1"/>
  <c r="N915" i="3" a="1"/>
  <c r="N915" i="3" s="1"/>
  <c r="N932" i="3" a="1"/>
  <c r="N932" i="3" s="1"/>
  <c r="N946" i="3" a="1"/>
  <c r="N946" i="3" s="1"/>
  <c r="N963" i="3" a="1"/>
  <c r="N963" i="3" s="1"/>
  <c r="N994" i="3" a="1"/>
  <c r="N994" i="3" s="1"/>
  <c r="N1007" i="3" a="1"/>
  <c r="N1007" i="3" s="1"/>
  <c r="N1038" i="3" a="1"/>
  <c r="N1038" i="3" s="1"/>
  <c r="N1055" i="3" a="1"/>
  <c r="N1055" i="3" s="1"/>
  <c r="N1069" i="3" a="1"/>
  <c r="N1069" i="3" s="1"/>
  <c r="N1086" i="3" a="1"/>
  <c r="N1086" i="3" s="1"/>
  <c r="N1100" i="3" a="1"/>
  <c r="N1100" i="3" s="1"/>
  <c r="N1117" i="3" a="1"/>
  <c r="N1117" i="3" s="1"/>
  <c r="N1131" i="3" a="1"/>
  <c r="N1131" i="3" s="1"/>
  <c r="N1148" i="3" a="1"/>
  <c r="N1148" i="3" s="1"/>
  <c r="N1162" i="3" a="1"/>
  <c r="N1162" i="3" s="1"/>
  <c r="N1179" i="3" a="1"/>
  <c r="N1179" i="3" s="1"/>
  <c r="N1206" i="3" a="1"/>
  <c r="N1206" i="3" s="1"/>
  <c r="N1231" i="3" a="1"/>
  <c r="N1231" i="3" s="1"/>
  <c r="N1256" i="3" a="1"/>
  <c r="N1256" i="3" s="1"/>
  <c r="N1281" i="3" a="1"/>
  <c r="N1281" i="3" s="1"/>
  <c r="N680" i="3" a="1"/>
  <c r="N680" i="3" s="1"/>
  <c r="N720" i="3" a="1"/>
  <c r="N720" i="3" s="1"/>
  <c r="N742" i="3" a="1"/>
  <c r="N742" i="3" s="1"/>
  <c r="N784" i="3" a="1"/>
  <c r="N784" i="3" s="1"/>
  <c r="N826" i="3" a="1"/>
  <c r="N826" i="3" s="1"/>
  <c r="N846" i="3" a="1"/>
  <c r="N846" i="3" s="1"/>
  <c r="N868" i="3" a="1"/>
  <c r="N868" i="3" s="1"/>
  <c r="N885" i="3" a="1"/>
  <c r="N885" i="3" s="1"/>
  <c r="N902" i="3" a="1"/>
  <c r="N902" i="3" s="1"/>
  <c r="N916" i="3" a="1"/>
  <c r="N916" i="3" s="1"/>
  <c r="N933" i="3" a="1"/>
  <c r="N933" i="3" s="1"/>
  <c r="N964" i="3" a="1"/>
  <c r="N964" i="3" s="1"/>
  <c r="N977" i="3" a="1"/>
  <c r="N977" i="3" s="1"/>
  <c r="N1008" i="3" a="1"/>
  <c r="N1008" i="3" s="1"/>
  <c r="N1025" i="3" a="1"/>
  <c r="N1025" i="3" s="1"/>
  <c r="N1039" i="3" a="1"/>
  <c r="N1039" i="3" s="1"/>
  <c r="N1056" i="3" a="1"/>
  <c r="N1056" i="3" s="1"/>
  <c r="N1070" i="3" a="1"/>
  <c r="N1070" i="3" s="1"/>
  <c r="N1087" i="3" a="1"/>
  <c r="N1087" i="3" s="1"/>
  <c r="N1101" i="3" a="1"/>
  <c r="N1101" i="3" s="1"/>
  <c r="N1118" i="3" a="1"/>
  <c r="N1118" i="3" s="1"/>
  <c r="N1132" i="3" a="1"/>
  <c r="N1132" i="3" s="1"/>
  <c r="N1149" i="3" a="1"/>
  <c r="N1149" i="3" s="1"/>
  <c r="N1180" i="3" a="1"/>
  <c r="N1180" i="3" s="1"/>
  <c r="N1193" i="3" a="1"/>
  <c r="N1193" i="3" s="1"/>
  <c r="N1218" i="3" a="1"/>
  <c r="N1218" i="3" s="1"/>
  <c r="N1243" i="3" a="1"/>
  <c r="N1243" i="3" s="1"/>
  <c r="N1268" i="3" a="1"/>
  <c r="N1268" i="3" s="1"/>
  <c r="N1282" i="3" a="1"/>
  <c r="N1282" i="3" s="1"/>
  <c r="N1293" i="3" a="1"/>
  <c r="N1293" i="3" s="1"/>
  <c r="N1308" i="3" a="1"/>
  <c r="N1308" i="3" s="1"/>
  <c r="N1319" i="3" a="1"/>
  <c r="N1319" i="3" s="1"/>
  <c r="N690" i="3" a="1"/>
  <c r="N690" i="3" s="1"/>
  <c r="N759" i="3" a="1"/>
  <c r="N759" i="3" s="1"/>
  <c r="N803" i="3" a="1"/>
  <c r="N803" i="3" s="1"/>
  <c r="N847" i="3" a="1"/>
  <c r="N847" i="3" s="1"/>
  <c r="N869" i="3" a="1"/>
  <c r="N869" i="3" s="1"/>
  <c r="N886" i="3" a="1"/>
  <c r="N886" i="3" s="1"/>
  <c r="N903" i="3" a="1"/>
  <c r="N903" i="3" s="1"/>
  <c r="N934" i="3" a="1"/>
  <c r="N934" i="3" s="1"/>
  <c r="N947" i="3" a="1"/>
  <c r="N947" i="3" s="1"/>
  <c r="N978" i="3" a="1"/>
  <c r="N978" i="3" s="1"/>
  <c r="N995" i="3" a="1"/>
  <c r="N995" i="3" s="1"/>
  <c r="N1009" i="3" a="1"/>
  <c r="N1009" i="3" s="1"/>
  <c r="N1026" i="3" a="1"/>
  <c r="N1026" i="3" s="1"/>
  <c r="N1040" i="3" a="1"/>
  <c r="N1040" i="3" s="1"/>
  <c r="N1057" i="3" a="1"/>
  <c r="N1057" i="3" s="1"/>
  <c r="N1071" i="3" a="1"/>
  <c r="N1071" i="3" s="1"/>
  <c r="N1088" i="3" a="1"/>
  <c r="N1088" i="3" s="1"/>
  <c r="N1102" i="3" a="1"/>
  <c r="N1102" i="3" s="1"/>
  <c r="N1119" i="3" a="1"/>
  <c r="N1119" i="3" s="1"/>
  <c r="N1150" i="3" a="1"/>
  <c r="N1150" i="3" s="1"/>
  <c r="N1163" i="3" a="1"/>
  <c r="N1163" i="3" s="1"/>
  <c r="N1207" i="3" a="1"/>
  <c r="N1207" i="3" s="1"/>
  <c r="N1232" i="3" a="1"/>
  <c r="N1232" i="3" s="1"/>
  <c r="N1257" i="3" a="1"/>
  <c r="N1257" i="3" s="1"/>
  <c r="N1283" i="3" a="1"/>
  <c r="N1283" i="3" s="1"/>
  <c r="N1294" i="3" a="1"/>
  <c r="N1294" i="3" s="1"/>
  <c r="N1309" i="3" a="1"/>
  <c r="N1309" i="3" s="1"/>
  <c r="N1320" i="3" a="1"/>
  <c r="N1320" i="3" s="1"/>
  <c r="N1335" i="3" a="1"/>
  <c r="N1335" i="3" s="1"/>
  <c r="N1346" i="3" a="1"/>
  <c r="N1346" i="3" s="1"/>
  <c r="N1371" i="3" a="1"/>
  <c r="N1371" i="3" s="1"/>
  <c r="N1379" i="3" a="1"/>
  <c r="N1379" i="3" s="1"/>
  <c r="N1388" i="3" a="1"/>
  <c r="N1388" i="3" s="1"/>
  <c r="N1406" i="3" a="1"/>
  <c r="N1406" i="3" s="1"/>
  <c r="N1413" i="3" a="1"/>
  <c r="N1413" i="3" s="1"/>
  <c r="N694" i="3" a="1"/>
  <c r="N694" i="3" s="1"/>
  <c r="N721" i="3" a="1"/>
  <c r="N721" i="3" s="1"/>
  <c r="N746" i="3" a="1"/>
  <c r="N746" i="3" s="1"/>
  <c r="N763" i="3" a="1"/>
  <c r="N763" i="3" s="1"/>
  <c r="N785" i="3" a="1"/>
  <c r="N785" i="3" s="1"/>
  <c r="N804" i="3" a="1"/>
  <c r="N804" i="3" s="1"/>
  <c r="N848" i="3" a="1"/>
  <c r="N848" i="3" s="1"/>
  <c r="N871" i="3" a="1"/>
  <c r="N871" i="3" s="1"/>
  <c r="N904" i="3" a="1"/>
  <c r="N904" i="3" s="1"/>
  <c r="N917" i="3" a="1"/>
  <c r="N917" i="3" s="1"/>
  <c r="N948" i="3" a="1"/>
  <c r="N948" i="3" s="1"/>
  <c r="N965" i="3" a="1"/>
  <c r="N965" i="3" s="1"/>
  <c r="N979" i="3" a="1"/>
  <c r="N979" i="3" s="1"/>
  <c r="N996" i="3" a="1"/>
  <c r="N996" i="3" s="1"/>
  <c r="N1010" i="3" a="1"/>
  <c r="N1010" i="3" s="1"/>
  <c r="N1027" i="3" a="1"/>
  <c r="N1027" i="3" s="1"/>
  <c r="N1041" i="3" a="1"/>
  <c r="N1041" i="3" s="1"/>
  <c r="N1058" i="3" a="1"/>
  <c r="N1058" i="3" s="1"/>
  <c r="N1072" i="3" a="1"/>
  <c r="N1072" i="3" s="1"/>
  <c r="N1089" i="3" a="1"/>
  <c r="N1089" i="3" s="1"/>
  <c r="N1120" i="3" a="1"/>
  <c r="N1120" i="3" s="1"/>
  <c r="N1133" i="3" a="1"/>
  <c r="N1133" i="3" s="1"/>
  <c r="N1164" i="3" a="1"/>
  <c r="N1164" i="3" s="1"/>
  <c r="N1181" i="3" a="1"/>
  <c r="N1181" i="3" s="1"/>
  <c r="N1194" i="3" a="1"/>
  <c r="N1194" i="3" s="1"/>
  <c r="N1219" i="3" a="1"/>
  <c r="N1219" i="3" s="1"/>
  <c r="N1244" i="3" a="1"/>
  <c r="N1244" i="3" s="1"/>
  <c r="N1258" i="3" a="1"/>
  <c r="N1258" i="3" s="1"/>
  <c r="N1269" i="3" a="1"/>
  <c r="N1269" i="3" s="1"/>
  <c r="N1284" i="3" a="1"/>
  <c r="N1284" i="3" s="1"/>
  <c r="N1295" i="3" a="1"/>
  <c r="N1295" i="3" s="1"/>
  <c r="N1310" i="3" a="1"/>
  <c r="N1310" i="3" s="1"/>
  <c r="N1325" i="3" a="1"/>
  <c r="N1325" i="3" s="1"/>
  <c r="N1361" i="3" a="1"/>
  <c r="N1361" i="3" s="1"/>
  <c r="N1380" i="3" a="1"/>
  <c r="N1380" i="3" s="1"/>
  <c r="N1398" i="3" a="1"/>
  <c r="N1398" i="3" s="1"/>
  <c r="N1414" i="3" a="1"/>
  <c r="N1414" i="3" s="1"/>
  <c r="N1431" i="3" a="1"/>
  <c r="N1431" i="3" s="1"/>
  <c r="M82" i="3" a="1"/>
  <c r="M82" i="3" s="1"/>
  <c r="M160" i="3" a="1"/>
  <c r="M160" i="3" s="1"/>
  <c r="M346" i="3" a="1"/>
  <c r="M346" i="3" s="1"/>
  <c r="M436" i="3" a="1"/>
  <c r="M436" i="3" s="1"/>
  <c r="M482" i="3" a="1"/>
  <c r="M482" i="3" s="1"/>
  <c r="M638" i="3" a="1"/>
  <c r="M638" i="3" s="1"/>
  <c r="M676" i="3" a="1"/>
  <c r="M676" i="3" s="1"/>
  <c r="M706" i="3" a="1"/>
  <c r="M706" i="3" s="1"/>
  <c r="M746" i="3" a="1"/>
  <c r="M746" i="3" s="1"/>
  <c r="M776" i="3" a="1"/>
  <c r="M776" i="3" s="1"/>
  <c r="M806" i="3" a="1"/>
  <c r="M806" i="3" s="1"/>
  <c r="M829" i="3" a="1"/>
  <c r="M829" i="3" s="1"/>
  <c r="M856" i="3" a="1"/>
  <c r="M856" i="3" s="1"/>
  <c r="M925" i="3" a="1"/>
  <c r="M925" i="3" s="1"/>
  <c r="M958" i="3" a="1"/>
  <c r="M958" i="3" s="1"/>
  <c r="M973" i="3" a="1"/>
  <c r="M973" i="3" s="1"/>
  <c r="M986" i="3" a="1"/>
  <c r="M986" i="3" s="1"/>
  <c r="M997" i="3" a="1"/>
  <c r="M997" i="3" s="1"/>
  <c r="N1333" i="3" a="1"/>
  <c r="N1333" i="3" s="1"/>
  <c r="N1381" i="3" a="1"/>
  <c r="N1381" i="3" s="1"/>
  <c r="N1415" i="3" a="1"/>
  <c r="N1415" i="3" s="1"/>
  <c r="N1432" i="3" a="1"/>
  <c r="N1432" i="3" s="1"/>
  <c r="M88" i="3" a="1"/>
  <c r="M88" i="3" s="1"/>
  <c r="M184" i="3" a="1"/>
  <c r="M184" i="3" s="1"/>
  <c r="M256" i="3" a="1"/>
  <c r="M256" i="3" s="1"/>
  <c r="M440" i="3" a="1"/>
  <c r="M440" i="3" s="1"/>
  <c r="M484" i="3" a="1"/>
  <c r="M484" i="3" s="1"/>
  <c r="M526" i="3" a="1"/>
  <c r="M526" i="3" s="1"/>
  <c r="M560" i="3" a="1"/>
  <c r="M560" i="3" s="1"/>
  <c r="M608" i="3" a="1"/>
  <c r="M608" i="3" s="1"/>
  <c r="M710" i="3" a="1"/>
  <c r="M710" i="3" s="1"/>
  <c r="M748" i="3" a="1"/>
  <c r="M748" i="3" s="1"/>
  <c r="M808" i="3" a="1"/>
  <c r="M808" i="3" s="1"/>
  <c r="M830" i="3" a="1"/>
  <c r="M830" i="3" s="1"/>
  <c r="M859" i="3" a="1"/>
  <c r="M859" i="3" s="1"/>
  <c r="M883" i="3" a="1"/>
  <c r="M883" i="3" s="1"/>
  <c r="M908" i="3" a="1"/>
  <c r="M908" i="3" s="1"/>
  <c r="M926" i="3" a="1"/>
  <c r="M926" i="3" s="1"/>
  <c r="M944" i="3" a="1"/>
  <c r="M944" i="3" s="1"/>
  <c r="M961" i="3" a="1"/>
  <c r="M961" i="3" s="1"/>
  <c r="M974" i="3" a="1"/>
  <c r="M974" i="3" s="1"/>
  <c r="M998" i="3" a="1"/>
  <c r="M998" i="3" s="1"/>
  <c r="N1334" i="3" a="1"/>
  <c r="N1334" i="3" s="1"/>
  <c r="N1367" i="3" a="1"/>
  <c r="N1367" i="3" s="1"/>
  <c r="N1386" i="3" a="1"/>
  <c r="N1386" i="3" s="1"/>
  <c r="N1402" i="3" a="1"/>
  <c r="N1402" i="3" s="1"/>
  <c r="M190" i="3" a="1"/>
  <c r="M190" i="3" s="1"/>
  <c r="M262" i="3" a="1"/>
  <c r="M262" i="3" s="1"/>
  <c r="M352" i="3" a="1"/>
  <c r="M352" i="3" s="1"/>
  <c r="M442" i="3" a="1"/>
  <c r="M442" i="3" s="1"/>
  <c r="M574" i="3" a="1"/>
  <c r="M574" i="3" s="1"/>
  <c r="M650" i="3" a="1"/>
  <c r="M650" i="3" s="1"/>
  <c r="M680" i="3" a="1"/>
  <c r="M680" i="3" s="1"/>
  <c r="M752" i="3" a="1"/>
  <c r="M752" i="3" s="1"/>
  <c r="M836" i="3" a="1"/>
  <c r="M836" i="3" s="1"/>
  <c r="M860" i="3" a="1"/>
  <c r="M860" i="3" s="1"/>
  <c r="M889" i="3" a="1"/>
  <c r="M889" i="3" s="1"/>
  <c r="M909" i="3" a="1"/>
  <c r="M909" i="3" s="1"/>
  <c r="M928" i="3" a="1"/>
  <c r="M928" i="3" s="1"/>
  <c r="M962" i="3" a="1"/>
  <c r="M962" i="3" s="1"/>
  <c r="M987" i="3" a="1"/>
  <c r="M987" i="3" s="1"/>
  <c r="M999" i="3" a="1"/>
  <c r="M999" i="3" s="1"/>
  <c r="M1011" i="3" a="1"/>
  <c r="M1011" i="3" s="1"/>
  <c r="M1048" i="3" a="1"/>
  <c r="M1048" i="3" s="1"/>
  <c r="M1063" i="3" a="1"/>
  <c r="M1063" i="3" s="1"/>
  <c r="M1076" i="3" a="1"/>
  <c r="M1076" i="3" s="1"/>
  <c r="M1089" i="3" a="1"/>
  <c r="M1089" i="3" s="1"/>
  <c r="M1102" i="3" a="1"/>
  <c r="M1102" i="3" s="1"/>
  <c r="M1129" i="3" a="1"/>
  <c r="M1129" i="3" s="1"/>
  <c r="M1141" i="3" a="1"/>
  <c r="M1141" i="3" s="1"/>
  <c r="M1168" i="3" a="1"/>
  <c r="M1168" i="3" s="1"/>
  <c r="M1184" i="3" a="1"/>
  <c r="M1184" i="3" s="1"/>
  <c r="M1202" i="3" a="1"/>
  <c r="M1202" i="3" s="1"/>
  <c r="M1220" i="3" a="1"/>
  <c r="M1220" i="3" s="1"/>
  <c r="M1238" i="3" a="1"/>
  <c r="M1238" i="3" s="1"/>
  <c r="M1256" i="3" a="1"/>
  <c r="M1256" i="3" s="1"/>
  <c r="M1270" i="3" a="1"/>
  <c r="M1270" i="3" s="1"/>
  <c r="M1284" i="3" a="1"/>
  <c r="M1284" i="3" s="1"/>
  <c r="M1298" i="3" a="1"/>
  <c r="M1298" i="3" s="1"/>
  <c r="M1312" i="3" a="1"/>
  <c r="M1312" i="3" s="1"/>
  <c r="M1327" i="3" a="1"/>
  <c r="M1327" i="3" s="1"/>
  <c r="M1341" i="3" a="1"/>
  <c r="M1341" i="3" s="1"/>
  <c r="M1351" i="3" a="1"/>
  <c r="M1351" i="3" s="1"/>
  <c r="M1372" i="3" a="1"/>
  <c r="M1372" i="3" s="1"/>
  <c r="M1383" i="3" a="1"/>
  <c r="M1383" i="3" s="1"/>
  <c r="M1395" i="3" a="1"/>
  <c r="M1395" i="3" s="1"/>
  <c r="M1407" i="3" a="1"/>
  <c r="M1407" i="3" s="1"/>
  <c r="M1419" i="3" a="1"/>
  <c r="M1419" i="3" s="1"/>
  <c r="M1431" i="3" a="1"/>
  <c r="M1431" i="3" s="1"/>
  <c r="H1070" i="3" a="1"/>
  <c r="H1070" i="3" s="1"/>
  <c r="M1373" i="3" a="1"/>
  <c r="M1373" i="3" s="1"/>
  <c r="M1396" i="3" a="1"/>
  <c r="M1396" i="3" s="1"/>
  <c r="M1420" i="3" a="1"/>
  <c r="M1420" i="3" s="1"/>
  <c r="H1197" i="3" a="1"/>
  <c r="H1197" i="3" s="1"/>
  <c r="N1336" i="3" a="1"/>
  <c r="N1336" i="3" s="1"/>
  <c r="N1368" i="3" a="1"/>
  <c r="N1368" i="3" s="1"/>
  <c r="N1403" i="3" a="1"/>
  <c r="N1403" i="3" s="1"/>
  <c r="N1421" i="3" a="1"/>
  <c r="N1421" i="3" s="1"/>
  <c r="N1433" i="3" a="1"/>
  <c r="N1433" i="3" s="1"/>
  <c r="M94" i="3" a="1"/>
  <c r="M94" i="3" s="1"/>
  <c r="M196" i="3" a="1"/>
  <c r="M196" i="3" s="1"/>
  <c r="M292" i="3" a="1"/>
  <c r="M292" i="3" s="1"/>
  <c r="M358" i="3" a="1"/>
  <c r="M358" i="3" s="1"/>
  <c r="M446" i="3" a="1"/>
  <c r="M446" i="3" s="1"/>
  <c r="M500" i="3" a="1"/>
  <c r="M500" i="3" s="1"/>
  <c r="M530" i="3" a="1"/>
  <c r="M530" i="3" s="1"/>
  <c r="M578" i="3" a="1"/>
  <c r="M578" i="3" s="1"/>
  <c r="M610" i="3" a="1"/>
  <c r="M610" i="3" s="1"/>
  <c r="M652" i="3" a="1"/>
  <c r="M652" i="3" s="1"/>
  <c r="M718" i="3" a="1"/>
  <c r="M718" i="3" s="1"/>
  <c r="M787" i="3" a="1"/>
  <c r="M787" i="3" s="1"/>
  <c r="M811" i="3" a="1"/>
  <c r="M811" i="3" s="1"/>
  <c r="M890" i="3" a="1"/>
  <c r="M890" i="3" s="1"/>
  <c r="M910" i="3" a="1"/>
  <c r="M910" i="3" s="1"/>
  <c r="M932" i="3" a="1"/>
  <c r="M932" i="3" s="1"/>
  <c r="M945" i="3" a="1"/>
  <c r="M945" i="3" s="1"/>
  <c r="M975" i="3" a="1"/>
  <c r="M975" i="3" s="1"/>
  <c r="M1012" i="3" a="1"/>
  <c r="M1012" i="3" s="1"/>
  <c r="M1024" i="3" a="1"/>
  <c r="M1024" i="3" s="1"/>
  <c r="M1039" i="3" a="1"/>
  <c r="M1039" i="3" s="1"/>
  <c r="M1051" i="3" a="1"/>
  <c r="M1051" i="3" s="1"/>
  <c r="M1064" i="3" a="1"/>
  <c r="M1064" i="3" s="1"/>
  <c r="M1077" i="3" a="1"/>
  <c r="M1077" i="3" s="1"/>
  <c r="M1090" i="3" a="1"/>
  <c r="M1090" i="3" s="1"/>
  <c r="M1105" i="3" a="1"/>
  <c r="M1105" i="3" s="1"/>
  <c r="M1117" i="3" a="1"/>
  <c r="M1117" i="3" s="1"/>
  <c r="M1130" i="3" a="1"/>
  <c r="M1130" i="3" s="1"/>
  <c r="M1142" i="3" a="1"/>
  <c r="M1142" i="3" s="1"/>
  <c r="M1155" i="3" a="1"/>
  <c r="M1155" i="3" s="1"/>
  <c r="M1171" i="3" a="1"/>
  <c r="M1171" i="3" s="1"/>
  <c r="M1185" i="3" a="1"/>
  <c r="M1185" i="3" s="1"/>
  <c r="M1203" i="3" a="1"/>
  <c r="M1203" i="3" s="1"/>
  <c r="M1221" i="3" a="1"/>
  <c r="M1221" i="3" s="1"/>
  <c r="M1239" i="3" a="1"/>
  <c r="M1239" i="3" s="1"/>
  <c r="M1257" i="3" a="1"/>
  <c r="M1257" i="3" s="1"/>
  <c r="M1272" i="3" a="1"/>
  <c r="M1272" i="3" s="1"/>
  <c r="M1285" i="3" a="1"/>
  <c r="M1285" i="3" s="1"/>
  <c r="M1299" i="3" a="1"/>
  <c r="M1299" i="3" s="1"/>
  <c r="M1314" i="3" a="1"/>
  <c r="M1314" i="3" s="1"/>
  <c r="M1328" i="3" a="1"/>
  <c r="M1328" i="3" s="1"/>
  <c r="M1342" i="3" a="1"/>
  <c r="M1342" i="3" s="1"/>
  <c r="M1352" i="3" a="1"/>
  <c r="M1352" i="3" s="1"/>
  <c r="M1362" i="3" a="1"/>
  <c r="M1362" i="3" s="1"/>
  <c r="M1384" i="3" a="1"/>
  <c r="M1384" i="3" s="1"/>
  <c r="M1408" i="3" a="1"/>
  <c r="M1408" i="3" s="1"/>
  <c r="M1432" i="3" a="1"/>
  <c r="M1432" i="3" s="1"/>
  <c r="N1369" i="3" a="1"/>
  <c r="N1369" i="3" s="1"/>
  <c r="N1387" i="3" a="1"/>
  <c r="N1387" i="3" s="1"/>
  <c r="N1404" i="3" a="1"/>
  <c r="N1404" i="3" s="1"/>
  <c r="N1436" i="3" a="1"/>
  <c r="N1436" i="3" s="1"/>
  <c r="M100" i="3" a="1"/>
  <c r="M100" i="3" s="1"/>
  <c r="M298" i="3" a="1"/>
  <c r="M298" i="3" s="1"/>
  <c r="M364" i="3" a="1"/>
  <c r="M364" i="3" s="1"/>
  <c r="M448" i="3" a="1"/>
  <c r="M448" i="3" s="1"/>
  <c r="M502" i="3" a="1"/>
  <c r="M502" i="3" s="1"/>
  <c r="M580" i="3" a="1"/>
  <c r="M580" i="3" s="1"/>
  <c r="M614" i="3" a="1"/>
  <c r="M614" i="3" s="1"/>
  <c r="M682" i="3" a="1"/>
  <c r="M682" i="3" s="1"/>
  <c r="M722" i="3" a="1"/>
  <c r="M722" i="3" s="1"/>
  <c r="M754" i="3" a="1"/>
  <c r="M754" i="3" s="1"/>
  <c r="M788" i="3" a="1"/>
  <c r="M788" i="3" s="1"/>
  <c r="M838" i="3" a="1"/>
  <c r="M838" i="3" s="1"/>
  <c r="M862" i="3" a="1"/>
  <c r="M862" i="3" s="1"/>
  <c r="M892" i="3" a="1"/>
  <c r="M892" i="3" s="1"/>
  <c r="M913" i="3" a="1"/>
  <c r="M913" i="3" s="1"/>
  <c r="M946" i="3" a="1"/>
  <c r="M946" i="3" s="1"/>
  <c r="M963" i="3" a="1"/>
  <c r="M963" i="3" s="1"/>
  <c r="M988" i="3" a="1"/>
  <c r="M988" i="3" s="1"/>
  <c r="M1000" i="3" a="1"/>
  <c r="M1000" i="3" s="1"/>
  <c r="M1027" i="3" a="1"/>
  <c r="M1027" i="3" s="1"/>
  <c r="M1040" i="3" a="1"/>
  <c r="M1040" i="3" s="1"/>
  <c r="M1052" i="3" a="1"/>
  <c r="M1052" i="3" s="1"/>
  <c r="M1106" i="3" a="1"/>
  <c r="M1106" i="3" s="1"/>
  <c r="M1118" i="3" a="1"/>
  <c r="M1118" i="3" s="1"/>
  <c r="M1131" i="3" a="1"/>
  <c r="M1131" i="3" s="1"/>
  <c r="M1143" i="3" a="1"/>
  <c r="M1143" i="3" s="1"/>
  <c r="M1156" i="3" a="1"/>
  <c r="M1156" i="3" s="1"/>
  <c r="M1172" i="3" a="1"/>
  <c r="M1172" i="3" s="1"/>
  <c r="M1186" i="3" a="1"/>
  <c r="M1186" i="3" s="1"/>
  <c r="M1204" i="3" a="1"/>
  <c r="M1204" i="3" s="1"/>
  <c r="M1222" i="3" a="1"/>
  <c r="M1222" i="3" s="1"/>
  <c r="M1240" i="3" a="1"/>
  <c r="M1240" i="3" s="1"/>
  <c r="M1258" i="3" a="1"/>
  <c r="M1258" i="3" s="1"/>
  <c r="M1286" i="3" a="1"/>
  <c r="M1286" i="3" s="1"/>
  <c r="M1300" i="3" a="1"/>
  <c r="M1300" i="3" s="1"/>
  <c r="M1315" i="3" a="1"/>
  <c r="M1315" i="3" s="1"/>
  <c r="M1329" i="3" a="1"/>
  <c r="M1329" i="3" s="1"/>
  <c r="M1343" i="3" a="1"/>
  <c r="M1343" i="3" s="1"/>
  <c r="M1353" i="3" a="1"/>
  <c r="M1353" i="3" s="1"/>
  <c r="M1363" i="3" a="1"/>
  <c r="M1363" i="3" s="1"/>
  <c r="M1385" i="3" a="1"/>
  <c r="M1385" i="3" s="1"/>
  <c r="M1397" i="3" a="1"/>
  <c r="M1397" i="3" s="1"/>
  <c r="M1409" i="3" a="1"/>
  <c r="M1409" i="3" s="1"/>
  <c r="M1421" i="3" a="1"/>
  <c r="M1421" i="3" s="1"/>
  <c r="M1433" i="3" a="1"/>
  <c r="M1433" i="3" s="1"/>
  <c r="H1284" i="3" a="1"/>
  <c r="H1284" i="3" s="1"/>
  <c r="N1344" i="3" a="1"/>
  <c r="N1344" i="3" s="1"/>
  <c r="N1370" i="3" a="1"/>
  <c r="N1370" i="3" s="1"/>
  <c r="N1405" i="3" a="1"/>
  <c r="N1405" i="3" s="1"/>
  <c r="N1422" i="3" a="1"/>
  <c r="N1422" i="3" s="1"/>
  <c r="M106" i="3" a="1"/>
  <c r="M106" i="3" s="1"/>
  <c r="M202" i="3" a="1"/>
  <c r="M202" i="3" s="1"/>
  <c r="M394" i="3" a="1"/>
  <c r="M394" i="3" s="1"/>
  <c r="M532" i="3" a="1"/>
  <c r="M532" i="3" s="1"/>
  <c r="M584" i="3" a="1"/>
  <c r="M584" i="3" s="1"/>
  <c r="M616" i="3" a="1"/>
  <c r="M616" i="3" s="1"/>
  <c r="M656" i="3" a="1"/>
  <c r="M656" i="3" s="1"/>
  <c r="M686" i="3" a="1"/>
  <c r="M686" i="3" s="1"/>
  <c r="M724" i="3" a="1"/>
  <c r="M724" i="3" s="1"/>
  <c r="M758" i="3" a="1"/>
  <c r="M758" i="3" s="1"/>
  <c r="M812" i="3" a="1"/>
  <c r="M812" i="3" s="1"/>
  <c r="M841" i="3" a="1"/>
  <c r="M841" i="3" s="1"/>
  <c r="M933" i="3" a="1"/>
  <c r="M933" i="3" s="1"/>
  <c r="M964" i="3" a="1"/>
  <c r="M964" i="3" s="1"/>
  <c r="M976" i="3" a="1"/>
  <c r="M976" i="3" s="1"/>
  <c r="M1015" i="3" a="1"/>
  <c r="M1015" i="3" s="1"/>
  <c r="M1028" i="3" a="1"/>
  <c r="M1028" i="3" s="1"/>
  <c r="M1053" i="3" a="1"/>
  <c r="M1053" i="3" s="1"/>
  <c r="M1065" i="3" a="1"/>
  <c r="M1065" i="3" s="1"/>
  <c r="M1078" i="3" a="1"/>
  <c r="M1078" i="3" s="1"/>
  <c r="M1093" i="3" a="1"/>
  <c r="M1093" i="3" s="1"/>
  <c r="M1144" i="3" a="1"/>
  <c r="M1144" i="3" s="1"/>
  <c r="M1159" i="3" a="1"/>
  <c r="M1159" i="3" s="1"/>
  <c r="M1189" i="3" a="1"/>
  <c r="M1189" i="3" s="1"/>
  <c r="M1207" i="3" a="1"/>
  <c r="M1207" i="3" s="1"/>
  <c r="M1225" i="3" a="1"/>
  <c r="M1225" i="3" s="1"/>
  <c r="M1243" i="3" a="1"/>
  <c r="M1243" i="3" s="1"/>
  <c r="M1261" i="3" a="1"/>
  <c r="M1261" i="3" s="1"/>
  <c r="M1273" i="3" a="1"/>
  <c r="M1273" i="3" s="1"/>
  <c r="M1287" i="3" a="1"/>
  <c r="M1287" i="3" s="1"/>
  <c r="M1302" i="3" a="1"/>
  <c r="M1302" i="3" s="1"/>
  <c r="M1316" i="3" a="1"/>
  <c r="M1316" i="3" s="1"/>
  <c r="M1330" i="3" a="1"/>
  <c r="M1330" i="3" s="1"/>
  <c r="M1354" i="3" a="1"/>
  <c r="M1354" i="3" s="1"/>
  <c r="M1364" i="3" a="1"/>
  <c r="M1364" i="3" s="1"/>
  <c r="M1374" i="3" a="1"/>
  <c r="M1374" i="3" s="1"/>
  <c r="M1386" i="3" a="1"/>
  <c r="M1386" i="3" s="1"/>
  <c r="M1398" i="3" a="1"/>
  <c r="M1398" i="3" s="1"/>
  <c r="M1410" i="3" a="1"/>
  <c r="M1410" i="3" s="1"/>
  <c r="M1422" i="3" a="1"/>
  <c r="M1422" i="3" s="1"/>
  <c r="M1434" i="3" a="1"/>
  <c r="M1434" i="3" s="1"/>
  <c r="H1367" i="3" a="1"/>
  <c r="H1367" i="3" s="1"/>
  <c r="M991" i="3" a="1"/>
  <c r="M991" i="3" s="1"/>
  <c r="M1016" i="3" a="1"/>
  <c r="M1016" i="3" s="1"/>
  <c r="M1029" i="3" a="1"/>
  <c r="M1029" i="3" s="1"/>
  <c r="M1041" i="3" a="1"/>
  <c r="M1041" i="3" s="1"/>
  <c r="M1081" i="3" a="1"/>
  <c r="M1081" i="3" s="1"/>
  <c r="M1094" i="3" a="1"/>
  <c r="M1094" i="3" s="1"/>
  <c r="M1107" i="3" a="1"/>
  <c r="M1107" i="3" s="1"/>
  <c r="M1132" i="3" a="1"/>
  <c r="M1132" i="3" s="1"/>
  <c r="M1160" i="3" a="1"/>
  <c r="M1160" i="3" s="1"/>
  <c r="M1173" i="3" a="1"/>
  <c r="M1173" i="3" s="1"/>
  <c r="M1208" i="3" a="1"/>
  <c r="M1208" i="3" s="1"/>
  <c r="M1226" i="3" a="1"/>
  <c r="M1226" i="3" s="1"/>
  <c r="M1262" i="3" a="1"/>
  <c r="M1262" i="3" s="1"/>
  <c r="M1274" i="3" a="1"/>
  <c r="M1274" i="3" s="1"/>
  <c r="M1288" i="3" a="1"/>
  <c r="M1288" i="3" s="1"/>
  <c r="M1317" i="3" a="1"/>
  <c r="M1317" i="3" s="1"/>
  <c r="M1332" i="3" a="1"/>
  <c r="M1332" i="3" s="1"/>
  <c r="M1344" i="3" a="1"/>
  <c r="M1344" i="3" s="1"/>
  <c r="M1365" i="3" a="1"/>
  <c r="M1365" i="3" s="1"/>
  <c r="M1375" i="3" a="1"/>
  <c r="M1375" i="3" s="1"/>
  <c r="N1345" i="3" a="1"/>
  <c r="N1345" i="3" s="1"/>
  <c r="N1372" i="3" a="1"/>
  <c r="N1372" i="3" s="1"/>
  <c r="N1407" i="3" a="1"/>
  <c r="N1407" i="3" s="1"/>
  <c r="N1437" i="3" a="1"/>
  <c r="N1437" i="3" s="1"/>
  <c r="M304" i="3" a="1"/>
  <c r="M304" i="3" s="1"/>
  <c r="M452" i="3" a="1"/>
  <c r="M452" i="3" s="1"/>
  <c r="M506" i="3" a="1"/>
  <c r="M506" i="3" s="1"/>
  <c r="M626" i="3" a="1"/>
  <c r="M626" i="3" s="1"/>
  <c r="M694" i="3" a="1"/>
  <c r="M694" i="3" s="1"/>
  <c r="M766" i="3" a="1"/>
  <c r="M766" i="3" s="1"/>
  <c r="M790" i="3" a="1"/>
  <c r="M790" i="3" s="1"/>
  <c r="M820" i="3" a="1"/>
  <c r="M820" i="3" s="1"/>
  <c r="M842" i="3" a="1"/>
  <c r="M842" i="3" s="1"/>
  <c r="M895" i="3" a="1"/>
  <c r="M895" i="3" s="1"/>
  <c r="M934" i="3" a="1"/>
  <c r="M934" i="3" s="1"/>
  <c r="M949" i="3" a="1"/>
  <c r="M949" i="3" s="1"/>
  <c r="M979" i="3" a="1"/>
  <c r="M979" i="3" s="1"/>
  <c r="M1003" i="3" a="1"/>
  <c r="M1003" i="3" s="1"/>
  <c r="M1066" i="3" a="1"/>
  <c r="M1066" i="3" s="1"/>
  <c r="M1119" i="3" a="1"/>
  <c r="M1119" i="3" s="1"/>
  <c r="M1190" i="3" a="1"/>
  <c r="M1190" i="3" s="1"/>
  <c r="M1244" i="3" a="1"/>
  <c r="M1244" i="3" s="1"/>
  <c r="M1303" i="3" a="1"/>
  <c r="M1303" i="3" s="1"/>
  <c r="M1355" i="3" a="1"/>
  <c r="M1355" i="3" s="1"/>
  <c r="N1347" i="3" a="1"/>
  <c r="N1347" i="3" s="1"/>
  <c r="N1389" i="3" a="1"/>
  <c r="N1389" i="3" s="1"/>
  <c r="N1408" i="3" a="1"/>
  <c r="N1408" i="3" s="1"/>
  <c r="N1423" i="3" a="1"/>
  <c r="N1423" i="3" s="1"/>
  <c r="N1438" i="3" a="1"/>
  <c r="N1438" i="3" s="1"/>
  <c r="M136" i="3" a="1"/>
  <c r="M136" i="3" s="1"/>
  <c r="M208" i="3" a="1"/>
  <c r="M208" i="3" s="1"/>
  <c r="M400" i="3" a="1"/>
  <c r="M400" i="3" s="1"/>
  <c r="M508" i="3" a="1"/>
  <c r="M508" i="3" s="1"/>
  <c r="M544" i="3" a="1"/>
  <c r="M544" i="3" s="1"/>
  <c r="M586" i="3" a="1"/>
  <c r="M586" i="3" s="1"/>
  <c r="M628" i="3" a="1"/>
  <c r="M628" i="3" s="1"/>
  <c r="M658" i="3" a="1"/>
  <c r="M658" i="3" s="1"/>
  <c r="M698" i="3" a="1"/>
  <c r="M698" i="3" s="1"/>
  <c r="M728" i="3" a="1"/>
  <c r="M728" i="3" s="1"/>
  <c r="M770" i="3" a="1"/>
  <c r="M770" i="3" s="1"/>
  <c r="M793" i="3" a="1"/>
  <c r="M793" i="3" s="1"/>
  <c r="M823" i="3" a="1"/>
  <c r="M823" i="3" s="1"/>
  <c r="M844" i="3" a="1"/>
  <c r="M844" i="3" s="1"/>
  <c r="M872" i="3" a="1"/>
  <c r="M872" i="3" s="1"/>
  <c r="M896" i="3" a="1"/>
  <c r="M896" i="3" s="1"/>
  <c r="M920" i="3" a="1"/>
  <c r="M920" i="3" s="1"/>
  <c r="M950" i="3" a="1"/>
  <c r="M950" i="3" s="1"/>
  <c r="M968" i="3" a="1"/>
  <c r="M968" i="3" s="1"/>
  <c r="N1307" i="3" a="1"/>
  <c r="N1307" i="3" s="1"/>
  <c r="N1350" i="3" a="1"/>
  <c r="N1350" i="3" s="1"/>
  <c r="N1376" i="3" a="1"/>
  <c r="N1376" i="3" s="1"/>
  <c r="N1395" i="3" a="1"/>
  <c r="N1395" i="3" s="1"/>
  <c r="N1411" i="3" a="1"/>
  <c r="N1411" i="3" s="1"/>
  <c r="N1439" i="3" a="1"/>
  <c r="N1439" i="3" s="1"/>
  <c r="M46" i="3" a="1"/>
  <c r="M46" i="3" s="1"/>
  <c r="M238" i="3" a="1"/>
  <c r="M238" i="3" s="1"/>
  <c r="M310" i="3" a="1"/>
  <c r="M310" i="3" s="1"/>
  <c r="M406" i="3" a="1"/>
  <c r="M406" i="3" s="1"/>
  <c r="M470" i="3" a="1"/>
  <c r="M470" i="3" s="1"/>
  <c r="M548" i="3" a="1"/>
  <c r="M548" i="3" s="1"/>
  <c r="M700" i="3" a="1"/>
  <c r="M700" i="3" s="1"/>
  <c r="M772" i="3" a="1"/>
  <c r="M772" i="3" s="1"/>
  <c r="M794" i="3" a="1"/>
  <c r="M794" i="3" s="1"/>
  <c r="M874" i="3" a="1"/>
  <c r="M874" i="3" s="1"/>
  <c r="M937" i="3" a="1"/>
  <c r="M937" i="3" s="1"/>
  <c r="M981" i="3" a="1"/>
  <c r="M981" i="3" s="1"/>
  <c r="M1005" i="3" a="1"/>
  <c r="M1005" i="3" s="1"/>
  <c r="M1017" i="3" a="1"/>
  <c r="M1017" i="3" s="1"/>
  <c r="M1030" i="3" a="1"/>
  <c r="M1030" i="3" s="1"/>
  <c r="M1057" i="3" a="1"/>
  <c r="M1057" i="3" s="1"/>
  <c r="M1069" i="3" a="1"/>
  <c r="M1069" i="3" s="1"/>
  <c r="M1120" i="3" a="1"/>
  <c r="M1120" i="3" s="1"/>
  <c r="N1311" i="3" a="1"/>
  <c r="N1311" i="3" s="1"/>
  <c r="N1353" i="3" a="1"/>
  <c r="N1353" i="3" s="1"/>
  <c r="N1396" i="3" a="1"/>
  <c r="N1396" i="3" s="1"/>
  <c r="N1428" i="3" a="1"/>
  <c r="N1428" i="3" s="1"/>
  <c r="N1440" i="3" a="1"/>
  <c r="N1440" i="3" s="1"/>
  <c r="M142" i="3" a="1"/>
  <c r="M142" i="3" s="1"/>
  <c r="M244" i="3" a="1"/>
  <c r="M244" i="3" s="1"/>
  <c r="M316" i="3" a="1"/>
  <c r="M316" i="3" s="1"/>
  <c r="M472" i="3" a="1"/>
  <c r="M472" i="3" s="1"/>
  <c r="M512" i="3" a="1"/>
  <c r="M512" i="3" s="1"/>
  <c r="M550" i="3" a="1"/>
  <c r="M550" i="3" s="1"/>
  <c r="M590" i="3" a="1"/>
  <c r="M590" i="3" s="1"/>
  <c r="M632" i="3" a="1"/>
  <c r="M632" i="3" s="1"/>
  <c r="M662" i="3" a="1"/>
  <c r="M662" i="3" s="1"/>
  <c r="M730" i="3" a="1"/>
  <c r="M730" i="3" s="1"/>
  <c r="M796" i="3" a="1"/>
  <c r="M796" i="3" s="1"/>
  <c r="M824" i="3" a="1"/>
  <c r="M824" i="3" s="1"/>
  <c r="M847" i="3" a="1"/>
  <c r="M847" i="3" s="1"/>
  <c r="M877" i="3" a="1"/>
  <c r="M877" i="3" s="1"/>
  <c r="M898" i="3" a="1"/>
  <c r="M898" i="3" s="1"/>
  <c r="M921" i="3" a="1"/>
  <c r="M921" i="3" s="1"/>
  <c r="M956" i="3" a="1"/>
  <c r="M956" i="3" s="1"/>
  <c r="M969" i="3" a="1"/>
  <c r="M969" i="3" s="1"/>
  <c r="M993" i="3" a="1"/>
  <c r="M993" i="3" s="1"/>
  <c r="M1018" i="3" a="1"/>
  <c r="M1018" i="3" s="1"/>
  <c r="N1318" i="3" a="1"/>
  <c r="N1318" i="3" s="1"/>
  <c r="N1359" i="3" a="1"/>
  <c r="N1359" i="3" s="1"/>
  <c r="N1377" i="3" a="1"/>
  <c r="N1377" i="3" s="1"/>
  <c r="N1412" i="3" a="1"/>
  <c r="N1412" i="3" s="1"/>
  <c r="N1429" i="3" a="1"/>
  <c r="N1429" i="3" s="1"/>
  <c r="N1441" i="3" a="1"/>
  <c r="N1441" i="3" s="1"/>
  <c r="M52" i="3" a="1"/>
  <c r="M52" i="3" s="1"/>
  <c r="M148" i="3" a="1"/>
  <c r="M148" i="3" s="1"/>
  <c r="M340" i="3" a="1"/>
  <c r="M340" i="3" s="1"/>
  <c r="M412" i="3" a="1"/>
  <c r="M412" i="3" s="1"/>
  <c r="M476" i="3" a="1"/>
  <c r="M476" i="3" s="1"/>
  <c r="M520" i="3" a="1"/>
  <c r="M520" i="3" s="1"/>
  <c r="M554" i="3" a="1"/>
  <c r="M554" i="3" s="1"/>
  <c r="M602" i="3" a="1"/>
  <c r="M602" i="3" s="1"/>
  <c r="M670" i="3" a="1"/>
  <c r="M670" i="3" s="1"/>
  <c r="M704" i="3" a="1"/>
  <c r="M704" i="3" s="1"/>
  <c r="M775" i="3" a="1"/>
  <c r="M775" i="3" s="1"/>
  <c r="M802" i="3" a="1"/>
  <c r="M802" i="3" s="1"/>
  <c r="M853" i="3" a="1"/>
  <c r="M853" i="3" s="1"/>
  <c r="M878" i="3" a="1"/>
  <c r="M878" i="3" s="1"/>
  <c r="M922" i="3" a="1"/>
  <c r="M922" i="3" s="1"/>
  <c r="M938" i="3" a="1"/>
  <c r="M938" i="3" s="1"/>
  <c r="M957" i="3" a="1"/>
  <c r="M957" i="3" s="1"/>
  <c r="M970" i="3" a="1"/>
  <c r="M970" i="3" s="1"/>
  <c r="N1321" i="3" a="1"/>
  <c r="N1321" i="3" s="1"/>
  <c r="N1360" i="3" a="1"/>
  <c r="N1360" i="3" s="1"/>
  <c r="N1378" i="3" a="1"/>
  <c r="N1378" i="3" s="1"/>
  <c r="N1397" i="3" a="1"/>
  <c r="N1397" i="3" s="1"/>
  <c r="N1430" i="3" a="1"/>
  <c r="N1430" i="3" s="1"/>
  <c r="M76" i="3" a="1"/>
  <c r="M76" i="3" s="1"/>
  <c r="M154" i="3" a="1"/>
  <c r="M154" i="3" s="1"/>
  <c r="M250" i="3" a="1"/>
  <c r="M250" i="3" s="1"/>
  <c r="M478" i="3" a="1"/>
  <c r="M478" i="3" s="1"/>
  <c r="M524" i="3" a="1"/>
  <c r="M524" i="3" s="1"/>
  <c r="M556" i="3" a="1"/>
  <c r="M556" i="3" s="1"/>
  <c r="M604" i="3" a="1"/>
  <c r="M604" i="3" s="1"/>
  <c r="M634" i="3" a="1"/>
  <c r="M634" i="3" s="1"/>
  <c r="M674" i="3" a="1"/>
  <c r="M674" i="3" s="1"/>
  <c r="M742" i="3" a="1"/>
  <c r="M742" i="3" s="1"/>
  <c r="M805" i="3" a="1"/>
  <c r="M805" i="3" s="1"/>
  <c r="M826" i="3" a="1"/>
  <c r="M826" i="3" s="1"/>
  <c r="M854" i="3" a="1"/>
  <c r="M854" i="3" s="1"/>
  <c r="M880" i="3" a="1"/>
  <c r="M880" i="3" s="1"/>
  <c r="M907" i="3" a="1"/>
  <c r="M907" i="3" s="1"/>
  <c r="M940" i="3" a="1"/>
  <c r="M940" i="3" s="1"/>
  <c r="M985" i="3" a="1"/>
  <c r="M985" i="3" s="1"/>
  <c r="M1009" i="3" a="1"/>
  <c r="M1009" i="3" s="1"/>
  <c r="M1021" i="3" a="1"/>
  <c r="M1021" i="3" s="1"/>
  <c r="M1436" i="3" a="1"/>
  <c r="M1436" i="3" s="1"/>
  <c r="M1416" i="3" a="1"/>
  <c r="M1416" i="3" s="1"/>
  <c r="M1400" i="3" a="1"/>
  <c r="M1400" i="3" s="1"/>
  <c r="M1380" i="3" a="1"/>
  <c r="M1380" i="3" s="1"/>
  <c r="M1361" i="3" a="1"/>
  <c r="M1361" i="3" s="1"/>
  <c r="M1346" i="3" a="1"/>
  <c r="M1346" i="3" s="1"/>
  <c r="M1322" i="3" a="1"/>
  <c r="M1322" i="3" s="1"/>
  <c r="M1296" i="3" a="1"/>
  <c r="M1296" i="3" s="1"/>
  <c r="M1275" i="3" a="1"/>
  <c r="M1275" i="3" s="1"/>
  <c r="M1249" i="3" a="1"/>
  <c r="M1249" i="3" s="1"/>
  <c r="M1215" i="3" a="1"/>
  <c r="M1215" i="3" s="1"/>
  <c r="M1183" i="3" a="1"/>
  <c r="M1183" i="3" s="1"/>
  <c r="M1161" i="3" a="1"/>
  <c r="M1161" i="3" s="1"/>
  <c r="M1087" i="3" a="1"/>
  <c r="M1087" i="3" s="1"/>
  <c r="M994" i="3" a="1"/>
  <c r="M994" i="3" s="1"/>
  <c r="M1062" i="3" a="1"/>
  <c r="M1062" i="3" s="1"/>
  <c r="M1092" i="3" a="1"/>
  <c r="M1092" i="3" s="1"/>
  <c r="M1122" i="3" a="1"/>
  <c r="M1122" i="3" s="1"/>
  <c r="M1146" i="3" a="1"/>
  <c r="M1146" i="3" s="1"/>
  <c r="M1176" i="3" a="1"/>
  <c r="M1176" i="3" s="1"/>
  <c r="M1218" i="3" a="1"/>
  <c r="M1218" i="3" s="1"/>
  <c r="M1242" i="3" a="1"/>
  <c r="M1242" i="3" s="1"/>
  <c r="H1398" i="3" a="1"/>
  <c r="H1398" i="3" s="1"/>
  <c r="M1379" i="3" a="1"/>
  <c r="M1379" i="3" s="1"/>
  <c r="M1294" i="3" a="1"/>
  <c r="M1294" i="3" s="1"/>
  <c r="M1214" i="3" a="1"/>
  <c r="M1214" i="3" s="1"/>
  <c r="M1180" i="3" a="1"/>
  <c r="M1180" i="3" s="1"/>
  <c r="M1136" i="3" a="1"/>
  <c r="M1136" i="3" s="1"/>
  <c r="M1112" i="3" a="1"/>
  <c r="M1112" i="3" s="1"/>
  <c r="M1084" i="3" a="1"/>
  <c r="M1084" i="3" s="1"/>
  <c r="M1059" i="3" a="1"/>
  <c r="M1059" i="3" s="1"/>
  <c r="M1034" i="3" a="1"/>
  <c r="M1034" i="3" s="1"/>
  <c r="M992" i="3" a="1"/>
  <c r="M992" i="3" s="1"/>
  <c r="M1056" i="3" a="1"/>
  <c r="M1056" i="3" s="1"/>
  <c r="M1074" i="3" a="1"/>
  <c r="M1074" i="3" s="1"/>
  <c r="M1080" i="3" a="1"/>
  <c r="M1080" i="3" s="1"/>
  <c r="M1086" i="3" a="1"/>
  <c r="M1086" i="3" s="1"/>
  <c r="M1104" i="3" a="1"/>
  <c r="M1104" i="3" s="1"/>
  <c r="M1110" i="3" a="1"/>
  <c r="M1110" i="3" s="1"/>
  <c r="M1128" i="3" a="1"/>
  <c r="M1128" i="3" s="1"/>
  <c r="M1134" i="3" a="1"/>
  <c r="M1134" i="3" s="1"/>
  <c r="M1140" i="3" a="1"/>
  <c r="M1140" i="3" s="1"/>
  <c r="M1152" i="3" a="1"/>
  <c r="M1152" i="3" s="1"/>
  <c r="H1164" i="3" a="1"/>
  <c r="H1164" i="3" s="1"/>
  <c r="M1170" i="3" a="1"/>
  <c r="M1170" i="3" s="1"/>
  <c r="M1182" i="3" a="1"/>
  <c r="M1182" i="3" s="1"/>
  <c r="M1188" i="3" a="1"/>
  <c r="M1188" i="3" s="1"/>
  <c r="M1194" i="3" a="1"/>
  <c r="M1194" i="3" s="1"/>
  <c r="M1230" i="3" a="1"/>
  <c r="M1230" i="3" s="1"/>
  <c r="M1236" i="3" a="1"/>
  <c r="M1236" i="3" s="1"/>
  <c r="H1248" i="3" a="1"/>
  <c r="H1248" i="3" s="1"/>
  <c r="M1254" i="3" a="1"/>
  <c r="M1254" i="3" s="1"/>
  <c r="M1260" i="3" a="1"/>
  <c r="M1260" i="3" s="1"/>
  <c r="M1435" i="3" a="1"/>
  <c r="M1435" i="3" s="1"/>
  <c r="M1415" i="3" a="1"/>
  <c r="M1415" i="3" s="1"/>
  <c r="M1399" i="3" a="1"/>
  <c r="M1399" i="3" s="1"/>
  <c r="M1360" i="3" a="1"/>
  <c r="M1360" i="3" s="1"/>
  <c r="M1345" i="3" a="1"/>
  <c r="M1345" i="3" s="1"/>
  <c r="M1321" i="3" a="1"/>
  <c r="M1321" i="3" s="1"/>
  <c r="M1269" i="3" a="1"/>
  <c r="M1269" i="3" s="1"/>
  <c r="M1246" i="3" a="1"/>
  <c r="M1246" i="3" s="1"/>
  <c r="M1430" i="3" a="1"/>
  <c r="M1430" i="3" s="1"/>
  <c r="M1414" i="3" a="1"/>
  <c r="M1414" i="3" s="1"/>
  <c r="M1394" i="3" a="1"/>
  <c r="M1394" i="3" s="1"/>
  <c r="M1378" i="3" a="1"/>
  <c r="M1378" i="3" s="1"/>
  <c r="M1359" i="3" a="1"/>
  <c r="M1359" i="3" s="1"/>
  <c r="M1340" i="3" a="1"/>
  <c r="M1340" i="3" s="1"/>
  <c r="M1320" i="3" a="1"/>
  <c r="M1320" i="3" s="1"/>
  <c r="M1293" i="3" a="1"/>
  <c r="M1293" i="3" s="1"/>
  <c r="M1268" i="3" a="1"/>
  <c r="M1268" i="3" s="1"/>
  <c r="M1245" i="3" a="1"/>
  <c r="M1245" i="3" s="1"/>
  <c r="M1213" i="3" a="1"/>
  <c r="M1213" i="3" s="1"/>
  <c r="M1179" i="3" a="1"/>
  <c r="M1179" i="3" s="1"/>
  <c r="M1154" i="3" a="1"/>
  <c r="M1154" i="3" s="1"/>
  <c r="M1135" i="3" a="1"/>
  <c r="M1135" i="3" s="1"/>
  <c r="M1111" i="3" a="1"/>
  <c r="M1111" i="3" s="1"/>
  <c r="M1083" i="3" a="1"/>
  <c r="M1083" i="3" s="1"/>
  <c r="M1058" i="3" a="1"/>
  <c r="M1058" i="3" s="1"/>
  <c r="M1033" i="3" a="1"/>
  <c r="M1033" i="3" s="1"/>
  <c r="M982" i="3" a="1"/>
  <c r="M982" i="3" s="1"/>
  <c r="M421" i="3" a="1"/>
  <c r="M421" i="3" s="1"/>
  <c r="M433" i="3" a="1"/>
  <c r="M433" i="3" s="1"/>
  <c r="M445" i="3" a="1"/>
  <c r="M445" i="3" s="1"/>
  <c r="M457" i="3" a="1"/>
  <c r="M457" i="3" s="1"/>
  <c r="M469" i="3" a="1"/>
  <c r="M469" i="3" s="1"/>
  <c r="M481" i="3" a="1"/>
  <c r="M481" i="3" s="1"/>
  <c r="M493" i="3" a="1"/>
  <c r="M493" i="3" s="1"/>
  <c r="M505" i="3" a="1"/>
  <c r="M505" i="3" s="1"/>
  <c r="M517" i="3" a="1"/>
  <c r="M517" i="3" s="1"/>
  <c r="M529" i="3" a="1"/>
  <c r="M529" i="3" s="1"/>
  <c r="M541" i="3" a="1"/>
  <c r="M541" i="3" s="1"/>
  <c r="M553" i="3" a="1"/>
  <c r="M553" i="3" s="1"/>
  <c r="M565" i="3" a="1"/>
  <c r="M565" i="3" s="1"/>
  <c r="M577" i="3" a="1"/>
  <c r="M577" i="3" s="1"/>
  <c r="M589" i="3" a="1"/>
  <c r="M589" i="3" s="1"/>
  <c r="M601" i="3" a="1"/>
  <c r="M601" i="3" s="1"/>
  <c r="M613" i="3" a="1"/>
  <c r="M613" i="3" s="1"/>
  <c r="M625" i="3" a="1"/>
  <c r="M625" i="3" s="1"/>
  <c r="M649" i="3" a="1"/>
  <c r="M649" i="3" s="1"/>
  <c r="M661" i="3" a="1"/>
  <c r="M661" i="3" s="1"/>
  <c r="M673" i="3" a="1"/>
  <c r="M673" i="3" s="1"/>
  <c r="M685" i="3" a="1"/>
  <c r="M685" i="3" s="1"/>
  <c r="M697" i="3" a="1"/>
  <c r="M697" i="3" s="1"/>
  <c r="M709" i="3" a="1"/>
  <c r="M709" i="3" s="1"/>
  <c r="M727" i="3" a="1"/>
  <c r="M727" i="3" s="1"/>
  <c r="M739" i="3" a="1"/>
  <c r="M739" i="3" s="1"/>
  <c r="M751" i="3" a="1"/>
  <c r="M751" i="3" s="1"/>
  <c r="M763" i="3" a="1"/>
  <c r="M763" i="3" s="1"/>
  <c r="M769" i="3" a="1"/>
  <c r="M769" i="3" s="1"/>
  <c r="M1429" i="3" a="1"/>
  <c r="M1429" i="3" s="1"/>
  <c r="M1413" i="3" a="1"/>
  <c r="M1413" i="3" s="1"/>
  <c r="M1393" i="3" a="1"/>
  <c r="M1393" i="3" s="1"/>
  <c r="M1377" i="3" a="1"/>
  <c r="M1377" i="3" s="1"/>
  <c r="M1358" i="3" a="1"/>
  <c r="M1358" i="3" s="1"/>
  <c r="M1339" i="3" a="1"/>
  <c r="M1339" i="3" s="1"/>
  <c r="M1318" i="3" a="1"/>
  <c r="M1318" i="3" s="1"/>
  <c r="M1292" i="3" a="1"/>
  <c r="M1292" i="3" s="1"/>
  <c r="M1267" i="3" a="1"/>
  <c r="M1267" i="3" s="1"/>
  <c r="M1237" i="3" a="1"/>
  <c r="M1237" i="3" s="1"/>
  <c r="M1210" i="3" a="1"/>
  <c r="M1210" i="3" s="1"/>
  <c r="M1153" i="3" a="1"/>
  <c r="M1153" i="3" s="1"/>
  <c r="M1108" i="3" a="1"/>
  <c r="M1108" i="3" s="1"/>
  <c r="M1082" i="3" a="1"/>
  <c r="M1082" i="3" s="1"/>
  <c r="M1054" i="3" a="1"/>
  <c r="M1054" i="3" s="1"/>
  <c r="M980" i="3" a="1"/>
  <c r="M980" i="3" s="1"/>
  <c r="M427" i="3" a="1"/>
  <c r="M427" i="3" s="1"/>
  <c r="M439" i="3" a="1"/>
  <c r="M439" i="3" s="1"/>
  <c r="M451" i="3" a="1"/>
  <c r="M451" i="3" s="1"/>
  <c r="M463" i="3" a="1"/>
  <c r="M463" i="3" s="1"/>
  <c r="M475" i="3" a="1"/>
  <c r="M475" i="3" s="1"/>
  <c r="M487" i="3" a="1"/>
  <c r="M487" i="3" s="1"/>
  <c r="M499" i="3" a="1"/>
  <c r="M499" i="3" s="1"/>
  <c r="M511" i="3" a="1"/>
  <c r="M511" i="3" s="1"/>
  <c r="M523" i="3" a="1"/>
  <c r="M523" i="3" s="1"/>
  <c r="M535" i="3" a="1"/>
  <c r="M535" i="3" s="1"/>
  <c r="M547" i="3" a="1"/>
  <c r="M547" i="3" s="1"/>
  <c r="M559" i="3" a="1"/>
  <c r="M559" i="3" s="1"/>
  <c r="M571" i="3" a="1"/>
  <c r="M571" i="3" s="1"/>
  <c r="M583" i="3" a="1"/>
  <c r="M583" i="3" s="1"/>
  <c r="M595" i="3" a="1"/>
  <c r="M595" i="3" s="1"/>
  <c r="M607" i="3" a="1"/>
  <c r="M607" i="3" s="1"/>
  <c r="M619" i="3" a="1"/>
  <c r="M619" i="3" s="1"/>
  <c r="M637" i="3" a="1"/>
  <c r="M637" i="3" s="1"/>
  <c r="M643" i="3" a="1"/>
  <c r="M643" i="3" s="1"/>
  <c r="M655" i="3" a="1"/>
  <c r="M655" i="3" s="1"/>
  <c r="M667" i="3" a="1"/>
  <c r="M667" i="3" s="1"/>
  <c r="M679" i="3" a="1"/>
  <c r="M679" i="3" s="1"/>
  <c r="M691" i="3" a="1"/>
  <c r="M691" i="3" s="1"/>
  <c r="M703" i="3" a="1"/>
  <c r="M703" i="3" s="1"/>
  <c r="M721" i="3" a="1"/>
  <c r="M721" i="3" s="1"/>
  <c r="M733" i="3" a="1"/>
  <c r="M733" i="3" s="1"/>
  <c r="M745" i="3" a="1"/>
  <c r="M745" i="3" s="1"/>
  <c r="M757" i="3" a="1"/>
  <c r="M757" i="3" s="1"/>
  <c r="I1417" i="3" a="1"/>
  <c r="I1417" i="3" s="1"/>
  <c r="H1439" i="3" a="1"/>
  <c r="H1439" i="3" s="1"/>
  <c r="M1428" i="3" a="1"/>
  <c r="M1428" i="3" s="1"/>
  <c r="M1412" i="3" a="1"/>
  <c r="M1412" i="3" s="1"/>
  <c r="M1392" i="3" a="1"/>
  <c r="M1392" i="3" s="1"/>
  <c r="M1376" i="3" a="1"/>
  <c r="M1376" i="3" s="1"/>
  <c r="M1357" i="3" a="1"/>
  <c r="M1357" i="3" s="1"/>
  <c r="M1338" i="3" a="1"/>
  <c r="M1338" i="3" s="1"/>
  <c r="M1311" i="3" a="1"/>
  <c r="M1311" i="3" s="1"/>
  <c r="M1291" i="3" a="1"/>
  <c r="M1291" i="3" s="1"/>
  <c r="M1234" i="3" a="1"/>
  <c r="M1234" i="3" s="1"/>
  <c r="M1209" i="3" a="1"/>
  <c r="M1209" i="3" s="1"/>
  <c r="M1178" i="3" a="1"/>
  <c r="M1178" i="3" s="1"/>
  <c r="M1150" i="3" a="1"/>
  <c r="M1150" i="3" s="1"/>
  <c r="M1126" i="3" a="1"/>
  <c r="M1126" i="3" s="1"/>
  <c r="M1075" i="3" a="1"/>
  <c r="M1075" i="3" s="1"/>
  <c r="M1023" i="3" a="1"/>
  <c r="M1023" i="3" s="1"/>
  <c r="M242" i="3" a="1"/>
  <c r="M242" i="3" s="1"/>
  <c r="M272" i="3" a="1"/>
  <c r="M272" i="3" s="1"/>
  <c r="M284" i="3" a="1"/>
  <c r="M284" i="3" s="1"/>
  <c r="M290" i="3" a="1"/>
  <c r="M290" i="3" s="1"/>
  <c r="M296" i="3" a="1"/>
  <c r="M296" i="3" s="1"/>
  <c r="M302" i="3" a="1"/>
  <c r="M302" i="3" s="1"/>
  <c r="M308" i="3" a="1"/>
  <c r="M308" i="3" s="1"/>
  <c r="M314" i="3" a="1"/>
  <c r="M314" i="3" s="1"/>
  <c r="M320" i="3" a="1"/>
  <c r="M320" i="3" s="1"/>
  <c r="M326" i="3" a="1"/>
  <c r="M326" i="3" s="1"/>
  <c r="M332" i="3" a="1"/>
  <c r="M332" i="3" s="1"/>
  <c r="M338" i="3" a="1"/>
  <c r="M338" i="3" s="1"/>
  <c r="M344" i="3" a="1"/>
  <c r="M344" i="3" s="1"/>
  <c r="M350" i="3" a="1"/>
  <c r="M350" i="3" s="1"/>
  <c r="M356" i="3" a="1"/>
  <c r="M356" i="3" s="1"/>
  <c r="M362" i="3" a="1"/>
  <c r="M362" i="3" s="1"/>
  <c r="M368" i="3" a="1"/>
  <c r="M368" i="3" s="1"/>
  <c r="M374" i="3" a="1"/>
  <c r="M374" i="3" s="1"/>
  <c r="M380" i="3" a="1"/>
  <c r="M380" i="3" s="1"/>
  <c r="M386" i="3" a="1"/>
  <c r="M386" i="3" s="1"/>
  <c r="M392" i="3" a="1"/>
  <c r="M392" i="3" s="1"/>
  <c r="M398" i="3" a="1"/>
  <c r="M398" i="3" s="1"/>
  <c r="M404" i="3" a="1"/>
  <c r="M404" i="3" s="1"/>
  <c r="M410" i="3" a="1"/>
  <c r="M410" i="3" s="1"/>
  <c r="M416" i="3" a="1"/>
  <c r="M416" i="3" s="1"/>
  <c r="M422" i="3" a="1"/>
  <c r="M422" i="3" s="1"/>
  <c r="M428" i="3" a="1"/>
  <c r="M428" i="3" s="1"/>
  <c r="H1166" i="3" a="1"/>
  <c r="H1166" i="3" s="1"/>
  <c r="H1346" i="3" a="1"/>
  <c r="H1346" i="3" s="1"/>
  <c r="H1418" i="3" a="1"/>
  <c r="H1418" i="3" s="1"/>
  <c r="M1427" i="3" a="1"/>
  <c r="M1427" i="3" s="1"/>
  <c r="M1411" i="3" a="1"/>
  <c r="M1411" i="3" s="1"/>
  <c r="M1391" i="3" a="1"/>
  <c r="M1391" i="3" s="1"/>
  <c r="M1371" i="3" a="1"/>
  <c r="M1371" i="3" s="1"/>
  <c r="M1356" i="3" a="1"/>
  <c r="M1356" i="3" s="1"/>
  <c r="M1336" i="3" a="1"/>
  <c r="M1336" i="3" s="1"/>
  <c r="M1310" i="3" a="1"/>
  <c r="M1310" i="3" s="1"/>
  <c r="M1290" i="3" a="1"/>
  <c r="M1290" i="3" s="1"/>
  <c r="M1266" i="3" a="1"/>
  <c r="M1266" i="3" s="1"/>
  <c r="M1233" i="3" a="1"/>
  <c r="M1233" i="3" s="1"/>
  <c r="M1201" i="3" a="1"/>
  <c r="M1201" i="3" s="1"/>
  <c r="M1177" i="3" a="1"/>
  <c r="M1177" i="3" s="1"/>
  <c r="M1101" i="3" a="1"/>
  <c r="M1101" i="3" s="1"/>
  <c r="M1047" i="3" a="1"/>
  <c r="M1047" i="3" s="1"/>
  <c r="M1022" i="3" a="1"/>
  <c r="M1022" i="3" s="1"/>
  <c r="H560" i="3" a="1"/>
  <c r="H560" i="3" s="1"/>
  <c r="M1426" i="3" a="1"/>
  <c r="M1426" i="3" s="1"/>
  <c r="M1406" i="3" a="1"/>
  <c r="M1406" i="3" s="1"/>
  <c r="M1390" i="3" a="1"/>
  <c r="M1390" i="3" s="1"/>
  <c r="M1370" i="3" a="1"/>
  <c r="M1370" i="3" s="1"/>
  <c r="M1335" i="3" a="1"/>
  <c r="M1335" i="3" s="1"/>
  <c r="M1309" i="3" a="1"/>
  <c r="M1309" i="3" s="1"/>
  <c r="M1282" i="3" a="1"/>
  <c r="M1282" i="3" s="1"/>
  <c r="M1264" i="3" a="1"/>
  <c r="M1264" i="3" s="1"/>
  <c r="M1232" i="3" a="1"/>
  <c r="M1232" i="3" s="1"/>
  <c r="M1198" i="3" a="1"/>
  <c r="M1198" i="3" s="1"/>
  <c r="M1174" i="3" a="1"/>
  <c r="M1174" i="3" s="1"/>
  <c r="M1149" i="3" a="1"/>
  <c r="M1149" i="3" s="1"/>
  <c r="M1125" i="3" a="1"/>
  <c r="M1125" i="3" s="1"/>
  <c r="M1100" i="3" a="1"/>
  <c r="M1100" i="3" s="1"/>
  <c r="M1072" i="3" a="1"/>
  <c r="M1072" i="3" s="1"/>
  <c r="M585" i="3" a="1"/>
  <c r="M585" i="3" s="1"/>
  <c r="M1425" i="3" a="1"/>
  <c r="M1425" i="3" s="1"/>
  <c r="M1405" i="3" a="1"/>
  <c r="M1405" i="3" s="1"/>
  <c r="M1389" i="3" a="1"/>
  <c r="M1389" i="3" s="1"/>
  <c r="M1369" i="3" a="1"/>
  <c r="M1369" i="3" s="1"/>
  <c r="M1350" i="3" a="1"/>
  <c r="M1350" i="3" s="1"/>
  <c r="M1334" i="3" a="1"/>
  <c r="M1334" i="3" s="1"/>
  <c r="M1308" i="3" a="1"/>
  <c r="M1308" i="3" s="1"/>
  <c r="M1281" i="3" a="1"/>
  <c r="M1281" i="3" s="1"/>
  <c r="M1263" i="3" a="1"/>
  <c r="M1263" i="3" s="1"/>
  <c r="M1231" i="3" a="1"/>
  <c r="M1231" i="3" s="1"/>
  <c r="M1197" i="3" a="1"/>
  <c r="M1197" i="3" s="1"/>
  <c r="M1167" i="3" a="1"/>
  <c r="M1167" i="3" s="1"/>
  <c r="M1148" i="3" a="1"/>
  <c r="M1148" i="3" s="1"/>
  <c r="M1124" i="3" a="1"/>
  <c r="M1124" i="3" s="1"/>
  <c r="M1099" i="3" a="1"/>
  <c r="M1099" i="3" s="1"/>
  <c r="M1071" i="3" a="1"/>
  <c r="M1071" i="3" s="1"/>
  <c r="M1046" i="3" a="1"/>
  <c r="M1046" i="3" s="1"/>
  <c r="M609" i="3" a="1"/>
  <c r="M609" i="3" s="1"/>
  <c r="M627" i="3" a="1"/>
  <c r="M627" i="3" s="1"/>
  <c r="M645" i="3" a="1"/>
  <c r="M645" i="3" s="1"/>
  <c r="M663" i="3" a="1"/>
  <c r="M663" i="3" s="1"/>
  <c r="M681" i="3" a="1"/>
  <c r="M681" i="3" s="1"/>
  <c r="M699" i="3" a="1"/>
  <c r="M699" i="3" s="1"/>
  <c r="M735" i="3" a="1"/>
  <c r="M735" i="3" s="1"/>
  <c r="M747" i="3" a="1"/>
  <c r="M747" i="3" s="1"/>
  <c r="M765" i="3" a="1"/>
  <c r="M765" i="3" s="1"/>
  <c r="M777" i="3" a="1"/>
  <c r="M777" i="3" s="1"/>
  <c r="M801" i="3" a="1"/>
  <c r="M801" i="3" s="1"/>
  <c r="M819" i="3" a="1"/>
  <c r="M819" i="3" s="1"/>
  <c r="M831" i="3" a="1"/>
  <c r="M831" i="3" s="1"/>
  <c r="M849" i="3" a="1"/>
  <c r="M849" i="3" s="1"/>
  <c r="M867" i="3" a="1"/>
  <c r="M867" i="3" s="1"/>
  <c r="M885" i="3" a="1"/>
  <c r="M885" i="3" s="1"/>
  <c r="M897" i="3" a="1"/>
  <c r="M897" i="3" s="1"/>
  <c r="M615" i="3" a="1"/>
  <c r="M615" i="3" s="1"/>
  <c r="M639" i="3" a="1"/>
  <c r="M639" i="3" s="1"/>
  <c r="M657" i="3" a="1"/>
  <c r="M657" i="3" s="1"/>
  <c r="M675" i="3" a="1"/>
  <c r="M675" i="3" s="1"/>
  <c r="M693" i="3" a="1"/>
  <c r="M693" i="3" s="1"/>
  <c r="M705" i="3" a="1"/>
  <c r="M705" i="3" s="1"/>
  <c r="M723" i="3" a="1"/>
  <c r="M723" i="3" s="1"/>
  <c r="M741" i="3" a="1"/>
  <c r="M741" i="3" s="1"/>
  <c r="M759" i="3" a="1"/>
  <c r="M759" i="3" s="1"/>
  <c r="M783" i="3" a="1"/>
  <c r="M783" i="3" s="1"/>
  <c r="M795" i="3" a="1"/>
  <c r="M795" i="3" s="1"/>
  <c r="M813" i="3" a="1"/>
  <c r="M813" i="3" s="1"/>
  <c r="M837" i="3" a="1"/>
  <c r="M837" i="3" s="1"/>
  <c r="M861" i="3" a="1"/>
  <c r="M861" i="3" s="1"/>
  <c r="M879" i="3" a="1"/>
  <c r="M879" i="3" s="1"/>
  <c r="M891" i="3" a="1"/>
  <c r="M891" i="3" s="1"/>
  <c r="M603" i="3" a="1"/>
  <c r="M603" i="3" s="1"/>
  <c r="M633" i="3" a="1"/>
  <c r="M633" i="3" s="1"/>
  <c r="M651" i="3" a="1"/>
  <c r="M651" i="3" s="1"/>
  <c r="M669" i="3" a="1"/>
  <c r="M669" i="3" s="1"/>
  <c r="M687" i="3" a="1"/>
  <c r="M687" i="3" s="1"/>
  <c r="M717" i="3" a="1"/>
  <c r="M717" i="3" s="1"/>
  <c r="M729" i="3" a="1"/>
  <c r="M729" i="3" s="1"/>
  <c r="M753" i="3" a="1"/>
  <c r="M753" i="3" s="1"/>
  <c r="M771" i="3" a="1"/>
  <c r="M771" i="3" s="1"/>
  <c r="M789" i="3" a="1"/>
  <c r="M789" i="3" s="1"/>
  <c r="M807" i="3" a="1"/>
  <c r="M807" i="3" s="1"/>
  <c r="M825" i="3" a="1"/>
  <c r="M825" i="3" s="1"/>
  <c r="M843" i="3" a="1"/>
  <c r="M843" i="3" s="1"/>
  <c r="M855" i="3" a="1"/>
  <c r="M855" i="3" s="1"/>
  <c r="M873" i="3" a="1"/>
  <c r="M873" i="3" s="1"/>
  <c r="N45" i="3" a="1"/>
  <c r="N45" i="3" s="1"/>
  <c r="N56" i="3" a="1"/>
  <c r="N56" i="3" s="1"/>
  <c r="N68" i="3" a="1"/>
  <c r="N68" i="3" s="1"/>
  <c r="N79" i="3" a="1"/>
  <c r="N79" i="3" s="1"/>
  <c r="N91" i="3" a="1"/>
  <c r="N91" i="3" s="1"/>
  <c r="N102" i="3" a="1"/>
  <c r="N102" i="3" s="1"/>
  <c r="N114" i="3" a="1"/>
  <c r="N114" i="3" s="1"/>
  <c r="N126" i="3" a="1"/>
  <c r="N126" i="3" s="1"/>
  <c r="N138" i="3" a="1"/>
  <c r="N138" i="3" s="1"/>
  <c r="N150" i="3" a="1"/>
  <c r="N150" i="3" s="1"/>
  <c r="N161" i="3" a="1"/>
  <c r="N161" i="3" s="1"/>
  <c r="N173" i="3" a="1"/>
  <c r="N173" i="3" s="1"/>
  <c r="N184" i="3" a="1"/>
  <c r="N184" i="3" s="1"/>
  <c r="N196" i="3" a="1"/>
  <c r="N196" i="3" s="1"/>
  <c r="N207" i="3" a="1"/>
  <c r="N207" i="3" s="1"/>
  <c r="N219" i="3" a="1"/>
  <c r="N219" i="3" s="1"/>
  <c r="N230" i="3" a="1"/>
  <c r="N230" i="3" s="1"/>
  <c r="N253" i="3" a="1"/>
  <c r="N253" i="3" s="1"/>
  <c r="N264" i="3" a="1"/>
  <c r="N264" i="3" s="1"/>
  <c r="N275" i="3" a="1"/>
  <c r="N275" i="3" s="1"/>
  <c r="N286" i="3" a="1"/>
  <c r="N286" i="3" s="1"/>
  <c r="N297" i="3" a="1"/>
  <c r="N297" i="3" s="1"/>
  <c r="N306" i="3" a="1"/>
  <c r="N306" i="3" s="1"/>
  <c r="N315" i="3" a="1"/>
  <c r="N315" i="3" s="1"/>
  <c r="N324" i="3" a="1"/>
  <c r="N324" i="3" s="1"/>
  <c r="N333" i="3" a="1"/>
  <c r="N333" i="3" s="1"/>
  <c r="N342" i="3" a="1"/>
  <c r="N342" i="3" s="1"/>
  <c r="N369" i="3" a="1"/>
  <c r="N369" i="3" s="1"/>
  <c r="N378" i="3" a="1"/>
  <c r="N378" i="3" s="1"/>
  <c r="N386" i="3" a="1"/>
  <c r="N386" i="3" s="1"/>
  <c r="N398" i="3" a="1"/>
  <c r="N398" i="3" s="1"/>
  <c r="N407" i="3" a="1"/>
  <c r="N407" i="3" s="1"/>
  <c r="N415" i="3" a="1"/>
  <c r="N415" i="3" s="1"/>
  <c r="N46" i="3" a="1"/>
  <c r="N46" i="3" s="1"/>
  <c r="N57" i="3" a="1"/>
  <c r="N57" i="3" s="1"/>
  <c r="N69" i="3" a="1"/>
  <c r="N69" i="3" s="1"/>
  <c r="N80" i="3" a="1"/>
  <c r="N80" i="3" s="1"/>
  <c r="N92" i="3" a="1"/>
  <c r="N92" i="3" s="1"/>
  <c r="N103" i="3" a="1"/>
  <c r="N103" i="3" s="1"/>
  <c r="N115" i="3" a="1"/>
  <c r="N115" i="3" s="1"/>
  <c r="N127" i="3" a="1"/>
  <c r="N127" i="3" s="1"/>
  <c r="N139" i="3" a="1"/>
  <c r="N139" i="3" s="1"/>
  <c r="N151" i="3" a="1"/>
  <c r="N151" i="3" s="1"/>
  <c r="N162" i="3" a="1"/>
  <c r="N162" i="3" s="1"/>
  <c r="N174" i="3" a="1"/>
  <c r="N174" i="3" s="1"/>
  <c r="N185" i="3" a="1"/>
  <c r="N185" i="3" s="1"/>
  <c r="N197" i="3" a="1"/>
  <c r="N197" i="3" s="1"/>
  <c r="N208" i="3" a="1"/>
  <c r="N208" i="3" s="1"/>
  <c r="N220" i="3" a="1"/>
  <c r="N220" i="3" s="1"/>
  <c r="N231" i="3" a="1"/>
  <c r="N231" i="3" s="1"/>
  <c r="N242" i="3" a="1"/>
  <c r="N242" i="3" s="1"/>
  <c r="N265" i="3" a="1"/>
  <c r="N265" i="3" s="1"/>
  <c r="N276" i="3" a="1"/>
  <c r="N276" i="3" s="1"/>
  <c r="N287" i="3" a="1"/>
  <c r="N287" i="3" s="1"/>
  <c r="N298" i="3" a="1"/>
  <c r="N298" i="3" s="1"/>
  <c r="N316" i="3" a="1"/>
  <c r="N316" i="3" s="1"/>
  <c r="N325" i="3" a="1"/>
  <c r="N325" i="3" s="1"/>
  <c r="N334" i="3" a="1"/>
  <c r="N334" i="3" s="1"/>
  <c r="N350" i="3" a="1"/>
  <c r="N350" i="3" s="1"/>
  <c r="N360" i="3" a="1"/>
  <c r="N360" i="3" s="1"/>
  <c r="N370" i="3" a="1"/>
  <c r="N370" i="3" s="1"/>
  <c r="N379" i="3" a="1"/>
  <c r="N379" i="3" s="1"/>
  <c r="N387" i="3" a="1"/>
  <c r="N387" i="3" s="1"/>
  <c r="N399" i="3" a="1"/>
  <c r="N399" i="3" s="1"/>
  <c r="N425" i="3" a="1"/>
  <c r="N425" i="3" s="1"/>
  <c r="N47" i="3" a="1"/>
  <c r="N47" i="3" s="1"/>
  <c r="N58" i="3" a="1"/>
  <c r="N58" i="3" s="1"/>
  <c r="N70" i="3" a="1"/>
  <c r="N70" i="3" s="1"/>
  <c r="N81" i="3" a="1"/>
  <c r="N81" i="3" s="1"/>
  <c r="N93" i="3" a="1"/>
  <c r="N93" i="3" s="1"/>
  <c r="N104" i="3" a="1"/>
  <c r="N104" i="3" s="1"/>
  <c r="N116" i="3" a="1"/>
  <c r="N116" i="3" s="1"/>
  <c r="N128" i="3" a="1"/>
  <c r="N128" i="3" s="1"/>
  <c r="N140" i="3" a="1"/>
  <c r="N140" i="3" s="1"/>
  <c r="N152" i="3" a="1"/>
  <c r="N152" i="3" s="1"/>
  <c r="N163" i="3" a="1"/>
  <c r="N163" i="3" s="1"/>
  <c r="N175" i="3" a="1"/>
  <c r="N175" i="3" s="1"/>
  <c r="N186" i="3" a="1"/>
  <c r="N186" i="3" s="1"/>
  <c r="N198" i="3" a="1"/>
  <c r="N198" i="3" s="1"/>
  <c r="N209" i="3" a="1"/>
  <c r="N209" i="3" s="1"/>
  <c r="N221" i="3" a="1"/>
  <c r="N221" i="3" s="1"/>
  <c r="N232" i="3" a="1"/>
  <c r="N232" i="3" s="1"/>
  <c r="N243" i="3" a="1"/>
  <c r="N243" i="3" s="1"/>
  <c r="N254" i="3" a="1"/>
  <c r="N254" i="3" s="1"/>
  <c r="N266" i="3" a="1"/>
  <c r="N266" i="3" s="1"/>
  <c r="N288" i="3" a="1"/>
  <c r="N288" i="3" s="1"/>
  <c r="N299" i="3" a="1"/>
  <c r="N299" i="3" s="1"/>
  <c r="N307" i="3" a="1"/>
  <c r="N307" i="3" s="1"/>
  <c r="N326" i="3" a="1"/>
  <c r="N326" i="3" s="1"/>
  <c r="N343" i="3" a="1"/>
  <c r="N343" i="3" s="1"/>
  <c r="N351" i="3" a="1"/>
  <c r="N351" i="3" s="1"/>
  <c r="N361" i="3" a="1"/>
  <c r="N361" i="3" s="1"/>
  <c r="N388" i="3" a="1"/>
  <c r="N388" i="3" s="1"/>
  <c r="N400" i="3" a="1"/>
  <c r="N400" i="3" s="1"/>
  <c r="N408" i="3" a="1"/>
  <c r="N408" i="3" s="1"/>
  <c r="N416" i="3" a="1"/>
  <c r="N416" i="3" s="1"/>
  <c r="N436" i="3" a="1"/>
  <c r="N436" i="3" s="1"/>
  <c r="N465" i="3" a="1"/>
  <c r="N465" i="3" s="1"/>
  <c r="N476" i="3" a="1"/>
  <c r="N476" i="3" s="1"/>
  <c r="N486" i="3" a="1"/>
  <c r="N486" i="3" s="1"/>
  <c r="N496" i="3" a="1"/>
  <c r="N496" i="3" s="1"/>
  <c r="N507" i="3" a="1"/>
  <c r="N507" i="3" s="1"/>
  <c r="N517" i="3" a="1"/>
  <c r="N517" i="3" s="1"/>
  <c r="N527" i="3" a="1"/>
  <c r="N527" i="3" s="1"/>
  <c r="N547" i="3" a="1"/>
  <c r="N547" i="3" s="1"/>
  <c r="N556" i="3" a="1"/>
  <c r="N556" i="3" s="1"/>
  <c r="N565" i="3" a="1"/>
  <c r="N565" i="3" s="1"/>
  <c r="N575" i="3" a="1"/>
  <c r="N575" i="3" s="1"/>
  <c r="N585" i="3" a="1"/>
  <c r="N585" i="3" s="1"/>
  <c r="N593" i="3" a="1"/>
  <c r="N593" i="3" s="1"/>
  <c r="N602" i="3" a="1"/>
  <c r="N602" i="3" s="1"/>
  <c r="N612" i="3" a="1"/>
  <c r="N612" i="3" s="1"/>
  <c r="N622" i="3" a="1"/>
  <c r="N622" i="3" s="1"/>
  <c r="N648" i="3" a="1"/>
  <c r="N648" i="3" s="1"/>
  <c r="N657" i="3" a="1"/>
  <c r="N657" i="3" s="1"/>
  <c r="N665" i="3" a="1"/>
  <c r="N665" i="3" s="1"/>
  <c r="N683" i="3" a="1"/>
  <c r="N683" i="3" s="1"/>
  <c r="N700" i="3" a="1"/>
  <c r="N700" i="3" s="1"/>
  <c r="N708" i="3" a="1"/>
  <c r="N708" i="3" s="1"/>
  <c r="N718" i="3" a="1"/>
  <c r="N718" i="3" s="1"/>
  <c r="N725" i="3" a="1"/>
  <c r="N725" i="3" s="1"/>
  <c r="N734" i="3" a="1"/>
  <c r="N734" i="3" s="1"/>
  <c r="N743" i="3" a="1"/>
  <c r="N743" i="3" s="1"/>
  <c r="N760" i="3" a="1"/>
  <c r="N760" i="3" s="1"/>
  <c r="N769" i="3" a="1"/>
  <c r="N769" i="3" s="1"/>
  <c r="N779" i="3" a="1"/>
  <c r="N779" i="3" s="1"/>
  <c r="N788" i="3" a="1"/>
  <c r="N788" i="3" s="1"/>
  <c r="N797" i="3" a="1"/>
  <c r="N797" i="3" s="1"/>
  <c r="N808" i="3" a="1"/>
  <c r="N808" i="3" s="1"/>
  <c r="N818" i="3" a="1"/>
  <c r="N818" i="3" s="1"/>
  <c r="N827" i="3" a="1"/>
  <c r="N827" i="3" s="1"/>
  <c r="N837" i="3" a="1"/>
  <c r="N837" i="3" s="1"/>
  <c r="N48" i="3" a="1"/>
  <c r="N48" i="3" s="1"/>
  <c r="N59" i="3" a="1"/>
  <c r="N59" i="3" s="1"/>
  <c r="N71" i="3" a="1"/>
  <c r="N71" i="3" s="1"/>
  <c r="N82" i="3" a="1"/>
  <c r="N82" i="3" s="1"/>
  <c r="N94" i="3" a="1"/>
  <c r="N94" i="3" s="1"/>
  <c r="N105" i="3" a="1"/>
  <c r="N105" i="3" s="1"/>
  <c r="N117" i="3" a="1"/>
  <c r="N117" i="3" s="1"/>
  <c r="N129" i="3" a="1"/>
  <c r="N129" i="3" s="1"/>
  <c r="N141" i="3" a="1"/>
  <c r="N141" i="3" s="1"/>
  <c r="N153" i="3" a="1"/>
  <c r="N153" i="3" s="1"/>
  <c r="N164" i="3" a="1"/>
  <c r="N164" i="3" s="1"/>
  <c r="N176" i="3" a="1"/>
  <c r="N176" i="3" s="1"/>
  <c r="N187" i="3" a="1"/>
  <c r="N187" i="3" s="1"/>
  <c r="N199" i="3" a="1"/>
  <c r="N199" i="3" s="1"/>
  <c r="N210" i="3" a="1"/>
  <c r="N210" i="3" s="1"/>
  <c r="N222" i="3" a="1"/>
  <c r="N222" i="3" s="1"/>
  <c r="N233" i="3" a="1"/>
  <c r="N233" i="3" s="1"/>
  <c r="N244" i="3" a="1"/>
  <c r="N244" i="3" s="1"/>
  <c r="N255" i="3" a="1"/>
  <c r="N255" i="3" s="1"/>
  <c r="N267" i="3" a="1"/>
  <c r="N267" i="3" s="1"/>
  <c r="N277" i="3" a="1"/>
  <c r="N277" i="3" s="1"/>
  <c r="N289" i="3" a="1"/>
  <c r="N289" i="3" s="1"/>
  <c r="N300" i="3" a="1"/>
  <c r="N300" i="3" s="1"/>
  <c r="N317" i="3" a="1"/>
  <c r="N317" i="3" s="1"/>
  <c r="N327" i="3" a="1"/>
  <c r="N327" i="3" s="1"/>
  <c r="N335" i="3" a="1"/>
  <c r="N335" i="3" s="1"/>
  <c r="N352" i="3" a="1"/>
  <c r="N352" i="3" s="1"/>
  <c r="N362" i="3" a="1"/>
  <c r="N362" i="3" s="1"/>
  <c r="N371" i="3" a="1"/>
  <c r="N371" i="3" s="1"/>
  <c r="N380" i="3" a="1"/>
  <c r="N380" i="3" s="1"/>
  <c r="N389" i="3" a="1"/>
  <c r="N389" i="3" s="1"/>
  <c r="N417" i="3" a="1"/>
  <c r="N417" i="3" s="1"/>
  <c r="N426" i="3" a="1"/>
  <c r="N426" i="3" s="1"/>
  <c r="N437" i="3" a="1"/>
  <c r="N437" i="3" s="1"/>
  <c r="N446" i="3" a="1"/>
  <c r="N446" i="3" s="1"/>
  <c r="N455" i="3" a="1"/>
  <c r="N455" i="3" s="1"/>
  <c r="N466" i="3" a="1"/>
  <c r="N466" i="3" s="1"/>
  <c r="N477" i="3" a="1"/>
  <c r="N477" i="3" s="1"/>
  <c r="N487" i="3" a="1"/>
  <c r="N487" i="3" s="1"/>
  <c r="N497" i="3" a="1"/>
  <c r="N497" i="3" s="1"/>
  <c r="N508" i="3" a="1"/>
  <c r="N508" i="3" s="1"/>
  <c r="N528" i="3" a="1"/>
  <c r="N528" i="3" s="1"/>
  <c r="N538" i="3" a="1"/>
  <c r="N538" i="3" s="1"/>
  <c r="N548" i="3" a="1"/>
  <c r="N548" i="3" s="1"/>
  <c r="N557" i="3" a="1"/>
  <c r="N557" i="3" s="1"/>
  <c r="N594" i="3" a="1"/>
  <c r="N594" i="3" s="1"/>
  <c r="N603" i="3" a="1"/>
  <c r="N603" i="3" s="1"/>
  <c r="N613" i="3" a="1"/>
  <c r="N613" i="3" s="1"/>
  <c r="N632" i="3" a="1"/>
  <c r="N632" i="3" s="1"/>
  <c r="N640" i="3" a="1"/>
  <c r="N640" i="3" s="1"/>
  <c r="N649" i="3" a="1"/>
  <c r="N649" i="3" s="1"/>
  <c r="N674" i="3" a="1"/>
  <c r="N674" i="3" s="1"/>
  <c r="N692" i="3" a="1"/>
  <c r="N692" i="3" s="1"/>
  <c r="N701" i="3" a="1"/>
  <c r="N701" i="3" s="1"/>
  <c r="N709" i="3" a="1"/>
  <c r="N709" i="3" s="1"/>
  <c r="N726" i="3" a="1"/>
  <c r="N726" i="3" s="1"/>
  <c r="N735" i="3" a="1"/>
  <c r="N735" i="3" s="1"/>
  <c r="N744" i="3" a="1"/>
  <c r="N744" i="3" s="1"/>
  <c r="N752" i="3" a="1"/>
  <c r="N752" i="3" s="1"/>
  <c r="N770" i="3" a="1"/>
  <c r="N770" i="3" s="1"/>
  <c r="N780" i="3" a="1"/>
  <c r="N780" i="3" s="1"/>
  <c r="N789" i="3" a="1"/>
  <c r="N789" i="3" s="1"/>
  <c r="N798" i="3" a="1"/>
  <c r="N798" i="3" s="1"/>
  <c r="N809" i="3" a="1"/>
  <c r="N809" i="3" s="1"/>
  <c r="N819" i="3" a="1"/>
  <c r="N819" i="3" s="1"/>
  <c r="N828" i="3" a="1"/>
  <c r="N828" i="3" s="1"/>
  <c r="N838" i="3" a="1"/>
  <c r="N838" i="3" s="1"/>
  <c r="N849" i="3" a="1"/>
  <c r="N849" i="3" s="1"/>
  <c r="N858" i="3" a="1"/>
  <c r="N858" i="3" s="1"/>
  <c r="N49" i="3" a="1"/>
  <c r="N49" i="3" s="1"/>
  <c r="N60" i="3" a="1"/>
  <c r="N60" i="3" s="1"/>
  <c r="N72" i="3" a="1"/>
  <c r="N72" i="3" s="1"/>
  <c r="N83" i="3" a="1"/>
  <c r="N83" i="3" s="1"/>
  <c r="N95" i="3" a="1"/>
  <c r="N95" i="3" s="1"/>
  <c r="N106" i="3" a="1"/>
  <c r="N106" i="3" s="1"/>
  <c r="N118" i="3" a="1"/>
  <c r="N118" i="3" s="1"/>
  <c r="N130" i="3" a="1"/>
  <c r="N130" i="3" s="1"/>
  <c r="N142" i="3" a="1"/>
  <c r="N142" i="3" s="1"/>
  <c r="N154" i="3" a="1"/>
  <c r="N154" i="3" s="1"/>
  <c r="N165" i="3" a="1"/>
  <c r="N165" i="3" s="1"/>
  <c r="N177" i="3" a="1"/>
  <c r="N177" i="3" s="1"/>
  <c r="N188" i="3" a="1"/>
  <c r="N188" i="3" s="1"/>
  <c r="N200" i="3" a="1"/>
  <c r="N200" i="3" s="1"/>
  <c r="N211" i="3" a="1"/>
  <c r="N211" i="3" s="1"/>
  <c r="N223" i="3" a="1"/>
  <c r="N223" i="3" s="1"/>
  <c r="N234" i="3" a="1"/>
  <c r="N234" i="3" s="1"/>
  <c r="N245" i="3" a="1"/>
  <c r="N245" i="3" s="1"/>
  <c r="N256" i="3" a="1"/>
  <c r="N256" i="3" s="1"/>
  <c r="N268" i="3" a="1"/>
  <c r="N268" i="3" s="1"/>
  <c r="N278" i="3" a="1"/>
  <c r="N278" i="3" s="1"/>
  <c r="N290" i="3" a="1"/>
  <c r="N290" i="3" s="1"/>
  <c r="N308" i="3" a="1"/>
  <c r="N308" i="3" s="1"/>
  <c r="N328" i="3" a="1"/>
  <c r="N328" i="3" s="1"/>
  <c r="N344" i="3" a="1"/>
  <c r="N344" i="3" s="1"/>
  <c r="N353" i="3" a="1"/>
  <c r="N353" i="3" s="1"/>
  <c r="N363" i="3" a="1"/>
  <c r="N363" i="3" s="1"/>
  <c r="N381" i="3" a="1"/>
  <c r="N381" i="3" s="1"/>
  <c r="N390" i="3" a="1"/>
  <c r="N390" i="3" s="1"/>
  <c r="N401" i="3" a="1"/>
  <c r="N401" i="3" s="1"/>
  <c r="N409" i="3" a="1"/>
  <c r="N409" i="3" s="1"/>
  <c r="N418" i="3" a="1"/>
  <c r="N418" i="3" s="1"/>
  <c r="N427" i="3" a="1"/>
  <c r="N427" i="3" s="1"/>
  <c r="N438" i="3" a="1"/>
  <c r="N438" i="3" s="1"/>
  <c r="N447" i="3" a="1"/>
  <c r="N447" i="3" s="1"/>
  <c r="N456" i="3" a="1"/>
  <c r="N456" i="3" s="1"/>
  <c r="N467" i="3" a="1"/>
  <c r="N467" i="3" s="1"/>
  <c r="N478" i="3" a="1"/>
  <c r="N478" i="3" s="1"/>
  <c r="N498" i="3" a="1"/>
  <c r="N498" i="3" s="1"/>
  <c r="N509" i="3" a="1"/>
  <c r="N509" i="3" s="1"/>
  <c r="N518" i="3" a="1"/>
  <c r="N518" i="3" s="1"/>
  <c r="N539" i="3" a="1"/>
  <c r="N539" i="3" s="1"/>
  <c r="N549" i="3" a="1"/>
  <c r="N549" i="3" s="1"/>
  <c r="N558" i="3" a="1"/>
  <c r="N558" i="3" s="1"/>
  <c r="N566" i="3" a="1"/>
  <c r="N566" i="3" s="1"/>
  <c r="N576" i="3" a="1"/>
  <c r="N576" i="3" s="1"/>
  <c r="N586" i="3" a="1"/>
  <c r="N586" i="3" s="1"/>
  <c r="N595" i="3" a="1"/>
  <c r="N595" i="3" s="1"/>
  <c r="N604" i="3" a="1"/>
  <c r="N604" i="3" s="1"/>
  <c r="N623" i="3" a="1"/>
  <c r="N623" i="3" s="1"/>
  <c r="N633" i="3" a="1"/>
  <c r="N633" i="3" s="1"/>
  <c r="N641" i="3" a="1"/>
  <c r="N641" i="3" s="1"/>
  <c r="N650" i="3" a="1"/>
  <c r="N650" i="3" s="1"/>
  <c r="N658" i="3" a="1"/>
  <c r="N658" i="3" s="1"/>
  <c r="N666" i="3" a="1"/>
  <c r="N666" i="3" s="1"/>
  <c r="N675" i="3" a="1"/>
  <c r="N675" i="3" s="1"/>
  <c r="N684" i="3" a="1"/>
  <c r="N684" i="3" s="1"/>
  <c r="N693" i="3" a="1"/>
  <c r="N693" i="3" s="1"/>
  <c r="N719" i="3" a="1"/>
  <c r="N719" i="3" s="1"/>
  <c r="N736" i="3" a="1"/>
  <c r="N736" i="3" s="1"/>
  <c r="N753" i="3" a="1"/>
  <c r="N753" i="3" s="1"/>
  <c r="N761" i="3" a="1"/>
  <c r="N761" i="3" s="1"/>
  <c r="N771" i="3" a="1"/>
  <c r="N771" i="3" s="1"/>
  <c r="N790" i="3" a="1"/>
  <c r="N790" i="3" s="1"/>
  <c r="N799" i="3" a="1"/>
  <c r="N799" i="3" s="1"/>
  <c r="N810" i="3" a="1"/>
  <c r="N810" i="3" s="1"/>
  <c r="N820" i="3" a="1"/>
  <c r="N820" i="3" s="1"/>
  <c r="N829" i="3" a="1"/>
  <c r="N829" i="3" s="1"/>
  <c r="N850" i="3" a="1"/>
  <c r="N850" i="3" s="1"/>
  <c r="N859" i="3" a="1"/>
  <c r="N859" i="3" s="1"/>
  <c r="N38" i="3" a="1"/>
  <c r="N38" i="3" s="1"/>
  <c r="N61" i="3" a="1"/>
  <c r="N61" i="3" s="1"/>
  <c r="N73" i="3" a="1"/>
  <c r="N73" i="3" s="1"/>
  <c r="N84" i="3" a="1"/>
  <c r="N84" i="3" s="1"/>
  <c r="N96" i="3" a="1"/>
  <c r="N96" i="3" s="1"/>
  <c r="N107" i="3" a="1"/>
  <c r="N107" i="3" s="1"/>
  <c r="N119" i="3" a="1"/>
  <c r="N119" i="3" s="1"/>
  <c r="N131" i="3" a="1"/>
  <c r="N131" i="3" s="1"/>
  <c r="N143" i="3" a="1"/>
  <c r="N143" i="3" s="1"/>
  <c r="N155" i="3" a="1"/>
  <c r="N155" i="3" s="1"/>
  <c r="N166" i="3" a="1"/>
  <c r="N166" i="3" s="1"/>
  <c r="N178" i="3" a="1"/>
  <c r="N178" i="3" s="1"/>
  <c r="N189" i="3" a="1"/>
  <c r="N189" i="3" s="1"/>
  <c r="N201" i="3" a="1"/>
  <c r="N201" i="3" s="1"/>
  <c r="N212" i="3" a="1"/>
  <c r="N212" i="3" s="1"/>
  <c r="N224" i="3" a="1"/>
  <c r="N224" i="3" s="1"/>
  <c r="N235" i="3" a="1"/>
  <c r="N235" i="3" s="1"/>
  <c r="N246" i="3" a="1"/>
  <c r="N246" i="3" s="1"/>
  <c r="N257" i="3" a="1"/>
  <c r="N257" i="3" s="1"/>
  <c r="N269" i="3" a="1"/>
  <c r="N269" i="3" s="1"/>
  <c r="N279" i="3" a="1"/>
  <c r="N279" i="3" s="1"/>
  <c r="N291" i="3" a="1"/>
  <c r="N291" i="3" s="1"/>
  <c r="N301" i="3" a="1"/>
  <c r="N301" i="3" s="1"/>
  <c r="N309" i="3" a="1"/>
  <c r="N309" i="3" s="1"/>
  <c r="N318" i="3" a="1"/>
  <c r="N318" i="3" s="1"/>
  <c r="N336" i="3" a="1"/>
  <c r="N336" i="3" s="1"/>
  <c r="N345" i="3" a="1"/>
  <c r="N345" i="3" s="1"/>
  <c r="N364" i="3" a="1"/>
  <c r="N364" i="3" s="1"/>
  <c r="N372" i="3" a="1"/>
  <c r="N372" i="3" s="1"/>
  <c r="N382" i="3" a="1"/>
  <c r="N382" i="3" s="1"/>
  <c r="N391" i="3" a="1"/>
  <c r="N391" i="3" s="1"/>
  <c r="N428" i="3" a="1"/>
  <c r="N428" i="3" s="1"/>
  <c r="N448" i="3" a="1"/>
  <c r="N448" i="3" s="1"/>
  <c r="N457" i="3" a="1"/>
  <c r="N457" i="3" s="1"/>
  <c r="N488" i="3" a="1"/>
  <c r="N488" i="3" s="1"/>
  <c r="N499" i="3" a="1"/>
  <c r="N499" i="3" s="1"/>
  <c r="N510" i="3" a="1"/>
  <c r="N510" i="3" s="1"/>
  <c r="N519" i="3" a="1"/>
  <c r="N519" i="3" s="1"/>
  <c r="N529" i="3" a="1"/>
  <c r="N529" i="3" s="1"/>
  <c r="N559" i="3" a="1"/>
  <c r="N559" i="3" s="1"/>
  <c r="N567" i="3" a="1"/>
  <c r="N567" i="3" s="1"/>
  <c r="N587" i="3" a="1"/>
  <c r="N587" i="3" s="1"/>
  <c r="N596" i="3" a="1"/>
  <c r="N596" i="3" s="1"/>
  <c r="N605" i="3" a="1"/>
  <c r="N605" i="3" s="1"/>
  <c r="N614" i="3" a="1"/>
  <c r="N614" i="3" s="1"/>
  <c r="N624" i="3" a="1"/>
  <c r="N624" i="3" s="1"/>
  <c r="N642" i="3" a="1"/>
  <c r="N642" i="3" s="1"/>
  <c r="N651" i="3" a="1"/>
  <c r="N651" i="3" s="1"/>
  <c r="N659" i="3" a="1"/>
  <c r="N659" i="3" s="1"/>
  <c r="N667" i="3" a="1"/>
  <c r="N667" i="3" s="1"/>
  <c r="N676" i="3" a="1"/>
  <c r="N676" i="3" s="1"/>
  <c r="N685" i="3" a="1"/>
  <c r="N685" i="3" s="1"/>
  <c r="N702" i="3" a="1"/>
  <c r="N702" i="3" s="1"/>
  <c r="N710" i="3" a="1"/>
  <c r="N710" i="3" s="1"/>
  <c r="N727" i="3" a="1"/>
  <c r="N727" i="3" s="1"/>
  <c r="N745" i="3" a="1"/>
  <c r="N745" i="3" s="1"/>
  <c r="N754" i="3" a="1"/>
  <c r="N754" i="3" s="1"/>
  <c r="N762" i="3" a="1"/>
  <c r="N762" i="3" s="1"/>
  <c r="N772" i="3" a="1"/>
  <c r="N772" i="3" s="1"/>
  <c r="N781" i="3" a="1"/>
  <c r="N781" i="3" s="1"/>
  <c r="N800" i="3" a="1"/>
  <c r="N800" i="3" s="1"/>
  <c r="N811" i="3" a="1"/>
  <c r="N811" i="3" s="1"/>
  <c r="N830" i="3" a="1"/>
  <c r="N830" i="3" s="1"/>
  <c r="N839" i="3" a="1"/>
  <c r="N839" i="3" s="1"/>
  <c r="N860" i="3" a="1"/>
  <c r="N860" i="3" s="1"/>
  <c r="N870" i="3" a="1"/>
  <c r="N870" i="3" s="1"/>
  <c r="N881" i="3" a="1"/>
  <c r="N881" i="3" s="1"/>
  <c r="N51" i="3" a="1"/>
  <c r="N51" i="3" s="1"/>
  <c r="N62" i="3" a="1"/>
  <c r="N62" i="3" s="1"/>
  <c r="N74" i="3" a="1"/>
  <c r="N74" i="3" s="1"/>
  <c r="N85" i="3" a="1"/>
  <c r="N85" i="3" s="1"/>
  <c r="N97" i="3" a="1"/>
  <c r="N97" i="3" s="1"/>
  <c r="N108" i="3" a="1"/>
  <c r="N108" i="3" s="1"/>
  <c r="N120" i="3" a="1"/>
  <c r="N120" i="3" s="1"/>
  <c r="N132" i="3" a="1"/>
  <c r="N132" i="3" s="1"/>
  <c r="N144" i="3" a="1"/>
  <c r="N144" i="3" s="1"/>
  <c r="N156" i="3" a="1"/>
  <c r="N156" i="3" s="1"/>
  <c r="N167" i="3" a="1"/>
  <c r="N167" i="3" s="1"/>
  <c r="N179" i="3" a="1"/>
  <c r="N179" i="3" s="1"/>
  <c r="N190" i="3" a="1"/>
  <c r="N190" i="3" s="1"/>
  <c r="N202" i="3" a="1"/>
  <c r="N202" i="3" s="1"/>
  <c r="N213" i="3" a="1"/>
  <c r="N213" i="3" s="1"/>
  <c r="N225" i="3" a="1"/>
  <c r="N225" i="3" s="1"/>
  <c r="N236" i="3" a="1"/>
  <c r="N236" i="3" s="1"/>
  <c r="N247" i="3" a="1"/>
  <c r="N247" i="3" s="1"/>
  <c r="N258" i="3" a="1"/>
  <c r="N258" i="3" s="1"/>
  <c r="N270" i="3" a="1"/>
  <c r="N270" i="3" s="1"/>
  <c r="N280" i="3" a="1"/>
  <c r="N280" i="3" s="1"/>
  <c r="N292" i="3" a="1"/>
  <c r="N292" i="3" s="1"/>
  <c r="N310" i="3" a="1"/>
  <c r="N310" i="3" s="1"/>
  <c r="N319" i="3" a="1"/>
  <c r="N319" i="3" s="1"/>
  <c r="N329" i="3" a="1"/>
  <c r="N329" i="3" s="1"/>
  <c r="N337" i="3" a="1"/>
  <c r="N337" i="3" s="1"/>
  <c r="N346" i="3" a="1"/>
  <c r="N346" i="3" s="1"/>
  <c r="N354" i="3" a="1"/>
  <c r="N354" i="3" s="1"/>
  <c r="N373" i="3" a="1"/>
  <c r="N373" i="3" s="1"/>
  <c r="N392" i="3" a="1"/>
  <c r="N392" i="3" s="1"/>
  <c r="N402" i="3" a="1"/>
  <c r="N402" i="3" s="1"/>
  <c r="N410" i="3" a="1"/>
  <c r="N410" i="3" s="1"/>
  <c r="N419" i="3" a="1"/>
  <c r="N419" i="3" s="1"/>
  <c r="N429" i="3" a="1"/>
  <c r="N429" i="3" s="1"/>
  <c r="N52" i="3" a="1"/>
  <c r="N52" i="3" s="1"/>
  <c r="N63" i="3" a="1"/>
  <c r="N63" i="3" s="1"/>
  <c r="N75" i="3" a="1"/>
  <c r="N75" i="3" s="1"/>
  <c r="N86" i="3" a="1"/>
  <c r="N86" i="3" s="1"/>
  <c r="N98" i="3" a="1"/>
  <c r="N98" i="3" s="1"/>
  <c r="N109" i="3" a="1"/>
  <c r="N109" i="3" s="1"/>
  <c r="N121" i="3" a="1"/>
  <c r="N121" i="3" s="1"/>
  <c r="N133" i="3" a="1"/>
  <c r="N133" i="3" s="1"/>
  <c r="N145" i="3" a="1"/>
  <c r="N145" i="3" s="1"/>
  <c r="N157" i="3" a="1"/>
  <c r="N157" i="3" s="1"/>
  <c r="N168" i="3" a="1"/>
  <c r="N168" i="3" s="1"/>
  <c r="N180" i="3" a="1"/>
  <c r="N180" i="3" s="1"/>
  <c r="N191" i="3" a="1"/>
  <c r="N191" i="3" s="1"/>
  <c r="N203" i="3" a="1"/>
  <c r="N203" i="3" s="1"/>
  <c r="N214" i="3" a="1"/>
  <c r="N214" i="3" s="1"/>
  <c r="N226" i="3" a="1"/>
  <c r="N226" i="3" s="1"/>
  <c r="N237" i="3" a="1"/>
  <c r="N237" i="3" s="1"/>
  <c r="N248" i="3" a="1"/>
  <c r="N248" i="3" s="1"/>
  <c r="N259" i="3" a="1"/>
  <c r="N259" i="3" s="1"/>
  <c r="N271" i="3" a="1"/>
  <c r="N271" i="3" s="1"/>
  <c r="N281" i="3" a="1"/>
  <c r="N281" i="3" s="1"/>
  <c r="N293" i="3" a="1"/>
  <c r="N293" i="3" s="1"/>
  <c r="N302" i="3" a="1"/>
  <c r="N302" i="3" s="1"/>
  <c r="N311" i="3" a="1"/>
  <c r="N311" i="3" s="1"/>
  <c r="N320" i="3" a="1"/>
  <c r="N320" i="3" s="1"/>
  <c r="N330" i="3" a="1"/>
  <c r="N330" i="3" s="1"/>
  <c r="N355" i="3" a="1"/>
  <c r="N355" i="3" s="1"/>
  <c r="N365" i="3" a="1"/>
  <c r="N365" i="3" s="1"/>
  <c r="N374" i="3" a="1"/>
  <c r="N374" i="3" s="1"/>
  <c r="N383" i="3" a="1"/>
  <c r="N383" i="3" s="1"/>
  <c r="N393" i="3" a="1"/>
  <c r="N393" i="3" s="1"/>
  <c r="N411" i="3" a="1"/>
  <c r="N411" i="3" s="1"/>
  <c r="N420" i="3" a="1"/>
  <c r="N420" i="3" s="1"/>
  <c r="N64" i="3" a="1"/>
  <c r="N64" i="3" s="1"/>
  <c r="N76" i="3" a="1"/>
  <c r="N76" i="3" s="1"/>
  <c r="N87" i="3" a="1"/>
  <c r="N87" i="3" s="1"/>
  <c r="N99" i="3" a="1"/>
  <c r="N99" i="3" s="1"/>
  <c r="N110" i="3" a="1"/>
  <c r="N110" i="3" s="1"/>
  <c r="N122" i="3" a="1"/>
  <c r="N122" i="3" s="1"/>
  <c r="N134" i="3" a="1"/>
  <c r="N134" i="3" s="1"/>
  <c r="N146" i="3" a="1"/>
  <c r="N146" i="3" s="1"/>
  <c r="N169" i="3" a="1"/>
  <c r="N169" i="3" s="1"/>
  <c r="N181" i="3" a="1"/>
  <c r="N181" i="3" s="1"/>
  <c r="N192" i="3" a="1"/>
  <c r="N192" i="3" s="1"/>
  <c r="N204" i="3" a="1"/>
  <c r="N204" i="3" s="1"/>
  <c r="N215" i="3" a="1"/>
  <c r="N215" i="3" s="1"/>
  <c r="N227" i="3" a="1"/>
  <c r="N227" i="3" s="1"/>
  <c r="N238" i="3" a="1"/>
  <c r="N238" i="3" s="1"/>
  <c r="N249" i="3" a="1"/>
  <c r="N249" i="3" s="1"/>
  <c r="N260" i="3" a="1"/>
  <c r="N260" i="3" s="1"/>
  <c r="N282" i="3" a="1"/>
  <c r="N282" i="3" s="1"/>
  <c r="N294" i="3" a="1"/>
  <c r="N294" i="3" s="1"/>
  <c r="N303" i="3" a="1"/>
  <c r="N303" i="3" s="1"/>
  <c r="N312" i="3" a="1"/>
  <c r="N312" i="3" s="1"/>
  <c r="N321" i="3" a="1"/>
  <c r="N321" i="3" s="1"/>
  <c r="N338" i="3" a="1"/>
  <c r="N338" i="3" s="1"/>
  <c r="N347" i="3" a="1"/>
  <c r="N347" i="3" s="1"/>
  <c r="N356" i="3" a="1"/>
  <c r="N356" i="3" s="1"/>
  <c r="N375" i="3" a="1"/>
  <c r="N375" i="3" s="1"/>
  <c r="N384" i="3" a="1"/>
  <c r="N384" i="3" s="1"/>
  <c r="N394" i="3" a="1"/>
  <c r="N394" i="3" s="1"/>
  <c r="N403" i="3" a="1"/>
  <c r="N403" i="3" s="1"/>
  <c r="N412" i="3" a="1"/>
  <c r="N412" i="3" s="1"/>
  <c r="N421" i="3" a="1"/>
  <c r="N421" i="3" s="1"/>
  <c r="N431" i="3" a="1"/>
  <c r="N431" i="3" s="1"/>
  <c r="N53" i="3" a="1"/>
  <c r="N53" i="3" s="1"/>
  <c r="N65" i="3" a="1"/>
  <c r="N65" i="3" s="1"/>
  <c r="N88" i="3" a="1"/>
  <c r="N88" i="3" s="1"/>
  <c r="N100" i="3" a="1"/>
  <c r="N100" i="3" s="1"/>
  <c r="N111" i="3" a="1"/>
  <c r="N111" i="3" s="1"/>
  <c r="N123" i="3" a="1"/>
  <c r="N123" i="3" s="1"/>
  <c r="N135" i="3" a="1"/>
  <c r="N135" i="3" s="1"/>
  <c r="N147" i="3" a="1"/>
  <c r="N147" i="3" s="1"/>
  <c r="N158" i="3" a="1"/>
  <c r="N158" i="3" s="1"/>
  <c r="N170" i="3" a="1"/>
  <c r="N170" i="3" s="1"/>
  <c r="N193" i="3" a="1"/>
  <c r="N193" i="3" s="1"/>
  <c r="N205" i="3" a="1"/>
  <c r="N205" i="3" s="1"/>
  <c r="N216" i="3" a="1"/>
  <c r="N216" i="3" s="1"/>
  <c r="N228" i="3" a="1"/>
  <c r="N228" i="3" s="1"/>
  <c r="N239" i="3" a="1"/>
  <c r="N239" i="3" s="1"/>
  <c r="N250" i="3" a="1"/>
  <c r="N250" i="3" s="1"/>
  <c r="N261" i="3" a="1"/>
  <c r="N261" i="3" s="1"/>
  <c r="N272" i="3" a="1"/>
  <c r="N272" i="3" s="1"/>
  <c r="N283" i="3" a="1"/>
  <c r="N283" i="3" s="1"/>
  <c r="N304" i="3" a="1"/>
  <c r="N304" i="3" s="1"/>
  <c r="N313" i="3" a="1"/>
  <c r="N313" i="3" s="1"/>
  <c r="N322" i="3" a="1"/>
  <c r="N322" i="3" s="1"/>
  <c r="N331" i="3" a="1"/>
  <c r="N331" i="3" s="1"/>
  <c r="N339" i="3" a="1"/>
  <c r="N339" i="3" s="1"/>
  <c r="N348" i="3" a="1"/>
  <c r="N348" i="3" s="1"/>
  <c r="N357" i="3" a="1"/>
  <c r="N357" i="3" s="1"/>
  <c r="N366" i="3" a="1"/>
  <c r="N366" i="3" s="1"/>
  <c r="N376" i="3" a="1"/>
  <c r="N376" i="3" s="1"/>
  <c r="N395" i="3" a="1"/>
  <c r="N395" i="3" s="1"/>
  <c r="N404" i="3" a="1"/>
  <c r="N404" i="3" s="1"/>
  <c r="N413" i="3" a="1"/>
  <c r="N413" i="3" s="1"/>
  <c r="N422" i="3" a="1"/>
  <c r="N422" i="3" s="1"/>
  <c r="N54" i="3" a="1"/>
  <c r="N54" i="3" s="1"/>
  <c r="N66" i="3" a="1"/>
  <c r="N66" i="3" s="1"/>
  <c r="N77" i="3" a="1"/>
  <c r="N77" i="3" s="1"/>
  <c r="N89" i="3" a="1"/>
  <c r="N89" i="3" s="1"/>
  <c r="N112" i="3" a="1"/>
  <c r="N112" i="3" s="1"/>
  <c r="N124" i="3" a="1"/>
  <c r="N124" i="3" s="1"/>
  <c r="N136" i="3" a="1"/>
  <c r="N136" i="3" s="1"/>
  <c r="N148" i="3" a="1"/>
  <c r="N148" i="3" s="1"/>
  <c r="N159" i="3" a="1"/>
  <c r="N159" i="3" s="1"/>
  <c r="N171" i="3" a="1"/>
  <c r="N171" i="3" s="1"/>
  <c r="N182" i="3" a="1"/>
  <c r="N182" i="3" s="1"/>
  <c r="N194" i="3" a="1"/>
  <c r="N194" i="3" s="1"/>
  <c r="N217" i="3" a="1"/>
  <c r="N217" i="3" s="1"/>
  <c r="N229" i="3" a="1"/>
  <c r="N229" i="3" s="1"/>
  <c r="N240" i="3" a="1"/>
  <c r="N240" i="3" s="1"/>
  <c r="N251" i="3" a="1"/>
  <c r="N251" i="3" s="1"/>
  <c r="N262" i="3" a="1"/>
  <c r="N262" i="3" s="1"/>
  <c r="N273" i="3" a="1"/>
  <c r="N273" i="3" s="1"/>
  <c r="N284" i="3" a="1"/>
  <c r="N284" i="3" s="1"/>
  <c r="N295" i="3" a="1"/>
  <c r="N295" i="3" s="1"/>
  <c r="N305" i="3" a="1"/>
  <c r="N305" i="3" s="1"/>
  <c r="N323" i="3" a="1"/>
  <c r="N323" i="3" s="1"/>
  <c r="N340" i="3" a="1"/>
  <c r="N340" i="3" s="1"/>
  <c r="N358" i="3" a="1"/>
  <c r="N358" i="3" s="1"/>
  <c r="N367" i="3" a="1"/>
  <c r="N367" i="3" s="1"/>
  <c r="N377" i="3" a="1"/>
  <c r="N377" i="3" s="1"/>
  <c r="N385" i="3" a="1"/>
  <c r="N385" i="3" s="1"/>
  <c r="N396" i="3" a="1"/>
  <c r="N396" i="3" s="1"/>
  <c r="N405" i="3" a="1"/>
  <c r="N405" i="3" s="1"/>
  <c r="N423" i="3" a="1"/>
  <c r="N423" i="3" s="1"/>
  <c r="N432" i="3" a="1"/>
  <c r="N432" i="3" s="1"/>
  <c r="N442" i="3" a="1"/>
  <c r="N442" i="3" s="1"/>
  <c r="N44" i="3" a="1"/>
  <c r="N44" i="3" s="1"/>
  <c r="N55" i="3" a="1"/>
  <c r="N55" i="3" s="1"/>
  <c r="N67" i="3" a="1"/>
  <c r="N67" i="3" s="1"/>
  <c r="N78" i="3" a="1"/>
  <c r="N78" i="3" s="1"/>
  <c r="N90" i="3" a="1"/>
  <c r="N90" i="3" s="1"/>
  <c r="N101" i="3" a="1"/>
  <c r="N101" i="3" s="1"/>
  <c r="N113" i="3" a="1"/>
  <c r="N113" i="3" s="1"/>
  <c r="N125" i="3" a="1"/>
  <c r="N125" i="3" s="1"/>
  <c r="N137" i="3" a="1"/>
  <c r="N137" i="3" s="1"/>
  <c r="N149" i="3" a="1"/>
  <c r="N149" i="3" s="1"/>
  <c r="N160" i="3" a="1"/>
  <c r="N160" i="3" s="1"/>
  <c r="N172" i="3" a="1"/>
  <c r="N172" i="3" s="1"/>
  <c r="N183" i="3" a="1"/>
  <c r="N183" i="3" s="1"/>
  <c r="N195" i="3" a="1"/>
  <c r="N195" i="3" s="1"/>
  <c r="N206" i="3" a="1"/>
  <c r="N206" i="3" s="1"/>
  <c r="N218" i="3" a="1"/>
  <c r="N218" i="3" s="1"/>
  <c r="N241" i="3" a="1"/>
  <c r="N241" i="3" s="1"/>
  <c r="N252" i="3" a="1"/>
  <c r="N252" i="3" s="1"/>
  <c r="N263" i="3" a="1"/>
  <c r="N263" i="3" s="1"/>
  <c r="N274" i="3" a="1"/>
  <c r="N274" i="3" s="1"/>
  <c r="N285" i="3" a="1"/>
  <c r="N285" i="3" s="1"/>
  <c r="N296" i="3" a="1"/>
  <c r="N296" i="3" s="1"/>
  <c r="N314" i="3" a="1"/>
  <c r="N314" i="3" s="1"/>
  <c r="N332" i="3" a="1"/>
  <c r="N332" i="3" s="1"/>
  <c r="N341" i="3" a="1"/>
  <c r="N341" i="3" s="1"/>
  <c r="N349" i="3" a="1"/>
  <c r="N349" i="3" s="1"/>
  <c r="N359" i="3" a="1"/>
  <c r="N359" i="3" s="1"/>
  <c r="N368" i="3" a="1"/>
  <c r="N368" i="3" s="1"/>
  <c r="N397" i="3" a="1"/>
  <c r="N397" i="3" s="1"/>
  <c r="N406" i="3" a="1"/>
  <c r="N406" i="3" s="1"/>
  <c r="N414" i="3" a="1"/>
  <c r="N414" i="3" s="1"/>
  <c r="N424" i="3" a="1"/>
  <c r="N424" i="3" s="1"/>
  <c r="N433" i="3" a="1"/>
  <c r="N433" i="3" s="1"/>
  <c r="N443" i="3" a="1"/>
  <c r="N443" i="3" s="1"/>
  <c r="N452" i="3" a="1"/>
  <c r="N452" i="3" s="1"/>
  <c r="N439" i="3" a="1"/>
  <c r="N439" i="3" s="1"/>
  <c r="N454" i="3" a="1"/>
  <c r="N454" i="3" s="1"/>
  <c r="N471" i="3" a="1"/>
  <c r="N471" i="3" s="1"/>
  <c r="N503" i="3" a="1"/>
  <c r="N503" i="3" s="1"/>
  <c r="N516" i="3" a="1"/>
  <c r="N516" i="3" s="1"/>
  <c r="N533" i="3" a="1"/>
  <c r="N533" i="3" s="1"/>
  <c r="N546" i="3" a="1"/>
  <c r="N546" i="3" s="1"/>
  <c r="N562" i="3" a="1"/>
  <c r="N562" i="3" s="1"/>
  <c r="N589" i="3" a="1"/>
  <c r="N589" i="3" s="1"/>
  <c r="N618" i="3" a="1"/>
  <c r="N618" i="3" s="1"/>
  <c r="N631" i="3" a="1"/>
  <c r="N631" i="3" s="1"/>
  <c r="N645" i="3" a="1"/>
  <c r="N645" i="3" s="1"/>
  <c r="N656" i="3" a="1"/>
  <c r="N656" i="3" s="1"/>
  <c r="N682" i="3" a="1"/>
  <c r="N682" i="3" s="1"/>
  <c r="N707" i="3" a="1"/>
  <c r="N707" i="3" s="1"/>
  <c r="N722" i="3" a="1"/>
  <c r="N722" i="3" s="1"/>
  <c r="N458" i="3" a="1"/>
  <c r="N458" i="3" s="1"/>
  <c r="N472" i="3" a="1"/>
  <c r="N472" i="3" s="1"/>
  <c r="N489" i="3" a="1"/>
  <c r="N489" i="3" s="1"/>
  <c r="N520" i="3" a="1"/>
  <c r="N520" i="3" s="1"/>
  <c r="N534" i="3" a="1"/>
  <c r="N534" i="3" s="1"/>
  <c r="N550" i="3" a="1"/>
  <c r="N550" i="3" s="1"/>
  <c r="N577" i="3" a="1"/>
  <c r="N577" i="3" s="1"/>
  <c r="N606" i="3" a="1"/>
  <c r="N606" i="3" s="1"/>
  <c r="N619" i="3" a="1"/>
  <c r="N619" i="3" s="1"/>
  <c r="N634" i="3" a="1"/>
  <c r="N634" i="3" s="1"/>
  <c r="N646" i="3" a="1"/>
  <c r="N646" i="3" s="1"/>
  <c r="N671" i="3" a="1"/>
  <c r="N671" i="3" s="1"/>
  <c r="N697" i="3" a="1"/>
  <c r="N697" i="3" s="1"/>
  <c r="N711" i="3" a="1"/>
  <c r="N711" i="3" s="1"/>
  <c r="N723" i="3" a="1"/>
  <c r="N723" i="3" s="1"/>
  <c r="N440" i="3" a="1"/>
  <c r="N440" i="3" s="1"/>
  <c r="N459" i="3" a="1"/>
  <c r="N459" i="3" s="1"/>
  <c r="N473" i="3" a="1"/>
  <c r="N473" i="3" s="1"/>
  <c r="N490" i="3" a="1"/>
  <c r="N490" i="3" s="1"/>
  <c r="N504" i="3" a="1"/>
  <c r="N504" i="3" s="1"/>
  <c r="N521" i="3" a="1"/>
  <c r="N521" i="3" s="1"/>
  <c r="N535" i="3" a="1"/>
  <c r="N535" i="3" s="1"/>
  <c r="N563" i="3" a="1"/>
  <c r="N563" i="3" s="1"/>
  <c r="N578" i="3" a="1"/>
  <c r="N578" i="3" s="1"/>
  <c r="N590" i="3" a="1"/>
  <c r="N590" i="3" s="1"/>
  <c r="N607" i="3" a="1"/>
  <c r="N607" i="3" s="1"/>
  <c r="N620" i="3" a="1"/>
  <c r="N620" i="3" s="1"/>
  <c r="N660" i="3" a="1"/>
  <c r="N660" i="3" s="1"/>
  <c r="N672" i="3" a="1"/>
  <c r="N672" i="3" s="1"/>
  <c r="N686" i="3" a="1"/>
  <c r="N686" i="3" s="1"/>
  <c r="N698" i="3" a="1"/>
  <c r="N698" i="3" s="1"/>
  <c r="N750" i="3" a="1"/>
  <c r="N750" i="3" s="1"/>
  <c r="N764" i="3" a="1"/>
  <c r="N764" i="3" s="1"/>
  <c r="N777" i="3" a="1"/>
  <c r="N777" i="3" s="1"/>
  <c r="N792" i="3" a="1"/>
  <c r="N792" i="3" s="1"/>
  <c r="N805" i="3" a="1"/>
  <c r="N805" i="3" s="1"/>
  <c r="N822" i="3" a="1"/>
  <c r="N822" i="3" s="1"/>
  <c r="N834" i="3" a="1"/>
  <c r="N834" i="3" s="1"/>
  <c r="N851" i="3" a="1"/>
  <c r="N851" i="3" s="1"/>
  <c r="N863" i="3" a="1"/>
  <c r="N863" i="3" s="1"/>
  <c r="N875" i="3" a="1"/>
  <c r="N875" i="3" s="1"/>
  <c r="N887" i="3" a="1"/>
  <c r="N887" i="3" s="1"/>
  <c r="N898" i="3" a="1"/>
  <c r="N898" i="3" s="1"/>
  <c r="N908" i="3" a="1"/>
  <c r="N908" i="3" s="1"/>
  <c r="N918" i="3" a="1"/>
  <c r="N918" i="3" s="1"/>
  <c r="N939" i="3" a="1"/>
  <c r="N939" i="3" s="1"/>
  <c r="N949" i="3" a="1"/>
  <c r="N949" i="3" s="1"/>
  <c r="N959" i="3" a="1"/>
  <c r="N959" i="3" s="1"/>
  <c r="N970" i="3" a="1"/>
  <c r="N970" i="3" s="1"/>
  <c r="N980" i="3" a="1"/>
  <c r="N980" i="3" s="1"/>
  <c r="N990" i="3" a="1"/>
  <c r="N990" i="3" s="1"/>
  <c r="N1011" i="3" a="1"/>
  <c r="N1011" i="3" s="1"/>
  <c r="N1021" i="3" a="1"/>
  <c r="N1021" i="3" s="1"/>
  <c r="N1031" i="3" a="1"/>
  <c r="N1031" i="3" s="1"/>
  <c r="N1042" i="3" a="1"/>
  <c r="N1042" i="3" s="1"/>
  <c r="N1052" i="3" a="1"/>
  <c r="N1052" i="3" s="1"/>
  <c r="N1062" i="3" a="1"/>
  <c r="N1062" i="3" s="1"/>
  <c r="N1083" i="3" a="1"/>
  <c r="N1083" i="3" s="1"/>
  <c r="N1093" i="3" a="1"/>
  <c r="N1093" i="3" s="1"/>
  <c r="N1103" i="3" a="1"/>
  <c r="N1103" i="3" s="1"/>
  <c r="N1114" i="3" a="1"/>
  <c r="N1114" i="3" s="1"/>
  <c r="N1124" i="3" a="1"/>
  <c r="N1124" i="3" s="1"/>
  <c r="N1134" i="3" a="1"/>
  <c r="N1134" i="3" s="1"/>
  <c r="N1155" i="3" a="1"/>
  <c r="N1155" i="3" s="1"/>
  <c r="N1165" i="3" a="1"/>
  <c r="N1165" i="3" s="1"/>
  <c r="N1175" i="3" a="1"/>
  <c r="N1175" i="3" s="1"/>
  <c r="N1186" i="3" a="1"/>
  <c r="N1186" i="3" s="1"/>
  <c r="N1204" i="3" a="1"/>
  <c r="N1204" i="3" s="1"/>
  <c r="N1211" i="3" a="1"/>
  <c r="N1211" i="3" s="1"/>
  <c r="N1229" i="3" a="1"/>
  <c r="N1229" i="3" s="1"/>
  <c r="N1237" i="3" a="1"/>
  <c r="N1237" i="3" s="1"/>
  <c r="N1254" i="3" a="1"/>
  <c r="N1254" i="3" s="1"/>
  <c r="N1263" i="3" a="1"/>
  <c r="N1263" i="3" s="1"/>
  <c r="N1270" i="3" a="1"/>
  <c r="N1270" i="3" s="1"/>
  <c r="N1279" i="3" a="1"/>
  <c r="N1279" i="3" s="1"/>
  <c r="N1296" i="3" a="1"/>
  <c r="N1296" i="3" s="1"/>
  <c r="N1304" i="3" a="1"/>
  <c r="N1304" i="3" s="1"/>
  <c r="N1322" i="3" a="1"/>
  <c r="N1322" i="3" s="1"/>
  <c r="N1329" i="3" a="1"/>
  <c r="N1329" i="3" s="1"/>
  <c r="N1348" i="3" a="1"/>
  <c r="N1348" i="3" s="1"/>
  <c r="N1355" i="3" a="1"/>
  <c r="N1355" i="3" s="1"/>
  <c r="N441" i="3" a="1"/>
  <c r="N441" i="3" s="1"/>
  <c r="N460" i="3" a="1"/>
  <c r="N460" i="3" s="1"/>
  <c r="N474" i="3" a="1"/>
  <c r="N474" i="3" s="1"/>
  <c r="N505" i="3" a="1"/>
  <c r="N505" i="3" s="1"/>
  <c r="N522" i="3" a="1"/>
  <c r="N522" i="3" s="1"/>
  <c r="N536" i="3" a="1"/>
  <c r="N536" i="3" s="1"/>
  <c r="N551" i="3" a="1"/>
  <c r="N551" i="3" s="1"/>
  <c r="N579" i="3" a="1"/>
  <c r="N579" i="3" s="1"/>
  <c r="N591" i="3" a="1"/>
  <c r="N591" i="3" s="1"/>
  <c r="N608" i="3" a="1"/>
  <c r="N608" i="3" s="1"/>
  <c r="N621" i="3" a="1"/>
  <c r="N621" i="3" s="1"/>
  <c r="N635" i="3" a="1"/>
  <c r="N635" i="3" s="1"/>
  <c r="N647" i="3" a="1"/>
  <c r="N647" i="3" s="1"/>
  <c r="N687" i="3" a="1"/>
  <c r="N687" i="3" s="1"/>
  <c r="N699" i="3" a="1"/>
  <c r="N699" i="3" s="1"/>
  <c r="N712" i="3" a="1"/>
  <c r="N712" i="3" s="1"/>
  <c r="N724" i="3" a="1"/>
  <c r="N724" i="3" s="1"/>
  <c r="N738" i="3" a="1"/>
  <c r="N738" i="3" s="1"/>
  <c r="N778" i="3" a="1"/>
  <c r="N778" i="3" s="1"/>
  <c r="N793" i="3" a="1"/>
  <c r="N793" i="3" s="1"/>
  <c r="N806" i="3" a="1"/>
  <c r="N806" i="3" s="1"/>
  <c r="N823" i="3" a="1"/>
  <c r="N823" i="3" s="1"/>
  <c r="N835" i="3" a="1"/>
  <c r="N835" i="3" s="1"/>
  <c r="N852" i="3" a="1"/>
  <c r="N852" i="3" s="1"/>
  <c r="N864" i="3" a="1"/>
  <c r="N864" i="3" s="1"/>
  <c r="N876" i="3" a="1"/>
  <c r="N876" i="3" s="1"/>
  <c r="N888" i="3" a="1"/>
  <c r="N888" i="3" s="1"/>
  <c r="N909" i="3" a="1"/>
  <c r="N909" i="3" s="1"/>
  <c r="N919" i="3" a="1"/>
  <c r="N919" i="3" s="1"/>
  <c r="N929" i="3" a="1"/>
  <c r="N929" i="3" s="1"/>
  <c r="N940" i="3" a="1"/>
  <c r="N940" i="3" s="1"/>
  <c r="N950" i="3" a="1"/>
  <c r="N950" i="3" s="1"/>
  <c r="N960" i="3" a="1"/>
  <c r="N960" i="3" s="1"/>
  <c r="N981" i="3" a="1"/>
  <c r="N981" i="3" s="1"/>
  <c r="N991" i="3" a="1"/>
  <c r="N991" i="3" s="1"/>
  <c r="N1001" i="3" a="1"/>
  <c r="N1001" i="3" s="1"/>
  <c r="N1012" i="3" a="1"/>
  <c r="N1012" i="3" s="1"/>
  <c r="N1022" i="3" a="1"/>
  <c r="N1022" i="3" s="1"/>
  <c r="N1032" i="3" a="1"/>
  <c r="N1032" i="3" s="1"/>
  <c r="N1053" i="3" a="1"/>
  <c r="N1053" i="3" s="1"/>
  <c r="N1063" i="3" a="1"/>
  <c r="N1063" i="3" s="1"/>
  <c r="N1073" i="3" a="1"/>
  <c r="N1073" i="3" s="1"/>
  <c r="N1084" i="3" a="1"/>
  <c r="N1084" i="3" s="1"/>
  <c r="N1094" i="3" a="1"/>
  <c r="N1094" i="3" s="1"/>
  <c r="N1104" i="3" a="1"/>
  <c r="N1104" i="3" s="1"/>
  <c r="N1125" i="3" a="1"/>
  <c r="N1125" i="3" s="1"/>
  <c r="N1135" i="3" a="1"/>
  <c r="N1135" i="3" s="1"/>
  <c r="N1145" i="3" a="1"/>
  <c r="N1145" i="3" s="1"/>
  <c r="N1156" i="3" a="1"/>
  <c r="N1156" i="3" s="1"/>
  <c r="N1166" i="3" a="1"/>
  <c r="N1166" i="3" s="1"/>
  <c r="N1176" i="3" a="1"/>
  <c r="N1176" i="3" s="1"/>
  <c r="N1195" i="3" a="1"/>
  <c r="N1195" i="3" s="1"/>
  <c r="N1212" i="3" a="1"/>
  <c r="N1212" i="3" s="1"/>
  <c r="N1220" i="3" a="1"/>
  <c r="N1220" i="3" s="1"/>
  <c r="N1238" i="3" a="1"/>
  <c r="N1238" i="3" s="1"/>
  <c r="N1245" i="3" a="1"/>
  <c r="N1245" i="3" s="1"/>
  <c r="N1264" i="3" a="1"/>
  <c r="N1264" i="3" s="1"/>
  <c r="N1271" i="3" a="1"/>
  <c r="N1271" i="3" s="1"/>
  <c r="N1289" i="3" a="1"/>
  <c r="N1289" i="3" s="1"/>
  <c r="N1297" i="3" a="1"/>
  <c r="N1297" i="3" s="1"/>
  <c r="N1314" i="3" a="1"/>
  <c r="N1314" i="3" s="1"/>
  <c r="N1323" i="3" a="1"/>
  <c r="N1323" i="3" s="1"/>
  <c r="N1330" i="3" a="1"/>
  <c r="N1330" i="3" s="1"/>
  <c r="N1339" i="3" a="1"/>
  <c r="N1339" i="3" s="1"/>
  <c r="N1356" i="3" a="1"/>
  <c r="N1356" i="3" s="1"/>
  <c r="N1364" i="3" a="1"/>
  <c r="N1364" i="3" s="1"/>
  <c r="N444" i="3" a="1"/>
  <c r="N444" i="3" s="1"/>
  <c r="N461" i="3" a="1"/>
  <c r="N461" i="3" s="1"/>
  <c r="N475" i="3" a="1"/>
  <c r="N475" i="3" s="1"/>
  <c r="N491" i="3" a="1"/>
  <c r="N491" i="3" s="1"/>
  <c r="N506" i="3" a="1"/>
  <c r="N506" i="3" s="1"/>
  <c r="N523" i="3" a="1"/>
  <c r="N523" i="3" s="1"/>
  <c r="N537" i="3" a="1"/>
  <c r="N537" i="3" s="1"/>
  <c r="N552" i="3" a="1"/>
  <c r="N552" i="3" s="1"/>
  <c r="N564" i="3" a="1"/>
  <c r="N564" i="3" s="1"/>
  <c r="N580" i="3" a="1"/>
  <c r="N580" i="3" s="1"/>
  <c r="N592" i="3" a="1"/>
  <c r="N592" i="3" s="1"/>
  <c r="N609" i="3" a="1"/>
  <c r="N609" i="3" s="1"/>
  <c r="N636" i="3" a="1"/>
  <c r="N636" i="3" s="1"/>
  <c r="N661" i="3" a="1"/>
  <c r="N661" i="3" s="1"/>
  <c r="N673" i="3" a="1"/>
  <c r="N673" i="3" s="1"/>
  <c r="N688" i="3" a="1"/>
  <c r="N688" i="3" s="1"/>
  <c r="N713" i="3" a="1"/>
  <c r="N713" i="3" s="1"/>
  <c r="N739" i="3" a="1"/>
  <c r="N739" i="3" s="1"/>
  <c r="N751" i="3" a="1"/>
  <c r="N751" i="3" s="1"/>
  <c r="N765" i="3" a="1"/>
  <c r="N765" i="3" s="1"/>
  <c r="N794" i="3" a="1"/>
  <c r="N794" i="3" s="1"/>
  <c r="N807" i="3" a="1"/>
  <c r="N807" i="3" s="1"/>
  <c r="N836" i="3" a="1"/>
  <c r="N836" i="3" s="1"/>
  <c r="N865" i="3" a="1"/>
  <c r="N865" i="3" s="1"/>
  <c r="N877" i="3" a="1"/>
  <c r="N877" i="3" s="1"/>
  <c r="N889" i="3" a="1"/>
  <c r="N889" i="3" s="1"/>
  <c r="N899" i="3" a="1"/>
  <c r="N899" i="3" s="1"/>
  <c r="N910" i="3" a="1"/>
  <c r="N910" i="3" s="1"/>
  <c r="N920" i="3" a="1"/>
  <c r="N920" i="3" s="1"/>
  <c r="N930" i="3" a="1"/>
  <c r="N930" i="3" s="1"/>
  <c r="N951" i="3" a="1"/>
  <c r="N951" i="3" s="1"/>
  <c r="N961" i="3" a="1"/>
  <c r="N961" i="3" s="1"/>
  <c r="N971" i="3" a="1"/>
  <c r="N971" i="3" s="1"/>
  <c r="N982" i="3" a="1"/>
  <c r="N982" i="3" s="1"/>
  <c r="N992" i="3" a="1"/>
  <c r="N992" i="3" s="1"/>
  <c r="N1002" i="3" a="1"/>
  <c r="N1002" i="3" s="1"/>
  <c r="N1023" i="3" a="1"/>
  <c r="N1023" i="3" s="1"/>
  <c r="N1033" i="3" a="1"/>
  <c r="N1033" i="3" s="1"/>
  <c r="N1043" i="3" a="1"/>
  <c r="N1043" i="3" s="1"/>
  <c r="N1054" i="3" a="1"/>
  <c r="N1054" i="3" s="1"/>
  <c r="N1064" i="3" a="1"/>
  <c r="N1064" i="3" s="1"/>
  <c r="N1074" i="3" a="1"/>
  <c r="N1074" i="3" s="1"/>
  <c r="N1095" i="3" a="1"/>
  <c r="N1095" i="3" s="1"/>
  <c r="N1105" i="3" a="1"/>
  <c r="N1105" i="3" s="1"/>
  <c r="N1115" i="3" a="1"/>
  <c r="N1115" i="3" s="1"/>
  <c r="N1126" i="3" a="1"/>
  <c r="N1126" i="3" s="1"/>
  <c r="N1136" i="3" a="1"/>
  <c r="N1136" i="3" s="1"/>
  <c r="N1146" i="3" a="1"/>
  <c r="N1146" i="3" s="1"/>
  <c r="N1167" i="3" a="1"/>
  <c r="N1167" i="3" s="1"/>
  <c r="N1177" i="3" a="1"/>
  <c r="N1177" i="3" s="1"/>
  <c r="N1187" i="3" a="1"/>
  <c r="N1187" i="3" s="1"/>
  <c r="N1205" i="3" a="1"/>
  <c r="N1205" i="3" s="1"/>
  <c r="N1213" i="3" a="1"/>
  <c r="N1213" i="3" s="1"/>
  <c r="N1230" i="3" a="1"/>
  <c r="N1230" i="3" s="1"/>
  <c r="N1239" i="3" a="1"/>
  <c r="N1239" i="3" s="1"/>
  <c r="N1246" i="3" a="1"/>
  <c r="N1246" i="3" s="1"/>
  <c r="N1255" i="3" a="1"/>
  <c r="N1255" i="3" s="1"/>
  <c r="N1272" i="3" a="1"/>
  <c r="N1272" i="3" s="1"/>
  <c r="N1280" i="3" a="1"/>
  <c r="N1280" i="3" s="1"/>
  <c r="N1298" i="3" a="1"/>
  <c r="N1298" i="3" s="1"/>
  <c r="N1305" i="3" a="1"/>
  <c r="N1305" i="3" s="1"/>
  <c r="N1324" i="3" a="1"/>
  <c r="N1324" i="3" s="1"/>
  <c r="N1331" i="3" a="1"/>
  <c r="N1331" i="3" s="1"/>
  <c r="N1349" i="3" a="1"/>
  <c r="N1349" i="3" s="1"/>
  <c r="N1357" i="3" a="1"/>
  <c r="N1357" i="3" s="1"/>
  <c r="N1374" i="3" a="1"/>
  <c r="N1374" i="3" s="1"/>
  <c r="N1383" i="3" a="1"/>
  <c r="N1383" i="3" s="1"/>
  <c r="N445" i="3" a="1"/>
  <c r="N445" i="3" s="1"/>
  <c r="N479" i="3" a="1"/>
  <c r="N479" i="3" s="1"/>
  <c r="N492" i="3" a="1"/>
  <c r="N492" i="3" s="1"/>
  <c r="N511" i="3" a="1"/>
  <c r="N511" i="3" s="1"/>
  <c r="N524" i="3" a="1"/>
  <c r="N524" i="3" s="1"/>
  <c r="N540" i="3" a="1"/>
  <c r="N540" i="3" s="1"/>
  <c r="N568" i="3" a="1"/>
  <c r="N568" i="3" s="1"/>
  <c r="N581" i="3" a="1"/>
  <c r="N581" i="3" s="1"/>
  <c r="N597" i="3" a="1"/>
  <c r="N597" i="3" s="1"/>
  <c r="N637" i="3" a="1"/>
  <c r="N637" i="3" s="1"/>
  <c r="N662" i="3" a="1"/>
  <c r="N662" i="3" s="1"/>
  <c r="N677" i="3" a="1"/>
  <c r="N677" i="3" s="1"/>
  <c r="N689" i="3" a="1"/>
  <c r="N689" i="3" s="1"/>
  <c r="N703" i="3" a="1"/>
  <c r="N703" i="3" s="1"/>
  <c r="N714" i="3" a="1"/>
  <c r="N714" i="3" s="1"/>
  <c r="N728" i="3" a="1"/>
  <c r="N728" i="3" s="1"/>
  <c r="N740" i="3" a="1"/>
  <c r="N740" i="3" s="1"/>
  <c r="N766" i="3" a="1"/>
  <c r="N766" i="3" s="1"/>
  <c r="N782" i="3" a="1"/>
  <c r="N782" i="3" s="1"/>
  <c r="N812" i="3" a="1"/>
  <c r="N812" i="3" s="1"/>
  <c r="N824" i="3" a="1"/>
  <c r="N824" i="3" s="1"/>
  <c r="N840" i="3" a="1"/>
  <c r="N840" i="3" s="1"/>
  <c r="N853" i="3" a="1"/>
  <c r="N853" i="3" s="1"/>
  <c r="N866" i="3" a="1"/>
  <c r="N866" i="3" s="1"/>
  <c r="N878" i="3" a="1"/>
  <c r="N878" i="3" s="1"/>
  <c r="N890" i="3" a="1"/>
  <c r="N890" i="3" s="1"/>
  <c r="N900" i="3" a="1"/>
  <c r="N900" i="3" s="1"/>
  <c r="N921" i="3" a="1"/>
  <c r="N921" i="3" s="1"/>
  <c r="N931" i="3" a="1"/>
  <c r="N931" i="3" s="1"/>
  <c r="N941" i="3" a="1"/>
  <c r="N941" i="3" s="1"/>
  <c r="N952" i="3" a="1"/>
  <c r="N952" i="3" s="1"/>
  <c r="N962" i="3" a="1"/>
  <c r="N962" i="3" s="1"/>
  <c r="N972" i="3" a="1"/>
  <c r="N972" i="3" s="1"/>
  <c r="N993" i="3" a="1"/>
  <c r="N993" i="3" s="1"/>
  <c r="N1003" i="3" a="1"/>
  <c r="N1003" i="3" s="1"/>
  <c r="N1013" i="3" a="1"/>
  <c r="N1013" i="3" s="1"/>
  <c r="N1024" i="3" a="1"/>
  <c r="N1024" i="3" s="1"/>
  <c r="N1034" i="3" a="1"/>
  <c r="N1034" i="3" s="1"/>
  <c r="N1044" i="3" a="1"/>
  <c r="N1044" i="3" s="1"/>
  <c r="N1065" i="3" a="1"/>
  <c r="N1065" i="3" s="1"/>
  <c r="N1075" i="3" a="1"/>
  <c r="N1075" i="3" s="1"/>
  <c r="N1085" i="3" a="1"/>
  <c r="N1085" i="3" s="1"/>
  <c r="N1096" i="3" a="1"/>
  <c r="N1096" i="3" s="1"/>
  <c r="N1106" i="3" a="1"/>
  <c r="N1106" i="3" s="1"/>
  <c r="N1116" i="3" a="1"/>
  <c r="N1116" i="3" s="1"/>
  <c r="N1137" i="3" a="1"/>
  <c r="N1137" i="3" s="1"/>
  <c r="N1147" i="3" a="1"/>
  <c r="N1147" i="3" s="1"/>
  <c r="N1157" i="3" a="1"/>
  <c r="N1157" i="3" s="1"/>
  <c r="N1168" i="3" a="1"/>
  <c r="N1168" i="3" s="1"/>
  <c r="N1178" i="3" a="1"/>
  <c r="N1178" i="3" s="1"/>
  <c r="N1188" i="3" a="1"/>
  <c r="N1188" i="3" s="1"/>
  <c r="N1196" i="3" a="1"/>
  <c r="N1196" i="3" s="1"/>
  <c r="N1214" i="3" a="1"/>
  <c r="N1214" i="3" s="1"/>
  <c r="N1221" i="3" a="1"/>
  <c r="N1221" i="3" s="1"/>
  <c r="N1240" i="3" a="1"/>
  <c r="N1240" i="3" s="1"/>
  <c r="N1247" i="3" a="1"/>
  <c r="N1247" i="3" s="1"/>
  <c r="N1265" i="3" a="1"/>
  <c r="N1265" i="3" s="1"/>
  <c r="N1273" i="3" a="1"/>
  <c r="N1273" i="3" s="1"/>
  <c r="N1290" i="3" a="1"/>
  <c r="N1290" i="3" s="1"/>
  <c r="N1299" i="3" a="1"/>
  <c r="N1299" i="3" s="1"/>
  <c r="N1306" i="3" a="1"/>
  <c r="N1306" i="3" s="1"/>
  <c r="N1315" i="3" a="1"/>
  <c r="N1315" i="3" s="1"/>
  <c r="N1332" i="3" a="1"/>
  <c r="N1332" i="3" s="1"/>
  <c r="N1340" i="3" a="1"/>
  <c r="N1340" i="3" s="1"/>
  <c r="N1358" i="3" a="1"/>
  <c r="N1358" i="3" s="1"/>
  <c r="N1365" i="3" a="1"/>
  <c r="N1365" i="3" s="1"/>
  <c r="N449" i="3" a="1"/>
  <c r="N449" i="3" s="1"/>
  <c r="N462" i="3" a="1"/>
  <c r="N462" i="3" s="1"/>
  <c r="N480" i="3" a="1"/>
  <c r="N480" i="3" s="1"/>
  <c r="N493" i="3" a="1"/>
  <c r="N493" i="3" s="1"/>
  <c r="N512" i="3" a="1"/>
  <c r="N512" i="3" s="1"/>
  <c r="N525" i="3" a="1"/>
  <c r="N525" i="3" s="1"/>
  <c r="N541" i="3" a="1"/>
  <c r="N541" i="3" s="1"/>
  <c r="N553" i="3" a="1"/>
  <c r="N553" i="3" s="1"/>
  <c r="N569" i="3" a="1"/>
  <c r="N569" i="3" s="1"/>
  <c r="N582" i="3" a="1"/>
  <c r="N582" i="3" s="1"/>
  <c r="N598" i="3" a="1"/>
  <c r="N598" i="3" s="1"/>
  <c r="N610" i="3" a="1"/>
  <c r="N610" i="3" s="1"/>
  <c r="N625" i="3" a="1"/>
  <c r="N625" i="3" s="1"/>
  <c r="N652" i="3" a="1"/>
  <c r="N652" i="3" s="1"/>
  <c r="N663" i="3" a="1"/>
  <c r="N663" i="3" s="1"/>
  <c r="N463" i="3" a="1"/>
  <c r="N463" i="3" s="1"/>
  <c r="N481" i="3" a="1"/>
  <c r="N481" i="3" s="1"/>
  <c r="N494" i="3" a="1"/>
  <c r="N494" i="3" s="1"/>
  <c r="N513" i="3" a="1"/>
  <c r="N513" i="3" s="1"/>
  <c r="N526" i="3" a="1"/>
  <c r="N526" i="3" s="1"/>
  <c r="N554" i="3" a="1"/>
  <c r="N554" i="3" s="1"/>
  <c r="N570" i="3" a="1"/>
  <c r="N570" i="3" s="1"/>
  <c r="N583" i="3" a="1"/>
  <c r="N583" i="3" s="1"/>
  <c r="N611" i="3" a="1"/>
  <c r="N611" i="3" s="1"/>
  <c r="N626" i="3" a="1"/>
  <c r="N626" i="3" s="1"/>
  <c r="N638" i="3" a="1"/>
  <c r="N638" i="3" s="1"/>
  <c r="N664" i="3" a="1"/>
  <c r="N664" i="3" s="1"/>
  <c r="N678" i="3" a="1"/>
  <c r="N678" i="3" s="1"/>
  <c r="N704" i="3" a="1"/>
  <c r="N704" i="3" s="1"/>
  <c r="N716" i="3" a="1"/>
  <c r="N716" i="3" s="1"/>
  <c r="N430" i="3" a="1"/>
  <c r="N430" i="3" s="1"/>
  <c r="N450" i="3" a="1"/>
  <c r="N450" i="3" s="1"/>
  <c r="N464" i="3" a="1"/>
  <c r="N464" i="3" s="1"/>
  <c r="N482" i="3" a="1"/>
  <c r="N482" i="3" s="1"/>
  <c r="N495" i="3" a="1"/>
  <c r="N495" i="3" s="1"/>
  <c r="N542" i="3" a="1"/>
  <c r="N542" i="3" s="1"/>
  <c r="N555" i="3" a="1"/>
  <c r="N555" i="3" s="1"/>
  <c r="N571" i="3" a="1"/>
  <c r="N571" i="3" s="1"/>
  <c r="N584" i="3" a="1"/>
  <c r="N584" i="3" s="1"/>
  <c r="N599" i="3" a="1"/>
  <c r="N599" i="3" s="1"/>
  <c r="N627" i="3" a="1"/>
  <c r="N627" i="3" s="1"/>
  <c r="N639" i="3" a="1"/>
  <c r="N639" i="3" s="1"/>
  <c r="N653" i="3" a="1"/>
  <c r="N653" i="3" s="1"/>
  <c r="N691" i="3" a="1"/>
  <c r="N691" i="3" s="1"/>
  <c r="N451" i="3" a="1"/>
  <c r="N451" i="3" s="1"/>
  <c r="N468" i="3" a="1"/>
  <c r="N468" i="3" s="1"/>
  <c r="N483" i="3" a="1"/>
  <c r="N483" i="3" s="1"/>
  <c r="N500" i="3" a="1"/>
  <c r="N500" i="3" s="1"/>
  <c r="N514" i="3" a="1"/>
  <c r="N514" i="3" s="1"/>
  <c r="N530" i="3" a="1"/>
  <c r="N530" i="3" s="1"/>
  <c r="N543" i="3" a="1"/>
  <c r="N543" i="3" s="1"/>
  <c r="N560" i="3" a="1"/>
  <c r="N560" i="3" s="1"/>
  <c r="N572" i="3" a="1"/>
  <c r="N572" i="3" s="1"/>
  <c r="N600" i="3" a="1"/>
  <c r="N600" i="3" s="1"/>
  <c r="N615" i="3" a="1"/>
  <c r="N615" i="3" s="1"/>
  <c r="N628" i="3" a="1"/>
  <c r="N628" i="3" s="1"/>
  <c r="N654" i="3" a="1"/>
  <c r="N654" i="3" s="1"/>
  <c r="N668" i="3" a="1"/>
  <c r="N668" i="3" s="1"/>
  <c r="N434" i="3" a="1"/>
  <c r="N434" i="3" s="1"/>
  <c r="N469" i="3" a="1"/>
  <c r="N469" i="3" s="1"/>
  <c r="N484" i="3" a="1"/>
  <c r="N484" i="3" s="1"/>
  <c r="N501" i="3" a="1"/>
  <c r="N501" i="3" s="1"/>
  <c r="N515" i="3" a="1"/>
  <c r="N515" i="3" s="1"/>
  <c r="N531" i="3" a="1"/>
  <c r="N531" i="3" s="1"/>
  <c r="N544" i="3" a="1"/>
  <c r="N544" i="3" s="1"/>
  <c r="N561" i="3" a="1"/>
  <c r="N561" i="3" s="1"/>
  <c r="N573" i="3" a="1"/>
  <c r="N573" i="3" s="1"/>
  <c r="N588" i="3" a="1"/>
  <c r="N588" i="3" s="1"/>
  <c r="N616" i="3" a="1"/>
  <c r="N616" i="3" s="1"/>
  <c r="N629" i="3" a="1"/>
  <c r="N629" i="3" s="1"/>
  <c r="N643" i="3" a="1"/>
  <c r="N643" i="3" s="1"/>
  <c r="N655" i="3" a="1"/>
  <c r="N655" i="3" s="1"/>
  <c r="N669" i="3" a="1"/>
  <c r="N669" i="3" s="1"/>
  <c r="N435" i="3" a="1"/>
  <c r="N435" i="3" s="1"/>
  <c r="N453" i="3" a="1"/>
  <c r="N453" i="3" s="1"/>
  <c r="N470" i="3" a="1"/>
  <c r="N470" i="3" s="1"/>
  <c r="N485" i="3" a="1"/>
  <c r="N485" i="3" s="1"/>
  <c r="N502" i="3" a="1"/>
  <c r="N502" i="3" s="1"/>
  <c r="N532" i="3" a="1"/>
  <c r="N532" i="3" s="1"/>
  <c r="N545" i="3" a="1"/>
  <c r="N545" i="3" s="1"/>
  <c r="N574" i="3" a="1"/>
  <c r="N574" i="3" s="1"/>
  <c r="N601" i="3" a="1"/>
  <c r="N601" i="3" s="1"/>
  <c r="N617" i="3" a="1"/>
  <c r="N617" i="3" s="1"/>
  <c r="N630" i="3" a="1"/>
  <c r="N630" i="3" s="1"/>
  <c r="N644" i="3" a="1"/>
  <c r="N644" i="3" s="1"/>
  <c r="N670" i="3" a="1"/>
  <c r="N670" i="3" s="1"/>
  <c r="N681" i="3" a="1"/>
  <c r="N681" i="3" s="1"/>
  <c r="J1439" i="3" a="1"/>
  <c r="J1439" i="3" s="1"/>
  <c r="J1365" i="3" a="1"/>
  <c r="J1365" i="3" s="1"/>
  <c r="J1340" i="3" a="1"/>
  <c r="J1340" i="3" s="1"/>
  <c r="J1302" i="3" a="1"/>
  <c r="J1302" i="3" s="1"/>
  <c r="J1237" i="3" a="1"/>
  <c r="J1237" i="3" s="1"/>
  <c r="J1167" i="3" a="1"/>
  <c r="J1167" i="3" s="1"/>
  <c r="J1072" i="3" a="1"/>
  <c r="J1072" i="3" s="1"/>
  <c r="J987" i="3" a="1"/>
  <c r="J987" i="3" s="1"/>
  <c r="J908" i="3" a="1"/>
  <c r="J908" i="3" s="1"/>
  <c r="J664" i="3" a="1"/>
  <c r="J664" i="3" s="1"/>
  <c r="J1424" i="3" a="1"/>
  <c r="J1424" i="3" s="1"/>
  <c r="J1392" i="3" a="1"/>
  <c r="J1392" i="3" s="1"/>
  <c r="J1419" i="3" a="1"/>
  <c r="J1419" i="3" s="1"/>
  <c r="J1391" i="3" a="1"/>
  <c r="J1391" i="3" s="1"/>
  <c r="J1361" i="3" a="1"/>
  <c r="J1361" i="3" s="1"/>
  <c r="J1229" i="3" a="1"/>
  <c r="J1229" i="3" s="1"/>
  <c r="J1165" i="3" a="1"/>
  <c r="J1165" i="3" s="1"/>
  <c r="J1070" i="3" a="1"/>
  <c r="J1070" i="3" s="1"/>
  <c r="J890" i="3" a="1"/>
  <c r="J890" i="3" s="1"/>
  <c r="J633" i="3" a="1"/>
  <c r="J633" i="3" s="1"/>
  <c r="J1358" i="3" a="1"/>
  <c r="J1358" i="3" s="1"/>
  <c r="J1335" i="3" a="1"/>
  <c r="J1335" i="3" s="1"/>
  <c r="J1298" i="3" a="1"/>
  <c r="J1298" i="3" s="1"/>
  <c r="J1222" i="3" a="1"/>
  <c r="J1222" i="3" s="1"/>
  <c r="J1159" i="3" a="1"/>
  <c r="J1159" i="3" s="1"/>
  <c r="J1060" i="3" a="1"/>
  <c r="J1060" i="3" s="1"/>
  <c r="J974" i="3" a="1"/>
  <c r="J974" i="3" s="1"/>
  <c r="J875" i="3" a="1"/>
  <c r="J875" i="3" s="1"/>
  <c r="J590" i="3" a="1"/>
  <c r="J590" i="3" s="1"/>
  <c r="J1411" i="3" a="1"/>
  <c r="J1411" i="3" s="1"/>
  <c r="J1388" i="3" a="1"/>
  <c r="J1388" i="3" s="1"/>
  <c r="J1357" i="3" a="1"/>
  <c r="J1357" i="3" s="1"/>
  <c r="J1331" i="3" a="1"/>
  <c r="J1331" i="3" s="1"/>
  <c r="J1294" i="3" a="1"/>
  <c r="J1294" i="3" s="1"/>
  <c r="J1221" i="3" a="1"/>
  <c r="J1221" i="3" s="1"/>
  <c r="J1152" i="3" a="1"/>
  <c r="J1152" i="3" s="1"/>
  <c r="J1059" i="3" a="1"/>
  <c r="J1059" i="3" s="1"/>
  <c r="J963" i="3" a="1"/>
  <c r="J963" i="3" s="1"/>
  <c r="J861" i="3" a="1"/>
  <c r="J861" i="3" s="1"/>
  <c r="J1171" i="3" a="1"/>
  <c r="J1171" i="3" s="1"/>
  <c r="J1356" i="3" a="1"/>
  <c r="J1356" i="3" s="1"/>
  <c r="J1290" i="3" a="1"/>
  <c r="J1290" i="3" s="1"/>
  <c r="J1216" i="3" a="1"/>
  <c r="J1216" i="3" s="1"/>
  <c r="J1150" i="3" a="1"/>
  <c r="J1150" i="3" s="1"/>
  <c r="J1046" i="3" a="1"/>
  <c r="J1046" i="3" s="1"/>
  <c r="J953" i="3" a="1"/>
  <c r="J953" i="3" s="1"/>
  <c r="J860" i="3" a="1"/>
  <c r="J860" i="3" s="1"/>
  <c r="J291" i="3" a="1"/>
  <c r="J291" i="3" s="1"/>
  <c r="J991" i="3" a="1"/>
  <c r="J991" i="3" s="1"/>
  <c r="J1410" i="3" a="1"/>
  <c r="J1410" i="3" s="1"/>
  <c r="J1409" i="3" a="1"/>
  <c r="J1409" i="3" s="1"/>
  <c r="J1379" i="3" a="1"/>
  <c r="J1379" i="3" s="1"/>
  <c r="J1323" i="3" a="1"/>
  <c r="J1323" i="3" s="1"/>
  <c r="J1285" i="3" a="1"/>
  <c r="J1285" i="3" s="1"/>
  <c r="J1133" i="3" a="1"/>
  <c r="J1133" i="3" s="1"/>
  <c r="J1040" i="3" a="1"/>
  <c r="J1040" i="3" s="1"/>
  <c r="J943" i="3" a="1"/>
  <c r="J943" i="3" s="1"/>
  <c r="J843" i="3" a="1"/>
  <c r="J843" i="3" s="1"/>
  <c r="J829" i="3" a="1"/>
  <c r="J829" i="3" s="1"/>
  <c r="J1369" i="3" a="1"/>
  <c r="J1369" i="3" s="1"/>
  <c r="J1405" i="3" a="1"/>
  <c r="J1405" i="3" s="1"/>
  <c r="J1328" i="3" a="1"/>
  <c r="J1328" i="3" s="1"/>
  <c r="J566" i="3" a="1"/>
  <c r="J566" i="3" s="1"/>
  <c r="J884" i="3" a="1"/>
  <c r="J884" i="3" s="1"/>
  <c r="J1142" i="3" a="1"/>
  <c r="J1142" i="3" s="1"/>
  <c r="J1310" i="3" a="1"/>
  <c r="J1310" i="3" s="1"/>
  <c r="J1437" i="3" a="1"/>
  <c r="J1437" i="3" s="1"/>
  <c r="J1375" i="3" a="1"/>
  <c r="J1375" i="3" s="1"/>
  <c r="J1353" i="3" a="1"/>
  <c r="J1353" i="3" s="1"/>
  <c r="J1316" i="3" a="1"/>
  <c r="J1316" i="3" s="1"/>
  <c r="J1271" i="3" a="1"/>
  <c r="J1271" i="3" s="1"/>
  <c r="J1208" i="3" a="1"/>
  <c r="J1208" i="3" s="1"/>
  <c r="J1131" i="3" a="1"/>
  <c r="J1131" i="3" s="1"/>
  <c r="J1027" i="3" a="1"/>
  <c r="J1027" i="3" s="1"/>
  <c r="J942" i="3" a="1"/>
  <c r="J942" i="3" s="1"/>
  <c r="J806" i="3" a="1"/>
  <c r="J806" i="3" s="1"/>
  <c r="J805" i="3" a="1"/>
  <c r="J805" i="3" s="1"/>
  <c r="J1213" i="3" a="1"/>
  <c r="J1213" i="3" s="1"/>
  <c r="J1387" i="3" a="1"/>
  <c r="J1387" i="3" s="1"/>
  <c r="J1383" i="3" a="1"/>
  <c r="J1383" i="3" s="1"/>
  <c r="J434" i="3" a="1"/>
  <c r="J434" i="3" s="1"/>
  <c r="J800" i="3" a="1"/>
  <c r="J800" i="3" s="1"/>
  <c r="J1058" i="3" a="1"/>
  <c r="J1058" i="3" s="1"/>
  <c r="J1268" i="3" a="1"/>
  <c r="J1268" i="3" s="1"/>
  <c r="J1433" i="3" a="1"/>
  <c r="J1433" i="3" s="1"/>
  <c r="J1406" i="3" a="1"/>
  <c r="J1406" i="3" s="1"/>
  <c r="J1374" i="3" a="1"/>
  <c r="J1374" i="3" s="1"/>
  <c r="J1349" i="3" a="1"/>
  <c r="J1349" i="3" s="1"/>
  <c r="J1315" i="3" a="1"/>
  <c r="J1315" i="3" s="1"/>
  <c r="J1269" i="3" a="1"/>
  <c r="J1269" i="3" s="1"/>
  <c r="J1202" i="3" a="1"/>
  <c r="J1202" i="3" s="1"/>
  <c r="J1123" i="3" a="1"/>
  <c r="J1123" i="3" s="1"/>
  <c r="J1018" i="3" a="1"/>
  <c r="J1018" i="3" s="1"/>
  <c r="J939" i="3" a="1"/>
  <c r="J939" i="3" s="1"/>
  <c r="J790" i="3" a="1"/>
  <c r="J790" i="3" s="1"/>
  <c r="J775" i="3" a="1"/>
  <c r="J775" i="3" s="1"/>
  <c r="J969" i="3" a="1"/>
  <c r="J969" i="3" s="1"/>
  <c r="J1155" i="3" a="1"/>
  <c r="J1155" i="3" s="1"/>
  <c r="J1185" i="3" a="1"/>
  <c r="J1185" i="3" s="1"/>
  <c r="J1227" i="3" a="1"/>
  <c r="J1227" i="3" s="1"/>
  <c r="J1281" i="3" a="1"/>
  <c r="J1281" i="3" s="1"/>
  <c r="J1317" i="3" a="1"/>
  <c r="J1317" i="3" s="1"/>
  <c r="J1377" i="3" a="1"/>
  <c r="J1377" i="3" s="1"/>
  <c r="J1413" i="3" a="1"/>
  <c r="J1413" i="3" s="1"/>
  <c r="J1429" i="3" a="1"/>
  <c r="J1429" i="3" s="1"/>
  <c r="J1373" i="3" a="1"/>
  <c r="J1373" i="3" s="1"/>
  <c r="J1348" i="3" a="1"/>
  <c r="J1348" i="3" s="1"/>
  <c r="J1314" i="3" a="1"/>
  <c r="J1314" i="3" s="1"/>
  <c r="J1257" i="3" a="1"/>
  <c r="J1257" i="3" s="1"/>
  <c r="J1194" i="3" a="1"/>
  <c r="J1194" i="3" s="1"/>
  <c r="J1114" i="3" a="1"/>
  <c r="J1114" i="3" s="1"/>
  <c r="J1016" i="3" a="1"/>
  <c r="J1016" i="3" s="1"/>
  <c r="J933" i="3" a="1"/>
  <c r="J933" i="3" s="1"/>
  <c r="J776" i="3" a="1"/>
  <c r="J776" i="3" s="1"/>
  <c r="J903" i="3" a="1"/>
  <c r="J903" i="3" s="1"/>
  <c r="J1053" i="3" a="1"/>
  <c r="J1053" i="3" s="1"/>
  <c r="J1137" i="3" a="1"/>
  <c r="J1137" i="3" s="1"/>
  <c r="J1197" i="3" a="1"/>
  <c r="J1197" i="3" s="1"/>
  <c r="J1239" i="3" a="1"/>
  <c r="J1239" i="3" s="1"/>
  <c r="J1293" i="3" a="1"/>
  <c r="J1293" i="3" s="1"/>
  <c r="J1359" i="3" a="1"/>
  <c r="J1359" i="3" s="1"/>
  <c r="J1395" i="3" a="1"/>
  <c r="J1395" i="3" s="1"/>
  <c r="J1431" i="3" a="1"/>
  <c r="J1431" i="3" s="1"/>
  <c r="J1428" i="3" a="1"/>
  <c r="J1428" i="3" s="1"/>
  <c r="J1401" i="3" a="1"/>
  <c r="J1401" i="3" s="1"/>
  <c r="J1345" i="3" a="1"/>
  <c r="J1345" i="3" s="1"/>
  <c r="J1311" i="3" a="1"/>
  <c r="J1311" i="3" s="1"/>
  <c r="J1250" i="3" a="1"/>
  <c r="J1250" i="3" s="1"/>
  <c r="J1180" i="3" a="1"/>
  <c r="J1180" i="3" s="1"/>
  <c r="J1112" i="3" a="1"/>
  <c r="J1112" i="3" s="1"/>
  <c r="J1007" i="3" a="1"/>
  <c r="J1007" i="3" s="1"/>
  <c r="J920" i="3" a="1"/>
  <c r="J920" i="3" s="1"/>
  <c r="J762" i="3" a="1"/>
  <c r="J762" i="3" s="1"/>
  <c r="J927" i="3" a="1"/>
  <c r="J927" i="3" s="1"/>
  <c r="J1397" i="3" a="1"/>
  <c r="J1397" i="3" s="1"/>
  <c r="J1344" i="3" a="1"/>
  <c r="J1344" i="3" s="1"/>
  <c r="J1306" i="3" a="1"/>
  <c r="J1306" i="3" s="1"/>
  <c r="J1243" i="3" a="1"/>
  <c r="J1243" i="3" s="1"/>
  <c r="J1178" i="3" a="1"/>
  <c r="J1178" i="3" s="1"/>
  <c r="J1090" i="3" a="1"/>
  <c r="J1090" i="3" s="1"/>
  <c r="J1005" i="3" a="1"/>
  <c r="J1005" i="3" s="1"/>
  <c r="J919" i="3" a="1"/>
  <c r="J919" i="3" s="1"/>
  <c r="J704" i="3" a="1"/>
  <c r="J704" i="3" s="1"/>
  <c r="J1427" i="3" a="1"/>
  <c r="J1427" i="3" s="1"/>
  <c r="J1370" i="3" a="1"/>
  <c r="J1370" i="3" s="1"/>
  <c r="J1393" i="3" a="1"/>
  <c r="J1393" i="3" s="1"/>
  <c r="J1305" i="3" a="1"/>
  <c r="J1305" i="3" s="1"/>
  <c r="J1242" i="3" a="1"/>
  <c r="J1242" i="3" s="1"/>
  <c r="J1173" i="3" a="1"/>
  <c r="J1173" i="3" s="1"/>
  <c r="J1082" i="3" a="1"/>
  <c r="J1082" i="3" s="1"/>
  <c r="J997" i="3" a="1"/>
  <c r="J997" i="3" s="1"/>
  <c r="J911" i="3" a="1"/>
  <c r="J911" i="3" s="1"/>
  <c r="M1049" i="3" a="1"/>
  <c r="M1049" i="3" s="1"/>
  <c r="M900" i="3" a="1"/>
  <c r="M900" i="3" s="1"/>
  <c r="J671" i="3" a="1"/>
  <c r="J671" i="3" s="1"/>
  <c r="M671" i="3" a="1"/>
  <c r="M671" i="3" s="1"/>
  <c r="J743" i="3" a="1"/>
  <c r="J743" i="3" s="1"/>
  <c r="M743" i="3" a="1"/>
  <c r="M743" i="3" s="1"/>
  <c r="J767" i="3" a="1"/>
  <c r="J767" i="3" s="1"/>
  <c r="M767" i="3" a="1"/>
  <c r="M767" i="3" s="1"/>
  <c r="J785" i="3" a="1"/>
  <c r="J785" i="3" s="1"/>
  <c r="M785" i="3" a="1"/>
  <c r="M785" i="3" s="1"/>
  <c r="J996" i="3" a="1"/>
  <c r="J996" i="3" s="1"/>
  <c r="J930" i="3" a="1"/>
  <c r="J930" i="3" s="1"/>
  <c r="J242" i="3" a="1"/>
  <c r="J242" i="3" s="1"/>
  <c r="M1068" i="3" a="1"/>
  <c r="M1068" i="3" s="1"/>
  <c r="M983" i="3" a="1"/>
  <c r="M983" i="3" s="1"/>
  <c r="M899" i="3" a="1"/>
  <c r="M899" i="3" s="1"/>
  <c r="J587" i="3" a="1"/>
  <c r="J587" i="3" s="1"/>
  <c r="M587" i="3" a="1"/>
  <c r="M587" i="3" s="1"/>
  <c r="J168" i="3" a="1"/>
  <c r="J168" i="3" s="1"/>
  <c r="M989" i="3" a="1"/>
  <c r="M989" i="3" s="1"/>
  <c r="M936" i="3" a="1"/>
  <c r="M936" i="3" s="1"/>
  <c r="M929" i="3" a="1"/>
  <c r="M929" i="3" s="1"/>
  <c r="J552" i="3" a="1"/>
  <c r="J552" i="3" s="1"/>
  <c r="M552" i="3" a="1"/>
  <c r="M552" i="3" s="1"/>
  <c r="H666" i="3" a="1"/>
  <c r="H666" i="3" s="1"/>
  <c r="M666" i="3" a="1"/>
  <c r="M666" i="3" s="1"/>
  <c r="H690" i="3" a="1"/>
  <c r="H690" i="3" s="1"/>
  <c r="M690" i="3" a="1"/>
  <c r="M690" i="3" s="1"/>
  <c r="J720" i="3" a="1"/>
  <c r="J720" i="3" s="1"/>
  <c r="M720" i="3" a="1"/>
  <c r="M720" i="3" s="1"/>
  <c r="J738" i="3" a="1"/>
  <c r="J738" i="3" s="1"/>
  <c r="M738" i="3" a="1"/>
  <c r="M738" i="3" s="1"/>
  <c r="J744" i="3" a="1"/>
  <c r="J744" i="3" s="1"/>
  <c r="M744" i="3" a="1"/>
  <c r="M744" i="3" s="1"/>
  <c r="J786" i="3" a="1"/>
  <c r="J786" i="3" s="1"/>
  <c r="M786" i="3" a="1"/>
  <c r="M786" i="3" s="1"/>
  <c r="I822" i="3" a="1"/>
  <c r="I822" i="3" s="1"/>
  <c r="M822" i="3" a="1"/>
  <c r="M822" i="3" s="1"/>
  <c r="J828" i="3" a="1"/>
  <c r="J828" i="3" s="1"/>
  <c r="M828" i="3" a="1"/>
  <c r="M828" i="3" s="1"/>
  <c r="J906" i="3" a="1"/>
  <c r="J906" i="3" s="1"/>
  <c r="M906" i="3" a="1"/>
  <c r="M906" i="3" s="1"/>
  <c r="J846" i="3" a="1"/>
  <c r="J846" i="3" s="1"/>
  <c r="J735" i="3" a="1"/>
  <c r="J735" i="3" s="1"/>
  <c r="J531" i="3" a="1"/>
  <c r="J531" i="3" s="1"/>
  <c r="J96" i="3" a="1"/>
  <c r="J96" i="3" s="1"/>
  <c r="M1139" i="3" a="1"/>
  <c r="M1139" i="3" s="1"/>
  <c r="J654" i="3" a="1"/>
  <c r="J654" i="3" s="1"/>
  <c r="M654" i="3" a="1"/>
  <c r="M654" i="3" s="1"/>
  <c r="J678" i="3" a="1"/>
  <c r="J678" i="3" s="1"/>
  <c r="M678" i="3" a="1"/>
  <c r="M678" i="3" s="1"/>
  <c r="J3" i="3" a="1"/>
  <c r="J3" i="3" s="1"/>
  <c r="M1248" i="3" a="1"/>
  <c r="M1248" i="3" s="1"/>
  <c r="M1224" i="3" a="1"/>
  <c r="M1224" i="3" s="1"/>
  <c r="M1212" i="3" a="1"/>
  <c r="M1212" i="3" s="1"/>
  <c r="M1206" i="3" a="1"/>
  <c r="M1206" i="3" s="1"/>
  <c r="M1200" i="3" a="1"/>
  <c r="M1200" i="3" s="1"/>
  <c r="M1164" i="3" a="1"/>
  <c r="M1164" i="3" s="1"/>
  <c r="M1158" i="3" a="1"/>
  <c r="M1158" i="3" s="1"/>
  <c r="M1014" i="3" a="1"/>
  <c r="M1014" i="3" s="1"/>
  <c r="J631" i="3" a="1"/>
  <c r="J631" i="3" s="1"/>
  <c r="M631" i="3" a="1"/>
  <c r="M631" i="3" s="1"/>
  <c r="J715" i="3" a="1"/>
  <c r="J715" i="3" s="1"/>
  <c r="M715" i="3" a="1"/>
  <c r="M715" i="3" s="1"/>
  <c r="J1319" i="3" a="1"/>
  <c r="J1319" i="3" s="1"/>
  <c r="J1163" i="3" a="1"/>
  <c r="J1163" i="3" s="1"/>
  <c r="J1103" i="3" a="1"/>
  <c r="J1103" i="3" s="1"/>
  <c r="J833" i="3" a="1"/>
  <c r="J833" i="3" s="1"/>
  <c r="J721" i="3" a="1"/>
  <c r="J721" i="3" s="1"/>
  <c r="J468" i="3" a="1"/>
  <c r="J468" i="3" s="1"/>
  <c r="M948" i="3" a="1"/>
  <c r="M948" i="3" s="1"/>
  <c r="M912" i="3" a="1"/>
  <c r="M912" i="3" s="1"/>
  <c r="J240" i="3" a="1"/>
  <c r="J240" i="3" s="1"/>
  <c r="M240" i="3" a="1"/>
  <c r="M240" i="3" s="1"/>
  <c r="J705" i="3" a="1"/>
  <c r="J705" i="3" s="1"/>
  <c r="J467" i="3" a="1"/>
  <c r="J467" i="3" s="1"/>
  <c r="M1325" i="3" a="1"/>
  <c r="M1325" i="3" s="1"/>
  <c r="M1307" i="3" a="1"/>
  <c r="M1307" i="3" s="1"/>
  <c r="M1301" i="3" a="1"/>
  <c r="M1301" i="3" s="1"/>
  <c r="M1289" i="3" a="1"/>
  <c r="M1289" i="3" s="1"/>
  <c r="M1283" i="3" a="1"/>
  <c r="M1283" i="3" s="1"/>
  <c r="M1277" i="3" a="1"/>
  <c r="M1277" i="3" s="1"/>
  <c r="M1265" i="3" a="1"/>
  <c r="M1265" i="3" s="1"/>
  <c r="M1259" i="3" a="1"/>
  <c r="M1259" i="3" s="1"/>
  <c r="M1253" i="3" a="1"/>
  <c r="M1253" i="3" s="1"/>
  <c r="M1241" i="3" a="1"/>
  <c r="M1241" i="3" s="1"/>
  <c r="M1235" i="3" a="1"/>
  <c r="M1235" i="3" s="1"/>
  <c r="M1181" i="3" a="1"/>
  <c r="M1181" i="3" s="1"/>
  <c r="M1169" i="3" a="1"/>
  <c r="M1169" i="3" s="1"/>
  <c r="M1098" i="3" a="1"/>
  <c r="M1098" i="3" s="1"/>
  <c r="J35" i="3" a="1"/>
  <c r="J35" i="3" s="1"/>
  <c r="M35" i="3" a="1"/>
  <c r="M35" i="3" s="1"/>
  <c r="J341" i="3" a="1"/>
  <c r="J341" i="3" s="1"/>
  <c r="M341" i="3" a="1"/>
  <c r="M341" i="3" s="1"/>
  <c r="J264" i="3" a="1"/>
  <c r="J264" i="3" s="1"/>
  <c r="M264" i="3" a="1"/>
  <c r="M264" i="3" s="1"/>
  <c r="J206" i="3" a="1"/>
  <c r="J206" i="3" s="1"/>
  <c r="M206" i="3" a="1"/>
  <c r="M206" i="3" s="1"/>
  <c r="J278" i="3" a="1"/>
  <c r="J278" i="3" s="1"/>
  <c r="M278" i="3" a="1"/>
  <c r="M278" i="3" s="1"/>
  <c r="J819" i="3" a="1"/>
  <c r="J819" i="3" s="1"/>
  <c r="J459" i="3" a="1"/>
  <c r="J459" i="3" s="1"/>
  <c r="M1032" i="3" a="1"/>
  <c r="M1032" i="3" s="1"/>
  <c r="M960" i="3" a="1"/>
  <c r="M960" i="3" s="1"/>
  <c r="M947" i="3" a="1"/>
  <c r="M947" i="3" s="1"/>
  <c r="J353" i="3" a="1"/>
  <c r="J353" i="3" s="1"/>
  <c r="M353" i="3" a="1"/>
  <c r="M353" i="3" s="1"/>
  <c r="J138" i="3" a="1"/>
  <c r="J138" i="3" s="1"/>
  <c r="M138" i="3" a="1"/>
  <c r="M138" i="3" s="1"/>
  <c r="J498" i="3" a="1"/>
  <c r="J498" i="3" s="1"/>
  <c r="M498" i="3" a="1"/>
  <c r="M498" i="3" s="1"/>
  <c r="J86" i="3" a="1"/>
  <c r="J86" i="3" s="1"/>
  <c r="M86" i="3" a="1"/>
  <c r="M86" i="3" s="1"/>
  <c r="J435" i="3" a="1"/>
  <c r="J435" i="3" s="1"/>
  <c r="J479" i="3" a="1"/>
  <c r="J479" i="3" s="1"/>
  <c r="M479" i="3" a="1"/>
  <c r="M479" i="3" s="1"/>
  <c r="J57" i="3" a="1"/>
  <c r="J57" i="3" s="1"/>
  <c r="M57" i="3" a="1"/>
  <c r="M57" i="3" s="1"/>
  <c r="J279" i="3" a="1"/>
  <c r="J279" i="3" s="1"/>
  <c r="M279" i="3" a="1"/>
  <c r="M279" i="3" s="1"/>
  <c r="J351" i="3" a="1"/>
  <c r="J351" i="3" s="1"/>
  <c r="M351" i="3" a="1"/>
  <c r="M351" i="3" s="1"/>
  <c r="J489" i="3" a="1"/>
  <c r="J489" i="3" s="1"/>
  <c r="M489" i="3" a="1"/>
  <c r="M489" i="3" s="1"/>
  <c r="J543" i="3" a="1"/>
  <c r="J543" i="3" s="1"/>
  <c r="M543" i="3" a="1"/>
  <c r="M543" i="3" s="1"/>
  <c r="J621" i="3" a="1"/>
  <c r="J621" i="3" s="1"/>
  <c r="M621" i="3" a="1"/>
  <c r="M621" i="3" s="1"/>
  <c r="J711" i="3" a="1"/>
  <c r="J711" i="3" s="1"/>
  <c r="M711" i="3" a="1"/>
  <c r="M711" i="3" s="1"/>
  <c r="J876" i="3" a="1"/>
  <c r="J876" i="3" s="1"/>
  <c r="J791" i="3" a="1"/>
  <c r="J791" i="3" s="1"/>
  <c r="J401" i="3" a="1"/>
  <c r="J401" i="3" s="1"/>
  <c r="M1116" i="3" a="1"/>
  <c r="M1116" i="3" s="1"/>
  <c r="M1031" i="3" a="1"/>
  <c r="M1031" i="3" s="1"/>
  <c r="M852" i="3" a="1"/>
  <c r="M852" i="3" s="1"/>
  <c r="M978" i="3" a="1"/>
  <c r="M978" i="3" s="1"/>
  <c r="M965" i="3" a="1"/>
  <c r="M965" i="3" s="1"/>
  <c r="M851" i="3" a="1"/>
  <c r="M851" i="3" s="1"/>
  <c r="J189" i="3" a="1"/>
  <c r="J189" i="3" s="1"/>
  <c r="M189" i="3" a="1"/>
  <c r="M189" i="3" s="1"/>
  <c r="J363" i="3" a="1"/>
  <c r="J363" i="3" s="1"/>
  <c r="M363" i="3" a="1"/>
  <c r="M363" i="3" s="1"/>
  <c r="J366" i="3" a="1"/>
  <c r="J366" i="3" s="1"/>
  <c r="J870" i="3" a="1"/>
  <c r="J870" i="3" s="1"/>
  <c r="J599" i="3" a="1"/>
  <c r="J599" i="3" s="1"/>
  <c r="J330" i="3" a="1"/>
  <c r="J330" i="3" s="1"/>
  <c r="H569" i="3" a="1"/>
  <c r="H569" i="3" s="1"/>
  <c r="M1115" i="3" a="1"/>
  <c r="M1115" i="3" s="1"/>
  <c r="I4" i="3" a="1"/>
  <c r="I4" i="3" s="1"/>
  <c r="H4" i="3" a="1"/>
  <c r="H4" i="3" s="1"/>
  <c r="J4" i="3" a="1"/>
  <c r="J4" i="3" s="1"/>
  <c r="I7" i="3" a="1"/>
  <c r="I7" i="3" s="1"/>
  <c r="H7" i="3" a="1"/>
  <c r="H7" i="3" s="1"/>
  <c r="J7" i="3" a="1"/>
  <c r="J7" i="3" s="1"/>
  <c r="L10" i="3" a="1"/>
  <c r="L10" i="3" s="1"/>
  <c r="I10" i="3" a="1"/>
  <c r="I10" i="3" s="1"/>
  <c r="H10" i="3" a="1"/>
  <c r="H10" i="3" s="1"/>
  <c r="J10" i="3" a="1"/>
  <c r="J10" i="3" s="1"/>
  <c r="I13" i="3" a="1"/>
  <c r="I13" i="3" s="1"/>
  <c r="H13" i="3" a="1"/>
  <c r="H13" i="3" s="1"/>
  <c r="J13" i="3" a="1"/>
  <c r="J13" i="3" s="1"/>
  <c r="L16" i="3" a="1"/>
  <c r="L16" i="3" s="1"/>
  <c r="I16" i="3" a="1"/>
  <c r="I16" i="3" s="1"/>
  <c r="H16" i="3" a="1"/>
  <c r="H16" i="3" s="1"/>
  <c r="J16" i="3" a="1"/>
  <c r="J16" i="3" s="1"/>
  <c r="I19" i="3" a="1"/>
  <c r="I19" i="3" s="1"/>
  <c r="H19" i="3" a="1"/>
  <c r="H19" i="3" s="1"/>
  <c r="J19" i="3" a="1"/>
  <c r="J19" i="3" s="1"/>
  <c r="L22" i="3" a="1"/>
  <c r="L22" i="3" s="1"/>
  <c r="I22" i="3" a="1"/>
  <c r="I22" i="3" s="1"/>
  <c r="H22" i="3" a="1"/>
  <c r="H22" i="3" s="1"/>
  <c r="J22" i="3" a="1"/>
  <c r="J22" i="3" s="1"/>
  <c r="I25" i="3" a="1"/>
  <c r="I25" i="3" s="1"/>
  <c r="H25" i="3" a="1"/>
  <c r="H25" i="3" s="1"/>
  <c r="J25" i="3" a="1"/>
  <c r="J25" i="3" s="1"/>
  <c r="L28" i="3" a="1"/>
  <c r="L28" i="3" s="1"/>
  <c r="I28" i="3" a="1"/>
  <c r="I28" i="3" s="1"/>
  <c r="H28" i="3" a="1"/>
  <c r="H28" i="3" s="1"/>
  <c r="J28" i="3" a="1"/>
  <c r="J28" i="3" s="1"/>
  <c r="I31" i="3" a="1"/>
  <c r="I31" i="3" s="1"/>
  <c r="H31" i="3" a="1"/>
  <c r="H31" i="3" s="1"/>
  <c r="J31" i="3" a="1"/>
  <c r="J31" i="3" s="1"/>
  <c r="I34" i="3" a="1"/>
  <c r="I34" i="3" s="1"/>
  <c r="H34" i="3" a="1"/>
  <c r="H34" i="3" s="1"/>
  <c r="J34" i="3" a="1"/>
  <c r="J34" i="3" s="1"/>
  <c r="L37" i="3" a="1"/>
  <c r="L37" i="3" s="1"/>
  <c r="I37" i="3" a="1"/>
  <c r="I37" i="3" s="1"/>
  <c r="H37" i="3" a="1"/>
  <c r="H37" i="3" s="1"/>
  <c r="J37" i="3" a="1"/>
  <c r="J37" i="3" s="1"/>
  <c r="I40" i="3" a="1"/>
  <c r="I40" i="3" s="1"/>
  <c r="H40" i="3" a="1"/>
  <c r="H40" i="3" s="1"/>
  <c r="J40" i="3" a="1"/>
  <c r="J40" i="3" s="1"/>
  <c r="I43" i="3" a="1"/>
  <c r="I43" i="3" s="1"/>
  <c r="H43" i="3" a="1"/>
  <c r="H43" i="3" s="1"/>
  <c r="J43" i="3" a="1"/>
  <c r="J43" i="3" s="1"/>
  <c r="I46" i="3" a="1"/>
  <c r="I46" i="3" s="1"/>
  <c r="H46" i="3" a="1"/>
  <c r="H46" i="3" s="1"/>
  <c r="J46" i="3" a="1"/>
  <c r="J46" i="3" s="1"/>
  <c r="I49" i="3" a="1"/>
  <c r="I49" i="3" s="1"/>
  <c r="H49" i="3" a="1"/>
  <c r="H49" i="3" s="1"/>
  <c r="J49" i="3" a="1"/>
  <c r="J49" i="3" s="1"/>
  <c r="I52" i="3" a="1"/>
  <c r="I52" i="3" s="1"/>
  <c r="H52" i="3" a="1"/>
  <c r="H52" i="3" s="1"/>
  <c r="J52" i="3" a="1"/>
  <c r="J52" i="3" s="1"/>
  <c r="I55" i="3" a="1"/>
  <c r="I55" i="3" s="1"/>
  <c r="H55" i="3" a="1"/>
  <c r="H55" i="3" s="1"/>
  <c r="J55" i="3" a="1"/>
  <c r="J55" i="3" s="1"/>
  <c r="I58" i="3" a="1"/>
  <c r="I58" i="3" s="1"/>
  <c r="H58" i="3" a="1"/>
  <c r="H58" i="3" s="1"/>
  <c r="J58" i="3" a="1"/>
  <c r="J58" i="3" s="1"/>
  <c r="I61" i="3" a="1"/>
  <c r="I61" i="3" s="1"/>
  <c r="H61" i="3" a="1"/>
  <c r="H61" i="3" s="1"/>
  <c r="J61" i="3" a="1"/>
  <c r="J61" i="3" s="1"/>
  <c r="H64" i="3" a="1"/>
  <c r="H64" i="3" s="1"/>
  <c r="I64" i="3" a="1"/>
  <c r="I64" i="3" s="1"/>
  <c r="J64" i="3" a="1"/>
  <c r="J64" i="3" s="1"/>
  <c r="L67" i="3" a="1"/>
  <c r="L67" i="3" s="1"/>
  <c r="I67" i="3" a="1"/>
  <c r="I67" i="3" s="1"/>
  <c r="H67" i="3" a="1"/>
  <c r="H67" i="3" s="1"/>
  <c r="J67" i="3" a="1"/>
  <c r="J67" i="3" s="1"/>
  <c r="I70" i="3" a="1"/>
  <c r="I70" i="3" s="1"/>
  <c r="H70" i="3" a="1"/>
  <c r="H70" i="3" s="1"/>
  <c r="J70" i="3" a="1"/>
  <c r="J70" i="3" s="1"/>
  <c r="I73" i="3" a="1"/>
  <c r="I73" i="3" s="1"/>
  <c r="H73" i="3" a="1"/>
  <c r="H73" i="3" s="1"/>
  <c r="J73" i="3" a="1"/>
  <c r="J73" i="3" s="1"/>
  <c r="I76" i="3" a="1"/>
  <c r="I76" i="3" s="1"/>
  <c r="H76" i="3" a="1"/>
  <c r="H76" i="3" s="1"/>
  <c r="J76" i="3" a="1"/>
  <c r="J76" i="3" s="1"/>
  <c r="L79" i="3" a="1"/>
  <c r="L79" i="3" s="1"/>
  <c r="I79" i="3" a="1"/>
  <c r="I79" i="3" s="1"/>
  <c r="H79" i="3" a="1"/>
  <c r="H79" i="3" s="1"/>
  <c r="J79" i="3" a="1"/>
  <c r="J79" i="3" s="1"/>
  <c r="I82" i="3" a="1"/>
  <c r="I82" i="3" s="1"/>
  <c r="H82" i="3" a="1"/>
  <c r="H82" i="3" s="1"/>
  <c r="J82" i="3" a="1"/>
  <c r="J82" i="3" s="1"/>
  <c r="H85" i="3" a="1"/>
  <c r="H85" i="3" s="1"/>
  <c r="I85" i="3" a="1"/>
  <c r="I85" i="3" s="1"/>
  <c r="J85" i="3" a="1"/>
  <c r="J85" i="3" s="1"/>
  <c r="L88" i="3" a="1"/>
  <c r="L88" i="3" s="1"/>
  <c r="I88" i="3" a="1"/>
  <c r="I88" i="3" s="1"/>
  <c r="H88" i="3" a="1"/>
  <c r="H88" i="3" s="1"/>
  <c r="J88" i="3" a="1"/>
  <c r="J88" i="3" s="1"/>
  <c r="I91" i="3" a="1"/>
  <c r="I91" i="3" s="1"/>
  <c r="H91" i="3" a="1"/>
  <c r="H91" i="3" s="1"/>
  <c r="J91" i="3" a="1"/>
  <c r="J91" i="3" s="1"/>
  <c r="I94" i="3" a="1"/>
  <c r="I94" i="3" s="1"/>
  <c r="H94" i="3" a="1"/>
  <c r="H94" i="3" s="1"/>
  <c r="J94" i="3" a="1"/>
  <c r="J94" i="3" s="1"/>
  <c r="I97" i="3" a="1"/>
  <c r="I97" i="3" s="1"/>
  <c r="H97" i="3" a="1"/>
  <c r="H97" i="3" s="1"/>
  <c r="J97" i="3" a="1"/>
  <c r="J97" i="3" s="1"/>
  <c r="I100" i="3" a="1"/>
  <c r="I100" i="3" s="1"/>
  <c r="H100" i="3" a="1"/>
  <c r="H100" i="3" s="1"/>
  <c r="J100" i="3" a="1"/>
  <c r="J100" i="3" s="1"/>
  <c r="L103" i="3" a="1"/>
  <c r="L103" i="3" s="1"/>
  <c r="I103" i="3" a="1"/>
  <c r="I103" i="3" s="1"/>
  <c r="H103" i="3" a="1"/>
  <c r="H103" i="3" s="1"/>
  <c r="J103" i="3" a="1"/>
  <c r="J103" i="3" s="1"/>
  <c r="I106" i="3" a="1"/>
  <c r="I106" i="3" s="1"/>
  <c r="H106" i="3" a="1"/>
  <c r="H106" i="3" s="1"/>
  <c r="J106" i="3" a="1"/>
  <c r="J106" i="3" s="1"/>
  <c r="I109" i="3" a="1"/>
  <c r="I109" i="3" s="1"/>
  <c r="H109" i="3" a="1"/>
  <c r="H109" i="3" s="1"/>
  <c r="J109" i="3" a="1"/>
  <c r="J109" i="3" s="1"/>
  <c r="I112" i="3" a="1"/>
  <c r="I112" i="3" s="1"/>
  <c r="H112" i="3" a="1"/>
  <c r="H112" i="3" s="1"/>
  <c r="J112" i="3" a="1"/>
  <c r="J112" i="3" s="1"/>
  <c r="I115" i="3" a="1"/>
  <c r="I115" i="3" s="1"/>
  <c r="H115" i="3" a="1"/>
  <c r="H115" i="3" s="1"/>
  <c r="J115" i="3" a="1"/>
  <c r="J115" i="3" s="1"/>
  <c r="I118" i="3" a="1"/>
  <c r="I118" i="3" s="1"/>
  <c r="H118" i="3" a="1"/>
  <c r="H118" i="3" s="1"/>
  <c r="J118" i="3" a="1"/>
  <c r="J118" i="3" s="1"/>
  <c r="I121" i="3" a="1"/>
  <c r="I121" i="3" s="1"/>
  <c r="H121" i="3" a="1"/>
  <c r="H121" i="3" s="1"/>
  <c r="J121" i="3" a="1"/>
  <c r="J121" i="3" s="1"/>
  <c r="L124" i="3" a="1"/>
  <c r="L124" i="3" s="1"/>
  <c r="I124" i="3" a="1"/>
  <c r="I124" i="3" s="1"/>
  <c r="H124" i="3" a="1"/>
  <c r="H124" i="3" s="1"/>
  <c r="J124" i="3" a="1"/>
  <c r="J124" i="3" s="1"/>
  <c r="I127" i="3" a="1"/>
  <c r="I127" i="3" s="1"/>
  <c r="H127" i="3" a="1"/>
  <c r="H127" i="3" s="1"/>
  <c r="J127" i="3" a="1"/>
  <c r="J127" i="3" s="1"/>
  <c r="I130" i="3" a="1"/>
  <c r="I130" i="3" s="1"/>
  <c r="J130" i="3" a="1"/>
  <c r="J130" i="3" s="1"/>
  <c r="H130" i="3" a="1"/>
  <c r="H130" i="3" s="1"/>
  <c r="I133" i="3" a="1"/>
  <c r="I133" i="3" s="1"/>
  <c r="H133" i="3" a="1"/>
  <c r="H133" i="3" s="1"/>
  <c r="J133" i="3" a="1"/>
  <c r="J133" i="3" s="1"/>
  <c r="I136" i="3" a="1"/>
  <c r="I136" i="3" s="1"/>
  <c r="H136" i="3" a="1"/>
  <c r="H136" i="3" s="1"/>
  <c r="J136" i="3" a="1"/>
  <c r="J136" i="3" s="1"/>
  <c r="I139" i="3" a="1"/>
  <c r="I139" i="3" s="1"/>
  <c r="H139" i="3" a="1"/>
  <c r="H139" i="3" s="1"/>
  <c r="J139" i="3" a="1"/>
  <c r="J139" i="3" s="1"/>
  <c r="L142" i="3" a="1"/>
  <c r="L142" i="3" s="1"/>
  <c r="I142" i="3" a="1"/>
  <c r="I142" i="3" s="1"/>
  <c r="H142" i="3" a="1"/>
  <c r="H142" i="3" s="1"/>
  <c r="J142" i="3" a="1"/>
  <c r="J142" i="3" s="1"/>
  <c r="I145" i="3" a="1"/>
  <c r="I145" i="3" s="1"/>
  <c r="H145" i="3" a="1"/>
  <c r="H145" i="3" s="1"/>
  <c r="J145" i="3" a="1"/>
  <c r="J145" i="3" s="1"/>
  <c r="I148" i="3" a="1"/>
  <c r="I148" i="3" s="1"/>
  <c r="J148" i="3" a="1"/>
  <c r="J148" i="3" s="1"/>
  <c r="H148" i="3" a="1"/>
  <c r="H148" i="3" s="1"/>
  <c r="L151" i="3" a="1"/>
  <c r="L151" i="3" s="1"/>
  <c r="I151" i="3" a="1"/>
  <c r="I151" i="3" s="1"/>
  <c r="J151" i="3" a="1"/>
  <c r="J151" i="3" s="1"/>
  <c r="H151" i="3" a="1"/>
  <c r="H151" i="3" s="1"/>
  <c r="I154" i="3" a="1"/>
  <c r="I154" i="3" s="1"/>
  <c r="H154" i="3" a="1"/>
  <c r="H154" i="3" s="1"/>
  <c r="J154" i="3" a="1"/>
  <c r="J154" i="3" s="1"/>
  <c r="I157" i="3" a="1"/>
  <c r="I157" i="3" s="1"/>
  <c r="H157" i="3" a="1"/>
  <c r="H157" i="3" s="1"/>
  <c r="J157" i="3" a="1"/>
  <c r="J157" i="3" s="1"/>
  <c r="I160" i="3" a="1"/>
  <c r="I160" i="3" s="1"/>
  <c r="H160" i="3" a="1"/>
  <c r="H160" i="3" s="1"/>
  <c r="J160" i="3" a="1"/>
  <c r="J160" i="3" s="1"/>
  <c r="I163" i="3" a="1"/>
  <c r="I163" i="3" s="1"/>
  <c r="H163" i="3" a="1"/>
  <c r="H163" i="3" s="1"/>
  <c r="J163" i="3" a="1"/>
  <c r="J163" i="3" s="1"/>
  <c r="I166" i="3" a="1"/>
  <c r="I166" i="3" s="1"/>
  <c r="H166" i="3" a="1"/>
  <c r="H166" i="3" s="1"/>
  <c r="J166" i="3" a="1"/>
  <c r="J166" i="3" s="1"/>
  <c r="I169" i="3" a="1"/>
  <c r="I169" i="3" s="1"/>
  <c r="H169" i="3" a="1"/>
  <c r="H169" i="3" s="1"/>
  <c r="J169" i="3" a="1"/>
  <c r="J169" i="3" s="1"/>
  <c r="L172" i="3" a="1"/>
  <c r="L172" i="3" s="1"/>
  <c r="I172" i="3" a="1"/>
  <c r="I172" i="3" s="1"/>
  <c r="H172" i="3" a="1"/>
  <c r="H172" i="3" s="1"/>
  <c r="J172" i="3" a="1"/>
  <c r="J172" i="3" s="1"/>
  <c r="I175" i="3" a="1"/>
  <c r="I175" i="3" s="1"/>
  <c r="H175" i="3" a="1"/>
  <c r="H175" i="3" s="1"/>
  <c r="J175" i="3" a="1"/>
  <c r="J175" i="3" s="1"/>
  <c r="I178" i="3" a="1"/>
  <c r="I178" i="3" s="1"/>
  <c r="H178" i="3" a="1"/>
  <c r="H178" i="3" s="1"/>
  <c r="J178" i="3" a="1"/>
  <c r="J178" i="3" s="1"/>
  <c r="I181" i="3" a="1"/>
  <c r="I181" i="3" s="1"/>
  <c r="H181" i="3" a="1"/>
  <c r="H181" i="3" s="1"/>
  <c r="J181" i="3" a="1"/>
  <c r="J181" i="3" s="1"/>
  <c r="I184" i="3" a="1"/>
  <c r="I184" i="3" s="1"/>
  <c r="H184" i="3" a="1"/>
  <c r="H184" i="3" s="1"/>
  <c r="J184" i="3" a="1"/>
  <c r="J184" i="3" s="1"/>
  <c r="I187" i="3" a="1"/>
  <c r="I187" i="3" s="1"/>
  <c r="H187" i="3" a="1"/>
  <c r="H187" i="3" s="1"/>
  <c r="J187" i="3" a="1"/>
  <c r="J187" i="3" s="1"/>
  <c r="L190" i="3" a="1"/>
  <c r="L190" i="3" s="1"/>
  <c r="I190" i="3" a="1"/>
  <c r="I190" i="3" s="1"/>
  <c r="H190" i="3" a="1"/>
  <c r="H190" i="3" s="1"/>
  <c r="J190" i="3" a="1"/>
  <c r="J190" i="3" s="1"/>
  <c r="I193" i="3" a="1"/>
  <c r="I193" i="3" s="1"/>
  <c r="J193" i="3" a="1"/>
  <c r="J193" i="3" s="1"/>
  <c r="H193" i="3" a="1"/>
  <c r="H193" i="3" s="1"/>
  <c r="I196" i="3" a="1"/>
  <c r="I196" i="3" s="1"/>
  <c r="H196" i="3" a="1"/>
  <c r="H196" i="3" s="1"/>
  <c r="J196" i="3" a="1"/>
  <c r="J196" i="3" s="1"/>
  <c r="I199" i="3" a="1"/>
  <c r="I199" i="3" s="1"/>
  <c r="H199" i="3" a="1"/>
  <c r="H199" i="3" s="1"/>
  <c r="J199" i="3" a="1"/>
  <c r="J199" i="3" s="1"/>
  <c r="I202" i="3" a="1"/>
  <c r="I202" i="3" s="1"/>
  <c r="H202" i="3" a="1"/>
  <c r="H202" i="3" s="1"/>
  <c r="J202" i="3" a="1"/>
  <c r="J202" i="3" s="1"/>
  <c r="I205" i="3" a="1"/>
  <c r="I205" i="3" s="1"/>
  <c r="H205" i="3" a="1"/>
  <c r="H205" i="3" s="1"/>
  <c r="J205" i="3" a="1"/>
  <c r="J205" i="3" s="1"/>
  <c r="I208" i="3" a="1"/>
  <c r="I208" i="3" s="1"/>
  <c r="H208" i="3" a="1"/>
  <c r="H208" i="3" s="1"/>
  <c r="J208" i="3" a="1"/>
  <c r="J208" i="3" s="1"/>
  <c r="I211" i="3" a="1"/>
  <c r="I211" i="3" s="1"/>
  <c r="H211" i="3" a="1"/>
  <c r="H211" i="3" s="1"/>
  <c r="J211" i="3" a="1"/>
  <c r="J211" i="3" s="1"/>
  <c r="L214" i="3" a="1"/>
  <c r="L214" i="3" s="1"/>
  <c r="I214" i="3" a="1"/>
  <c r="I214" i="3" s="1"/>
  <c r="H214" i="3" a="1"/>
  <c r="H214" i="3" s="1"/>
  <c r="J214" i="3" a="1"/>
  <c r="J214" i="3" s="1"/>
  <c r="I217" i="3" a="1"/>
  <c r="I217" i="3" s="1"/>
  <c r="H217" i="3" a="1"/>
  <c r="H217" i="3" s="1"/>
  <c r="J217" i="3" a="1"/>
  <c r="J217" i="3" s="1"/>
  <c r="I220" i="3" a="1"/>
  <c r="I220" i="3" s="1"/>
  <c r="H220" i="3" a="1"/>
  <c r="H220" i="3" s="1"/>
  <c r="J220" i="3" a="1"/>
  <c r="J220" i="3" s="1"/>
  <c r="H223" i="3" a="1"/>
  <c r="H223" i="3" s="1"/>
  <c r="I223" i="3" a="1"/>
  <c r="I223" i="3" s="1"/>
  <c r="J223" i="3" a="1"/>
  <c r="J223" i="3" s="1"/>
  <c r="I226" i="3" a="1"/>
  <c r="I226" i="3" s="1"/>
  <c r="H226" i="3" a="1"/>
  <c r="H226" i="3" s="1"/>
  <c r="J226" i="3" a="1"/>
  <c r="J226" i="3" s="1"/>
  <c r="L229" i="3" a="1"/>
  <c r="L229" i="3" s="1"/>
  <c r="I229" i="3" a="1"/>
  <c r="I229" i="3" s="1"/>
  <c r="H229" i="3" a="1"/>
  <c r="H229" i="3" s="1"/>
  <c r="J229" i="3" a="1"/>
  <c r="J229" i="3" s="1"/>
  <c r="I232" i="3" a="1"/>
  <c r="I232" i="3" s="1"/>
  <c r="H232" i="3" a="1"/>
  <c r="H232" i="3" s="1"/>
  <c r="J232" i="3" a="1"/>
  <c r="J232" i="3" s="1"/>
  <c r="I235" i="3" a="1"/>
  <c r="I235" i="3" s="1"/>
  <c r="H235" i="3" a="1"/>
  <c r="H235" i="3" s="1"/>
  <c r="J235" i="3" a="1"/>
  <c r="J235" i="3" s="1"/>
  <c r="I238" i="3" a="1"/>
  <c r="I238" i="3" s="1"/>
  <c r="H238" i="3" a="1"/>
  <c r="H238" i="3" s="1"/>
  <c r="J238" i="3" a="1"/>
  <c r="J238" i="3" s="1"/>
  <c r="I241" i="3" a="1"/>
  <c r="I241" i="3" s="1"/>
  <c r="H241" i="3" a="1"/>
  <c r="H241" i="3" s="1"/>
  <c r="J241" i="3" a="1"/>
  <c r="J241" i="3" s="1"/>
  <c r="I244" i="3" a="1"/>
  <c r="I244" i="3" s="1"/>
  <c r="J244" i="3" a="1"/>
  <c r="J244" i="3" s="1"/>
  <c r="H244" i="3" a="1"/>
  <c r="H244" i="3" s="1"/>
  <c r="I247" i="3" a="1"/>
  <c r="I247" i="3" s="1"/>
  <c r="H247" i="3" a="1"/>
  <c r="H247" i="3" s="1"/>
  <c r="J247" i="3" a="1"/>
  <c r="J247" i="3" s="1"/>
  <c r="I250" i="3" a="1"/>
  <c r="I250" i="3" s="1"/>
  <c r="H250" i="3" a="1"/>
  <c r="H250" i="3" s="1"/>
  <c r="J250" i="3" a="1"/>
  <c r="J250" i="3" s="1"/>
  <c r="I253" i="3" a="1"/>
  <c r="I253" i="3" s="1"/>
  <c r="H253" i="3" a="1"/>
  <c r="H253" i="3" s="1"/>
  <c r="J253" i="3" a="1"/>
  <c r="J253" i="3" s="1"/>
  <c r="I256" i="3" a="1"/>
  <c r="I256" i="3" s="1"/>
  <c r="H256" i="3" a="1"/>
  <c r="H256" i="3" s="1"/>
  <c r="J256" i="3" a="1"/>
  <c r="J256" i="3" s="1"/>
  <c r="I259" i="3" a="1"/>
  <c r="I259" i="3" s="1"/>
  <c r="H259" i="3" a="1"/>
  <c r="H259" i="3" s="1"/>
  <c r="J259" i="3" a="1"/>
  <c r="J259" i="3" s="1"/>
  <c r="L262" i="3" a="1"/>
  <c r="L262" i="3" s="1"/>
  <c r="I262" i="3" a="1"/>
  <c r="I262" i="3" s="1"/>
  <c r="H262" i="3" a="1"/>
  <c r="H262" i="3" s="1"/>
  <c r="J262" i="3" a="1"/>
  <c r="J262" i="3" s="1"/>
  <c r="I265" i="3" a="1"/>
  <c r="I265" i="3" s="1"/>
  <c r="H265" i="3" a="1"/>
  <c r="H265" i="3" s="1"/>
  <c r="J265" i="3" a="1"/>
  <c r="J265" i="3" s="1"/>
  <c r="I268" i="3" a="1"/>
  <c r="I268" i="3" s="1"/>
  <c r="H268" i="3" a="1"/>
  <c r="H268" i="3" s="1"/>
  <c r="J268" i="3" a="1"/>
  <c r="J268" i="3" s="1"/>
  <c r="I271" i="3" a="1"/>
  <c r="I271" i="3" s="1"/>
  <c r="H271" i="3" a="1"/>
  <c r="H271" i="3" s="1"/>
  <c r="J271" i="3" a="1"/>
  <c r="J271" i="3" s="1"/>
  <c r="L274" i="3" a="1"/>
  <c r="L274" i="3" s="1"/>
  <c r="I274" i="3" a="1"/>
  <c r="I274" i="3" s="1"/>
  <c r="H274" i="3" a="1"/>
  <c r="H274" i="3" s="1"/>
  <c r="J274" i="3" a="1"/>
  <c r="J274" i="3" s="1"/>
  <c r="I277" i="3" a="1"/>
  <c r="I277" i="3" s="1"/>
  <c r="H277" i="3" a="1"/>
  <c r="H277" i="3" s="1"/>
  <c r="J277" i="3" a="1"/>
  <c r="J277" i="3" s="1"/>
  <c r="L280" i="3" a="1"/>
  <c r="L280" i="3" s="1"/>
  <c r="I280" i="3" a="1"/>
  <c r="I280" i="3" s="1"/>
  <c r="H280" i="3" a="1"/>
  <c r="H280" i="3" s="1"/>
  <c r="J280" i="3" a="1"/>
  <c r="J280" i="3" s="1"/>
  <c r="L283" i="3" a="1"/>
  <c r="L283" i="3" s="1"/>
  <c r="I283" i="3" a="1"/>
  <c r="I283" i="3" s="1"/>
  <c r="H283" i="3" a="1"/>
  <c r="H283" i="3" s="1"/>
  <c r="J283" i="3" a="1"/>
  <c r="J283" i="3" s="1"/>
  <c r="I286" i="3" a="1"/>
  <c r="I286" i="3" s="1"/>
  <c r="H286" i="3" a="1"/>
  <c r="H286" i="3" s="1"/>
  <c r="J286" i="3" a="1"/>
  <c r="J286" i="3" s="1"/>
  <c r="I289" i="3" a="1"/>
  <c r="I289" i="3" s="1"/>
  <c r="H289" i="3" a="1"/>
  <c r="H289" i="3" s="1"/>
  <c r="J289" i="3" a="1"/>
  <c r="J289" i="3" s="1"/>
  <c r="I292" i="3" a="1"/>
  <c r="I292" i="3" s="1"/>
  <c r="H292" i="3" a="1"/>
  <c r="H292" i="3" s="1"/>
  <c r="J292" i="3" a="1"/>
  <c r="J292" i="3" s="1"/>
  <c r="I295" i="3" a="1"/>
  <c r="I295" i="3" s="1"/>
  <c r="H295" i="3" a="1"/>
  <c r="H295" i="3" s="1"/>
  <c r="J295" i="3" a="1"/>
  <c r="J295" i="3" s="1"/>
  <c r="I298" i="3" a="1"/>
  <c r="I298" i="3" s="1"/>
  <c r="H298" i="3" a="1"/>
  <c r="H298" i="3" s="1"/>
  <c r="J298" i="3" a="1"/>
  <c r="J298" i="3" s="1"/>
  <c r="I301" i="3" a="1"/>
  <c r="I301" i="3" s="1"/>
  <c r="H301" i="3" a="1"/>
  <c r="H301" i="3" s="1"/>
  <c r="J301" i="3" a="1"/>
  <c r="J301" i="3" s="1"/>
  <c r="I304" i="3" a="1"/>
  <c r="I304" i="3" s="1"/>
  <c r="H304" i="3" a="1"/>
  <c r="H304" i="3" s="1"/>
  <c r="J304" i="3" a="1"/>
  <c r="J304" i="3" s="1"/>
  <c r="I307" i="3" a="1"/>
  <c r="I307" i="3" s="1"/>
  <c r="J307" i="3" a="1"/>
  <c r="J307" i="3" s="1"/>
  <c r="H307" i="3" a="1"/>
  <c r="H307" i="3" s="1"/>
  <c r="I310" i="3" a="1"/>
  <c r="I310" i="3" s="1"/>
  <c r="H310" i="3" a="1"/>
  <c r="H310" i="3" s="1"/>
  <c r="J310" i="3" a="1"/>
  <c r="J310" i="3" s="1"/>
  <c r="I313" i="3" a="1"/>
  <c r="I313" i="3" s="1"/>
  <c r="H313" i="3" a="1"/>
  <c r="H313" i="3" s="1"/>
  <c r="J313" i="3" a="1"/>
  <c r="J313" i="3" s="1"/>
  <c r="I316" i="3" a="1"/>
  <c r="I316" i="3" s="1"/>
  <c r="H316" i="3" a="1"/>
  <c r="H316" i="3" s="1"/>
  <c r="J316" i="3" a="1"/>
  <c r="J316" i="3" s="1"/>
  <c r="I319" i="3" a="1"/>
  <c r="I319" i="3" s="1"/>
  <c r="H319" i="3" a="1"/>
  <c r="H319" i="3" s="1"/>
  <c r="J319" i="3" a="1"/>
  <c r="J319" i="3" s="1"/>
  <c r="I322" i="3" a="1"/>
  <c r="I322" i="3" s="1"/>
  <c r="H322" i="3" a="1"/>
  <c r="H322" i="3" s="1"/>
  <c r="J322" i="3" a="1"/>
  <c r="J322" i="3" s="1"/>
  <c r="I325" i="3" a="1"/>
  <c r="I325" i="3" s="1"/>
  <c r="H325" i="3" a="1"/>
  <c r="H325" i="3" s="1"/>
  <c r="J325" i="3" a="1"/>
  <c r="J325" i="3" s="1"/>
  <c r="I328" i="3" a="1"/>
  <c r="I328" i="3" s="1"/>
  <c r="H328" i="3" a="1"/>
  <c r="H328" i="3" s="1"/>
  <c r="J328" i="3" a="1"/>
  <c r="J328" i="3" s="1"/>
  <c r="I331" i="3" a="1"/>
  <c r="I331" i="3" s="1"/>
  <c r="H331" i="3" a="1"/>
  <c r="H331" i="3" s="1"/>
  <c r="J331" i="3" a="1"/>
  <c r="J331" i="3" s="1"/>
  <c r="L334" i="3" a="1"/>
  <c r="L334" i="3" s="1"/>
  <c r="I334" i="3" a="1"/>
  <c r="I334" i="3" s="1"/>
  <c r="H334" i="3" a="1"/>
  <c r="H334" i="3" s="1"/>
  <c r="J334" i="3" a="1"/>
  <c r="J334" i="3" s="1"/>
  <c r="L337" i="3" a="1"/>
  <c r="L337" i="3" s="1"/>
  <c r="I337" i="3" a="1"/>
  <c r="I337" i="3" s="1"/>
  <c r="H337" i="3" a="1"/>
  <c r="H337" i="3" s="1"/>
  <c r="J337" i="3" a="1"/>
  <c r="J337" i="3" s="1"/>
  <c r="I340" i="3" a="1"/>
  <c r="I340" i="3" s="1"/>
  <c r="H340" i="3" a="1"/>
  <c r="H340" i="3" s="1"/>
  <c r="J340" i="3" a="1"/>
  <c r="J340" i="3" s="1"/>
  <c r="L343" i="3" a="1"/>
  <c r="L343" i="3" s="1"/>
  <c r="I343" i="3" a="1"/>
  <c r="I343" i="3" s="1"/>
  <c r="H343" i="3" a="1"/>
  <c r="H343" i="3" s="1"/>
  <c r="J343" i="3" a="1"/>
  <c r="J343" i="3" s="1"/>
  <c r="L346" i="3" a="1"/>
  <c r="L346" i="3" s="1"/>
  <c r="I346" i="3" a="1"/>
  <c r="I346" i="3" s="1"/>
  <c r="H346" i="3" a="1"/>
  <c r="H346" i="3" s="1"/>
  <c r="J346" i="3" a="1"/>
  <c r="J346" i="3" s="1"/>
  <c r="I349" i="3" a="1"/>
  <c r="I349" i="3" s="1"/>
  <c r="H349" i="3" a="1"/>
  <c r="H349" i="3" s="1"/>
  <c r="J349" i="3" a="1"/>
  <c r="J349" i="3" s="1"/>
  <c r="I352" i="3" a="1"/>
  <c r="I352" i="3" s="1"/>
  <c r="H352" i="3" a="1"/>
  <c r="H352" i="3" s="1"/>
  <c r="J352" i="3" a="1"/>
  <c r="J352" i="3" s="1"/>
  <c r="I355" i="3" a="1"/>
  <c r="I355" i="3" s="1"/>
  <c r="H355" i="3" a="1"/>
  <c r="H355" i="3" s="1"/>
  <c r="J355" i="3" a="1"/>
  <c r="J355" i="3" s="1"/>
  <c r="I358" i="3" a="1"/>
  <c r="I358" i="3" s="1"/>
  <c r="J358" i="3" a="1"/>
  <c r="J358" i="3" s="1"/>
  <c r="H358" i="3" a="1"/>
  <c r="H358" i="3" s="1"/>
  <c r="L361" i="3" a="1"/>
  <c r="L361" i="3" s="1"/>
  <c r="I361" i="3" a="1"/>
  <c r="I361" i="3" s="1"/>
  <c r="H361" i="3" a="1"/>
  <c r="H361" i="3" s="1"/>
  <c r="J361" i="3" a="1"/>
  <c r="J361" i="3" s="1"/>
  <c r="I364" i="3" a="1"/>
  <c r="I364" i="3" s="1"/>
  <c r="H364" i="3" a="1"/>
  <c r="H364" i="3" s="1"/>
  <c r="J364" i="3" a="1"/>
  <c r="J364" i="3" s="1"/>
  <c r="I367" i="3" a="1"/>
  <c r="I367" i="3" s="1"/>
  <c r="H367" i="3" a="1"/>
  <c r="H367" i="3" s="1"/>
  <c r="J367" i="3" a="1"/>
  <c r="J367" i="3" s="1"/>
  <c r="I370" i="3" a="1"/>
  <c r="I370" i="3" s="1"/>
  <c r="H370" i="3" a="1"/>
  <c r="H370" i="3" s="1"/>
  <c r="J370" i="3" a="1"/>
  <c r="J370" i="3" s="1"/>
  <c r="L373" i="3" a="1"/>
  <c r="L373" i="3" s="1"/>
  <c r="I373" i="3" a="1"/>
  <c r="I373" i="3" s="1"/>
  <c r="H373" i="3" a="1"/>
  <c r="H373" i="3" s="1"/>
  <c r="J373" i="3" a="1"/>
  <c r="J373" i="3" s="1"/>
  <c r="I376" i="3" a="1"/>
  <c r="I376" i="3" s="1"/>
  <c r="H376" i="3" a="1"/>
  <c r="H376" i="3" s="1"/>
  <c r="J376" i="3" a="1"/>
  <c r="J376" i="3" s="1"/>
  <c r="L379" i="3" a="1"/>
  <c r="L379" i="3" s="1"/>
  <c r="I379" i="3" a="1"/>
  <c r="I379" i="3" s="1"/>
  <c r="H379" i="3" a="1"/>
  <c r="H379" i="3" s="1"/>
  <c r="J379" i="3" a="1"/>
  <c r="J379" i="3" s="1"/>
  <c r="L382" i="3" a="1"/>
  <c r="L382" i="3" s="1"/>
  <c r="I382" i="3" a="1"/>
  <c r="I382" i="3" s="1"/>
  <c r="H382" i="3" a="1"/>
  <c r="H382" i="3" s="1"/>
  <c r="J382" i="3" a="1"/>
  <c r="J382" i="3" s="1"/>
  <c r="I385" i="3" a="1"/>
  <c r="I385" i="3" s="1"/>
  <c r="H385" i="3" a="1"/>
  <c r="H385" i="3" s="1"/>
  <c r="J385" i="3" a="1"/>
  <c r="J385" i="3" s="1"/>
  <c r="I388" i="3" a="1"/>
  <c r="I388" i="3" s="1"/>
  <c r="H388" i="3" a="1"/>
  <c r="H388" i="3" s="1"/>
  <c r="J388" i="3" a="1"/>
  <c r="J388" i="3" s="1"/>
  <c r="I391" i="3" a="1"/>
  <c r="I391" i="3" s="1"/>
  <c r="H391" i="3" a="1"/>
  <c r="H391" i="3" s="1"/>
  <c r="J391" i="3" a="1"/>
  <c r="J391" i="3" s="1"/>
  <c r="I394" i="3" a="1"/>
  <c r="I394" i="3" s="1"/>
  <c r="H394" i="3" a="1"/>
  <c r="H394" i="3" s="1"/>
  <c r="J394" i="3" a="1"/>
  <c r="J394" i="3" s="1"/>
  <c r="I397" i="3" a="1"/>
  <c r="I397" i="3" s="1"/>
  <c r="H397" i="3" a="1"/>
  <c r="H397" i="3" s="1"/>
  <c r="J397" i="3" a="1"/>
  <c r="J397" i="3" s="1"/>
  <c r="I400" i="3" a="1"/>
  <c r="I400" i="3" s="1"/>
  <c r="H400" i="3" a="1"/>
  <c r="H400" i="3" s="1"/>
  <c r="J400" i="3" a="1"/>
  <c r="J400" i="3" s="1"/>
  <c r="L403" i="3" a="1"/>
  <c r="L403" i="3" s="1"/>
  <c r="I403" i="3" a="1"/>
  <c r="I403" i="3" s="1"/>
  <c r="H403" i="3" a="1"/>
  <c r="H403" i="3" s="1"/>
  <c r="J403" i="3" a="1"/>
  <c r="J403" i="3" s="1"/>
  <c r="L406" i="3" a="1"/>
  <c r="L406" i="3" s="1"/>
  <c r="I406" i="3" a="1"/>
  <c r="I406" i="3" s="1"/>
  <c r="H406" i="3" a="1"/>
  <c r="H406" i="3" s="1"/>
  <c r="J406" i="3" a="1"/>
  <c r="J406" i="3" s="1"/>
  <c r="I409" i="3" a="1"/>
  <c r="I409" i="3" s="1"/>
  <c r="H409" i="3" a="1"/>
  <c r="H409" i="3" s="1"/>
  <c r="J409" i="3" a="1"/>
  <c r="J409" i="3" s="1"/>
  <c r="I412" i="3" a="1"/>
  <c r="I412" i="3" s="1"/>
  <c r="H412" i="3" a="1"/>
  <c r="H412" i="3" s="1"/>
  <c r="J412" i="3" a="1"/>
  <c r="J412" i="3" s="1"/>
  <c r="I415" i="3" a="1"/>
  <c r="I415" i="3" s="1"/>
  <c r="H415" i="3" a="1"/>
  <c r="H415" i="3" s="1"/>
  <c r="J415" i="3" a="1"/>
  <c r="J415" i="3" s="1"/>
  <c r="I418" i="3" a="1"/>
  <c r="I418" i="3" s="1"/>
  <c r="H418" i="3" a="1"/>
  <c r="H418" i="3" s="1"/>
  <c r="J418" i="3" a="1"/>
  <c r="J418" i="3" s="1"/>
  <c r="I421" i="3" a="1"/>
  <c r="I421" i="3" s="1"/>
  <c r="H421" i="3" a="1"/>
  <c r="H421" i="3" s="1"/>
  <c r="J421" i="3" a="1"/>
  <c r="J421" i="3" s="1"/>
  <c r="I424" i="3" a="1"/>
  <c r="I424" i="3" s="1"/>
  <c r="H424" i="3" a="1"/>
  <c r="H424" i="3" s="1"/>
  <c r="J424" i="3" a="1"/>
  <c r="J424" i="3" s="1"/>
  <c r="I427" i="3" a="1"/>
  <c r="I427" i="3" s="1"/>
  <c r="H427" i="3" a="1"/>
  <c r="H427" i="3" s="1"/>
  <c r="J427" i="3" a="1"/>
  <c r="J427" i="3" s="1"/>
  <c r="I430" i="3" a="1"/>
  <c r="I430" i="3" s="1"/>
  <c r="H430" i="3" a="1"/>
  <c r="H430" i="3" s="1"/>
  <c r="J430" i="3" a="1"/>
  <c r="J430" i="3" s="1"/>
  <c r="I433" i="3" a="1"/>
  <c r="I433" i="3" s="1"/>
  <c r="H433" i="3" a="1"/>
  <c r="H433" i="3" s="1"/>
  <c r="J433" i="3" a="1"/>
  <c r="J433" i="3" s="1"/>
  <c r="I436" i="3" a="1"/>
  <c r="I436" i="3" s="1"/>
  <c r="H436" i="3" a="1"/>
  <c r="H436" i="3" s="1"/>
  <c r="J436" i="3" a="1"/>
  <c r="J436" i="3" s="1"/>
  <c r="L439" i="3" a="1"/>
  <c r="L439" i="3" s="1"/>
  <c r="I439" i="3" a="1"/>
  <c r="I439" i="3" s="1"/>
  <c r="H439" i="3" a="1"/>
  <c r="H439" i="3" s="1"/>
  <c r="J439" i="3" a="1"/>
  <c r="J439" i="3" s="1"/>
  <c r="L442" i="3" a="1"/>
  <c r="L442" i="3" s="1"/>
  <c r="I442" i="3" a="1"/>
  <c r="I442" i="3" s="1"/>
  <c r="H442" i="3" a="1"/>
  <c r="H442" i="3" s="1"/>
  <c r="J442" i="3" a="1"/>
  <c r="J442" i="3" s="1"/>
  <c r="I445" i="3" a="1"/>
  <c r="I445" i="3" s="1"/>
  <c r="H445" i="3" a="1"/>
  <c r="H445" i="3" s="1"/>
  <c r="J445" i="3" a="1"/>
  <c r="J445" i="3" s="1"/>
  <c r="I448" i="3" a="1"/>
  <c r="I448" i="3" s="1"/>
  <c r="H448" i="3" a="1"/>
  <c r="H448" i="3" s="1"/>
  <c r="J448" i="3" a="1"/>
  <c r="J448" i="3" s="1"/>
  <c r="I451" i="3" a="1"/>
  <c r="I451" i="3" s="1"/>
  <c r="H451" i="3" a="1"/>
  <c r="H451" i="3" s="1"/>
  <c r="J451" i="3" a="1"/>
  <c r="J451" i="3" s="1"/>
  <c r="I454" i="3" a="1"/>
  <c r="I454" i="3" s="1"/>
  <c r="H454" i="3" a="1"/>
  <c r="H454" i="3" s="1"/>
  <c r="J454" i="3" a="1"/>
  <c r="J454" i="3" s="1"/>
  <c r="I457" i="3" a="1"/>
  <c r="I457" i="3" s="1"/>
  <c r="H457" i="3" a="1"/>
  <c r="H457" i="3" s="1"/>
  <c r="J457" i="3" a="1"/>
  <c r="J457" i="3" s="1"/>
  <c r="I460" i="3" a="1"/>
  <c r="I460" i="3" s="1"/>
  <c r="H460" i="3" a="1"/>
  <c r="H460" i="3" s="1"/>
  <c r="J460" i="3" a="1"/>
  <c r="J460" i="3" s="1"/>
  <c r="I463" i="3" a="1"/>
  <c r="I463" i="3" s="1"/>
  <c r="H463" i="3" a="1"/>
  <c r="H463" i="3" s="1"/>
  <c r="J463" i="3" a="1"/>
  <c r="J463" i="3" s="1"/>
  <c r="I466" i="3" a="1"/>
  <c r="I466" i="3" s="1"/>
  <c r="H466" i="3" a="1"/>
  <c r="H466" i="3" s="1"/>
  <c r="J466" i="3" a="1"/>
  <c r="J466" i="3" s="1"/>
  <c r="I469" i="3" a="1"/>
  <c r="I469" i="3" s="1"/>
  <c r="H469" i="3" a="1"/>
  <c r="H469" i="3" s="1"/>
  <c r="J469" i="3" a="1"/>
  <c r="J469" i="3" s="1"/>
  <c r="I472" i="3" a="1"/>
  <c r="I472" i="3" s="1"/>
  <c r="H472" i="3" a="1"/>
  <c r="H472" i="3" s="1"/>
  <c r="J472" i="3" a="1"/>
  <c r="J472" i="3" s="1"/>
  <c r="I475" i="3" a="1"/>
  <c r="I475" i="3" s="1"/>
  <c r="H475" i="3" a="1"/>
  <c r="H475" i="3" s="1"/>
  <c r="J475" i="3" a="1"/>
  <c r="J475" i="3" s="1"/>
  <c r="L478" i="3" a="1"/>
  <c r="L478" i="3" s="1"/>
  <c r="I478" i="3" a="1"/>
  <c r="I478" i="3" s="1"/>
  <c r="H478" i="3" a="1"/>
  <c r="H478" i="3" s="1"/>
  <c r="J478" i="3" a="1"/>
  <c r="J478" i="3" s="1"/>
  <c r="I484" i="3" a="1"/>
  <c r="I484" i="3" s="1"/>
  <c r="H484" i="3" a="1"/>
  <c r="H484" i="3" s="1"/>
  <c r="J484" i="3" a="1"/>
  <c r="J484" i="3" s="1"/>
  <c r="H490" i="3" a="1"/>
  <c r="H490" i="3" s="1"/>
  <c r="I490" i="3" a="1"/>
  <c r="I490" i="3" s="1"/>
  <c r="J490" i="3" a="1"/>
  <c r="J490" i="3" s="1"/>
  <c r="I496" i="3" a="1"/>
  <c r="I496" i="3" s="1"/>
  <c r="H496" i="3" a="1"/>
  <c r="H496" i="3" s="1"/>
  <c r="J496" i="3" a="1"/>
  <c r="J496" i="3" s="1"/>
  <c r="L502" i="3" a="1"/>
  <c r="L502" i="3" s="1"/>
  <c r="I502" i="3" a="1"/>
  <c r="I502" i="3" s="1"/>
  <c r="H502" i="3" a="1"/>
  <c r="H502" i="3" s="1"/>
  <c r="J502" i="3" a="1"/>
  <c r="J502" i="3" s="1"/>
  <c r="I508" i="3" a="1"/>
  <c r="I508" i="3" s="1"/>
  <c r="H508" i="3" a="1"/>
  <c r="H508" i="3" s="1"/>
  <c r="J508" i="3" a="1"/>
  <c r="J508" i="3" s="1"/>
  <c r="I514" i="3" a="1"/>
  <c r="I514" i="3" s="1"/>
  <c r="H514" i="3" a="1"/>
  <c r="H514" i="3" s="1"/>
  <c r="J514" i="3" a="1"/>
  <c r="J514" i="3" s="1"/>
  <c r="I520" i="3" a="1"/>
  <c r="I520" i="3" s="1"/>
  <c r="H520" i="3" a="1"/>
  <c r="H520" i="3" s="1"/>
  <c r="J520" i="3" a="1"/>
  <c r="J520" i="3" s="1"/>
  <c r="I526" i="3" a="1"/>
  <c r="I526" i="3" s="1"/>
  <c r="H526" i="3" a="1"/>
  <c r="H526" i="3" s="1"/>
  <c r="J526" i="3" a="1"/>
  <c r="J526" i="3" s="1"/>
  <c r="I532" i="3" a="1"/>
  <c r="I532" i="3" s="1"/>
  <c r="H532" i="3" a="1"/>
  <c r="H532" i="3" s="1"/>
  <c r="J532" i="3" a="1"/>
  <c r="J532" i="3" s="1"/>
  <c r="I538" i="3" a="1"/>
  <c r="I538" i="3" s="1"/>
  <c r="H538" i="3" a="1"/>
  <c r="H538" i="3" s="1"/>
  <c r="J538" i="3" a="1"/>
  <c r="J538" i="3" s="1"/>
  <c r="L544" i="3" a="1"/>
  <c r="L544" i="3" s="1"/>
  <c r="I544" i="3" a="1"/>
  <c r="I544" i="3" s="1"/>
  <c r="H544" i="3" a="1"/>
  <c r="H544" i="3" s="1"/>
  <c r="J544" i="3" a="1"/>
  <c r="J544" i="3" s="1"/>
  <c r="I550" i="3" a="1"/>
  <c r="I550" i="3" s="1"/>
  <c r="H550" i="3" a="1"/>
  <c r="H550" i="3" s="1"/>
  <c r="J550" i="3" a="1"/>
  <c r="J550" i="3" s="1"/>
  <c r="L556" i="3" a="1"/>
  <c r="L556" i="3" s="1"/>
  <c r="I556" i="3" a="1"/>
  <c r="I556" i="3" s="1"/>
  <c r="H556" i="3" a="1"/>
  <c r="H556" i="3" s="1"/>
  <c r="J556" i="3" a="1"/>
  <c r="J556" i="3" s="1"/>
  <c r="I562" i="3" a="1"/>
  <c r="I562" i="3" s="1"/>
  <c r="H562" i="3" a="1"/>
  <c r="H562" i="3" s="1"/>
  <c r="J562" i="3" a="1"/>
  <c r="J562" i="3" s="1"/>
  <c r="L568" i="3" a="1"/>
  <c r="L568" i="3" s="1"/>
  <c r="I568" i="3" a="1"/>
  <c r="I568" i="3" s="1"/>
  <c r="H568" i="3" a="1"/>
  <c r="H568" i="3" s="1"/>
  <c r="J568" i="3" a="1"/>
  <c r="J568" i="3" s="1"/>
  <c r="I574" i="3" a="1"/>
  <c r="I574" i="3" s="1"/>
  <c r="H574" i="3" a="1"/>
  <c r="H574" i="3" s="1"/>
  <c r="J574" i="3" a="1"/>
  <c r="J574" i="3" s="1"/>
  <c r="I580" i="3" a="1"/>
  <c r="I580" i="3" s="1"/>
  <c r="H580" i="3" a="1"/>
  <c r="H580" i="3" s="1"/>
  <c r="J580" i="3" a="1"/>
  <c r="J580" i="3" s="1"/>
  <c r="I586" i="3" a="1"/>
  <c r="I586" i="3" s="1"/>
  <c r="H586" i="3" a="1"/>
  <c r="H586" i="3" s="1"/>
  <c r="J586" i="3" a="1"/>
  <c r="J586" i="3" s="1"/>
  <c r="I592" i="3" a="1"/>
  <c r="I592" i="3" s="1"/>
  <c r="H592" i="3" a="1"/>
  <c r="H592" i="3" s="1"/>
  <c r="J592" i="3" a="1"/>
  <c r="J592" i="3" s="1"/>
  <c r="I598" i="3" a="1"/>
  <c r="I598" i="3" s="1"/>
  <c r="H598" i="3" a="1"/>
  <c r="H598" i="3" s="1"/>
  <c r="J598" i="3" a="1"/>
  <c r="J598" i="3" s="1"/>
  <c r="L604" i="3" a="1"/>
  <c r="L604" i="3" s="1"/>
  <c r="I604" i="3" a="1"/>
  <c r="I604" i="3" s="1"/>
  <c r="H604" i="3" a="1"/>
  <c r="H604" i="3" s="1"/>
  <c r="J604" i="3" a="1"/>
  <c r="J604" i="3" s="1"/>
  <c r="H610" i="3" a="1"/>
  <c r="H610" i="3" s="1"/>
  <c r="I610" i="3" a="1"/>
  <c r="I610" i="3" s="1"/>
  <c r="J610" i="3" a="1"/>
  <c r="J610" i="3" s="1"/>
  <c r="I616" i="3" a="1"/>
  <c r="I616" i="3" s="1"/>
  <c r="H616" i="3" a="1"/>
  <c r="H616" i="3" s="1"/>
  <c r="J616" i="3" a="1"/>
  <c r="J616" i="3" s="1"/>
  <c r="L622" i="3" a="1"/>
  <c r="L622" i="3" s="1"/>
  <c r="I622" i="3" a="1"/>
  <c r="I622" i="3" s="1"/>
  <c r="H622" i="3" a="1"/>
  <c r="H622" i="3" s="1"/>
  <c r="J622" i="3" a="1"/>
  <c r="J622" i="3" s="1"/>
  <c r="I628" i="3" a="1"/>
  <c r="I628" i="3" s="1"/>
  <c r="H628" i="3" a="1"/>
  <c r="H628" i="3" s="1"/>
  <c r="J628" i="3" a="1"/>
  <c r="J628" i="3" s="1"/>
  <c r="I634" i="3" a="1"/>
  <c r="I634" i="3" s="1"/>
  <c r="H634" i="3" a="1"/>
  <c r="H634" i="3" s="1"/>
  <c r="J634" i="3" a="1"/>
  <c r="J634" i="3" s="1"/>
  <c r="I640" i="3" a="1"/>
  <c r="I640" i="3" s="1"/>
  <c r="H640" i="3" a="1"/>
  <c r="H640" i="3" s="1"/>
  <c r="J640" i="3" a="1"/>
  <c r="J640" i="3" s="1"/>
  <c r="L646" i="3" a="1"/>
  <c r="L646" i="3" s="1"/>
  <c r="I646" i="3" a="1"/>
  <c r="I646" i="3" s="1"/>
  <c r="H646" i="3" a="1"/>
  <c r="H646" i="3" s="1"/>
  <c r="J646" i="3" a="1"/>
  <c r="J646" i="3" s="1"/>
  <c r="I652" i="3" a="1"/>
  <c r="I652" i="3" s="1"/>
  <c r="H652" i="3" a="1"/>
  <c r="H652" i="3" s="1"/>
  <c r="J652" i="3" a="1"/>
  <c r="J652" i="3" s="1"/>
  <c r="L658" i="3" a="1"/>
  <c r="L658" i="3" s="1"/>
  <c r="I658" i="3" a="1"/>
  <c r="I658" i="3" s="1"/>
  <c r="J658" i="3" a="1"/>
  <c r="J658" i="3" s="1"/>
  <c r="H658" i="3" a="1"/>
  <c r="H658" i="3" s="1"/>
  <c r="I664" i="3" a="1"/>
  <c r="I664" i="3" s="1"/>
  <c r="H664" i="3" a="1"/>
  <c r="H664" i="3" s="1"/>
  <c r="I670" i="3" a="1"/>
  <c r="I670" i="3" s="1"/>
  <c r="H670" i="3" a="1"/>
  <c r="H670" i="3" s="1"/>
  <c r="J670" i="3" a="1"/>
  <c r="J670" i="3" s="1"/>
  <c r="I676" i="3" a="1"/>
  <c r="I676" i="3" s="1"/>
  <c r="H676" i="3" a="1"/>
  <c r="H676" i="3" s="1"/>
  <c r="J676" i="3" a="1"/>
  <c r="J676" i="3" s="1"/>
  <c r="L682" i="3" a="1"/>
  <c r="L682" i="3" s="1"/>
  <c r="I682" i="3" a="1"/>
  <c r="I682" i="3" s="1"/>
  <c r="H682" i="3" a="1"/>
  <c r="H682" i="3" s="1"/>
  <c r="J682" i="3" a="1"/>
  <c r="J682" i="3" s="1"/>
  <c r="I688" i="3" a="1"/>
  <c r="I688" i="3" s="1"/>
  <c r="H688" i="3" a="1"/>
  <c r="H688" i="3" s="1"/>
  <c r="L694" i="3" a="1"/>
  <c r="L694" i="3" s="1"/>
  <c r="I694" i="3" a="1"/>
  <c r="I694" i="3" s="1"/>
  <c r="H694" i="3" a="1"/>
  <c r="H694" i="3" s="1"/>
  <c r="J694" i="3" a="1"/>
  <c r="J694" i="3" s="1"/>
  <c r="I700" i="3" a="1"/>
  <c r="I700" i="3" s="1"/>
  <c r="H700" i="3" a="1"/>
  <c r="H700" i="3" s="1"/>
  <c r="J700" i="3" a="1"/>
  <c r="J700" i="3" s="1"/>
  <c r="L706" i="3" a="1"/>
  <c r="L706" i="3" s="1"/>
  <c r="I706" i="3" a="1"/>
  <c r="I706" i="3" s="1"/>
  <c r="H706" i="3" a="1"/>
  <c r="H706" i="3" s="1"/>
  <c r="J706" i="3" a="1"/>
  <c r="J706" i="3" s="1"/>
  <c r="I712" i="3" a="1"/>
  <c r="I712" i="3" s="1"/>
  <c r="H712" i="3" a="1"/>
  <c r="H712" i="3" s="1"/>
  <c r="J712" i="3" a="1"/>
  <c r="J712" i="3" s="1"/>
  <c r="L718" i="3" a="1"/>
  <c r="L718" i="3" s="1"/>
  <c r="I718" i="3" a="1"/>
  <c r="I718" i="3" s="1"/>
  <c r="H718" i="3" a="1"/>
  <c r="H718" i="3" s="1"/>
  <c r="J718" i="3" a="1"/>
  <c r="J718" i="3" s="1"/>
  <c r="L724" i="3" a="1"/>
  <c r="L724" i="3" s="1"/>
  <c r="I724" i="3" a="1"/>
  <c r="I724" i="3" s="1"/>
  <c r="H724" i="3" a="1"/>
  <c r="H724" i="3" s="1"/>
  <c r="J724" i="3" a="1"/>
  <c r="J724" i="3" s="1"/>
  <c r="I730" i="3" a="1"/>
  <c r="I730" i="3" s="1"/>
  <c r="H730" i="3" a="1"/>
  <c r="H730" i="3" s="1"/>
  <c r="J730" i="3" a="1"/>
  <c r="J730" i="3" s="1"/>
  <c r="L736" i="3" a="1"/>
  <c r="L736" i="3" s="1"/>
  <c r="I736" i="3" a="1"/>
  <c r="I736" i="3" s="1"/>
  <c r="H736" i="3" a="1"/>
  <c r="H736" i="3" s="1"/>
  <c r="J736" i="3" a="1"/>
  <c r="J736" i="3" s="1"/>
  <c r="I742" i="3" a="1"/>
  <c r="I742" i="3" s="1"/>
  <c r="H742" i="3" a="1"/>
  <c r="H742" i="3" s="1"/>
  <c r="J742" i="3" a="1"/>
  <c r="J742" i="3" s="1"/>
  <c r="I748" i="3" a="1"/>
  <c r="I748" i="3" s="1"/>
  <c r="H748" i="3" a="1"/>
  <c r="H748" i="3" s="1"/>
  <c r="J748" i="3" a="1"/>
  <c r="J748" i="3" s="1"/>
  <c r="L754" i="3" a="1"/>
  <c r="L754" i="3" s="1"/>
  <c r="I754" i="3" a="1"/>
  <c r="I754" i="3" s="1"/>
  <c r="H754" i="3" a="1"/>
  <c r="H754" i="3" s="1"/>
  <c r="J754" i="3" a="1"/>
  <c r="J754" i="3" s="1"/>
  <c r="I760" i="3" a="1"/>
  <c r="I760" i="3" s="1"/>
  <c r="H760" i="3" a="1"/>
  <c r="H760" i="3" s="1"/>
  <c r="J760" i="3" a="1"/>
  <c r="J760" i="3" s="1"/>
  <c r="L766" i="3" a="1"/>
  <c r="L766" i="3" s="1"/>
  <c r="I766" i="3" a="1"/>
  <c r="I766" i="3" s="1"/>
  <c r="H766" i="3" a="1"/>
  <c r="H766" i="3" s="1"/>
  <c r="J766" i="3" a="1"/>
  <c r="J766" i="3" s="1"/>
  <c r="I772" i="3" a="1"/>
  <c r="I772" i="3" s="1"/>
  <c r="H772" i="3" a="1"/>
  <c r="H772" i="3" s="1"/>
  <c r="J772" i="3" a="1"/>
  <c r="J772" i="3" s="1"/>
  <c r="L778" i="3" a="1"/>
  <c r="L778" i="3" s="1"/>
  <c r="I778" i="3" a="1"/>
  <c r="I778" i="3" s="1"/>
  <c r="H778" i="3" a="1"/>
  <c r="H778" i="3" s="1"/>
  <c r="J778" i="3" a="1"/>
  <c r="J778" i="3" s="1"/>
  <c r="I784" i="3" a="1"/>
  <c r="I784" i="3" s="1"/>
  <c r="H784" i="3" a="1"/>
  <c r="H784" i="3" s="1"/>
  <c r="J784" i="3" a="1"/>
  <c r="J784" i="3" s="1"/>
  <c r="L790" i="3" a="1"/>
  <c r="L790" i="3" s="1"/>
  <c r="I790" i="3" a="1"/>
  <c r="I790" i="3" s="1"/>
  <c r="H790" i="3" a="1"/>
  <c r="H790" i="3" s="1"/>
  <c r="I796" i="3" a="1"/>
  <c r="I796" i="3" s="1"/>
  <c r="H796" i="3" a="1"/>
  <c r="H796" i="3" s="1"/>
  <c r="J796" i="3" a="1"/>
  <c r="J796" i="3" s="1"/>
  <c r="I802" i="3" a="1"/>
  <c r="I802" i="3" s="1"/>
  <c r="H802" i="3" a="1"/>
  <c r="H802" i="3" s="1"/>
  <c r="J802" i="3" a="1"/>
  <c r="J802" i="3" s="1"/>
  <c r="I808" i="3" a="1"/>
  <c r="I808" i="3" s="1"/>
  <c r="H808" i="3" a="1"/>
  <c r="H808" i="3" s="1"/>
  <c r="J808" i="3" a="1"/>
  <c r="J808" i="3" s="1"/>
  <c r="L814" i="3" a="1"/>
  <c r="L814" i="3" s="1"/>
  <c r="I814" i="3" a="1"/>
  <c r="I814" i="3" s="1"/>
  <c r="H814" i="3" a="1"/>
  <c r="H814" i="3" s="1"/>
  <c r="J814" i="3" a="1"/>
  <c r="J814" i="3" s="1"/>
  <c r="I820" i="3" a="1"/>
  <c r="I820" i="3" s="1"/>
  <c r="H820" i="3" a="1"/>
  <c r="H820" i="3" s="1"/>
  <c r="J820" i="3" a="1"/>
  <c r="J820" i="3" s="1"/>
  <c r="L826" i="3" a="1"/>
  <c r="L826" i="3" s="1"/>
  <c r="I826" i="3" a="1"/>
  <c r="I826" i="3" s="1"/>
  <c r="H826" i="3" a="1"/>
  <c r="H826" i="3" s="1"/>
  <c r="J826" i="3" a="1"/>
  <c r="J826" i="3" s="1"/>
  <c r="I832" i="3" a="1"/>
  <c r="I832" i="3" s="1"/>
  <c r="H832" i="3" a="1"/>
  <c r="H832" i="3" s="1"/>
  <c r="J832" i="3" a="1"/>
  <c r="J832" i="3" s="1"/>
  <c r="I838" i="3" a="1"/>
  <c r="I838" i="3" s="1"/>
  <c r="J838" i="3" a="1"/>
  <c r="J838" i="3" s="1"/>
  <c r="H838" i="3" a="1"/>
  <c r="H838" i="3" s="1"/>
  <c r="I844" i="3" a="1"/>
  <c r="I844" i="3" s="1"/>
  <c r="H844" i="3" a="1"/>
  <c r="H844" i="3" s="1"/>
  <c r="J844" i="3" a="1"/>
  <c r="J844" i="3" s="1"/>
  <c r="I850" i="3" a="1"/>
  <c r="I850" i="3" s="1"/>
  <c r="H850" i="3" a="1"/>
  <c r="H850" i="3" s="1"/>
  <c r="J850" i="3" a="1"/>
  <c r="J850" i="3" s="1"/>
  <c r="I856" i="3" a="1"/>
  <c r="I856" i="3" s="1"/>
  <c r="H856" i="3" a="1"/>
  <c r="H856" i="3" s="1"/>
  <c r="J856" i="3" a="1"/>
  <c r="J856" i="3" s="1"/>
  <c r="L862" i="3" a="1"/>
  <c r="L862" i="3" s="1"/>
  <c r="I862" i="3" a="1"/>
  <c r="I862" i="3" s="1"/>
  <c r="H862" i="3" a="1"/>
  <c r="H862" i="3" s="1"/>
  <c r="J862" i="3" a="1"/>
  <c r="J862" i="3" s="1"/>
  <c r="I868" i="3" a="1"/>
  <c r="I868" i="3" s="1"/>
  <c r="H868" i="3" a="1"/>
  <c r="H868" i="3" s="1"/>
  <c r="J868" i="3" a="1"/>
  <c r="J868" i="3" s="1"/>
  <c r="L874" i="3" a="1"/>
  <c r="L874" i="3" s="1"/>
  <c r="I874" i="3" a="1"/>
  <c r="I874" i="3" s="1"/>
  <c r="H874" i="3" a="1"/>
  <c r="H874" i="3" s="1"/>
  <c r="J874" i="3" a="1"/>
  <c r="J874" i="3" s="1"/>
  <c r="I880" i="3" a="1"/>
  <c r="I880" i="3" s="1"/>
  <c r="H880" i="3" a="1"/>
  <c r="H880" i="3" s="1"/>
  <c r="J880" i="3" a="1"/>
  <c r="J880" i="3" s="1"/>
  <c r="I886" i="3" a="1"/>
  <c r="I886" i="3" s="1"/>
  <c r="H886" i="3" a="1"/>
  <c r="H886" i="3" s="1"/>
  <c r="J886" i="3" a="1"/>
  <c r="J886" i="3" s="1"/>
  <c r="L892" i="3" a="1"/>
  <c r="L892" i="3" s="1"/>
  <c r="I892" i="3" a="1"/>
  <c r="I892" i="3" s="1"/>
  <c r="H892" i="3" a="1"/>
  <c r="H892" i="3" s="1"/>
  <c r="J892" i="3" a="1"/>
  <c r="J892" i="3" s="1"/>
  <c r="I898" i="3" a="1"/>
  <c r="I898" i="3" s="1"/>
  <c r="H898" i="3" a="1"/>
  <c r="H898" i="3" s="1"/>
  <c r="J898" i="3" a="1"/>
  <c r="J898" i="3" s="1"/>
  <c r="L904" i="3" a="1"/>
  <c r="L904" i="3" s="1"/>
  <c r="I904" i="3" a="1"/>
  <c r="I904" i="3" s="1"/>
  <c r="H904" i="3" a="1"/>
  <c r="H904" i="3" s="1"/>
  <c r="J904" i="3" a="1"/>
  <c r="J904" i="3" s="1"/>
  <c r="L910" i="3" a="1"/>
  <c r="L910" i="3" s="1"/>
  <c r="I910" i="3" a="1"/>
  <c r="I910" i="3" s="1"/>
  <c r="H910" i="3" a="1"/>
  <c r="H910" i="3" s="1"/>
  <c r="J910" i="3" a="1"/>
  <c r="J910" i="3" s="1"/>
  <c r="I916" i="3" a="1"/>
  <c r="I916" i="3" s="1"/>
  <c r="H916" i="3" a="1"/>
  <c r="H916" i="3" s="1"/>
  <c r="J916" i="3" a="1"/>
  <c r="J916" i="3" s="1"/>
  <c r="L922" i="3" a="1"/>
  <c r="L922" i="3" s="1"/>
  <c r="I922" i="3" a="1"/>
  <c r="I922" i="3" s="1"/>
  <c r="H922" i="3" a="1"/>
  <c r="H922" i="3" s="1"/>
  <c r="J922" i="3" a="1"/>
  <c r="J922" i="3" s="1"/>
  <c r="L928" i="3" a="1"/>
  <c r="L928" i="3" s="1"/>
  <c r="I928" i="3" a="1"/>
  <c r="I928" i="3" s="1"/>
  <c r="H928" i="3" a="1"/>
  <c r="H928" i="3" s="1"/>
  <c r="J928" i="3" a="1"/>
  <c r="J928" i="3" s="1"/>
  <c r="I934" i="3" a="1"/>
  <c r="I934" i="3" s="1"/>
  <c r="H934" i="3" a="1"/>
  <c r="H934" i="3" s="1"/>
  <c r="J934" i="3" a="1"/>
  <c r="J934" i="3" s="1"/>
  <c r="L940" i="3" a="1"/>
  <c r="L940" i="3" s="1"/>
  <c r="I940" i="3" a="1"/>
  <c r="I940" i="3" s="1"/>
  <c r="H940" i="3" a="1"/>
  <c r="H940" i="3" s="1"/>
  <c r="J940" i="3" a="1"/>
  <c r="J940" i="3" s="1"/>
  <c r="I946" i="3" a="1"/>
  <c r="I946" i="3" s="1"/>
  <c r="H946" i="3" a="1"/>
  <c r="H946" i="3" s="1"/>
  <c r="J946" i="3" a="1"/>
  <c r="J946" i="3" s="1"/>
  <c r="L952" i="3" a="1"/>
  <c r="L952" i="3" s="1"/>
  <c r="I952" i="3" a="1"/>
  <c r="I952" i="3" s="1"/>
  <c r="H952" i="3" a="1"/>
  <c r="H952" i="3" s="1"/>
  <c r="J952" i="3" a="1"/>
  <c r="J952" i="3" s="1"/>
  <c r="L958" i="3" a="1"/>
  <c r="L958" i="3" s="1"/>
  <c r="I958" i="3" a="1"/>
  <c r="I958" i="3" s="1"/>
  <c r="H958" i="3" a="1"/>
  <c r="H958" i="3" s="1"/>
  <c r="J958" i="3" a="1"/>
  <c r="J958" i="3" s="1"/>
  <c r="I964" i="3" a="1"/>
  <c r="I964" i="3" s="1"/>
  <c r="H964" i="3" a="1"/>
  <c r="H964" i="3" s="1"/>
  <c r="J964" i="3" a="1"/>
  <c r="J964" i="3" s="1"/>
  <c r="L970" i="3" a="1"/>
  <c r="L970" i="3" s="1"/>
  <c r="I970" i="3" a="1"/>
  <c r="I970" i="3" s="1"/>
  <c r="H970" i="3" a="1"/>
  <c r="H970" i="3" s="1"/>
  <c r="J970" i="3" a="1"/>
  <c r="J970" i="3" s="1"/>
  <c r="L976" i="3" a="1"/>
  <c r="L976" i="3" s="1"/>
  <c r="I976" i="3" a="1"/>
  <c r="I976" i="3" s="1"/>
  <c r="H976" i="3" a="1"/>
  <c r="H976" i="3" s="1"/>
  <c r="J976" i="3" a="1"/>
  <c r="J976" i="3" s="1"/>
  <c r="I982" i="3" a="1"/>
  <c r="I982" i="3" s="1"/>
  <c r="H982" i="3" a="1"/>
  <c r="H982" i="3" s="1"/>
  <c r="J982" i="3" a="1"/>
  <c r="J982" i="3" s="1"/>
  <c r="L988" i="3" a="1"/>
  <c r="L988" i="3" s="1"/>
  <c r="I988" i="3" a="1"/>
  <c r="I988" i="3" s="1"/>
  <c r="J988" i="3" a="1"/>
  <c r="J988" i="3" s="1"/>
  <c r="H988" i="3" a="1"/>
  <c r="H988" i="3" s="1"/>
  <c r="I994" i="3" a="1"/>
  <c r="I994" i="3" s="1"/>
  <c r="H994" i="3" a="1"/>
  <c r="H994" i="3" s="1"/>
  <c r="J994" i="3" a="1"/>
  <c r="J994" i="3" s="1"/>
  <c r="I1000" i="3" a="1"/>
  <c r="I1000" i="3" s="1"/>
  <c r="H1000" i="3" a="1"/>
  <c r="H1000" i="3" s="1"/>
  <c r="J1000" i="3" a="1"/>
  <c r="J1000" i="3" s="1"/>
  <c r="I1006" i="3" a="1"/>
  <c r="I1006" i="3" s="1"/>
  <c r="H1006" i="3" a="1"/>
  <c r="H1006" i="3" s="1"/>
  <c r="J1006" i="3" a="1"/>
  <c r="J1006" i="3" s="1"/>
  <c r="L1012" i="3" a="1"/>
  <c r="L1012" i="3" s="1"/>
  <c r="I1012" i="3" a="1"/>
  <c r="I1012" i="3" s="1"/>
  <c r="H1012" i="3" a="1"/>
  <c r="H1012" i="3" s="1"/>
  <c r="J1012" i="3" a="1"/>
  <c r="J1012" i="3" s="1"/>
  <c r="I1018" i="3" a="1"/>
  <c r="I1018" i="3" s="1"/>
  <c r="H1018" i="3" a="1"/>
  <c r="H1018" i="3" s="1"/>
  <c r="I1024" i="3" a="1"/>
  <c r="I1024" i="3" s="1"/>
  <c r="H1024" i="3" a="1"/>
  <c r="H1024" i="3" s="1"/>
  <c r="J1024" i="3" a="1"/>
  <c r="J1024" i="3" s="1"/>
  <c r="L1030" i="3" a="1"/>
  <c r="L1030" i="3" s="1"/>
  <c r="I1030" i="3" a="1"/>
  <c r="I1030" i="3" s="1"/>
  <c r="H1030" i="3" a="1"/>
  <c r="H1030" i="3" s="1"/>
  <c r="J1030" i="3" a="1"/>
  <c r="J1030" i="3" s="1"/>
  <c r="L1036" i="3" a="1"/>
  <c r="L1036" i="3" s="1"/>
  <c r="I1036" i="3" a="1"/>
  <c r="I1036" i="3" s="1"/>
  <c r="H1036" i="3" a="1"/>
  <c r="H1036" i="3" s="1"/>
  <c r="J1036" i="3" a="1"/>
  <c r="J1036" i="3" s="1"/>
  <c r="L1042" i="3" a="1"/>
  <c r="L1042" i="3" s="1"/>
  <c r="I1042" i="3" a="1"/>
  <c r="I1042" i="3" s="1"/>
  <c r="H1042" i="3" a="1"/>
  <c r="H1042" i="3" s="1"/>
  <c r="J1042" i="3" a="1"/>
  <c r="J1042" i="3" s="1"/>
  <c r="L1048" i="3" a="1"/>
  <c r="L1048" i="3" s="1"/>
  <c r="I1048" i="3" a="1"/>
  <c r="I1048" i="3" s="1"/>
  <c r="H1048" i="3" a="1"/>
  <c r="H1048" i="3" s="1"/>
  <c r="J1048" i="3" a="1"/>
  <c r="J1048" i="3" s="1"/>
  <c r="L1054" i="3" a="1"/>
  <c r="L1054" i="3" s="1"/>
  <c r="I1054" i="3" a="1"/>
  <c r="I1054" i="3" s="1"/>
  <c r="H1054" i="3" a="1"/>
  <c r="H1054" i="3" s="1"/>
  <c r="J1054" i="3" a="1"/>
  <c r="J1054" i="3" s="1"/>
  <c r="H1060" i="3" a="1"/>
  <c r="H1060" i="3" s="1"/>
  <c r="I1060" i="3" a="1"/>
  <c r="I1060" i="3" s="1"/>
  <c r="L1066" i="3" a="1"/>
  <c r="L1066" i="3" s="1"/>
  <c r="I1066" i="3" a="1"/>
  <c r="I1066" i="3" s="1"/>
  <c r="H1066" i="3" a="1"/>
  <c r="H1066" i="3" s="1"/>
  <c r="J1066" i="3" a="1"/>
  <c r="J1066" i="3" s="1"/>
  <c r="L1072" i="3" a="1"/>
  <c r="L1072" i="3" s="1"/>
  <c r="I1072" i="3" a="1"/>
  <c r="I1072" i="3" s="1"/>
  <c r="H1072" i="3" a="1"/>
  <c r="H1072" i="3" s="1"/>
  <c r="L1078" i="3" a="1"/>
  <c r="L1078" i="3" s="1"/>
  <c r="I1078" i="3" a="1"/>
  <c r="I1078" i="3" s="1"/>
  <c r="H1078" i="3" a="1"/>
  <c r="H1078" i="3" s="1"/>
  <c r="J1078" i="3" a="1"/>
  <c r="J1078" i="3" s="1"/>
  <c r="I1084" i="3" a="1"/>
  <c r="I1084" i="3" s="1"/>
  <c r="H1084" i="3" a="1"/>
  <c r="H1084" i="3" s="1"/>
  <c r="J1084" i="3" a="1"/>
  <c r="J1084" i="3" s="1"/>
  <c r="L1090" i="3" a="1"/>
  <c r="L1090" i="3" s="1"/>
  <c r="I1090" i="3" a="1"/>
  <c r="I1090" i="3" s="1"/>
  <c r="H1090" i="3" a="1"/>
  <c r="H1090" i="3" s="1"/>
  <c r="L1096" i="3" a="1"/>
  <c r="L1096" i="3" s="1"/>
  <c r="I1096" i="3" a="1"/>
  <c r="I1096" i="3" s="1"/>
  <c r="H1096" i="3" a="1"/>
  <c r="H1096" i="3" s="1"/>
  <c r="J1096" i="3" a="1"/>
  <c r="J1096" i="3" s="1"/>
  <c r="L1102" i="3" a="1"/>
  <c r="L1102" i="3" s="1"/>
  <c r="I1102" i="3" a="1"/>
  <c r="I1102" i="3" s="1"/>
  <c r="H1102" i="3" a="1"/>
  <c r="H1102" i="3" s="1"/>
  <c r="J1102" i="3" a="1"/>
  <c r="J1102" i="3" s="1"/>
  <c r="L1108" i="3" a="1"/>
  <c r="L1108" i="3" s="1"/>
  <c r="I1108" i="3" a="1"/>
  <c r="I1108" i="3" s="1"/>
  <c r="H1108" i="3" a="1"/>
  <c r="H1108" i="3" s="1"/>
  <c r="J1108" i="3" a="1"/>
  <c r="J1108" i="3" s="1"/>
  <c r="I1114" i="3" a="1"/>
  <c r="I1114" i="3" s="1"/>
  <c r="H1114" i="3" a="1"/>
  <c r="H1114" i="3" s="1"/>
  <c r="I1120" i="3" a="1"/>
  <c r="I1120" i="3" s="1"/>
  <c r="H1120" i="3" a="1"/>
  <c r="H1120" i="3" s="1"/>
  <c r="J1120" i="3" a="1"/>
  <c r="J1120" i="3" s="1"/>
  <c r="L1126" i="3" a="1"/>
  <c r="L1126" i="3" s="1"/>
  <c r="I1126" i="3" a="1"/>
  <c r="I1126" i="3" s="1"/>
  <c r="H1126" i="3" a="1"/>
  <c r="H1126" i="3" s="1"/>
  <c r="J1126" i="3" a="1"/>
  <c r="J1126" i="3" s="1"/>
  <c r="I1132" i="3" a="1"/>
  <c r="I1132" i="3" s="1"/>
  <c r="H1132" i="3" a="1"/>
  <c r="H1132" i="3" s="1"/>
  <c r="J1132" i="3" a="1"/>
  <c r="J1132" i="3" s="1"/>
  <c r="L1138" i="3" a="1"/>
  <c r="L1138" i="3" s="1"/>
  <c r="I1138" i="3" a="1"/>
  <c r="I1138" i="3" s="1"/>
  <c r="H1138" i="3" a="1"/>
  <c r="H1138" i="3" s="1"/>
  <c r="J1138" i="3" a="1"/>
  <c r="J1138" i="3" s="1"/>
  <c r="L1144" i="3" a="1"/>
  <c r="L1144" i="3" s="1"/>
  <c r="I1144" i="3" a="1"/>
  <c r="I1144" i="3" s="1"/>
  <c r="H1144" i="3" a="1"/>
  <c r="H1144" i="3" s="1"/>
  <c r="J1144" i="3" a="1"/>
  <c r="J1144" i="3" s="1"/>
  <c r="L1150" i="3" a="1"/>
  <c r="L1150" i="3" s="1"/>
  <c r="I1150" i="3" a="1"/>
  <c r="I1150" i="3" s="1"/>
  <c r="H1150" i="3" a="1"/>
  <c r="H1150" i="3" s="1"/>
  <c r="I1156" i="3" a="1"/>
  <c r="I1156" i="3" s="1"/>
  <c r="H1156" i="3" a="1"/>
  <c r="H1156" i="3" s="1"/>
  <c r="J1156" i="3" a="1"/>
  <c r="J1156" i="3" s="1"/>
  <c r="I1162" i="3" a="1"/>
  <c r="I1162" i="3" s="1"/>
  <c r="H1162" i="3" a="1"/>
  <c r="H1162" i="3" s="1"/>
  <c r="J1162" i="3" a="1"/>
  <c r="J1162" i="3" s="1"/>
  <c r="L1168" i="3" a="1"/>
  <c r="L1168" i="3" s="1"/>
  <c r="I1168" i="3" a="1"/>
  <c r="I1168" i="3" s="1"/>
  <c r="H1168" i="3" a="1"/>
  <c r="H1168" i="3" s="1"/>
  <c r="J1168" i="3" a="1"/>
  <c r="J1168" i="3" s="1"/>
  <c r="I1174" i="3" a="1"/>
  <c r="I1174" i="3" s="1"/>
  <c r="H1174" i="3" a="1"/>
  <c r="H1174" i="3" s="1"/>
  <c r="J1174" i="3" a="1"/>
  <c r="J1174" i="3" s="1"/>
  <c r="L1180" i="3" a="1"/>
  <c r="L1180" i="3" s="1"/>
  <c r="I1180" i="3" a="1"/>
  <c r="I1180" i="3" s="1"/>
  <c r="H1180" i="3" a="1"/>
  <c r="H1180" i="3" s="1"/>
  <c r="L1186" i="3" a="1"/>
  <c r="L1186" i="3" s="1"/>
  <c r="I1186" i="3" a="1"/>
  <c r="I1186" i="3" s="1"/>
  <c r="H1186" i="3" a="1"/>
  <c r="H1186" i="3" s="1"/>
  <c r="J1186" i="3" a="1"/>
  <c r="J1186" i="3" s="1"/>
  <c r="L1192" i="3" a="1"/>
  <c r="L1192" i="3" s="1"/>
  <c r="I1192" i="3" a="1"/>
  <c r="I1192" i="3" s="1"/>
  <c r="J1192" i="3" a="1"/>
  <c r="J1192" i="3" s="1"/>
  <c r="H1192" i="3" a="1"/>
  <c r="H1192" i="3" s="1"/>
  <c r="L1198" i="3" a="1"/>
  <c r="L1198" i="3" s="1"/>
  <c r="I1198" i="3" a="1"/>
  <c r="I1198" i="3" s="1"/>
  <c r="H1198" i="3" a="1"/>
  <c r="H1198" i="3" s="1"/>
  <c r="J1198" i="3" a="1"/>
  <c r="J1198" i="3" s="1"/>
  <c r="I1204" i="3" a="1"/>
  <c r="I1204" i="3" s="1"/>
  <c r="H1204" i="3" a="1"/>
  <c r="H1204" i="3" s="1"/>
  <c r="J1204" i="3" a="1"/>
  <c r="J1204" i="3" s="1"/>
  <c r="L1210" i="3" a="1"/>
  <c r="L1210" i="3" s="1"/>
  <c r="I1210" i="3" a="1"/>
  <c r="I1210" i="3" s="1"/>
  <c r="H1210" i="3" a="1"/>
  <c r="H1210" i="3" s="1"/>
  <c r="J1210" i="3" a="1"/>
  <c r="J1210" i="3" s="1"/>
  <c r="K1216" i="3" a="1"/>
  <c r="K1216" i="3" s="1"/>
  <c r="I1216" i="3" a="1"/>
  <c r="I1216" i="3" s="1"/>
  <c r="H1216" i="3" a="1"/>
  <c r="H1216" i="3" s="1"/>
  <c r="K1222" i="3" a="1"/>
  <c r="K1222" i="3" s="1"/>
  <c r="I1222" i="3" a="1"/>
  <c r="I1222" i="3" s="1"/>
  <c r="H1222" i="3" a="1"/>
  <c r="H1222" i="3" s="1"/>
  <c r="L1228" i="3" a="1"/>
  <c r="L1228" i="3" s="1"/>
  <c r="I1228" i="3" a="1"/>
  <c r="I1228" i="3" s="1"/>
  <c r="H1228" i="3" a="1"/>
  <c r="H1228" i="3" s="1"/>
  <c r="J1228" i="3" a="1"/>
  <c r="J1228" i="3" s="1"/>
  <c r="L1234" i="3" a="1"/>
  <c r="L1234" i="3" s="1"/>
  <c r="I1234" i="3" a="1"/>
  <c r="I1234" i="3" s="1"/>
  <c r="H1234" i="3" a="1"/>
  <c r="H1234" i="3" s="1"/>
  <c r="J1234" i="3" a="1"/>
  <c r="J1234" i="3" s="1"/>
  <c r="K1240" i="3" a="1"/>
  <c r="K1240" i="3" s="1"/>
  <c r="I1240" i="3" a="1"/>
  <c r="I1240" i="3" s="1"/>
  <c r="H1240" i="3" a="1"/>
  <c r="H1240" i="3" s="1"/>
  <c r="J1240" i="3" a="1"/>
  <c r="J1240" i="3" s="1"/>
  <c r="L1246" i="3" a="1"/>
  <c r="L1246" i="3" s="1"/>
  <c r="I1246" i="3" a="1"/>
  <c r="I1246" i="3" s="1"/>
  <c r="H1246" i="3" a="1"/>
  <c r="H1246" i="3" s="1"/>
  <c r="J1246" i="3" a="1"/>
  <c r="J1246" i="3" s="1"/>
  <c r="I1252" i="3" a="1"/>
  <c r="I1252" i="3" s="1"/>
  <c r="H1252" i="3" a="1"/>
  <c r="H1252" i="3" s="1"/>
  <c r="J1252" i="3" a="1"/>
  <c r="J1252" i="3" s="1"/>
  <c r="L1258" i="3" a="1"/>
  <c r="L1258" i="3" s="1"/>
  <c r="I1258" i="3" a="1"/>
  <c r="I1258" i="3" s="1"/>
  <c r="H1258" i="3" a="1"/>
  <c r="H1258" i="3" s="1"/>
  <c r="J1258" i="3" a="1"/>
  <c r="J1258" i="3" s="1"/>
  <c r="L1264" i="3" a="1"/>
  <c r="L1264" i="3" s="1"/>
  <c r="I1264" i="3" a="1"/>
  <c r="I1264" i="3" s="1"/>
  <c r="H1264" i="3" a="1"/>
  <c r="H1264" i="3" s="1"/>
  <c r="J1264" i="3" a="1"/>
  <c r="J1264" i="3" s="1"/>
  <c r="K1270" i="3" a="1"/>
  <c r="K1270" i="3" s="1"/>
  <c r="I1270" i="3" a="1"/>
  <c r="I1270" i="3" s="1"/>
  <c r="J1270" i="3" a="1"/>
  <c r="J1270" i="3" s="1"/>
  <c r="H1270" i="3" a="1"/>
  <c r="H1270" i="3" s="1"/>
  <c r="K1276" i="3" a="1"/>
  <c r="K1276" i="3" s="1"/>
  <c r="I1276" i="3" a="1"/>
  <c r="I1276" i="3" s="1"/>
  <c r="H1276" i="3" a="1"/>
  <c r="H1276" i="3" s="1"/>
  <c r="J1276" i="3" a="1"/>
  <c r="J1276" i="3" s="1"/>
  <c r="K1282" i="3" a="1"/>
  <c r="K1282" i="3" s="1"/>
  <c r="I1282" i="3" a="1"/>
  <c r="I1282" i="3" s="1"/>
  <c r="H1282" i="3" a="1"/>
  <c r="H1282" i="3" s="1"/>
  <c r="J1282" i="3" a="1"/>
  <c r="J1282" i="3" s="1"/>
  <c r="K1288" i="3" a="1"/>
  <c r="K1288" i="3" s="1"/>
  <c r="I1288" i="3" a="1"/>
  <c r="I1288" i="3" s="1"/>
  <c r="J1288" i="3" a="1"/>
  <c r="J1288" i="3" s="1"/>
  <c r="H1288" i="3" a="1"/>
  <c r="H1288" i="3" s="1"/>
  <c r="K1294" i="3" a="1"/>
  <c r="K1294" i="3" s="1"/>
  <c r="H1294" i="3" a="1"/>
  <c r="H1294" i="3" s="1"/>
  <c r="I1294" i="3" a="1"/>
  <c r="I1294" i="3" s="1"/>
  <c r="L1300" i="3" a="1"/>
  <c r="L1300" i="3" s="1"/>
  <c r="I1300" i="3" a="1"/>
  <c r="I1300" i="3" s="1"/>
  <c r="H1300" i="3" a="1"/>
  <c r="H1300" i="3" s="1"/>
  <c r="J1300" i="3" a="1"/>
  <c r="J1300" i="3" s="1"/>
  <c r="K1306" i="3" a="1"/>
  <c r="K1306" i="3" s="1"/>
  <c r="I1306" i="3" a="1"/>
  <c r="I1306" i="3" s="1"/>
  <c r="H1306" i="3" a="1"/>
  <c r="H1306" i="3" s="1"/>
  <c r="K1312" i="3" a="1"/>
  <c r="K1312" i="3" s="1"/>
  <c r="I1312" i="3" a="1"/>
  <c r="I1312" i="3" s="1"/>
  <c r="H1312" i="3" a="1"/>
  <c r="H1312" i="3" s="1"/>
  <c r="J1312" i="3" a="1"/>
  <c r="J1312" i="3" s="1"/>
  <c r="L1318" i="3" a="1"/>
  <c r="L1318" i="3" s="1"/>
  <c r="I1318" i="3" a="1"/>
  <c r="I1318" i="3" s="1"/>
  <c r="H1318" i="3" a="1"/>
  <c r="H1318" i="3" s="1"/>
  <c r="J1318" i="3" a="1"/>
  <c r="J1318" i="3" s="1"/>
  <c r="K1324" i="3" a="1"/>
  <c r="K1324" i="3" s="1"/>
  <c r="I1324" i="3" a="1"/>
  <c r="I1324" i="3" s="1"/>
  <c r="H1324" i="3" a="1"/>
  <c r="H1324" i="3" s="1"/>
  <c r="J1324" i="3" a="1"/>
  <c r="J1324" i="3" s="1"/>
  <c r="L1330" i="3" a="1"/>
  <c r="L1330" i="3" s="1"/>
  <c r="I1330" i="3" a="1"/>
  <c r="I1330" i="3" s="1"/>
  <c r="H1330" i="3" a="1"/>
  <c r="H1330" i="3" s="1"/>
  <c r="J1330" i="3" a="1"/>
  <c r="J1330" i="3" s="1"/>
  <c r="K1336" i="3" a="1"/>
  <c r="K1336" i="3" s="1"/>
  <c r="I1336" i="3" a="1"/>
  <c r="I1336" i="3" s="1"/>
  <c r="H1336" i="3" a="1"/>
  <c r="H1336" i="3" s="1"/>
  <c r="J1336" i="3" a="1"/>
  <c r="J1336" i="3" s="1"/>
  <c r="L1342" i="3" a="1"/>
  <c r="L1342" i="3" s="1"/>
  <c r="I1342" i="3" a="1"/>
  <c r="I1342" i="3" s="1"/>
  <c r="H1342" i="3" a="1"/>
  <c r="H1342" i="3" s="1"/>
  <c r="J1342" i="3" a="1"/>
  <c r="J1342" i="3" s="1"/>
  <c r="L1348" i="3" a="1"/>
  <c r="L1348" i="3" s="1"/>
  <c r="I1348" i="3" a="1"/>
  <c r="I1348" i="3" s="1"/>
  <c r="H1348" i="3" a="1"/>
  <c r="H1348" i="3" s="1"/>
  <c r="K1354" i="3" a="1"/>
  <c r="K1354" i="3" s="1"/>
  <c r="I1354" i="3" a="1"/>
  <c r="I1354" i="3" s="1"/>
  <c r="H1354" i="3" a="1"/>
  <c r="H1354" i="3" s="1"/>
  <c r="J1354" i="3" a="1"/>
  <c r="J1354" i="3" s="1"/>
  <c r="L1360" i="3" a="1"/>
  <c r="L1360" i="3" s="1"/>
  <c r="I1360" i="3" a="1"/>
  <c r="I1360" i="3" s="1"/>
  <c r="H1360" i="3" a="1"/>
  <c r="H1360" i="3" s="1"/>
  <c r="J1360" i="3" a="1"/>
  <c r="J1360" i="3" s="1"/>
  <c r="L1366" i="3" a="1"/>
  <c r="L1366" i="3" s="1"/>
  <c r="I1366" i="3" a="1"/>
  <c r="I1366" i="3" s="1"/>
  <c r="H1366" i="3" a="1"/>
  <c r="H1366" i="3" s="1"/>
  <c r="J1366" i="3" a="1"/>
  <c r="J1366" i="3" s="1"/>
  <c r="L1372" i="3" a="1"/>
  <c r="L1372" i="3" s="1"/>
  <c r="I1372" i="3" a="1"/>
  <c r="I1372" i="3" s="1"/>
  <c r="H1372" i="3" a="1"/>
  <c r="H1372" i="3" s="1"/>
  <c r="J1372" i="3" a="1"/>
  <c r="J1372" i="3" s="1"/>
  <c r="K1378" i="3" a="1"/>
  <c r="K1378" i="3" s="1"/>
  <c r="I1378" i="3" a="1"/>
  <c r="I1378" i="3" s="1"/>
  <c r="H1378" i="3" a="1"/>
  <c r="H1378" i="3" s="1"/>
  <c r="J1378" i="3" a="1"/>
  <c r="J1378" i="3" s="1"/>
  <c r="L1384" i="3" a="1"/>
  <c r="L1384" i="3" s="1"/>
  <c r="I1384" i="3" a="1"/>
  <c r="I1384" i="3" s="1"/>
  <c r="H1384" i="3" a="1"/>
  <c r="H1384" i="3" s="1"/>
  <c r="J1384" i="3" a="1"/>
  <c r="J1384" i="3" s="1"/>
  <c r="L1390" i="3" a="1"/>
  <c r="L1390" i="3" s="1"/>
  <c r="I1390" i="3" a="1"/>
  <c r="I1390" i="3" s="1"/>
  <c r="H1390" i="3" a="1"/>
  <c r="H1390" i="3" s="1"/>
  <c r="J1390" i="3" a="1"/>
  <c r="J1390" i="3" s="1"/>
  <c r="K1396" i="3" a="1"/>
  <c r="K1396" i="3" s="1"/>
  <c r="I1396" i="3" a="1"/>
  <c r="I1396" i="3" s="1"/>
  <c r="H1396" i="3" a="1"/>
  <c r="H1396" i="3" s="1"/>
  <c r="J1396" i="3" a="1"/>
  <c r="J1396" i="3" s="1"/>
  <c r="K1402" i="3" a="1"/>
  <c r="K1402" i="3" s="1"/>
  <c r="I1402" i="3" a="1"/>
  <c r="I1402" i="3" s="1"/>
  <c r="H1402" i="3" a="1"/>
  <c r="H1402" i="3" s="1"/>
  <c r="J1402" i="3" a="1"/>
  <c r="J1402" i="3" s="1"/>
  <c r="L1408" i="3" a="1"/>
  <c r="L1408" i="3" s="1"/>
  <c r="I1408" i="3" a="1"/>
  <c r="I1408" i="3" s="1"/>
  <c r="H1408" i="3" a="1"/>
  <c r="H1408" i="3" s="1"/>
  <c r="J1408" i="3" a="1"/>
  <c r="J1408" i="3" s="1"/>
  <c r="K1414" i="3" a="1"/>
  <c r="K1414" i="3" s="1"/>
  <c r="I1414" i="3" a="1"/>
  <c r="I1414" i="3" s="1"/>
  <c r="H1414" i="3" a="1"/>
  <c r="H1414" i="3" s="1"/>
  <c r="J1414" i="3" a="1"/>
  <c r="J1414" i="3" s="1"/>
  <c r="L1420" i="3" a="1"/>
  <c r="L1420" i="3" s="1"/>
  <c r="I1420" i="3" a="1"/>
  <c r="I1420" i="3" s="1"/>
  <c r="H1420" i="3" a="1"/>
  <c r="H1420" i="3" s="1"/>
  <c r="J1420" i="3" a="1"/>
  <c r="J1420" i="3" s="1"/>
  <c r="L1426" i="3" a="1"/>
  <c r="L1426" i="3" s="1"/>
  <c r="I1426" i="3" a="1"/>
  <c r="I1426" i="3" s="1"/>
  <c r="H1426" i="3" a="1"/>
  <c r="H1426" i="3" s="1"/>
  <c r="J1426" i="3" a="1"/>
  <c r="J1426" i="3" s="1"/>
  <c r="L1432" i="3" a="1"/>
  <c r="L1432" i="3" s="1"/>
  <c r="I1432" i="3" a="1"/>
  <c r="I1432" i="3" s="1"/>
  <c r="H1432" i="3" a="1"/>
  <c r="H1432" i="3" s="1"/>
  <c r="J1432" i="3" a="1"/>
  <c r="J1432" i="3" s="1"/>
  <c r="L1438" i="3" a="1"/>
  <c r="L1438" i="3" s="1"/>
  <c r="I1438" i="3" a="1"/>
  <c r="I1438" i="3" s="1"/>
  <c r="H1438" i="3" a="1"/>
  <c r="H1438" i="3" s="1"/>
  <c r="J1438" i="3" a="1"/>
  <c r="J1438" i="3" s="1"/>
  <c r="K1423" i="3" a="1"/>
  <c r="K1423" i="3" s="1"/>
  <c r="I1423" i="3" a="1"/>
  <c r="I1423" i="3" s="1"/>
  <c r="H1423" i="3" a="1"/>
  <c r="H1423" i="3" s="1"/>
  <c r="I1429" i="3" a="1"/>
  <c r="I1429" i="3" s="1"/>
  <c r="H1429" i="3" a="1"/>
  <c r="H1429" i="3" s="1"/>
  <c r="I1435" i="3" a="1"/>
  <c r="I1435" i="3" s="1"/>
  <c r="H1435" i="3" a="1"/>
  <c r="H1435" i="3" s="1"/>
  <c r="L1441" i="3" a="1"/>
  <c r="L1441" i="3" s="1"/>
  <c r="I1441" i="3" a="1"/>
  <c r="I1441" i="3" s="1"/>
  <c r="H1441" i="3" a="1"/>
  <c r="H1441" i="3" s="1"/>
  <c r="H822" i="3" a="1"/>
  <c r="H822" i="3" s="1"/>
  <c r="J1441" i="3" a="1"/>
  <c r="J1441" i="3" s="1"/>
  <c r="J1423" i="3" a="1"/>
  <c r="J1423" i="3" s="1"/>
  <c r="I481" i="3" a="1"/>
  <c r="I481" i="3" s="1"/>
  <c r="H481" i="3" a="1"/>
  <c r="H481" i="3" s="1"/>
  <c r="J481" i="3" a="1"/>
  <c r="J481" i="3" s="1"/>
  <c r="I487" i="3" a="1"/>
  <c r="I487" i="3" s="1"/>
  <c r="H487" i="3" a="1"/>
  <c r="H487" i="3" s="1"/>
  <c r="J487" i="3" a="1"/>
  <c r="J487" i="3" s="1"/>
  <c r="I493" i="3" a="1"/>
  <c r="I493" i="3" s="1"/>
  <c r="H493" i="3" a="1"/>
  <c r="H493" i="3" s="1"/>
  <c r="J493" i="3" a="1"/>
  <c r="J493" i="3" s="1"/>
  <c r="I499" i="3" a="1"/>
  <c r="I499" i="3" s="1"/>
  <c r="H499" i="3" a="1"/>
  <c r="H499" i="3" s="1"/>
  <c r="J499" i="3" a="1"/>
  <c r="J499" i="3" s="1"/>
  <c r="I505" i="3" a="1"/>
  <c r="I505" i="3" s="1"/>
  <c r="H505" i="3" a="1"/>
  <c r="H505" i="3" s="1"/>
  <c r="J505" i="3" a="1"/>
  <c r="J505" i="3" s="1"/>
  <c r="I511" i="3" a="1"/>
  <c r="I511" i="3" s="1"/>
  <c r="H511" i="3" a="1"/>
  <c r="H511" i="3" s="1"/>
  <c r="I517" i="3" a="1"/>
  <c r="I517" i="3" s="1"/>
  <c r="H517" i="3" a="1"/>
  <c r="H517" i="3" s="1"/>
  <c r="J517" i="3" a="1"/>
  <c r="J517" i="3" s="1"/>
  <c r="L523" i="3" a="1"/>
  <c r="L523" i="3" s="1"/>
  <c r="I523" i="3" a="1"/>
  <c r="I523" i="3" s="1"/>
  <c r="H523" i="3" a="1"/>
  <c r="H523" i="3" s="1"/>
  <c r="J523" i="3" a="1"/>
  <c r="J523" i="3" s="1"/>
  <c r="I529" i="3" a="1"/>
  <c r="I529" i="3" s="1"/>
  <c r="H529" i="3" a="1"/>
  <c r="H529" i="3" s="1"/>
  <c r="J529" i="3" a="1"/>
  <c r="J529" i="3" s="1"/>
  <c r="L535" i="3" a="1"/>
  <c r="L535" i="3" s="1"/>
  <c r="I535" i="3" a="1"/>
  <c r="I535" i="3" s="1"/>
  <c r="H535" i="3" a="1"/>
  <c r="H535" i="3" s="1"/>
  <c r="J535" i="3" a="1"/>
  <c r="J535" i="3" s="1"/>
  <c r="I541" i="3" a="1"/>
  <c r="I541" i="3" s="1"/>
  <c r="H541" i="3" a="1"/>
  <c r="H541" i="3" s="1"/>
  <c r="J541" i="3" a="1"/>
  <c r="J541" i="3" s="1"/>
  <c r="I547" i="3" a="1"/>
  <c r="I547" i="3" s="1"/>
  <c r="H547" i="3" a="1"/>
  <c r="H547" i="3" s="1"/>
  <c r="J547" i="3" a="1"/>
  <c r="J547" i="3" s="1"/>
  <c r="L553" i="3" a="1"/>
  <c r="L553" i="3" s="1"/>
  <c r="I553" i="3" a="1"/>
  <c r="I553" i="3" s="1"/>
  <c r="H553" i="3" a="1"/>
  <c r="H553" i="3" s="1"/>
  <c r="J553" i="3" a="1"/>
  <c r="J553" i="3" s="1"/>
  <c r="I559" i="3" a="1"/>
  <c r="I559" i="3" s="1"/>
  <c r="H559" i="3" a="1"/>
  <c r="H559" i="3" s="1"/>
  <c r="J559" i="3" a="1"/>
  <c r="J559" i="3" s="1"/>
  <c r="I565" i="3" a="1"/>
  <c r="I565" i="3" s="1"/>
  <c r="H565" i="3" a="1"/>
  <c r="H565" i="3" s="1"/>
  <c r="J565" i="3" a="1"/>
  <c r="J565" i="3" s="1"/>
  <c r="I571" i="3" a="1"/>
  <c r="I571" i="3" s="1"/>
  <c r="H571" i="3" a="1"/>
  <c r="H571" i="3" s="1"/>
  <c r="J571" i="3" a="1"/>
  <c r="J571" i="3" s="1"/>
  <c r="L577" i="3" a="1"/>
  <c r="L577" i="3" s="1"/>
  <c r="I577" i="3" a="1"/>
  <c r="I577" i="3" s="1"/>
  <c r="H577" i="3" a="1"/>
  <c r="H577" i="3" s="1"/>
  <c r="J577" i="3" a="1"/>
  <c r="J577" i="3" s="1"/>
  <c r="L583" i="3" a="1"/>
  <c r="L583" i="3" s="1"/>
  <c r="I583" i="3" a="1"/>
  <c r="I583" i="3" s="1"/>
  <c r="H583" i="3" a="1"/>
  <c r="H583" i="3" s="1"/>
  <c r="J583" i="3" a="1"/>
  <c r="J583" i="3" s="1"/>
  <c r="L589" i="3" a="1"/>
  <c r="L589" i="3" s="1"/>
  <c r="I589" i="3" a="1"/>
  <c r="I589" i="3" s="1"/>
  <c r="H589" i="3" a="1"/>
  <c r="H589" i="3" s="1"/>
  <c r="J589" i="3" a="1"/>
  <c r="J589" i="3" s="1"/>
  <c r="I595" i="3" a="1"/>
  <c r="I595" i="3" s="1"/>
  <c r="H595" i="3" a="1"/>
  <c r="H595" i="3" s="1"/>
  <c r="J595" i="3" a="1"/>
  <c r="J595" i="3" s="1"/>
  <c r="H601" i="3" a="1"/>
  <c r="H601" i="3" s="1"/>
  <c r="I601" i="3" a="1"/>
  <c r="I601" i="3" s="1"/>
  <c r="J601" i="3" a="1"/>
  <c r="J601" i="3" s="1"/>
  <c r="I607" i="3" a="1"/>
  <c r="I607" i="3" s="1"/>
  <c r="H607" i="3" a="1"/>
  <c r="H607" i="3" s="1"/>
  <c r="J607" i="3" a="1"/>
  <c r="J607" i="3" s="1"/>
  <c r="I613" i="3" a="1"/>
  <c r="I613" i="3" s="1"/>
  <c r="H613" i="3" a="1"/>
  <c r="H613" i="3" s="1"/>
  <c r="I619" i="3" a="1"/>
  <c r="I619" i="3" s="1"/>
  <c r="H619" i="3" a="1"/>
  <c r="H619" i="3" s="1"/>
  <c r="J619" i="3" a="1"/>
  <c r="J619" i="3" s="1"/>
  <c r="I625" i="3" a="1"/>
  <c r="I625" i="3" s="1"/>
  <c r="H625" i="3" a="1"/>
  <c r="H625" i="3" s="1"/>
  <c r="J625" i="3" a="1"/>
  <c r="J625" i="3" s="1"/>
  <c r="I631" i="3" a="1"/>
  <c r="I631" i="3" s="1"/>
  <c r="H631" i="3" a="1"/>
  <c r="H631" i="3" s="1"/>
  <c r="L637" i="3" a="1"/>
  <c r="L637" i="3" s="1"/>
  <c r="I637" i="3" a="1"/>
  <c r="I637" i="3" s="1"/>
  <c r="H637" i="3" a="1"/>
  <c r="H637" i="3" s="1"/>
  <c r="J637" i="3" a="1"/>
  <c r="J637" i="3" s="1"/>
  <c r="I643" i="3" a="1"/>
  <c r="I643" i="3" s="1"/>
  <c r="H643" i="3" a="1"/>
  <c r="H643" i="3" s="1"/>
  <c r="J643" i="3" a="1"/>
  <c r="J643" i="3" s="1"/>
  <c r="I649" i="3" a="1"/>
  <c r="I649" i="3" s="1"/>
  <c r="H649" i="3" a="1"/>
  <c r="H649" i="3" s="1"/>
  <c r="J649" i="3" a="1"/>
  <c r="J649" i="3" s="1"/>
  <c r="L655" i="3" a="1"/>
  <c r="L655" i="3" s="1"/>
  <c r="I655" i="3" a="1"/>
  <c r="I655" i="3" s="1"/>
  <c r="H655" i="3" a="1"/>
  <c r="H655" i="3" s="1"/>
  <c r="I661" i="3" a="1"/>
  <c r="I661" i="3" s="1"/>
  <c r="H661" i="3" a="1"/>
  <c r="H661" i="3" s="1"/>
  <c r="J661" i="3" a="1"/>
  <c r="J661" i="3" s="1"/>
  <c r="I667" i="3" a="1"/>
  <c r="I667" i="3" s="1"/>
  <c r="H667" i="3" a="1"/>
  <c r="H667" i="3" s="1"/>
  <c r="J667" i="3" a="1"/>
  <c r="J667" i="3" s="1"/>
  <c r="I673" i="3" a="1"/>
  <c r="I673" i="3" s="1"/>
  <c r="H673" i="3" a="1"/>
  <c r="H673" i="3" s="1"/>
  <c r="J673" i="3" a="1"/>
  <c r="J673" i="3" s="1"/>
  <c r="I679" i="3" a="1"/>
  <c r="I679" i="3" s="1"/>
  <c r="H679" i="3" a="1"/>
  <c r="H679" i="3" s="1"/>
  <c r="J679" i="3" a="1"/>
  <c r="J679" i="3" s="1"/>
  <c r="I685" i="3" a="1"/>
  <c r="I685" i="3" s="1"/>
  <c r="H685" i="3" a="1"/>
  <c r="H685" i="3" s="1"/>
  <c r="J685" i="3" a="1"/>
  <c r="J685" i="3" s="1"/>
  <c r="I691" i="3" a="1"/>
  <c r="I691" i="3" s="1"/>
  <c r="H691" i="3" a="1"/>
  <c r="H691" i="3" s="1"/>
  <c r="J691" i="3" a="1"/>
  <c r="J691" i="3" s="1"/>
  <c r="I697" i="3" a="1"/>
  <c r="I697" i="3" s="1"/>
  <c r="H697" i="3" a="1"/>
  <c r="H697" i="3" s="1"/>
  <c r="J697" i="3" a="1"/>
  <c r="J697" i="3" s="1"/>
  <c r="L703" i="3" a="1"/>
  <c r="L703" i="3" s="1"/>
  <c r="I703" i="3" a="1"/>
  <c r="I703" i="3" s="1"/>
  <c r="H703" i="3" a="1"/>
  <c r="H703" i="3" s="1"/>
  <c r="J703" i="3" a="1"/>
  <c r="J703" i="3" s="1"/>
  <c r="L709" i="3" a="1"/>
  <c r="L709" i="3" s="1"/>
  <c r="I709" i="3" a="1"/>
  <c r="I709" i="3" s="1"/>
  <c r="H709" i="3" a="1"/>
  <c r="H709" i="3" s="1"/>
  <c r="J709" i="3" a="1"/>
  <c r="J709" i="3" s="1"/>
  <c r="I715" i="3" a="1"/>
  <c r="I715" i="3" s="1"/>
  <c r="H715" i="3" a="1"/>
  <c r="H715" i="3" s="1"/>
  <c r="I721" i="3" a="1"/>
  <c r="I721" i="3" s="1"/>
  <c r="H721" i="3" a="1"/>
  <c r="H721" i="3" s="1"/>
  <c r="I727" i="3" a="1"/>
  <c r="I727" i="3" s="1"/>
  <c r="H727" i="3" a="1"/>
  <c r="H727" i="3" s="1"/>
  <c r="J727" i="3" a="1"/>
  <c r="J727" i="3" s="1"/>
  <c r="I733" i="3" a="1"/>
  <c r="I733" i="3" s="1"/>
  <c r="H733" i="3" a="1"/>
  <c r="H733" i="3" s="1"/>
  <c r="J733" i="3" a="1"/>
  <c r="J733" i="3" s="1"/>
  <c r="I739" i="3" a="1"/>
  <c r="I739" i="3" s="1"/>
  <c r="H739" i="3" a="1"/>
  <c r="H739" i="3" s="1"/>
  <c r="J739" i="3" a="1"/>
  <c r="J739" i="3" s="1"/>
  <c r="L745" i="3" a="1"/>
  <c r="L745" i="3" s="1"/>
  <c r="I745" i="3" a="1"/>
  <c r="I745" i="3" s="1"/>
  <c r="H745" i="3" a="1"/>
  <c r="H745" i="3" s="1"/>
  <c r="J745" i="3" a="1"/>
  <c r="J745" i="3" s="1"/>
  <c r="L751" i="3" a="1"/>
  <c r="L751" i="3" s="1"/>
  <c r="I751" i="3" a="1"/>
  <c r="I751" i="3" s="1"/>
  <c r="H751" i="3" a="1"/>
  <c r="H751" i="3" s="1"/>
  <c r="J751" i="3" a="1"/>
  <c r="J751" i="3" s="1"/>
  <c r="I757" i="3" a="1"/>
  <c r="I757" i="3" s="1"/>
  <c r="H757" i="3" a="1"/>
  <c r="H757" i="3" s="1"/>
  <c r="J757" i="3" a="1"/>
  <c r="J757" i="3" s="1"/>
  <c r="I763" i="3" a="1"/>
  <c r="I763" i="3" s="1"/>
  <c r="H763" i="3" a="1"/>
  <c r="H763" i="3" s="1"/>
  <c r="J763" i="3" a="1"/>
  <c r="J763" i="3" s="1"/>
  <c r="L769" i="3" a="1"/>
  <c r="L769" i="3" s="1"/>
  <c r="I769" i="3" a="1"/>
  <c r="I769" i="3" s="1"/>
  <c r="H769" i="3" a="1"/>
  <c r="H769" i="3" s="1"/>
  <c r="J769" i="3" a="1"/>
  <c r="J769" i="3" s="1"/>
  <c r="I775" i="3" a="1"/>
  <c r="I775" i="3" s="1"/>
  <c r="H775" i="3" a="1"/>
  <c r="H775" i="3" s="1"/>
  <c r="I781" i="3" a="1"/>
  <c r="I781" i="3" s="1"/>
  <c r="H781" i="3" a="1"/>
  <c r="H781" i="3" s="1"/>
  <c r="L787" i="3" a="1"/>
  <c r="L787" i="3" s="1"/>
  <c r="I787" i="3" a="1"/>
  <c r="I787" i="3" s="1"/>
  <c r="H787" i="3" a="1"/>
  <c r="H787" i="3" s="1"/>
  <c r="J787" i="3" a="1"/>
  <c r="J787" i="3" s="1"/>
  <c r="I793" i="3" a="1"/>
  <c r="I793" i="3" s="1"/>
  <c r="H793" i="3" a="1"/>
  <c r="H793" i="3" s="1"/>
  <c r="J793" i="3" a="1"/>
  <c r="J793" i="3" s="1"/>
  <c r="L799" i="3" a="1"/>
  <c r="L799" i="3" s="1"/>
  <c r="I799" i="3" a="1"/>
  <c r="I799" i="3" s="1"/>
  <c r="H799" i="3" a="1"/>
  <c r="H799" i="3" s="1"/>
  <c r="I805" i="3" a="1"/>
  <c r="I805" i="3" s="1"/>
  <c r="H805" i="3" a="1"/>
  <c r="H805" i="3" s="1"/>
  <c r="I811" i="3" a="1"/>
  <c r="I811" i="3" s="1"/>
  <c r="H811" i="3" a="1"/>
  <c r="H811" i="3" s="1"/>
  <c r="J811" i="3" a="1"/>
  <c r="J811" i="3" s="1"/>
  <c r="L817" i="3" a="1"/>
  <c r="L817" i="3" s="1"/>
  <c r="I817" i="3" a="1"/>
  <c r="I817" i="3" s="1"/>
  <c r="H817" i="3" a="1"/>
  <c r="H817" i="3" s="1"/>
  <c r="J817" i="3" a="1"/>
  <c r="J817" i="3" s="1"/>
  <c r="I823" i="3" a="1"/>
  <c r="I823" i="3" s="1"/>
  <c r="H823" i="3" a="1"/>
  <c r="H823" i="3" s="1"/>
  <c r="I829" i="3" a="1"/>
  <c r="I829" i="3" s="1"/>
  <c r="H829" i="3" a="1"/>
  <c r="H829" i="3" s="1"/>
  <c r="I835" i="3" a="1"/>
  <c r="I835" i="3" s="1"/>
  <c r="H835" i="3" a="1"/>
  <c r="H835" i="3" s="1"/>
  <c r="J835" i="3" a="1"/>
  <c r="J835" i="3" s="1"/>
  <c r="I841" i="3" a="1"/>
  <c r="I841" i="3" s="1"/>
  <c r="H841" i="3" a="1"/>
  <c r="H841" i="3" s="1"/>
  <c r="J841" i="3" a="1"/>
  <c r="J841" i="3" s="1"/>
  <c r="I847" i="3" a="1"/>
  <c r="I847" i="3" s="1"/>
  <c r="H847" i="3" a="1"/>
  <c r="H847" i="3" s="1"/>
  <c r="J847" i="3" a="1"/>
  <c r="J847" i="3" s="1"/>
  <c r="I853" i="3" a="1"/>
  <c r="I853" i="3" s="1"/>
  <c r="H853" i="3" a="1"/>
  <c r="H853" i="3" s="1"/>
  <c r="J853" i="3" a="1"/>
  <c r="J853" i="3" s="1"/>
  <c r="L859" i="3" a="1"/>
  <c r="L859" i="3" s="1"/>
  <c r="I859" i="3" a="1"/>
  <c r="I859" i="3" s="1"/>
  <c r="H859" i="3" a="1"/>
  <c r="H859" i="3" s="1"/>
  <c r="J859" i="3" a="1"/>
  <c r="J859" i="3" s="1"/>
  <c r="I865" i="3" a="1"/>
  <c r="I865" i="3" s="1"/>
  <c r="H865" i="3" a="1"/>
  <c r="H865" i="3" s="1"/>
  <c r="J865" i="3" a="1"/>
  <c r="J865" i="3" s="1"/>
  <c r="I871" i="3" a="1"/>
  <c r="I871" i="3" s="1"/>
  <c r="H871" i="3" a="1"/>
  <c r="H871" i="3" s="1"/>
  <c r="J871" i="3" a="1"/>
  <c r="J871" i="3" s="1"/>
  <c r="I877" i="3" a="1"/>
  <c r="I877" i="3" s="1"/>
  <c r="H877" i="3" a="1"/>
  <c r="H877" i="3" s="1"/>
  <c r="J877" i="3" a="1"/>
  <c r="J877" i="3" s="1"/>
  <c r="I883" i="3" a="1"/>
  <c r="I883" i="3" s="1"/>
  <c r="H883" i="3" a="1"/>
  <c r="H883" i="3" s="1"/>
  <c r="I889" i="3" a="1"/>
  <c r="I889" i="3" s="1"/>
  <c r="H889" i="3" a="1"/>
  <c r="H889" i="3" s="1"/>
  <c r="L895" i="3" a="1"/>
  <c r="L895" i="3" s="1"/>
  <c r="I895" i="3" a="1"/>
  <c r="I895" i="3" s="1"/>
  <c r="H895" i="3" a="1"/>
  <c r="H895" i="3" s="1"/>
  <c r="J895" i="3" a="1"/>
  <c r="J895" i="3" s="1"/>
  <c r="I901" i="3" a="1"/>
  <c r="I901" i="3" s="1"/>
  <c r="H901" i="3" a="1"/>
  <c r="H901" i="3" s="1"/>
  <c r="J901" i="3" a="1"/>
  <c r="J901" i="3" s="1"/>
  <c r="I907" i="3" a="1"/>
  <c r="I907" i="3" s="1"/>
  <c r="H907" i="3" a="1"/>
  <c r="H907" i="3" s="1"/>
  <c r="J907" i="3" a="1"/>
  <c r="J907" i="3" s="1"/>
  <c r="I913" i="3" a="1"/>
  <c r="I913" i="3" s="1"/>
  <c r="H913" i="3" a="1"/>
  <c r="H913" i="3" s="1"/>
  <c r="J913" i="3" a="1"/>
  <c r="J913" i="3" s="1"/>
  <c r="L919" i="3" a="1"/>
  <c r="L919" i="3" s="1"/>
  <c r="I919" i="3" a="1"/>
  <c r="I919" i="3" s="1"/>
  <c r="H919" i="3" a="1"/>
  <c r="H919" i="3" s="1"/>
  <c r="I925" i="3" a="1"/>
  <c r="I925" i="3" s="1"/>
  <c r="H925" i="3" a="1"/>
  <c r="H925" i="3" s="1"/>
  <c r="L931" i="3" a="1"/>
  <c r="L931" i="3" s="1"/>
  <c r="I931" i="3" a="1"/>
  <c r="I931" i="3" s="1"/>
  <c r="H931" i="3" a="1"/>
  <c r="H931" i="3" s="1"/>
  <c r="J931" i="3" a="1"/>
  <c r="J931" i="3" s="1"/>
  <c r="L937" i="3" a="1"/>
  <c r="L937" i="3" s="1"/>
  <c r="I937" i="3" a="1"/>
  <c r="I937" i="3" s="1"/>
  <c r="H937" i="3" a="1"/>
  <c r="H937" i="3" s="1"/>
  <c r="J937" i="3" a="1"/>
  <c r="J937" i="3" s="1"/>
  <c r="I943" i="3" a="1"/>
  <c r="I943" i="3" s="1"/>
  <c r="H943" i="3" a="1"/>
  <c r="H943" i="3" s="1"/>
  <c r="L949" i="3" a="1"/>
  <c r="L949" i="3" s="1"/>
  <c r="I949" i="3" a="1"/>
  <c r="I949" i="3" s="1"/>
  <c r="H949" i="3" a="1"/>
  <c r="H949" i="3" s="1"/>
  <c r="J949" i="3" a="1"/>
  <c r="J949" i="3" s="1"/>
  <c r="I955" i="3" a="1"/>
  <c r="I955" i="3" s="1"/>
  <c r="H955" i="3" a="1"/>
  <c r="H955" i="3" s="1"/>
  <c r="L961" i="3" a="1"/>
  <c r="L961" i="3" s="1"/>
  <c r="I961" i="3" a="1"/>
  <c r="I961" i="3" s="1"/>
  <c r="H961" i="3" a="1"/>
  <c r="H961" i="3" s="1"/>
  <c r="L967" i="3" a="1"/>
  <c r="L967" i="3" s="1"/>
  <c r="I967" i="3" a="1"/>
  <c r="I967" i="3" s="1"/>
  <c r="H967" i="3" a="1"/>
  <c r="H967" i="3" s="1"/>
  <c r="J967" i="3" a="1"/>
  <c r="J967" i="3" s="1"/>
  <c r="I973" i="3" a="1"/>
  <c r="I973" i="3" s="1"/>
  <c r="H973" i="3" a="1"/>
  <c r="H973" i="3" s="1"/>
  <c r="J973" i="3" a="1"/>
  <c r="J973" i="3" s="1"/>
  <c r="L979" i="3" a="1"/>
  <c r="L979" i="3" s="1"/>
  <c r="I979" i="3" a="1"/>
  <c r="I979" i="3" s="1"/>
  <c r="H979" i="3" a="1"/>
  <c r="H979" i="3" s="1"/>
  <c r="L985" i="3" a="1"/>
  <c r="L985" i="3" s="1"/>
  <c r="I985" i="3" a="1"/>
  <c r="I985" i="3" s="1"/>
  <c r="H985" i="3" a="1"/>
  <c r="H985" i="3" s="1"/>
  <c r="J985" i="3" a="1"/>
  <c r="J985" i="3" s="1"/>
  <c r="I991" i="3" a="1"/>
  <c r="I991" i="3" s="1"/>
  <c r="H991" i="3" a="1"/>
  <c r="H991" i="3" s="1"/>
  <c r="L997" i="3" a="1"/>
  <c r="L997" i="3" s="1"/>
  <c r="I997" i="3" a="1"/>
  <c r="I997" i="3" s="1"/>
  <c r="H997" i="3" a="1"/>
  <c r="H997" i="3" s="1"/>
  <c r="L1003" i="3" a="1"/>
  <c r="L1003" i="3" s="1"/>
  <c r="I1003" i="3" a="1"/>
  <c r="I1003" i="3" s="1"/>
  <c r="H1003" i="3" a="1"/>
  <c r="H1003" i="3" s="1"/>
  <c r="J1003" i="3" a="1"/>
  <c r="J1003" i="3" s="1"/>
  <c r="I1009" i="3" a="1"/>
  <c r="I1009" i="3" s="1"/>
  <c r="H1009" i="3" a="1"/>
  <c r="H1009" i="3" s="1"/>
  <c r="J1009" i="3" a="1"/>
  <c r="J1009" i="3" s="1"/>
  <c r="I1015" i="3" a="1"/>
  <c r="I1015" i="3" s="1"/>
  <c r="H1015" i="3" a="1"/>
  <c r="H1015" i="3" s="1"/>
  <c r="J1015" i="3" a="1"/>
  <c r="J1015" i="3" s="1"/>
  <c r="L1021" i="3" a="1"/>
  <c r="L1021" i="3" s="1"/>
  <c r="I1021" i="3" a="1"/>
  <c r="I1021" i="3" s="1"/>
  <c r="H1021" i="3" a="1"/>
  <c r="H1021" i="3" s="1"/>
  <c r="J1021" i="3" a="1"/>
  <c r="J1021" i="3" s="1"/>
  <c r="L1027" i="3" a="1"/>
  <c r="L1027" i="3" s="1"/>
  <c r="I1027" i="3" a="1"/>
  <c r="I1027" i="3" s="1"/>
  <c r="H1027" i="3" a="1"/>
  <c r="H1027" i="3" s="1"/>
  <c r="L1033" i="3" a="1"/>
  <c r="L1033" i="3" s="1"/>
  <c r="I1033" i="3" a="1"/>
  <c r="I1033" i="3" s="1"/>
  <c r="H1033" i="3" a="1"/>
  <c r="H1033" i="3" s="1"/>
  <c r="J1033" i="3" a="1"/>
  <c r="J1033" i="3" s="1"/>
  <c r="L1039" i="3" a="1"/>
  <c r="L1039" i="3" s="1"/>
  <c r="I1039" i="3" a="1"/>
  <c r="I1039" i="3" s="1"/>
  <c r="H1039" i="3" a="1"/>
  <c r="H1039" i="3" s="1"/>
  <c r="J1039" i="3" a="1"/>
  <c r="J1039" i="3" s="1"/>
  <c r="L1045" i="3" a="1"/>
  <c r="L1045" i="3" s="1"/>
  <c r="H1045" i="3" a="1"/>
  <c r="H1045" i="3" s="1"/>
  <c r="I1045" i="3" a="1"/>
  <c r="I1045" i="3" s="1"/>
  <c r="I1051" i="3" a="1"/>
  <c r="I1051" i="3" s="1"/>
  <c r="H1051" i="3" a="1"/>
  <c r="H1051" i="3" s="1"/>
  <c r="J1051" i="3" a="1"/>
  <c r="J1051" i="3" s="1"/>
  <c r="L1057" i="3" a="1"/>
  <c r="L1057" i="3" s="1"/>
  <c r="I1057" i="3" a="1"/>
  <c r="I1057" i="3" s="1"/>
  <c r="H1057" i="3" a="1"/>
  <c r="H1057" i="3" s="1"/>
  <c r="J1057" i="3" a="1"/>
  <c r="J1057" i="3" s="1"/>
  <c r="I1063" i="3" a="1"/>
  <c r="I1063" i="3" s="1"/>
  <c r="H1063" i="3" a="1"/>
  <c r="H1063" i="3" s="1"/>
  <c r="J1063" i="3" a="1"/>
  <c r="J1063" i="3" s="1"/>
  <c r="L1069" i="3" a="1"/>
  <c r="L1069" i="3" s="1"/>
  <c r="I1069" i="3" a="1"/>
  <c r="I1069" i="3" s="1"/>
  <c r="H1069" i="3" a="1"/>
  <c r="H1069" i="3" s="1"/>
  <c r="J1069" i="3" a="1"/>
  <c r="J1069" i="3" s="1"/>
  <c r="I1075" i="3" a="1"/>
  <c r="I1075" i="3" s="1"/>
  <c r="H1075" i="3" a="1"/>
  <c r="H1075" i="3" s="1"/>
  <c r="J1075" i="3" a="1"/>
  <c r="J1075" i="3" s="1"/>
  <c r="L1081" i="3" a="1"/>
  <c r="L1081" i="3" s="1"/>
  <c r="I1081" i="3" a="1"/>
  <c r="I1081" i="3" s="1"/>
  <c r="H1081" i="3" a="1"/>
  <c r="H1081" i="3" s="1"/>
  <c r="L1087" i="3" a="1"/>
  <c r="L1087" i="3" s="1"/>
  <c r="I1087" i="3" a="1"/>
  <c r="I1087" i="3" s="1"/>
  <c r="H1087" i="3" a="1"/>
  <c r="H1087" i="3" s="1"/>
  <c r="I1093" i="3" a="1"/>
  <c r="I1093" i="3" s="1"/>
  <c r="H1093" i="3" a="1"/>
  <c r="H1093" i="3" s="1"/>
  <c r="J1093" i="3" a="1"/>
  <c r="J1093" i="3" s="1"/>
  <c r="L1099" i="3" a="1"/>
  <c r="L1099" i="3" s="1"/>
  <c r="I1099" i="3" a="1"/>
  <c r="I1099" i="3" s="1"/>
  <c r="H1099" i="3" a="1"/>
  <c r="H1099" i="3" s="1"/>
  <c r="J1099" i="3" a="1"/>
  <c r="J1099" i="3" s="1"/>
  <c r="L1105" i="3" a="1"/>
  <c r="L1105" i="3" s="1"/>
  <c r="I1105" i="3" a="1"/>
  <c r="I1105" i="3" s="1"/>
  <c r="H1105" i="3" a="1"/>
  <c r="H1105" i="3" s="1"/>
  <c r="I1111" i="3" a="1"/>
  <c r="I1111" i="3" s="1"/>
  <c r="H1111" i="3" a="1"/>
  <c r="H1111" i="3" s="1"/>
  <c r="L1117" i="3" a="1"/>
  <c r="L1117" i="3" s="1"/>
  <c r="I1117" i="3" a="1"/>
  <c r="I1117" i="3" s="1"/>
  <c r="H1117" i="3" a="1"/>
  <c r="H1117" i="3" s="1"/>
  <c r="J1117" i="3" a="1"/>
  <c r="J1117" i="3" s="1"/>
  <c r="L1123" i="3" a="1"/>
  <c r="L1123" i="3" s="1"/>
  <c r="I1123" i="3" a="1"/>
  <c r="I1123" i="3" s="1"/>
  <c r="H1123" i="3" a="1"/>
  <c r="H1123" i="3" s="1"/>
  <c r="L1129" i="3" a="1"/>
  <c r="L1129" i="3" s="1"/>
  <c r="I1129" i="3" a="1"/>
  <c r="I1129" i="3" s="1"/>
  <c r="H1129" i="3" a="1"/>
  <c r="H1129" i="3" s="1"/>
  <c r="I1135" i="3" a="1"/>
  <c r="I1135" i="3" s="1"/>
  <c r="H1135" i="3" a="1"/>
  <c r="H1135" i="3" s="1"/>
  <c r="J1135" i="3" a="1"/>
  <c r="J1135" i="3" s="1"/>
  <c r="L1141" i="3" a="1"/>
  <c r="L1141" i="3" s="1"/>
  <c r="I1141" i="3" a="1"/>
  <c r="I1141" i="3" s="1"/>
  <c r="H1141" i="3" a="1"/>
  <c r="H1141" i="3" s="1"/>
  <c r="J1141" i="3" a="1"/>
  <c r="J1141" i="3" s="1"/>
  <c r="L1147" i="3" a="1"/>
  <c r="L1147" i="3" s="1"/>
  <c r="I1147" i="3" a="1"/>
  <c r="I1147" i="3" s="1"/>
  <c r="H1147" i="3" a="1"/>
  <c r="H1147" i="3" s="1"/>
  <c r="J1147" i="3" a="1"/>
  <c r="J1147" i="3" s="1"/>
  <c r="I1153" i="3" a="1"/>
  <c r="I1153" i="3" s="1"/>
  <c r="H1153" i="3" a="1"/>
  <c r="H1153" i="3" s="1"/>
  <c r="L1159" i="3" a="1"/>
  <c r="L1159" i="3" s="1"/>
  <c r="I1159" i="3" a="1"/>
  <c r="I1159" i="3" s="1"/>
  <c r="H1159" i="3" a="1"/>
  <c r="H1159" i="3" s="1"/>
  <c r="I1165" i="3" a="1"/>
  <c r="I1165" i="3" s="1"/>
  <c r="H1165" i="3" a="1"/>
  <c r="H1165" i="3" s="1"/>
  <c r="L1171" i="3" a="1"/>
  <c r="L1171" i="3" s="1"/>
  <c r="I1171" i="3" a="1"/>
  <c r="I1171" i="3" s="1"/>
  <c r="H1171" i="3" a="1"/>
  <c r="H1171" i="3" s="1"/>
  <c r="L1177" i="3" a="1"/>
  <c r="L1177" i="3" s="1"/>
  <c r="I1177" i="3" a="1"/>
  <c r="I1177" i="3" s="1"/>
  <c r="H1177" i="3" a="1"/>
  <c r="H1177" i="3" s="1"/>
  <c r="I1183" i="3" a="1"/>
  <c r="I1183" i="3" s="1"/>
  <c r="H1183" i="3" a="1"/>
  <c r="H1183" i="3" s="1"/>
  <c r="I1189" i="3" a="1"/>
  <c r="I1189" i="3" s="1"/>
  <c r="H1189" i="3" a="1"/>
  <c r="H1189" i="3" s="1"/>
  <c r="I1195" i="3" a="1"/>
  <c r="I1195" i="3" s="1"/>
  <c r="H1195" i="3" a="1"/>
  <c r="H1195" i="3" s="1"/>
  <c r="I1201" i="3" a="1"/>
  <c r="I1201" i="3" s="1"/>
  <c r="H1201" i="3" a="1"/>
  <c r="H1201" i="3" s="1"/>
  <c r="J1201" i="3" a="1"/>
  <c r="J1201" i="3" s="1"/>
  <c r="L1207" i="3" a="1"/>
  <c r="L1207" i="3" s="1"/>
  <c r="I1207" i="3" a="1"/>
  <c r="I1207" i="3" s="1"/>
  <c r="H1207" i="3" a="1"/>
  <c r="H1207" i="3" s="1"/>
  <c r="J1207" i="3" a="1"/>
  <c r="J1207" i="3" s="1"/>
  <c r="I1213" i="3" a="1"/>
  <c r="I1213" i="3" s="1"/>
  <c r="H1213" i="3" a="1"/>
  <c r="H1213" i="3" s="1"/>
  <c r="L1219" i="3" a="1"/>
  <c r="L1219" i="3" s="1"/>
  <c r="I1219" i="3" a="1"/>
  <c r="I1219" i="3" s="1"/>
  <c r="H1219" i="3" a="1"/>
  <c r="H1219" i="3" s="1"/>
  <c r="I1225" i="3" a="1"/>
  <c r="I1225" i="3" s="1"/>
  <c r="H1225" i="3" a="1"/>
  <c r="H1225" i="3" s="1"/>
  <c r="L1231" i="3" a="1"/>
  <c r="L1231" i="3" s="1"/>
  <c r="I1231" i="3" a="1"/>
  <c r="I1231" i="3" s="1"/>
  <c r="H1231" i="3" a="1"/>
  <c r="H1231" i="3" s="1"/>
  <c r="I1237" i="3" a="1"/>
  <c r="I1237" i="3" s="1"/>
  <c r="H1237" i="3" a="1"/>
  <c r="H1237" i="3" s="1"/>
  <c r="I1243" i="3" a="1"/>
  <c r="I1243" i="3" s="1"/>
  <c r="H1243" i="3" a="1"/>
  <c r="H1243" i="3" s="1"/>
  <c r="K1249" i="3" a="1"/>
  <c r="K1249" i="3" s="1"/>
  <c r="I1249" i="3" a="1"/>
  <c r="I1249" i="3" s="1"/>
  <c r="H1249" i="3" a="1"/>
  <c r="H1249" i="3" s="1"/>
  <c r="K1255" i="3" a="1"/>
  <c r="K1255" i="3" s="1"/>
  <c r="I1255" i="3" a="1"/>
  <c r="I1255" i="3" s="1"/>
  <c r="H1255" i="3" a="1"/>
  <c r="H1255" i="3" s="1"/>
  <c r="J1255" i="3" a="1"/>
  <c r="J1255" i="3" s="1"/>
  <c r="L1261" i="3" a="1"/>
  <c r="L1261" i="3" s="1"/>
  <c r="I1261" i="3" a="1"/>
  <c r="I1261" i="3" s="1"/>
  <c r="H1261" i="3" a="1"/>
  <c r="H1261" i="3" s="1"/>
  <c r="L1267" i="3" a="1"/>
  <c r="L1267" i="3" s="1"/>
  <c r="I1267" i="3" a="1"/>
  <c r="I1267" i="3" s="1"/>
  <c r="H1267" i="3" a="1"/>
  <c r="H1267" i="3" s="1"/>
  <c r="J1267" i="3" a="1"/>
  <c r="J1267" i="3" s="1"/>
  <c r="K1273" i="3" a="1"/>
  <c r="K1273" i="3" s="1"/>
  <c r="I1273" i="3" a="1"/>
  <c r="I1273" i="3" s="1"/>
  <c r="H1273" i="3" a="1"/>
  <c r="H1273" i="3" s="1"/>
  <c r="L1279" i="3" a="1"/>
  <c r="L1279" i="3" s="1"/>
  <c r="I1279" i="3" a="1"/>
  <c r="I1279" i="3" s="1"/>
  <c r="H1279" i="3" a="1"/>
  <c r="H1279" i="3" s="1"/>
  <c r="J1279" i="3" a="1"/>
  <c r="J1279" i="3" s="1"/>
  <c r="I1285" i="3" a="1"/>
  <c r="I1285" i="3" s="1"/>
  <c r="H1285" i="3" a="1"/>
  <c r="H1285" i="3" s="1"/>
  <c r="L1291" i="3" a="1"/>
  <c r="L1291" i="3" s="1"/>
  <c r="I1291" i="3" a="1"/>
  <c r="I1291" i="3" s="1"/>
  <c r="H1291" i="3" a="1"/>
  <c r="H1291" i="3" s="1"/>
  <c r="K1297" i="3" a="1"/>
  <c r="K1297" i="3" s="1"/>
  <c r="I1297" i="3" a="1"/>
  <c r="I1297" i="3" s="1"/>
  <c r="H1297" i="3" a="1"/>
  <c r="H1297" i="3" s="1"/>
  <c r="K1303" i="3" a="1"/>
  <c r="K1303" i="3" s="1"/>
  <c r="I1303" i="3" a="1"/>
  <c r="I1303" i="3" s="1"/>
  <c r="H1303" i="3" a="1"/>
  <c r="H1303" i="3" s="1"/>
  <c r="L1309" i="3" a="1"/>
  <c r="L1309" i="3" s="1"/>
  <c r="I1309" i="3" a="1"/>
  <c r="I1309" i="3" s="1"/>
  <c r="H1309" i="3" a="1"/>
  <c r="H1309" i="3" s="1"/>
  <c r="K1315" i="3" a="1"/>
  <c r="K1315" i="3" s="1"/>
  <c r="I1315" i="3" a="1"/>
  <c r="I1315" i="3" s="1"/>
  <c r="L1321" i="3" a="1"/>
  <c r="L1321" i="3" s="1"/>
  <c r="I1321" i="3" a="1"/>
  <c r="I1321" i="3" s="1"/>
  <c r="H1321" i="3" a="1"/>
  <c r="H1321" i="3" s="1"/>
  <c r="L1327" i="3" a="1"/>
  <c r="L1327" i="3" s="1"/>
  <c r="I1327" i="3" a="1"/>
  <c r="I1327" i="3" s="1"/>
  <c r="H1327" i="3" a="1"/>
  <c r="H1327" i="3" s="1"/>
  <c r="L1333" i="3" a="1"/>
  <c r="L1333" i="3" s="1"/>
  <c r="I1333" i="3" a="1"/>
  <c r="I1333" i="3" s="1"/>
  <c r="H1333" i="3" a="1"/>
  <c r="H1333" i="3" s="1"/>
  <c r="K1339" i="3" a="1"/>
  <c r="K1339" i="3" s="1"/>
  <c r="I1339" i="3" a="1"/>
  <c r="I1339" i="3" s="1"/>
  <c r="H1339" i="3" a="1"/>
  <c r="H1339" i="3" s="1"/>
  <c r="K1345" i="3" a="1"/>
  <c r="K1345" i="3" s="1"/>
  <c r="I1345" i="3" a="1"/>
  <c r="I1345" i="3" s="1"/>
  <c r="H1345" i="3" a="1"/>
  <c r="H1345" i="3" s="1"/>
  <c r="L1351" i="3" a="1"/>
  <c r="L1351" i="3" s="1"/>
  <c r="I1351" i="3" a="1"/>
  <c r="I1351" i="3" s="1"/>
  <c r="H1351" i="3" a="1"/>
  <c r="H1351" i="3" s="1"/>
  <c r="K1357" i="3" a="1"/>
  <c r="K1357" i="3" s="1"/>
  <c r="I1357" i="3" a="1"/>
  <c r="I1357" i="3" s="1"/>
  <c r="H1357" i="3" a="1"/>
  <c r="H1357" i="3" s="1"/>
  <c r="K1363" i="3" a="1"/>
  <c r="K1363" i="3" s="1"/>
  <c r="I1363" i="3" a="1"/>
  <c r="I1363" i="3" s="1"/>
  <c r="H1363" i="3" a="1"/>
  <c r="H1363" i="3" s="1"/>
  <c r="K1369" i="3" a="1"/>
  <c r="K1369" i="3" s="1"/>
  <c r="I1369" i="3" a="1"/>
  <c r="I1369" i="3" s="1"/>
  <c r="H1369" i="3" a="1"/>
  <c r="H1369" i="3" s="1"/>
  <c r="L1375" i="3" a="1"/>
  <c r="L1375" i="3" s="1"/>
  <c r="I1375" i="3" a="1"/>
  <c r="I1375" i="3" s="1"/>
  <c r="H1375" i="3" a="1"/>
  <c r="H1375" i="3" s="1"/>
  <c r="K1381" i="3" a="1"/>
  <c r="K1381" i="3" s="1"/>
  <c r="I1381" i="3" a="1"/>
  <c r="I1381" i="3" s="1"/>
  <c r="H1381" i="3" a="1"/>
  <c r="H1381" i="3" s="1"/>
  <c r="K1387" i="3" a="1"/>
  <c r="K1387" i="3" s="1"/>
  <c r="I1387" i="3" a="1"/>
  <c r="I1387" i="3" s="1"/>
  <c r="H1387" i="3" a="1"/>
  <c r="H1387" i="3" s="1"/>
  <c r="L1393" i="3" a="1"/>
  <c r="L1393" i="3" s="1"/>
  <c r="I1393" i="3" a="1"/>
  <c r="I1393" i="3" s="1"/>
  <c r="H1393" i="3" a="1"/>
  <c r="H1393" i="3" s="1"/>
  <c r="L1399" i="3" a="1"/>
  <c r="L1399" i="3" s="1"/>
  <c r="I1399" i="3" a="1"/>
  <c r="I1399" i="3" s="1"/>
  <c r="H1399" i="3" a="1"/>
  <c r="H1399" i="3" s="1"/>
  <c r="K1405" i="3" a="1"/>
  <c r="K1405" i="3" s="1"/>
  <c r="I1405" i="3" a="1"/>
  <c r="I1405" i="3" s="1"/>
  <c r="H1405" i="3" a="1"/>
  <c r="H1405" i="3" s="1"/>
  <c r="L1411" i="3" a="1"/>
  <c r="L1411" i="3" s="1"/>
  <c r="I1411" i="3" a="1"/>
  <c r="I1411" i="3" s="1"/>
  <c r="H1411" i="3" a="1"/>
  <c r="H1411" i="3" s="1"/>
  <c r="I2" i="3" a="1"/>
  <c r="I2" i="3" s="1"/>
  <c r="H2" i="3" a="1"/>
  <c r="H2" i="3" s="1"/>
  <c r="J2" i="3" a="1"/>
  <c r="J2" i="3" s="1"/>
  <c r="I14" i="3" a="1"/>
  <c r="I14" i="3" s="1"/>
  <c r="H14" i="3" a="1"/>
  <c r="H14" i="3" s="1"/>
  <c r="J14" i="3" a="1"/>
  <c r="J14" i="3" s="1"/>
  <c r="I26" i="3" a="1"/>
  <c r="I26" i="3" s="1"/>
  <c r="H26" i="3" a="1"/>
  <c r="H26" i="3" s="1"/>
  <c r="L38" i="3" a="1"/>
  <c r="L38" i="3" s="1"/>
  <c r="I38" i="3" a="1"/>
  <c r="I38" i="3" s="1"/>
  <c r="H38" i="3" a="1"/>
  <c r="H38" i="3" s="1"/>
  <c r="J38" i="3" a="1"/>
  <c r="J38" i="3" s="1"/>
  <c r="I50" i="3" a="1"/>
  <c r="I50" i="3" s="1"/>
  <c r="H50" i="3" a="1"/>
  <c r="H50" i="3" s="1"/>
  <c r="J50" i="3" a="1"/>
  <c r="J50" i="3" s="1"/>
  <c r="I62" i="3" a="1"/>
  <c r="I62" i="3" s="1"/>
  <c r="H62" i="3" a="1"/>
  <c r="H62" i="3" s="1"/>
  <c r="J62" i="3" a="1"/>
  <c r="J62" i="3" s="1"/>
  <c r="L74" i="3" a="1"/>
  <c r="L74" i="3" s="1"/>
  <c r="I74" i="3" a="1"/>
  <c r="I74" i="3" s="1"/>
  <c r="H74" i="3" a="1"/>
  <c r="H74" i="3" s="1"/>
  <c r="J74" i="3" a="1"/>
  <c r="J74" i="3" s="1"/>
  <c r="L86" i="3" a="1"/>
  <c r="L86" i="3" s="1"/>
  <c r="H86" i="3" a="1"/>
  <c r="H86" i="3" s="1"/>
  <c r="I86" i="3" a="1"/>
  <c r="I86" i="3" s="1"/>
  <c r="I98" i="3" a="1"/>
  <c r="I98" i="3" s="1"/>
  <c r="H98" i="3" a="1"/>
  <c r="H98" i="3" s="1"/>
  <c r="J98" i="3" a="1"/>
  <c r="J98" i="3" s="1"/>
  <c r="L110" i="3" a="1"/>
  <c r="L110" i="3" s="1"/>
  <c r="I110" i="3" a="1"/>
  <c r="I110" i="3" s="1"/>
  <c r="H110" i="3" a="1"/>
  <c r="H110" i="3" s="1"/>
  <c r="J110" i="3" a="1"/>
  <c r="J110" i="3" s="1"/>
  <c r="I122" i="3" a="1"/>
  <c r="I122" i="3" s="1"/>
  <c r="H122" i="3" a="1"/>
  <c r="H122" i="3" s="1"/>
  <c r="J122" i="3" a="1"/>
  <c r="J122" i="3" s="1"/>
  <c r="L134" i="3" a="1"/>
  <c r="L134" i="3" s="1"/>
  <c r="I134" i="3" a="1"/>
  <c r="I134" i="3" s="1"/>
  <c r="H134" i="3" a="1"/>
  <c r="H134" i="3" s="1"/>
  <c r="J134" i="3" a="1"/>
  <c r="J134" i="3" s="1"/>
  <c r="I146" i="3" a="1"/>
  <c r="I146" i="3" s="1"/>
  <c r="H146" i="3" a="1"/>
  <c r="H146" i="3" s="1"/>
  <c r="J146" i="3" a="1"/>
  <c r="J146" i="3" s="1"/>
  <c r="I158" i="3" a="1"/>
  <c r="I158" i="3" s="1"/>
  <c r="H158" i="3" a="1"/>
  <c r="H158" i="3" s="1"/>
  <c r="J158" i="3" a="1"/>
  <c r="J158" i="3" s="1"/>
  <c r="L176" i="3" a="1"/>
  <c r="L176" i="3" s="1"/>
  <c r="I176" i="3" a="1"/>
  <c r="I176" i="3" s="1"/>
  <c r="H176" i="3" a="1"/>
  <c r="H176" i="3" s="1"/>
  <c r="J176" i="3" a="1"/>
  <c r="J176" i="3" s="1"/>
  <c r="L188" i="3" a="1"/>
  <c r="L188" i="3" s="1"/>
  <c r="I188" i="3" a="1"/>
  <c r="I188" i="3" s="1"/>
  <c r="H188" i="3" a="1"/>
  <c r="H188" i="3" s="1"/>
  <c r="I200" i="3" a="1"/>
  <c r="I200" i="3" s="1"/>
  <c r="H200" i="3" a="1"/>
  <c r="H200" i="3" s="1"/>
  <c r="J200" i="3" a="1"/>
  <c r="J200" i="3" s="1"/>
  <c r="H212" i="3" a="1"/>
  <c r="H212" i="3" s="1"/>
  <c r="I212" i="3" a="1"/>
  <c r="I212" i="3" s="1"/>
  <c r="J212" i="3" a="1"/>
  <c r="J212" i="3" s="1"/>
  <c r="I224" i="3" a="1"/>
  <c r="I224" i="3" s="1"/>
  <c r="H224" i="3" a="1"/>
  <c r="H224" i="3" s="1"/>
  <c r="J224" i="3" a="1"/>
  <c r="J224" i="3" s="1"/>
  <c r="L236" i="3" a="1"/>
  <c r="L236" i="3" s="1"/>
  <c r="I236" i="3" a="1"/>
  <c r="I236" i="3" s="1"/>
  <c r="H236" i="3" a="1"/>
  <c r="H236" i="3" s="1"/>
  <c r="J236" i="3" a="1"/>
  <c r="J236" i="3" s="1"/>
  <c r="I248" i="3" a="1"/>
  <c r="I248" i="3" s="1"/>
  <c r="H248" i="3" a="1"/>
  <c r="H248" i="3" s="1"/>
  <c r="J248" i="3" a="1"/>
  <c r="J248" i="3" s="1"/>
  <c r="I260" i="3" a="1"/>
  <c r="I260" i="3" s="1"/>
  <c r="H260" i="3" a="1"/>
  <c r="H260" i="3" s="1"/>
  <c r="J260" i="3" a="1"/>
  <c r="J260" i="3" s="1"/>
  <c r="I272" i="3" a="1"/>
  <c r="I272" i="3" s="1"/>
  <c r="H272" i="3" a="1"/>
  <c r="H272" i="3" s="1"/>
  <c r="J272" i="3" a="1"/>
  <c r="J272" i="3" s="1"/>
  <c r="I284" i="3" a="1"/>
  <c r="I284" i="3" s="1"/>
  <c r="H284" i="3" a="1"/>
  <c r="H284" i="3" s="1"/>
  <c r="J284" i="3" a="1"/>
  <c r="J284" i="3" s="1"/>
  <c r="I296" i="3" a="1"/>
  <c r="I296" i="3" s="1"/>
  <c r="H296" i="3" a="1"/>
  <c r="H296" i="3" s="1"/>
  <c r="J296" i="3" a="1"/>
  <c r="J296" i="3" s="1"/>
  <c r="I308" i="3" a="1"/>
  <c r="I308" i="3" s="1"/>
  <c r="H308" i="3" a="1"/>
  <c r="H308" i="3" s="1"/>
  <c r="J308" i="3" a="1"/>
  <c r="J308" i="3" s="1"/>
  <c r="L320" i="3" a="1"/>
  <c r="L320" i="3" s="1"/>
  <c r="I320" i="3" a="1"/>
  <c r="I320" i="3" s="1"/>
  <c r="H320" i="3" a="1"/>
  <c r="H320" i="3" s="1"/>
  <c r="J320" i="3" a="1"/>
  <c r="J320" i="3" s="1"/>
  <c r="I332" i="3" a="1"/>
  <c r="I332" i="3" s="1"/>
  <c r="H332" i="3" a="1"/>
  <c r="H332" i="3" s="1"/>
  <c r="J332" i="3" a="1"/>
  <c r="J332" i="3" s="1"/>
  <c r="L344" i="3" a="1"/>
  <c r="L344" i="3" s="1"/>
  <c r="I344" i="3" a="1"/>
  <c r="I344" i="3" s="1"/>
  <c r="H344" i="3" a="1"/>
  <c r="H344" i="3" s="1"/>
  <c r="J344" i="3" a="1"/>
  <c r="J344" i="3" s="1"/>
  <c r="L356" i="3" a="1"/>
  <c r="L356" i="3" s="1"/>
  <c r="I356" i="3" a="1"/>
  <c r="I356" i="3" s="1"/>
  <c r="H356" i="3" a="1"/>
  <c r="H356" i="3" s="1"/>
  <c r="J356" i="3" a="1"/>
  <c r="J356" i="3" s="1"/>
  <c r="I368" i="3" a="1"/>
  <c r="I368" i="3" s="1"/>
  <c r="H368" i="3" a="1"/>
  <c r="H368" i="3" s="1"/>
  <c r="J368" i="3" a="1"/>
  <c r="J368" i="3" s="1"/>
  <c r="L380" i="3" a="1"/>
  <c r="L380" i="3" s="1"/>
  <c r="I380" i="3" a="1"/>
  <c r="I380" i="3" s="1"/>
  <c r="H380" i="3" a="1"/>
  <c r="H380" i="3" s="1"/>
  <c r="J380" i="3" a="1"/>
  <c r="J380" i="3" s="1"/>
  <c r="I392" i="3" a="1"/>
  <c r="I392" i="3" s="1"/>
  <c r="H392" i="3" a="1"/>
  <c r="H392" i="3" s="1"/>
  <c r="J392" i="3" a="1"/>
  <c r="J392" i="3" s="1"/>
  <c r="L404" i="3" a="1"/>
  <c r="L404" i="3" s="1"/>
  <c r="I404" i="3" a="1"/>
  <c r="I404" i="3" s="1"/>
  <c r="H404" i="3" a="1"/>
  <c r="H404" i="3" s="1"/>
  <c r="J404" i="3" a="1"/>
  <c r="J404" i="3" s="1"/>
  <c r="I416" i="3" a="1"/>
  <c r="I416" i="3" s="1"/>
  <c r="H416" i="3" a="1"/>
  <c r="H416" i="3" s="1"/>
  <c r="J416" i="3" a="1"/>
  <c r="J416" i="3" s="1"/>
  <c r="I428" i="3" a="1"/>
  <c r="I428" i="3" s="1"/>
  <c r="H428" i="3" a="1"/>
  <c r="H428" i="3" s="1"/>
  <c r="J428" i="3" a="1"/>
  <c r="J428" i="3" s="1"/>
  <c r="L440" i="3" a="1"/>
  <c r="L440" i="3" s="1"/>
  <c r="I440" i="3" a="1"/>
  <c r="I440" i="3" s="1"/>
  <c r="H440" i="3" a="1"/>
  <c r="H440" i="3" s="1"/>
  <c r="J440" i="3" a="1"/>
  <c r="J440" i="3" s="1"/>
  <c r="I452" i="3" a="1"/>
  <c r="I452" i="3" s="1"/>
  <c r="H452" i="3" a="1"/>
  <c r="H452" i="3" s="1"/>
  <c r="J452" i="3" a="1"/>
  <c r="J452" i="3" s="1"/>
  <c r="I464" i="3" a="1"/>
  <c r="I464" i="3" s="1"/>
  <c r="H464" i="3" a="1"/>
  <c r="H464" i="3" s="1"/>
  <c r="J464" i="3" a="1"/>
  <c r="J464" i="3" s="1"/>
  <c r="L476" i="3" a="1"/>
  <c r="L476" i="3" s="1"/>
  <c r="I476" i="3" a="1"/>
  <c r="I476" i="3" s="1"/>
  <c r="H476" i="3" a="1"/>
  <c r="H476" i="3" s="1"/>
  <c r="J476" i="3" a="1"/>
  <c r="J476" i="3" s="1"/>
  <c r="I488" i="3" a="1"/>
  <c r="I488" i="3" s="1"/>
  <c r="H488" i="3" a="1"/>
  <c r="H488" i="3" s="1"/>
  <c r="J488" i="3" a="1"/>
  <c r="J488" i="3" s="1"/>
  <c r="I500" i="3" a="1"/>
  <c r="I500" i="3" s="1"/>
  <c r="H500" i="3" a="1"/>
  <c r="H500" i="3" s="1"/>
  <c r="J500" i="3" a="1"/>
  <c r="J500" i="3" s="1"/>
  <c r="I512" i="3" a="1"/>
  <c r="I512" i="3" s="1"/>
  <c r="H512" i="3" a="1"/>
  <c r="H512" i="3" s="1"/>
  <c r="J512" i="3" a="1"/>
  <c r="J512" i="3" s="1"/>
  <c r="L524" i="3" a="1"/>
  <c r="L524" i="3" s="1"/>
  <c r="I524" i="3" a="1"/>
  <c r="I524" i="3" s="1"/>
  <c r="H524" i="3" a="1"/>
  <c r="H524" i="3" s="1"/>
  <c r="J524" i="3" a="1"/>
  <c r="J524" i="3" s="1"/>
  <c r="L536" i="3" a="1"/>
  <c r="L536" i="3" s="1"/>
  <c r="I536" i="3" a="1"/>
  <c r="I536" i="3" s="1"/>
  <c r="H536" i="3" a="1"/>
  <c r="H536" i="3" s="1"/>
  <c r="J536" i="3" a="1"/>
  <c r="J536" i="3" s="1"/>
  <c r="H548" i="3" a="1"/>
  <c r="H548" i="3" s="1"/>
  <c r="I548" i="3" a="1"/>
  <c r="I548" i="3" s="1"/>
  <c r="J548" i="3" a="1"/>
  <c r="J548" i="3" s="1"/>
  <c r="I560" i="3" a="1"/>
  <c r="I560" i="3" s="1"/>
  <c r="J560" i="3" a="1"/>
  <c r="J560" i="3" s="1"/>
  <c r="L572" i="3" a="1"/>
  <c r="L572" i="3" s="1"/>
  <c r="I572" i="3" a="1"/>
  <c r="I572" i="3" s="1"/>
  <c r="H572" i="3" a="1"/>
  <c r="H572" i="3" s="1"/>
  <c r="J572" i="3" a="1"/>
  <c r="J572" i="3" s="1"/>
  <c r="I584" i="3" a="1"/>
  <c r="I584" i="3" s="1"/>
  <c r="H584" i="3" a="1"/>
  <c r="H584" i="3" s="1"/>
  <c r="J584" i="3" a="1"/>
  <c r="J584" i="3" s="1"/>
  <c r="L596" i="3" a="1"/>
  <c r="L596" i="3" s="1"/>
  <c r="I596" i="3" a="1"/>
  <c r="I596" i="3" s="1"/>
  <c r="J596" i="3" a="1"/>
  <c r="J596" i="3" s="1"/>
  <c r="H596" i="3" a="1"/>
  <c r="H596" i="3" s="1"/>
  <c r="I608" i="3" a="1"/>
  <c r="I608" i="3" s="1"/>
  <c r="H608" i="3" a="1"/>
  <c r="H608" i="3" s="1"/>
  <c r="I620" i="3" a="1"/>
  <c r="I620" i="3" s="1"/>
  <c r="H620" i="3" a="1"/>
  <c r="H620" i="3" s="1"/>
  <c r="J620" i="3" a="1"/>
  <c r="J620" i="3" s="1"/>
  <c r="I632" i="3" a="1"/>
  <c r="I632" i="3" s="1"/>
  <c r="H632" i="3" a="1"/>
  <c r="H632" i="3" s="1"/>
  <c r="J632" i="3" a="1"/>
  <c r="J632" i="3" s="1"/>
  <c r="I644" i="3" a="1"/>
  <c r="I644" i="3" s="1"/>
  <c r="H644" i="3" a="1"/>
  <c r="H644" i="3" s="1"/>
  <c r="J644" i="3" a="1"/>
  <c r="J644" i="3" s="1"/>
  <c r="L656" i="3" a="1"/>
  <c r="L656" i="3" s="1"/>
  <c r="I656" i="3" a="1"/>
  <c r="I656" i="3" s="1"/>
  <c r="H656" i="3" a="1"/>
  <c r="H656" i="3" s="1"/>
  <c r="J656" i="3" a="1"/>
  <c r="J656" i="3" s="1"/>
  <c r="I668" i="3" a="1"/>
  <c r="I668" i="3" s="1"/>
  <c r="H668" i="3" a="1"/>
  <c r="H668" i="3" s="1"/>
  <c r="J668" i="3" a="1"/>
  <c r="J668" i="3" s="1"/>
  <c r="L680" i="3" a="1"/>
  <c r="L680" i="3" s="1"/>
  <c r="I680" i="3" a="1"/>
  <c r="I680" i="3" s="1"/>
  <c r="H680" i="3" a="1"/>
  <c r="H680" i="3" s="1"/>
  <c r="J680" i="3" a="1"/>
  <c r="J680" i="3" s="1"/>
  <c r="L692" i="3" a="1"/>
  <c r="L692" i="3" s="1"/>
  <c r="I692" i="3" a="1"/>
  <c r="I692" i="3" s="1"/>
  <c r="H692" i="3" a="1"/>
  <c r="H692" i="3" s="1"/>
  <c r="J692" i="3" a="1"/>
  <c r="J692" i="3" s="1"/>
  <c r="I704" i="3" a="1"/>
  <c r="I704" i="3" s="1"/>
  <c r="H704" i="3" a="1"/>
  <c r="H704" i="3" s="1"/>
  <c r="L716" i="3" a="1"/>
  <c r="L716" i="3" s="1"/>
  <c r="I716" i="3" a="1"/>
  <c r="I716" i="3" s="1"/>
  <c r="H716" i="3" a="1"/>
  <c r="H716" i="3" s="1"/>
  <c r="J716" i="3" a="1"/>
  <c r="J716" i="3" s="1"/>
  <c r="I728" i="3" a="1"/>
  <c r="I728" i="3" s="1"/>
  <c r="H728" i="3" a="1"/>
  <c r="H728" i="3" s="1"/>
  <c r="J728" i="3" a="1"/>
  <c r="J728" i="3" s="1"/>
  <c r="I740" i="3" a="1"/>
  <c r="I740" i="3" s="1"/>
  <c r="H740" i="3" a="1"/>
  <c r="H740" i="3" s="1"/>
  <c r="J740" i="3" a="1"/>
  <c r="J740" i="3" s="1"/>
  <c r="I746" i="3" a="1"/>
  <c r="I746" i="3" s="1"/>
  <c r="H746" i="3" a="1"/>
  <c r="H746" i="3" s="1"/>
  <c r="J746" i="3" a="1"/>
  <c r="J746" i="3" s="1"/>
  <c r="I752" i="3" a="1"/>
  <c r="I752" i="3" s="1"/>
  <c r="H752" i="3" a="1"/>
  <c r="H752" i="3" s="1"/>
  <c r="I758" i="3" a="1"/>
  <c r="I758" i="3" s="1"/>
  <c r="H758" i="3" a="1"/>
  <c r="H758" i="3" s="1"/>
  <c r="I770" i="3" a="1"/>
  <c r="I770" i="3" s="1"/>
  <c r="H770" i="3" a="1"/>
  <c r="H770" i="3" s="1"/>
  <c r="J770" i="3" a="1"/>
  <c r="J770" i="3" s="1"/>
  <c r="I776" i="3" a="1"/>
  <c r="I776" i="3" s="1"/>
  <c r="H776" i="3" a="1"/>
  <c r="H776" i="3" s="1"/>
  <c r="I782" i="3" a="1"/>
  <c r="I782" i="3" s="1"/>
  <c r="H782" i="3" a="1"/>
  <c r="H782" i="3" s="1"/>
  <c r="L788" i="3" a="1"/>
  <c r="L788" i="3" s="1"/>
  <c r="I788" i="3" a="1"/>
  <c r="I788" i="3" s="1"/>
  <c r="H788" i="3" a="1"/>
  <c r="H788" i="3" s="1"/>
  <c r="J788" i="3" a="1"/>
  <c r="J788" i="3" s="1"/>
  <c r="I794" i="3" a="1"/>
  <c r="I794" i="3" s="1"/>
  <c r="H794" i="3" a="1"/>
  <c r="H794" i="3" s="1"/>
  <c r="J794" i="3" a="1"/>
  <c r="J794" i="3" s="1"/>
  <c r="L800" i="3" a="1"/>
  <c r="L800" i="3" s="1"/>
  <c r="I800" i="3" a="1"/>
  <c r="I800" i="3" s="1"/>
  <c r="H800" i="3" a="1"/>
  <c r="H800" i="3" s="1"/>
  <c r="L806" i="3" a="1"/>
  <c r="L806" i="3" s="1"/>
  <c r="I806" i="3" a="1"/>
  <c r="I806" i="3" s="1"/>
  <c r="H806" i="3" a="1"/>
  <c r="H806" i="3" s="1"/>
  <c r="I812" i="3" a="1"/>
  <c r="I812" i="3" s="1"/>
  <c r="H812" i="3" a="1"/>
  <c r="H812" i="3" s="1"/>
  <c r="J812" i="3" a="1"/>
  <c r="J812" i="3" s="1"/>
  <c r="L818" i="3" a="1"/>
  <c r="L818" i="3" s="1"/>
  <c r="I818" i="3" a="1"/>
  <c r="I818" i="3" s="1"/>
  <c r="H818" i="3" a="1"/>
  <c r="H818" i="3" s="1"/>
  <c r="J818" i="3" a="1"/>
  <c r="J818" i="3" s="1"/>
  <c r="L824" i="3" a="1"/>
  <c r="L824" i="3" s="1"/>
  <c r="I824" i="3" a="1"/>
  <c r="I824" i="3" s="1"/>
  <c r="H824" i="3" a="1"/>
  <c r="H824" i="3" s="1"/>
  <c r="J824" i="3" a="1"/>
  <c r="J824" i="3" s="1"/>
  <c r="I830" i="3" a="1"/>
  <c r="I830" i="3" s="1"/>
  <c r="H830" i="3" a="1"/>
  <c r="H830" i="3" s="1"/>
  <c r="J830" i="3" a="1"/>
  <c r="J830" i="3" s="1"/>
  <c r="L836" i="3" a="1"/>
  <c r="L836" i="3" s="1"/>
  <c r="I836" i="3" a="1"/>
  <c r="I836" i="3" s="1"/>
  <c r="H836" i="3" a="1"/>
  <c r="H836" i="3" s="1"/>
  <c r="I842" i="3" a="1"/>
  <c r="I842" i="3" s="1"/>
  <c r="H842" i="3" a="1"/>
  <c r="H842" i="3" s="1"/>
  <c r="L848" i="3" a="1"/>
  <c r="L848" i="3" s="1"/>
  <c r="I848" i="3" a="1"/>
  <c r="I848" i="3" s="1"/>
  <c r="H848" i="3" a="1"/>
  <c r="H848" i="3" s="1"/>
  <c r="J848" i="3" a="1"/>
  <c r="J848" i="3" s="1"/>
  <c r="I854" i="3" a="1"/>
  <c r="I854" i="3" s="1"/>
  <c r="H854" i="3" a="1"/>
  <c r="H854" i="3" s="1"/>
  <c r="J854" i="3" a="1"/>
  <c r="J854" i="3" s="1"/>
  <c r="L860" i="3" a="1"/>
  <c r="L860" i="3" s="1"/>
  <c r="I860" i="3" a="1"/>
  <c r="I860" i="3" s="1"/>
  <c r="H860" i="3" a="1"/>
  <c r="H860" i="3" s="1"/>
  <c r="I866" i="3" a="1"/>
  <c r="I866" i="3" s="1"/>
  <c r="H866" i="3" a="1"/>
  <c r="H866" i="3" s="1"/>
  <c r="I872" i="3" a="1"/>
  <c r="I872" i="3" s="1"/>
  <c r="H872" i="3" a="1"/>
  <c r="H872" i="3" s="1"/>
  <c r="J872" i="3" a="1"/>
  <c r="J872" i="3" s="1"/>
  <c r="L878" i="3" a="1"/>
  <c r="L878" i="3" s="1"/>
  <c r="I878" i="3" a="1"/>
  <c r="I878" i="3" s="1"/>
  <c r="H878" i="3" a="1"/>
  <c r="H878" i="3" s="1"/>
  <c r="J878" i="3" a="1"/>
  <c r="J878" i="3" s="1"/>
  <c r="L884" i="3" a="1"/>
  <c r="L884" i="3" s="1"/>
  <c r="I884" i="3" a="1"/>
  <c r="I884" i="3" s="1"/>
  <c r="H884" i="3" a="1"/>
  <c r="H884" i="3" s="1"/>
  <c r="I890" i="3" a="1"/>
  <c r="I890" i="3" s="1"/>
  <c r="H890" i="3" a="1"/>
  <c r="H890" i="3" s="1"/>
  <c r="L896" i="3" a="1"/>
  <c r="L896" i="3" s="1"/>
  <c r="I896" i="3" a="1"/>
  <c r="I896" i="3" s="1"/>
  <c r="H896" i="3" a="1"/>
  <c r="H896" i="3" s="1"/>
  <c r="J896" i="3" a="1"/>
  <c r="J896" i="3" s="1"/>
  <c r="I902" i="3" a="1"/>
  <c r="I902" i="3" s="1"/>
  <c r="H902" i="3" a="1"/>
  <c r="H902" i="3" s="1"/>
  <c r="J902" i="3" a="1"/>
  <c r="J902" i="3" s="1"/>
  <c r="I908" i="3" a="1"/>
  <c r="I908" i="3" s="1"/>
  <c r="H908" i="3" a="1"/>
  <c r="H908" i="3" s="1"/>
  <c r="I914" i="3" a="1"/>
  <c r="I914" i="3" s="1"/>
  <c r="H914" i="3" a="1"/>
  <c r="H914" i="3" s="1"/>
  <c r="J914" i="3" a="1"/>
  <c r="J914" i="3" s="1"/>
  <c r="L920" i="3" a="1"/>
  <c r="L920" i="3" s="1"/>
  <c r="I920" i="3" a="1"/>
  <c r="I920" i="3" s="1"/>
  <c r="H920" i="3" a="1"/>
  <c r="H920" i="3" s="1"/>
  <c r="L926" i="3" a="1"/>
  <c r="L926" i="3" s="1"/>
  <c r="I926" i="3" a="1"/>
  <c r="I926" i="3" s="1"/>
  <c r="H926" i="3" a="1"/>
  <c r="H926" i="3" s="1"/>
  <c r="L932" i="3" a="1"/>
  <c r="L932" i="3" s="1"/>
  <c r="I932" i="3" a="1"/>
  <c r="I932" i="3" s="1"/>
  <c r="H932" i="3" a="1"/>
  <c r="H932" i="3" s="1"/>
  <c r="J932" i="3" a="1"/>
  <c r="J932" i="3" s="1"/>
  <c r="L938" i="3" a="1"/>
  <c r="L938" i="3" s="1"/>
  <c r="I938" i="3" a="1"/>
  <c r="I938" i="3" s="1"/>
  <c r="H938" i="3" a="1"/>
  <c r="H938" i="3" s="1"/>
  <c r="J938" i="3" a="1"/>
  <c r="J938" i="3" s="1"/>
  <c r="L944" i="3" a="1"/>
  <c r="L944" i="3" s="1"/>
  <c r="I944" i="3" a="1"/>
  <c r="I944" i="3" s="1"/>
  <c r="H944" i="3" a="1"/>
  <c r="H944" i="3" s="1"/>
  <c r="J944" i="3" a="1"/>
  <c r="J944" i="3" s="1"/>
  <c r="I950" i="3" a="1"/>
  <c r="I950" i="3" s="1"/>
  <c r="H950" i="3" a="1"/>
  <c r="H950" i="3" s="1"/>
  <c r="J950" i="3" a="1"/>
  <c r="J950" i="3" s="1"/>
  <c r="I956" i="3" a="1"/>
  <c r="I956" i="3" s="1"/>
  <c r="H956" i="3" a="1"/>
  <c r="H956" i="3" s="1"/>
  <c r="L962" i="3" a="1"/>
  <c r="L962" i="3" s="1"/>
  <c r="I962" i="3" a="1"/>
  <c r="I962" i="3" s="1"/>
  <c r="H962" i="3" a="1"/>
  <c r="H962" i="3" s="1"/>
  <c r="J962" i="3" a="1"/>
  <c r="J962" i="3" s="1"/>
  <c r="L968" i="3" a="1"/>
  <c r="L968" i="3" s="1"/>
  <c r="I968" i="3" a="1"/>
  <c r="I968" i="3" s="1"/>
  <c r="H968" i="3" a="1"/>
  <c r="H968" i="3" s="1"/>
  <c r="J968" i="3" a="1"/>
  <c r="J968" i="3" s="1"/>
  <c r="H974" i="3" a="1"/>
  <c r="H974" i="3" s="1"/>
  <c r="I974" i="3" a="1"/>
  <c r="I974" i="3" s="1"/>
  <c r="I980" i="3" a="1"/>
  <c r="I980" i="3" s="1"/>
  <c r="H980" i="3" a="1"/>
  <c r="H980" i="3" s="1"/>
  <c r="J980" i="3" a="1"/>
  <c r="J980" i="3" s="1"/>
  <c r="L986" i="3" a="1"/>
  <c r="L986" i="3" s="1"/>
  <c r="I986" i="3" a="1"/>
  <c r="I986" i="3" s="1"/>
  <c r="H986" i="3" a="1"/>
  <c r="H986" i="3" s="1"/>
  <c r="J986" i="3" a="1"/>
  <c r="J986" i="3" s="1"/>
  <c r="I992" i="3" a="1"/>
  <c r="I992" i="3" s="1"/>
  <c r="H992" i="3" a="1"/>
  <c r="H992" i="3" s="1"/>
  <c r="J992" i="3" a="1"/>
  <c r="J992" i="3" s="1"/>
  <c r="L998" i="3" a="1"/>
  <c r="L998" i="3" s="1"/>
  <c r="I998" i="3" a="1"/>
  <c r="I998" i="3" s="1"/>
  <c r="H998" i="3" a="1"/>
  <c r="H998" i="3" s="1"/>
  <c r="J998" i="3" a="1"/>
  <c r="J998" i="3" s="1"/>
  <c r="I1004" i="3" a="1"/>
  <c r="I1004" i="3" s="1"/>
  <c r="H1004" i="3" a="1"/>
  <c r="H1004" i="3" s="1"/>
  <c r="J1004" i="3" a="1"/>
  <c r="J1004" i="3" s="1"/>
  <c r="L1010" i="3" a="1"/>
  <c r="L1010" i="3" s="1"/>
  <c r="I1010" i="3" a="1"/>
  <c r="I1010" i="3" s="1"/>
  <c r="H1010" i="3" a="1"/>
  <c r="H1010" i="3" s="1"/>
  <c r="I1016" i="3" a="1"/>
  <c r="I1016" i="3" s="1"/>
  <c r="H1016" i="3" a="1"/>
  <c r="H1016" i="3" s="1"/>
  <c r="L1022" i="3" a="1"/>
  <c r="L1022" i="3" s="1"/>
  <c r="I1022" i="3" a="1"/>
  <c r="I1022" i="3" s="1"/>
  <c r="H1022" i="3" a="1"/>
  <c r="H1022" i="3" s="1"/>
  <c r="J1022" i="3" a="1"/>
  <c r="J1022" i="3" s="1"/>
  <c r="I1028" i="3" a="1"/>
  <c r="I1028" i="3" s="1"/>
  <c r="H1028" i="3" a="1"/>
  <c r="H1028" i="3" s="1"/>
  <c r="J1028" i="3" a="1"/>
  <c r="J1028" i="3" s="1"/>
  <c r="L1034" i="3" a="1"/>
  <c r="L1034" i="3" s="1"/>
  <c r="I1034" i="3" a="1"/>
  <c r="I1034" i="3" s="1"/>
  <c r="H1034" i="3" a="1"/>
  <c r="H1034" i="3" s="1"/>
  <c r="L1040" i="3" a="1"/>
  <c r="L1040" i="3" s="1"/>
  <c r="I1040" i="3" a="1"/>
  <c r="I1040" i="3" s="1"/>
  <c r="H1040" i="3" a="1"/>
  <c r="H1040" i="3" s="1"/>
  <c r="L1046" i="3" a="1"/>
  <c r="L1046" i="3" s="1"/>
  <c r="I1046" i="3" a="1"/>
  <c r="I1046" i="3" s="1"/>
  <c r="H1046" i="3" a="1"/>
  <c r="H1046" i="3" s="1"/>
  <c r="I1052" i="3" a="1"/>
  <c r="I1052" i="3" s="1"/>
  <c r="H1052" i="3" a="1"/>
  <c r="H1052" i="3" s="1"/>
  <c r="J1052" i="3" a="1"/>
  <c r="J1052" i="3" s="1"/>
  <c r="L1058" i="3" a="1"/>
  <c r="L1058" i="3" s="1"/>
  <c r="I1058" i="3" a="1"/>
  <c r="I1058" i="3" s="1"/>
  <c r="H1058" i="3" a="1"/>
  <c r="H1058" i="3" s="1"/>
  <c r="L1064" i="3" a="1"/>
  <c r="L1064" i="3" s="1"/>
  <c r="I1064" i="3" a="1"/>
  <c r="I1064" i="3" s="1"/>
  <c r="H1064" i="3" a="1"/>
  <c r="H1064" i="3" s="1"/>
  <c r="J1064" i="3" a="1"/>
  <c r="J1064" i="3" s="1"/>
  <c r="L1070" i="3" a="1"/>
  <c r="L1070" i="3" s="1"/>
  <c r="I1070" i="3" a="1"/>
  <c r="I1070" i="3" s="1"/>
  <c r="I1076" i="3" a="1"/>
  <c r="I1076" i="3" s="1"/>
  <c r="H1076" i="3" a="1"/>
  <c r="H1076" i="3" s="1"/>
  <c r="L1082" i="3" a="1"/>
  <c r="L1082" i="3" s="1"/>
  <c r="I1082" i="3" a="1"/>
  <c r="I1082" i="3" s="1"/>
  <c r="H1082" i="3" a="1"/>
  <c r="H1082" i="3" s="1"/>
  <c r="I1088" i="3" a="1"/>
  <c r="I1088" i="3" s="1"/>
  <c r="H1088" i="3" a="1"/>
  <c r="H1088" i="3" s="1"/>
  <c r="J1088" i="3" a="1"/>
  <c r="J1088" i="3" s="1"/>
  <c r="L1094" i="3" a="1"/>
  <c r="L1094" i="3" s="1"/>
  <c r="I1094" i="3" a="1"/>
  <c r="I1094" i="3" s="1"/>
  <c r="H1094" i="3" a="1"/>
  <c r="H1094" i="3" s="1"/>
  <c r="J1094" i="3" a="1"/>
  <c r="J1094" i="3" s="1"/>
  <c r="I1100" i="3" a="1"/>
  <c r="I1100" i="3" s="1"/>
  <c r="H1100" i="3" a="1"/>
  <c r="H1100" i="3" s="1"/>
  <c r="J1100" i="3" a="1"/>
  <c r="J1100" i="3" s="1"/>
  <c r="L1106" i="3" a="1"/>
  <c r="L1106" i="3" s="1"/>
  <c r="I1106" i="3" a="1"/>
  <c r="I1106" i="3" s="1"/>
  <c r="H1106" i="3" a="1"/>
  <c r="H1106" i="3" s="1"/>
  <c r="J1106" i="3" a="1"/>
  <c r="J1106" i="3" s="1"/>
  <c r="I1112" i="3" a="1"/>
  <c r="I1112" i="3" s="1"/>
  <c r="H1112" i="3" a="1"/>
  <c r="H1112" i="3" s="1"/>
  <c r="L1118" i="3" a="1"/>
  <c r="L1118" i="3" s="1"/>
  <c r="H1118" i="3" a="1"/>
  <c r="H1118" i="3" s="1"/>
  <c r="I1118" i="3" a="1"/>
  <c r="I1118" i="3" s="1"/>
  <c r="J1118" i="3" a="1"/>
  <c r="J1118" i="3" s="1"/>
  <c r="I1124" i="3" a="1"/>
  <c r="I1124" i="3" s="1"/>
  <c r="H1124" i="3" a="1"/>
  <c r="H1124" i="3" s="1"/>
  <c r="L1130" i="3" a="1"/>
  <c r="L1130" i="3" s="1"/>
  <c r="I1130" i="3" a="1"/>
  <c r="I1130" i="3" s="1"/>
  <c r="H1130" i="3" a="1"/>
  <c r="H1130" i="3" s="1"/>
  <c r="J1130" i="3" a="1"/>
  <c r="J1130" i="3" s="1"/>
  <c r="I1136" i="3" a="1"/>
  <c r="I1136" i="3" s="1"/>
  <c r="H1136" i="3" a="1"/>
  <c r="H1136" i="3" s="1"/>
  <c r="J1136" i="3" a="1"/>
  <c r="J1136" i="3" s="1"/>
  <c r="L1142" i="3" a="1"/>
  <c r="L1142" i="3" s="1"/>
  <c r="I1142" i="3" a="1"/>
  <c r="I1142" i="3" s="1"/>
  <c r="H1142" i="3" a="1"/>
  <c r="H1142" i="3" s="1"/>
  <c r="L1148" i="3" a="1"/>
  <c r="L1148" i="3" s="1"/>
  <c r="I1148" i="3" a="1"/>
  <c r="I1148" i="3" s="1"/>
  <c r="H1148" i="3" a="1"/>
  <c r="H1148" i="3" s="1"/>
  <c r="I1154" i="3" a="1"/>
  <c r="I1154" i="3" s="1"/>
  <c r="H1154" i="3" a="1"/>
  <c r="H1154" i="3" s="1"/>
  <c r="J1154" i="3" a="1"/>
  <c r="J1154" i="3" s="1"/>
  <c r="L1160" i="3" a="1"/>
  <c r="L1160" i="3" s="1"/>
  <c r="I1160" i="3" a="1"/>
  <c r="I1160" i="3" s="1"/>
  <c r="H1160" i="3" a="1"/>
  <c r="H1160" i="3" s="1"/>
  <c r="J1160" i="3" a="1"/>
  <c r="J1160" i="3" s="1"/>
  <c r="L1166" i="3" a="1"/>
  <c r="L1166" i="3" s="1"/>
  <c r="I1166" i="3" a="1"/>
  <c r="I1166" i="3" s="1"/>
  <c r="J1166" i="3" a="1"/>
  <c r="J1166" i="3" s="1"/>
  <c r="L1172" i="3" a="1"/>
  <c r="L1172" i="3" s="1"/>
  <c r="I1172" i="3" a="1"/>
  <c r="I1172" i="3" s="1"/>
  <c r="H1172" i="3" a="1"/>
  <c r="H1172" i="3" s="1"/>
  <c r="J1172" i="3" a="1"/>
  <c r="J1172" i="3" s="1"/>
  <c r="I1178" i="3" a="1"/>
  <c r="I1178" i="3" s="1"/>
  <c r="H1178" i="3" a="1"/>
  <c r="H1178" i="3" s="1"/>
  <c r="I1184" i="3" a="1"/>
  <c r="I1184" i="3" s="1"/>
  <c r="H1184" i="3" a="1"/>
  <c r="H1184" i="3" s="1"/>
  <c r="J1184" i="3" a="1"/>
  <c r="J1184" i="3" s="1"/>
  <c r="I1190" i="3" a="1"/>
  <c r="I1190" i="3" s="1"/>
  <c r="H1190" i="3" a="1"/>
  <c r="H1190" i="3" s="1"/>
  <c r="J1190" i="3" a="1"/>
  <c r="J1190" i="3" s="1"/>
  <c r="I1196" i="3" a="1"/>
  <c r="I1196" i="3" s="1"/>
  <c r="H1196" i="3" a="1"/>
  <c r="H1196" i="3" s="1"/>
  <c r="I1202" i="3" a="1"/>
  <c r="I1202" i="3" s="1"/>
  <c r="H1202" i="3" a="1"/>
  <c r="H1202" i="3" s="1"/>
  <c r="L1208" i="3" a="1"/>
  <c r="L1208" i="3" s="1"/>
  <c r="I1208" i="3" a="1"/>
  <c r="I1208" i="3" s="1"/>
  <c r="H1208" i="3" a="1"/>
  <c r="H1208" i="3" s="1"/>
  <c r="K1214" i="3" a="1"/>
  <c r="K1214" i="3" s="1"/>
  <c r="I1214" i="3" a="1"/>
  <c r="I1214" i="3" s="1"/>
  <c r="H1214" i="3" a="1"/>
  <c r="H1214" i="3" s="1"/>
  <c r="J1214" i="3" a="1"/>
  <c r="J1214" i="3" s="1"/>
  <c r="L1220" i="3" a="1"/>
  <c r="L1220" i="3" s="1"/>
  <c r="I1220" i="3" a="1"/>
  <c r="I1220" i="3" s="1"/>
  <c r="H1220" i="3" a="1"/>
  <c r="H1220" i="3" s="1"/>
  <c r="J1220" i="3" a="1"/>
  <c r="J1220" i="3" s="1"/>
  <c r="K1226" i="3" a="1"/>
  <c r="K1226" i="3" s="1"/>
  <c r="I1226" i="3" a="1"/>
  <c r="I1226" i="3" s="1"/>
  <c r="J1226" i="3" a="1"/>
  <c r="J1226" i="3" s="1"/>
  <c r="L1232" i="3" a="1"/>
  <c r="L1232" i="3" s="1"/>
  <c r="I1232" i="3" a="1"/>
  <c r="I1232" i="3" s="1"/>
  <c r="H1232" i="3" a="1"/>
  <c r="H1232" i="3" s="1"/>
  <c r="J1232" i="3" a="1"/>
  <c r="J1232" i="3" s="1"/>
  <c r="L1238" i="3" a="1"/>
  <c r="L1238" i="3" s="1"/>
  <c r="I1238" i="3" a="1"/>
  <c r="I1238" i="3" s="1"/>
  <c r="H1238" i="3" a="1"/>
  <c r="H1238" i="3" s="1"/>
  <c r="L1244" i="3" a="1"/>
  <c r="L1244" i="3" s="1"/>
  <c r="I1244" i="3" a="1"/>
  <c r="I1244" i="3" s="1"/>
  <c r="H1244" i="3" a="1"/>
  <c r="H1244" i="3" s="1"/>
  <c r="J1244" i="3" a="1"/>
  <c r="J1244" i="3" s="1"/>
  <c r="L1250" i="3" a="1"/>
  <c r="L1250" i="3" s="1"/>
  <c r="I1250" i="3" a="1"/>
  <c r="I1250" i="3" s="1"/>
  <c r="H1250" i="3" a="1"/>
  <c r="H1250" i="3" s="1"/>
  <c r="K1256" i="3" a="1"/>
  <c r="K1256" i="3" s="1"/>
  <c r="I1256" i="3" a="1"/>
  <c r="I1256" i="3" s="1"/>
  <c r="H1256" i="3" a="1"/>
  <c r="H1256" i="3" s="1"/>
  <c r="J1256" i="3" a="1"/>
  <c r="J1256" i="3" s="1"/>
  <c r="L1262" i="3" a="1"/>
  <c r="L1262" i="3" s="1"/>
  <c r="H1262" i="3" a="1"/>
  <c r="H1262" i="3" s="1"/>
  <c r="I1262" i="3" a="1"/>
  <c r="I1262" i="3" s="1"/>
  <c r="J1262" i="3" a="1"/>
  <c r="J1262" i="3" s="1"/>
  <c r="L1268" i="3" a="1"/>
  <c r="L1268" i="3" s="1"/>
  <c r="I1268" i="3" a="1"/>
  <c r="I1268" i="3" s="1"/>
  <c r="H1268" i="3" a="1"/>
  <c r="H1268" i="3" s="1"/>
  <c r="K1274" i="3" a="1"/>
  <c r="K1274" i="3" s="1"/>
  <c r="I1274" i="3" a="1"/>
  <c r="I1274" i="3" s="1"/>
  <c r="H1274" i="3" a="1"/>
  <c r="H1274" i="3" s="1"/>
  <c r="K1280" i="3" a="1"/>
  <c r="K1280" i="3" s="1"/>
  <c r="I1280" i="3" a="1"/>
  <c r="I1280" i="3" s="1"/>
  <c r="H1280" i="3" a="1"/>
  <c r="H1280" i="3" s="1"/>
  <c r="J1280" i="3" a="1"/>
  <c r="J1280" i="3" s="1"/>
  <c r="K1286" i="3" a="1"/>
  <c r="K1286" i="3" s="1"/>
  <c r="I1286" i="3" a="1"/>
  <c r="I1286" i="3" s="1"/>
  <c r="H1286" i="3" a="1"/>
  <c r="H1286" i="3" s="1"/>
  <c r="K1292" i="3" a="1"/>
  <c r="K1292" i="3" s="1"/>
  <c r="I1292" i="3" a="1"/>
  <c r="I1292" i="3" s="1"/>
  <c r="H1292" i="3" a="1"/>
  <c r="H1292" i="3" s="1"/>
  <c r="K1298" i="3" a="1"/>
  <c r="K1298" i="3" s="1"/>
  <c r="I1298" i="3" a="1"/>
  <c r="I1298" i="3" s="1"/>
  <c r="H1298" i="3" a="1"/>
  <c r="H1298" i="3" s="1"/>
  <c r="L1304" i="3" a="1"/>
  <c r="L1304" i="3" s="1"/>
  <c r="I1304" i="3" a="1"/>
  <c r="I1304" i="3" s="1"/>
  <c r="H1304" i="3" a="1"/>
  <c r="H1304" i="3" s="1"/>
  <c r="L1310" i="3" a="1"/>
  <c r="L1310" i="3" s="1"/>
  <c r="I1310" i="3" a="1"/>
  <c r="I1310" i="3" s="1"/>
  <c r="I1316" i="3" a="1"/>
  <c r="I1316" i="3" s="1"/>
  <c r="H1316" i="3" a="1"/>
  <c r="H1316" i="3" s="1"/>
  <c r="K1322" i="3" a="1"/>
  <c r="K1322" i="3" s="1"/>
  <c r="I1322" i="3" a="1"/>
  <c r="I1322" i="3" s="1"/>
  <c r="H1322" i="3" a="1"/>
  <c r="H1322" i="3" s="1"/>
  <c r="L1328" i="3" a="1"/>
  <c r="L1328" i="3" s="1"/>
  <c r="I1328" i="3" a="1"/>
  <c r="I1328" i="3" s="1"/>
  <c r="H1328" i="3" a="1"/>
  <c r="H1328" i="3" s="1"/>
  <c r="L1334" i="3" a="1"/>
  <c r="L1334" i="3" s="1"/>
  <c r="I1334" i="3" a="1"/>
  <c r="I1334" i="3" s="1"/>
  <c r="H1334" i="3" a="1"/>
  <c r="H1334" i="3" s="1"/>
  <c r="K1340" i="3" a="1"/>
  <c r="K1340" i="3" s="1"/>
  <c r="I1340" i="3" a="1"/>
  <c r="I1340" i="3" s="1"/>
  <c r="L1346" i="3" a="1"/>
  <c r="L1346" i="3" s="1"/>
  <c r="I1346" i="3" a="1"/>
  <c r="I1346" i="3" s="1"/>
  <c r="K1352" i="3" a="1"/>
  <c r="K1352" i="3" s="1"/>
  <c r="I1352" i="3" a="1"/>
  <c r="I1352" i="3" s="1"/>
  <c r="H1352" i="3" a="1"/>
  <c r="H1352" i="3" s="1"/>
  <c r="L1358" i="3" a="1"/>
  <c r="L1358" i="3" s="1"/>
  <c r="I1358" i="3" a="1"/>
  <c r="I1358" i="3" s="1"/>
  <c r="H1358" i="3" a="1"/>
  <c r="H1358" i="3" s="1"/>
  <c r="K1364" i="3" a="1"/>
  <c r="K1364" i="3" s="1"/>
  <c r="I1364" i="3" a="1"/>
  <c r="I1364" i="3" s="1"/>
  <c r="H1364" i="3" a="1"/>
  <c r="H1364" i="3" s="1"/>
  <c r="K1370" i="3" a="1"/>
  <c r="K1370" i="3" s="1"/>
  <c r="I1370" i="3" a="1"/>
  <c r="I1370" i="3" s="1"/>
  <c r="H1370" i="3" a="1"/>
  <c r="H1370" i="3" s="1"/>
  <c r="L1376" i="3" a="1"/>
  <c r="L1376" i="3" s="1"/>
  <c r="I1376" i="3" a="1"/>
  <c r="I1376" i="3" s="1"/>
  <c r="H1376" i="3" a="1"/>
  <c r="H1376" i="3" s="1"/>
  <c r="L1382" i="3" a="1"/>
  <c r="L1382" i="3" s="1"/>
  <c r="I1382" i="3" a="1"/>
  <c r="I1382" i="3" s="1"/>
  <c r="H1382" i="3" a="1"/>
  <c r="H1382" i="3" s="1"/>
  <c r="K1388" i="3" a="1"/>
  <c r="K1388" i="3" s="1"/>
  <c r="I1388" i="3" a="1"/>
  <c r="I1388" i="3" s="1"/>
  <c r="H1388" i="3" a="1"/>
  <c r="H1388" i="3" s="1"/>
  <c r="I1394" i="3" a="1"/>
  <c r="I1394" i="3" s="1"/>
  <c r="H1394" i="3" a="1"/>
  <c r="H1394" i="3" s="1"/>
  <c r="L1400" i="3" a="1"/>
  <c r="L1400" i="3" s="1"/>
  <c r="I1400" i="3" a="1"/>
  <c r="I1400" i="3" s="1"/>
  <c r="H1400" i="3" a="1"/>
  <c r="H1400" i="3" s="1"/>
  <c r="L1406" i="3" a="1"/>
  <c r="L1406" i="3" s="1"/>
  <c r="H1406" i="3" a="1"/>
  <c r="H1406" i="3" s="1"/>
  <c r="I1406" i="3" a="1"/>
  <c r="I1406" i="3" s="1"/>
  <c r="L1412" i="3" a="1"/>
  <c r="L1412" i="3" s="1"/>
  <c r="I1412" i="3" a="1"/>
  <c r="I1412" i="3" s="1"/>
  <c r="H1412" i="3" a="1"/>
  <c r="H1412" i="3" s="1"/>
  <c r="L1418" i="3" a="1"/>
  <c r="L1418" i="3" s="1"/>
  <c r="I1418" i="3" a="1"/>
  <c r="I1418" i="3" s="1"/>
  <c r="F1424" i="3" a="1"/>
  <c r="F1424" i="3" s="1"/>
  <c r="I1424" i="3" a="1"/>
  <c r="I1424" i="3" s="1"/>
  <c r="H1424" i="3" a="1"/>
  <c r="H1424" i="3" s="1"/>
  <c r="K1430" i="3" a="1"/>
  <c r="K1430" i="3" s="1"/>
  <c r="I1430" i="3" a="1"/>
  <c r="I1430" i="3" s="1"/>
  <c r="H1430" i="3" a="1"/>
  <c r="H1430" i="3" s="1"/>
  <c r="F1436" i="3" a="1"/>
  <c r="F1436" i="3" s="1"/>
  <c r="I1436" i="3" a="1"/>
  <c r="I1436" i="3" s="1"/>
  <c r="H1436" i="3" a="1"/>
  <c r="H1436" i="3" s="1"/>
  <c r="J1352" i="3" a="1"/>
  <c r="J1352" i="3" s="1"/>
  <c r="J1334" i="3" a="1"/>
  <c r="J1334" i="3" s="1"/>
  <c r="J1309" i="3" a="1"/>
  <c r="J1309" i="3" s="1"/>
  <c r="J1183" i="3" a="1"/>
  <c r="J1183" i="3" s="1"/>
  <c r="J1034" i="3" a="1"/>
  <c r="J1034" i="3" s="1"/>
  <c r="J883" i="3" a="1"/>
  <c r="J883" i="3" s="1"/>
  <c r="J799" i="3" a="1"/>
  <c r="J799" i="3" s="1"/>
  <c r="H1340" i="3" a="1"/>
  <c r="H1340" i="3" s="1"/>
  <c r="J1327" i="3" a="1"/>
  <c r="J1327" i="3" s="1"/>
  <c r="J1081" i="3" a="1"/>
  <c r="J1081" i="3" s="1"/>
  <c r="J889" i="3" a="1"/>
  <c r="J889" i="3" s="1"/>
  <c r="I8" i="3" a="1"/>
  <c r="I8" i="3" s="1"/>
  <c r="H8" i="3" a="1"/>
  <c r="H8" i="3" s="1"/>
  <c r="J8" i="3" a="1"/>
  <c r="J8" i="3" s="1"/>
  <c r="I20" i="3" a="1"/>
  <c r="I20" i="3" s="1"/>
  <c r="H20" i="3" a="1"/>
  <c r="H20" i="3" s="1"/>
  <c r="J20" i="3" a="1"/>
  <c r="J20" i="3" s="1"/>
  <c r="I32" i="3" a="1"/>
  <c r="I32" i="3" s="1"/>
  <c r="H32" i="3" a="1"/>
  <c r="H32" i="3" s="1"/>
  <c r="J32" i="3" a="1"/>
  <c r="J32" i="3" s="1"/>
  <c r="I44" i="3" a="1"/>
  <c r="I44" i="3" s="1"/>
  <c r="H44" i="3" a="1"/>
  <c r="H44" i="3" s="1"/>
  <c r="J44" i="3" a="1"/>
  <c r="J44" i="3" s="1"/>
  <c r="I56" i="3" a="1"/>
  <c r="I56" i="3" s="1"/>
  <c r="H56" i="3" a="1"/>
  <c r="H56" i="3" s="1"/>
  <c r="J56" i="3" a="1"/>
  <c r="J56" i="3" s="1"/>
  <c r="I68" i="3" a="1"/>
  <c r="I68" i="3" s="1"/>
  <c r="H68" i="3" a="1"/>
  <c r="H68" i="3" s="1"/>
  <c r="J68" i="3" a="1"/>
  <c r="J68" i="3" s="1"/>
  <c r="I80" i="3" a="1"/>
  <c r="I80" i="3" s="1"/>
  <c r="H80" i="3" a="1"/>
  <c r="H80" i="3" s="1"/>
  <c r="J80" i="3" a="1"/>
  <c r="J80" i="3" s="1"/>
  <c r="I92" i="3" a="1"/>
  <c r="I92" i="3" s="1"/>
  <c r="H92" i="3" a="1"/>
  <c r="H92" i="3" s="1"/>
  <c r="J92" i="3" a="1"/>
  <c r="J92" i="3" s="1"/>
  <c r="I104" i="3" a="1"/>
  <c r="I104" i="3" s="1"/>
  <c r="H104" i="3" a="1"/>
  <c r="H104" i="3" s="1"/>
  <c r="J104" i="3" a="1"/>
  <c r="J104" i="3" s="1"/>
  <c r="I116" i="3" a="1"/>
  <c r="I116" i="3" s="1"/>
  <c r="H116" i="3" a="1"/>
  <c r="H116" i="3" s="1"/>
  <c r="H128" i="3" a="1"/>
  <c r="H128" i="3" s="1"/>
  <c r="I128" i="3" a="1"/>
  <c r="I128" i="3" s="1"/>
  <c r="J128" i="3" a="1"/>
  <c r="J128" i="3" s="1"/>
  <c r="I140" i="3" a="1"/>
  <c r="I140" i="3" s="1"/>
  <c r="H140" i="3" a="1"/>
  <c r="H140" i="3" s="1"/>
  <c r="J140" i="3" a="1"/>
  <c r="J140" i="3" s="1"/>
  <c r="L152" i="3" a="1"/>
  <c r="L152" i="3" s="1"/>
  <c r="I152" i="3" a="1"/>
  <c r="I152" i="3" s="1"/>
  <c r="H152" i="3" a="1"/>
  <c r="H152" i="3" s="1"/>
  <c r="J152" i="3" a="1"/>
  <c r="J152" i="3" s="1"/>
  <c r="L164" i="3" a="1"/>
  <c r="L164" i="3" s="1"/>
  <c r="I164" i="3" a="1"/>
  <c r="I164" i="3" s="1"/>
  <c r="H164" i="3" a="1"/>
  <c r="H164" i="3" s="1"/>
  <c r="J164" i="3" a="1"/>
  <c r="J164" i="3" s="1"/>
  <c r="I170" i="3" a="1"/>
  <c r="I170" i="3" s="1"/>
  <c r="H170" i="3" a="1"/>
  <c r="H170" i="3" s="1"/>
  <c r="J170" i="3" a="1"/>
  <c r="J170" i="3" s="1"/>
  <c r="I182" i="3" a="1"/>
  <c r="I182" i="3" s="1"/>
  <c r="H182" i="3" a="1"/>
  <c r="H182" i="3" s="1"/>
  <c r="J182" i="3" a="1"/>
  <c r="J182" i="3" s="1"/>
  <c r="I194" i="3" a="1"/>
  <c r="I194" i="3" s="1"/>
  <c r="H194" i="3" a="1"/>
  <c r="H194" i="3" s="1"/>
  <c r="J194" i="3" a="1"/>
  <c r="J194" i="3" s="1"/>
  <c r="I206" i="3" a="1"/>
  <c r="I206" i="3" s="1"/>
  <c r="H206" i="3" a="1"/>
  <c r="H206" i="3" s="1"/>
  <c r="I218" i="3" a="1"/>
  <c r="I218" i="3" s="1"/>
  <c r="H218" i="3" a="1"/>
  <c r="H218" i="3" s="1"/>
  <c r="J218" i="3" a="1"/>
  <c r="J218" i="3" s="1"/>
  <c r="I230" i="3" a="1"/>
  <c r="I230" i="3" s="1"/>
  <c r="J230" i="3" a="1"/>
  <c r="J230" i="3" s="1"/>
  <c r="H230" i="3" a="1"/>
  <c r="H230" i="3" s="1"/>
  <c r="I242" i="3" a="1"/>
  <c r="I242" i="3" s="1"/>
  <c r="H242" i="3" a="1"/>
  <c r="H242" i="3" s="1"/>
  <c r="L254" i="3" a="1"/>
  <c r="L254" i="3" s="1"/>
  <c r="I254" i="3" a="1"/>
  <c r="I254" i="3" s="1"/>
  <c r="H254" i="3" a="1"/>
  <c r="H254" i="3" s="1"/>
  <c r="J254" i="3" a="1"/>
  <c r="J254" i="3" s="1"/>
  <c r="I266" i="3" a="1"/>
  <c r="I266" i="3" s="1"/>
  <c r="H266" i="3" a="1"/>
  <c r="H266" i="3" s="1"/>
  <c r="J266" i="3" a="1"/>
  <c r="J266" i="3" s="1"/>
  <c r="L278" i="3" a="1"/>
  <c r="L278" i="3" s="1"/>
  <c r="I278" i="3" a="1"/>
  <c r="I278" i="3" s="1"/>
  <c r="H278" i="3" a="1"/>
  <c r="H278" i="3" s="1"/>
  <c r="I290" i="3" a="1"/>
  <c r="I290" i="3" s="1"/>
  <c r="H290" i="3" a="1"/>
  <c r="H290" i="3" s="1"/>
  <c r="J290" i="3" a="1"/>
  <c r="J290" i="3" s="1"/>
  <c r="I302" i="3" a="1"/>
  <c r="I302" i="3" s="1"/>
  <c r="H302" i="3" a="1"/>
  <c r="H302" i="3" s="1"/>
  <c r="J302" i="3" a="1"/>
  <c r="J302" i="3" s="1"/>
  <c r="L314" i="3" a="1"/>
  <c r="L314" i="3" s="1"/>
  <c r="I314" i="3" a="1"/>
  <c r="I314" i="3" s="1"/>
  <c r="H314" i="3" a="1"/>
  <c r="H314" i="3" s="1"/>
  <c r="I326" i="3" a="1"/>
  <c r="I326" i="3" s="1"/>
  <c r="H326" i="3" a="1"/>
  <c r="H326" i="3" s="1"/>
  <c r="J326" i="3" a="1"/>
  <c r="J326" i="3" s="1"/>
  <c r="I338" i="3" a="1"/>
  <c r="I338" i="3" s="1"/>
  <c r="H338" i="3" a="1"/>
  <c r="H338" i="3" s="1"/>
  <c r="J338" i="3" a="1"/>
  <c r="J338" i="3" s="1"/>
  <c r="I350" i="3" a="1"/>
  <c r="I350" i="3" s="1"/>
  <c r="H350" i="3" a="1"/>
  <c r="H350" i="3" s="1"/>
  <c r="J350" i="3" a="1"/>
  <c r="J350" i="3" s="1"/>
  <c r="I362" i="3" a="1"/>
  <c r="I362" i="3" s="1"/>
  <c r="H362" i="3" a="1"/>
  <c r="H362" i="3" s="1"/>
  <c r="J362" i="3" a="1"/>
  <c r="J362" i="3" s="1"/>
  <c r="I374" i="3" a="1"/>
  <c r="I374" i="3" s="1"/>
  <c r="H374" i="3" a="1"/>
  <c r="H374" i="3" s="1"/>
  <c r="J374" i="3" a="1"/>
  <c r="J374" i="3" s="1"/>
  <c r="I386" i="3" a="1"/>
  <c r="I386" i="3" s="1"/>
  <c r="H386" i="3" a="1"/>
  <c r="H386" i="3" s="1"/>
  <c r="J386" i="3" a="1"/>
  <c r="J386" i="3" s="1"/>
  <c r="I398" i="3" a="1"/>
  <c r="I398" i="3" s="1"/>
  <c r="H398" i="3" a="1"/>
  <c r="H398" i="3" s="1"/>
  <c r="J398" i="3" a="1"/>
  <c r="J398" i="3" s="1"/>
  <c r="I410" i="3" a="1"/>
  <c r="I410" i="3" s="1"/>
  <c r="H410" i="3" a="1"/>
  <c r="H410" i="3" s="1"/>
  <c r="I422" i="3" a="1"/>
  <c r="I422" i="3" s="1"/>
  <c r="H422" i="3" a="1"/>
  <c r="H422" i="3" s="1"/>
  <c r="J422" i="3" a="1"/>
  <c r="J422" i="3" s="1"/>
  <c r="I434" i="3" a="1"/>
  <c r="I434" i="3" s="1"/>
  <c r="H434" i="3" a="1"/>
  <c r="H434" i="3" s="1"/>
  <c r="I446" i="3" a="1"/>
  <c r="I446" i="3" s="1"/>
  <c r="H446" i="3" a="1"/>
  <c r="H446" i="3" s="1"/>
  <c r="J446" i="3" a="1"/>
  <c r="J446" i="3" s="1"/>
  <c r="L458" i="3" a="1"/>
  <c r="L458" i="3" s="1"/>
  <c r="I458" i="3" a="1"/>
  <c r="I458" i="3" s="1"/>
  <c r="H458" i="3" a="1"/>
  <c r="H458" i="3" s="1"/>
  <c r="I470" i="3" a="1"/>
  <c r="I470" i="3" s="1"/>
  <c r="H470" i="3" a="1"/>
  <c r="H470" i="3" s="1"/>
  <c r="J470" i="3" a="1"/>
  <c r="J470" i="3" s="1"/>
  <c r="I482" i="3" a="1"/>
  <c r="I482" i="3" s="1"/>
  <c r="H482" i="3" a="1"/>
  <c r="H482" i="3" s="1"/>
  <c r="J482" i="3" a="1"/>
  <c r="J482" i="3" s="1"/>
  <c r="I494" i="3" a="1"/>
  <c r="I494" i="3" s="1"/>
  <c r="H494" i="3" a="1"/>
  <c r="H494" i="3" s="1"/>
  <c r="J494" i="3" a="1"/>
  <c r="J494" i="3" s="1"/>
  <c r="L506" i="3" a="1"/>
  <c r="L506" i="3" s="1"/>
  <c r="I506" i="3" a="1"/>
  <c r="I506" i="3" s="1"/>
  <c r="H506" i="3" a="1"/>
  <c r="H506" i="3" s="1"/>
  <c r="J506" i="3" a="1"/>
  <c r="J506" i="3" s="1"/>
  <c r="I518" i="3" a="1"/>
  <c r="I518" i="3" s="1"/>
  <c r="H518" i="3" a="1"/>
  <c r="H518" i="3" s="1"/>
  <c r="J518" i="3" a="1"/>
  <c r="J518" i="3" s="1"/>
  <c r="I530" i="3" a="1"/>
  <c r="I530" i="3" s="1"/>
  <c r="H530" i="3" a="1"/>
  <c r="H530" i="3" s="1"/>
  <c r="J530" i="3" a="1"/>
  <c r="J530" i="3" s="1"/>
  <c r="I542" i="3" a="1"/>
  <c r="I542" i="3" s="1"/>
  <c r="H542" i="3" a="1"/>
  <c r="H542" i="3" s="1"/>
  <c r="J542" i="3" a="1"/>
  <c r="J542" i="3" s="1"/>
  <c r="L554" i="3" a="1"/>
  <c r="L554" i="3" s="1"/>
  <c r="I554" i="3" a="1"/>
  <c r="I554" i="3" s="1"/>
  <c r="H554" i="3" a="1"/>
  <c r="H554" i="3" s="1"/>
  <c r="J554" i="3" a="1"/>
  <c r="J554" i="3" s="1"/>
  <c r="I566" i="3" a="1"/>
  <c r="I566" i="3" s="1"/>
  <c r="H566" i="3" a="1"/>
  <c r="H566" i="3" s="1"/>
  <c r="I578" i="3" a="1"/>
  <c r="I578" i="3" s="1"/>
  <c r="H578" i="3" a="1"/>
  <c r="H578" i="3" s="1"/>
  <c r="I590" i="3" a="1"/>
  <c r="I590" i="3" s="1"/>
  <c r="H590" i="3" a="1"/>
  <c r="H590" i="3" s="1"/>
  <c r="L602" i="3" a="1"/>
  <c r="L602" i="3" s="1"/>
  <c r="I602" i="3" a="1"/>
  <c r="I602" i="3" s="1"/>
  <c r="H602" i="3" a="1"/>
  <c r="H602" i="3" s="1"/>
  <c r="J602" i="3" a="1"/>
  <c r="J602" i="3" s="1"/>
  <c r="I614" i="3" a="1"/>
  <c r="I614" i="3" s="1"/>
  <c r="H614" i="3" a="1"/>
  <c r="H614" i="3" s="1"/>
  <c r="J614" i="3" a="1"/>
  <c r="J614" i="3" s="1"/>
  <c r="I626" i="3" a="1"/>
  <c r="I626" i="3" s="1"/>
  <c r="H626" i="3" a="1"/>
  <c r="H626" i="3" s="1"/>
  <c r="J626" i="3" a="1"/>
  <c r="J626" i="3" s="1"/>
  <c r="I638" i="3" a="1"/>
  <c r="I638" i="3" s="1"/>
  <c r="H638" i="3" a="1"/>
  <c r="H638" i="3" s="1"/>
  <c r="J638" i="3" a="1"/>
  <c r="J638" i="3" s="1"/>
  <c r="I650" i="3" a="1"/>
  <c r="I650" i="3" s="1"/>
  <c r="H650" i="3" a="1"/>
  <c r="H650" i="3" s="1"/>
  <c r="J650" i="3" a="1"/>
  <c r="J650" i="3" s="1"/>
  <c r="I662" i="3" a="1"/>
  <c r="I662" i="3" s="1"/>
  <c r="H662" i="3" a="1"/>
  <c r="H662" i="3" s="1"/>
  <c r="J662" i="3" a="1"/>
  <c r="J662" i="3" s="1"/>
  <c r="L674" i="3" a="1"/>
  <c r="L674" i="3" s="1"/>
  <c r="I674" i="3" a="1"/>
  <c r="I674" i="3" s="1"/>
  <c r="H674" i="3" a="1"/>
  <c r="H674" i="3" s="1"/>
  <c r="J674" i="3" a="1"/>
  <c r="J674" i="3" s="1"/>
  <c r="L686" i="3" a="1"/>
  <c r="L686" i="3" s="1"/>
  <c r="I686" i="3" a="1"/>
  <c r="I686" i="3" s="1"/>
  <c r="H686" i="3" a="1"/>
  <c r="H686" i="3" s="1"/>
  <c r="J686" i="3" a="1"/>
  <c r="J686" i="3" s="1"/>
  <c r="I698" i="3" a="1"/>
  <c r="I698" i="3" s="1"/>
  <c r="H698" i="3" a="1"/>
  <c r="H698" i="3" s="1"/>
  <c r="J698" i="3" a="1"/>
  <c r="J698" i="3" s="1"/>
  <c r="I710" i="3" a="1"/>
  <c r="I710" i="3" s="1"/>
  <c r="H710" i="3" a="1"/>
  <c r="H710" i="3" s="1"/>
  <c r="I722" i="3" a="1"/>
  <c r="I722" i="3" s="1"/>
  <c r="H722" i="3" a="1"/>
  <c r="H722" i="3" s="1"/>
  <c r="J722" i="3" a="1"/>
  <c r="J722" i="3" s="1"/>
  <c r="I734" i="3" a="1"/>
  <c r="I734" i="3" s="1"/>
  <c r="H734" i="3" a="1"/>
  <c r="H734" i="3" s="1"/>
  <c r="J734" i="3" a="1"/>
  <c r="J734" i="3" s="1"/>
  <c r="I764" i="3" a="1"/>
  <c r="I764" i="3" s="1"/>
  <c r="H764" i="3" a="1"/>
  <c r="H764" i="3" s="1"/>
  <c r="J764" i="3" a="1"/>
  <c r="J764" i="3" s="1"/>
  <c r="J1351" i="3" a="1"/>
  <c r="J1351" i="3" s="1"/>
  <c r="J1333" i="3" a="1"/>
  <c r="J1333" i="3" s="1"/>
  <c r="J1292" i="3" a="1"/>
  <c r="J1292" i="3" s="1"/>
  <c r="J1225" i="3" a="1"/>
  <c r="J1225" i="3" s="1"/>
  <c r="J1196" i="3" a="1"/>
  <c r="J1196" i="3" s="1"/>
  <c r="J1076" i="3" a="1"/>
  <c r="J1076" i="3" s="1"/>
  <c r="J926" i="3" a="1"/>
  <c r="J926" i="3" s="1"/>
  <c r="J823" i="3" a="1"/>
  <c r="J823" i="3" s="1"/>
  <c r="J613" i="3" a="1"/>
  <c r="J613" i="3" s="1"/>
  <c r="H1315" i="3" a="1"/>
  <c r="H1315" i="3" s="1"/>
  <c r="I3" i="3" a="1"/>
  <c r="I3" i="3" s="1"/>
  <c r="H3" i="3" a="1"/>
  <c r="H3" i="3" s="1"/>
  <c r="I9" i="3" a="1"/>
  <c r="I9" i="3" s="1"/>
  <c r="H9" i="3" a="1"/>
  <c r="H9" i="3" s="1"/>
  <c r="J9" i="3" a="1"/>
  <c r="J9" i="3" s="1"/>
  <c r="I15" i="3" a="1"/>
  <c r="I15" i="3" s="1"/>
  <c r="H15" i="3" a="1"/>
  <c r="H15" i="3" s="1"/>
  <c r="J15" i="3" a="1"/>
  <c r="J15" i="3" s="1"/>
  <c r="H21" i="3" a="1"/>
  <c r="H21" i="3" s="1"/>
  <c r="I21" i="3" a="1"/>
  <c r="I21" i="3" s="1"/>
  <c r="J21" i="3" a="1"/>
  <c r="J21" i="3" s="1"/>
  <c r="I27" i="3" a="1"/>
  <c r="I27" i="3" s="1"/>
  <c r="H27" i="3" a="1"/>
  <c r="H27" i="3" s="1"/>
  <c r="J27" i="3" a="1"/>
  <c r="J27" i="3" s="1"/>
  <c r="I33" i="3" a="1"/>
  <c r="I33" i="3" s="1"/>
  <c r="J33" i="3" a="1"/>
  <c r="J33" i="3" s="1"/>
  <c r="L39" i="3" a="1"/>
  <c r="L39" i="3" s="1"/>
  <c r="I39" i="3" a="1"/>
  <c r="I39" i="3" s="1"/>
  <c r="H39" i="3" a="1"/>
  <c r="H39" i="3" s="1"/>
  <c r="J39" i="3" a="1"/>
  <c r="J39" i="3" s="1"/>
  <c r="I45" i="3" a="1"/>
  <c r="I45" i="3" s="1"/>
  <c r="H45" i="3" a="1"/>
  <c r="H45" i="3" s="1"/>
  <c r="J45" i="3" a="1"/>
  <c r="J45" i="3" s="1"/>
  <c r="I51" i="3" a="1"/>
  <c r="I51" i="3" s="1"/>
  <c r="H51" i="3" a="1"/>
  <c r="H51" i="3" s="1"/>
  <c r="J51" i="3" a="1"/>
  <c r="J51" i="3" s="1"/>
  <c r="I57" i="3" a="1"/>
  <c r="I57" i="3" s="1"/>
  <c r="H57" i="3" a="1"/>
  <c r="H57" i="3" s="1"/>
  <c r="L63" i="3" a="1"/>
  <c r="L63" i="3" s="1"/>
  <c r="I63" i="3" a="1"/>
  <c r="I63" i="3" s="1"/>
  <c r="H63" i="3" a="1"/>
  <c r="H63" i="3" s="1"/>
  <c r="J63" i="3" a="1"/>
  <c r="J63" i="3" s="1"/>
  <c r="I69" i="3" a="1"/>
  <c r="I69" i="3" s="1"/>
  <c r="H69" i="3" a="1"/>
  <c r="H69" i="3" s="1"/>
  <c r="J69" i="3" a="1"/>
  <c r="J69" i="3" s="1"/>
  <c r="I75" i="3" a="1"/>
  <c r="I75" i="3" s="1"/>
  <c r="H75" i="3" a="1"/>
  <c r="H75" i="3" s="1"/>
  <c r="J75" i="3" a="1"/>
  <c r="J75" i="3" s="1"/>
  <c r="I81" i="3" a="1"/>
  <c r="I81" i="3" s="1"/>
  <c r="H81" i="3" a="1"/>
  <c r="H81" i="3" s="1"/>
  <c r="J81" i="3" a="1"/>
  <c r="J81" i="3" s="1"/>
  <c r="L87" i="3" a="1"/>
  <c r="L87" i="3" s="1"/>
  <c r="I87" i="3" a="1"/>
  <c r="I87" i="3" s="1"/>
  <c r="H87" i="3" a="1"/>
  <c r="H87" i="3" s="1"/>
  <c r="J87" i="3" a="1"/>
  <c r="J87" i="3" s="1"/>
  <c r="I93" i="3" a="1"/>
  <c r="I93" i="3" s="1"/>
  <c r="H93" i="3" a="1"/>
  <c r="H93" i="3" s="1"/>
  <c r="J93" i="3" a="1"/>
  <c r="J93" i="3" s="1"/>
  <c r="I99" i="3" a="1"/>
  <c r="I99" i="3" s="1"/>
  <c r="H99" i="3" a="1"/>
  <c r="H99" i="3" s="1"/>
  <c r="J99" i="3" a="1"/>
  <c r="J99" i="3" s="1"/>
  <c r="L105" i="3" a="1"/>
  <c r="L105" i="3" s="1"/>
  <c r="I105" i="3" a="1"/>
  <c r="I105" i="3" s="1"/>
  <c r="H105" i="3" a="1"/>
  <c r="H105" i="3" s="1"/>
  <c r="J105" i="3" a="1"/>
  <c r="J105" i="3" s="1"/>
  <c r="L111" i="3" a="1"/>
  <c r="L111" i="3" s="1"/>
  <c r="I111" i="3" a="1"/>
  <c r="I111" i="3" s="1"/>
  <c r="H111" i="3" a="1"/>
  <c r="H111" i="3" s="1"/>
  <c r="J111" i="3" a="1"/>
  <c r="J111" i="3" s="1"/>
  <c r="I117" i="3" a="1"/>
  <c r="I117" i="3" s="1"/>
  <c r="H117" i="3" a="1"/>
  <c r="H117" i="3" s="1"/>
  <c r="L123" i="3" a="1"/>
  <c r="L123" i="3" s="1"/>
  <c r="I123" i="3" a="1"/>
  <c r="I123" i="3" s="1"/>
  <c r="H123" i="3" a="1"/>
  <c r="H123" i="3" s="1"/>
  <c r="J123" i="3" a="1"/>
  <c r="J123" i="3" s="1"/>
  <c r="L129" i="3" a="1"/>
  <c r="L129" i="3" s="1"/>
  <c r="I129" i="3" a="1"/>
  <c r="I129" i="3" s="1"/>
  <c r="H129" i="3" a="1"/>
  <c r="H129" i="3" s="1"/>
  <c r="J129" i="3" a="1"/>
  <c r="J129" i="3" s="1"/>
  <c r="I135" i="3" a="1"/>
  <c r="I135" i="3" s="1"/>
  <c r="H135" i="3" a="1"/>
  <c r="H135" i="3" s="1"/>
  <c r="J135" i="3" a="1"/>
  <c r="J135" i="3" s="1"/>
  <c r="I141" i="3" a="1"/>
  <c r="I141" i="3" s="1"/>
  <c r="H141" i="3" a="1"/>
  <c r="H141" i="3" s="1"/>
  <c r="J141" i="3" a="1"/>
  <c r="J141" i="3" s="1"/>
  <c r="I147" i="3" a="1"/>
  <c r="I147" i="3" s="1"/>
  <c r="H147" i="3" a="1"/>
  <c r="H147" i="3" s="1"/>
  <c r="J147" i="3" a="1"/>
  <c r="J147" i="3" s="1"/>
  <c r="L153" i="3" a="1"/>
  <c r="L153" i="3" s="1"/>
  <c r="I153" i="3" a="1"/>
  <c r="I153" i="3" s="1"/>
  <c r="H153" i="3" a="1"/>
  <c r="H153" i="3" s="1"/>
  <c r="J153" i="3" a="1"/>
  <c r="J153" i="3" s="1"/>
  <c r="I159" i="3" a="1"/>
  <c r="I159" i="3" s="1"/>
  <c r="H159" i="3" a="1"/>
  <c r="H159" i="3" s="1"/>
  <c r="J159" i="3" a="1"/>
  <c r="J159" i="3" s="1"/>
  <c r="I165" i="3" a="1"/>
  <c r="I165" i="3" s="1"/>
  <c r="H165" i="3" a="1"/>
  <c r="H165" i="3" s="1"/>
  <c r="J165" i="3" a="1"/>
  <c r="J165" i="3" s="1"/>
  <c r="H171" i="3" a="1"/>
  <c r="H171" i="3" s="1"/>
  <c r="I171" i="3" a="1"/>
  <c r="I171" i="3" s="1"/>
  <c r="J171" i="3" a="1"/>
  <c r="J171" i="3" s="1"/>
  <c r="I177" i="3" a="1"/>
  <c r="I177" i="3" s="1"/>
  <c r="H177" i="3" a="1"/>
  <c r="H177" i="3" s="1"/>
  <c r="J177" i="3" a="1"/>
  <c r="J177" i="3" s="1"/>
  <c r="I183" i="3" a="1"/>
  <c r="I183" i="3" s="1"/>
  <c r="H183" i="3" a="1"/>
  <c r="H183" i="3" s="1"/>
  <c r="J183" i="3" a="1"/>
  <c r="J183" i="3" s="1"/>
  <c r="L189" i="3" a="1"/>
  <c r="L189" i="3" s="1"/>
  <c r="I189" i="3" a="1"/>
  <c r="I189" i="3" s="1"/>
  <c r="H189" i="3" a="1"/>
  <c r="H189" i="3" s="1"/>
  <c r="I195" i="3" a="1"/>
  <c r="I195" i="3" s="1"/>
  <c r="H195" i="3" a="1"/>
  <c r="H195" i="3" s="1"/>
  <c r="J195" i="3" a="1"/>
  <c r="J195" i="3" s="1"/>
  <c r="I201" i="3" a="1"/>
  <c r="I201" i="3" s="1"/>
  <c r="H201" i="3" a="1"/>
  <c r="H201" i="3" s="1"/>
  <c r="J201" i="3" a="1"/>
  <c r="J201" i="3" s="1"/>
  <c r="I207" i="3" a="1"/>
  <c r="I207" i="3" s="1"/>
  <c r="H207" i="3" a="1"/>
  <c r="H207" i="3" s="1"/>
  <c r="J207" i="3" a="1"/>
  <c r="J207" i="3" s="1"/>
  <c r="I213" i="3" a="1"/>
  <c r="I213" i="3" s="1"/>
  <c r="H213" i="3" a="1"/>
  <c r="H213" i="3" s="1"/>
  <c r="J213" i="3" a="1"/>
  <c r="J213" i="3" s="1"/>
  <c r="I219" i="3" a="1"/>
  <c r="I219" i="3" s="1"/>
  <c r="H219" i="3" a="1"/>
  <c r="H219" i="3" s="1"/>
  <c r="J219" i="3" a="1"/>
  <c r="J219" i="3" s="1"/>
  <c r="L225" i="3" a="1"/>
  <c r="L225" i="3" s="1"/>
  <c r="I225" i="3" a="1"/>
  <c r="I225" i="3" s="1"/>
  <c r="H225" i="3" a="1"/>
  <c r="H225" i="3" s="1"/>
  <c r="J225" i="3" a="1"/>
  <c r="J225" i="3" s="1"/>
  <c r="I231" i="3" a="1"/>
  <c r="I231" i="3" s="1"/>
  <c r="H231" i="3" a="1"/>
  <c r="H231" i="3" s="1"/>
  <c r="J231" i="3" a="1"/>
  <c r="J231" i="3" s="1"/>
  <c r="I237" i="3" a="1"/>
  <c r="I237" i="3" s="1"/>
  <c r="H237" i="3" a="1"/>
  <c r="H237" i="3" s="1"/>
  <c r="J237" i="3" a="1"/>
  <c r="J237" i="3" s="1"/>
  <c r="L243" i="3" a="1"/>
  <c r="L243" i="3" s="1"/>
  <c r="I243" i="3" a="1"/>
  <c r="I243" i="3" s="1"/>
  <c r="H243" i="3" a="1"/>
  <c r="H243" i="3" s="1"/>
  <c r="J243" i="3" a="1"/>
  <c r="J243" i="3" s="1"/>
  <c r="I249" i="3" a="1"/>
  <c r="I249" i="3" s="1"/>
  <c r="H249" i="3" a="1"/>
  <c r="H249" i="3" s="1"/>
  <c r="J249" i="3" a="1"/>
  <c r="J249" i="3" s="1"/>
  <c r="I255" i="3" a="1"/>
  <c r="I255" i="3" s="1"/>
  <c r="H255" i="3" a="1"/>
  <c r="H255" i="3" s="1"/>
  <c r="J255" i="3" a="1"/>
  <c r="J255" i="3" s="1"/>
  <c r="I261" i="3" a="1"/>
  <c r="I261" i="3" s="1"/>
  <c r="H261" i="3" a="1"/>
  <c r="H261" i="3" s="1"/>
  <c r="J261" i="3" a="1"/>
  <c r="J261" i="3" s="1"/>
  <c r="I267" i="3" a="1"/>
  <c r="I267" i="3" s="1"/>
  <c r="H267" i="3" a="1"/>
  <c r="H267" i="3" s="1"/>
  <c r="J267" i="3" a="1"/>
  <c r="J267" i="3" s="1"/>
  <c r="I273" i="3" a="1"/>
  <c r="I273" i="3" s="1"/>
  <c r="H273" i="3" a="1"/>
  <c r="H273" i="3" s="1"/>
  <c r="J273" i="3" a="1"/>
  <c r="J273" i="3" s="1"/>
  <c r="I279" i="3" a="1"/>
  <c r="I279" i="3" s="1"/>
  <c r="H279" i="3" a="1"/>
  <c r="H279" i="3" s="1"/>
  <c r="I285" i="3" a="1"/>
  <c r="I285" i="3" s="1"/>
  <c r="H285" i="3" a="1"/>
  <c r="H285" i="3" s="1"/>
  <c r="J285" i="3" a="1"/>
  <c r="J285" i="3" s="1"/>
  <c r="L291" i="3" a="1"/>
  <c r="L291" i="3" s="1"/>
  <c r="I291" i="3" a="1"/>
  <c r="I291" i="3" s="1"/>
  <c r="H291" i="3" a="1"/>
  <c r="H291" i="3" s="1"/>
  <c r="L297" i="3" a="1"/>
  <c r="L297" i="3" s="1"/>
  <c r="I297" i="3" a="1"/>
  <c r="I297" i="3" s="1"/>
  <c r="H297" i="3" a="1"/>
  <c r="H297" i="3" s="1"/>
  <c r="J297" i="3" a="1"/>
  <c r="J297" i="3" s="1"/>
  <c r="I303" i="3" a="1"/>
  <c r="I303" i="3" s="1"/>
  <c r="H303" i="3" a="1"/>
  <c r="H303" i="3" s="1"/>
  <c r="J303" i="3" a="1"/>
  <c r="J303" i="3" s="1"/>
  <c r="L309" i="3" a="1"/>
  <c r="L309" i="3" s="1"/>
  <c r="I309" i="3" a="1"/>
  <c r="I309" i="3" s="1"/>
  <c r="H309" i="3" a="1"/>
  <c r="H309" i="3" s="1"/>
  <c r="J309" i="3" a="1"/>
  <c r="J309" i="3" s="1"/>
  <c r="I315" i="3" a="1"/>
  <c r="I315" i="3" s="1"/>
  <c r="H315" i="3" a="1"/>
  <c r="H315" i="3" s="1"/>
  <c r="I321" i="3" a="1"/>
  <c r="I321" i="3" s="1"/>
  <c r="H321" i="3" a="1"/>
  <c r="H321" i="3" s="1"/>
  <c r="J321" i="3" a="1"/>
  <c r="J321" i="3" s="1"/>
  <c r="I327" i="3" a="1"/>
  <c r="I327" i="3" s="1"/>
  <c r="H327" i="3" a="1"/>
  <c r="H327" i="3" s="1"/>
  <c r="J327" i="3" a="1"/>
  <c r="J327" i="3" s="1"/>
  <c r="I333" i="3" a="1"/>
  <c r="I333" i="3" s="1"/>
  <c r="H333" i="3" a="1"/>
  <c r="H333" i="3" s="1"/>
  <c r="J333" i="3" a="1"/>
  <c r="J333" i="3" s="1"/>
  <c r="I339" i="3" a="1"/>
  <c r="I339" i="3" s="1"/>
  <c r="H339" i="3" a="1"/>
  <c r="H339" i="3" s="1"/>
  <c r="J339" i="3" a="1"/>
  <c r="J339" i="3" s="1"/>
  <c r="I345" i="3" a="1"/>
  <c r="I345" i="3" s="1"/>
  <c r="H345" i="3" a="1"/>
  <c r="H345" i="3" s="1"/>
  <c r="J345" i="3" a="1"/>
  <c r="J345" i="3" s="1"/>
  <c r="I351" i="3" a="1"/>
  <c r="I351" i="3" s="1"/>
  <c r="H351" i="3" a="1"/>
  <c r="H351" i="3" s="1"/>
  <c r="I357" i="3" a="1"/>
  <c r="I357" i="3" s="1"/>
  <c r="H357" i="3" a="1"/>
  <c r="H357" i="3" s="1"/>
  <c r="J357" i="3" a="1"/>
  <c r="J357" i="3" s="1"/>
  <c r="L363" i="3" a="1"/>
  <c r="L363" i="3" s="1"/>
  <c r="I363" i="3" a="1"/>
  <c r="I363" i="3" s="1"/>
  <c r="H363" i="3" a="1"/>
  <c r="H363" i="3" s="1"/>
  <c r="L369" i="3" a="1"/>
  <c r="L369" i="3" s="1"/>
  <c r="I369" i="3" a="1"/>
  <c r="I369" i="3" s="1"/>
  <c r="H369" i="3" a="1"/>
  <c r="H369" i="3" s="1"/>
  <c r="J369" i="3" a="1"/>
  <c r="J369" i="3" s="1"/>
  <c r="I375" i="3" a="1"/>
  <c r="I375" i="3" s="1"/>
  <c r="H375" i="3" a="1"/>
  <c r="H375" i="3" s="1"/>
  <c r="J375" i="3" a="1"/>
  <c r="J375" i="3" s="1"/>
  <c r="L381" i="3" a="1"/>
  <c r="L381" i="3" s="1"/>
  <c r="I381" i="3" a="1"/>
  <c r="I381" i="3" s="1"/>
  <c r="H381" i="3" a="1"/>
  <c r="H381" i="3" s="1"/>
  <c r="J381" i="3" a="1"/>
  <c r="J381" i="3" s="1"/>
  <c r="I387" i="3" a="1"/>
  <c r="I387" i="3" s="1"/>
  <c r="H387" i="3" a="1"/>
  <c r="H387" i="3" s="1"/>
  <c r="I393" i="3" a="1"/>
  <c r="I393" i="3" s="1"/>
  <c r="H393" i="3" a="1"/>
  <c r="H393" i="3" s="1"/>
  <c r="J393" i="3" a="1"/>
  <c r="J393" i="3" s="1"/>
  <c r="I399" i="3" a="1"/>
  <c r="I399" i="3" s="1"/>
  <c r="H399" i="3" a="1"/>
  <c r="H399" i="3" s="1"/>
  <c r="J399" i="3" a="1"/>
  <c r="J399" i="3" s="1"/>
  <c r="L405" i="3" a="1"/>
  <c r="L405" i="3" s="1"/>
  <c r="I405" i="3" a="1"/>
  <c r="I405" i="3" s="1"/>
  <c r="H405" i="3" a="1"/>
  <c r="H405" i="3" s="1"/>
  <c r="J405" i="3" a="1"/>
  <c r="J405" i="3" s="1"/>
  <c r="I411" i="3" a="1"/>
  <c r="I411" i="3" s="1"/>
  <c r="H411" i="3" a="1"/>
  <c r="H411" i="3" s="1"/>
  <c r="J411" i="3" a="1"/>
  <c r="J411" i="3" s="1"/>
  <c r="I417" i="3" a="1"/>
  <c r="I417" i="3" s="1"/>
  <c r="H417" i="3" a="1"/>
  <c r="H417" i="3" s="1"/>
  <c r="J417" i="3" a="1"/>
  <c r="J417" i="3" s="1"/>
  <c r="I423" i="3" a="1"/>
  <c r="I423" i="3" s="1"/>
  <c r="H423" i="3" a="1"/>
  <c r="H423" i="3" s="1"/>
  <c r="J423" i="3" a="1"/>
  <c r="J423" i="3" s="1"/>
  <c r="L429" i="3" a="1"/>
  <c r="L429" i="3" s="1"/>
  <c r="I429" i="3" a="1"/>
  <c r="I429" i="3" s="1"/>
  <c r="H429" i="3" a="1"/>
  <c r="H429" i="3" s="1"/>
  <c r="J429" i="3" a="1"/>
  <c r="J429" i="3" s="1"/>
  <c r="I435" i="3" a="1"/>
  <c r="I435" i="3" s="1"/>
  <c r="H435" i="3" a="1"/>
  <c r="H435" i="3" s="1"/>
  <c r="L441" i="3" a="1"/>
  <c r="L441" i="3" s="1"/>
  <c r="I441" i="3" a="1"/>
  <c r="I441" i="3" s="1"/>
  <c r="H441" i="3" a="1"/>
  <c r="H441" i="3" s="1"/>
  <c r="J441" i="3" a="1"/>
  <c r="J441" i="3" s="1"/>
  <c r="I447" i="3" a="1"/>
  <c r="I447" i="3" s="1"/>
  <c r="H447" i="3" a="1"/>
  <c r="H447" i="3" s="1"/>
  <c r="J447" i="3" a="1"/>
  <c r="J447" i="3" s="1"/>
  <c r="L453" i="3" a="1"/>
  <c r="L453" i="3" s="1"/>
  <c r="I453" i="3" a="1"/>
  <c r="I453" i="3" s="1"/>
  <c r="H453" i="3" a="1"/>
  <c r="H453" i="3" s="1"/>
  <c r="J453" i="3" a="1"/>
  <c r="J453" i="3" s="1"/>
  <c r="I459" i="3" a="1"/>
  <c r="I459" i="3" s="1"/>
  <c r="H459" i="3" a="1"/>
  <c r="H459" i="3" s="1"/>
  <c r="L465" i="3" a="1"/>
  <c r="L465" i="3" s="1"/>
  <c r="I465" i="3" a="1"/>
  <c r="I465" i="3" s="1"/>
  <c r="H465" i="3" a="1"/>
  <c r="H465" i="3" s="1"/>
  <c r="J465" i="3" a="1"/>
  <c r="J465" i="3" s="1"/>
  <c r="I471" i="3" a="1"/>
  <c r="I471" i="3" s="1"/>
  <c r="H471" i="3" a="1"/>
  <c r="H471" i="3" s="1"/>
  <c r="J471" i="3" a="1"/>
  <c r="J471" i="3" s="1"/>
  <c r="L477" i="3" a="1"/>
  <c r="L477" i="3" s="1"/>
  <c r="I477" i="3" a="1"/>
  <c r="I477" i="3" s="1"/>
  <c r="H477" i="3" a="1"/>
  <c r="H477" i="3" s="1"/>
  <c r="L483" i="3" a="1"/>
  <c r="L483" i="3" s="1"/>
  <c r="I483" i="3" a="1"/>
  <c r="I483" i="3" s="1"/>
  <c r="H483" i="3" a="1"/>
  <c r="H483" i="3" s="1"/>
  <c r="J483" i="3" a="1"/>
  <c r="J483" i="3" s="1"/>
  <c r="H489" i="3" a="1"/>
  <c r="H489" i="3" s="1"/>
  <c r="I489" i="3" a="1"/>
  <c r="I489" i="3" s="1"/>
  <c r="I495" i="3" a="1"/>
  <c r="I495" i="3" s="1"/>
  <c r="H495" i="3" a="1"/>
  <c r="H495" i="3" s="1"/>
  <c r="J495" i="3" a="1"/>
  <c r="J495" i="3" s="1"/>
  <c r="L501" i="3" a="1"/>
  <c r="L501" i="3" s="1"/>
  <c r="I501" i="3" a="1"/>
  <c r="I501" i="3" s="1"/>
  <c r="H501" i="3" a="1"/>
  <c r="H501" i="3" s="1"/>
  <c r="J501" i="3" a="1"/>
  <c r="J501" i="3" s="1"/>
  <c r="I507" i="3" a="1"/>
  <c r="I507" i="3" s="1"/>
  <c r="H507" i="3" a="1"/>
  <c r="H507" i="3" s="1"/>
  <c r="J507" i="3" a="1"/>
  <c r="J507" i="3" s="1"/>
  <c r="I513" i="3" a="1"/>
  <c r="I513" i="3" s="1"/>
  <c r="H513" i="3" a="1"/>
  <c r="H513" i="3" s="1"/>
  <c r="J513" i="3" a="1"/>
  <c r="J513" i="3" s="1"/>
  <c r="I519" i="3" a="1"/>
  <c r="I519" i="3" s="1"/>
  <c r="H519" i="3" a="1"/>
  <c r="H519" i="3" s="1"/>
  <c r="J519" i="3" a="1"/>
  <c r="J519" i="3" s="1"/>
  <c r="I525" i="3" a="1"/>
  <c r="I525" i="3" s="1"/>
  <c r="H525" i="3" a="1"/>
  <c r="H525" i="3" s="1"/>
  <c r="J525" i="3" a="1"/>
  <c r="J525" i="3" s="1"/>
  <c r="L531" i="3" a="1"/>
  <c r="L531" i="3" s="1"/>
  <c r="I531" i="3" a="1"/>
  <c r="I531" i="3" s="1"/>
  <c r="H531" i="3" a="1"/>
  <c r="H531" i="3" s="1"/>
  <c r="I537" i="3" a="1"/>
  <c r="I537" i="3" s="1"/>
  <c r="H537" i="3" a="1"/>
  <c r="H537" i="3" s="1"/>
  <c r="J537" i="3" a="1"/>
  <c r="J537" i="3" s="1"/>
  <c r="I543" i="3" a="1"/>
  <c r="I543" i="3" s="1"/>
  <c r="H543" i="3" a="1"/>
  <c r="H543" i="3" s="1"/>
  <c r="L549" i="3" a="1"/>
  <c r="L549" i="3" s="1"/>
  <c r="I549" i="3" a="1"/>
  <c r="I549" i="3" s="1"/>
  <c r="H549" i="3" a="1"/>
  <c r="H549" i="3" s="1"/>
  <c r="J549" i="3" a="1"/>
  <c r="J549" i="3" s="1"/>
  <c r="L555" i="3" a="1"/>
  <c r="L555" i="3" s="1"/>
  <c r="I555" i="3" a="1"/>
  <c r="I555" i="3" s="1"/>
  <c r="H555" i="3" a="1"/>
  <c r="H555" i="3" s="1"/>
  <c r="J555" i="3" a="1"/>
  <c r="J555" i="3" s="1"/>
  <c r="L561" i="3" a="1"/>
  <c r="L561" i="3" s="1"/>
  <c r="I561" i="3" a="1"/>
  <c r="I561" i="3" s="1"/>
  <c r="H561" i="3" a="1"/>
  <c r="H561" i="3" s="1"/>
  <c r="J561" i="3" a="1"/>
  <c r="J561" i="3" s="1"/>
  <c r="I567" i="3" a="1"/>
  <c r="I567" i="3" s="1"/>
  <c r="H567" i="3" a="1"/>
  <c r="H567" i="3" s="1"/>
  <c r="J567" i="3" a="1"/>
  <c r="J567" i="3" s="1"/>
  <c r="I573" i="3" a="1"/>
  <c r="I573" i="3" s="1"/>
  <c r="H573" i="3" a="1"/>
  <c r="H573" i="3" s="1"/>
  <c r="J573" i="3" a="1"/>
  <c r="J573" i="3" s="1"/>
  <c r="L579" i="3" a="1"/>
  <c r="L579" i="3" s="1"/>
  <c r="I579" i="3" a="1"/>
  <c r="I579" i="3" s="1"/>
  <c r="H579" i="3" a="1"/>
  <c r="H579" i="3" s="1"/>
  <c r="J579" i="3" a="1"/>
  <c r="J579" i="3" s="1"/>
  <c r="I585" i="3" a="1"/>
  <c r="I585" i="3" s="1"/>
  <c r="H585" i="3" a="1"/>
  <c r="H585" i="3" s="1"/>
  <c r="J585" i="3" a="1"/>
  <c r="J585" i="3" s="1"/>
  <c r="L591" i="3" a="1"/>
  <c r="L591" i="3" s="1"/>
  <c r="I591" i="3" a="1"/>
  <c r="I591" i="3" s="1"/>
  <c r="H591" i="3" a="1"/>
  <c r="H591" i="3" s="1"/>
  <c r="J591" i="3" a="1"/>
  <c r="J591" i="3" s="1"/>
  <c r="I597" i="3" a="1"/>
  <c r="I597" i="3" s="1"/>
  <c r="H597" i="3" a="1"/>
  <c r="H597" i="3" s="1"/>
  <c r="J597" i="3" a="1"/>
  <c r="J597" i="3" s="1"/>
  <c r="L603" i="3" a="1"/>
  <c r="L603" i="3" s="1"/>
  <c r="I603" i="3" a="1"/>
  <c r="I603" i="3" s="1"/>
  <c r="H603" i="3" a="1"/>
  <c r="H603" i="3" s="1"/>
  <c r="J603" i="3" a="1"/>
  <c r="J603" i="3" s="1"/>
  <c r="I609" i="3" a="1"/>
  <c r="I609" i="3" s="1"/>
  <c r="J609" i="3" a="1"/>
  <c r="J609" i="3" s="1"/>
  <c r="H609" i="3" a="1"/>
  <c r="H609" i="3" s="1"/>
  <c r="I615" i="3" a="1"/>
  <c r="I615" i="3" s="1"/>
  <c r="H615" i="3" a="1"/>
  <c r="H615" i="3" s="1"/>
  <c r="J615" i="3" a="1"/>
  <c r="J615" i="3" s="1"/>
  <c r="I621" i="3" a="1"/>
  <c r="I621" i="3" s="1"/>
  <c r="H621" i="3" a="1"/>
  <c r="H621" i="3" s="1"/>
  <c r="I627" i="3" a="1"/>
  <c r="I627" i="3" s="1"/>
  <c r="H627" i="3" a="1"/>
  <c r="H627" i="3" s="1"/>
  <c r="J627" i="3" a="1"/>
  <c r="J627" i="3" s="1"/>
  <c r="I633" i="3" a="1"/>
  <c r="I633" i="3" s="1"/>
  <c r="H633" i="3" a="1"/>
  <c r="H633" i="3" s="1"/>
  <c r="L639" i="3" a="1"/>
  <c r="L639" i="3" s="1"/>
  <c r="I639" i="3" a="1"/>
  <c r="I639" i="3" s="1"/>
  <c r="H639" i="3" a="1"/>
  <c r="H639" i="3" s="1"/>
  <c r="J639" i="3" a="1"/>
  <c r="J639" i="3" s="1"/>
  <c r="I645" i="3" a="1"/>
  <c r="I645" i="3" s="1"/>
  <c r="H645" i="3" a="1"/>
  <c r="H645" i="3" s="1"/>
  <c r="L651" i="3" a="1"/>
  <c r="L651" i="3" s="1"/>
  <c r="I651" i="3" a="1"/>
  <c r="I651" i="3" s="1"/>
  <c r="H651" i="3" a="1"/>
  <c r="H651" i="3" s="1"/>
  <c r="J651" i="3" a="1"/>
  <c r="J651" i="3" s="1"/>
  <c r="L657" i="3" a="1"/>
  <c r="L657" i="3" s="1"/>
  <c r="I657" i="3" a="1"/>
  <c r="I657" i="3" s="1"/>
  <c r="H657" i="3" a="1"/>
  <c r="H657" i="3" s="1"/>
  <c r="J657" i="3" a="1"/>
  <c r="J657" i="3" s="1"/>
  <c r="I663" i="3" a="1"/>
  <c r="I663" i="3" s="1"/>
  <c r="H663" i="3" a="1"/>
  <c r="H663" i="3" s="1"/>
  <c r="J663" i="3" a="1"/>
  <c r="J663" i="3" s="1"/>
  <c r="I669" i="3" a="1"/>
  <c r="I669" i="3" s="1"/>
  <c r="H669" i="3" a="1"/>
  <c r="H669" i="3" s="1"/>
  <c r="I675" i="3" a="1"/>
  <c r="I675" i="3" s="1"/>
  <c r="H675" i="3" a="1"/>
  <c r="H675" i="3" s="1"/>
  <c r="J675" i="3" a="1"/>
  <c r="J675" i="3" s="1"/>
  <c r="L681" i="3" a="1"/>
  <c r="L681" i="3" s="1"/>
  <c r="I681" i="3" a="1"/>
  <c r="I681" i="3" s="1"/>
  <c r="J681" i="3" a="1"/>
  <c r="J681" i="3" s="1"/>
  <c r="H681" i="3" a="1"/>
  <c r="H681" i="3" s="1"/>
  <c r="I687" i="3" a="1"/>
  <c r="I687" i="3" s="1"/>
  <c r="H687" i="3" a="1"/>
  <c r="H687" i="3" s="1"/>
  <c r="J687" i="3" a="1"/>
  <c r="J687" i="3" s="1"/>
  <c r="L693" i="3" a="1"/>
  <c r="L693" i="3" s="1"/>
  <c r="I693" i="3" a="1"/>
  <c r="I693" i="3" s="1"/>
  <c r="H693" i="3" a="1"/>
  <c r="H693" i="3" s="1"/>
  <c r="L699" i="3" a="1"/>
  <c r="L699" i="3" s="1"/>
  <c r="I699" i="3" a="1"/>
  <c r="I699" i="3" s="1"/>
  <c r="H699" i="3" a="1"/>
  <c r="H699" i="3" s="1"/>
  <c r="H705" i="3" a="1"/>
  <c r="H705" i="3" s="1"/>
  <c r="I705" i="3" a="1"/>
  <c r="I705" i="3" s="1"/>
  <c r="I711" i="3" a="1"/>
  <c r="I711" i="3" s="1"/>
  <c r="H711" i="3" a="1"/>
  <c r="H711" i="3" s="1"/>
  <c r="I717" i="3" a="1"/>
  <c r="I717" i="3" s="1"/>
  <c r="H717" i="3" a="1"/>
  <c r="H717" i="3" s="1"/>
  <c r="J717" i="3" a="1"/>
  <c r="J717" i="3" s="1"/>
  <c r="I723" i="3" a="1"/>
  <c r="I723" i="3" s="1"/>
  <c r="H723" i="3" a="1"/>
  <c r="H723" i="3" s="1"/>
  <c r="J723" i="3" a="1"/>
  <c r="J723" i="3" s="1"/>
  <c r="I729" i="3" a="1"/>
  <c r="I729" i="3" s="1"/>
  <c r="H729" i="3" a="1"/>
  <c r="H729" i="3" s="1"/>
  <c r="I735" i="3" a="1"/>
  <c r="I735" i="3" s="1"/>
  <c r="H735" i="3" a="1"/>
  <c r="H735" i="3" s="1"/>
  <c r="I741" i="3" a="1"/>
  <c r="I741" i="3" s="1"/>
  <c r="H741" i="3" a="1"/>
  <c r="H741" i="3" s="1"/>
  <c r="J741" i="3" a="1"/>
  <c r="J741" i="3" s="1"/>
  <c r="I747" i="3" a="1"/>
  <c r="I747" i="3" s="1"/>
  <c r="H747" i="3" a="1"/>
  <c r="H747" i="3" s="1"/>
  <c r="J747" i="3" a="1"/>
  <c r="J747" i="3" s="1"/>
  <c r="L753" i="3" a="1"/>
  <c r="L753" i="3" s="1"/>
  <c r="I753" i="3" a="1"/>
  <c r="I753" i="3" s="1"/>
  <c r="H753" i="3" a="1"/>
  <c r="H753" i="3" s="1"/>
  <c r="H759" i="3" a="1"/>
  <c r="H759" i="3" s="1"/>
  <c r="I759" i="3" a="1"/>
  <c r="I759" i="3" s="1"/>
  <c r="J759" i="3" a="1"/>
  <c r="J759" i="3" s="1"/>
  <c r="I765" i="3" a="1"/>
  <c r="I765" i="3" s="1"/>
  <c r="H765" i="3" a="1"/>
  <c r="H765" i="3" s="1"/>
  <c r="J765" i="3" a="1"/>
  <c r="J765" i="3" s="1"/>
  <c r="I771" i="3" a="1"/>
  <c r="I771" i="3" s="1"/>
  <c r="H771" i="3" a="1"/>
  <c r="H771" i="3" s="1"/>
  <c r="J771" i="3" a="1"/>
  <c r="J771" i="3" s="1"/>
  <c r="I777" i="3" a="1"/>
  <c r="I777" i="3" s="1"/>
  <c r="H777" i="3" a="1"/>
  <c r="H777" i="3" s="1"/>
  <c r="J777" i="3" a="1"/>
  <c r="J777" i="3" s="1"/>
  <c r="I783" i="3" a="1"/>
  <c r="I783" i="3" s="1"/>
  <c r="H783" i="3" a="1"/>
  <c r="H783" i="3" s="1"/>
  <c r="J783" i="3" a="1"/>
  <c r="J783" i="3" s="1"/>
  <c r="L789" i="3" a="1"/>
  <c r="L789" i="3" s="1"/>
  <c r="I789" i="3" a="1"/>
  <c r="I789" i="3" s="1"/>
  <c r="H789" i="3" a="1"/>
  <c r="H789" i="3" s="1"/>
  <c r="J789" i="3" a="1"/>
  <c r="J789" i="3" s="1"/>
  <c r="I795" i="3" a="1"/>
  <c r="I795" i="3" s="1"/>
  <c r="H795" i="3" a="1"/>
  <c r="H795" i="3" s="1"/>
  <c r="L801" i="3" a="1"/>
  <c r="L801" i="3" s="1"/>
  <c r="I801" i="3" a="1"/>
  <c r="I801" i="3" s="1"/>
  <c r="H801" i="3" a="1"/>
  <c r="H801" i="3" s="1"/>
  <c r="J801" i="3" a="1"/>
  <c r="J801" i="3" s="1"/>
  <c r="I807" i="3" a="1"/>
  <c r="I807" i="3" s="1"/>
  <c r="H807" i="3" a="1"/>
  <c r="H807" i="3" s="1"/>
  <c r="J807" i="3" a="1"/>
  <c r="J807" i="3" s="1"/>
  <c r="L813" i="3" a="1"/>
  <c r="L813" i="3" s="1"/>
  <c r="I813" i="3" a="1"/>
  <c r="I813" i="3" s="1"/>
  <c r="H813" i="3" a="1"/>
  <c r="H813" i="3" s="1"/>
  <c r="L819" i="3" a="1"/>
  <c r="L819" i="3" s="1"/>
  <c r="I819" i="3" a="1"/>
  <c r="I819" i="3" s="1"/>
  <c r="H819" i="3" a="1"/>
  <c r="H819" i="3" s="1"/>
  <c r="L825" i="3" a="1"/>
  <c r="L825" i="3" s="1"/>
  <c r="I825" i="3" a="1"/>
  <c r="I825" i="3" s="1"/>
  <c r="H825" i="3" a="1"/>
  <c r="H825" i="3" s="1"/>
  <c r="J825" i="3" a="1"/>
  <c r="J825" i="3" s="1"/>
  <c r="I831" i="3" a="1"/>
  <c r="I831" i="3" s="1"/>
  <c r="H831" i="3" a="1"/>
  <c r="H831" i="3" s="1"/>
  <c r="J831" i="3" a="1"/>
  <c r="J831" i="3" s="1"/>
  <c r="L837" i="3" a="1"/>
  <c r="L837" i="3" s="1"/>
  <c r="I837" i="3" a="1"/>
  <c r="I837" i="3" s="1"/>
  <c r="H837" i="3" a="1"/>
  <c r="H837" i="3" s="1"/>
  <c r="I843" i="3" a="1"/>
  <c r="I843" i="3" s="1"/>
  <c r="H843" i="3" a="1"/>
  <c r="H843" i="3" s="1"/>
  <c r="L849" i="3" a="1"/>
  <c r="L849" i="3" s="1"/>
  <c r="I849" i="3" a="1"/>
  <c r="I849" i="3" s="1"/>
  <c r="H849" i="3" a="1"/>
  <c r="H849" i="3" s="1"/>
  <c r="J849" i="3" a="1"/>
  <c r="J849" i="3" s="1"/>
  <c r="I855" i="3" a="1"/>
  <c r="I855" i="3" s="1"/>
  <c r="H855" i="3" a="1"/>
  <c r="H855" i="3" s="1"/>
  <c r="J855" i="3" a="1"/>
  <c r="J855" i="3" s="1"/>
  <c r="L861" i="3" a="1"/>
  <c r="L861" i="3" s="1"/>
  <c r="I861" i="3" a="1"/>
  <c r="I861" i="3" s="1"/>
  <c r="H861" i="3" a="1"/>
  <c r="H861" i="3" s="1"/>
  <c r="L867" i="3" a="1"/>
  <c r="L867" i="3" s="1"/>
  <c r="I867" i="3" a="1"/>
  <c r="I867" i="3" s="1"/>
  <c r="H867" i="3" a="1"/>
  <c r="H867" i="3" s="1"/>
  <c r="J867" i="3" a="1"/>
  <c r="J867" i="3" s="1"/>
  <c r="L873" i="3" a="1"/>
  <c r="L873" i="3" s="1"/>
  <c r="I873" i="3" a="1"/>
  <c r="I873" i="3" s="1"/>
  <c r="H873" i="3" a="1"/>
  <c r="H873" i="3" s="1"/>
  <c r="J873" i="3" a="1"/>
  <c r="J873" i="3" s="1"/>
  <c r="I879" i="3" a="1"/>
  <c r="I879" i="3" s="1"/>
  <c r="H879" i="3" a="1"/>
  <c r="H879" i="3" s="1"/>
  <c r="J879" i="3" a="1"/>
  <c r="J879" i="3" s="1"/>
  <c r="L885" i="3" a="1"/>
  <c r="L885" i="3" s="1"/>
  <c r="I885" i="3" a="1"/>
  <c r="I885" i="3" s="1"/>
  <c r="H885" i="3" a="1"/>
  <c r="H885" i="3" s="1"/>
  <c r="J885" i="3" a="1"/>
  <c r="J885" i="3" s="1"/>
  <c r="L891" i="3" a="1"/>
  <c r="L891" i="3" s="1"/>
  <c r="I891" i="3" a="1"/>
  <c r="I891" i="3" s="1"/>
  <c r="H891" i="3" a="1"/>
  <c r="H891" i="3" s="1"/>
  <c r="J891" i="3" a="1"/>
  <c r="J891" i="3" s="1"/>
  <c r="L897" i="3" a="1"/>
  <c r="L897" i="3" s="1"/>
  <c r="I897" i="3" a="1"/>
  <c r="I897" i="3" s="1"/>
  <c r="H897" i="3" a="1"/>
  <c r="H897" i="3" s="1"/>
  <c r="J897" i="3" a="1"/>
  <c r="J897" i="3" s="1"/>
  <c r="I903" i="3" a="1"/>
  <c r="I903" i="3" s="1"/>
  <c r="H903" i="3" a="1"/>
  <c r="H903" i="3" s="1"/>
  <c r="L909" i="3" a="1"/>
  <c r="L909" i="3" s="1"/>
  <c r="I909" i="3" a="1"/>
  <c r="I909" i="3" s="1"/>
  <c r="H909" i="3" a="1"/>
  <c r="H909" i="3" s="1"/>
  <c r="J909" i="3" a="1"/>
  <c r="J909" i="3" s="1"/>
  <c r="I915" i="3" a="1"/>
  <c r="I915" i="3" s="1"/>
  <c r="H915" i="3" a="1"/>
  <c r="H915" i="3" s="1"/>
  <c r="J915" i="3" a="1"/>
  <c r="J915" i="3" s="1"/>
  <c r="L921" i="3" a="1"/>
  <c r="L921" i="3" s="1"/>
  <c r="I921" i="3" a="1"/>
  <c r="I921" i="3" s="1"/>
  <c r="H921" i="3" a="1"/>
  <c r="H921" i="3" s="1"/>
  <c r="J921" i="3" a="1"/>
  <c r="J921" i="3" s="1"/>
  <c r="L927" i="3" a="1"/>
  <c r="L927" i="3" s="1"/>
  <c r="I927" i="3" a="1"/>
  <c r="I927" i="3" s="1"/>
  <c r="H927" i="3" a="1"/>
  <c r="H927" i="3" s="1"/>
  <c r="I933" i="3" a="1"/>
  <c r="I933" i="3" s="1"/>
  <c r="H933" i="3" a="1"/>
  <c r="H933" i="3" s="1"/>
  <c r="L939" i="3" a="1"/>
  <c r="L939" i="3" s="1"/>
  <c r="I939" i="3" a="1"/>
  <c r="I939" i="3" s="1"/>
  <c r="H939" i="3" a="1"/>
  <c r="H939" i="3" s="1"/>
  <c r="I945" i="3" a="1"/>
  <c r="I945" i="3" s="1"/>
  <c r="H945" i="3" a="1"/>
  <c r="H945" i="3" s="1"/>
  <c r="L951" i="3" a="1"/>
  <c r="L951" i="3" s="1"/>
  <c r="I951" i="3" a="1"/>
  <c r="I951" i="3" s="1"/>
  <c r="H951" i="3" a="1"/>
  <c r="H951" i="3" s="1"/>
  <c r="J951" i="3" a="1"/>
  <c r="J951" i="3" s="1"/>
  <c r="I957" i="3" a="1"/>
  <c r="I957" i="3" s="1"/>
  <c r="H957" i="3" a="1"/>
  <c r="H957" i="3" s="1"/>
  <c r="J957" i="3" a="1"/>
  <c r="J957" i="3" s="1"/>
  <c r="I963" i="3" a="1"/>
  <c r="I963" i="3" s="1"/>
  <c r="H963" i="3" a="1"/>
  <c r="H963" i="3" s="1"/>
  <c r="I969" i="3" a="1"/>
  <c r="I969" i="3" s="1"/>
  <c r="H969" i="3" a="1"/>
  <c r="H969" i="3" s="1"/>
  <c r="L975" i="3" a="1"/>
  <c r="L975" i="3" s="1"/>
  <c r="I975" i="3" a="1"/>
  <c r="I975" i="3" s="1"/>
  <c r="H975" i="3" a="1"/>
  <c r="H975" i="3" s="1"/>
  <c r="J975" i="3" a="1"/>
  <c r="J975" i="3" s="1"/>
  <c r="L981" i="3" a="1"/>
  <c r="L981" i="3" s="1"/>
  <c r="I981" i="3" a="1"/>
  <c r="I981" i="3" s="1"/>
  <c r="J981" i="3" a="1"/>
  <c r="J981" i="3" s="1"/>
  <c r="L987" i="3" a="1"/>
  <c r="L987" i="3" s="1"/>
  <c r="I987" i="3" a="1"/>
  <c r="I987" i="3" s="1"/>
  <c r="H987" i="3" a="1"/>
  <c r="H987" i="3" s="1"/>
  <c r="L993" i="3" a="1"/>
  <c r="L993" i="3" s="1"/>
  <c r="I993" i="3" a="1"/>
  <c r="I993" i="3" s="1"/>
  <c r="H993" i="3" a="1"/>
  <c r="H993" i="3" s="1"/>
  <c r="J993" i="3" a="1"/>
  <c r="J993" i="3" s="1"/>
  <c r="I999" i="3" a="1"/>
  <c r="I999" i="3" s="1"/>
  <c r="H999" i="3" a="1"/>
  <c r="H999" i="3" s="1"/>
  <c r="J999" i="3" a="1"/>
  <c r="J999" i="3" s="1"/>
  <c r="I1005" i="3" a="1"/>
  <c r="I1005" i="3" s="1"/>
  <c r="H1005" i="3" a="1"/>
  <c r="H1005" i="3" s="1"/>
  <c r="L1011" i="3" a="1"/>
  <c r="L1011" i="3" s="1"/>
  <c r="I1011" i="3" a="1"/>
  <c r="I1011" i="3" s="1"/>
  <c r="H1011" i="3" a="1"/>
  <c r="H1011" i="3" s="1"/>
  <c r="J1011" i="3" a="1"/>
  <c r="J1011" i="3" s="1"/>
  <c r="I1017" i="3" a="1"/>
  <c r="I1017" i="3" s="1"/>
  <c r="H1017" i="3" a="1"/>
  <c r="H1017" i="3" s="1"/>
  <c r="J1017" i="3" a="1"/>
  <c r="J1017" i="3" s="1"/>
  <c r="I1023" i="3" a="1"/>
  <c r="I1023" i="3" s="1"/>
  <c r="H1023" i="3" a="1"/>
  <c r="H1023" i="3" s="1"/>
  <c r="I1029" i="3" a="1"/>
  <c r="I1029" i="3" s="1"/>
  <c r="H1029" i="3" a="1"/>
  <c r="H1029" i="3" s="1"/>
  <c r="J1029" i="3" a="1"/>
  <c r="J1029" i="3" s="1"/>
  <c r="L1035" i="3" a="1"/>
  <c r="L1035" i="3" s="1"/>
  <c r="I1035" i="3" a="1"/>
  <c r="I1035" i="3" s="1"/>
  <c r="H1035" i="3" a="1"/>
  <c r="H1035" i="3" s="1"/>
  <c r="J1035" i="3" a="1"/>
  <c r="J1035" i="3" s="1"/>
  <c r="I1041" i="3" a="1"/>
  <c r="I1041" i="3" s="1"/>
  <c r="H1041" i="3" a="1"/>
  <c r="H1041" i="3" s="1"/>
  <c r="I1047" i="3" a="1"/>
  <c r="I1047" i="3" s="1"/>
  <c r="H1047" i="3" a="1"/>
  <c r="H1047" i="3" s="1"/>
  <c r="J1047" i="3" a="1"/>
  <c r="J1047" i="3" s="1"/>
  <c r="I1053" i="3" a="1"/>
  <c r="I1053" i="3" s="1"/>
  <c r="H1053" i="3" a="1"/>
  <c r="H1053" i="3" s="1"/>
  <c r="I1059" i="3" a="1"/>
  <c r="I1059" i="3" s="1"/>
  <c r="H1059" i="3" a="1"/>
  <c r="H1059" i="3" s="1"/>
  <c r="L1065" i="3" a="1"/>
  <c r="L1065" i="3" s="1"/>
  <c r="I1065" i="3" a="1"/>
  <c r="I1065" i="3" s="1"/>
  <c r="H1065" i="3" a="1"/>
  <c r="H1065" i="3" s="1"/>
  <c r="J1065" i="3" a="1"/>
  <c r="J1065" i="3" s="1"/>
  <c r="I1071" i="3" a="1"/>
  <c r="I1071" i="3" s="1"/>
  <c r="J1071" i="3" a="1"/>
  <c r="J1071" i="3" s="1"/>
  <c r="H1071" i="3" a="1"/>
  <c r="H1071" i="3" s="1"/>
  <c r="I1077" i="3" a="1"/>
  <c r="I1077" i="3" s="1"/>
  <c r="H1077" i="3" a="1"/>
  <c r="H1077" i="3" s="1"/>
  <c r="J1077" i="3" a="1"/>
  <c r="J1077" i="3" s="1"/>
  <c r="I1083" i="3" a="1"/>
  <c r="I1083" i="3" s="1"/>
  <c r="H1083" i="3" a="1"/>
  <c r="H1083" i="3" s="1"/>
  <c r="J1083" i="3" a="1"/>
  <c r="J1083" i="3" s="1"/>
  <c r="I1089" i="3" a="1"/>
  <c r="I1089" i="3" s="1"/>
  <c r="H1089" i="3" a="1"/>
  <c r="H1089" i="3" s="1"/>
  <c r="J1089" i="3" a="1"/>
  <c r="J1089" i="3" s="1"/>
  <c r="L1095" i="3" a="1"/>
  <c r="L1095" i="3" s="1"/>
  <c r="I1095" i="3" a="1"/>
  <c r="I1095" i="3" s="1"/>
  <c r="H1095" i="3" a="1"/>
  <c r="H1095" i="3" s="1"/>
  <c r="I1101" i="3" a="1"/>
  <c r="I1101" i="3" s="1"/>
  <c r="H1101" i="3" a="1"/>
  <c r="H1101" i="3" s="1"/>
  <c r="J1101" i="3" a="1"/>
  <c r="J1101" i="3" s="1"/>
  <c r="I1107" i="3" a="1"/>
  <c r="I1107" i="3" s="1"/>
  <c r="H1107" i="3" a="1"/>
  <c r="H1107" i="3" s="1"/>
  <c r="J1107" i="3" a="1"/>
  <c r="J1107" i="3" s="1"/>
  <c r="I1113" i="3" a="1"/>
  <c r="I1113" i="3" s="1"/>
  <c r="H1113" i="3" a="1"/>
  <c r="H1113" i="3" s="1"/>
  <c r="J1113" i="3" a="1"/>
  <c r="J1113" i="3" s="1"/>
  <c r="I1119" i="3" a="1"/>
  <c r="I1119" i="3" s="1"/>
  <c r="H1119" i="3" a="1"/>
  <c r="H1119" i="3" s="1"/>
  <c r="J1119" i="3" a="1"/>
  <c r="J1119" i="3" s="1"/>
  <c r="L1125" i="3" a="1"/>
  <c r="L1125" i="3" s="1"/>
  <c r="I1125" i="3" a="1"/>
  <c r="I1125" i="3" s="1"/>
  <c r="H1125" i="3" a="1"/>
  <c r="H1125" i="3" s="1"/>
  <c r="J1125" i="3" a="1"/>
  <c r="J1125" i="3" s="1"/>
  <c r="I1131" i="3" a="1"/>
  <c r="I1131" i="3" s="1"/>
  <c r="H1131" i="3" a="1"/>
  <c r="H1131" i="3" s="1"/>
  <c r="L1137" i="3" a="1"/>
  <c r="L1137" i="3" s="1"/>
  <c r="I1137" i="3" a="1"/>
  <c r="I1137" i="3" s="1"/>
  <c r="H1137" i="3" a="1"/>
  <c r="H1137" i="3" s="1"/>
  <c r="I1143" i="3" a="1"/>
  <c r="I1143" i="3" s="1"/>
  <c r="H1143" i="3" a="1"/>
  <c r="H1143" i="3" s="1"/>
  <c r="J1143" i="3" a="1"/>
  <c r="J1143" i="3" s="1"/>
  <c r="L1149" i="3" a="1"/>
  <c r="L1149" i="3" s="1"/>
  <c r="I1149" i="3" a="1"/>
  <c r="I1149" i="3" s="1"/>
  <c r="H1149" i="3" a="1"/>
  <c r="H1149" i="3" s="1"/>
  <c r="J1149" i="3" a="1"/>
  <c r="J1149" i="3" s="1"/>
  <c r="I1155" i="3" a="1"/>
  <c r="I1155" i="3" s="1"/>
  <c r="H1155" i="3" a="1"/>
  <c r="H1155" i="3" s="1"/>
  <c r="I1161" i="3" a="1"/>
  <c r="I1161" i="3" s="1"/>
  <c r="H1161" i="3" a="1"/>
  <c r="H1161" i="3" s="1"/>
  <c r="L1167" i="3" a="1"/>
  <c r="L1167" i="3" s="1"/>
  <c r="I1167" i="3" a="1"/>
  <c r="I1167" i="3" s="1"/>
  <c r="H1167" i="3" a="1"/>
  <c r="H1167" i="3" s="1"/>
  <c r="L1173" i="3" a="1"/>
  <c r="L1173" i="3" s="1"/>
  <c r="I1173" i="3" a="1"/>
  <c r="I1173" i="3" s="1"/>
  <c r="H1173" i="3" a="1"/>
  <c r="H1173" i="3" s="1"/>
  <c r="K1179" i="3" a="1"/>
  <c r="K1179" i="3" s="1"/>
  <c r="I1179" i="3" a="1"/>
  <c r="I1179" i="3" s="1"/>
  <c r="H1179" i="3" a="1"/>
  <c r="H1179" i="3" s="1"/>
  <c r="J1179" i="3" a="1"/>
  <c r="J1179" i="3" s="1"/>
  <c r="L1185" i="3" a="1"/>
  <c r="L1185" i="3" s="1"/>
  <c r="I1185" i="3" a="1"/>
  <c r="I1185" i="3" s="1"/>
  <c r="H1185" i="3" a="1"/>
  <c r="H1185" i="3" s="1"/>
  <c r="L1191" i="3" a="1"/>
  <c r="L1191" i="3" s="1"/>
  <c r="I1191" i="3" a="1"/>
  <c r="I1191" i="3" s="1"/>
  <c r="H1191" i="3" a="1"/>
  <c r="H1191" i="3" s="1"/>
  <c r="J1191" i="3" a="1"/>
  <c r="J1191" i="3" s="1"/>
  <c r="I1197" i="3" a="1"/>
  <c r="I1197" i="3" s="1"/>
  <c r="L1203" i="3" a="1"/>
  <c r="L1203" i="3" s="1"/>
  <c r="I1203" i="3" a="1"/>
  <c r="I1203" i="3" s="1"/>
  <c r="H1203" i="3" a="1"/>
  <c r="H1203" i="3" s="1"/>
  <c r="J1203" i="3" a="1"/>
  <c r="J1203" i="3" s="1"/>
  <c r="L1209" i="3" a="1"/>
  <c r="L1209" i="3" s="1"/>
  <c r="I1209" i="3" a="1"/>
  <c r="I1209" i="3" s="1"/>
  <c r="H1209" i="3" a="1"/>
  <c r="H1209" i="3" s="1"/>
  <c r="J1209" i="3" a="1"/>
  <c r="J1209" i="3" s="1"/>
  <c r="K1215" i="3" a="1"/>
  <c r="K1215" i="3" s="1"/>
  <c r="I1215" i="3" a="1"/>
  <c r="I1215" i="3" s="1"/>
  <c r="H1215" i="3" a="1"/>
  <c r="H1215" i="3" s="1"/>
  <c r="J1215" i="3" a="1"/>
  <c r="J1215" i="3" s="1"/>
  <c r="L1221" i="3" a="1"/>
  <c r="L1221" i="3" s="1"/>
  <c r="I1221" i="3" a="1"/>
  <c r="I1221" i="3" s="1"/>
  <c r="H1221" i="3" a="1"/>
  <c r="H1221" i="3" s="1"/>
  <c r="K1227" i="3" a="1"/>
  <c r="K1227" i="3" s="1"/>
  <c r="I1227" i="3" a="1"/>
  <c r="I1227" i="3" s="1"/>
  <c r="H1227" i="3" a="1"/>
  <c r="H1227" i="3" s="1"/>
  <c r="L1233" i="3" a="1"/>
  <c r="L1233" i="3" s="1"/>
  <c r="I1233" i="3" a="1"/>
  <c r="I1233" i="3" s="1"/>
  <c r="H1233" i="3" a="1"/>
  <c r="H1233" i="3" s="1"/>
  <c r="J1233" i="3" a="1"/>
  <c r="J1233" i="3" s="1"/>
  <c r="K1239" i="3" a="1"/>
  <c r="K1239" i="3" s="1"/>
  <c r="I1239" i="3" a="1"/>
  <c r="I1239" i="3" s="1"/>
  <c r="H1239" i="3" a="1"/>
  <c r="H1239" i="3" s="1"/>
  <c r="L1245" i="3" a="1"/>
  <c r="L1245" i="3" s="1"/>
  <c r="I1245" i="3" a="1"/>
  <c r="I1245" i="3" s="1"/>
  <c r="H1245" i="3" a="1"/>
  <c r="H1245" i="3" s="1"/>
  <c r="L1251" i="3" a="1"/>
  <c r="L1251" i="3" s="1"/>
  <c r="I1251" i="3" a="1"/>
  <c r="I1251" i="3" s="1"/>
  <c r="H1251" i="3" a="1"/>
  <c r="H1251" i="3" s="1"/>
  <c r="J1251" i="3" a="1"/>
  <c r="J1251" i="3" s="1"/>
  <c r="L1257" i="3" a="1"/>
  <c r="L1257" i="3" s="1"/>
  <c r="I1257" i="3" a="1"/>
  <c r="I1257" i="3" s="1"/>
  <c r="H1257" i="3" a="1"/>
  <c r="H1257" i="3" s="1"/>
  <c r="K1263" i="3" a="1"/>
  <c r="K1263" i="3" s="1"/>
  <c r="I1263" i="3" a="1"/>
  <c r="I1263" i="3" s="1"/>
  <c r="H1263" i="3" a="1"/>
  <c r="H1263" i="3" s="1"/>
  <c r="J1263" i="3" a="1"/>
  <c r="J1263" i="3" s="1"/>
  <c r="I1269" i="3" a="1"/>
  <c r="I1269" i="3" s="1"/>
  <c r="H1269" i="3" a="1"/>
  <c r="H1269" i="3" s="1"/>
  <c r="K1275" i="3" a="1"/>
  <c r="K1275" i="3" s="1"/>
  <c r="I1275" i="3" a="1"/>
  <c r="I1275" i="3" s="1"/>
  <c r="H1275" i="3" a="1"/>
  <c r="H1275" i="3" s="1"/>
  <c r="K1281" i="3" a="1"/>
  <c r="K1281" i="3" s="1"/>
  <c r="I1281" i="3" a="1"/>
  <c r="I1281" i="3" s="1"/>
  <c r="H1281" i="3" a="1"/>
  <c r="H1281" i="3" s="1"/>
  <c r="L1287" i="3" a="1"/>
  <c r="L1287" i="3" s="1"/>
  <c r="I1287" i="3" a="1"/>
  <c r="I1287" i="3" s="1"/>
  <c r="H1287" i="3" a="1"/>
  <c r="H1287" i="3" s="1"/>
  <c r="K1293" i="3" a="1"/>
  <c r="K1293" i="3" s="1"/>
  <c r="I1293" i="3" a="1"/>
  <c r="I1293" i="3" s="1"/>
  <c r="H1293" i="3" a="1"/>
  <c r="H1293" i="3" s="1"/>
  <c r="L1299" i="3" a="1"/>
  <c r="L1299" i="3" s="1"/>
  <c r="I1299" i="3" a="1"/>
  <c r="I1299" i="3" s="1"/>
  <c r="H1299" i="3" a="1"/>
  <c r="H1299" i="3" s="1"/>
  <c r="L1305" i="3" a="1"/>
  <c r="L1305" i="3" s="1"/>
  <c r="I1305" i="3" a="1"/>
  <c r="I1305" i="3" s="1"/>
  <c r="H1305" i="3" a="1"/>
  <c r="H1305" i="3" s="1"/>
  <c r="L1311" i="3" a="1"/>
  <c r="L1311" i="3" s="1"/>
  <c r="I1311" i="3" a="1"/>
  <c r="I1311" i="3" s="1"/>
  <c r="H1311" i="3" a="1"/>
  <c r="H1311" i="3" s="1"/>
  <c r="L1317" i="3" a="1"/>
  <c r="L1317" i="3" s="1"/>
  <c r="I1317" i="3" a="1"/>
  <c r="I1317" i="3" s="1"/>
  <c r="H1317" i="3" a="1"/>
  <c r="H1317" i="3" s="1"/>
  <c r="K1323" i="3" a="1"/>
  <c r="K1323" i="3" s="1"/>
  <c r="I1323" i="3" a="1"/>
  <c r="I1323" i="3" s="1"/>
  <c r="H1323" i="3" a="1"/>
  <c r="H1323" i="3" s="1"/>
  <c r="K1329" i="3" a="1"/>
  <c r="K1329" i="3" s="1"/>
  <c r="I1329" i="3" a="1"/>
  <c r="I1329" i="3" s="1"/>
  <c r="H1329" i="3" a="1"/>
  <c r="H1329" i="3" s="1"/>
  <c r="K1335" i="3" a="1"/>
  <c r="K1335" i="3" s="1"/>
  <c r="I1335" i="3" a="1"/>
  <c r="I1335" i="3" s="1"/>
  <c r="H1335" i="3" a="1"/>
  <c r="H1335" i="3" s="1"/>
  <c r="K1341" i="3" a="1"/>
  <c r="K1341" i="3" s="1"/>
  <c r="I1341" i="3" a="1"/>
  <c r="I1341" i="3" s="1"/>
  <c r="H1341" i="3" a="1"/>
  <c r="H1341" i="3" s="1"/>
  <c r="K1347" i="3" a="1"/>
  <c r="K1347" i="3" s="1"/>
  <c r="I1347" i="3" a="1"/>
  <c r="I1347" i="3" s="1"/>
  <c r="H1347" i="3" a="1"/>
  <c r="H1347" i="3" s="1"/>
  <c r="L1353" i="3" a="1"/>
  <c r="L1353" i="3" s="1"/>
  <c r="I1353" i="3" a="1"/>
  <c r="I1353" i="3" s="1"/>
  <c r="H1353" i="3" a="1"/>
  <c r="H1353" i="3" s="1"/>
  <c r="L1359" i="3" a="1"/>
  <c r="L1359" i="3" s="1"/>
  <c r="I1359" i="3" a="1"/>
  <c r="I1359" i="3" s="1"/>
  <c r="H1359" i="3" a="1"/>
  <c r="H1359" i="3" s="1"/>
  <c r="L1365" i="3" a="1"/>
  <c r="L1365" i="3" s="1"/>
  <c r="I1365" i="3" a="1"/>
  <c r="I1365" i="3" s="1"/>
  <c r="H1365" i="3" a="1"/>
  <c r="H1365" i="3" s="1"/>
  <c r="L1371" i="3" a="1"/>
  <c r="L1371" i="3" s="1"/>
  <c r="I1371" i="3" a="1"/>
  <c r="I1371" i="3" s="1"/>
  <c r="H1371" i="3" a="1"/>
  <c r="H1371" i="3" s="1"/>
  <c r="K1377" i="3" a="1"/>
  <c r="K1377" i="3" s="1"/>
  <c r="I1377" i="3" a="1"/>
  <c r="I1377" i="3" s="1"/>
  <c r="H1377" i="3" a="1"/>
  <c r="H1377" i="3" s="1"/>
  <c r="L1383" i="3" a="1"/>
  <c r="L1383" i="3" s="1"/>
  <c r="I1383" i="3" a="1"/>
  <c r="I1383" i="3" s="1"/>
  <c r="H1383" i="3" a="1"/>
  <c r="H1383" i="3" s="1"/>
  <c r="K1389" i="3" a="1"/>
  <c r="K1389" i="3" s="1"/>
  <c r="I1389" i="3" a="1"/>
  <c r="I1389" i="3" s="1"/>
  <c r="K1395" i="3" a="1"/>
  <c r="K1395" i="3" s="1"/>
  <c r="I1395" i="3" a="1"/>
  <c r="I1395" i="3" s="1"/>
  <c r="H1395" i="3" a="1"/>
  <c r="H1395" i="3" s="1"/>
  <c r="L1401" i="3" a="1"/>
  <c r="L1401" i="3" s="1"/>
  <c r="I1401" i="3" a="1"/>
  <c r="I1401" i="3" s="1"/>
  <c r="H1401" i="3" a="1"/>
  <c r="H1401" i="3" s="1"/>
  <c r="L1407" i="3" a="1"/>
  <c r="L1407" i="3" s="1"/>
  <c r="I1407" i="3" a="1"/>
  <c r="I1407" i="3" s="1"/>
  <c r="H1407" i="3" a="1"/>
  <c r="H1407" i="3" s="1"/>
  <c r="L1413" i="3" a="1"/>
  <c r="L1413" i="3" s="1"/>
  <c r="I1413" i="3" a="1"/>
  <c r="I1413" i="3" s="1"/>
  <c r="H1413" i="3" a="1"/>
  <c r="H1413" i="3" s="1"/>
  <c r="L1419" i="3" a="1"/>
  <c r="L1419" i="3" s="1"/>
  <c r="I1419" i="3" a="1"/>
  <c r="I1419" i="3" s="1"/>
  <c r="H1419" i="3" a="1"/>
  <c r="H1419" i="3" s="1"/>
  <c r="I1425" i="3" a="1"/>
  <c r="I1425" i="3" s="1"/>
  <c r="H1425" i="3" a="1"/>
  <c r="H1425" i="3" s="1"/>
  <c r="K1431" i="3" a="1"/>
  <c r="K1431" i="3" s="1"/>
  <c r="I1431" i="3" a="1"/>
  <c r="I1431" i="3" s="1"/>
  <c r="H1431" i="3" a="1"/>
  <c r="H1431" i="3" s="1"/>
  <c r="I1437" i="3" a="1"/>
  <c r="I1437" i="3" s="1"/>
  <c r="H1437" i="3" a="1"/>
  <c r="H1437" i="3" s="1"/>
  <c r="J1430" i="3" a="1"/>
  <c r="J1430" i="3" s="1"/>
  <c r="J1412" i="3" a="1"/>
  <c r="J1412" i="3" s="1"/>
  <c r="J1394" i="3" a="1"/>
  <c r="J1394" i="3" s="1"/>
  <c r="J1376" i="3" a="1"/>
  <c r="J1376" i="3" s="1"/>
  <c r="J1341" i="3" a="1"/>
  <c r="J1341" i="3" s="1"/>
  <c r="J1299" i="3" a="1"/>
  <c r="J1299" i="3" s="1"/>
  <c r="J1291" i="3" a="1"/>
  <c r="J1291" i="3" s="1"/>
  <c r="J1238" i="3" a="1"/>
  <c r="J1238" i="3" s="1"/>
  <c r="J1195" i="3" a="1"/>
  <c r="J1195" i="3" s="1"/>
  <c r="J1153" i="3" a="1"/>
  <c r="J1153" i="3" s="1"/>
  <c r="J1095" i="3" a="1"/>
  <c r="J1095" i="3" s="1"/>
  <c r="J1010" i="3" a="1"/>
  <c r="J1010" i="3" s="1"/>
  <c r="J945" i="3" a="1"/>
  <c r="J945" i="3" s="1"/>
  <c r="J925" i="3" a="1"/>
  <c r="J925" i="3" s="1"/>
  <c r="J822" i="3" a="1"/>
  <c r="J822" i="3" s="1"/>
  <c r="J795" i="3" a="1"/>
  <c r="J795" i="3" s="1"/>
  <c r="J710" i="3" a="1"/>
  <c r="J710" i="3" s="1"/>
  <c r="J669" i="3" a="1"/>
  <c r="J669" i="3" s="1"/>
  <c r="J608" i="3" a="1"/>
  <c r="J608" i="3" s="1"/>
  <c r="J477" i="3" a="1"/>
  <c r="J477" i="3" s="1"/>
  <c r="J410" i="3" a="1"/>
  <c r="J410" i="3" s="1"/>
  <c r="J188" i="3" a="1"/>
  <c r="J188" i="3" s="1"/>
  <c r="J26" i="3" a="1"/>
  <c r="J26" i="3" s="1"/>
  <c r="H1310" i="3" a="1"/>
  <c r="H1310" i="3" s="1"/>
  <c r="J1339" i="3" a="1"/>
  <c r="J1339" i="3" s="1"/>
  <c r="J961" i="3" a="1"/>
  <c r="J961" i="3" s="1"/>
  <c r="J655" i="3" a="1"/>
  <c r="J655" i="3" s="1"/>
  <c r="J1297" i="3" a="1"/>
  <c r="J1297" i="3" s="1"/>
  <c r="J315" i="3" a="1"/>
  <c r="J315" i="3" s="1"/>
  <c r="I11" i="3" a="1"/>
  <c r="I11" i="3" s="1"/>
  <c r="H11" i="3" a="1"/>
  <c r="H11" i="3" s="1"/>
  <c r="J11" i="3" a="1"/>
  <c r="J11" i="3" s="1"/>
  <c r="I29" i="3" a="1"/>
  <c r="I29" i="3" s="1"/>
  <c r="H29" i="3" a="1"/>
  <c r="H29" i="3" s="1"/>
  <c r="J29" i="3" a="1"/>
  <c r="J29" i="3" s="1"/>
  <c r="L41" i="3" a="1"/>
  <c r="L41" i="3" s="1"/>
  <c r="I41" i="3" a="1"/>
  <c r="I41" i="3" s="1"/>
  <c r="H41" i="3" a="1"/>
  <c r="H41" i="3" s="1"/>
  <c r="J41" i="3" a="1"/>
  <c r="J41" i="3" s="1"/>
  <c r="I53" i="3" a="1"/>
  <c r="I53" i="3" s="1"/>
  <c r="H53" i="3" a="1"/>
  <c r="H53" i="3" s="1"/>
  <c r="J53" i="3" a="1"/>
  <c r="J53" i="3" s="1"/>
  <c r="I65" i="3" a="1"/>
  <c r="I65" i="3" s="1"/>
  <c r="H65" i="3" a="1"/>
  <c r="H65" i="3" s="1"/>
  <c r="J65" i="3" a="1"/>
  <c r="J65" i="3" s="1"/>
  <c r="I83" i="3" a="1"/>
  <c r="I83" i="3" s="1"/>
  <c r="H83" i="3" a="1"/>
  <c r="H83" i="3" s="1"/>
  <c r="J83" i="3" a="1"/>
  <c r="J83" i="3" s="1"/>
  <c r="I95" i="3" a="1"/>
  <c r="I95" i="3" s="1"/>
  <c r="H95" i="3" a="1"/>
  <c r="H95" i="3" s="1"/>
  <c r="J95" i="3" a="1"/>
  <c r="J95" i="3" s="1"/>
  <c r="H107" i="3" a="1"/>
  <c r="H107" i="3" s="1"/>
  <c r="I107" i="3" a="1"/>
  <c r="I107" i="3" s="1"/>
  <c r="J107" i="3" a="1"/>
  <c r="J107" i="3" s="1"/>
  <c r="I119" i="3" a="1"/>
  <c r="I119" i="3" s="1"/>
  <c r="H119" i="3" a="1"/>
  <c r="H119" i="3" s="1"/>
  <c r="J119" i="3" a="1"/>
  <c r="J119" i="3" s="1"/>
  <c r="I131" i="3" a="1"/>
  <c r="I131" i="3" s="1"/>
  <c r="J131" i="3" a="1"/>
  <c r="J131" i="3" s="1"/>
  <c r="H131" i="3" a="1"/>
  <c r="H131" i="3" s="1"/>
  <c r="L149" i="3" a="1"/>
  <c r="L149" i="3" s="1"/>
  <c r="I149" i="3" a="1"/>
  <c r="I149" i="3" s="1"/>
  <c r="H149" i="3" a="1"/>
  <c r="H149" i="3" s="1"/>
  <c r="J149" i="3" a="1"/>
  <c r="J149" i="3" s="1"/>
  <c r="L161" i="3" a="1"/>
  <c r="L161" i="3" s="1"/>
  <c r="I161" i="3" a="1"/>
  <c r="I161" i="3" s="1"/>
  <c r="H161" i="3" a="1"/>
  <c r="H161" i="3" s="1"/>
  <c r="J161" i="3" a="1"/>
  <c r="J161" i="3" s="1"/>
  <c r="I173" i="3" a="1"/>
  <c r="I173" i="3" s="1"/>
  <c r="H173" i="3" a="1"/>
  <c r="H173" i="3" s="1"/>
  <c r="J173" i="3" a="1"/>
  <c r="J173" i="3" s="1"/>
  <c r="L191" i="3" a="1"/>
  <c r="L191" i="3" s="1"/>
  <c r="I191" i="3" a="1"/>
  <c r="I191" i="3" s="1"/>
  <c r="H191" i="3" a="1"/>
  <c r="H191" i="3" s="1"/>
  <c r="J191" i="3" a="1"/>
  <c r="J191" i="3" s="1"/>
  <c r="I203" i="3" a="1"/>
  <c r="I203" i="3" s="1"/>
  <c r="H203" i="3" a="1"/>
  <c r="H203" i="3" s="1"/>
  <c r="J203" i="3" a="1"/>
  <c r="J203" i="3" s="1"/>
  <c r="L215" i="3" a="1"/>
  <c r="L215" i="3" s="1"/>
  <c r="I215" i="3" a="1"/>
  <c r="I215" i="3" s="1"/>
  <c r="H215" i="3" a="1"/>
  <c r="H215" i="3" s="1"/>
  <c r="J215" i="3" a="1"/>
  <c r="J215" i="3" s="1"/>
  <c r="L227" i="3" a="1"/>
  <c r="L227" i="3" s="1"/>
  <c r="I227" i="3" a="1"/>
  <c r="I227" i="3" s="1"/>
  <c r="H227" i="3" a="1"/>
  <c r="H227" i="3" s="1"/>
  <c r="J227" i="3" a="1"/>
  <c r="J227" i="3" s="1"/>
  <c r="I245" i="3" a="1"/>
  <c r="I245" i="3" s="1"/>
  <c r="H245" i="3" a="1"/>
  <c r="H245" i="3" s="1"/>
  <c r="J245" i="3" a="1"/>
  <c r="J245" i="3" s="1"/>
  <c r="I257" i="3" a="1"/>
  <c r="I257" i="3" s="1"/>
  <c r="H257" i="3" a="1"/>
  <c r="H257" i="3" s="1"/>
  <c r="J257" i="3" a="1"/>
  <c r="J257" i="3" s="1"/>
  <c r="I269" i="3" a="1"/>
  <c r="I269" i="3" s="1"/>
  <c r="H269" i="3" a="1"/>
  <c r="H269" i="3" s="1"/>
  <c r="J269" i="3" a="1"/>
  <c r="J269" i="3" s="1"/>
  <c r="I281" i="3" a="1"/>
  <c r="I281" i="3" s="1"/>
  <c r="H281" i="3" a="1"/>
  <c r="H281" i="3" s="1"/>
  <c r="J281" i="3" a="1"/>
  <c r="J281" i="3" s="1"/>
  <c r="I293" i="3" a="1"/>
  <c r="I293" i="3" s="1"/>
  <c r="H293" i="3" a="1"/>
  <c r="H293" i="3" s="1"/>
  <c r="J293" i="3" a="1"/>
  <c r="J293" i="3" s="1"/>
  <c r="L311" i="3" a="1"/>
  <c r="L311" i="3" s="1"/>
  <c r="I311" i="3" a="1"/>
  <c r="I311" i="3" s="1"/>
  <c r="H311" i="3" a="1"/>
  <c r="H311" i="3" s="1"/>
  <c r="J311" i="3" a="1"/>
  <c r="J311" i="3" s="1"/>
  <c r="L323" i="3" a="1"/>
  <c r="L323" i="3" s="1"/>
  <c r="I323" i="3" a="1"/>
  <c r="I323" i="3" s="1"/>
  <c r="J323" i="3" a="1"/>
  <c r="J323" i="3" s="1"/>
  <c r="H323" i="3" a="1"/>
  <c r="H323" i="3" s="1"/>
  <c r="L335" i="3" a="1"/>
  <c r="L335" i="3" s="1"/>
  <c r="I335" i="3" a="1"/>
  <c r="I335" i="3" s="1"/>
  <c r="H335" i="3" a="1"/>
  <c r="H335" i="3" s="1"/>
  <c r="J335" i="3" a="1"/>
  <c r="J335" i="3" s="1"/>
  <c r="I347" i="3" a="1"/>
  <c r="I347" i="3" s="1"/>
  <c r="H347" i="3" a="1"/>
  <c r="H347" i="3" s="1"/>
  <c r="J347" i="3" a="1"/>
  <c r="J347" i="3" s="1"/>
  <c r="I359" i="3" a="1"/>
  <c r="I359" i="3" s="1"/>
  <c r="H359" i="3" a="1"/>
  <c r="H359" i="3" s="1"/>
  <c r="J359" i="3" a="1"/>
  <c r="J359" i="3" s="1"/>
  <c r="L371" i="3" a="1"/>
  <c r="L371" i="3" s="1"/>
  <c r="I371" i="3" a="1"/>
  <c r="I371" i="3" s="1"/>
  <c r="H371" i="3" a="1"/>
  <c r="H371" i="3" s="1"/>
  <c r="J371" i="3" a="1"/>
  <c r="J371" i="3" s="1"/>
  <c r="I383" i="3" a="1"/>
  <c r="I383" i="3" s="1"/>
  <c r="H383" i="3" a="1"/>
  <c r="H383" i="3" s="1"/>
  <c r="J383" i="3" a="1"/>
  <c r="J383" i="3" s="1"/>
  <c r="H401" i="3" a="1"/>
  <c r="H401" i="3" s="1"/>
  <c r="I401" i="3" a="1"/>
  <c r="I401" i="3" s="1"/>
  <c r="L413" i="3" a="1"/>
  <c r="L413" i="3" s="1"/>
  <c r="I413" i="3" a="1"/>
  <c r="I413" i="3" s="1"/>
  <c r="H413" i="3" a="1"/>
  <c r="H413" i="3" s="1"/>
  <c r="J413" i="3" a="1"/>
  <c r="J413" i="3" s="1"/>
  <c r="I425" i="3" a="1"/>
  <c r="I425" i="3" s="1"/>
  <c r="H425" i="3" a="1"/>
  <c r="H425" i="3" s="1"/>
  <c r="J425" i="3" a="1"/>
  <c r="J425" i="3" s="1"/>
  <c r="I437" i="3" a="1"/>
  <c r="I437" i="3" s="1"/>
  <c r="H437" i="3" a="1"/>
  <c r="H437" i="3" s="1"/>
  <c r="J437" i="3" a="1"/>
  <c r="J437" i="3" s="1"/>
  <c r="I449" i="3" a="1"/>
  <c r="I449" i="3" s="1"/>
  <c r="H449" i="3" a="1"/>
  <c r="H449" i="3" s="1"/>
  <c r="J449" i="3" a="1"/>
  <c r="J449" i="3" s="1"/>
  <c r="L461" i="3" a="1"/>
  <c r="L461" i="3" s="1"/>
  <c r="I461" i="3" a="1"/>
  <c r="I461" i="3" s="1"/>
  <c r="J461" i="3" a="1"/>
  <c r="J461" i="3" s="1"/>
  <c r="H461" i="3" a="1"/>
  <c r="H461" i="3" s="1"/>
  <c r="I473" i="3" a="1"/>
  <c r="I473" i="3" s="1"/>
  <c r="H473" i="3" a="1"/>
  <c r="H473" i="3" s="1"/>
  <c r="J473" i="3" a="1"/>
  <c r="J473" i="3" s="1"/>
  <c r="I491" i="3" a="1"/>
  <c r="I491" i="3" s="1"/>
  <c r="H491" i="3" a="1"/>
  <c r="H491" i="3" s="1"/>
  <c r="J491" i="3" a="1"/>
  <c r="J491" i="3" s="1"/>
  <c r="L503" i="3" a="1"/>
  <c r="L503" i="3" s="1"/>
  <c r="I503" i="3" a="1"/>
  <c r="I503" i="3" s="1"/>
  <c r="H503" i="3" a="1"/>
  <c r="H503" i="3" s="1"/>
  <c r="J503" i="3" a="1"/>
  <c r="J503" i="3" s="1"/>
  <c r="I515" i="3" a="1"/>
  <c r="I515" i="3" s="1"/>
  <c r="H515" i="3" a="1"/>
  <c r="H515" i="3" s="1"/>
  <c r="J515" i="3" a="1"/>
  <c r="J515" i="3" s="1"/>
  <c r="I527" i="3" a="1"/>
  <c r="I527" i="3" s="1"/>
  <c r="H527" i="3" a="1"/>
  <c r="H527" i="3" s="1"/>
  <c r="J527" i="3" a="1"/>
  <c r="J527" i="3" s="1"/>
  <c r="I539" i="3" a="1"/>
  <c r="I539" i="3" s="1"/>
  <c r="H539" i="3" a="1"/>
  <c r="H539" i="3" s="1"/>
  <c r="J539" i="3" a="1"/>
  <c r="J539" i="3" s="1"/>
  <c r="I551" i="3" a="1"/>
  <c r="I551" i="3" s="1"/>
  <c r="H551" i="3" a="1"/>
  <c r="H551" i="3" s="1"/>
  <c r="J551" i="3" a="1"/>
  <c r="J551" i="3" s="1"/>
  <c r="I569" i="3" a="1"/>
  <c r="I569" i="3" s="1"/>
  <c r="J569" i="3" a="1"/>
  <c r="J569" i="3" s="1"/>
  <c r="I581" i="3" a="1"/>
  <c r="I581" i="3" s="1"/>
  <c r="H581" i="3" a="1"/>
  <c r="H581" i="3" s="1"/>
  <c r="J581" i="3" a="1"/>
  <c r="J581" i="3" s="1"/>
  <c r="I593" i="3" a="1"/>
  <c r="I593" i="3" s="1"/>
  <c r="H593" i="3" a="1"/>
  <c r="H593" i="3" s="1"/>
  <c r="J593" i="3" a="1"/>
  <c r="J593" i="3" s="1"/>
  <c r="L611" i="3" a="1"/>
  <c r="L611" i="3" s="1"/>
  <c r="I611" i="3" a="1"/>
  <c r="I611" i="3" s="1"/>
  <c r="H611" i="3" a="1"/>
  <c r="H611" i="3" s="1"/>
  <c r="J611" i="3" a="1"/>
  <c r="J611" i="3" s="1"/>
  <c r="L623" i="3" a="1"/>
  <c r="L623" i="3" s="1"/>
  <c r="I623" i="3" a="1"/>
  <c r="I623" i="3" s="1"/>
  <c r="H623" i="3" a="1"/>
  <c r="H623" i="3" s="1"/>
  <c r="J623" i="3" a="1"/>
  <c r="J623" i="3" s="1"/>
  <c r="I635" i="3" a="1"/>
  <c r="I635" i="3" s="1"/>
  <c r="H635" i="3" a="1"/>
  <c r="H635" i="3" s="1"/>
  <c r="J635" i="3" a="1"/>
  <c r="J635" i="3" s="1"/>
  <c r="I647" i="3" a="1"/>
  <c r="I647" i="3" s="1"/>
  <c r="H647" i="3" a="1"/>
  <c r="H647" i="3" s="1"/>
  <c r="J647" i="3" a="1"/>
  <c r="J647" i="3" s="1"/>
  <c r="I665" i="3" a="1"/>
  <c r="I665" i="3" s="1"/>
  <c r="H665" i="3" a="1"/>
  <c r="H665" i="3" s="1"/>
  <c r="J665" i="3" a="1"/>
  <c r="J665" i="3" s="1"/>
  <c r="I677" i="3" a="1"/>
  <c r="I677" i="3" s="1"/>
  <c r="H677" i="3" a="1"/>
  <c r="H677" i="3" s="1"/>
  <c r="J677" i="3" a="1"/>
  <c r="J677" i="3" s="1"/>
  <c r="I689" i="3" a="1"/>
  <c r="I689" i="3" s="1"/>
  <c r="H689" i="3" a="1"/>
  <c r="H689" i="3" s="1"/>
  <c r="J689" i="3" a="1"/>
  <c r="J689" i="3" s="1"/>
  <c r="L701" i="3" a="1"/>
  <c r="L701" i="3" s="1"/>
  <c r="I701" i="3" a="1"/>
  <c r="I701" i="3" s="1"/>
  <c r="H701" i="3" a="1"/>
  <c r="H701" i="3" s="1"/>
  <c r="J701" i="3" a="1"/>
  <c r="J701" i="3" s="1"/>
  <c r="I713" i="3" a="1"/>
  <c r="I713" i="3" s="1"/>
  <c r="H713" i="3" a="1"/>
  <c r="H713" i="3" s="1"/>
  <c r="J713" i="3" a="1"/>
  <c r="J713" i="3" s="1"/>
  <c r="L725" i="3" a="1"/>
  <c r="L725" i="3" s="1"/>
  <c r="I725" i="3" a="1"/>
  <c r="I725" i="3" s="1"/>
  <c r="H725" i="3" a="1"/>
  <c r="H725" i="3" s="1"/>
  <c r="L737" i="3" a="1"/>
  <c r="L737" i="3" s="1"/>
  <c r="I737" i="3" a="1"/>
  <c r="I737" i="3" s="1"/>
  <c r="H737" i="3" a="1"/>
  <c r="H737" i="3" s="1"/>
  <c r="J737" i="3" a="1"/>
  <c r="J737" i="3" s="1"/>
  <c r="I749" i="3" a="1"/>
  <c r="I749" i="3" s="1"/>
  <c r="H749" i="3" a="1"/>
  <c r="H749" i="3" s="1"/>
  <c r="J749" i="3" a="1"/>
  <c r="J749" i="3" s="1"/>
  <c r="I761" i="3" a="1"/>
  <c r="I761" i="3" s="1"/>
  <c r="H761" i="3" a="1"/>
  <c r="H761" i="3" s="1"/>
  <c r="J761" i="3" a="1"/>
  <c r="J761" i="3" s="1"/>
  <c r="L779" i="3" a="1"/>
  <c r="L779" i="3" s="1"/>
  <c r="I779" i="3" a="1"/>
  <c r="I779" i="3" s="1"/>
  <c r="H779" i="3" a="1"/>
  <c r="H779" i="3" s="1"/>
  <c r="J779" i="3" a="1"/>
  <c r="J779" i="3" s="1"/>
  <c r="L791" i="3" a="1"/>
  <c r="L791" i="3" s="1"/>
  <c r="I791" i="3" a="1"/>
  <c r="I791" i="3" s="1"/>
  <c r="H791" i="3" a="1"/>
  <c r="H791" i="3" s="1"/>
  <c r="I797" i="3" a="1"/>
  <c r="I797" i="3" s="1"/>
  <c r="H797" i="3" a="1"/>
  <c r="H797" i="3" s="1"/>
  <c r="J797" i="3" a="1"/>
  <c r="J797" i="3" s="1"/>
  <c r="I809" i="3" a="1"/>
  <c r="I809" i="3" s="1"/>
  <c r="H809" i="3" a="1"/>
  <c r="H809" i="3" s="1"/>
  <c r="I821" i="3" a="1"/>
  <c r="I821" i="3" s="1"/>
  <c r="H821" i="3" a="1"/>
  <c r="H821" i="3" s="1"/>
  <c r="J821" i="3" a="1"/>
  <c r="J821" i="3" s="1"/>
  <c r="I833" i="3" a="1"/>
  <c r="I833" i="3" s="1"/>
  <c r="H833" i="3" a="1"/>
  <c r="H833" i="3" s="1"/>
  <c r="L845" i="3" a="1"/>
  <c r="L845" i="3" s="1"/>
  <c r="I845" i="3" a="1"/>
  <c r="I845" i="3" s="1"/>
  <c r="H845" i="3" a="1"/>
  <c r="H845" i="3" s="1"/>
  <c r="J845" i="3" a="1"/>
  <c r="J845" i="3" s="1"/>
  <c r="I851" i="3" a="1"/>
  <c r="I851" i="3" s="1"/>
  <c r="H851" i="3" a="1"/>
  <c r="H851" i="3" s="1"/>
  <c r="L857" i="3" a="1"/>
  <c r="L857" i="3" s="1"/>
  <c r="H857" i="3" a="1"/>
  <c r="H857" i="3" s="1"/>
  <c r="I857" i="3" a="1"/>
  <c r="I857" i="3" s="1"/>
  <c r="J857" i="3" a="1"/>
  <c r="J857" i="3" s="1"/>
  <c r="L869" i="3" a="1"/>
  <c r="L869" i="3" s="1"/>
  <c r="I869" i="3" a="1"/>
  <c r="I869" i="3" s="1"/>
  <c r="H869" i="3" a="1"/>
  <c r="H869" i="3" s="1"/>
  <c r="J869" i="3" a="1"/>
  <c r="J869" i="3" s="1"/>
  <c r="I875" i="3" a="1"/>
  <c r="I875" i="3" s="1"/>
  <c r="H875" i="3" a="1"/>
  <c r="H875" i="3" s="1"/>
  <c r="L881" i="3" a="1"/>
  <c r="L881" i="3" s="1"/>
  <c r="I881" i="3" a="1"/>
  <c r="I881" i="3" s="1"/>
  <c r="H881" i="3" a="1"/>
  <c r="H881" i="3" s="1"/>
  <c r="J881" i="3" a="1"/>
  <c r="J881" i="3" s="1"/>
  <c r="L887" i="3" a="1"/>
  <c r="L887" i="3" s="1"/>
  <c r="I887" i="3" a="1"/>
  <c r="I887" i="3" s="1"/>
  <c r="H887" i="3" a="1"/>
  <c r="H887" i="3" s="1"/>
  <c r="J887" i="3" a="1"/>
  <c r="J887" i="3" s="1"/>
  <c r="L893" i="3" a="1"/>
  <c r="L893" i="3" s="1"/>
  <c r="I893" i="3" a="1"/>
  <c r="I893" i="3" s="1"/>
  <c r="H893" i="3" a="1"/>
  <c r="H893" i="3" s="1"/>
  <c r="I899" i="3" a="1"/>
  <c r="I899" i="3" s="1"/>
  <c r="H899" i="3" a="1"/>
  <c r="H899" i="3" s="1"/>
  <c r="L905" i="3" a="1"/>
  <c r="L905" i="3" s="1"/>
  <c r="I905" i="3" a="1"/>
  <c r="I905" i="3" s="1"/>
  <c r="H905" i="3" a="1"/>
  <c r="H905" i="3" s="1"/>
  <c r="J905" i="3" a="1"/>
  <c r="J905" i="3" s="1"/>
  <c r="L911" i="3" a="1"/>
  <c r="L911" i="3" s="1"/>
  <c r="I911" i="3" a="1"/>
  <c r="I911" i="3" s="1"/>
  <c r="H911" i="3" a="1"/>
  <c r="H911" i="3" s="1"/>
  <c r="I917" i="3" a="1"/>
  <c r="I917" i="3" s="1"/>
  <c r="H917" i="3" a="1"/>
  <c r="H917" i="3" s="1"/>
  <c r="J917" i="3" a="1"/>
  <c r="J917" i="3" s="1"/>
  <c r="I923" i="3" a="1"/>
  <c r="I923" i="3" s="1"/>
  <c r="H923" i="3" a="1"/>
  <c r="H923" i="3" s="1"/>
  <c r="J923" i="3" a="1"/>
  <c r="J923" i="3" s="1"/>
  <c r="I929" i="3" a="1"/>
  <c r="I929" i="3" s="1"/>
  <c r="H929" i="3" a="1"/>
  <c r="H929" i="3" s="1"/>
  <c r="I935" i="3" a="1"/>
  <c r="I935" i="3" s="1"/>
  <c r="H935" i="3" a="1"/>
  <c r="H935" i="3" s="1"/>
  <c r="J935" i="3" a="1"/>
  <c r="J935" i="3" s="1"/>
  <c r="L941" i="3" a="1"/>
  <c r="L941" i="3" s="1"/>
  <c r="I941" i="3" a="1"/>
  <c r="I941" i="3" s="1"/>
  <c r="H941" i="3" a="1"/>
  <c r="H941" i="3" s="1"/>
  <c r="J941" i="3" a="1"/>
  <c r="J941" i="3" s="1"/>
  <c r="I947" i="3" a="1"/>
  <c r="I947" i="3" s="1"/>
  <c r="H947" i="3" a="1"/>
  <c r="H947" i="3" s="1"/>
  <c r="L953" i="3" a="1"/>
  <c r="L953" i="3" s="1"/>
  <c r="I953" i="3" a="1"/>
  <c r="I953" i="3" s="1"/>
  <c r="H953" i="3" a="1"/>
  <c r="H953" i="3" s="1"/>
  <c r="I959" i="3" a="1"/>
  <c r="I959" i="3" s="1"/>
  <c r="H959" i="3" a="1"/>
  <c r="H959" i="3" s="1"/>
  <c r="J959" i="3" a="1"/>
  <c r="J959" i="3" s="1"/>
  <c r="L965" i="3" a="1"/>
  <c r="L965" i="3" s="1"/>
  <c r="I965" i="3" a="1"/>
  <c r="I965" i="3" s="1"/>
  <c r="H965" i="3" a="1"/>
  <c r="H965" i="3" s="1"/>
  <c r="L971" i="3" a="1"/>
  <c r="L971" i="3" s="1"/>
  <c r="I971" i="3" a="1"/>
  <c r="I971" i="3" s="1"/>
  <c r="H971" i="3" a="1"/>
  <c r="H971" i="3" s="1"/>
  <c r="J971" i="3" a="1"/>
  <c r="J971" i="3" s="1"/>
  <c r="L977" i="3" a="1"/>
  <c r="L977" i="3" s="1"/>
  <c r="I977" i="3" a="1"/>
  <c r="I977" i="3" s="1"/>
  <c r="H977" i="3" a="1"/>
  <c r="H977" i="3" s="1"/>
  <c r="J977" i="3" a="1"/>
  <c r="J977" i="3" s="1"/>
  <c r="I983" i="3" a="1"/>
  <c r="I983" i="3" s="1"/>
  <c r="H983" i="3" a="1"/>
  <c r="H983" i="3" s="1"/>
  <c r="L989" i="3" a="1"/>
  <c r="L989" i="3" s="1"/>
  <c r="I989" i="3" a="1"/>
  <c r="I989" i="3" s="1"/>
  <c r="H989" i="3" a="1"/>
  <c r="H989" i="3" s="1"/>
  <c r="I995" i="3" a="1"/>
  <c r="I995" i="3" s="1"/>
  <c r="H995" i="3" a="1"/>
  <c r="H995" i="3" s="1"/>
  <c r="J995" i="3" a="1"/>
  <c r="J995" i="3" s="1"/>
  <c r="L1001" i="3" a="1"/>
  <c r="L1001" i="3" s="1"/>
  <c r="I1001" i="3" a="1"/>
  <c r="I1001" i="3" s="1"/>
  <c r="H1001" i="3" a="1"/>
  <c r="H1001" i="3" s="1"/>
  <c r="L1007" i="3" a="1"/>
  <c r="L1007" i="3" s="1"/>
  <c r="I1007" i="3" a="1"/>
  <c r="I1007" i="3" s="1"/>
  <c r="H1007" i="3" a="1"/>
  <c r="H1007" i="3" s="1"/>
  <c r="L1013" i="3" a="1"/>
  <c r="L1013" i="3" s="1"/>
  <c r="I1013" i="3" a="1"/>
  <c r="I1013" i="3" s="1"/>
  <c r="H1013" i="3" a="1"/>
  <c r="H1013" i="3" s="1"/>
  <c r="J1013" i="3" a="1"/>
  <c r="J1013" i="3" s="1"/>
  <c r="L1019" i="3" a="1"/>
  <c r="L1019" i="3" s="1"/>
  <c r="I1019" i="3" a="1"/>
  <c r="I1019" i="3" s="1"/>
  <c r="H1019" i="3" a="1"/>
  <c r="H1019" i="3" s="1"/>
  <c r="I1025" i="3" a="1"/>
  <c r="I1025" i="3" s="1"/>
  <c r="H1025" i="3" a="1"/>
  <c r="H1025" i="3" s="1"/>
  <c r="J1025" i="3" a="1"/>
  <c r="J1025" i="3" s="1"/>
  <c r="L1031" i="3" a="1"/>
  <c r="L1031" i="3" s="1"/>
  <c r="I1031" i="3" a="1"/>
  <c r="I1031" i="3" s="1"/>
  <c r="H1031" i="3" a="1"/>
  <c r="H1031" i="3" s="1"/>
  <c r="L1037" i="3" a="1"/>
  <c r="L1037" i="3" s="1"/>
  <c r="I1037" i="3" a="1"/>
  <c r="I1037" i="3" s="1"/>
  <c r="H1037" i="3" a="1"/>
  <c r="H1037" i="3" s="1"/>
  <c r="J1037" i="3" a="1"/>
  <c r="J1037" i="3" s="1"/>
  <c r="I1043" i="3" a="1"/>
  <c r="I1043" i="3" s="1"/>
  <c r="H1043" i="3" a="1"/>
  <c r="H1043" i="3" s="1"/>
  <c r="L1049" i="3" a="1"/>
  <c r="L1049" i="3" s="1"/>
  <c r="I1049" i="3" a="1"/>
  <c r="I1049" i="3" s="1"/>
  <c r="H1049" i="3" a="1"/>
  <c r="H1049" i="3" s="1"/>
  <c r="L1055" i="3" a="1"/>
  <c r="L1055" i="3" s="1"/>
  <c r="I1055" i="3" a="1"/>
  <c r="I1055" i="3" s="1"/>
  <c r="H1055" i="3" a="1"/>
  <c r="H1055" i="3" s="1"/>
  <c r="J1055" i="3" a="1"/>
  <c r="J1055" i="3" s="1"/>
  <c r="L1061" i="3" a="1"/>
  <c r="L1061" i="3" s="1"/>
  <c r="I1061" i="3" a="1"/>
  <c r="I1061" i="3" s="1"/>
  <c r="H1061" i="3" a="1"/>
  <c r="H1061" i="3" s="1"/>
  <c r="J1061" i="3" a="1"/>
  <c r="J1061" i="3" s="1"/>
  <c r="L1067" i="3" a="1"/>
  <c r="L1067" i="3" s="1"/>
  <c r="I1067" i="3" a="1"/>
  <c r="I1067" i="3" s="1"/>
  <c r="H1067" i="3" a="1"/>
  <c r="H1067" i="3" s="1"/>
  <c r="I1073" i="3" a="1"/>
  <c r="I1073" i="3" s="1"/>
  <c r="H1073" i="3" a="1"/>
  <c r="H1073" i="3" s="1"/>
  <c r="J1073" i="3" a="1"/>
  <c r="J1073" i="3" s="1"/>
  <c r="L1079" i="3" a="1"/>
  <c r="L1079" i="3" s="1"/>
  <c r="I1079" i="3" a="1"/>
  <c r="I1079" i="3" s="1"/>
  <c r="H1079" i="3" a="1"/>
  <c r="H1079" i="3" s="1"/>
  <c r="J1079" i="3" a="1"/>
  <c r="J1079" i="3" s="1"/>
  <c r="I1085" i="3" a="1"/>
  <c r="I1085" i="3" s="1"/>
  <c r="H1085" i="3" a="1"/>
  <c r="H1085" i="3" s="1"/>
  <c r="L1091" i="3" a="1"/>
  <c r="L1091" i="3" s="1"/>
  <c r="I1091" i="3" a="1"/>
  <c r="I1091" i="3" s="1"/>
  <c r="H1091" i="3" a="1"/>
  <c r="H1091" i="3" s="1"/>
  <c r="J1091" i="3" a="1"/>
  <c r="J1091" i="3" s="1"/>
  <c r="L1097" i="3" a="1"/>
  <c r="L1097" i="3" s="1"/>
  <c r="I1097" i="3" a="1"/>
  <c r="I1097" i="3" s="1"/>
  <c r="H1097" i="3" a="1"/>
  <c r="H1097" i="3" s="1"/>
  <c r="J1097" i="3" a="1"/>
  <c r="J1097" i="3" s="1"/>
  <c r="L1103" i="3" a="1"/>
  <c r="L1103" i="3" s="1"/>
  <c r="I1103" i="3" a="1"/>
  <c r="I1103" i="3" s="1"/>
  <c r="H1103" i="3" a="1"/>
  <c r="H1103" i="3" s="1"/>
  <c r="I1109" i="3" a="1"/>
  <c r="I1109" i="3" s="1"/>
  <c r="H1109" i="3" a="1"/>
  <c r="H1109" i="3" s="1"/>
  <c r="J1109" i="3" a="1"/>
  <c r="J1109" i="3" s="1"/>
  <c r="L1115" i="3" a="1"/>
  <c r="L1115" i="3" s="1"/>
  <c r="I1115" i="3" a="1"/>
  <c r="I1115" i="3" s="1"/>
  <c r="J1115" i="3" a="1"/>
  <c r="J1115" i="3" s="1"/>
  <c r="L1121" i="3" a="1"/>
  <c r="L1121" i="3" s="1"/>
  <c r="I1121" i="3" a="1"/>
  <c r="I1121" i="3" s="1"/>
  <c r="H1121" i="3" a="1"/>
  <c r="H1121" i="3" s="1"/>
  <c r="J1121" i="3" a="1"/>
  <c r="J1121" i="3" s="1"/>
  <c r="I1127" i="3" a="1"/>
  <c r="I1127" i="3" s="1"/>
  <c r="H1127" i="3" a="1"/>
  <c r="H1127" i="3" s="1"/>
  <c r="J1127" i="3" a="1"/>
  <c r="J1127" i="3" s="1"/>
  <c r="L1133" i="3" a="1"/>
  <c r="L1133" i="3" s="1"/>
  <c r="I1133" i="3" a="1"/>
  <c r="I1133" i="3" s="1"/>
  <c r="H1133" i="3" a="1"/>
  <c r="H1133" i="3" s="1"/>
  <c r="L1139" i="3" a="1"/>
  <c r="L1139" i="3" s="1"/>
  <c r="I1139" i="3" a="1"/>
  <c r="I1139" i="3" s="1"/>
  <c r="H1139" i="3" a="1"/>
  <c r="H1139" i="3" s="1"/>
  <c r="I1145" i="3" a="1"/>
  <c r="I1145" i="3" s="1"/>
  <c r="H1145" i="3" a="1"/>
  <c r="H1145" i="3" s="1"/>
  <c r="J1145" i="3" a="1"/>
  <c r="J1145" i="3" s="1"/>
  <c r="L1151" i="3" a="1"/>
  <c r="L1151" i="3" s="1"/>
  <c r="I1151" i="3" a="1"/>
  <c r="I1151" i="3" s="1"/>
  <c r="H1151" i="3" a="1"/>
  <c r="H1151" i="3" s="1"/>
  <c r="J1151" i="3" a="1"/>
  <c r="J1151" i="3" s="1"/>
  <c r="I1157" i="3" a="1"/>
  <c r="I1157" i="3" s="1"/>
  <c r="H1157" i="3" a="1"/>
  <c r="H1157" i="3" s="1"/>
  <c r="J1157" i="3" a="1"/>
  <c r="J1157" i="3" s="1"/>
  <c r="L1163" i="3" a="1"/>
  <c r="L1163" i="3" s="1"/>
  <c r="I1163" i="3" a="1"/>
  <c r="I1163" i="3" s="1"/>
  <c r="H1163" i="3" a="1"/>
  <c r="H1163" i="3" s="1"/>
  <c r="I1169" i="3" a="1"/>
  <c r="I1169" i="3" s="1"/>
  <c r="H1169" i="3" a="1"/>
  <c r="H1169" i="3" s="1"/>
  <c r="I1175" i="3" a="1"/>
  <c r="I1175" i="3" s="1"/>
  <c r="H1175" i="3" a="1"/>
  <c r="H1175" i="3" s="1"/>
  <c r="I1181" i="3" a="1"/>
  <c r="I1181" i="3" s="1"/>
  <c r="H1181" i="3" a="1"/>
  <c r="H1181" i="3" s="1"/>
  <c r="L1187" i="3" a="1"/>
  <c r="L1187" i="3" s="1"/>
  <c r="I1187" i="3" a="1"/>
  <c r="I1187" i="3" s="1"/>
  <c r="H1187" i="3" a="1"/>
  <c r="H1187" i="3" s="1"/>
  <c r="J1187" i="3" a="1"/>
  <c r="J1187" i="3" s="1"/>
  <c r="L1193" i="3" a="1"/>
  <c r="L1193" i="3" s="1"/>
  <c r="I1193" i="3" a="1"/>
  <c r="I1193" i="3" s="1"/>
  <c r="H1193" i="3" a="1"/>
  <c r="H1193" i="3" s="1"/>
  <c r="J1193" i="3" a="1"/>
  <c r="J1193" i="3" s="1"/>
  <c r="K1199" i="3" a="1"/>
  <c r="K1199" i="3" s="1"/>
  <c r="I1199" i="3" a="1"/>
  <c r="I1199" i="3" s="1"/>
  <c r="H1199" i="3" a="1"/>
  <c r="H1199" i="3" s="1"/>
  <c r="J1199" i="3" a="1"/>
  <c r="J1199" i="3" s="1"/>
  <c r="K1205" i="3" a="1"/>
  <c r="K1205" i="3" s="1"/>
  <c r="I1205" i="3" a="1"/>
  <c r="I1205" i="3" s="1"/>
  <c r="H1205" i="3" a="1"/>
  <c r="H1205" i="3" s="1"/>
  <c r="K1211" i="3" a="1"/>
  <c r="K1211" i="3" s="1"/>
  <c r="I1211" i="3" a="1"/>
  <c r="I1211" i="3" s="1"/>
  <c r="H1211" i="3" a="1"/>
  <c r="H1211" i="3" s="1"/>
  <c r="J1211" i="3" a="1"/>
  <c r="J1211" i="3" s="1"/>
  <c r="L1217" i="3" a="1"/>
  <c r="L1217" i="3" s="1"/>
  <c r="I1217" i="3" a="1"/>
  <c r="I1217" i="3" s="1"/>
  <c r="H1217" i="3" a="1"/>
  <c r="H1217" i="3" s="1"/>
  <c r="K1223" i="3" a="1"/>
  <c r="K1223" i="3" s="1"/>
  <c r="I1223" i="3" a="1"/>
  <c r="I1223" i="3" s="1"/>
  <c r="J1223" i="3" a="1"/>
  <c r="J1223" i="3" s="1"/>
  <c r="L1229" i="3" a="1"/>
  <c r="L1229" i="3" s="1"/>
  <c r="I1229" i="3" a="1"/>
  <c r="I1229" i="3" s="1"/>
  <c r="H1229" i="3" a="1"/>
  <c r="H1229" i="3" s="1"/>
  <c r="L1235" i="3" a="1"/>
  <c r="L1235" i="3" s="1"/>
  <c r="I1235" i="3" a="1"/>
  <c r="I1235" i="3" s="1"/>
  <c r="H1235" i="3" a="1"/>
  <c r="H1235" i="3" s="1"/>
  <c r="L1241" i="3" a="1"/>
  <c r="L1241" i="3" s="1"/>
  <c r="I1241" i="3" a="1"/>
  <c r="I1241" i="3" s="1"/>
  <c r="H1241" i="3" a="1"/>
  <c r="H1241" i="3" s="1"/>
  <c r="K1247" i="3" a="1"/>
  <c r="K1247" i="3" s="1"/>
  <c r="I1247" i="3" a="1"/>
  <c r="I1247" i="3" s="1"/>
  <c r="H1247" i="3" a="1"/>
  <c r="H1247" i="3" s="1"/>
  <c r="L1253" i="3" a="1"/>
  <c r="L1253" i="3" s="1"/>
  <c r="I1253" i="3" a="1"/>
  <c r="I1253" i="3" s="1"/>
  <c r="H1253" i="3" a="1"/>
  <c r="H1253" i="3" s="1"/>
  <c r="L1259" i="3" a="1"/>
  <c r="L1259" i="3" s="1"/>
  <c r="I1259" i="3" a="1"/>
  <c r="I1259" i="3" s="1"/>
  <c r="L1265" i="3" a="1"/>
  <c r="L1265" i="3" s="1"/>
  <c r="I1265" i="3" a="1"/>
  <c r="I1265" i="3" s="1"/>
  <c r="H1265" i="3" a="1"/>
  <c r="H1265" i="3" s="1"/>
  <c r="L1271" i="3" a="1"/>
  <c r="L1271" i="3" s="1"/>
  <c r="H1271" i="3" a="1"/>
  <c r="H1271" i="3" s="1"/>
  <c r="I1271" i="3" a="1"/>
  <c r="I1271" i="3" s="1"/>
  <c r="K1277" i="3" a="1"/>
  <c r="K1277" i="3" s="1"/>
  <c r="I1277" i="3" a="1"/>
  <c r="I1277" i="3" s="1"/>
  <c r="H1277" i="3" a="1"/>
  <c r="H1277" i="3" s="1"/>
  <c r="L1283" i="3" a="1"/>
  <c r="L1283" i="3" s="1"/>
  <c r="I1283" i="3" a="1"/>
  <c r="I1283" i="3" s="1"/>
  <c r="H1283" i="3" a="1"/>
  <c r="H1283" i="3" s="1"/>
  <c r="K1289" i="3" a="1"/>
  <c r="K1289" i="3" s="1"/>
  <c r="I1289" i="3" a="1"/>
  <c r="I1289" i="3" s="1"/>
  <c r="H1289" i="3" a="1"/>
  <c r="H1289" i="3" s="1"/>
  <c r="L1295" i="3" a="1"/>
  <c r="L1295" i="3" s="1"/>
  <c r="I1295" i="3" a="1"/>
  <c r="I1295" i="3" s="1"/>
  <c r="H1295" i="3" a="1"/>
  <c r="H1295" i="3" s="1"/>
  <c r="L1301" i="3" a="1"/>
  <c r="L1301" i="3" s="1"/>
  <c r="I1301" i="3" a="1"/>
  <c r="I1301" i="3" s="1"/>
  <c r="H1301" i="3" a="1"/>
  <c r="H1301" i="3" s="1"/>
  <c r="K1307" i="3" a="1"/>
  <c r="K1307" i="3" s="1"/>
  <c r="I1307" i="3" a="1"/>
  <c r="I1307" i="3" s="1"/>
  <c r="H1307" i="3" a="1"/>
  <c r="H1307" i="3" s="1"/>
  <c r="K1313" i="3" a="1"/>
  <c r="K1313" i="3" s="1"/>
  <c r="I1313" i="3" a="1"/>
  <c r="I1313" i="3" s="1"/>
  <c r="H1313" i="3" a="1"/>
  <c r="H1313" i="3" s="1"/>
  <c r="K1319" i="3" a="1"/>
  <c r="K1319" i="3" s="1"/>
  <c r="I1319" i="3" a="1"/>
  <c r="I1319" i="3" s="1"/>
  <c r="H1319" i="3" a="1"/>
  <c r="H1319" i="3" s="1"/>
  <c r="K1325" i="3" a="1"/>
  <c r="K1325" i="3" s="1"/>
  <c r="I1325" i="3" a="1"/>
  <c r="I1325" i="3" s="1"/>
  <c r="H1325" i="3" a="1"/>
  <c r="H1325" i="3" s="1"/>
  <c r="K1331" i="3" a="1"/>
  <c r="K1331" i="3" s="1"/>
  <c r="I1331" i="3" a="1"/>
  <c r="I1331" i="3" s="1"/>
  <c r="H1331" i="3" a="1"/>
  <c r="H1331" i="3" s="1"/>
  <c r="K1337" i="3" a="1"/>
  <c r="K1337" i="3" s="1"/>
  <c r="I1337" i="3" a="1"/>
  <c r="I1337" i="3" s="1"/>
  <c r="H1337" i="3" a="1"/>
  <c r="H1337" i="3" s="1"/>
  <c r="L1343" i="3" a="1"/>
  <c r="L1343" i="3" s="1"/>
  <c r="I1343" i="3" a="1"/>
  <c r="I1343" i="3" s="1"/>
  <c r="H1343" i="3" a="1"/>
  <c r="H1343" i="3" s="1"/>
  <c r="K1349" i="3" a="1"/>
  <c r="K1349" i="3" s="1"/>
  <c r="I1349" i="3" a="1"/>
  <c r="I1349" i="3" s="1"/>
  <c r="H1349" i="3" a="1"/>
  <c r="H1349" i="3" s="1"/>
  <c r="L1355" i="3" a="1"/>
  <c r="L1355" i="3" s="1"/>
  <c r="I1355" i="3" a="1"/>
  <c r="I1355" i="3" s="1"/>
  <c r="H1355" i="3" a="1"/>
  <c r="H1355" i="3" s="1"/>
  <c r="L1361" i="3" a="1"/>
  <c r="L1361" i="3" s="1"/>
  <c r="I1361" i="3" a="1"/>
  <c r="I1361" i="3" s="1"/>
  <c r="H1361" i="3" a="1"/>
  <c r="H1361" i="3" s="1"/>
  <c r="L1367" i="3" a="1"/>
  <c r="L1367" i="3" s="1"/>
  <c r="I1367" i="3" a="1"/>
  <c r="I1367" i="3" s="1"/>
  <c r="K1373" i="3" a="1"/>
  <c r="K1373" i="3" s="1"/>
  <c r="I1373" i="3" a="1"/>
  <c r="I1373" i="3" s="1"/>
  <c r="H1373" i="3" a="1"/>
  <c r="H1373" i="3" s="1"/>
  <c r="K1379" i="3" a="1"/>
  <c r="K1379" i="3" s="1"/>
  <c r="I1379" i="3" a="1"/>
  <c r="I1379" i="3" s="1"/>
  <c r="H1379" i="3" a="1"/>
  <c r="H1379" i="3" s="1"/>
  <c r="L1385" i="3" a="1"/>
  <c r="L1385" i="3" s="1"/>
  <c r="I1385" i="3" a="1"/>
  <c r="I1385" i="3" s="1"/>
  <c r="H1385" i="3" a="1"/>
  <c r="H1385" i="3" s="1"/>
  <c r="K1391" i="3" a="1"/>
  <c r="K1391" i="3" s="1"/>
  <c r="I1391" i="3" a="1"/>
  <c r="I1391" i="3" s="1"/>
  <c r="H1391" i="3" a="1"/>
  <c r="H1391" i="3" s="1"/>
  <c r="K1397" i="3" a="1"/>
  <c r="K1397" i="3" s="1"/>
  <c r="I1397" i="3" a="1"/>
  <c r="I1397" i="3" s="1"/>
  <c r="H1397" i="3" a="1"/>
  <c r="H1397" i="3" s="1"/>
  <c r="K1403" i="3" a="1"/>
  <c r="K1403" i="3" s="1"/>
  <c r="I1403" i="3" a="1"/>
  <c r="I1403" i="3" s="1"/>
  <c r="H1403" i="3" a="1"/>
  <c r="H1403" i="3" s="1"/>
  <c r="L1409" i="3" a="1"/>
  <c r="L1409" i="3" s="1"/>
  <c r="I1409" i="3" a="1"/>
  <c r="I1409" i="3" s="1"/>
  <c r="H1409" i="3" a="1"/>
  <c r="H1409" i="3" s="1"/>
  <c r="K1415" i="3" a="1"/>
  <c r="K1415" i="3" s="1"/>
  <c r="I1415" i="3" a="1"/>
  <c r="I1415" i="3" s="1"/>
  <c r="H1415" i="3" a="1"/>
  <c r="H1415" i="3" s="1"/>
  <c r="K1421" i="3" a="1"/>
  <c r="K1421" i="3" s="1"/>
  <c r="I1421" i="3" a="1"/>
  <c r="I1421" i="3" s="1"/>
  <c r="H1421" i="3" a="1"/>
  <c r="H1421" i="3" s="1"/>
  <c r="L1427" i="3" a="1"/>
  <c r="L1427" i="3" s="1"/>
  <c r="I1427" i="3" a="1"/>
  <c r="I1427" i="3" s="1"/>
  <c r="H1427" i="3" a="1"/>
  <c r="H1427" i="3" s="1"/>
  <c r="F1433" i="3" a="1"/>
  <c r="F1433" i="3" s="1"/>
  <c r="I1433" i="3" a="1"/>
  <c r="I1433" i="3" s="1"/>
  <c r="H1433" i="3" a="1"/>
  <c r="H1433" i="3" s="1"/>
  <c r="L1439" i="3" a="1"/>
  <c r="L1439" i="3" s="1"/>
  <c r="I1439" i="3" a="1"/>
  <c r="I1439" i="3" s="1"/>
  <c r="J1436" i="3" a="1"/>
  <c r="J1436" i="3" s="1"/>
  <c r="J1418" i="3" a="1"/>
  <c r="J1418" i="3" s="1"/>
  <c r="J1400" i="3" a="1"/>
  <c r="J1400" i="3" s="1"/>
  <c r="J1382" i="3" a="1"/>
  <c r="J1382" i="3" s="1"/>
  <c r="J1364" i="3" a="1"/>
  <c r="J1364" i="3" s="1"/>
  <c r="J1355" i="3" a="1"/>
  <c r="J1355" i="3" s="1"/>
  <c r="J1347" i="3" a="1"/>
  <c r="J1347" i="3" s="1"/>
  <c r="J1322" i="3" a="1"/>
  <c r="J1322" i="3" s="1"/>
  <c r="J1313" i="3" a="1"/>
  <c r="J1313" i="3" s="1"/>
  <c r="J1275" i="3" a="1"/>
  <c r="J1275" i="3" s="1"/>
  <c r="J1247" i="3" a="1"/>
  <c r="J1247" i="3" s="1"/>
  <c r="J1219" i="3" a="1"/>
  <c r="J1219" i="3" s="1"/>
  <c r="J1205" i="3" a="1"/>
  <c r="J1205" i="3" s="1"/>
  <c r="J1177" i="3" a="1"/>
  <c r="J1177" i="3" s="1"/>
  <c r="J1148" i="3" a="1"/>
  <c r="J1148" i="3" s="1"/>
  <c r="J1129" i="3" a="1"/>
  <c r="J1129" i="3" s="1"/>
  <c r="J1087" i="3" a="1"/>
  <c r="J1087" i="3" s="1"/>
  <c r="J1067" i="3" a="1"/>
  <c r="J1067" i="3" s="1"/>
  <c r="J1045" i="3" a="1"/>
  <c r="J1045" i="3" s="1"/>
  <c r="J1001" i="3" a="1"/>
  <c r="J1001" i="3" s="1"/>
  <c r="J979" i="3" a="1"/>
  <c r="J979" i="3" s="1"/>
  <c r="J842" i="3" a="1"/>
  <c r="J842" i="3" s="1"/>
  <c r="J813" i="3" a="1"/>
  <c r="J813" i="3" s="1"/>
  <c r="J758" i="3" a="1"/>
  <c r="J758" i="3" s="1"/>
  <c r="J729" i="3" a="1"/>
  <c r="J729" i="3" s="1"/>
  <c r="J699" i="3" a="1"/>
  <c r="J699" i="3" s="1"/>
  <c r="J458" i="3" a="1"/>
  <c r="J458" i="3" s="1"/>
  <c r="J387" i="3" a="1"/>
  <c r="J387" i="3" s="1"/>
  <c r="J314" i="3" a="1"/>
  <c r="J314" i="3" s="1"/>
  <c r="H1417" i="3" a="1"/>
  <c r="H1417" i="3" s="1"/>
  <c r="H981" i="3" a="1"/>
  <c r="H981" i="3" s="1"/>
  <c r="I5" i="3" a="1"/>
  <c r="I5" i="3" s="1"/>
  <c r="H5" i="3" a="1"/>
  <c r="H5" i="3" s="1"/>
  <c r="J5" i="3" a="1"/>
  <c r="J5" i="3" s="1"/>
  <c r="I17" i="3" a="1"/>
  <c r="I17" i="3" s="1"/>
  <c r="H17" i="3" a="1"/>
  <c r="H17" i="3" s="1"/>
  <c r="J17" i="3" a="1"/>
  <c r="J17" i="3" s="1"/>
  <c r="L23" i="3" a="1"/>
  <c r="L23" i="3" s="1"/>
  <c r="I23" i="3" a="1"/>
  <c r="I23" i="3" s="1"/>
  <c r="H23" i="3" a="1"/>
  <c r="H23" i="3" s="1"/>
  <c r="J23" i="3" a="1"/>
  <c r="J23" i="3" s="1"/>
  <c r="I35" i="3" a="1"/>
  <c r="I35" i="3" s="1"/>
  <c r="H35" i="3" a="1"/>
  <c r="H35" i="3" s="1"/>
  <c r="I47" i="3" a="1"/>
  <c r="I47" i="3" s="1"/>
  <c r="H47" i="3" a="1"/>
  <c r="H47" i="3" s="1"/>
  <c r="J47" i="3" a="1"/>
  <c r="J47" i="3" s="1"/>
  <c r="I59" i="3" a="1"/>
  <c r="I59" i="3" s="1"/>
  <c r="J59" i="3" a="1"/>
  <c r="J59" i="3" s="1"/>
  <c r="H59" i="3" a="1"/>
  <c r="H59" i="3" s="1"/>
  <c r="I71" i="3" a="1"/>
  <c r="I71" i="3" s="1"/>
  <c r="H71" i="3" a="1"/>
  <c r="H71" i="3" s="1"/>
  <c r="J71" i="3" a="1"/>
  <c r="J71" i="3" s="1"/>
  <c r="I77" i="3" a="1"/>
  <c r="I77" i="3" s="1"/>
  <c r="H77" i="3" a="1"/>
  <c r="H77" i="3" s="1"/>
  <c r="J77" i="3" a="1"/>
  <c r="J77" i="3" s="1"/>
  <c r="L89" i="3" a="1"/>
  <c r="L89" i="3" s="1"/>
  <c r="I89" i="3" a="1"/>
  <c r="I89" i="3" s="1"/>
  <c r="H89" i="3" a="1"/>
  <c r="H89" i="3" s="1"/>
  <c r="J89" i="3" a="1"/>
  <c r="J89" i="3" s="1"/>
  <c r="I101" i="3" a="1"/>
  <c r="I101" i="3" s="1"/>
  <c r="H101" i="3" a="1"/>
  <c r="H101" i="3" s="1"/>
  <c r="J101" i="3" a="1"/>
  <c r="J101" i="3" s="1"/>
  <c r="I113" i="3" a="1"/>
  <c r="I113" i="3" s="1"/>
  <c r="H113" i="3" a="1"/>
  <c r="H113" i="3" s="1"/>
  <c r="J113" i="3" a="1"/>
  <c r="J113" i="3" s="1"/>
  <c r="L125" i="3" a="1"/>
  <c r="L125" i="3" s="1"/>
  <c r="I125" i="3" a="1"/>
  <c r="I125" i="3" s="1"/>
  <c r="H125" i="3" a="1"/>
  <c r="H125" i="3" s="1"/>
  <c r="J125" i="3" a="1"/>
  <c r="J125" i="3" s="1"/>
  <c r="I137" i="3" a="1"/>
  <c r="I137" i="3" s="1"/>
  <c r="H137" i="3" a="1"/>
  <c r="H137" i="3" s="1"/>
  <c r="J137" i="3" a="1"/>
  <c r="J137" i="3" s="1"/>
  <c r="I143" i="3" a="1"/>
  <c r="I143" i="3" s="1"/>
  <c r="H143" i="3" a="1"/>
  <c r="H143" i="3" s="1"/>
  <c r="J143" i="3" a="1"/>
  <c r="J143" i="3" s="1"/>
  <c r="I155" i="3" a="1"/>
  <c r="I155" i="3" s="1"/>
  <c r="H155" i="3" a="1"/>
  <c r="H155" i="3" s="1"/>
  <c r="J155" i="3" a="1"/>
  <c r="J155" i="3" s="1"/>
  <c r="I167" i="3" a="1"/>
  <c r="I167" i="3" s="1"/>
  <c r="H167" i="3" a="1"/>
  <c r="H167" i="3" s="1"/>
  <c r="J167" i="3" a="1"/>
  <c r="J167" i="3" s="1"/>
  <c r="I179" i="3" a="1"/>
  <c r="I179" i="3" s="1"/>
  <c r="H179" i="3" a="1"/>
  <c r="H179" i="3" s="1"/>
  <c r="J179" i="3" a="1"/>
  <c r="J179" i="3" s="1"/>
  <c r="I185" i="3" a="1"/>
  <c r="I185" i="3" s="1"/>
  <c r="H185" i="3" a="1"/>
  <c r="H185" i="3" s="1"/>
  <c r="J185" i="3" a="1"/>
  <c r="J185" i="3" s="1"/>
  <c r="L197" i="3" a="1"/>
  <c r="L197" i="3" s="1"/>
  <c r="I197" i="3" a="1"/>
  <c r="I197" i="3" s="1"/>
  <c r="H197" i="3" a="1"/>
  <c r="H197" i="3" s="1"/>
  <c r="J197" i="3" a="1"/>
  <c r="J197" i="3" s="1"/>
  <c r="L209" i="3" a="1"/>
  <c r="L209" i="3" s="1"/>
  <c r="I209" i="3" a="1"/>
  <c r="I209" i="3" s="1"/>
  <c r="H209" i="3" a="1"/>
  <c r="H209" i="3" s="1"/>
  <c r="J209" i="3" a="1"/>
  <c r="J209" i="3" s="1"/>
  <c r="I221" i="3" a="1"/>
  <c r="I221" i="3" s="1"/>
  <c r="H221" i="3" a="1"/>
  <c r="H221" i="3" s="1"/>
  <c r="J221" i="3" a="1"/>
  <c r="J221" i="3" s="1"/>
  <c r="I233" i="3" a="1"/>
  <c r="I233" i="3" s="1"/>
  <c r="H233" i="3" a="1"/>
  <c r="H233" i="3" s="1"/>
  <c r="J233" i="3" a="1"/>
  <c r="J233" i="3" s="1"/>
  <c r="I239" i="3" a="1"/>
  <c r="I239" i="3" s="1"/>
  <c r="H239" i="3" a="1"/>
  <c r="H239" i="3" s="1"/>
  <c r="J239" i="3" a="1"/>
  <c r="J239" i="3" s="1"/>
  <c r="I251" i="3" a="1"/>
  <c r="I251" i="3" s="1"/>
  <c r="H251" i="3" a="1"/>
  <c r="H251" i="3" s="1"/>
  <c r="J251" i="3" a="1"/>
  <c r="J251" i="3" s="1"/>
  <c r="L263" i="3" a="1"/>
  <c r="L263" i="3" s="1"/>
  <c r="I263" i="3" a="1"/>
  <c r="I263" i="3" s="1"/>
  <c r="H263" i="3" a="1"/>
  <c r="H263" i="3" s="1"/>
  <c r="J263" i="3" a="1"/>
  <c r="J263" i="3" s="1"/>
  <c r="L275" i="3" a="1"/>
  <c r="L275" i="3" s="1"/>
  <c r="I275" i="3" a="1"/>
  <c r="I275" i="3" s="1"/>
  <c r="H275" i="3" a="1"/>
  <c r="H275" i="3" s="1"/>
  <c r="J275" i="3" a="1"/>
  <c r="J275" i="3" s="1"/>
  <c r="L287" i="3" a="1"/>
  <c r="L287" i="3" s="1"/>
  <c r="I287" i="3" a="1"/>
  <c r="I287" i="3" s="1"/>
  <c r="H287" i="3" a="1"/>
  <c r="H287" i="3" s="1"/>
  <c r="J287" i="3" a="1"/>
  <c r="J287" i="3" s="1"/>
  <c r="I299" i="3" a="1"/>
  <c r="I299" i="3" s="1"/>
  <c r="H299" i="3" a="1"/>
  <c r="H299" i="3" s="1"/>
  <c r="J299" i="3" a="1"/>
  <c r="J299" i="3" s="1"/>
  <c r="I305" i="3" a="1"/>
  <c r="I305" i="3" s="1"/>
  <c r="H305" i="3" a="1"/>
  <c r="H305" i="3" s="1"/>
  <c r="J305" i="3" a="1"/>
  <c r="J305" i="3" s="1"/>
  <c r="I317" i="3" a="1"/>
  <c r="I317" i="3" s="1"/>
  <c r="H317" i="3" a="1"/>
  <c r="H317" i="3" s="1"/>
  <c r="J317" i="3" a="1"/>
  <c r="J317" i="3" s="1"/>
  <c r="L329" i="3" a="1"/>
  <c r="L329" i="3" s="1"/>
  <c r="I329" i="3" a="1"/>
  <c r="I329" i="3" s="1"/>
  <c r="H329" i="3" a="1"/>
  <c r="H329" i="3" s="1"/>
  <c r="J329" i="3" a="1"/>
  <c r="J329" i="3" s="1"/>
  <c r="H341" i="3" a="1"/>
  <c r="H341" i="3" s="1"/>
  <c r="I341" i="3" a="1"/>
  <c r="I341" i="3" s="1"/>
  <c r="I353" i="3" a="1"/>
  <c r="I353" i="3" s="1"/>
  <c r="H353" i="3" a="1"/>
  <c r="H353" i="3" s="1"/>
  <c r="I365" i="3" a="1"/>
  <c r="I365" i="3" s="1"/>
  <c r="H365" i="3" a="1"/>
  <c r="H365" i="3" s="1"/>
  <c r="J365" i="3" a="1"/>
  <c r="J365" i="3" s="1"/>
  <c r="I377" i="3" a="1"/>
  <c r="I377" i="3" s="1"/>
  <c r="H377" i="3" a="1"/>
  <c r="H377" i="3" s="1"/>
  <c r="I389" i="3" a="1"/>
  <c r="I389" i="3" s="1"/>
  <c r="H389" i="3" a="1"/>
  <c r="H389" i="3" s="1"/>
  <c r="J389" i="3" a="1"/>
  <c r="J389" i="3" s="1"/>
  <c r="I395" i="3" a="1"/>
  <c r="I395" i="3" s="1"/>
  <c r="H395" i="3" a="1"/>
  <c r="H395" i="3" s="1"/>
  <c r="J395" i="3" a="1"/>
  <c r="J395" i="3" s="1"/>
  <c r="L407" i="3" a="1"/>
  <c r="L407" i="3" s="1"/>
  <c r="I407" i="3" a="1"/>
  <c r="I407" i="3" s="1"/>
  <c r="H407" i="3" a="1"/>
  <c r="H407" i="3" s="1"/>
  <c r="J407" i="3" a="1"/>
  <c r="J407" i="3" s="1"/>
  <c r="L419" i="3" a="1"/>
  <c r="L419" i="3" s="1"/>
  <c r="I419" i="3" a="1"/>
  <c r="I419" i="3" s="1"/>
  <c r="H419" i="3" a="1"/>
  <c r="H419" i="3" s="1"/>
  <c r="J419" i="3" a="1"/>
  <c r="J419" i="3" s="1"/>
  <c r="I431" i="3" a="1"/>
  <c r="I431" i="3" s="1"/>
  <c r="H431" i="3" a="1"/>
  <c r="H431" i="3" s="1"/>
  <c r="J431" i="3" a="1"/>
  <c r="J431" i="3" s="1"/>
  <c r="I443" i="3" a="1"/>
  <c r="I443" i="3" s="1"/>
  <c r="H443" i="3" a="1"/>
  <c r="H443" i="3" s="1"/>
  <c r="J443" i="3" a="1"/>
  <c r="J443" i="3" s="1"/>
  <c r="I455" i="3" a="1"/>
  <c r="I455" i="3" s="1"/>
  <c r="H455" i="3" a="1"/>
  <c r="H455" i="3" s="1"/>
  <c r="J455" i="3" a="1"/>
  <c r="J455" i="3" s="1"/>
  <c r="L467" i="3" a="1"/>
  <c r="L467" i="3" s="1"/>
  <c r="I467" i="3" a="1"/>
  <c r="I467" i="3" s="1"/>
  <c r="H467" i="3" a="1"/>
  <c r="H467" i="3" s="1"/>
  <c r="I479" i="3" a="1"/>
  <c r="I479" i="3" s="1"/>
  <c r="H479" i="3" a="1"/>
  <c r="H479" i="3" s="1"/>
  <c r="I485" i="3" a="1"/>
  <c r="I485" i="3" s="1"/>
  <c r="H485" i="3" a="1"/>
  <c r="H485" i="3" s="1"/>
  <c r="J485" i="3" a="1"/>
  <c r="J485" i="3" s="1"/>
  <c r="L497" i="3" a="1"/>
  <c r="L497" i="3" s="1"/>
  <c r="I497" i="3" a="1"/>
  <c r="I497" i="3" s="1"/>
  <c r="H497" i="3" a="1"/>
  <c r="H497" i="3" s="1"/>
  <c r="J497" i="3" a="1"/>
  <c r="J497" i="3" s="1"/>
  <c r="I509" i="3" a="1"/>
  <c r="I509" i="3" s="1"/>
  <c r="H509" i="3" a="1"/>
  <c r="H509" i="3" s="1"/>
  <c r="J509" i="3" a="1"/>
  <c r="J509" i="3" s="1"/>
  <c r="L521" i="3" a="1"/>
  <c r="L521" i="3" s="1"/>
  <c r="I521" i="3" a="1"/>
  <c r="I521" i="3" s="1"/>
  <c r="H521" i="3" a="1"/>
  <c r="H521" i="3" s="1"/>
  <c r="J521" i="3" a="1"/>
  <c r="J521" i="3" s="1"/>
  <c r="I533" i="3" a="1"/>
  <c r="I533" i="3" s="1"/>
  <c r="H533" i="3" a="1"/>
  <c r="H533" i="3" s="1"/>
  <c r="J533" i="3" a="1"/>
  <c r="J533" i="3" s="1"/>
  <c r="L545" i="3" a="1"/>
  <c r="L545" i="3" s="1"/>
  <c r="I545" i="3" a="1"/>
  <c r="I545" i="3" s="1"/>
  <c r="H545" i="3" a="1"/>
  <c r="H545" i="3" s="1"/>
  <c r="J545" i="3" a="1"/>
  <c r="J545" i="3" s="1"/>
  <c r="L557" i="3" a="1"/>
  <c r="L557" i="3" s="1"/>
  <c r="I557" i="3" a="1"/>
  <c r="I557" i="3" s="1"/>
  <c r="H557" i="3" a="1"/>
  <c r="H557" i="3" s="1"/>
  <c r="J557" i="3" a="1"/>
  <c r="J557" i="3" s="1"/>
  <c r="I563" i="3" a="1"/>
  <c r="I563" i="3" s="1"/>
  <c r="H563" i="3" a="1"/>
  <c r="H563" i="3" s="1"/>
  <c r="J563" i="3" a="1"/>
  <c r="J563" i="3" s="1"/>
  <c r="I575" i="3" a="1"/>
  <c r="I575" i="3" s="1"/>
  <c r="H575" i="3" a="1"/>
  <c r="H575" i="3" s="1"/>
  <c r="J575" i="3" a="1"/>
  <c r="J575" i="3" s="1"/>
  <c r="L587" i="3" a="1"/>
  <c r="L587" i="3" s="1"/>
  <c r="I587" i="3" a="1"/>
  <c r="I587" i="3" s="1"/>
  <c r="H587" i="3" a="1"/>
  <c r="H587" i="3" s="1"/>
  <c r="I599" i="3" a="1"/>
  <c r="I599" i="3" s="1"/>
  <c r="H599" i="3" a="1"/>
  <c r="H599" i="3" s="1"/>
  <c r="I605" i="3" a="1"/>
  <c r="I605" i="3" s="1"/>
  <c r="H605" i="3" a="1"/>
  <c r="H605" i="3" s="1"/>
  <c r="J605" i="3" a="1"/>
  <c r="J605" i="3" s="1"/>
  <c r="I617" i="3" a="1"/>
  <c r="I617" i="3" s="1"/>
  <c r="H617" i="3" a="1"/>
  <c r="H617" i="3" s="1"/>
  <c r="J617" i="3" a="1"/>
  <c r="J617" i="3" s="1"/>
  <c r="H629" i="3" a="1"/>
  <c r="H629" i="3" s="1"/>
  <c r="I629" i="3" a="1"/>
  <c r="I629" i="3" s="1"/>
  <c r="J629" i="3" a="1"/>
  <c r="J629" i="3" s="1"/>
  <c r="I641" i="3" a="1"/>
  <c r="I641" i="3" s="1"/>
  <c r="H641" i="3" a="1"/>
  <c r="H641" i="3" s="1"/>
  <c r="J641" i="3" a="1"/>
  <c r="J641" i="3" s="1"/>
  <c r="I653" i="3" a="1"/>
  <c r="I653" i="3" s="1"/>
  <c r="H653" i="3" a="1"/>
  <c r="H653" i="3" s="1"/>
  <c r="J653" i="3" a="1"/>
  <c r="J653" i="3" s="1"/>
  <c r="L659" i="3" a="1"/>
  <c r="L659" i="3" s="1"/>
  <c r="I659" i="3" a="1"/>
  <c r="I659" i="3" s="1"/>
  <c r="H659" i="3" a="1"/>
  <c r="H659" i="3" s="1"/>
  <c r="J659" i="3" a="1"/>
  <c r="J659" i="3" s="1"/>
  <c r="I671" i="3" a="1"/>
  <c r="I671" i="3" s="1"/>
  <c r="H671" i="3" a="1"/>
  <c r="H671" i="3" s="1"/>
  <c r="L683" i="3" a="1"/>
  <c r="L683" i="3" s="1"/>
  <c r="I683" i="3" a="1"/>
  <c r="I683" i="3" s="1"/>
  <c r="H683" i="3" a="1"/>
  <c r="H683" i="3" s="1"/>
  <c r="J683" i="3" a="1"/>
  <c r="J683" i="3" s="1"/>
  <c r="I695" i="3" a="1"/>
  <c r="I695" i="3" s="1"/>
  <c r="H695" i="3" a="1"/>
  <c r="H695" i="3" s="1"/>
  <c r="J695" i="3" a="1"/>
  <c r="J695" i="3" s="1"/>
  <c r="L707" i="3" a="1"/>
  <c r="L707" i="3" s="1"/>
  <c r="I707" i="3" a="1"/>
  <c r="I707" i="3" s="1"/>
  <c r="H707" i="3" a="1"/>
  <c r="H707" i="3" s="1"/>
  <c r="J707" i="3" a="1"/>
  <c r="J707" i="3" s="1"/>
  <c r="I719" i="3" a="1"/>
  <c r="I719" i="3" s="1"/>
  <c r="H719" i="3" a="1"/>
  <c r="H719" i="3" s="1"/>
  <c r="J719" i="3" a="1"/>
  <c r="J719" i="3" s="1"/>
  <c r="I731" i="3" a="1"/>
  <c r="I731" i="3" s="1"/>
  <c r="H731" i="3" a="1"/>
  <c r="H731" i="3" s="1"/>
  <c r="J731" i="3" a="1"/>
  <c r="J731" i="3" s="1"/>
  <c r="I743" i="3" a="1"/>
  <c r="I743" i="3" s="1"/>
  <c r="H743" i="3" a="1"/>
  <c r="H743" i="3" s="1"/>
  <c r="L755" i="3" a="1"/>
  <c r="L755" i="3" s="1"/>
  <c r="I755" i="3" a="1"/>
  <c r="I755" i="3" s="1"/>
  <c r="H755" i="3" a="1"/>
  <c r="H755" i="3" s="1"/>
  <c r="J755" i="3" a="1"/>
  <c r="J755" i="3" s="1"/>
  <c r="L767" i="3" a="1"/>
  <c r="L767" i="3" s="1"/>
  <c r="I767" i="3" a="1"/>
  <c r="I767" i="3" s="1"/>
  <c r="H767" i="3" a="1"/>
  <c r="H767" i="3" s="1"/>
  <c r="I773" i="3" a="1"/>
  <c r="I773" i="3" s="1"/>
  <c r="H773" i="3" a="1"/>
  <c r="H773" i="3" s="1"/>
  <c r="J773" i="3" a="1"/>
  <c r="J773" i="3" s="1"/>
  <c r="I785" i="3" a="1"/>
  <c r="I785" i="3" s="1"/>
  <c r="H785" i="3" a="1"/>
  <c r="H785" i="3" s="1"/>
  <c r="I803" i="3" a="1"/>
  <c r="I803" i="3" s="1"/>
  <c r="H803" i="3" a="1"/>
  <c r="H803" i="3" s="1"/>
  <c r="J803" i="3" a="1"/>
  <c r="J803" i="3" s="1"/>
  <c r="I815" i="3" a="1"/>
  <c r="I815" i="3" s="1"/>
  <c r="H815" i="3" a="1"/>
  <c r="H815" i="3" s="1"/>
  <c r="J815" i="3" a="1"/>
  <c r="J815" i="3" s="1"/>
  <c r="L827" i="3" a="1"/>
  <c r="L827" i="3" s="1"/>
  <c r="I827" i="3" a="1"/>
  <c r="I827" i="3" s="1"/>
  <c r="H827" i="3" a="1"/>
  <c r="H827" i="3" s="1"/>
  <c r="J827" i="3" a="1"/>
  <c r="J827" i="3" s="1"/>
  <c r="I839" i="3" a="1"/>
  <c r="I839" i="3" s="1"/>
  <c r="H839" i="3" a="1"/>
  <c r="H839" i="3" s="1"/>
  <c r="J839" i="3" a="1"/>
  <c r="J839" i="3" s="1"/>
  <c r="I863" i="3" a="1"/>
  <c r="I863" i="3" s="1"/>
  <c r="H863" i="3" a="1"/>
  <c r="H863" i="3" s="1"/>
  <c r="J863" i="3" a="1"/>
  <c r="J863" i="3" s="1"/>
  <c r="J1435" i="3" a="1"/>
  <c r="J1435" i="3" s="1"/>
  <c r="J1417" i="3" a="1"/>
  <c r="J1417" i="3" s="1"/>
  <c r="J1399" i="3" a="1"/>
  <c r="J1399" i="3" s="1"/>
  <c r="J1381" i="3" a="1"/>
  <c r="J1381" i="3" s="1"/>
  <c r="J1363" i="3" a="1"/>
  <c r="J1363" i="3" s="1"/>
  <c r="J1337" i="3" a="1"/>
  <c r="J1337" i="3" s="1"/>
  <c r="J1329" i="3" a="1"/>
  <c r="J1329" i="3" s="1"/>
  <c r="J1321" i="3" a="1"/>
  <c r="J1321" i="3" s="1"/>
  <c r="J1304" i="3" a="1"/>
  <c r="J1304" i="3" s="1"/>
  <c r="J1295" i="3" a="1"/>
  <c r="J1295" i="3" s="1"/>
  <c r="J1287" i="3" a="1"/>
  <c r="J1287" i="3" s="1"/>
  <c r="J1274" i="3" a="1"/>
  <c r="J1274" i="3" s="1"/>
  <c r="J1189" i="3" a="1"/>
  <c r="J1189" i="3" s="1"/>
  <c r="J1043" i="3" a="1"/>
  <c r="J1043" i="3" s="1"/>
  <c r="J1023" i="3" a="1"/>
  <c r="J1023" i="3" s="1"/>
  <c r="J956" i="3" a="1"/>
  <c r="J956" i="3" s="1"/>
  <c r="J893" i="3" a="1"/>
  <c r="J893" i="3" s="1"/>
  <c r="J837" i="3" a="1"/>
  <c r="J837" i="3" s="1"/>
  <c r="J809" i="3" a="1"/>
  <c r="J809" i="3" s="1"/>
  <c r="J782" i="3" a="1"/>
  <c r="J782" i="3" s="1"/>
  <c r="J753" i="3" a="1"/>
  <c r="J753" i="3" s="1"/>
  <c r="J725" i="3" a="1"/>
  <c r="J725" i="3" s="1"/>
  <c r="J645" i="3" a="1"/>
  <c r="J645" i="3" s="1"/>
  <c r="J578" i="3" a="1"/>
  <c r="J578" i="3" s="1"/>
  <c r="J511" i="3" a="1"/>
  <c r="J511" i="3" s="1"/>
  <c r="J377" i="3" a="1"/>
  <c r="J377" i="3" s="1"/>
  <c r="J117" i="3" a="1"/>
  <c r="J117" i="3" s="1"/>
  <c r="H1226" i="3" a="1"/>
  <c r="H1226" i="3" s="1"/>
  <c r="H912" i="3" a="1"/>
  <c r="H912" i="3" s="1"/>
  <c r="H33" i="3" a="1"/>
  <c r="H33" i="3" s="1"/>
  <c r="J1261" i="3" a="1"/>
  <c r="J1261" i="3" s="1"/>
  <c r="J1249" i="3" a="1"/>
  <c r="J1249" i="3" s="1"/>
  <c r="J1111" i="3" a="1"/>
  <c r="J1111" i="3" s="1"/>
  <c r="I6" i="3" a="1"/>
  <c r="I6" i="3" s="1"/>
  <c r="H6" i="3" a="1"/>
  <c r="H6" i="3" s="1"/>
  <c r="J6" i="3" a="1"/>
  <c r="J6" i="3" s="1"/>
  <c r="I12" i="3" a="1"/>
  <c r="I12" i="3" s="1"/>
  <c r="H12" i="3" a="1"/>
  <c r="H12" i="3" s="1"/>
  <c r="J12" i="3" a="1"/>
  <c r="J12" i="3" s="1"/>
  <c r="I18" i="3" a="1"/>
  <c r="I18" i="3" s="1"/>
  <c r="H18" i="3" a="1"/>
  <c r="H18" i="3" s="1"/>
  <c r="J18" i="3" a="1"/>
  <c r="J18" i="3" s="1"/>
  <c r="I24" i="3" a="1"/>
  <c r="I24" i="3" s="1"/>
  <c r="H24" i="3" a="1"/>
  <c r="H24" i="3" s="1"/>
  <c r="J24" i="3" a="1"/>
  <c r="J24" i="3" s="1"/>
  <c r="I30" i="3" a="1"/>
  <c r="I30" i="3" s="1"/>
  <c r="H30" i="3" a="1"/>
  <c r="H30" i="3" s="1"/>
  <c r="J30" i="3" a="1"/>
  <c r="J30" i="3" s="1"/>
  <c r="I36" i="3" a="1"/>
  <c r="I36" i="3" s="1"/>
  <c r="H36" i="3" a="1"/>
  <c r="H36" i="3" s="1"/>
  <c r="J36" i="3" a="1"/>
  <c r="J36" i="3" s="1"/>
  <c r="I42" i="3" a="1"/>
  <c r="I42" i="3" s="1"/>
  <c r="H42" i="3" a="1"/>
  <c r="H42" i="3" s="1"/>
  <c r="J42" i="3" a="1"/>
  <c r="J42" i="3" s="1"/>
  <c r="L48" i="3" a="1"/>
  <c r="L48" i="3" s="1"/>
  <c r="I48" i="3" a="1"/>
  <c r="I48" i="3" s="1"/>
  <c r="H48" i="3" a="1"/>
  <c r="H48" i="3" s="1"/>
  <c r="J48" i="3" a="1"/>
  <c r="J48" i="3" s="1"/>
  <c r="I54" i="3" a="1"/>
  <c r="I54" i="3" s="1"/>
  <c r="H54" i="3" a="1"/>
  <c r="H54" i="3" s="1"/>
  <c r="J54" i="3" a="1"/>
  <c r="J54" i="3" s="1"/>
  <c r="L60" i="3" a="1"/>
  <c r="L60" i="3" s="1"/>
  <c r="I60" i="3" a="1"/>
  <c r="I60" i="3" s="1"/>
  <c r="H60" i="3" a="1"/>
  <c r="H60" i="3" s="1"/>
  <c r="J60" i="3" a="1"/>
  <c r="J60" i="3" s="1"/>
  <c r="I66" i="3" a="1"/>
  <c r="I66" i="3" s="1"/>
  <c r="H66" i="3" a="1"/>
  <c r="H66" i="3" s="1"/>
  <c r="J66" i="3" a="1"/>
  <c r="J66" i="3" s="1"/>
  <c r="I72" i="3" a="1"/>
  <c r="I72" i="3" s="1"/>
  <c r="H72" i="3" a="1"/>
  <c r="H72" i="3" s="1"/>
  <c r="J72" i="3" a="1"/>
  <c r="J72" i="3" s="1"/>
  <c r="I78" i="3" a="1"/>
  <c r="I78" i="3" s="1"/>
  <c r="H78" i="3" a="1"/>
  <c r="H78" i="3" s="1"/>
  <c r="J78" i="3" a="1"/>
  <c r="J78" i="3" s="1"/>
  <c r="I84" i="3" a="1"/>
  <c r="I84" i="3" s="1"/>
  <c r="H84" i="3" a="1"/>
  <c r="H84" i="3" s="1"/>
  <c r="J84" i="3" a="1"/>
  <c r="J84" i="3" s="1"/>
  <c r="I90" i="3" a="1"/>
  <c r="I90" i="3" s="1"/>
  <c r="H90" i="3" a="1"/>
  <c r="H90" i="3" s="1"/>
  <c r="J90" i="3" a="1"/>
  <c r="J90" i="3" s="1"/>
  <c r="H96" i="3" a="1"/>
  <c r="H96" i="3" s="1"/>
  <c r="I96" i="3" a="1"/>
  <c r="I96" i="3" s="1"/>
  <c r="I102" i="3" a="1"/>
  <c r="I102" i="3" s="1"/>
  <c r="H102" i="3" a="1"/>
  <c r="H102" i="3" s="1"/>
  <c r="J102" i="3" a="1"/>
  <c r="J102" i="3" s="1"/>
  <c r="I108" i="3" a="1"/>
  <c r="I108" i="3" s="1"/>
  <c r="J108" i="3" a="1"/>
  <c r="J108" i="3" s="1"/>
  <c r="H108" i="3" a="1"/>
  <c r="H108" i="3" s="1"/>
  <c r="L114" i="3" a="1"/>
  <c r="L114" i="3" s="1"/>
  <c r="I114" i="3" a="1"/>
  <c r="I114" i="3" s="1"/>
  <c r="H114" i="3" a="1"/>
  <c r="H114" i="3" s="1"/>
  <c r="J114" i="3" a="1"/>
  <c r="J114" i="3" s="1"/>
  <c r="I120" i="3" a="1"/>
  <c r="I120" i="3" s="1"/>
  <c r="H120" i="3" a="1"/>
  <c r="H120" i="3" s="1"/>
  <c r="J120" i="3" a="1"/>
  <c r="J120" i="3" s="1"/>
  <c r="I126" i="3" a="1"/>
  <c r="I126" i="3" s="1"/>
  <c r="H126" i="3" a="1"/>
  <c r="H126" i="3" s="1"/>
  <c r="J126" i="3" a="1"/>
  <c r="J126" i="3" s="1"/>
  <c r="I132" i="3" a="1"/>
  <c r="I132" i="3" s="1"/>
  <c r="H132" i="3" a="1"/>
  <c r="H132" i="3" s="1"/>
  <c r="J132" i="3" a="1"/>
  <c r="J132" i="3" s="1"/>
  <c r="I138" i="3" a="1"/>
  <c r="I138" i="3" s="1"/>
  <c r="H138" i="3" a="1"/>
  <c r="H138" i="3" s="1"/>
  <c r="I144" i="3" a="1"/>
  <c r="I144" i="3" s="1"/>
  <c r="H144" i="3" a="1"/>
  <c r="H144" i="3" s="1"/>
  <c r="J144" i="3" a="1"/>
  <c r="J144" i="3" s="1"/>
  <c r="L150" i="3" a="1"/>
  <c r="L150" i="3" s="1"/>
  <c r="H150" i="3" a="1"/>
  <c r="H150" i="3" s="1"/>
  <c r="I150" i="3" a="1"/>
  <c r="I150" i="3" s="1"/>
  <c r="J150" i="3" a="1"/>
  <c r="J150" i="3" s="1"/>
  <c r="I156" i="3" a="1"/>
  <c r="I156" i="3" s="1"/>
  <c r="H156" i="3" a="1"/>
  <c r="H156" i="3" s="1"/>
  <c r="J156" i="3" a="1"/>
  <c r="J156" i="3" s="1"/>
  <c r="I162" i="3" a="1"/>
  <c r="I162" i="3" s="1"/>
  <c r="H162" i="3" a="1"/>
  <c r="H162" i="3" s="1"/>
  <c r="J162" i="3" a="1"/>
  <c r="J162" i="3" s="1"/>
  <c r="I168" i="3" a="1"/>
  <c r="I168" i="3" s="1"/>
  <c r="H168" i="3" a="1"/>
  <c r="H168" i="3" s="1"/>
  <c r="I174" i="3" a="1"/>
  <c r="I174" i="3" s="1"/>
  <c r="H174" i="3" a="1"/>
  <c r="H174" i="3" s="1"/>
  <c r="J174" i="3" a="1"/>
  <c r="J174" i="3" s="1"/>
  <c r="I180" i="3" a="1"/>
  <c r="I180" i="3" s="1"/>
  <c r="H180" i="3" a="1"/>
  <c r="H180" i="3" s="1"/>
  <c r="J180" i="3" a="1"/>
  <c r="J180" i="3" s="1"/>
  <c r="I186" i="3" a="1"/>
  <c r="I186" i="3" s="1"/>
  <c r="H186" i="3" a="1"/>
  <c r="H186" i="3" s="1"/>
  <c r="J186" i="3" a="1"/>
  <c r="J186" i="3" s="1"/>
  <c r="L192" i="3" a="1"/>
  <c r="L192" i="3" s="1"/>
  <c r="I192" i="3" a="1"/>
  <c r="I192" i="3" s="1"/>
  <c r="H192" i="3" a="1"/>
  <c r="H192" i="3" s="1"/>
  <c r="J192" i="3" a="1"/>
  <c r="J192" i="3" s="1"/>
  <c r="L198" i="3" a="1"/>
  <c r="L198" i="3" s="1"/>
  <c r="I198" i="3" a="1"/>
  <c r="I198" i="3" s="1"/>
  <c r="H198" i="3" a="1"/>
  <c r="H198" i="3" s="1"/>
  <c r="J198" i="3" a="1"/>
  <c r="J198" i="3" s="1"/>
  <c r="I204" i="3" a="1"/>
  <c r="I204" i="3" s="1"/>
  <c r="H204" i="3" a="1"/>
  <c r="H204" i="3" s="1"/>
  <c r="J204" i="3" a="1"/>
  <c r="J204" i="3" s="1"/>
  <c r="I210" i="3" a="1"/>
  <c r="I210" i="3" s="1"/>
  <c r="H210" i="3" a="1"/>
  <c r="H210" i="3" s="1"/>
  <c r="J210" i="3" a="1"/>
  <c r="J210" i="3" s="1"/>
  <c r="L216" i="3" a="1"/>
  <c r="L216" i="3" s="1"/>
  <c r="I216" i="3" a="1"/>
  <c r="I216" i="3" s="1"/>
  <c r="H216" i="3" a="1"/>
  <c r="H216" i="3" s="1"/>
  <c r="J216" i="3" a="1"/>
  <c r="J216" i="3" s="1"/>
  <c r="I222" i="3" a="1"/>
  <c r="I222" i="3" s="1"/>
  <c r="H222" i="3" a="1"/>
  <c r="H222" i="3" s="1"/>
  <c r="J222" i="3" a="1"/>
  <c r="J222" i="3" s="1"/>
  <c r="I228" i="3" a="1"/>
  <c r="I228" i="3" s="1"/>
  <c r="H228" i="3" a="1"/>
  <c r="H228" i="3" s="1"/>
  <c r="I234" i="3" a="1"/>
  <c r="I234" i="3" s="1"/>
  <c r="H234" i="3" a="1"/>
  <c r="H234" i="3" s="1"/>
  <c r="J234" i="3" a="1"/>
  <c r="J234" i="3" s="1"/>
  <c r="I240" i="3" a="1"/>
  <c r="I240" i="3" s="1"/>
  <c r="H240" i="3" a="1"/>
  <c r="H240" i="3" s="1"/>
  <c r="I246" i="3" a="1"/>
  <c r="I246" i="3" s="1"/>
  <c r="H246" i="3" a="1"/>
  <c r="H246" i="3" s="1"/>
  <c r="J246" i="3" a="1"/>
  <c r="J246" i="3" s="1"/>
  <c r="L252" i="3" a="1"/>
  <c r="L252" i="3" s="1"/>
  <c r="I252" i="3" a="1"/>
  <c r="I252" i="3" s="1"/>
  <c r="H252" i="3" a="1"/>
  <c r="H252" i="3" s="1"/>
  <c r="J252" i="3" a="1"/>
  <c r="J252" i="3" s="1"/>
  <c r="I258" i="3" a="1"/>
  <c r="I258" i="3" s="1"/>
  <c r="H258" i="3" a="1"/>
  <c r="H258" i="3" s="1"/>
  <c r="J258" i="3" a="1"/>
  <c r="J258" i="3" s="1"/>
  <c r="I264" i="3" a="1"/>
  <c r="I264" i="3" s="1"/>
  <c r="H264" i="3" a="1"/>
  <c r="H264" i="3" s="1"/>
  <c r="I270" i="3" a="1"/>
  <c r="I270" i="3" s="1"/>
  <c r="H270" i="3" a="1"/>
  <c r="H270" i="3" s="1"/>
  <c r="J270" i="3" a="1"/>
  <c r="J270" i="3" s="1"/>
  <c r="L276" i="3" a="1"/>
  <c r="L276" i="3" s="1"/>
  <c r="I276" i="3" a="1"/>
  <c r="I276" i="3" s="1"/>
  <c r="H276" i="3" a="1"/>
  <c r="H276" i="3" s="1"/>
  <c r="J276" i="3" a="1"/>
  <c r="J276" i="3" s="1"/>
  <c r="I282" i="3" a="1"/>
  <c r="I282" i="3" s="1"/>
  <c r="H282" i="3" a="1"/>
  <c r="H282" i="3" s="1"/>
  <c r="J282" i="3" a="1"/>
  <c r="J282" i="3" s="1"/>
  <c r="I288" i="3" a="1"/>
  <c r="I288" i="3" s="1"/>
  <c r="H288" i="3" a="1"/>
  <c r="H288" i="3" s="1"/>
  <c r="J288" i="3" a="1"/>
  <c r="J288" i="3" s="1"/>
  <c r="I294" i="3" a="1"/>
  <c r="I294" i="3" s="1"/>
  <c r="H294" i="3" a="1"/>
  <c r="H294" i="3" s="1"/>
  <c r="J294" i="3" a="1"/>
  <c r="J294" i="3" s="1"/>
  <c r="L300" i="3" a="1"/>
  <c r="L300" i="3" s="1"/>
  <c r="I300" i="3" a="1"/>
  <c r="I300" i="3" s="1"/>
  <c r="H300" i="3" a="1"/>
  <c r="H300" i="3" s="1"/>
  <c r="J300" i="3" a="1"/>
  <c r="J300" i="3" s="1"/>
  <c r="I306" i="3" a="1"/>
  <c r="I306" i="3" s="1"/>
  <c r="H306" i="3" a="1"/>
  <c r="H306" i="3" s="1"/>
  <c r="J306" i="3" a="1"/>
  <c r="J306" i="3" s="1"/>
  <c r="I312" i="3" a="1"/>
  <c r="I312" i="3" s="1"/>
  <c r="H312" i="3" a="1"/>
  <c r="H312" i="3" s="1"/>
  <c r="J312" i="3" a="1"/>
  <c r="J312" i="3" s="1"/>
  <c r="I318" i="3" a="1"/>
  <c r="I318" i="3" s="1"/>
  <c r="H318" i="3" a="1"/>
  <c r="H318" i="3" s="1"/>
  <c r="J318" i="3" a="1"/>
  <c r="J318" i="3" s="1"/>
  <c r="I324" i="3" a="1"/>
  <c r="I324" i="3" s="1"/>
  <c r="H324" i="3" a="1"/>
  <c r="H324" i="3" s="1"/>
  <c r="J324" i="3" a="1"/>
  <c r="J324" i="3" s="1"/>
  <c r="I330" i="3" a="1"/>
  <c r="I330" i="3" s="1"/>
  <c r="H330" i="3" a="1"/>
  <c r="H330" i="3" s="1"/>
  <c r="L336" i="3" a="1"/>
  <c r="L336" i="3" s="1"/>
  <c r="I336" i="3" a="1"/>
  <c r="I336" i="3" s="1"/>
  <c r="H336" i="3" a="1"/>
  <c r="H336" i="3" s="1"/>
  <c r="J336" i="3" a="1"/>
  <c r="J336" i="3" s="1"/>
  <c r="I342" i="3" a="1"/>
  <c r="I342" i="3" s="1"/>
  <c r="H342" i="3" a="1"/>
  <c r="H342" i="3" s="1"/>
  <c r="J342" i="3" a="1"/>
  <c r="J342" i="3" s="1"/>
  <c r="I348" i="3" a="1"/>
  <c r="I348" i="3" s="1"/>
  <c r="H348" i="3" a="1"/>
  <c r="H348" i="3" s="1"/>
  <c r="J348" i="3" a="1"/>
  <c r="J348" i="3" s="1"/>
  <c r="I354" i="3" a="1"/>
  <c r="I354" i="3" s="1"/>
  <c r="H354" i="3" a="1"/>
  <c r="H354" i="3" s="1"/>
  <c r="J354" i="3" a="1"/>
  <c r="J354" i="3" s="1"/>
  <c r="L360" i="3" a="1"/>
  <c r="L360" i="3" s="1"/>
  <c r="I360" i="3" a="1"/>
  <c r="I360" i="3" s="1"/>
  <c r="H360" i="3" a="1"/>
  <c r="H360" i="3" s="1"/>
  <c r="J360" i="3" a="1"/>
  <c r="J360" i="3" s="1"/>
  <c r="I366" i="3" a="1"/>
  <c r="I366" i="3" s="1"/>
  <c r="H366" i="3" a="1"/>
  <c r="H366" i="3" s="1"/>
  <c r="I372" i="3" a="1"/>
  <c r="I372" i="3" s="1"/>
  <c r="H372" i="3" a="1"/>
  <c r="H372" i="3" s="1"/>
  <c r="J372" i="3" a="1"/>
  <c r="J372" i="3" s="1"/>
  <c r="I378" i="3" a="1"/>
  <c r="I378" i="3" s="1"/>
  <c r="H378" i="3" a="1"/>
  <c r="H378" i="3" s="1"/>
  <c r="J378" i="3" a="1"/>
  <c r="J378" i="3" s="1"/>
  <c r="I384" i="3" a="1"/>
  <c r="I384" i="3" s="1"/>
  <c r="H384" i="3" a="1"/>
  <c r="H384" i="3" s="1"/>
  <c r="J384" i="3" a="1"/>
  <c r="J384" i="3" s="1"/>
  <c r="I390" i="3" a="1"/>
  <c r="I390" i="3" s="1"/>
  <c r="H390" i="3" a="1"/>
  <c r="H390" i="3" s="1"/>
  <c r="J390" i="3" a="1"/>
  <c r="J390" i="3" s="1"/>
  <c r="I396" i="3" a="1"/>
  <c r="I396" i="3" s="1"/>
  <c r="H396" i="3" a="1"/>
  <c r="H396" i="3" s="1"/>
  <c r="J396" i="3" a="1"/>
  <c r="J396" i="3" s="1"/>
  <c r="I402" i="3" a="1"/>
  <c r="I402" i="3" s="1"/>
  <c r="H402" i="3" a="1"/>
  <c r="H402" i="3" s="1"/>
  <c r="J402" i="3" a="1"/>
  <c r="J402" i="3" s="1"/>
  <c r="I408" i="3" a="1"/>
  <c r="I408" i="3" s="1"/>
  <c r="H408" i="3" a="1"/>
  <c r="H408" i="3" s="1"/>
  <c r="J408" i="3" a="1"/>
  <c r="J408" i="3" s="1"/>
  <c r="L414" i="3" a="1"/>
  <c r="L414" i="3" s="1"/>
  <c r="I414" i="3" a="1"/>
  <c r="I414" i="3" s="1"/>
  <c r="H414" i="3" a="1"/>
  <c r="H414" i="3" s="1"/>
  <c r="J414" i="3" a="1"/>
  <c r="J414" i="3" s="1"/>
  <c r="I420" i="3" a="1"/>
  <c r="I420" i="3" s="1"/>
  <c r="H420" i="3" a="1"/>
  <c r="H420" i="3" s="1"/>
  <c r="J420" i="3" a="1"/>
  <c r="J420" i="3" s="1"/>
  <c r="I426" i="3" a="1"/>
  <c r="I426" i="3" s="1"/>
  <c r="H426" i="3" a="1"/>
  <c r="H426" i="3" s="1"/>
  <c r="J426" i="3" a="1"/>
  <c r="J426" i="3" s="1"/>
  <c r="I432" i="3" a="1"/>
  <c r="I432" i="3" s="1"/>
  <c r="H432" i="3" a="1"/>
  <c r="H432" i="3" s="1"/>
  <c r="J432" i="3" a="1"/>
  <c r="J432" i="3" s="1"/>
  <c r="L438" i="3" a="1"/>
  <c r="L438" i="3" s="1"/>
  <c r="I438" i="3" a="1"/>
  <c r="I438" i="3" s="1"/>
  <c r="H438" i="3" a="1"/>
  <c r="H438" i="3" s="1"/>
  <c r="J438" i="3" a="1"/>
  <c r="J438" i="3" s="1"/>
  <c r="I444" i="3" a="1"/>
  <c r="I444" i="3" s="1"/>
  <c r="H444" i="3" a="1"/>
  <c r="H444" i="3" s="1"/>
  <c r="J444" i="3" a="1"/>
  <c r="J444" i="3" s="1"/>
  <c r="I450" i="3" a="1"/>
  <c r="I450" i="3" s="1"/>
  <c r="H450" i="3" a="1"/>
  <c r="H450" i="3" s="1"/>
  <c r="J450" i="3" a="1"/>
  <c r="J450" i="3" s="1"/>
  <c r="I456" i="3" a="1"/>
  <c r="I456" i="3" s="1"/>
  <c r="H456" i="3" a="1"/>
  <c r="H456" i="3" s="1"/>
  <c r="J456" i="3" a="1"/>
  <c r="J456" i="3" s="1"/>
  <c r="L462" i="3" a="1"/>
  <c r="L462" i="3" s="1"/>
  <c r="I462" i="3" a="1"/>
  <c r="I462" i="3" s="1"/>
  <c r="H462" i="3" a="1"/>
  <c r="H462" i="3" s="1"/>
  <c r="J462" i="3" a="1"/>
  <c r="J462" i="3" s="1"/>
  <c r="I468" i="3" a="1"/>
  <c r="I468" i="3" s="1"/>
  <c r="H468" i="3" a="1"/>
  <c r="H468" i="3" s="1"/>
  <c r="I474" i="3" a="1"/>
  <c r="I474" i="3" s="1"/>
  <c r="H474" i="3" a="1"/>
  <c r="H474" i="3" s="1"/>
  <c r="J474" i="3" a="1"/>
  <c r="J474" i="3" s="1"/>
  <c r="I480" i="3" a="1"/>
  <c r="I480" i="3" s="1"/>
  <c r="H480" i="3" a="1"/>
  <c r="H480" i="3" s="1"/>
  <c r="J480" i="3" a="1"/>
  <c r="J480" i="3" s="1"/>
  <c r="L486" i="3" a="1"/>
  <c r="L486" i="3" s="1"/>
  <c r="I486" i="3" a="1"/>
  <c r="I486" i="3" s="1"/>
  <c r="H486" i="3" a="1"/>
  <c r="H486" i="3" s="1"/>
  <c r="J486" i="3" a="1"/>
  <c r="J486" i="3" s="1"/>
  <c r="I492" i="3" a="1"/>
  <c r="I492" i="3" s="1"/>
  <c r="H492" i="3" a="1"/>
  <c r="H492" i="3" s="1"/>
  <c r="J492" i="3" a="1"/>
  <c r="J492" i="3" s="1"/>
  <c r="L498" i="3" a="1"/>
  <c r="L498" i="3" s="1"/>
  <c r="I498" i="3" a="1"/>
  <c r="I498" i="3" s="1"/>
  <c r="H498" i="3" a="1"/>
  <c r="H498" i="3" s="1"/>
  <c r="L504" i="3" a="1"/>
  <c r="L504" i="3" s="1"/>
  <c r="I504" i="3" a="1"/>
  <c r="I504" i="3" s="1"/>
  <c r="H504" i="3" a="1"/>
  <c r="H504" i="3" s="1"/>
  <c r="J504" i="3" a="1"/>
  <c r="J504" i="3" s="1"/>
  <c r="I510" i="3" a="1"/>
  <c r="I510" i="3" s="1"/>
  <c r="H510" i="3" a="1"/>
  <c r="H510" i="3" s="1"/>
  <c r="J510" i="3" a="1"/>
  <c r="J510" i="3" s="1"/>
  <c r="I516" i="3" a="1"/>
  <c r="I516" i="3" s="1"/>
  <c r="H516" i="3" a="1"/>
  <c r="H516" i="3" s="1"/>
  <c r="J516" i="3" a="1"/>
  <c r="J516" i="3" s="1"/>
  <c r="L522" i="3" a="1"/>
  <c r="L522" i="3" s="1"/>
  <c r="I522" i="3" a="1"/>
  <c r="I522" i="3" s="1"/>
  <c r="H522" i="3" a="1"/>
  <c r="H522" i="3" s="1"/>
  <c r="J522" i="3" a="1"/>
  <c r="J522" i="3" s="1"/>
  <c r="I528" i="3" a="1"/>
  <c r="I528" i="3" s="1"/>
  <c r="H528" i="3" a="1"/>
  <c r="H528" i="3" s="1"/>
  <c r="J528" i="3" a="1"/>
  <c r="J528" i="3" s="1"/>
  <c r="I534" i="3" a="1"/>
  <c r="I534" i="3" s="1"/>
  <c r="H534" i="3" a="1"/>
  <c r="H534" i="3" s="1"/>
  <c r="J534" i="3" a="1"/>
  <c r="J534" i="3" s="1"/>
  <c r="I540" i="3" a="1"/>
  <c r="I540" i="3" s="1"/>
  <c r="H540" i="3" a="1"/>
  <c r="H540" i="3" s="1"/>
  <c r="J540" i="3" a="1"/>
  <c r="J540" i="3" s="1"/>
  <c r="I546" i="3" a="1"/>
  <c r="I546" i="3" s="1"/>
  <c r="H546" i="3" a="1"/>
  <c r="H546" i="3" s="1"/>
  <c r="J546" i="3" a="1"/>
  <c r="J546" i="3" s="1"/>
  <c r="I552" i="3" a="1"/>
  <c r="I552" i="3" s="1"/>
  <c r="H552" i="3" a="1"/>
  <c r="H552" i="3" s="1"/>
  <c r="I558" i="3" a="1"/>
  <c r="I558" i="3" s="1"/>
  <c r="H558" i="3" a="1"/>
  <c r="H558" i="3" s="1"/>
  <c r="J558" i="3" a="1"/>
  <c r="J558" i="3" s="1"/>
  <c r="I564" i="3" a="1"/>
  <c r="I564" i="3" s="1"/>
  <c r="H564" i="3" a="1"/>
  <c r="H564" i="3" s="1"/>
  <c r="J564" i="3" a="1"/>
  <c r="J564" i="3" s="1"/>
  <c r="L570" i="3" a="1"/>
  <c r="L570" i="3" s="1"/>
  <c r="I570" i="3" a="1"/>
  <c r="I570" i="3" s="1"/>
  <c r="H570" i="3" a="1"/>
  <c r="H570" i="3" s="1"/>
  <c r="J570" i="3" a="1"/>
  <c r="J570" i="3" s="1"/>
  <c r="I576" i="3" a="1"/>
  <c r="I576" i="3" s="1"/>
  <c r="H576" i="3" a="1"/>
  <c r="H576" i="3" s="1"/>
  <c r="I582" i="3" a="1"/>
  <c r="I582" i="3" s="1"/>
  <c r="H582" i="3" a="1"/>
  <c r="H582" i="3" s="1"/>
  <c r="J582" i="3" a="1"/>
  <c r="J582" i="3" s="1"/>
  <c r="L588" i="3" a="1"/>
  <c r="L588" i="3" s="1"/>
  <c r="I588" i="3" a="1"/>
  <c r="I588" i="3" s="1"/>
  <c r="H588" i="3" a="1"/>
  <c r="H588" i="3" s="1"/>
  <c r="J588" i="3" a="1"/>
  <c r="J588" i="3" s="1"/>
  <c r="I594" i="3" a="1"/>
  <c r="I594" i="3" s="1"/>
  <c r="H594" i="3" a="1"/>
  <c r="H594" i="3" s="1"/>
  <c r="J594" i="3" a="1"/>
  <c r="J594" i="3" s="1"/>
  <c r="I600" i="3" a="1"/>
  <c r="I600" i="3" s="1"/>
  <c r="H600" i="3" a="1"/>
  <c r="H600" i="3" s="1"/>
  <c r="J600" i="3" a="1"/>
  <c r="J600" i="3" s="1"/>
  <c r="L606" i="3" a="1"/>
  <c r="L606" i="3" s="1"/>
  <c r="I606" i="3" a="1"/>
  <c r="I606" i="3" s="1"/>
  <c r="H606" i="3" a="1"/>
  <c r="H606" i="3" s="1"/>
  <c r="J606" i="3" a="1"/>
  <c r="J606" i="3" s="1"/>
  <c r="L612" i="3" a="1"/>
  <c r="L612" i="3" s="1"/>
  <c r="I612" i="3" a="1"/>
  <c r="I612" i="3" s="1"/>
  <c r="H612" i="3" a="1"/>
  <c r="H612" i="3" s="1"/>
  <c r="J612" i="3" a="1"/>
  <c r="J612" i="3" s="1"/>
  <c r="I618" i="3" a="1"/>
  <c r="I618" i="3" s="1"/>
  <c r="H618" i="3" a="1"/>
  <c r="H618" i="3" s="1"/>
  <c r="J618" i="3" a="1"/>
  <c r="J618" i="3" s="1"/>
  <c r="L624" i="3" a="1"/>
  <c r="L624" i="3" s="1"/>
  <c r="I624" i="3" a="1"/>
  <c r="I624" i="3" s="1"/>
  <c r="H624" i="3" a="1"/>
  <c r="H624" i="3" s="1"/>
  <c r="J624" i="3" a="1"/>
  <c r="J624" i="3" s="1"/>
  <c r="I630" i="3" a="1"/>
  <c r="I630" i="3" s="1"/>
  <c r="H630" i="3" a="1"/>
  <c r="H630" i="3" s="1"/>
  <c r="J630" i="3" a="1"/>
  <c r="J630" i="3" s="1"/>
  <c r="L636" i="3" a="1"/>
  <c r="L636" i="3" s="1"/>
  <c r="I636" i="3" a="1"/>
  <c r="I636" i="3" s="1"/>
  <c r="H636" i="3" a="1"/>
  <c r="H636" i="3" s="1"/>
  <c r="J636" i="3" a="1"/>
  <c r="J636" i="3" s="1"/>
  <c r="I642" i="3" a="1"/>
  <c r="I642" i="3" s="1"/>
  <c r="H642" i="3" a="1"/>
  <c r="H642" i="3" s="1"/>
  <c r="J642" i="3" a="1"/>
  <c r="J642" i="3" s="1"/>
  <c r="I648" i="3" a="1"/>
  <c r="I648" i="3" s="1"/>
  <c r="H648" i="3" a="1"/>
  <c r="H648" i="3" s="1"/>
  <c r="J648" i="3" a="1"/>
  <c r="J648" i="3" s="1"/>
  <c r="I654" i="3" a="1"/>
  <c r="I654" i="3" s="1"/>
  <c r="H654" i="3" a="1"/>
  <c r="H654" i="3" s="1"/>
  <c r="I660" i="3" a="1"/>
  <c r="I660" i="3" s="1"/>
  <c r="H660" i="3" a="1"/>
  <c r="H660" i="3" s="1"/>
  <c r="J660" i="3" a="1"/>
  <c r="J660" i="3" s="1"/>
  <c r="I666" i="3" a="1"/>
  <c r="I666" i="3" s="1"/>
  <c r="J666" i="3" a="1"/>
  <c r="J666" i="3" s="1"/>
  <c r="L672" i="3" a="1"/>
  <c r="L672" i="3" s="1"/>
  <c r="I672" i="3" a="1"/>
  <c r="I672" i="3" s="1"/>
  <c r="H672" i="3" a="1"/>
  <c r="H672" i="3" s="1"/>
  <c r="J672" i="3" a="1"/>
  <c r="J672" i="3" s="1"/>
  <c r="I678" i="3" a="1"/>
  <c r="I678" i="3" s="1"/>
  <c r="H678" i="3" a="1"/>
  <c r="H678" i="3" s="1"/>
  <c r="I684" i="3" a="1"/>
  <c r="I684" i="3" s="1"/>
  <c r="H684" i="3" a="1"/>
  <c r="H684" i="3" s="1"/>
  <c r="J684" i="3" a="1"/>
  <c r="J684" i="3" s="1"/>
  <c r="I690" i="3" a="1"/>
  <c r="I690" i="3" s="1"/>
  <c r="J690" i="3" a="1"/>
  <c r="J690" i="3" s="1"/>
  <c r="I696" i="3" a="1"/>
  <c r="I696" i="3" s="1"/>
  <c r="H696" i="3" a="1"/>
  <c r="H696" i="3" s="1"/>
  <c r="J696" i="3" a="1"/>
  <c r="J696" i="3" s="1"/>
  <c r="I702" i="3" a="1"/>
  <c r="I702" i="3" s="1"/>
  <c r="H702" i="3" a="1"/>
  <c r="H702" i="3" s="1"/>
  <c r="J702" i="3" a="1"/>
  <c r="J702" i="3" s="1"/>
  <c r="L708" i="3" a="1"/>
  <c r="L708" i="3" s="1"/>
  <c r="I708" i="3" a="1"/>
  <c r="I708" i="3" s="1"/>
  <c r="H708" i="3" a="1"/>
  <c r="H708" i="3" s="1"/>
  <c r="J708" i="3" a="1"/>
  <c r="J708" i="3" s="1"/>
  <c r="I714" i="3" a="1"/>
  <c r="I714" i="3" s="1"/>
  <c r="H714" i="3" a="1"/>
  <c r="H714" i="3" s="1"/>
  <c r="J714" i="3" a="1"/>
  <c r="J714" i="3" s="1"/>
  <c r="I720" i="3" a="1"/>
  <c r="I720" i="3" s="1"/>
  <c r="H720" i="3" a="1"/>
  <c r="H720" i="3" s="1"/>
  <c r="L726" i="3" a="1"/>
  <c r="L726" i="3" s="1"/>
  <c r="I726" i="3" a="1"/>
  <c r="I726" i="3" s="1"/>
  <c r="H726" i="3" a="1"/>
  <c r="H726" i="3" s="1"/>
  <c r="J726" i="3" a="1"/>
  <c r="J726" i="3" s="1"/>
  <c r="L732" i="3" a="1"/>
  <c r="L732" i="3" s="1"/>
  <c r="I732" i="3" a="1"/>
  <c r="I732" i="3" s="1"/>
  <c r="H732" i="3" a="1"/>
  <c r="H732" i="3" s="1"/>
  <c r="J732" i="3" a="1"/>
  <c r="J732" i="3" s="1"/>
  <c r="I738" i="3" a="1"/>
  <c r="I738" i="3" s="1"/>
  <c r="H738" i="3" a="1"/>
  <c r="H738" i="3" s="1"/>
  <c r="I744" i="3" a="1"/>
  <c r="I744" i="3" s="1"/>
  <c r="H744" i="3" a="1"/>
  <c r="H744" i="3" s="1"/>
  <c r="I750" i="3" a="1"/>
  <c r="I750" i="3" s="1"/>
  <c r="H750" i="3" a="1"/>
  <c r="H750" i="3" s="1"/>
  <c r="J750" i="3" a="1"/>
  <c r="J750" i="3" s="1"/>
  <c r="H756" i="3" a="1"/>
  <c r="H756" i="3" s="1"/>
  <c r="I756" i="3" a="1"/>
  <c r="I756" i="3" s="1"/>
  <c r="J756" i="3" a="1"/>
  <c r="J756" i="3" s="1"/>
  <c r="I762" i="3" a="1"/>
  <c r="I762" i="3" s="1"/>
  <c r="H762" i="3" a="1"/>
  <c r="H762" i="3" s="1"/>
  <c r="I768" i="3" a="1"/>
  <c r="I768" i="3" s="1"/>
  <c r="H768" i="3" a="1"/>
  <c r="H768" i="3" s="1"/>
  <c r="J768" i="3" a="1"/>
  <c r="J768" i="3" s="1"/>
  <c r="L774" i="3" a="1"/>
  <c r="L774" i="3" s="1"/>
  <c r="I774" i="3" a="1"/>
  <c r="I774" i="3" s="1"/>
  <c r="H774" i="3" a="1"/>
  <c r="H774" i="3" s="1"/>
  <c r="J774" i="3" a="1"/>
  <c r="J774" i="3" s="1"/>
  <c r="I780" i="3" a="1"/>
  <c r="I780" i="3" s="1"/>
  <c r="H780" i="3" a="1"/>
  <c r="H780" i="3" s="1"/>
  <c r="J780" i="3" a="1"/>
  <c r="J780" i="3" s="1"/>
  <c r="I786" i="3" a="1"/>
  <c r="I786" i="3" s="1"/>
  <c r="H786" i="3" a="1"/>
  <c r="H786" i="3" s="1"/>
  <c r="I792" i="3" a="1"/>
  <c r="I792" i="3" s="1"/>
  <c r="H792" i="3" a="1"/>
  <c r="H792" i="3" s="1"/>
  <c r="J792" i="3" a="1"/>
  <c r="J792" i="3" s="1"/>
  <c r="I798" i="3" a="1"/>
  <c r="I798" i="3" s="1"/>
  <c r="J798" i="3" a="1"/>
  <c r="J798" i="3" s="1"/>
  <c r="H798" i="3" a="1"/>
  <c r="H798" i="3" s="1"/>
  <c r="L804" i="3" a="1"/>
  <c r="L804" i="3" s="1"/>
  <c r="I804" i="3" a="1"/>
  <c r="I804" i="3" s="1"/>
  <c r="H804" i="3" a="1"/>
  <c r="H804" i="3" s="1"/>
  <c r="J804" i="3" a="1"/>
  <c r="J804" i="3" s="1"/>
  <c r="L810" i="3" a="1"/>
  <c r="L810" i="3" s="1"/>
  <c r="I810" i="3" a="1"/>
  <c r="I810" i="3" s="1"/>
  <c r="H810" i="3" a="1"/>
  <c r="H810" i="3" s="1"/>
  <c r="J810" i="3" a="1"/>
  <c r="J810" i="3" s="1"/>
  <c r="I816" i="3" a="1"/>
  <c r="I816" i="3" s="1"/>
  <c r="H816" i="3" a="1"/>
  <c r="H816" i="3" s="1"/>
  <c r="J816" i="3" a="1"/>
  <c r="J816" i="3" s="1"/>
  <c r="L828" i="3" a="1"/>
  <c r="L828" i="3" s="1"/>
  <c r="I828" i="3" a="1"/>
  <c r="I828" i="3" s="1"/>
  <c r="H828" i="3" a="1"/>
  <c r="H828" i="3" s="1"/>
  <c r="L834" i="3" a="1"/>
  <c r="L834" i="3" s="1"/>
  <c r="I834" i="3" a="1"/>
  <c r="I834" i="3" s="1"/>
  <c r="H834" i="3" a="1"/>
  <c r="H834" i="3" s="1"/>
  <c r="J834" i="3" a="1"/>
  <c r="J834" i="3" s="1"/>
  <c r="L840" i="3" a="1"/>
  <c r="L840" i="3" s="1"/>
  <c r="I840" i="3" a="1"/>
  <c r="I840" i="3" s="1"/>
  <c r="H840" i="3" a="1"/>
  <c r="H840" i="3" s="1"/>
  <c r="J840" i="3" a="1"/>
  <c r="J840" i="3" s="1"/>
  <c r="I846" i="3" a="1"/>
  <c r="I846" i="3" s="1"/>
  <c r="H846" i="3" a="1"/>
  <c r="H846" i="3" s="1"/>
  <c r="I852" i="3" a="1"/>
  <c r="I852" i="3" s="1"/>
  <c r="H852" i="3" a="1"/>
  <c r="H852" i="3" s="1"/>
  <c r="L858" i="3" a="1"/>
  <c r="L858" i="3" s="1"/>
  <c r="I858" i="3" a="1"/>
  <c r="I858" i="3" s="1"/>
  <c r="H858" i="3" a="1"/>
  <c r="H858" i="3" s="1"/>
  <c r="J858" i="3" a="1"/>
  <c r="J858" i="3" s="1"/>
  <c r="I864" i="3" a="1"/>
  <c r="I864" i="3" s="1"/>
  <c r="H864" i="3" a="1"/>
  <c r="H864" i="3" s="1"/>
  <c r="J864" i="3" a="1"/>
  <c r="J864" i="3" s="1"/>
  <c r="L870" i="3" a="1"/>
  <c r="L870" i="3" s="1"/>
  <c r="I870" i="3" a="1"/>
  <c r="I870" i="3" s="1"/>
  <c r="H870" i="3" a="1"/>
  <c r="H870" i="3" s="1"/>
  <c r="L876" i="3" a="1"/>
  <c r="L876" i="3" s="1"/>
  <c r="I876" i="3" a="1"/>
  <c r="I876" i="3" s="1"/>
  <c r="H876" i="3" a="1"/>
  <c r="H876" i="3" s="1"/>
  <c r="L882" i="3" a="1"/>
  <c r="L882" i="3" s="1"/>
  <c r="I882" i="3" a="1"/>
  <c r="I882" i="3" s="1"/>
  <c r="H882" i="3" a="1"/>
  <c r="H882" i="3" s="1"/>
  <c r="J882" i="3" a="1"/>
  <c r="J882" i="3" s="1"/>
  <c r="I888" i="3" a="1"/>
  <c r="I888" i="3" s="1"/>
  <c r="H888" i="3" a="1"/>
  <c r="H888" i="3" s="1"/>
  <c r="J888" i="3" a="1"/>
  <c r="J888" i="3" s="1"/>
  <c r="L894" i="3" a="1"/>
  <c r="L894" i="3" s="1"/>
  <c r="I894" i="3" a="1"/>
  <c r="I894" i="3" s="1"/>
  <c r="H894" i="3" a="1"/>
  <c r="H894" i="3" s="1"/>
  <c r="J894" i="3" a="1"/>
  <c r="J894" i="3" s="1"/>
  <c r="I900" i="3" a="1"/>
  <c r="I900" i="3" s="1"/>
  <c r="H900" i="3" a="1"/>
  <c r="H900" i="3" s="1"/>
  <c r="I906" i="3" a="1"/>
  <c r="I906" i="3" s="1"/>
  <c r="H906" i="3" a="1"/>
  <c r="H906" i="3" s="1"/>
  <c r="I918" i="3" a="1"/>
  <c r="I918" i="3" s="1"/>
  <c r="H918" i="3" a="1"/>
  <c r="H918" i="3" s="1"/>
  <c r="J918" i="3" a="1"/>
  <c r="J918" i="3" s="1"/>
  <c r="I924" i="3" a="1"/>
  <c r="I924" i="3" s="1"/>
  <c r="H924" i="3" a="1"/>
  <c r="H924" i="3" s="1"/>
  <c r="J924" i="3" a="1"/>
  <c r="J924" i="3" s="1"/>
  <c r="L930" i="3" a="1"/>
  <c r="L930" i="3" s="1"/>
  <c r="I930" i="3" a="1"/>
  <c r="I930" i="3" s="1"/>
  <c r="H930" i="3" a="1"/>
  <c r="H930" i="3" s="1"/>
  <c r="I936" i="3" a="1"/>
  <c r="I936" i="3" s="1"/>
  <c r="H936" i="3" a="1"/>
  <c r="H936" i="3" s="1"/>
  <c r="I942" i="3" a="1"/>
  <c r="I942" i="3" s="1"/>
  <c r="H942" i="3" a="1"/>
  <c r="H942" i="3" s="1"/>
  <c r="L948" i="3" a="1"/>
  <c r="L948" i="3" s="1"/>
  <c r="I948" i="3" a="1"/>
  <c r="I948" i="3" s="1"/>
  <c r="H948" i="3" a="1"/>
  <c r="H948" i="3" s="1"/>
  <c r="I954" i="3" a="1"/>
  <c r="I954" i="3" s="1"/>
  <c r="H954" i="3" a="1"/>
  <c r="H954" i="3" s="1"/>
  <c r="J954" i="3" a="1"/>
  <c r="J954" i="3" s="1"/>
  <c r="L960" i="3" a="1"/>
  <c r="L960" i="3" s="1"/>
  <c r="I960" i="3" a="1"/>
  <c r="I960" i="3" s="1"/>
  <c r="H960" i="3" a="1"/>
  <c r="H960" i="3" s="1"/>
  <c r="L966" i="3" a="1"/>
  <c r="L966" i="3" s="1"/>
  <c r="I966" i="3" a="1"/>
  <c r="I966" i="3" s="1"/>
  <c r="H966" i="3" a="1"/>
  <c r="H966" i="3" s="1"/>
  <c r="J966" i="3" a="1"/>
  <c r="J966" i="3" s="1"/>
  <c r="L972" i="3" a="1"/>
  <c r="L972" i="3" s="1"/>
  <c r="I972" i="3" a="1"/>
  <c r="I972" i="3" s="1"/>
  <c r="H972" i="3" a="1"/>
  <c r="H972" i="3" s="1"/>
  <c r="J972" i="3" a="1"/>
  <c r="J972" i="3" s="1"/>
  <c r="L978" i="3" a="1"/>
  <c r="L978" i="3" s="1"/>
  <c r="I978" i="3" a="1"/>
  <c r="I978" i="3" s="1"/>
  <c r="H978" i="3" a="1"/>
  <c r="H978" i="3" s="1"/>
  <c r="L984" i="3" a="1"/>
  <c r="L984" i="3" s="1"/>
  <c r="I984" i="3" a="1"/>
  <c r="I984" i="3" s="1"/>
  <c r="H984" i="3" a="1"/>
  <c r="H984" i="3" s="1"/>
  <c r="J984" i="3" a="1"/>
  <c r="J984" i="3" s="1"/>
  <c r="I990" i="3" a="1"/>
  <c r="I990" i="3" s="1"/>
  <c r="H990" i="3" a="1"/>
  <c r="H990" i="3" s="1"/>
  <c r="J990" i="3" a="1"/>
  <c r="J990" i="3" s="1"/>
  <c r="L996" i="3" a="1"/>
  <c r="L996" i="3" s="1"/>
  <c r="I996" i="3" a="1"/>
  <c r="I996" i="3" s="1"/>
  <c r="H996" i="3" a="1"/>
  <c r="H996" i="3" s="1"/>
  <c r="L1002" i="3" a="1"/>
  <c r="L1002" i="3" s="1"/>
  <c r="I1002" i="3" a="1"/>
  <c r="I1002" i="3" s="1"/>
  <c r="H1002" i="3" a="1"/>
  <c r="H1002" i="3" s="1"/>
  <c r="J1002" i="3" a="1"/>
  <c r="J1002" i="3" s="1"/>
  <c r="I1008" i="3" a="1"/>
  <c r="I1008" i="3" s="1"/>
  <c r="H1008" i="3" a="1"/>
  <c r="H1008" i="3" s="1"/>
  <c r="J1008" i="3" a="1"/>
  <c r="J1008" i="3" s="1"/>
  <c r="L1014" i="3" a="1"/>
  <c r="L1014" i="3" s="1"/>
  <c r="I1014" i="3" a="1"/>
  <c r="I1014" i="3" s="1"/>
  <c r="H1014" i="3" a="1"/>
  <c r="H1014" i="3" s="1"/>
  <c r="L1020" i="3" a="1"/>
  <c r="L1020" i="3" s="1"/>
  <c r="I1020" i="3" a="1"/>
  <c r="I1020" i="3" s="1"/>
  <c r="H1020" i="3" a="1"/>
  <c r="H1020" i="3" s="1"/>
  <c r="J1020" i="3" a="1"/>
  <c r="J1020" i="3" s="1"/>
  <c r="I1026" i="3" a="1"/>
  <c r="I1026" i="3" s="1"/>
  <c r="H1026" i="3" a="1"/>
  <c r="H1026" i="3" s="1"/>
  <c r="J1026" i="3" a="1"/>
  <c r="J1026" i="3" s="1"/>
  <c r="L1032" i="3" a="1"/>
  <c r="L1032" i="3" s="1"/>
  <c r="I1032" i="3" a="1"/>
  <c r="I1032" i="3" s="1"/>
  <c r="H1032" i="3" a="1"/>
  <c r="H1032" i="3" s="1"/>
  <c r="I1038" i="3" a="1"/>
  <c r="I1038" i="3" s="1"/>
  <c r="H1038" i="3" a="1"/>
  <c r="H1038" i="3" s="1"/>
  <c r="J1038" i="3" a="1"/>
  <c r="J1038" i="3" s="1"/>
  <c r="L1044" i="3" a="1"/>
  <c r="L1044" i="3" s="1"/>
  <c r="H1044" i="3" a="1"/>
  <c r="H1044" i="3" s="1"/>
  <c r="I1044" i="3" a="1"/>
  <c r="I1044" i="3" s="1"/>
  <c r="J1044" i="3" a="1"/>
  <c r="J1044" i="3" s="1"/>
  <c r="I1050" i="3" a="1"/>
  <c r="I1050" i="3" s="1"/>
  <c r="H1050" i="3" a="1"/>
  <c r="H1050" i="3" s="1"/>
  <c r="J1050" i="3" a="1"/>
  <c r="J1050" i="3" s="1"/>
  <c r="L1056" i="3" a="1"/>
  <c r="L1056" i="3" s="1"/>
  <c r="I1056" i="3" a="1"/>
  <c r="I1056" i="3" s="1"/>
  <c r="H1056" i="3" a="1"/>
  <c r="H1056" i="3" s="1"/>
  <c r="J1056" i="3" a="1"/>
  <c r="J1056" i="3" s="1"/>
  <c r="L1062" i="3" a="1"/>
  <c r="L1062" i="3" s="1"/>
  <c r="I1062" i="3" a="1"/>
  <c r="I1062" i="3" s="1"/>
  <c r="H1062" i="3" a="1"/>
  <c r="H1062" i="3" s="1"/>
  <c r="I1068" i="3" a="1"/>
  <c r="I1068" i="3" s="1"/>
  <c r="H1068" i="3" a="1"/>
  <c r="H1068" i="3" s="1"/>
  <c r="L1074" i="3" a="1"/>
  <c r="L1074" i="3" s="1"/>
  <c r="I1074" i="3" a="1"/>
  <c r="I1074" i="3" s="1"/>
  <c r="H1074" i="3" a="1"/>
  <c r="H1074" i="3" s="1"/>
  <c r="J1074" i="3" a="1"/>
  <c r="J1074" i="3" s="1"/>
  <c r="L1080" i="3" a="1"/>
  <c r="L1080" i="3" s="1"/>
  <c r="H1080" i="3" a="1"/>
  <c r="H1080" i="3" s="1"/>
  <c r="I1080" i="3" a="1"/>
  <c r="I1080" i="3" s="1"/>
  <c r="J1080" i="3" a="1"/>
  <c r="J1080" i="3" s="1"/>
  <c r="I1086" i="3" a="1"/>
  <c r="I1086" i="3" s="1"/>
  <c r="H1086" i="3" a="1"/>
  <c r="H1086" i="3" s="1"/>
  <c r="J1086" i="3" a="1"/>
  <c r="J1086" i="3" s="1"/>
  <c r="L1092" i="3" a="1"/>
  <c r="L1092" i="3" s="1"/>
  <c r="I1092" i="3" a="1"/>
  <c r="I1092" i="3" s="1"/>
  <c r="H1092" i="3" a="1"/>
  <c r="H1092" i="3" s="1"/>
  <c r="J1092" i="3" a="1"/>
  <c r="J1092" i="3" s="1"/>
  <c r="L1098" i="3" a="1"/>
  <c r="L1098" i="3" s="1"/>
  <c r="I1098" i="3" a="1"/>
  <c r="I1098" i="3" s="1"/>
  <c r="H1098" i="3" a="1"/>
  <c r="H1098" i="3" s="1"/>
  <c r="L1104" i="3" a="1"/>
  <c r="L1104" i="3" s="1"/>
  <c r="I1104" i="3" a="1"/>
  <c r="I1104" i="3" s="1"/>
  <c r="H1104" i="3" a="1"/>
  <c r="H1104" i="3" s="1"/>
  <c r="J1104" i="3" a="1"/>
  <c r="J1104" i="3" s="1"/>
  <c r="I1110" i="3" a="1"/>
  <c r="I1110" i="3" s="1"/>
  <c r="H1110" i="3" a="1"/>
  <c r="H1110" i="3" s="1"/>
  <c r="J1110" i="3" a="1"/>
  <c r="J1110" i="3" s="1"/>
  <c r="L1116" i="3" a="1"/>
  <c r="L1116" i="3" s="1"/>
  <c r="I1116" i="3" a="1"/>
  <c r="I1116" i="3" s="1"/>
  <c r="H1116" i="3" a="1"/>
  <c r="H1116" i="3" s="1"/>
  <c r="L1122" i="3" a="1"/>
  <c r="L1122" i="3" s="1"/>
  <c r="I1122" i="3" a="1"/>
  <c r="I1122" i="3" s="1"/>
  <c r="H1122" i="3" a="1"/>
  <c r="H1122" i="3" s="1"/>
  <c r="J1122" i="3" a="1"/>
  <c r="J1122" i="3" s="1"/>
  <c r="I1128" i="3" a="1"/>
  <c r="I1128" i="3" s="1"/>
  <c r="H1128" i="3" a="1"/>
  <c r="H1128" i="3" s="1"/>
  <c r="J1128" i="3" a="1"/>
  <c r="J1128" i="3" s="1"/>
  <c r="I1134" i="3" a="1"/>
  <c r="I1134" i="3" s="1"/>
  <c r="H1134" i="3" a="1"/>
  <c r="H1134" i="3" s="1"/>
  <c r="J1134" i="3" a="1"/>
  <c r="J1134" i="3" s="1"/>
  <c r="I1140" i="3" a="1"/>
  <c r="I1140" i="3" s="1"/>
  <c r="H1140" i="3" a="1"/>
  <c r="H1140" i="3" s="1"/>
  <c r="J1140" i="3" a="1"/>
  <c r="J1140" i="3" s="1"/>
  <c r="L1146" i="3" a="1"/>
  <c r="L1146" i="3" s="1"/>
  <c r="I1146" i="3" a="1"/>
  <c r="I1146" i="3" s="1"/>
  <c r="H1146" i="3" a="1"/>
  <c r="H1146" i="3" s="1"/>
  <c r="I1152" i="3" a="1"/>
  <c r="I1152" i="3" s="1"/>
  <c r="H1152" i="3" a="1"/>
  <c r="H1152" i="3" s="1"/>
  <c r="I1158" i="3" a="1"/>
  <c r="I1158" i="3" s="1"/>
  <c r="H1158" i="3" a="1"/>
  <c r="H1158" i="3" s="1"/>
  <c r="L1164" i="3" a="1"/>
  <c r="L1164" i="3" s="1"/>
  <c r="I1164" i="3" a="1"/>
  <c r="I1164" i="3" s="1"/>
  <c r="J1164" i="3" a="1"/>
  <c r="J1164" i="3" s="1"/>
  <c r="L1170" i="3" a="1"/>
  <c r="L1170" i="3" s="1"/>
  <c r="I1170" i="3" a="1"/>
  <c r="I1170" i="3" s="1"/>
  <c r="H1170" i="3" a="1"/>
  <c r="H1170" i="3" s="1"/>
  <c r="J1170" i="3" a="1"/>
  <c r="J1170" i="3" s="1"/>
  <c r="I1176" i="3" a="1"/>
  <c r="I1176" i="3" s="1"/>
  <c r="H1176" i="3" a="1"/>
  <c r="H1176" i="3" s="1"/>
  <c r="J1176" i="3" a="1"/>
  <c r="J1176" i="3" s="1"/>
  <c r="L1182" i="3" a="1"/>
  <c r="L1182" i="3" s="1"/>
  <c r="I1182" i="3" a="1"/>
  <c r="I1182" i="3" s="1"/>
  <c r="H1182" i="3" a="1"/>
  <c r="H1182" i="3" s="1"/>
  <c r="J1182" i="3" a="1"/>
  <c r="J1182" i="3" s="1"/>
  <c r="L1188" i="3" a="1"/>
  <c r="L1188" i="3" s="1"/>
  <c r="I1188" i="3" a="1"/>
  <c r="I1188" i="3" s="1"/>
  <c r="H1188" i="3" a="1"/>
  <c r="H1188" i="3" s="1"/>
  <c r="I1194" i="3" a="1"/>
  <c r="I1194" i="3" s="1"/>
  <c r="H1194" i="3" a="1"/>
  <c r="H1194" i="3" s="1"/>
  <c r="I1200" i="3" a="1"/>
  <c r="I1200" i="3" s="1"/>
  <c r="H1200" i="3" a="1"/>
  <c r="H1200" i="3" s="1"/>
  <c r="I1206" i="3" a="1"/>
  <c r="I1206" i="3" s="1"/>
  <c r="H1206" i="3" a="1"/>
  <c r="H1206" i="3" s="1"/>
  <c r="K1212" i="3" a="1"/>
  <c r="K1212" i="3" s="1"/>
  <c r="I1212" i="3" a="1"/>
  <c r="I1212" i="3" s="1"/>
  <c r="H1212" i="3" a="1"/>
  <c r="H1212" i="3" s="1"/>
  <c r="L1218" i="3" a="1"/>
  <c r="L1218" i="3" s="1"/>
  <c r="I1218" i="3" a="1"/>
  <c r="I1218" i="3" s="1"/>
  <c r="H1218" i="3" a="1"/>
  <c r="H1218" i="3" s="1"/>
  <c r="J1218" i="3" a="1"/>
  <c r="J1218" i="3" s="1"/>
  <c r="K1224" i="3" a="1"/>
  <c r="K1224" i="3" s="1"/>
  <c r="I1224" i="3" a="1"/>
  <c r="I1224" i="3" s="1"/>
  <c r="H1224" i="3" a="1"/>
  <c r="H1224" i="3" s="1"/>
  <c r="L1230" i="3" a="1"/>
  <c r="L1230" i="3" s="1"/>
  <c r="I1230" i="3" a="1"/>
  <c r="I1230" i="3" s="1"/>
  <c r="H1230" i="3" a="1"/>
  <c r="H1230" i="3" s="1"/>
  <c r="J1230" i="3" a="1"/>
  <c r="J1230" i="3" s="1"/>
  <c r="L1236" i="3" a="1"/>
  <c r="L1236" i="3" s="1"/>
  <c r="I1236" i="3" a="1"/>
  <c r="I1236" i="3" s="1"/>
  <c r="H1236" i="3" a="1"/>
  <c r="H1236" i="3" s="1"/>
  <c r="J1236" i="3" a="1"/>
  <c r="J1236" i="3" s="1"/>
  <c r="K1242" i="3" a="1"/>
  <c r="K1242" i="3" s="1"/>
  <c r="I1242" i="3" a="1"/>
  <c r="I1242" i="3" s="1"/>
  <c r="H1242" i="3" a="1"/>
  <c r="H1242" i="3" s="1"/>
  <c r="K1248" i="3" a="1"/>
  <c r="K1248" i="3" s="1"/>
  <c r="I1248" i="3" a="1"/>
  <c r="I1248" i="3" s="1"/>
  <c r="J1248" i="3" a="1"/>
  <c r="J1248" i="3" s="1"/>
  <c r="L1254" i="3" a="1"/>
  <c r="L1254" i="3" s="1"/>
  <c r="I1254" i="3" a="1"/>
  <c r="I1254" i="3" s="1"/>
  <c r="H1254" i="3" a="1"/>
  <c r="H1254" i="3" s="1"/>
  <c r="J1254" i="3" a="1"/>
  <c r="J1254" i="3" s="1"/>
  <c r="K1260" i="3" a="1"/>
  <c r="K1260" i="3" s="1"/>
  <c r="I1260" i="3" a="1"/>
  <c r="I1260" i="3" s="1"/>
  <c r="H1260" i="3" a="1"/>
  <c r="H1260" i="3" s="1"/>
  <c r="J1260" i="3" a="1"/>
  <c r="J1260" i="3" s="1"/>
  <c r="L1266" i="3" a="1"/>
  <c r="L1266" i="3" s="1"/>
  <c r="I1266" i="3" a="1"/>
  <c r="I1266" i="3" s="1"/>
  <c r="H1266" i="3" a="1"/>
  <c r="H1266" i="3" s="1"/>
  <c r="K1272" i="3" a="1"/>
  <c r="K1272" i="3" s="1"/>
  <c r="I1272" i="3" a="1"/>
  <c r="I1272" i="3" s="1"/>
  <c r="H1272" i="3" a="1"/>
  <c r="H1272" i="3" s="1"/>
  <c r="J1272" i="3" a="1"/>
  <c r="J1272" i="3" s="1"/>
  <c r="L1278" i="3" a="1"/>
  <c r="L1278" i="3" s="1"/>
  <c r="I1278" i="3" a="1"/>
  <c r="I1278" i="3" s="1"/>
  <c r="H1278" i="3" a="1"/>
  <c r="H1278" i="3" s="1"/>
  <c r="J1278" i="3" a="1"/>
  <c r="J1278" i="3" s="1"/>
  <c r="I1284" i="3" a="1"/>
  <c r="I1284" i="3" s="1"/>
  <c r="J1284" i="3" a="1"/>
  <c r="J1284" i="3" s="1"/>
  <c r="L1290" i="3" a="1"/>
  <c r="L1290" i="3" s="1"/>
  <c r="I1290" i="3" a="1"/>
  <c r="I1290" i="3" s="1"/>
  <c r="H1290" i="3" a="1"/>
  <c r="H1290" i="3" s="1"/>
  <c r="L1296" i="3" a="1"/>
  <c r="L1296" i="3" s="1"/>
  <c r="I1296" i="3" a="1"/>
  <c r="I1296" i="3" s="1"/>
  <c r="H1296" i="3" a="1"/>
  <c r="H1296" i="3" s="1"/>
  <c r="K1302" i="3" a="1"/>
  <c r="K1302" i="3" s="1"/>
  <c r="I1302" i="3" a="1"/>
  <c r="I1302" i="3" s="1"/>
  <c r="H1302" i="3" a="1"/>
  <c r="H1302" i="3" s="1"/>
  <c r="L1308" i="3" a="1"/>
  <c r="L1308" i="3" s="1"/>
  <c r="I1308" i="3" a="1"/>
  <c r="I1308" i="3" s="1"/>
  <c r="H1308" i="3" a="1"/>
  <c r="H1308" i="3" s="1"/>
  <c r="K1314" i="3" a="1"/>
  <c r="K1314" i="3" s="1"/>
  <c r="I1314" i="3" a="1"/>
  <c r="I1314" i="3" s="1"/>
  <c r="H1314" i="3" a="1"/>
  <c r="H1314" i="3" s="1"/>
  <c r="K1320" i="3" a="1"/>
  <c r="K1320" i="3" s="1"/>
  <c r="I1320" i="3" a="1"/>
  <c r="I1320" i="3" s="1"/>
  <c r="H1320" i="3" a="1"/>
  <c r="H1320" i="3" s="1"/>
  <c r="K1326" i="3" a="1"/>
  <c r="K1326" i="3" s="1"/>
  <c r="H1326" i="3" a="1"/>
  <c r="H1326" i="3" s="1"/>
  <c r="I1326" i="3" a="1"/>
  <c r="I1326" i="3" s="1"/>
  <c r="K1332" i="3" a="1"/>
  <c r="K1332" i="3" s="1"/>
  <c r="I1332" i="3" a="1"/>
  <c r="I1332" i="3" s="1"/>
  <c r="H1332" i="3" a="1"/>
  <c r="H1332" i="3" s="1"/>
  <c r="K1338" i="3" a="1"/>
  <c r="K1338" i="3" s="1"/>
  <c r="I1338" i="3" a="1"/>
  <c r="I1338" i="3" s="1"/>
  <c r="H1338" i="3" a="1"/>
  <c r="H1338" i="3" s="1"/>
  <c r="L1344" i="3" a="1"/>
  <c r="L1344" i="3" s="1"/>
  <c r="H1344" i="3" a="1"/>
  <c r="H1344" i="3" s="1"/>
  <c r="L1350" i="3" a="1"/>
  <c r="L1350" i="3" s="1"/>
  <c r="I1350" i="3" a="1"/>
  <c r="I1350" i="3" s="1"/>
  <c r="H1350" i="3" a="1"/>
  <c r="H1350" i="3" s="1"/>
  <c r="K1356" i="3" a="1"/>
  <c r="K1356" i="3" s="1"/>
  <c r="I1356" i="3" a="1"/>
  <c r="I1356" i="3" s="1"/>
  <c r="H1356" i="3" a="1"/>
  <c r="H1356" i="3" s="1"/>
  <c r="K1362" i="3" a="1"/>
  <c r="K1362" i="3" s="1"/>
  <c r="I1362" i="3" a="1"/>
  <c r="I1362" i="3" s="1"/>
  <c r="H1362" i="3" a="1"/>
  <c r="H1362" i="3" s="1"/>
  <c r="K1368" i="3" a="1"/>
  <c r="K1368" i="3" s="1"/>
  <c r="I1368" i="3" a="1"/>
  <c r="I1368" i="3" s="1"/>
  <c r="H1368" i="3" a="1"/>
  <c r="H1368" i="3" s="1"/>
  <c r="L1374" i="3" a="1"/>
  <c r="L1374" i="3" s="1"/>
  <c r="I1374" i="3" a="1"/>
  <c r="I1374" i="3" s="1"/>
  <c r="H1374" i="3" a="1"/>
  <c r="H1374" i="3" s="1"/>
  <c r="L1380" i="3" a="1"/>
  <c r="L1380" i="3" s="1"/>
  <c r="I1380" i="3" a="1"/>
  <c r="I1380" i="3" s="1"/>
  <c r="H1380" i="3" a="1"/>
  <c r="H1380" i="3" s="1"/>
  <c r="I1386" i="3" a="1"/>
  <c r="I1386" i="3" s="1"/>
  <c r="H1386" i="3" a="1"/>
  <c r="H1386" i="3" s="1"/>
  <c r="K1392" i="3" a="1"/>
  <c r="K1392" i="3" s="1"/>
  <c r="I1392" i="3" a="1"/>
  <c r="I1392" i="3" s="1"/>
  <c r="H1392" i="3" a="1"/>
  <c r="H1392" i="3" s="1"/>
  <c r="K1398" i="3" a="1"/>
  <c r="K1398" i="3" s="1"/>
  <c r="I1398" i="3" a="1"/>
  <c r="I1398" i="3" s="1"/>
  <c r="K1404" i="3" a="1"/>
  <c r="K1404" i="3" s="1"/>
  <c r="I1404" i="3" a="1"/>
  <c r="I1404" i="3" s="1"/>
  <c r="H1404" i="3" a="1"/>
  <c r="H1404" i="3" s="1"/>
  <c r="L1410" i="3" a="1"/>
  <c r="L1410" i="3" s="1"/>
  <c r="I1410" i="3" a="1"/>
  <c r="I1410" i="3" s="1"/>
  <c r="H1410" i="3" a="1"/>
  <c r="H1410" i="3" s="1"/>
  <c r="L1416" i="3" a="1"/>
  <c r="L1416" i="3" s="1"/>
  <c r="I1416" i="3" a="1"/>
  <c r="I1416" i="3" s="1"/>
  <c r="H1416" i="3" a="1"/>
  <c r="H1416" i="3" s="1"/>
  <c r="K1422" i="3" a="1"/>
  <c r="K1422" i="3" s="1"/>
  <c r="I1422" i="3" a="1"/>
  <c r="I1422" i="3" s="1"/>
  <c r="H1422" i="3" a="1"/>
  <c r="H1422" i="3" s="1"/>
  <c r="L1428" i="3" a="1"/>
  <c r="L1428" i="3" s="1"/>
  <c r="I1428" i="3" a="1"/>
  <c r="I1428" i="3" s="1"/>
  <c r="H1428" i="3" a="1"/>
  <c r="H1428" i="3" s="1"/>
  <c r="L1434" i="3" a="1"/>
  <c r="L1434" i="3" s="1"/>
  <c r="I1434" i="3" a="1"/>
  <c r="I1434" i="3" s="1"/>
  <c r="H1434" i="3" a="1"/>
  <c r="H1434" i="3" s="1"/>
  <c r="K1440" i="3" a="1"/>
  <c r="K1440" i="3" s="1"/>
  <c r="I1440" i="3" a="1"/>
  <c r="I1440" i="3" s="1"/>
  <c r="H1440" i="3" a="1"/>
  <c r="H1440" i="3" s="1"/>
  <c r="J1434" i="3" a="1"/>
  <c r="J1434" i="3" s="1"/>
  <c r="J1425" i="3" a="1"/>
  <c r="J1425" i="3" s="1"/>
  <c r="J1416" i="3" a="1"/>
  <c r="J1416" i="3" s="1"/>
  <c r="J1407" i="3" a="1"/>
  <c r="J1407" i="3" s="1"/>
  <c r="J1398" i="3" a="1"/>
  <c r="J1398" i="3" s="1"/>
  <c r="J1389" i="3" a="1"/>
  <c r="J1389" i="3" s="1"/>
  <c r="J1380" i="3" a="1"/>
  <c r="J1380" i="3" s="1"/>
  <c r="J1371" i="3" a="1"/>
  <c r="J1371" i="3" s="1"/>
  <c r="J1362" i="3" a="1"/>
  <c r="J1362" i="3" s="1"/>
  <c r="J1346" i="3" a="1"/>
  <c r="J1346" i="3" s="1"/>
  <c r="J1320" i="3" a="1"/>
  <c r="J1320" i="3" s="1"/>
  <c r="J1303" i="3" a="1"/>
  <c r="J1303" i="3" s="1"/>
  <c r="J1286" i="3" a="1"/>
  <c r="J1286" i="3" s="1"/>
  <c r="J1273" i="3" a="1"/>
  <c r="J1273" i="3" s="1"/>
  <c r="J1259" i="3" a="1"/>
  <c r="J1259" i="3" s="1"/>
  <c r="J1245" i="3" a="1"/>
  <c r="J1245" i="3" s="1"/>
  <c r="J1231" i="3" a="1"/>
  <c r="J1231" i="3" s="1"/>
  <c r="J1217" i="3" a="1"/>
  <c r="J1217" i="3" s="1"/>
  <c r="J1188" i="3" a="1"/>
  <c r="J1188" i="3" s="1"/>
  <c r="J1175" i="3" a="1"/>
  <c r="J1175" i="3" s="1"/>
  <c r="J1161" i="3" a="1"/>
  <c r="J1161" i="3" s="1"/>
  <c r="J1146" i="3" a="1"/>
  <c r="J1146" i="3" s="1"/>
  <c r="J1124" i="3" a="1"/>
  <c r="J1124" i="3" s="1"/>
  <c r="J1105" i="3" a="1"/>
  <c r="J1105" i="3" s="1"/>
  <c r="J1085" i="3" a="1"/>
  <c r="J1085" i="3" s="1"/>
  <c r="J1062" i="3" a="1"/>
  <c r="J1062" i="3" s="1"/>
  <c r="J1041" i="3" a="1"/>
  <c r="J1041" i="3" s="1"/>
  <c r="J1019" i="3" a="1"/>
  <c r="J1019" i="3" s="1"/>
  <c r="J955" i="3" a="1"/>
  <c r="J955" i="3" s="1"/>
  <c r="J912" i="3" a="1"/>
  <c r="J912" i="3" s="1"/>
  <c r="J866" i="3" a="1"/>
  <c r="J866" i="3" s="1"/>
  <c r="J836" i="3" a="1"/>
  <c r="J836" i="3" s="1"/>
  <c r="J781" i="3" a="1"/>
  <c r="J781" i="3" s="1"/>
  <c r="J752" i="3" a="1"/>
  <c r="J752" i="3" s="1"/>
  <c r="J693" i="3" a="1"/>
  <c r="J693" i="3" s="1"/>
  <c r="J576" i="3" a="1"/>
  <c r="J576" i="3" s="1"/>
  <c r="J228" i="3" a="1"/>
  <c r="J228" i="3" s="1"/>
  <c r="J116" i="3" a="1"/>
  <c r="J116" i="3" s="1"/>
  <c r="H1389" i="3" a="1"/>
  <c r="H1389" i="3" s="1"/>
  <c r="H1223" i="3" a="1"/>
  <c r="H1223" i="3" s="1"/>
  <c r="I1344" i="3" a="1"/>
  <c r="I1344" i="3" s="1"/>
  <c r="L1425" i="3" a="1"/>
  <c r="L1425" i="3" s="1"/>
  <c r="L1395" i="3" a="1"/>
  <c r="L1395" i="3" s="1"/>
  <c r="L1386" i="3" a="1"/>
  <c r="L1386" i="3" s="1"/>
  <c r="L1345" i="3" a="1"/>
  <c r="L1345" i="3" s="1"/>
  <c r="L1297" i="3" a="1"/>
  <c r="L1297" i="3" s="1"/>
  <c r="L1285" i="3" a="1"/>
  <c r="L1285" i="3" s="1"/>
  <c r="L1273" i="3" a="1"/>
  <c r="L1273" i="3" s="1"/>
  <c r="L1249" i="3" a="1"/>
  <c r="L1249" i="3" s="1"/>
  <c r="L1223" i="3" a="1"/>
  <c r="L1223" i="3" s="1"/>
  <c r="E1438" i="3" a="1"/>
  <c r="E1438" i="3" s="1"/>
  <c r="L1440" i="3" a="1"/>
  <c r="L1440" i="3" s="1"/>
  <c r="L1424" i="3" a="1"/>
  <c r="L1424" i="3" s="1"/>
  <c r="L1417" i="3" a="1"/>
  <c r="L1417" i="3" s="1"/>
  <c r="L1394" i="3" a="1"/>
  <c r="L1394" i="3" s="1"/>
  <c r="L1356" i="3" a="1"/>
  <c r="L1356" i="3" s="1"/>
  <c r="L1332" i="3" a="1"/>
  <c r="L1332" i="3" s="1"/>
  <c r="L1320" i="3" a="1"/>
  <c r="L1320" i="3" s="1"/>
  <c r="L1284" i="3" a="1"/>
  <c r="L1284" i="3" s="1"/>
  <c r="L1272" i="3" a="1"/>
  <c r="L1272" i="3" s="1"/>
  <c r="L1260" i="3" a="1"/>
  <c r="L1260" i="3" s="1"/>
  <c r="L1248" i="3" a="1"/>
  <c r="L1248" i="3" s="1"/>
  <c r="L1222" i="3" a="1"/>
  <c r="L1222" i="3" s="1"/>
  <c r="L1205" i="3" a="1"/>
  <c r="L1205" i="3" s="1"/>
  <c r="E1436" i="3" a="1"/>
  <c r="E1436" i="3" s="1"/>
  <c r="L1405" i="3" a="1"/>
  <c r="L1405" i="3" s="1"/>
  <c r="L1331" i="3" a="1"/>
  <c r="L1331" i="3" s="1"/>
  <c r="L1319" i="3" a="1"/>
  <c r="L1319" i="3" s="1"/>
  <c r="L1307" i="3" a="1"/>
  <c r="L1307" i="3" s="1"/>
  <c r="L1247" i="3" a="1"/>
  <c r="L1247" i="3" s="1"/>
  <c r="L1431" i="3" a="1"/>
  <c r="L1431" i="3" s="1"/>
  <c r="L1423" i="3" a="1"/>
  <c r="L1423" i="3" s="1"/>
  <c r="L1415" i="3" a="1"/>
  <c r="L1415" i="3" s="1"/>
  <c r="L1404" i="3" a="1"/>
  <c r="L1404" i="3" s="1"/>
  <c r="L1364" i="3" a="1"/>
  <c r="L1364" i="3" s="1"/>
  <c r="L1354" i="3" a="1"/>
  <c r="L1354" i="3" s="1"/>
  <c r="L1306" i="3" a="1"/>
  <c r="L1306" i="3" s="1"/>
  <c r="L1294" i="3" a="1"/>
  <c r="L1294" i="3" s="1"/>
  <c r="L1282" i="3" a="1"/>
  <c r="L1282" i="3" s="1"/>
  <c r="L1270" i="3" a="1"/>
  <c r="L1270" i="3" s="1"/>
  <c r="L1199" i="3" a="1"/>
  <c r="L1199" i="3" s="1"/>
  <c r="L1430" i="3" a="1"/>
  <c r="L1430" i="3" s="1"/>
  <c r="L1414" i="3" a="1"/>
  <c r="L1414" i="3" s="1"/>
  <c r="L1403" i="3" a="1"/>
  <c r="L1403" i="3" s="1"/>
  <c r="L1373" i="3" a="1"/>
  <c r="L1373" i="3" s="1"/>
  <c r="L1363" i="3" a="1"/>
  <c r="L1363" i="3" s="1"/>
  <c r="L1341" i="3" a="1"/>
  <c r="L1341" i="3" s="1"/>
  <c r="L1329" i="3" a="1"/>
  <c r="L1329" i="3" s="1"/>
  <c r="L1293" i="3" a="1"/>
  <c r="L1293" i="3" s="1"/>
  <c r="L1281" i="3" a="1"/>
  <c r="L1281" i="3" s="1"/>
  <c r="L1269" i="3" a="1"/>
  <c r="L1269" i="3" s="1"/>
  <c r="L1197" i="3" a="1"/>
  <c r="L1197" i="3" s="1"/>
  <c r="L1437" i="3" a="1"/>
  <c r="L1437" i="3" s="1"/>
  <c r="L1422" i="3" a="1"/>
  <c r="L1422" i="3" s="1"/>
  <c r="L1402" i="3" a="1"/>
  <c r="L1402" i="3" s="1"/>
  <c r="L1392" i="3" a="1"/>
  <c r="L1392" i="3" s="1"/>
  <c r="L1362" i="3" a="1"/>
  <c r="L1362" i="3" s="1"/>
  <c r="L1352" i="3" a="1"/>
  <c r="L1352" i="3" s="1"/>
  <c r="L1340" i="3" a="1"/>
  <c r="L1340" i="3" s="1"/>
  <c r="L1316" i="3" a="1"/>
  <c r="L1316" i="3" s="1"/>
  <c r="L1292" i="3" a="1"/>
  <c r="L1292" i="3" s="1"/>
  <c r="L1280" i="3" a="1"/>
  <c r="L1280" i="3" s="1"/>
  <c r="L1256" i="3" a="1"/>
  <c r="L1256" i="3" s="1"/>
  <c r="L1429" i="3" a="1"/>
  <c r="L1429" i="3" s="1"/>
  <c r="L1421" i="3" a="1"/>
  <c r="L1421" i="3" s="1"/>
  <c r="L1391" i="3" a="1"/>
  <c r="L1391" i="3" s="1"/>
  <c r="L1381" i="3" a="1"/>
  <c r="L1381" i="3" s="1"/>
  <c r="L1339" i="3" a="1"/>
  <c r="L1339" i="3" s="1"/>
  <c r="L1315" i="3" a="1"/>
  <c r="L1315" i="3" s="1"/>
  <c r="L1303" i="3" a="1"/>
  <c r="L1303" i="3" s="1"/>
  <c r="L1255" i="3" a="1"/>
  <c r="L1255" i="3" s="1"/>
  <c r="L1242" i="3" a="1"/>
  <c r="L1242" i="3" s="1"/>
  <c r="L1216" i="3" a="1"/>
  <c r="L1216" i="3" s="1"/>
  <c r="K1441" i="3" a="1"/>
  <c r="K1441" i="3" s="1"/>
  <c r="L1436" i="3" a="1"/>
  <c r="L1436" i="3" s="1"/>
  <c r="L1370" i="3" a="1"/>
  <c r="L1370" i="3" s="1"/>
  <c r="L1338" i="3" a="1"/>
  <c r="L1338" i="3" s="1"/>
  <c r="L1326" i="3" a="1"/>
  <c r="L1326" i="3" s="1"/>
  <c r="L1314" i="3" a="1"/>
  <c r="L1314" i="3" s="1"/>
  <c r="L1302" i="3" a="1"/>
  <c r="L1302" i="3" s="1"/>
  <c r="L1227" i="3" a="1"/>
  <c r="L1227" i="3" s="1"/>
  <c r="L1179" i="3" a="1"/>
  <c r="L1179" i="3" s="1"/>
  <c r="K1436" i="3" a="1"/>
  <c r="K1436" i="3" s="1"/>
  <c r="L1389" i="3" a="1"/>
  <c r="L1389" i="3" s="1"/>
  <c r="L1379" i="3" a="1"/>
  <c r="L1379" i="3" s="1"/>
  <c r="L1349" i="3" a="1"/>
  <c r="L1349" i="3" s="1"/>
  <c r="L1337" i="3" a="1"/>
  <c r="L1337" i="3" s="1"/>
  <c r="L1325" i="3" a="1"/>
  <c r="L1325" i="3" s="1"/>
  <c r="L1313" i="3" a="1"/>
  <c r="L1313" i="3" s="1"/>
  <c r="L1289" i="3" a="1"/>
  <c r="L1289" i="3" s="1"/>
  <c r="L1277" i="3" a="1"/>
  <c r="L1277" i="3" s="1"/>
  <c r="L1240" i="3" a="1"/>
  <c r="L1240" i="3" s="1"/>
  <c r="L1215" i="3" a="1"/>
  <c r="L1215" i="3" s="1"/>
  <c r="K1435" i="3" a="1"/>
  <c r="K1435" i="3" s="1"/>
  <c r="L1435" i="3" a="1"/>
  <c r="L1435" i="3" s="1"/>
  <c r="L1398" i="3" a="1"/>
  <c r="L1398" i="3" s="1"/>
  <c r="L1388" i="3" a="1"/>
  <c r="L1388" i="3" s="1"/>
  <c r="L1378" i="3" a="1"/>
  <c r="L1378" i="3" s="1"/>
  <c r="L1369" i="3" a="1"/>
  <c r="L1369" i="3" s="1"/>
  <c r="L1336" i="3" a="1"/>
  <c r="L1336" i="3" s="1"/>
  <c r="L1324" i="3" a="1"/>
  <c r="L1324" i="3" s="1"/>
  <c r="L1312" i="3" a="1"/>
  <c r="L1312" i="3" s="1"/>
  <c r="L1288" i="3" a="1"/>
  <c r="L1288" i="3" s="1"/>
  <c r="L1276" i="3" a="1"/>
  <c r="L1276" i="3" s="1"/>
  <c r="L1252" i="3" a="1"/>
  <c r="L1252" i="3" s="1"/>
  <c r="L1239" i="3" a="1"/>
  <c r="L1239" i="3" s="1"/>
  <c r="L1226" i="3" a="1"/>
  <c r="L1226" i="3" s="1"/>
  <c r="L1214" i="3" a="1"/>
  <c r="L1214" i="3" s="1"/>
  <c r="K1433" i="3" a="1"/>
  <c r="K1433" i="3" s="1"/>
  <c r="L1397" i="3" a="1"/>
  <c r="L1397" i="3" s="1"/>
  <c r="L1387" i="3" a="1"/>
  <c r="L1387" i="3" s="1"/>
  <c r="L1368" i="3" a="1"/>
  <c r="L1368" i="3" s="1"/>
  <c r="L1347" i="3" a="1"/>
  <c r="L1347" i="3" s="1"/>
  <c r="L1335" i="3" a="1"/>
  <c r="L1335" i="3" s="1"/>
  <c r="L1323" i="3" a="1"/>
  <c r="L1323" i="3" s="1"/>
  <c r="L1275" i="3" a="1"/>
  <c r="L1275" i="3" s="1"/>
  <c r="L1263" i="3" a="1"/>
  <c r="L1263" i="3" s="1"/>
  <c r="L1212" i="3" a="1"/>
  <c r="L1212" i="3" s="1"/>
  <c r="L1433" i="3" a="1"/>
  <c r="L1433" i="3" s="1"/>
  <c r="L1396" i="3" a="1"/>
  <c r="L1396" i="3" s="1"/>
  <c r="L1377" i="3" a="1"/>
  <c r="L1377" i="3" s="1"/>
  <c r="L1357" i="3" a="1"/>
  <c r="L1357" i="3" s="1"/>
  <c r="L1322" i="3" a="1"/>
  <c r="L1322" i="3" s="1"/>
  <c r="L1298" i="3" a="1"/>
  <c r="L1298" i="3" s="1"/>
  <c r="L1286" i="3" a="1"/>
  <c r="L1286" i="3" s="1"/>
  <c r="L1274" i="3" a="1"/>
  <c r="L1274" i="3" s="1"/>
  <c r="L1224" i="3" a="1"/>
  <c r="L1224" i="3" s="1"/>
  <c r="L1211" i="3" a="1"/>
  <c r="L1211" i="3" s="1"/>
  <c r="K6" i="3" a="1"/>
  <c r="K6" i="3" s="1"/>
  <c r="L6" i="3" a="1"/>
  <c r="L6" i="3" s="1"/>
  <c r="K12" i="3" a="1"/>
  <c r="K12" i="3" s="1"/>
  <c r="L12" i="3" a="1"/>
  <c r="L12" i="3" s="1"/>
  <c r="K18" i="3" a="1"/>
  <c r="K18" i="3" s="1"/>
  <c r="L18" i="3" a="1"/>
  <c r="L18" i="3" s="1"/>
  <c r="K24" i="3" a="1"/>
  <c r="K24" i="3" s="1"/>
  <c r="L24" i="3" a="1"/>
  <c r="L24" i="3" s="1"/>
  <c r="K30" i="3" a="1"/>
  <c r="K30" i="3" s="1"/>
  <c r="L30" i="3" a="1"/>
  <c r="L30" i="3" s="1"/>
  <c r="K36" i="3" a="1"/>
  <c r="K36" i="3" s="1"/>
  <c r="L36" i="3" a="1"/>
  <c r="L36" i="3" s="1"/>
  <c r="K42" i="3" a="1"/>
  <c r="K42" i="3" s="1"/>
  <c r="L42" i="3" a="1"/>
  <c r="L42" i="3" s="1"/>
  <c r="K366" i="3" a="1"/>
  <c r="K366" i="3" s="1"/>
  <c r="L366" i="3" a="1"/>
  <c r="L366" i="3" s="1"/>
  <c r="K372" i="3" a="1"/>
  <c r="K372" i="3" s="1"/>
  <c r="L372" i="3" a="1"/>
  <c r="L372" i="3" s="1"/>
  <c r="K378" i="3" a="1"/>
  <c r="K378" i="3" s="1"/>
  <c r="L378" i="3" a="1"/>
  <c r="L378" i="3" s="1"/>
  <c r="K384" i="3" a="1"/>
  <c r="K384" i="3" s="1"/>
  <c r="L384" i="3" a="1"/>
  <c r="L384" i="3" s="1"/>
  <c r="K390" i="3" a="1"/>
  <c r="K390" i="3" s="1"/>
  <c r="L390" i="3" a="1"/>
  <c r="L390" i="3" s="1"/>
  <c r="K396" i="3" a="1"/>
  <c r="K396" i="3" s="1"/>
  <c r="L396" i="3" a="1"/>
  <c r="L396" i="3" s="1"/>
  <c r="K402" i="3" a="1"/>
  <c r="K402" i="3" s="1"/>
  <c r="L402" i="3" a="1"/>
  <c r="L402" i="3" s="1"/>
  <c r="K408" i="3" a="1"/>
  <c r="K408" i="3" s="1"/>
  <c r="L408" i="3" a="1"/>
  <c r="L408" i="3" s="1"/>
  <c r="K444" i="3" a="1"/>
  <c r="K444" i="3" s="1"/>
  <c r="L444" i="3" a="1"/>
  <c r="L444" i="3" s="1"/>
  <c r="K450" i="3" a="1"/>
  <c r="K450" i="3" s="1"/>
  <c r="L450" i="3" a="1"/>
  <c r="L450" i="3" s="1"/>
  <c r="K456" i="3" a="1"/>
  <c r="K456" i="3" s="1"/>
  <c r="L456" i="3" a="1"/>
  <c r="L456" i="3" s="1"/>
  <c r="K492" i="3" a="1"/>
  <c r="K492" i="3" s="1"/>
  <c r="L492" i="3" a="1"/>
  <c r="L492" i="3" s="1"/>
  <c r="K510" i="3" a="1"/>
  <c r="K510" i="3" s="1"/>
  <c r="L510" i="3" a="1"/>
  <c r="L510" i="3" s="1"/>
  <c r="K516" i="3" a="1"/>
  <c r="K516" i="3" s="1"/>
  <c r="L516" i="3" a="1"/>
  <c r="L516" i="3" s="1"/>
  <c r="K576" i="3" a="1"/>
  <c r="K576" i="3" s="1"/>
  <c r="L576" i="3" a="1"/>
  <c r="L576" i="3" s="1"/>
  <c r="K582" i="3" a="1"/>
  <c r="K582" i="3" s="1"/>
  <c r="L582" i="3" a="1"/>
  <c r="L582" i="3" s="1"/>
  <c r="K618" i="3" a="1"/>
  <c r="K618" i="3" s="1"/>
  <c r="L618" i="3" a="1"/>
  <c r="L618" i="3" s="1"/>
  <c r="K642" i="3" a="1"/>
  <c r="K642" i="3" s="1"/>
  <c r="L642" i="3" a="1"/>
  <c r="L642" i="3" s="1"/>
  <c r="K648" i="3" a="1"/>
  <c r="K648" i="3" s="1"/>
  <c r="L648" i="3" a="1"/>
  <c r="L648" i="3" s="1"/>
  <c r="K654" i="3" a="1"/>
  <c r="K654" i="3" s="1"/>
  <c r="L654" i="3" a="1"/>
  <c r="L654" i="3" s="1"/>
  <c r="K660" i="3" a="1"/>
  <c r="K660" i="3" s="1"/>
  <c r="L660" i="3" a="1"/>
  <c r="L660" i="3" s="1"/>
  <c r="K666" i="3" a="1"/>
  <c r="K666" i="3" s="1"/>
  <c r="L666" i="3" a="1"/>
  <c r="L666" i="3" s="1"/>
  <c r="K714" i="3" a="1"/>
  <c r="K714" i="3" s="1"/>
  <c r="L714" i="3" a="1"/>
  <c r="L714" i="3" s="1"/>
  <c r="K720" i="3" a="1"/>
  <c r="K720" i="3" s="1"/>
  <c r="L720" i="3" a="1"/>
  <c r="L720" i="3" s="1"/>
  <c r="K780" i="3" a="1"/>
  <c r="K780" i="3" s="1"/>
  <c r="L780" i="3" a="1"/>
  <c r="L780" i="3" s="1"/>
  <c r="K786" i="3" a="1"/>
  <c r="K786" i="3" s="1"/>
  <c r="L786" i="3" a="1"/>
  <c r="L786" i="3" s="1"/>
  <c r="K792" i="3" a="1"/>
  <c r="K792" i="3" s="1"/>
  <c r="L792" i="3" a="1"/>
  <c r="L792" i="3" s="1"/>
  <c r="K798" i="3" a="1"/>
  <c r="K798" i="3" s="1"/>
  <c r="L798" i="3" a="1"/>
  <c r="L798" i="3" s="1"/>
  <c r="K816" i="3" a="1"/>
  <c r="K816" i="3" s="1"/>
  <c r="L816" i="3" a="1"/>
  <c r="L816" i="3" s="1"/>
  <c r="K822" i="3" a="1"/>
  <c r="K822" i="3" s="1"/>
  <c r="L822" i="3" a="1"/>
  <c r="L822" i="3" s="1"/>
  <c r="K864" i="3" a="1"/>
  <c r="K864" i="3" s="1"/>
  <c r="L864" i="3" a="1"/>
  <c r="L864" i="3" s="1"/>
  <c r="K900" i="3" a="1"/>
  <c r="K900" i="3" s="1"/>
  <c r="L900" i="3" a="1"/>
  <c r="L900" i="3" s="1"/>
  <c r="K906" i="3" a="1"/>
  <c r="K906" i="3" s="1"/>
  <c r="L906" i="3" a="1"/>
  <c r="L906" i="3" s="1"/>
  <c r="K912" i="3" a="1"/>
  <c r="K912" i="3" s="1"/>
  <c r="L912" i="3" a="1"/>
  <c r="L912" i="3" s="1"/>
  <c r="K918" i="3" a="1"/>
  <c r="K918" i="3" s="1"/>
  <c r="L918" i="3" a="1"/>
  <c r="L918" i="3" s="1"/>
  <c r="K924" i="3" a="1"/>
  <c r="K924" i="3" s="1"/>
  <c r="L924" i="3" a="1"/>
  <c r="L924" i="3" s="1"/>
  <c r="K954" i="3" a="1"/>
  <c r="K954" i="3" s="1"/>
  <c r="L954" i="3" a="1"/>
  <c r="L954" i="3" s="1"/>
  <c r="K1038" i="3" a="1"/>
  <c r="K1038" i="3" s="1"/>
  <c r="L1038" i="3" a="1"/>
  <c r="L1038" i="3" s="1"/>
  <c r="K1110" i="3" a="1"/>
  <c r="K1110" i="3" s="1"/>
  <c r="L1110" i="3" a="1"/>
  <c r="L1110" i="3" s="1"/>
  <c r="K1128" i="3" a="1"/>
  <c r="K1128" i="3" s="1"/>
  <c r="L1128" i="3" a="1"/>
  <c r="L1128" i="3" s="1"/>
  <c r="K1134" i="3" a="1"/>
  <c r="K1134" i="3" s="1"/>
  <c r="L1134" i="3" a="1"/>
  <c r="L1134" i="3" s="1"/>
  <c r="K1140" i="3" a="1"/>
  <c r="K1140" i="3" s="1"/>
  <c r="L1140" i="3" a="1"/>
  <c r="L1140" i="3" s="1"/>
  <c r="K1176" i="3" a="1"/>
  <c r="K1176" i="3" s="1"/>
  <c r="L1176" i="3" a="1"/>
  <c r="L1176" i="3" s="1"/>
  <c r="K1194" i="3" a="1"/>
  <c r="K1194" i="3" s="1"/>
  <c r="L1194" i="3" a="1"/>
  <c r="L1194" i="3" s="1"/>
  <c r="K1200" i="3" a="1"/>
  <c r="K1200" i="3" s="1"/>
  <c r="L1200" i="3" a="1"/>
  <c r="L1200" i="3" s="1"/>
  <c r="K1206" i="3" a="1"/>
  <c r="K1206" i="3" s="1"/>
  <c r="L1206" i="3" a="1"/>
  <c r="L1206" i="3" s="1"/>
  <c r="K204" i="3" a="1"/>
  <c r="K204" i="3" s="1"/>
  <c r="L204" i="3" a="1"/>
  <c r="L204" i="3" s="1"/>
  <c r="K210" i="3" a="1"/>
  <c r="K210" i="3" s="1"/>
  <c r="L210" i="3" a="1"/>
  <c r="L210" i="3" s="1"/>
  <c r="K420" i="3" a="1"/>
  <c r="K420" i="3" s="1"/>
  <c r="L420" i="3" a="1"/>
  <c r="L420" i="3" s="1"/>
  <c r="K426" i="3" a="1"/>
  <c r="K426" i="3" s="1"/>
  <c r="L426" i="3" a="1"/>
  <c r="L426" i="3" s="1"/>
  <c r="K432" i="3" a="1"/>
  <c r="K432" i="3" s="1"/>
  <c r="L432" i="3" a="1"/>
  <c r="L432" i="3" s="1"/>
  <c r="K468" i="3" a="1"/>
  <c r="K468" i="3" s="1"/>
  <c r="L468" i="3" a="1"/>
  <c r="L468" i="3" s="1"/>
  <c r="K474" i="3" a="1"/>
  <c r="K474" i="3" s="1"/>
  <c r="L474" i="3" a="1"/>
  <c r="L474" i="3" s="1"/>
  <c r="K480" i="3" a="1"/>
  <c r="K480" i="3" s="1"/>
  <c r="L480" i="3" a="1"/>
  <c r="L480" i="3" s="1"/>
  <c r="K528" i="3" a="1"/>
  <c r="K528" i="3" s="1"/>
  <c r="L528" i="3" a="1"/>
  <c r="L528" i="3" s="1"/>
  <c r="K534" i="3" a="1"/>
  <c r="K534" i="3" s="1"/>
  <c r="L534" i="3" a="1"/>
  <c r="L534" i="3" s="1"/>
  <c r="K540" i="3" a="1"/>
  <c r="K540" i="3" s="1"/>
  <c r="L540" i="3" a="1"/>
  <c r="L540" i="3" s="1"/>
  <c r="K546" i="3" a="1"/>
  <c r="K546" i="3" s="1"/>
  <c r="L546" i="3" a="1"/>
  <c r="L546" i="3" s="1"/>
  <c r="K552" i="3" a="1"/>
  <c r="K552" i="3" s="1"/>
  <c r="L552" i="3" a="1"/>
  <c r="L552" i="3" s="1"/>
  <c r="K558" i="3" a="1"/>
  <c r="K558" i="3" s="1"/>
  <c r="L558" i="3" a="1"/>
  <c r="L558" i="3" s="1"/>
  <c r="K564" i="3" a="1"/>
  <c r="K564" i="3" s="1"/>
  <c r="L564" i="3" a="1"/>
  <c r="L564" i="3" s="1"/>
  <c r="K594" i="3" a="1"/>
  <c r="K594" i="3" s="1"/>
  <c r="L594" i="3" a="1"/>
  <c r="L594" i="3" s="1"/>
  <c r="K600" i="3" a="1"/>
  <c r="K600" i="3" s="1"/>
  <c r="L600" i="3" a="1"/>
  <c r="L600" i="3" s="1"/>
  <c r="K630" i="3" a="1"/>
  <c r="K630" i="3" s="1"/>
  <c r="L630" i="3" a="1"/>
  <c r="L630" i="3" s="1"/>
  <c r="K678" i="3" a="1"/>
  <c r="K678" i="3" s="1"/>
  <c r="L678" i="3" a="1"/>
  <c r="L678" i="3" s="1"/>
  <c r="K684" i="3" a="1"/>
  <c r="K684" i="3" s="1"/>
  <c r="L684" i="3" a="1"/>
  <c r="L684" i="3" s="1"/>
  <c r="K690" i="3" a="1"/>
  <c r="K690" i="3" s="1"/>
  <c r="L690" i="3" a="1"/>
  <c r="L690" i="3" s="1"/>
  <c r="K696" i="3" a="1"/>
  <c r="K696" i="3" s="1"/>
  <c r="L696" i="3" a="1"/>
  <c r="L696" i="3" s="1"/>
  <c r="K702" i="3" a="1"/>
  <c r="K702" i="3" s="1"/>
  <c r="L702" i="3" a="1"/>
  <c r="L702" i="3" s="1"/>
  <c r="K738" i="3" a="1"/>
  <c r="K738" i="3" s="1"/>
  <c r="L738" i="3" a="1"/>
  <c r="L738" i="3" s="1"/>
  <c r="K744" i="3" a="1"/>
  <c r="K744" i="3" s="1"/>
  <c r="L744" i="3" a="1"/>
  <c r="L744" i="3" s="1"/>
  <c r="K750" i="3" a="1"/>
  <c r="K750" i="3" s="1"/>
  <c r="L750" i="3" a="1"/>
  <c r="L750" i="3" s="1"/>
  <c r="K756" i="3" a="1"/>
  <c r="K756" i="3" s="1"/>
  <c r="L756" i="3" a="1"/>
  <c r="L756" i="3" s="1"/>
  <c r="K762" i="3" a="1"/>
  <c r="K762" i="3" s="1"/>
  <c r="L762" i="3" a="1"/>
  <c r="L762" i="3" s="1"/>
  <c r="K768" i="3" a="1"/>
  <c r="K768" i="3" s="1"/>
  <c r="L768" i="3" a="1"/>
  <c r="L768" i="3" s="1"/>
  <c r="K846" i="3" a="1"/>
  <c r="K846" i="3" s="1"/>
  <c r="L846" i="3" a="1"/>
  <c r="L846" i="3" s="1"/>
  <c r="K852" i="3" a="1"/>
  <c r="K852" i="3" s="1"/>
  <c r="L852" i="3" a="1"/>
  <c r="L852" i="3" s="1"/>
  <c r="K888" i="3" a="1"/>
  <c r="K888" i="3" s="1"/>
  <c r="L888" i="3" a="1"/>
  <c r="L888" i="3" s="1"/>
  <c r="K936" i="3" a="1"/>
  <c r="K936" i="3" s="1"/>
  <c r="L936" i="3" a="1"/>
  <c r="L936" i="3" s="1"/>
  <c r="K942" i="3" a="1"/>
  <c r="K942" i="3" s="1"/>
  <c r="L942" i="3" a="1"/>
  <c r="L942" i="3" s="1"/>
  <c r="K990" i="3" a="1"/>
  <c r="K990" i="3" s="1"/>
  <c r="L990" i="3" a="1"/>
  <c r="L990" i="3" s="1"/>
  <c r="K1008" i="3" a="1"/>
  <c r="K1008" i="3" s="1"/>
  <c r="L1008" i="3" a="1"/>
  <c r="L1008" i="3" s="1"/>
  <c r="K1026" i="3" a="1"/>
  <c r="K1026" i="3" s="1"/>
  <c r="L1026" i="3" a="1"/>
  <c r="L1026" i="3" s="1"/>
  <c r="K1050" i="3" a="1"/>
  <c r="K1050" i="3" s="1"/>
  <c r="L1050" i="3" a="1"/>
  <c r="L1050" i="3" s="1"/>
  <c r="K1068" i="3" a="1"/>
  <c r="K1068" i="3" s="1"/>
  <c r="L1068" i="3" a="1"/>
  <c r="L1068" i="3" s="1"/>
  <c r="K1086" i="3" a="1"/>
  <c r="K1086" i="3" s="1"/>
  <c r="L1086" i="3" a="1"/>
  <c r="L1086" i="3" s="1"/>
  <c r="K1152" i="3" a="1"/>
  <c r="K1152" i="3" s="1"/>
  <c r="L1152" i="3" a="1"/>
  <c r="L1152" i="3" s="1"/>
  <c r="K1158" i="3" a="1"/>
  <c r="K1158" i="3" s="1"/>
  <c r="L1158" i="3" a="1"/>
  <c r="L1158" i="3" s="1"/>
  <c r="K109" i="3" a="1"/>
  <c r="K109" i="3" s="1"/>
  <c r="L109" i="3" a="1"/>
  <c r="L109" i="3" s="1"/>
  <c r="K115" i="3" a="1"/>
  <c r="K115" i="3" s="1"/>
  <c r="L115" i="3" a="1"/>
  <c r="L115" i="3" s="1"/>
  <c r="K121" i="3" a="1"/>
  <c r="K121" i="3" s="1"/>
  <c r="L121" i="3" a="1"/>
  <c r="L121" i="3" s="1"/>
  <c r="K127" i="3" a="1"/>
  <c r="K127" i="3" s="1"/>
  <c r="L127" i="3" a="1"/>
  <c r="L127" i="3" s="1"/>
  <c r="K133" i="3" a="1"/>
  <c r="K133" i="3" s="1"/>
  <c r="L133" i="3" a="1"/>
  <c r="L133" i="3" s="1"/>
  <c r="K139" i="3" a="1"/>
  <c r="K139" i="3" s="1"/>
  <c r="L139" i="3" a="1"/>
  <c r="L139" i="3" s="1"/>
  <c r="K145" i="3" a="1"/>
  <c r="K145" i="3" s="1"/>
  <c r="L145" i="3" a="1"/>
  <c r="L145" i="3" s="1"/>
  <c r="K235" i="3" a="1"/>
  <c r="K235" i="3" s="1"/>
  <c r="L235" i="3" a="1"/>
  <c r="L235" i="3" s="1"/>
  <c r="K241" i="3" a="1"/>
  <c r="K241" i="3" s="1"/>
  <c r="L241" i="3" a="1"/>
  <c r="L241" i="3" s="1"/>
  <c r="K247" i="3" a="1"/>
  <c r="K247" i="3" s="1"/>
  <c r="L247" i="3" a="1"/>
  <c r="L247" i="3" s="1"/>
  <c r="K253" i="3" a="1"/>
  <c r="K253" i="3" s="1"/>
  <c r="L253" i="3" a="1"/>
  <c r="L253" i="3" s="1"/>
  <c r="K259" i="3" a="1"/>
  <c r="K259" i="3" s="1"/>
  <c r="L259" i="3" a="1"/>
  <c r="L259" i="3" s="1"/>
  <c r="K265" i="3" a="1"/>
  <c r="K265" i="3" s="1"/>
  <c r="L265" i="3" a="1"/>
  <c r="L265" i="3" s="1"/>
  <c r="K271" i="3" a="1"/>
  <c r="K271" i="3" s="1"/>
  <c r="L271" i="3" a="1"/>
  <c r="L271" i="3" s="1"/>
  <c r="K277" i="3" a="1"/>
  <c r="K277" i="3" s="1"/>
  <c r="L277" i="3" a="1"/>
  <c r="L277" i="3" s="1"/>
  <c r="K367" i="3" a="1"/>
  <c r="K367" i="3" s="1"/>
  <c r="L367" i="3" a="1"/>
  <c r="L367" i="3" s="1"/>
  <c r="K385" i="3" a="1"/>
  <c r="K385" i="3" s="1"/>
  <c r="L385" i="3" a="1"/>
  <c r="L385" i="3" s="1"/>
  <c r="K391" i="3" a="1"/>
  <c r="K391" i="3" s="1"/>
  <c r="L391" i="3" a="1"/>
  <c r="L391" i="3" s="1"/>
  <c r="K397" i="3" a="1"/>
  <c r="K397" i="3" s="1"/>
  <c r="L397" i="3" a="1"/>
  <c r="L397" i="3" s="1"/>
  <c r="K445" i="3" a="1"/>
  <c r="K445" i="3" s="1"/>
  <c r="L445" i="3" a="1"/>
  <c r="L445" i="3" s="1"/>
  <c r="K451" i="3" a="1"/>
  <c r="K451" i="3" s="1"/>
  <c r="L451" i="3" a="1"/>
  <c r="L451" i="3" s="1"/>
  <c r="K457" i="3" a="1"/>
  <c r="K457" i="3" s="1"/>
  <c r="L457" i="3" a="1"/>
  <c r="L457" i="3" s="1"/>
  <c r="K463" i="3" a="1"/>
  <c r="K463" i="3" s="1"/>
  <c r="L463" i="3" a="1"/>
  <c r="L463" i="3" s="1"/>
  <c r="K469" i="3" a="1"/>
  <c r="K469" i="3" s="1"/>
  <c r="L469" i="3" a="1"/>
  <c r="L469" i="3" s="1"/>
  <c r="K475" i="3" a="1"/>
  <c r="K475" i="3" s="1"/>
  <c r="L475" i="3" a="1"/>
  <c r="L475" i="3" s="1"/>
  <c r="K481" i="3" a="1"/>
  <c r="K481" i="3" s="1"/>
  <c r="L481" i="3" a="1"/>
  <c r="L481" i="3" s="1"/>
  <c r="K487" i="3" a="1"/>
  <c r="K487" i="3" s="1"/>
  <c r="L487" i="3" a="1"/>
  <c r="L487" i="3" s="1"/>
  <c r="K493" i="3" a="1"/>
  <c r="K493" i="3" s="1"/>
  <c r="L493" i="3" a="1"/>
  <c r="L493" i="3" s="1"/>
  <c r="K499" i="3" a="1"/>
  <c r="K499" i="3" s="1"/>
  <c r="L499" i="3" a="1"/>
  <c r="L499" i="3" s="1"/>
  <c r="K505" i="3" a="1"/>
  <c r="K505" i="3" s="1"/>
  <c r="L505" i="3" a="1"/>
  <c r="L505" i="3" s="1"/>
  <c r="K511" i="3" a="1"/>
  <c r="K511" i="3" s="1"/>
  <c r="L511" i="3" a="1"/>
  <c r="L511" i="3" s="1"/>
  <c r="K517" i="3" a="1"/>
  <c r="K517" i="3" s="1"/>
  <c r="L517" i="3" a="1"/>
  <c r="L517" i="3" s="1"/>
  <c r="K541" i="3" a="1"/>
  <c r="K541" i="3" s="1"/>
  <c r="L541" i="3" a="1"/>
  <c r="L541" i="3" s="1"/>
  <c r="K547" i="3" a="1"/>
  <c r="K547" i="3" s="1"/>
  <c r="L547" i="3" a="1"/>
  <c r="L547" i="3" s="1"/>
  <c r="K595" i="3" a="1"/>
  <c r="K595" i="3" s="1"/>
  <c r="L595" i="3" a="1"/>
  <c r="L595" i="3" s="1"/>
  <c r="K601" i="3" a="1"/>
  <c r="K601" i="3" s="1"/>
  <c r="L601" i="3" a="1"/>
  <c r="L601" i="3" s="1"/>
  <c r="K607" i="3" a="1"/>
  <c r="K607" i="3" s="1"/>
  <c r="L607" i="3" a="1"/>
  <c r="L607" i="3" s="1"/>
  <c r="K613" i="3" a="1"/>
  <c r="K613" i="3" s="1"/>
  <c r="L613" i="3" a="1"/>
  <c r="L613" i="3" s="1"/>
  <c r="K619" i="3" a="1"/>
  <c r="K619" i="3" s="1"/>
  <c r="L619" i="3" a="1"/>
  <c r="L619" i="3" s="1"/>
  <c r="K625" i="3" a="1"/>
  <c r="K625" i="3" s="1"/>
  <c r="L625" i="3" a="1"/>
  <c r="L625" i="3" s="1"/>
  <c r="K631" i="3" a="1"/>
  <c r="K631" i="3" s="1"/>
  <c r="L631" i="3" a="1"/>
  <c r="L631" i="3" s="1"/>
  <c r="K661" i="3" a="1"/>
  <c r="K661" i="3" s="1"/>
  <c r="L661" i="3" a="1"/>
  <c r="L661" i="3" s="1"/>
  <c r="K667" i="3" a="1"/>
  <c r="K667" i="3" s="1"/>
  <c r="L667" i="3" a="1"/>
  <c r="L667" i="3" s="1"/>
  <c r="K673" i="3" a="1"/>
  <c r="K673" i="3" s="1"/>
  <c r="L673" i="3" a="1"/>
  <c r="L673" i="3" s="1"/>
  <c r="K679" i="3" a="1"/>
  <c r="K679" i="3" s="1"/>
  <c r="L679" i="3" a="1"/>
  <c r="L679" i="3" s="1"/>
  <c r="K685" i="3" a="1"/>
  <c r="K685" i="3" s="1"/>
  <c r="L685" i="3" a="1"/>
  <c r="L685" i="3" s="1"/>
  <c r="K691" i="3" a="1"/>
  <c r="K691" i="3" s="1"/>
  <c r="L691" i="3" a="1"/>
  <c r="L691" i="3" s="1"/>
  <c r="K697" i="3" a="1"/>
  <c r="K697" i="3" s="1"/>
  <c r="L697" i="3" a="1"/>
  <c r="L697" i="3" s="1"/>
  <c r="K715" i="3" a="1"/>
  <c r="K715" i="3" s="1"/>
  <c r="L715" i="3" a="1"/>
  <c r="L715" i="3" s="1"/>
  <c r="K721" i="3" a="1"/>
  <c r="K721" i="3" s="1"/>
  <c r="L721" i="3" a="1"/>
  <c r="L721" i="3" s="1"/>
  <c r="K727" i="3" a="1"/>
  <c r="K727" i="3" s="1"/>
  <c r="L727" i="3" a="1"/>
  <c r="L727" i="3" s="1"/>
  <c r="K733" i="3" a="1"/>
  <c r="K733" i="3" s="1"/>
  <c r="L733" i="3" a="1"/>
  <c r="L733" i="3" s="1"/>
  <c r="K739" i="3" a="1"/>
  <c r="K739" i="3" s="1"/>
  <c r="L739" i="3" a="1"/>
  <c r="L739" i="3" s="1"/>
  <c r="K757" i="3" a="1"/>
  <c r="K757" i="3" s="1"/>
  <c r="L757" i="3" a="1"/>
  <c r="L757" i="3" s="1"/>
  <c r="K763" i="3" a="1"/>
  <c r="K763" i="3" s="1"/>
  <c r="L763" i="3" a="1"/>
  <c r="L763" i="3" s="1"/>
  <c r="K793" i="3" a="1"/>
  <c r="K793" i="3" s="1"/>
  <c r="L793" i="3" a="1"/>
  <c r="L793" i="3" s="1"/>
  <c r="K823" i="3" a="1"/>
  <c r="K823" i="3" s="1"/>
  <c r="L823" i="3" a="1"/>
  <c r="L823" i="3" s="1"/>
  <c r="K829" i="3" a="1"/>
  <c r="K829" i="3" s="1"/>
  <c r="L829" i="3" a="1"/>
  <c r="L829" i="3" s="1"/>
  <c r="K835" i="3" a="1"/>
  <c r="K835" i="3" s="1"/>
  <c r="L835" i="3" a="1"/>
  <c r="L835" i="3" s="1"/>
  <c r="K841" i="3" a="1"/>
  <c r="K841" i="3" s="1"/>
  <c r="L841" i="3" a="1"/>
  <c r="L841" i="3" s="1"/>
  <c r="K847" i="3" a="1"/>
  <c r="K847" i="3" s="1"/>
  <c r="L847" i="3" a="1"/>
  <c r="L847" i="3" s="1"/>
  <c r="K853" i="3" a="1"/>
  <c r="K853" i="3" s="1"/>
  <c r="L853" i="3" a="1"/>
  <c r="L853" i="3" s="1"/>
  <c r="K901" i="3" a="1"/>
  <c r="K901" i="3" s="1"/>
  <c r="L901" i="3" a="1"/>
  <c r="L901" i="3" s="1"/>
  <c r="K907" i="3" a="1"/>
  <c r="K907" i="3" s="1"/>
  <c r="L907" i="3" a="1"/>
  <c r="L907" i="3" s="1"/>
  <c r="K913" i="3" a="1"/>
  <c r="K913" i="3" s="1"/>
  <c r="L913" i="3" a="1"/>
  <c r="L913" i="3" s="1"/>
  <c r="K943" i="3" a="1"/>
  <c r="K943" i="3" s="1"/>
  <c r="L943" i="3" a="1"/>
  <c r="L943" i="3" s="1"/>
  <c r="K973" i="3" a="1"/>
  <c r="K973" i="3" s="1"/>
  <c r="L973" i="3" a="1"/>
  <c r="L973" i="3" s="1"/>
  <c r="K991" i="3" a="1"/>
  <c r="K991" i="3" s="1"/>
  <c r="L991" i="3" a="1"/>
  <c r="L991" i="3" s="1"/>
  <c r="K1063" i="3" a="1"/>
  <c r="K1063" i="3" s="1"/>
  <c r="L1063" i="3" a="1"/>
  <c r="L1063" i="3" s="1"/>
  <c r="K1093" i="3" a="1"/>
  <c r="K1093" i="3" s="1"/>
  <c r="L1093" i="3" a="1"/>
  <c r="L1093" i="3" s="1"/>
  <c r="K1111" i="3" a="1"/>
  <c r="K1111" i="3" s="1"/>
  <c r="L1111" i="3" a="1"/>
  <c r="L1111" i="3" s="1"/>
  <c r="K1165" i="3" a="1"/>
  <c r="K1165" i="3" s="1"/>
  <c r="L1165" i="3" a="1"/>
  <c r="L1165" i="3" s="1"/>
  <c r="K1183" i="3" a="1"/>
  <c r="K1183" i="3" s="1"/>
  <c r="L1183" i="3" a="1"/>
  <c r="L1183" i="3" s="1"/>
  <c r="K1189" i="3" a="1"/>
  <c r="K1189" i="3" s="1"/>
  <c r="L1189" i="3" a="1"/>
  <c r="L1189" i="3" s="1"/>
  <c r="K1195" i="3" a="1"/>
  <c r="K1195" i="3" s="1"/>
  <c r="L1195" i="3" a="1"/>
  <c r="L1195" i="3" s="1"/>
  <c r="K1201" i="3" a="1"/>
  <c r="K1201" i="3" s="1"/>
  <c r="L1201" i="3" a="1"/>
  <c r="L1201" i="3" s="1"/>
  <c r="K1225" i="3" a="1"/>
  <c r="K1225" i="3" s="1"/>
  <c r="L1225" i="3" a="1"/>
  <c r="L1225" i="3" s="1"/>
  <c r="K282" i="3" a="1"/>
  <c r="K282" i="3" s="1"/>
  <c r="L282" i="3" a="1"/>
  <c r="L282" i="3" s="1"/>
  <c r="K288" i="3" a="1"/>
  <c r="K288" i="3" s="1"/>
  <c r="L288" i="3" a="1"/>
  <c r="L288" i="3" s="1"/>
  <c r="K294" i="3" a="1"/>
  <c r="K294" i="3" s="1"/>
  <c r="L294" i="3" a="1"/>
  <c r="L294" i="3" s="1"/>
  <c r="K157" i="3" a="1"/>
  <c r="K157" i="3" s="1"/>
  <c r="L157" i="3" a="1"/>
  <c r="L157" i="3" s="1"/>
  <c r="K163" i="3" a="1"/>
  <c r="K163" i="3" s="1"/>
  <c r="L163" i="3" a="1"/>
  <c r="L163" i="3" s="1"/>
  <c r="K169" i="3" a="1"/>
  <c r="K169" i="3" s="1"/>
  <c r="L169" i="3" a="1"/>
  <c r="L169" i="3" s="1"/>
  <c r="K175" i="3" a="1"/>
  <c r="K175" i="3" s="1"/>
  <c r="L175" i="3" a="1"/>
  <c r="L175" i="3" s="1"/>
  <c r="K181" i="3" a="1"/>
  <c r="K181" i="3" s="1"/>
  <c r="L181" i="3" a="1"/>
  <c r="L181" i="3" s="1"/>
  <c r="K187" i="3" a="1"/>
  <c r="K187" i="3" s="1"/>
  <c r="L187" i="3" a="1"/>
  <c r="L187" i="3" s="1"/>
  <c r="K193" i="3" a="1"/>
  <c r="K193" i="3" s="1"/>
  <c r="L193" i="3" a="1"/>
  <c r="L193" i="3" s="1"/>
  <c r="K199" i="3" a="1"/>
  <c r="K199" i="3" s="1"/>
  <c r="L199" i="3" a="1"/>
  <c r="L199" i="3" s="1"/>
  <c r="K205" i="3" a="1"/>
  <c r="K205" i="3" s="1"/>
  <c r="L205" i="3" a="1"/>
  <c r="L205" i="3" s="1"/>
  <c r="K211" i="3" a="1"/>
  <c r="K211" i="3" s="1"/>
  <c r="L211" i="3" a="1"/>
  <c r="L211" i="3" s="1"/>
  <c r="K217" i="3" a="1"/>
  <c r="K217" i="3" s="1"/>
  <c r="L217" i="3" a="1"/>
  <c r="L217" i="3" s="1"/>
  <c r="K223" i="3" a="1"/>
  <c r="K223" i="3" s="1"/>
  <c r="L223" i="3" a="1"/>
  <c r="L223" i="3" s="1"/>
  <c r="K289" i="3" a="1"/>
  <c r="K289" i="3" s="1"/>
  <c r="L289" i="3" a="1"/>
  <c r="L289" i="3" s="1"/>
  <c r="K295" i="3" a="1"/>
  <c r="K295" i="3" s="1"/>
  <c r="L295" i="3" a="1"/>
  <c r="L295" i="3" s="1"/>
  <c r="K301" i="3" a="1"/>
  <c r="K301" i="3" s="1"/>
  <c r="L301" i="3" a="1"/>
  <c r="L301" i="3" s="1"/>
  <c r="K307" i="3" a="1"/>
  <c r="K307" i="3" s="1"/>
  <c r="L307" i="3" a="1"/>
  <c r="L307" i="3" s="1"/>
  <c r="K313" i="3" a="1"/>
  <c r="K313" i="3" s="1"/>
  <c r="L313" i="3" a="1"/>
  <c r="L313" i="3" s="1"/>
  <c r="K319" i="3" a="1"/>
  <c r="K319" i="3" s="1"/>
  <c r="L319" i="3" a="1"/>
  <c r="L319" i="3" s="1"/>
  <c r="K325" i="3" a="1"/>
  <c r="K325" i="3" s="1"/>
  <c r="L325" i="3" a="1"/>
  <c r="L325" i="3" s="1"/>
  <c r="K331" i="3" a="1"/>
  <c r="K331" i="3" s="1"/>
  <c r="L331" i="3" a="1"/>
  <c r="L331" i="3" s="1"/>
  <c r="K349" i="3" a="1"/>
  <c r="K349" i="3" s="1"/>
  <c r="L349" i="3" a="1"/>
  <c r="L349" i="3" s="1"/>
  <c r="K355" i="3" a="1"/>
  <c r="K355" i="3" s="1"/>
  <c r="L355" i="3" a="1"/>
  <c r="L355" i="3" s="1"/>
  <c r="K409" i="3" a="1"/>
  <c r="K409" i="3" s="1"/>
  <c r="L409" i="3" a="1"/>
  <c r="L409" i="3" s="1"/>
  <c r="K415" i="3" a="1"/>
  <c r="K415" i="3" s="1"/>
  <c r="L415" i="3" a="1"/>
  <c r="L415" i="3" s="1"/>
  <c r="K421" i="3" a="1"/>
  <c r="K421" i="3" s="1"/>
  <c r="L421" i="3" a="1"/>
  <c r="L421" i="3" s="1"/>
  <c r="K427" i="3" a="1"/>
  <c r="K427" i="3" s="1"/>
  <c r="L427" i="3" a="1"/>
  <c r="L427" i="3" s="1"/>
  <c r="K433" i="3" a="1"/>
  <c r="K433" i="3" s="1"/>
  <c r="L433" i="3" a="1"/>
  <c r="L433" i="3" s="1"/>
  <c r="K529" i="3" a="1"/>
  <c r="K529" i="3" s="1"/>
  <c r="L529" i="3" a="1"/>
  <c r="L529" i="3" s="1"/>
  <c r="K559" i="3" a="1"/>
  <c r="K559" i="3" s="1"/>
  <c r="L559" i="3" a="1"/>
  <c r="L559" i="3" s="1"/>
  <c r="K565" i="3" a="1"/>
  <c r="K565" i="3" s="1"/>
  <c r="L565" i="3" a="1"/>
  <c r="L565" i="3" s="1"/>
  <c r="K571" i="3" a="1"/>
  <c r="K571" i="3" s="1"/>
  <c r="L571" i="3" a="1"/>
  <c r="L571" i="3" s="1"/>
  <c r="K643" i="3" a="1"/>
  <c r="K643" i="3" s="1"/>
  <c r="L643" i="3" a="1"/>
  <c r="L643" i="3" s="1"/>
  <c r="K649" i="3" a="1"/>
  <c r="K649" i="3" s="1"/>
  <c r="L649" i="3" a="1"/>
  <c r="L649" i="3" s="1"/>
  <c r="K775" i="3" a="1"/>
  <c r="K775" i="3" s="1"/>
  <c r="L775" i="3" a="1"/>
  <c r="L775" i="3" s="1"/>
  <c r="K781" i="3" a="1"/>
  <c r="K781" i="3" s="1"/>
  <c r="L781" i="3" a="1"/>
  <c r="L781" i="3" s="1"/>
  <c r="K805" i="3" a="1"/>
  <c r="K805" i="3" s="1"/>
  <c r="L805" i="3" a="1"/>
  <c r="L805" i="3" s="1"/>
  <c r="K811" i="3" a="1"/>
  <c r="K811" i="3" s="1"/>
  <c r="L811" i="3" a="1"/>
  <c r="L811" i="3" s="1"/>
  <c r="K865" i="3" a="1"/>
  <c r="K865" i="3" s="1"/>
  <c r="L865" i="3" a="1"/>
  <c r="L865" i="3" s="1"/>
  <c r="K871" i="3" a="1"/>
  <c r="K871" i="3" s="1"/>
  <c r="L871" i="3" a="1"/>
  <c r="L871" i="3" s="1"/>
  <c r="K877" i="3" a="1"/>
  <c r="K877" i="3" s="1"/>
  <c r="L877" i="3" a="1"/>
  <c r="L877" i="3" s="1"/>
  <c r="K883" i="3" a="1"/>
  <c r="K883" i="3" s="1"/>
  <c r="L883" i="3" a="1"/>
  <c r="L883" i="3" s="1"/>
  <c r="K889" i="3" a="1"/>
  <c r="K889" i="3" s="1"/>
  <c r="L889" i="3" a="1"/>
  <c r="L889" i="3" s="1"/>
  <c r="K925" i="3" a="1"/>
  <c r="K925" i="3" s="1"/>
  <c r="L925" i="3" a="1"/>
  <c r="L925" i="3" s="1"/>
  <c r="K955" i="3" a="1"/>
  <c r="K955" i="3" s="1"/>
  <c r="L955" i="3" a="1"/>
  <c r="L955" i="3" s="1"/>
  <c r="K1009" i="3" a="1"/>
  <c r="K1009" i="3" s="1"/>
  <c r="L1009" i="3" a="1"/>
  <c r="L1009" i="3" s="1"/>
  <c r="K1015" i="3" a="1"/>
  <c r="K1015" i="3" s="1"/>
  <c r="L1015" i="3" a="1"/>
  <c r="L1015" i="3" s="1"/>
  <c r="K1051" i="3" a="1"/>
  <c r="K1051" i="3" s="1"/>
  <c r="L1051" i="3" a="1"/>
  <c r="L1051" i="3" s="1"/>
  <c r="K1075" i="3" a="1"/>
  <c r="K1075" i="3" s="1"/>
  <c r="L1075" i="3" a="1"/>
  <c r="L1075" i="3" s="1"/>
  <c r="K1135" i="3" a="1"/>
  <c r="K1135" i="3" s="1"/>
  <c r="L1135" i="3" a="1"/>
  <c r="L1135" i="3" s="1"/>
  <c r="K1153" i="3" a="1"/>
  <c r="K1153" i="3" s="1"/>
  <c r="L1153" i="3" a="1"/>
  <c r="L1153" i="3" s="1"/>
  <c r="K1213" i="3" a="1"/>
  <c r="K1213" i="3" s="1"/>
  <c r="L1213" i="3" a="1"/>
  <c r="L1213" i="3" s="1"/>
  <c r="K1237" i="3" a="1"/>
  <c r="K1237" i="3" s="1"/>
  <c r="L1237" i="3" a="1"/>
  <c r="L1237" i="3" s="1"/>
  <c r="K1243" i="3" a="1"/>
  <c r="K1243" i="3" s="1"/>
  <c r="L1243" i="3" a="1"/>
  <c r="L1243" i="3" s="1"/>
  <c r="K306" i="3" a="1"/>
  <c r="K306" i="3" s="1"/>
  <c r="L306" i="3" a="1"/>
  <c r="L306" i="3" s="1"/>
  <c r="K312" i="3" a="1"/>
  <c r="K312" i="3" s="1"/>
  <c r="L312" i="3" a="1"/>
  <c r="L312" i="3" s="1"/>
  <c r="K318" i="3" a="1"/>
  <c r="K318" i="3" s="1"/>
  <c r="L318" i="3" a="1"/>
  <c r="L318" i="3" s="1"/>
  <c r="K324" i="3" a="1"/>
  <c r="K324" i="3" s="1"/>
  <c r="L324" i="3" a="1"/>
  <c r="L324" i="3" s="1"/>
  <c r="K330" i="3" a="1"/>
  <c r="K330" i="3" s="1"/>
  <c r="L330" i="3" a="1"/>
  <c r="L330" i="3" s="1"/>
  <c r="K80" i="3" a="1"/>
  <c r="K80" i="3" s="1"/>
  <c r="L80" i="3" a="1"/>
  <c r="L80" i="3" s="1"/>
  <c r="K158" i="3" a="1"/>
  <c r="K158" i="3" s="1"/>
  <c r="L158" i="3" a="1"/>
  <c r="L158" i="3" s="1"/>
  <c r="K242" i="3" a="1"/>
  <c r="K242" i="3" s="1"/>
  <c r="L242" i="3" a="1"/>
  <c r="L242" i="3" s="1"/>
  <c r="K248" i="3" a="1"/>
  <c r="K248" i="3" s="1"/>
  <c r="L248" i="3" a="1"/>
  <c r="L248" i="3" s="1"/>
  <c r="K326" i="3" a="1"/>
  <c r="K326" i="3" s="1"/>
  <c r="L326" i="3" a="1"/>
  <c r="L326" i="3" s="1"/>
  <c r="K332" i="3" a="1"/>
  <c r="K332" i="3" s="1"/>
  <c r="L332" i="3" a="1"/>
  <c r="L332" i="3" s="1"/>
  <c r="K338" i="3" a="1"/>
  <c r="K338" i="3" s="1"/>
  <c r="L338" i="3" a="1"/>
  <c r="L338" i="3" s="1"/>
  <c r="K362" i="3" a="1"/>
  <c r="K362" i="3" s="1"/>
  <c r="L362" i="3" a="1"/>
  <c r="L362" i="3" s="1"/>
  <c r="K368" i="3" a="1"/>
  <c r="K368" i="3" s="1"/>
  <c r="L368" i="3" a="1"/>
  <c r="L368" i="3" s="1"/>
  <c r="K374" i="3" a="1"/>
  <c r="K374" i="3" s="1"/>
  <c r="L374" i="3" a="1"/>
  <c r="L374" i="3" s="1"/>
  <c r="K410" i="3" a="1"/>
  <c r="K410" i="3" s="1"/>
  <c r="L410" i="3" a="1"/>
  <c r="L410" i="3" s="1"/>
  <c r="K416" i="3" a="1"/>
  <c r="K416" i="3" s="1"/>
  <c r="L416" i="3" a="1"/>
  <c r="L416" i="3" s="1"/>
  <c r="K422" i="3" a="1"/>
  <c r="K422" i="3" s="1"/>
  <c r="L422" i="3" a="1"/>
  <c r="L422" i="3" s="1"/>
  <c r="K428" i="3" a="1"/>
  <c r="K428" i="3" s="1"/>
  <c r="L428" i="3" a="1"/>
  <c r="L428" i="3" s="1"/>
  <c r="K434" i="3" a="1"/>
  <c r="K434" i="3" s="1"/>
  <c r="L434" i="3" a="1"/>
  <c r="L434" i="3" s="1"/>
  <c r="K464" i="3" a="1"/>
  <c r="K464" i="3" s="1"/>
  <c r="L464" i="3" a="1"/>
  <c r="L464" i="3" s="1"/>
  <c r="K470" i="3" a="1"/>
  <c r="K470" i="3" s="1"/>
  <c r="L470" i="3" a="1"/>
  <c r="L470" i="3" s="1"/>
  <c r="K512" i="3" a="1"/>
  <c r="K512" i="3" s="1"/>
  <c r="L512" i="3" a="1"/>
  <c r="L512" i="3" s="1"/>
  <c r="K518" i="3" a="1"/>
  <c r="K518" i="3" s="1"/>
  <c r="L518" i="3" a="1"/>
  <c r="L518" i="3" s="1"/>
  <c r="K542" i="3" a="1"/>
  <c r="K542" i="3" s="1"/>
  <c r="L542" i="3" a="1"/>
  <c r="L542" i="3" s="1"/>
  <c r="K548" i="3" a="1"/>
  <c r="K548" i="3" s="1"/>
  <c r="L548" i="3" a="1"/>
  <c r="L548" i="3" s="1"/>
  <c r="K578" i="3" a="1"/>
  <c r="K578" i="3" s="1"/>
  <c r="L578" i="3" a="1"/>
  <c r="L578" i="3" s="1"/>
  <c r="K584" i="3" a="1"/>
  <c r="K584" i="3" s="1"/>
  <c r="L584" i="3" a="1"/>
  <c r="L584" i="3" s="1"/>
  <c r="K590" i="3" a="1"/>
  <c r="K590" i="3" s="1"/>
  <c r="L590" i="3" a="1"/>
  <c r="L590" i="3" s="1"/>
  <c r="K608" i="3" a="1"/>
  <c r="K608" i="3" s="1"/>
  <c r="L608" i="3" a="1"/>
  <c r="L608" i="3" s="1"/>
  <c r="K614" i="3" a="1"/>
  <c r="K614" i="3" s="1"/>
  <c r="L614" i="3" a="1"/>
  <c r="L614" i="3" s="1"/>
  <c r="K620" i="3" a="1"/>
  <c r="K620" i="3" s="1"/>
  <c r="L620" i="3" a="1"/>
  <c r="L620" i="3" s="1"/>
  <c r="K626" i="3" a="1"/>
  <c r="K626" i="3" s="1"/>
  <c r="L626" i="3" a="1"/>
  <c r="L626" i="3" s="1"/>
  <c r="K632" i="3" a="1"/>
  <c r="K632" i="3" s="1"/>
  <c r="L632" i="3" a="1"/>
  <c r="L632" i="3" s="1"/>
  <c r="K638" i="3" a="1"/>
  <c r="K638" i="3" s="1"/>
  <c r="L638" i="3" a="1"/>
  <c r="L638" i="3" s="1"/>
  <c r="K644" i="3" a="1"/>
  <c r="K644" i="3" s="1"/>
  <c r="L644" i="3" a="1"/>
  <c r="L644" i="3" s="1"/>
  <c r="K650" i="3" a="1"/>
  <c r="K650" i="3" s="1"/>
  <c r="L650" i="3" a="1"/>
  <c r="L650" i="3" s="1"/>
  <c r="L722" i="3" a="1"/>
  <c r="L722" i="3" s="1"/>
  <c r="K728" i="3" a="1"/>
  <c r="K728" i="3" s="1"/>
  <c r="L728" i="3" a="1"/>
  <c r="L728" i="3" s="1"/>
  <c r="K734" i="3" a="1"/>
  <c r="K734" i="3" s="1"/>
  <c r="L734" i="3" a="1"/>
  <c r="L734" i="3" s="1"/>
  <c r="K740" i="3" a="1"/>
  <c r="K740" i="3" s="1"/>
  <c r="L740" i="3" a="1"/>
  <c r="L740" i="3" s="1"/>
  <c r="K746" i="3" a="1"/>
  <c r="K746" i="3" s="1"/>
  <c r="L746" i="3" a="1"/>
  <c r="L746" i="3" s="1"/>
  <c r="L752" i="3" a="1"/>
  <c r="L752" i="3" s="1"/>
  <c r="K758" i="3" a="1"/>
  <c r="K758" i="3" s="1"/>
  <c r="L758" i="3" a="1"/>
  <c r="L758" i="3" s="1"/>
  <c r="L764" i="3" a="1"/>
  <c r="L764" i="3" s="1"/>
  <c r="L770" i="3" a="1"/>
  <c r="L770" i="3" s="1"/>
  <c r="K776" i="3" a="1"/>
  <c r="K776" i="3" s="1"/>
  <c r="L776" i="3" a="1"/>
  <c r="L776" i="3" s="1"/>
  <c r="K782" i="3" a="1"/>
  <c r="K782" i="3" s="1"/>
  <c r="L782" i="3" a="1"/>
  <c r="L782" i="3" s="1"/>
  <c r="K842" i="3" a="1"/>
  <c r="K842" i="3" s="1"/>
  <c r="L842" i="3" a="1"/>
  <c r="L842" i="3" s="1"/>
  <c r="K866" i="3" a="1"/>
  <c r="K866" i="3" s="1"/>
  <c r="L866" i="3" a="1"/>
  <c r="L866" i="3" s="1"/>
  <c r="K872" i="3" a="1"/>
  <c r="K872" i="3" s="1"/>
  <c r="L872" i="3" a="1"/>
  <c r="L872" i="3" s="1"/>
  <c r="K890" i="3" a="1"/>
  <c r="K890" i="3" s="1"/>
  <c r="L890" i="3" a="1"/>
  <c r="L890" i="3" s="1"/>
  <c r="K950" i="3" a="1"/>
  <c r="K950" i="3" s="1"/>
  <c r="L950" i="3" a="1"/>
  <c r="L950" i="3" s="1"/>
  <c r="K956" i="3" a="1"/>
  <c r="K956" i="3" s="1"/>
  <c r="L956" i="3" a="1"/>
  <c r="L956" i="3" s="1"/>
  <c r="K974" i="3" a="1"/>
  <c r="K974" i="3" s="1"/>
  <c r="L974" i="3" a="1"/>
  <c r="L974" i="3" s="1"/>
  <c r="K980" i="3" a="1"/>
  <c r="K980" i="3" s="1"/>
  <c r="L980" i="3" a="1"/>
  <c r="L980" i="3" s="1"/>
  <c r="K1004" i="3" a="1"/>
  <c r="K1004" i="3" s="1"/>
  <c r="L1004" i="3" a="1"/>
  <c r="L1004" i="3" s="1"/>
  <c r="K1016" i="3" a="1"/>
  <c r="K1016" i="3" s="1"/>
  <c r="L1016" i="3" a="1"/>
  <c r="L1016" i="3" s="1"/>
  <c r="K1076" i="3" a="1"/>
  <c r="K1076" i="3" s="1"/>
  <c r="L1076" i="3" a="1"/>
  <c r="L1076" i="3" s="1"/>
  <c r="K1088" i="3" a="1"/>
  <c r="K1088" i="3" s="1"/>
  <c r="L1088" i="3" a="1"/>
  <c r="L1088" i="3" s="1"/>
  <c r="K1112" i="3" a="1"/>
  <c r="K1112" i="3" s="1"/>
  <c r="L1112" i="3" a="1"/>
  <c r="L1112" i="3" s="1"/>
  <c r="K1136" i="3" a="1"/>
  <c r="K1136" i="3" s="1"/>
  <c r="L1136" i="3" a="1"/>
  <c r="L1136" i="3" s="1"/>
  <c r="K156" i="3" a="1"/>
  <c r="K156" i="3" s="1"/>
  <c r="L156" i="3" a="1"/>
  <c r="L156" i="3" s="1"/>
  <c r="K162" i="3" a="1"/>
  <c r="K162" i="3" s="1"/>
  <c r="L162" i="3" a="1"/>
  <c r="L162" i="3" s="1"/>
  <c r="K168" i="3" a="1"/>
  <c r="K168" i="3" s="1"/>
  <c r="L168" i="3" a="1"/>
  <c r="L168" i="3" s="1"/>
  <c r="K174" i="3" a="1"/>
  <c r="K174" i="3" s="1"/>
  <c r="L174" i="3" a="1"/>
  <c r="L174" i="3" s="1"/>
  <c r="K180" i="3" a="1"/>
  <c r="K180" i="3" s="1"/>
  <c r="L180" i="3" a="1"/>
  <c r="L180" i="3" s="1"/>
  <c r="K186" i="3" a="1"/>
  <c r="K186" i="3" s="1"/>
  <c r="L186" i="3" a="1"/>
  <c r="L186" i="3" s="1"/>
  <c r="K44" i="3" a="1"/>
  <c r="K44" i="3" s="1"/>
  <c r="L44" i="3" a="1"/>
  <c r="L44" i="3" s="1"/>
  <c r="K50" i="3" a="1"/>
  <c r="K50" i="3" s="1"/>
  <c r="L50" i="3" a="1"/>
  <c r="L50" i="3" s="1"/>
  <c r="K56" i="3" a="1"/>
  <c r="K56" i="3" s="1"/>
  <c r="L56" i="3" a="1"/>
  <c r="L56" i="3" s="1"/>
  <c r="K62" i="3" a="1"/>
  <c r="K62" i="3" s="1"/>
  <c r="L62" i="3" a="1"/>
  <c r="L62" i="3" s="1"/>
  <c r="K68" i="3" a="1"/>
  <c r="K68" i="3" s="1"/>
  <c r="L68" i="3" a="1"/>
  <c r="L68" i="3" s="1"/>
  <c r="K140" i="3" a="1"/>
  <c r="K140" i="3" s="1"/>
  <c r="L140" i="3" a="1"/>
  <c r="L140" i="3" s="1"/>
  <c r="K146" i="3" a="1"/>
  <c r="K146" i="3" s="1"/>
  <c r="L146" i="3" a="1"/>
  <c r="L146" i="3" s="1"/>
  <c r="K194" i="3" a="1"/>
  <c r="K194" i="3" s="1"/>
  <c r="L194" i="3" a="1"/>
  <c r="L194" i="3" s="1"/>
  <c r="K200" i="3" a="1"/>
  <c r="K200" i="3" s="1"/>
  <c r="L200" i="3" a="1"/>
  <c r="L200" i="3" s="1"/>
  <c r="K206" i="3" a="1"/>
  <c r="K206" i="3" s="1"/>
  <c r="L206" i="3" a="1"/>
  <c r="L206" i="3" s="1"/>
  <c r="K212" i="3" a="1"/>
  <c r="K212" i="3" s="1"/>
  <c r="L212" i="3" a="1"/>
  <c r="L212" i="3" s="1"/>
  <c r="K218" i="3" a="1"/>
  <c r="K218" i="3" s="1"/>
  <c r="L218" i="3" a="1"/>
  <c r="L218" i="3" s="1"/>
  <c r="K224" i="3" a="1"/>
  <c r="K224" i="3" s="1"/>
  <c r="L224" i="3" a="1"/>
  <c r="L224" i="3" s="1"/>
  <c r="K230" i="3" a="1"/>
  <c r="K230" i="3" s="1"/>
  <c r="L230" i="3" a="1"/>
  <c r="L230" i="3" s="1"/>
  <c r="K350" i="3" a="1"/>
  <c r="K350" i="3" s="1"/>
  <c r="L350" i="3" a="1"/>
  <c r="L350" i="3" s="1"/>
  <c r="K386" i="3" a="1"/>
  <c r="K386" i="3" s="1"/>
  <c r="L386" i="3" a="1"/>
  <c r="L386" i="3" s="1"/>
  <c r="K392" i="3" a="1"/>
  <c r="K392" i="3" s="1"/>
  <c r="L392" i="3" a="1"/>
  <c r="L392" i="3" s="1"/>
  <c r="K398" i="3" a="1"/>
  <c r="K398" i="3" s="1"/>
  <c r="L398" i="3" a="1"/>
  <c r="L398" i="3" s="1"/>
  <c r="K446" i="3" a="1"/>
  <c r="K446" i="3" s="1"/>
  <c r="L446" i="3" a="1"/>
  <c r="L446" i="3" s="1"/>
  <c r="K452" i="3" a="1"/>
  <c r="K452" i="3" s="1"/>
  <c r="L452" i="3" a="1"/>
  <c r="L452" i="3" s="1"/>
  <c r="K482" i="3" a="1"/>
  <c r="K482" i="3" s="1"/>
  <c r="L482" i="3" a="1"/>
  <c r="L482" i="3" s="1"/>
  <c r="K488" i="3" a="1"/>
  <c r="K488" i="3" s="1"/>
  <c r="L488" i="3" a="1"/>
  <c r="L488" i="3" s="1"/>
  <c r="K494" i="3" a="1"/>
  <c r="K494" i="3" s="1"/>
  <c r="L494" i="3" a="1"/>
  <c r="L494" i="3" s="1"/>
  <c r="K500" i="3" a="1"/>
  <c r="K500" i="3" s="1"/>
  <c r="L500" i="3" a="1"/>
  <c r="L500" i="3" s="1"/>
  <c r="K530" i="3" a="1"/>
  <c r="K530" i="3" s="1"/>
  <c r="L530" i="3" a="1"/>
  <c r="L530" i="3" s="1"/>
  <c r="K560" i="3" a="1"/>
  <c r="K560" i="3" s="1"/>
  <c r="L560" i="3" a="1"/>
  <c r="L560" i="3" s="1"/>
  <c r="K566" i="3" a="1"/>
  <c r="K566" i="3" s="1"/>
  <c r="L566" i="3" a="1"/>
  <c r="L566" i="3" s="1"/>
  <c r="K662" i="3" a="1"/>
  <c r="K662" i="3" s="1"/>
  <c r="L662" i="3" a="1"/>
  <c r="L662" i="3" s="1"/>
  <c r="K668" i="3" a="1"/>
  <c r="K668" i="3" s="1"/>
  <c r="L668" i="3" a="1"/>
  <c r="L668" i="3" s="1"/>
  <c r="K698" i="3" a="1"/>
  <c r="K698" i="3" s="1"/>
  <c r="L698" i="3" a="1"/>
  <c r="L698" i="3" s="1"/>
  <c r="K704" i="3" a="1"/>
  <c r="K704" i="3" s="1"/>
  <c r="L704" i="3" a="1"/>
  <c r="L704" i="3" s="1"/>
  <c r="K710" i="3" a="1"/>
  <c r="K710" i="3" s="1"/>
  <c r="L710" i="3" a="1"/>
  <c r="L710" i="3" s="1"/>
  <c r="K794" i="3" a="1"/>
  <c r="K794" i="3" s="1"/>
  <c r="L794" i="3" a="1"/>
  <c r="L794" i="3" s="1"/>
  <c r="K812" i="3" a="1"/>
  <c r="K812" i="3" s="1"/>
  <c r="L812" i="3" a="1"/>
  <c r="L812" i="3" s="1"/>
  <c r="K830" i="3" a="1"/>
  <c r="K830" i="3" s="1"/>
  <c r="L830" i="3" a="1"/>
  <c r="L830" i="3" s="1"/>
  <c r="K854" i="3" a="1"/>
  <c r="K854" i="3" s="1"/>
  <c r="L854" i="3" a="1"/>
  <c r="L854" i="3" s="1"/>
  <c r="K902" i="3" a="1"/>
  <c r="K902" i="3" s="1"/>
  <c r="L902" i="3" a="1"/>
  <c r="L902" i="3" s="1"/>
  <c r="K908" i="3" a="1"/>
  <c r="K908" i="3" s="1"/>
  <c r="L908" i="3" a="1"/>
  <c r="L908" i="3" s="1"/>
  <c r="K914" i="3" a="1"/>
  <c r="K914" i="3" s="1"/>
  <c r="L914" i="3" a="1"/>
  <c r="L914" i="3" s="1"/>
  <c r="K992" i="3" a="1"/>
  <c r="K992" i="3" s="1"/>
  <c r="L992" i="3" a="1"/>
  <c r="L992" i="3" s="1"/>
  <c r="K1028" i="3" a="1"/>
  <c r="K1028" i="3" s="1"/>
  <c r="L1028" i="3" a="1"/>
  <c r="L1028" i="3" s="1"/>
  <c r="K1052" i="3" a="1"/>
  <c r="K1052" i="3" s="1"/>
  <c r="L1052" i="3" a="1"/>
  <c r="L1052" i="3" s="1"/>
  <c r="K1100" i="3" a="1"/>
  <c r="K1100" i="3" s="1"/>
  <c r="L1100" i="3" a="1"/>
  <c r="L1100" i="3" s="1"/>
  <c r="L1124" i="3" a="1"/>
  <c r="L1124" i="3" s="1"/>
  <c r="K1154" i="3" a="1"/>
  <c r="K1154" i="3" s="1"/>
  <c r="L1154" i="3" a="1"/>
  <c r="L1154" i="3" s="1"/>
  <c r="K1178" i="3" a="1"/>
  <c r="K1178" i="3" s="1"/>
  <c r="L1178" i="3" a="1"/>
  <c r="L1178" i="3" s="1"/>
  <c r="K1184" i="3" a="1"/>
  <c r="K1184" i="3" s="1"/>
  <c r="L1184" i="3" a="1"/>
  <c r="L1184" i="3" s="1"/>
  <c r="K1190" i="3" a="1"/>
  <c r="K1190" i="3" s="1"/>
  <c r="L1190" i="3" a="1"/>
  <c r="L1190" i="3" s="1"/>
  <c r="K1196" i="3" a="1"/>
  <c r="K1196" i="3" s="1"/>
  <c r="L1196" i="3" a="1"/>
  <c r="L1196" i="3" s="1"/>
  <c r="K1202" i="3" a="1"/>
  <c r="K1202" i="3" s="1"/>
  <c r="L1202" i="3" a="1"/>
  <c r="L1202" i="3" s="1"/>
  <c r="K54" i="3" a="1"/>
  <c r="K54" i="3" s="1"/>
  <c r="L54" i="3" a="1"/>
  <c r="L54" i="3" s="1"/>
  <c r="K43" i="3" a="1"/>
  <c r="K43" i="3" s="1"/>
  <c r="L43" i="3" a="1"/>
  <c r="L43" i="3" s="1"/>
  <c r="K49" i="3" a="1"/>
  <c r="K49" i="3" s="1"/>
  <c r="L49" i="3" a="1"/>
  <c r="L49" i="3" s="1"/>
  <c r="K55" i="3" a="1"/>
  <c r="K55" i="3" s="1"/>
  <c r="L55" i="3" a="1"/>
  <c r="L55" i="3" s="1"/>
  <c r="K61" i="3" a="1"/>
  <c r="K61" i="3" s="1"/>
  <c r="L61" i="3" a="1"/>
  <c r="L61" i="3" s="1"/>
  <c r="K116" i="3" a="1"/>
  <c r="K116" i="3" s="1"/>
  <c r="L116" i="3" a="1"/>
  <c r="L116" i="3" s="1"/>
  <c r="K122" i="3" a="1"/>
  <c r="K122" i="3" s="1"/>
  <c r="L122" i="3" a="1"/>
  <c r="L122" i="3" s="1"/>
  <c r="K128" i="3" a="1"/>
  <c r="K128" i="3" s="1"/>
  <c r="L128" i="3" a="1"/>
  <c r="L128" i="3" s="1"/>
  <c r="K182" i="3" a="1"/>
  <c r="K182" i="3" s="1"/>
  <c r="L182" i="3" a="1"/>
  <c r="L182" i="3" s="1"/>
  <c r="K260" i="3" a="1"/>
  <c r="K260" i="3" s="1"/>
  <c r="L260" i="3" a="1"/>
  <c r="L260" i="3" s="1"/>
  <c r="K266" i="3" a="1"/>
  <c r="K266" i="3" s="1"/>
  <c r="L266" i="3" a="1"/>
  <c r="L266" i="3" s="1"/>
  <c r="K272" i="3" a="1"/>
  <c r="K272" i="3" s="1"/>
  <c r="L272" i="3" a="1"/>
  <c r="L272" i="3" s="1"/>
  <c r="K45" i="3" a="1"/>
  <c r="K45" i="3" s="1"/>
  <c r="L45" i="3" a="1"/>
  <c r="L45" i="3" s="1"/>
  <c r="K51" i="3" a="1"/>
  <c r="K51" i="3" s="1"/>
  <c r="L51" i="3" a="1"/>
  <c r="L51" i="3" s="1"/>
  <c r="K57" i="3" a="1"/>
  <c r="K57" i="3" s="1"/>
  <c r="L57" i="3" a="1"/>
  <c r="L57" i="3" s="1"/>
  <c r="K93" i="3" a="1"/>
  <c r="K93" i="3" s="1"/>
  <c r="L93" i="3" a="1"/>
  <c r="L93" i="3" s="1"/>
  <c r="K99" i="3" a="1"/>
  <c r="K99" i="3" s="1"/>
  <c r="L99" i="3" a="1"/>
  <c r="L99" i="3" s="1"/>
  <c r="K117" i="3" a="1"/>
  <c r="K117" i="3" s="1"/>
  <c r="L117" i="3" a="1"/>
  <c r="L117" i="3" s="1"/>
  <c r="K135" i="3" a="1"/>
  <c r="K135" i="3" s="1"/>
  <c r="L135" i="3" a="1"/>
  <c r="L135" i="3" s="1"/>
  <c r="K141" i="3" a="1"/>
  <c r="K141" i="3" s="1"/>
  <c r="L141" i="3" a="1"/>
  <c r="L141" i="3" s="1"/>
  <c r="K147" i="3" a="1"/>
  <c r="K147" i="3" s="1"/>
  <c r="L147" i="3" a="1"/>
  <c r="L147" i="3" s="1"/>
  <c r="K195" i="3" a="1"/>
  <c r="K195" i="3" s="1"/>
  <c r="L195" i="3" a="1"/>
  <c r="L195" i="3" s="1"/>
  <c r="K201" i="3" a="1"/>
  <c r="K201" i="3" s="1"/>
  <c r="L201" i="3" a="1"/>
  <c r="L201" i="3" s="1"/>
  <c r="K207" i="3" a="1"/>
  <c r="K207" i="3" s="1"/>
  <c r="L207" i="3" a="1"/>
  <c r="L207" i="3" s="1"/>
  <c r="K213" i="3" a="1"/>
  <c r="K213" i="3" s="1"/>
  <c r="L213" i="3" a="1"/>
  <c r="L213" i="3" s="1"/>
  <c r="K219" i="3" a="1"/>
  <c r="K219" i="3" s="1"/>
  <c r="L219" i="3" a="1"/>
  <c r="L219" i="3" s="1"/>
  <c r="K249" i="3" a="1"/>
  <c r="K249" i="3" s="1"/>
  <c r="L249" i="3" a="1"/>
  <c r="L249" i="3" s="1"/>
  <c r="K255" i="3" a="1"/>
  <c r="K255" i="3" s="1"/>
  <c r="L255" i="3" a="1"/>
  <c r="L255" i="3" s="1"/>
  <c r="K261" i="3" a="1"/>
  <c r="K261" i="3" s="1"/>
  <c r="L261" i="3" a="1"/>
  <c r="L261" i="3" s="1"/>
  <c r="K267" i="3" a="1"/>
  <c r="K267" i="3" s="1"/>
  <c r="L267" i="3" a="1"/>
  <c r="L267" i="3" s="1"/>
  <c r="K273" i="3" a="1"/>
  <c r="K273" i="3" s="1"/>
  <c r="L273" i="3" a="1"/>
  <c r="L273" i="3" s="1"/>
  <c r="K279" i="3" a="1"/>
  <c r="K279" i="3" s="1"/>
  <c r="L279" i="3" a="1"/>
  <c r="L279" i="3" s="1"/>
  <c r="K285" i="3" a="1"/>
  <c r="K285" i="3" s="1"/>
  <c r="L285" i="3" a="1"/>
  <c r="L285" i="3" s="1"/>
  <c r="K315" i="3" a="1"/>
  <c r="K315" i="3" s="1"/>
  <c r="L315" i="3" a="1"/>
  <c r="L315" i="3" s="1"/>
  <c r="K321" i="3" a="1"/>
  <c r="K321" i="3" s="1"/>
  <c r="L321" i="3" a="1"/>
  <c r="L321" i="3" s="1"/>
  <c r="K327" i="3" a="1"/>
  <c r="K327" i="3" s="1"/>
  <c r="L327" i="3" a="1"/>
  <c r="L327" i="3" s="1"/>
  <c r="K333" i="3" a="1"/>
  <c r="K333" i="3" s="1"/>
  <c r="L333" i="3" a="1"/>
  <c r="L333" i="3" s="1"/>
  <c r="K339" i="3" a="1"/>
  <c r="K339" i="3" s="1"/>
  <c r="L339" i="3" a="1"/>
  <c r="L339" i="3" s="1"/>
  <c r="K345" i="3" a="1"/>
  <c r="K345" i="3" s="1"/>
  <c r="L345" i="3" a="1"/>
  <c r="L345" i="3" s="1"/>
  <c r="K351" i="3" a="1"/>
  <c r="K351" i="3" s="1"/>
  <c r="L351" i="3" a="1"/>
  <c r="L351" i="3" s="1"/>
  <c r="K357" i="3" a="1"/>
  <c r="K357" i="3" s="1"/>
  <c r="L357" i="3" a="1"/>
  <c r="L357" i="3" s="1"/>
  <c r="K375" i="3" a="1"/>
  <c r="K375" i="3" s="1"/>
  <c r="L375" i="3" a="1"/>
  <c r="L375" i="3" s="1"/>
  <c r="K387" i="3" a="1"/>
  <c r="K387" i="3" s="1"/>
  <c r="L387" i="3" a="1"/>
  <c r="L387" i="3" s="1"/>
  <c r="K393" i="3" a="1"/>
  <c r="K393" i="3" s="1"/>
  <c r="L393" i="3" a="1"/>
  <c r="L393" i="3" s="1"/>
  <c r="K399" i="3" a="1"/>
  <c r="K399" i="3" s="1"/>
  <c r="L399" i="3" a="1"/>
  <c r="L399" i="3" s="1"/>
  <c r="K435" i="3" a="1"/>
  <c r="K435" i="3" s="1"/>
  <c r="L435" i="3" a="1"/>
  <c r="L435" i="3" s="1"/>
  <c r="K459" i="3" a="1"/>
  <c r="K459" i="3" s="1"/>
  <c r="L459" i="3" a="1"/>
  <c r="L459" i="3" s="1"/>
  <c r="K471" i="3" a="1"/>
  <c r="K471" i="3" s="1"/>
  <c r="L471" i="3" a="1"/>
  <c r="L471" i="3" s="1"/>
  <c r="K489" i="3" a="1"/>
  <c r="K489" i="3" s="1"/>
  <c r="L489" i="3" a="1"/>
  <c r="L489" i="3" s="1"/>
  <c r="K495" i="3" a="1"/>
  <c r="K495" i="3" s="1"/>
  <c r="L495" i="3" a="1"/>
  <c r="L495" i="3" s="1"/>
  <c r="K537" i="3" a="1"/>
  <c r="K537" i="3" s="1"/>
  <c r="L537" i="3" a="1"/>
  <c r="L537" i="3" s="1"/>
  <c r="K543" i="3" a="1"/>
  <c r="K543" i="3" s="1"/>
  <c r="L543" i="3" a="1"/>
  <c r="L543" i="3" s="1"/>
  <c r="K567" i="3" a="1"/>
  <c r="K567" i="3" s="1"/>
  <c r="L567" i="3" a="1"/>
  <c r="L567" i="3" s="1"/>
  <c r="K573" i="3" a="1"/>
  <c r="K573" i="3" s="1"/>
  <c r="L573" i="3" a="1"/>
  <c r="L573" i="3" s="1"/>
  <c r="K597" i="3" a="1"/>
  <c r="K597" i="3" s="1"/>
  <c r="L597" i="3" a="1"/>
  <c r="L597" i="3" s="1"/>
  <c r="K609" i="3" a="1"/>
  <c r="K609" i="3" s="1"/>
  <c r="L609" i="3" a="1"/>
  <c r="L609" i="3" s="1"/>
  <c r="K615" i="3" a="1"/>
  <c r="K615" i="3" s="1"/>
  <c r="L615" i="3" a="1"/>
  <c r="L615" i="3" s="1"/>
  <c r="K621" i="3" a="1"/>
  <c r="K621" i="3" s="1"/>
  <c r="L621" i="3" a="1"/>
  <c r="L621" i="3" s="1"/>
  <c r="K627" i="3" a="1"/>
  <c r="K627" i="3" s="1"/>
  <c r="L627" i="3" a="1"/>
  <c r="L627" i="3" s="1"/>
  <c r="K633" i="3" a="1"/>
  <c r="K633" i="3" s="1"/>
  <c r="L633" i="3" a="1"/>
  <c r="L633" i="3" s="1"/>
  <c r="K687" i="3" a="1"/>
  <c r="K687" i="3" s="1"/>
  <c r="L687" i="3" a="1"/>
  <c r="L687" i="3" s="1"/>
  <c r="K759" i="3" a="1"/>
  <c r="K759" i="3" s="1"/>
  <c r="L759" i="3" a="1"/>
  <c r="L759" i="3" s="1"/>
  <c r="K765" i="3" a="1"/>
  <c r="K765" i="3" s="1"/>
  <c r="L765" i="3" a="1"/>
  <c r="L765" i="3" s="1"/>
  <c r="K771" i="3" a="1"/>
  <c r="K771" i="3" s="1"/>
  <c r="L771" i="3" a="1"/>
  <c r="L771" i="3" s="1"/>
  <c r="K777" i="3" a="1"/>
  <c r="K777" i="3" s="1"/>
  <c r="L777" i="3" a="1"/>
  <c r="L777" i="3" s="1"/>
  <c r="K783" i="3" a="1"/>
  <c r="K783" i="3" s="1"/>
  <c r="L783" i="3" a="1"/>
  <c r="L783" i="3" s="1"/>
  <c r="K795" i="3" a="1"/>
  <c r="K795" i="3" s="1"/>
  <c r="L795" i="3" a="1"/>
  <c r="L795" i="3" s="1"/>
  <c r="K843" i="3" a="1"/>
  <c r="K843" i="3" s="1"/>
  <c r="L843" i="3" a="1"/>
  <c r="L843" i="3" s="1"/>
  <c r="K903" i="3" a="1"/>
  <c r="K903" i="3" s="1"/>
  <c r="L903" i="3" a="1"/>
  <c r="L903" i="3" s="1"/>
  <c r="K933" i="3" a="1"/>
  <c r="K933" i="3" s="1"/>
  <c r="L933" i="3" a="1"/>
  <c r="L933" i="3" s="1"/>
  <c r="K945" i="3" a="1"/>
  <c r="K945" i="3" s="1"/>
  <c r="L945" i="3" a="1"/>
  <c r="L945" i="3" s="1"/>
  <c r="K957" i="3" a="1"/>
  <c r="K957" i="3" s="1"/>
  <c r="L957" i="3" a="1"/>
  <c r="L957" i="3" s="1"/>
  <c r="K963" i="3" a="1"/>
  <c r="K963" i="3" s="1"/>
  <c r="L963" i="3" a="1"/>
  <c r="L963" i="3" s="1"/>
  <c r="K969" i="3" a="1"/>
  <c r="K969" i="3" s="1"/>
  <c r="L969" i="3" a="1"/>
  <c r="L969" i="3" s="1"/>
  <c r="K999" i="3" a="1"/>
  <c r="K999" i="3" s="1"/>
  <c r="L999" i="3" a="1"/>
  <c r="L999" i="3" s="1"/>
  <c r="K1005" i="3" a="1"/>
  <c r="K1005" i="3" s="1"/>
  <c r="L1005" i="3" a="1"/>
  <c r="L1005" i="3" s="1"/>
  <c r="K1017" i="3" a="1"/>
  <c r="K1017" i="3" s="1"/>
  <c r="L1017" i="3" a="1"/>
  <c r="L1017" i="3" s="1"/>
  <c r="K1023" i="3" a="1"/>
  <c r="K1023" i="3" s="1"/>
  <c r="L1023" i="3" a="1"/>
  <c r="L1023" i="3" s="1"/>
  <c r="K1029" i="3" a="1"/>
  <c r="K1029" i="3" s="1"/>
  <c r="L1029" i="3" a="1"/>
  <c r="L1029" i="3" s="1"/>
  <c r="K1041" i="3" a="1"/>
  <c r="K1041" i="3" s="1"/>
  <c r="L1041" i="3" a="1"/>
  <c r="L1041" i="3" s="1"/>
  <c r="K1047" i="3" a="1"/>
  <c r="K1047" i="3" s="1"/>
  <c r="L1047" i="3" a="1"/>
  <c r="L1047" i="3" s="1"/>
  <c r="K1053" i="3" a="1"/>
  <c r="K1053" i="3" s="1"/>
  <c r="L1053" i="3" a="1"/>
  <c r="L1053" i="3" s="1"/>
  <c r="K1059" i="3" a="1"/>
  <c r="K1059" i="3" s="1"/>
  <c r="L1059" i="3" a="1"/>
  <c r="L1059" i="3" s="1"/>
  <c r="K1071" i="3" a="1"/>
  <c r="K1071" i="3" s="1"/>
  <c r="L1071" i="3" a="1"/>
  <c r="L1071" i="3" s="1"/>
  <c r="K1077" i="3" a="1"/>
  <c r="K1077" i="3" s="1"/>
  <c r="L1077" i="3" a="1"/>
  <c r="L1077" i="3" s="1"/>
  <c r="K1083" i="3" a="1"/>
  <c r="K1083" i="3" s="1"/>
  <c r="L1083" i="3" a="1"/>
  <c r="L1083" i="3" s="1"/>
  <c r="L1089" i="3" a="1"/>
  <c r="L1089" i="3" s="1"/>
  <c r="K1101" i="3" a="1"/>
  <c r="K1101" i="3" s="1"/>
  <c r="L1101" i="3" a="1"/>
  <c r="L1101" i="3" s="1"/>
  <c r="K1107" i="3" a="1"/>
  <c r="K1107" i="3" s="1"/>
  <c r="L1107" i="3" a="1"/>
  <c r="L1107" i="3" s="1"/>
  <c r="K1113" i="3" a="1"/>
  <c r="K1113" i="3" s="1"/>
  <c r="L1113" i="3" a="1"/>
  <c r="L1113" i="3" s="1"/>
  <c r="K1119" i="3" a="1"/>
  <c r="K1119" i="3" s="1"/>
  <c r="L1119" i="3" a="1"/>
  <c r="L1119" i="3" s="1"/>
  <c r="K1131" i="3" a="1"/>
  <c r="K1131" i="3" s="1"/>
  <c r="L1131" i="3" a="1"/>
  <c r="L1131" i="3" s="1"/>
  <c r="K1143" i="3" a="1"/>
  <c r="K1143" i="3" s="1"/>
  <c r="L1143" i="3" a="1"/>
  <c r="L1143" i="3" s="1"/>
  <c r="K1155" i="3" a="1"/>
  <c r="K1155" i="3" s="1"/>
  <c r="L1155" i="3" a="1"/>
  <c r="L1155" i="3" s="1"/>
  <c r="K1161" i="3" a="1"/>
  <c r="K1161" i="3" s="1"/>
  <c r="L1161" i="3" a="1"/>
  <c r="L1161" i="3" s="1"/>
  <c r="K66" i="3" a="1"/>
  <c r="K66" i="3" s="1"/>
  <c r="L66" i="3" a="1"/>
  <c r="L66" i="3" s="1"/>
  <c r="K72" i="3" a="1"/>
  <c r="K72" i="3" s="1"/>
  <c r="L72" i="3" a="1"/>
  <c r="L72" i="3" s="1"/>
  <c r="K78" i="3" a="1"/>
  <c r="K78" i="3" s="1"/>
  <c r="L78" i="3" a="1"/>
  <c r="L78" i="3" s="1"/>
  <c r="K84" i="3" a="1"/>
  <c r="K84" i="3" s="1"/>
  <c r="L84" i="3" a="1"/>
  <c r="L84" i="3" s="1"/>
  <c r="K90" i="3" a="1"/>
  <c r="K90" i="3" s="1"/>
  <c r="L90" i="3" a="1"/>
  <c r="L90" i="3" s="1"/>
  <c r="K96" i="3" a="1"/>
  <c r="K96" i="3" s="1"/>
  <c r="L96" i="3" a="1"/>
  <c r="L96" i="3" s="1"/>
  <c r="K102" i="3" a="1"/>
  <c r="K102" i="3" s="1"/>
  <c r="L102" i="3" a="1"/>
  <c r="L102" i="3" s="1"/>
  <c r="K108" i="3" a="1"/>
  <c r="K108" i="3" s="1"/>
  <c r="L108" i="3" a="1"/>
  <c r="L108" i="3" s="1"/>
  <c r="K73" i="3" a="1"/>
  <c r="K73" i="3" s="1"/>
  <c r="L73" i="3" a="1"/>
  <c r="L73" i="3" s="1"/>
  <c r="K92" i="3" a="1"/>
  <c r="K92" i="3" s="1"/>
  <c r="L92" i="3" a="1"/>
  <c r="L92" i="3" s="1"/>
  <c r="K98" i="3" a="1"/>
  <c r="K98" i="3" s="1"/>
  <c r="L98" i="3" a="1"/>
  <c r="L98" i="3" s="1"/>
  <c r="K104" i="3" a="1"/>
  <c r="K104" i="3" s="1"/>
  <c r="L104" i="3" a="1"/>
  <c r="L104" i="3" s="1"/>
  <c r="K170" i="3" a="1"/>
  <c r="K170" i="3" s="1"/>
  <c r="L170" i="3" a="1"/>
  <c r="L170" i="3" s="1"/>
  <c r="K284" i="3" a="1"/>
  <c r="K284" i="3" s="1"/>
  <c r="L284" i="3" a="1"/>
  <c r="L284" i="3" s="1"/>
  <c r="K290" i="3" a="1"/>
  <c r="K290" i="3" s="1"/>
  <c r="L290" i="3" a="1"/>
  <c r="L290" i="3" s="1"/>
  <c r="K296" i="3" a="1"/>
  <c r="K296" i="3" s="1"/>
  <c r="L296" i="3" a="1"/>
  <c r="L296" i="3" s="1"/>
  <c r="K302" i="3" a="1"/>
  <c r="K302" i="3" s="1"/>
  <c r="L302" i="3" a="1"/>
  <c r="L302" i="3" s="1"/>
  <c r="K308" i="3" a="1"/>
  <c r="K308" i="3" s="1"/>
  <c r="L308" i="3" a="1"/>
  <c r="L308" i="3" s="1"/>
  <c r="K3" i="3" a="1"/>
  <c r="K3" i="3" s="1"/>
  <c r="L3" i="3" a="1"/>
  <c r="L3" i="3" s="1"/>
  <c r="K9" i="3" a="1"/>
  <c r="K9" i="3" s="1"/>
  <c r="L9" i="3" a="1"/>
  <c r="L9" i="3" s="1"/>
  <c r="K15" i="3" a="1"/>
  <c r="K15" i="3" s="1"/>
  <c r="L15" i="3" a="1"/>
  <c r="L15" i="3" s="1"/>
  <c r="K21" i="3" a="1"/>
  <c r="K21" i="3" s="1"/>
  <c r="L21" i="3" a="1"/>
  <c r="L21" i="3" s="1"/>
  <c r="K27" i="3" a="1"/>
  <c r="K27" i="3" s="1"/>
  <c r="L27" i="3" a="1"/>
  <c r="L27" i="3" s="1"/>
  <c r="K33" i="3" a="1"/>
  <c r="K33" i="3" s="1"/>
  <c r="L33" i="3" a="1"/>
  <c r="L33" i="3" s="1"/>
  <c r="K69" i="3" a="1"/>
  <c r="K69" i="3" s="1"/>
  <c r="L69" i="3" a="1"/>
  <c r="L69" i="3" s="1"/>
  <c r="K75" i="3" a="1"/>
  <c r="K75" i="3" s="1"/>
  <c r="L75" i="3" a="1"/>
  <c r="L75" i="3" s="1"/>
  <c r="K81" i="3" a="1"/>
  <c r="K81" i="3" s="1"/>
  <c r="L81" i="3" a="1"/>
  <c r="L81" i="3" s="1"/>
  <c r="K159" i="3" a="1"/>
  <c r="K159" i="3" s="1"/>
  <c r="L159" i="3" a="1"/>
  <c r="L159" i="3" s="1"/>
  <c r="K165" i="3" a="1"/>
  <c r="K165" i="3" s="1"/>
  <c r="L165" i="3" a="1"/>
  <c r="L165" i="3" s="1"/>
  <c r="K171" i="3" a="1"/>
  <c r="K171" i="3" s="1"/>
  <c r="L171" i="3" a="1"/>
  <c r="L171" i="3" s="1"/>
  <c r="K177" i="3" a="1"/>
  <c r="K177" i="3" s="1"/>
  <c r="L177" i="3" a="1"/>
  <c r="L177" i="3" s="1"/>
  <c r="K183" i="3" a="1"/>
  <c r="K183" i="3" s="1"/>
  <c r="L183" i="3" a="1"/>
  <c r="L183" i="3" s="1"/>
  <c r="K231" i="3" a="1"/>
  <c r="K231" i="3" s="1"/>
  <c r="L231" i="3" a="1"/>
  <c r="L231" i="3" s="1"/>
  <c r="K237" i="3" a="1"/>
  <c r="K237" i="3" s="1"/>
  <c r="L237" i="3" a="1"/>
  <c r="L237" i="3" s="1"/>
  <c r="K303" i="3" a="1"/>
  <c r="K303" i="3" s="1"/>
  <c r="L303" i="3" a="1"/>
  <c r="L303" i="3" s="1"/>
  <c r="K411" i="3" a="1"/>
  <c r="K411" i="3" s="1"/>
  <c r="L411" i="3" a="1"/>
  <c r="L411" i="3" s="1"/>
  <c r="K417" i="3" a="1"/>
  <c r="K417" i="3" s="1"/>
  <c r="L417" i="3" a="1"/>
  <c r="L417" i="3" s="1"/>
  <c r="K423" i="3" a="1"/>
  <c r="K423" i="3" s="1"/>
  <c r="L423" i="3" a="1"/>
  <c r="L423" i="3" s="1"/>
  <c r="K447" i="3" a="1"/>
  <c r="K447" i="3" s="1"/>
  <c r="L447" i="3" a="1"/>
  <c r="L447" i="3" s="1"/>
  <c r="K507" i="3" a="1"/>
  <c r="K507" i="3" s="1"/>
  <c r="L507" i="3" a="1"/>
  <c r="L507" i="3" s="1"/>
  <c r="K513" i="3" a="1"/>
  <c r="K513" i="3" s="1"/>
  <c r="L513" i="3" a="1"/>
  <c r="L513" i="3" s="1"/>
  <c r="K519" i="3" a="1"/>
  <c r="K519" i="3" s="1"/>
  <c r="L519" i="3" a="1"/>
  <c r="L519" i="3" s="1"/>
  <c r="K525" i="3" a="1"/>
  <c r="K525" i="3" s="1"/>
  <c r="L525" i="3" a="1"/>
  <c r="L525" i="3" s="1"/>
  <c r="K585" i="3" a="1"/>
  <c r="K585" i="3" s="1"/>
  <c r="L585" i="3" a="1"/>
  <c r="L585" i="3" s="1"/>
  <c r="K645" i="3" a="1"/>
  <c r="K645" i="3" s="1"/>
  <c r="L645" i="3" a="1"/>
  <c r="L645" i="3" s="1"/>
  <c r="K663" i="3" a="1"/>
  <c r="K663" i="3" s="1"/>
  <c r="L663" i="3" a="1"/>
  <c r="L663" i="3" s="1"/>
  <c r="K669" i="3" a="1"/>
  <c r="K669" i="3" s="1"/>
  <c r="L669" i="3" a="1"/>
  <c r="L669" i="3" s="1"/>
  <c r="K675" i="3" a="1"/>
  <c r="K675" i="3" s="1"/>
  <c r="L675" i="3" a="1"/>
  <c r="L675" i="3" s="1"/>
  <c r="K705" i="3" a="1"/>
  <c r="K705" i="3" s="1"/>
  <c r="L705" i="3" a="1"/>
  <c r="L705" i="3" s="1"/>
  <c r="K711" i="3" a="1"/>
  <c r="K711" i="3" s="1"/>
  <c r="L711" i="3" a="1"/>
  <c r="L711" i="3" s="1"/>
  <c r="K717" i="3" a="1"/>
  <c r="K717" i="3" s="1"/>
  <c r="L717" i="3" a="1"/>
  <c r="L717" i="3" s="1"/>
  <c r="K723" i="3" a="1"/>
  <c r="K723" i="3" s="1"/>
  <c r="L723" i="3" a="1"/>
  <c r="L723" i="3" s="1"/>
  <c r="K729" i="3" a="1"/>
  <c r="K729" i="3" s="1"/>
  <c r="L729" i="3" a="1"/>
  <c r="L729" i="3" s="1"/>
  <c r="K735" i="3" a="1"/>
  <c r="K735" i="3" s="1"/>
  <c r="L735" i="3" a="1"/>
  <c r="L735" i="3" s="1"/>
  <c r="K741" i="3" a="1"/>
  <c r="K741" i="3" s="1"/>
  <c r="L741" i="3" a="1"/>
  <c r="L741" i="3" s="1"/>
  <c r="K747" i="3" a="1"/>
  <c r="K747" i="3" s="1"/>
  <c r="L747" i="3" a="1"/>
  <c r="L747" i="3" s="1"/>
  <c r="K807" i="3" a="1"/>
  <c r="K807" i="3" s="1"/>
  <c r="L807" i="3" a="1"/>
  <c r="L807" i="3" s="1"/>
  <c r="K831" i="3" a="1"/>
  <c r="K831" i="3" s="1"/>
  <c r="L831" i="3" a="1"/>
  <c r="L831" i="3" s="1"/>
  <c r="K855" i="3" a="1"/>
  <c r="K855" i="3" s="1"/>
  <c r="L855" i="3" a="1"/>
  <c r="L855" i="3" s="1"/>
  <c r="K879" i="3" a="1"/>
  <c r="K879" i="3" s="1"/>
  <c r="L879" i="3" a="1"/>
  <c r="L879" i="3" s="1"/>
  <c r="K915" i="3" a="1"/>
  <c r="K915" i="3" s="1"/>
  <c r="L915" i="3" a="1"/>
  <c r="L915" i="3" s="1"/>
  <c r="K342" i="3" a="1"/>
  <c r="K342" i="3" s="1"/>
  <c r="L342" i="3" a="1"/>
  <c r="L342" i="3" s="1"/>
  <c r="K348" i="3" a="1"/>
  <c r="K348" i="3" s="1"/>
  <c r="L348" i="3" a="1"/>
  <c r="L348" i="3" s="1"/>
  <c r="K354" i="3" a="1"/>
  <c r="K354" i="3" s="1"/>
  <c r="L354" i="3" a="1"/>
  <c r="L354" i="3" s="1"/>
  <c r="K7" i="3" a="1"/>
  <c r="K7" i="3" s="1"/>
  <c r="L7" i="3" a="1"/>
  <c r="L7" i="3" s="1"/>
  <c r="K13" i="3" a="1"/>
  <c r="K13" i="3" s="1"/>
  <c r="L13" i="3" a="1"/>
  <c r="L13" i="3" s="1"/>
  <c r="K19" i="3" a="1"/>
  <c r="K19" i="3" s="1"/>
  <c r="L19" i="3" a="1"/>
  <c r="L19" i="3" s="1"/>
  <c r="K25" i="3" a="1"/>
  <c r="K25" i="3" s="1"/>
  <c r="L25" i="3" a="1"/>
  <c r="L25" i="3" s="1"/>
  <c r="K31" i="3" a="1"/>
  <c r="K31" i="3" s="1"/>
  <c r="L31" i="3" a="1"/>
  <c r="L31" i="3" s="1"/>
  <c r="K148" i="3" a="1"/>
  <c r="K148" i="3" s="1"/>
  <c r="L148" i="3" a="1"/>
  <c r="L148" i="3" s="1"/>
  <c r="K154" i="3" a="1"/>
  <c r="K154" i="3" s="1"/>
  <c r="L154" i="3" a="1"/>
  <c r="L154" i="3" s="1"/>
  <c r="K160" i="3" a="1"/>
  <c r="K160" i="3" s="1"/>
  <c r="L160" i="3" a="1"/>
  <c r="L160" i="3" s="1"/>
  <c r="K166" i="3" a="1"/>
  <c r="K166" i="3" s="1"/>
  <c r="L166" i="3" a="1"/>
  <c r="L166" i="3" s="1"/>
  <c r="K268" i="3" a="1"/>
  <c r="K268" i="3" s="1"/>
  <c r="L268" i="3" a="1"/>
  <c r="L268" i="3" s="1"/>
  <c r="K352" i="3" a="1"/>
  <c r="K352" i="3" s="1"/>
  <c r="L352" i="3" a="1"/>
  <c r="L352" i="3" s="1"/>
  <c r="K358" i="3" a="1"/>
  <c r="K358" i="3" s="1"/>
  <c r="L358" i="3" a="1"/>
  <c r="L358" i="3" s="1"/>
  <c r="K364" i="3" a="1"/>
  <c r="K364" i="3" s="1"/>
  <c r="L364" i="3" a="1"/>
  <c r="L364" i="3" s="1"/>
  <c r="K370" i="3" a="1"/>
  <c r="K370" i="3" s="1"/>
  <c r="L370" i="3" a="1"/>
  <c r="L370" i="3" s="1"/>
  <c r="K376" i="3" a="1"/>
  <c r="K376" i="3" s="1"/>
  <c r="L376" i="3" a="1"/>
  <c r="L376" i="3" s="1"/>
  <c r="K508" i="3" a="1"/>
  <c r="K508" i="3" s="1"/>
  <c r="L508" i="3" a="1"/>
  <c r="L508" i="3" s="1"/>
  <c r="K514" i="3" a="1"/>
  <c r="K514" i="3" s="1"/>
  <c r="L514" i="3" a="1"/>
  <c r="L514" i="3" s="1"/>
  <c r="K520" i="3" a="1"/>
  <c r="K520" i="3" s="1"/>
  <c r="L520" i="3" a="1"/>
  <c r="L520" i="3" s="1"/>
  <c r="K526" i="3" a="1"/>
  <c r="K526" i="3" s="1"/>
  <c r="L526" i="3" a="1"/>
  <c r="L526" i="3" s="1"/>
  <c r="K532" i="3" a="1"/>
  <c r="K532" i="3" s="1"/>
  <c r="L532" i="3" a="1"/>
  <c r="L532" i="3" s="1"/>
  <c r="K538" i="3" a="1"/>
  <c r="K538" i="3" s="1"/>
  <c r="L538" i="3" a="1"/>
  <c r="L538" i="3" s="1"/>
  <c r="K610" i="3" a="1"/>
  <c r="K610" i="3" s="1"/>
  <c r="L610" i="3" a="1"/>
  <c r="L610" i="3" s="1"/>
  <c r="K616" i="3" a="1"/>
  <c r="K616" i="3" s="1"/>
  <c r="L616" i="3" a="1"/>
  <c r="L616" i="3" s="1"/>
  <c r="K628" i="3" a="1"/>
  <c r="K628" i="3" s="1"/>
  <c r="L628" i="3" a="1"/>
  <c r="L628" i="3" s="1"/>
  <c r="K634" i="3" a="1"/>
  <c r="K634" i="3" s="1"/>
  <c r="L634" i="3" a="1"/>
  <c r="L634" i="3" s="1"/>
  <c r="K640" i="3" a="1"/>
  <c r="K640" i="3" s="1"/>
  <c r="L640" i="3" a="1"/>
  <c r="L640" i="3" s="1"/>
  <c r="K700" i="3" a="1"/>
  <c r="K700" i="3" s="1"/>
  <c r="L700" i="3" a="1"/>
  <c r="L700" i="3" s="1"/>
  <c r="K760" i="3" a="1"/>
  <c r="K760" i="3" s="1"/>
  <c r="L760" i="3" a="1"/>
  <c r="L760" i="3" s="1"/>
  <c r="K772" i="3" a="1"/>
  <c r="K772" i="3" s="1"/>
  <c r="L772" i="3" a="1"/>
  <c r="L772" i="3" s="1"/>
  <c r="K796" i="3" a="1"/>
  <c r="K796" i="3" s="1"/>
  <c r="L796" i="3" a="1"/>
  <c r="L796" i="3" s="1"/>
  <c r="K802" i="3" a="1"/>
  <c r="K802" i="3" s="1"/>
  <c r="L802" i="3" a="1"/>
  <c r="L802" i="3" s="1"/>
  <c r="K808" i="3" a="1"/>
  <c r="K808" i="3" s="1"/>
  <c r="L808" i="3" a="1"/>
  <c r="L808" i="3" s="1"/>
  <c r="K832" i="3" a="1"/>
  <c r="K832" i="3" s="1"/>
  <c r="L832" i="3" a="1"/>
  <c r="L832" i="3" s="1"/>
  <c r="K838" i="3" a="1"/>
  <c r="K838" i="3" s="1"/>
  <c r="L838" i="3" a="1"/>
  <c r="L838" i="3" s="1"/>
  <c r="K844" i="3" a="1"/>
  <c r="K844" i="3" s="1"/>
  <c r="L844" i="3" a="1"/>
  <c r="L844" i="3" s="1"/>
  <c r="K850" i="3" a="1"/>
  <c r="K850" i="3" s="1"/>
  <c r="L850" i="3" a="1"/>
  <c r="L850" i="3" s="1"/>
  <c r="K856" i="3" a="1"/>
  <c r="K856" i="3" s="1"/>
  <c r="L856" i="3" a="1"/>
  <c r="L856" i="3" s="1"/>
  <c r="K880" i="3" a="1"/>
  <c r="K880" i="3" s="1"/>
  <c r="L880" i="3" a="1"/>
  <c r="L880" i="3" s="1"/>
  <c r="K886" i="3" a="1"/>
  <c r="K886" i="3" s="1"/>
  <c r="L886" i="3" a="1"/>
  <c r="L886" i="3" s="1"/>
  <c r="K898" i="3" a="1"/>
  <c r="K898" i="3" s="1"/>
  <c r="L898" i="3" a="1"/>
  <c r="L898" i="3" s="1"/>
  <c r="K916" i="3" a="1"/>
  <c r="K916" i="3" s="1"/>
  <c r="L916" i="3" a="1"/>
  <c r="L916" i="3" s="1"/>
  <c r="K934" i="3" a="1"/>
  <c r="K934" i="3" s="1"/>
  <c r="L934" i="3" a="1"/>
  <c r="L934" i="3" s="1"/>
  <c r="K994" i="3" a="1"/>
  <c r="K994" i="3" s="1"/>
  <c r="L994" i="3" a="1"/>
  <c r="L994" i="3" s="1"/>
  <c r="K1000" i="3" a="1"/>
  <c r="K1000" i="3" s="1"/>
  <c r="L1000" i="3" a="1"/>
  <c r="L1000" i="3" s="1"/>
  <c r="K1006" i="3" a="1"/>
  <c r="K1006" i="3" s="1"/>
  <c r="L1006" i="3" a="1"/>
  <c r="L1006" i="3" s="1"/>
  <c r="K1060" i="3" a="1"/>
  <c r="K1060" i="3" s="1"/>
  <c r="L1060" i="3" a="1"/>
  <c r="L1060" i="3" s="1"/>
  <c r="K1132" i="3" a="1"/>
  <c r="K1132" i="3" s="1"/>
  <c r="L1132" i="3" a="1"/>
  <c r="L1132" i="3" s="1"/>
  <c r="K1174" i="3" a="1"/>
  <c r="K1174" i="3" s="1"/>
  <c r="L1174" i="3" a="1"/>
  <c r="L1174" i="3" s="1"/>
  <c r="K1204" i="3" a="1"/>
  <c r="K1204" i="3" s="1"/>
  <c r="L1204" i="3" a="1"/>
  <c r="L1204" i="3" s="1"/>
  <c r="K222" i="3" a="1"/>
  <c r="K222" i="3" s="1"/>
  <c r="L222" i="3" a="1"/>
  <c r="L222" i="3" s="1"/>
  <c r="K228" i="3" a="1"/>
  <c r="K228" i="3" s="1"/>
  <c r="L228" i="3" a="1"/>
  <c r="L228" i="3" s="1"/>
  <c r="K234" i="3" a="1"/>
  <c r="K234" i="3" s="1"/>
  <c r="L234" i="3" a="1"/>
  <c r="L234" i="3" s="1"/>
  <c r="K240" i="3" a="1"/>
  <c r="K240" i="3" s="1"/>
  <c r="L240" i="3" a="1"/>
  <c r="L240" i="3" s="1"/>
  <c r="K246" i="3" a="1"/>
  <c r="K246" i="3" s="1"/>
  <c r="L246" i="3" a="1"/>
  <c r="L246" i="3" s="1"/>
  <c r="K94" i="3" a="1"/>
  <c r="K94" i="3" s="1"/>
  <c r="L94" i="3" a="1"/>
  <c r="L94" i="3" s="1"/>
  <c r="K100" i="3" a="1"/>
  <c r="K100" i="3" s="1"/>
  <c r="L100" i="3" a="1"/>
  <c r="L100" i="3" s="1"/>
  <c r="K106" i="3" a="1"/>
  <c r="K106" i="3" s="1"/>
  <c r="L106" i="3" a="1"/>
  <c r="L106" i="3" s="1"/>
  <c r="K112" i="3" a="1"/>
  <c r="K112" i="3" s="1"/>
  <c r="L112" i="3" a="1"/>
  <c r="L112" i="3" s="1"/>
  <c r="K118" i="3" a="1"/>
  <c r="K118" i="3" s="1"/>
  <c r="L118" i="3" a="1"/>
  <c r="L118" i="3" s="1"/>
  <c r="K196" i="3" a="1"/>
  <c r="K196" i="3" s="1"/>
  <c r="L196" i="3" a="1"/>
  <c r="L196" i="3" s="1"/>
  <c r="K202" i="3" a="1"/>
  <c r="K202" i="3" s="1"/>
  <c r="L202" i="3" a="1"/>
  <c r="L202" i="3" s="1"/>
  <c r="K208" i="3" a="1"/>
  <c r="K208" i="3" s="1"/>
  <c r="L208" i="3" a="1"/>
  <c r="L208" i="3" s="1"/>
  <c r="K286" i="3" a="1"/>
  <c r="K286" i="3" s="1"/>
  <c r="L286" i="3" a="1"/>
  <c r="L286" i="3" s="1"/>
  <c r="K292" i="3" a="1"/>
  <c r="K292" i="3" s="1"/>
  <c r="L292" i="3" a="1"/>
  <c r="L292" i="3" s="1"/>
  <c r="K298" i="3" a="1"/>
  <c r="K298" i="3" s="1"/>
  <c r="L298" i="3" a="1"/>
  <c r="L298" i="3" s="1"/>
  <c r="K304" i="3" a="1"/>
  <c r="K304" i="3" s="1"/>
  <c r="L304" i="3" a="1"/>
  <c r="L304" i="3" s="1"/>
  <c r="K310" i="3" a="1"/>
  <c r="K310" i="3" s="1"/>
  <c r="L310" i="3" a="1"/>
  <c r="L310" i="3" s="1"/>
  <c r="K316" i="3" a="1"/>
  <c r="K316" i="3" s="1"/>
  <c r="L316" i="3" a="1"/>
  <c r="L316" i="3" s="1"/>
  <c r="K322" i="3" a="1"/>
  <c r="K322" i="3" s="1"/>
  <c r="L322" i="3" a="1"/>
  <c r="L322" i="3" s="1"/>
  <c r="K328" i="3" a="1"/>
  <c r="K328" i="3" s="1"/>
  <c r="L328" i="3" a="1"/>
  <c r="L328" i="3" s="1"/>
  <c r="K412" i="3" a="1"/>
  <c r="K412" i="3" s="1"/>
  <c r="L412" i="3" a="1"/>
  <c r="L412" i="3" s="1"/>
  <c r="K418" i="3" a="1"/>
  <c r="K418" i="3" s="1"/>
  <c r="L418" i="3" a="1"/>
  <c r="L418" i="3" s="1"/>
  <c r="K424" i="3" a="1"/>
  <c r="K424" i="3" s="1"/>
  <c r="L424" i="3" a="1"/>
  <c r="L424" i="3" s="1"/>
  <c r="K430" i="3" a="1"/>
  <c r="K430" i="3" s="1"/>
  <c r="L430" i="3" a="1"/>
  <c r="L430" i="3" s="1"/>
  <c r="K436" i="3" a="1"/>
  <c r="K436" i="3" s="1"/>
  <c r="L436" i="3" a="1"/>
  <c r="L436" i="3" s="1"/>
  <c r="K550" i="3" a="1"/>
  <c r="K550" i="3" s="1"/>
  <c r="L550" i="3" a="1"/>
  <c r="L550" i="3" s="1"/>
  <c r="K688" i="3" a="1"/>
  <c r="K688" i="3" s="1"/>
  <c r="L688" i="3" a="1"/>
  <c r="L688" i="3" s="1"/>
  <c r="K730" i="3" a="1"/>
  <c r="K730" i="3" s="1"/>
  <c r="L730" i="3" a="1"/>
  <c r="L730" i="3" s="1"/>
  <c r="K784" i="3" a="1"/>
  <c r="K784" i="3" s="1"/>
  <c r="L784" i="3" a="1"/>
  <c r="L784" i="3" s="1"/>
  <c r="K820" i="3" a="1"/>
  <c r="K820" i="3" s="1"/>
  <c r="L820" i="3" a="1"/>
  <c r="L820" i="3" s="1"/>
  <c r="K868" i="3" a="1"/>
  <c r="K868" i="3" s="1"/>
  <c r="L868" i="3" a="1"/>
  <c r="L868" i="3" s="1"/>
  <c r="K946" i="3" a="1"/>
  <c r="K946" i="3" s="1"/>
  <c r="L946" i="3" a="1"/>
  <c r="L946" i="3" s="1"/>
  <c r="K964" i="3" a="1"/>
  <c r="K964" i="3" s="1"/>
  <c r="L964" i="3" a="1"/>
  <c r="L964" i="3" s="1"/>
  <c r="K982" i="3" a="1"/>
  <c r="K982" i="3" s="1"/>
  <c r="L982" i="3" a="1"/>
  <c r="L982" i="3" s="1"/>
  <c r="K1018" i="3" a="1"/>
  <c r="K1018" i="3" s="1"/>
  <c r="L1018" i="3" a="1"/>
  <c r="L1018" i="3" s="1"/>
  <c r="K1024" i="3" a="1"/>
  <c r="K1024" i="3" s="1"/>
  <c r="L1024" i="3" a="1"/>
  <c r="L1024" i="3" s="1"/>
  <c r="K1084" i="3" a="1"/>
  <c r="K1084" i="3" s="1"/>
  <c r="L1084" i="3" a="1"/>
  <c r="L1084" i="3" s="1"/>
  <c r="K1114" i="3" a="1"/>
  <c r="K1114" i="3" s="1"/>
  <c r="L1114" i="3" a="1"/>
  <c r="L1114" i="3" s="1"/>
  <c r="K1120" i="3" a="1"/>
  <c r="K1120" i="3" s="1"/>
  <c r="L1120" i="3" a="1"/>
  <c r="L1120" i="3" s="1"/>
  <c r="K1156" i="3" a="1"/>
  <c r="K1156" i="3" s="1"/>
  <c r="L1156" i="3" a="1"/>
  <c r="L1156" i="3" s="1"/>
  <c r="K1162" i="3" a="1"/>
  <c r="K1162" i="3" s="1"/>
  <c r="L1162" i="3" a="1"/>
  <c r="L1162" i="3" s="1"/>
  <c r="K258" i="3" a="1"/>
  <c r="K258" i="3" s="1"/>
  <c r="L258" i="3" a="1"/>
  <c r="L258" i="3" s="1"/>
  <c r="K264" i="3" a="1"/>
  <c r="K264" i="3" s="1"/>
  <c r="L264" i="3" a="1"/>
  <c r="L264" i="3" s="1"/>
  <c r="K270" i="3" a="1"/>
  <c r="K270" i="3" s="1"/>
  <c r="L270" i="3" a="1"/>
  <c r="L270" i="3" s="1"/>
  <c r="K130" i="3" a="1"/>
  <c r="K130" i="3" s="1"/>
  <c r="L130" i="3" a="1"/>
  <c r="L130" i="3" s="1"/>
  <c r="K136" i="3" a="1"/>
  <c r="K136" i="3" s="1"/>
  <c r="L136" i="3" a="1"/>
  <c r="L136" i="3" s="1"/>
  <c r="K220" i="3" a="1"/>
  <c r="K220" i="3" s="1"/>
  <c r="L220" i="3" a="1"/>
  <c r="L220" i="3" s="1"/>
  <c r="K226" i="3" a="1"/>
  <c r="K226" i="3" s="1"/>
  <c r="L226" i="3" a="1"/>
  <c r="L226" i="3" s="1"/>
  <c r="K232" i="3" a="1"/>
  <c r="K232" i="3" s="1"/>
  <c r="L232" i="3" a="1"/>
  <c r="L232" i="3" s="1"/>
  <c r="K238" i="3" a="1"/>
  <c r="K238" i="3" s="1"/>
  <c r="L238" i="3" a="1"/>
  <c r="L238" i="3" s="1"/>
  <c r="K244" i="3" a="1"/>
  <c r="K244" i="3" s="1"/>
  <c r="L244" i="3" a="1"/>
  <c r="L244" i="3" s="1"/>
  <c r="K250" i="3" a="1"/>
  <c r="K250" i="3" s="1"/>
  <c r="L250" i="3" a="1"/>
  <c r="L250" i="3" s="1"/>
  <c r="K256" i="3" a="1"/>
  <c r="K256" i="3" s="1"/>
  <c r="L256" i="3" a="1"/>
  <c r="L256" i="3" s="1"/>
  <c r="K340" i="3" a="1"/>
  <c r="K340" i="3" s="1"/>
  <c r="L340" i="3" a="1"/>
  <c r="L340" i="3" s="1"/>
  <c r="K448" i="3" a="1"/>
  <c r="K448" i="3" s="1"/>
  <c r="L448" i="3" a="1"/>
  <c r="L448" i="3" s="1"/>
  <c r="K454" i="3" a="1"/>
  <c r="K454" i="3" s="1"/>
  <c r="L454" i="3" a="1"/>
  <c r="L454" i="3" s="1"/>
  <c r="K460" i="3" a="1"/>
  <c r="K460" i="3" s="1"/>
  <c r="L460" i="3" a="1"/>
  <c r="L460" i="3" s="1"/>
  <c r="K466" i="3" a="1"/>
  <c r="K466" i="3" s="1"/>
  <c r="L466" i="3" a="1"/>
  <c r="L466" i="3" s="1"/>
  <c r="K472" i="3" a="1"/>
  <c r="K472" i="3" s="1"/>
  <c r="L472" i="3" a="1"/>
  <c r="L472" i="3" s="1"/>
  <c r="K562" i="3" a="1"/>
  <c r="K562" i="3" s="1"/>
  <c r="L562" i="3" a="1"/>
  <c r="L562" i="3" s="1"/>
  <c r="K664" i="3" a="1"/>
  <c r="K664" i="3" s="1"/>
  <c r="L664" i="3" a="1"/>
  <c r="L664" i="3" s="1"/>
  <c r="K670" i="3" a="1"/>
  <c r="K670" i="3" s="1"/>
  <c r="L670" i="3" a="1"/>
  <c r="L670" i="3" s="1"/>
  <c r="K676" i="3" a="1"/>
  <c r="K676" i="3" s="1"/>
  <c r="L676" i="3" a="1"/>
  <c r="L676" i="3" s="1"/>
  <c r="K29" i="3" a="1"/>
  <c r="K29" i="3" s="1"/>
  <c r="L29" i="3" a="1"/>
  <c r="L29" i="3" s="1"/>
  <c r="K35" i="3" a="1"/>
  <c r="K35" i="3" s="1"/>
  <c r="L35" i="3" a="1"/>
  <c r="L35" i="3" s="1"/>
  <c r="K95" i="3" a="1"/>
  <c r="K95" i="3" s="1"/>
  <c r="L95" i="3" a="1"/>
  <c r="L95" i="3" s="1"/>
  <c r="K101" i="3" a="1"/>
  <c r="K101" i="3" s="1"/>
  <c r="L101" i="3" a="1"/>
  <c r="L101" i="3" s="1"/>
  <c r="K107" i="3" a="1"/>
  <c r="K107" i="3" s="1"/>
  <c r="L107" i="3" a="1"/>
  <c r="L107" i="3" s="1"/>
  <c r="K113" i="3" a="1"/>
  <c r="K113" i="3" s="1"/>
  <c r="L113" i="3" a="1"/>
  <c r="L113" i="3" s="1"/>
  <c r="K119" i="3" a="1"/>
  <c r="K119" i="3" s="1"/>
  <c r="L119" i="3" a="1"/>
  <c r="L119" i="3" s="1"/>
  <c r="K155" i="3" a="1"/>
  <c r="K155" i="3" s="1"/>
  <c r="L155" i="3" a="1"/>
  <c r="L155" i="3" s="1"/>
  <c r="K233" i="3" a="1"/>
  <c r="K233" i="3" s="1"/>
  <c r="L233" i="3" a="1"/>
  <c r="L233" i="3" s="1"/>
  <c r="K239" i="3" a="1"/>
  <c r="K239" i="3" s="1"/>
  <c r="L239" i="3" a="1"/>
  <c r="L239" i="3" s="1"/>
  <c r="K245" i="3" a="1"/>
  <c r="K245" i="3" s="1"/>
  <c r="L245" i="3" a="1"/>
  <c r="L245" i="3" s="1"/>
  <c r="K251" i="3" a="1"/>
  <c r="K251" i="3" s="1"/>
  <c r="L251" i="3" a="1"/>
  <c r="L251" i="3" s="1"/>
  <c r="K257" i="3" a="1"/>
  <c r="K257" i="3" s="1"/>
  <c r="L257" i="3" a="1"/>
  <c r="L257" i="3" s="1"/>
  <c r="K281" i="3" a="1"/>
  <c r="K281" i="3" s="1"/>
  <c r="L281" i="3" a="1"/>
  <c r="L281" i="3" s="1"/>
  <c r="K317" i="3" a="1"/>
  <c r="K317" i="3" s="1"/>
  <c r="L317" i="3" a="1"/>
  <c r="L317" i="3" s="1"/>
  <c r="K377" i="3" a="1"/>
  <c r="K377" i="3" s="1"/>
  <c r="L377" i="3" a="1"/>
  <c r="L377" i="3" s="1"/>
  <c r="K383" i="3" a="1"/>
  <c r="K383" i="3" s="1"/>
  <c r="L383" i="3" a="1"/>
  <c r="L383" i="3" s="1"/>
  <c r="K389" i="3" a="1"/>
  <c r="K389" i="3" s="1"/>
  <c r="L389" i="3" a="1"/>
  <c r="L389" i="3" s="1"/>
  <c r="K395" i="3" a="1"/>
  <c r="K395" i="3" s="1"/>
  <c r="L395" i="3" a="1"/>
  <c r="L395" i="3" s="1"/>
  <c r="K401" i="3" a="1"/>
  <c r="K401" i="3" s="1"/>
  <c r="L401" i="3" a="1"/>
  <c r="L401" i="3" s="1"/>
  <c r="K425" i="3" a="1"/>
  <c r="K425" i="3" s="1"/>
  <c r="L425" i="3" a="1"/>
  <c r="L425" i="3" s="1"/>
  <c r="K431" i="3" a="1"/>
  <c r="K431" i="3" s="1"/>
  <c r="L431" i="3" a="1"/>
  <c r="L431" i="3" s="1"/>
  <c r="K437" i="3" a="1"/>
  <c r="K437" i="3" s="1"/>
  <c r="L437" i="3" a="1"/>
  <c r="L437" i="3" s="1"/>
  <c r="K443" i="3" a="1"/>
  <c r="K443" i="3" s="1"/>
  <c r="L443" i="3" a="1"/>
  <c r="L443" i="3" s="1"/>
  <c r="K449" i="3" a="1"/>
  <c r="K449" i="3" s="1"/>
  <c r="L449" i="3" a="1"/>
  <c r="L449" i="3" s="1"/>
  <c r="K455" i="3" a="1"/>
  <c r="K455" i="3" s="1"/>
  <c r="L455" i="3" a="1"/>
  <c r="L455" i="3" s="1"/>
  <c r="K473" i="3" a="1"/>
  <c r="K473" i="3" s="1"/>
  <c r="L473" i="3" a="1"/>
  <c r="L473" i="3" s="1"/>
  <c r="K479" i="3" a="1"/>
  <c r="K479" i="3" s="1"/>
  <c r="L479" i="3" a="1"/>
  <c r="L479" i="3" s="1"/>
  <c r="K485" i="3" a="1"/>
  <c r="K485" i="3" s="1"/>
  <c r="L485" i="3" a="1"/>
  <c r="L485" i="3" s="1"/>
  <c r="K491" i="3" a="1"/>
  <c r="K491" i="3" s="1"/>
  <c r="L491" i="3" a="1"/>
  <c r="L491" i="3" s="1"/>
  <c r="K509" i="3" a="1"/>
  <c r="K509" i="3" s="1"/>
  <c r="L509" i="3" a="1"/>
  <c r="L509" i="3" s="1"/>
  <c r="K515" i="3" a="1"/>
  <c r="K515" i="3" s="1"/>
  <c r="L515" i="3" a="1"/>
  <c r="L515" i="3" s="1"/>
  <c r="K551" i="3" a="1"/>
  <c r="K551" i="3" s="1"/>
  <c r="L551" i="3" a="1"/>
  <c r="L551" i="3" s="1"/>
  <c r="K563" i="3" a="1"/>
  <c r="K563" i="3" s="1"/>
  <c r="L563" i="3" a="1"/>
  <c r="L563" i="3" s="1"/>
  <c r="K569" i="3" a="1"/>
  <c r="K569" i="3" s="1"/>
  <c r="L569" i="3" a="1"/>
  <c r="L569" i="3" s="1"/>
  <c r="K575" i="3" a="1"/>
  <c r="K575" i="3" s="1"/>
  <c r="L575" i="3" a="1"/>
  <c r="L575" i="3" s="1"/>
  <c r="K581" i="3" a="1"/>
  <c r="K581" i="3" s="1"/>
  <c r="L581" i="3" a="1"/>
  <c r="L581" i="3" s="1"/>
  <c r="K617" i="3" a="1"/>
  <c r="K617" i="3" s="1"/>
  <c r="L617" i="3" a="1"/>
  <c r="L617" i="3" s="1"/>
  <c r="K689" i="3" a="1"/>
  <c r="K689" i="3" s="1"/>
  <c r="L689" i="3" a="1"/>
  <c r="L689" i="3" s="1"/>
  <c r="K695" i="3" a="1"/>
  <c r="K695" i="3" s="1"/>
  <c r="L695" i="3" a="1"/>
  <c r="L695" i="3" s="1"/>
  <c r="K713" i="3" a="1"/>
  <c r="K713" i="3" s="1"/>
  <c r="L713" i="3" a="1"/>
  <c r="L713" i="3" s="1"/>
  <c r="K719" i="3" a="1"/>
  <c r="K719" i="3" s="1"/>
  <c r="L719" i="3" a="1"/>
  <c r="L719" i="3" s="1"/>
  <c r="K743" i="3" a="1"/>
  <c r="K743" i="3" s="1"/>
  <c r="L743" i="3" a="1"/>
  <c r="L743" i="3" s="1"/>
  <c r="K749" i="3" a="1"/>
  <c r="K749" i="3" s="1"/>
  <c r="L749" i="3" a="1"/>
  <c r="L749" i="3" s="1"/>
  <c r="K773" i="3" a="1"/>
  <c r="K773" i="3" s="1"/>
  <c r="L773" i="3" a="1"/>
  <c r="L773" i="3" s="1"/>
  <c r="K797" i="3" a="1"/>
  <c r="K797" i="3" s="1"/>
  <c r="L797" i="3" a="1"/>
  <c r="L797" i="3" s="1"/>
  <c r="K803" i="3" a="1"/>
  <c r="K803" i="3" s="1"/>
  <c r="L803" i="3" a="1"/>
  <c r="L803" i="3" s="1"/>
  <c r="K809" i="3" a="1"/>
  <c r="K809" i="3" s="1"/>
  <c r="L809" i="3" a="1"/>
  <c r="L809" i="3" s="1"/>
  <c r="K815" i="3" a="1"/>
  <c r="K815" i="3" s="1"/>
  <c r="L815" i="3" a="1"/>
  <c r="L815" i="3" s="1"/>
  <c r="K821" i="3" a="1"/>
  <c r="K821" i="3" s="1"/>
  <c r="L821" i="3" a="1"/>
  <c r="L821" i="3" s="1"/>
  <c r="K851" i="3" a="1"/>
  <c r="K851" i="3" s="1"/>
  <c r="L851" i="3" a="1"/>
  <c r="L851" i="3" s="1"/>
  <c r="K875" i="3" a="1"/>
  <c r="K875" i="3" s="1"/>
  <c r="L875" i="3" a="1"/>
  <c r="L875" i="3" s="1"/>
  <c r="K947" i="3" a="1"/>
  <c r="K947" i="3" s="1"/>
  <c r="L947" i="3" a="1"/>
  <c r="L947" i="3" s="1"/>
  <c r="K983" i="3" a="1"/>
  <c r="K983" i="3" s="1"/>
  <c r="L983" i="3" a="1"/>
  <c r="L983" i="3" s="1"/>
  <c r="K1025" i="3" a="1"/>
  <c r="K1025" i="3" s="1"/>
  <c r="L1025" i="3" a="1"/>
  <c r="L1025" i="3" s="1"/>
  <c r="K1043" i="3" a="1"/>
  <c r="K1043" i="3" s="1"/>
  <c r="L1043" i="3" a="1"/>
  <c r="L1043" i="3" s="1"/>
  <c r="K1073" i="3" a="1"/>
  <c r="K1073" i="3" s="1"/>
  <c r="L1073" i="3" a="1"/>
  <c r="L1073" i="3" s="1"/>
  <c r="K1109" i="3" a="1"/>
  <c r="K1109" i="3" s="1"/>
  <c r="L1109" i="3" a="1"/>
  <c r="L1109" i="3" s="1"/>
  <c r="K1127" i="3" a="1"/>
  <c r="K1127" i="3" s="1"/>
  <c r="L1127" i="3" a="1"/>
  <c r="L1127" i="3" s="1"/>
  <c r="K1145" i="3" a="1"/>
  <c r="K1145" i="3" s="1"/>
  <c r="L1145" i="3" a="1"/>
  <c r="L1145" i="3" s="1"/>
  <c r="K120" i="3" a="1"/>
  <c r="K120" i="3" s="1"/>
  <c r="L120" i="3" a="1"/>
  <c r="L120" i="3" s="1"/>
  <c r="K126" i="3" a="1"/>
  <c r="K126" i="3" s="1"/>
  <c r="L126" i="3" a="1"/>
  <c r="L126" i="3" s="1"/>
  <c r="K132" i="3" a="1"/>
  <c r="K132" i="3" s="1"/>
  <c r="L132" i="3" a="1"/>
  <c r="L132" i="3" s="1"/>
  <c r="K138" i="3" a="1"/>
  <c r="K138" i="3" s="1"/>
  <c r="L138" i="3" a="1"/>
  <c r="L138" i="3" s="1"/>
  <c r="K144" i="3" a="1"/>
  <c r="K144" i="3" s="1"/>
  <c r="L144" i="3" a="1"/>
  <c r="L144" i="3" s="1"/>
  <c r="K85" i="3" a="1"/>
  <c r="K85" i="3" s="1"/>
  <c r="L85" i="3" a="1"/>
  <c r="L85" i="3" s="1"/>
  <c r="K91" i="3" a="1"/>
  <c r="K91" i="3" s="1"/>
  <c r="L91" i="3" a="1"/>
  <c r="L91" i="3" s="1"/>
  <c r="K97" i="3" a="1"/>
  <c r="K97" i="3" s="1"/>
  <c r="L97" i="3" a="1"/>
  <c r="L97" i="3" s="1"/>
  <c r="K2" i="3" a="1"/>
  <c r="K2" i="3" s="1"/>
  <c r="L2" i="3" a="1"/>
  <c r="L2" i="3" s="1"/>
  <c r="K8" i="3" a="1"/>
  <c r="K8" i="3" s="1"/>
  <c r="L8" i="3" a="1"/>
  <c r="L8" i="3" s="1"/>
  <c r="K14" i="3" a="1"/>
  <c r="K14" i="3" s="1"/>
  <c r="L14" i="3" a="1"/>
  <c r="L14" i="3" s="1"/>
  <c r="K20" i="3" a="1"/>
  <c r="K20" i="3" s="1"/>
  <c r="L20" i="3" a="1"/>
  <c r="L20" i="3" s="1"/>
  <c r="K26" i="3" a="1"/>
  <c r="K26" i="3" s="1"/>
  <c r="L26" i="3" a="1"/>
  <c r="L26" i="3" s="1"/>
  <c r="K32" i="3" a="1"/>
  <c r="K32" i="3" s="1"/>
  <c r="L32" i="3" a="1"/>
  <c r="L32" i="3" s="1"/>
  <c r="K4" i="3" a="1"/>
  <c r="K4" i="3" s="1"/>
  <c r="L4" i="3" a="1"/>
  <c r="L4" i="3" s="1"/>
  <c r="K34" i="3" a="1"/>
  <c r="K34" i="3" s="1"/>
  <c r="L34" i="3" a="1"/>
  <c r="L34" i="3" s="1"/>
  <c r="K40" i="3" a="1"/>
  <c r="K40" i="3" s="1"/>
  <c r="L40" i="3" a="1"/>
  <c r="L40" i="3" s="1"/>
  <c r="K46" i="3" a="1"/>
  <c r="K46" i="3" s="1"/>
  <c r="L46" i="3" a="1"/>
  <c r="L46" i="3" s="1"/>
  <c r="K52" i="3" a="1"/>
  <c r="K52" i="3" s="1"/>
  <c r="L52" i="3" a="1"/>
  <c r="L52" i="3" s="1"/>
  <c r="K58" i="3" a="1"/>
  <c r="K58" i="3" s="1"/>
  <c r="L58" i="3" a="1"/>
  <c r="L58" i="3" s="1"/>
  <c r="K64" i="3" a="1"/>
  <c r="K64" i="3" s="1"/>
  <c r="L64" i="3" a="1"/>
  <c r="L64" i="3" s="1"/>
  <c r="K70" i="3" a="1"/>
  <c r="K70" i="3" s="1"/>
  <c r="L70" i="3" a="1"/>
  <c r="L70" i="3" s="1"/>
  <c r="K76" i="3" a="1"/>
  <c r="K76" i="3" s="1"/>
  <c r="L76" i="3" a="1"/>
  <c r="L76" i="3" s="1"/>
  <c r="K82" i="3" a="1"/>
  <c r="K82" i="3" s="1"/>
  <c r="L82" i="3" a="1"/>
  <c r="L82" i="3" s="1"/>
  <c r="K178" i="3" a="1"/>
  <c r="K178" i="3" s="1"/>
  <c r="L178" i="3" a="1"/>
  <c r="L178" i="3" s="1"/>
  <c r="K184" i="3" a="1"/>
  <c r="K184" i="3" s="1"/>
  <c r="L184" i="3" a="1"/>
  <c r="L184" i="3" s="1"/>
  <c r="K388" i="3" a="1"/>
  <c r="K388" i="3" s="1"/>
  <c r="L388" i="3" a="1"/>
  <c r="L388" i="3" s="1"/>
  <c r="K394" i="3" a="1"/>
  <c r="K394" i="3" s="1"/>
  <c r="L394" i="3" a="1"/>
  <c r="L394" i="3" s="1"/>
  <c r="K400" i="3" a="1"/>
  <c r="K400" i="3" s="1"/>
  <c r="L400" i="3" a="1"/>
  <c r="L400" i="3" s="1"/>
  <c r="K484" i="3" a="1"/>
  <c r="K484" i="3" s="1"/>
  <c r="L484" i="3" a="1"/>
  <c r="L484" i="3" s="1"/>
  <c r="K490" i="3" a="1"/>
  <c r="K490" i="3" s="1"/>
  <c r="L490" i="3" a="1"/>
  <c r="L490" i="3" s="1"/>
  <c r="K496" i="3" a="1"/>
  <c r="K496" i="3" s="1"/>
  <c r="L496" i="3" a="1"/>
  <c r="L496" i="3" s="1"/>
  <c r="K574" i="3" a="1"/>
  <c r="K574" i="3" s="1"/>
  <c r="L574" i="3" a="1"/>
  <c r="L574" i="3" s="1"/>
  <c r="K580" i="3" a="1"/>
  <c r="K580" i="3" s="1"/>
  <c r="L580" i="3" a="1"/>
  <c r="L580" i="3" s="1"/>
  <c r="K586" i="3" a="1"/>
  <c r="K586" i="3" s="1"/>
  <c r="L586" i="3" a="1"/>
  <c r="L586" i="3" s="1"/>
  <c r="K592" i="3" a="1"/>
  <c r="K592" i="3" s="1"/>
  <c r="L592" i="3" a="1"/>
  <c r="L592" i="3" s="1"/>
  <c r="K598" i="3" a="1"/>
  <c r="K598" i="3" s="1"/>
  <c r="L598" i="3" a="1"/>
  <c r="L598" i="3" s="1"/>
  <c r="K652" i="3" a="1"/>
  <c r="K652" i="3" s="1"/>
  <c r="L652" i="3" a="1"/>
  <c r="L652" i="3" s="1"/>
  <c r="K712" i="3" a="1"/>
  <c r="K712" i="3" s="1"/>
  <c r="L712" i="3" a="1"/>
  <c r="L712" i="3" s="1"/>
  <c r="K742" i="3" a="1"/>
  <c r="K742" i="3" s="1"/>
  <c r="L742" i="3" a="1"/>
  <c r="L742" i="3" s="1"/>
  <c r="K748" i="3" a="1"/>
  <c r="K748" i="3" s="1"/>
  <c r="L748" i="3" a="1"/>
  <c r="L748" i="3" s="1"/>
  <c r="K5" i="3" a="1"/>
  <c r="K5" i="3" s="1"/>
  <c r="L5" i="3" a="1"/>
  <c r="L5" i="3" s="1"/>
  <c r="K11" i="3" a="1"/>
  <c r="K11" i="3" s="1"/>
  <c r="L11" i="3" a="1"/>
  <c r="L11" i="3" s="1"/>
  <c r="K17" i="3" a="1"/>
  <c r="K17" i="3" s="1"/>
  <c r="L17" i="3" a="1"/>
  <c r="L17" i="3" s="1"/>
  <c r="K47" i="3" a="1"/>
  <c r="K47" i="3" s="1"/>
  <c r="L47" i="3" a="1"/>
  <c r="L47" i="3" s="1"/>
  <c r="K53" i="3" a="1"/>
  <c r="K53" i="3" s="1"/>
  <c r="L53" i="3" a="1"/>
  <c r="L53" i="3" s="1"/>
  <c r="K59" i="3" a="1"/>
  <c r="K59" i="3" s="1"/>
  <c r="L59" i="3" a="1"/>
  <c r="L59" i="3" s="1"/>
  <c r="K65" i="3" a="1"/>
  <c r="K65" i="3" s="1"/>
  <c r="L65" i="3" a="1"/>
  <c r="L65" i="3" s="1"/>
  <c r="K71" i="3" a="1"/>
  <c r="K71" i="3" s="1"/>
  <c r="L71" i="3" a="1"/>
  <c r="L71" i="3" s="1"/>
  <c r="K77" i="3" a="1"/>
  <c r="K77" i="3" s="1"/>
  <c r="L77" i="3" a="1"/>
  <c r="L77" i="3" s="1"/>
  <c r="K83" i="3" a="1"/>
  <c r="K83" i="3" s="1"/>
  <c r="L83" i="3" a="1"/>
  <c r="L83" i="3" s="1"/>
  <c r="K131" i="3" a="1"/>
  <c r="K131" i="3" s="1"/>
  <c r="L131" i="3" a="1"/>
  <c r="L131" i="3" s="1"/>
  <c r="K137" i="3" a="1"/>
  <c r="K137" i="3" s="1"/>
  <c r="L137" i="3" a="1"/>
  <c r="L137" i="3" s="1"/>
  <c r="K143" i="3" a="1"/>
  <c r="K143" i="3" s="1"/>
  <c r="L143" i="3" a="1"/>
  <c r="L143" i="3" s="1"/>
  <c r="K167" i="3" a="1"/>
  <c r="K167" i="3" s="1"/>
  <c r="L167" i="3" a="1"/>
  <c r="L167" i="3" s="1"/>
  <c r="K173" i="3" a="1"/>
  <c r="K173" i="3" s="1"/>
  <c r="L173" i="3" a="1"/>
  <c r="L173" i="3" s="1"/>
  <c r="K179" i="3" a="1"/>
  <c r="K179" i="3" s="1"/>
  <c r="L179" i="3" a="1"/>
  <c r="L179" i="3" s="1"/>
  <c r="K185" i="3" a="1"/>
  <c r="K185" i="3" s="1"/>
  <c r="L185" i="3" a="1"/>
  <c r="L185" i="3" s="1"/>
  <c r="K203" i="3" a="1"/>
  <c r="K203" i="3" s="1"/>
  <c r="L203" i="3" a="1"/>
  <c r="L203" i="3" s="1"/>
  <c r="K221" i="3" a="1"/>
  <c r="K221" i="3" s="1"/>
  <c r="L221" i="3" a="1"/>
  <c r="L221" i="3" s="1"/>
  <c r="K269" i="3" a="1"/>
  <c r="K269" i="3" s="1"/>
  <c r="L269" i="3" a="1"/>
  <c r="L269" i="3" s="1"/>
  <c r="K293" i="3" a="1"/>
  <c r="K293" i="3" s="1"/>
  <c r="L293" i="3" a="1"/>
  <c r="L293" i="3" s="1"/>
  <c r="K299" i="3" a="1"/>
  <c r="K299" i="3" s="1"/>
  <c r="L299" i="3" a="1"/>
  <c r="L299" i="3" s="1"/>
  <c r="K305" i="3" a="1"/>
  <c r="K305" i="3" s="1"/>
  <c r="L305" i="3" a="1"/>
  <c r="L305" i="3" s="1"/>
  <c r="K341" i="3" a="1"/>
  <c r="K341" i="3" s="1"/>
  <c r="L341" i="3" a="1"/>
  <c r="L341" i="3" s="1"/>
  <c r="K347" i="3" a="1"/>
  <c r="K347" i="3" s="1"/>
  <c r="L347" i="3" a="1"/>
  <c r="L347" i="3" s="1"/>
  <c r="K353" i="3" a="1"/>
  <c r="K353" i="3" s="1"/>
  <c r="L353" i="3" a="1"/>
  <c r="L353" i="3" s="1"/>
  <c r="K359" i="3" a="1"/>
  <c r="K359" i="3" s="1"/>
  <c r="L359" i="3" a="1"/>
  <c r="L359" i="3" s="1"/>
  <c r="K365" i="3" a="1"/>
  <c r="K365" i="3" s="1"/>
  <c r="L365" i="3" a="1"/>
  <c r="L365" i="3" s="1"/>
  <c r="K527" i="3" a="1"/>
  <c r="K527" i="3" s="1"/>
  <c r="L527" i="3" a="1"/>
  <c r="L527" i="3" s="1"/>
  <c r="K533" i="3" a="1"/>
  <c r="K533" i="3" s="1"/>
  <c r="L533" i="3" a="1"/>
  <c r="L533" i="3" s="1"/>
  <c r="K539" i="3" a="1"/>
  <c r="K539" i="3" s="1"/>
  <c r="L539" i="3" a="1"/>
  <c r="L539" i="3" s="1"/>
  <c r="K593" i="3" a="1"/>
  <c r="K593" i="3" s="1"/>
  <c r="L593" i="3" a="1"/>
  <c r="L593" i="3" s="1"/>
  <c r="K599" i="3" a="1"/>
  <c r="K599" i="3" s="1"/>
  <c r="L599" i="3" a="1"/>
  <c r="L599" i="3" s="1"/>
  <c r="K605" i="3" a="1"/>
  <c r="K605" i="3" s="1"/>
  <c r="L605" i="3" a="1"/>
  <c r="L605" i="3" s="1"/>
  <c r="K629" i="3" a="1"/>
  <c r="K629" i="3" s="1"/>
  <c r="L629" i="3" a="1"/>
  <c r="L629" i="3" s="1"/>
  <c r="K635" i="3" a="1"/>
  <c r="K635" i="3" s="1"/>
  <c r="L635" i="3" a="1"/>
  <c r="L635" i="3" s="1"/>
  <c r="K641" i="3" a="1"/>
  <c r="K641" i="3" s="1"/>
  <c r="L641" i="3" a="1"/>
  <c r="L641" i="3" s="1"/>
  <c r="K647" i="3" a="1"/>
  <c r="K647" i="3" s="1"/>
  <c r="L647" i="3" a="1"/>
  <c r="L647" i="3" s="1"/>
  <c r="K653" i="3" a="1"/>
  <c r="K653" i="3" s="1"/>
  <c r="L653" i="3" a="1"/>
  <c r="L653" i="3" s="1"/>
  <c r="K665" i="3" a="1"/>
  <c r="K665" i="3" s="1"/>
  <c r="L665" i="3" a="1"/>
  <c r="L665" i="3" s="1"/>
  <c r="K671" i="3" a="1"/>
  <c r="K671" i="3" s="1"/>
  <c r="L671" i="3" a="1"/>
  <c r="L671" i="3" s="1"/>
  <c r="K677" i="3" a="1"/>
  <c r="K677" i="3" s="1"/>
  <c r="L677" i="3" a="1"/>
  <c r="L677" i="3" s="1"/>
  <c r="K731" i="3" a="1"/>
  <c r="K731" i="3" s="1"/>
  <c r="L731" i="3" a="1"/>
  <c r="L731" i="3" s="1"/>
  <c r="K761" i="3" a="1"/>
  <c r="K761" i="3" s="1"/>
  <c r="L761" i="3" a="1"/>
  <c r="L761" i="3" s="1"/>
  <c r="K785" i="3" a="1"/>
  <c r="K785" i="3" s="1"/>
  <c r="L785" i="3" a="1"/>
  <c r="L785" i="3" s="1"/>
  <c r="K833" i="3" a="1"/>
  <c r="K833" i="3" s="1"/>
  <c r="L833" i="3" a="1"/>
  <c r="L833" i="3" s="1"/>
  <c r="K839" i="3" a="1"/>
  <c r="K839" i="3" s="1"/>
  <c r="L839" i="3" a="1"/>
  <c r="L839" i="3" s="1"/>
  <c r="K863" i="3" a="1"/>
  <c r="K863" i="3" s="1"/>
  <c r="L863" i="3" a="1"/>
  <c r="L863" i="3" s="1"/>
  <c r="K899" i="3" a="1"/>
  <c r="K899" i="3" s="1"/>
  <c r="L899" i="3" a="1"/>
  <c r="L899" i="3" s="1"/>
  <c r="K917" i="3" a="1"/>
  <c r="K917" i="3" s="1"/>
  <c r="L917" i="3" a="1"/>
  <c r="L917" i="3" s="1"/>
  <c r="K923" i="3" a="1"/>
  <c r="K923" i="3" s="1"/>
  <c r="L923" i="3" a="1"/>
  <c r="L923" i="3" s="1"/>
  <c r="K929" i="3" a="1"/>
  <c r="K929" i="3" s="1"/>
  <c r="L929" i="3" a="1"/>
  <c r="L929" i="3" s="1"/>
  <c r="K935" i="3" a="1"/>
  <c r="K935" i="3" s="1"/>
  <c r="L935" i="3" a="1"/>
  <c r="L935" i="3" s="1"/>
  <c r="K959" i="3" a="1"/>
  <c r="K959" i="3" s="1"/>
  <c r="L959" i="3" a="1"/>
  <c r="L959" i="3" s="1"/>
  <c r="K995" i="3" a="1"/>
  <c r="K995" i="3" s="1"/>
  <c r="L995" i="3" a="1"/>
  <c r="L995" i="3" s="1"/>
  <c r="K1085" i="3" a="1"/>
  <c r="K1085" i="3" s="1"/>
  <c r="L1085" i="3" a="1"/>
  <c r="L1085" i="3" s="1"/>
  <c r="K1157" i="3" a="1"/>
  <c r="K1157" i="3" s="1"/>
  <c r="L1157" i="3" a="1"/>
  <c r="L1157" i="3" s="1"/>
  <c r="K1169" i="3" a="1"/>
  <c r="K1169" i="3" s="1"/>
  <c r="L1169" i="3" a="1"/>
  <c r="L1169" i="3" s="1"/>
  <c r="K1175" i="3" a="1"/>
  <c r="K1175" i="3" s="1"/>
  <c r="L1175" i="3" a="1"/>
  <c r="L1175" i="3" s="1"/>
  <c r="K1181" i="3" a="1"/>
  <c r="K1181" i="3" s="1"/>
  <c r="L1181" i="3" a="1"/>
  <c r="L1181" i="3" s="1"/>
  <c r="K37" i="3" a="1"/>
  <c r="K37" i="3" s="1"/>
  <c r="K48" i="3" a="1"/>
  <c r="K48" i="3" s="1"/>
  <c r="K60" i="3" a="1"/>
  <c r="K60" i="3" s="1"/>
  <c r="K67" i="3" a="1"/>
  <c r="K67" i="3" s="1"/>
  <c r="K79" i="3" a="1"/>
  <c r="K79" i="3" s="1"/>
  <c r="K103" i="3" a="1"/>
  <c r="K103" i="3" s="1"/>
  <c r="K114" i="3" a="1"/>
  <c r="K114" i="3" s="1"/>
  <c r="K150" i="3" a="1"/>
  <c r="K150" i="3" s="1"/>
  <c r="K151" i="3" a="1"/>
  <c r="K151" i="3" s="1"/>
  <c r="K192" i="3" a="1"/>
  <c r="K192" i="3" s="1"/>
  <c r="K198" i="3" a="1"/>
  <c r="K198" i="3" s="1"/>
  <c r="K216" i="3" a="1"/>
  <c r="K216" i="3" s="1"/>
  <c r="K229" i="3" a="1"/>
  <c r="K229" i="3" s="1"/>
  <c r="K252" i="3" a="1"/>
  <c r="K252" i="3" s="1"/>
  <c r="K276" i="3" a="1"/>
  <c r="K276" i="3" s="1"/>
  <c r="K283" i="3" a="1"/>
  <c r="K283" i="3" s="1"/>
  <c r="K287" i="3" a="1"/>
  <c r="K287" i="3" s="1"/>
  <c r="K300" i="3" a="1"/>
  <c r="K300" i="3" s="1"/>
  <c r="K311" i="3" a="1"/>
  <c r="K311" i="3" s="1"/>
  <c r="K323" i="3" a="1"/>
  <c r="K323" i="3" s="1"/>
  <c r="K329" i="3" a="1"/>
  <c r="K329" i="3" s="1"/>
  <c r="K335" i="3" a="1"/>
  <c r="K335" i="3" s="1"/>
  <c r="K336" i="3" a="1"/>
  <c r="K336" i="3" s="1"/>
  <c r="K337" i="3" a="1"/>
  <c r="K337" i="3" s="1"/>
  <c r="K343" i="3" a="1"/>
  <c r="K343" i="3" s="1"/>
  <c r="K360" i="3" a="1"/>
  <c r="K360" i="3" s="1"/>
  <c r="K361" i="3" a="1"/>
  <c r="K361" i="3" s="1"/>
  <c r="K371" i="3" a="1"/>
  <c r="K371" i="3" s="1"/>
  <c r="K373" i="3" a="1"/>
  <c r="K373" i="3" s="1"/>
  <c r="K379" i="3" a="1"/>
  <c r="K379" i="3" s="1"/>
  <c r="K403" i="3" a="1"/>
  <c r="K403" i="3" s="1"/>
  <c r="K407" i="3" a="1"/>
  <c r="K407" i="3" s="1"/>
  <c r="K413" i="3" a="1"/>
  <c r="K413" i="3" s="1"/>
  <c r="K414" i="3" a="1"/>
  <c r="K414" i="3" s="1"/>
  <c r="K419" i="3" a="1"/>
  <c r="K419" i="3" s="1"/>
  <c r="K438" i="3" a="1"/>
  <c r="K438" i="3" s="1"/>
  <c r="K439" i="3" a="1"/>
  <c r="K439" i="3" s="1"/>
  <c r="K461" i="3" a="1"/>
  <c r="K461" i="3" s="1"/>
  <c r="K462" i="3" a="1"/>
  <c r="K462" i="3" s="1"/>
  <c r="K467" i="3" a="1"/>
  <c r="K467" i="3" s="1"/>
  <c r="K486" i="3" a="1"/>
  <c r="K486" i="3" s="1"/>
  <c r="K497" i="3" a="1"/>
  <c r="K497" i="3" s="1"/>
  <c r="K498" i="3" a="1"/>
  <c r="K498" i="3" s="1"/>
  <c r="K503" i="3" a="1"/>
  <c r="K503" i="3" s="1"/>
  <c r="K504" i="3" a="1"/>
  <c r="K504" i="3" s="1"/>
  <c r="K521" i="3" a="1"/>
  <c r="K521" i="3" s="1"/>
  <c r="K522" i="3" a="1"/>
  <c r="K522" i="3" s="1"/>
  <c r="K523" i="3" a="1"/>
  <c r="K523" i="3" s="1"/>
  <c r="K535" i="3" a="1"/>
  <c r="K535" i="3" s="1"/>
  <c r="K545" i="3" a="1"/>
  <c r="K545" i="3" s="1"/>
  <c r="K553" i="3" a="1"/>
  <c r="K553" i="3" s="1"/>
  <c r="K557" i="3" a="1"/>
  <c r="K557" i="3" s="1"/>
  <c r="K570" i="3" a="1"/>
  <c r="K570" i="3" s="1"/>
  <c r="K577" i="3" a="1"/>
  <c r="K577" i="3" s="1"/>
  <c r="K583" i="3" a="1"/>
  <c r="K583" i="3" s="1"/>
  <c r="K587" i="3" a="1"/>
  <c r="K587" i="3" s="1"/>
  <c r="K588" i="3" a="1"/>
  <c r="K588" i="3" s="1"/>
  <c r="K589" i="3" a="1"/>
  <c r="K589" i="3" s="1"/>
  <c r="K606" i="3" a="1"/>
  <c r="K606" i="3" s="1"/>
  <c r="K611" i="3" a="1"/>
  <c r="K611" i="3" s="1"/>
  <c r="K612" i="3" a="1"/>
  <c r="K612" i="3" s="1"/>
  <c r="K623" i="3" a="1"/>
  <c r="K623" i="3" s="1"/>
  <c r="K624" i="3" a="1"/>
  <c r="K624" i="3" s="1"/>
  <c r="K636" i="3" a="1"/>
  <c r="K636" i="3" s="1"/>
  <c r="K637" i="3" a="1"/>
  <c r="K637" i="3" s="1"/>
  <c r="K651" i="3" a="1"/>
  <c r="K651" i="3" s="1"/>
  <c r="K655" i="3" a="1"/>
  <c r="K655" i="3" s="1"/>
  <c r="K657" i="3" a="1"/>
  <c r="K657" i="3" s="1"/>
  <c r="K659" i="3" a="1"/>
  <c r="K659" i="3" s="1"/>
  <c r="K672" i="3" a="1"/>
  <c r="K672" i="3" s="1"/>
  <c r="K681" i="3" a="1"/>
  <c r="K681" i="3" s="1"/>
  <c r="K682" i="3" a="1"/>
  <c r="K682" i="3" s="1"/>
  <c r="K683" i="3" a="1"/>
  <c r="K683" i="3" s="1"/>
  <c r="K693" i="3" a="1"/>
  <c r="K693" i="3" s="1"/>
  <c r="K694" i="3" a="1"/>
  <c r="K694" i="3" s="1"/>
  <c r="K699" i="3" a="1"/>
  <c r="K699" i="3" s="1"/>
  <c r="K701" i="3" a="1"/>
  <c r="K701" i="3" s="1"/>
  <c r="K703" i="3" a="1"/>
  <c r="K703" i="3" s="1"/>
  <c r="K706" i="3" a="1"/>
  <c r="K706" i="3" s="1"/>
  <c r="K707" i="3" a="1"/>
  <c r="K707" i="3" s="1"/>
  <c r="K708" i="3" a="1"/>
  <c r="K708" i="3" s="1"/>
  <c r="K709" i="3" a="1"/>
  <c r="K709" i="3" s="1"/>
  <c r="K718" i="3" a="1"/>
  <c r="K718" i="3" s="1"/>
  <c r="K724" i="3" a="1"/>
  <c r="K724" i="3" s="1"/>
  <c r="K725" i="3" a="1"/>
  <c r="K725" i="3" s="1"/>
  <c r="K726" i="3" a="1"/>
  <c r="K726" i="3" s="1"/>
  <c r="K732" i="3" a="1"/>
  <c r="K732" i="3" s="1"/>
  <c r="K736" i="3" a="1"/>
  <c r="K736" i="3" s="1"/>
  <c r="K737" i="3" a="1"/>
  <c r="K737" i="3" s="1"/>
  <c r="K745" i="3" a="1"/>
  <c r="K745" i="3" s="1"/>
  <c r="K751" i="3" a="1"/>
  <c r="K751" i="3" s="1"/>
  <c r="K753" i="3" a="1"/>
  <c r="K753" i="3" s="1"/>
  <c r="K754" i="3" a="1"/>
  <c r="K754" i="3" s="1"/>
  <c r="K755" i="3" a="1"/>
  <c r="K755" i="3" s="1"/>
  <c r="K766" i="3" a="1"/>
  <c r="K766" i="3" s="1"/>
  <c r="K767" i="3" a="1"/>
  <c r="K767" i="3" s="1"/>
  <c r="K769" i="3" a="1"/>
  <c r="K769" i="3" s="1"/>
  <c r="K774" i="3" a="1"/>
  <c r="K774" i="3" s="1"/>
  <c r="K778" i="3" a="1"/>
  <c r="K778" i="3" s="1"/>
  <c r="K779" i="3" a="1"/>
  <c r="K779" i="3" s="1"/>
  <c r="K787" i="3" a="1"/>
  <c r="K787" i="3" s="1"/>
  <c r="K788" i="3" a="1"/>
  <c r="K788" i="3" s="1"/>
  <c r="K789" i="3" a="1"/>
  <c r="K789" i="3" s="1"/>
  <c r="K790" i="3" a="1"/>
  <c r="K790" i="3" s="1"/>
  <c r="K791" i="3" a="1"/>
  <c r="K791" i="3" s="1"/>
  <c r="K799" i="3" a="1"/>
  <c r="K799" i="3" s="1"/>
  <c r="K800" i="3" a="1"/>
  <c r="K800" i="3" s="1"/>
  <c r="K801" i="3" a="1"/>
  <c r="K801" i="3" s="1"/>
  <c r="K804" i="3" a="1"/>
  <c r="K804" i="3" s="1"/>
  <c r="K806" i="3" a="1"/>
  <c r="K806" i="3" s="1"/>
  <c r="K810" i="3" a="1"/>
  <c r="K810" i="3" s="1"/>
  <c r="K813" i="3" a="1"/>
  <c r="K813" i="3" s="1"/>
  <c r="K814" i="3" a="1"/>
  <c r="K814" i="3" s="1"/>
  <c r="K817" i="3" a="1"/>
  <c r="K817" i="3" s="1"/>
  <c r="K818" i="3" a="1"/>
  <c r="K818" i="3" s="1"/>
  <c r="K819" i="3" a="1"/>
  <c r="K819" i="3" s="1"/>
  <c r="K824" i="3" a="1"/>
  <c r="K824" i="3" s="1"/>
  <c r="K825" i="3" a="1"/>
  <c r="K825" i="3" s="1"/>
  <c r="K826" i="3" a="1"/>
  <c r="K826" i="3" s="1"/>
  <c r="K827" i="3" a="1"/>
  <c r="K827" i="3" s="1"/>
  <c r="K828" i="3" a="1"/>
  <c r="K828" i="3" s="1"/>
  <c r="K834" i="3" a="1"/>
  <c r="K834" i="3" s="1"/>
  <c r="K836" i="3" a="1"/>
  <c r="K836" i="3" s="1"/>
  <c r="K837" i="3" a="1"/>
  <c r="K837" i="3" s="1"/>
  <c r="K840" i="3" a="1"/>
  <c r="K840" i="3" s="1"/>
  <c r="K845" i="3" a="1"/>
  <c r="K845" i="3" s="1"/>
  <c r="K848" i="3" a="1"/>
  <c r="K848" i="3" s="1"/>
  <c r="K849" i="3" a="1"/>
  <c r="K849" i="3" s="1"/>
  <c r="K857" i="3" a="1"/>
  <c r="K857" i="3" s="1"/>
  <c r="K858" i="3" a="1"/>
  <c r="K858" i="3" s="1"/>
  <c r="K859" i="3" a="1"/>
  <c r="K859" i="3" s="1"/>
  <c r="K860" i="3" a="1"/>
  <c r="K860" i="3" s="1"/>
  <c r="K861" i="3" a="1"/>
  <c r="K861" i="3" s="1"/>
  <c r="K862" i="3" a="1"/>
  <c r="K862" i="3" s="1"/>
  <c r="K867" i="3" a="1"/>
  <c r="K867" i="3" s="1"/>
  <c r="K869" i="3" a="1"/>
  <c r="K869" i="3" s="1"/>
  <c r="K870" i="3" a="1"/>
  <c r="K870" i="3" s="1"/>
  <c r="K873" i="3" a="1"/>
  <c r="K873" i="3" s="1"/>
  <c r="K874" i="3" a="1"/>
  <c r="K874" i="3" s="1"/>
  <c r="K876" i="3" a="1"/>
  <c r="K876" i="3" s="1"/>
  <c r="K878" i="3" a="1"/>
  <c r="K878" i="3" s="1"/>
  <c r="K881" i="3" a="1"/>
  <c r="K881" i="3" s="1"/>
  <c r="K882" i="3" a="1"/>
  <c r="K882" i="3" s="1"/>
  <c r="K884" i="3" a="1"/>
  <c r="K884" i="3" s="1"/>
  <c r="K885" i="3" a="1"/>
  <c r="K885" i="3" s="1"/>
  <c r="K887" i="3" a="1"/>
  <c r="K887" i="3" s="1"/>
  <c r="K891" i="3" a="1"/>
  <c r="K891" i="3" s="1"/>
  <c r="K892" i="3" a="1"/>
  <c r="K892" i="3" s="1"/>
  <c r="K893" i="3" a="1"/>
  <c r="K893" i="3" s="1"/>
  <c r="K894" i="3" a="1"/>
  <c r="K894" i="3" s="1"/>
  <c r="K895" i="3" a="1"/>
  <c r="K895" i="3" s="1"/>
  <c r="K896" i="3" a="1"/>
  <c r="K896" i="3" s="1"/>
  <c r="K897" i="3" a="1"/>
  <c r="K897" i="3" s="1"/>
  <c r="K904" i="3" a="1"/>
  <c r="K904" i="3" s="1"/>
  <c r="K905" i="3" a="1"/>
  <c r="K905" i="3" s="1"/>
  <c r="K909" i="3" a="1"/>
  <c r="K909" i="3" s="1"/>
  <c r="K910" i="3" a="1"/>
  <c r="K910" i="3" s="1"/>
  <c r="K911" i="3" a="1"/>
  <c r="K911" i="3" s="1"/>
  <c r="K919" i="3" a="1"/>
  <c r="K919" i="3" s="1"/>
  <c r="K920" i="3" a="1"/>
  <c r="K920" i="3" s="1"/>
  <c r="K921" i="3" a="1"/>
  <c r="K921" i="3" s="1"/>
  <c r="K922" i="3" a="1"/>
  <c r="K922" i="3" s="1"/>
  <c r="K926" i="3" a="1"/>
  <c r="K926" i="3" s="1"/>
  <c r="K927" i="3" a="1"/>
  <c r="K927" i="3" s="1"/>
  <c r="K928" i="3" a="1"/>
  <c r="K928" i="3" s="1"/>
  <c r="K930" i="3" a="1"/>
  <c r="K930" i="3" s="1"/>
  <c r="K931" i="3" a="1"/>
  <c r="K931" i="3" s="1"/>
  <c r="K932" i="3" a="1"/>
  <c r="K932" i="3" s="1"/>
  <c r="K937" i="3" a="1"/>
  <c r="K937" i="3" s="1"/>
  <c r="K938" i="3" a="1"/>
  <c r="K938" i="3" s="1"/>
  <c r="K939" i="3" a="1"/>
  <c r="K939" i="3" s="1"/>
  <c r="K940" i="3" a="1"/>
  <c r="K940" i="3" s="1"/>
  <c r="K941" i="3" a="1"/>
  <c r="K941" i="3" s="1"/>
  <c r="K944" i="3" a="1"/>
  <c r="K944" i="3" s="1"/>
  <c r="K948" i="3" a="1"/>
  <c r="K948" i="3" s="1"/>
  <c r="K949" i="3" a="1"/>
  <c r="K949" i="3" s="1"/>
  <c r="K951" i="3" a="1"/>
  <c r="K951" i="3" s="1"/>
  <c r="K952" i="3" a="1"/>
  <c r="K952" i="3" s="1"/>
  <c r="K953" i="3" a="1"/>
  <c r="K953" i="3" s="1"/>
  <c r="K958" i="3" a="1"/>
  <c r="K958" i="3" s="1"/>
  <c r="K960" i="3" a="1"/>
  <c r="K960" i="3" s="1"/>
  <c r="K961" i="3" a="1"/>
  <c r="K961" i="3" s="1"/>
  <c r="K962" i="3" a="1"/>
  <c r="K962" i="3" s="1"/>
  <c r="K965" i="3" a="1"/>
  <c r="K965" i="3" s="1"/>
  <c r="K966" i="3" a="1"/>
  <c r="K966" i="3" s="1"/>
  <c r="K967" i="3" a="1"/>
  <c r="K967" i="3" s="1"/>
  <c r="K968" i="3" a="1"/>
  <c r="K968" i="3" s="1"/>
  <c r="K970" i="3" a="1"/>
  <c r="K970" i="3" s="1"/>
  <c r="K971" i="3" a="1"/>
  <c r="K971" i="3" s="1"/>
  <c r="K972" i="3" a="1"/>
  <c r="K972" i="3" s="1"/>
  <c r="K975" i="3" a="1"/>
  <c r="K975" i="3" s="1"/>
  <c r="K976" i="3" a="1"/>
  <c r="K976" i="3" s="1"/>
  <c r="K977" i="3" a="1"/>
  <c r="K977" i="3" s="1"/>
  <c r="K978" i="3" a="1"/>
  <c r="K978" i="3" s="1"/>
  <c r="K979" i="3" a="1"/>
  <c r="K979" i="3" s="1"/>
  <c r="K981" i="3" a="1"/>
  <c r="K981" i="3" s="1"/>
  <c r="K984" i="3" a="1"/>
  <c r="K984" i="3" s="1"/>
  <c r="K985" i="3" a="1"/>
  <c r="K985" i="3" s="1"/>
  <c r="K986" i="3" a="1"/>
  <c r="K986" i="3" s="1"/>
  <c r="K987" i="3" a="1"/>
  <c r="K987" i="3" s="1"/>
  <c r="K988" i="3" a="1"/>
  <c r="K988" i="3" s="1"/>
  <c r="K989" i="3" a="1"/>
  <c r="K989" i="3" s="1"/>
  <c r="K993" i="3" a="1"/>
  <c r="K993" i="3" s="1"/>
  <c r="K996" i="3" a="1"/>
  <c r="K996" i="3" s="1"/>
  <c r="K997" i="3" a="1"/>
  <c r="K997" i="3" s="1"/>
  <c r="K998" i="3" a="1"/>
  <c r="K998" i="3" s="1"/>
  <c r="K1001" i="3" a="1"/>
  <c r="K1001" i="3" s="1"/>
  <c r="K1002" i="3" a="1"/>
  <c r="K1002" i="3" s="1"/>
  <c r="K1003" i="3" a="1"/>
  <c r="K1003" i="3" s="1"/>
  <c r="K1007" i="3" a="1"/>
  <c r="K1007" i="3" s="1"/>
  <c r="K1010" i="3" a="1"/>
  <c r="K1010" i="3" s="1"/>
  <c r="K1011" i="3" a="1"/>
  <c r="K1011" i="3" s="1"/>
  <c r="K1012" i="3" a="1"/>
  <c r="K1012" i="3" s="1"/>
  <c r="K1013" i="3" a="1"/>
  <c r="K1013" i="3" s="1"/>
  <c r="K1014" i="3" a="1"/>
  <c r="K1014" i="3" s="1"/>
  <c r="K1019" i="3" a="1"/>
  <c r="K1019" i="3" s="1"/>
  <c r="K1020" i="3" a="1"/>
  <c r="K1020" i="3" s="1"/>
  <c r="K1021" i="3" a="1"/>
  <c r="K1021" i="3" s="1"/>
  <c r="K1022" i="3" a="1"/>
  <c r="K1022" i="3" s="1"/>
  <c r="K1027" i="3" a="1"/>
  <c r="K1027" i="3" s="1"/>
  <c r="K1030" i="3" a="1"/>
  <c r="K1030" i="3" s="1"/>
  <c r="K1031" i="3" a="1"/>
  <c r="K1031" i="3" s="1"/>
  <c r="K1032" i="3" a="1"/>
  <c r="K1032" i="3" s="1"/>
  <c r="K1033" i="3" a="1"/>
  <c r="K1033" i="3" s="1"/>
  <c r="K1034" i="3" a="1"/>
  <c r="K1034" i="3" s="1"/>
  <c r="K1035" i="3" a="1"/>
  <c r="K1035" i="3" s="1"/>
  <c r="K1036" i="3" a="1"/>
  <c r="K1036" i="3" s="1"/>
  <c r="K1037" i="3" a="1"/>
  <c r="K1037" i="3" s="1"/>
  <c r="K1039" i="3" a="1"/>
  <c r="K1039" i="3" s="1"/>
  <c r="K1040" i="3" a="1"/>
  <c r="K1040" i="3" s="1"/>
  <c r="K1042" i="3" a="1"/>
  <c r="K1042" i="3" s="1"/>
  <c r="K1044" i="3" a="1"/>
  <c r="K1044" i="3" s="1"/>
  <c r="K1045" i="3" a="1"/>
  <c r="K1045" i="3" s="1"/>
  <c r="K1046" i="3" a="1"/>
  <c r="K1046" i="3" s="1"/>
  <c r="K1048" i="3" a="1"/>
  <c r="K1048" i="3" s="1"/>
  <c r="K1049" i="3" a="1"/>
  <c r="K1049" i="3" s="1"/>
  <c r="K1054" i="3" a="1"/>
  <c r="K1054" i="3" s="1"/>
  <c r="K1055" i="3" a="1"/>
  <c r="K1055" i="3" s="1"/>
  <c r="K1056" i="3" a="1"/>
  <c r="K1056" i="3" s="1"/>
  <c r="K1057" i="3" a="1"/>
  <c r="K1057" i="3" s="1"/>
  <c r="K1058" i="3" a="1"/>
  <c r="K1058" i="3" s="1"/>
  <c r="K1061" i="3" a="1"/>
  <c r="K1061" i="3" s="1"/>
  <c r="K1062" i="3" a="1"/>
  <c r="K1062" i="3" s="1"/>
  <c r="K1064" i="3" a="1"/>
  <c r="K1064" i="3" s="1"/>
  <c r="K1065" i="3" a="1"/>
  <c r="K1065" i="3" s="1"/>
  <c r="K1066" i="3" a="1"/>
  <c r="K1066" i="3" s="1"/>
  <c r="K1067" i="3" a="1"/>
  <c r="K1067" i="3" s="1"/>
  <c r="K1069" i="3" a="1"/>
  <c r="K1069" i="3" s="1"/>
  <c r="K1070" i="3" a="1"/>
  <c r="K1070" i="3" s="1"/>
  <c r="K1072" i="3" a="1"/>
  <c r="K1072" i="3" s="1"/>
  <c r="K1074" i="3" a="1"/>
  <c r="K1074" i="3" s="1"/>
  <c r="K1078" i="3" a="1"/>
  <c r="K1078" i="3" s="1"/>
  <c r="K1079" i="3" a="1"/>
  <c r="K1079" i="3" s="1"/>
  <c r="K1080" i="3" a="1"/>
  <c r="K1080" i="3" s="1"/>
  <c r="K1081" i="3" a="1"/>
  <c r="K1081" i="3" s="1"/>
  <c r="K1082" i="3" a="1"/>
  <c r="K1082" i="3" s="1"/>
  <c r="K1087" i="3" a="1"/>
  <c r="K1087" i="3" s="1"/>
  <c r="K1089" i="3" a="1"/>
  <c r="K1089" i="3" s="1"/>
  <c r="K1090" i="3" a="1"/>
  <c r="K1090" i="3" s="1"/>
  <c r="K1091" i="3" a="1"/>
  <c r="K1091" i="3" s="1"/>
  <c r="K1092" i="3" a="1"/>
  <c r="K1092" i="3" s="1"/>
  <c r="K1094" i="3" a="1"/>
  <c r="K1094" i="3" s="1"/>
  <c r="K1095" i="3" a="1"/>
  <c r="K1095" i="3" s="1"/>
  <c r="K1096" i="3" a="1"/>
  <c r="K1096" i="3" s="1"/>
  <c r="K1097" i="3" a="1"/>
  <c r="K1097" i="3" s="1"/>
  <c r="K1098" i="3" a="1"/>
  <c r="K1098" i="3" s="1"/>
  <c r="K1099" i="3" a="1"/>
  <c r="K1099" i="3" s="1"/>
  <c r="K1102" i="3" a="1"/>
  <c r="K1102" i="3" s="1"/>
  <c r="K1103" i="3" a="1"/>
  <c r="K1103" i="3" s="1"/>
  <c r="K1104" i="3" a="1"/>
  <c r="K1104" i="3" s="1"/>
  <c r="K1105" i="3" a="1"/>
  <c r="K1105" i="3" s="1"/>
  <c r="K1106" i="3" a="1"/>
  <c r="K1106" i="3" s="1"/>
  <c r="K1108" i="3" a="1"/>
  <c r="K1108" i="3" s="1"/>
  <c r="K1115" i="3" a="1"/>
  <c r="K1115" i="3" s="1"/>
  <c r="K1116" i="3" a="1"/>
  <c r="K1116" i="3" s="1"/>
  <c r="K1117" i="3" a="1"/>
  <c r="K1117" i="3" s="1"/>
  <c r="K1118" i="3" a="1"/>
  <c r="K1118" i="3" s="1"/>
  <c r="K1121" i="3" a="1"/>
  <c r="K1121" i="3" s="1"/>
  <c r="K1122" i="3" a="1"/>
  <c r="K1122" i="3" s="1"/>
  <c r="K1123" i="3" a="1"/>
  <c r="K1123" i="3" s="1"/>
  <c r="K1124" i="3" a="1"/>
  <c r="K1124" i="3" s="1"/>
  <c r="K1125" i="3" a="1"/>
  <c r="K1125" i="3" s="1"/>
  <c r="K1126" i="3" a="1"/>
  <c r="K1126" i="3" s="1"/>
  <c r="K1129" i="3" a="1"/>
  <c r="K1129" i="3" s="1"/>
  <c r="K1130" i="3" a="1"/>
  <c r="K1130" i="3" s="1"/>
  <c r="K1133" i="3" a="1"/>
  <c r="K1133" i="3" s="1"/>
  <c r="K1137" i="3" a="1"/>
  <c r="K1137" i="3" s="1"/>
  <c r="K1138" i="3" a="1"/>
  <c r="K1138" i="3" s="1"/>
  <c r="K1139" i="3" a="1"/>
  <c r="K1139" i="3" s="1"/>
  <c r="K1141" i="3" a="1"/>
  <c r="K1141" i="3" s="1"/>
  <c r="K1142" i="3" a="1"/>
  <c r="K1142" i="3" s="1"/>
  <c r="K1144" i="3" a="1"/>
  <c r="K1144" i="3" s="1"/>
  <c r="K1146" i="3" a="1"/>
  <c r="K1146" i="3" s="1"/>
  <c r="K1147" i="3" a="1"/>
  <c r="K1147" i="3" s="1"/>
  <c r="K1148" i="3" a="1"/>
  <c r="K1148" i="3" s="1"/>
  <c r="K1149" i="3" a="1"/>
  <c r="K1149" i="3" s="1"/>
  <c r="K1150" i="3" a="1"/>
  <c r="K1150" i="3" s="1"/>
  <c r="K1151" i="3" a="1"/>
  <c r="K1151" i="3" s="1"/>
  <c r="K1159" i="3" a="1"/>
  <c r="K1159" i="3" s="1"/>
  <c r="K1160" i="3" a="1"/>
  <c r="K1160" i="3" s="1"/>
  <c r="K1163" i="3" a="1"/>
  <c r="K1163" i="3" s="1"/>
  <c r="K1164" i="3" a="1"/>
  <c r="K1164" i="3" s="1"/>
  <c r="K1166" i="3" a="1"/>
  <c r="K1166" i="3" s="1"/>
  <c r="K1167" i="3" a="1"/>
  <c r="K1167" i="3" s="1"/>
  <c r="K1168" i="3" a="1"/>
  <c r="K1168" i="3" s="1"/>
  <c r="K1170" i="3" a="1"/>
  <c r="K1170" i="3" s="1"/>
  <c r="K1171" i="3" a="1"/>
  <c r="K1171" i="3" s="1"/>
  <c r="K1172" i="3" a="1"/>
  <c r="K1172" i="3" s="1"/>
  <c r="K1173" i="3" a="1"/>
  <c r="K1173" i="3" s="1"/>
  <c r="K1177" i="3" a="1"/>
  <c r="K1177" i="3" s="1"/>
  <c r="K1180" i="3" a="1"/>
  <c r="K1180" i="3" s="1"/>
  <c r="K1182" i="3" a="1"/>
  <c r="K1182" i="3" s="1"/>
  <c r="K1185" i="3" a="1"/>
  <c r="K1185" i="3" s="1"/>
  <c r="K1186" i="3" a="1"/>
  <c r="K1186" i="3" s="1"/>
  <c r="K1187" i="3" a="1"/>
  <c r="K1187" i="3" s="1"/>
  <c r="K1188" i="3" a="1"/>
  <c r="K1188" i="3" s="1"/>
  <c r="K1191" i="3" a="1"/>
  <c r="K1191" i="3" s="1"/>
  <c r="K1192" i="3" a="1"/>
  <c r="K1192" i="3" s="1"/>
  <c r="K1193" i="3" a="1"/>
  <c r="K1193" i="3" s="1"/>
  <c r="K1197" i="3" a="1"/>
  <c r="K1197" i="3" s="1"/>
  <c r="K1198" i="3" a="1"/>
  <c r="K1198" i="3" s="1"/>
  <c r="K1203" i="3" a="1"/>
  <c r="K1203" i="3" s="1"/>
  <c r="K1207" i="3" a="1"/>
  <c r="K1207" i="3" s="1"/>
  <c r="K1208" i="3" a="1"/>
  <c r="K1208" i="3" s="1"/>
  <c r="K1209" i="3" a="1"/>
  <c r="K1209" i="3" s="1"/>
  <c r="K1210" i="3" a="1"/>
  <c r="K1210" i="3" s="1"/>
  <c r="K1217" i="3" a="1"/>
  <c r="K1217" i="3" s="1"/>
  <c r="K1218" i="3" a="1"/>
  <c r="K1218" i="3" s="1"/>
  <c r="K1219" i="3" a="1"/>
  <c r="K1219" i="3" s="1"/>
  <c r="K1220" i="3" a="1"/>
  <c r="K1220" i="3" s="1"/>
  <c r="K1221" i="3" a="1"/>
  <c r="K1221" i="3" s="1"/>
  <c r="K1228" i="3" a="1"/>
  <c r="K1228" i="3" s="1"/>
  <c r="K1229" i="3" a="1"/>
  <c r="K1229" i="3" s="1"/>
  <c r="K1230" i="3" a="1"/>
  <c r="K1230" i="3" s="1"/>
  <c r="K1231" i="3" a="1"/>
  <c r="K1231" i="3" s="1"/>
  <c r="K1232" i="3" a="1"/>
  <c r="K1232" i="3" s="1"/>
  <c r="K1233" i="3" a="1"/>
  <c r="K1233" i="3" s="1"/>
  <c r="K1234" i="3" a="1"/>
  <c r="K1234" i="3" s="1"/>
  <c r="K1235" i="3" a="1"/>
  <c r="K1235" i="3" s="1"/>
  <c r="K1236" i="3" a="1"/>
  <c r="K1236" i="3" s="1"/>
  <c r="K1238" i="3" a="1"/>
  <c r="K1238" i="3" s="1"/>
  <c r="K1241" i="3" a="1"/>
  <c r="K1241" i="3" s="1"/>
  <c r="K1244" i="3" a="1"/>
  <c r="K1244" i="3" s="1"/>
  <c r="K1245" i="3" a="1"/>
  <c r="K1245" i="3" s="1"/>
  <c r="K1246" i="3" a="1"/>
  <c r="K1246" i="3" s="1"/>
  <c r="K1250" i="3" a="1"/>
  <c r="K1250" i="3" s="1"/>
  <c r="K1251" i="3" a="1"/>
  <c r="K1251" i="3" s="1"/>
  <c r="K1252" i="3" a="1"/>
  <c r="K1252" i="3" s="1"/>
  <c r="K1253" i="3" a="1"/>
  <c r="K1253" i="3" s="1"/>
  <c r="K1254" i="3" a="1"/>
  <c r="K1254" i="3" s="1"/>
  <c r="K1257" i="3" a="1"/>
  <c r="K1257" i="3" s="1"/>
  <c r="K1258" i="3" a="1"/>
  <c r="K1258" i="3" s="1"/>
  <c r="K1259" i="3" a="1"/>
  <c r="K1259" i="3" s="1"/>
  <c r="K1261" i="3" a="1"/>
  <c r="K1261" i="3" s="1"/>
  <c r="K1262" i="3" a="1"/>
  <c r="K1262" i="3" s="1"/>
  <c r="K1264" i="3" a="1"/>
  <c r="K1264" i="3" s="1"/>
  <c r="K1265" i="3" a="1"/>
  <c r="K1265" i="3" s="1"/>
  <c r="K1266" i="3" a="1"/>
  <c r="K1266" i="3" s="1"/>
  <c r="K1267" i="3" a="1"/>
  <c r="K1267" i="3" s="1"/>
  <c r="K1268" i="3" a="1"/>
  <c r="K1268" i="3" s="1"/>
  <c r="K1269" i="3" a="1"/>
  <c r="K1269" i="3" s="1"/>
  <c r="K1271" i="3" a="1"/>
  <c r="K1271" i="3" s="1"/>
  <c r="K1278" i="3" a="1"/>
  <c r="K1278" i="3" s="1"/>
  <c r="K1279" i="3" a="1"/>
  <c r="K1279" i="3" s="1"/>
  <c r="K1283" i="3" a="1"/>
  <c r="K1283" i="3" s="1"/>
  <c r="K1284" i="3" a="1"/>
  <c r="K1284" i="3" s="1"/>
  <c r="K1285" i="3" a="1"/>
  <c r="K1285" i="3" s="1"/>
  <c r="K1287" i="3" a="1"/>
  <c r="K1287" i="3" s="1"/>
  <c r="K1290" i="3" a="1"/>
  <c r="K1290" i="3" s="1"/>
  <c r="K1291" i="3" a="1"/>
  <c r="K1291" i="3" s="1"/>
  <c r="K1295" i="3" a="1"/>
  <c r="K1295" i="3" s="1"/>
  <c r="K1296" i="3" a="1"/>
  <c r="K1296" i="3" s="1"/>
  <c r="K1299" i="3" a="1"/>
  <c r="K1299" i="3" s="1"/>
  <c r="K1300" i="3" a="1"/>
  <c r="K1300" i="3" s="1"/>
  <c r="K1301" i="3" a="1"/>
  <c r="K1301" i="3" s="1"/>
  <c r="K1304" i="3" a="1"/>
  <c r="K1304" i="3" s="1"/>
  <c r="K1305" i="3" a="1"/>
  <c r="K1305" i="3" s="1"/>
  <c r="K1308" i="3" a="1"/>
  <c r="K1308" i="3" s="1"/>
  <c r="K1309" i="3" a="1"/>
  <c r="K1309" i="3" s="1"/>
  <c r="K1310" i="3" a="1"/>
  <c r="K1310" i="3" s="1"/>
  <c r="K1311" i="3" a="1"/>
  <c r="K1311" i="3" s="1"/>
  <c r="K1316" i="3" a="1"/>
  <c r="K1316" i="3" s="1"/>
  <c r="F1317" i="3" a="1"/>
  <c r="F1317" i="3" s="1"/>
  <c r="K1317" i="3" a="1"/>
  <c r="K1317" i="3" s="1"/>
  <c r="K1318" i="3" a="1"/>
  <c r="K1318" i="3" s="1"/>
  <c r="K1321" i="3" a="1"/>
  <c r="K1321" i="3" s="1"/>
  <c r="K1327" i="3" a="1"/>
  <c r="K1327" i="3" s="1"/>
  <c r="K1328" i="3" a="1"/>
  <c r="K1328" i="3" s="1"/>
  <c r="K1330" i="3" a="1"/>
  <c r="K1330" i="3" s="1"/>
  <c r="K1333" i="3" a="1"/>
  <c r="K1333" i="3" s="1"/>
  <c r="K1334" i="3" a="1"/>
  <c r="K1334" i="3" s="1"/>
  <c r="K1342" i="3" a="1"/>
  <c r="K1342" i="3" s="1"/>
  <c r="K1343" i="3" a="1"/>
  <c r="K1343" i="3" s="1"/>
  <c r="K1344" i="3" a="1"/>
  <c r="K1344" i="3" s="1"/>
  <c r="K1346" i="3" a="1"/>
  <c r="K1346" i="3" s="1"/>
  <c r="K1348" i="3" a="1"/>
  <c r="K1348" i="3" s="1"/>
  <c r="K1350" i="3" a="1"/>
  <c r="K1350" i="3" s="1"/>
  <c r="K1351" i="3" a="1"/>
  <c r="K1351" i="3" s="1"/>
  <c r="K1353" i="3" a="1"/>
  <c r="K1353" i="3" s="1"/>
  <c r="K1355" i="3" a="1"/>
  <c r="K1355" i="3" s="1"/>
  <c r="K1358" i="3" a="1"/>
  <c r="K1358" i="3" s="1"/>
  <c r="K1359" i="3" a="1"/>
  <c r="K1359" i="3" s="1"/>
  <c r="K1360" i="3" a="1"/>
  <c r="K1360" i="3" s="1"/>
  <c r="K1361" i="3" a="1"/>
  <c r="K1361" i="3" s="1"/>
  <c r="K1365" i="3" a="1"/>
  <c r="K1365" i="3" s="1"/>
  <c r="K1366" i="3" a="1"/>
  <c r="K1366" i="3" s="1"/>
  <c r="K1367" i="3" a="1"/>
  <c r="K1367" i="3" s="1"/>
  <c r="K1371" i="3" a="1"/>
  <c r="K1371" i="3" s="1"/>
  <c r="K1372" i="3" a="1"/>
  <c r="K1372" i="3" s="1"/>
  <c r="K1374" i="3" a="1"/>
  <c r="K1374" i="3" s="1"/>
  <c r="K1375" i="3" a="1"/>
  <c r="K1375" i="3" s="1"/>
  <c r="K1376" i="3" a="1"/>
  <c r="K1376" i="3" s="1"/>
  <c r="K1380" i="3" a="1"/>
  <c r="K1380" i="3" s="1"/>
  <c r="K1382" i="3" a="1"/>
  <c r="K1382" i="3" s="1"/>
  <c r="K1383" i="3" a="1"/>
  <c r="K1383" i="3" s="1"/>
  <c r="K1384" i="3" a="1"/>
  <c r="K1384" i="3" s="1"/>
  <c r="K1385" i="3" a="1"/>
  <c r="K1385" i="3" s="1"/>
  <c r="K1386" i="3" a="1"/>
  <c r="K1386" i="3" s="1"/>
  <c r="K1390" i="3" a="1"/>
  <c r="K1390" i="3" s="1"/>
  <c r="F1393" i="3" a="1"/>
  <c r="F1393" i="3" s="1"/>
  <c r="K1393" i="3" a="1"/>
  <c r="K1393" i="3" s="1"/>
  <c r="K1394" i="3" a="1"/>
  <c r="K1394" i="3" s="1"/>
  <c r="K1399" i="3" a="1"/>
  <c r="K1399" i="3" s="1"/>
  <c r="K1400" i="3" a="1"/>
  <c r="K1400" i="3" s="1"/>
  <c r="K1401" i="3" a="1"/>
  <c r="K1401" i="3" s="1"/>
  <c r="K1406" i="3" a="1"/>
  <c r="K1406" i="3" s="1"/>
  <c r="K1407" i="3" a="1"/>
  <c r="K1407" i="3" s="1"/>
  <c r="K1408" i="3" a="1"/>
  <c r="K1408" i="3" s="1"/>
  <c r="K1409" i="3" a="1"/>
  <c r="K1409" i="3" s="1"/>
  <c r="K1410" i="3" a="1"/>
  <c r="K1410" i="3" s="1"/>
  <c r="K1411" i="3" a="1"/>
  <c r="K1411" i="3" s="1"/>
  <c r="K1412" i="3" a="1"/>
  <c r="K1412" i="3" s="1"/>
  <c r="K1413" i="3" a="1"/>
  <c r="K1413" i="3" s="1"/>
  <c r="K1416" i="3" a="1"/>
  <c r="K1416" i="3" s="1"/>
  <c r="K1418" i="3" a="1"/>
  <c r="K1418" i="3" s="1"/>
  <c r="K1419" i="3" a="1"/>
  <c r="K1419" i="3" s="1"/>
  <c r="K1420" i="3" a="1"/>
  <c r="K1420" i="3" s="1"/>
  <c r="K1425" i="3" a="1"/>
  <c r="K1425" i="3" s="1"/>
  <c r="K1426" i="3" a="1"/>
  <c r="K1426" i="3" s="1"/>
  <c r="K1427" i="3" a="1"/>
  <c r="K1427" i="3" s="1"/>
  <c r="K1428" i="3" a="1"/>
  <c r="K1428" i="3" s="1"/>
  <c r="K1432" i="3" a="1"/>
  <c r="K1432" i="3" s="1"/>
  <c r="K1434" i="3" a="1"/>
  <c r="K1434" i="3" s="1"/>
  <c r="E1437" i="3" a="1"/>
  <c r="E1437" i="3" s="1"/>
  <c r="K1437" i="3" a="1"/>
  <c r="K1437" i="3" s="1"/>
  <c r="F1438" i="3" a="1"/>
  <c r="F1438" i="3" s="1"/>
  <c r="K1438" i="3" a="1"/>
  <c r="K1438" i="3" s="1"/>
  <c r="E1439" i="3" a="1"/>
  <c r="E1439" i="3" s="1"/>
  <c r="K1439" i="3" a="1"/>
  <c r="K1439" i="3" s="1"/>
  <c r="K1417" i="3" a="1"/>
  <c r="K1417" i="3" s="1"/>
  <c r="K1429" i="3" a="1"/>
  <c r="K1429" i="3" s="1"/>
  <c r="K1424" i="3" a="1"/>
  <c r="K1424" i="3" s="1"/>
  <c r="K74" i="3" a="1"/>
  <c r="K74" i="3" s="1"/>
  <c r="K164" i="3" a="1"/>
  <c r="K164" i="3" s="1"/>
  <c r="K188" i="3" a="1"/>
  <c r="K188" i="3" s="1"/>
  <c r="K278" i="3" a="1"/>
  <c r="K278" i="3" s="1"/>
  <c r="K344" i="3" a="1"/>
  <c r="K344" i="3" s="1"/>
  <c r="K380" i="3" a="1"/>
  <c r="K380" i="3" s="1"/>
  <c r="K440" i="3" a="1"/>
  <c r="K440" i="3" s="1"/>
  <c r="K458" i="3" a="1"/>
  <c r="K458" i="3" s="1"/>
  <c r="K38" i="3" a="1"/>
  <c r="K38" i="3" s="1"/>
  <c r="K152" i="3" a="1"/>
  <c r="K152" i="3" s="1"/>
  <c r="K176" i="3" a="1"/>
  <c r="K176" i="3" s="1"/>
  <c r="K236" i="3" a="1"/>
  <c r="K236" i="3" s="1"/>
  <c r="K254" i="3" a="1"/>
  <c r="K254" i="3" s="1"/>
  <c r="K314" i="3" a="1"/>
  <c r="K314" i="3" s="1"/>
  <c r="K320" i="3" a="1"/>
  <c r="K320" i="3" s="1"/>
  <c r="K356" i="3" a="1"/>
  <c r="K356" i="3" s="1"/>
  <c r="K404" i="3" a="1"/>
  <c r="K404" i="3" s="1"/>
  <c r="K363" i="3" a="1"/>
  <c r="K363" i="3" s="1"/>
  <c r="K369" i="3" a="1"/>
  <c r="K369" i="3" s="1"/>
  <c r="K405" i="3" a="1"/>
  <c r="K405" i="3" s="1"/>
  <c r="K441" i="3" a="1"/>
  <c r="K441" i="3" s="1"/>
  <c r="K465" i="3" a="1"/>
  <c r="K465" i="3" s="1"/>
  <c r="K501" i="3" a="1"/>
  <c r="K501" i="3" s="1"/>
  <c r="K531" i="3" a="1"/>
  <c r="K531" i="3" s="1"/>
  <c r="K549" i="3" a="1"/>
  <c r="K549" i="3" s="1"/>
  <c r="K555" i="3" a="1"/>
  <c r="K555" i="3" s="1"/>
  <c r="K561" i="3" a="1"/>
  <c r="K561" i="3" s="1"/>
  <c r="K579" i="3" a="1"/>
  <c r="K579" i="3" s="1"/>
  <c r="K591" i="3" a="1"/>
  <c r="K591" i="3" s="1"/>
  <c r="K603" i="3" a="1"/>
  <c r="K603" i="3" s="1"/>
  <c r="K110" i="3" a="1"/>
  <c r="K110" i="3" s="1"/>
  <c r="K63" i="3" a="1"/>
  <c r="K63" i="3" s="1"/>
  <c r="K381" i="3" a="1"/>
  <c r="K381" i="3" s="1"/>
  <c r="K429" i="3" a="1"/>
  <c r="K429" i="3" s="1"/>
  <c r="K453" i="3" a="1"/>
  <c r="K453" i="3" s="1"/>
  <c r="K477" i="3" a="1"/>
  <c r="K477" i="3" s="1"/>
  <c r="K483" i="3" a="1"/>
  <c r="K483" i="3" s="1"/>
  <c r="K153" i="3" a="1"/>
  <c r="K153" i="3" s="1"/>
  <c r="K243" i="3" a="1"/>
  <c r="K243" i="3" s="1"/>
  <c r="K124" i="3" a="1"/>
  <c r="K124" i="3" s="1"/>
  <c r="K478" i="3" a="1"/>
  <c r="K478" i="3" s="1"/>
  <c r="K544" i="3" a="1"/>
  <c r="K544" i="3" s="1"/>
  <c r="K604" i="3" a="1"/>
  <c r="K604" i="3" s="1"/>
  <c r="K142" i="3" a="1"/>
  <c r="K142" i="3" s="1"/>
  <c r="K262" i="3" a="1"/>
  <c r="K262" i="3" s="1"/>
  <c r="K406" i="3" a="1"/>
  <c r="K406" i="3" s="1"/>
  <c r="K442" i="3" a="1"/>
  <c r="K442" i="3" s="1"/>
  <c r="K568" i="3" a="1"/>
  <c r="K568" i="3" s="1"/>
  <c r="K134" i="3" a="1"/>
  <c r="K134" i="3" s="1"/>
  <c r="K39" i="3" a="1"/>
  <c r="K39" i="3" s="1"/>
  <c r="K291" i="3" a="1"/>
  <c r="K291" i="3" s="1"/>
  <c r="K297" i="3" a="1"/>
  <c r="K297" i="3" s="1"/>
  <c r="K10" i="3" a="1"/>
  <c r="K10" i="3" s="1"/>
  <c r="K16" i="3" a="1"/>
  <c r="K16" i="3" s="1"/>
  <c r="K22" i="3" a="1"/>
  <c r="K22" i="3" s="1"/>
  <c r="K28" i="3" a="1"/>
  <c r="K28" i="3" s="1"/>
  <c r="K172" i="3" a="1"/>
  <c r="K172" i="3" s="1"/>
  <c r="K334" i="3" a="1"/>
  <c r="K334" i="3" s="1"/>
  <c r="K502" i="3" a="1"/>
  <c r="K502" i="3" s="1"/>
  <c r="K646" i="3" a="1"/>
  <c r="K646" i="3" s="1"/>
  <c r="K23" i="3" a="1"/>
  <c r="K23" i="3" s="1"/>
  <c r="K89" i="3" a="1"/>
  <c r="K89" i="3" s="1"/>
  <c r="K123" i="3" a="1"/>
  <c r="K123" i="3" s="1"/>
  <c r="K129" i="3" a="1"/>
  <c r="K129" i="3" s="1"/>
  <c r="K190" i="3" a="1"/>
  <c r="K190" i="3" s="1"/>
  <c r="K382" i="3" a="1"/>
  <c r="K382" i="3" s="1"/>
  <c r="K556" i="3" a="1"/>
  <c r="K556" i="3" s="1"/>
  <c r="K622" i="3" a="1"/>
  <c r="K622" i="3" s="1"/>
  <c r="K658" i="3" a="1"/>
  <c r="K658" i="3" s="1"/>
  <c r="K41" i="3" a="1"/>
  <c r="K41" i="3" s="1"/>
  <c r="K189" i="3" a="1"/>
  <c r="K189" i="3" s="1"/>
  <c r="K309" i="3" a="1"/>
  <c r="K309" i="3" s="1"/>
  <c r="K214" i="3" a="1"/>
  <c r="K214" i="3" s="1"/>
  <c r="K87" i="3" a="1"/>
  <c r="K87" i="3" s="1"/>
  <c r="K88" i="3" a="1"/>
  <c r="K88" i="3" s="1"/>
  <c r="K346" i="3" a="1"/>
  <c r="K346" i="3" s="1"/>
  <c r="K86" i="3" a="1"/>
  <c r="K86" i="3" s="1"/>
  <c r="K105" i="3" a="1"/>
  <c r="K105" i="3" s="1"/>
  <c r="K111" i="3" a="1"/>
  <c r="K111" i="3" s="1"/>
  <c r="K225" i="3" a="1"/>
  <c r="K225" i="3" s="1"/>
  <c r="K274" i="3" a="1"/>
  <c r="K274" i="3" s="1"/>
  <c r="K280" i="3" a="1"/>
  <c r="K280" i="3" s="1"/>
  <c r="K752" i="3" a="1"/>
  <c r="K752" i="3" s="1"/>
  <c r="K209" i="3" a="1"/>
  <c r="K209" i="3" s="1"/>
  <c r="K215" i="3" a="1"/>
  <c r="K215" i="3" s="1"/>
  <c r="K275" i="3" a="1"/>
  <c r="K275" i="3" s="1"/>
  <c r="K764" i="3" a="1"/>
  <c r="K764" i="3" s="1"/>
  <c r="K770" i="3" a="1"/>
  <c r="K770" i="3" s="1"/>
  <c r="K161" i="3" a="1"/>
  <c r="K161" i="3" s="1"/>
  <c r="K191" i="3" a="1"/>
  <c r="K191" i="3" s="1"/>
  <c r="K197" i="3" a="1"/>
  <c r="K197" i="3" s="1"/>
  <c r="K125" i="3" a="1"/>
  <c r="K125" i="3" s="1"/>
  <c r="K263" i="3" a="1"/>
  <c r="K263" i="3" s="1"/>
  <c r="K149" i="3" a="1"/>
  <c r="K149" i="3" s="1"/>
  <c r="K227" i="3" a="1"/>
  <c r="K227" i="3" s="1"/>
  <c r="K476" i="3" a="1"/>
  <c r="K476" i="3" s="1"/>
  <c r="K506" i="3" a="1"/>
  <c r="K506" i="3" s="1"/>
  <c r="K524" i="3" a="1"/>
  <c r="K524" i="3" s="1"/>
  <c r="K536" i="3" a="1"/>
  <c r="K536" i="3" s="1"/>
  <c r="K554" i="3" a="1"/>
  <c r="K554" i="3" s="1"/>
  <c r="K572" i="3" a="1"/>
  <c r="K572" i="3" s="1"/>
  <c r="K596" i="3" a="1"/>
  <c r="K596" i="3" s="1"/>
  <c r="K602" i="3" a="1"/>
  <c r="K602" i="3" s="1"/>
  <c r="K656" i="3" a="1"/>
  <c r="K656" i="3" s="1"/>
  <c r="K674" i="3" a="1"/>
  <c r="K674" i="3" s="1"/>
  <c r="K680" i="3" a="1"/>
  <c r="K680" i="3" s="1"/>
  <c r="K686" i="3" a="1"/>
  <c r="K686" i="3" s="1"/>
  <c r="K692" i="3" a="1"/>
  <c r="K692" i="3" s="1"/>
  <c r="K716" i="3" a="1"/>
  <c r="K716" i="3" s="1"/>
  <c r="K639" i="3" a="1"/>
  <c r="K639" i="3" s="1"/>
  <c r="K722" i="3" a="1"/>
  <c r="K722" i="3" s="1"/>
  <c r="F1332" i="3" a="1"/>
  <c r="F1332" i="3" s="1"/>
  <c r="F1420" i="3" a="1"/>
  <c r="F1420" i="3" s="1"/>
  <c r="E1420" i="3" a="1"/>
  <c r="E1420" i="3" s="1"/>
  <c r="F1440" i="3" a="1"/>
  <c r="F1440" i="3" s="1"/>
  <c r="F1078" i="3" a="1"/>
  <c r="F1078" i="3" s="1"/>
  <c r="F1122" i="3" a="1"/>
  <c r="F1122" i="3" s="1"/>
  <c r="F1264" i="3" a="1"/>
  <c r="F1264" i="3" s="1"/>
  <c r="F1281" i="3" a="1"/>
  <c r="F1281" i="3" s="1"/>
  <c r="F1406" i="3" a="1"/>
  <c r="F1406" i="3" s="1"/>
  <c r="F1427" i="3" a="1"/>
  <c r="F1427" i="3" s="1"/>
  <c r="E1427" i="3" a="1"/>
  <c r="E1427" i="3" s="1"/>
  <c r="E1431" i="3" a="1"/>
  <c r="E1431" i="3" s="1"/>
  <c r="F1437" i="3" a="1"/>
  <c r="F1437" i="3" s="1"/>
  <c r="F1439" i="3" a="1"/>
  <c r="F1439" i="3" s="1"/>
  <c r="F914" i="3" a="1"/>
  <c r="F914" i="3" s="1"/>
  <c r="F357" i="3" a="1"/>
  <c r="F357" i="3" s="1"/>
  <c r="F1006" i="3" a="1"/>
  <c r="F1006" i="3" s="1"/>
  <c r="F868" i="3" a="1"/>
  <c r="F868" i="3" s="1"/>
  <c r="F796" i="3" a="1"/>
  <c r="F796" i="3" s="1"/>
  <c r="F380" i="3" a="1"/>
  <c r="F380" i="3" s="1"/>
  <c r="F937" i="3" a="1"/>
  <c r="F937" i="3" s="1"/>
  <c r="F769" i="3" a="1"/>
  <c r="F769" i="3" s="1"/>
  <c r="F329" i="3" a="1"/>
  <c r="F329" i="3" s="1"/>
  <c r="F407" i="3" a="1"/>
  <c r="F407" i="3" s="1"/>
  <c r="F458" i="3" a="1"/>
  <c r="F458" i="3" s="1"/>
  <c r="F483" i="3" a="1"/>
  <c r="F483" i="3" s="1"/>
  <c r="F506" i="3" a="1"/>
  <c r="F506" i="3" s="1"/>
  <c r="F531" i="3" a="1"/>
  <c r="F531" i="3" s="1"/>
  <c r="F561" i="3" a="1"/>
  <c r="F561" i="3" s="1"/>
  <c r="F612" i="3" a="1"/>
  <c r="F612" i="3" s="1"/>
  <c r="F655" i="3" a="1"/>
  <c r="F655" i="3" s="1"/>
  <c r="F680" i="3" a="1"/>
  <c r="F680" i="3" s="1"/>
  <c r="F701" i="3" a="1"/>
  <c r="F701" i="3" s="1"/>
  <c r="F722" i="3" a="1"/>
  <c r="F722" i="3" s="1"/>
  <c r="F745" i="3" a="1"/>
  <c r="F745" i="3" s="1"/>
  <c r="F819" i="3" a="1"/>
  <c r="F819" i="3" s="1"/>
  <c r="F1033" i="3" a="1"/>
  <c r="F1033" i="3" s="1"/>
  <c r="F1102" i="3" a="1"/>
  <c r="F1102" i="3" s="1"/>
  <c r="F1144" i="3" a="1"/>
  <c r="F1144" i="3" s="1"/>
  <c r="F1164" i="3" a="1"/>
  <c r="F1164" i="3" s="1"/>
  <c r="F363" i="3" a="1"/>
  <c r="F363" i="3" s="1"/>
  <c r="E363" i="3" a="1"/>
  <c r="E363" i="3" s="1"/>
  <c r="F369" i="3" a="1"/>
  <c r="F369" i="3" s="1"/>
  <c r="E369" i="3" a="1"/>
  <c r="E369" i="3" s="1"/>
  <c r="F375" i="3" a="1"/>
  <c r="F375" i="3" s="1"/>
  <c r="E375" i="3" a="1"/>
  <c r="E375" i="3" s="1"/>
  <c r="F381" i="3" a="1"/>
  <c r="F381" i="3" s="1"/>
  <c r="E381" i="3" a="1"/>
  <c r="E381" i="3" s="1"/>
  <c r="E387" i="3" a="1"/>
  <c r="E387" i="3" s="1"/>
  <c r="F387" i="3" a="1"/>
  <c r="F387" i="3" s="1"/>
  <c r="F393" i="3" a="1"/>
  <c r="F393" i="3" s="1"/>
  <c r="E393" i="3" a="1"/>
  <c r="E393" i="3" s="1"/>
  <c r="F399" i="3" a="1"/>
  <c r="F399" i="3" s="1"/>
  <c r="E399" i="3" a="1"/>
  <c r="E399" i="3" s="1"/>
  <c r="E405" i="3" a="1"/>
  <c r="E405" i="3" s="1"/>
  <c r="F405" i="3" a="1"/>
  <c r="F405" i="3" s="1"/>
  <c r="F411" i="3" a="1"/>
  <c r="F411" i="3" s="1"/>
  <c r="E411" i="3" a="1"/>
  <c r="E411" i="3" s="1"/>
  <c r="F417" i="3" a="1"/>
  <c r="F417" i="3" s="1"/>
  <c r="E417" i="3" a="1"/>
  <c r="E417" i="3" s="1"/>
  <c r="F423" i="3" a="1"/>
  <c r="F423" i="3" s="1"/>
  <c r="E423" i="3" a="1"/>
  <c r="E423" i="3" s="1"/>
  <c r="F429" i="3" a="1"/>
  <c r="F429" i="3" s="1"/>
  <c r="E429" i="3" a="1"/>
  <c r="E429" i="3" s="1"/>
  <c r="E435" i="3" a="1"/>
  <c r="E435" i="3" s="1"/>
  <c r="F435" i="3" a="1"/>
  <c r="F435" i="3" s="1"/>
  <c r="F441" i="3" a="1"/>
  <c r="F441" i="3" s="1"/>
  <c r="E441" i="3" a="1"/>
  <c r="E441" i="3" s="1"/>
  <c r="F447" i="3" a="1"/>
  <c r="F447" i="3" s="1"/>
  <c r="E447" i="3" a="1"/>
  <c r="E447" i="3" s="1"/>
  <c r="F453" i="3" a="1"/>
  <c r="F453" i="3" s="1"/>
  <c r="E453" i="3" a="1"/>
  <c r="E453" i="3" s="1"/>
  <c r="F459" i="3" a="1"/>
  <c r="F459" i="3" s="1"/>
  <c r="E459" i="3" a="1"/>
  <c r="E459" i="3" s="1"/>
  <c r="F465" i="3" a="1"/>
  <c r="F465" i="3" s="1"/>
  <c r="E465" i="3" a="1"/>
  <c r="E465" i="3" s="1"/>
  <c r="F471" i="3" a="1"/>
  <c r="F471" i="3" s="1"/>
  <c r="E471" i="3" a="1"/>
  <c r="E471" i="3" s="1"/>
  <c r="F477" i="3" a="1"/>
  <c r="F477" i="3" s="1"/>
  <c r="E477" i="3" a="1"/>
  <c r="E477" i="3" s="1"/>
  <c r="F4" i="3" a="1"/>
  <c r="F4" i="3" s="1"/>
  <c r="E4" i="3" a="1"/>
  <c r="E4" i="3" s="1"/>
  <c r="F10" i="3" a="1"/>
  <c r="F10" i="3" s="1"/>
  <c r="E10" i="3" a="1"/>
  <c r="E10" i="3" s="1"/>
  <c r="F16" i="3" a="1"/>
  <c r="F16" i="3" s="1"/>
  <c r="E16" i="3" a="1"/>
  <c r="E16" i="3" s="1"/>
  <c r="F22" i="3" a="1"/>
  <c r="F22" i="3" s="1"/>
  <c r="E22" i="3" a="1"/>
  <c r="E22" i="3" s="1"/>
  <c r="F28" i="3" a="1"/>
  <c r="F28" i="3" s="1"/>
  <c r="E28" i="3" a="1"/>
  <c r="E28" i="3" s="1"/>
  <c r="F34" i="3" a="1"/>
  <c r="F34" i="3" s="1"/>
  <c r="E34" i="3" a="1"/>
  <c r="E34" i="3" s="1"/>
  <c r="F40" i="3" a="1"/>
  <c r="F40" i="3" s="1"/>
  <c r="E40" i="3" a="1"/>
  <c r="E40" i="3" s="1"/>
  <c r="F46" i="3" a="1"/>
  <c r="F46" i="3" s="1"/>
  <c r="E46" i="3" a="1"/>
  <c r="E46" i="3" s="1"/>
  <c r="F52" i="3" a="1"/>
  <c r="F52" i="3" s="1"/>
  <c r="E52" i="3" a="1"/>
  <c r="E52" i="3" s="1"/>
  <c r="F58" i="3" a="1"/>
  <c r="F58" i="3" s="1"/>
  <c r="E58" i="3" a="1"/>
  <c r="E58" i="3" s="1"/>
  <c r="F64" i="3" a="1"/>
  <c r="F64" i="3" s="1"/>
  <c r="E64" i="3" a="1"/>
  <c r="E64" i="3" s="1"/>
  <c r="F70" i="3" a="1"/>
  <c r="F70" i="3" s="1"/>
  <c r="E70" i="3" a="1"/>
  <c r="E70" i="3" s="1"/>
  <c r="F76" i="3" a="1"/>
  <c r="F76" i="3" s="1"/>
  <c r="E76" i="3" a="1"/>
  <c r="E76" i="3" s="1"/>
  <c r="E82" i="3" a="1"/>
  <c r="E82" i="3" s="1"/>
  <c r="F82" i="3" a="1"/>
  <c r="F82" i="3" s="1"/>
  <c r="F88" i="3" a="1"/>
  <c r="F88" i="3" s="1"/>
  <c r="E88" i="3" a="1"/>
  <c r="E88" i="3" s="1"/>
  <c r="F94" i="3" a="1"/>
  <c r="F94" i="3" s="1"/>
  <c r="E94" i="3" a="1"/>
  <c r="E94" i="3" s="1"/>
  <c r="F100" i="3" a="1"/>
  <c r="F100" i="3" s="1"/>
  <c r="E100" i="3" a="1"/>
  <c r="E100" i="3" s="1"/>
  <c r="F106" i="3" a="1"/>
  <c r="F106" i="3" s="1"/>
  <c r="E106" i="3" a="1"/>
  <c r="E106" i="3" s="1"/>
  <c r="F112" i="3" a="1"/>
  <c r="F112" i="3" s="1"/>
  <c r="E112" i="3" a="1"/>
  <c r="E112" i="3" s="1"/>
  <c r="F118" i="3" a="1"/>
  <c r="F118" i="3" s="1"/>
  <c r="E118" i="3" a="1"/>
  <c r="E118" i="3" s="1"/>
  <c r="F124" i="3" a="1"/>
  <c r="F124" i="3" s="1"/>
  <c r="E124" i="3" a="1"/>
  <c r="E124" i="3" s="1"/>
  <c r="F130" i="3" a="1"/>
  <c r="F130" i="3" s="1"/>
  <c r="E130" i="3" a="1"/>
  <c r="E130" i="3" s="1"/>
  <c r="F136" i="3" a="1"/>
  <c r="F136" i="3" s="1"/>
  <c r="E136" i="3" a="1"/>
  <c r="E136" i="3" s="1"/>
  <c r="E142" i="3" a="1"/>
  <c r="E142" i="3" s="1"/>
  <c r="F142" i="3" a="1"/>
  <c r="F142" i="3" s="1"/>
  <c r="F148" i="3" a="1"/>
  <c r="F148" i="3" s="1"/>
  <c r="E148" i="3" a="1"/>
  <c r="E148" i="3" s="1"/>
  <c r="F154" i="3" a="1"/>
  <c r="F154" i="3" s="1"/>
  <c r="E154" i="3" a="1"/>
  <c r="E154" i="3" s="1"/>
  <c r="F160" i="3" a="1"/>
  <c r="F160" i="3" s="1"/>
  <c r="E160" i="3" a="1"/>
  <c r="E160" i="3" s="1"/>
  <c r="F166" i="3" a="1"/>
  <c r="F166" i="3" s="1"/>
  <c r="E166" i="3" a="1"/>
  <c r="E166" i="3" s="1"/>
  <c r="E172" i="3" a="1"/>
  <c r="E172" i="3" s="1"/>
  <c r="F172" i="3" a="1"/>
  <c r="F172" i="3" s="1"/>
  <c r="F178" i="3" a="1"/>
  <c r="F178" i="3" s="1"/>
  <c r="E178" i="3" a="1"/>
  <c r="E178" i="3" s="1"/>
  <c r="F184" i="3" a="1"/>
  <c r="F184" i="3" s="1"/>
  <c r="E184" i="3" a="1"/>
  <c r="E184" i="3" s="1"/>
  <c r="F190" i="3" a="1"/>
  <c r="F190" i="3" s="1"/>
  <c r="E190" i="3" a="1"/>
  <c r="E190" i="3" s="1"/>
  <c r="E196" i="3" a="1"/>
  <c r="E196" i="3" s="1"/>
  <c r="F196" i="3" a="1"/>
  <c r="F196" i="3" s="1"/>
  <c r="F202" i="3" a="1"/>
  <c r="F202" i="3" s="1"/>
  <c r="E202" i="3" a="1"/>
  <c r="E202" i="3" s="1"/>
  <c r="F208" i="3" a="1"/>
  <c r="F208" i="3" s="1"/>
  <c r="E208" i="3" a="1"/>
  <c r="E208" i="3" s="1"/>
  <c r="F214" i="3" a="1"/>
  <c r="F214" i="3" s="1"/>
  <c r="E214" i="3" a="1"/>
  <c r="E214" i="3" s="1"/>
  <c r="F220" i="3" a="1"/>
  <c r="F220" i="3" s="1"/>
  <c r="E220" i="3" a="1"/>
  <c r="E220" i="3" s="1"/>
  <c r="F226" i="3" a="1"/>
  <c r="F226" i="3" s="1"/>
  <c r="E226" i="3" a="1"/>
  <c r="E226" i="3" s="1"/>
  <c r="F232" i="3" a="1"/>
  <c r="F232" i="3" s="1"/>
  <c r="E232" i="3" a="1"/>
  <c r="E232" i="3" s="1"/>
  <c r="F238" i="3" a="1"/>
  <c r="F238" i="3" s="1"/>
  <c r="E238" i="3" a="1"/>
  <c r="E238" i="3" s="1"/>
  <c r="F244" i="3" a="1"/>
  <c r="F244" i="3" s="1"/>
  <c r="E244" i="3" a="1"/>
  <c r="E244" i="3" s="1"/>
  <c r="F250" i="3" a="1"/>
  <c r="F250" i="3" s="1"/>
  <c r="E250" i="3" a="1"/>
  <c r="E250" i="3" s="1"/>
  <c r="F256" i="3" a="1"/>
  <c r="F256" i="3" s="1"/>
  <c r="E256" i="3" a="1"/>
  <c r="E256" i="3" s="1"/>
  <c r="F262" i="3" a="1"/>
  <c r="F262" i="3" s="1"/>
  <c r="E262" i="3" a="1"/>
  <c r="E262" i="3" s="1"/>
  <c r="F268" i="3" a="1"/>
  <c r="F268" i="3" s="1"/>
  <c r="E268" i="3" a="1"/>
  <c r="E268" i="3" s="1"/>
  <c r="F274" i="3" a="1"/>
  <c r="F274" i="3" s="1"/>
  <c r="E274" i="3" a="1"/>
  <c r="E274" i="3" s="1"/>
  <c r="F280" i="3" a="1"/>
  <c r="F280" i="3" s="1"/>
  <c r="E280" i="3" a="1"/>
  <c r="E280" i="3" s="1"/>
  <c r="F286" i="3" a="1"/>
  <c r="F286" i="3" s="1"/>
  <c r="E286" i="3" a="1"/>
  <c r="E286" i="3" s="1"/>
  <c r="F292" i="3" a="1"/>
  <c r="F292" i="3" s="1"/>
  <c r="E292" i="3" a="1"/>
  <c r="E292" i="3" s="1"/>
  <c r="F298" i="3" a="1"/>
  <c r="F298" i="3" s="1"/>
  <c r="E298" i="3" a="1"/>
  <c r="E298" i="3" s="1"/>
  <c r="F304" i="3" a="1"/>
  <c r="F304" i="3" s="1"/>
  <c r="E304" i="3" a="1"/>
  <c r="E304" i="3" s="1"/>
  <c r="F310" i="3" a="1"/>
  <c r="F310" i="3" s="1"/>
  <c r="E310" i="3" a="1"/>
  <c r="E310" i="3" s="1"/>
  <c r="F316" i="3" a="1"/>
  <c r="F316" i="3" s="1"/>
  <c r="E316" i="3" a="1"/>
  <c r="E316" i="3" s="1"/>
  <c r="F322" i="3" a="1"/>
  <c r="F322" i="3" s="1"/>
  <c r="E322" i="3" a="1"/>
  <c r="E322" i="3" s="1"/>
  <c r="F328" i="3" a="1"/>
  <c r="F328" i="3" s="1"/>
  <c r="E328" i="3" a="1"/>
  <c r="E328" i="3" s="1"/>
  <c r="F334" i="3" a="1"/>
  <c r="F334" i="3" s="1"/>
  <c r="E334" i="3" a="1"/>
  <c r="E334" i="3" s="1"/>
  <c r="F340" i="3" a="1"/>
  <c r="F340" i="3" s="1"/>
  <c r="E340" i="3" a="1"/>
  <c r="E340" i="3" s="1"/>
  <c r="F346" i="3" a="1"/>
  <c r="F346" i="3" s="1"/>
  <c r="E346" i="3" a="1"/>
  <c r="E346" i="3" s="1"/>
  <c r="F352" i="3" a="1"/>
  <c r="F352" i="3" s="1"/>
  <c r="E352" i="3" a="1"/>
  <c r="E352" i="3" s="1"/>
  <c r="F358" i="3" a="1"/>
  <c r="F358" i="3" s="1"/>
  <c r="E358" i="3" a="1"/>
  <c r="E358" i="3" s="1"/>
  <c r="F364" i="3" a="1"/>
  <c r="F364" i="3" s="1"/>
  <c r="E364" i="3" a="1"/>
  <c r="E364" i="3" s="1"/>
  <c r="F370" i="3" a="1"/>
  <c r="F370" i="3" s="1"/>
  <c r="E370" i="3" a="1"/>
  <c r="E370" i="3" s="1"/>
  <c r="F376" i="3" a="1"/>
  <c r="F376" i="3" s="1"/>
  <c r="E376" i="3" a="1"/>
  <c r="E376" i="3" s="1"/>
  <c r="F382" i="3" a="1"/>
  <c r="F382" i="3" s="1"/>
  <c r="E382" i="3" a="1"/>
  <c r="E382" i="3" s="1"/>
  <c r="F388" i="3" a="1"/>
  <c r="F388" i="3" s="1"/>
  <c r="E388" i="3" a="1"/>
  <c r="E388" i="3" s="1"/>
  <c r="F394" i="3" a="1"/>
  <c r="F394" i="3" s="1"/>
  <c r="E394" i="3" a="1"/>
  <c r="E394" i="3" s="1"/>
  <c r="F400" i="3" a="1"/>
  <c r="F400" i="3" s="1"/>
  <c r="E400" i="3" a="1"/>
  <c r="E400" i="3" s="1"/>
  <c r="F406" i="3" a="1"/>
  <c r="F406" i="3" s="1"/>
  <c r="E406" i="3" a="1"/>
  <c r="E406" i="3" s="1"/>
  <c r="F412" i="3" a="1"/>
  <c r="F412" i="3" s="1"/>
  <c r="E412" i="3" a="1"/>
  <c r="E412" i="3" s="1"/>
  <c r="F418" i="3" a="1"/>
  <c r="F418" i="3" s="1"/>
  <c r="E418" i="3" a="1"/>
  <c r="E418" i="3" s="1"/>
  <c r="F424" i="3" a="1"/>
  <c r="F424" i="3" s="1"/>
  <c r="E424" i="3" a="1"/>
  <c r="E424" i="3" s="1"/>
  <c r="F430" i="3" a="1"/>
  <c r="F430" i="3" s="1"/>
  <c r="E430" i="3" a="1"/>
  <c r="E430" i="3" s="1"/>
  <c r="F436" i="3" a="1"/>
  <c r="F436" i="3" s="1"/>
  <c r="E436" i="3" a="1"/>
  <c r="E436" i="3" s="1"/>
  <c r="F442" i="3" a="1"/>
  <c r="F442" i="3" s="1"/>
  <c r="E442" i="3" a="1"/>
  <c r="E442" i="3" s="1"/>
  <c r="F448" i="3" a="1"/>
  <c r="F448" i="3" s="1"/>
  <c r="E448" i="3" a="1"/>
  <c r="E448" i="3" s="1"/>
  <c r="F454" i="3" a="1"/>
  <c r="F454" i="3" s="1"/>
  <c r="E454" i="3" a="1"/>
  <c r="E454" i="3" s="1"/>
  <c r="F460" i="3" a="1"/>
  <c r="F460" i="3" s="1"/>
  <c r="E460" i="3" a="1"/>
  <c r="E460" i="3" s="1"/>
  <c r="F466" i="3" a="1"/>
  <c r="F466" i="3" s="1"/>
  <c r="E466" i="3" a="1"/>
  <c r="E466" i="3" s="1"/>
  <c r="F472" i="3" a="1"/>
  <c r="F472" i="3" s="1"/>
  <c r="E472" i="3" a="1"/>
  <c r="E472" i="3" s="1"/>
  <c r="F478" i="3" a="1"/>
  <c r="F478" i="3" s="1"/>
  <c r="E478" i="3" a="1"/>
  <c r="E478" i="3" s="1"/>
  <c r="F484" i="3" a="1"/>
  <c r="F484" i="3" s="1"/>
  <c r="E484" i="3" a="1"/>
  <c r="E484" i="3" s="1"/>
  <c r="E490" i="3" a="1"/>
  <c r="E490" i="3" s="1"/>
  <c r="F490" i="3" a="1"/>
  <c r="F490" i="3" s="1"/>
  <c r="F496" i="3" a="1"/>
  <c r="F496" i="3" s="1"/>
  <c r="E496" i="3" a="1"/>
  <c r="E496" i="3" s="1"/>
  <c r="F502" i="3" a="1"/>
  <c r="F502" i="3" s="1"/>
  <c r="E502" i="3" a="1"/>
  <c r="E502" i="3" s="1"/>
  <c r="F508" i="3" a="1"/>
  <c r="F508" i="3" s="1"/>
  <c r="E508" i="3" a="1"/>
  <c r="E508" i="3" s="1"/>
  <c r="F514" i="3" a="1"/>
  <c r="F514" i="3" s="1"/>
  <c r="E514" i="3" a="1"/>
  <c r="E514" i="3" s="1"/>
  <c r="E520" i="3" a="1"/>
  <c r="E520" i="3" s="1"/>
  <c r="F520" i="3" a="1"/>
  <c r="F520" i="3" s="1"/>
  <c r="F526" i="3" a="1"/>
  <c r="F526" i="3" s="1"/>
  <c r="E526" i="3" a="1"/>
  <c r="E526" i="3" s="1"/>
  <c r="F532" i="3" a="1"/>
  <c r="F532" i="3" s="1"/>
  <c r="E532" i="3" a="1"/>
  <c r="E532" i="3" s="1"/>
  <c r="F538" i="3" a="1"/>
  <c r="F538" i="3" s="1"/>
  <c r="E538" i="3" a="1"/>
  <c r="E538" i="3" s="1"/>
  <c r="F544" i="3" a="1"/>
  <c r="F544" i="3" s="1"/>
  <c r="E544" i="3" a="1"/>
  <c r="E544" i="3" s="1"/>
  <c r="F550" i="3" a="1"/>
  <c r="F550" i="3" s="1"/>
  <c r="E550" i="3" a="1"/>
  <c r="E550" i="3" s="1"/>
  <c r="F556" i="3" a="1"/>
  <c r="F556" i="3" s="1"/>
  <c r="E556" i="3" a="1"/>
  <c r="E556" i="3" s="1"/>
  <c r="F562" i="3" a="1"/>
  <c r="F562" i="3" s="1"/>
  <c r="E562" i="3" a="1"/>
  <c r="E562" i="3" s="1"/>
  <c r="F568" i="3" a="1"/>
  <c r="F568" i="3" s="1"/>
  <c r="E568" i="3" a="1"/>
  <c r="E568" i="3" s="1"/>
  <c r="F574" i="3" a="1"/>
  <c r="F574" i="3" s="1"/>
  <c r="E574" i="3" a="1"/>
  <c r="E574" i="3" s="1"/>
  <c r="F580" i="3" a="1"/>
  <c r="F580" i="3" s="1"/>
  <c r="E580" i="3" a="1"/>
  <c r="E580" i="3" s="1"/>
  <c r="F586" i="3" a="1"/>
  <c r="F586" i="3" s="1"/>
  <c r="E586" i="3" a="1"/>
  <c r="E586" i="3" s="1"/>
  <c r="F592" i="3" a="1"/>
  <c r="F592" i="3" s="1"/>
  <c r="E592" i="3" a="1"/>
  <c r="E592" i="3" s="1"/>
  <c r="F598" i="3" a="1"/>
  <c r="F598" i="3" s="1"/>
  <c r="E598" i="3" a="1"/>
  <c r="E598" i="3" s="1"/>
  <c r="F604" i="3" a="1"/>
  <c r="F604" i="3" s="1"/>
  <c r="E604" i="3" a="1"/>
  <c r="E604" i="3" s="1"/>
  <c r="F610" i="3" a="1"/>
  <c r="F610" i="3" s="1"/>
  <c r="E610" i="3" a="1"/>
  <c r="E610" i="3" s="1"/>
  <c r="F616" i="3" a="1"/>
  <c r="F616" i="3" s="1"/>
  <c r="E616" i="3" a="1"/>
  <c r="E616" i="3" s="1"/>
  <c r="F622" i="3" a="1"/>
  <c r="F622" i="3" s="1"/>
  <c r="E622" i="3" a="1"/>
  <c r="E622" i="3" s="1"/>
  <c r="F628" i="3" a="1"/>
  <c r="F628" i="3" s="1"/>
  <c r="E628" i="3" a="1"/>
  <c r="E628" i="3" s="1"/>
  <c r="F634" i="3" a="1"/>
  <c r="F634" i="3" s="1"/>
  <c r="E634" i="3" a="1"/>
  <c r="E634" i="3" s="1"/>
  <c r="F640" i="3" a="1"/>
  <c r="F640" i="3" s="1"/>
  <c r="E640" i="3" a="1"/>
  <c r="E640" i="3" s="1"/>
  <c r="F646" i="3" a="1"/>
  <c r="F646" i="3" s="1"/>
  <c r="E646" i="3" a="1"/>
  <c r="E646" i="3" s="1"/>
  <c r="E652" i="3" a="1"/>
  <c r="E652" i="3" s="1"/>
  <c r="F652" i="3" a="1"/>
  <c r="F652" i="3" s="1"/>
  <c r="F658" i="3" a="1"/>
  <c r="F658" i="3" s="1"/>
  <c r="E658" i="3" a="1"/>
  <c r="E658" i="3" s="1"/>
  <c r="F664" i="3" a="1"/>
  <c r="F664" i="3" s="1"/>
  <c r="E664" i="3" a="1"/>
  <c r="E664" i="3" s="1"/>
  <c r="F670" i="3" a="1"/>
  <c r="F670" i="3" s="1"/>
  <c r="E670" i="3" a="1"/>
  <c r="E670" i="3" s="1"/>
  <c r="F676" i="3" a="1"/>
  <c r="F676" i="3" s="1"/>
  <c r="E676" i="3" a="1"/>
  <c r="E676" i="3" s="1"/>
  <c r="F682" i="3" a="1"/>
  <c r="F682" i="3" s="1"/>
  <c r="E682" i="3" a="1"/>
  <c r="E682" i="3" s="1"/>
  <c r="F688" i="3" a="1"/>
  <c r="F688" i="3" s="1"/>
  <c r="E688" i="3" a="1"/>
  <c r="E688" i="3" s="1"/>
  <c r="F694" i="3" a="1"/>
  <c r="F694" i="3" s="1"/>
  <c r="E694" i="3" a="1"/>
  <c r="E694" i="3" s="1"/>
  <c r="F700" i="3" a="1"/>
  <c r="F700" i="3" s="1"/>
  <c r="E700" i="3" a="1"/>
  <c r="E700" i="3" s="1"/>
  <c r="F706" i="3" a="1"/>
  <c r="F706" i="3" s="1"/>
  <c r="E706" i="3" a="1"/>
  <c r="E706" i="3" s="1"/>
  <c r="F712" i="3" a="1"/>
  <c r="F712" i="3" s="1"/>
  <c r="E712" i="3" a="1"/>
  <c r="E712" i="3" s="1"/>
  <c r="F718" i="3" a="1"/>
  <c r="F718" i="3" s="1"/>
  <c r="E718" i="3" a="1"/>
  <c r="E718" i="3" s="1"/>
  <c r="F724" i="3" a="1"/>
  <c r="F724" i="3" s="1"/>
  <c r="E724" i="3" a="1"/>
  <c r="E724" i="3" s="1"/>
  <c r="F730" i="3" a="1"/>
  <c r="F730" i="3" s="1"/>
  <c r="E730" i="3" a="1"/>
  <c r="E730" i="3" s="1"/>
  <c r="F736" i="3" a="1"/>
  <c r="F736" i="3" s="1"/>
  <c r="E736" i="3" a="1"/>
  <c r="E736" i="3" s="1"/>
  <c r="F742" i="3" a="1"/>
  <c r="F742" i="3" s="1"/>
  <c r="E742" i="3" a="1"/>
  <c r="E742" i="3" s="1"/>
  <c r="F748" i="3" a="1"/>
  <c r="F748" i="3" s="1"/>
  <c r="E748" i="3" a="1"/>
  <c r="E748" i="3" s="1"/>
  <c r="F754" i="3" a="1"/>
  <c r="F754" i="3" s="1"/>
  <c r="E754" i="3" a="1"/>
  <c r="E754" i="3" s="1"/>
  <c r="F760" i="3" a="1"/>
  <c r="F760" i="3" s="1"/>
  <c r="E760" i="3" a="1"/>
  <c r="E760" i="3" s="1"/>
  <c r="F766" i="3" a="1"/>
  <c r="F766" i="3" s="1"/>
  <c r="E766" i="3" a="1"/>
  <c r="E766" i="3" s="1"/>
  <c r="F772" i="3" a="1"/>
  <c r="F772" i="3" s="1"/>
  <c r="E772" i="3" a="1"/>
  <c r="E772" i="3" s="1"/>
  <c r="F778" i="3" a="1"/>
  <c r="F778" i="3" s="1"/>
  <c r="E778" i="3" a="1"/>
  <c r="E778" i="3" s="1"/>
  <c r="F784" i="3" a="1"/>
  <c r="F784" i="3" s="1"/>
  <c r="E784" i="3" a="1"/>
  <c r="E784" i="3" s="1"/>
  <c r="F790" i="3" a="1"/>
  <c r="F790" i="3" s="1"/>
  <c r="E790" i="3" a="1"/>
  <c r="E790" i="3" s="1"/>
  <c r="E1084" i="3" a="1"/>
  <c r="E1084" i="3" s="1"/>
  <c r="F1084" i="3" a="1"/>
  <c r="F1084" i="3" s="1"/>
  <c r="F1090" i="3" a="1"/>
  <c r="F1090" i="3" s="1"/>
  <c r="E1090" i="3" a="1"/>
  <c r="E1090" i="3" s="1"/>
  <c r="F1096" i="3" a="1"/>
  <c r="F1096" i="3" s="1"/>
  <c r="E1096" i="3" a="1"/>
  <c r="E1096" i="3" s="1"/>
  <c r="E1108" i="3" a="1"/>
  <c r="E1108" i="3" s="1"/>
  <c r="F1108" i="3" a="1"/>
  <c r="F1108" i="3" s="1"/>
  <c r="F1114" i="3" a="1"/>
  <c r="F1114" i="3" s="1"/>
  <c r="E1114" i="3" a="1"/>
  <c r="E1114" i="3" s="1"/>
  <c r="E1120" i="3" a="1"/>
  <c r="E1120" i="3" s="1"/>
  <c r="F1120" i="3" a="1"/>
  <c r="F1120" i="3" s="1"/>
  <c r="F1126" i="3" a="1"/>
  <c r="F1126" i="3" s="1"/>
  <c r="E1126" i="3" a="1"/>
  <c r="E1126" i="3" s="1"/>
  <c r="F1132" i="3" a="1"/>
  <c r="F1132" i="3" s="1"/>
  <c r="E1132" i="3" a="1"/>
  <c r="E1132" i="3" s="1"/>
  <c r="E1138" i="3" a="1"/>
  <c r="E1138" i="3" s="1"/>
  <c r="F1138" i="3" a="1"/>
  <c r="F1138" i="3" s="1"/>
  <c r="F1150" i="3" a="1"/>
  <c r="F1150" i="3" s="1"/>
  <c r="E1150" i="3" a="1"/>
  <c r="E1150" i="3" s="1"/>
  <c r="F1156" i="3" a="1"/>
  <c r="F1156" i="3" s="1"/>
  <c r="E1156" i="3" a="1"/>
  <c r="E1156" i="3" s="1"/>
  <c r="F1162" i="3" a="1"/>
  <c r="F1162" i="3" s="1"/>
  <c r="E1162" i="3" a="1"/>
  <c r="E1162" i="3" s="1"/>
  <c r="F1168" i="3" a="1"/>
  <c r="F1168" i="3" s="1"/>
  <c r="E1168" i="3" a="1"/>
  <c r="E1168" i="3" s="1"/>
  <c r="F1174" i="3" a="1"/>
  <c r="F1174" i="3" s="1"/>
  <c r="E1174" i="3" a="1"/>
  <c r="E1174" i="3" s="1"/>
  <c r="F1180" i="3" a="1"/>
  <c r="F1180" i="3" s="1"/>
  <c r="E1180" i="3" a="1"/>
  <c r="E1180" i="3" s="1"/>
  <c r="F1186" i="3" a="1"/>
  <c r="F1186" i="3" s="1"/>
  <c r="E1186" i="3" a="1"/>
  <c r="E1186" i="3" s="1"/>
  <c r="F1192" i="3" a="1"/>
  <c r="F1192" i="3" s="1"/>
  <c r="E1192" i="3" a="1"/>
  <c r="E1192" i="3" s="1"/>
  <c r="F1198" i="3" a="1"/>
  <c r="F1198" i="3" s="1"/>
  <c r="E1198" i="3" a="1"/>
  <c r="E1198" i="3" s="1"/>
  <c r="F1204" i="3" a="1"/>
  <c r="F1204" i="3" s="1"/>
  <c r="E1204" i="3" a="1"/>
  <c r="E1204" i="3" s="1"/>
  <c r="F1210" i="3" a="1"/>
  <c r="F1210" i="3" s="1"/>
  <c r="E1210" i="3" a="1"/>
  <c r="E1210" i="3" s="1"/>
  <c r="F1216" i="3" a="1"/>
  <c r="F1216" i="3" s="1"/>
  <c r="E1216" i="3" a="1"/>
  <c r="E1216" i="3" s="1"/>
  <c r="F1222" i="3" a="1"/>
  <c r="F1222" i="3" s="1"/>
  <c r="E1222" i="3" a="1"/>
  <c r="E1222" i="3" s="1"/>
  <c r="F1228" i="3" a="1"/>
  <c r="F1228" i="3" s="1"/>
  <c r="E1228" i="3" a="1"/>
  <c r="E1228" i="3" s="1"/>
  <c r="E1234" i="3" a="1"/>
  <c r="E1234" i="3" s="1"/>
  <c r="F1234" i="3" a="1"/>
  <c r="F1234" i="3" s="1"/>
  <c r="F1240" i="3" a="1"/>
  <c r="F1240" i="3" s="1"/>
  <c r="E1240" i="3" a="1"/>
  <c r="E1240" i="3" s="1"/>
  <c r="F1246" i="3" a="1"/>
  <c r="F1246" i="3" s="1"/>
  <c r="E1246" i="3" a="1"/>
  <c r="E1246" i="3" s="1"/>
  <c r="F1252" i="3" a="1"/>
  <c r="F1252" i="3" s="1"/>
  <c r="E1252" i="3" a="1"/>
  <c r="E1252" i="3" s="1"/>
  <c r="F1258" i="3" a="1"/>
  <c r="F1258" i="3" s="1"/>
  <c r="E1258" i="3" a="1"/>
  <c r="E1258" i="3" s="1"/>
  <c r="F1012" i="3" a="1"/>
  <c r="F1012" i="3" s="1"/>
  <c r="E1012" i="3" a="1"/>
  <c r="E1012" i="3" s="1"/>
  <c r="F1018" i="3" a="1"/>
  <c r="F1018" i="3" s="1"/>
  <c r="E1018" i="3" a="1"/>
  <c r="E1018" i="3" s="1"/>
  <c r="F1024" i="3" a="1"/>
  <c r="F1024" i="3" s="1"/>
  <c r="E1024" i="3" a="1"/>
  <c r="E1024" i="3" s="1"/>
  <c r="F1030" i="3" a="1"/>
  <c r="F1030" i="3" s="1"/>
  <c r="E1030" i="3" a="1"/>
  <c r="E1030" i="3" s="1"/>
  <c r="F1036" i="3" a="1"/>
  <c r="F1036" i="3" s="1"/>
  <c r="E1036" i="3" a="1"/>
  <c r="E1036" i="3" s="1"/>
  <c r="F1042" i="3" a="1"/>
  <c r="F1042" i="3" s="1"/>
  <c r="E1042" i="3" a="1"/>
  <c r="E1042" i="3" s="1"/>
  <c r="F1048" i="3" a="1"/>
  <c r="F1048" i="3" s="1"/>
  <c r="E1048" i="3" a="1"/>
  <c r="E1048" i="3" s="1"/>
  <c r="F1054" i="3" a="1"/>
  <c r="F1054" i="3" s="1"/>
  <c r="E1054" i="3" a="1"/>
  <c r="E1054" i="3" s="1"/>
  <c r="F1060" i="3" a="1"/>
  <c r="F1060" i="3" s="1"/>
  <c r="E1060" i="3" a="1"/>
  <c r="E1060" i="3" s="1"/>
  <c r="E1066" i="3" a="1"/>
  <c r="E1066" i="3" s="1"/>
  <c r="F1066" i="3" a="1"/>
  <c r="F1066" i="3" s="1"/>
  <c r="F1072" i="3" a="1"/>
  <c r="F1072" i="3" s="1"/>
  <c r="E1072" i="3" a="1"/>
  <c r="E1072" i="3" s="1"/>
  <c r="F1270" i="3" a="1"/>
  <c r="F1270" i="3" s="1"/>
  <c r="E1270" i="3" a="1"/>
  <c r="E1270" i="3" s="1"/>
  <c r="E1276" i="3" a="1"/>
  <c r="E1276" i="3" s="1"/>
  <c r="F1276" i="3" a="1"/>
  <c r="F1276" i="3" s="1"/>
  <c r="F1282" i="3" a="1"/>
  <c r="F1282" i="3" s="1"/>
  <c r="E1282" i="3" a="1"/>
  <c r="E1282" i="3" s="1"/>
  <c r="F1288" i="3" a="1"/>
  <c r="F1288" i="3" s="1"/>
  <c r="E1288" i="3" a="1"/>
  <c r="E1288" i="3" s="1"/>
  <c r="F1294" i="3" a="1"/>
  <c r="F1294" i="3" s="1"/>
  <c r="E1294" i="3" a="1"/>
  <c r="E1294" i="3" s="1"/>
  <c r="E1300" i="3" a="1"/>
  <c r="E1300" i="3" s="1"/>
  <c r="F1300" i="3" a="1"/>
  <c r="F1300" i="3" s="1"/>
  <c r="F1306" i="3" a="1"/>
  <c r="F1306" i="3" s="1"/>
  <c r="E1306" i="3" a="1"/>
  <c r="E1306" i="3" s="1"/>
  <c r="F1312" i="3" a="1"/>
  <c r="F1312" i="3" s="1"/>
  <c r="E1312" i="3" a="1"/>
  <c r="E1312" i="3" s="1"/>
  <c r="F1318" i="3" a="1"/>
  <c r="F1318" i="3" s="1"/>
  <c r="E1318" i="3" a="1"/>
  <c r="E1318" i="3" s="1"/>
  <c r="F1324" i="3" a="1"/>
  <c r="F1324" i="3" s="1"/>
  <c r="E1324" i="3" a="1"/>
  <c r="E1324" i="3" s="1"/>
  <c r="F1330" i="3" a="1"/>
  <c r="F1330" i="3" s="1"/>
  <c r="E1330" i="3" a="1"/>
  <c r="E1330" i="3" s="1"/>
  <c r="F1336" i="3" a="1"/>
  <c r="F1336" i="3" s="1"/>
  <c r="E1336" i="3" a="1"/>
  <c r="E1336" i="3" s="1"/>
  <c r="E1342" i="3" a="1"/>
  <c r="E1342" i="3" s="1"/>
  <c r="F1342" i="3" a="1"/>
  <c r="F1342" i="3" s="1"/>
  <c r="F1348" i="3" a="1"/>
  <c r="F1348" i="3" s="1"/>
  <c r="E1348" i="3" a="1"/>
  <c r="E1348" i="3" s="1"/>
  <c r="F1354" i="3" a="1"/>
  <c r="F1354" i="3" s="1"/>
  <c r="E1354" i="3" a="1"/>
  <c r="E1354" i="3" s="1"/>
  <c r="F1360" i="3" a="1"/>
  <c r="F1360" i="3" s="1"/>
  <c r="E1360" i="3" a="1"/>
  <c r="E1360" i="3" s="1"/>
  <c r="F1366" i="3" a="1"/>
  <c r="F1366" i="3" s="1"/>
  <c r="E1366" i="3" a="1"/>
  <c r="E1366" i="3" s="1"/>
  <c r="F1372" i="3" a="1"/>
  <c r="F1372" i="3" s="1"/>
  <c r="E1372" i="3" a="1"/>
  <c r="E1372" i="3" s="1"/>
  <c r="E1378" i="3" a="1"/>
  <c r="E1378" i="3" s="1"/>
  <c r="F1378" i="3" a="1"/>
  <c r="F1378" i="3" s="1"/>
  <c r="F1384" i="3" a="1"/>
  <c r="F1384" i="3" s="1"/>
  <c r="E1384" i="3" a="1"/>
  <c r="E1384" i="3" s="1"/>
  <c r="F1390" i="3" a="1"/>
  <c r="F1390" i="3" s="1"/>
  <c r="E1390" i="3" a="1"/>
  <c r="E1390" i="3" s="1"/>
  <c r="F1396" i="3" a="1"/>
  <c r="F1396" i="3" s="1"/>
  <c r="E1396" i="3" a="1"/>
  <c r="E1396" i="3" s="1"/>
  <c r="F1402" i="3" a="1"/>
  <c r="F1402" i="3" s="1"/>
  <c r="E1402" i="3" a="1"/>
  <c r="E1402" i="3" s="1"/>
  <c r="E1408" i="3" a="1"/>
  <c r="E1408" i="3" s="1"/>
  <c r="F1408" i="3" a="1"/>
  <c r="F1408" i="3" s="1"/>
  <c r="E1414" i="3" a="1"/>
  <c r="E1414" i="3" s="1"/>
  <c r="F1414" i="3" a="1"/>
  <c r="F1414" i="3" s="1"/>
  <c r="E1164" i="3" a="1"/>
  <c r="E1164" i="3" s="1"/>
  <c r="E612" i="3" a="1"/>
  <c r="E612" i="3" s="1"/>
  <c r="E1144" i="3" a="1"/>
  <c r="E1144" i="3" s="1"/>
  <c r="E868" i="3" a="1"/>
  <c r="E868" i="3" s="1"/>
  <c r="F7" i="3" a="1"/>
  <c r="F7" i="3" s="1"/>
  <c r="E7" i="3" a="1"/>
  <c r="E7" i="3" s="1"/>
  <c r="F13" i="3" a="1"/>
  <c r="F13" i="3" s="1"/>
  <c r="E13" i="3" a="1"/>
  <c r="E13" i="3" s="1"/>
  <c r="F19" i="3" a="1"/>
  <c r="F19" i="3" s="1"/>
  <c r="E19" i="3" a="1"/>
  <c r="E19" i="3" s="1"/>
  <c r="F25" i="3" a="1"/>
  <c r="F25" i="3" s="1"/>
  <c r="E25" i="3" a="1"/>
  <c r="E25" i="3" s="1"/>
  <c r="F31" i="3" a="1"/>
  <c r="F31" i="3" s="1"/>
  <c r="E31" i="3" a="1"/>
  <c r="E31" i="3" s="1"/>
  <c r="F37" i="3" a="1"/>
  <c r="F37" i="3" s="1"/>
  <c r="E37" i="3" a="1"/>
  <c r="E37" i="3" s="1"/>
  <c r="F43" i="3" a="1"/>
  <c r="F43" i="3" s="1"/>
  <c r="E43" i="3" a="1"/>
  <c r="E43" i="3" s="1"/>
  <c r="F49" i="3" a="1"/>
  <c r="F49" i="3" s="1"/>
  <c r="E49" i="3" a="1"/>
  <c r="E49" i="3" s="1"/>
  <c r="F55" i="3" a="1"/>
  <c r="F55" i="3" s="1"/>
  <c r="E55" i="3" a="1"/>
  <c r="E55" i="3" s="1"/>
  <c r="F61" i="3" a="1"/>
  <c r="F61" i="3" s="1"/>
  <c r="E61" i="3" a="1"/>
  <c r="E61" i="3" s="1"/>
  <c r="F67" i="3" a="1"/>
  <c r="F67" i="3" s="1"/>
  <c r="E67" i="3" a="1"/>
  <c r="E67" i="3" s="1"/>
  <c r="F73" i="3" a="1"/>
  <c r="F73" i="3" s="1"/>
  <c r="E73" i="3" a="1"/>
  <c r="E73" i="3" s="1"/>
  <c r="F79" i="3" a="1"/>
  <c r="F79" i="3" s="1"/>
  <c r="E79" i="3" a="1"/>
  <c r="E79" i="3" s="1"/>
  <c r="F85" i="3" a="1"/>
  <c r="F85" i="3" s="1"/>
  <c r="E85" i="3" a="1"/>
  <c r="E85" i="3" s="1"/>
  <c r="F91" i="3" a="1"/>
  <c r="F91" i="3" s="1"/>
  <c r="E91" i="3" a="1"/>
  <c r="E91" i="3" s="1"/>
  <c r="F97" i="3" a="1"/>
  <c r="F97" i="3" s="1"/>
  <c r="E97" i="3" a="1"/>
  <c r="E97" i="3" s="1"/>
  <c r="F103" i="3" a="1"/>
  <c r="F103" i="3" s="1"/>
  <c r="E103" i="3" a="1"/>
  <c r="E103" i="3" s="1"/>
  <c r="F109" i="3" a="1"/>
  <c r="F109" i="3" s="1"/>
  <c r="E109" i="3" a="1"/>
  <c r="E109" i="3" s="1"/>
  <c r="F115" i="3" a="1"/>
  <c r="F115" i="3" s="1"/>
  <c r="E115" i="3" a="1"/>
  <c r="E115" i="3" s="1"/>
  <c r="F121" i="3" a="1"/>
  <c r="F121" i="3" s="1"/>
  <c r="E121" i="3" a="1"/>
  <c r="E121" i="3" s="1"/>
  <c r="F127" i="3" a="1"/>
  <c r="F127" i="3" s="1"/>
  <c r="E127" i="3" a="1"/>
  <c r="E127" i="3" s="1"/>
  <c r="F133" i="3" a="1"/>
  <c r="F133" i="3" s="1"/>
  <c r="E133" i="3" a="1"/>
  <c r="E133" i="3" s="1"/>
  <c r="F139" i="3" a="1"/>
  <c r="F139" i="3" s="1"/>
  <c r="E139" i="3" a="1"/>
  <c r="E139" i="3" s="1"/>
  <c r="F145" i="3" a="1"/>
  <c r="F145" i="3" s="1"/>
  <c r="E145" i="3" a="1"/>
  <c r="E145" i="3" s="1"/>
  <c r="F151" i="3" a="1"/>
  <c r="F151" i="3" s="1"/>
  <c r="E151" i="3" a="1"/>
  <c r="E151" i="3" s="1"/>
  <c r="F157" i="3" a="1"/>
  <c r="F157" i="3" s="1"/>
  <c r="E157" i="3" a="1"/>
  <c r="E157" i="3" s="1"/>
  <c r="F163" i="3" a="1"/>
  <c r="F163" i="3" s="1"/>
  <c r="E163" i="3" a="1"/>
  <c r="E163" i="3" s="1"/>
  <c r="F169" i="3" a="1"/>
  <c r="F169" i="3" s="1"/>
  <c r="E169" i="3" a="1"/>
  <c r="E169" i="3" s="1"/>
  <c r="F175" i="3" a="1"/>
  <c r="F175" i="3" s="1"/>
  <c r="E175" i="3" a="1"/>
  <c r="E175" i="3" s="1"/>
  <c r="F181" i="3" a="1"/>
  <c r="F181" i="3" s="1"/>
  <c r="E181" i="3" a="1"/>
  <c r="E181" i="3" s="1"/>
  <c r="F187" i="3" a="1"/>
  <c r="F187" i="3" s="1"/>
  <c r="E187" i="3" a="1"/>
  <c r="E187" i="3" s="1"/>
  <c r="F193" i="3" a="1"/>
  <c r="F193" i="3" s="1"/>
  <c r="E193" i="3" a="1"/>
  <c r="E193" i="3" s="1"/>
  <c r="F199" i="3" a="1"/>
  <c r="F199" i="3" s="1"/>
  <c r="E199" i="3" a="1"/>
  <c r="E199" i="3" s="1"/>
  <c r="F205" i="3" a="1"/>
  <c r="F205" i="3" s="1"/>
  <c r="E205" i="3" a="1"/>
  <c r="E205" i="3" s="1"/>
  <c r="F211" i="3" a="1"/>
  <c r="F211" i="3" s="1"/>
  <c r="E211" i="3" a="1"/>
  <c r="E211" i="3" s="1"/>
  <c r="F217" i="3" a="1"/>
  <c r="F217" i="3" s="1"/>
  <c r="E217" i="3" a="1"/>
  <c r="E217" i="3" s="1"/>
  <c r="F223" i="3" a="1"/>
  <c r="F223" i="3" s="1"/>
  <c r="E223" i="3" a="1"/>
  <c r="E223" i="3" s="1"/>
  <c r="F229" i="3" a="1"/>
  <c r="F229" i="3" s="1"/>
  <c r="E229" i="3" a="1"/>
  <c r="E229" i="3" s="1"/>
  <c r="F235" i="3" a="1"/>
  <c r="F235" i="3" s="1"/>
  <c r="E235" i="3" a="1"/>
  <c r="E235" i="3" s="1"/>
  <c r="F241" i="3" a="1"/>
  <c r="F241" i="3" s="1"/>
  <c r="E241" i="3" a="1"/>
  <c r="E241" i="3" s="1"/>
  <c r="F247" i="3" a="1"/>
  <c r="F247" i="3" s="1"/>
  <c r="E247" i="3" a="1"/>
  <c r="E247" i="3" s="1"/>
  <c r="F253" i="3" a="1"/>
  <c r="F253" i="3" s="1"/>
  <c r="E253" i="3" a="1"/>
  <c r="E253" i="3" s="1"/>
  <c r="E259" i="3" a="1"/>
  <c r="E259" i="3" s="1"/>
  <c r="F259" i="3" a="1"/>
  <c r="F259" i="3" s="1"/>
  <c r="F265" i="3" a="1"/>
  <c r="F265" i="3" s="1"/>
  <c r="E265" i="3" a="1"/>
  <c r="E265" i="3" s="1"/>
  <c r="F271" i="3" a="1"/>
  <c r="F271" i="3" s="1"/>
  <c r="E271" i="3" a="1"/>
  <c r="E271" i="3" s="1"/>
  <c r="F277" i="3" a="1"/>
  <c r="F277" i="3" s="1"/>
  <c r="E277" i="3" a="1"/>
  <c r="E277" i="3" s="1"/>
  <c r="F283" i="3" a="1"/>
  <c r="F283" i="3" s="1"/>
  <c r="E283" i="3" a="1"/>
  <c r="E283" i="3" s="1"/>
  <c r="F289" i="3" a="1"/>
  <c r="F289" i="3" s="1"/>
  <c r="E289" i="3" a="1"/>
  <c r="E289" i="3" s="1"/>
  <c r="F295" i="3" a="1"/>
  <c r="F295" i="3" s="1"/>
  <c r="E295" i="3" a="1"/>
  <c r="E295" i="3" s="1"/>
  <c r="F301" i="3" a="1"/>
  <c r="F301" i="3" s="1"/>
  <c r="E301" i="3" a="1"/>
  <c r="E301" i="3" s="1"/>
  <c r="F307" i="3" a="1"/>
  <c r="F307" i="3" s="1"/>
  <c r="E307" i="3" a="1"/>
  <c r="E307" i="3" s="1"/>
  <c r="F313" i="3" a="1"/>
  <c r="F313" i="3" s="1"/>
  <c r="E313" i="3" a="1"/>
  <c r="E313" i="3" s="1"/>
  <c r="F319" i="3" a="1"/>
  <c r="F319" i="3" s="1"/>
  <c r="E319" i="3" a="1"/>
  <c r="E319" i="3" s="1"/>
  <c r="F325" i="3" a="1"/>
  <c r="F325" i="3" s="1"/>
  <c r="E325" i="3" a="1"/>
  <c r="E325" i="3" s="1"/>
  <c r="F331" i="3" a="1"/>
  <c r="F331" i="3" s="1"/>
  <c r="E331" i="3" a="1"/>
  <c r="E331" i="3" s="1"/>
  <c r="F337" i="3" a="1"/>
  <c r="F337" i="3" s="1"/>
  <c r="E337" i="3" a="1"/>
  <c r="E337" i="3" s="1"/>
  <c r="F343" i="3" a="1"/>
  <c r="F343" i="3" s="1"/>
  <c r="E343" i="3" a="1"/>
  <c r="E343" i="3" s="1"/>
  <c r="F349" i="3" a="1"/>
  <c r="F349" i="3" s="1"/>
  <c r="E349" i="3" a="1"/>
  <c r="E349" i="3" s="1"/>
  <c r="F355" i="3" a="1"/>
  <c r="F355" i="3" s="1"/>
  <c r="E355" i="3" a="1"/>
  <c r="E355" i="3" s="1"/>
  <c r="F361" i="3" a="1"/>
  <c r="F361" i="3" s="1"/>
  <c r="E361" i="3" a="1"/>
  <c r="E361" i="3" s="1"/>
  <c r="F367" i="3" a="1"/>
  <c r="F367" i="3" s="1"/>
  <c r="E367" i="3" a="1"/>
  <c r="E367" i="3" s="1"/>
  <c r="F373" i="3" a="1"/>
  <c r="F373" i="3" s="1"/>
  <c r="E373" i="3" a="1"/>
  <c r="E373" i="3" s="1"/>
  <c r="F379" i="3" a="1"/>
  <c r="F379" i="3" s="1"/>
  <c r="E379" i="3" a="1"/>
  <c r="E379" i="3" s="1"/>
  <c r="F385" i="3" a="1"/>
  <c r="F385" i="3" s="1"/>
  <c r="E385" i="3" a="1"/>
  <c r="E385" i="3" s="1"/>
  <c r="F391" i="3" a="1"/>
  <c r="F391" i="3" s="1"/>
  <c r="E391" i="3" a="1"/>
  <c r="E391" i="3" s="1"/>
  <c r="F397" i="3" a="1"/>
  <c r="F397" i="3" s="1"/>
  <c r="E397" i="3" a="1"/>
  <c r="E397" i="3" s="1"/>
  <c r="F403" i="3" a="1"/>
  <c r="F403" i="3" s="1"/>
  <c r="E403" i="3" a="1"/>
  <c r="E403" i="3" s="1"/>
  <c r="E409" i="3" a="1"/>
  <c r="E409" i="3" s="1"/>
  <c r="F409" i="3" a="1"/>
  <c r="F409" i="3" s="1"/>
  <c r="F415" i="3" a="1"/>
  <c r="F415" i="3" s="1"/>
  <c r="E415" i="3" a="1"/>
  <c r="E415" i="3" s="1"/>
  <c r="F421" i="3" a="1"/>
  <c r="F421" i="3" s="1"/>
  <c r="E421" i="3" a="1"/>
  <c r="E421" i="3" s="1"/>
  <c r="F427" i="3" a="1"/>
  <c r="F427" i="3" s="1"/>
  <c r="E427" i="3" a="1"/>
  <c r="E427" i="3" s="1"/>
  <c r="F433" i="3" a="1"/>
  <c r="F433" i="3" s="1"/>
  <c r="E433" i="3" a="1"/>
  <c r="E433" i="3" s="1"/>
  <c r="F439" i="3" a="1"/>
  <c r="F439" i="3" s="1"/>
  <c r="E439" i="3" a="1"/>
  <c r="E439" i="3" s="1"/>
  <c r="F445" i="3" a="1"/>
  <c r="F445" i="3" s="1"/>
  <c r="E445" i="3" a="1"/>
  <c r="E445" i="3" s="1"/>
  <c r="F451" i="3" a="1"/>
  <c r="F451" i="3" s="1"/>
  <c r="E451" i="3" a="1"/>
  <c r="E451" i="3" s="1"/>
  <c r="F457" i="3" a="1"/>
  <c r="F457" i="3" s="1"/>
  <c r="E457" i="3" a="1"/>
  <c r="E457" i="3" s="1"/>
  <c r="F463" i="3" a="1"/>
  <c r="F463" i="3" s="1"/>
  <c r="E463" i="3" a="1"/>
  <c r="E463" i="3" s="1"/>
  <c r="F469" i="3" a="1"/>
  <c r="F469" i="3" s="1"/>
  <c r="E469" i="3" a="1"/>
  <c r="E469" i="3" s="1"/>
  <c r="F475" i="3" a="1"/>
  <c r="F475" i="3" s="1"/>
  <c r="E475" i="3" a="1"/>
  <c r="E475" i="3" s="1"/>
  <c r="F481" i="3" a="1"/>
  <c r="F481" i="3" s="1"/>
  <c r="E481" i="3" a="1"/>
  <c r="E481" i="3" s="1"/>
  <c r="F487" i="3" a="1"/>
  <c r="F487" i="3" s="1"/>
  <c r="E487" i="3" a="1"/>
  <c r="E487" i="3" s="1"/>
  <c r="F493" i="3" a="1"/>
  <c r="F493" i="3" s="1"/>
  <c r="E493" i="3" a="1"/>
  <c r="E493" i="3" s="1"/>
  <c r="F499" i="3" a="1"/>
  <c r="F499" i="3" s="1"/>
  <c r="E499" i="3" a="1"/>
  <c r="E499" i="3" s="1"/>
  <c r="F505" i="3" a="1"/>
  <c r="F505" i="3" s="1"/>
  <c r="E505" i="3" a="1"/>
  <c r="E505" i="3" s="1"/>
  <c r="F511" i="3" a="1"/>
  <c r="F511" i="3" s="1"/>
  <c r="E511" i="3" a="1"/>
  <c r="E511" i="3" s="1"/>
  <c r="F517" i="3" a="1"/>
  <c r="F517" i="3" s="1"/>
  <c r="E517" i="3" a="1"/>
  <c r="E517" i="3" s="1"/>
  <c r="F523" i="3" a="1"/>
  <c r="F523" i="3" s="1"/>
  <c r="E523" i="3" a="1"/>
  <c r="E523" i="3" s="1"/>
  <c r="F529" i="3" a="1"/>
  <c r="F529" i="3" s="1"/>
  <c r="E529" i="3" a="1"/>
  <c r="E529" i="3" s="1"/>
  <c r="F535" i="3" a="1"/>
  <c r="F535" i="3" s="1"/>
  <c r="E535" i="3" a="1"/>
  <c r="E535" i="3" s="1"/>
  <c r="F541" i="3" a="1"/>
  <c r="F541" i="3" s="1"/>
  <c r="E541" i="3" a="1"/>
  <c r="E541" i="3" s="1"/>
  <c r="F547" i="3" a="1"/>
  <c r="F547" i="3" s="1"/>
  <c r="E547" i="3" a="1"/>
  <c r="E547" i="3" s="1"/>
  <c r="F553" i="3" a="1"/>
  <c r="F553" i="3" s="1"/>
  <c r="E553" i="3" a="1"/>
  <c r="E553" i="3" s="1"/>
  <c r="F559" i="3" a="1"/>
  <c r="F559" i="3" s="1"/>
  <c r="E559" i="3" a="1"/>
  <c r="E559" i="3" s="1"/>
  <c r="F565" i="3" a="1"/>
  <c r="F565" i="3" s="1"/>
  <c r="E565" i="3" a="1"/>
  <c r="E565" i="3" s="1"/>
  <c r="F571" i="3" a="1"/>
  <c r="F571" i="3" s="1"/>
  <c r="E571" i="3" a="1"/>
  <c r="E571" i="3" s="1"/>
  <c r="F577" i="3" a="1"/>
  <c r="F577" i="3" s="1"/>
  <c r="E577" i="3" a="1"/>
  <c r="E577" i="3" s="1"/>
  <c r="F583" i="3" a="1"/>
  <c r="F583" i="3" s="1"/>
  <c r="E583" i="3" a="1"/>
  <c r="E583" i="3" s="1"/>
  <c r="F589" i="3" a="1"/>
  <c r="F589" i="3" s="1"/>
  <c r="E589" i="3" a="1"/>
  <c r="E589" i="3" s="1"/>
  <c r="F595" i="3" a="1"/>
  <c r="F595" i="3" s="1"/>
  <c r="E595" i="3" a="1"/>
  <c r="E595" i="3" s="1"/>
  <c r="F601" i="3" a="1"/>
  <c r="F601" i="3" s="1"/>
  <c r="E601" i="3" a="1"/>
  <c r="E601" i="3" s="1"/>
  <c r="F607" i="3" a="1"/>
  <c r="F607" i="3" s="1"/>
  <c r="E607" i="3" a="1"/>
  <c r="E607" i="3" s="1"/>
  <c r="F613" i="3" a="1"/>
  <c r="F613" i="3" s="1"/>
  <c r="E613" i="3" a="1"/>
  <c r="E613" i="3" s="1"/>
  <c r="F619" i="3" a="1"/>
  <c r="F619" i="3" s="1"/>
  <c r="E619" i="3" a="1"/>
  <c r="E619" i="3" s="1"/>
  <c r="F625" i="3" a="1"/>
  <c r="F625" i="3" s="1"/>
  <c r="E625" i="3" a="1"/>
  <c r="E625" i="3" s="1"/>
  <c r="F631" i="3" a="1"/>
  <c r="F631" i="3" s="1"/>
  <c r="E631" i="3" a="1"/>
  <c r="E631" i="3" s="1"/>
  <c r="F637" i="3" a="1"/>
  <c r="F637" i="3" s="1"/>
  <c r="E637" i="3" a="1"/>
  <c r="E637" i="3" s="1"/>
  <c r="F643" i="3" a="1"/>
  <c r="F643" i="3" s="1"/>
  <c r="E643" i="3" a="1"/>
  <c r="E643" i="3" s="1"/>
  <c r="F649" i="3" a="1"/>
  <c r="F649" i="3" s="1"/>
  <c r="E649" i="3" a="1"/>
  <c r="E649" i="3" s="1"/>
  <c r="F335" i="3" a="1"/>
  <c r="F335" i="3" s="1"/>
  <c r="E335" i="3" a="1"/>
  <c r="E335" i="3" s="1"/>
  <c r="F341" i="3" a="1"/>
  <c r="F341" i="3" s="1"/>
  <c r="E341" i="3" a="1"/>
  <c r="E341" i="3" s="1"/>
  <c r="F347" i="3" a="1"/>
  <c r="F347" i="3" s="1"/>
  <c r="E347" i="3" a="1"/>
  <c r="E347" i="3" s="1"/>
  <c r="E353" i="3" a="1"/>
  <c r="E353" i="3" s="1"/>
  <c r="F353" i="3" a="1"/>
  <c r="F353" i="3" s="1"/>
  <c r="F359" i="3" a="1"/>
  <c r="F359" i="3" s="1"/>
  <c r="E359" i="3" a="1"/>
  <c r="E359" i="3" s="1"/>
  <c r="F365" i="3" a="1"/>
  <c r="F365" i="3" s="1"/>
  <c r="E365" i="3" a="1"/>
  <c r="E365" i="3" s="1"/>
  <c r="F371" i="3" a="1"/>
  <c r="F371" i="3" s="1"/>
  <c r="E371" i="3" a="1"/>
  <c r="E371" i="3" s="1"/>
  <c r="F377" i="3" a="1"/>
  <c r="F377" i="3" s="1"/>
  <c r="E377" i="3" a="1"/>
  <c r="E377" i="3" s="1"/>
  <c r="F383" i="3" a="1"/>
  <c r="F383" i="3" s="1"/>
  <c r="E383" i="3" a="1"/>
  <c r="E383" i="3" s="1"/>
  <c r="F389" i="3" a="1"/>
  <c r="F389" i="3" s="1"/>
  <c r="E389" i="3" a="1"/>
  <c r="E389" i="3" s="1"/>
  <c r="F395" i="3" a="1"/>
  <c r="F395" i="3" s="1"/>
  <c r="E395" i="3" a="1"/>
  <c r="E395" i="3" s="1"/>
  <c r="F401" i="3" a="1"/>
  <c r="F401" i="3" s="1"/>
  <c r="E401" i="3" a="1"/>
  <c r="E401" i="3" s="1"/>
  <c r="E1332" i="3" a="1"/>
  <c r="E1332" i="3" s="1"/>
  <c r="E1122" i="3" a="1"/>
  <c r="E1122" i="3" s="1"/>
  <c r="E561" i="3" a="1"/>
  <c r="E561" i="3" s="1"/>
  <c r="F874" i="3" a="1"/>
  <c r="F874" i="3" s="1"/>
  <c r="E874" i="3" a="1"/>
  <c r="E874" i="3" s="1"/>
  <c r="F880" i="3" a="1"/>
  <c r="F880" i="3" s="1"/>
  <c r="E880" i="3" a="1"/>
  <c r="E880" i="3" s="1"/>
  <c r="F886" i="3" a="1"/>
  <c r="F886" i="3" s="1"/>
  <c r="E886" i="3" a="1"/>
  <c r="E886" i="3" s="1"/>
  <c r="E892" i="3" a="1"/>
  <c r="E892" i="3" s="1"/>
  <c r="F892" i="3" a="1"/>
  <c r="F892" i="3" s="1"/>
  <c r="F898" i="3" a="1"/>
  <c r="F898" i="3" s="1"/>
  <c r="E898" i="3" a="1"/>
  <c r="E898" i="3" s="1"/>
  <c r="F904" i="3" a="1"/>
  <c r="F904" i="3" s="1"/>
  <c r="E904" i="3" a="1"/>
  <c r="E904" i="3" s="1"/>
  <c r="F910" i="3" a="1"/>
  <c r="F910" i="3" s="1"/>
  <c r="E910" i="3" a="1"/>
  <c r="E910" i="3" s="1"/>
  <c r="E916" i="3" a="1"/>
  <c r="E916" i="3" s="1"/>
  <c r="F916" i="3" a="1"/>
  <c r="F916" i="3" s="1"/>
  <c r="F922" i="3" a="1"/>
  <c r="F922" i="3" s="1"/>
  <c r="E922" i="3" a="1"/>
  <c r="E922" i="3" s="1"/>
  <c r="F928" i="3" a="1"/>
  <c r="F928" i="3" s="1"/>
  <c r="E928" i="3" a="1"/>
  <c r="E928" i="3" s="1"/>
  <c r="F934" i="3" a="1"/>
  <c r="F934" i="3" s="1"/>
  <c r="E934" i="3" a="1"/>
  <c r="E934" i="3" s="1"/>
  <c r="F940" i="3" a="1"/>
  <c r="F940" i="3" s="1"/>
  <c r="E940" i="3" a="1"/>
  <c r="E940" i="3" s="1"/>
  <c r="F946" i="3" a="1"/>
  <c r="F946" i="3" s="1"/>
  <c r="E946" i="3" a="1"/>
  <c r="E946" i="3" s="1"/>
  <c r="E952" i="3" a="1"/>
  <c r="E952" i="3" s="1"/>
  <c r="F952" i="3" a="1"/>
  <c r="F952" i="3" s="1"/>
  <c r="F958" i="3" a="1"/>
  <c r="F958" i="3" s="1"/>
  <c r="E958" i="3" a="1"/>
  <c r="E958" i="3" s="1"/>
  <c r="F964" i="3" a="1"/>
  <c r="F964" i="3" s="1"/>
  <c r="E964" i="3" a="1"/>
  <c r="E964" i="3" s="1"/>
  <c r="E970" i="3" a="1"/>
  <c r="E970" i="3" s="1"/>
  <c r="F970" i="3" a="1"/>
  <c r="F970" i="3" s="1"/>
  <c r="F976" i="3" a="1"/>
  <c r="F976" i="3" s="1"/>
  <c r="E976" i="3" a="1"/>
  <c r="E976" i="3" s="1"/>
  <c r="F982" i="3" a="1"/>
  <c r="F982" i="3" s="1"/>
  <c r="E982" i="3" a="1"/>
  <c r="E982" i="3" s="1"/>
  <c r="F988" i="3" a="1"/>
  <c r="F988" i="3" s="1"/>
  <c r="E988" i="3" a="1"/>
  <c r="E988" i="3" s="1"/>
  <c r="F994" i="3" a="1"/>
  <c r="F994" i="3" s="1"/>
  <c r="E994" i="3" a="1"/>
  <c r="E994" i="3" s="1"/>
  <c r="F1000" i="3" a="1"/>
  <c r="F1000" i="3" s="1"/>
  <c r="E1000" i="3" a="1"/>
  <c r="E1000" i="3" s="1"/>
  <c r="F5" i="3" a="1"/>
  <c r="F5" i="3" s="1"/>
  <c r="E5" i="3" a="1"/>
  <c r="E5" i="3" s="1"/>
  <c r="F11" i="3" a="1"/>
  <c r="F11" i="3" s="1"/>
  <c r="E11" i="3" a="1"/>
  <c r="E11" i="3" s="1"/>
  <c r="F17" i="3" a="1"/>
  <c r="F17" i="3" s="1"/>
  <c r="E17" i="3" a="1"/>
  <c r="E17" i="3" s="1"/>
  <c r="F23" i="3" a="1"/>
  <c r="F23" i="3" s="1"/>
  <c r="E23" i="3" a="1"/>
  <c r="E23" i="3" s="1"/>
  <c r="F29" i="3" a="1"/>
  <c r="F29" i="3" s="1"/>
  <c r="E29" i="3" a="1"/>
  <c r="E29" i="3" s="1"/>
  <c r="F35" i="3" a="1"/>
  <c r="F35" i="3" s="1"/>
  <c r="E35" i="3" a="1"/>
  <c r="E35" i="3" s="1"/>
  <c r="F41" i="3" a="1"/>
  <c r="F41" i="3" s="1"/>
  <c r="E41" i="3" a="1"/>
  <c r="E41" i="3" s="1"/>
  <c r="F47" i="3" a="1"/>
  <c r="F47" i="3" s="1"/>
  <c r="E47" i="3" a="1"/>
  <c r="E47" i="3" s="1"/>
  <c r="F53" i="3" a="1"/>
  <c r="F53" i="3" s="1"/>
  <c r="E53" i="3" a="1"/>
  <c r="E53" i="3" s="1"/>
  <c r="F59" i="3" a="1"/>
  <c r="F59" i="3" s="1"/>
  <c r="E59" i="3" a="1"/>
  <c r="E59" i="3" s="1"/>
  <c r="F65" i="3" a="1"/>
  <c r="F65" i="3" s="1"/>
  <c r="E65" i="3" a="1"/>
  <c r="E65" i="3" s="1"/>
  <c r="F71" i="3" a="1"/>
  <c r="F71" i="3" s="1"/>
  <c r="E71" i="3" a="1"/>
  <c r="E71" i="3" s="1"/>
  <c r="F77" i="3" a="1"/>
  <c r="F77" i="3" s="1"/>
  <c r="E77" i="3" a="1"/>
  <c r="E77" i="3" s="1"/>
  <c r="F83" i="3" a="1"/>
  <c r="F83" i="3" s="1"/>
  <c r="E83" i="3" a="1"/>
  <c r="E83" i="3" s="1"/>
  <c r="F89" i="3" a="1"/>
  <c r="F89" i="3" s="1"/>
  <c r="E89" i="3" a="1"/>
  <c r="E89" i="3" s="1"/>
  <c r="F95" i="3" a="1"/>
  <c r="F95" i="3" s="1"/>
  <c r="E95" i="3" a="1"/>
  <c r="E95" i="3" s="1"/>
  <c r="E101" i="3" a="1"/>
  <c r="E101" i="3" s="1"/>
  <c r="F101" i="3" a="1"/>
  <c r="F101" i="3" s="1"/>
  <c r="F107" i="3" a="1"/>
  <c r="F107" i="3" s="1"/>
  <c r="E107" i="3" a="1"/>
  <c r="E107" i="3" s="1"/>
  <c r="F113" i="3" a="1"/>
  <c r="F113" i="3" s="1"/>
  <c r="E113" i="3" a="1"/>
  <c r="E113" i="3" s="1"/>
  <c r="F119" i="3" a="1"/>
  <c r="F119" i="3" s="1"/>
  <c r="E119" i="3" a="1"/>
  <c r="E119" i="3" s="1"/>
  <c r="F125" i="3" a="1"/>
  <c r="F125" i="3" s="1"/>
  <c r="E125" i="3" a="1"/>
  <c r="E125" i="3" s="1"/>
  <c r="F131" i="3" a="1"/>
  <c r="F131" i="3" s="1"/>
  <c r="E131" i="3" a="1"/>
  <c r="E131" i="3" s="1"/>
  <c r="F137" i="3" a="1"/>
  <c r="F137" i="3" s="1"/>
  <c r="E137" i="3" a="1"/>
  <c r="E137" i="3" s="1"/>
  <c r="F143" i="3" a="1"/>
  <c r="F143" i="3" s="1"/>
  <c r="E143" i="3" a="1"/>
  <c r="E143" i="3" s="1"/>
  <c r="F149" i="3" a="1"/>
  <c r="F149" i="3" s="1"/>
  <c r="E149" i="3" a="1"/>
  <c r="E149" i="3" s="1"/>
  <c r="F155" i="3" a="1"/>
  <c r="F155" i="3" s="1"/>
  <c r="E155" i="3" a="1"/>
  <c r="E155" i="3" s="1"/>
  <c r="F161" i="3" a="1"/>
  <c r="F161" i="3" s="1"/>
  <c r="E161" i="3" a="1"/>
  <c r="E161" i="3" s="1"/>
  <c r="F167" i="3" a="1"/>
  <c r="F167" i="3" s="1"/>
  <c r="E167" i="3" a="1"/>
  <c r="E167" i="3" s="1"/>
  <c r="F173" i="3" a="1"/>
  <c r="F173" i="3" s="1"/>
  <c r="E173" i="3" a="1"/>
  <c r="E173" i="3" s="1"/>
  <c r="F179" i="3" a="1"/>
  <c r="F179" i="3" s="1"/>
  <c r="E179" i="3" a="1"/>
  <c r="E179" i="3" s="1"/>
  <c r="F185" i="3" a="1"/>
  <c r="F185" i="3" s="1"/>
  <c r="E185" i="3" a="1"/>
  <c r="E185" i="3" s="1"/>
  <c r="F191" i="3" a="1"/>
  <c r="F191" i="3" s="1"/>
  <c r="E191" i="3" a="1"/>
  <c r="E191" i="3" s="1"/>
  <c r="F197" i="3" a="1"/>
  <c r="F197" i="3" s="1"/>
  <c r="E197" i="3" a="1"/>
  <c r="E197" i="3" s="1"/>
  <c r="E203" i="3" a="1"/>
  <c r="E203" i="3" s="1"/>
  <c r="F203" i="3" a="1"/>
  <c r="F203" i="3" s="1"/>
  <c r="F209" i="3" a="1"/>
  <c r="F209" i="3" s="1"/>
  <c r="E209" i="3" a="1"/>
  <c r="E209" i="3" s="1"/>
  <c r="F215" i="3" a="1"/>
  <c r="F215" i="3" s="1"/>
  <c r="E215" i="3" a="1"/>
  <c r="E215" i="3" s="1"/>
  <c r="F221" i="3" a="1"/>
  <c r="F221" i="3" s="1"/>
  <c r="E221" i="3" a="1"/>
  <c r="E221" i="3" s="1"/>
  <c r="F227" i="3" a="1"/>
  <c r="F227" i="3" s="1"/>
  <c r="E227" i="3" a="1"/>
  <c r="E227" i="3" s="1"/>
  <c r="F233" i="3" a="1"/>
  <c r="F233" i="3" s="1"/>
  <c r="E233" i="3" a="1"/>
  <c r="E233" i="3" s="1"/>
  <c r="F239" i="3" a="1"/>
  <c r="F239" i="3" s="1"/>
  <c r="E239" i="3" a="1"/>
  <c r="E239" i="3" s="1"/>
  <c r="F245" i="3" a="1"/>
  <c r="F245" i="3" s="1"/>
  <c r="E245" i="3" a="1"/>
  <c r="E245" i="3" s="1"/>
  <c r="F251" i="3" a="1"/>
  <c r="F251" i="3" s="1"/>
  <c r="E251" i="3" a="1"/>
  <c r="E251" i="3" s="1"/>
  <c r="E257" i="3" a="1"/>
  <c r="E257" i="3" s="1"/>
  <c r="F257" i="3" a="1"/>
  <c r="F257" i="3" s="1"/>
  <c r="F263" i="3" a="1"/>
  <c r="F263" i="3" s="1"/>
  <c r="E263" i="3" a="1"/>
  <c r="E263" i="3" s="1"/>
  <c r="F269" i="3" a="1"/>
  <c r="F269" i="3" s="1"/>
  <c r="E269" i="3" a="1"/>
  <c r="E269" i="3" s="1"/>
  <c r="F275" i="3" a="1"/>
  <c r="F275" i="3" s="1"/>
  <c r="E275" i="3" a="1"/>
  <c r="E275" i="3" s="1"/>
  <c r="F281" i="3" a="1"/>
  <c r="F281" i="3" s="1"/>
  <c r="E281" i="3" a="1"/>
  <c r="E281" i="3" s="1"/>
  <c r="F287" i="3" a="1"/>
  <c r="F287" i="3" s="1"/>
  <c r="E287" i="3" a="1"/>
  <c r="E287" i="3" s="1"/>
  <c r="F293" i="3" a="1"/>
  <c r="F293" i="3" s="1"/>
  <c r="E293" i="3" a="1"/>
  <c r="E293" i="3" s="1"/>
  <c r="F299" i="3" a="1"/>
  <c r="F299" i="3" s="1"/>
  <c r="E299" i="3" a="1"/>
  <c r="E299" i="3" s="1"/>
  <c r="F305" i="3" a="1"/>
  <c r="F305" i="3" s="1"/>
  <c r="E305" i="3" a="1"/>
  <c r="E305" i="3" s="1"/>
  <c r="F311" i="3" a="1"/>
  <c r="F311" i="3" s="1"/>
  <c r="E311" i="3" a="1"/>
  <c r="E311" i="3" s="1"/>
  <c r="F317" i="3" a="1"/>
  <c r="F317" i="3" s="1"/>
  <c r="E317" i="3" a="1"/>
  <c r="E317" i="3" s="1"/>
  <c r="F323" i="3" a="1"/>
  <c r="F323" i="3" s="1"/>
  <c r="E323" i="3" a="1"/>
  <c r="E323" i="3" s="1"/>
  <c r="F413" i="3" a="1"/>
  <c r="F413" i="3" s="1"/>
  <c r="E413" i="3" a="1"/>
  <c r="E413" i="3" s="1"/>
  <c r="F419" i="3" a="1"/>
  <c r="F419" i="3" s="1"/>
  <c r="E419" i="3" a="1"/>
  <c r="E419" i="3" s="1"/>
  <c r="F425" i="3" a="1"/>
  <c r="F425" i="3" s="1"/>
  <c r="E425" i="3" a="1"/>
  <c r="E425" i="3" s="1"/>
  <c r="F431" i="3" a="1"/>
  <c r="F431" i="3" s="1"/>
  <c r="E431" i="3" a="1"/>
  <c r="E431" i="3" s="1"/>
  <c r="F437" i="3" a="1"/>
  <c r="F437" i="3" s="1"/>
  <c r="E437" i="3" a="1"/>
  <c r="E437" i="3" s="1"/>
  <c r="F443" i="3" a="1"/>
  <c r="F443" i="3" s="1"/>
  <c r="E443" i="3" a="1"/>
  <c r="E443" i="3" s="1"/>
  <c r="F449" i="3" a="1"/>
  <c r="F449" i="3" s="1"/>
  <c r="E449" i="3" a="1"/>
  <c r="E449" i="3" s="1"/>
  <c r="F455" i="3" a="1"/>
  <c r="F455" i="3" s="1"/>
  <c r="E455" i="3" a="1"/>
  <c r="E455" i="3" s="1"/>
  <c r="F461" i="3" a="1"/>
  <c r="F461" i="3" s="1"/>
  <c r="E461" i="3" a="1"/>
  <c r="E461" i="3" s="1"/>
  <c r="F467" i="3" a="1"/>
  <c r="F467" i="3" s="1"/>
  <c r="E467" i="3" a="1"/>
  <c r="E467" i="3" s="1"/>
  <c r="F473" i="3" a="1"/>
  <c r="F473" i="3" s="1"/>
  <c r="E473" i="3" a="1"/>
  <c r="E473" i="3" s="1"/>
  <c r="F479" i="3" a="1"/>
  <c r="F479" i="3" s="1"/>
  <c r="E479" i="3" a="1"/>
  <c r="E479" i="3" s="1"/>
  <c r="F485" i="3" a="1"/>
  <c r="F485" i="3" s="1"/>
  <c r="E485" i="3" a="1"/>
  <c r="E485" i="3" s="1"/>
  <c r="F491" i="3" a="1"/>
  <c r="F491" i="3" s="1"/>
  <c r="E491" i="3" a="1"/>
  <c r="E491" i="3" s="1"/>
  <c r="F497" i="3" a="1"/>
  <c r="F497" i="3" s="1"/>
  <c r="E497" i="3" a="1"/>
  <c r="E497" i="3" s="1"/>
  <c r="F503" i="3" a="1"/>
  <c r="F503" i="3" s="1"/>
  <c r="E503" i="3" a="1"/>
  <c r="E503" i="3" s="1"/>
  <c r="E509" i="3" a="1"/>
  <c r="E509" i="3" s="1"/>
  <c r="F509" i="3" a="1"/>
  <c r="F509" i="3" s="1"/>
  <c r="F515" i="3" a="1"/>
  <c r="F515" i="3" s="1"/>
  <c r="E515" i="3" a="1"/>
  <c r="E515" i="3" s="1"/>
  <c r="F521" i="3" a="1"/>
  <c r="F521" i="3" s="1"/>
  <c r="E521" i="3" a="1"/>
  <c r="E521" i="3" s="1"/>
  <c r="F527" i="3" a="1"/>
  <c r="F527" i="3" s="1"/>
  <c r="E527" i="3" a="1"/>
  <c r="E527" i="3" s="1"/>
  <c r="F533" i="3" a="1"/>
  <c r="F533" i="3" s="1"/>
  <c r="E533" i="3" a="1"/>
  <c r="E533" i="3" s="1"/>
  <c r="F539" i="3" a="1"/>
  <c r="F539" i="3" s="1"/>
  <c r="E539" i="3" a="1"/>
  <c r="E539" i="3" s="1"/>
  <c r="F545" i="3" a="1"/>
  <c r="F545" i="3" s="1"/>
  <c r="E545" i="3" a="1"/>
  <c r="E545" i="3" s="1"/>
  <c r="F551" i="3" a="1"/>
  <c r="F551" i="3" s="1"/>
  <c r="E551" i="3" a="1"/>
  <c r="E551" i="3" s="1"/>
  <c r="F557" i="3" a="1"/>
  <c r="F557" i="3" s="1"/>
  <c r="E557" i="3" a="1"/>
  <c r="E557" i="3" s="1"/>
  <c r="E563" i="3" a="1"/>
  <c r="E563" i="3" s="1"/>
  <c r="F563" i="3" a="1"/>
  <c r="F563" i="3" s="1"/>
  <c r="F569" i="3" a="1"/>
  <c r="F569" i="3" s="1"/>
  <c r="E569" i="3" a="1"/>
  <c r="E569" i="3" s="1"/>
  <c r="F575" i="3" a="1"/>
  <c r="F575" i="3" s="1"/>
  <c r="E575" i="3" a="1"/>
  <c r="E575" i="3" s="1"/>
  <c r="E581" i="3" a="1"/>
  <c r="E581" i="3" s="1"/>
  <c r="F581" i="3" a="1"/>
  <c r="F581" i="3" s="1"/>
  <c r="F587" i="3" a="1"/>
  <c r="F587" i="3" s="1"/>
  <c r="E587" i="3" a="1"/>
  <c r="E587" i="3" s="1"/>
  <c r="F593" i="3" a="1"/>
  <c r="F593" i="3" s="1"/>
  <c r="E593" i="3" a="1"/>
  <c r="E593" i="3" s="1"/>
  <c r="F599" i="3" a="1"/>
  <c r="F599" i="3" s="1"/>
  <c r="E599" i="3" a="1"/>
  <c r="E599" i="3" s="1"/>
  <c r="F605" i="3" a="1"/>
  <c r="F605" i="3" s="1"/>
  <c r="E605" i="3" a="1"/>
  <c r="E605" i="3" s="1"/>
  <c r="F611" i="3" a="1"/>
  <c r="F611" i="3" s="1"/>
  <c r="E611" i="3" a="1"/>
  <c r="E611" i="3" s="1"/>
  <c r="F617" i="3" a="1"/>
  <c r="F617" i="3" s="1"/>
  <c r="E617" i="3" a="1"/>
  <c r="E617" i="3" s="1"/>
  <c r="F623" i="3" a="1"/>
  <c r="F623" i="3" s="1"/>
  <c r="E623" i="3" a="1"/>
  <c r="E623" i="3" s="1"/>
  <c r="F629" i="3" a="1"/>
  <c r="F629" i="3" s="1"/>
  <c r="E629" i="3" a="1"/>
  <c r="E629" i="3" s="1"/>
  <c r="F635" i="3" a="1"/>
  <c r="F635" i="3" s="1"/>
  <c r="E635" i="3" a="1"/>
  <c r="E635" i="3" s="1"/>
  <c r="F641" i="3" a="1"/>
  <c r="F641" i="3" s="1"/>
  <c r="E641" i="3" a="1"/>
  <c r="E641" i="3" s="1"/>
  <c r="F647" i="3" a="1"/>
  <c r="F647" i="3" s="1"/>
  <c r="E647" i="3" a="1"/>
  <c r="E647" i="3" s="1"/>
  <c r="E653" i="3" a="1"/>
  <c r="E653" i="3" s="1"/>
  <c r="F653" i="3" a="1"/>
  <c r="F653" i="3" s="1"/>
  <c r="F659" i="3" a="1"/>
  <c r="F659" i="3" s="1"/>
  <c r="E659" i="3" a="1"/>
  <c r="E659" i="3" s="1"/>
  <c r="F665" i="3" a="1"/>
  <c r="F665" i="3" s="1"/>
  <c r="E665" i="3" a="1"/>
  <c r="E665" i="3" s="1"/>
  <c r="F671" i="3" a="1"/>
  <c r="F671" i="3" s="1"/>
  <c r="E671" i="3" a="1"/>
  <c r="E671" i="3" s="1"/>
  <c r="F677" i="3" a="1"/>
  <c r="F677" i="3" s="1"/>
  <c r="E677" i="3" a="1"/>
  <c r="E677" i="3" s="1"/>
  <c r="F683" i="3" a="1"/>
  <c r="F683" i="3" s="1"/>
  <c r="E683" i="3" a="1"/>
  <c r="E683" i="3" s="1"/>
  <c r="F689" i="3" a="1"/>
  <c r="F689" i="3" s="1"/>
  <c r="E689" i="3" a="1"/>
  <c r="E689" i="3" s="1"/>
  <c r="F695" i="3" a="1"/>
  <c r="F695" i="3" s="1"/>
  <c r="E695" i="3" a="1"/>
  <c r="E695" i="3" s="1"/>
  <c r="F707" i="3" a="1"/>
  <c r="F707" i="3" s="1"/>
  <c r="E707" i="3" a="1"/>
  <c r="E707" i="3" s="1"/>
  <c r="F713" i="3" a="1"/>
  <c r="F713" i="3" s="1"/>
  <c r="E713" i="3" a="1"/>
  <c r="E713" i="3" s="1"/>
  <c r="F719" i="3" a="1"/>
  <c r="F719" i="3" s="1"/>
  <c r="E719" i="3" a="1"/>
  <c r="E719" i="3" s="1"/>
  <c r="F725" i="3" a="1"/>
  <c r="F725" i="3" s="1"/>
  <c r="E725" i="3" a="1"/>
  <c r="E725" i="3" s="1"/>
  <c r="F731" i="3" a="1"/>
  <c r="F731" i="3" s="1"/>
  <c r="E731" i="3" a="1"/>
  <c r="E731" i="3" s="1"/>
  <c r="F737" i="3" a="1"/>
  <c r="F737" i="3" s="1"/>
  <c r="E737" i="3" a="1"/>
  <c r="E737" i="3" s="1"/>
  <c r="F743" i="3" a="1"/>
  <c r="F743" i="3" s="1"/>
  <c r="E743" i="3" a="1"/>
  <c r="E743" i="3" s="1"/>
  <c r="F749" i="3" a="1"/>
  <c r="F749" i="3" s="1"/>
  <c r="E749" i="3" a="1"/>
  <c r="E749" i="3" s="1"/>
  <c r="F755" i="3" a="1"/>
  <c r="F755" i="3" s="1"/>
  <c r="E755" i="3" a="1"/>
  <c r="E755" i="3" s="1"/>
  <c r="F761" i="3" a="1"/>
  <c r="F761" i="3" s="1"/>
  <c r="E761" i="3" a="1"/>
  <c r="E761" i="3" s="1"/>
  <c r="F767" i="3" a="1"/>
  <c r="F767" i="3" s="1"/>
  <c r="E767" i="3" a="1"/>
  <c r="E767" i="3" s="1"/>
  <c r="F773" i="3" a="1"/>
  <c r="F773" i="3" s="1"/>
  <c r="E773" i="3" a="1"/>
  <c r="E773" i="3" s="1"/>
  <c r="F779" i="3" a="1"/>
  <c r="F779" i="3" s="1"/>
  <c r="E779" i="3" a="1"/>
  <c r="E779" i="3" s="1"/>
  <c r="F785" i="3" a="1"/>
  <c r="F785" i="3" s="1"/>
  <c r="E785" i="3" a="1"/>
  <c r="E785" i="3" s="1"/>
  <c r="F791" i="3" a="1"/>
  <c r="F791" i="3" s="1"/>
  <c r="E791" i="3" a="1"/>
  <c r="E791" i="3" s="1"/>
  <c r="F797" i="3" a="1"/>
  <c r="F797" i="3" s="1"/>
  <c r="E797" i="3" a="1"/>
  <c r="E797" i="3" s="1"/>
  <c r="F803" i="3" a="1"/>
  <c r="F803" i="3" s="1"/>
  <c r="E803" i="3" a="1"/>
  <c r="E803" i="3" s="1"/>
  <c r="F809" i="3" a="1"/>
  <c r="F809" i="3" s="1"/>
  <c r="E809" i="3" a="1"/>
  <c r="E809" i="3" s="1"/>
  <c r="F815" i="3" a="1"/>
  <c r="F815" i="3" s="1"/>
  <c r="E815" i="3" a="1"/>
  <c r="E815" i="3" s="1"/>
  <c r="F821" i="3" a="1"/>
  <c r="F821" i="3" s="1"/>
  <c r="E821" i="3" a="1"/>
  <c r="E821" i="3" s="1"/>
  <c r="F827" i="3" a="1"/>
  <c r="F827" i="3" s="1"/>
  <c r="E827" i="3" a="1"/>
  <c r="E827" i="3" s="1"/>
  <c r="F833" i="3" a="1"/>
  <c r="F833" i="3" s="1"/>
  <c r="E833" i="3" a="1"/>
  <c r="E833" i="3" s="1"/>
  <c r="F839" i="3" a="1"/>
  <c r="F839" i="3" s="1"/>
  <c r="E839" i="3" a="1"/>
  <c r="E839" i="3" s="1"/>
  <c r="F845" i="3" a="1"/>
  <c r="F845" i="3" s="1"/>
  <c r="E845" i="3" a="1"/>
  <c r="E845" i="3" s="1"/>
  <c r="F851" i="3" a="1"/>
  <c r="F851" i="3" s="1"/>
  <c r="E851" i="3" a="1"/>
  <c r="E851" i="3" s="1"/>
  <c r="F857" i="3" a="1"/>
  <c r="F857" i="3" s="1"/>
  <c r="E857" i="3" a="1"/>
  <c r="E857" i="3" s="1"/>
  <c r="F863" i="3" a="1"/>
  <c r="F863" i="3" s="1"/>
  <c r="E863" i="3" a="1"/>
  <c r="E863" i="3" s="1"/>
  <c r="F869" i="3" a="1"/>
  <c r="F869" i="3" s="1"/>
  <c r="E869" i="3" a="1"/>
  <c r="E869" i="3" s="1"/>
  <c r="F875" i="3" a="1"/>
  <c r="F875" i="3" s="1"/>
  <c r="E875" i="3" a="1"/>
  <c r="E875" i="3" s="1"/>
  <c r="F881" i="3" a="1"/>
  <c r="F881" i="3" s="1"/>
  <c r="E881" i="3" a="1"/>
  <c r="E881" i="3" s="1"/>
  <c r="F887" i="3" a="1"/>
  <c r="F887" i="3" s="1"/>
  <c r="E887" i="3" a="1"/>
  <c r="E887" i="3" s="1"/>
  <c r="F893" i="3" a="1"/>
  <c r="F893" i="3" s="1"/>
  <c r="E893" i="3" a="1"/>
  <c r="E893" i="3" s="1"/>
  <c r="F899" i="3" a="1"/>
  <c r="F899" i="3" s="1"/>
  <c r="E899" i="3" a="1"/>
  <c r="E899" i="3" s="1"/>
  <c r="F905" i="3" a="1"/>
  <c r="F905" i="3" s="1"/>
  <c r="E905" i="3" a="1"/>
  <c r="E905" i="3" s="1"/>
  <c r="E911" i="3" a="1"/>
  <c r="E911" i="3" s="1"/>
  <c r="F911" i="3" a="1"/>
  <c r="F911" i="3" s="1"/>
  <c r="E917" i="3" a="1"/>
  <c r="E917" i="3" s="1"/>
  <c r="F917" i="3" a="1"/>
  <c r="F917" i="3" s="1"/>
  <c r="F923" i="3" a="1"/>
  <c r="F923" i="3" s="1"/>
  <c r="E923" i="3" a="1"/>
  <c r="E923" i="3" s="1"/>
  <c r="F929" i="3" a="1"/>
  <c r="F929" i="3" s="1"/>
  <c r="E929" i="3" a="1"/>
  <c r="E929" i="3" s="1"/>
  <c r="E935" i="3" a="1"/>
  <c r="E935" i="3" s="1"/>
  <c r="F935" i="3" a="1"/>
  <c r="F935" i="3" s="1"/>
  <c r="F941" i="3" a="1"/>
  <c r="F941" i="3" s="1"/>
  <c r="E941" i="3" a="1"/>
  <c r="E941" i="3" s="1"/>
  <c r="F947" i="3" a="1"/>
  <c r="F947" i="3" s="1"/>
  <c r="E947" i="3" a="1"/>
  <c r="E947" i="3" s="1"/>
  <c r="F953" i="3" a="1"/>
  <c r="F953" i="3" s="1"/>
  <c r="E953" i="3" a="1"/>
  <c r="E953" i="3" s="1"/>
  <c r="F959" i="3" a="1"/>
  <c r="F959" i="3" s="1"/>
  <c r="E959" i="3" a="1"/>
  <c r="E959" i="3" s="1"/>
  <c r="F965" i="3" a="1"/>
  <c r="F965" i="3" s="1"/>
  <c r="E965" i="3" a="1"/>
  <c r="E965" i="3" s="1"/>
  <c r="F971" i="3" a="1"/>
  <c r="F971" i="3" s="1"/>
  <c r="E971" i="3" a="1"/>
  <c r="E971" i="3" s="1"/>
  <c r="F977" i="3" a="1"/>
  <c r="F977" i="3" s="1"/>
  <c r="E977" i="3" a="1"/>
  <c r="E977" i="3" s="1"/>
  <c r="F983" i="3" a="1"/>
  <c r="F983" i="3" s="1"/>
  <c r="E983" i="3" a="1"/>
  <c r="E983" i="3" s="1"/>
  <c r="F989" i="3" a="1"/>
  <c r="F989" i="3" s="1"/>
  <c r="E989" i="3" a="1"/>
  <c r="E989" i="3" s="1"/>
  <c r="E995" i="3" a="1"/>
  <c r="E995" i="3" s="1"/>
  <c r="F995" i="3" a="1"/>
  <c r="F995" i="3" s="1"/>
  <c r="F1001" i="3" a="1"/>
  <c r="F1001" i="3" s="1"/>
  <c r="E1001" i="3" a="1"/>
  <c r="E1001" i="3" s="1"/>
  <c r="F1007" i="3" a="1"/>
  <c r="F1007" i="3" s="1"/>
  <c r="E1007" i="3" a="1"/>
  <c r="E1007" i="3" s="1"/>
  <c r="F1013" i="3" a="1"/>
  <c r="F1013" i="3" s="1"/>
  <c r="E1013" i="3" a="1"/>
  <c r="E1013" i="3" s="1"/>
  <c r="F1019" i="3" a="1"/>
  <c r="F1019" i="3" s="1"/>
  <c r="E1019" i="3" a="1"/>
  <c r="E1019" i="3" s="1"/>
  <c r="F1025" i="3" a="1"/>
  <c r="F1025" i="3" s="1"/>
  <c r="E1025" i="3" a="1"/>
  <c r="E1025" i="3" s="1"/>
  <c r="E1031" i="3" a="1"/>
  <c r="E1031" i="3" s="1"/>
  <c r="F1031" i="3" a="1"/>
  <c r="F1031" i="3" s="1"/>
  <c r="F1037" i="3" a="1"/>
  <c r="F1037" i="3" s="1"/>
  <c r="E1037" i="3" a="1"/>
  <c r="E1037" i="3" s="1"/>
  <c r="F1043" i="3" a="1"/>
  <c r="F1043" i="3" s="1"/>
  <c r="E1043" i="3" a="1"/>
  <c r="E1043" i="3" s="1"/>
  <c r="F1049" i="3" a="1"/>
  <c r="F1049" i="3" s="1"/>
  <c r="E1049" i="3" a="1"/>
  <c r="E1049" i="3" s="1"/>
  <c r="F1055" i="3" a="1"/>
  <c r="F1055" i="3" s="1"/>
  <c r="E1055" i="3" a="1"/>
  <c r="E1055" i="3" s="1"/>
  <c r="F1061" i="3" a="1"/>
  <c r="F1061" i="3" s="1"/>
  <c r="E1061" i="3" a="1"/>
  <c r="E1061" i="3" s="1"/>
  <c r="F1067" i="3" a="1"/>
  <c r="F1067" i="3" s="1"/>
  <c r="E1067" i="3" a="1"/>
  <c r="E1067" i="3" s="1"/>
  <c r="F1073" i="3" a="1"/>
  <c r="F1073" i="3" s="1"/>
  <c r="E1073" i="3" a="1"/>
  <c r="E1073" i="3" s="1"/>
  <c r="F1079" i="3" a="1"/>
  <c r="F1079" i="3" s="1"/>
  <c r="E1079" i="3" a="1"/>
  <c r="E1079" i="3" s="1"/>
  <c r="F1085" i="3" a="1"/>
  <c r="F1085" i="3" s="1"/>
  <c r="E1085" i="3" a="1"/>
  <c r="E1085" i="3" s="1"/>
  <c r="F1091" i="3" a="1"/>
  <c r="F1091" i="3" s="1"/>
  <c r="E1091" i="3" a="1"/>
  <c r="E1091" i="3" s="1"/>
  <c r="F1097" i="3" a="1"/>
  <c r="F1097" i="3" s="1"/>
  <c r="E1097" i="3" a="1"/>
  <c r="E1097" i="3" s="1"/>
  <c r="F1103" i="3" a="1"/>
  <c r="F1103" i="3" s="1"/>
  <c r="E1103" i="3" a="1"/>
  <c r="E1103" i="3" s="1"/>
  <c r="F1109" i="3" a="1"/>
  <c r="F1109" i="3" s="1"/>
  <c r="E1109" i="3" a="1"/>
  <c r="E1109" i="3" s="1"/>
  <c r="F1115" i="3" a="1"/>
  <c r="F1115" i="3" s="1"/>
  <c r="E1115" i="3" a="1"/>
  <c r="E1115" i="3" s="1"/>
  <c r="F1121" i="3" a="1"/>
  <c r="F1121" i="3" s="1"/>
  <c r="E1121" i="3" a="1"/>
  <c r="E1121" i="3" s="1"/>
  <c r="F1127" i="3" a="1"/>
  <c r="F1127" i="3" s="1"/>
  <c r="E1127" i="3" a="1"/>
  <c r="E1127" i="3" s="1"/>
  <c r="F1133" i="3" a="1"/>
  <c r="F1133" i="3" s="1"/>
  <c r="E1133" i="3" a="1"/>
  <c r="E1133" i="3" s="1"/>
  <c r="E1139" i="3" a="1"/>
  <c r="E1139" i="3" s="1"/>
  <c r="F1139" i="3" a="1"/>
  <c r="F1139" i="3" s="1"/>
  <c r="F1145" i="3" a="1"/>
  <c r="F1145" i="3" s="1"/>
  <c r="E1145" i="3" a="1"/>
  <c r="E1145" i="3" s="1"/>
  <c r="F1151" i="3" a="1"/>
  <c r="F1151" i="3" s="1"/>
  <c r="E1151" i="3" a="1"/>
  <c r="E1151" i="3" s="1"/>
  <c r="F1157" i="3" a="1"/>
  <c r="F1157" i="3" s="1"/>
  <c r="E1157" i="3" a="1"/>
  <c r="E1157" i="3" s="1"/>
  <c r="F1163" i="3" a="1"/>
  <c r="F1163" i="3" s="1"/>
  <c r="E1163" i="3" a="1"/>
  <c r="E1163" i="3" s="1"/>
  <c r="F1169" i="3" a="1"/>
  <c r="F1169" i="3" s="1"/>
  <c r="E1169" i="3" a="1"/>
  <c r="E1169" i="3" s="1"/>
  <c r="F1175" i="3" a="1"/>
  <c r="F1175" i="3" s="1"/>
  <c r="E1175" i="3" a="1"/>
  <c r="E1175" i="3" s="1"/>
  <c r="F1181" i="3" a="1"/>
  <c r="F1181" i="3" s="1"/>
  <c r="E1181" i="3" a="1"/>
  <c r="E1181" i="3" s="1"/>
  <c r="F1187" i="3" a="1"/>
  <c r="F1187" i="3" s="1"/>
  <c r="E1187" i="3" a="1"/>
  <c r="E1187" i="3" s="1"/>
  <c r="F1193" i="3" a="1"/>
  <c r="F1193" i="3" s="1"/>
  <c r="E1193" i="3" a="1"/>
  <c r="E1193" i="3" s="1"/>
  <c r="F1199" i="3" a="1"/>
  <c r="F1199" i="3" s="1"/>
  <c r="E1199" i="3" a="1"/>
  <c r="E1199" i="3" s="1"/>
  <c r="F1205" i="3" a="1"/>
  <c r="F1205" i="3" s="1"/>
  <c r="E1205" i="3" a="1"/>
  <c r="E1205" i="3" s="1"/>
  <c r="F1211" i="3" a="1"/>
  <c r="F1211" i="3" s="1"/>
  <c r="E1211" i="3" a="1"/>
  <c r="E1211" i="3" s="1"/>
  <c r="F1217" i="3" a="1"/>
  <c r="F1217" i="3" s="1"/>
  <c r="E1217" i="3" a="1"/>
  <c r="E1217" i="3" s="1"/>
  <c r="F1223" i="3" a="1"/>
  <c r="F1223" i="3" s="1"/>
  <c r="E1223" i="3" a="1"/>
  <c r="E1223" i="3" s="1"/>
  <c r="F1229" i="3" a="1"/>
  <c r="F1229" i="3" s="1"/>
  <c r="E1229" i="3" a="1"/>
  <c r="E1229" i="3" s="1"/>
  <c r="E1235" i="3" a="1"/>
  <c r="E1235" i="3" s="1"/>
  <c r="F1235" i="3" a="1"/>
  <c r="F1235" i="3" s="1"/>
  <c r="F1241" i="3" a="1"/>
  <c r="F1241" i="3" s="1"/>
  <c r="E1241" i="3" a="1"/>
  <c r="E1241" i="3" s="1"/>
  <c r="F1247" i="3" a="1"/>
  <c r="F1247" i="3" s="1"/>
  <c r="E1247" i="3" a="1"/>
  <c r="E1247" i="3" s="1"/>
  <c r="F1253" i="3" a="1"/>
  <c r="F1253" i="3" s="1"/>
  <c r="E1253" i="3" a="1"/>
  <c r="E1253" i="3" s="1"/>
  <c r="E1259" i="3" a="1"/>
  <c r="E1259" i="3" s="1"/>
  <c r="F1259" i="3" a="1"/>
  <c r="F1259" i="3" s="1"/>
  <c r="F1265" i="3" a="1"/>
  <c r="F1265" i="3" s="1"/>
  <c r="E1265" i="3" a="1"/>
  <c r="E1265" i="3" s="1"/>
  <c r="E1271" i="3" a="1"/>
  <c r="E1271" i="3" s="1"/>
  <c r="F1271" i="3" a="1"/>
  <c r="F1271" i="3" s="1"/>
  <c r="F1277" i="3" a="1"/>
  <c r="F1277" i="3" s="1"/>
  <c r="E1277" i="3" a="1"/>
  <c r="E1277" i="3" s="1"/>
  <c r="F1283" i="3" a="1"/>
  <c r="F1283" i="3" s="1"/>
  <c r="E1283" i="3" a="1"/>
  <c r="E1283" i="3" s="1"/>
  <c r="F1289" i="3" a="1"/>
  <c r="F1289" i="3" s="1"/>
  <c r="E1289" i="3" a="1"/>
  <c r="E1289" i="3" s="1"/>
  <c r="F1295" i="3" a="1"/>
  <c r="F1295" i="3" s="1"/>
  <c r="E1295" i="3" a="1"/>
  <c r="E1295" i="3" s="1"/>
  <c r="F1301" i="3" a="1"/>
  <c r="F1301" i="3" s="1"/>
  <c r="E1301" i="3" a="1"/>
  <c r="E1301" i="3" s="1"/>
  <c r="F1307" i="3" a="1"/>
  <c r="F1307" i="3" s="1"/>
  <c r="E1307" i="3" a="1"/>
  <c r="E1307" i="3" s="1"/>
  <c r="F1313" i="3" a="1"/>
  <c r="F1313" i="3" s="1"/>
  <c r="E1313" i="3" a="1"/>
  <c r="E1313" i="3" s="1"/>
  <c r="F1319" i="3" a="1"/>
  <c r="F1319" i="3" s="1"/>
  <c r="E1319" i="3" a="1"/>
  <c r="E1319" i="3" s="1"/>
  <c r="F1325" i="3" a="1"/>
  <c r="F1325" i="3" s="1"/>
  <c r="E1325" i="3" a="1"/>
  <c r="E1325" i="3" s="1"/>
  <c r="F1331" i="3" a="1"/>
  <c r="F1331" i="3" s="1"/>
  <c r="E1331" i="3" a="1"/>
  <c r="E1331" i="3" s="1"/>
  <c r="E1337" i="3" a="1"/>
  <c r="E1337" i="3" s="1"/>
  <c r="F1337" i="3" a="1"/>
  <c r="F1337" i="3" s="1"/>
  <c r="E1343" i="3" a="1"/>
  <c r="E1343" i="3" s="1"/>
  <c r="F1343" i="3" a="1"/>
  <c r="F1343" i="3" s="1"/>
  <c r="F1349" i="3" a="1"/>
  <c r="F1349" i="3" s="1"/>
  <c r="E1349" i="3" a="1"/>
  <c r="E1349" i="3" s="1"/>
  <c r="E1355" i="3" a="1"/>
  <c r="E1355" i="3" s="1"/>
  <c r="F1355" i="3" a="1"/>
  <c r="F1355" i="3" s="1"/>
  <c r="F1361" i="3" a="1"/>
  <c r="F1361" i="3" s="1"/>
  <c r="E1361" i="3" a="1"/>
  <c r="E1361" i="3" s="1"/>
  <c r="E1367" i="3" a="1"/>
  <c r="E1367" i="3" s="1"/>
  <c r="F1367" i="3" a="1"/>
  <c r="F1367" i="3" s="1"/>
  <c r="F1373" i="3" a="1"/>
  <c r="F1373" i="3" s="1"/>
  <c r="E1373" i="3" a="1"/>
  <c r="E1373" i="3" s="1"/>
  <c r="F1379" i="3" a="1"/>
  <c r="F1379" i="3" s="1"/>
  <c r="E1379" i="3" a="1"/>
  <c r="E1379" i="3" s="1"/>
  <c r="F1385" i="3" a="1"/>
  <c r="F1385" i="3" s="1"/>
  <c r="E1385" i="3" a="1"/>
  <c r="E1385" i="3" s="1"/>
  <c r="E1391" i="3" a="1"/>
  <c r="E1391" i="3" s="1"/>
  <c r="F1391" i="3" a="1"/>
  <c r="F1391" i="3" s="1"/>
  <c r="F1397" i="3" a="1"/>
  <c r="F1397" i="3" s="1"/>
  <c r="E1397" i="3" a="1"/>
  <c r="E1397" i="3" s="1"/>
  <c r="F1403" i="3" a="1"/>
  <c r="F1403" i="3" s="1"/>
  <c r="E1403" i="3" a="1"/>
  <c r="E1403" i="3" s="1"/>
  <c r="F1409" i="3" a="1"/>
  <c r="F1409" i="3" s="1"/>
  <c r="E1409" i="3" a="1"/>
  <c r="E1409" i="3" s="1"/>
  <c r="F1415" i="3" a="1"/>
  <c r="F1415" i="3" s="1"/>
  <c r="E1415" i="3" a="1"/>
  <c r="E1415" i="3" s="1"/>
  <c r="F1421" i="3" a="1"/>
  <c r="F1421" i="3" s="1"/>
  <c r="E1421" i="3" a="1"/>
  <c r="E1421" i="3" s="1"/>
  <c r="E1317" i="3" a="1"/>
  <c r="E1317" i="3" s="1"/>
  <c r="E1102" i="3" a="1"/>
  <c r="E1102" i="3" s="1"/>
  <c r="E819" i="3" a="1"/>
  <c r="E819" i="3" s="1"/>
  <c r="E531" i="3" a="1"/>
  <c r="E531" i="3" s="1"/>
  <c r="F512" i="3" a="1"/>
  <c r="F512" i="3" s="1"/>
  <c r="E512" i="3" a="1"/>
  <c r="E512" i="3" s="1"/>
  <c r="F518" i="3" a="1"/>
  <c r="F518" i="3" s="1"/>
  <c r="E518" i="3" a="1"/>
  <c r="E518" i="3" s="1"/>
  <c r="F524" i="3" a="1"/>
  <c r="F524" i="3" s="1"/>
  <c r="E524" i="3" a="1"/>
  <c r="E524" i="3" s="1"/>
  <c r="F530" i="3" a="1"/>
  <c r="F530" i="3" s="1"/>
  <c r="E530" i="3" a="1"/>
  <c r="E530" i="3" s="1"/>
  <c r="F536" i="3" a="1"/>
  <c r="F536" i="3" s="1"/>
  <c r="E536" i="3" a="1"/>
  <c r="E536" i="3" s="1"/>
  <c r="F542" i="3" a="1"/>
  <c r="F542" i="3" s="1"/>
  <c r="E542" i="3" a="1"/>
  <c r="E542" i="3" s="1"/>
  <c r="F548" i="3" a="1"/>
  <c r="F548" i="3" s="1"/>
  <c r="E548" i="3" a="1"/>
  <c r="E548" i="3" s="1"/>
  <c r="F554" i="3" a="1"/>
  <c r="F554" i="3" s="1"/>
  <c r="E554" i="3" a="1"/>
  <c r="E554" i="3" s="1"/>
  <c r="F560" i="3" a="1"/>
  <c r="F560" i="3" s="1"/>
  <c r="E560" i="3" a="1"/>
  <c r="E560" i="3" s="1"/>
  <c r="E566" i="3" a="1"/>
  <c r="E566" i="3" s="1"/>
  <c r="F566" i="3" a="1"/>
  <c r="F566" i="3" s="1"/>
  <c r="F572" i="3" a="1"/>
  <c r="F572" i="3" s="1"/>
  <c r="E572" i="3" a="1"/>
  <c r="E572" i="3" s="1"/>
  <c r="F578" i="3" a="1"/>
  <c r="F578" i="3" s="1"/>
  <c r="E578" i="3" a="1"/>
  <c r="E578" i="3" s="1"/>
  <c r="F584" i="3" a="1"/>
  <c r="F584" i="3" s="1"/>
  <c r="E584" i="3" a="1"/>
  <c r="E584" i="3" s="1"/>
  <c r="F590" i="3" a="1"/>
  <c r="F590" i="3" s="1"/>
  <c r="E590" i="3" a="1"/>
  <c r="E590" i="3" s="1"/>
  <c r="F596" i="3" a="1"/>
  <c r="F596" i="3" s="1"/>
  <c r="E596" i="3" a="1"/>
  <c r="E596" i="3" s="1"/>
  <c r="F602" i="3" a="1"/>
  <c r="F602" i="3" s="1"/>
  <c r="E602" i="3" a="1"/>
  <c r="E602" i="3" s="1"/>
  <c r="F608" i="3" a="1"/>
  <c r="F608" i="3" s="1"/>
  <c r="E608" i="3" a="1"/>
  <c r="E608" i="3" s="1"/>
  <c r="F614" i="3" a="1"/>
  <c r="F614" i="3" s="1"/>
  <c r="E614" i="3" a="1"/>
  <c r="E614" i="3" s="1"/>
  <c r="F620" i="3" a="1"/>
  <c r="F620" i="3" s="1"/>
  <c r="E620" i="3" a="1"/>
  <c r="E620" i="3" s="1"/>
  <c r="E626" i="3" a="1"/>
  <c r="E626" i="3" s="1"/>
  <c r="F626" i="3" a="1"/>
  <c r="F626" i="3" s="1"/>
  <c r="F632" i="3" a="1"/>
  <c r="F632" i="3" s="1"/>
  <c r="E632" i="3" a="1"/>
  <c r="E632" i="3" s="1"/>
  <c r="F638" i="3" a="1"/>
  <c r="F638" i="3" s="1"/>
  <c r="E638" i="3" a="1"/>
  <c r="E638" i="3" s="1"/>
  <c r="F644" i="3" a="1"/>
  <c r="F644" i="3" s="1"/>
  <c r="E644" i="3" a="1"/>
  <c r="E644" i="3" s="1"/>
  <c r="F650" i="3" a="1"/>
  <c r="F650" i="3" s="1"/>
  <c r="E650" i="3" a="1"/>
  <c r="E650" i="3" s="1"/>
  <c r="F656" i="3" a="1"/>
  <c r="F656" i="3" s="1"/>
  <c r="E656" i="3" a="1"/>
  <c r="E656" i="3" s="1"/>
  <c r="F662" i="3" a="1"/>
  <c r="F662" i="3" s="1"/>
  <c r="E662" i="3" a="1"/>
  <c r="E662" i="3" s="1"/>
  <c r="F668" i="3" a="1"/>
  <c r="F668" i="3" s="1"/>
  <c r="E668" i="3" a="1"/>
  <c r="E668" i="3" s="1"/>
  <c r="F674" i="3" a="1"/>
  <c r="F674" i="3" s="1"/>
  <c r="E674" i="3" a="1"/>
  <c r="E674" i="3" s="1"/>
  <c r="F3" i="3" a="1"/>
  <c r="F3" i="3" s="1"/>
  <c r="E3" i="3" a="1"/>
  <c r="E3" i="3" s="1"/>
  <c r="F9" i="3" a="1"/>
  <c r="F9" i="3" s="1"/>
  <c r="E9" i="3" a="1"/>
  <c r="E9" i="3" s="1"/>
  <c r="F15" i="3" a="1"/>
  <c r="F15" i="3" s="1"/>
  <c r="E15" i="3" a="1"/>
  <c r="E15" i="3" s="1"/>
  <c r="F21" i="3" a="1"/>
  <c r="F21" i="3" s="1"/>
  <c r="E21" i="3" a="1"/>
  <c r="E21" i="3" s="1"/>
  <c r="F27" i="3" a="1"/>
  <c r="F27" i="3" s="1"/>
  <c r="E27" i="3" a="1"/>
  <c r="E27" i="3" s="1"/>
  <c r="F33" i="3" a="1"/>
  <c r="F33" i="3" s="1"/>
  <c r="E33" i="3" a="1"/>
  <c r="E33" i="3" s="1"/>
  <c r="F39" i="3" a="1"/>
  <c r="F39" i="3" s="1"/>
  <c r="E39" i="3" a="1"/>
  <c r="E39" i="3" s="1"/>
  <c r="F45" i="3" a="1"/>
  <c r="F45" i="3" s="1"/>
  <c r="E45" i="3" a="1"/>
  <c r="E45" i="3" s="1"/>
  <c r="F51" i="3" a="1"/>
  <c r="F51" i="3" s="1"/>
  <c r="E51" i="3" a="1"/>
  <c r="E51" i="3" s="1"/>
  <c r="F57" i="3" a="1"/>
  <c r="F57" i="3" s="1"/>
  <c r="E57" i="3" a="1"/>
  <c r="E57" i="3" s="1"/>
  <c r="F63" i="3" a="1"/>
  <c r="F63" i="3" s="1"/>
  <c r="E63" i="3" a="1"/>
  <c r="E63" i="3" s="1"/>
  <c r="F69" i="3" a="1"/>
  <c r="F69" i="3" s="1"/>
  <c r="E69" i="3" a="1"/>
  <c r="E69" i="3" s="1"/>
  <c r="F75" i="3" a="1"/>
  <c r="F75" i="3" s="1"/>
  <c r="E75" i="3" a="1"/>
  <c r="E75" i="3" s="1"/>
  <c r="E81" i="3" a="1"/>
  <c r="E81" i="3" s="1"/>
  <c r="F81" i="3" a="1"/>
  <c r="F81" i="3" s="1"/>
  <c r="F87" i="3" a="1"/>
  <c r="F87" i="3" s="1"/>
  <c r="E87" i="3" a="1"/>
  <c r="E87" i="3" s="1"/>
  <c r="F93" i="3" a="1"/>
  <c r="F93" i="3" s="1"/>
  <c r="E93" i="3" a="1"/>
  <c r="E93" i="3" s="1"/>
  <c r="F99" i="3" a="1"/>
  <c r="F99" i="3" s="1"/>
  <c r="E99" i="3" a="1"/>
  <c r="E99" i="3" s="1"/>
  <c r="F105" i="3" a="1"/>
  <c r="F105" i="3" s="1"/>
  <c r="E105" i="3" a="1"/>
  <c r="E105" i="3" s="1"/>
  <c r="F111" i="3" a="1"/>
  <c r="F111" i="3" s="1"/>
  <c r="E111" i="3" a="1"/>
  <c r="E111" i="3" s="1"/>
  <c r="F117" i="3" a="1"/>
  <c r="F117" i="3" s="1"/>
  <c r="E117" i="3" a="1"/>
  <c r="E117" i="3" s="1"/>
  <c r="F123" i="3" a="1"/>
  <c r="F123" i="3" s="1"/>
  <c r="E123" i="3" a="1"/>
  <c r="E123" i="3" s="1"/>
  <c r="F129" i="3" a="1"/>
  <c r="F129" i="3" s="1"/>
  <c r="E129" i="3" a="1"/>
  <c r="E129" i="3" s="1"/>
  <c r="F135" i="3" a="1"/>
  <c r="F135" i="3" s="1"/>
  <c r="E135" i="3" a="1"/>
  <c r="E135" i="3" s="1"/>
  <c r="F141" i="3" a="1"/>
  <c r="F141" i="3" s="1"/>
  <c r="E141" i="3" a="1"/>
  <c r="E141" i="3" s="1"/>
  <c r="F147" i="3" a="1"/>
  <c r="F147" i="3" s="1"/>
  <c r="E147" i="3" a="1"/>
  <c r="E147" i="3" s="1"/>
  <c r="F153" i="3" a="1"/>
  <c r="F153" i="3" s="1"/>
  <c r="E153" i="3" a="1"/>
  <c r="E153" i="3" s="1"/>
  <c r="F159" i="3" a="1"/>
  <c r="F159" i="3" s="1"/>
  <c r="E159" i="3" a="1"/>
  <c r="E159" i="3" s="1"/>
  <c r="F165" i="3" a="1"/>
  <c r="F165" i="3" s="1"/>
  <c r="E165" i="3" a="1"/>
  <c r="E165" i="3" s="1"/>
  <c r="F171" i="3" a="1"/>
  <c r="F171" i="3" s="1"/>
  <c r="E171" i="3" a="1"/>
  <c r="E171" i="3" s="1"/>
  <c r="F177" i="3" a="1"/>
  <c r="F177" i="3" s="1"/>
  <c r="E177" i="3" a="1"/>
  <c r="E177" i="3" s="1"/>
  <c r="F183" i="3" a="1"/>
  <c r="F183" i="3" s="1"/>
  <c r="E183" i="3" a="1"/>
  <c r="E183" i="3" s="1"/>
  <c r="F189" i="3" a="1"/>
  <c r="F189" i="3" s="1"/>
  <c r="E189" i="3" a="1"/>
  <c r="E189" i="3" s="1"/>
  <c r="F195" i="3" a="1"/>
  <c r="F195" i="3" s="1"/>
  <c r="E195" i="3" a="1"/>
  <c r="E195" i="3" s="1"/>
  <c r="F201" i="3" a="1"/>
  <c r="F201" i="3" s="1"/>
  <c r="E201" i="3" a="1"/>
  <c r="E201" i="3" s="1"/>
  <c r="F207" i="3" a="1"/>
  <c r="F207" i="3" s="1"/>
  <c r="E207" i="3" a="1"/>
  <c r="E207" i="3" s="1"/>
  <c r="F213" i="3" a="1"/>
  <c r="F213" i="3" s="1"/>
  <c r="E213" i="3" a="1"/>
  <c r="E213" i="3" s="1"/>
  <c r="F219" i="3" a="1"/>
  <c r="F219" i="3" s="1"/>
  <c r="E219" i="3" a="1"/>
  <c r="E219" i="3" s="1"/>
  <c r="F225" i="3" a="1"/>
  <c r="F225" i="3" s="1"/>
  <c r="E225" i="3" a="1"/>
  <c r="E225" i="3" s="1"/>
  <c r="F231" i="3" a="1"/>
  <c r="F231" i="3" s="1"/>
  <c r="E231" i="3" a="1"/>
  <c r="E231" i="3" s="1"/>
  <c r="F237" i="3" a="1"/>
  <c r="F237" i="3" s="1"/>
  <c r="E237" i="3" a="1"/>
  <c r="E237" i="3" s="1"/>
  <c r="F243" i="3" a="1"/>
  <c r="F243" i="3" s="1"/>
  <c r="E243" i="3" a="1"/>
  <c r="E243" i="3" s="1"/>
  <c r="F249" i="3" a="1"/>
  <c r="F249" i="3" s="1"/>
  <c r="E249" i="3" a="1"/>
  <c r="E249" i="3" s="1"/>
  <c r="F255" i="3" a="1"/>
  <c r="F255" i="3" s="1"/>
  <c r="E255" i="3" a="1"/>
  <c r="E255" i="3" s="1"/>
  <c r="F261" i="3" a="1"/>
  <c r="F261" i="3" s="1"/>
  <c r="E261" i="3" a="1"/>
  <c r="E261" i="3" s="1"/>
  <c r="F267" i="3" a="1"/>
  <c r="F267" i="3" s="1"/>
  <c r="E267" i="3" a="1"/>
  <c r="E267" i="3" s="1"/>
  <c r="F273" i="3" a="1"/>
  <c r="F273" i="3" s="1"/>
  <c r="E273" i="3" a="1"/>
  <c r="E273" i="3" s="1"/>
  <c r="F279" i="3" a="1"/>
  <c r="F279" i="3" s="1"/>
  <c r="E279" i="3" a="1"/>
  <c r="E279" i="3" s="1"/>
  <c r="F285" i="3" a="1"/>
  <c r="F285" i="3" s="1"/>
  <c r="E285" i="3" a="1"/>
  <c r="E285" i="3" s="1"/>
  <c r="F291" i="3" a="1"/>
  <c r="F291" i="3" s="1"/>
  <c r="E291" i="3" a="1"/>
  <c r="E291" i="3" s="1"/>
  <c r="F297" i="3" a="1"/>
  <c r="F297" i="3" s="1"/>
  <c r="E297" i="3" a="1"/>
  <c r="E297" i="3" s="1"/>
  <c r="F303" i="3" a="1"/>
  <c r="F303" i="3" s="1"/>
  <c r="E303" i="3" a="1"/>
  <c r="E303" i="3" s="1"/>
  <c r="F309" i="3" a="1"/>
  <c r="F309" i="3" s="1"/>
  <c r="E309" i="3" a="1"/>
  <c r="E309" i="3" s="1"/>
  <c r="F315" i="3" a="1"/>
  <c r="F315" i="3" s="1"/>
  <c r="E315" i="3" a="1"/>
  <c r="E315" i="3" s="1"/>
  <c r="E321" i="3" a="1"/>
  <c r="E321" i="3" s="1"/>
  <c r="F321" i="3" a="1"/>
  <c r="F321" i="3" s="1"/>
  <c r="F327" i="3" a="1"/>
  <c r="F327" i="3" s="1"/>
  <c r="E327" i="3" a="1"/>
  <c r="E327" i="3" s="1"/>
  <c r="F333" i="3" a="1"/>
  <c r="F333" i="3" s="1"/>
  <c r="E333" i="3" a="1"/>
  <c r="E333" i="3" s="1"/>
  <c r="F339" i="3" a="1"/>
  <c r="F339" i="3" s="1"/>
  <c r="E339" i="3" a="1"/>
  <c r="E339" i="3" s="1"/>
  <c r="E345" i="3" a="1"/>
  <c r="E345" i="3" s="1"/>
  <c r="F345" i="3" a="1"/>
  <c r="F345" i="3" s="1"/>
  <c r="F351" i="3" a="1"/>
  <c r="F351" i="3" s="1"/>
  <c r="E351" i="3" a="1"/>
  <c r="E351" i="3" s="1"/>
  <c r="F802" i="3" a="1"/>
  <c r="F802" i="3" s="1"/>
  <c r="E802" i="3" a="1"/>
  <c r="E802" i="3" s="1"/>
  <c r="F808" i="3" a="1"/>
  <c r="F808" i="3" s="1"/>
  <c r="E808" i="3" a="1"/>
  <c r="E808" i="3" s="1"/>
  <c r="F814" i="3" a="1"/>
  <c r="F814" i="3" s="1"/>
  <c r="E814" i="3" a="1"/>
  <c r="E814" i="3" s="1"/>
  <c r="F820" i="3" a="1"/>
  <c r="F820" i="3" s="1"/>
  <c r="E820" i="3" a="1"/>
  <c r="E820" i="3" s="1"/>
  <c r="F826" i="3" a="1"/>
  <c r="F826" i="3" s="1"/>
  <c r="E826" i="3" a="1"/>
  <c r="E826" i="3" s="1"/>
  <c r="F832" i="3" a="1"/>
  <c r="F832" i="3" s="1"/>
  <c r="E832" i="3" a="1"/>
  <c r="E832" i="3" s="1"/>
  <c r="F838" i="3" a="1"/>
  <c r="F838" i="3" s="1"/>
  <c r="E838" i="3" a="1"/>
  <c r="E838" i="3" s="1"/>
  <c r="F844" i="3" a="1"/>
  <c r="F844" i="3" s="1"/>
  <c r="E844" i="3" a="1"/>
  <c r="E844" i="3" s="1"/>
  <c r="F850" i="3" a="1"/>
  <c r="F850" i="3" s="1"/>
  <c r="E850" i="3" a="1"/>
  <c r="E850" i="3" s="1"/>
  <c r="F856" i="3" a="1"/>
  <c r="F856" i="3" s="1"/>
  <c r="E856" i="3" a="1"/>
  <c r="E856" i="3" s="1"/>
  <c r="F862" i="3" a="1"/>
  <c r="F862" i="3" s="1"/>
  <c r="E862" i="3" a="1"/>
  <c r="E862" i="3" s="1"/>
  <c r="F6" i="3" a="1"/>
  <c r="F6" i="3" s="1"/>
  <c r="E6" i="3" a="1"/>
  <c r="E6" i="3" s="1"/>
  <c r="F12" i="3" a="1"/>
  <c r="F12" i="3" s="1"/>
  <c r="E12" i="3" a="1"/>
  <c r="E12" i="3" s="1"/>
  <c r="F18" i="3" a="1"/>
  <c r="F18" i="3" s="1"/>
  <c r="E18" i="3" a="1"/>
  <c r="E18" i="3" s="1"/>
  <c r="F24" i="3" a="1"/>
  <c r="F24" i="3" s="1"/>
  <c r="E24" i="3" a="1"/>
  <c r="E24" i="3" s="1"/>
  <c r="F30" i="3" a="1"/>
  <c r="F30" i="3" s="1"/>
  <c r="E30" i="3" a="1"/>
  <c r="E30" i="3" s="1"/>
  <c r="F36" i="3" a="1"/>
  <c r="F36" i="3" s="1"/>
  <c r="E36" i="3" a="1"/>
  <c r="E36" i="3" s="1"/>
  <c r="F42" i="3" a="1"/>
  <c r="F42" i="3" s="1"/>
  <c r="E42" i="3" a="1"/>
  <c r="E42" i="3" s="1"/>
  <c r="F48" i="3" a="1"/>
  <c r="F48" i="3" s="1"/>
  <c r="E48" i="3" a="1"/>
  <c r="E48" i="3" s="1"/>
  <c r="F54" i="3" a="1"/>
  <c r="F54" i="3" s="1"/>
  <c r="E54" i="3" a="1"/>
  <c r="E54" i="3" s="1"/>
  <c r="F60" i="3" a="1"/>
  <c r="F60" i="3" s="1"/>
  <c r="E60" i="3" a="1"/>
  <c r="E60" i="3" s="1"/>
  <c r="F66" i="3" a="1"/>
  <c r="F66" i="3" s="1"/>
  <c r="E66" i="3" a="1"/>
  <c r="E66" i="3" s="1"/>
  <c r="F72" i="3" a="1"/>
  <c r="F72" i="3" s="1"/>
  <c r="E72" i="3" a="1"/>
  <c r="E72" i="3" s="1"/>
  <c r="F78" i="3" a="1"/>
  <c r="F78" i="3" s="1"/>
  <c r="E78" i="3" a="1"/>
  <c r="E78" i="3" s="1"/>
  <c r="F84" i="3" a="1"/>
  <c r="F84" i="3" s="1"/>
  <c r="E84" i="3" a="1"/>
  <c r="E84" i="3" s="1"/>
  <c r="E90" i="3" a="1"/>
  <c r="E90" i="3" s="1"/>
  <c r="F90" i="3" a="1"/>
  <c r="F90" i="3" s="1"/>
  <c r="F96" i="3" a="1"/>
  <c r="F96" i="3" s="1"/>
  <c r="E96" i="3" a="1"/>
  <c r="E96" i="3" s="1"/>
  <c r="F102" i="3" a="1"/>
  <c r="F102" i="3" s="1"/>
  <c r="E102" i="3" a="1"/>
  <c r="E102" i="3" s="1"/>
  <c r="F108" i="3" a="1"/>
  <c r="F108" i="3" s="1"/>
  <c r="E108" i="3" a="1"/>
  <c r="E108" i="3" s="1"/>
  <c r="F114" i="3" a="1"/>
  <c r="F114" i="3" s="1"/>
  <c r="E114" i="3" a="1"/>
  <c r="E114" i="3" s="1"/>
  <c r="F120" i="3" a="1"/>
  <c r="F120" i="3" s="1"/>
  <c r="E120" i="3" a="1"/>
  <c r="E120" i="3" s="1"/>
  <c r="F126" i="3" a="1"/>
  <c r="F126" i="3" s="1"/>
  <c r="E126" i="3" a="1"/>
  <c r="E126" i="3" s="1"/>
  <c r="F132" i="3" a="1"/>
  <c r="F132" i="3" s="1"/>
  <c r="E132" i="3" a="1"/>
  <c r="E132" i="3" s="1"/>
  <c r="F138" i="3" a="1"/>
  <c r="F138" i="3" s="1"/>
  <c r="E138" i="3" a="1"/>
  <c r="E138" i="3" s="1"/>
  <c r="E144" i="3" a="1"/>
  <c r="E144" i="3" s="1"/>
  <c r="F144" i="3" a="1"/>
  <c r="F144" i="3" s="1"/>
  <c r="F150" i="3" a="1"/>
  <c r="F150" i="3" s="1"/>
  <c r="E150" i="3" a="1"/>
  <c r="E150" i="3" s="1"/>
  <c r="F156" i="3" a="1"/>
  <c r="F156" i="3" s="1"/>
  <c r="E156" i="3" a="1"/>
  <c r="E156" i="3" s="1"/>
  <c r="F162" i="3" a="1"/>
  <c r="F162" i="3" s="1"/>
  <c r="E162" i="3" a="1"/>
  <c r="E162" i="3" s="1"/>
  <c r="F168" i="3" a="1"/>
  <c r="F168" i="3" s="1"/>
  <c r="E168" i="3" a="1"/>
  <c r="E168" i="3" s="1"/>
  <c r="F174" i="3" a="1"/>
  <c r="F174" i="3" s="1"/>
  <c r="E174" i="3" a="1"/>
  <c r="E174" i="3" s="1"/>
  <c r="F180" i="3" a="1"/>
  <c r="F180" i="3" s="1"/>
  <c r="E180" i="3" a="1"/>
  <c r="E180" i="3" s="1"/>
  <c r="F186" i="3" a="1"/>
  <c r="F186" i="3" s="1"/>
  <c r="E186" i="3" a="1"/>
  <c r="E186" i="3" s="1"/>
  <c r="F192" i="3" a="1"/>
  <c r="F192" i="3" s="1"/>
  <c r="E192" i="3" a="1"/>
  <c r="E192" i="3" s="1"/>
  <c r="F198" i="3" a="1"/>
  <c r="F198" i="3" s="1"/>
  <c r="E198" i="3" a="1"/>
  <c r="E198" i="3" s="1"/>
  <c r="F204" i="3" a="1"/>
  <c r="F204" i="3" s="1"/>
  <c r="E204" i="3" a="1"/>
  <c r="E204" i="3" s="1"/>
  <c r="F210" i="3" a="1"/>
  <c r="F210" i="3" s="1"/>
  <c r="E210" i="3" a="1"/>
  <c r="E210" i="3" s="1"/>
  <c r="F216" i="3" a="1"/>
  <c r="F216" i="3" s="1"/>
  <c r="E216" i="3" a="1"/>
  <c r="E216" i="3" s="1"/>
  <c r="F222" i="3" a="1"/>
  <c r="F222" i="3" s="1"/>
  <c r="E222" i="3" a="1"/>
  <c r="E222" i="3" s="1"/>
  <c r="F228" i="3" a="1"/>
  <c r="F228" i="3" s="1"/>
  <c r="E228" i="3" a="1"/>
  <c r="E228" i="3" s="1"/>
  <c r="F234" i="3" a="1"/>
  <c r="F234" i="3" s="1"/>
  <c r="E234" i="3" a="1"/>
  <c r="E234" i="3" s="1"/>
  <c r="F240" i="3" a="1"/>
  <c r="F240" i="3" s="1"/>
  <c r="E240" i="3" a="1"/>
  <c r="E240" i="3" s="1"/>
  <c r="F246" i="3" a="1"/>
  <c r="F246" i="3" s="1"/>
  <c r="E246" i="3" a="1"/>
  <c r="E246" i="3" s="1"/>
  <c r="F252" i="3" a="1"/>
  <c r="F252" i="3" s="1"/>
  <c r="E252" i="3" a="1"/>
  <c r="E252" i="3" s="1"/>
  <c r="F258" i="3" a="1"/>
  <c r="F258" i="3" s="1"/>
  <c r="E258" i="3" a="1"/>
  <c r="E258" i="3" s="1"/>
  <c r="F264" i="3" a="1"/>
  <c r="F264" i="3" s="1"/>
  <c r="E264" i="3" a="1"/>
  <c r="E264" i="3" s="1"/>
  <c r="F270" i="3" a="1"/>
  <c r="F270" i="3" s="1"/>
  <c r="E270" i="3" a="1"/>
  <c r="E270" i="3" s="1"/>
  <c r="F276" i="3" a="1"/>
  <c r="F276" i="3" s="1"/>
  <c r="E276" i="3" a="1"/>
  <c r="E276" i="3" s="1"/>
  <c r="F282" i="3" a="1"/>
  <c r="F282" i="3" s="1"/>
  <c r="E282" i="3" a="1"/>
  <c r="E282" i="3" s="1"/>
  <c r="E288" i="3" a="1"/>
  <c r="E288" i="3" s="1"/>
  <c r="F288" i="3" a="1"/>
  <c r="F288" i="3" s="1"/>
  <c r="F294" i="3" a="1"/>
  <c r="F294" i="3" s="1"/>
  <c r="E294" i="3" a="1"/>
  <c r="E294" i="3" s="1"/>
  <c r="F300" i="3" a="1"/>
  <c r="F300" i="3" s="1"/>
  <c r="E300" i="3" a="1"/>
  <c r="E300" i="3" s="1"/>
  <c r="F306" i="3" a="1"/>
  <c r="F306" i="3" s="1"/>
  <c r="E306" i="3" a="1"/>
  <c r="E306" i="3" s="1"/>
  <c r="F312" i="3" a="1"/>
  <c r="F312" i="3" s="1"/>
  <c r="E312" i="3" a="1"/>
  <c r="E312" i="3" s="1"/>
  <c r="F318" i="3" a="1"/>
  <c r="F318" i="3" s="1"/>
  <c r="E318" i="3" a="1"/>
  <c r="E318" i="3" s="1"/>
  <c r="F324" i="3" a="1"/>
  <c r="F324" i="3" s="1"/>
  <c r="E324" i="3" a="1"/>
  <c r="E324" i="3" s="1"/>
  <c r="F330" i="3" a="1"/>
  <c r="F330" i="3" s="1"/>
  <c r="E330" i="3" a="1"/>
  <c r="E330" i="3" s="1"/>
  <c r="F336" i="3" a="1"/>
  <c r="F336" i="3" s="1"/>
  <c r="E336" i="3" a="1"/>
  <c r="E336" i="3" s="1"/>
  <c r="F342" i="3" a="1"/>
  <c r="F342" i="3" s="1"/>
  <c r="E342" i="3" a="1"/>
  <c r="E342" i="3" s="1"/>
  <c r="F348" i="3" a="1"/>
  <c r="F348" i="3" s="1"/>
  <c r="E348" i="3" a="1"/>
  <c r="E348" i="3" s="1"/>
  <c r="F354" i="3" a="1"/>
  <c r="F354" i="3" s="1"/>
  <c r="E354" i="3" a="1"/>
  <c r="E354" i="3" s="1"/>
  <c r="F360" i="3" a="1"/>
  <c r="F360" i="3" s="1"/>
  <c r="E360" i="3" a="1"/>
  <c r="E360" i="3" s="1"/>
  <c r="F366" i="3" a="1"/>
  <c r="F366" i="3" s="1"/>
  <c r="E366" i="3" a="1"/>
  <c r="E366" i="3" s="1"/>
  <c r="F372" i="3" a="1"/>
  <c r="F372" i="3" s="1"/>
  <c r="E372" i="3" a="1"/>
  <c r="E372" i="3" s="1"/>
  <c r="F378" i="3" a="1"/>
  <c r="F378" i="3" s="1"/>
  <c r="E378" i="3" a="1"/>
  <c r="E378" i="3" s="1"/>
  <c r="F384" i="3" a="1"/>
  <c r="F384" i="3" s="1"/>
  <c r="E384" i="3" a="1"/>
  <c r="E384" i="3" s="1"/>
  <c r="F390" i="3" a="1"/>
  <c r="F390" i="3" s="1"/>
  <c r="E390" i="3" a="1"/>
  <c r="E390" i="3" s="1"/>
  <c r="F396" i="3" a="1"/>
  <c r="F396" i="3" s="1"/>
  <c r="E396" i="3" a="1"/>
  <c r="E396" i="3" s="1"/>
  <c r="F402" i="3" a="1"/>
  <c r="F402" i="3" s="1"/>
  <c r="E402" i="3" a="1"/>
  <c r="E402" i="3" s="1"/>
  <c r="F408" i="3" a="1"/>
  <c r="F408" i="3" s="1"/>
  <c r="E408" i="3" a="1"/>
  <c r="E408" i="3" s="1"/>
  <c r="F414" i="3" a="1"/>
  <c r="F414" i="3" s="1"/>
  <c r="E414" i="3" a="1"/>
  <c r="E414" i="3" s="1"/>
  <c r="F420" i="3" a="1"/>
  <c r="F420" i="3" s="1"/>
  <c r="E420" i="3" a="1"/>
  <c r="E420" i="3" s="1"/>
  <c r="F426" i="3" a="1"/>
  <c r="F426" i="3" s="1"/>
  <c r="E426" i="3" a="1"/>
  <c r="E426" i="3" s="1"/>
  <c r="F432" i="3" a="1"/>
  <c r="F432" i="3" s="1"/>
  <c r="E432" i="3" a="1"/>
  <c r="E432" i="3" s="1"/>
  <c r="F438" i="3" a="1"/>
  <c r="F438" i="3" s="1"/>
  <c r="E438" i="3" a="1"/>
  <c r="E438" i="3" s="1"/>
  <c r="F444" i="3" a="1"/>
  <c r="F444" i="3" s="1"/>
  <c r="E444" i="3" a="1"/>
  <c r="E444" i="3" s="1"/>
  <c r="F450" i="3" a="1"/>
  <c r="F450" i="3" s="1"/>
  <c r="E450" i="3" a="1"/>
  <c r="E450" i="3" s="1"/>
  <c r="F456" i="3" a="1"/>
  <c r="F456" i="3" s="1"/>
  <c r="E456" i="3" a="1"/>
  <c r="E456" i="3" s="1"/>
  <c r="F462" i="3" a="1"/>
  <c r="F462" i="3" s="1"/>
  <c r="E462" i="3" a="1"/>
  <c r="E462" i="3" s="1"/>
  <c r="F468" i="3" a="1"/>
  <c r="F468" i="3" s="1"/>
  <c r="E468" i="3" a="1"/>
  <c r="E468" i="3" s="1"/>
  <c r="F474" i="3" a="1"/>
  <c r="F474" i="3" s="1"/>
  <c r="E474" i="3" a="1"/>
  <c r="E474" i="3" s="1"/>
  <c r="F480" i="3" a="1"/>
  <c r="F480" i="3" s="1"/>
  <c r="E480" i="3" a="1"/>
  <c r="E480" i="3" s="1"/>
  <c r="F486" i="3" a="1"/>
  <c r="F486" i="3" s="1"/>
  <c r="E486" i="3" a="1"/>
  <c r="E486" i="3" s="1"/>
  <c r="F492" i="3" a="1"/>
  <c r="F492" i="3" s="1"/>
  <c r="E492" i="3" a="1"/>
  <c r="E492" i="3" s="1"/>
  <c r="F498" i="3" a="1"/>
  <c r="F498" i="3" s="1"/>
  <c r="E498" i="3" a="1"/>
  <c r="E498" i="3" s="1"/>
  <c r="F504" i="3" a="1"/>
  <c r="F504" i="3" s="1"/>
  <c r="E504" i="3" a="1"/>
  <c r="E504" i="3" s="1"/>
  <c r="F510" i="3" a="1"/>
  <c r="F510" i="3" s="1"/>
  <c r="E510" i="3" a="1"/>
  <c r="E510" i="3" s="1"/>
  <c r="F516" i="3" a="1"/>
  <c r="F516" i="3" s="1"/>
  <c r="E516" i="3" a="1"/>
  <c r="E516" i="3" s="1"/>
  <c r="F522" i="3" a="1"/>
  <c r="F522" i="3" s="1"/>
  <c r="E522" i="3" a="1"/>
  <c r="E522" i="3" s="1"/>
  <c r="F528" i="3" a="1"/>
  <c r="F528" i="3" s="1"/>
  <c r="E528" i="3" a="1"/>
  <c r="E528" i="3" s="1"/>
  <c r="F534" i="3" a="1"/>
  <c r="F534" i="3" s="1"/>
  <c r="E534" i="3" a="1"/>
  <c r="E534" i="3" s="1"/>
  <c r="F540" i="3" a="1"/>
  <c r="F540" i="3" s="1"/>
  <c r="E540" i="3" a="1"/>
  <c r="E540" i="3" s="1"/>
  <c r="F546" i="3" a="1"/>
  <c r="F546" i="3" s="1"/>
  <c r="E546" i="3" a="1"/>
  <c r="E546" i="3" s="1"/>
  <c r="F552" i="3" a="1"/>
  <c r="F552" i="3" s="1"/>
  <c r="E552" i="3" a="1"/>
  <c r="E552" i="3" s="1"/>
  <c r="F558" i="3" a="1"/>
  <c r="F558" i="3" s="1"/>
  <c r="E558" i="3" a="1"/>
  <c r="E558" i="3" s="1"/>
  <c r="F564" i="3" a="1"/>
  <c r="F564" i="3" s="1"/>
  <c r="E564" i="3" a="1"/>
  <c r="E564" i="3" s="1"/>
  <c r="F570" i="3" a="1"/>
  <c r="F570" i="3" s="1"/>
  <c r="E570" i="3" a="1"/>
  <c r="E570" i="3" s="1"/>
  <c r="F576" i="3" a="1"/>
  <c r="F576" i="3" s="1"/>
  <c r="E576" i="3" a="1"/>
  <c r="E576" i="3" s="1"/>
  <c r="F582" i="3" a="1"/>
  <c r="F582" i="3" s="1"/>
  <c r="E582" i="3" a="1"/>
  <c r="E582" i="3" s="1"/>
  <c r="F588" i="3" a="1"/>
  <c r="F588" i="3" s="1"/>
  <c r="E588" i="3" a="1"/>
  <c r="E588" i="3" s="1"/>
  <c r="F594" i="3" a="1"/>
  <c r="F594" i="3" s="1"/>
  <c r="E594" i="3" a="1"/>
  <c r="E594" i="3" s="1"/>
  <c r="F600" i="3" a="1"/>
  <c r="F600" i="3" s="1"/>
  <c r="E600" i="3" a="1"/>
  <c r="E600" i="3" s="1"/>
  <c r="F606" i="3" a="1"/>
  <c r="F606" i="3" s="1"/>
  <c r="E606" i="3" a="1"/>
  <c r="E606" i="3" s="1"/>
  <c r="F1128" i="3" a="1"/>
  <c r="F1128" i="3" s="1"/>
  <c r="E1128" i="3" a="1"/>
  <c r="E1128" i="3" s="1"/>
  <c r="F1134" i="3" a="1"/>
  <c r="F1134" i="3" s="1"/>
  <c r="E1134" i="3" a="1"/>
  <c r="E1134" i="3" s="1"/>
  <c r="F1140" i="3" a="1"/>
  <c r="F1140" i="3" s="1"/>
  <c r="E1140" i="3" a="1"/>
  <c r="E1140" i="3" s="1"/>
  <c r="F1146" i="3" a="1"/>
  <c r="F1146" i="3" s="1"/>
  <c r="E1146" i="3" a="1"/>
  <c r="E1146" i="3" s="1"/>
  <c r="F1152" i="3" a="1"/>
  <c r="F1152" i="3" s="1"/>
  <c r="E1152" i="3" a="1"/>
  <c r="E1152" i="3" s="1"/>
  <c r="F1158" i="3" a="1"/>
  <c r="F1158" i="3" s="1"/>
  <c r="E1158" i="3" a="1"/>
  <c r="E1158" i="3" s="1"/>
  <c r="F1338" i="3" a="1"/>
  <c r="F1338" i="3" s="1"/>
  <c r="E1338" i="3" a="1"/>
  <c r="E1338" i="3" s="1"/>
  <c r="F1344" i="3" a="1"/>
  <c r="F1344" i="3" s="1"/>
  <c r="E1344" i="3" a="1"/>
  <c r="E1344" i="3" s="1"/>
  <c r="F1350" i="3" a="1"/>
  <c r="F1350" i="3" s="1"/>
  <c r="E1350" i="3" a="1"/>
  <c r="E1350" i="3" s="1"/>
  <c r="F1356" i="3" a="1"/>
  <c r="F1356" i="3" s="1"/>
  <c r="E1356" i="3" a="1"/>
  <c r="E1356" i="3" s="1"/>
  <c r="F1362" i="3" a="1"/>
  <c r="F1362" i="3" s="1"/>
  <c r="E1362" i="3" a="1"/>
  <c r="E1362" i="3" s="1"/>
  <c r="F1368" i="3" a="1"/>
  <c r="F1368" i="3" s="1"/>
  <c r="E1368" i="3" a="1"/>
  <c r="E1368" i="3" s="1"/>
  <c r="F1374" i="3" a="1"/>
  <c r="F1374" i="3" s="1"/>
  <c r="E1374" i="3" a="1"/>
  <c r="E1374" i="3" s="1"/>
  <c r="F1380" i="3" a="1"/>
  <c r="F1380" i="3" s="1"/>
  <c r="E1380" i="3" a="1"/>
  <c r="E1380" i="3" s="1"/>
  <c r="F1386" i="3" a="1"/>
  <c r="F1386" i="3" s="1"/>
  <c r="E1386" i="3" a="1"/>
  <c r="E1386" i="3" s="1"/>
  <c r="F1392" i="3" a="1"/>
  <c r="F1392" i="3" s="1"/>
  <c r="E1392" i="3" a="1"/>
  <c r="E1392" i="3" s="1"/>
  <c r="F1398" i="3" a="1"/>
  <c r="F1398" i="3" s="1"/>
  <c r="E1398" i="3" a="1"/>
  <c r="E1398" i="3" s="1"/>
  <c r="F1404" i="3" a="1"/>
  <c r="F1404" i="3" s="1"/>
  <c r="E1404" i="3" a="1"/>
  <c r="E1404" i="3" s="1"/>
  <c r="F1410" i="3" a="1"/>
  <c r="F1410" i="3" s="1"/>
  <c r="E1410" i="3" a="1"/>
  <c r="E1410" i="3" s="1"/>
  <c r="F1416" i="3" a="1"/>
  <c r="F1416" i="3" s="1"/>
  <c r="E1416" i="3" a="1"/>
  <c r="E1416" i="3" s="1"/>
  <c r="E1422" i="3" a="1"/>
  <c r="E1422" i="3" s="1"/>
  <c r="F1422" i="3" a="1"/>
  <c r="F1422" i="3" s="1"/>
  <c r="F1428" i="3" a="1"/>
  <c r="F1428" i="3" s="1"/>
  <c r="E1428" i="3" a="1"/>
  <c r="E1428" i="3" s="1"/>
  <c r="F1434" i="3" a="1"/>
  <c r="F1434" i="3" s="1"/>
  <c r="E1434" i="3" a="1"/>
  <c r="E1434" i="3" s="1"/>
  <c r="E1078" i="3" a="1"/>
  <c r="E1078" i="3" s="1"/>
  <c r="E796" i="3" a="1"/>
  <c r="E796" i="3" s="1"/>
  <c r="E506" i="3" a="1"/>
  <c r="E506" i="3" s="1"/>
  <c r="F464" i="3" a="1"/>
  <c r="F464" i="3" s="1"/>
  <c r="E464" i="3" a="1"/>
  <c r="E464" i="3" s="1"/>
  <c r="F470" i="3" a="1"/>
  <c r="F470" i="3" s="1"/>
  <c r="E470" i="3" a="1"/>
  <c r="E470" i="3" s="1"/>
  <c r="F476" i="3" a="1"/>
  <c r="F476" i="3" s="1"/>
  <c r="E476" i="3" a="1"/>
  <c r="E476" i="3" s="1"/>
  <c r="F482" i="3" a="1"/>
  <c r="F482" i="3" s="1"/>
  <c r="E482" i="3" a="1"/>
  <c r="E482" i="3" s="1"/>
  <c r="F488" i="3" a="1"/>
  <c r="F488" i="3" s="1"/>
  <c r="E488" i="3" a="1"/>
  <c r="E488" i="3" s="1"/>
  <c r="F494" i="3" a="1"/>
  <c r="F494" i="3" s="1"/>
  <c r="E494" i="3" a="1"/>
  <c r="E494" i="3" s="1"/>
  <c r="F500" i="3" a="1"/>
  <c r="F500" i="3" s="1"/>
  <c r="E500" i="3" a="1"/>
  <c r="E500" i="3" s="1"/>
  <c r="F618" i="3" a="1"/>
  <c r="F618" i="3" s="1"/>
  <c r="E618" i="3" a="1"/>
  <c r="E618" i="3" s="1"/>
  <c r="F624" i="3" a="1"/>
  <c r="F624" i="3" s="1"/>
  <c r="E624" i="3" a="1"/>
  <c r="E624" i="3" s="1"/>
  <c r="F630" i="3" a="1"/>
  <c r="F630" i="3" s="1"/>
  <c r="E630" i="3" a="1"/>
  <c r="E630" i="3" s="1"/>
  <c r="F636" i="3" a="1"/>
  <c r="F636" i="3" s="1"/>
  <c r="E636" i="3" a="1"/>
  <c r="E636" i="3" s="1"/>
  <c r="F642" i="3" a="1"/>
  <c r="F642" i="3" s="1"/>
  <c r="E642" i="3" a="1"/>
  <c r="E642" i="3" s="1"/>
  <c r="F648" i="3" a="1"/>
  <c r="F648" i="3" s="1"/>
  <c r="E648" i="3" a="1"/>
  <c r="E648" i="3" s="1"/>
  <c r="F654" i="3" a="1"/>
  <c r="F654" i="3" s="1"/>
  <c r="E654" i="3" a="1"/>
  <c r="E654" i="3" s="1"/>
  <c r="F660" i="3" a="1"/>
  <c r="F660" i="3" s="1"/>
  <c r="E660" i="3" a="1"/>
  <c r="E660" i="3" s="1"/>
  <c r="F666" i="3" a="1"/>
  <c r="F666" i="3" s="1"/>
  <c r="E666" i="3" a="1"/>
  <c r="E666" i="3" s="1"/>
  <c r="F672" i="3" a="1"/>
  <c r="F672" i="3" s="1"/>
  <c r="E672" i="3" a="1"/>
  <c r="E672" i="3" s="1"/>
  <c r="F678" i="3" a="1"/>
  <c r="F678" i="3" s="1"/>
  <c r="E678" i="3" a="1"/>
  <c r="E678" i="3" s="1"/>
  <c r="F684" i="3" a="1"/>
  <c r="F684" i="3" s="1"/>
  <c r="E684" i="3" a="1"/>
  <c r="E684" i="3" s="1"/>
  <c r="F690" i="3" a="1"/>
  <c r="F690" i="3" s="1"/>
  <c r="E690" i="3" a="1"/>
  <c r="E690" i="3" s="1"/>
  <c r="F696" i="3" a="1"/>
  <c r="F696" i="3" s="1"/>
  <c r="E696" i="3" a="1"/>
  <c r="E696" i="3" s="1"/>
  <c r="F702" i="3" a="1"/>
  <c r="F702" i="3" s="1"/>
  <c r="E702" i="3" a="1"/>
  <c r="E702" i="3" s="1"/>
  <c r="F708" i="3" a="1"/>
  <c r="F708" i="3" s="1"/>
  <c r="E708" i="3" a="1"/>
  <c r="E708" i="3" s="1"/>
  <c r="F714" i="3" a="1"/>
  <c r="F714" i="3" s="1"/>
  <c r="E714" i="3" a="1"/>
  <c r="E714" i="3" s="1"/>
  <c r="F720" i="3" a="1"/>
  <c r="F720" i="3" s="1"/>
  <c r="E720" i="3" a="1"/>
  <c r="E720" i="3" s="1"/>
  <c r="F726" i="3" a="1"/>
  <c r="F726" i="3" s="1"/>
  <c r="E726" i="3" a="1"/>
  <c r="E726" i="3" s="1"/>
  <c r="F732" i="3" a="1"/>
  <c r="F732" i="3" s="1"/>
  <c r="E732" i="3" a="1"/>
  <c r="E732" i="3" s="1"/>
  <c r="F738" i="3" a="1"/>
  <c r="F738" i="3" s="1"/>
  <c r="E738" i="3" a="1"/>
  <c r="E738" i="3" s="1"/>
  <c r="F744" i="3" a="1"/>
  <c r="F744" i="3" s="1"/>
  <c r="E744" i="3" a="1"/>
  <c r="E744" i="3" s="1"/>
  <c r="F750" i="3" a="1"/>
  <c r="F750" i="3" s="1"/>
  <c r="E750" i="3" a="1"/>
  <c r="E750" i="3" s="1"/>
  <c r="E756" i="3" a="1"/>
  <c r="E756" i="3" s="1"/>
  <c r="F756" i="3" a="1"/>
  <c r="F756" i="3" s="1"/>
  <c r="F762" i="3" a="1"/>
  <c r="F762" i="3" s="1"/>
  <c r="E762" i="3" a="1"/>
  <c r="E762" i="3" s="1"/>
  <c r="F768" i="3" a="1"/>
  <c r="F768" i="3" s="1"/>
  <c r="E768" i="3" a="1"/>
  <c r="E768" i="3" s="1"/>
  <c r="F774" i="3" a="1"/>
  <c r="F774" i="3" s="1"/>
  <c r="E774" i="3" a="1"/>
  <c r="E774" i="3" s="1"/>
  <c r="F780" i="3" a="1"/>
  <c r="F780" i="3" s="1"/>
  <c r="E780" i="3" a="1"/>
  <c r="E780" i="3" s="1"/>
  <c r="F786" i="3" a="1"/>
  <c r="F786" i="3" s="1"/>
  <c r="E786" i="3" a="1"/>
  <c r="E786" i="3" s="1"/>
  <c r="E792" i="3" a="1"/>
  <c r="E792" i="3" s="1"/>
  <c r="F792" i="3" a="1"/>
  <c r="F792" i="3" s="1"/>
  <c r="F798" i="3" a="1"/>
  <c r="F798" i="3" s="1"/>
  <c r="E798" i="3" a="1"/>
  <c r="E798" i="3" s="1"/>
  <c r="E804" i="3" a="1"/>
  <c r="E804" i="3" s="1"/>
  <c r="F804" i="3" a="1"/>
  <c r="F804" i="3" s="1"/>
  <c r="F810" i="3" a="1"/>
  <c r="F810" i="3" s="1"/>
  <c r="E810" i="3" a="1"/>
  <c r="E810" i="3" s="1"/>
  <c r="F816" i="3" a="1"/>
  <c r="F816" i="3" s="1"/>
  <c r="E816" i="3" a="1"/>
  <c r="E816" i="3" s="1"/>
  <c r="F822" i="3" a="1"/>
  <c r="F822" i="3" s="1"/>
  <c r="E822" i="3" a="1"/>
  <c r="E822" i="3" s="1"/>
  <c r="F828" i="3" a="1"/>
  <c r="F828" i="3" s="1"/>
  <c r="E828" i="3" a="1"/>
  <c r="E828" i="3" s="1"/>
  <c r="F834" i="3" a="1"/>
  <c r="F834" i="3" s="1"/>
  <c r="E834" i="3" a="1"/>
  <c r="E834" i="3" s="1"/>
  <c r="E840" i="3" a="1"/>
  <c r="E840" i="3" s="1"/>
  <c r="F840" i="3" a="1"/>
  <c r="F840" i="3" s="1"/>
  <c r="F846" i="3" a="1"/>
  <c r="F846" i="3" s="1"/>
  <c r="E846" i="3" a="1"/>
  <c r="E846" i="3" s="1"/>
  <c r="F852" i="3" a="1"/>
  <c r="F852" i="3" s="1"/>
  <c r="E852" i="3" a="1"/>
  <c r="E852" i="3" s="1"/>
  <c r="F858" i="3" a="1"/>
  <c r="F858" i="3" s="1"/>
  <c r="E858" i="3" a="1"/>
  <c r="E858" i="3" s="1"/>
  <c r="F864" i="3" a="1"/>
  <c r="F864" i="3" s="1"/>
  <c r="E864" i="3" a="1"/>
  <c r="E864" i="3" s="1"/>
  <c r="F870" i="3" a="1"/>
  <c r="F870" i="3" s="1"/>
  <c r="E870" i="3" a="1"/>
  <c r="E870" i="3" s="1"/>
  <c r="E876" i="3" a="1"/>
  <c r="E876" i="3" s="1"/>
  <c r="F876" i="3" a="1"/>
  <c r="F876" i="3" s="1"/>
  <c r="E882" i="3" a="1"/>
  <c r="E882" i="3" s="1"/>
  <c r="F882" i="3" a="1"/>
  <c r="F882" i="3" s="1"/>
  <c r="F888" i="3" a="1"/>
  <c r="F888" i="3" s="1"/>
  <c r="E888" i="3" a="1"/>
  <c r="E888" i="3" s="1"/>
  <c r="F894" i="3" a="1"/>
  <c r="F894" i="3" s="1"/>
  <c r="E894" i="3" a="1"/>
  <c r="E894" i="3" s="1"/>
  <c r="F900" i="3" a="1"/>
  <c r="F900" i="3" s="1"/>
  <c r="E900" i="3" a="1"/>
  <c r="E900" i="3" s="1"/>
  <c r="F906" i="3" a="1"/>
  <c r="F906" i="3" s="1"/>
  <c r="E906" i="3" a="1"/>
  <c r="E906" i="3" s="1"/>
  <c r="F912" i="3" a="1"/>
  <c r="F912" i="3" s="1"/>
  <c r="E912" i="3" a="1"/>
  <c r="E912" i="3" s="1"/>
  <c r="F918" i="3" a="1"/>
  <c r="F918" i="3" s="1"/>
  <c r="E918" i="3" a="1"/>
  <c r="E918" i="3" s="1"/>
  <c r="F924" i="3" a="1"/>
  <c r="F924" i="3" s="1"/>
  <c r="E924" i="3" a="1"/>
  <c r="E924" i="3" s="1"/>
  <c r="F930" i="3" a="1"/>
  <c r="F930" i="3" s="1"/>
  <c r="E930" i="3" a="1"/>
  <c r="E930" i="3" s="1"/>
  <c r="F936" i="3" a="1"/>
  <c r="F936" i="3" s="1"/>
  <c r="E936" i="3" a="1"/>
  <c r="E936" i="3" s="1"/>
  <c r="F942" i="3" a="1"/>
  <c r="F942" i="3" s="1"/>
  <c r="E942" i="3" a="1"/>
  <c r="E942" i="3" s="1"/>
  <c r="F948" i="3" a="1"/>
  <c r="F948" i="3" s="1"/>
  <c r="E948" i="3" a="1"/>
  <c r="E948" i="3" s="1"/>
  <c r="F954" i="3" a="1"/>
  <c r="F954" i="3" s="1"/>
  <c r="E954" i="3" a="1"/>
  <c r="E954" i="3" s="1"/>
  <c r="F960" i="3" a="1"/>
  <c r="F960" i="3" s="1"/>
  <c r="E960" i="3" a="1"/>
  <c r="E960" i="3" s="1"/>
  <c r="F966" i="3" a="1"/>
  <c r="F966" i="3" s="1"/>
  <c r="E966" i="3" a="1"/>
  <c r="E966" i="3" s="1"/>
  <c r="E972" i="3" a="1"/>
  <c r="E972" i="3" s="1"/>
  <c r="F972" i="3" a="1"/>
  <c r="F972" i="3" s="1"/>
  <c r="F978" i="3" a="1"/>
  <c r="F978" i="3" s="1"/>
  <c r="E978" i="3" a="1"/>
  <c r="E978" i="3" s="1"/>
  <c r="E984" i="3" a="1"/>
  <c r="E984" i="3" s="1"/>
  <c r="F984" i="3" a="1"/>
  <c r="F984" i="3" s="1"/>
  <c r="F990" i="3" a="1"/>
  <c r="F990" i="3" s="1"/>
  <c r="E990" i="3" a="1"/>
  <c r="E990" i="3" s="1"/>
  <c r="F996" i="3" a="1"/>
  <c r="F996" i="3" s="1"/>
  <c r="E996" i="3" a="1"/>
  <c r="E996" i="3" s="1"/>
  <c r="F1002" i="3" a="1"/>
  <c r="F1002" i="3" s="1"/>
  <c r="E1002" i="3" a="1"/>
  <c r="E1002" i="3" s="1"/>
  <c r="F1008" i="3" a="1"/>
  <c r="F1008" i="3" s="1"/>
  <c r="E1008" i="3" a="1"/>
  <c r="E1008" i="3" s="1"/>
  <c r="F1014" i="3" a="1"/>
  <c r="F1014" i="3" s="1"/>
  <c r="E1014" i="3" a="1"/>
  <c r="E1014" i="3" s="1"/>
  <c r="E1020" i="3" a="1"/>
  <c r="E1020" i="3" s="1"/>
  <c r="F1020" i="3" a="1"/>
  <c r="F1020" i="3" s="1"/>
  <c r="F1026" i="3" a="1"/>
  <c r="F1026" i="3" s="1"/>
  <c r="E1026" i="3" a="1"/>
  <c r="E1026" i="3" s="1"/>
  <c r="F1032" i="3" a="1"/>
  <c r="F1032" i="3" s="1"/>
  <c r="E1032" i="3" a="1"/>
  <c r="E1032" i="3" s="1"/>
  <c r="F1038" i="3" a="1"/>
  <c r="F1038" i="3" s="1"/>
  <c r="E1038" i="3" a="1"/>
  <c r="E1038" i="3" s="1"/>
  <c r="F1044" i="3" a="1"/>
  <c r="F1044" i="3" s="1"/>
  <c r="E1044" i="3" a="1"/>
  <c r="E1044" i="3" s="1"/>
  <c r="F1050" i="3" a="1"/>
  <c r="F1050" i="3" s="1"/>
  <c r="E1050" i="3" a="1"/>
  <c r="E1050" i="3" s="1"/>
  <c r="F1056" i="3" a="1"/>
  <c r="F1056" i="3" s="1"/>
  <c r="E1056" i="3" a="1"/>
  <c r="E1056" i="3" s="1"/>
  <c r="E1062" i="3" a="1"/>
  <c r="E1062" i="3" s="1"/>
  <c r="F1062" i="3" a="1"/>
  <c r="F1062" i="3" s="1"/>
  <c r="F1068" i="3" a="1"/>
  <c r="F1068" i="3" s="1"/>
  <c r="E1068" i="3" a="1"/>
  <c r="E1068" i="3" s="1"/>
  <c r="E1074" i="3" a="1"/>
  <c r="E1074" i="3" s="1"/>
  <c r="F1074" i="3" a="1"/>
  <c r="F1074" i="3" s="1"/>
  <c r="F1080" i="3" a="1"/>
  <c r="F1080" i="3" s="1"/>
  <c r="E1080" i="3" a="1"/>
  <c r="E1080" i="3" s="1"/>
  <c r="F1086" i="3" a="1"/>
  <c r="F1086" i="3" s="1"/>
  <c r="E1086" i="3" a="1"/>
  <c r="E1086" i="3" s="1"/>
  <c r="F1092" i="3" a="1"/>
  <c r="F1092" i="3" s="1"/>
  <c r="E1092" i="3" a="1"/>
  <c r="E1092" i="3" s="1"/>
  <c r="F1098" i="3" a="1"/>
  <c r="F1098" i="3" s="1"/>
  <c r="E1098" i="3" a="1"/>
  <c r="E1098" i="3" s="1"/>
  <c r="F1104" i="3" a="1"/>
  <c r="F1104" i="3" s="1"/>
  <c r="E1104" i="3" a="1"/>
  <c r="E1104" i="3" s="1"/>
  <c r="F1110" i="3" a="1"/>
  <c r="F1110" i="3" s="1"/>
  <c r="E1110" i="3" a="1"/>
  <c r="E1110" i="3" s="1"/>
  <c r="F1116" i="3" a="1"/>
  <c r="F1116" i="3" s="1"/>
  <c r="E1116" i="3" a="1"/>
  <c r="E1116" i="3" s="1"/>
  <c r="F1170" i="3" a="1"/>
  <c r="F1170" i="3" s="1"/>
  <c r="E1170" i="3" a="1"/>
  <c r="E1170" i="3" s="1"/>
  <c r="E1176" i="3" a="1"/>
  <c r="E1176" i="3" s="1"/>
  <c r="F1176" i="3" a="1"/>
  <c r="F1176" i="3" s="1"/>
  <c r="F1182" i="3" a="1"/>
  <c r="F1182" i="3" s="1"/>
  <c r="E1182" i="3" a="1"/>
  <c r="E1182" i="3" s="1"/>
  <c r="F1188" i="3" a="1"/>
  <c r="F1188" i="3" s="1"/>
  <c r="E1188" i="3" a="1"/>
  <c r="E1188" i="3" s="1"/>
  <c r="F1194" i="3" a="1"/>
  <c r="F1194" i="3" s="1"/>
  <c r="E1194" i="3" a="1"/>
  <c r="E1194" i="3" s="1"/>
  <c r="F1200" i="3" a="1"/>
  <c r="F1200" i="3" s="1"/>
  <c r="E1200" i="3" a="1"/>
  <c r="E1200" i="3" s="1"/>
  <c r="F1206" i="3" a="1"/>
  <c r="F1206" i="3" s="1"/>
  <c r="E1206" i="3" a="1"/>
  <c r="E1206" i="3" s="1"/>
  <c r="F1212" i="3" a="1"/>
  <c r="F1212" i="3" s="1"/>
  <c r="E1212" i="3" a="1"/>
  <c r="E1212" i="3" s="1"/>
  <c r="E1218" i="3" a="1"/>
  <c r="E1218" i="3" s="1"/>
  <c r="F1218" i="3" a="1"/>
  <c r="F1218" i="3" s="1"/>
  <c r="F1224" i="3" a="1"/>
  <c r="F1224" i="3" s="1"/>
  <c r="E1224" i="3" a="1"/>
  <c r="E1224" i="3" s="1"/>
  <c r="E1230" i="3" a="1"/>
  <c r="E1230" i="3" s="1"/>
  <c r="F1230" i="3" a="1"/>
  <c r="F1230" i="3" s="1"/>
  <c r="F1236" i="3" a="1"/>
  <c r="F1236" i="3" s="1"/>
  <c r="E1236" i="3" a="1"/>
  <c r="E1236" i="3" s="1"/>
  <c r="F1242" i="3" a="1"/>
  <c r="F1242" i="3" s="1"/>
  <c r="E1242" i="3" a="1"/>
  <c r="E1242" i="3" s="1"/>
  <c r="F1248" i="3" a="1"/>
  <c r="F1248" i="3" s="1"/>
  <c r="E1248" i="3" a="1"/>
  <c r="E1248" i="3" s="1"/>
  <c r="F1254" i="3" a="1"/>
  <c r="F1254" i="3" s="1"/>
  <c r="E1254" i="3" a="1"/>
  <c r="E1254" i="3" s="1"/>
  <c r="E1260" i="3" a="1"/>
  <c r="E1260" i="3" s="1"/>
  <c r="F1260" i="3" a="1"/>
  <c r="F1260" i="3" s="1"/>
  <c r="F1266" i="3" a="1"/>
  <c r="F1266" i="3" s="1"/>
  <c r="E1266" i="3" a="1"/>
  <c r="E1266" i="3" s="1"/>
  <c r="F1272" i="3" a="1"/>
  <c r="F1272" i="3" s="1"/>
  <c r="E1272" i="3" a="1"/>
  <c r="E1272" i="3" s="1"/>
  <c r="E1278" i="3" a="1"/>
  <c r="E1278" i="3" s="1"/>
  <c r="F1278" i="3" a="1"/>
  <c r="F1278" i="3" s="1"/>
  <c r="F1284" i="3" a="1"/>
  <c r="F1284" i="3" s="1"/>
  <c r="E1284" i="3" a="1"/>
  <c r="E1284" i="3" s="1"/>
  <c r="F1290" i="3" a="1"/>
  <c r="F1290" i="3" s="1"/>
  <c r="E1290" i="3" a="1"/>
  <c r="E1290" i="3" s="1"/>
  <c r="F1296" i="3" a="1"/>
  <c r="F1296" i="3" s="1"/>
  <c r="E1296" i="3" a="1"/>
  <c r="E1296" i="3" s="1"/>
  <c r="F1302" i="3" a="1"/>
  <c r="F1302" i="3" s="1"/>
  <c r="E1302" i="3" a="1"/>
  <c r="E1302" i="3" s="1"/>
  <c r="F1308" i="3" a="1"/>
  <c r="F1308" i="3" s="1"/>
  <c r="E1308" i="3" a="1"/>
  <c r="E1308" i="3" s="1"/>
  <c r="F1314" i="3" a="1"/>
  <c r="F1314" i="3" s="1"/>
  <c r="E1314" i="3" a="1"/>
  <c r="E1314" i="3" s="1"/>
  <c r="F1320" i="3" a="1"/>
  <c r="F1320" i="3" s="1"/>
  <c r="E1320" i="3" a="1"/>
  <c r="E1320" i="3" s="1"/>
  <c r="E1326" i="3" a="1"/>
  <c r="E1326" i="3" s="1"/>
  <c r="F1326" i="3" a="1"/>
  <c r="F1326" i="3" s="1"/>
  <c r="E1281" i="3" a="1"/>
  <c r="E1281" i="3" s="1"/>
  <c r="E769" i="3" a="1"/>
  <c r="E769" i="3" s="1"/>
  <c r="E483" i="3" a="1"/>
  <c r="E483" i="3" s="1"/>
  <c r="F661" i="3" a="1"/>
  <c r="F661" i="3" s="1"/>
  <c r="E661" i="3" a="1"/>
  <c r="E661" i="3" s="1"/>
  <c r="F667" i="3" a="1"/>
  <c r="F667" i="3" s="1"/>
  <c r="E667" i="3" a="1"/>
  <c r="E667" i="3" s="1"/>
  <c r="F673" i="3" a="1"/>
  <c r="F673" i="3" s="1"/>
  <c r="E673" i="3" a="1"/>
  <c r="E673" i="3" s="1"/>
  <c r="F679" i="3" a="1"/>
  <c r="F679" i="3" s="1"/>
  <c r="E679" i="3" a="1"/>
  <c r="E679" i="3" s="1"/>
  <c r="F685" i="3" a="1"/>
  <c r="F685" i="3" s="1"/>
  <c r="E685" i="3" a="1"/>
  <c r="E685" i="3" s="1"/>
  <c r="F691" i="3" a="1"/>
  <c r="F691" i="3" s="1"/>
  <c r="E691" i="3" a="1"/>
  <c r="E691" i="3" s="1"/>
  <c r="F697" i="3" a="1"/>
  <c r="F697" i="3" s="1"/>
  <c r="E697" i="3" a="1"/>
  <c r="E697" i="3" s="1"/>
  <c r="F703" i="3" a="1"/>
  <c r="F703" i="3" s="1"/>
  <c r="E703" i="3" a="1"/>
  <c r="E703" i="3" s="1"/>
  <c r="F709" i="3" a="1"/>
  <c r="F709" i="3" s="1"/>
  <c r="E709" i="3" a="1"/>
  <c r="E709" i="3" s="1"/>
  <c r="E715" i="3" a="1"/>
  <c r="E715" i="3" s="1"/>
  <c r="F715" i="3" a="1"/>
  <c r="F715" i="3" s="1"/>
  <c r="F721" i="3" a="1"/>
  <c r="F721" i="3" s="1"/>
  <c r="E721" i="3" a="1"/>
  <c r="E721" i="3" s="1"/>
  <c r="F727" i="3" a="1"/>
  <c r="F727" i="3" s="1"/>
  <c r="E727" i="3" a="1"/>
  <c r="E727" i="3" s="1"/>
  <c r="F733" i="3" a="1"/>
  <c r="F733" i="3" s="1"/>
  <c r="E733" i="3" a="1"/>
  <c r="E733" i="3" s="1"/>
  <c r="F739" i="3" a="1"/>
  <c r="F739" i="3" s="1"/>
  <c r="E739" i="3" a="1"/>
  <c r="E739" i="3" s="1"/>
  <c r="F943" i="3" a="1"/>
  <c r="F943" i="3" s="1"/>
  <c r="E943" i="3" a="1"/>
  <c r="E943" i="3" s="1"/>
  <c r="E949" i="3" a="1"/>
  <c r="E949" i="3" s="1"/>
  <c r="F949" i="3" a="1"/>
  <c r="F949" i="3" s="1"/>
  <c r="F955" i="3" a="1"/>
  <c r="F955" i="3" s="1"/>
  <c r="E955" i="3" a="1"/>
  <c r="E955" i="3" s="1"/>
  <c r="F961" i="3" a="1"/>
  <c r="F961" i="3" s="1"/>
  <c r="E961" i="3" a="1"/>
  <c r="E961" i="3" s="1"/>
  <c r="F967" i="3" a="1"/>
  <c r="F967" i="3" s="1"/>
  <c r="E967" i="3" a="1"/>
  <c r="E967" i="3" s="1"/>
  <c r="F973" i="3" a="1"/>
  <c r="F973" i="3" s="1"/>
  <c r="E973" i="3" a="1"/>
  <c r="E973" i="3" s="1"/>
  <c r="F979" i="3" a="1"/>
  <c r="F979" i="3" s="1"/>
  <c r="E979" i="3" a="1"/>
  <c r="E979" i="3" s="1"/>
  <c r="F985" i="3" a="1"/>
  <c r="F985" i="3" s="1"/>
  <c r="E985" i="3" a="1"/>
  <c r="E985" i="3" s="1"/>
  <c r="F991" i="3" a="1"/>
  <c r="F991" i="3" s="1"/>
  <c r="E991" i="3" a="1"/>
  <c r="E991" i="3" s="1"/>
  <c r="F997" i="3" a="1"/>
  <c r="F997" i="3" s="1"/>
  <c r="E997" i="3" a="1"/>
  <c r="E997" i="3" s="1"/>
  <c r="E1003" i="3" a="1"/>
  <c r="E1003" i="3" s="1"/>
  <c r="F1003" i="3" a="1"/>
  <c r="F1003" i="3" s="1"/>
  <c r="F1009" i="3" a="1"/>
  <c r="F1009" i="3" s="1"/>
  <c r="E1009" i="3" a="1"/>
  <c r="E1009" i="3" s="1"/>
  <c r="F1015" i="3" a="1"/>
  <c r="F1015" i="3" s="1"/>
  <c r="E1015" i="3" a="1"/>
  <c r="E1015" i="3" s="1"/>
  <c r="F1021" i="3" a="1"/>
  <c r="F1021" i="3" s="1"/>
  <c r="E1021" i="3" a="1"/>
  <c r="E1021" i="3" s="1"/>
  <c r="F1027" i="3" a="1"/>
  <c r="F1027" i="3" s="1"/>
  <c r="E1027" i="3" a="1"/>
  <c r="E1027" i="3" s="1"/>
  <c r="E1264" i="3" a="1"/>
  <c r="E1264" i="3" s="1"/>
  <c r="E1033" i="3" a="1"/>
  <c r="E1033" i="3" s="1"/>
  <c r="E745" i="3" a="1"/>
  <c r="E745" i="3" s="1"/>
  <c r="E458" i="3" a="1"/>
  <c r="E458" i="3" s="1"/>
  <c r="F775" i="3" a="1"/>
  <c r="F775" i="3" s="1"/>
  <c r="E775" i="3" a="1"/>
  <c r="E775" i="3" s="1"/>
  <c r="F781" i="3" a="1"/>
  <c r="F781" i="3" s="1"/>
  <c r="E781" i="3" a="1"/>
  <c r="E781" i="3" s="1"/>
  <c r="F787" i="3" a="1"/>
  <c r="F787" i="3" s="1"/>
  <c r="E787" i="3" a="1"/>
  <c r="E787" i="3" s="1"/>
  <c r="F793" i="3" a="1"/>
  <c r="F793" i="3" s="1"/>
  <c r="E793" i="3" a="1"/>
  <c r="E793" i="3" s="1"/>
  <c r="F799" i="3" a="1"/>
  <c r="F799" i="3" s="1"/>
  <c r="E799" i="3" a="1"/>
  <c r="E799" i="3" s="1"/>
  <c r="E805" i="3" a="1"/>
  <c r="E805" i="3" s="1"/>
  <c r="F805" i="3" a="1"/>
  <c r="F805" i="3" s="1"/>
  <c r="F811" i="3" a="1"/>
  <c r="F811" i="3" s="1"/>
  <c r="E811" i="3" a="1"/>
  <c r="E811" i="3" s="1"/>
  <c r="F817" i="3" a="1"/>
  <c r="F817" i="3" s="1"/>
  <c r="E817" i="3" a="1"/>
  <c r="E817" i="3" s="1"/>
  <c r="F823" i="3" a="1"/>
  <c r="F823" i="3" s="1"/>
  <c r="E823" i="3" a="1"/>
  <c r="E823" i="3" s="1"/>
  <c r="F829" i="3" a="1"/>
  <c r="F829" i="3" s="1"/>
  <c r="E829" i="3" a="1"/>
  <c r="E829" i="3" s="1"/>
  <c r="F835" i="3" a="1"/>
  <c r="F835" i="3" s="1"/>
  <c r="E835" i="3" a="1"/>
  <c r="E835" i="3" s="1"/>
  <c r="F841" i="3" a="1"/>
  <c r="F841" i="3" s="1"/>
  <c r="E841" i="3" a="1"/>
  <c r="E841" i="3" s="1"/>
  <c r="F847" i="3" a="1"/>
  <c r="F847" i="3" s="1"/>
  <c r="E847" i="3" a="1"/>
  <c r="E847" i="3" s="1"/>
  <c r="F853" i="3" a="1"/>
  <c r="F853" i="3" s="1"/>
  <c r="E853" i="3" a="1"/>
  <c r="E853" i="3" s="1"/>
  <c r="F859" i="3" a="1"/>
  <c r="F859" i="3" s="1"/>
  <c r="E859" i="3" a="1"/>
  <c r="E859" i="3" s="1"/>
  <c r="F865" i="3" a="1"/>
  <c r="F865" i="3" s="1"/>
  <c r="E865" i="3" a="1"/>
  <c r="E865" i="3" s="1"/>
  <c r="F871" i="3" a="1"/>
  <c r="F871" i="3" s="1"/>
  <c r="E871" i="3" a="1"/>
  <c r="E871" i="3" s="1"/>
  <c r="F877" i="3" a="1"/>
  <c r="F877" i="3" s="1"/>
  <c r="E877" i="3" a="1"/>
  <c r="E877" i="3" s="1"/>
  <c r="F883" i="3" a="1"/>
  <c r="F883" i="3" s="1"/>
  <c r="E883" i="3" a="1"/>
  <c r="E883" i="3" s="1"/>
  <c r="F889" i="3" a="1"/>
  <c r="F889" i="3" s="1"/>
  <c r="E889" i="3" a="1"/>
  <c r="E889" i="3" s="1"/>
  <c r="F895" i="3" a="1"/>
  <c r="F895" i="3" s="1"/>
  <c r="E895" i="3" a="1"/>
  <c r="E895" i="3" s="1"/>
  <c r="F901" i="3" a="1"/>
  <c r="F901" i="3" s="1"/>
  <c r="E901" i="3" a="1"/>
  <c r="E901" i="3" s="1"/>
  <c r="F907" i="3" a="1"/>
  <c r="F907" i="3" s="1"/>
  <c r="E907" i="3" a="1"/>
  <c r="E907" i="3" s="1"/>
  <c r="F913" i="3" a="1"/>
  <c r="F913" i="3" s="1"/>
  <c r="E913" i="3" a="1"/>
  <c r="E913" i="3" s="1"/>
  <c r="F919" i="3" a="1"/>
  <c r="F919" i="3" s="1"/>
  <c r="E919" i="3" a="1"/>
  <c r="E919" i="3" s="1"/>
  <c r="F925" i="3" a="1"/>
  <c r="F925" i="3" s="1"/>
  <c r="E925" i="3" a="1"/>
  <c r="E925" i="3" s="1"/>
  <c r="F931" i="3" a="1"/>
  <c r="F931" i="3" s="1"/>
  <c r="E931" i="3" a="1"/>
  <c r="E931" i="3" s="1"/>
  <c r="F1039" i="3" a="1"/>
  <c r="F1039" i="3" s="1"/>
  <c r="E1039" i="3" a="1"/>
  <c r="E1039" i="3" s="1"/>
  <c r="F1045" i="3" a="1"/>
  <c r="F1045" i="3" s="1"/>
  <c r="E1045" i="3" a="1"/>
  <c r="E1045" i="3" s="1"/>
  <c r="F1051" i="3" a="1"/>
  <c r="F1051" i="3" s="1"/>
  <c r="E1051" i="3" a="1"/>
  <c r="E1051" i="3" s="1"/>
  <c r="F1057" i="3" a="1"/>
  <c r="F1057" i="3" s="1"/>
  <c r="E1057" i="3" a="1"/>
  <c r="E1057" i="3" s="1"/>
  <c r="F1063" i="3" a="1"/>
  <c r="F1063" i="3" s="1"/>
  <c r="E1063" i="3" a="1"/>
  <c r="E1063" i="3" s="1"/>
  <c r="F1069" i="3" a="1"/>
  <c r="F1069" i="3" s="1"/>
  <c r="E1069" i="3" a="1"/>
  <c r="E1069" i="3" s="1"/>
  <c r="F1075" i="3" a="1"/>
  <c r="F1075" i="3" s="1"/>
  <c r="E1075" i="3" a="1"/>
  <c r="E1075" i="3" s="1"/>
  <c r="F1081" i="3" a="1"/>
  <c r="F1081" i="3" s="1"/>
  <c r="E1081" i="3" a="1"/>
  <c r="E1081" i="3" s="1"/>
  <c r="F1087" i="3" a="1"/>
  <c r="F1087" i="3" s="1"/>
  <c r="E1087" i="3" a="1"/>
  <c r="E1087" i="3" s="1"/>
  <c r="F1093" i="3" a="1"/>
  <c r="F1093" i="3" s="1"/>
  <c r="E1093" i="3" a="1"/>
  <c r="E1093" i="3" s="1"/>
  <c r="F1099" i="3" a="1"/>
  <c r="F1099" i="3" s="1"/>
  <c r="E1099" i="3" a="1"/>
  <c r="E1099" i="3" s="1"/>
  <c r="F1105" i="3" a="1"/>
  <c r="F1105" i="3" s="1"/>
  <c r="E1105" i="3" a="1"/>
  <c r="E1105" i="3" s="1"/>
  <c r="F1111" i="3" a="1"/>
  <c r="F1111" i="3" s="1"/>
  <c r="E1111" i="3" a="1"/>
  <c r="E1111" i="3" s="1"/>
  <c r="F1117" i="3" a="1"/>
  <c r="F1117" i="3" s="1"/>
  <c r="E1117" i="3" a="1"/>
  <c r="E1117" i="3" s="1"/>
  <c r="F1123" i="3" a="1"/>
  <c r="F1123" i="3" s="1"/>
  <c r="E1123" i="3" a="1"/>
  <c r="E1123" i="3" s="1"/>
  <c r="F1129" i="3" a="1"/>
  <c r="F1129" i="3" s="1"/>
  <c r="E1129" i="3" a="1"/>
  <c r="E1129" i="3" s="1"/>
  <c r="F1135" i="3" a="1"/>
  <c r="F1135" i="3" s="1"/>
  <c r="E1135" i="3" a="1"/>
  <c r="E1135" i="3" s="1"/>
  <c r="F1141" i="3" a="1"/>
  <c r="F1141" i="3" s="1"/>
  <c r="E1141" i="3" a="1"/>
  <c r="E1141" i="3" s="1"/>
  <c r="F1147" i="3" a="1"/>
  <c r="F1147" i="3" s="1"/>
  <c r="E1147" i="3" a="1"/>
  <c r="E1147" i="3" s="1"/>
  <c r="E1153" i="3" a="1"/>
  <c r="E1153" i="3" s="1"/>
  <c r="F1153" i="3" a="1"/>
  <c r="F1153" i="3" s="1"/>
  <c r="F1159" i="3" a="1"/>
  <c r="F1159" i="3" s="1"/>
  <c r="E1159" i="3" a="1"/>
  <c r="E1159" i="3" s="1"/>
  <c r="F1165" i="3" a="1"/>
  <c r="F1165" i="3" s="1"/>
  <c r="E1165" i="3" a="1"/>
  <c r="E1165" i="3" s="1"/>
  <c r="F1171" i="3" a="1"/>
  <c r="F1171" i="3" s="1"/>
  <c r="E1171" i="3" a="1"/>
  <c r="E1171" i="3" s="1"/>
  <c r="F1177" i="3" a="1"/>
  <c r="F1177" i="3" s="1"/>
  <c r="E1177" i="3" a="1"/>
  <c r="E1177" i="3" s="1"/>
  <c r="F1183" i="3" a="1"/>
  <c r="F1183" i="3" s="1"/>
  <c r="E1183" i="3" a="1"/>
  <c r="E1183" i="3" s="1"/>
  <c r="E1189" i="3" a="1"/>
  <c r="E1189" i="3" s="1"/>
  <c r="F1189" i="3" a="1"/>
  <c r="F1189" i="3" s="1"/>
  <c r="F1195" i="3" a="1"/>
  <c r="F1195" i="3" s="1"/>
  <c r="E1195" i="3" a="1"/>
  <c r="E1195" i="3" s="1"/>
  <c r="F1201" i="3" a="1"/>
  <c r="F1201" i="3" s="1"/>
  <c r="E1201" i="3" a="1"/>
  <c r="E1201" i="3" s="1"/>
  <c r="F1207" i="3" a="1"/>
  <c r="F1207" i="3" s="1"/>
  <c r="E1207" i="3" a="1"/>
  <c r="E1207" i="3" s="1"/>
  <c r="F1213" i="3" a="1"/>
  <c r="F1213" i="3" s="1"/>
  <c r="E1213" i="3" a="1"/>
  <c r="E1213" i="3" s="1"/>
  <c r="F1219" i="3" a="1"/>
  <c r="F1219" i="3" s="1"/>
  <c r="E1219" i="3" a="1"/>
  <c r="E1219" i="3" s="1"/>
  <c r="F1225" i="3" a="1"/>
  <c r="F1225" i="3" s="1"/>
  <c r="E1225" i="3" a="1"/>
  <c r="E1225" i="3" s="1"/>
  <c r="F1231" i="3" a="1"/>
  <c r="F1231" i="3" s="1"/>
  <c r="E1231" i="3" a="1"/>
  <c r="E1231" i="3" s="1"/>
  <c r="F1237" i="3" a="1"/>
  <c r="F1237" i="3" s="1"/>
  <c r="E1237" i="3" a="1"/>
  <c r="E1237" i="3" s="1"/>
  <c r="F1243" i="3" a="1"/>
  <c r="F1243" i="3" s="1"/>
  <c r="E1243" i="3" a="1"/>
  <c r="E1243" i="3" s="1"/>
  <c r="F1249" i="3" a="1"/>
  <c r="F1249" i="3" s="1"/>
  <c r="E1249" i="3" a="1"/>
  <c r="E1249" i="3" s="1"/>
  <c r="F1255" i="3" a="1"/>
  <c r="F1255" i="3" s="1"/>
  <c r="E1255" i="3" a="1"/>
  <c r="E1255" i="3" s="1"/>
  <c r="F1261" i="3" a="1"/>
  <c r="F1261" i="3" s="1"/>
  <c r="E1261" i="3" a="1"/>
  <c r="E1261" i="3" s="1"/>
  <c r="F1267" i="3" a="1"/>
  <c r="F1267" i="3" s="1"/>
  <c r="E1267" i="3" a="1"/>
  <c r="E1267" i="3" s="1"/>
  <c r="F1273" i="3" a="1"/>
  <c r="F1273" i="3" s="1"/>
  <c r="E1273" i="3" a="1"/>
  <c r="E1273" i="3" s="1"/>
  <c r="F1279" i="3" a="1"/>
  <c r="F1279" i="3" s="1"/>
  <c r="E1279" i="3" a="1"/>
  <c r="E1279" i="3" s="1"/>
  <c r="F1285" i="3" a="1"/>
  <c r="F1285" i="3" s="1"/>
  <c r="E1285" i="3" a="1"/>
  <c r="E1285" i="3" s="1"/>
  <c r="F1291" i="3" a="1"/>
  <c r="F1291" i="3" s="1"/>
  <c r="E1291" i="3" a="1"/>
  <c r="E1291" i="3" s="1"/>
  <c r="F1297" i="3" a="1"/>
  <c r="F1297" i="3" s="1"/>
  <c r="E1297" i="3" a="1"/>
  <c r="E1297" i="3" s="1"/>
  <c r="F1303" i="3" a="1"/>
  <c r="F1303" i="3" s="1"/>
  <c r="E1303" i="3" a="1"/>
  <c r="E1303" i="3" s="1"/>
  <c r="F1309" i="3" a="1"/>
  <c r="F1309" i="3" s="1"/>
  <c r="E1309" i="3" a="1"/>
  <c r="E1309" i="3" s="1"/>
  <c r="E1315" i="3" a="1"/>
  <c r="E1315" i="3" s="1"/>
  <c r="F1315" i="3" a="1"/>
  <c r="F1315" i="3" s="1"/>
  <c r="F1321" i="3" a="1"/>
  <c r="F1321" i="3" s="1"/>
  <c r="E1321" i="3" a="1"/>
  <c r="E1321" i="3" s="1"/>
  <c r="F1327" i="3" a="1"/>
  <c r="F1327" i="3" s="1"/>
  <c r="E1327" i="3" a="1"/>
  <c r="E1327" i="3" s="1"/>
  <c r="F1333" i="3" a="1"/>
  <c r="F1333" i="3" s="1"/>
  <c r="E1333" i="3" a="1"/>
  <c r="E1333" i="3" s="1"/>
  <c r="F1339" i="3" a="1"/>
  <c r="F1339" i="3" s="1"/>
  <c r="E1339" i="3" a="1"/>
  <c r="E1339" i="3" s="1"/>
  <c r="E1345" i="3" a="1"/>
  <c r="E1345" i="3" s="1"/>
  <c r="F1345" i="3" a="1"/>
  <c r="F1345" i="3" s="1"/>
  <c r="F1351" i="3" a="1"/>
  <c r="F1351" i="3" s="1"/>
  <c r="E1351" i="3" a="1"/>
  <c r="E1351" i="3" s="1"/>
  <c r="F1357" i="3" a="1"/>
  <c r="F1357" i="3" s="1"/>
  <c r="E1357" i="3" a="1"/>
  <c r="E1357" i="3" s="1"/>
  <c r="F1363" i="3" a="1"/>
  <c r="F1363" i="3" s="1"/>
  <c r="E1363" i="3" a="1"/>
  <c r="E1363" i="3" s="1"/>
  <c r="F1369" i="3" a="1"/>
  <c r="F1369" i="3" s="1"/>
  <c r="E1369" i="3" a="1"/>
  <c r="E1369" i="3" s="1"/>
  <c r="F1375" i="3" a="1"/>
  <c r="F1375" i="3" s="1"/>
  <c r="E1375" i="3" a="1"/>
  <c r="E1375" i="3" s="1"/>
  <c r="F1381" i="3" a="1"/>
  <c r="F1381" i="3" s="1"/>
  <c r="E1381" i="3" a="1"/>
  <c r="E1381" i="3" s="1"/>
  <c r="F1387" i="3" a="1"/>
  <c r="F1387" i="3" s="1"/>
  <c r="E1387" i="3" a="1"/>
  <c r="E1387" i="3" s="1"/>
  <c r="F1399" i="3" a="1"/>
  <c r="F1399" i="3" s="1"/>
  <c r="E1399" i="3" a="1"/>
  <c r="E1399" i="3" s="1"/>
  <c r="F1405" i="3" a="1"/>
  <c r="F1405" i="3" s="1"/>
  <c r="E1405" i="3" a="1"/>
  <c r="E1405" i="3" s="1"/>
  <c r="F1411" i="3" a="1"/>
  <c r="F1411" i="3" s="1"/>
  <c r="E1411" i="3" a="1"/>
  <c r="E1411" i="3" s="1"/>
  <c r="F1417" i="3" a="1"/>
  <c r="F1417" i="3" s="1"/>
  <c r="E1417" i="3" a="1"/>
  <c r="E1417" i="3" s="1"/>
  <c r="F1423" i="3" a="1"/>
  <c r="F1423" i="3" s="1"/>
  <c r="E1423" i="3" a="1"/>
  <c r="E1423" i="3" s="1"/>
  <c r="F1429" i="3" a="1"/>
  <c r="F1429" i="3" s="1"/>
  <c r="E1429" i="3" a="1"/>
  <c r="E1429" i="3" s="1"/>
  <c r="F1435" i="3" a="1"/>
  <c r="F1435" i="3" s="1"/>
  <c r="E1435" i="3" a="1"/>
  <c r="E1435" i="3" s="1"/>
  <c r="F1441" i="3" a="1"/>
  <c r="F1441" i="3" s="1"/>
  <c r="E1441" i="3" a="1"/>
  <c r="E1441" i="3" s="1"/>
  <c r="E1006" i="3" a="1"/>
  <c r="E1006" i="3" s="1"/>
  <c r="E722" i="3" a="1"/>
  <c r="E722" i="3" s="1"/>
  <c r="E686" i="3" a="1"/>
  <c r="E686" i="3" s="1"/>
  <c r="F686" i="3" a="1"/>
  <c r="F686" i="3" s="1"/>
  <c r="F692" i="3" a="1"/>
  <c r="F692" i="3" s="1"/>
  <c r="E692" i="3" a="1"/>
  <c r="E692" i="3" s="1"/>
  <c r="F698" i="3" a="1"/>
  <c r="F698" i="3" s="1"/>
  <c r="E698" i="3" a="1"/>
  <c r="E698" i="3" s="1"/>
  <c r="F704" i="3" a="1"/>
  <c r="F704" i="3" s="1"/>
  <c r="E704" i="3" a="1"/>
  <c r="E704" i="3" s="1"/>
  <c r="F710" i="3" a="1"/>
  <c r="F710" i="3" s="1"/>
  <c r="E710" i="3" a="1"/>
  <c r="E710" i="3" s="1"/>
  <c r="F716" i="3" a="1"/>
  <c r="F716" i="3" s="1"/>
  <c r="E716" i="3" a="1"/>
  <c r="E716" i="3" s="1"/>
  <c r="F920" i="3" a="1"/>
  <c r="F920" i="3" s="1"/>
  <c r="E920" i="3" a="1"/>
  <c r="E920" i="3" s="1"/>
  <c r="F926" i="3" a="1"/>
  <c r="F926" i="3" s="1"/>
  <c r="E926" i="3" a="1"/>
  <c r="E926" i="3" s="1"/>
  <c r="F932" i="3" a="1"/>
  <c r="F932" i="3" s="1"/>
  <c r="E932" i="3" a="1"/>
  <c r="E932" i="3" s="1"/>
  <c r="E938" i="3" a="1"/>
  <c r="E938" i="3" s="1"/>
  <c r="F938" i="3" a="1"/>
  <c r="F938" i="3" s="1"/>
  <c r="F944" i="3" a="1"/>
  <c r="F944" i="3" s="1"/>
  <c r="E944" i="3" a="1"/>
  <c r="E944" i="3" s="1"/>
  <c r="E950" i="3" a="1"/>
  <c r="E950" i="3" s="1"/>
  <c r="F950" i="3" a="1"/>
  <c r="F950" i="3" s="1"/>
  <c r="F956" i="3" a="1"/>
  <c r="F956" i="3" s="1"/>
  <c r="E956" i="3" a="1"/>
  <c r="E956" i="3" s="1"/>
  <c r="F962" i="3" a="1"/>
  <c r="F962" i="3" s="1"/>
  <c r="E962" i="3" a="1"/>
  <c r="E962" i="3" s="1"/>
  <c r="F968" i="3" a="1"/>
  <c r="F968" i="3" s="1"/>
  <c r="E968" i="3" a="1"/>
  <c r="E968" i="3" s="1"/>
  <c r="F974" i="3" a="1"/>
  <c r="F974" i="3" s="1"/>
  <c r="E974" i="3" a="1"/>
  <c r="E974" i="3" s="1"/>
  <c r="F980" i="3" a="1"/>
  <c r="F980" i="3" s="1"/>
  <c r="E980" i="3" a="1"/>
  <c r="E980" i="3" s="1"/>
  <c r="F986" i="3" a="1"/>
  <c r="F986" i="3" s="1"/>
  <c r="E986" i="3" a="1"/>
  <c r="E986" i="3" s="1"/>
  <c r="E992" i="3" a="1"/>
  <c r="E992" i="3" s="1"/>
  <c r="F992" i="3" a="1"/>
  <c r="F992" i="3" s="1"/>
  <c r="F998" i="3" a="1"/>
  <c r="F998" i="3" s="1"/>
  <c r="E998" i="3" a="1"/>
  <c r="E998" i="3" s="1"/>
  <c r="F1004" i="3" a="1"/>
  <c r="F1004" i="3" s="1"/>
  <c r="E1004" i="3" a="1"/>
  <c r="E1004" i="3" s="1"/>
  <c r="F1010" i="3" a="1"/>
  <c r="F1010" i="3" s="1"/>
  <c r="E1010" i="3" a="1"/>
  <c r="E1010" i="3" s="1"/>
  <c r="E1016" i="3" a="1"/>
  <c r="E1016" i="3" s="1"/>
  <c r="F1016" i="3" a="1"/>
  <c r="F1016" i="3" s="1"/>
  <c r="F1022" i="3" a="1"/>
  <c r="F1022" i="3" s="1"/>
  <c r="E1022" i="3" a="1"/>
  <c r="E1022" i="3" s="1"/>
  <c r="E1028" i="3" a="1"/>
  <c r="E1028" i="3" s="1"/>
  <c r="F1028" i="3" a="1"/>
  <c r="F1028" i="3" s="1"/>
  <c r="F1034" i="3" a="1"/>
  <c r="F1034" i="3" s="1"/>
  <c r="E1034" i="3" a="1"/>
  <c r="E1034" i="3" s="1"/>
  <c r="F1040" i="3" a="1"/>
  <c r="F1040" i="3" s="1"/>
  <c r="E1040" i="3" a="1"/>
  <c r="E1040" i="3" s="1"/>
  <c r="F1046" i="3" a="1"/>
  <c r="F1046" i="3" s="1"/>
  <c r="E1046" i="3" a="1"/>
  <c r="E1046" i="3" s="1"/>
  <c r="F1052" i="3" a="1"/>
  <c r="F1052" i="3" s="1"/>
  <c r="E1052" i="3" a="1"/>
  <c r="E1052" i="3" s="1"/>
  <c r="F1058" i="3" a="1"/>
  <c r="F1058" i="3" s="1"/>
  <c r="E1058" i="3" a="1"/>
  <c r="E1058" i="3" s="1"/>
  <c r="F1064" i="3" a="1"/>
  <c r="F1064" i="3" s="1"/>
  <c r="E1064" i="3" a="1"/>
  <c r="E1064" i="3" s="1"/>
  <c r="F1070" i="3" a="1"/>
  <c r="F1070" i="3" s="1"/>
  <c r="E1070" i="3" a="1"/>
  <c r="E1070" i="3" s="1"/>
  <c r="F1076" i="3" a="1"/>
  <c r="F1076" i="3" s="1"/>
  <c r="E1076" i="3" a="1"/>
  <c r="E1076" i="3" s="1"/>
  <c r="F1082" i="3" a="1"/>
  <c r="F1082" i="3" s="1"/>
  <c r="E1082" i="3" a="1"/>
  <c r="E1082" i="3" s="1"/>
  <c r="F1088" i="3" a="1"/>
  <c r="F1088" i="3" s="1"/>
  <c r="E1088" i="3" a="1"/>
  <c r="E1088" i="3" s="1"/>
  <c r="F1094" i="3" a="1"/>
  <c r="F1094" i="3" s="1"/>
  <c r="E1094" i="3" a="1"/>
  <c r="E1094" i="3" s="1"/>
  <c r="E1100" i="3" a="1"/>
  <c r="E1100" i="3" s="1"/>
  <c r="F1100" i="3" a="1"/>
  <c r="F1100" i="3" s="1"/>
  <c r="F1106" i="3" a="1"/>
  <c r="F1106" i="3" s="1"/>
  <c r="E1106" i="3" a="1"/>
  <c r="E1106" i="3" s="1"/>
  <c r="F1112" i="3" a="1"/>
  <c r="F1112" i="3" s="1"/>
  <c r="E1112" i="3" a="1"/>
  <c r="E1112" i="3" s="1"/>
  <c r="F1118" i="3" a="1"/>
  <c r="F1118" i="3" s="1"/>
  <c r="E1118" i="3" a="1"/>
  <c r="E1118" i="3" s="1"/>
  <c r="E1124" i="3" a="1"/>
  <c r="E1124" i="3" s="1"/>
  <c r="F1124" i="3" a="1"/>
  <c r="F1124" i="3" s="1"/>
  <c r="F1130" i="3" a="1"/>
  <c r="F1130" i="3" s="1"/>
  <c r="E1130" i="3" a="1"/>
  <c r="E1130" i="3" s="1"/>
  <c r="F1136" i="3" a="1"/>
  <c r="F1136" i="3" s="1"/>
  <c r="E1136" i="3" a="1"/>
  <c r="E1136" i="3" s="1"/>
  <c r="F1142" i="3" a="1"/>
  <c r="F1142" i="3" s="1"/>
  <c r="E1142" i="3" a="1"/>
  <c r="E1142" i="3" s="1"/>
  <c r="F1148" i="3" a="1"/>
  <c r="F1148" i="3" s="1"/>
  <c r="E1148" i="3" a="1"/>
  <c r="E1148" i="3" s="1"/>
  <c r="E1154" i="3" a="1"/>
  <c r="E1154" i="3" s="1"/>
  <c r="F1154" i="3" a="1"/>
  <c r="F1154" i="3" s="1"/>
  <c r="F1160" i="3" a="1"/>
  <c r="F1160" i="3" s="1"/>
  <c r="E1160" i="3" a="1"/>
  <c r="E1160" i="3" s="1"/>
  <c r="F1166" i="3" a="1"/>
  <c r="F1166" i="3" s="1"/>
  <c r="E1166" i="3" a="1"/>
  <c r="E1166" i="3" s="1"/>
  <c r="F1172" i="3" a="1"/>
  <c r="F1172" i="3" s="1"/>
  <c r="E1172" i="3" a="1"/>
  <c r="E1172" i="3" s="1"/>
  <c r="F1178" i="3" a="1"/>
  <c r="F1178" i="3" s="1"/>
  <c r="E1178" i="3" a="1"/>
  <c r="E1178" i="3" s="1"/>
  <c r="F1184" i="3" a="1"/>
  <c r="F1184" i="3" s="1"/>
  <c r="E1184" i="3" a="1"/>
  <c r="E1184" i="3" s="1"/>
  <c r="F1190" i="3" a="1"/>
  <c r="F1190" i="3" s="1"/>
  <c r="E1190" i="3" a="1"/>
  <c r="E1190" i="3" s="1"/>
  <c r="F1196" i="3" a="1"/>
  <c r="F1196" i="3" s="1"/>
  <c r="E1196" i="3" a="1"/>
  <c r="E1196" i="3" s="1"/>
  <c r="F1202" i="3" a="1"/>
  <c r="F1202" i="3" s="1"/>
  <c r="E1202" i="3" a="1"/>
  <c r="E1202" i="3" s="1"/>
  <c r="F1208" i="3" a="1"/>
  <c r="F1208" i="3" s="1"/>
  <c r="E1208" i="3" a="1"/>
  <c r="E1208" i="3" s="1"/>
  <c r="F1214" i="3" a="1"/>
  <c r="F1214" i="3" s="1"/>
  <c r="E1214" i="3" a="1"/>
  <c r="E1214" i="3" s="1"/>
  <c r="F1220" i="3" a="1"/>
  <c r="F1220" i="3" s="1"/>
  <c r="E1220" i="3" a="1"/>
  <c r="E1220" i="3" s="1"/>
  <c r="F1226" i="3" a="1"/>
  <c r="F1226" i="3" s="1"/>
  <c r="E1226" i="3" a="1"/>
  <c r="E1226" i="3" s="1"/>
  <c r="F1232" i="3" a="1"/>
  <c r="F1232" i="3" s="1"/>
  <c r="E1232" i="3" a="1"/>
  <c r="E1232" i="3" s="1"/>
  <c r="F1238" i="3" a="1"/>
  <c r="F1238" i="3" s="1"/>
  <c r="E1238" i="3" a="1"/>
  <c r="E1238" i="3" s="1"/>
  <c r="F1244" i="3" a="1"/>
  <c r="F1244" i="3" s="1"/>
  <c r="E1244" i="3" a="1"/>
  <c r="E1244" i="3" s="1"/>
  <c r="E1250" i="3" a="1"/>
  <c r="E1250" i="3" s="1"/>
  <c r="F1250" i="3" a="1"/>
  <c r="F1250" i="3" s="1"/>
  <c r="F1256" i="3" a="1"/>
  <c r="F1256" i="3" s="1"/>
  <c r="E1256" i="3" a="1"/>
  <c r="E1256" i="3" s="1"/>
  <c r="F1262" i="3" a="1"/>
  <c r="F1262" i="3" s="1"/>
  <c r="E1262" i="3" a="1"/>
  <c r="E1262" i="3" s="1"/>
  <c r="F1268" i="3" a="1"/>
  <c r="F1268" i="3" s="1"/>
  <c r="E1268" i="3" a="1"/>
  <c r="E1268" i="3" s="1"/>
  <c r="F1274" i="3" a="1"/>
  <c r="F1274" i="3" s="1"/>
  <c r="E1274" i="3" a="1"/>
  <c r="E1274" i="3" s="1"/>
  <c r="F1280" i="3" a="1"/>
  <c r="F1280" i="3" s="1"/>
  <c r="E1280" i="3" a="1"/>
  <c r="E1280" i="3" s="1"/>
  <c r="F1286" i="3" a="1"/>
  <c r="F1286" i="3" s="1"/>
  <c r="E1286" i="3" a="1"/>
  <c r="E1286" i="3" s="1"/>
  <c r="F1292" i="3" a="1"/>
  <c r="F1292" i="3" s="1"/>
  <c r="E1292" i="3" a="1"/>
  <c r="E1292" i="3" s="1"/>
  <c r="F1298" i="3" a="1"/>
  <c r="F1298" i="3" s="1"/>
  <c r="E1298" i="3" a="1"/>
  <c r="E1298" i="3" s="1"/>
  <c r="F1304" i="3" a="1"/>
  <c r="F1304" i="3" s="1"/>
  <c r="E1304" i="3" a="1"/>
  <c r="E1304" i="3" s="1"/>
  <c r="F1310" i="3" a="1"/>
  <c r="F1310" i="3" s="1"/>
  <c r="E1310" i="3" a="1"/>
  <c r="E1310" i="3" s="1"/>
  <c r="F1316" i="3" a="1"/>
  <c r="F1316" i="3" s="1"/>
  <c r="E1316" i="3" a="1"/>
  <c r="E1316" i="3" s="1"/>
  <c r="F1322" i="3" a="1"/>
  <c r="F1322" i="3" s="1"/>
  <c r="E1322" i="3" a="1"/>
  <c r="E1322" i="3" s="1"/>
  <c r="F1328" i="3" a="1"/>
  <c r="F1328" i="3" s="1"/>
  <c r="E1328" i="3" a="1"/>
  <c r="E1328" i="3" s="1"/>
  <c r="F1334" i="3" a="1"/>
  <c r="F1334" i="3" s="1"/>
  <c r="E1334" i="3" a="1"/>
  <c r="E1334" i="3" s="1"/>
  <c r="F1340" i="3" a="1"/>
  <c r="F1340" i="3" s="1"/>
  <c r="E1340" i="3" a="1"/>
  <c r="E1340" i="3" s="1"/>
  <c r="F1346" i="3" a="1"/>
  <c r="F1346" i="3" s="1"/>
  <c r="E1346" i="3" a="1"/>
  <c r="E1346" i="3" s="1"/>
  <c r="F1352" i="3" a="1"/>
  <c r="F1352" i="3" s="1"/>
  <c r="E1352" i="3" a="1"/>
  <c r="E1352" i="3" s="1"/>
  <c r="F1358" i="3" a="1"/>
  <c r="F1358" i="3" s="1"/>
  <c r="E1358" i="3" a="1"/>
  <c r="E1358" i="3" s="1"/>
  <c r="F1364" i="3" a="1"/>
  <c r="F1364" i="3" s="1"/>
  <c r="E1364" i="3" a="1"/>
  <c r="E1364" i="3" s="1"/>
  <c r="E1370" i="3" a="1"/>
  <c r="E1370" i="3" s="1"/>
  <c r="F1370" i="3" a="1"/>
  <c r="F1370" i="3" s="1"/>
  <c r="F1376" i="3" a="1"/>
  <c r="F1376" i="3" s="1"/>
  <c r="E1376" i="3" a="1"/>
  <c r="E1376" i="3" s="1"/>
  <c r="F1382" i="3" a="1"/>
  <c r="F1382" i="3" s="1"/>
  <c r="E1382" i="3" a="1"/>
  <c r="E1382" i="3" s="1"/>
  <c r="F1388" i="3" a="1"/>
  <c r="F1388" i="3" s="1"/>
  <c r="E1388" i="3" a="1"/>
  <c r="E1388" i="3" s="1"/>
  <c r="F1394" i="3" a="1"/>
  <c r="F1394" i="3" s="1"/>
  <c r="E1394" i="3" a="1"/>
  <c r="E1394" i="3" s="1"/>
  <c r="E1400" i="3" a="1"/>
  <c r="E1400" i="3" s="1"/>
  <c r="F1400" i="3" a="1"/>
  <c r="F1400" i="3" s="1"/>
  <c r="E701" i="3" a="1"/>
  <c r="E701" i="3" s="1"/>
  <c r="E407" i="3" a="1"/>
  <c r="E407" i="3" s="1"/>
  <c r="F751" i="3" a="1"/>
  <c r="F751" i="3" s="1"/>
  <c r="E751" i="3" a="1"/>
  <c r="E751" i="3" s="1"/>
  <c r="F757" i="3" a="1"/>
  <c r="F757" i="3" s="1"/>
  <c r="E757" i="3" a="1"/>
  <c r="E757" i="3" s="1"/>
  <c r="E763" i="3" a="1"/>
  <c r="E763" i="3" s="1"/>
  <c r="F763" i="3" a="1"/>
  <c r="F763" i="3" s="1"/>
  <c r="F2" i="3" a="1"/>
  <c r="F2" i="3" s="1"/>
  <c r="E2" i="3" a="1"/>
  <c r="E2" i="3" s="1"/>
  <c r="F8" i="3" a="1"/>
  <c r="F8" i="3" s="1"/>
  <c r="E8" i="3" a="1"/>
  <c r="E8" i="3" s="1"/>
  <c r="F14" i="3" a="1"/>
  <c r="F14" i="3" s="1"/>
  <c r="E14" i="3" a="1"/>
  <c r="E14" i="3" s="1"/>
  <c r="F20" i="3" a="1"/>
  <c r="F20" i="3" s="1"/>
  <c r="E20" i="3" a="1"/>
  <c r="E20" i="3" s="1"/>
  <c r="F26" i="3" a="1"/>
  <c r="F26" i="3" s="1"/>
  <c r="E26" i="3" a="1"/>
  <c r="E26" i="3" s="1"/>
  <c r="F32" i="3" a="1"/>
  <c r="F32" i="3" s="1"/>
  <c r="E32" i="3" a="1"/>
  <c r="E32" i="3" s="1"/>
  <c r="F38" i="3" a="1"/>
  <c r="F38" i="3" s="1"/>
  <c r="E38" i="3" a="1"/>
  <c r="E38" i="3" s="1"/>
  <c r="F44" i="3" a="1"/>
  <c r="F44" i="3" s="1"/>
  <c r="E44" i="3" a="1"/>
  <c r="E44" i="3" s="1"/>
  <c r="F50" i="3" a="1"/>
  <c r="F50" i="3" s="1"/>
  <c r="E50" i="3" a="1"/>
  <c r="E50" i="3" s="1"/>
  <c r="E56" i="3" a="1"/>
  <c r="E56" i="3" s="1"/>
  <c r="F56" i="3" a="1"/>
  <c r="F56" i="3" s="1"/>
  <c r="F62" i="3" a="1"/>
  <c r="F62" i="3" s="1"/>
  <c r="E62" i="3" a="1"/>
  <c r="E62" i="3" s="1"/>
  <c r="F68" i="3" a="1"/>
  <c r="F68" i="3" s="1"/>
  <c r="E68" i="3" a="1"/>
  <c r="E68" i="3" s="1"/>
  <c r="F74" i="3" a="1"/>
  <c r="F74" i="3" s="1"/>
  <c r="E74" i="3" a="1"/>
  <c r="E74" i="3" s="1"/>
  <c r="F80" i="3" a="1"/>
  <c r="F80" i="3" s="1"/>
  <c r="E80" i="3" a="1"/>
  <c r="E80" i="3" s="1"/>
  <c r="F86" i="3" a="1"/>
  <c r="F86" i="3" s="1"/>
  <c r="E86" i="3" a="1"/>
  <c r="E86" i="3" s="1"/>
  <c r="F92" i="3" a="1"/>
  <c r="F92" i="3" s="1"/>
  <c r="E92" i="3" a="1"/>
  <c r="E92" i="3" s="1"/>
  <c r="F98" i="3" a="1"/>
  <c r="F98" i="3" s="1"/>
  <c r="E98" i="3" a="1"/>
  <c r="E98" i="3" s="1"/>
  <c r="F104" i="3" a="1"/>
  <c r="F104" i="3" s="1"/>
  <c r="E104" i="3" a="1"/>
  <c r="E104" i="3" s="1"/>
  <c r="F110" i="3" a="1"/>
  <c r="F110" i="3" s="1"/>
  <c r="E110" i="3" a="1"/>
  <c r="E110" i="3" s="1"/>
  <c r="F116" i="3" a="1"/>
  <c r="F116" i="3" s="1"/>
  <c r="E116" i="3" a="1"/>
  <c r="E116" i="3" s="1"/>
  <c r="F122" i="3" a="1"/>
  <c r="F122" i="3" s="1"/>
  <c r="E122" i="3" a="1"/>
  <c r="E122" i="3" s="1"/>
  <c r="F128" i="3" a="1"/>
  <c r="F128" i="3" s="1"/>
  <c r="E128" i="3" a="1"/>
  <c r="E128" i="3" s="1"/>
  <c r="F134" i="3" a="1"/>
  <c r="F134" i="3" s="1"/>
  <c r="E134" i="3" a="1"/>
  <c r="E134" i="3" s="1"/>
  <c r="F140" i="3" a="1"/>
  <c r="F140" i="3" s="1"/>
  <c r="E140" i="3" a="1"/>
  <c r="E140" i="3" s="1"/>
  <c r="F146" i="3" a="1"/>
  <c r="F146" i="3" s="1"/>
  <c r="E146" i="3" a="1"/>
  <c r="E146" i="3" s="1"/>
  <c r="F152" i="3" a="1"/>
  <c r="F152" i="3" s="1"/>
  <c r="E152" i="3" a="1"/>
  <c r="E152" i="3" s="1"/>
  <c r="F158" i="3" a="1"/>
  <c r="F158" i="3" s="1"/>
  <c r="E158" i="3" a="1"/>
  <c r="E158" i="3" s="1"/>
  <c r="F164" i="3" a="1"/>
  <c r="F164" i="3" s="1"/>
  <c r="E164" i="3" a="1"/>
  <c r="E164" i="3" s="1"/>
  <c r="F170" i="3" a="1"/>
  <c r="F170" i="3" s="1"/>
  <c r="E170" i="3" a="1"/>
  <c r="E170" i="3" s="1"/>
  <c r="E176" i="3" a="1"/>
  <c r="E176" i="3" s="1"/>
  <c r="F176" i="3" a="1"/>
  <c r="F176" i="3" s="1"/>
  <c r="F182" i="3" a="1"/>
  <c r="F182" i="3" s="1"/>
  <c r="E182" i="3" a="1"/>
  <c r="E182" i="3" s="1"/>
  <c r="F188" i="3" a="1"/>
  <c r="F188" i="3" s="1"/>
  <c r="E188" i="3" a="1"/>
  <c r="E188" i="3" s="1"/>
  <c r="F194" i="3" a="1"/>
  <c r="F194" i="3" s="1"/>
  <c r="E194" i="3" a="1"/>
  <c r="E194" i="3" s="1"/>
  <c r="F200" i="3" a="1"/>
  <c r="F200" i="3" s="1"/>
  <c r="E200" i="3" a="1"/>
  <c r="E200" i="3" s="1"/>
  <c r="E206" i="3" a="1"/>
  <c r="E206" i="3" s="1"/>
  <c r="F206" i="3" a="1"/>
  <c r="F206" i="3" s="1"/>
  <c r="F212" i="3" a="1"/>
  <c r="F212" i="3" s="1"/>
  <c r="E212" i="3" a="1"/>
  <c r="E212" i="3" s="1"/>
  <c r="F218" i="3" a="1"/>
  <c r="F218" i="3" s="1"/>
  <c r="E218" i="3" a="1"/>
  <c r="E218" i="3" s="1"/>
  <c r="F224" i="3" a="1"/>
  <c r="F224" i="3" s="1"/>
  <c r="E224" i="3" a="1"/>
  <c r="E224" i="3" s="1"/>
  <c r="E230" i="3" a="1"/>
  <c r="E230" i="3" s="1"/>
  <c r="F230" i="3" a="1"/>
  <c r="F230" i="3" s="1"/>
  <c r="F236" i="3" a="1"/>
  <c r="F236" i="3" s="1"/>
  <c r="E236" i="3" a="1"/>
  <c r="E236" i="3" s="1"/>
  <c r="F242" i="3" a="1"/>
  <c r="F242" i="3" s="1"/>
  <c r="E242" i="3" a="1"/>
  <c r="E242" i="3" s="1"/>
  <c r="F248" i="3" a="1"/>
  <c r="F248" i="3" s="1"/>
  <c r="E248" i="3" a="1"/>
  <c r="E248" i="3" s="1"/>
  <c r="F254" i="3" a="1"/>
  <c r="F254" i="3" s="1"/>
  <c r="E254" i="3" a="1"/>
  <c r="E254" i="3" s="1"/>
  <c r="F260" i="3" a="1"/>
  <c r="F260" i="3" s="1"/>
  <c r="E260" i="3" a="1"/>
  <c r="E260" i="3" s="1"/>
  <c r="F266" i="3" a="1"/>
  <c r="F266" i="3" s="1"/>
  <c r="E266" i="3" a="1"/>
  <c r="E266" i="3" s="1"/>
  <c r="F272" i="3" a="1"/>
  <c r="F272" i="3" s="1"/>
  <c r="E272" i="3" a="1"/>
  <c r="E272" i="3" s="1"/>
  <c r="F278" i="3" a="1"/>
  <c r="F278" i="3" s="1"/>
  <c r="E278" i="3" a="1"/>
  <c r="E278" i="3" s="1"/>
  <c r="F284" i="3" a="1"/>
  <c r="F284" i="3" s="1"/>
  <c r="E284" i="3" a="1"/>
  <c r="E284" i="3" s="1"/>
  <c r="F290" i="3" a="1"/>
  <c r="F290" i="3" s="1"/>
  <c r="E290" i="3" a="1"/>
  <c r="E290" i="3" s="1"/>
  <c r="F296" i="3" a="1"/>
  <c r="F296" i="3" s="1"/>
  <c r="E296" i="3" a="1"/>
  <c r="E296" i="3" s="1"/>
  <c r="E302" i="3" a="1"/>
  <c r="E302" i="3" s="1"/>
  <c r="F302" i="3" a="1"/>
  <c r="F302" i="3" s="1"/>
  <c r="F308" i="3" a="1"/>
  <c r="F308" i="3" s="1"/>
  <c r="E308" i="3" a="1"/>
  <c r="E308" i="3" s="1"/>
  <c r="F314" i="3" a="1"/>
  <c r="F314" i="3" s="1"/>
  <c r="E314" i="3" a="1"/>
  <c r="E314" i="3" s="1"/>
  <c r="F320" i="3" a="1"/>
  <c r="F320" i="3" s="1"/>
  <c r="E320" i="3" a="1"/>
  <c r="E320" i="3" s="1"/>
  <c r="F326" i="3" a="1"/>
  <c r="F326" i="3" s="1"/>
  <c r="E326" i="3" a="1"/>
  <c r="E326" i="3" s="1"/>
  <c r="E332" i="3" a="1"/>
  <c r="E332" i="3" s="1"/>
  <c r="F332" i="3" a="1"/>
  <c r="F332" i="3" s="1"/>
  <c r="F338" i="3" a="1"/>
  <c r="F338" i="3" s="1"/>
  <c r="E338" i="3" a="1"/>
  <c r="E338" i="3" s="1"/>
  <c r="F344" i="3" a="1"/>
  <c r="F344" i="3" s="1"/>
  <c r="E344" i="3" a="1"/>
  <c r="E344" i="3" s="1"/>
  <c r="F350" i="3" a="1"/>
  <c r="F350" i="3" s="1"/>
  <c r="E350" i="3" a="1"/>
  <c r="E350" i="3" s="1"/>
  <c r="F356" i="3" a="1"/>
  <c r="F356" i="3" s="1"/>
  <c r="E356" i="3" a="1"/>
  <c r="E356" i="3" s="1"/>
  <c r="F362" i="3" a="1"/>
  <c r="F362" i="3" s="1"/>
  <c r="E362" i="3" a="1"/>
  <c r="E362" i="3" s="1"/>
  <c r="F368" i="3" a="1"/>
  <c r="F368" i="3" s="1"/>
  <c r="E368" i="3" a="1"/>
  <c r="E368" i="3" s="1"/>
  <c r="F374" i="3" a="1"/>
  <c r="F374" i="3" s="1"/>
  <c r="E374" i="3" a="1"/>
  <c r="E374" i="3" s="1"/>
  <c r="F728" i="3" a="1"/>
  <c r="F728" i="3" s="1"/>
  <c r="E728" i="3" a="1"/>
  <c r="E728" i="3" s="1"/>
  <c r="F734" i="3" a="1"/>
  <c r="F734" i="3" s="1"/>
  <c r="E734" i="3" a="1"/>
  <c r="E734" i="3" s="1"/>
  <c r="F740" i="3" a="1"/>
  <c r="F740" i="3" s="1"/>
  <c r="E740" i="3" a="1"/>
  <c r="E740" i="3" s="1"/>
  <c r="F746" i="3" a="1"/>
  <c r="F746" i="3" s="1"/>
  <c r="E746" i="3" a="1"/>
  <c r="E746" i="3" s="1"/>
  <c r="F752" i="3" a="1"/>
  <c r="F752" i="3" s="1"/>
  <c r="E752" i="3" a="1"/>
  <c r="E752" i="3" s="1"/>
  <c r="F758" i="3" a="1"/>
  <c r="F758" i="3" s="1"/>
  <c r="E758" i="3" a="1"/>
  <c r="E758" i="3" s="1"/>
  <c r="F764" i="3" a="1"/>
  <c r="F764" i="3" s="1"/>
  <c r="E764" i="3" a="1"/>
  <c r="E764" i="3" s="1"/>
  <c r="F770" i="3" a="1"/>
  <c r="F770" i="3" s="1"/>
  <c r="E770" i="3" a="1"/>
  <c r="E770" i="3" s="1"/>
  <c r="F776" i="3" a="1"/>
  <c r="F776" i="3" s="1"/>
  <c r="E776" i="3" a="1"/>
  <c r="E776" i="3" s="1"/>
  <c r="F782" i="3" a="1"/>
  <c r="F782" i="3" s="1"/>
  <c r="E782" i="3" a="1"/>
  <c r="E782" i="3" s="1"/>
  <c r="F788" i="3" a="1"/>
  <c r="F788" i="3" s="1"/>
  <c r="E788" i="3" a="1"/>
  <c r="E788" i="3" s="1"/>
  <c r="F794" i="3" a="1"/>
  <c r="F794" i="3" s="1"/>
  <c r="E794" i="3" a="1"/>
  <c r="E794" i="3" s="1"/>
  <c r="F800" i="3" a="1"/>
  <c r="F800" i="3" s="1"/>
  <c r="E800" i="3" a="1"/>
  <c r="E800" i="3" s="1"/>
  <c r="F806" i="3" a="1"/>
  <c r="F806" i="3" s="1"/>
  <c r="E806" i="3" a="1"/>
  <c r="E806" i="3" s="1"/>
  <c r="F812" i="3" a="1"/>
  <c r="F812" i="3" s="1"/>
  <c r="E812" i="3" a="1"/>
  <c r="E812" i="3" s="1"/>
  <c r="F818" i="3" a="1"/>
  <c r="F818" i="3" s="1"/>
  <c r="E818" i="3" a="1"/>
  <c r="E818" i="3" s="1"/>
  <c r="F824" i="3" a="1"/>
  <c r="F824" i="3" s="1"/>
  <c r="E824" i="3" a="1"/>
  <c r="E824" i="3" s="1"/>
  <c r="F830" i="3" a="1"/>
  <c r="F830" i="3" s="1"/>
  <c r="E830" i="3" a="1"/>
  <c r="E830" i="3" s="1"/>
  <c r="F836" i="3" a="1"/>
  <c r="F836" i="3" s="1"/>
  <c r="E836" i="3" a="1"/>
  <c r="E836" i="3" s="1"/>
  <c r="E842" i="3" a="1"/>
  <c r="E842" i="3" s="1"/>
  <c r="F842" i="3" a="1"/>
  <c r="F842" i="3" s="1"/>
  <c r="F848" i="3" a="1"/>
  <c r="F848" i="3" s="1"/>
  <c r="E848" i="3" a="1"/>
  <c r="E848" i="3" s="1"/>
  <c r="F854" i="3" a="1"/>
  <c r="F854" i="3" s="1"/>
  <c r="E854" i="3" a="1"/>
  <c r="E854" i="3" s="1"/>
  <c r="E860" i="3" a="1"/>
  <c r="E860" i="3" s="1"/>
  <c r="F860" i="3" a="1"/>
  <c r="F860" i="3" s="1"/>
  <c r="F866" i="3" a="1"/>
  <c r="F866" i="3" s="1"/>
  <c r="E866" i="3" a="1"/>
  <c r="E866" i="3" s="1"/>
  <c r="F872" i="3" a="1"/>
  <c r="F872" i="3" s="1"/>
  <c r="E872" i="3" a="1"/>
  <c r="E872" i="3" s="1"/>
  <c r="F878" i="3" a="1"/>
  <c r="F878" i="3" s="1"/>
  <c r="E878" i="3" a="1"/>
  <c r="E878" i="3" s="1"/>
  <c r="F884" i="3" a="1"/>
  <c r="F884" i="3" s="1"/>
  <c r="E884" i="3" a="1"/>
  <c r="E884" i="3" s="1"/>
  <c r="F890" i="3" a="1"/>
  <c r="F890" i="3" s="1"/>
  <c r="E890" i="3" a="1"/>
  <c r="E890" i="3" s="1"/>
  <c r="F896" i="3" a="1"/>
  <c r="F896" i="3" s="1"/>
  <c r="E896" i="3" a="1"/>
  <c r="E896" i="3" s="1"/>
  <c r="F902" i="3" a="1"/>
  <c r="F902" i="3" s="1"/>
  <c r="E902" i="3" a="1"/>
  <c r="E902" i="3" s="1"/>
  <c r="F908" i="3" a="1"/>
  <c r="F908" i="3" s="1"/>
  <c r="E908" i="3" a="1"/>
  <c r="E908" i="3" s="1"/>
  <c r="F1412" i="3" a="1"/>
  <c r="F1412" i="3" s="1"/>
  <c r="E1412" i="3" a="1"/>
  <c r="E1412" i="3" s="1"/>
  <c r="F1418" i="3" a="1"/>
  <c r="F1418" i="3" s="1"/>
  <c r="E1418" i="3" a="1"/>
  <c r="E1418" i="3" s="1"/>
  <c r="E1406" i="3" a="1"/>
  <c r="E1406" i="3" s="1"/>
  <c r="E680" i="3" a="1"/>
  <c r="E680" i="3" s="1"/>
  <c r="E380" i="3" a="1"/>
  <c r="E380" i="3" s="1"/>
  <c r="F489" i="3" a="1"/>
  <c r="F489" i="3" s="1"/>
  <c r="E489" i="3" a="1"/>
  <c r="E489" i="3" s="1"/>
  <c r="F495" i="3" a="1"/>
  <c r="F495" i="3" s="1"/>
  <c r="E495" i="3" a="1"/>
  <c r="E495" i="3" s="1"/>
  <c r="F501" i="3" a="1"/>
  <c r="F501" i="3" s="1"/>
  <c r="E501" i="3" a="1"/>
  <c r="E501" i="3" s="1"/>
  <c r="F507" i="3" a="1"/>
  <c r="F507" i="3" s="1"/>
  <c r="E507" i="3" a="1"/>
  <c r="E507" i="3" s="1"/>
  <c r="F513" i="3" a="1"/>
  <c r="F513" i="3" s="1"/>
  <c r="E513" i="3" a="1"/>
  <c r="E513" i="3" s="1"/>
  <c r="F519" i="3" a="1"/>
  <c r="F519" i="3" s="1"/>
  <c r="E519" i="3" a="1"/>
  <c r="E519" i="3" s="1"/>
  <c r="F525" i="3" a="1"/>
  <c r="F525" i="3" s="1"/>
  <c r="E525" i="3" a="1"/>
  <c r="E525" i="3" s="1"/>
  <c r="F567" i="3" a="1"/>
  <c r="F567" i="3" s="1"/>
  <c r="E567" i="3" a="1"/>
  <c r="E567" i="3" s="1"/>
  <c r="F573" i="3" a="1"/>
  <c r="F573" i="3" s="1"/>
  <c r="E573" i="3" a="1"/>
  <c r="E573" i="3" s="1"/>
  <c r="F579" i="3" a="1"/>
  <c r="F579" i="3" s="1"/>
  <c r="E579" i="3" a="1"/>
  <c r="E579" i="3" s="1"/>
  <c r="F585" i="3" a="1"/>
  <c r="F585" i="3" s="1"/>
  <c r="E585" i="3" a="1"/>
  <c r="E585" i="3" s="1"/>
  <c r="F591" i="3" a="1"/>
  <c r="F591" i="3" s="1"/>
  <c r="E591" i="3" a="1"/>
  <c r="E591" i="3" s="1"/>
  <c r="F597" i="3" a="1"/>
  <c r="F597" i="3" s="1"/>
  <c r="E597" i="3" a="1"/>
  <c r="E597" i="3" s="1"/>
  <c r="F603" i="3" a="1"/>
  <c r="F603" i="3" s="1"/>
  <c r="E603" i="3" a="1"/>
  <c r="E603" i="3" s="1"/>
  <c r="E609" i="3" a="1"/>
  <c r="E609" i="3" s="1"/>
  <c r="F609" i="3" a="1"/>
  <c r="F609" i="3" s="1"/>
  <c r="F615" i="3" a="1"/>
  <c r="F615" i="3" s="1"/>
  <c r="E615" i="3" a="1"/>
  <c r="E615" i="3" s="1"/>
  <c r="F621" i="3" a="1"/>
  <c r="F621" i="3" s="1"/>
  <c r="E621" i="3" a="1"/>
  <c r="E621" i="3" s="1"/>
  <c r="F627" i="3" a="1"/>
  <c r="F627" i="3" s="1"/>
  <c r="E627" i="3" a="1"/>
  <c r="E627" i="3" s="1"/>
  <c r="F633" i="3" a="1"/>
  <c r="F633" i="3" s="1"/>
  <c r="E633" i="3" a="1"/>
  <c r="E633" i="3" s="1"/>
  <c r="F639" i="3" a="1"/>
  <c r="F639" i="3" s="1"/>
  <c r="E639" i="3" a="1"/>
  <c r="E639" i="3" s="1"/>
  <c r="F645" i="3" a="1"/>
  <c r="F645" i="3" s="1"/>
  <c r="E645" i="3" a="1"/>
  <c r="E645" i="3" s="1"/>
  <c r="F651" i="3" a="1"/>
  <c r="F651" i="3" s="1"/>
  <c r="E651" i="3" a="1"/>
  <c r="E651" i="3" s="1"/>
  <c r="F657" i="3" a="1"/>
  <c r="F657" i="3" s="1"/>
  <c r="E657" i="3" a="1"/>
  <c r="E657" i="3" s="1"/>
  <c r="F663" i="3" a="1"/>
  <c r="F663" i="3" s="1"/>
  <c r="E663" i="3" a="1"/>
  <c r="E663" i="3" s="1"/>
  <c r="F669" i="3" a="1"/>
  <c r="F669" i="3" s="1"/>
  <c r="E669" i="3" a="1"/>
  <c r="E669" i="3" s="1"/>
  <c r="F675" i="3" a="1"/>
  <c r="F675" i="3" s="1"/>
  <c r="E675" i="3" a="1"/>
  <c r="E675" i="3" s="1"/>
  <c r="F681" i="3" a="1"/>
  <c r="F681" i="3" s="1"/>
  <c r="E681" i="3" a="1"/>
  <c r="E681" i="3" s="1"/>
  <c r="F687" i="3" a="1"/>
  <c r="F687" i="3" s="1"/>
  <c r="E687" i="3" a="1"/>
  <c r="E687" i="3" s="1"/>
  <c r="E693" i="3" a="1"/>
  <c r="E693" i="3" s="1"/>
  <c r="F693" i="3" a="1"/>
  <c r="F693" i="3" s="1"/>
  <c r="F699" i="3" a="1"/>
  <c r="F699" i="3" s="1"/>
  <c r="E699" i="3" a="1"/>
  <c r="E699" i="3" s="1"/>
  <c r="F705" i="3" a="1"/>
  <c r="F705" i="3" s="1"/>
  <c r="E705" i="3" a="1"/>
  <c r="E705" i="3" s="1"/>
  <c r="F711" i="3" a="1"/>
  <c r="F711" i="3" s="1"/>
  <c r="E711" i="3" a="1"/>
  <c r="E711" i="3" s="1"/>
  <c r="F717" i="3" a="1"/>
  <c r="F717" i="3" s="1"/>
  <c r="E717" i="3" a="1"/>
  <c r="E717" i="3" s="1"/>
  <c r="E723" i="3" a="1"/>
  <c r="E723" i="3" s="1"/>
  <c r="F723" i="3" a="1"/>
  <c r="F723" i="3" s="1"/>
  <c r="F729" i="3" a="1"/>
  <c r="F729" i="3" s="1"/>
  <c r="E729" i="3" a="1"/>
  <c r="E729" i="3" s="1"/>
  <c r="F735" i="3" a="1"/>
  <c r="F735" i="3" s="1"/>
  <c r="E735" i="3" a="1"/>
  <c r="E735" i="3" s="1"/>
  <c r="F741" i="3" a="1"/>
  <c r="F741" i="3" s="1"/>
  <c r="E741" i="3" a="1"/>
  <c r="E741" i="3" s="1"/>
  <c r="F747" i="3" a="1"/>
  <c r="F747" i="3" s="1"/>
  <c r="E747" i="3" a="1"/>
  <c r="E747" i="3" s="1"/>
  <c r="F753" i="3" a="1"/>
  <c r="F753" i="3" s="1"/>
  <c r="E753" i="3" a="1"/>
  <c r="E753" i="3" s="1"/>
  <c r="F759" i="3" a="1"/>
  <c r="F759" i="3" s="1"/>
  <c r="E759" i="3" a="1"/>
  <c r="E759" i="3" s="1"/>
  <c r="F765" i="3" a="1"/>
  <c r="F765" i="3" s="1"/>
  <c r="E765" i="3" a="1"/>
  <c r="E765" i="3" s="1"/>
  <c r="F771" i="3" a="1"/>
  <c r="F771" i="3" s="1"/>
  <c r="E771" i="3" a="1"/>
  <c r="E771" i="3" s="1"/>
  <c r="F777" i="3" a="1"/>
  <c r="F777" i="3" s="1"/>
  <c r="E777" i="3" a="1"/>
  <c r="E777" i="3" s="1"/>
  <c r="F783" i="3" a="1"/>
  <c r="F783" i="3" s="1"/>
  <c r="E783" i="3" a="1"/>
  <c r="E783" i="3" s="1"/>
  <c r="E789" i="3" a="1"/>
  <c r="E789" i="3" s="1"/>
  <c r="F789" i="3" a="1"/>
  <c r="F789" i="3" s="1"/>
  <c r="F795" i="3" a="1"/>
  <c r="F795" i="3" s="1"/>
  <c r="E795" i="3" a="1"/>
  <c r="E795" i="3" s="1"/>
  <c r="F801" i="3" a="1"/>
  <c r="F801" i="3" s="1"/>
  <c r="E801" i="3" a="1"/>
  <c r="E801" i="3" s="1"/>
  <c r="F807" i="3" a="1"/>
  <c r="F807" i="3" s="1"/>
  <c r="E807" i="3" a="1"/>
  <c r="E807" i="3" s="1"/>
  <c r="F813" i="3" a="1"/>
  <c r="F813" i="3" s="1"/>
  <c r="E813" i="3" a="1"/>
  <c r="E813" i="3" s="1"/>
  <c r="F1329" i="3" a="1"/>
  <c r="F1329" i="3" s="1"/>
  <c r="E1329" i="3" a="1"/>
  <c r="E1329" i="3" s="1"/>
  <c r="F1341" i="3" a="1"/>
  <c r="F1341" i="3" s="1"/>
  <c r="E1341" i="3" a="1"/>
  <c r="E1341" i="3" s="1"/>
  <c r="F1353" i="3" a="1"/>
  <c r="F1353" i="3" s="1"/>
  <c r="E1353" i="3" a="1"/>
  <c r="E1353" i="3" s="1"/>
  <c r="E1365" i="3" a="1"/>
  <c r="E1365" i="3" s="1"/>
  <c r="F1365" i="3" a="1"/>
  <c r="F1365" i="3" s="1"/>
  <c r="F1383" i="3" a="1"/>
  <c r="F1383" i="3" s="1"/>
  <c r="E1383" i="3" a="1"/>
  <c r="E1383" i="3" s="1"/>
  <c r="F1401" i="3" a="1"/>
  <c r="F1401" i="3" s="1"/>
  <c r="E1401" i="3" a="1"/>
  <c r="E1401" i="3" s="1"/>
  <c r="F1419" i="3" a="1"/>
  <c r="F1419" i="3" s="1"/>
  <c r="E1419" i="3" a="1"/>
  <c r="E1419" i="3" s="1"/>
  <c r="F386" i="3" a="1"/>
  <c r="F386" i="3" s="1"/>
  <c r="E386" i="3" a="1"/>
  <c r="E386" i="3" s="1"/>
  <c r="F392" i="3" a="1"/>
  <c r="F392" i="3" s="1"/>
  <c r="E392" i="3" a="1"/>
  <c r="E392" i="3" s="1"/>
  <c r="F398" i="3" a="1"/>
  <c r="F398" i="3" s="1"/>
  <c r="E398" i="3" a="1"/>
  <c r="E398" i="3" s="1"/>
  <c r="F404" i="3" a="1"/>
  <c r="F404" i="3" s="1"/>
  <c r="E404" i="3" a="1"/>
  <c r="E404" i="3" s="1"/>
  <c r="F410" i="3" a="1"/>
  <c r="F410" i="3" s="1"/>
  <c r="E410" i="3" a="1"/>
  <c r="E410" i="3" s="1"/>
  <c r="F416" i="3" a="1"/>
  <c r="F416" i="3" s="1"/>
  <c r="E416" i="3" a="1"/>
  <c r="E416" i="3" s="1"/>
  <c r="F422" i="3" a="1"/>
  <c r="F422" i="3" s="1"/>
  <c r="E422" i="3" a="1"/>
  <c r="E422" i="3" s="1"/>
  <c r="F428" i="3" a="1"/>
  <c r="F428" i="3" s="1"/>
  <c r="E428" i="3" a="1"/>
  <c r="E428" i="3" s="1"/>
  <c r="E434" i="3" a="1"/>
  <c r="E434" i="3" s="1"/>
  <c r="F434" i="3" a="1"/>
  <c r="F434" i="3" s="1"/>
  <c r="F440" i="3" a="1"/>
  <c r="F440" i="3" s="1"/>
  <c r="E440" i="3" a="1"/>
  <c r="E440" i="3" s="1"/>
  <c r="F446" i="3" a="1"/>
  <c r="F446" i="3" s="1"/>
  <c r="E446" i="3" a="1"/>
  <c r="E446" i="3" s="1"/>
  <c r="F452" i="3" a="1"/>
  <c r="F452" i="3" s="1"/>
  <c r="E452" i="3" a="1"/>
  <c r="E452" i="3" s="1"/>
  <c r="F537" i="3" a="1"/>
  <c r="F537" i="3" s="1"/>
  <c r="E537" i="3" a="1"/>
  <c r="E537" i="3" s="1"/>
  <c r="F543" i="3" a="1"/>
  <c r="F543" i="3" s="1"/>
  <c r="E543" i="3" a="1"/>
  <c r="E543" i="3" s="1"/>
  <c r="F549" i="3" a="1"/>
  <c r="F549" i="3" s="1"/>
  <c r="E549" i="3" a="1"/>
  <c r="E549" i="3" s="1"/>
  <c r="F555" i="3" a="1"/>
  <c r="F555" i="3" s="1"/>
  <c r="E555" i="3" a="1"/>
  <c r="E555" i="3" s="1"/>
  <c r="F825" i="3" a="1"/>
  <c r="F825" i="3" s="1"/>
  <c r="E825" i="3" a="1"/>
  <c r="E825" i="3" s="1"/>
  <c r="F831" i="3" a="1"/>
  <c r="F831" i="3" s="1"/>
  <c r="E831" i="3" a="1"/>
  <c r="E831" i="3" s="1"/>
  <c r="E837" i="3" a="1"/>
  <c r="E837" i="3" s="1"/>
  <c r="F837" i="3" a="1"/>
  <c r="F837" i="3" s="1"/>
  <c r="F843" i="3" a="1"/>
  <c r="F843" i="3" s="1"/>
  <c r="E843" i="3" a="1"/>
  <c r="E843" i="3" s="1"/>
  <c r="F849" i="3" a="1"/>
  <c r="F849" i="3" s="1"/>
  <c r="E849" i="3" a="1"/>
  <c r="E849" i="3" s="1"/>
  <c r="F855" i="3" a="1"/>
  <c r="F855" i="3" s="1"/>
  <c r="E855" i="3" a="1"/>
  <c r="E855" i="3" s="1"/>
  <c r="F861" i="3" a="1"/>
  <c r="F861" i="3" s="1"/>
  <c r="E861" i="3" a="1"/>
  <c r="E861" i="3" s="1"/>
  <c r="F867" i="3" a="1"/>
  <c r="F867" i="3" s="1"/>
  <c r="E867" i="3" a="1"/>
  <c r="E867" i="3" s="1"/>
  <c r="F873" i="3" a="1"/>
  <c r="F873" i="3" s="1"/>
  <c r="E873" i="3" a="1"/>
  <c r="E873" i="3" s="1"/>
  <c r="F879" i="3" a="1"/>
  <c r="F879" i="3" s="1"/>
  <c r="E879" i="3" a="1"/>
  <c r="E879" i="3" s="1"/>
  <c r="F885" i="3" a="1"/>
  <c r="F885" i="3" s="1"/>
  <c r="E885" i="3" a="1"/>
  <c r="E885" i="3" s="1"/>
  <c r="F891" i="3" a="1"/>
  <c r="F891" i="3" s="1"/>
  <c r="E891" i="3" a="1"/>
  <c r="E891" i="3" s="1"/>
  <c r="F897" i="3" a="1"/>
  <c r="F897" i="3" s="1"/>
  <c r="E897" i="3" a="1"/>
  <c r="E897" i="3" s="1"/>
  <c r="F903" i="3" a="1"/>
  <c r="F903" i="3" s="1"/>
  <c r="E903" i="3" a="1"/>
  <c r="E903" i="3" s="1"/>
  <c r="F909" i="3" a="1"/>
  <c r="F909" i="3" s="1"/>
  <c r="E909" i="3" a="1"/>
  <c r="E909" i="3" s="1"/>
  <c r="E915" i="3" a="1"/>
  <c r="E915" i="3" s="1"/>
  <c r="F915" i="3" a="1"/>
  <c r="F915" i="3" s="1"/>
  <c r="F921" i="3" a="1"/>
  <c r="F921" i="3" s="1"/>
  <c r="E921" i="3" a="1"/>
  <c r="E921" i="3" s="1"/>
  <c r="F927" i="3" a="1"/>
  <c r="F927" i="3" s="1"/>
  <c r="E927" i="3" a="1"/>
  <c r="E927" i="3" s="1"/>
  <c r="F933" i="3" a="1"/>
  <c r="F933" i="3" s="1"/>
  <c r="E933" i="3" a="1"/>
  <c r="E933" i="3" s="1"/>
  <c r="F939" i="3" a="1"/>
  <c r="F939" i="3" s="1"/>
  <c r="E939" i="3" a="1"/>
  <c r="E939" i="3" s="1"/>
  <c r="F945" i="3" a="1"/>
  <c r="F945" i="3" s="1"/>
  <c r="E945" i="3" a="1"/>
  <c r="E945" i="3" s="1"/>
  <c r="E951" i="3" a="1"/>
  <c r="E951" i="3" s="1"/>
  <c r="F951" i="3" a="1"/>
  <c r="F951" i="3" s="1"/>
  <c r="F957" i="3" a="1"/>
  <c r="F957" i="3" s="1"/>
  <c r="E957" i="3" a="1"/>
  <c r="E957" i="3" s="1"/>
  <c r="F963" i="3" a="1"/>
  <c r="F963" i="3" s="1"/>
  <c r="E963" i="3" a="1"/>
  <c r="E963" i="3" s="1"/>
  <c r="F969" i="3" a="1"/>
  <c r="F969" i="3" s="1"/>
  <c r="E969" i="3" a="1"/>
  <c r="E969" i="3" s="1"/>
  <c r="F975" i="3" a="1"/>
  <c r="F975" i="3" s="1"/>
  <c r="E975" i="3" a="1"/>
  <c r="E975" i="3" s="1"/>
  <c r="F981" i="3" a="1"/>
  <c r="F981" i="3" s="1"/>
  <c r="E981" i="3" a="1"/>
  <c r="E981" i="3" s="1"/>
  <c r="F987" i="3" a="1"/>
  <c r="F987" i="3" s="1"/>
  <c r="E987" i="3" a="1"/>
  <c r="E987" i="3" s="1"/>
  <c r="F993" i="3" a="1"/>
  <c r="F993" i="3" s="1"/>
  <c r="E993" i="3" a="1"/>
  <c r="E993" i="3" s="1"/>
  <c r="F999" i="3" a="1"/>
  <c r="F999" i="3" s="1"/>
  <c r="E999" i="3" a="1"/>
  <c r="E999" i="3" s="1"/>
  <c r="F1005" i="3" a="1"/>
  <c r="F1005" i="3" s="1"/>
  <c r="E1005" i="3" a="1"/>
  <c r="E1005" i="3" s="1"/>
  <c r="F1011" i="3" a="1"/>
  <c r="F1011" i="3" s="1"/>
  <c r="E1011" i="3" a="1"/>
  <c r="E1011" i="3" s="1"/>
  <c r="F1017" i="3" a="1"/>
  <c r="F1017" i="3" s="1"/>
  <c r="E1017" i="3" a="1"/>
  <c r="E1017" i="3" s="1"/>
  <c r="F1023" i="3" a="1"/>
  <c r="F1023" i="3" s="1"/>
  <c r="E1023" i="3" a="1"/>
  <c r="E1023" i="3" s="1"/>
  <c r="E1029" i="3" a="1"/>
  <c r="E1029" i="3" s="1"/>
  <c r="F1029" i="3" a="1"/>
  <c r="F1029" i="3" s="1"/>
  <c r="F1035" i="3" a="1"/>
  <c r="F1035" i="3" s="1"/>
  <c r="E1035" i="3" a="1"/>
  <c r="E1035" i="3" s="1"/>
  <c r="F1041" i="3" a="1"/>
  <c r="F1041" i="3" s="1"/>
  <c r="E1041" i="3" a="1"/>
  <c r="E1041" i="3" s="1"/>
  <c r="F1047" i="3" a="1"/>
  <c r="F1047" i="3" s="1"/>
  <c r="E1047" i="3" a="1"/>
  <c r="E1047" i="3" s="1"/>
  <c r="F1053" i="3" a="1"/>
  <c r="F1053" i="3" s="1"/>
  <c r="E1053" i="3" a="1"/>
  <c r="E1053" i="3" s="1"/>
  <c r="F1059" i="3" a="1"/>
  <c r="F1059" i="3" s="1"/>
  <c r="E1059" i="3" a="1"/>
  <c r="E1059" i="3" s="1"/>
  <c r="F1065" i="3" a="1"/>
  <c r="F1065" i="3" s="1"/>
  <c r="E1065" i="3" a="1"/>
  <c r="E1065" i="3" s="1"/>
  <c r="F1071" i="3" a="1"/>
  <c r="F1071" i="3" s="1"/>
  <c r="E1071" i="3" a="1"/>
  <c r="E1071" i="3" s="1"/>
  <c r="F1077" i="3" a="1"/>
  <c r="F1077" i="3" s="1"/>
  <c r="E1077" i="3" a="1"/>
  <c r="E1077" i="3" s="1"/>
  <c r="F1083" i="3" a="1"/>
  <c r="F1083" i="3" s="1"/>
  <c r="E1083" i="3" a="1"/>
  <c r="E1083" i="3" s="1"/>
  <c r="E1089" i="3" a="1"/>
  <c r="E1089" i="3" s="1"/>
  <c r="F1089" i="3" a="1"/>
  <c r="F1089" i="3" s="1"/>
  <c r="F1095" i="3" a="1"/>
  <c r="F1095" i="3" s="1"/>
  <c r="E1095" i="3" a="1"/>
  <c r="E1095" i="3" s="1"/>
  <c r="F1101" i="3" a="1"/>
  <c r="F1101" i="3" s="1"/>
  <c r="E1101" i="3" a="1"/>
  <c r="E1101" i="3" s="1"/>
  <c r="E1107" i="3" a="1"/>
  <c r="E1107" i="3" s="1"/>
  <c r="F1107" i="3" a="1"/>
  <c r="F1107" i="3" s="1"/>
  <c r="F1113" i="3" a="1"/>
  <c r="F1113" i="3" s="1"/>
  <c r="E1113" i="3" a="1"/>
  <c r="E1113" i="3" s="1"/>
  <c r="F1119" i="3" a="1"/>
  <c r="F1119" i="3" s="1"/>
  <c r="E1119" i="3" a="1"/>
  <c r="E1119" i="3" s="1"/>
  <c r="F1125" i="3" a="1"/>
  <c r="F1125" i="3" s="1"/>
  <c r="E1125" i="3" a="1"/>
  <c r="E1125" i="3" s="1"/>
  <c r="F1131" i="3" a="1"/>
  <c r="F1131" i="3" s="1"/>
  <c r="E1131" i="3" a="1"/>
  <c r="E1131" i="3" s="1"/>
  <c r="F1137" i="3" a="1"/>
  <c r="F1137" i="3" s="1"/>
  <c r="E1137" i="3" a="1"/>
  <c r="E1137" i="3" s="1"/>
  <c r="F1143" i="3" a="1"/>
  <c r="F1143" i="3" s="1"/>
  <c r="E1143" i="3" a="1"/>
  <c r="E1143" i="3" s="1"/>
  <c r="F1149" i="3" a="1"/>
  <c r="F1149" i="3" s="1"/>
  <c r="E1149" i="3" a="1"/>
  <c r="E1149" i="3" s="1"/>
  <c r="F1155" i="3" a="1"/>
  <c r="F1155" i="3" s="1"/>
  <c r="E1155" i="3" a="1"/>
  <c r="E1155" i="3" s="1"/>
  <c r="E1161" i="3" a="1"/>
  <c r="E1161" i="3" s="1"/>
  <c r="F1161" i="3" a="1"/>
  <c r="F1161" i="3" s="1"/>
  <c r="E1167" i="3" a="1"/>
  <c r="E1167" i="3" s="1"/>
  <c r="F1167" i="3" a="1"/>
  <c r="F1167" i="3" s="1"/>
  <c r="F1173" i="3" a="1"/>
  <c r="F1173" i="3" s="1"/>
  <c r="E1173" i="3" a="1"/>
  <c r="E1173" i="3" s="1"/>
  <c r="E1179" i="3" a="1"/>
  <c r="E1179" i="3" s="1"/>
  <c r="F1179" i="3" a="1"/>
  <c r="F1179" i="3" s="1"/>
  <c r="F1185" i="3" a="1"/>
  <c r="F1185" i="3" s="1"/>
  <c r="E1185" i="3" a="1"/>
  <c r="E1185" i="3" s="1"/>
  <c r="F1191" i="3" a="1"/>
  <c r="F1191" i="3" s="1"/>
  <c r="E1191" i="3" a="1"/>
  <c r="E1191" i="3" s="1"/>
  <c r="F1197" i="3" a="1"/>
  <c r="F1197" i="3" s="1"/>
  <c r="E1197" i="3" a="1"/>
  <c r="E1197" i="3" s="1"/>
  <c r="E1203" i="3" a="1"/>
  <c r="E1203" i="3" s="1"/>
  <c r="F1203" i="3" a="1"/>
  <c r="F1203" i="3" s="1"/>
  <c r="F1209" i="3" a="1"/>
  <c r="F1209" i="3" s="1"/>
  <c r="E1209" i="3" a="1"/>
  <c r="E1209" i="3" s="1"/>
  <c r="F1215" i="3" a="1"/>
  <c r="F1215" i="3" s="1"/>
  <c r="E1215" i="3" a="1"/>
  <c r="E1215" i="3" s="1"/>
  <c r="E1221" i="3" a="1"/>
  <c r="E1221" i="3" s="1"/>
  <c r="F1221" i="3" a="1"/>
  <c r="F1221" i="3" s="1"/>
  <c r="F1227" i="3" a="1"/>
  <c r="F1227" i="3" s="1"/>
  <c r="E1227" i="3" a="1"/>
  <c r="E1227" i="3" s="1"/>
  <c r="F1233" i="3" a="1"/>
  <c r="F1233" i="3" s="1"/>
  <c r="E1233" i="3" a="1"/>
  <c r="E1233" i="3" s="1"/>
  <c r="F1239" i="3" a="1"/>
  <c r="F1239" i="3" s="1"/>
  <c r="E1239" i="3" a="1"/>
  <c r="E1239" i="3" s="1"/>
  <c r="E1245" i="3" a="1"/>
  <c r="E1245" i="3" s="1"/>
  <c r="F1245" i="3" a="1"/>
  <c r="F1245" i="3" s="1"/>
  <c r="F1251" i="3" a="1"/>
  <c r="F1251" i="3" s="1"/>
  <c r="E1251" i="3" a="1"/>
  <c r="E1251" i="3" s="1"/>
  <c r="F1257" i="3" a="1"/>
  <c r="F1257" i="3" s="1"/>
  <c r="E1257" i="3" a="1"/>
  <c r="E1257" i="3" s="1"/>
  <c r="F1263" i="3" a="1"/>
  <c r="F1263" i="3" s="1"/>
  <c r="E1263" i="3" a="1"/>
  <c r="E1263" i="3" s="1"/>
  <c r="F1269" i="3" a="1"/>
  <c r="F1269" i="3" s="1"/>
  <c r="E1269" i="3" a="1"/>
  <c r="E1269" i="3" s="1"/>
  <c r="F1275" i="3" a="1"/>
  <c r="F1275" i="3" s="1"/>
  <c r="E1275" i="3" a="1"/>
  <c r="E1275" i="3" s="1"/>
  <c r="F1287" i="3" a="1"/>
  <c r="F1287" i="3" s="1"/>
  <c r="E1287" i="3" a="1"/>
  <c r="E1287" i="3" s="1"/>
  <c r="F1293" i="3" a="1"/>
  <c r="F1293" i="3" s="1"/>
  <c r="E1293" i="3" a="1"/>
  <c r="E1293" i="3" s="1"/>
  <c r="F1299" i="3" a="1"/>
  <c r="F1299" i="3" s="1"/>
  <c r="E1299" i="3" a="1"/>
  <c r="E1299" i="3" s="1"/>
  <c r="F1305" i="3" a="1"/>
  <c r="F1305" i="3" s="1"/>
  <c r="E1305" i="3" a="1"/>
  <c r="E1305" i="3" s="1"/>
  <c r="F1311" i="3" a="1"/>
  <c r="F1311" i="3" s="1"/>
  <c r="E1311" i="3" a="1"/>
  <c r="E1311" i="3" s="1"/>
  <c r="E1323" i="3" a="1"/>
  <c r="E1323" i="3" s="1"/>
  <c r="F1323" i="3" a="1"/>
  <c r="F1323" i="3" s="1"/>
  <c r="E1335" i="3" a="1"/>
  <c r="E1335" i="3" s="1"/>
  <c r="F1335" i="3" a="1"/>
  <c r="F1335" i="3" s="1"/>
  <c r="F1347" i="3" a="1"/>
  <c r="F1347" i="3" s="1"/>
  <c r="E1347" i="3" a="1"/>
  <c r="E1347" i="3" s="1"/>
  <c r="E1359" i="3" a="1"/>
  <c r="E1359" i="3" s="1"/>
  <c r="F1359" i="3" a="1"/>
  <c r="F1359" i="3" s="1"/>
  <c r="F1371" i="3" a="1"/>
  <c r="F1371" i="3" s="1"/>
  <c r="E1371" i="3" a="1"/>
  <c r="E1371" i="3" s="1"/>
  <c r="F1377" i="3" a="1"/>
  <c r="F1377" i="3" s="1"/>
  <c r="E1377" i="3" a="1"/>
  <c r="E1377" i="3" s="1"/>
  <c r="F1389" i="3" a="1"/>
  <c r="F1389" i="3" s="1"/>
  <c r="E1389" i="3" a="1"/>
  <c r="E1389" i="3" s="1"/>
  <c r="F1395" i="3" a="1"/>
  <c r="F1395" i="3" s="1"/>
  <c r="E1395" i="3" a="1"/>
  <c r="E1395" i="3" s="1"/>
  <c r="F1407" i="3" a="1"/>
  <c r="F1407" i="3" s="1"/>
  <c r="E1407" i="3" a="1"/>
  <c r="E1407" i="3" s="1"/>
  <c r="E1413" i="3" a="1"/>
  <c r="E1413" i="3" s="1"/>
  <c r="F1413" i="3" a="1"/>
  <c r="F1413" i="3" s="1"/>
  <c r="F1425" i="3" a="1"/>
  <c r="F1425" i="3" s="1"/>
  <c r="E1425" i="3" a="1"/>
  <c r="E1425" i="3" s="1"/>
  <c r="E1393" i="3" a="1"/>
  <c r="E1393" i="3" s="1"/>
  <c r="E937" i="3" a="1"/>
  <c r="E937" i="3" s="1"/>
  <c r="E655" i="3" a="1"/>
  <c r="E655" i="3" s="1"/>
  <c r="E357" i="3" a="1"/>
  <c r="E357" i="3" s="1"/>
  <c r="E914" i="3" a="1"/>
  <c r="E914" i="3" s="1"/>
  <c r="E329" i="3" a="1"/>
  <c r="E329" i="3" s="1"/>
  <c r="E1424" i="3" a="1"/>
  <c r="E1424" i="3" s="1"/>
  <c r="E1430" i="3" a="1"/>
  <c r="E1430" i="3" s="1"/>
  <c r="F1430" i="3" a="1"/>
  <c r="F1430" i="3" s="1"/>
  <c r="F1431" i="3" a="1"/>
  <c r="F1431" i="3" s="1"/>
  <c r="F1426" i="3" a="1"/>
  <c r="F1426" i="3" s="1"/>
  <c r="E1426" i="3" a="1"/>
  <c r="E1426" i="3" s="1"/>
  <c r="F1432" i="3" a="1"/>
  <c r="F1432" i="3" s="1"/>
  <c r="E1432" i="3" a="1"/>
  <c r="E1432" i="3" s="1"/>
  <c r="E1433" i="3" a="1"/>
  <c r="E1433" i="3" s="1"/>
  <c r="E1440" i="3" a="1"/>
  <c r="E1440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<sst xmlns="http://schemas.openxmlformats.org/spreadsheetml/2006/main" count="2998" uniqueCount="1446">
  <si>
    <t>Rushing ATT</t>
  </si>
  <si>
    <t>Rushing TD</t>
  </si>
  <si>
    <t>Rushing PCT</t>
  </si>
  <si>
    <t>Receiving REC</t>
  </si>
  <si>
    <t>Receiving TGT</t>
  </si>
  <si>
    <t>Receiving TD</t>
  </si>
  <si>
    <t>Christian McCaffrey   SF</t>
  </si>
  <si>
    <t>Javonte Williams   DAL</t>
  </si>
  <si>
    <t>Derrick Henry   BAL</t>
  </si>
  <si>
    <t>Kareem Hunt   FA</t>
  </si>
  <si>
    <t>Jonathan Taylor   IND</t>
  </si>
  <si>
    <t>Zach Charbonnet   SEA</t>
  </si>
  <si>
    <t>RJ Harvey   DEN</t>
  </si>
  <si>
    <t>Josh Jacobs   GB</t>
  </si>
  <si>
    <t>Kyren Williams   LAR</t>
  </si>
  <si>
    <t>James Cook III   BUF</t>
  </si>
  <si>
    <t>Jahmyr Gibbs   DET</t>
  </si>
  <si>
    <t>Rico Dowdle   PIT</t>
  </si>
  <si>
    <t>David Montgomery   HOU</t>
  </si>
  <si>
    <t>D'Andre Swift   CHI</t>
  </si>
  <si>
    <t>Chase Brown   CIN</t>
  </si>
  <si>
    <t>Jaylen Warren   PIT</t>
  </si>
  <si>
    <t>Tyler Allgeier   ARI</t>
  </si>
  <si>
    <t>Quinshon Judkins   CLE</t>
  </si>
  <si>
    <t>Omarion Hampton   LAC</t>
  </si>
  <si>
    <t>Chris Rodriguez Jr.   JAC</t>
  </si>
  <si>
    <t>Kenny Gainwell   TB</t>
  </si>
  <si>
    <t>Jordan Mason   MIN</t>
  </si>
  <si>
    <t>Blake Corum   LAR</t>
  </si>
  <si>
    <t>Bijan Robinson   ATL</t>
  </si>
  <si>
    <t>Kyle Monangai   CHI</t>
  </si>
  <si>
    <t>Ashton Jeanty   LV</t>
  </si>
  <si>
    <t>Cam Skattebo   NYG</t>
  </si>
  <si>
    <t>Bhayshul Tuten   JAC</t>
  </si>
  <si>
    <t>Sean Tucker   TB</t>
  </si>
  <si>
    <t>Jacory Croskey-Merritt   WAS</t>
  </si>
  <si>
    <t>Rachaad White   WAS</t>
  </si>
  <si>
    <t>Kenneth Walker III   KC</t>
  </si>
  <si>
    <t>Devin Singletary   NYG</t>
  </si>
  <si>
    <t>Bam Knight   ARI</t>
  </si>
  <si>
    <t>Rhamondre Stevenson   NE</t>
  </si>
  <si>
    <t>Breece Hall   NYJ</t>
  </si>
  <si>
    <t>Travis Etienne Jr.   NO</t>
  </si>
  <si>
    <t>De'Von Achane   MIA</t>
  </si>
  <si>
    <t>Aaron Jones Sr.   MIN</t>
  </si>
  <si>
    <t>James Conner   ARI</t>
  </si>
  <si>
    <t>J.K. Dobbins   DEN</t>
  </si>
  <si>
    <t>Woody Marks   HOU</t>
  </si>
  <si>
    <t>Chuba Hubbard   CAR</t>
  </si>
  <si>
    <t>Devin Neal   NO</t>
  </si>
  <si>
    <t>Tyjae Spears   TEN</t>
  </si>
  <si>
    <t>Emanuel Wilson   SEA</t>
  </si>
  <si>
    <t>Samaje Perine   CIN</t>
  </si>
  <si>
    <t>Ty Johnson   BUF</t>
  </si>
  <si>
    <t>Jaylen Wright   MIA</t>
  </si>
  <si>
    <t>Kimani Vidal   LAC</t>
  </si>
  <si>
    <t>Tony Pollard   TEN</t>
  </si>
  <si>
    <t>Ollie Gordon II   MIA</t>
  </si>
  <si>
    <t>TreVeyon Henderson   NE</t>
  </si>
  <si>
    <t>Saquon Barkley   PHI</t>
  </si>
  <si>
    <t>Miles Sanders   FA</t>
  </si>
  <si>
    <t>Brian Robinson Jr.   ATL</t>
  </si>
  <si>
    <t>Raheim Sanders   CLE</t>
  </si>
  <si>
    <t>Jaleel McLaughlin   DEN</t>
  </si>
  <si>
    <t>Brashard Smith   KC</t>
  </si>
  <si>
    <t>Michael Carter   TEN</t>
  </si>
  <si>
    <t>Hunter Luepke   DAL</t>
  </si>
  <si>
    <t>Terrell Jennings   NE</t>
  </si>
  <si>
    <t>Kyle Juszczyk   SF</t>
  </si>
  <si>
    <t>Ameer Abdullah   JAC</t>
  </si>
  <si>
    <t>Nick Chubb   FA</t>
  </si>
  <si>
    <t>Jaret Patterson   LAC</t>
  </si>
  <si>
    <t>Malik Davis   DAL</t>
  </si>
  <si>
    <t>C.J. Ham   FA</t>
  </si>
  <si>
    <t>Justice Hill   BAL</t>
  </si>
  <si>
    <t>Antonio Gibson   FA</t>
  </si>
  <si>
    <t>Jerome Ford   WAS</t>
  </si>
  <si>
    <t>Tyrone Tracy Jr.   NYG</t>
  </si>
  <si>
    <t>Zavier Scott   MIN</t>
  </si>
  <si>
    <t>Jeremy McNichols   WAS</t>
  </si>
  <si>
    <t>Tank Bigsby   PHI</t>
  </si>
  <si>
    <t>Ray Davis   BUF</t>
  </si>
  <si>
    <t>Kene Nwangwu   NYJ</t>
  </si>
  <si>
    <t>Emari Demercado   KC</t>
  </si>
  <si>
    <t>D'Ernest Johnson   FA</t>
  </si>
  <si>
    <t>Reggie Gilliam   NE</t>
  </si>
  <si>
    <t>Tyler Goodson   ATL</t>
  </si>
  <si>
    <t>Adam Prentice   DEN</t>
  </si>
  <si>
    <t>Isiah Pacheco   DET</t>
  </si>
  <si>
    <t>Braelon Allen   NYJ</t>
  </si>
  <si>
    <t>Julius Chestnut   TEN</t>
  </si>
  <si>
    <t>Trey Benson   ARI</t>
  </si>
  <si>
    <t>Isaiah Davis   NYJ</t>
  </si>
  <si>
    <t>Jawhar Jordan   HOU</t>
  </si>
  <si>
    <t>British Brooks   HOU</t>
  </si>
  <si>
    <t>DJ Giddens   IND</t>
  </si>
  <si>
    <t>LeQuint Allen Jr.   JAC</t>
  </si>
  <si>
    <t>Trevor Etienne   CAR</t>
  </si>
  <si>
    <t>Alvin Kamara   NO</t>
  </si>
  <si>
    <t>Player</t>
  </si>
  <si>
    <t>Year</t>
  </si>
  <si>
    <t>Dare Ogunbowale   LV</t>
  </si>
  <si>
    <t>Joe Mixon   FA</t>
  </si>
  <si>
    <t>Roschon Johnson   CHI</t>
  </si>
  <si>
    <t>Gus Edwards   FA</t>
  </si>
  <si>
    <t>Bucky Irving   TB</t>
  </si>
  <si>
    <t>Alexander Mattison   FA</t>
  </si>
  <si>
    <t>Zack Moss   FA</t>
  </si>
  <si>
    <t>Isaac Guerendo   SF</t>
  </si>
  <si>
    <t>Austin Ekeler   FA</t>
  </si>
  <si>
    <t>Ezekiel Elliott   FA</t>
  </si>
  <si>
    <t>Najee Harris   LAC</t>
  </si>
  <si>
    <t>Trey Sermon   FA</t>
  </si>
  <si>
    <t>Michael Burton   CLE</t>
  </si>
  <si>
    <t>Cam Akers   FA</t>
  </si>
  <si>
    <t>Khalil Herbert   SF</t>
  </si>
  <si>
    <t>Patrick Taylor Jr.   SF</t>
  </si>
  <si>
    <t>Patrick Ricard   NYG</t>
  </si>
  <si>
    <t>Alec Ingold   LAC</t>
  </si>
  <si>
    <t>Audric Estime   NO</t>
  </si>
  <si>
    <t>Zamir White   LV</t>
  </si>
  <si>
    <t>Hassan Haskins   LAC</t>
  </si>
  <si>
    <t>DeeJay Dallas   JAC</t>
  </si>
  <si>
    <t>Chris Brooks   GB</t>
  </si>
  <si>
    <t>Raheem Mostert   LV</t>
  </si>
  <si>
    <t>Carson Steele   PHI</t>
  </si>
  <si>
    <t>Sincere McCormick   SF</t>
  </si>
  <si>
    <t>Jamaal Williams   FA</t>
  </si>
  <si>
    <t>Jonathon Brooks   CAR</t>
  </si>
  <si>
    <t>Cordarrelle Patterson   FA</t>
  </si>
  <si>
    <t>Jermar Jefferson   FA</t>
  </si>
  <si>
    <t>Aaron Shampklin   FA</t>
  </si>
  <si>
    <t>D'Onta Foreman   FA</t>
  </si>
  <si>
    <t>Eric Gray   NYG</t>
  </si>
  <si>
    <t>Latavius Murray   FA</t>
  </si>
  <si>
    <t>Ty Chandler   NO</t>
  </si>
  <si>
    <t>AJ Dillon   CAR</t>
  </si>
  <si>
    <t>Tony Jones Jr.   FA</t>
  </si>
  <si>
    <t>Darrell Henderson Jr.   FA</t>
  </si>
  <si>
    <t>Dameon Pierce   PHI</t>
  </si>
  <si>
    <t>Jerick McKinnon   FA</t>
  </si>
  <si>
    <t>Royce Freeman   FA</t>
  </si>
  <si>
    <t>Elijah Mitchell   PHI</t>
  </si>
  <si>
    <t>Damien Harris   FA</t>
  </si>
  <si>
    <t>Joshua Kelley   FA</t>
  </si>
  <si>
    <t>Nick Bawden   FA</t>
  </si>
  <si>
    <t>Clyde Edwards-Helaire   FA</t>
  </si>
  <si>
    <t>Pierre Strong Jr.   GB</t>
  </si>
  <si>
    <t>Craig Reynolds   FA</t>
  </si>
  <si>
    <t>Dalvin Cook   FA</t>
  </si>
  <si>
    <t>Darrynton Evans   FA</t>
  </si>
  <si>
    <t>Jeff Wilson Jr.   FA</t>
  </si>
  <si>
    <t>Leonard Fournette   FA</t>
  </si>
  <si>
    <t>Khari Blasingame   FA</t>
  </si>
  <si>
    <t>Derrick Gore   FA</t>
  </si>
  <si>
    <t>Salvon Ahmed   CHI</t>
  </si>
  <si>
    <t>Deon Jackson   FA</t>
  </si>
  <si>
    <t>Raheem Blackshear   DET</t>
  </si>
  <si>
    <t>Deuce Vaughn   FA</t>
  </si>
  <si>
    <t>Ke'Shawn Vaughn   FA</t>
  </si>
  <si>
    <t>Boston Scott   FA</t>
  </si>
  <si>
    <t>Kenyan Drake   FA</t>
  </si>
  <si>
    <t>Zander Horvath   FA</t>
  </si>
  <si>
    <t>Chase Edmonds   WAS</t>
  </si>
  <si>
    <t>Melvin Gordon III   FA</t>
  </si>
  <si>
    <t>Caleb Huntley   FA</t>
  </si>
  <si>
    <t>Eno Benjamin   FA</t>
  </si>
  <si>
    <t>Mark Ingram II   FA</t>
  </si>
  <si>
    <t>James Robinson   FA</t>
  </si>
  <si>
    <t>Tevin Coleman   FA</t>
  </si>
  <si>
    <t>Marlon Mack   FA</t>
  </si>
  <si>
    <t>Matt Breida   FA</t>
  </si>
  <si>
    <t>Justin Jackson   FA</t>
  </si>
  <si>
    <t>JaMycal Hasty   FA</t>
  </si>
  <si>
    <t>Snoop Conner   FA</t>
  </si>
  <si>
    <t>Derek Watt   FA</t>
  </si>
  <si>
    <t>Benny Snell Jr.   FA</t>
  </si>
  <si>
    <t>Gary Brightwell   CIN</t>
  </si>
  <si>
    <t>Darrel Williams   FA</t>
  </si>
  <si>
    <t>Keaontay Ingram   FA</t>
  </si>
  <si>
    <t>Brandon Bolden   FA</t>
  </si>
  <si>
    <t>Spencer Brown   FA</t>
  </si>
  <si>
    <t>Trestan Ebner   FA</t>
  </si>
  <si>
    <t>Mike Davis   FA</t>
  </si>
  <si>
    <t>Malcolm Brown   FA</t>
  </si>
  <si>
    <t>Rex Burkhead   FA</t>
  </si>
  <si>
    <t>Keith Smith   FA</t>
  </si>
  <si>
    <t>J.D. McKissic   FA</t>
  </si>
  <si>
    <t>Sony Michel   FA</t>
  </si>
  <si>
    <t>Phillip Lindsay   FA</t>
  </si>
  <si>
    <t>Troy Hairston II   FA</t>
  </si>
  <si>
    <t>J.J. Taylor   FA</t>
  </si>
  <si>
    <t>Tyrion Davis-Price   FA</t>
  </si>
  <si>
    <t>Nyheim Miller-Hines   FA</t>
  </si>
  <si>
    <t>Devonta Freeman   FA</t>
  </si>
  <si>
    <t>Myles Gaskin   FA</t>
  </si>
  <si>
    <t>Jordan Howard   FA</t>
  </si>
  <si>
    <t>Damien Williams   FA</t>
  </si>
  <si>
    <t>Elijhaa Penny   FA</t>
  </si>
  <si>
    <t>Peyton Barber   FA</t>
  </si>
  <si>
    <t>Devontae Booker   FA</t>
  </si>
  <si>
    <t>Le'Veon Bell   FA</t>
  </si>
  <si>
    <t>Chris Carson   FA</t>
  </si>
  <si>
    <t>Adrian Peterson   FA</t>
  </si>
  <si>
    <t>Austin Walter   FA</t>
  </si>
  <si>
    <t>Carlos Hyde   FA</t>
  </si>
  <si>
    <t>Alex Collins   FA</t>
  </si>
  <si>
    <t>Jonathan Williams   FA</t>
  </si>
  <si>
    <t>Rashaad Penny   FA</t>
  </si>
  <si>
    <t>Duke Johnson Jr.   FA</t>
  </si>
  <si>
    <t>Andy Janovich   FA</t>
  </si>
  <si>
    <t>Alex Armah Jr.   FA</t>
  </si>
  <si>
    <t>Johnny Stanton IV   FA</t>
  </si>
  <si>
    <t>Larry Rountree III   FA</t>
  </si>
  <si>
    <t>Ronald Jones II   FA</t>
  </si>
  <si>
    <t>Giovani Bernard   FA</t>
  </si>
  <si>
    <t>Ty Montgomery II   FA</t>
  </si>
  <si>
    <t>Travis Homer   PIT</t>
  </si>
  <si>
    <t>Ty'Son Williams   FA</t>
  </si>
  <si>
    <t>Jakob Johnson   FA</t>
  </si>
  <si>
    <t>Dontrell Hilliard   FA</t>
  </si>
  <si>
    <t>Chris Evans   FA</t>
  </si>
  <si>
    <t>David Johnson   FA</t>
  </si>
  <si>
    <t>Brandin Bryant   FA</t>
  </si>
  <si>
    <t>Kalen Ballage   FA</t>
  </si>
  <si>
    <t>Avery Williams   FA</t>
  </si>
  <si>
    <t>Todd Gurley II   FA</t>
  </si>
  <si>
    <t>Wayne Gallman Jr.   FA</t>
  </si>
  <si>
    <t>La'Mical Perine   FA</t>
  </si>
  <si>
    <t>Kerryon Johnson   FA</t>
  </si>
  <si>
    <t>Gabe Nabers   FA</t>
  </si>
  <si>
    <t>Dion Lewis   FA</t>
  </si>
  <si>
    <t>Frank Gore   FA</t>
  </si>
  <si>
    <t>Anthony Sherman   FA</t>
  </si>
  <si>
    <t>Corey Clement   FA</t>
  </si>
  <si>
    <t>Alfred Morris   FA</t>
  </si>
  <si>
    <t>Mike Boone   FA</t>
  </si>
  <si>
    <t>Reggie Bonnafon   FA</t>
  </si>
  <si>
    <t>Artavis Pierce   FA</t>
  </si>
  <si>
    <t>Josh Adams   FA</t>
  </si>
  <si>
    <t>James White   FA</t>
  </si>
  <si>
    <t>C.J. Prosise   FA</t>
  </si>
  <si>
    <t>Jordan Wilkins   FA</t>
  </si>
  <si>
    <t>Jalen Richard   FA</t>
  </si>
  <si>
    <t>Brian Hill   FA</t>
  </si>
  <si>
    <t>Tyler Ervin   FA</t>
  </si>
  <si>
    <t>DeAndre Washington   FA</t>
  </si>
  <si>
    <t>T.J. Yeldon   FA</t>
  </si>
  <si>
    <t>Trenton Cannon   FA</t>
  </si>
  <si>
    <t>Ito Smith   FA</t>
  </si>
  <si>
    <t>Qadree Ollison   FA</t>
  </si>
  <si>
    <t>LeSean McCoy   FA</t>
  </si>
  <si>
    <t>Jaylen Samuels   FA</t>
  </si>
  <si>
    <t>Wes Hills   FA</t>
  </si>
  <si>
    <t>Derrius Guice   FA</t>
  </si>
  <si>
    <t>Bo Scarbrough   FA</t>
  </si>
  <si>
    <t>Patrick Laird   FA</t>
  </si>
  <si>
    <t>Darwin Thompson   FA</t>
  </si>
  <si>
    <t>Javorius Allen   FA</t>
  </si>
  <si>
    <t>Chris Thompson   FA</t>
  </si>
  <si>
    <t>T.J. Logan   FA</t>
  </si>
  <si>
    <t>James Develin   FA</t>
  </si>
  <si>
    <t>Ryquell Armstead   FA</t>
  </si>
  <si>
    <t>Darren Sproles   FA</t>
  </si>
  <si>
    <t>Zach Line   FA</t>
  </si>
  <si>
    <t>Danny Vitale   FA</t>
  </si>
  <si>
    <t>Tarik Cohen   FA</t>
  </si>
  <si>
    <t>Trey Edmunds   FA</t>
  </si>
  <si>
    <t>Mark Walton   FA</t>
  </si>
  <si>
    <t>Jon Hilliman   FA</t>
  </si>
  <si>
    <t>LeGarrette Blount   FA</t>
  </si>
  <si>
    <t>Lamar Miller   FA</t>
  </si>
  <si>
    <t>Elijah McGuire   FA</t>
  </si>
  <si>
    <t>Doug Martin   FA</t>
  </si>
  <si>
    <t>Kapri Bibbs   FA</t>
  </si>
  <si>
    <t>Isaiah Crowell   FA</t>
  </si>
  <si>
    <t>Spencer Ware   FA</t>
  </si>
  <si>
    <t>Wendell Smallwood   FA</t>
  </si>
  <si>
    <t>Kenneth Dixon   FA</t>
  </si>
  <si>
    <t>Jay Ajayi   FA</t>
  </si>
  <si>
    <t>Zach Zenner   FA</t>
  </si>
  <si>
    <t>Alfred Blue   FA</t>
  </si>
  <si>
    <t>Marshawn Lynch   FA</t>
  </si>
  <si>
    <t>C.J. Anderson   FA</t>
  </si>
  <si>
    <t>Jacquizz Rodgers   FA</t>
  </si>
  <si>
    <t>Chris Ivory   FA</t>
  </si>
  <si>
    <t>Stevan Ridley   FA</t>
  </si>
  <si>
    <t>John Kelly Jr.   FA</t>
  </si>
  <si>
    <t>Bilal Powell   FA</t>
  </si>
  <si>
    <t>Marcus Murphy   FA</t>
  </si>
  <si>
    <t>Jamize Olawale   FA</t>
  </si>
  <si>
    <t>Tommy Bohanon   FA</t>
  </si>
  <si>
    <t>Roosevelt Nix   FA</t>
  </si>
  <si>
    <t>Taquan Mizzell   NYG</t>
  </si>
  <si>
    <t>Kenjon Barner   FA</t>
  </si>
  <si>
    <t>Roc Thomas   FA</t>
  </si>
  <si>
    <t>Players CurrentTm</t>
  </si>
  <si>
    <t>James Cook III (BUF)</t>
  </si>
  <si>
    <t>Derrick Henry (BAL)</t>
  </si>
  <si>
    <t>Jonathan Taylor (IND)</t>
  </si>
  <si>
    <t>Bijan Robinson (ATL)</t>
  </si>
  <si>
    <t>De'Von Achane (MIA)</t>
  </si>
  <si>
    <t>Kyren Williams (LAR)</t>
  </si>
  <si>
    <t>Jahmyr Gibbs (DET)</t>
  </si>
  <si>
    <t>Christian McCaffrey (SF)</t>
  </si>
  <si>
    <t>Javonte Williams (DAL)</t>
  </si>
  <si>
    <t>Saquon Barkley (PHI)</t>
  </si>
  <si>
    <t>Travis Etienne Jr. (JAC)</t>
  </si>
  <si>
    <t>D'Andre Swift (CHI)</t>
  </si>
  <si>
    <t>Tony Pollard (TEN)</t>
  </si>
  <si>
    <t>Rico Dowdle (CAR)</t>
  </si>
  <si>
    <t>Breece Hall (NYJ)</t>
  </si>
  <si>
    <t>Kenneth Walker III (SEA)</t>
  </si>
  <si>
    <t>Chase Brown (CIN)</t>
  </si>
  <si>
    <t>Ashton Jeanty (LV)</t>
  </si>
  <si>
    <t>Jaylen Warren (PIT)</t>
  </si>
  <si>
    <t>Josh Jacobs (GB)</t>
  </si>
  <si>
    <t>TreVeyon Henderson (NE)</t>
  </si>
  <si>
    <t>Quinshon Judkins (CLE)</t>
  </si>
  <si>
    <t>Jacory Croskey-Merritt (WAS)</t>
  </si>
  <si>
    <t>Kyle Monangai (CHI)</t>
  </si>
  <si>
    <t>J.K. Dobbins (DEN)</t>
  </si>
  <si>
    <t>Jordan Mason (MIN)</t>
  </si>
  <si>
    <t>Blake Corum (LAR)</t>
  </si>
  <si>
    <t>Tyrone Tracy Jr. (NYG)</t>
  </si>
  <si>
    <t>Zach Charbonnet (SEA)</t>
  </si>
  <si>
    <t>David Montgomery (DET)</t>
  </si>
  <si>
    <t>Woody Marks (HOU)</t>
  </si>
  <si>
    <t>Kimani Vidal (LAC)</t>
  </si>
  <si>
    <t>Kareem Hunt (KC)</t>
  </si>
  <si>
    <t>Rhamondre Stevenson (NE)</t>
  </si>
  <si>
    <t>Bucky Irving (TB)</t>
  </si>
  <si>
    <t>Rachaad White (TB)</t>
  </si>
  <si>
    <t>Aaron Jones Sr. (MIN)</t>
  </si>
  <si>
    <t>Omarion Hampton (LAC)</t>
  </si>
  <si>
    <t>RJ Harvey (DEN)</t>
  </si>
  <si>
    <t>Kenny Gainwell (PIT)</t>
  </si>
  <si>
    <t>Tyler Allgeier (ATL)</t>
  </si>
  <si>
    <t>Chuba Hubbard (CAR)</t>
  </si>
  <si>
    <t>Nick Chubb (HOU)</t>
  </si>
  <si>
    <t>Chris Rodriguez Jr. (WAS)</t>
  </si>
  <si>
    <t>Emanuel Wilson (GB)</t>
  </si>
  <si>
    <t>Alvin Kamara (NO)</t>
  </si>
  <si>
    <t>Isiah Pacheco (KC)</t>
  </si>
  <si>
    <t>Devin Singletary (NYG)</t>
  </si>
  <si>
    <t>Cam Skattebo (NYG)</t>
  </si>
  <si>
    <t>Brian Robinson Jr. (SF)</t>
  </si>
  <si>
    <t>Samaje Perine (CIN)</t>
  </si>
  <si>
    <t>Tank Bigsby (PHI)</t>
  </si>
  <si>
    <t>Keaton Mitchell (BAL)</t>
  </si>
  <si>
    <t>Michael Carter (ARI)</t>
  </si>
  <si>
    <t>Sean Tucker (TB)</t>
  </si>
  <si>
    <t>Emari Demercado (ARI)</t>
  </si>
  <si>
    <t>Bhayshul Tuten (JAC)</t>
  </si>
  <si>
    <t>Jaylen Wright (MIA)</t>
  </si>
  <si>
    <t>Tyjae Spears (TEN)</t>
  </si>
  <si>
    <t>Ray Davis (BUF)</t>
  </si>
  <si>
    <t>Bam Knight (ARI)</t>
  </si>
  <si>
    <t>Malik Davis (DAL)</t>
  </si>
  <si>
    <t>Isaiah Davis (NYJ)</t>
  </si>
  <si>
    <t>Jeremy McNichols (WAS)</t>
  </si>
  <si>
    <t>Devin Neal (NO)</t>
  </si>
  <si>
    <t>Ty Johnson (BUF)</t>
  </si>
  <si>
    <t>Ollie Gordon II (MIA)</t>
  </si>
  <si>
    <t>Audric Estime (NO)</t>
  </si>
  <si>
    <t>Kendre Miller (NO)</t>
  </si>
  <si>
    <t>Jawhar Jordan (HOU)</t>
  </si>
  <si>
    <t>Jaleel McLaughlin (DEN)</t>
  </si>
  <si>
    <t>Dylan Sampson (CLE)</t>
  </si>
  <si>
    <t>Trey Benson (ARI)</t>
  </si>
  <si>
    <t>Jaret Patterson (LAC)</t>
  </si>
  <si>
    <t>Brashard Smith (KC)</t>
  </si>
  <si>
    <t>Jaydon Blue (DAL)</t>
  </si>
  <si>
    <t>Miles Sanders (DAL)</t>
  </si>
  <si>
    <t>Zavier Scott (MIN)</t>
  </si>
  <si>
    <t>Chris Brooks (GB)</t>
  </si>
  <si>
    <t>Antonio Gibson (NE)</t>
  </si>
  <si>
    <t>Raheem Mostert (LV)</t>
  </si>
  <si>
    <t>DJ Giddens (IND)</t>
  </si>
  <si>
    <t>James Conner (ARI)</t>
  </si>
  <si>
    <t>Trevor Etienne (CAR)</t>
  </si>
  <si>
    <t>LeQuint Allen Jr. (JAC)</t>
  </si>
  <si>
    <t>Justice Hill (BAL)</t>
  </si>
  <si>
    <t>Raheim Sanders (CLE)</t>
  </si>
  <si>
    <t>British Brooks (HOU)</t>
  </si>
  <si>
    <t>Braelon Allen (NYJ)</t>
  </si>
  <si>
    <t>Terrell Jennings (NE)</t>
  </si>
  <si>
    <t>Jerome Ford (CLE)</t>
  </si>
  <si>
    <t>George Holani (SEA)</t>
  </si>
  <si>
    <t>Hunter Luepke (DAL)</t>
  </si>
  <si>
    <t>Kaleb Johnson (PIT)</t>
  </si>
  <si>
    <t>Najee Harris (LAC)</t>
  </si>
  <si>
    <t>Nathan Carter (ATL)</t>
  </si>
  <si>
    <t>Ameer Abdullah (IND)</t>
  </si>
  <si>
    <t>AJ Dillon (PHI)</t>
  </si>
  <si>
    <t>Corey Kiner (ARI)</t>
  </si>
  <si>
    <t>Khalil Herbert (NYJ)</t>
  </si>
  <si>
    <t>Will Shipley (PHI)</t>
  </si>
  <si>
    <t>Kene Nwangwu (NYJ)</t>
  </si>
  <si>
    <t>Evan Hull (NO)</t>
  </si>
  <si>
    <t>Ty Chandler (MIN)</t>
  </si>
  <si>
    <t>Hassan Haskins (LAC)</t>
  </si>
  <si>
    <t>Ronnie Rivers (LAR)</t>
  </si>
  <si>
    <t>Tahj Brooks (CIN)</t>
  </si>
  <si>
    <t>Adam Prentice (DEN)</t>
  </si>
  <si>
    <t>Connor Heyward (PIT)</t>
  </si>
  <si>
    <t>Austin Ekeler (WAS)</t>
  </si>
  <si>
    <t>Julius Chestnut (TEN)</t>
  </si>
  <si>
    <t>Brittain Brown (CHI)</t>
  </si>
  <si>
    <t>Trayveon Williams (CLE)</t>
  </si>
  <si>
    <t>Dameon Pierce (KC)</t>
  </si>
  <si>
    <t>Zamir White (LV)</t>
  </si>
  <si>
    <t>Velus Jones Jr. (SEA)</t>
  </si>
  <si>
    <t>Dare Ogunbowale (HOU)</t>
  </si>
  <si>
    <t>D'Ernest Johnson (NE)</t>
  </si>
  <si>
    <t>Tyler Goodson (IND)</t>
  </si>
  <si>
    <t>Rasheen Ali (BAL)</t>
  </si>
  <si>
    <t>Tyler Badie (DEN)</t>
  </si>
  <si>
    <t>DeeJay Dallas (JAC)</t>
  </si>
  <si>
    <t>Jacardia Wright (SEA)</t>
  </si>
  <si>
    <t>Cam Akers (SEA)</t>
  </si>
  <si>
    <t>Phil Mafah (DAL)</t>
  </si>
  <si>
    <t>Roschon Johnson (CHI)</t>
  </si>
  <si>
    <t>Clyde Edwards-Helaire (KC)</t>
  </si>
  <si>
    <t>Josh Williams (TB)</t>
  </si>
  <si>
    <t>Jacob Saylors (DET)</t>
  </si>
  <si>
    <t>Dylan Laube (LV)</t>
  </si>
  <si>
    <t>Alec Ingold (MIA)</t>
  </si>
  <si>
    <t>Amar Johnson (LAC)</t>
  </si>
  <si>
    <t>Kalel Mullings (TEN)</t>
  </si>
  <si>
    <t>Owen Wright (TB)</t>
  </si>
  <si>
    <t>Myles Gaskin (SEA)</t>
  </si>
  <si>
    <t>C.J. Ham (MIN)</t>
  </si>
  <si>
    <t>Andrew Beck (NYJ)</t>
  </si>
  <si>
    <t>Sione Vaki (DET)</t>
  </si>
  <si>
    <t>Reggie Gilliam (BUF)</t>
  </si>
  <si>
    <t>Craig Reynolds (DET)</t>
  </si>
  <si>
    <t>Patrick Ricard (BAL)</t>
  </si>
  <si>
    <t>Kendall Milton (CIN)</t>
  </si>
  <si>
    <t>Xazavian Valladay (MIN)</t>
  </si>
  <si>
    <t>Ulysses Bentley IV (IND)</t>
  </si>
  <si>
    <t>Trey Sermon (PIT)</t>
  </si>
  <si>
    <t>Sincere McCormick (SF)</t>
  </si>
  <si>
    <t>Scott Matlock (LAC)</t>
  </si>
  <si>
    <t>Robbie Ouzts (SEA)</t>
  </si>
  <si>
    <t>Raheem Blackshear (PIT)</t>
  </si>
  <si>
    <t>Michael Burton (DEN)</t>
  </si>
  <si>
    <t>Lew Nichols III (PIT)</t>
  </si>
  <si>
    <t>Kye Robichaux (DET)</t>
  </si>
  <si>
    <t>Keilan Robinson (NYJ)</t>
  </si>
  <si>
    <t>Keaontay Ingram (KC)</t>
  </si>
  <si>
    <t>Jordan Mims (TEN)</t>
  </si>
  <si>
    <t>Jordan James (SF)</t>
  </si>
  <si>
    <t>Jeff Wilson Jr. (MIA)</t>
  </si>
  <si>
    <t>Jashaun Corbin (NE)</t>
  </si>
  <si>
    <t>Jakob Johnson (HOU)</t>
  </si>
  <si>
    <t>Jack Westover (NE)</t>
  </si>
  <si>
    <t>Isaac Guerendo (SF)</t>
  </si>
  <si>
    <t>Gary Brightwell (CIN)</t>
  </si>
  <si>
    <t>Eric Gray (NYG)</t>
  </si>
  <si>
    <t>Elijah Mitchell (KC)</t>
  </si>
  <si>
    <t>Deion Hankins (CHI)</t>
  </si>
  <si>
    <t>Chris Collier (LV)</t>
  </si>
  <si>
    <t>Chase Edmonds (WAS)</t>
  </si>
  <si>
    <t>Brady Russell (SEA)</t>
  </si>
  <si>
    <t>Avery Williams (NYJ)</t>
  </si>
  <si>
    <t>Alexander Mattison (MIA)</t>
  </si>
  <si>
    <t>Travis Homer (CHI)</t>
  </si>
  <si>
    <t>Nyheim Miller-Hines (NO)</t>
  </si>
  <si>
    <t>Kyle Juszczyk (SF)</t>
  </si>
  <si>
    <t>Joe Mixon (HOU)</t>
  </si>
  <si>
    <t>Najee Harris (PIT)</t>
  </si>
  <si>
    <t>J.K. Dobbins (LAC)</t>
  </si>
  <si>
    <t>Rico Dowdle (DAL)</t>
  </si>
  <si>
    <t>Brian Robinson Jr. (WAS)</t>
  </si>
  <si>
    <t>Tank Bigsby (JAC)</t>
  </si>
  <si>
    <t>Javonte Williams (DEN)</t>
  </si>
  <si>
    <t>Jordan Mason (SF)</t>
  </si>
  <si>
    <t>Alexander Mattison (LV)</t>
  </si>
  <si>
    <t>Ameer Abdullah (LV)</t>
  </si>
  <si>
    <t>Cam Akers (MIN)</t>
  </si>
  <si>
    <t>Gus Edwards (LAC)</t>
  </si>
  <si>
    <t>Zack Moss (CIN)</t>
  </si>
  <si>
    <t>Nick Chubb (CLE)</t>
  </si>
  <si>
    <t>Samaje Perine (KC)</t>
  </si>
  <si>
    <t>Miles Sanders (CAR)</t>
  </si>
  <si>
    <t>Raheem Mostert (MIA)</t>
  </si>
  <si>
    <t>Kenny Gainwell (PHI)</t>
  </si>
  <si>
    <t>Ezekiel Elliott (DAL)</t>
  </si>
  <si>
    <t>Audric Estime (DEN)</t>
  </si>
  <si>
    <t>Dameon Pierce (HOU)</t>
  </si>
  <si>
    <t>Trey Sermon (IND)</t>
  </si>
  <si>
    <t>Jamaal Williams (NO)</t>
  </si>
  <si>
    <t>Patrick Taylor Jr. (SF)</t>
  </si>
  <si>
    <t>D'Onta Foreman (CLE)</t>
  </si>
  <si>
    <t>Cordarrelle Patterson (PIT)</t>
  </si>
  <si>
    <t>D'Ernest Johnson (JAC)</t>
  </si>
  <si>
    <t>Khalil Herbert (CIN)</t>
  </si>
  <si>
    <t>Sincere McCormick (LV)</t>
  </si>
  <si>
    <t>Pierre Strong Jr. (CLE)</t>
  </si>
  <si>
    <t>Kenny McIntosh (SEA)</t>
  </si>
  <si>
    <t>JaMycal Hasty (NE)</t>
  </si>
  <si>
    <t>DeeJay Dallas (ARI)</t>
  </si>
  <si>
    <t>Carson Steele (KC)</t>
  </si>
  <si>
    <t>Jordan Mims (NO)</t>
  </si>
  <si>
    <t>Tony Jones Jr. (ARI)</t>
  </si>
  <si>
    <t>Deuce Vaughn (DAL)</t>
  </si>
  <si>
    <t>Raheem Blackshear (CAR)</t>
  </si>
  <si>
    <t>Clyde Edwards-Helaire (NO)</t>
  </si>
  <si>
    <t>Mike Boone (CAR)</t>
  </si>
  <si>
    <t>Jonathon Brooks (CAR)</t>
  </si>
  <si>
    <t>J.J. Taylor (HOU)</t>
  </si>
  <si>
    <t>Jacob Kibodi (CLE)</t>
  </si>
  <si>
    <t>Jermar Jefferson (DET)</t>
  </si>
  <si>
    <t>Jase McClellan (ATL)</t>
  </si>
  <si>
    <t>Dalvin Cook (DAL)</t>
  </si>
  <si>
    <t>Blake Watson (DEN)</t>
  </si>
  <si>
    <t>Jonathan Ward (PIT)</t>
  </si>
  <si>
    <t>MarShawn Lloyd (GB)</t>
  </si>
  <si>
    <t>Aaron Shampklin (PIT)</t>
  </si>
  <si>
    <t>Tyreik McAllister (LV)</t>
  </si>
  <si>
    <t>Myles Gaskin (MIN)</t>
  </si>
  <si>
    <t>Cody Schrader (LAR)</t>
  </si>
  <si>
    <t>Tyrion Davis-Price (PHI)</t>
  </si>
  <si>
    <t>Ke'Shawn Vaughn (SF)</t>
  </si>
  <si>
    <t>Darrynton Evans (CHI)</t>
  </si>
  <si>
    <t>Joshua Kelley (TEN)</t>
  </si>
  <si>
    <t>Nyheim Miller-Hines (CLE)</t>
  </si>
  <si>
    <t>John Kelly Jr. (BAL)</t>
  </si>
  <si>
    <t>Trayveon Williams (CIN)</t>
  </si>
  <si>
    <t>Jakob Johnson (NYG)</t>
  </si>
  <si>
    <t>Andrew Beck (HOU)</t>
  </si>
  <si>
    <t>Khari Blasingame (CHI)</t>
  </si>
  <si>
    <t>La'Mical Perine (PIT)</t>
  </si>
  <si>
    <t>Keilan Robinson (JAC)</t>
  </si>
  <si>
    <t>D.J. Williams (TB)</t>
  </si>
  <si>
    <t>Avery Williams (ATL)</t>
  </si>
  <si>
    <t>Gary Brightwell (CLE)</t>
  </si>
  <si>
    <t>Adam Prentice (NO)</t>
  </si>
  <si>
    <t>Velus Jones Jr. (CAR)</t>
  </si>
  <si>
    <t>Jabari Small (TEN)</t>
  </si>
  <si>
    <t>Troy Hairston II (HOU)</t>
  </si>
  <si>
    <t>Kazmeir Allen (WAS)</t>
  </si>
  <si>
    <t>Ben VanSumeren (PHI)</t>
  </si>
  <si>
    <t>Dante Miller (NYG)</t>
  </si>
  <si>
    <t>Derrick Henry (TEN)</t>
  </si>
  <si>
    <t>Joe Mixon (CIN)</t>
  </si>
  <si>
    <t>Saquon Barkley (NYG)</t>
  </si>
  <si>
    <t>Gus Edwards (BAL)</t>
  </si>
  <si>
    <t>Tony Pollard (DAL)</t>
  </si>
  <si>
    <t>D'Andre Swift (PHI)</t>
  </si>
  <si>
    <t>Josh Jacobs (LV)</t>
  </si>
  <si>
    <t>Zack Moss (IND)</t>
  </si>
  <si>
    <t>Devin Singletary (HOU)</t>
  </si>
  <si>
    <t>Austin Ekeler (LAC)</t>
  </si>
  <si>
    <t>Ezekiel Elliott (NE)</t>
  </si>
  <si>
    <t>Aaron Jones Sr. (GB)</t>
  </si>
  <si>
    <t>Kareem Hunt (CLE)</t>
  </si>
  <si>
    <t>Alexander Mattison (MIN)</t>
  </si>
  <si>
    <t>AJ Dillon (GB)</t>
  </si>
  <si>
    <t>Khalil Herbert (CHI)</t>
  </si>
  <si>
    <t>D'Onta Foreman (CHI)</t>
  </si>
  <si>
    <t>Antonio Gibson (WAS)</t>
  </si>
  <si>
    <t>Samaje Perine (DEN)</t>
  </si>
  <si>
    <t>Latavius Murray (BUF)</t>
  </si>
  <si>
    <t>Jerick McKinnon (KC)</t>
  </si>
  <si>
    <t>Joshua Kelley (LAC)</t>
  </si>
  <si>
    <t>Royce Freeman (LAR)</t>
  </si>
  <si>
    <t>Elijah Mitchell (SF)</t>
  </si>
  <si>
    <t>Darrell Henderson Jr. (LAR)</t>
  </si>
  <si>
    <t>Matt Breida (NYG)</t>
  </si>
  <si>
    <t>Cordarrelle Patterson (ATL)</t>
  </si>
  <si>
    <t>Salvon Ahmed (MIA)</t>
  </si>
  <si>
    <t>Chase Edmonds (TB)</t>
  </si>
  <si>
    <t>Dalvin Cook (NYJ)</t>
  </si>
  <si>
    <t>Darrynton Evans (MIA)</t>
  </si>
  <si>
    <t>Patrick Taylor Jr. (GB)</t>
  </si>
  <si>
    <t>Kevin Harris (NE)</t>
  </si>
  <si>
    <t>Damien Harris (BUF)</t>
  </si>
  <si>
    <t>Melvin Gordon III (BAL)</t>
  </si>
  <si>
    <t>Isaiah Spiller (LAC)</t>
  </si>
  <si>
    <t>Boston Scott (PHI)</t>
  </si>
  <si>
    <t>Brandon Bolden (LV)</t>
  </si>
  <si>
    <t>La'Mical Perine (KC)</t>
  </si>
  <si>
    <t>Chris Brooks (MIA)</t>
  </si>
  <si>
    <t>Keaontay Ingram (ARI)</t>
  </si>
  <si>
    <t>J.K. Dobbins (BAL)</t>
  </si>
  <si>
    <t>Israel Abanikanda (NYJ)</t>
  </si>
  <si>
    <t>Nick Bawden (NYJ)</t>
  </si>
  <si>
    <t>Gary Brightwell (NYG)</t>
  </si>
  <si>
    <t>Mike Boone (HOU)</t>
  </si>
  <si>
    <t>Damien Williams (ARI)</t>
  </si>
  <si>
    <t>Ty Montgomery II (NE)</t>
  </si>
  <si>
    <t>Ke'Shawn Vaughn (TB)</t>
  </si>
  <si>
    <t>Leonard Fournette (BUF)</t>
  </si>
  <si>
    <t>Rashaad Penny (PHI)</t>
  </si>
  <si>
    <t>Keith Smith (ATL)</t>
  </si>
  <si>
    <t>Derrick Gore (WAS)</t>
  </si>
  <si>
    <t>DeeJay Dallas (SEA)</t>
  </si>
  <si>
    <t>Jake Funk (IND)</t>
  </si>
  <si>
    <t>Tyrion Davis-Price (SF)</t>
  </si>
  <si>
    <t>Bam Knight (DET)</t>
  </si>
  <si>
    <t>Zach Evans (LAR)</t>
  </si>
  <si>
    <t>Elijah Dotson (LAC)</t>
  </si>
  <si>
    <t>Alex Armah Jr. (WAS)</t>
  </si>
  <si>
    <t>Devine Ozigbo (DET)</t>
  </si>
  <si>
    <t>Jashaun Corbin (NYG)</t>
  </si>
  <si>
    <t>Kene Nwangwu (MIN)</t>
  </si>
  <si>
    <t>Jakob Johnson (LV)</t>
  </si>
  <si>
    <t>Kenyan Drake (GB)</t>
  </si>
  <si>
    <t>Anthony McFarland Jr. (PIT)</t>
  </si>
  <si>
    <t>Jonathan Ward (TEN)</t>
  </si>
  <si>
    <t>Chris Evans (CIN)</t>
  </si>
  <si>
    <t>Evan Hull (IND)</t>
  </si>
  <si>
    <t>Dwayne Washington (DEN)</t>
  </si>
  <si>
    <t>Marlon Mack (ARI)</t>
  </si>
  <si>
    <t>Jeremy McNichols (SF)</t>
  </si>
  <si>
    <t>Corey Clement (ARI)</t>
  </si>
  <si>
    <t>Godwin Igwebuike (PIT)</t>
  </si>
  <si>
    <t>Jason Cabinda (DET)</t>
  </si>
  <si>
    <t>Patrick Laird (TB)</t>
  </si>
  <si>
    <t>Austin Walter (LV)</t>
  </si>
  <si>
    <t>JaMycal Hasty (JAC)</t>
  </si>
  <si>
    <t>James Robinson (GB)</t>
  </si>
  <si>
    <t>Kirk Merritt (NO)</t>
  </si>
  <si>
    <t>Mohamed Ibrahim (DET)</t>
  </si>
  <si>
    <t>Bryant Koback (PHI)</t>
  </si>
  <si>
    <t>Velus Jones Jr. (CHI)</t>
  </si>
  <si>
    <t>Brittain Brown (LV)</t>
  </si>
  <si>
    <t>Derek Parish (JAC)</t>
  </si>
  <si>
    <t>SaRodorick Thompson Jr. (SEA)</t>
  </si>
  <si>
    <t>Henry Pearson (GB)</t>
  </si>
  <si>
    <t>Jonathan Williams (WAS)</t>
  </si>
  <si>
    <t>Deon Jackson (NYG)</t>
  </si>
  <si>
    <t>Jamaal Williams (DET)</t>
  </si>
  <si>
    <t>Dalvin Cook (MIN)</t>
  </si>
  <si>
    <t>Miles Sanders (PHI)</t>
  </si>
  <si>
    <t>Leonard Fournette (TB)</t>
  </si>
  <si>
    <t>David Montgomery (CHI)</t>
  </si>
  <si>
    <t>D'Andre Swift (DET)</t>
  </si>
  <si>
    <t>Devin Singletary (BUF)</t>
  </si>
  <si>
    <t>Cam Akers (LAR)</t>
  </si>
  <si>
    <t>Latavius Murray (DEN)</t>
  </si>
  <si>
    <t>D'Onta Foreman (CAR)</t>
  </si>
  <si>
    <t>Kenyan Drake (BAL)</t>
  </si>
  <si>
    <t>Michael Carter (NYJ)</t>
  </si>
  <si>
    <t>James Robinson (NYJ)</t>
  </si>
  <si>
    <t>Damien Harris (NE)</t>
  </si>
  <si>
    <t>Eno Benjamin (NO)</t>
  </si>
  <si>
    <t>Melvin Gordon III (DEN)</t>
  </si>
  <si>
    <t>Chase Edmonds (DEN)</t>
  </si>
  <si>
    <t>Dontrell Hilliard (TEN)</t>
  </si>
  <si>
    <t>Deon Jackson (IND)</t>
  </si>
  <si>
    <t>Nyheim Miller-Hines (BUF)</t>
  </si>
  <si>
    <t>Rashaad Penny (SEA)</t>
  </si>
  <si>
    <t>Bam Knight (NYJ)</t>
  </si>
  <si>
    <t>Caleb Huntley (ATL)</t>
  </si>
  <si>
    <t>Justin Jackson (DET)</t>
  </si>
  <si>
    <t>Rex Burkhead (HOU)</t>
  </si>
  <si>
    <t>Mark Ingram II (NO)</t>
  </si>
  <si>
    <t>Ty Johnson (NYJ)</t>
  </si>
  <si>
    <t>Marlon Mack (DEN)</t>
  </si>
  <si>
    <t>J.D. McKissic (WAS)</t>
  </si>
  <si>
    <t>Travis Homer (SEA)</t>
  </si>
  <si>
    <t>Pierre Strong Jr. (NE)</t>
  </si>
  <si>
    <t>Mike Boone (DEN)</t>
  </si>
  <si>
    <t>Tevin Coleman (SF)</t>
  </si>
  <si>
    <t>Malcolm Brown (LAR)</t>
  </si>
  <si>
    <t>Darrel Williams (ARI)</t>
  </si>
  <si>
    <t>Benny Snell Jr. (PIT)</t>
  </si>
  <si>
    <t>Sony Michel (LAC)</t>
  </si>
  <si>
    <t>Derek Watt (PIT)</t>
  </si>
  <si>
    <t>Ronald Jones II (KC)</t>
  </si>
  <si>
    <t>Hassan Haskins (TEN)</t>
  </si>
  <si>
    <t>Zander Horvath (LAC)</t>
  </si>
  <si>
    <t>Royce Freeman (HOU)</t>
  </si>
  <si>
    <t>Snoop Conner (JAC)</t>
  </si>
  <si>
    <t>Phillip Lindsay (IND)</t>
  </si>
  <si>
    <t>Jordan Wilkins (IND)</t>
  </si>
  <si>
    <t>Jaret Patterson (WAS)</t>
  </si>
  <si>
    <t>Myles Gaskin (MIA)</t>
  </si>
  <si>
    <t>Tony Jones Jr. (SEA)</t>
  </si>
  <si>
    <t>Spencer Brown (CAR)</t>
  </si>
  <si>
    <t>David Johnson (NO)</t>
  </si>
  <si>
    <t>Dwayne Washington (NO)</t>
  </si>
  <si>
    <t>Trestan Ebner (CHI)</t>
  </si>
  <si>
    <t>Larry Rountree III (LAC)</t>
  </si>
  <si>
    <t>Giovani Bernard (TB)</t>
  </si>
  <si>
    <t>D'Ernest Johnson (CLE)</t>
  </si>
  <si>
    <t>Mike Davis (BAL)</t>
  </si>
  <si>
    <t>Trey Sermon (PHI)</t>
  </si>
  <si>
    <t>Michael Burton (KC)</t>
  </si>
  <si>
    <t>J.J. Taylor (NE)</t>
  </si>
  <si>
    <t>Reggie Bonnafon (WAS)</t>
  </si>
  <si>
    <t>Godwin Igwebuike (SEA)</t>
  </si>
  <si>
    <t>Devine Ozigbo (DEN)</t>
  </si>
  <si>
    <t>Kylin Hill (GB)</t>
  </si>
  <si>
    <t>Ty'Son Williams (ARI)</t>
  </si>
  <si>
    <t>Duke Johnson Jr. (BUF)</t>
  </si>
  <si>
    <t>Demetric Felton Jr. (CLE)</t>
  </si>
  <si>
    <t>Damien Williams (ATL)</t>
  </si>
  <si>
    <t>Jordan Howard (NO)</t>
  </si>
  <si>
    <t>Kenjon Barner (TB)</t>
  </si>
  <si>
    <t>J.P. Holtz (NO)</t>
  </si>
  <si>
    <t>Brandin Bryant (BUF)</t>
  </si>
  <si>
    <t>Trenton Cannon (TEN)</t>
  </si>
  <si>
    <t>Qadree Ollison (DAL)</t>
  </si>
  <si>
    <t>Cullen Gillaspia (SEA)</t>
  </si>
  <si>
    <t>Andrew Beck (DEN)</t>
  </si>
  <si>
    <t>La'Mical Perine (MIA)</t>
  </si>
  <si>
    <t>Sandro Platzgummer (NYG)</t>
  </si>
  <si>
    <t>Jake Funk (LAR)</t>
  </si>
  <si>
    <t>Ben Mason (BAL)</t>
  </si>
  <si>
    <t>Bryant Koback (MIN)</t>
  </si>
  <si>
    <t>John Lovett (CAR)</t>
  </si>
  <si>
    <t>Taiwan Jones (BUF)</t>
  </si>
  <si>
    <t>Darrel Williams (KC)</t>
  </si>
  <si>
    <t>James Robinson (JAC)</t>
  </si>
  <si>
    <t>Sony Michel (LAR)</t>
  </si>
  <si>
    <t>Devonta Freeman (BAL)</t>
  </si>
  <si>
    <t>Devontae Booker (NYG)</t>
  </si>
  <si>
    <t>Chase Edmonds (ARI)</t>
  </si>
  <si>
    <t>Mike Davis (ATL)</t>
  </si>
  <si>
    <t>Latavius Murray (BAL)</t>
  </si>
  <si>
    <t>Christian McCaffrey (CAR)</t>
  </si>
  <si>
    <t>D'Onta Foreman (TEN)</t>
  </si>
  <si>
    <t>Brandon Bolden (NE)</t>
  </si>
  <si>
    <t>Zack Moss (BUF)</t>
  </si>
  <si>
    <t>Nyheim Miller-Hines (IND)</t>
  </si>
  <si>
    <t>Kenyan Drake (LV)</t>
  </si>
  <si>
    <t>Ronald Jones II (TB)</t>
  </si>
  <si>
    <t>Justin Jackson (LAC)</t>
  </si>
  <si>
    <t>Jordan Howard (PHI)</t>
  </si>
  <si>
    <t>Alex Collins (SEA)</t>
  </si>
  <si>
    <t>Duke Johnson Jr. (MIA)</t>
  </si>
  <si>
    <t>Ameer Abdullah (CAR)</t>
  </si>
  <si>
    <t>David Johnson (HOU)</t>
  </si>
  <si>
    <t>Derrick Gore (KC)</t>
  </si>
  <si>
    <t>Jeremy McNichols (TEN)</t>
  </si>
  <si>
    <t>Damien Williams (CHI)</t>
  </si>
  <si>
    <t>Jeff Wilson Jr. (SF)</t>
  </si>
  <si>
    <t>Chris Carson (SEA)</t>
  </si>
  <si>
    <t>Phillip Lindsay (MIA)</t>
  </si>
  <si>
    <t>Tevin Coleman (NYJ)</t>
  </si>
  <si>
    <t>Peyton Barber (LV)</t>
  </si>
  <si>
    <t>Dare Ogunbowale (JAC)</t>
  </si>
  <si>
    <t>Matt Breida (BUF)</t>
  </si>
  <si>
    <t>Carlos Hyde (JAC)</t>
  </si>
  <si>
    <t>Le'Veon Bell (TB)</t>
  </si>
  <si>
    <t>Ty'Son Williams (BAL)</t>
  </si>
  <si>
    <t>Elijhaa Penny (NYG)</t>
  </si>
  <si>
    <t>JaMycal Hasty (SF)</t>
  </si>
  <si>
    <t>Trey Sermon (SF)</t>
  </si>
  <si>
    <t>Corey Clement (DAL)</t>
  </si>
  <si>
    <t>Adrian Peterson (SEA)</t>
  </si>
  <si>
    <t>Eno Benjamin (ARI)</t>
  </si>
  <si>
    <t>Godwin Igwebuike (DET)</t>
  </si>
  <si>
    <t>Malcolm Brown (MIA)</t>
  </si>
  <si>
    <t>James White (NE)</t>
  </si>
  <si>
    <t>Tony Jones Jr. (NO)</t>
  </si>
  <si>
    <t>Austin Walter (NYJ)</t>
  </si>
  <si>
    <t>Qadree Ollison (ATL)</t>
  </si>
  <si>
    <t>Alec Ingold (LV)</t>
  </si>
  <si>
    <t>Ty Montgomery II (NO)</t>
  </si>
  <si>
    <t>Wayne Gallman Jr. (MIN)</t>
  </si>
  <si>
    <t>Jalen Richard (LV)</t>
  </si>
  <si>
    <t>Marlon Mack (IND)</t>
  </si>
  <si>
    <t>Ryquell Armstead (JAC)</t>
  </si>
  <si>
    <t>Andy Janovich (CLE)</t>
  </si>
  <si>
    <t>JaQuan Hardy (DAL)</t>
  </si>
  <si>
    <t>Johnny Stanton IV (CLE)</t>
  </si>
  <si>
    <t>Jonathan Ward (ARI)</t>
  </si>
  <si>
    <t>Ito Smith (DAL)</t>
  </si>
  <si>
    <t>Jason Huntley (PHI)</t>
  </si>
  <si>
    <t>Rodney Smith (CAR)</t>
  </si>
  <si>
    <t>Wendell Smallwood (WAS)</t>
  </si>
  <si>
    <t>Kalen Ballage (PIT)</t>
  </si>
  <si>
    <t>Jakob Johnson (NE)</t>
  </si>
  <si>
    <t>La'Mical Perine (NYJ)</t>
  </si>
  <si>
    <t>Gabe Nabers (LAC)</t>
  </si>
  <si>
    <t>Jaylen Samuels (HOU)</t>
  </si>
  <si>
    <t>Scottie Phillips (HOU)</t>
  </si>
  <si>
    <t>Patrick Laird (MIA)</t>
  </si>
  <si>
    <t>Raheem Mostert (SF)</t>
  </si>
  <si>
    <t>Darrynton Evans (TEN)</t>
  </si>
  <si>
    <t>Reggie Bonnafon (CAR)</t>
  </si>
  <si>
    <t>Trey Ragas (LV)</t>
  </si>
  <si>
    <t>John Kelly Jr. (CLE)</t>
  </si>
  <si>
    <t>Jacques Patrick (SF)</t>
  </si>
  <si>
    <t>Buddy Howell (LAR)</t>
  </si>
  <si>
    <t>Mekhi Sargent (JAC)</t>
  </si>
  <si>
    <t>Ryan Nall (CHI)</t>
  </si>
  <si>
    <t>Damarea Crockett (DEN)</t>
  </si>
  <si>
    <t>Devine Ozigbo (JAC)</t>
  </si>
  <si>
    <t>Nathan Cottrell (JAC)</t>
  </si>
  <si>
    <t>J.P. Holtz (CHI)</t>
  </si>
  <si>
    <t>Brian Hill (SF)</t>
  </si>
  <si>
    <t>Tarik Cohen (CHI)</t>
  </si>
  <si>
    <t>Elijah McGuire (KC)</t>
  </si>
  <si>
    <t>Cethan Carter (MIA)</t>
  </si>
  <si>
    <t>Trey Edmunds (PIT)</t>
  </si>
  <si>
    <t>Jordan Wilkins (TEN)</t>
  </si>
  <si>
    <t>Darwin Thompson (TB)</t>
  </si>
  <si>
    <t>Sutton Smith (LV)</t>
  </si>
  <si>
    <t>Cullen Gillaspia (NYG)</t>
  </si>
  <si>
    <t>LeVante Bellamy (DEN)</t>
  </si>
  <si>
    <t>Darius Bradwell (LAC)</t>
  </si>
  <si>
    <t>Artavis Pierce (CHI)</t>
  </si>
  <si>
    <t>Sewo Olonilua (DAL)</t>
  </si>
  <si>
    <t>Kirk Merritt (MIA)</t>
  </si>
  <si>
    <t>Pooka Williams Jr. (CIN)</t>
  </si>
  <si>
    <t>Gerrid Doaks (MIA)</t>
  </si>
  <si>
    <t>Tory Carter (TEN)</t>
  </si>
  <si>
    <t>Nick Ralston (DAL)</t>
  </si>
  <si>
    <t>B.J. Emmons (SEA)</t>
  </si>
  <si>
    <t>Josh Johnson (SEA)</t>
  </si>
  <si>
    <t>Nate McCrary (BAL)</t>
  </si>
  <si>
    <t>Khari Blasingame (TEN)</t>
  </si>
  <si>
    <t>Trenton Cannon (SF)</t>
  </si>
  <si>
    <t>Kenyan Drake (ARI)</t>
  </si>
  <si>
    <t>Mike Davis (CAR)</t>
  </si>
  <si>
    <t>Todd Gurley II (ATL)</t>
  </si>
  <si>
    <t>James Conner (PIT)</t>
  </si>
  <si>
    <t>Wayne Gallman Jr. (NYG)</t>
  </si>
  <si>
    <t>Latavius Murray (NO)</t>
  </si>
  <si>
    <t>Adrian Peterson (DET)</t>
  </si>
  <si>
    <t>Giovani Bernard (CIN)</t>
  </si>
  <si>
    <t>Jamaal Williams (GB)</t>
  </si>
  <si>
    <t>Jerick McKinnon (SF)</t>
  </si>
  <si>
    <t>Frank Gore (NYJ)</t>
  </si>
  <si>
    <t>Rex Burkhead (NE)</t>
  </si>
  <si>
    <t>Brian Hill (ATL)</t>
  </si>
  <si>
    <t>Carlos Hyde (SEA)</t>
  </si>
  <si>
    <t>Devontae Booker (LV)</t>
  </si>
  <si>
    <t>Sony Michel (NE)</t>
  </si>
  <si>
    <t>Kalen Ballage (LAC)</t>
  </si>
  <si>
    <t>Phillip Lindsay (DEN)</t>
  </si>
  <si>
    <t>Le'Veon Bell (KC)</t>
  </si>
  <si>
    <t>Duke Johnson Jr. (HOU)</t>
  </si>
  <si>
    <t>Kerryon Johnson (DET)</t>
  </si>
  <si>
    <t>Peyton Barber (WAS)</t>
  </si>
  <si>
    <t>Mark Ingram II (BAL)</t>
  </si>
  <si>
    <t>Ito Smith (ATL)</t>
  </si>
  <si>
    <t>Dion Lewis (NYG)</t>
  </si>
  <si>
    <t>Alfred Morris (NYG)</t>
  </si>
  <si>
    <t>Cordarrelle Patterson (CHI)</t>
  </si>
  <si>
    <t>Matt Breida (MIA)</t>
  </si>
  <si>
    <t>Josh Adams (NYJ)</t>
  </si>
  <si>
    <t>Devonta Freeman (NYG)</t>
  </si>
  <si>
    <t>Darwin Thompson (KC)</t>
  </si>
  <si>
    <t>Royce Freeman (DEN)</t>
  </si>
  <si>
    <t>Chris Thompson (JAC)</t>
  </si>
  <si>
    <t>Ameer Abdullah (MIN)</t>
  </si>
  <si>
    <t>Antonio Williams (BUF)</t>
  </si>
  <si>
    <t>Corey Clement (PHI)</t>
  </si>
  <si>
    <t>T.J. Yeldon (BUF)</t>
  </si>
  <si>
    <t>Tyler Ervin (GB)</t>
  </si>
  <si>
    <t>LeSean McCoy (TB)</t>
  </si>
  <si>
    <t>Mike Boone (MIN)</t>
  </si>
  <si>
    <t>DeAndre Washington (MIA)</t>
  </si>
  <si>
    <t>Troymaine Pope (LAC)</t>
  </si>
  <si>
    <t>C.J. Prosise (HOU)</t>
  </si>
  <si>
    <t>Jaylen Samuels (PIT)</t>
  </si>
  <si>
    <t>Anthony Sherman (KC)</t>
  </si>
  <si>
    <t>Buddy Howell (HOU)</t>
  </si>
  <si>
    <t>Theo Riddick (LV)</t>
  </si>
  <si>
    <t>Dontrell Hilliard (HOU)</t>
  </si>
  <si>
    <t>Trenton Cannon (CAR)</t>
  </si>
  <si>
    <t>Michael Burton (NO)</t>
  </si>
  <si>
    <t>Bo Scarbrough (SEA)</t>
  </si>
  <si>
    <t>Austin Walter (SF)</t>
  </si>
  <si>
    <t>Alex Armah Jr. (CAR)</t>
  </si>
  <si>
    <t>Senorise Perry (TEN)</t>
  </si>
  <si>
    <t>D.J. Foster (ARI)</t>
  </si>
  <si>
    <t>Chandler Cox (MIA)</t>
  </si>
  <si>
    <t>Dexter Williams (GB)</t>
  </si>
  <si>
    <t>Craig Reynolds (JAC)</t>
  </si>
  <si>
    <t>Lamar Miller (CHI)</t>
  </si>
  <si>
    <t>Jonathan Williams (DET)</t>
  </si>
  <si>
    <t>Cullen Gillaspia (HOU)</t>
  </si>
  <si>
    <t>Tony Brooks-James (ATL)</t>
  </si>
  <si>
    <t>Bruce Miller (JAC)</t>
  </si>
  <si>
    <t>Wendell Smallwood (PIT)</t>
  </si>
  <si>
    <t>Cethan Carter (CIN)</t>
  </si>
  <si>
    <t>Elijah Holyfield (PHI)</t>
  </si>
  <si>
    <t>John Lovett (GB)</t>
  </si>
  <si>
    <t>Jeremy Cox (DEN)</t>
  </si>
  <si>
    <t>Michael Warren II (WAS)</t>
  </si>
  <si>
    <t>Javon Leake (WAS)</t>
  </si>
  <si>
    <t>Xavier Jones (LAR)</t>
  </si>
  <si>
    <t>Raymond Calais (LAR)</t>
  </si>
  <si>
    <t>Jake Bargas (MIN)</t>
  </si>
  <si>
    <t>Adrian Killins Jr. (PHI)</t>
  </si>
  <si>
    <t>Todd Gurley II (LAR)</t>
  </si>
  <si>
    <t>Leonard Fournette (JAC)</t>
  </si>
  <si>
    <t>Josh Jacobs (OAK)</t>
  </si>
  <si>
    <t>Le'Veon Bell (NYJ)</t>
  </si>
  <si>
    <t>Carlos Hyde (HOU)</t>
  </si>
  <si>
    <t>Melvin Gordon III (LAC)</t>
  </si>
  <si>
    <t>Devonta Freeman (ATL)</t>
  </si>
  <si>
    <t>Adrian Peterson (WAS)</t>
  </si>
  <si>
    <t>Damien Williams (KC)</t>
  </si>
  <si>
    <t>David Johnson (ARI)</t>
  </si>
  <si>
    <t>Peyton Barber (TB)</t>
  </si>
  <si>
    <t>LeSean McCoy (KC)</t>
  </si>
  <si>
    <t>DeAndre Washington (OAK)</t>
  </si>
  <si>
    <t>Matt Breida (SF)</t>
  </si>
  <si>
    <t>Frank Gore (BUF)</t>
  </si>
  <si>
    <t>Chris Thompson (WAS)</t>
  </si>
  <si>
    <t>Derrius Guice (WAS)</t>
  </si>
  <si>
    <t>J.D. McKissic (DET)</t>
  </si>
  <si>
    <t>Jalen Richard (OAK)</t>
  </si>
  <si>
    <t>Bo Scarbrough (DET)</t>
  </si>
  <si>
    <t>Dion Lewis (TEN)</t>
  </si>
  <si>
    <t>Dare Ogunbowale (TB)</t>
  </si>
  <si>
    <t>Kalen Ballage (MIA)</t>
  </si>
  <si>
    <t>Ty Johnson (DET)</t>
  </si>
  <si>
    <t>Jonathan Williams (IND)</t>
  </si>
  <si>
    <t>Mark Walton (MIA)</t>
  </si>
  <si>
    <t>Bilal Powell (NYJ)</t>
  </si>
  <si>
    <t>Dontrell Hilliard (CLE)</t>
  </si>
  <si>
    <t>Ty Montgomery II (NYJ)</t>
  </si>
  <si>
    <t>C.J. Prosise (SEA)</t>
  </si>
  <si>
    <t>Wes Hills (DET)</t>
  </si>
  <si>
    <t>Kerrith Whyte Jr. (PIT)</t>
  </si>
  <si>
    <t>Alec Ingold (OAK)</t>
  </si>
  <si>
    <t>Darren Sproles (PHI)</t>
  </si>
  <si>
    <t>Javorius Allen (NYG)</t>
  </si>
  <si>
    <t>Andy Janovich (DEN)</t>
  </si>
  <si>
    <t>Derek Watt (LAC)</t>
  </si>
  <si>
    <t>Danny Vitale (GB)</t>
  </si>
  <si>
    <t>Marshawn Lynch (SEA)</t>
  </si>
  <si>
    <t>Kenjon Barner (ATL)</t>
  </si>
  <si>
    <t>Spencer Ware (KC)</t>
  </si>
  <si>
    <t>Devontae Booker (DEN)</t>
  </si>
  <si>
    <t>Tra Carson (DET)</t>
  </si>
  <si>
    <t>Zach Line (NO)</t>
  </si>
  <si>
    <t>Jon Hilliman (NYG)</t>
  </si>
  <si>
    <t>Taiwan Jones (HOU)</t>
  </si>
  <si>
    <t>Patrick DiMarco (BUF)</t>
  </si>
  <si>
    <t>C.J. Anderson (DET)</t>
  </si>
  <si>
    <t>Paul Perkins (DET)</t>
  </si>
  <si>
    <t>Jay Ajayi (PHI)</t>
  </si>
  <si>
    <t>Dalyn Dawkins (TEN)</t>
  </si>
  <si>
    <t>T.J. Logan (TB)</t>
  </si>
  <si>
    <t>Zach Zenner (MIA)</t>
  </si>
  <si>
    <t>Nick Bawden (DET)</t>
  </si>
  <si>
    <t>Samaje Perine (MIA)</t>
  </si>
  <si>
    <t>Josh Ferguson (WAS)</t>
  </si>
  <si>
    <t>John Kelly Jr. (LAR)</t>
  </si>
  <si>
    <t>Jordan Scarlett (CAR)</t>
  </si>
  <si>
    <t>Ricky Ortiz (NO)</t>
  </si>
  <si>
    <t>Tony Brooks-James (PIT)</t>
  </si>
  <si>
    <t>De'Lance Turner (MIA)</t>
  </si>
  <si>
    <t>Alfred Morris (ARI)</t>
  </si>
  <si>
    <t>Senorise Perry (BUF)</t>
  </si>
  <si>
    <t>Roosevelt Nix (PIT)</t>
  </si>
  <si>
    <t>James Develin (NE)</t>
  </si>
  <si>
    <t>Jamaal Charles (JAC)</t>
  </si>
  <si>
    <t>Jonathan Stewart (NYG)</t>
  </si>
  <si>
    <t>LeGarrette Blount (DET)</t>
  </si>
  <si>
    <t>Chris Ivory (BUF)</t>
  </si>
  <si>
    <t>Stevan Ridley (PIT)</t>
  </si>
  <si>
    <t>DuJuan Harris (CIN)</t>
  </si>
  <si>
    <t>Lamar Miller (HOU)</t>
  </si>
  <si>
    <t>Robert Turbin (SEA)</t>
  </si>
  <si>
    <t>Travaris Cadet (CAR)</t>
  </si>
  <si>
    <t>Jamize Olawale (DAL)</t>
  </si>
  <si>
    <t>Mike Gillislee (NO)</t>
  </si>
  <si>
    <t>Christine Michael (IND)</t>
  </si>
  <si>
    <t>Derrick Coleman (ARI)</t>
  </si>
  <si>
    <t>Jeremy Hill (NE)</t>
  </si>
  <si>
    <t>David Fluellen (TEN)</t>
  </si>
  <si>
    <t>Cameron Artis-Payne (CAR)</t>
  </si>
  <si>
    <t>Jeremy Langford (ATL)</t>
  </si>
  <si>
    <t>Michael Burton (WAS)</t>
  </si>
  <si>
    <t>Rod Smith (OAK)</t>
  </si>
  <si>
    <t>Alex Collins (BAL)</t>
  </si>
  <si>
    <t>Kenneth Dixon (BAL)</t>
  </si>
  <si>
    <t>Brandin Bryant (CLE)</t>
  </si>
  <si>
    <t>Tre Madden (SEA)</t>
  </si>
  <si>
    <t>Jeremy McNichols (JAC)</t>
  </si>
  <si>
    <t>Joe Williams (NO)</t>
  </si>
  <si>
    <t>Justin Davis (LAR)</t>
  </si>
  <si>
    <t>Lavon Coleman (GB)</t>
  </si>
  <si>
    <t>Trenton Cannon (NYJ)</t>
  </si>
  <si>
    <t>Detrez Newsome (LAC)</t>
  </si>
  <si>
    <t>Jordan Chunn (DAL)</t>
  </si>
  <si>
    <t>Donnie Ernsberger (TB)</t>
  </si>
  <si>
    <t>Bryce Love (WAS)</t>
  </si>
  <si>
    <t>Austin Walter (NYG)</t>
  </si>
  <si>
    <t>Craig Reynolds (WAS)</t>
  </si>
  <si>
    <t>Tevin Coleman (ATL)</t>
  </si>
  <si>
    <t>Jordan Howard (CHI)</t>
  </si>
  <si>
    <t>Kenyan Drake (MIA)</t>
  </si>
  <si>
    <t>Isaiah Crowell (NYJ)</t>
  </si>
  <si>
    <t>T.J. Yeldon (JAC)</t>
  </si>
  <si>
    <t>Latavius Murray (MIN)</t>
  </si>
  <si>
    <t>Mike Davis (SEA)</t>
  </si>
  <si>
    <t>Doug Martin (OAK)</t>
  </si>
  <si>
    <t>LeSean McCoy (BUF)</t>
  </si>
  <si>
    <t>Frank Gore (MIA)</t>
  </si>
  <si>
    <t>Wendell Smallwood (PHI)</t>
  </si>
  <si>
    <t>Duke Johnson Jr. (CLE)</t>
  </si>
  <si>
    <t>Alfred Blue (HOU)</t>
  </si>
  <si>
    <t>Josh Adams (PHI)</t>
  </si>
  <si>
    <t>Elijah McGuire (NYJ)</t>
  </si>
  <si>
    <t>Marshawn Lynch (OAK)</t>
  </si>
  <si>
    <t>C.J. Anderson (LAR)</t>
  </si>
  <si>
    <t>Alfred Morris (SF)</t>
  </si>
  <si>
    <t>Javorius Allen (BAL)</t>
  </si>
  <si>
    <t>Theo Riddick (DET)</t>
  </si>
  <si>
    <t>Zach Zenner (DET)</t>
  </si>
  <si>
    <t>Cordarrelle Patterson (NE)</t>
  </si>
  <si>
    <t>Ty Montgomery II (BAL)</t>
  </si>
  <si>
    <t>Kapri Bibbs (GB)</t>
  </si>
  <si>
    <t>Jacquizz Rodgers (TB)</t>
  </si>
  <si>
    <t>Marcus Murphy (BUF)</t>
  </si>
  <si>
    <t>Brandon Bolden (MIA)</t>
  </si>
  <si>
    <t>Rod Smith (DAL)</t>
  </si>
  <si>
    <t>Taquan Mizzell (CHI)</t>
  </si>
  <si>
    <t>Corey Grant (JAC)</t>
  </si>
  <si>
    <t>Keith Ford (BUF)</t>
  </si>
  <si>
    <t>Charcandrick West (KC)</t>
  </si>
  <si>
    <t>D'Onta Foreman (HOU)</t>
  </si>
  <si>
    <t>Mark Walton (CIN)</t>
  </si>
  <si>
    <t>Kenjon Barner (CAR)</t>
  </si>
  <si>
    <t>Ryan Hewitt (IND)</t>
  </si>
  <si>
    <t>Roc Thomas (MIN)</t>
  </si>
  <si>
    <t>Tommy Bohanon (JAC)</t>
  </si>
  <si>
    <t>Byron Marshall (WAS)</t>
  </si>
  <si>
    <t>T.J. Logan (ARI)</t>
  </si>
  <si>
    <t>Samaje Perine (WAS)</t>
  </si>
  <si>
    <t>David Williams (JAC)</t>
  </si>
  <si>
    <t>Tyler Ervin (HOU)</t>
  </si>
  <si>
    <t>Shaun Wilson (TB)</t>
  </si>
  <si>
    <t>Benny Cunningham Jr. (CHI)</t>
  </si>
  <si>
    <t>Keith Smith (OAK)</t>
  </si>
  <si>
    <t>De'Lance Turner (BAL)</t>
  </si>
  <si>
    <t>Darius Jackson (DAL)</t>
  </si>
  <si>
    <t>Brandon Wilds (JAC)</t>
  </si>
  <si>
    <t>Ricky Ortiz (ATL)</t>
  </si>
  <si>
    <t>Robert Kelley (WAS)</t>
  </si>
  <si>
    <t>J.D. McKissic (SEA)</t>
  </si>
  <si>
    <t>Michael Burton (CHI)</t>
  </si>
  <si>
    <t>Jeremy McNichols (IND)</t>
  </si>
  <si>
    <t>Jonathan Williams (NO)</t>
  </si>
  <si>
    <t>Senorise Perry (MIA)</t>
  </si>
  <si>
    <t>Thomas Rawls (CIN)</t>
  </si>
  <si>
    <t>Tra Carson (GB)</t>
  </si>
  <si>
    <t>Matt Dayes (SF)</t>
  </si>
  <si>
    <t>Shane Smith (NYG)</t>
  </si>
  <si>
    <t>Godwin Igwebuike (SF)</t>
  </si>
  <si>
    <t>Jason Cabinda (OAK)</t>
  </si>
  <si>
    <t>De'Angelo Henderson Sr. (NYJ)</t>
  </si>
  <si>
    <t>Robert Turbin (IND)</t>
  </si>
  <si>
    <t>Player (TM)</t>
  </si>
  <si>
    <t>TM</t>
  </si>
  <si>
    <t>In5ATT</t>
  </si>
  <si>
    <t>In5RushTD</t>
  </si>
  <si>
    <t>In5Rush%</t>
  </si>
  <si>
    <t>In5REC</t>
  </si>
  <si>
    <t>In5TG</t>
  </si>
  <si>
    <t>In5RecTD</t>
  </si>
  <si>
    <t>Player (Team)</t>
  </si>
  <si>
    <t>Act RecTD%</t>
  </si>
  <si>
    <t>Act RuTD%</t>
  </si>
  <si>
    <t>Adj RecTD%</t>
  </si>
  <si>
    <t>Adj RuTD%</t>
  </si>
  <si>
    <t>name</t>
  </si>
  <si>
    <t>tm</t>
  </si>
  <si>
    <t>year</t>
  </si>
  <si>
    <t>Jonathan Taylor (IND)</t>
  </si>
  <si>
    <t>Christian McCaffrey (SF)</t>
  </si>
  <si>
    <t>Bijan Robinson (ATL)</t>
  </si>
  <si>
    <t>Jahmyr Gibbs (DET)</t>
  </si>
  <si>
    <t>James Cook III (BUF)</t>
  </si>
  <si>
    <t>De'Von Achane (MIA)</t>
  </si>
  <si>
    <t>Derrick Henry (BAL)</t>
  </si>
  <si>
    <t>Kyren Williams (LAR)</t>
  </si>
  <si>
    <t>Travis Etienne Jr. (JAC)</t>
  </si>
  <si>
    <t>Javonte Williams (DAL)</t>
  </si>
  <si>
    <t>Josh Jacobs (GB)</t>
  </si>
  <si>
    <t>Chase Brown (CIN)</t>
  </si>
  <si>
    <t>Saquon Barkley (PHI)</t>
  </si>
  <si>
    <t>D'Andre Swift (CHI)</t>
  </si>
  <si>
    <t>Ashton Jeanty (LV)</t>
  </si>
  <si>
    <t>Rico Dowdle (CAR)</t>
  </si>
  <si>
    <t>Breece Hall (NYJ)</t>
  </si>
  <si>
    <t>Jaylen Warren (PIT)</t>
  </si>
  <si>
    <t>RJ Harvey (DEN)</t>
  </si>
  <si>
    <t>TreVeyon Henderson (NE)</t>
  </si>
  <si>
    <t>Kenneth Walker III (SEA)</t>
  </si>
  <si>
    <t>Tony Pollard (TEN)</t>
  </si>
  <si>
    <t>Zach Charbonnet (SEA)</t>
  </si>
  <si>
    <t>Quinshon Judkins (CLE)</t>
  </si>
  <si>
    <t>David Montgomery (DET)</t>
  </si>
  <si>
    <t>Kenny Gainwell (PIT)</t>
  </si>
  <si>
    <t>Jacory Croskey-Merritt (WAS)</t>
  </si>
  <si>
    <t>Kareem Hunt (KC)</t>
  </si>
  <si>
    <t>Kyle Monangai (CHI)</t>
  </si>
  <si>
    <t>Woody Marks (HOU)</t>
  </si>
  <si>
    <t>Rhamondre Stevenson (NE)</t>
  </si>
  <si>
    <t>Blake Corum (LAR)</t>
  </si>
  <si>
    <t>Tyler Allgeier (ATL)</t>
  </si>
  <si>
    <t>Jordan Mason (MIN)</t>
  </si>
  <si>
    <t>J.K. Dobbins (DEN)</t>
  </si>
  <si>
    <t>Tyrone Tracy Jr. (NYG)</t>
  </si>
  <si>
    <t>Omarion Hampton (LAC)</t>
  </si>
  <si>
    <t>Cam Skattebo (NYG)</t>
  </si>
  <si>
    <t>Kimani Vidal (LAC)</t>
  </si>
  <si>
    <t>Rachaad White (TB)</t>
  </si>
  <si>
    <t>Bucky Irving (TB)</t>
  </si>
  <si>
    <t>Chuba Hubbard (CAR)</t>
  </si>
  <si>
    <t>Sean Tucker (TB)</t>
  </si>
  <si>
    <t>Devin Singletary (NYG)</t>
  </si>
  <si>
    <t>Nick Chubb (HOU)</t>
  </si>
  <si>
    <t>Chris Rodriguez Jr. (WAS)</t>
  </si>
  <si>
    <t>Emanuel Wilson (GB)</t>
  </si>
  <si>
    <t>Bam Knight (ARI)</t>
  </si>
  <si>
    <t>Bhayshul Tuten (JAC)</t>
  </si>
  <si>
    <t>Isiah Pacheco (KC)</t>
  </si>
  <si>
    <t>Alvin Kamara (NO)</t>
  </si>
  <si>
    <t>Tyjae Spears (TEN)</t>
  </si>
  <si>
    <t>Michael Carter (ARI)</t>
  </si>
  <si>
    <t>Ty Johnson (BUF)</t>
  </si>
  <si>
    <t>Samaje Perine (CIN)</t>
  </si>
  <si>
    <t>Brian Robinson Jr. (SF)</t>
  </si>
  <si>
    <t>Isaiah Davis (NYJ)</t>
  </si>
  <si>
    <t>Dylan Sampson (CLE)</t>
  </si>
  <si>
    <t>Jeremy McNichols (WAS)</t>
  </si>
  <si>
    <t>Keaton Mitchell (BAL)</t>
  </si>
  <si>
    <t>Ollie Gordon II (MIA)</t>
  </si>
  <si>
    <t>Devin Neal (NO)</t>
  </si>
  <si>
    <t>Jaylen Wright (MIA)</t>
  </si>
  <si>
    <t>Emari Demercado (ARI)</t>
  </si>
  <si>
    <t>Malik Davis (DAL)</t>
  </si>
  <si>
    <t>Tank Bigsby (PHI)</t>
  </si>
  <si>
    <t>Brashard Smith (KC)</t>
  </si>
  <si>
    <t>Ray Davis (BUF)</t>
  </si>
  <si>
    <t>Kendre Miller (NO)</t>
  </si>
  <si>
    <t>Audric Estime (NO)</t>
  </si>
  <si>
    <t>James Conner (ARI)</t>
  </si>
  <si>
    <t>Zavier Scott (MIN)</t>
  </si>
  <si>
    <t>Trey Benson (ARI)</t>
  </si>
  <si>
    <t>Jawhar Jordan (HOU)</t>
  </si>
  <si>
    <t>Jaleel McLaughlin (DEN)</t>
  </si>
  <si>
    <t>Jaret Patterson (LAC)</t>
  </si>
  <si>
    <t>Raheim Sanders (CLE)</t>
  </si>
  <si>
    <t>Chris Brooks (GB)</t>
  </si>
  <si>
    <t>Kaleb Johnson (PIT)</t>
  </si>
  <si>
    <t>Jaydon Blue (DAL)</t>
  </si>
  <si>
    <t>DJ Giddens (IND)</t>
  </si>
  <si>
    <t>Joe Mixon (HOU)</t>
  </si>
  <si>
    <t>Najee Harris (PIT)</t>
  </si>
  <si>
    <t>J.K. Dobbins (LAC)</t>
  </si>
  <si>
    <t>Rico Dowdle (DAL)</t>
  </si>
  <si>
    <t>Brian Robinson Jr. (WAS)</t>
  </si>
  <si>
    <t>Tank Bigsby (JAC)</t>
  </si>
  <si>
    <t>Jordan Mason (SF)</t>
  </si>
  <si>
    <t>Alexander Mattison (LV)</t>
  </si>
  <si>
    <t>Javonte Williams (DEN)</t>
  </si>
  <si>
    <t>Jerome Ford (CLE)</t>
  </si>
  <si>
    <t>Austin Ekeler (WAS)</t>
  </si>
  <si>
    <t>Ameer Abdullah (LV)</t>
  </si>
  <si>
    <t>Justice Hill (BAL)</t>
  </si>
  <si>
    <t>Isaac Guerendo (SF)</t>
  </si>
  <si>
    <t>Antonio Gibson (NE)</t>
  </si>
  <si>
    <t>Cam Akers (MIN)</t>
  </si>
  <si>
    <t>Braelon Allen (NYJ)</t>
  </si>
  <si>
    <t>Gus Edwards (LAC)</t>
  </si>
  <si>
    <t>Roschon Johnson (CHI)</t>
  </si>
  <si>
    <t>Zack Moss (CIN)</t>
  </si>
  <si>
    <t>Nick Chubb (CLE)</t>
  </si>
  <si>
    <t>Raheem Mostert (MIA)</t>
  </si>
  <si>
    <t>Ezekiel Elliott (DAL)</t>
  </si>
  <si>
    <t>Kenny Gainwell (PHI)</t>
  </si>
  <si>
    <t>Trey Sermon (IND)</t>
  </si>
  <si>
    <t>Dare Ogunbowale (HOU)</t>
  </si>
  <si>
    <t>Audric Estime (DEN)</t>
  </si>
  <si>
    <t>Tyler Goodson (IND)</t>
  </si>
  <si>
    <t>Miles Sanders (CAR)</t>
  </si>
  <si>
    <t>Jamaal Williams (NO)</t>
  </si>
  <si>
    <t>Cordarrelle Patterson (PIT)</t>
  </si>
  <si>
    <t>Zamir White (LV)</t>
  </si>
  <si>
    <t>D'Onta Foreman (CLE)</t>
  </si>
  <si>
    <t>Ty Chandler (MIN)</t>
  </si>
  <si>
    <t>D'Ernest Johnson (JAC)</t>
  </si>
  <si>
    <t>Sincere McCormick (LV)</t>
  </si>
  <si>
    <t>Pierre Strong Jr. (CLE)</t>
  </si>
  <si>
    <t>Hassan Haskins (LAC)</t>
  </si>
  <si>
    <t>Dameon Pierce (HOU)</t>
  </si>
  <si>
    <t>Patrick Taylor Jr. (SF)</t>
  </si>
  <si>
    <t>Kenny McIntosh (SEA)</t>
  </si>
  <si>
    <t>Carson Steele (KC)</t>
  </si>
  <si>
    <t>Craig Reynolds (DET)</t>
  </si>
  <si>
    <t>Khalil Herbert (CIN)</t>
  </si>
  <si>
    <t>Will Shipley (PHI)</t>
  </si>
  <si>
    <t>Derrick Henry (TEN)</t>
  </si>
  <si>
    <t>Joe Mixon (CIN)</t>
  </si>
  <si>
    <t>Gus Edwards (BAL)</t>
  </si>
  <si>
    <t>Saquon Barkley (NYG)</t>
  </si>
  <si>
    <t>D'Andre Swift (PHI)</t>
  </si>
  <si>
    <t>Tony Pollard (DAL)</t>
  </si>
  <si>
    <t>Josh Jacobs (LV)</t>
  </si>
  <si>
    <t>Zack Moss (IND)</t>
  </si>
  <si>
    <t>Austin Ekeler (LAC)</t>
  </si>
  <si>
    <t>Devin Singletary (HOU)</t>
  </si>
  <si>
    <t>Ezekiel Elliott (NE)</t>
  </si>
  <si>
    <t>Kareem Hunt (CLE)</t>
  </si>
  <si>
    <t>Alexander Mattison (MIN)</t>
  </si>
  <si>
    <t>AJ Dillon (GB)</t>
  </si>
  <si>
    <t>Khalil Herbert (CHI)</t>
  </si>
  <si>
    <t>D'Onta Foreman (CHI)</t>
  </si>
  <si>
    <t>Antonio Gibson (WAS)</t>
  </si>
  <si>
    <t>Samaje Perine (DEN)</t>
  </si>
  <si>
    <t>Latavius Murray (BUF)</t>
  </si>
  <si>
    <t>Joshua Kelley (LAC)</t>
  </si>
  <si>
    <t>Clyde Edwards-Helaire (KC)</t>
  </si>
  <si>
    <t>Royce Freeman (LAR)</t>
  </si>
  <si>
    <t>Darrell Henderson Jr. (LAR)</t>
  </si>
  <si>
    <t>Matt Breida (NYG)</t>
  </si>
  <si>
    <t>Elijah Mitchell (SF)</t>
  </si>
  <si>
    <t>Cordarrelle Patterson (ATL)</t>
  </si>
  <si>
    <t>Dalvin Cook (NYJ)</t>
  </si>
  <si>
    <t>Tony Jones Jr. (ARI)</t>
  </si>
  <si>
    <t>Chase Edmonds (TB)</t>
  </si>
  <si>
    <t>Darrynton Evans (MIA)</t>
  </si>
  <si>
    <t>Jeff Wilson Jr. (MIA)</t>
  </si>
  <si>
    <t>Patrick Taylor Jr. (GB)</t>
  </si>
  <si>
    <t>Melvin Gordon III (BAL)</t>
  </si>
  <si>
    <t>Isaiah Spiller (LAC)</t>
  </si>
  <si>
    <t>Keaontay Ingram (KC)</t>
  </si>
  <si>
    <t>Ronnie Rivers (LAR)</t>
  </si>
  <si>
    <t>Dalvin Cook (MIN)</t>
  </si>
  <si>
    <t>Jamaal Williams (DET)</t>
  </si>
  <si>
    <t>Miles Sanders (PHI)</t>
  </si>
  <si>
    <t>Leonard Fournette (TB)</t>
  </si>
  <si>
    <t>David Montgomery (CHI)</t>
  </si>
  <si>
    <t>Devin Singletary (BUF)</t>
  </si>
  <si>
    <t>D'Andre Swift (DET)</t>
  </si>
  <si>
    <t>Jerick McKinnon (KC)</t>
  </si>
  <si>
    <t>D'Onta Foreman (CAR)</t>
  </si>
  <si>
    <t>Cam Akers (LAR)</t>
  </si>
  <si>
    <t>Latavius Murray (DEN)</t>
  </si>
  <si>
    <t>Michael Carter (NYJ)</t>
  </si>
  <si>
    <t>James Robinson (NYJ)</t>
  </si>
  <si>
    <t>J.K. Dobbins (BAL)</t>
  </si>
  <si>
    <t>Kenyan Drake (BAL)</t>
  </si>
  <si>
    <t>Damien Harris (NE)</t>
  </si>
  <si>
    <t>Eno Benjamin (NO)</t>
  </si>
  <si>
    <t>Melvin Gordon III (KC)</t>
  </si>
  <si>
    <t>Darrell Henderson Jr. (JAC)</t>
  </si>
  <si>
    <t>Chase Edmonds (DEN)</t>
  </si>
  <si>
    <t>JaMycal Hasty (JAC)</t>
  </si>
  <si>
    <t>Rashaad Penny (SEA)</t>
  </si>
  <si>
    <t>Bam Knight (NYJ)</t>
  </si>
  <si>
    <t>Deon Jackson (IND)</t>
  </si>
  <si>
    <t>Caleb Huntley (ATL)</t>
  </si>
  <si>
    <t>Justin Jackson (DET)</t>
  </si>
  <si>
    <t>Rex Burkhead (HOU)</t>
  </si>
  <si>
    <t>Mark Ingram II (NO)</t>
  </si>
  <si>
    <t>Boston Scott (PHI)</t>
  </si>
  <si>
    <t>Ty Johnson (NYJ)</t>
  </si>
  <si>
    <t>DeeJay Dallas (SEA)</t>
  </si>
  <si>
    <t>Gary Brightwell (NYG)</t>
  </si>
  <si>
    <t>Sony Michel (LAC)</t>
  </si>
  <si>
    <t>Jonathan Williams (WAS)</t>
  </si>
  <si>
    <t>Keaontay Ingram (ARI)</t>
  </si>
  <si>
    <t>Royce Freeman (HOU)</t>
  </si>
  <si>
    <t>Tyrion Davis-Price (SF)</t>
  </si>
  <si>
    <t>Melvin Gordon III (DEN)</t>
  </si>
  <si>
    <t>Darrel Williams (KC)</t>
  </si>
  <si>
    <t>James Robinson (JAC)</t>
  </si>
  <si>
    <t>Myles Gaskin (MIA)</t>
  </si>
  <si>
    <t>Sony Michel (LAR)</t>
  </si>
  <si>
    <t>Devonta Freeman (BAL)</t>
  </si>
  <si>
    <t>Devontae Booker (NYG)</t>
  </si>
  <si>
    <t>Chase Edmonds (ARI)</t>
  </si>
  <si>
    <t>Mike Davis (ATL)</t>
  </si>
  <si>
    <t>Christian McCaffrey (CAR)</t>
  </si>
  <si>
    <t>J.D. McKissic (WAS)</t>
  </si>
  <si>
    <t>Zack Moss (BUF)</t>
  </si>
  <si>
    <t>D'Onta Foreman (TEN)</t>
  </si>
  <si>
    <t>Latavius Murray (BAL)</t>
  </si>
  <si>
    <t>Kenyan Drake (LV)</t>
  </si>
  <si>
    <t>Nyheim Miller-Hines (IND)</t>
  </si>
  <si>
    <t>Ronald Jones II (TB)</t>
  </si>
  <si>
    <t>D'Ernest Johnson (CLE)</t>
  </si>
  <si>
    <t>Brandon Bolden (NE)</t>
  </si>
  <si>
    <t>Justin Jackson (LAC)</t>
  </si>
  <si>
    <t>Jordan Howard (PHI)</t>
  </si>
  <si>
    <t>Alex Collins (SEA)</t>
  </si>
  <si>
    <t>Dontrell Hilliard (TEN)</t>
  </si>
  <si>
    <t>David Johnson (HOU)</t>
  </si>
  <si>
    <t>Jeremy McNichols (TEN)</t>
  </si>
  <si>
    <t>Derrick Gore (KC)</t>
  </si>
  <si>
    <t>Jeff Wilson Jr. (SF)</t>
  </si>
  <si>
    <t>Ameer Abdullah (CAR)</t>
  </si>
  <si>
    <t>Jaret Patterson (WAS)</t>
  </si>
  <si>
    <t>Chris Carson (SEA)</t>
  </si>
  <si>
    <t>Tevin Coleman (NYJ)</t>
  </si>
  <si>
    <t>Peyton Barber (LV)</t>
  </si>
  <si>
    <t>Phillip Lindsay (MIA)</t>
  </si>
  <si>
    <t>Duke Johnson Jr. (MIA)</t>
  </si>
  <si>
    <t>Matt Breida (BUF)</t>
  </si>
  <si>
    <t>Damien Williams (CHI)</t>
  </si>
  <si>
    <t>Carlos Hyde (JAC)</t>
  </si>
  <si>
    <t>Ty'Son Williams (BAL)</t>
  </si>
  <si>
    <t>Dare Ogunbowale (JAC)</t>
  </si>
  <si>
    <t>Salvon Ahmed (MIA)</t>
  </si>
  <si>
    <t>Le'Veon Bell (TB)</t>
  </si>
  <si>
    <t>Trey Sermon (SF)</t>
  </si>
  <si>
    <t>Adrian Peterson (SEA)</t>
  </si>
  <si>
    <t>Ke'Shawn Vaughn (TB)</t>
  </si>
  <si>
    <t>Malcolm Brown (MIA)</t>
  </si>
  <si>
    <t>Austin Walter (NYJ)</t>
  </si>
  <si>
    <t>Eno Benjamin (ARI)</t>
  </si>
  <si>
    <t>Tony Jones Jr. (NO)</t>
  </si>
  <si>
    <t>Larry Rountree III (LAC)</t>
  </si>
  <si>
    <t>Wayne Gallman Jr. (MIN)</t>
  </si>
  <si>
    <t>Marlon Mack (IND)</t>
  </si>
  <si>
    <t>Corey Clement (DAL)</t>
  </si>
  <si>
    <t>Benny Snell Jr. (PIT)</t>
  </si>
  <si>
    <t>Kenyan Drake (ARI)</t>
  </si>
  <si>
    <t>Mike Davis (CAR)</t>
  </si>
  <si>
    <t>Todd Gurley II (ATL)</t>
  </si>
  <si>
    <t>James Conner (PIT)</t>
  </si>
  <si>
    <t>Latavius Murray (NO)</t>
  </si>
  <si>
    <t>Giovani Bernard (CIN)</t>
  </si>
  <si>
    <t>Wayne Gallman Jr. (NYG)</t>
  </si>
  <si>
    <t>Adrian Peterson (DET)</t>
  </si>
  <si>
    <t>Jamaal Williams (GB)</t>
  </si>
  <si>
    <t>Jerick McKinnon (SF)</t>
  </si>
  <si>
    <t>Malcolm Brown (LAR)</t>
  </si>
  <si>
    <t>Frank Gore (NYJ)</t>
  </si>
  <si>
    <t>Raheem Mostert (SF)</t>
  </si>
  <si>
    <t>Rex Burkhead (NE)</t>
  </si>
  <si>
    <t>Carlos Hyde (SEA)</t>
  </si>
  <si>
    <t>Devontae Booker (LV)</t>
  </si>
  <si>
    <t>Phillip Lindsay (DEN)</t>
  </si>
  <si>
    <t>Le'Veon Bell (KC)</t>
  </si>
  <si>
    <t>James White (NE)</t>
  </si>
  <si>
    <t>Brian Hill (ATL)</t>
  </si>
  <si>
    <t>Duke Johnson Jr. (HOU)</t>
  </si>
  <si>
    <t>Kalen Ballage (LAC)</t>
  </si>
  <si>
    <t>Kerryon Johnson (DET)</t>
  </si>
  <si>
    <t>Peyton Barber (WAS)</t>
  </si>
  <si>
    <t>Jordan Wilkins (IND)</t>
  </si>
  <si>
    <t>Sony Michel (NE)</t>
  </si>
  <si>
    <t>Mark Ingram II (BAL)</t>
  </si>
  <si>
    <t>La'Mical Perine (NYJ)</t>
  </si>
  <si>
    <t>Ito Smith (ATL)</t>
  </si>
  <si>
    <t>Dion Lewis (NYG)</t>
  </si>
  <si>
    <t>Alfred Morris (NYG)</t>
  </si>
  <si>
    <t>Cordarrelle Patterson (CHI)</t>
  </si>
  <si>
    <t>Matt Breida (MIA)</t>
  </si>
  <si>
    <t>Devonta Freeman (NYG)</t>
  </si>
  <si>
    <t>JaMycal Hasty (SF)</t>
  </si>
  <si>
    <t>Royce Freeman (DEN)</t>
  </si>
  <si>
    <t>Josh Adams (NYJ)</t>
  </si>
  <si>
    <t>Rodney Smith (CAR)</t>
  </si>
  <si>
    <t>Anthony McFarland Jr. (PIT)</t>
  </si>
  <si>
    <t>DeAndre Washington (MIA)</t>
  </si>
  <si>
    <t>Trayveon Williams (CIN)</t>
  </si>
  <si>
    <t>Tevin Coleman (SF)</t>
  </si>
  <si>
    <t>Darwin Thompson (KC)</t>
  </si>
  <si>
    <t>Leonard Fournette (JAC)</t>
  </si>
  <si>
    <t>Todd Gurley II (LAR)</t>
  </si>
  <si>
    <t>Josh Jacobs (LVR)</t>
  </si>
  <si>
    <t>Carlos Hyde (HOU)</t>
  </si>
  <si>
    <t>Le'Veon Bell (NYJ)</t>
  </si>
  <si>
    <t>Devonta Freeman (ATL)</t>
  </si>
  <si>
    <t>Adrian Peterson (WAS)</t>
  </si>
  <si>
    <t>Melvin Gordon III (LAC)</t>
  </si>
  <si>
    <t>David Johnson (ARI)</t>
  </si>
  <si>
    <t>Peyton Barber (TB)</t>
  </si>
  <si>
    <t>LeSean McCoy (KC)</t>
  </si>
  <si>
    <t>Damien Williams (KC)</t>
  </si>
  <si>
    <t>Matt Breida (SF)</t>
  </si>
  <si>
    <t>Tarik Cohen (CHI)</t>
  </si>
  <si>
    <t>Frank Gore (BUF)</t>
  </si>
  <si>
    <t>DeAndre Washington (LVR)</t>
  </si>
  <si>
    <t>Jaylen Samuels (PIT)</t>
  </si>
  <si>
    <t>Chris Thompson (WAS)</t>
  </si>
  <si>
    <t>Derrius Guice (WAS)</t>
  </si>
  <si>
    <t>J.D. McKissic (DET)</t>
  </si>
  <si>
    <t>Jalen Richard (LVR)</t>
  </si>
  <si>
    <t>Dion Lewis (TEN)</t>
  </si>
  <si>
    <t>Patrick Laird (MIA)</t>
  </si>
  <si>
    <t>Bo Scarbrough (DET)</t>
  </si>
  <si>
    <t>Kalen Ballage (MIA)</t>
  </si>
  <si>
    <t>Jonathan Williams (IND)</t>
  </si>
  <si>
    <t>Ty Johnson (DET)</t>
  </si>
  <si>
    <t>Mark Walton (MIA)</t>
  </si>
  <si>
    <t>Mike Boone (MIN)</t>
  </si>
  <si>
    <t>Bilal Powell (NYJ)</t>
  </si>
  <si>
    <t>Ryquell Armstead (JAC)</t>
  </si>
  <si>
    <t>Ty Montgomery II (NYJ)</t>
  </si>
  <si>
    <t>Jon Hilliman (NYG)</t>
  </si>
  <si>
    <t>Tevin Coleman (ATL)</t>
  </si>
  <si>
    <t>Kenyan Drake (MIA)</t>
  </si>
  <si>
    <t>Jordan Howard (CHI)</t>
  </si>
  <si>
    <t>Lamar Miller (HOU)</t>
  </si>
  <si>
    <t>Isaiah Crowell (NYJ)</t>
  </si>
  <si>
    <t>T.J. Yeldon (JAC)</t>
  </si>
  <si>
    <t>Latavius Murray (MIN)</t>
  </si>
  <si>
    <t>Doug Martin (LVR)</t>
  </si>
  <si>
    <t>Alex Collins (BAL)</t>
  </si>
  <si>
    <t>Mike Davis (SEA)</t>
  </si>
  <si>
    <t>Frank Gore (MIA)</t>
  </si>
  <si>
    <t>LeSean McCoy (BUF)</t>
  </si>
  <si>
    <t>Duke Johnson Jr. (CLE)</t>
  </si>
  <si>
    <t>Wendell Smallwood (PHI)</t>
  </si>
  <si>
    <t>LeGarrette Blount (DET)</t>
  </si>
  <si>
    <t>Alfred Blue (HOU)</t>
  </si>
  <si>
    <t>Josh Adams (PHI)</t>
  </si>
  <si>
    <t>Marshawn Lynch (LVR)</t>
  </si>
  <si>
    <t>Elijah McGuire (NYJ)</t>
  </si>
  <si>
    <t>Corey Clement (PHI)</t>
  </si>
  <si>
    <t>Spencer Ware (KC)</t>
  </si>
  <si>
    <t>Javorius Allen (BAL)</t>
  </si>
  <si>
    <t>Chris Ivory (BUF)</t>
  </si>
  <si>
    <t>Theo Riddick (DET)</t>
  </si>
  <si>
    <t>Cordarrelle Patterson (NE)</t>
  </si>
  <si>
    <t>Devontae Booker (DEN)</t>
  </si>
  <si>
    <t>Jacquizz Rodgers (TB)</t>
  </si>
  <si>
    <t>Ty Montgomery II (BAL)</t>
  </si>
  <si>
    <t>Alfred Morris (SF)</t>
  </si>
  <si>
    <t>Darren Sproles (PHI)</t>
  </si>
  <si>
    <t>C.J. Anderson (LAR)</t>
  </si>
  <si>
    <t>Jay Ajayi (PHI)</t>
  </si>
  <si>
    <t>Kenneth Dixon (BAL)</t>
  </si>
  <si>
    <t>Zach Zenner (DET)</t>
  </si>
  <si>
    <t>Trenton Cannon (NYJ)</t>
  </si>
  <si>
    <t>Marcus Murphy (BUF)</t>
  </si>
  <si>
    <t>Rod Smith (DAL)</t>
  </si>
  <si>
    <t>Stevan Ridley (PIT)</t>
  </si>
  <si>
    <t>John Kelly Jr. (LAR)</t>
  </si>
  <si>
    <t>Dwayne Washington (NO)</t>
  </si>
  <si>
    <t>RusTD%</t>
  </si>
  <si>
    <t>xRusTD%</t>
  </si>
  <si>
    <t>RecTD%</t>
  </si>
  <si>
    <t>xRecTD%</t>
  </si>
  <si>
    <t>Aaron Jones Sr. (MIN)</t>
  </si>
  <si>
    <t>Aaron Jones Sr. (GB)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</si>
</sst>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5"/>
      <color rgb="FF16191D"/>
      <name val="Arial"/>
      <family val="2"/>
    </font>
    <font>
      <sz val="5"/>
      <color rgb="FF16191D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10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3" xfId="0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3" xfId="0" applyBorder="1"/>
    <xf numFmtId="0" fontId="0" fillId="0" borderId="1" xfId="0" applyBorder="1"/>
    <xf numFmtId="0" fontId="0" fillId="0" borderId="2" xfId="0" applyBorder="1"/>
    <xf numFmtId="0" fontId="2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  <xf numFmtId="10" fontId="3" fillId="5" borderId="0" xfId="0" applyNumberFormat="1" applyFont="1" applyFill="1" applyAlignment="1">
      <alignment horizontal="center" vertical="center" wrapText="1"/>
    </xf>
    <xf numFmtId="10" fontId="3" fillId="4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23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rgb="FF16191D"/>
        <name val="Arial"/>
        <family val="2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rgb="FF16191D"/>
        <name val="Arial"/>
        <family val="2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rgb="FF16191D"/>
        <name val="Arial"/>
        <family val="2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rgb="FF16191D"/>
        <name val="Arial"/>
        <family val="2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5"/>
        <color rgb="FF16191D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C0C1BA-D909-4B9C-BB33-A46FC67F1F75}" name="Table2" displayName="Table2" ref="A1:N1441" totalsRowShown="0">
  <autoFilter ref="A1:N1441" xr:uid="{A3C0C1BA-D909-4B9C-BB33-A46FC67F1F75}"/>
  <tableColumns count="14">
    <tableColumn id="2" xr3:uid="{DF37BAF1-848D-4F8B-A3B6-05504F77858A}" name="Year" dataDxfId="22"/>
    <tableColumn id="3" xr3:uid="{6F25E094-E40D-46D1-BF6D-B1C17BD30B5C}" name="Player (TM)" dataDxfId="21"/>
    <tableColumn id="4" xr3:uid="{73733A23-03EE-430F-A29D-F37258A53CCA}" name="Player" dataDxfId="20">
      <calculatedColumnFormula>TRIM(LEFT(B2, LEN(B2) - LEN(TRIM(RIGHT(SUBSTITUTE(TRIM(B2)," ",REPT(" ",100)),100)))))</calculatedColumnFormula>
    </tableColumn>
    <tableColumn id="5" xr3:uid="{632DBB4F-350C-4185-BC49-2C4284D80285}" name="TM" dataDxfId="19">
      <calculatedColumnFormula>MID(B2, FIND("(", B2) + 1, FIND(")", B2) - FIND("(", B2) - 1)</calculatedColumnFormula>
    </tableColumn>
    <tableColumn id="1" xr3:uid="{E0E8F58A-0016-4747-8449-E7CA134228BA}" name="In5ATT" dataDxfId="18">
      <calculatedColumnFormula array="1">IFERROR(_xlfn.XLOOKUP(C2&amp;A2, Inside5!B:B&amp;Inside5!I:I, Inside5!C:C), 0)</calculatedColumnFormula>
    </tableColumn>
    <tableColumn id="6" xr3:uid="{7B5372C0-A35B-4D9F-9BA2-60309001BDBF}" name="In5RushTD" dataDxfId="17">
      <calculatedColumnFormula array="1">IFERROR(_xlfn.XLOOKUP(C2&amp;A2, Inside5!B:B&amp;Inside5!I:I, Inside5!D:D), 0)</calculatedColumnFormula>
    </tableColumn>
    <tableColumn id="7" xr3:uid="{CF977581-AA45-4B7D-8FD8-D63529DD49DE}" name="In5Rush%" dataDxfId="16">
      <calculatedColumnFormula array="1">IFERROR(_xlfn.XLOOKUP(C2&amp;A2, Inside5!B:B&amp;Inside5!I:I, Inside5!E:E), 0)</calculatedColumnFormula>
    </tableColumn>
    <tableColumn id="12" xr3:uid="{3CA85EBD-3D81-46D6-BD78-01F4DD6038F2}" name="RusTD%" dataDxfId="15">
      <calculatedColumnFormula array="1">IFERROR(_xlfn.XLOOKUP(C2&amp;A2, TDrate!F:F&amp;TDrate!H:H, TDrate!C:C), "N/A")</calculatedColumnFormula>
    </tableColumn>
    <tableColumn id="11" xr3:uid="{035F176D-CF6F-4B64-8879-214BC3B901EC}" name="xRusTD%" dataDxfId="14">
      <calculatedColumnFormula array="1">IFERROR(_xlfn.XLOOKUP(C2&amp;A2, TDrate!F:F&amp;TDrate!H:H, TDrate!E:E), "N/A")</calculatedColumnFormula>
    </tableColumn>
    <tableColumn id="8" xr3:uid="{6F2AB328-4A4D-4250-8DBA-2B68A4FF47B9}" name="In5REC" dataDxfId="13">
      <calculatedColumnFormula array="1">IFERROR(_xlfn.XLOOKUP(C2&amp;A2, Inside5!B:B&amp;Inside5!I:I, Inside5!F:F), 0)</calculatedColumnFormula>
    </tableColumn>
    <tableColumn id="9" xr3:uid="{406AB275-0668-4E6C-853E-3497B3ED508F}" name="In5TG" dataDxfId="12">
      <calculatedColumnFormula array="1">IFERROR(_xlfn.XLOOKUP(C2&amp;A2, Inside5!B:B&amp;Inside5!I:I, Inside5!G:G), 0)</calculatedColumnFormula>
    </tableColumn>
    <tableColumn id="10" xr3:uid="{37D69219-C2B6-46B2-A97E-DA8B0175CE98}" name="In5RecTD" dataDxfId="11">
      <calculatedColumnFormula array="1">IFERROR(_xlfn.XLOOKUP(C2&amp;A2, Inside5!B:B&amp;Inside5!I:I, Inside5!H:H), 0)</calculatedColumnFormula>
    </tableColumn>
    <tableColumn id="13" xr3:uid="{53ADDAC5-8225-4564-9E68-8778B93D04FA}" name="RecTD%" dataDxfId="10">
      <calculatedColumnFormula array="1">IFERROR(_xlfn.XLOOKUP(C2&amp;A2, TDrate!F:F&amp;TDrate!H:H, TDrate!B:B), "N/A")</calculatedColumnFormula>
    </tableColumn>
    <tableColumn id="14" xr3:uid="{41CC7AED-8BEB-4EE1-9CB5-A18BAD7B590A}" name="xRecTD%" dataDxfId="9">
      <calculatedColumnFormula array="1">IFERROR(_xlfn.XLOOKUP(C2&amp;A2, TDrate!F:F&amp;TDrate!H:H, TDrate!D:D), "N/A")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33A8C5-1332-4ADB-AA51-761B2BAD1000}" name="Table3" displayName="Table3" ref="A1:I812" totalsRowShown="0">
  <autoFilter ref="A1:I812" xr:uid="{F333A8C5-1332-4ADB-AA51-761B2BAD1000}"/>
  <tableColumns count="9">
    <tableColumn id="2" xr3:uid="{2D74704E-851D-4780-B05C-495AA4B94FE2}" name="Players CurrentTm"/>
    <tableColumn id="4" xr3:uid="{4DCE180D-83DE-409D-855D-74D60C11C2A2}" name="Player" dataDxfId="8">
      <calculatedColumnFormula>TRIM(LEFT(A2, LEN(A2) - LEN(TRIM(RIGHT(SUBSTITUTE(TRIM(A2)," ",REPT(" ",100)),100)))))</calculatedColumnFormula>
    </tableColumn>
    <tableColumn id="3" xr3:uid="{8DFBBBE4-789D-4EC4-8386-C87B23AF541E}" name="Rushing ATT"/>
    <tableColumn id="6" xr3:uid="{D8D162C5-2FFD-4333-95A0-8BB80D8C278F}" name="Rushing TD"/>
    <tableColumn id="7" xr3:uid="{B8A18446-11B5-4CFE-B80D-71CE5C4BEE66}" name="Rushing PCT" dataDxfId="7"/>
    <tableColumn id="8" xr3:uid="{CE7A6D61-2D97-4D2F-995A-5F68ED6DE868}" name="Receiving REC"/>
    <tableColumn id="9" xr3:uid="{8C6DBEE9-B5E5-491B-8FAC-0ABD5F9F044F}" name="Receiving TGT"/>
    <tableColumn id="13" xr3:uid="{9693A743-B3E4-4DB9-A5DB-D59283627432}" name="Receiving TD"/>
    <tableColumn id="20" xr3:uid="{60BE3ADC-71AA-44B3-85BB-CD6858C304ED}" name="Yea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FCCE94-BCB8-4642-BA0A-FF1412183870}" name="Table5" displayName="Table5" ref="A1:H717" totalsRowShown="0" headerRowDxfId="6">
  <autoFilter ref="A1:H717" xr:uid="{AEFCCE94-BCB8-4642-BA0A-FF1412183870}"/>
  <tableColumns count="8">
    <tableColumn id="1" xr3:uid="{63803BDB-5A1C-4ABE-BD82-9EC689612D7A}" name="Player (Team)" dataDxfId="5"/>
    <tableColumn id="3" xr3:uid="{0E1F397A-4101-4AEC-9EDD-F1E19EAFC3FE}" name="Act RecTD%" dataDxfId="4"/>
    <tableColumn id="4" xr3:uid="{FF3E794C-F62D-4000-AE90-284FB1C8E6D2}" name="Act RuTD%" dataDxfId="3"/>
    <tableColumn id="5" xr3:uid="{98946B70-3984-45D3-A3CC-CDB866FCDE04}" name="Adj RecTD%" dataDxfId="2"/>
    <tableColumn id="6" xr3:uid="{D78FD50A-79CB-4D62-BD2F-98EDCA321AF3}" name="Adj RuTD%" dataDxfId="1"/>
    <tableColumn id="7" xr3:uid="{4F4593F3-A1BF-43D9-96BF-8B032D1D2330}" name="name" dataDxfId="0">
      <calculatedColumnFormula>TRIM(LEFT(A2, FIND("(", A2) - 2))</calculatedColumnFormula>
    </tableColumn>
    <tableColumn id="8" xr3:uid="{143968DA-0A2D-4E92-AB94-9D2C4BCF317D}" name="tm">
      <calculatedColumnFormula>MID(A2, FIND("(", A2) + 1, FIND(")", A2) - FIND("(", A2) - 1)</calculatedColumnFormula>
    </tableColumn>
    <tableColumn id="10" xr3:uid="{2EA5FCD1-D252-4746-B07A-9D4B37FF1E64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D5A94-B2D9-44F6-B13C-CCB7FA778C19}">
  <dimension ref="A1:N1441"/>
  <sheetViews>
    <sheetView tabSelected="1" topLeftCell="A9" workbookViewId="0">
      <selection activeCell="L19" sqref="L19"/>
    </sheetView>
  </sheetViews>
  <sheetFormatPr defaultRowHeight="14.25" x14ac:dyDescent="0.45"/>
  <cols>
    <col min="1" max="1" width="7.06640625" customWidth="1"/>
    <col min="2" max="2" width="24.6640625" customWidth="1"/>
    <col min="3" max="3" width="21.6640625" customWidth="1"/>
    <col min="4" max="4" width="5.796875" customWidth="1"/>
    <col min="5" max="5" width="5.9296875" customWidth="1"/>
    <col min="6" max="6" width="4.86328125" customWidth="1"/>
    <col min="10" max="11" width="4.46484375" customWidth="1"/>
    <col min="12" max="12" width="4.265625" customWidth="1"/>
    <col min="15" max="15" width="5.59765625" customWidth="1"/>
  </cols>
  <sheetData>
    <row r="1" spans="1:14" x14ac:dyDescent="0.45">
      <c r="A1" s="4" t="s">
        <v>100</v>
      </c>
      <c r="B1" s="2" t="s">
        <v>1056</v>
      </c>
      <c r="C1" s="3" t="s">
        <v>99</v>
      </c>
      <c r="D1" s="3" t="s">
        <v>1057</v>
      </c>
      <c r="E1" t="s">
        <v>1058</v>
      </c>
      <c r="F1" t="s">
        <v>1059</v>
      </c>
      <c r="G1" t="s">
        <v>1060</v>
      </c>
      <c r="H1" t="s">
        <v>1440</v>
      </c>
      <c r="I1" t="s">
        <v>1441</v>
      </c>
      <c r="J1" t="s">
        <v>1061</v>
      </c>
      <c r="K1" t="s">
        <v>1062</v>
      </c>
      <c r="L1" t="s">
        <v>1063</v>
      </c>
      <c r="M1" t="s">
        <v>1442</v>
      </c>
      <c r="N1" t="s">
        <v>1443</v>
      </c>
    </row>
    <row r="2" spans="1:14" x14ac:dyDescent="0.45">
      <c r="A2" s="5">
        <v>2025</v>
      </c>
      <c r="B2" s="6" t="s">
        <v>297</v>
      </c>
      <c r="C2" s="7" t="str">
        <f t="shared" ref="C2:C65" si="0">TRIM(LEFT(B2, LEN(B2) - LEN(TRIM(RIGHT(SUBSTITUTE(TRIM(B2)," ",REPT(" ",100)),100)))))</f>
        <v>James Cook III</v>
      </c>
      <c r="D2" s="7" t="str">
        <f t="shared" ref="D2:D65" si="1">MID(B2, FIND("(", B2) + 1, FIND(")", B2) - FIND("(", B2) - 1)</f>
        <v>BUF</v>
      </c>
      <c r="E2" cm="1">
        <f t="array" ref="E2">IFERROR(_xlfn.XLOOKUP(C2&amp;A2, Inside5!B:B&amp;Inside5!I:I, Inside5!C:C), 0)</f>
        <v>16</v>
      </c>
      <c r="F2" cm="1">
        <f t="array" aca="1" ref="F2" ca="1">IFERROR(_xlfn.XLOOKUP(C2&amp;A2, Inside5!B:B&amp;Inside5!I:I, Inside5!D:D), 0)</f>
        <v>6</v>
      </c>
      <c r="G2" cm="1">
        <f t="array" ref="G2">IFERROR(_xlfn.XLOOKUP(C2&amp;A2, Inside5!B:B&amp;Inside5!I:I, Inside5!E:E), 0)</f>
        <v>0.76200000000000001</v>
      </c>
      <c r="H2" cm="1">
        <f t="array" ref="H2">IFERROR(_xlfn.XLOOKUP(C2&amp;A2, TDrate!F:F&amp;TDrate!H:H, TDrate!C:C), "N/A")</f>
        <v>3.8800000000000001E-2</v>
      </c>
      <c r="I2" cm="1">
        <f t="array" ref="I2">IFERROR(_xlfn.XLOOKUP(C2&amp;A2, TDrate!F:F&amp;TDrate!H:H, TDrate!E:E), "N/A")</f>
        <v>3.49E-2</v>
      </c>
      <c r="J2" cm="1">
        <f t="array" ref="J2">IFERROR(_xlfn.XLOOKUP(C2&amp;A2, Inside5!B:B&amp;Inside5!I:I, Inside5!F:F), 0)</f>
        <v>1</v>
      </c>
      <c r="K2" cm="1">
        <f t="array" ref="K2">IFERROR(_xlfn.XLOOKUP(C2&amp;A2, Inside5!B:B&amp;Inside5!I:I, Inside5!G:G), 0)</f>
        <v>1</v>
      </c>
      <c r="L2" cm="1">
        <f t="array" ref="L2">IFERROR(_xlfn.XLOOKUP(C2&amp;A2, Inside5!B:B&amp;Inside5!I:I, Inside5!H:H), 0)</f>
        <v>1</v>
      </c>
      <c r="M2" cm="1">
        <f t="array" ref="M2">IFERROR(_xlfn.XLOOKUP(C2&amp;A2, TDrate!F:F&amp;TDrate!H:H, TDrate!B:B), "N/A")</f>
        <v>0.05</v>
      </c>
      <c r="N2" cm="1">
        <f t="array" ref="N2">IFERROR(_xlfn.XLOOKUP(C2&amp;A2, TDrate!F:F&amp;TDrate!H:H, TDrate!D:D), "N/A")</f>
        <v>3.6700000000000003E-2</v>
      </c>
    </row>
    <row r="3" spans="1:14" x14ac:dyDescent="0.45">
      <c r="A3" s="8">
        <v>2025</v>
      </c>
      <c r="B3" s="9" t="s">
        <v>298</v>
      </c>
      <c r="C3" s="10" t="str">
        <f t="shared" si="0"/>
        <v>Derrick Henry</v>
      </c>
      <c r="D3" s="10" t="str">
        <f t="shared" si="1"/>
        <v>BAL</v>
      </c>
      <c r="E3" cm="1">
        <f t="array" ref="E3">IFERROR(_xlfn.XLOOKUP(C3&amp;A3, Inside5!B:B&amp;Inside5!I:I, Inside5!C:C), 0)</f>
        <v>27</v>
      </c>
      <c r="F3" cm="1">
        <f t="array" ref="F3">IFERROR(_xlfn.XLOOKUP(C3&amp;A3, Inside5!B:B&amp;Inside5!I:I, Inside5!D:D), 0)</f>
        <v>10</v>
      </c>
      <c r="G3" cm="1">
        <f t="array" ref="G3">IFERROR(_xlfn.XLOOKUP(C3&amp;A3, Inside5!B:B&amp;Inside5!I:I, Inside5!E:E), 0)</f>
        <v>0.96399999999999997</v>
      </c>
      <c r="H3" cm="1">
        <f t="array" ref="H3">IFERROR(_xlfn.XLOOKUP(C3&amp;A3, TDrate!F:F&amp;TDrate!H:H, TDrate!C:C), "N/A")</f>
        <v>5.21E-2</v>
      </c>
      <c r="I3" cm="1">
        <f t="array" ref="I3">IFERROR(_xlfn.XLOOKUP(C3&amp;A3, TDrate!F:F&amp;TDrate!H:H, TDrate!E:E), "N/A")</f>
        <v>4.8599999999999997E-2</v>
      </c>
      <c r="J3" cm="1">
        <f t="array" ref="J3">IFERROR(_xlfn.XLOOKUP(C3&amp;A3, Inside5!B:B&amp;Inside5!I:I, Inside5!F:F), 0)</f>
        <v>0</v>
      </c>
      <c r="K3" cm="1">
        <f t="array" ref="K3">IFERROR(_xlfn.XLOOKUP(C3&amp;A3, Inside5!B:B&amp;Inside5!I:I, Inside5!G:G), 0)</f>
        <v>0</v>
      </c>
      <c r="L3" cm="1">
        <f t="array" ref="L3">IFERROR(_xlfn.XLOOKUP(C3&amp;A3, Inside5!B:B&amp;Inside5!I:I, Inside5!H:H), 0)</f>
        <v>0</v>
      </c>
      <c r="M3" cm="1">
        <f t="array" ref="M3">IFERROR(_xlfn.XLOOKUP(C3&amp;A3, TDrate!F:F&amp;TDrate!H:H, TDrate!B:B), "N/A")</f>
        <v>0</v>
      </c>
      <c r="N3" cm="1">
        <f t="array" ref="N3">IFERROR(_xlfn.XLOOKUP(C3&amp;A3, TDrate!F:F&amp;TDrate!H:H, TDrate!D:D), "N/A")</f>
        <v>9.1000000000000004E-3</v>
      </c>
    </row>
    <row r="4" spans="1:14" x14ac:dyDescent="0.45">
      <c r="A4" s="5">
        <v>2025</v>
      </c>
      <c r="B4" s="6" t="s">
        <v>299</v>
      </c>
      <c r="C4" s="7" t="str">
        <f t="shared" si="0"/>
        <v>Jonathan Taylor</v>
      </c>
      <c r="D4" s="7" t="str">
        <f t="shared" si="1"/>
        <v>IND</v>
      </c>
      <c r="E4" cm="1">
        <f t="array" aca="1" ref="E4" ca="1">IFERROR(_xlfn.XLOOKUP(C4&amp;A4, Inside5!B:B&amp;Inside5!I:I, Inside5!C:C), 0)</f>
        <v>22</v>
      </c>
      <c r="F4" cm="1">
        <f t="array" ref="F4">IFERROR(_xlfn.XLOOKUP(C4&amp;A4, Inside5!B:B&amp;Inside5!I:I, Inside5!D:D), 0)</f>
        <v>9</v>
      </c>
      <c r="G4" cm="1">
        <f t="array" ref="G4">IFERROR(_xlfn.XLOOKUP(C4&amp;A4, Inside5!B:B&amp;Inside5!I:I, Inside5!E:E), 0)</f>
        <v>0.91700000000000004</v>
      </c>
      <c r="H4" cm="1">
        <f t="array" ref="H4">IFERROR(_xlfn.XLOOKUP(C4&amp;A4, TDrate!F:F&amp;TDrate!H:H, TDrate!C:C), "N/A")</f>
        <v>5.57E-2</v>
      </c>
      <c r="I4" cm="1">
        <f t="array" ref="I4">IFERROR(_xlfn.XLOOKUP(C4&amp;A4, TDrate!F:F&amp;TDrate!H:H, TDrate!E:E), "N/A")</f>
        <v>4.8000000000000001E-2</v>
      </c>
      <c r="J4" cm="1">
        <f t="array" ref="J4">IFERROR(_xlfn.XLOOKUP(C4&amp;A4, Inside5!B:B&amp;Inside5!I:I, Inside5!F:F), 0)</f>
        <v>0</v>
      </c>
      <c r="K4" cm="1">
        <f t="array" ref="K4">IFERROR(_xlfn.XLOOKUP(C4&amp;A4, Inside5!B:B&amp;Inside5!I:I, Inside5!G:G), 0)</f>
        <v>0</v>
      </c>
      <c r="L4" cm="1">
        <f t="array" ref="L4">IFERROR(_xlfn.XLOOKUP(C4&amp;A4, Inside5!B:B&amp;Inside5!I:I, Inside5!H:H), 0)</f>
        <v>0</v>
      </c>
      <c r="M4" cm="1">
        <f t="array" ref="M4">IFERROR(_xlfn.XLOOKUP(C4&amp;A4, TDrate!F:F&amp;TDrate!H:H, TDrate!B:B), "N/A")</f>
        <v>3.6400000000000002E-2</v>
      </c>
      <c r="N4" cm="1">
        <f t="array" ref="N4">IFERROR(_xlfn.XLOOKUP(C4&amp;A4, TDrate!F:F&amp;TDrate!H:H, TDrate!D:D), "N/A")</f>
        <v>2.6700000000000002E-2</v>
      </c>
    </row>
    <row r="5" spans="1:14" x14ac:dyDescent="0.45">
      <c r="A5" s="8">
        <v>2025</v>
      </c>
      <c r="B5" s="9" t="s">
        <v>300</v>
      </c>
      <c r="C5" s="10" t="str">
        <f t="shared" si="0"/>
        <v>Bijan Robinson</v>
      </c>
      <c r="D5" s="10" t="str">
        <f t="shared" si="1"/>
        <v>ATL</v>
      </c>
      <c r="E5" cm="1">
        <f t="array" ref="E5">IFERROR(_xlfn.XLOOKUP(C5&amp;A5, Inside5!B:B&amp;Inside5!I:I, Inside5!C:C), 0)</f>
        <v>10</v>
      </c>
      <c r="F5" cm="1">
        <f t="array" ref="F5">IFERROR(_xlfn.XLOOKUP(C5&amp;A5, Inside5!B:B&amp;Inside5!I:I, Inside5!D:D), 0)</f>
        <v>3</v>
      </c>
      <c r="G5" cm="1">
        <f t="array" ref="G5">IFERROR(_xlfn.XLOOKUP(C5&amp;A5, Inside5!B:B&amp;Inside5!I:I, Inside5!E:E), 0)</f>
        <v>0.5</v>
      </c>
      <c r="H5" cm="1">
        <f t="array" ref="H5">IFERROR(_xlfn.XLOOKUP(C5&amp;A5, TDrate!F:F&amp;TDrate!H:H, TDrate!C:C), "N/A")</f>
        <v>2.4400000000000002E-2</v>
      </c>
      <c r="I5" cm="1">
        <f t="array" ref="I5">IFERROR(_xlfn.XLOOKUP(C5&amp;A5, TDrate!F:F&amp;TDrate!H:H, TDrate!E:E), "N/A")</f>
        <v>2.3400000000000001E-2</v>
      </c>
      <c r="J5" cm="1">
        <f t="array" ref="J5">IFERROR(_xlfn.XLOOKUP(C5&amp;A5, Inside5!B:B&amp;Inside5!I:I, Inside5!F:F), 0)</f>
        <v>1</v>
      </c>
      <c r="K5" cm="1">
        <f t="array" aca="1" ref="K5" ca="1">IFERROR(_xlfn.XLOOKUP(C5&amp;A5, Inside5!B:B&amp;Inside5!I:I, Inside5!G:G), 0)</f>
        <v>1</v>
      </c>
      <c r="L5" cm="1">
        <f t="array" ref="L5">IFERROR(_xlfn.XLOOKUP(C5&amp;A5, Inside5!B:B&amp;Inside5!I:I, Inside5!H:H), 0)</f>
        <v>1</v>
      </c>
      <c r="M5" cm="1">
        <f t="array" ref="M5">IFERROR(_xlfn.XLOOKUP(C5&amp;A5, TDrate!F:F&amp;TDrate!H:H, TDrate!B:B), "N/A")</f>
        <v>3.8800000000000001E-2</v>
      </c>
      <c r="N5" cm="1">
        <f t="array" ref="N5">IFERROR(_xlfn.XLOOKUP(C5&amp;A5, TDrate!F:F&amp;TDrate!H:H, TDrate!D:D), "N/A")</f>
        <v>3.3500000000000002E-2</v>
      </c>
    </row>
    <row r="6" spans="1:14" x14ac:dyDescent="0.45">
      <c r="A6" s="5">
        <v>2025</v>
      </c>
      <c r="B6" s="6" t="s">
        <v>301</v>
      </c>
      <c r="C6" s="7" t="str">
        <f t="shared" si="0"/>
        <v>De'Von Achane</v>
      </c>
      <c r="D6" s="7" t="str">
        <f t="shared" si="1"/>
        <v>MIA</v>
      </c>
      <c r="E6" cm="1">
        <f t="array" ref="E6">IFERROR(_xlfn.XLOOKUP(C6&amp;A6, Inside5!B:B&amp;Inside5!I:I, Inside5!C:C), 0)</f>
        <v>5</v>
      </c>
      <c r="F6" cm="1">
        <f t="array" aca="1" ref="F6" ca="1">IFERROR(_xlfn.XLOOKUP(C6&amp;A6, Inside5!B:B&amp;Inside5!I:I, Inside5!D:D), 0)</f>
        <v>1</v>
      </c>
      <c r="G6" cm="1">
        <f t="array" ref="G6">IFERROR(_xlfn.XLOOKUP(C6&amp;A6, Inside5!B:B&amp;Inside5!I:I, Inside5!E:E), 0)</f>
        <v>0.41699999999999998</v>
      </c>
      <c r="H6" cm="1">
        <f t="array" ref="H6">IFERROR(_xlfn.XLOOKUP(C6&amp;A6, TDrate!F:F&amp;TDrate!H:H, TDrate!C:C), "N/A")</f>
        <v>3.3599999999999998E-2</v>
      </c>
      <c r="I6" cm="1">
        <f t="array" ref="I6">IFERROR(_xlfn.XLOOKUP(C6&amp;A6, TDrate!F:F&amp;TDrate!H:H, TDrate!E:E), "N/A")</f>
        <v>2.5899999999999999E-2</v>
      </c>
      <c r="J6" cm="1">
        <f t="array" ref="J6">IFERROR(_xlfn.XLOOKUP(C6&amp;A6, Inside5!B:B&amp;Inside5!I:I, Inside5!F:F), 0)</f>
        <v>1</v>
      </c>
      <c r="K6" cm="1">
        <f t="array" ref="K6">IFERROR(_xlfn.XLOOKUP(C6&amp;A6, Inside5!B:B&amp;Inside5!I:I, Inside5!G:G), 0)</f>
        <v>1</v>
      </c>
      <c r="L6" cm="1">
        <f t="array" ref="L6">IFERROR(_xlfn.XLOOKUP(C6&amp;A6, Inside5!B:B&amp;Inside5!I:I, Inside5!H:H), 0)</f>
        <v>1</v>
      </c>
      <c r="M6" cm="1">
        <f t="array" ref="M6">IFERROR(_xlfn.XLOOKUP(C6&amp;A6, TDrate!F:F&amp;TDrate!H:H, TDrate!B:B), "N/A")</f>
        <v>4.7100000000000003E-2</v>
      </c>
      <c r="N6" cm="1">
        <f t="array" ref="N6">IFERROR(_xlfn.XLOOKUP(C6&amp;A6, TDrate!F:F&amp;TDrate!H:H, TDrate!D:D), "N/A")</f>
        <v>3.9899999999999998E-2</v>
      </c>
    </row>
    <row r="7" spans="1:14" x14ac:dyDescent="0.45">
      <c r="A7" s="8">
        <v>2025</v>
      </c>
      <c r="B7" s="9" t="s">
        <v>302</v>
      </c>
      <c r="C7" s="10" t="str">
        <f t="shared" si="0"/>
        <v>Kyren Williams</v>
      </c>
      <c r="D7" s="10" t="str">
        <f t="shared" si="1"/>
        <v>LAR</v>
      </c>
      <c r="E7" cm="1">
        <f t="array" aca="1" ref="E7" ca="1">IFERROR(_xlfn.XLOOKUP(C7&amp;A7, Inside5!B:B&amp;Inside5!I:I, Inside5!C:C), 0)</f>
        <v>17</v>
      </c>
      <c r="F7" cm="1">
        <f t="array" ref="F7">IFERROR(_xlfn.XLOOKUP(C7&amp;A7, Inside5!B:B&amp;Inside5!I:I, Inside5!D:D), 0)</f>
        <v>8</v>
      </c>
      <c r="G7" cm="1">
        <f t="array" ref="G7">IFERROR(_xlfn.XLOOKUP(C7&amp;A7, Inside5!B:B&amp;Inside5!I:I, Inside5!E:E), 0)</f>
        <v>0.58599999999999997</v>
      </c>
      <c r="H7" cm="1">
        <f t="array" ref="H7">IFERROR(_xlfn.XLOOKUP(C7&amp;A7, TDrate!F:F&amp;TDrate!H:H, TDrate!C:C), "N/A")</f>
        <v>3.8600000000000002E-2</v>
      </c>
      <c r="I7" cm="1">
        <f t="array" ref="I7">IFERROR(_xlfn.XLOOKUP(C7&amp;A7, TDrate!F:F&amp;TDrate!H:H, TDrate!E:E), "N/A")</f>
        <v>3.8699999999999998E-2</v>
      </c>
      <c r="J7" cm="1">
        <f t="array" ref="J7">IFERROR(_xlfn.XLOOKUP(C7&amp;A7, Inside5!B:B&amp;Inside5!I:I, Inside5!F:F), 0)</f>
        <v>0</v>
      </c>
      <c r="K7" cm="1">
        <f t="array" ref="K7">IFERROR(_xlfn.XLOOKUP(C7&amp;A7, Inside5!B:B&amp;Inside5!I:I, Inside5!G:G), 0)</f>
        <v>0</v>
      </c>
      <c r="L7" cm="1">
        <f t="array" ref="L7">IFERROR(_xlfn.XLOOKUP(C7&amp;A7, Inside5!B:B&amp;Inside5!I:I, Inside5!H:H), 0)</f>
        <v>0</v>
      </c>
      <c r="M7" cm="1">
        <f t="array" ref="M7">IFERROR(_xlfn.XLOOKUP(C7&amp;A7, TDrate!F:F&amp;TDrate!H:H, TDrate!B:B), "N/A")</f>
        <v>0.06</v>
      </c>
      <c r="N7" cm="1">
        <f t="array" ref="N7">IFERROR(_xlfn.XLOOKUP(C7&amp;A7, TDrate!F:F&amp;TDrate!H:H, TDrate!D:D), "N/A")</f>
        <v>4.8099999999999997E-2</v>
      </c>
    </row>
    <row r="8" spans="1:14" x14ac:dyDescent="0.45">
      <c r="A8" s="5">
        <v>2025</v>
      </c>
      <c r="B8" s="6" t="s">
        <v>303</v>
      </c>
      <c r="C8" s="7" t="str">
        <f t="shared" si="0"/>
        <v>Jahmyr Gibbs</v>
      </c>
      <c r="D8" s="7" t="str">
        <f t="shared" si="1"/>
        <v>DET</v>
      </c>
      <c r="E8" cm="1">
        <f t="array" ref="E8">IFERROR(_xlfn.XLOOKUP(C8&amp;A8, Inside5!B:B&amp;Inside5!I:I, Inside5!C:C), 0)</f>
        <v>10</v>
      </c>
      <c r="F8" cm="1">
        <f t="array" ref="F8">IFERROR(_xlfn.XLOOKUP(C8&amp;A8, Inside5!B:B&amp;Inside5!I:I, Inside5!D:D), 0)</f>
        <v>4</v>
      </c>
      <c r="G8" cm="1">
        <f t="array" ref="G8">IFERROR(_xlfn.XLOOKUP(C8&amp;A8, Inside5!B:B&amp;Inside5!I:I, Inside5!E:E), 0)</f>
        <v>0.38500000000000001</v>
      </c>
      <c r="H8" cm="1">
        <f t="array" ref="H8">IFERROR(_xlfn.XLOOKUP(C8&amp;A8, TDrate!F:F&amp;TDrate!H:H, TDrate!C:C), "N/A")</f>
        <v>5.3499999999999999E-2</v>
      </c>
      <c r="I8" cm="1">
        <f t="array" ref="I8">IFERROR(_xlfn.XLOOKUP(C8&amp;A8, TDrate!F:F&amp;TDrate!H:H, TDrate!E:E), "N/A")</f>
        <v>4.1599999999999998E-2</v>
      </c>
      <c r="J8" cm="1">
        <f t="array" ref="J8">IFERROR(_xlfn.XLOOKUP(C8&amp;A8, Inside5!B:B&amp;Inside5!I:I, Inside5!F:F), 0)</f>
        <v>2</v>
      </c>
      <c r="K8" cm="1">
        <f t="array" ref="K8">IFERROR(_xlfn.XLOOKUP(C8&amp;A8, Inside5!B:B&amp;Inside5!I:I, Inside5!G:G), 0)</f>
        <v>2</v>
      </c>
      <c r="L8" cm="1">
        <f t="array" ref="L8">IFERROR(_xlfn.XLOOKUP(C8&amp;A8, Inside5!B:B&amp;Inside5!I:I, Inside5!H:H), 0)</f>
        <v>2</v>
      </c>
      <c r="M8" cm="1">
        <f t="array" ref="M8">IFERROR(_xlfn.XLOOKUP(C8&amp;A8, TDrate!F:F&amp;TDrate!H:H, TDrate!B:B), "N/A")</f>
        <v>5.3199999999999997E-2</v>
      </c>
      <c r="N8" cm="1">
        <f t="array" ref="N8">IFERROR(_xlfn.XLOOKUP(C8&amp;A8, TDrate!F:F&amp;TDrate!H:H, TDrate!D:D), "N/A")</f>
        <v>4.3400000000000001E-2</v>
      </c>
    </row>
    <row r="9" spans="1:14" x14ac:dyDescent="0.45">
      <c r="A9" s="8">
        <v>2025</v>
      </c>
      <c r="B9" s="9" t="s">
        <v>304</v>
      </c>
      <c r="C9" s="10" t="str">
        <f t="shared" si="0"/>
        <v>Christian McCaffrey</v>
      </c>
      <c r="D9" s="10" t="str">
        <f t="shared" si="1"/>
        <v>SF</v>
      </c>
      <c r="E9" cm="1">
        <f t="array" aca="1" ref="E9" ca="1">IFERROR(_xlfn.XLOOKUP(C9&amp;A9, Inside5!B:B&amp;Inside5!I:I, Inside5!C:C), 0)</f>
        <v>20</v>
      </c>
      <c r="F9" cm="1">
        <f t="array" aca="1" ref="F9" ca="1">IFERROR(_xlfn.XLOOKUP(C9&amp;A9, Inside5!B:B&amp;Inside5!I:I, Inside5!D:D), 0)</f>
        <v>9</v>
      </c>
      <c r="G9" cm="1">
        <f t="array" ref="G9">IFERROR(_xlfn.XLOOKUP(C9&amp;A9, Inside5!B:B&amp;Inside5!I:I, Inside5!E:E), 0)</f>
        <v>0.87</v>
      </c>
      <c r="H9" cm="1">
        <f t="array" ref="H9">IFERROR(_xlfn.XLOOKUP(C9&amp;A9, TDrate!F:F&amp;TDrate!H:H, TDrate!C:C), "N/A")</f>
        <v>3.2199999999999999E-2</v>
      </c>
      <c r="I9" cm="1">
        <f t="array" ref="I9">IFERROR(_xlfn.XLOOKUP(C9&amp;A9, TDrate!F:F&amp;TDrate!H:H, TDrate!E:E), "N/A")</f>
        <v>3.56E-2</v>
      </c>
      <c r="J9" cm="1">
        <f t="array" ref="J9">IFERROR(_xlfn.XLOOKUP(C9&amp;A9, Inside5!B:B&amp;Inside5!I:I, Inside5!F:F), 0)</f>
        <v>3</v>
      </c>
      <c r="K9" cm="1">
        <f t="array" aca="1" ref="K9" ca="1">IFERROR(_xlfn.XLOOKUP(C9&amp;A9, Inside5!B:B&amp;Inside5!I:I, Inside5!G:G), 0)</f>
        <v>4</v>
      </c>
      <c r="L9" cm="1">
        <f t="array" ref="L9">IFERROR(_xlfn.XLOOKUP(C9&amp;A9, Inside5!B:B&amp;Inside5!I:I, Inside5!H:H), 0)</f>
        <v>3</v>
      </c>
      <c r="M9" cm="1">
        <f t="array" ref="M9">IFERROR(_xlfn.XLOOKUP(C9&amp;A9, TDrate!F:F&amp;TDrate!H:H, TDrate!B:B), "N/A")</f>
        <v>5.4300000000000001E-2</v>
      </c>
      <c r="N9" cm="1">
        <f t="array" ref="N9">IFERROR(_xlfn.XLOOKUP(C9&amp;A9, TDrate!F:F&amp;TDrate!H:H, TDrate!D:D), "N/A")</f>
        <v>5.21E-2</v>
      </c>
    </row>
    <row r="10" spans="1:14" x14ac:dyDescent="0.45">
      <c r="A10" s="5">
        <v>2025</v>
      </c>
      <c r="B10" s="6" t="s">
        <v>305</v>
      </c>
      <c r="C10" s="7" t="str">
        <f t="shared" si="0"/>
        <v>Javonte Williams</v>
      </c>
      <c r="D10" s="7" t="str">
        <f t="shared" si="1"/>
        <v>DAL</v>
      </c>
      <c r="E10" cm="1">
        <f t="array" aca="1" ref="E10" ca="1">IFERROR(_xlfn.XLOOKUP(C10&amp;A10, Inside5!B:B&amp;Inside5!I:I, Inside5!C:C), 0)</f>
        <v>20</v>
      </c>
      <c r="F10" cm="1">
        <f t="array" aca="1" ref="F10" ca="1">IFERROR(_xlfn.XLOOKUP(C10&amp;A10, Inside5!B:B&amp;Inside5!I:I, Inside5!D:D), 0)</f>
        <v>10</v>
      </c>
      <c r="G10" cm="1">
        <f t="array" ref="G10">IFERROR(_xlfn.XLOOKUP(C10&amp;A10, Inside5!B:B&amp;Inside5!I:I, Inside5!E:E), 0)</f>
        <v>0.87</v>
      </c>
      <c r="H10" cm="1">
        <f t="array" ref="H10">IFERROR(_xlfn.XLOOKUP(C10&amp;A10, TDrate!F:F&amp;TDrate!H:H, TDrate!C:C), "N/A")</f>
        <v>4.3700000000000003E-2</v>
      </c>
      <c r="I10" cm="1">
        <f t="array" ref="I10">IFERROR(_xlfn.XLOOKUP(C10&amp;A10, TDrate!F:F&amp;TDrate!H:H, TDrate!E:E), "N/A")</f>
        <v>4.2599999999999999E-2</v>
      </c>
      <c r="J10" cm="1">
        <f t="array" ref="J10">IFERROR(_xlfn.XLOOKUP(C10&amp;A10, Inside5!B:B&amp;Inside5!I:I, Inside5!F:F), 0)</f>
        <v>3</v>
      </c>
      <c r="K10" cm="1">
        <f t="array" aca="1" ref="K10" ca="1">IFERROR(_xlfn.XLOOKUP(C10&amp;A10, Inside5!B:B&amp;Inside5!I:I, Inside5!G:G), 0)</f>
        <v>4</v>
      </c>
      <c r="L10" cm="1">
        <f t="array" ref="L10">IFERROR(_xlfn.XLOOKUP(C10&amp;A10, Inside5!B:B&amp;Inside5!I:I, Inside5!H:H), 0)</f>
        <v>2</v>
      </c>
      <c r="M10" cm="1">
        <f t="array" ref="M10">IFERROR(_xlfn.XLOOKUP(C10&amp;A10, TDrate!F:F&amp;TDrate!H:H, TDrate!B:B), "N/A")</f>
        <v>3.9199999999999999E-2</v>
      </c>
      <c r="N10" cm="1">
        <f t="array" ref="N10">IFERROR(_xlfn.XLOOKUP(C10&amp;A10, TDrate!F:F&amp;TDrate!H:H, TDrate!D:D), "N/A")</f>
        <v>5.21E-2</v>
      </c>
    </row>
    <row r="11" spans="1:14" x14ac:dyDescent="0.45">
      <c r="A11" s="8">
        <v>2025</v>
      </c>
      <c r="B11" s="9" t="s">
        <v>306</v>
      </c>
      <c r="C11" s="10" t="str">
        <f t="shared" si="0"/>
        <v>Saquon Barkley</v>
      </c>
      <c r="D11" s="10" t="str">
        <f t="shared" si="1"/>
        <v>PHI</v>
      </c>
      <c r="E11" cm="1">
        <f t="array" aca="1" ref="E11" ca="1">IFERROR(_xlfn.XLOOKUP(C11&amp;A11, Inside5!B:B&amp;Inside5!I:I, Inside5!C:C), 0)</f>
        <v>14</v>
      </c>
      <c r="F11" cm="1">
        <f t="array" aca="1" ref="F11" ca="1">IFERROR(_xlfn.XLOOKUP(C11&amp;A11, Inside5!B:B&amp;Inside5!I:I, Inside5!D:D), 0)</f>
        <v>1</v>
      </c>
      <c r="G11" cm="1">
        <f t="array" ref="G11">IFERROR(_xlfn.XLOOKUP(C11&amp;A11, Inside5!B:B&amp;Inside5!I:I, Inside5!E:E), 0)</f>
        <v>0.77800000000000002</v>
      </c>
      <c r="H11" cm="1">
        <f t="array" ref="H11">IFERROR(_xlfn.XLOOKUP(C11&amp;A11, TDrate!F:F&amp;TDrate!H:H, TDrate!C:C), "N/A")</f>
        <v>2.5000000000000001E-2</v>
      </c>
      <c r="I11" cm="1">
        <f t="array" ref="I11">IFERROR(_xlfn.XLOOKUP(C11&amp;A11, TDrate!F:F&amp;TDrate!H:H, TDrate!E:E), "N/A")</f>
        <v>2.7099999999999999E-2</v>
      </c>
      <c r="J11" cm="1">
        <f t="array" ref="J11">IFERROR(_xlfn.XLOOKUP(C11&amp;A11, Inside5!B:B&amp;Inside5!I:I, Inside5!F:F), 0)</f>
        <v>0</v>
      </c>
      <c r="K11" cm="1">
        <f t="array" aca="1" ref="K11" ca="1">IFERROR(_xlfn.XLOOKUP(C11&amp;A11, Inside5!B:B&amp;Inside5!I:I, Inside5!G:G), 0)</f>
        <v>1</v>
      </c>
      <c r="L11" cm="1">
        <f t="array" ref="L11">IFERROR(_xlfn.XLOOKUP(C11&amp;A11, Inside5!B:B&amp;Inside5!I:I, Inside5!H:H), 0)</f>
        <v>0</v>
      </c>
      <c r="M11" cm="1">
        <f t="array" ref="M11">IFERROR(_xlfn.XLOOKUP(C11&amp;A11, TDrate!F:F&amp;TDrate!H:H, TDrate!B:B), "N/A")</f>
        <v>0.04</v>
      </c>
      <c r="N11" cm="1">
        <f t="array" ref="N11">IFERROR(_xlfn.XLOOKUP(C11&amp;A11, TDrate!F:F&amp;TDrate!H:H, TDrate!D:D), "N/A")</f>
        <v>3.7100000000000001E-2</v>
      </c>
    </row>
    <row r="12" spans="1:14" x14ac:dyDescent="0.45">
      <c r="A12" s="5">
        <v>2025</v>
      </c>
      <c r="B12" s="6" t="s">
        <v>307</v>
      </c>
      <c r="C12" s="7" t="str">
        <f t="shared" si="0"/>
        <v>Travis Etienne Jr.</v>
      </c>
      <c r="D12" s="7" t="str">
        <f t="shared" si="1"/>
        <v>JAC</v>
      </c>
      <c r="E12" cm="1">
        <f t="array" ref="E12">IFERROR(_xlfn.XLOOKUP(C12&amp;A12, Inside5!B:B&amp;Inside5!I:I, Inside5!C:C), 0)</f>
        <v>11</v>
      </c>
      <c r="F12" cm="1">
        <f t="array" ref="F12">IFERROR(_xlfn.XLOOKUP(C12&amp;A12, Inside5!B:B&amp;Inside5!I:I, Inside5!D:D), 0)</f>
        <v>2</v>
      </c>
      <c r="G12" cm="1">
        <f t="array" ref="G12">IFERROR(_xlfn.XLOOKUP(C12&amp;A12, Inside5!B:B&amp;Inside5!I:I, Inside5!E:E), 0)</f>
        <v>0.61099999999999999</v>
      </c>
      <c r="H12" cm="1">
        <f t="array" ref="H12">IFERROR(_xlfn.XLOOKUP(C12&amp;A12, TDrate!F:F&amp;TDrate!H:H, TDrate!C:C), "N/A")</f>
        <v>2.69E-2</v>
      </c>
      <c r="I12" cm="1">
        <f t="array" ref="I12">IFERROR(_xlfn.XLOOKUP(C12&amp;A12, TDrate!F:F&amp;TDrate!H:H, TDrate!E:E), "N/A")</f>
        <v>2.92E-2</v>
      </c>
      <c r="J12" cm="1">
        <f t="array" ref="J12">IFERROR(_xlfn.XLOOKUP(C12&amp;A12, Inside5!B:B&amp;Inside5!I:I, Inside5!F:F), 0)</f>
        <v>0</v>
      </c>
      <c r="K12" cm="1">
        <f t="array" ref="K12">IFERROR(_xlfn.XLOOKUP(C12&amp;A12, Inside5!B:B&amp;Inside5!I:I, Inside5!G:G), 0)</f>
        <v>1</v>
      </c>
      <c r="L12" cm="1">
        <f t="array" ref="L12">IFERROR(_xlfn.XLOOKUP(C12&amp;A12, Inside5!B:B&amp;Inside5!I:I, Inside5!H:H), 0)</f>
        <v>0</v>
      </c>
      <c r="M12" cm="1">
        <f t="array" ref="M12">IFERROR(_xlfn.XLOOKUP(C12&amp;A12, TDrate!F:F&amp;TDrate!H:H, TDrate!B:B), "N/A")</f>
        <v>0.1154</v>
      </c>
      <c r="N12" cm="1">
        <f t="array" ref="N12">IFERROR(_xlfn.XLOOKUP(C12&amp;A12, TDrate!F:F&amp;TDrate!H:H, TDrate!D:D), "N/A")</f>
        <v>8.2799999999999999E-2</v>
      </c>
    </row>
    <row r="13" spans="1:14" x14ac:dyDescent="0.45">
      <c r="A13" s="8">
        <v>2025</v>
      </c>
      <c r="B13" s="9" t="s">
        <v>308</v>
      </c>
      <c r="C13" s="10" t="str">
        <f t="shared" si="0"/>
        <v>D'Andre Swift</v>
      </c>
      <c r="D13" s="10" t="str">
        <f t="shared" si="1"/>
        <v>CHI</v>
      </c>
      <c r="E13" cm="1">
        <f t="array" aca="1" ref="E13" ca="1">IFERROR(_xlfn.XLOOKUP(C13&amp;A13, Inside5!B:B&amp;Inside5!I:I, Inside5!C:C), 0)</f>
        <v>13</v>
      </c>
      <c r="F13" cm="1">
        <f t="array" aca="1" ref="F13" ca="1">IFERROR(_xlfn.XLOOKUP(C13&amp;A13, Inside5!B:B&amp;Inside5!I:I, Inside5!D:D), 0)</f>
        <v>5</v>
      </c>
      <c r="G13" cm="1">
        <f t="array" ref="G13">IFERROR(_xlfn.XLOOKUP(C13&amp;A13, Inside5!B:B&amp;Inside5!I:I, Inside5!E:E), 0)</f>
        <v>0.56499999999999995</v>
      </c>
      <c r="H13" cm="1">
        <f t="array" ref="H13">IFERROR(_xlfn.XLOOKUP(C13&amp;A13, TDrate!F:F&amp;TDrate!H:H, TDrate!C:C), "N/A")</f>
        <v>4.0399999999999998E-2</v>
      </c>
      <c r="I13" cm="1">
        <f t="array" ref="I13">IFERROR(_xlfn.XLOOKUP(C13&amp;A13, TDrate!F:F&amp;TDrate!H:H, TDrate!E:E), "N/A")</f>
        <v>3.8199999999999998E-2</v>
      </c>
      <c r="J13" cm="1">
        <f t="array" ref="J13">IFERROR(_xlfn.XLOOKUP(C13&amp;A13, Inside5!B:B&amp;Inside5!I:I, Inside5!F:F), 0)</f>
        <v>0</v>
      </c>
      <c r="K13" cm="1">
        <f t="array" ref="K13">IFERROR(_xlfn.XLOOKUP(C13&amp;A13, Inside5!B:B&amp;Inside5!I:I, Inside5!G:G), 0)</f>
        <v>0</v>
      </c>
      <c r="L13" cm="1">
        <f t="array" ref="L13">IFERROR(_xlfn.XLOOKUP(C13&amp;A13, Inside5!B:B&amp;Inside5!I:I, Inside5!H:H), 0)</f>
        <v>0</v>
      </c>
      <c r="M13" cm="1">
        <f t="array" ref="M13">IFERROR(_xlfn.XLOOKUP(C13&amp;A13, TDrate!F:F&amp;TDrate!H:H, TDrate!B:B), "N/A")</f>
        <v>2.0799999999999999E-2</v>
      </c>
      <c r="N13" cm="1">
        <f t="array" ref="N13">IFERROR(_xlfn.XLOOKUP(C13&amp;A13, TDrate!F:F&amp;TDrate!H:H, TDrate!D:D), "N/A")</f>
        <v>1.47E-2</v>
      </c>
    </row>
    <row r="14" spans="1:14" x14ac:dyDescent="0.45">
      <c r="A14" s="5">
        <v>2025</v>
      </c>
      <c r="B14" s="6" t="s">
        <v>309</v>
      </c>
      <c r="C14" s="7" t="str">
        <f t="shared" si="0"/>
        <v>Tony Pollard</v>
      </c>
      <c r="D14" s="7" t="str">
        <f t="shared" si="1"/>
        <v>TEN</v>
      </c>
      <c r="E14" cm="1">
        <f t="array" ref="E14">IFERROR(_xlfn.XLOOKUP(C14&amp;A14, Inside5!B:B&amp;Inside5!I:I, Inside5!C:C), 0)</f>
        <v>4</v>
      </c>
      <c r="F14" cm="1">
        <f t="array" ref="F14">IFERROR(_xlfn.XLOOKUP(C14&amp;A14, Inside5!B:B&amp;Inside5!I:I, Inside5!D:D), 0)</f>
        <v>2</v>
      </c>
      <c r="G14" cm="1">
        <f t="array" ref="G14">IFERROR(_xlfn.XLOOKUP(C14&amp;A14, Inside5!B:B&amp;Inside5!I:I, Inside5!E:E), 0)</f>
        <v>0.5</v>
      </c>
      <c r="H14" cm="1">
        <f t="array" ref="H14">IFERROR(_xlfn.XLOOKUP(C14&amp;A14, TDrate!F:F&amp;TDrate!H:H, TDrate!C:C), "N/A")</f>
        <v>2.07E-2</v>
      </c>
      <c r="I14" cm="1">
        <f t="array" ref="I14">IFERROR(_xlfn.XLOOKUP(C14&amp;A14, TDrate!F:F&amp;TDrate!H:H, TDrate!E:E), "N/A")</f>
        <v>1.7999999999999999E-2</v>
      </c>
      <c r="J14" cm="1">
        <f t="array" ref="J14">IFERROR(_xlfn.XLOOKUP(C14&amp;A14, Inside5!B:B&amp;Inside5!I:I, Inside5!F:F), 0)</f>
        <v>0</v>
      </c>
      <c r="K14" cm="1">
        <f t="array" aca="1" ref="K14" ca="1">IFERROR(_xlfn.XLOOKUP(C14&amp;A14, Inside5!B:B&amp;Inside5!I:I, Inside5!G:G), 0)</f>
        <v>0</v>
      </c>
      <c r="L14" cm="1">
        <f t="array" aca="1" ref="L14" ca="1">IFERROR(_xlfn.XLOOKUP(C14&amp;A14, Inside5!B:B&amp;Inside5!I:I, Inside5!H:H), 0)</f>
        <v>0</v>
      </c>
      <c r="M14" cm="1">
        <f t="array" ref="M14">IFERROR(_xlfn.XLOOKUP(C14&amp;A14, TDrate!F:F&amp;TDrate!H:H, TDrate!B:B), "N/A")</f>
        <v>0</v>
      </c>
      <c r="N14" cm="1">
        <f t="array" ref="N14">IFERROR(_xlfn.XLOOKUP(C14&amp;A14, TDrate!F:F&amp;TDrate!H:H, TDrate!D:D), "N/A")</f>
        <v>4.4000000000000003E-3</v>
      </c>
    </row>
    <row r="15" spans="1:14" x14ac:dyDescent="0.45">
      <c r="A15" s="8">
        <v>2025</v>
      </c>
      <c r="B15" s="9" t="s">
        <v>310</v>
      </c>
      <c r="C15" s="10" t="str">
        <f t="shared" si="0"/>
        <v>Rico Dowdle</v>
      </c>
      <c r="D15" s="10" t="str">
        <f t="shared" si="1"/>
        <v>CAR</v>
      </c>
      <c r="E15" cm="1">
        <f t="array" aca="1" ref="E15" ca="1">IFERROR(_xlfn.XLOOKUP(C15&amp;A15, Inside5!B:B&amp;Inside5!I:I, Inside5!C:C), 0)</f>
        <v>8</v>
      </c>
      <c r="F15" cm="1">
        <f t="array" aca="1" ref="F15" ca="1">IFERROR(_xlfn.XLOOKUP(C15&amp;A15, Inside5!B:B&amp;Inside5!I:I, Inside5!D:D), 0)</f>
        <v>6</v>
      </c>
      <c r="G15" cm="1">
        <f t="array" ref="G15">IFERROR(_xlfn.XLOOKUP(C15&amp;A15, Inside5!B:B&amp;Inside5!I:I, Inside5!E:E), 0)</f>
        <v>0.8</v>
      </c>
      <c r="H15" cm="1">
        <f t="array" ref="H15">IFERROR(_xlfn.XLOOKUP(C15&amp;A15, TDrate!F:F&amp;TDrate!H:H, TDrate!C:C), "N/A")</f>
        <v>2.5399999999999999E-2</v>
      </c>
      <c r="I15" cm="1">
        <f t="array" ref="I15">IFERROR(_xlfn.XLOOKUP(C15&amp;A15, TDrate!F:F&amp;TDrate!H:H, TDrate!E:E), "N/A")</f>
        <v>2.4199999999999999E-2</v>
      </c>
      <c r="J15" cm="1">
        <f t="array" ref="J15">IFERROR(_xlfn.XLOOKUP(C15&amp;A15, Inside5!B:B&amp;Inside5!I:I, Inside5!F:F), 0)</f>
        <v>0</v>
      </c>
      <c r="K15" cm="1">
        <f t="array" ref="K15">IFERROR(_xlfn.XLOOKUP(C15&amp;A15, Inside5!B:B&amp;Inside5!I:I, Inside5!G:G), 0)</f>
        <v>0</v>
      </c>
      <c r="L15" cm="1">
        <f t="array" ref="L15">IFERROR(_xlfn.XLOOKUP(C15&amp;A15, Inside5!B:B&amp;Inside5!I:I, Inside5!H:H), 0)</f>
        <v>0</v>
      </c>
      <c r="M15" cm="1">
        <f t="array" ref="M15">IFERROR(_xlfn.XLOOKUP(C15&amp;A15, TDrate!F:F&amp;TDrate!H:H, TDrate!B:B), "N/A")</f>
        <v>0.02</v>
      </c>
      <c r="N15" cm="1">
        <f t="array" ref="N15">IFERROR(_xlfn.XLOOKUP(C15&amp;A15, TDrate!F:F&amp;TDrate!H:H, TDrate!D:D), "N/A")</f>
        <v>2.0199999999999999E-2</v>
      </c>
    </row>
    <row r="16" spans="1:14" x14ac:dyDescent="0.45">
      <c r="A16" s="5">
        <v>2025</v>
      </c>
      <c r="B16" s="6" t="s">
        <v>311</v>
      </c>
      <c r="C16" s="7" t="str">
        <f t="shared" si="0"/>
        <v>Breece Hall</v>
      </c>
      <c r="D16" s="7" t="str">
        <f t="shared" si="1"/>
        <v>NYJ</v>
      </c>
      <c r="E16" cm="1">
        <f t="array" aca="1" ref="E16" ca="1">IFERROR(_xlfn.XLOOKUP(C16&amp;A16, Inside5!B:B&amp;Inside5!I:I, Inside5!C:C), 0)</f>
        <v>4</v>
      </c>
      <c r="F16" cm="1">
        <f t="array" aca="1" ref="F16" ca="1">IFERROR(_xlfn.XLOOKUP(C16&amp;A16, Inside5!B:B&amp;Inside5!I:I, Inside5!D:D), 0)</f>
        <v>2</v>
      </c>
      <c r="G16" cm="1">
        <f t="array" ref="G16">IFERROR(_xlfn.XLOOKUP(C16&amp;A16, Inside5!B:B&amp;Inside5!I:I, Inside5!E:E), 0)</f>
        <v>0.66700000000000004</v>
      </c>
      <c r="H16" cm="1">
        <f t="array" ref="H16">IFERROR(_xlfn.XLOOKUP(C16&amp;A16, TDrate!F:F&amp;TDrate!H:H, TDrate!C:C), "N/A")</f>
        <v>1.6500000000000001E-2</v>
      </c>
      <c r="I16" cm="1">
        <f t="array" ref="I16">IFERROR(_xlfn.XLOOKUP(C16&amp;A16, TDrate!F:F&amp;TDrate!H:H, TDrate!E:E), "N/A")</f>
        <v>1.6E-2</v>
      </c>
      <c r="J16" cm="1">
        <f t="array" ref="J16">IFERROR(_xlfn.XLOOKUP(C16&amp;A16, Inside5!B:B&amp;Inside5!I:I, Inside5!F:F), 0)</f>
        <v>0</v>
      </c>
      <c r="K16" cm="1">
        <f t="array" aca="1" ref="K16" ca="1">IFERROR(_xlfn.XLOOKUP(C16&amp;A16, Inside5!B:B&amp;Inside5!I:I, Inside5!G:G), 0)</f>
        <v>1</v>
      </c>
      <c r="L16" cm="1">
        <f t="array" ref="L16">IFERROR(_xlfn.XLOOKUP(C16&amp;A16, Inside5!B:B&amp;Inside5!I:I, Inside5!H:H), 0)</f>
        <v>0</v>
      </c>
      <c r="M16" cm="1">
        <f t="array" ref="M16">IFERROR(_xlfn.XLOOKUP(C16&amp;A16, TDrate!F:F&amp;TDrate!H:H, TDrate!B:B), "N/A")</f>
        <v>2.0799999999999999E-2</v>
      </c>
      <c r="N16" cm="1">
        <f t="array" ref="N16">IFERROR(_xlfn.XLOOKUP(C16&amp;A16, TDrate!F:F&amp;TDrate!H:H, TDrate!D:D), "N/A")</f>
        <v>3.0200000000000001E-2</v>
      </c>
    </row>
    <row r="17" spans="1:14" x14ac:dyDescent="0.45">
      <c r="A17" s="8">
        <v>2025</v>
      </c>
      <c r="B17" s="9" t="s">
        <v>312</v>
      </c>
      <c r="C17" s="10" t="str">
        <f t="shared" si="0"/>
        <v>Kenneth Walker III</v>
      </c>
      <c r="D17" s="10" t="str">
        <f t="shared" si="1"/>
        <v>SEA</v>
      </c>
      <c r="E17" cm="1">
        <f t="array" aca="1" ref="E17" ca="1">IFERROR(_xlfn.XLOOKUP(C17&amp;A17, Inside5!B:B&amp;Inside5!I:I, Inside5!C:C), 0)</f>
        <v>8</v>
      </c>
      <c r="F17" cm="1">
        <f t="array" aca="1" ref="F17" ca="1">IFERROR(_xlfn.XLOOKUP(C17&amp;A17, Inside5!B:B&amp;Inside5!I:I, Inside5!D:D), 0)</f>
        <v>3</v>
      </c>
      <c r="G17" cm="1">
        <f t="array" ref="G17">IFERROR(_xlfn.XLOOKUP(C17&amp;A17, Inside5!B:B&amp;Inside5!I:I, Inside5!E:E), 0)</f>
        <v>0.308</v>
      </c>
      <c r="H17" cm="1">
        <f t="array" ref="H17">IFERROR(_xlfn.XLOOKUP(C17&amp;A17, TDrate!F:F&amp;TDrate!H:H, TDrate!C:C), "N/A")</f>
        <v>2.2599999999999999E-2</v>
      </c>
      <c r="I17" cm="1">
        <f t="array" ref="I17">IFERROR(_xlfn.XLOOKUP(C17&amp;A17, TDrate!F:F&amp;TDrate!H:H, TDrate!E:E), "N/A")</f>
        <v>2.3199999999999998E-2</v>
      </c>
      <c r="J17" cm="1">
        <f t="array" ref="J17">IFERROR(_xlfn.XLOOKUP(C17&amp;A17, Inside5!B:B&amp;Inside5!I:I, Inside5!F:F), 0)</f>
        <v>0</v>
      </c>
      <c r="K17" cm="1">
        <f t="array" ref="K17">IFERROR(_xlfn.XLOOKUP(C17&amp;A17, Inside5!B:B&amp;Inside5!I:I, Inside5!G:G), 0)</f>
        <v>0</v>
      </c>
      <c r="L17" cm="1">
        <f t="array" ref="L17">IFERROR(_xlfn.XLOOKUP(C17&amp;A17, Inside5!B:B&amp;Inside5!I:I, Inside5!H:H), 0)</f>
        <v>0</v>
      </c>
      <c r="M17" cm="1">
        <f t="array" ref="M17">IFERROR(_xlfn.XLOOKUP(C17&amp;A17, TDrate!F:F&amp;TDrate!H:H, TDrate!B:B), "N/A")</f>
        <v>0</v>
      </c>
      <c r="N17" cm="1">
        <f t="array" ref="N17">IFERROR(_xlfn.XLOOKUP(C17&amp;A17, TDrate!F:F&amp;TDrate!H:H, TDrate!D:D), "N/A")</f>
        <v>1.0500000000000001E-2</v>
      </c>
    </row>
    <row r="18" spans="1:14" x14ac:dyDescent="0.45">
      <c r="A18" s="5">
        <v>2025</v>
      </c>
      <c r="B18" s="6" t="s">
        <v>313</v>
      </c>
      <c r="C18" s="7" t="str">
        <f t="shared" si="0"/>
        <v>Chase Brown</v>
      </c>
      <c r="D18" s="7" t="str">
        <f t="shared" si="1"/>
        <v>CIN</v>
      </c>
      <c r="E18" cm="1">
        <f t="array" ref="E18">IFERROR(_xlfn.XLOOKUP(C18&amp;A18, Inside5!B:B&amp;Inside5!I:I, Inside5!C:C), 0)</f>
        <v>12</v>
      </c>
      <c r="F18" cm="1">
        <f t="array" ref="F18">IFERROR(_xlfn.XLOOKUP(C18&amp;A18, Inside5!B:B&amp;Inside5!I:I, Inside5!D:D), 0)</f>
        <v>4</v>
      </c>
      <c r="G18" cm="1">
        <f t="array" ref="G18">IFERROR(_xlfn.XLOOKUP(C18&amp;A18, Inside5!B:B&amp;Inside5!I:I, Inside5!E:E), 0)</f>
        <v>0.75</v>
      </c>
      <c r="H18" cm="1">
        <f t="array" ref="H18">IFERROR(_xlfn.XLOOKUP(C18&amp;A18, TDrate!F:F&amp;TDrate!H:H, TDrate!C:C), "N/A")</f>
        <v>2.5899999999999999E-2</v>
      </c>
      <c r="I18" cm="1">
        <f t="array" ref="I18">IFERROR(_xlfn.XLOOKUP(C18&amp;A18, TDrate!F:F&amp;TDrate!H:H, TDrate!E:E), "N/A")</f>
        <v>2.7799999999999998E-2</v>
      </c>
      <c r="J18" cm="1">
        <f t="array" ref="J18">IFERROR(_xlfn.XLOOKUP(C18&amp;A18, Inside5!B:B&amp;Inside5!I:I, Inside5!F:F), 0)</f>
        <v>1</v>
      </c>
      <c r="K18" cm="1">
        <f t="array" ref="K18">IFERROR(_xlfn.XLOOKUP(C18&amp;A18, Inside5!B:B&amp;Inside5!I:I, Inside5!G:G), 0)</f>
        <v>2</v>
      </c>
      <c r="L18" cm="1">
        <f t="array" ref="L18">IFERROR(_xlfn.XLOOKUP(C18&amp;A18, Inside5!B:B&amp;Inside5!I:I, Inside5!H:H), 0)</f>
        <v>1</v>
      </c>
      <c r="M18" cm="1">
        <f t="array" ref="M18">IFERROR(_xlfn.XLOOKUP(C18&amp;A18, TDrate!F:F&amp;TDrate!H:H, TDrate!B:B), "N/A")</f>
        <v>5.6800000000000003E-2</v>
      </c>
      <c r="N18" cm="1">
        <f t="array" ref="N18">IFERROR(_xlfn.XLOOKUP(C18&amp;A18, TDrate!F:F&amp;TDrate!H:H, TDrate!D:D), "N/A")</f>
        <v>4.8599999999999997E-2</v>
      </c>
    </row>
    <row r="19" spans="1:14" x14ac:dyDescent="0.45">
      <c r="A19" s="8">
        <v>2025</v>
      </c>
      <c r="B19" s="9" t="s">
        <v>314</v>
      </c>
      <c r="C19" s="10" t="str">
        <f t="shared" si="0"/>
        <v>Ashton Jeanty</v>
      </c>
      <c r="D19" s="10" t="str">
        <f t="shared" si="1"/>
        <v>LV</v>
      </c>
      <c r="E19" cm="1">
        <f t="array" aca="1" ref="E19" ca="1">IFERROR(_xlfn.XLOOKUP(C19&amp;A19, Inside5!B:B&amp;Inside5!I:I, Inside5!C:C), 0)</f>
        <v>9</v>
      </c>
      <c r="F19" cm="1">
        <f t="array" aca="1" ref="F19" ca="1">IFERROR(_xlfn.XLOOKUP(C19&amp;A19, Inside5!B:B&amp;Inside5!I:I, Inside5!D:D), 0)</f>
        <v>3</v>
      </c>
      <c r="G19" cm="1">
        <f t="array" ref="G19">IFERROR(_xlfn.XLOOKUP(C19&amp;A19, Inside5!B:B&amp;Inside5!I:I, Inside5!E:E), 0)</f>
        <v>1</v>
      </c>
      <c r="H19" cm="1">
        <f t="array" ref="H19">IFERROR(_xlfn.XLOOKUP(C19&amp;A19, TDrate!F:F&amp;TDrate!H:H, TDrate!C:C), "N/A")</f>
        <v>1.8800000000000001E-2</v>
      </c>
      <c r="I19" cm="1">
        <f t="array" ref="I19">IFERROR(_xlfn.XLOOKUP(C19&amp;A19, TDrate!F:F&amp;TDrate!H:H, TDrate!E:E), "N/A")</f>
        <v>2.12E-2</v>
      </c>
      <c r="J19" cm="1">
        <f t="array" ref="J19">IFERROR(_xlfn.XLOOKUP(C19&amp;A19, Inside5!B:B&amp;Inside5!I:I, Inside5!F:F), 0)</f>
        <v>1</v>
      </c>
      <c r="K19" cm="1">
        <f t="array" ref="K19">IFERROR(_xlfn.XLOOKUP(C19&amp;A19, Inside5!B:B&amp;Inside5!I:I, Inside5!G:G), 0)</f>
        <v>1</v>
      </c>
      <c r="L19" cm="1">
        <f t="array" ref="L19">IFERROR(_xlfn.XLOOKUP(C19&amp;A19, Inside5!B:B&amp;Inside5!I:I, Inside5!H:H), 0)</f>
        <v>1</v>
      </c>
      <c r="M19" cm="1">
        <f t="array" ref="M19">IFERROR(_xlfn.XLOOKUP(C19&amp;A19, TDrate!F:F&amp;TDrate!H:H, TDrate!B:B), "N/A")</f>
        <v>6.8500000000000005E-2</v>
      </c>
      <c r="N19" cm="1">
        <f t="array" ref="N19">IFERROR(_xlfn.XLOOKUP(C19&amp;A19, TDrate!F:F&amp;TDrate!H:H, TDrate!D:D), "N/A")</f>
        <v>4.8500000000000001E-2</v>
      </c>
    </row>
    <row r="20" spans="1:14" x14ac:dyDescent="0.45">
      <c r="A20" s="5">
        <v>2025</v>
      </c>
      <c r="B20" s="6" t="s">
        <v>315</v>
      </c>
      <c r="C20" s="7" t="str">
        <f t="shared" si="0"/>
        <v>Jaylen Warren</v>
      </c>
      <c r="D20" s="7" t="str">
        <f t="shared" si="1"/>
        <v>PIT</v>
      </c>
      <c r="E20" cm="1">
        <f t="array" aca="1" ref="E20" ca="1">IFERROR(_xlfn.XLOOKUP(C20&amp;A20, Inside5!B:B&amp;Inside5!I:I, Inside5!C:C), 0)</f>
        <v>12</v>
      </c>
      <c r="F20" cm="1">
        <f t="array" aca="1" ref="F20" ca="1">IFERROR(_xlfn.XLOOKUP(C20&amp;A20, Inside5!B:B&amp;Inside5!I:I, Inside5!D:D), 0)</f>
        <v>4</v>
      </c>
      <c r="G20" cm="1">
        <f t="array" ref="G20">IFERROR(_xlfn.XLOOKUP(C20&amp;A20, Inside5!B:B&amp;Inside5!I:I, Inside5!E:E), 0)</f>
        <v>0.57099999999999995</v>
      </c>
      <c r="H20" cm="1">
        <f t="array" ref="H20">IFERROR(_xlfn.XLOOKUP(C20&amp;A20, TDrate!F:F&amp;TDrate!H:H, TDrate!C:C), "N/A")</f>
        <v>2.8400000000000002E-2</v>
      </c>
      <c r="I20" cm="1">
        <f t="array" ref="I20">IFERROR(_xlfn.XLOOKUP(C20&amp;A20, TDrate!F:F&amp;TDrate!H:H, TDrate!E:E), "N/A")</f>
        <v>3.2599999999999997E-2</v>
      </c>
      <c r="J20" cm="1">
        <f t="array" ref="J20">IFERROR(_xlfn.XLOOKUP(C20&amp;A20, Inside5!B:B&amp;Inside5!I:I, Inside5!F:F), 0)</f>
        <v>1</v>
      </c>
      <c r="K20" cm="1">
        <f t="array" aca="1" ref="K20" ca="1">IFERROR(_xlfn.XLOOKUP(C20&amp;A20, Inside5!B:B&amp;Inside5!I:I, Inside5!G:G), 0)</f>
        <v>1</v>
      </c>
      <c r="L20" cm="1">
        <f t="array" ref="L20">IFERROR(_xlfn.XLOOKUP(C20&amp;A20, Inside5!B:B&amp;Inside5!I:I, Inside5!H:H), 0)</f>
        <v>1</v>
      </c>
      <c r="M20" cm="1">
        <f t="array" ref="M20">IFERROR(_xlfn.XLOOKUP(C20&amp;A20, TDrate!F:F&amp;TDrate!H:H, TDrate!B:B), "N/A")</f>
        <v>4.4400000000000002E-2</v>
      </c>
      <c r="N20" cm="1">
        <f t="array" ref="N20">IFERROR(_xlfn.XLOOKUP(C20&amp;A20, TDrate!F:F&amp;TDrate!H:H, TDrate!D:D), "N/A")</f>
        <v>4.1599999999999998E-2</v>
      </c>
    </row>
    <row r="21" spans="1:14" x14ac:dyDescent="0.45">
      <c r="A21" s="8">
        <v>2025</v>
      </c>
      <c r="B21" s="9" t="s">
        <v>316</v>
      </c>
      <c r="C21" s="10" t="str">
        <f t="shared" si="0"/>
        <v>Josh Jacobs</v>
      </c>
      <c r="D21" s="10" t="str">
        <f t="shared" si="1"/>
        <v>GB</v>
      </c>
      <c r="E21" cm="1">
        <f t="array" aca="1" ref="E21" ca="1">IFERROR(_xlfn.XLOOKUP(C21&amp;A21, Inside5!B:B&amp;Inside5!I:I, Inside5!C:C), 0)</f>
        <v>20</v>
      </c>
      <c r="F21" cm="1">
        <f t="array" aca="1" ref="F21" ca="1">IFERROR(_xlfn.XLOOKUP(C21&amp;A21, Inside5!B:B&amp;Inside5!I:I, Inside5!D:D), 0)</f>
        <v>8</v>
      </c>
      <c r="G21" cm="1">
        <f t="array" ref="G21">IFERROR(_xlfn.XLOOKUP(C21&amp;A21, Inside5!B:B&amp;Inside5!I:I, Inside5!E:E), 0)</f>
        <v>0.83299999999999996</v>
      </c>
      <c r="H21" cm="1">
        <f t="array" ref="H21">IFERROR(_xlfn.XLOOKUP(C21&amp;A21, TDrate!F:F&amp;TDrate!H:H, TDrate!C:C), "N/A")</f>
        <v>5.5599999999999997E-2</v>
      </c>
      <c r="I21" cm="1">
        <f t="array" ref="I21">IFERROR(_xlfn.XLOOKUP(C21&amp;A21, TDrate!F:F&amp;TDrate!H:H, TDrate!E:E), "N/A")</f>
        <v>5.0299999999999997E-2</v>
      </c>
      <c r="J21" cm="1">
        <f t="array" ref="J21">IFERROR(_xlfn.XLOOKUP(C21&amp;A21, Inside5!B:B&amp;Inside5!I:I, Inside5!F:F), 0)</f>
        <v>0</v>
      </c>
      <c r="K21" cm="1">
        <f t="array" aca="1" ref="K21" ca="1">IFERROR(_xlfn.XLOOKUP(C21&amp;A21, Inside5!B:B&amp;Inside5!I:I, Inside5!G:G), 0)</f>
        <v>0</v>
      </c>
      <c r="L21" cm="1">
        <f t="array" ref="L21">IFERROR(_xlfn.XLOOKUP(C21&amp;A21, Inside5!B:B&amp;Inside5!I:I, Inside5!H:H), 0)</f>
        <v>0</v>
      </c>
      <c r="M21" cm="1">
        <f t="array" ref="M21">IFERROR(_xlfn.XLOOKUP(C21&amp;A21, TDrate!F:F&amp;TDrate!H:H, TDrate!B:B), "N/A")</f>
        <v>2.2700000000000001E-2</v>
      </c>
      <c r="N21" cm="1">
        <f t="array" ref="N21">IFERROR(_xlfn.XLOOKUP(C21&amp;A21, TDrate!F:F&amp;TDrate!H:H, TDrate!D:D), "N/A")</f>
        <v>2.47E-2</v>
      </c>
    </row>
    <row r="22" spans="1:14" x14ac:dyDescent="0.45">
      <c r="A22" s="5">
        <v>2025</v>
      </c>
      <c r="B22" s="6" t="s">
        <v>317</v>
      </c>
      <c r="C22" s="7" t="str">
        <f t="shared" si="0"/>
        <v>TreVeyon Henderson</v>
      </c>
      <c r="D22" s="7" t="str">
        <f t="shared" si="1"/>
        <v>NE</v>
      </c>
      <c r="E22" cm="1">
        <f t="array" aca="1" ref="E22" ca="1">IFERROR(_xlfn.XLOOKUP(C22&amp;A22, Inside5!B:B&amp;Inside5!I:I, Inside5!C:C), 0)</f>
        <v>6</v>
      </c>
      <c r="F22" cm="1">
        <f t="array" aca="1" ref="F22" ca="1">IFERROR(_xlfn.XLOOKUP(C22&amp;A22, Inside5!B:B&amp;Inside5!I:I, Inside5!D:D), 0)</f>
        <v>1</v>
      </c>
      <c r="G22" cm="1">
        <f t="array" ref="G22">IFERROR(_xlfn.XLOOKUP(C22&amp;A22, Inside5!B:B&amp;Inside5!I:I, Inside5!E:E), 0)</f>
        <v>0.28599999999999998</v>
      </c>
      <c r="H22" cm="1">
        <f t="array" ref="H22">IFERROR(_xlfn.XLOOKUP(C22&amp;A22, TDrate!F:F&amp;TDrate!H:H, TDrate!C:C), "N/A")</f>
        <v>0.05</v>
      </c>
      <c r="I22" cm="1">
        <f t="array" ref="I22">IFERROR(_xlfn.XLOOKUP(C22&amp;A22, TDrate!F:F&amp;TDrate!H:H, TDrate!E:E), "N/A")</f>
        <v>4.07E-2</v>
      </c>
      <c r="J22" cm="1">
        <f t="array" ref="J22">IFERROR(_xlfn.XLOOKUP(C22&amp;A22, Inside5!B:B&amp;Inside5!I:I, Inside5!F:F), 0)</f>
        <v>1</v>
      </c>
      <c r="K22" cm="1">
        <f t="array" aca="1" ref="K22" ca="1">IFERROR(_xlfn.XLOOKUP(C22&amp;A22, Inside5!B:B&amp;Inside5!I:I, Inside5!G:G), 0)</f>
        <v>1</v>
      </c>
      <c r="L22" cm="1">
        <f t="array" ref="L22">IFERROR(_xlfn.XLOOKUP(C22&amp;A22, Inside5!B:B&amp;Inside5!I:I, Inside5!H:H), 0)</f>
        <v>0</v>
      </c>
      <c r="M22" cm="1">
        <f t="array" ref="M22">IFERROR(_xlfn.XLOOKUP(C22&amp;A22, TDrate!F:F&amp;TDrate!H:H, TDrate!B:B), "N/A")</f>
        <v>2.3800000000000002E-2</v>
      </c>
      <c r="N22" cm="1">
        <f t="array" ref="N22">IFERROR(_xlfn.XLOOKUP(C22&amp;A22, TDrate!F:F&amp;TDrate!H:H, TDrate!D:D), "N/A")</f>
        <v>2.9600000000000001E-2</v>
      </c>
    </row>
    <row r="23" spans="1:14" x14ac:dyDescent="0.45">
      <c r="A23" s="8">
        <v>2025</v>
      </c>
      <c r="B23" s="9" t="s">
        <v>318</v>
      </c>
      <c r="C23" s="10" t="str">
        <f t="shared" si="0"/>
        <v>Quinshon Judkins</v>
      </c>
      <c r="D23" s="10" t="str">
        <f t="shared" si="1"/>
        <v>CLE</v>
      </c>
      <c r="E23" cm="1">
        <f t="array" aca="1" ref="E23" ca="1">IFERROR(_xlfn.XLOOKUP(C23&amp;A23, Inside5!B:B&amp;Inside5!I:I, Inside5!C:C), 0)</f>
        <v>11</v>
      </c>
      <c r="F23" cm="1">
        <f t="array" aca="1" ref="F23" ca="1">IFERROR(_xlfn.XLOOKUP(C23&amp;A23, Inside5!B:B&amp;Inside5!I:I, Inside5!D:D), 0)</f>
        <v>5</v>
      </c>
      <c r="G23" cm="1">
        <f t="array" ref="G23">IFERROR(_xlfn.XLOOKUP(C23&amp;A23, Inside5!B:B&amp;Inside5!I:I, Inside5!E:E), 0)</f>
        <v>0.61099999999999999</v>
      </c>
      <c r="H23" cm="1">
        <f t="array" ref="H23">IFERROR(_xlfn.XLOOKUP(C23&amp;A23, TDrate!F:F&amp;TDrate!H:H, TDrate!C:C), "N/A")</f>
        <v>3.04E-2</v>
      </c>
      <c r="I23" cm="1">
        <f t="array" ref="I23">IFERROR(_xlfn.XLOOKUP(C23&amp;A23, TDrate!F:F&amp;TDrate!H:H, TDrate!E:E), "N/A")</f>
        <v>2.8799999999999999E-2</v>
      </c>
      <c r="J23" cm="1">
        <f t="array" ref="J23">IFERROR(_xlfn.XLOOKUP(C23&amp;A23, Inside5!B:B&amp;Inside5!I:I, Inside5!F:F), 0)</f>
        <v>0</v>
      </c>
      <c r="K23" cm="1">
        <f t="array" aca="1" ref="K23" ca="1">IFERROR(_xlfn.XLOOKUP(C23&amp;A23, Inside5!B:B&amp;Inside5!I:I, Inside5!G:G), 0)</f>
        <v>0</v>
      </c>
      <c r="L23" cm="1">
        <f t="array" ref="L23">IFERROR(_xlfn.XLOOKUP(C23&amp;A23, Inside5!B:B&amp;Inside5!I:I, Inside5!H:H), 0)</f>
        <v>0</v>
      </c>
      <c r="M23" cm="1">
        <f t="array" ref="M23">IFERROR(_xlfn.XLOOKUP(C23&amp;A23, TDrate!F:F&amp;TDrate!H:H, TDrate!B:B), "N/A")</f>
        <v>0</v>
      </c>
      <c r="N23" cm="1">
        <f t="array" ref="N23">IFERROR(_xlfn.XLOOKUP(C23&amp;A23, TDrate!F:F&amp;TDrate!H:H, TDrate!D:D), "N/A")</f>
        <v>3.3999999999999998E-3</v>
      </c>
    </row>
    <row r="24" spans="1:14" x14ac:dyDescent="0.45">
      <c r="A24" s="5">
        <v>2025</v>
      </c>
      <c r="B24" s="6" t="s">
        <v>319</v>
      </c>
      <c r="C24" s="7" t="str">
        <f t="shared" si="0"/>
        <v>Jacory Croskey-Merritt</v>
      </c>
      <c r="D24" s="7" t="str">
        <f t="shared" si="1"/>
        <v>WAS</v>
      </c>
      <c r="E24" cm="1">
        <f t="array" aca="1" ref="E24" ca="1">IFERROR(_xlfn.XLOOKUP(C24&amp;A24, Inside5!B:B&amp;Inside5!I:I, Inside5!C:C), 0)</f>
        <v>9</v>
      </c>
      <c r="F24" cm="1">
        <f t="array" aca="1" ref="F24" ca="1">IFERROR(_xlfn.XLOOKUP(C24&amp;A24, Inside5!B:B&amp;Inside5!I:I, Inside5!D:D), 0)</f>
        <v>3</v>
      </c>
      <c r="G24" cm="1">
        <f t="array" ref="G24">IFERROR(_xlfn.XLOOKUP(C24&amp;A24, Inside5!B:B&amp;Inside5!I:I, Inside5!E:E), 0)</f>
        <v>0.45</v>
      </c>
      <c r="H24" cm="1">
        <f t="array" ref="H24">IFERROR(_xlfn.XLOOKUP(C24&amp;A24, TDrate!F:F&amp;TDrate!H:H, TDrate!C:C), "N/A")</f>
        <v>4.5699999999999998E-2</v>
      </c>
      <c r="I24" cm="1">
        <f t="array" ref="I24">IFERROR(_xlfn.XLOOKUP(C24&amp;A24, TDrate!F:F&amp;TDrate!H:H, TDrate!E:E), "N/A")</f>
        <v>4.1700000000000001E-2</v>
      </c>
      <c r="J24" cm="1">
        <f t="array" ref="J24">IFERROR(_xlfn.XLOOKUP(C24&amp;A24, Inside5!B:B&amp;Inside5!I:I, Inside5!F:F), 0)</f>
        <v>0</v>
      </c>
      <c r="K24" cm="1">
        <f t="array" ref="K24">IFERROR(_xlfn.XLOOKUP(C24&amp;A24, Inside5!B:B&amp;Inside5!I:I, Inside5!G:G), 0)</f>
        <v>0</v>
      </c>
      <c r="L24" cm="1">
        <f t="array" ref="L24">IFERROR(_xlfn.XLOOKUP(C24&amp;A24, Inside5!B:B&amp;Inside5!I:I, Inside5!H:H), 0)</f>
        <v>0</v>
      </c>
      <c r="M24" cm="1">
        <f t="array" ref="M24">IFERROR(_xlfn.XLOOKUP(C24&amp;A24, TDrate!F:F&amp;TDrate!H:H, TDrate!B:B), "N/A")</f>
        <v>0</v>
      </c>
      <c r="N24" cm="1">
        <f t="array" ref="N24">IFERROR(_xlfn.XLOOKUP(C24&amp;A24, TDrate!F:F&amp;TDrate!H:H, TDrate!D:D), "N/A")</f>
        <v>7.0000000000000001E-3</v>
      </c>
    </row>
    <row r="25" spans="1:14" x14ac:dyDescent="0.45">
      <c r="A25" s="8">
        <v>2025</v>
      </c>
      <c r="B25" s="9" t="s">
        <v>320</v>
      </c>
      <c r="C25" s="10" t="str">
        <f t="shared" si="0"/>
        <v>Kyle Monangai</v>
      </c>
      <c r="D25" s="10" t="str">
        <f t="shared" si="1"/>
        <v>CHI</v>
      </c>
      <c r="E25" cm="1">
        <f t="array" aca="1" ref="E25" ca="1">IFERROR(_xlfn.XLOOKUP(C25&amp;A25, Inside5!B:B&amp;Inside5!I:I, Inside5!C:C), 0)</f>
        <v>10</v>
      </c>
      <c r="F25" cm="1">
        <f t="array" aca="1" ref="F25" ca="1">IFERROR(_xlfn.XLOOKUP(C25&amp;A25, Inside5!B:B&amp;Inside5!I:I, Inside5!D:D), 0)</f>
        <v>4</v>
      </c>
      <c r="G25" cm="1">
        <f t="array" ref="G25">IFERROR(_xlfn.XLOOKUP(C25&amp;A25, Inside5!B:B&amp;Inside5!I:I, Inside5!E:E), 0)</f>
        <v>0.435</v>
      </c>
      <c r="H25" cm="1">
        <f t="array" ref="H25">IFERROR(_xlfn.XLOOKUP(C25&amp;A25, TDrate!F:F&amp;TDrate!H:H, TDrate!C:C), "N/A")</f>
        <v>2.9399999999999999E-2</v>
      </c>
      <c r="I25" cm="1">
        <f t="array" ref="I25">IFERROR(_xlfn.XLOOKUP(C25&amp;A25, TDrate!F:F&amp;TDrate!H:H, TDrate!E:E), "N/A")</f>
        <v>3.2800000000000003E-2</v>
      </c>
      <c r="J25" cm="1">
        <f t="array" ref="J25">IFERROR(_xlfn.XLOOKUP(C25&amp;A25, Inside5!B:B&amp;Inside5!I:I, Inside5!F:F), 0)</f>
        <v>0</v>
      </c>
      <c r="K25" cm="1">
        <f t="array" aca="1" ref="K25" ca="1">IFERROR(_xlfn.XLOOKUP(C25&amp;A25, Inside5!B:B&amp;Inside5!I:I, Inside5!G:G), 0)</f>
        <v>0</v>
      </c>
      <c r="L25" cm="1">
        <f t="array" aca="1" ref="L25" ca="1">IFERROR(_xlfn.XLOOKUP(C25&amp;A25, Inside5!B:B&amp;Inside5!I:I, Inside5!H:H), 0)</f>
        <v>0</v>
      </c>
      <c r="M25" cm="1">
        <f t="array" ref="M25">IFERROR(_xlfn.XLOOKUP(C25&amp;A25, TDrate!F:F&amp;TDrate!H:H, TDrate!B:B), "N/A")</f>
        <v>0</v>
      </c>
      <c r="N25" cm="1">
        <f t="array" ref="N25">IFERROR(_xlfn.XLOOKUP(C25&amp;A25, TDrate!F:F&amp;TDrate!H:H, TDrate!D:D), "N/A")</f>
        <v>1.34E-2</v>
      </c>
    </row>
    <row r="26" spans="1:14" x14ac:dyDescent="0.45">
      <c r="A26" s="5">
        <v>2025</v>
      </c>
      <c r="B26" s="6" t="s">
        <v>321</v>
      </c>
      <c r="C26" s="7" t="str">
        <f t="shared" si="0"/>
        <v>J.K. Dobbins</v>
      </c>
      <c r="D26" s="7" t="str">
        <f t="shared" si="1"/>
        <v>DEN</v>
      </c>
      <c r="E26" cm="1">
        <f t="array" aca="1" ref="E26" ca="1">IFERROR(_xlfn.XLOOKUP(C26&amp;A26, Inside5!B:B&amp;Inside5!I:I, Inside5!C:C), 0)</f>
        <v>7</v>
      </c>
      <c r="F26" cm="1">
        <f t="array" aca="1" ref="F26" ca="1">IFERROR(_xlfn.XLOOKUP(C26&amp;A26, Inside5!B:B&amp;Inside5!I:I, Inside5!D:D), 0)</f>
        <v>2</v>
      </c>
      <c r="G26" cm="1">
        <f t="array" ref="G26">IFERROR(_xlfn.XLOOKUP(C26&amp;A26, Inside5!B:B&amp;Inside5!I:I, Inside5!E:E), 0)</f>
        <v>0.38900000000000001</v>
      </c>
      <c r="H26" cm="1">
        <f t="array" ref="H26">IFERROR(_xlfn.XLOOKUP(C26&amp;A26, TDrate!F:F&amp;TDrate!H:H, TDrate!C:C), "N/A")</f>
        <v>2.6100000000000002E-2</v>
      </c>
      <c r="I26" cm="1">
        <f t="array" ref="I26">IFERROR(_xlfn.XLOOKUP(C26&amp;A26, TDrate!F:F&amp;TDrate!H:H, TDrate!E:E), "N/A")</f>
        <v>2.64E-2</v>
      </c>
      <c r="J26" cm="1">
        <f t="array" ref="J26">IFERROR(_xlfn.XLOOKUP(C26&amp;A26, Inside5!B:B&amp;Inside5!I:I, Inside5!F:F), 0)</f>
        <v>0</v>
      </c>
      <c r="K26" cm="1">
        <f t="array" aca="1" ref="K26" ca="1">IFERROR(_xlfn.XLOOKUP(C26&amp;A26, Inside5!B:B&amp;Inside5!I:I, Inside5!G:G), 0)</f>
        <v>0</v>
      </c>
      <c r="L26" cm="1">
        <f t="array" ref="L26">IFERROR(_xlfn.XLOOKUP(C26&amp;A26, Inside5!B:B&amp;Inside5!I:I, Inside5!H:H), 0)</f>
        <v>0</v>
      </c>
      <c r="M26" cm="1">
        <f t="array" ref="M26">IFERROR(_xlfn.XLOOKUP(C26&amp;A26, TDrate!F:F&amp;TDrate!H:H, TDrate!B:B), "N/A")</f>
        <v>0</v>
      </c>
      <c r="N26" cm="1">
        <f t="array" ref="N26">IFERROR(_xlfn.XLOOKUP(C26&amp;A26, TDrate!F:F&amp;TDrate!H:H, TDrate!D:D), "N/A")</f>
        <v>4.0000000000000001E-3</v>
      </c>
    </row>
    <row r="27" spans="1:14" x14ac:dyDescent="0.45">
      <c r="A27" s="8">
        <v>2025</v>
      </c>
      <c r="B27" s="9" t="s">
        <v>322</v>
      </c>
      <c r="C27" s="10" t="str">
        <f t="shared" si="0"/>
        <v>Jordan Mason</v>
      </c>
      <c r="D27" s="10" t="str">
        <f t="shared" si="1"/>
        <v>MIN</v>
      </c>
      <c r="E27" cm="1">
        <f t="array" ref="E27">IFERROR(_xlfn.XLOOKUP(C27&amp;A27, Inside5!B:B&amp;Inside5!I:I, Inside5!C:C), 0)</f>
        <v>7</v>
      </c>
      <c r="F27" cm="1">
        <f t="array" aca="1" ref="F27" ca="1">IFERROR(_xlfn.XLOOKUP(C27&amp;A27, Inside5!B:B&amp;Inside5!I:I, Inside5!D:D), 0)</f>
        <v>4</v>
      </c>
      <c r="G27" cm="1">
        <f t="array" ref="G27">IFERROR(_xlfn.XLOOKUP(C27&amp;A27, Inside5!B:B&amp;Inside5!I:I, Inside5!E:E), 0)</f>
        <v>0.58299999999999996</v>
      </c>
      <c r="H27" cm="1">
        <f t="array" ref="H27">IFERROR(_xlfn.XLOOKUP(C27&amp;A27, TDrate!F:F&amp;TDrate!H:H, TDrate!C:C), "N/A")</f>
        <v>3.7699999999999997E-2</v>
      </c>
      <c r="I27" cm="1">
        <f t="array" ref="I27">IFERROR(_xlfn.XLOOKUP(C27&amp;A27, TDrate!F:F&amp;TDrate!H:H, TDrate!E:E), "N/A")</f>
        <v>3.1899999999999998E-2</v>
      </c>
      <c r="J27" cm="1">
        <f t="array" ref="J27">IFERROR(_xlfn.XLOOKUP(C27&amp;A27, Inside5!B:B&amp;Inside5!I:I, Inside5!F:F), 0)</f>
        <v>0</v>
      </c>
      <c r="K27" cm="1">
        <f t="array" ref="K27">IFERROR(_xlfn.XLOOKUP(C27&amp;A27, Inside5!B:B&amp;Inside5!I:I, Inside5!G:G), 0)</f>
        <v>0</v>
      </c>
      <c r="L27" cm="1">
        <f t="array" ref="L27">IFERROR(_xlfn.XLOOKUP(C27&amp;A27, Inside5!B:B&amp;Inside5!I:I, Inside5!H:H), 0)</f>
        <v>0</v>
      </c>
      <c r="M27" cm="1">
        <f t="array" ref="M27">IFERROR(_xlfn.XLOOKUP(C27&amp;A27, TDrate!F:F&amp;TDrate!H:H, TDrate!B:B), "N/A")</f>
        <v>0</v>
      </c>
      <c r="N27" cm="1">
        <f t="array" ref="N27">IFERROR(_xlfn.XLOOKUP(C27&amp;A27, TDrate!F:F&amp;TDrate!H:H, TDrate!D:D), "N/A")</f>
        <v>5.7000000000000002E-3</v>
      </c>
    </row>
    <row r="28" spans="1:14" x14ac:dyDescent="0.45">
      <c r="A28" s="5">
        <v>2025</v>
      </c>
      <c r="B28" s="6" t="s">
        <v>323</v>
      </c>
      <c r="C28" s="7" t="str">
        <f t="shared" si="0"/>
        <v>Blake Corum</v>
      </c>
      <c r="D28" s="7" t="str">
        <f t="shared" si="1"/>
        <v>LAR</v>
      </c>
      <c r="E28" cm="1">
        <f t="array" ref="E28">IFERROR(_xlfn.XLOOKUP(C28&amp;A28, Inside5!B:B&amp;Inside5!I:I, Inside5!C:C), 0)</f>
        <v>12</v>
      </c>
      <c r="F28" cm="1">
        <f t="array" ref="F28">IFERROR(_xlfn.XLOOKUP(C28&amp;A28, Inside5!B:B&amp;Inside5!I:I, Inside5!D:D), 0)</f>
        <v>4</v>
      </c>
      <c r="G28" cm="1">
        <f t="array" ref="G28">IFERROR(_xlfn.XLOOKUP(C28&amp;A28, Inside5!B:B&amp;Inside5!I:I, Inside5!E:E), 0)</f>
        <v>0.41399999999999998</v>
      </c>
      <c r="H28" cm="1">
        <f t="array" ref="H28">IFERROR(_xlfn.XLOOKUP(C28&amp;A28, TDrate!F:F&amp;TDrate!H:H, TDrate!C:C), "N/A")</f>
        <v>4.1399999999999999E-2</v>
      </c>
      <c r="I28" cm="1">
        <f t="array" ref="I28">IFERROR(_xlfn.XLOOKUP(C28&amp;A28, TDrate!F:F&amp;TDrate!H:H, TDrate!E:E), "N/A")</f>
        <v>4.2999999999999997E-2</v>
      </c>
      <c r="J28" cm="1">
        <f t="array" ref="J28">IFERROR(_xlfn.XLOOKUP(C28&amp;A28, Inside5!B:B&amp;Inside5!I:I, Inside5!F:F), 0)</f>
        <v>0</v>
      </c>
      <c r="K28" cm="1">
        <f t="array" ref="K28">IFERROR(_xlfn.XLOOKUP(C28&amp;A28, Inside5!B:B&amp;Inside5!I:I, Inside5!G:G), 0)</f>
        <v>0</v>
      </c>
      <c r="L28" cm="1">
        <f t="array" ref="L28">IFERROR(_xlfn.XLOOKUP(C28&amp;A28, Inside5!B:B&amp;Inside5!I:I, Inside5!H:H), 0)</f>
        <v>0</v>
      </c>
      <c r="M28" cm="1">
        <f t="array" ref="M28">IFERROR(_xlfn.XLOOKUP(C28&amp;A28, TDrate!F:F&amp;TDrate!H:H, TDrate!B:B), "N/A")</f>
        <v>0</v>
      </c>
      <c r="N28" cm="1">
        <f t="array" ref="N28">IFERROR(_xlfn.XLOOKUP(C28&amp;A28, TDrate!F:F&amp;TDrate!H:H, TDrate!D:D), "N/A")</f>
        <v>5.8999999999999999E-3</v>
      </c>
    </row>
    <row r="29" spans="1:14" x14ac:dyDescent="0.45">
      <c r="A29" s="8">
        <v>2025</v>
      </c>
      <c r="B29" s="9" t="s">
        <v>324</v>
      </c>
      <c r="C29" s="10" t="str">
        <f t="shared" si="0"/>
        <v>Tyrone Tracy Jr.</v>
      </c>
      <c r="D29" s="10" t="str">
        <f t="shared" si="1"/>
        <v>NYG</v>
      </c>
      <c r="E29" cm="1">
        <f t="array" ref="E29">IFERROR(_xlfn.XLOOKUP(C29&amp;A29, Inside5!B:B&amp;Inside5!I:I, Inside5!C:C), 0)</f>
        <v>2</v>
      </c>
      <c r="F29" cm="1">
        <f t="array" aca="1" ref="F29" ca="1">IFERROR(_xlfn.XLOOKUP(C29&amp;A29, Inside5!B:B&amp;Inside5!I:I, Inside5!D:D), 0)</f>
        <v>0</v>
      </c>
      <c r="G29" cm="1">
        <f t="array" ref="G29">IFERROR(_xlfn.XLOOKUP(C29&amp;A29, Inside5!B:B&amp;Inside5!I:I, Inside5!E:E), 0)</f>
        <v>0.1</v>
      </c>
      <c r="H29" cm="1">
        <f t="array" ref="H29">IFERROR(_xlfn.XLOOKUP(C29&amp;A29, TDrate!F:F&amp;TDrate!H:H, TDrate!C:C), "N/A")</f>
        <v>1.14E-2</v>
      </c>
      <c r="I29" cm="1">
        <f t="array" ref="I29">IFERROR(_xlfn.XLOOKUP(C29&amp;A29, TDrate!F:F&amp;TDrate!H:H, TDrate!E:E), "N/A")</f>
        <v>1.2999999999999999E-2</v>
      </c>
      <c r="J29" cm="1">
        <f t="array" ref="J29">IFERROR(_xlfn.XLOOKUP(C29&amp;A29, Inside5!B:B&amp;Inside5!I:I, Inside5!F:F), 0)</f>
        <v>0</v>
      </c>
      <c r="K29" cm="1">
        <f t="array" aca="1" ref="K29" ca="1">IFERROR(_xlfn.XLOOKUP(C29&amp;A29, Inside5!B:B&amp;Inside5!I:I, Inside5!G:G), 0)</f>
        <v>0</v>
      </c>
      <c r="L29" cm="1">
        <f t="array" ref="L29">IFERROR(_xlfn.XLOOKUP(C29&amp;A29, Inside5!B:B&amp;Inside5!I:I, Inside5!H:H), 0)</f>
        <v>0</v>
      </c>
      <c r="M29" cm="1">
        <f t="array" ref="M29">IFERROR(_xlfn.XLOOKUP(C29&amp;A29, TDrate!F:F&amp;TDrate!H:H, TDrate!B:B), "N/A")</f>
        <v>4.1700000000000001E-2</v>
      </c>
      <c r="N29" cm="1">
        <f t="array" ref="N29">IFERROR(_xlfn.XLOOKUP(C29&amp;A29, TDrate!F:F&amp;TDrate!H:H, TDrate!D:D), "N/A")</f>
        <v>3.2000000000000001E-2</v>
      </c>
    </row>
    <row r="30" spans="1:14" x14ac:dyDescent="0.45">
      <c r="A30" s="5">
        <v>2025</v>
      </c>
      <c r="B30" s="6" t="s">
        <v>325</v>
      </c>
      <c r="C30" s="7" t="str">
        <f t="shared" si="0"/>
        <v>Zach Charbonnet</v>
      </c>
      <c r="D30" s="7" t="str">
        <f t="shared" si="1"/>
        <v>SEA</v>
      </c>
      <c r="E30" cm="1">
        <f t="array" aca="1" ref="E30" ca="1">IFERROR(_xlfn.XLOOKUP(C30&amp;A30, Inside5!B:B&amp;Inside5!I:I, Inside5!C:C), 0)</f>
        <v>18</v>
      </c>
      <c r="F30" cm="1">
        <f t="array" aca="1" ref="F30" ca="1">IFERROR(_xlfn.XLOOKUP(C30&amp;A30, Inside5!B:B&amp;Inside5!I:I, Inside5!D:D), 0)</f>
        <v>9</v>
      </c>
      <c r="G30" cm="1">
        <f t="array" ref="G30">IFERROR(_xlfn.XLOOKUP(C30&amp;A30, Inside5!B:B&amp;Inside5!I:I, Inside5!E:E), 0)</f>
        <v>0.69199999999999995</v>
      </c>
      <c r="H30" cm="1">
        <f t="array" ref="H30">IFERROR(_xlfn.XLOOKUP(C30&amp;A30, TDrate!F:F&amp;TDrate!H:H, TDrate!C:C), "N/A")</f>
        <v>6.5199999999999994E-2</v>
      </c>
      <c r="I30" cm="1">
        <f t="array" ref="I30">IFERROR(_xlfn.XLOOKUP(C30&amp;A30, TDrate!F:F&amp;TDrate!H:H, TDrate!E:E), "N/A")</f>
        <v>5.9299999999999999E-2</v>
      </c>
      <c r="J30" cm="1">
        <f t="array" ref="J30">IFERROR(_xlfn.XLOOKUP(C30&amp;A30, Inside5!B:B&amp;Inside5!I:I, Inside5!F:F), 0)</f>
        <v>1</v>
      </c>
      <c r="K30" cm="1">
        <f t="array" ref="K30">IFERROR(_xlfn.XLOOKUP(C30&amp;A30, Inside5!B:B&amp;Inside5!I:I, Inside5!G:G), 0)</f>
        <v>1</v>
      </c>
      <c r="L30" cm="1">
        <f t="array" ref="L30">IFERROR(_xlfn.XLOOKUP(C30&amp;A30, Inside5!B:B&amp;Inside5!I:I, Inside5!H:H), 0)</f>
        <v>0</v>
      </c>
      <c r="M30" cm="1">
        <f t="array" ref="M30">IFERROR(_xlfn.XLOOKUP(C30&amp;A30, TDrate!F:F&amp;TDrate!H:H, TDrate!B:B), "N/A")</f>
        <v>0</v>
      </c>
      <c r="N30" cm="1">
        <f t="array" ref="N30">IFERROR(_xlfn.XLOOKUP(C30&amp;A30, TDrate!F:F&amp;TDrate!H:H, TDrate!D:D), "N/A")</f>
        <v>1.78E-2</v>
      </c>
    </row>
    <row r="31" spans="1:14" x14ac:dyDescent="0.45">
      <c r="A31" s="8">
        <v>2025</v>
      </c>
      <c r="B31" s="9" t="s">
        <v>326</v>
      </c>
      <c r="C31" s="10" t="str">
        <f t="shared" si="0"/>
        <v>David Montgomery</v>
      </c>
      <c r="D31" s="10" t="str">
        <f t="shared" si="1"/>
        <v>DET</v>
      </c>
      <c r="E31" cm="1">
        <f t="array" ref="E31">IFERROR(_xlfn.XLOOKUP(C31&amp;A31, Inside5!B:B&amp;Inside5!I:I, Inside5!C:C), 0)</f>
        <v>16</v>
      </c>
      <c r="F31" cm="1">
        <f t="array" ref="F31">IFERROR(_xlfn.XLOOKUP(C31&amp;A31, Inside5!B:B&amp;Inside5!I:I, Inside5!D:D), 0)</f>
        <v>5</v>
      </c>
      <c r="G31" cm="1">
        <f t="array" ref="G31">IFERROR(_xlfn.XLOOKUP(C31&amp;A31, Inside5!B:B&amp;Inside5!I:I, Inside5!E:E), 0)</f>
        <v>0.61499999999999999</v>
      </c>
      <c r="H31" cm="1">
        <f t="array" ref="H31">IFERROR(_xlfn.XLOOKUP(C31&amp;A31, TDrate!F:F&amp;TDrate!H:H, TDrate!C:C), "N/A")</f>
        <v>5.0599999999999999E-2</v>
      </c>
      <c r="I31" cm="1">
        <f t="array" ref="I31">IFERROR(_xlfn.XLOOKUP(C31&amp;A31, TDrate!F:F&amp;TDrate!H:H, TDrate!E:E), "N/A")</f>
        <v>5.0700000000000002E-2</v>
      </c>
      <c r="J31" cm="1">
        <f t="array" ref="J31">IFERROR(_xlfn.XLOOKUP(C31&amp;A31, Inside5!B:B&amp;Inside5!I:I, Inside5!F:F), 0)</f>
        <v>0</v>
      </c>
      <c r="K31" cm="1">
        <f t="array" ref="K31">IFERROR(_xlfn.XLOOKUP(C31&amp;A31, Inside5!B:B&amp;Inside5!I:I, Inside5!G:G), 0)</f>
        <v>0</v>
      </c>
      <c r="L31" cm="1">
        <f t="array" ref="L31">IFERROR(_xlfn.XLOOKUP(C31&amp;A31, Inside5!B:B&amp;Inside5!I:I, Inside5!H:H), 0)</f>
        <v>0</v>
      </c>
      <c r="M31" cm="1">
        <f t="array" ref="M31">IFERROR(_xlfn.XLOOKUP(C31&amp;A31, TDrate!F:F&amp;TDrate!H:H, TDrate!B:B), "N/A")</f>
        <v>0</v>
      </c>
      <c r="N31" cm="1">
        <f t="array" ref="N31">IFERROR(_xlfn.XLOOKUP(C31&amp;A31, TDrate!F:F&amp;TDrate!H:H, TDrate!D:D), "N/A")</f>
        <v>7.1999999999999998E-3</v>
      </c>
    </row>
    <row r="32" spans="1:14" x14ac:dyDescent="0.45">
      <c r="A32" s="5">
        <v>2025</v>
      </c>
      <c r="B32" s="6" t="s">
        <v>327</v>
      </c>
      <c r="C32" s="7" t="str">
        <f t="shared" si="0"/>
        <v>Woody Marks</v>
      </c>
      <c r="D32" s="7" t="str">
        <f t="shared" si="1"/>
        <v>HOU</v>
      </c>
      <c r="E32" cm="1">
        <f t="array" aca="1" ref="E32" ca="1">IFERROR(_xlfn.XLOOKUP(C32&amp;A32, Inside5!B:B&amp;Inside5!I:I, Inside5!C:C), 0)</f>
        <v>9</v>
      </c>
      <c r="F32" cm="1">
        <f t="array" aca="1" ref="F32" ca="1">IFERROR(_xlfn.XLOOKUP(C32&amp;A32, Inside5!B:B&amp;Inside5!I:I, Inside5!D:D), 0)</f>
        <v>1</v>
      </c>
      <c r="G32" cm="1">
        <f t="array" ref="G32">IFERROR(_xlfn.XLOOKUP(C32&amp;A32, Inside5!B:B&amp;Inside5!I:I, Inside5!E:E), 0)</f>
        <v>0.42899999999999999</v>
      </c>
      <c r="H32" cm="1">
        <f t="array" ref="H32">IFERROR(_xlfn.XLOOKUP(C32&amp;A32, TDrate!F:F&amp;TDrate!H:H, TDrate!C:C), "N/A")</f>
        <v>1.0200000000000001E-2</v>
      </c>
      <c r="I32" cm="1">
        <f t="array" ref="I32">IFERROR(_xlfn.XLOOKUP(C32&amp;A32, TDrate!F:F&amp;TDrate!H:H, TDrate!E:E), "N/A")</f>
        <v>1.9800000000000002E-2</v>
      </c>
      <c r="J32" cm="1">
        <f t="array" ref="J32">IFERROR(_xlfn.XLOOKUP(C32&amp;A32, Inside5!B:B&amp;Inside5!I:I, Inside5!F:F), 0)</f>
        <v>1</v>
      </c>
      <c r="K32" cm="1">
        <f t="array" ref="K32">IFERROR(_xlfn.XLOOKUP(C32&amp;A32, Inside5!B:B&amp;Inside5!I:I, Inside5!G:G), 0)</f>
        <v>2</v>
      </c>
      <c r="L32" cm="1">
        <f t="array" ref="L32">IFERROR(_xlfn.XLOOKUP(C32&amp;A32, Inside5!B:B&amp;Inside5!I:I, Inside5!H:H), 0)</f>
        <v>1</v>
      </c>
      <c r="M32" cm="1">
        <f t="array" ref="M32">IFERROR(_xlfn.XLOOKUP(C32&amp;A32, TDrate!F:F&amp;TDrate!H:H, TDrate!B:B), "N/A")</f>
        <v>8.3299999999999999E-2</v>
      </c>
      <c r="N32" cm="1">
        <f t="array" ref="N32">IFERROR(_xlfn.XLOOKUP(C32&amp;A32, TDrate!F:F&amp;TDrate!H:H, TDrate!D:D), "N/A")</f>
        <v>7.0099999999999996E-2</v>
      </c>
    </row>
    <row r="33" spans="1:14" x14ac:dyDescent="0.45">
      <c r="A33" s="8">
        <v>2025</v>
      </c>
      <c r="B33" s="9" t="s">
        <v>328</v>
      </c>
      <c r="C33" s="10" t="str">
        <f t="shared" si="0"/>
        <v>Kimani Vidal</v>
      </c>
      <c r="D33" s="10" t="str">
        <f t="shared" si="1"/>
        <v>LAC</v>
      </c>
      <c r="E33" cm="1">
        <f t="array" ref="E33">IFERROR(_xlfn.XLOOKUP(C33&amp;A33, Inside5!B:B&amp;Inside5!I:I, Inside5!C:C), 0)</f>
        <v>7</v>
      </c>
      <c r="F33" cm="1">
        <f t="array" ref="F33">IFERROR(_xlfn.XLOOKUP(C33&amp;A33, Inside5!B:B&amp;Inside5!I:I, Inside5!D:D), 0)</f>
        <v>2</v>
      </c>
      <c r="G33" cm="1">
        <f t="array" ref="G33">IFERROR(_xlfn.XLOOKUP(C33&amp;A33, Inside5!B:B&amp;Inside5!I:I, Inside5!E:E), 0)</f>
        <v>0.41199999999999998</v>
      </c>
      <c r="H33" cm="1">
        <f t="array" ref="H33">IFERROR(_xlfn.XLOOKUP(C33&amp;A33, TDrate!F:F&amp;TDrate!H:H, TDrate!C:C), "N/A")</f>
        <v>1.9400000000000001E-2</v>
      </c>
      <c r="I33" cm="1">
        <f t="array" ref="I33">IFERROR(_xlfn.XLOOKUP(C33&amp;A33, TDrate!F:F&amp;TDrate!H:H, TDrate!E:E), "N/A")</f>
        <v>2.3699999999999999E-2</v>
      </c>
      <c r="J33" cm="1">
        <f t="array" ref="J33">IFERROR(_xlfn.XLOOKUP(C33&amp;A33, Inside5!B:B&amp;Inside5!I:I, Inside5!F:F), 0)</f>
        <v>0</v>
      </c>
      <c r="K33" cm="1">
        <f t="array" ref="K33">IFERROR(_xlfn.XLOOKUP(C33&amp;A33, Inside5!B:B&amp;Inside5!I:I, Inside5!G:G), 0)</f>
        <v>0</v>
      </c>
      <c r="L33" cm="1">
        <f t="array" ref="L33">IFERROR(_xlfn.XLOOKUP(C33&amp;A33, Inside5!B:B&amp;Inside5!I:I, Inside5!H:H), 0)</f>
        <v>0</v>
      </c>
      <c r="M33" cm="1">
        <f t="array" ref="M33">IFERROR(_xlfn.XLOOKUP(C33&amp;A33, TDrate!F:F&amp;TDrate!H:H, TDrate!B:B), "N/A")</f>
        <v>4.5499999999999999E-2</v>
      </c>
      <c r="N33" cm="1">
        <f t="array" ref="N33">IFERROR(_xlfn.XLOOKUP(C33&amp;A33, TDrate!F:F&amp;TDrate!H:H, TDrate!D:D), "N/A")</f>
        <v>5.1299999999999998E-2</v>
      </c>
    </row>
    <row r="34" spans="1:14" x14ac:dyDescent="0.45">
      <c r="A34" s="5">
        <v>2025</v>
      </c>
      <c r="B34" s="6" t="s">
        <v>329</v>
      </c>
      <c r="C34" s="7" t="str">
        <f t="shared" si="0"/>
        <v>Kareem Hunt</v>
      </c>
      <c r="D34" s="7" t="str">
        <f t="shared" si="1"/>
        <v>KC</v>
      </c>
      <c r="E34" cm="1">
        <f t="array" ref="E34">IFERROR(_xlfn.XLOOKUP(C34&amp;A34, Inside5!B:B&amp;Inside5!I:I, Inside5!C:C), 0)</f>
        <v>15</v>
      </c>
      <c r="F34" cm="1">
        <f t="array" ref="F34">IFERROR(_xlfn.XLOOKUP(C34&amp;A34, Inside5!B:B&amp;Inside5!I:I, Inside5!D:D), 0)</f>
        <v>8</v>
      </c>
      <c r="G34" cm="1">
        <f t="array" ref="G34">IFERROR(_xlfn.XLOOKUP(C34&amp;A34, Inside5!B:B&amp;Inside5!I:I, Inside5!E:E), 0)</f>
        <v>0.93799999999999994</v>
      </c>
      <c r="H34" cm="1">
        <f t="array" ref="H34">IFERROR(_xlfn.XLOOKUP(C34&amp;A34, TDrate!F:F&amp;TDrate!H:H, TDrate!C:C), "N/A")</f>
        <v>4.9099999999999998E-2</v>
      </c>
      <c r="I34" cm="1">
        <f t="array" ref="I34">IFERROR(_xlfn.XLOOKUP(C34&amp;A34, TDrate!F:F&amp;TDrate!H:H, TDrate!E:E), "N/A")</f>
        <v>4.8099999999999997E-2</v>
      </c>
      <c r="J34" cm="1">
        <f t="array" ref="J34">IFERROR(_xlfn.XLOOKUP(C34&amp;A34, Inside5!B:B&amp;Inside5!I:I, Inside5!F:F), 0)</f>
        <v>1</v>
      </c>
      <c r="K34" cm="1">
        <f t="array" ref="K34">IFERROR(_xlfn.XLOOKUP(C34&amp;A34, Inside5!B:B&amp;Inside5!I:I, Inside5!G:G), 0)</f>
        <v>1</v>
      </c>
      <c r="L34" cm="1">
        <f t="array" ref="L34">IFERROR(_xlfn.XLOOKUP(C34&amp;A34, Inside5!B:B&amp;Inside5!I:I, Inside5!H:H), 0)</f>
        <v>1</v>
      </c>
      <c r="M34" cm="1">
        <f t="array" ref="M34">IFERROR(_xlfn.XLOOKUP(C34&amp;A34, TDrate!F:F&amp;TDrate!H:H, TDrate!B:B), "N/A")</f>
        <v>0.04</v>
      </c>
      <c r="N34" cm="1">
        <f t="array" ref="N34">IFERROR(_xlfn.XLOOKUP(C34&amp;A34, TDrate!F:F&amp;TDrate!H:H, TDrate!D:D), "N/A")</f>
        <v>4.1399999999999999E-2</v>
      </c>
    </row>
    <row r="35" spans="1:14" x14ac:dyDescent="0.45">
      <c r="A35" s="8">
        <v>2025</v>
      </c>
      <c r="B35" s="9" t="s">
        <v>330</v>
      </c>
      <c r="C35" s="10" t="str">
        <f t="shared" si="0"/>
        <v>Rhamondre Stevenson</v>
      </c>
      <c r="D35" s="10" t="str">
        <f t="shared" si="1"/>
        <v>NE</v>
      </c>
      <c r="E35" cm="1">
        <f t="array" ref="E35">IFERROR(_xlfn.XLOOKUP(C35&amp;A35, Inside5!B:B&amp;Inside5!I:I, Inside5!C:C), 0)</f>
        <v>10</v>
      </c>
      <c r="F35" cm="1">
        <f t="array" ref="F35">IFERROR(_xlfn.XLOOKUP(C35&amp;A35, Inside5!B:B&amp;Inside5!I:I, Inside5!D:D), 0)</f>
        <v>3</v>
      </c>
      <c r="G35" cm="1">
        <f t="array" ref="G35">IFERROR(_xlfn.XLOOKUP(C35&amp;A35, Inside5!B:B&amp;Inside5!I:I, Inside5!E:E), 0)</f>
        <v>0.47599999999999998</v>
      </c>
      <c r="H35" cm="1">
        <f t="array" ref="H35">IFERROR(_xlfn.XLOOKUP(C35&amp;A35, TDrate!F:F&amp;TDrate!H:H, TDrate!C:C), "N/A")</f>
        <v>5.3800000000000001E-2</v>
      </c>
      <c r="I35" cm="1">
        <f t="array" ref="I35">IFERROR(_xlfn.XLOOKUP(C35&amp;A35, TDrate!F:F&amp;TDrate!H:H, TDrate!E:E), "N/A")</f>
        <v>4.8500000000000001E-2</v>
      </c>
      <c r="J35" cm="1">
        <f t="array" ref="J35">IFERROR(_xlfn.XLOOKUP(C35&amp;A35, Inside5!B:B&amp;Inside5!I:I, Inside5!F:F), 0)</f>
        <v>0</v>
      </c>
      <c r="K35" cm="1">
        <f t="array" ref="K35">IFERROR(_xlfn.XLOOKUP(C35&amp;A35, Inside5!B:B&amp;Inside5!I:I, Inside5!G:G), 0)</f>
        <v>0</v>
      </c>
      <c r="L35" cm="1">
        <f t="array" ref="L35">IFERROR(_xlfn.XLOOKUP(C35&amp;A35, Inside5!B:B&amp;Inside5!I:I, Inside5!H:H), 0)</f>
        <v>0</v>
      </c>
      <c r="M35" cm="1">
        <f t="array" ref="M35">IFERROR(_xlfn.XLOOKUP(C35&amp;A35, TDrate!F:F&amp;TDrate!H:H, TDrate!B:B), "N/A")</f>
        <v>5.2600000000000001E-2</v>
      </c>
      <c r="N35" cm="1">
        <f t="array" ref="N35">IFERROR(_xlfn.XLOOKUP(C35&amp;A35, TDrate!F:F&amp;TDrate!H:H, TDrate!D:D), "N/A")</f>
        <v>3.6499999999999998E-2</v>
      </c>
    </row>
    <row r="36" spans="1:14" x14ac:dyDescent="0.45">
      <c r="A36" s="5">
        <v>2025</v>
      </c>
      <c r="B36" s="6" t="s">
        <v>331</v>
      </c>
      <c r="C36" s="7" t="str">
        <f t="shared" si="0"/>
        <v>Bucky Irving</v>
      </c>
      <c r="D36" s="7" t="str">
        <f t="shared" si="1"/>
        <v>TB</v>
      </c>
      <c r="E36" cm="1">
        <f t="array" aca="1" ref="E36" ca="1">IFERROR(_xlfn.XLOOKUP(C36&amp;A36, Inside5!B:B&amp;Inside5!I:I, Inside5!C:C), 0)</f>
        <v>0</v>
      </c>
      <c r="F36" cm="1">
        <f t="array" aca="1" ref="F36" ca="1">IFERROR(_xlfn.XLOOKUP(C36&amp;A36, Inside5!B:B&amp;Inside5!I:I, Inside5!D:D), 0)</f>
        <v>0</v>
      </c>
      <c r="G36" cm="1">
        <f t="array" ref="G36">IFERROR(_xlfn.XLOOKUP(C36&amp;A36, Inside5!B:B&amp;Inside5!I:I, Inside5!E:E), 0)</f>
        <v>0</v>
      </c>
      <c r="H36" cm="1">
        <f t="array" ref="H36">IFERROR(_xlfn.XLOOKUP(C36&amp;A36, TDrate!F:F&amp;TDrate!H:H, TDrate!C:C), "N/A")</f>
        <v>5.7999999999999996E-3</v>
      </c>
      <c r="I36" cm="1">
        <f t="array" ref="I36">IFERROR(_xlfn.XLOOKUP(C36&amp;A36, TDrate!F:F&amp;TDrate!H:H, TDrate!E:E), "N/A")</f>
        <v>8.3999999999999995E-3</v>
      </c>
      <c r="J36" cm="1">
        <f t="array" ref="J36">IFERROR(_xlfn.XLOOKUP(C36&amp;A36, Inside5!B:B&amp;Inside5!I:I, Inside5!F:F), 0)</f>
        <v>0</v>
      </c>
      <c r="K36" cm="1">
        <f t="array" ref="K36">IFERROR(_xlfn.XLOOKUP(C36&amp;A36, Inside5!B:B&amp;Inside5!I:I, Inside5!G:G), 0)</f>
        <v>0</v>
      </c>
      <c r="L36" cm="1">
        <f t="array" ref="L36">IFERROR(_xlfn.XLOOKUP(C36&amp;A36, Inside5!B:B&amp;Inside5!I:I, Inside5!H:H), 0)</f>
        <v>0</v>
      </c>
      <c r="M36" cm="1">
        <f t="array" ref="M36">IFERROR(_xlfn.XLOOKUP(C36&amp;A36, TDrate!F:F&amp;TDrate!H:H, TDrate!B:B), "N/A")</f>
        <v>8.5699999999999998E-2</v>
      </c>
      <c r="N36" cm="1">
        <f t="array" ref="N36">IFERROR(_xlfn.XLOOKUP(C36&amp;A36, TDrate!F:F&amp;TDrate!H:H, TDrate!D:D), "N/A")</f>
        <v>5.33E-2</v>
      </c>
    </row>
    <row r="37" spans="1:14" x14ac:dyDescent="0.45">
      <c r="A37" s="8">
        <v>2025</v>
      </c>
      <c r="B37" s="9" t="s">
        <v>332</v>
      </c>
      <c r="C37" s="10" t="str">
        <f t="shared" si="0"/>
        <v>Rachaad White</v>
      </c>
      <c r="D37" s="10" t="str">
        <f t="shared" si="1"/>
        <v>TB</v>
      </c>
      <c r="E37" cm="1">
        <f t="array" ref="E37">IFERROR(_xlfn.XLOOKUP(C37&amp;A37, Inside5!B:B&amp;Inside5!I:I, Inside5!C:C), 0)</f>
        <v>8</v>
      </c>
      <c r="F37" cm="1">
        <f t="array" ref="F37">IFERROR(_xlfn.XLOOKUP(C37&amp;A37, Inside5!B:B&amp;Inside5!I:I, Inside5!D:D), 0)</f>
        <v>3</v>
      </c>
      <c r="G37" cm="1">
        <f t="array" ref="G37">IFERROR(_xlfn.XLOOKUP(C37&amp;A37, Inside5!B:B&amp;Inside5!I:I, Inside5!E:E), 0)</f>
        <v>0.42099999999999999</v>
      </c>
      <c r="H37" cm="1">
        <f t="array" ref="H37">IFERROR(_xlfn.XLOOKUP(C37&amp;A37, TDrate!F:F&amp;TDrate!H:H, TDrate!C:C), "N/A")</f>
        <v>3.0300000000000001E-2</v>
      </c>
      <c r="I37" cm="1">
        <f t="array" ref="I37">IFERROR(_xlfn.XLOOKUP(C37&amp;A37, TDrate!F:F&amp;TDrate!H:H, TDrate!E:E), "N/A")</f>
        <v>3.0700000000000002E-2</v>
      </c>
      <c r="J37" cm="1">
        <f t="array" ref="J37">IFERROR(_xlfn.XLOOKUP(C37&amp;A37, Inside5!B:B&amp;Inside5!I:I, Inside5!F:F), 0)</f>
        <v>0</v>
      </c>
      <c r="K37" cm="1">
        <f t="array" aca="1" ref="K37" ca="1">IFERROR(_xlfn.XLOOKUP(C37&amp;A37, Inside5!B:B&amp;Inside5!I:I, Inside5!G:G), 0)</f>
        <v>0</v>
      </c>
      <c r="L37" cm="1">
        <f t="array" ref="L37">IFERROR(_xlfn.XLOOKUP(C37&amp;A37, Inside5!B:B&amp;Inside5!I:I, Inside5!H:H), 0)</f>
        <v>0</v>
      </c>
      <c r="M37" cm="1">
        <f t="array" ref="M37">IFERROR(_xlfn.XLOOKUP(C37&amp;A37, TDrate!F:F&amp;TDrate!H:H, TDrate!B:B), "N/A")</f>
        <v>0</v>
      </c>
      <c r="N37" cm="1">
        <f t="array" ref="N37">IFERROR(_xlfn.XLOOKUP(C37&amp;A37, TDrate!F:F&amp;TDrate!H:H, TDrate!D:D), "N/A")</f>
        <v>1.6400000000000001E-2</v>
      </c>
    </row>
    <row r="38" spans="1:14" x14ac:dyDescent="0.45">
      <c r="A38" s="5">
        <v>2025</v>
      </c>
      <c r="B38" s="6" t="s">
        <v>333</v>
      </c>
      <c r="C38" s="7" t="str">
        <f t="shared" si="0"/>
        <v>Aaron Jones Sr.</v>
      </c>
      <c r="D38" s="7" t="str">
        <f t="shared" si="1"/>
        <v>MIN</v>
      </c>
      <c r="E38" cm="1">
        <f t="array" ref="E38">IFERROR(_xlfn.XLOOKUP(C38&amp;A38, Inside5!B:B&amp;Inside5!I:I, Inside5!C:C), 0)</f>
        <v>3</v>
      </c>
      <c r="F38" cm="1">
        <f t="array" aca="1" ref="F38" ca="1">IFERROR(_xlfn.XLOOKUP(C38&amp;A38, Inside5!B:B&amp;Inside5!I:I, Inside5!D:D), 0)</f>
        <v>2</v>
      </c>
      <c r="G38" cm="1">
        <f t="array" ref="G38">IFERROR(_xlfn.XLOOKUP(C38&amp;A38, Inside5!B:B&amp;Inside5!I:I, Inside5!E:E), 0)</f>
        <v>0.25</v>
      </c>
      <c r="H38" cm="1">
        <f t="array" ref="H38">IFERROR(_xlfn.XLOOKUP(C38&amp;A38, TDrate!F:F&amp;TDrate!H:H, TDrate!C:C), "N/A")</f>
        <v>1.52E-2</v>
      </c>
      <c r="I38" cm="1">
        <f t="array" ref="I38">IFERROR(_xlfn.XLOOKUP(C38&amp;A38, TDrate!F:F&amp;TDrate!H:H, TDrate!E:E), "N/A")</f>
        <v>1.6299999999999999E-2</v>
      </c>
      <c r="J38" cm="1">
        <f t="array" ref="J38">IFERROR(_xlfn.XLOOKUP(C38&amp;A38, Inside5!B:B&amp;Inside5!I:I, Inside5!F:F), 0)</f>
        <v>0</v>
      </c>
      <c r="K38" cm="1">
        <f t="array" ref="K38">IFERROR(_xlfn.XLOOKUP(C38&amp;A38, Inside5!B:B&amp;Inside5!I:I, Inside5!G:G), 0)</f>
        <v>0</v>
      </c>
      <c r="L38" cm="1">
        <f t="array" ref="L38">IFERROR(_xlfn.XLOOKUP(C38&amp;A38, Inside5!B:B&amp;Inside5!I:I, Inside5!H:H), 0)</f>
        <v>0</v>
      </c>
      <c r="M38" cm="1">
        <f t="array" ref="M38">IFERROR(_xlfn.XLOOKUP(C38&amp;A38, TDrate!F:F&amp;TDrate!H:H, TDrate!B:B), "N/A")</f>
        <v>2.4400000000000002E-2</v>
      </c>
      <c r="N38" cm="1">
        <f t="array" ref="N38">IFERROR(_xlfn.XLOOKUP(C38&amp;A38, TDrate!F:F&amp;TDrate!H:H, TDrate!D:D), "N/A")</f>
        <v>2.1399999999999999E-2</v>
      </c>
    </row>
    <row r="39" spans="1:14" x14ac:dyDescent="0.45">
      <c r="A39" s="8">
        <v>2025</v>
      </c>
      <c r="B39" s="9" t="s">
        <v>334</v>
      </c>
      <c r="C39" s="10" t="str">
        <f t="shared" si="0"/>
        <v>Omarion Hampton</v>
      </c>
      <c r="D39" s="10" t="str">
        <f t="shared" si="1"/>
        <v>LAC</v>
      </c>
      <c r="E39" cm="1">
        <f t="array" ref="E39">IFERROR(_xlfn.XLOOKUP(C39&amp;A39, Inside5!B:B&amp;Inside5!I:I, Inside5!C:C), 0)</f>
        <v>8</v>
      </c>
      <c r="F39" cm="1">
        <f t="array" ref="F39">IFERROR(_xlfn.XLOOKUP(C39&amp;A39, Inside5!B:B&amp;Inside5!I:I, Inside5!D:D), 0)</f>
        <v>3</v>
      </c>
      <c r="G39" cm="1">
        <f t="array" ref="G39">IFERROR(_xlfn.XLOOKUP(C39&amp;A39, Inside5!B:B&amp;Inside5!I:I, Inside5!E:E), 0)</f>
        <v>0.47099999999999997</v>
      </c>
      <c r="H39" cm="1">
        <f t="array" ref="H39">IFERROR(_xlfn.XLOOKUP(C39&amp;A39, TDrate!F:F&amp;TDrate!H:H, TDrate!C:C), "N/A")</f>
        <v>3.2300000000000002E-2</v>
      </c>
      <c r="I39" cm="1">
        <f t="array" ref="I39">IFERROR(_xlfn.XLOOKUP(C39&amp;A39, TDrate!F:F&amp;TDrate!H:H, TDrate!E:E), "N/A")</f>
        <v>3.4599999999999999E-2</v>
      </c>
      <c r="J39" cm="1">
        <f t="array" ref="J39">IFERROR(_xlfn.XLOOKUP(C39&amp;A39, Inside5!B:B&amp;Inside5!I:I, Inside5!F:F), 0)</f>
        <v>1</v>
      </c>
      <c r="K39" cm="1">
        <f t="array" aca="1" ref="K39" ca="1">IFERROR(_xlfn.XLOOKUP(C39&amp;A39, Inside5!B:B&amp;Inside5!I:I, Inside5!G:G), 0)</f>
        <v>1</v>
      </c>
      <c r="L39" cm="1">
        <f t="array" ref="L39">IFERROR(_xlfn.XLOOKUP(C39&amp;A39, Inside5!B:B&amp;Inside5!I:I, Inside5!H:H), 0)</f>
        <v>1</v>
      </c>
      <c r="M39" cm="1">
        <f t="array" ref="M39">IFERROR(_xlfn.XLOOKUP(C39&amp;A39, TDrate!F:F&amp;TDrate!H:H, TDrate!B:B), "N/A")</f>
        <v>2.86E-2</v>
      </c>
      <c r="N39" cm="1">
        <f t="array" ref="N39">IFERROR(_xlfn.XLOOKUP(C39&amp;A39, TDrate!F:F&amp;TDrate!H:H, TDrate!D:D), "N/A")</f>
        <v>2.6700000000000002E-2</v>
      </c>
    </row>
    <row r="40" spans="1:14" x14ac:dyDescent="0.45">
      <c r="A40" s="5">
        <v>2025</v>
      </c>
      <c r="B40" s="6" t="s">
        <v>335</v>
      </c>
      <c r="C40" s="7" t="str">
        <f t="shared" si="0"/>
        <v>RJ Harvey</v>
      </c>
      <c r="D40" s="7" t="str">
        <f t="shared" si="1"/>
        <v>DEN</v>
      </c>
      <c r="E40" cm="1">
        <f t="array" aca="1" ref="E40" ca="1">IFERROR(_xlfn.XLOOKUP(C40&amp;A40, Inside5!B:B&amp;Inside5!I:I, Inside5!C:C), 0)</f>
        <v>9</v>
      </c>
      <c r="F40" cm="1">
        <f t="array" ref="F40">IFERROR(_xlfn.XLOOKUP(C40&amp;A40, Inside5!B:B&amp;Inside5!I:I, Inside5!D:D), 0)</f>
        <v>5</v>
      </c>
      <c r="G40" cm="1">
        <f t="array" ref="G40">IFERROR(_xlfn.XLOOKUP(C40&amp;A40, Inside5!B:B&amp;Inside5!I:I, Inside5!E:E), 0)</f>
        <v>0.5</v>
      </c>
      <c r="H40" cm="1">
        <f t="array" ref="H40">IFERROR(_xlfn.XLOOKUP(C40&amp;A40, TDrate!F:F&amp;TDrate!H:H, TDrate!C:C), "N/A")</f>
        <v>4.7600000000000003E-2</v>
      </c>
      <c r="I40" cm="1">
        <f t="array" ref="I40">IFERROR(_xlfn.XLOOKUP(C40&amp;A40, TDrate!F:F&amp;TDrate!H:H, TDrate!E:E), "N/A")</f>
        <v>4.1300000000000003E-2</v>
      </c>
      <c r="J40" cm="1">
        <f t="array" ref="J40">IFERROR(_xlfn.XLOOKUP(C40&amp;A40, Inside5!B:B&amp;Inside5!I:I, Inside5!F:F), 0)</f>
        <v>3</v>
      </c>
      <c r="K40" cm="1">
        <f t="array" aca="1" ref="K40" ca="1">IFERROR(_xlfn.XLOOKUP(C40&amp;A40, Inside5!B:B&amp;Inside5!I:I, Inside5!G:G), 0)</f>
        <v>3</v>
      </c>
      <c r="L40" cm="1">
        <f t="array" aca="1" ref="L40" ca="1">IFERROR(_xlfn.XLOOKUP(C40&amp;A40, Inside5!B:B&amp;Inside5!I:I, Inside5!H:H), 0)</f>
        <v>3</v>
      </c>
      <c r="M40" cm="1">
        <f t="array" ref="M40">IFERROR(_xlfn.XLOOKUP(C40&amp;A40, TDrate!F:F&amp;TDrate!H:H, TDrate!B:B), "N/A")</f>
        <v>8.6199999999999999E-2</v>
      </c>
      <c r="N40" cm="1">
        <f t="array" ref="N40">IFERROR(_xlfn.XLOOKUP(C40&amp;A40, TDrate!F:F&amp;TDrate!H:H, TDrate!D:D), "N/A")</f>
        <v>6.9800000000000001E-2</v>
      </c>
    </row>
    <row r="41" spans="1:14" x14ac:dyDescent="0.45">
      <c r="A41" s="8">
        <v>2025</v>
      </c>
      <c r="B41" s="9" t="s">
        <v>336</v>
      </c>
      <c r="C41" s="10" t="str">
        <f t="shared" si="0"/>
        <v>Kenny Gainwell</v>
      </c>
      <c r="D41" s="10" t="str">
        <f t="shared" si="1"/>
        <v>PIT</v>
      </c>
      <c r="E41" cm="1">
        <f t="array" ref="E41">IFERROR(_xlfn.XLOOKUP(C41&amp;A41, Inside5!B:B&amp;Inside5!I:I, Inside5!C:C), 0)</f>
        <v>7</v>
      </c>
      <c r="F41" cm="1">
        <f t="array" ref="F41">IFERROR(_xlfn.XLOOKUP(C41&amp;A41, Inside5!B:B&amp;Inside5!I:I, Inside5!D:D), 0)</f>
        <v>3</v>
      </c>
      <c r="G41" cm="1">
        <f t="array" ref="G41">IFERROR(_xlfn.XLOOKUP(C41&amp;A41, Inside5!B:B&amp;Inside5!I:I, Inside5!E:E), 0)</f>
        <v>0.33300000000000002</v>
      </c>
      <c r="H41" cm="1">
        <f t="array" ref="H41">IFERROR(_xlfn.XLOOKUP(C41&amp;A41, TDrate!F:F&amp;TDrate!H:H, TDrate!C:C), "N/A")</f>
        <v>4.3900000000000002E-2</v>
      </c>
      <c r="I41" cm="1">
        <f t="array" ref="I41">IFERROR(_xlfn.XLOOKUP(C41&amp;A41, TDrate!F:F&amp;TDrate!H:H, TDrate!E:E), "N/A")</f>
        <v>4.3700000000000003E-2</v>
      </c>
      <c r="J41" cm="1">
        <f t="array" ref="J41">IFERROR(_xlfn.XLOOKUP(C41&amp;A41, Inside5!B:B&amp;Inside5!I:I, Inside5!F:F), 0)</f>
        <v>1</v>
      </c>
      <c r="K41" cm="1">
        <f t="array" ref="K41">IFERROR(_xlfn.XLOOKUP(C41&amp;A41, Inside5!B:B&amp;Inside5!I:I, Inside5!G:G), 0)</f>
        <v>1</v>
      </c>
      <c r="L41" cm="1">
        <f t="array" ref="L41">IFERROR(_xlfn.XLOOKUP(C41&amp;A41, Inside5!B:B&amp;Inside5!I:I, Inside5!H:H), 0)</f>
        <v>1</v>
      </c>
      <c r="M41" cm="1">
        <f t="array" ref="M41">IFERROR(_xlfn.XLOOKUP(C41&amp;A41, TDrate!F:F&amp;TDrate!H:H, TDrate!B:B), "N/A")</f>
        <v>3.5299999999999998E-2</v>
      </c>
      <c r="N41" cm="1">
        <f t="array" ref="N41">IFERROR(_xlfn.XLOOKUP(C41&amp;A41, TDrate!F:F&amp;TDrate!H:H, TDrate!D:D), "N/A")</f>
        <v>3.9100000000000003E-2</v>
      </c>
    </row>
    <row r="42" spans="1:14" x14ac:dyDescent="0.45">
      <c r="A42" s="5">
        <v>2025</v>
      </c>
      <c r="B42" s="6" t="s">
        <v>337</v>
      </c>
      <c r="C42" s="7" t="str">
        <f t="shared" si="0"/>
        <v>Tyler Allgeier</v>
      </c>
      <c r="D42" s="7" t="str">
        <f t="shared" si="1"/>
        <v>ATL</v>
      </c>
      <c r="E42" cm="1">
        <f t="array" ref="E42">IFERROR(_xlfn.XLOOKUP(C42&amp;A42, Inside5!B:B&amp;Inside5!I:I, Inside5!C:C), 0)</f>
        <v>10</v>
      </c>
      <c r="F42" cm="1">
        <f t="array" aca="1" ref="F42" ca="1">IFERROR(_xlfn.XLOOKUP(C42&amp;A42, Inside5!B:B&amp;Inside5!I:I, Inside5!D:D), 0)</f>
        <v>5</v>
      </c>
      <c r="G42" cm="1">
        <f t="array" ref="G42">IFERROR(_xlfn.XLOOKUP(C42&amp;A42, Inside5!B:B&amp;Inside5!I:I, Inside5!E:E), 0)</f>
        <v>0.5</v>
      </c>
      <c r="H42" cm="1">
        <f t="array" ref="H42">IFERROR(_xlfn.XLOOKUP(C42&amp;A42, TDrate!F:F&amp;TDrate!H:H, TDrate!C:C), "N/A")</f>
        <v>5.5899999999999998E-2</v>
      </c>
      <c r="I42" cm="1">
        <f t="array" ref="I42">IFERROR(_xlfn.XLOOKUP(C42&amp;A42, TDrate!F:F&amp;TDrate!H:H, TDrate!E:E), "N/A")</f>
        <v>4.8800000000000003E-2</v>
      </c>
      <c r="J42" cm="1">
        <f t="array" ref="J42">IFERROR(_xlfn.XLOOKUP(C42&amp;A42, Inside5!B:B&amp;Inside5!I:I, Inside5!F:F), 0)</f>
        <v>0</v>
      </c>
      <c r="K42" cm="1">
        <f t="array" ref="K42">IFERROR(_xlfn.XLOOKUP(C42&amp;A42, Inside5!B:B&amp;Inside5!I:I, Inside5!G:G), 0)</f>
        <v>0</v>
      </c>
      <c r="L42" cm="1">
        <f t="array" ref="L42">IFERROR(_xlfn.XLOOKUP(C42&amp;A42, Inside5!B:B&amp;Inside5!I:I, Inside5!H:H), 0)</f>
        <v>0</v>
      </c>
      <c r="M42" cm="1">
        <f t="array" ref="M42">IFERROR(_xlfn.XLOOKUP(C42&amp;A42, TDrate!F:F&amp;TDrate!H:H, TDrate!B:B), "N/A")</f>
        <v>0</v>
      </c>
      <c r="N42" cm="1">
        <f t="array" ref="N42">IFERROR(_xlfn.XLOOKUP(C42&amp;A42, TDrate!F:F&amp;TDrate!H:H, TDrate!D:D), "N/A")</f>
        <v>7.6E-3</v>
      </c>
    </row>
    <row r="43" spans="1:14" x14ac:dyDescent="0.45">
      <c r="A43" s="8">
        <v>2025</v>
      </c>
      <c r="B43" s="9" t="s">
        <v>338</v>
      </c>
      <c r="C43" s="10" t="str">
        <f t="shared" si="0"/>
        <v>Chuba Hubbard</v>
      </c>
      <c r="D43" s="10" t="str">
        <f t="shared" si="1"/>
        <v>CAR</v>
      </c>
      <c r="E43" cm="1">
        <f t="array" aca="1" ref="E43" ca="1">IFERROR(_xlfn.XLOOKUP(C43&amp;A43, Inside5!B:B&amp;Inside5!I:I, Inside5!C:C), 0)</f>
        <v>1</v>
      </c>
      <c r="F43" cm="1">
        <f t="array" ref="F43">IFERROR(_xlfn.XLOOKUP(C43&amp;A43, Inside5!B:B&amp;Inside5!I:I, Inside5!D:D), 0)</f>
        <v>1</v>
      </c>
      <c r="G43" cm="1">
        <f t="array" ref="G43">IFERROR(_xlfn.XLOOKUP(C43&amp;A43, Inside5!B:B&amp;Inside5!I:I, Inside5!E:E), 0)</f>
        <v>0.1</v>
      </c>
      <c r="H43" cm="1">
        <f t="array" ref="H43">IFERROR(_xlfn.XLOOKUP(C43&amp;A43, TDrate!F:F&amp;TDrate!H:H, TDrate!C:C), "N/A")</f>
        <v>7.4999999999999997E-3</v>
      </c>
      <c r="I43" cm="1">
        <f t="array" ref="I43">IFERROR(_xlfn.XLOOKUP(C43&amp;A43, TDrate!F:F&amp;TDrate!H:H, TDrate!E:E), "N/A")</f>
        <v>1.09E-2</v>
      </c>
      <c r="J43" cm="1">
        <f t="array" ref="J43">IFERROR(_xlfn.XLOOKUP(C43&amp;A43, Inside5!B:B&amp;Inside5!I:I, Inside5!F:F), 0)</f>
        <v>3</v>
      </c>
      <c r="K43" cm="1">
        <f t="array" ref="K43">IFERROR(_xlfn.XLOOKUP(C43&amp;A43, Inside5!B:B&amp;Inside5!I:I, Inside5!G:G), 0)</f>
        <v>3</v>
      </c>
      <c r="L43" cm="1">
        <f t="array" aca="1" ref="L43" ca="1">IFERROR(_xlfn.XLOOKUP(C43&amp;A43, Inside5!B:B&amp;Inside5!I:I, Inside5!H:H), 0)</f>
        <v>1</v>
      </c>
      <c r="M43" cm="1">
        <f t="array" ref="M43">IFERROR(_xlfn.XLOOKUP(C43&amp;A43, TDrate!F:F&amp;TDrate!H:H, TDrate!B:B), "N/A")</f>
        <v>7.6899999999999996E-2</v>
      </c>
      <c r="N43" cm="1">
        <f t="array" ref="N43">IFERROR(_xlfn.XLOOKUP(C43&amp;A43, TDrate!F:F&amp;TDrate!H:H, TDrate!D:D), "N/A")</f>
        <v>7.0000000000000007E-2</v>
      </c>
    </row>
    <row r="44" spans="1:14" x14ac:dyDescent="0.45">
      <c r="A44" s="5">
        <v>2025</v>
      </c>
      <c r="B44" s="6" t="s">
        <v>339</v>
      </c>
      <c r="C44" s="7" t="str">
        <f t="shared" si="0"/>
        <v>Nick Chubb</v>
      </c>
      <c r="D44" s="7" t="str">
        <f t="shared" si="1"/>
        <v>HOU</v>
      </c>
      <c r="E44" cm="1">
        <f t="array" ref="E44">IFERROR(_xlfn.XLOOKUP(C44&amp;A44, Inside5!B:B&amp;Inside5!I:I, Inside5!C:C), 0)</f>
        <v>6</v>
      </c>
      <c r="F44" cm="1">
        <f t="array" ref="F44">IFERROR(_xlfn.XLOOKUP(C44&amp;A44, Inside5!B:B&amp;Inside5!I:I, Inside5!D:D), 0)</f>
        <v>1</v>
      </c>
      <c r="G44" cm="1">
        <f t="array" ref="G44">IFERROR(_xlfn.XLOOKUP(C44&amp;A44, Inside5!B:B&amp;Inside5!I:I, Inside5!E:E), 0)</f>
        <v>0.28599999999999998</v>
      </c>
      <c r="H44" cm="1">
        <f t="array" ref="H44">IFERROR(_xlfn.XLOOKUP(C44&amp;A44, TDrate!F:F&amp;TDrate!H:H, TDrate!C:C), "N/A")</f>
        <v>2.46E-2</v>
      </c>
      <c r="I44" cm="1">
        <f t="array" ref="I44">IFERROR(_xlfn.XLOOKUP(C44&amp;A44, TDrate!F:F&amp;TDrate!H:H, TDrate!E:E), "N/A")</f>
        <v>2.5399999999999999E-2</v>
      </c>
      <c r="J44" cm="1">
        <f t="array" ref="J44">IFERROR(_xlfn.XLOOKUP(C44&amp;A44, Inside5!B:B&amp;Inside5!I:I, Inside5!F:F), 0)</f>
        <v>0</v>
      </c>
      <c r="K44" cm="1">
        <f t="array" ref="K44">IFERROR(_xlfn.XLOOKUP(C44&amp;A44, Inside5!B:B&amp;Inside5!I:I, Inside5!G:G), 0)</f>
        <v>0</v>
      </c>
      <c r="L44" cm="1">
        <f t="array" ref="L44">IFERROR(_xlfn.XLOOKUP(C44&amp;A44, Inside5!B:B&amp;Inside5!I:I, Inside5!H:H), 0)</f>
        <v>0</v>
      </c>
      <c r="M44" cm="1">
        <f t="array" ref="M44">IFERROR(_xlfn.XLOOKUP(C44&amp;A44, TDrate!F:F&amp;TDrate!H:H, TDrate!B:B), "N/A")</f>
        <v>0</v>
      </c>
      <c r="N44" cm="1">
        <f t="array" ref="N44">IFERROR(_xlfn.XLOOKUP(C44&amp;A44, TDrate!F:F&amp;TDrate!H:H, TDrate!D:D), "N/A")</f>
        <v>8.3999999999999995E-3</v>
      </c>
    </row>
    <row r="45" spans="1:14" x14ac:dyDescent="0.45">
      <c r="A45" s="8">
        <v>2025</v>
      </c>
      <c r="B45" s="9" t="s">
        <v>340</v>
      </c>
      <c r="C45" s="10" t="str">
        <f t="shared" si="0"/>
        <v>Chris Rodriguez Jr.</v>
      </c>
      <c r="D45" s="10" t="str">
        <f t="shared" si="1"/>
        <v>WAS</v>
      </c>
      <c r="E45" cm="1">
        <f t="array" aca="1" ref="E45" ca="1">IFERROR(_xlfn.XLOOKUP(C45&amp;A45, Inside5!B:B&amp;Inside5!I:I, Inside5!C:C), 0)</f>
        <v>10</v>
      </c>
      <c r="F45" cm="1">
        <f t="array" aca="1" ref="F45" ca="1">IFERROR(_xlfn.XLOOKUP(C45&amp;A45, Inside5!B:B&amp;Inside5!I:I, Inside5!D:D), 0)</f>
        <v>4</v>
      </c>
      <c r="G45" cm="1">
        <f t="array" ref="G45">IFERROR(_xlfn.XLOOKUP(C45&amp;A45, Inside5!B:B&amp;Inside5!I:I, Inside5!E:E), 0)</f>
        <v>0.5</v>
      </c>
      <c r="H45" cm="1">
        <f t="array" ref="H45">IFERROR(_xlfn.XLOOKUP(C45&amp;A45, TDrate!F:F&amp;TDrate!H:H, TDrate!C:C), "N/A")</f>
        <v>5.3600000000000002E-2</v>
      </c>
      <c r="I45" cm="1">
        <f t="array" ref="I45">IFERROR(_xlfn.XLOOKUP(C45&amp;A45, TDrate!F:F&amp;TDrate!H:H, TDrate!E:E), "N/A")</f>
        <v>5.8000000000000003E-2</v>
      </c>
      <c r="J45" cm="1">
        <f t="array" ref="J45">IFERROR(_xlfn.XLOOKUP(C45&amp;A45, Inside5!B:B&amp;Inside5!I:I, Inside5!F:F), 0)</f>
        <v>0</v>
      </c>
      <c r="K45" cm="1">
        <f t="array" ref="K45">IFERROR(_xlfn.XLOOKUP(C45&amp;A45, Inside5!B:B&amp;Inside5!I:I, Inside5!G:G), 0)</f>
        <v>0</v>
      </c>
      <c r="L45" cm="1">
        <f t="array" ref="L45">IFERROR(_xlfn.XLOOKUP(C45&amp;A45, Inside5!B:B&amp;Inside5!I:I, Inside5!H:H), 0)</f>
        <v>0</v>
      </c>
      <c r="M45" cm="1">
        <f t="array" ref="M45">IFERROR(_xlfn.XLOOKUP(C45&amp;A45, TDrate!F:F&amp;TDrate!H:H, TDrate!B:B), "N/A")</f>
        <v>0</v>
      </c>
      <c r="N45" cm="1">
        <f t="array" ref="N45">IFERROR(_xlfn.XLOOKUP(C45&amp;A45, TDrate!F:F&amp;TDrate!H:H, TDrate!D:D), "N/A")</f>
        <v>1.3599999999999999E-2</v>
      </c>
    </row>
    <row r="46" spans="1:14" x14ac:dyDescent="0.45">
      <c r="A46" s="5">
        <v>2025</v>
      </c>
      <c r="B46" s="6" t="s">
        <v>341</v>
      </c>
      <c r="C46" s="7" t="str">
        <f t="shared" si="0"/>
        <v>Emanuel Wilson</v>
      </c>
      <c r="D46" s="7" t="str">
        <f t="shared" si="1"/>
        <v>GB</v>
      </c>
      <c r="E46" cm="1">
        <f t="array" aca="1" ref="E46" ca="1">IFERROR(_xlfn.XLOOKUP(C46&amp;A46, Inside5!B:B&amp;Inside5!I:I, Inside5!C:C), 0)</f>
        <v>4</v>
      </c>
      <c r="F46" cm="1">
        <f t="array" aca="1" ref="F46" ca="1">IFERROR(_xlfn.XLOOKUP(C46&amp;A46, Inside5!B:B&amp;Inside5!I:I, Inside5!D:D), 0)</f>
        <v>2</v>
      </c>
      <c r="G46" cm="1">
        <f t="array" ref="G46">IFERROR(_xlfn.XLOOKUP(C46&amp;A46, Inside5!B:B&amp;Inside5!I:I, Inside5!E:E), 0)</f>
        <v>0.16700000000000001</v>
      </c>
      <c r="H46" cm="1">
        <f t="array" ref="H46">IFERROR(_xlfn.XLOOKUP(C46&amp;A46, TDrate!F:F&amp;TDrate!H:H, TDrate!C:C), "N/A")</f>
        <v>2.4E-2</v>
      </c>
      <c r="I46" cm="1">
        <f t="array" ref="I46">IFERROR(_xlfn.XLOOKUP(C46&amp;A46, TDrate!F:F&amp;TDrate!H:H, TDrate!E:E), "N/A")</f>
        <v>2.4400000000000002E-2</v>
      </c>
      <c r="J46" cm="1">
        <f t="array" ref="J46">IFERROR(_xlfn.XLOOKUP(C46&amp;A46, Inside5!B:B&amp;Inside5!I:I, Inside5!F:F), 0)</f>
        <v>0</v>
      </c>
      <c r="K46" cm="1">
        <f t="array" aca="1" ref="K46" ca="1">IFERROR(_xlfn.XLOOKUP(C46&amp;A46, Inside5!B:B&amp;Inside5!I:I, Inside5!G:G), 0)</f>
        <v>0</v>
      </c>
      <c r="L46" cm="1">
        <f t="array" ref="L46">IFERROR(_xlfn.XLOOKUP(C46&amp;A46, Inside5!B:B&amp;Inside5!I:I, Inside5!H:H), 0)</f>
        <v>0</v>
      </c>
      <c r="M46" cm="1">
        <f t="array" ref="M46">IFERROR(_xlfn.XLOOKUP(C46&amp;A46, TDrate!F:F&amp;TDrate!H:H, TDrate!B:B), "N/A")</f>
        <v>0</v>
      </c>
      <c r="N46" cm="1">
        <f t="array" ref="N46">IFERROR(_xlfn.XLOOKUP(C46&amp;A46, TDrate!F:F&amp;TDrate!H:H, TDrate!D:D), "N/A")</f>
        <v>1.3599999999999999E-2</v>
      </c>
    </row>
    <row r="47" spans="1:14" x14ac:dyDescent="0.45">
      <c r="A47" s="8">
        <v>2025</v>
      </c>
      <c r="B47" s="9" t="s">
        <v>342</v>
      </c>
      <c r="C47" s="10" t="str">
        <f t="shared" si="0"/>
        <v>Alvin Kamara</v>
      </c>
      <c r="D47" s="10" t="str">
        <f t="shared" si="1"/>
        <v>NO</v>
      </c>
      <c r="E47" cm="1">
        <f t="array" aca="1" ref="E47" ca="1">IFERROR(_xlfn.XLOOKUP(C47&amp;A47, Inside5!B:B&amp;Inside5!I:I, Inside5!C:C), 0)</f>
        <v>2</v>
      </c>
      <c r="F47" cm="1">
        <f t="array" aca="1" ref="F47" ca="1">IFERROR(_xlfn.XLOOKUP(C47&amp;A47, Inside5!B:B&amp;Inside5!I:I, Inside5!D:D), 0)</f>
        <v>0</v>
      </c>
      <c r="G47" cm="1">
        <f t="array" ref="G47">IFERROR(_xlfn.XLOOKUP(C47&amp;A47, Inside5!B:B&amp;Inside5!I:I, Inside5!E:E), 0)</f>
        <v>0.5</v>
      </c>
      <c r="H47" cm="1">
        <f t="array" ref="H47">IFERROR(_xlfn.XLOOKUP(C47&amp;A47, TDrate!F:F&amp;TDrate!H:H, TDrate!C:C), "N/A")</f>
        <v>7.6E-3</v>
      </c>
      <c r="I47" cm="1">
        <f t="array" ref="I47">IFERROR(_xlfn.XLOOKUP(C47&amp;A47, TDrate!F:F&amp;TDrate!H:H, TDrate!E:E), "N/A")</f>
        <v>1.14E-2</v>
      </c>
      <c r="J47" cm="1">
        <f t="array" ref="J47">IFERROR(_xlfn.XLOOKUP(C47&amp;A47, Inside5!B:B&amp;Inside5!I:I, Inside5!F:F), 0)</f>
        <v>0</v>
      </c>
      <c r="K47" cm="1">
        <f t="array" ref="K47">IFERROR(_xlfn.XLOOKUP(C47&amp;A47, Inside5!B:B&amp;Inside5!I:I, Inside5!G:G), 0)</f>
        <v>0</v>
      </c>
      <c r="L47" cm="1">
        <f t="array" ref="L47">IFERROR(_xlfn.XLOOKUP(C47&amp;A47, Inside5!B:B&amp;Inside5!I:I, Inside5!H:H), 0)</f>
        <v>0</v>
      </c>
      <c r="M47" cm="1">
        <f t="array" ref="M47">IFERROR(_xlfn.XLOOKUP(C47&amp;A47, TDrate!F:F&amp;TDrate!H:H, TDrate!B:B), "N/A")</f>
        <v>0</v>
      </c>
      <c r="N47" cm="1">
        <f t="array" ref="N47">IFERROR(_xlfn.XLOOKUP(C47&amp;A47, TDrate!F:F&amp;TDrate!H:H, TDrate!D:D), "N/A")</f>
        <v>1.49E-2</v>
      </c>
    </row>
    <row r="48" spans="1:14" x14ac:dyDescent="0.45">
      <c r="A48" s="5">
        <v>2025</v>
      </c>
      <c r="B48" s="6" t="s">
        <v>343</v>
      </c>
      <c r="C48" s="7" t="str">
        <f t="shared" si="0"/>
        <v>Isiah Pacheco</v>
      </c>
      <c r="D48" s="7" t="str">
        <f t="shared" si="1"/>
        <v>KC</v>
      </c>
      <c r="E48" cm="1">
        <f t="array" ref="E48">IFERROR(_xlfn.XLOOKUP(C48&amp;A48, Inside5!B:B&amp;Inside5!I:I, Inside5!C:C), 0)</f>
        <v>0</v>
      </c>
      <c r="F48" cm="1">
        <f t="array" ref="F48">IFERROR(_xlfn.XLOOKUP(C48&amp;A48, Inside5!B:B&amp;Inside5!I:I, Inside5!D:D), 0)</f>
        <v>0</v>
      </c>
      <c r="G48" cm="1">
        <f t="array" ref="G48">IFERROR(_xlfn.XLOOKUP(C48&amp;A48, Inside5!B:B&amp;Inside5!I:I, Inside5!E:E), 0)</f>
        <v>0</v>
      </c>
      <c r="H48" cm="1">
        <f t="array" ref="H48">IFERROR(_xlfn.XLOOKUP(C48&amp;A48, TDrate!F:F&amp;TDrate!H:H, TDrate!C:C), "N/A")</f>
        <v>8.5000000000000006E-3</v>
      </c>
      <c r="I48" cm="1">
        <f t="array" ref="I48">IFERROR(_xlfn.XLOOKUP(C48&amp;A48, TDrate!F:F&amp;TDrate!H:H, TDrate!E:E), "N/A")</f>
        <v>1.15E-2</v>
      </c>
      <c r="J48" cm="1">
        <f t="array" ref="J48">IFERROR(_xlfn.XLOOKUP(C48&amp;A48, Inside5!B:B&amp;Inside5!I:I, Inside5!F:F), 0)</f>
        <v>0</v>
      </c>
      <c r="K48" cm="1">
        <f t="array" ref="K48">IFERROR(_xlfn.XLOOKUP(C48&amp;A48, Inside5!B:B&amp;Inside5!I:I, Inside5!G:G), 0)</f>
        <v>1</v>
      </c>
      <c r="L48" cm="1">
        <f t="array" ref="L48">IFERROR(_xlfn.XLOOKUP(C48&amp;A48, Inside5!B:B&amp;Inside5!I:I, Inside5!H:H), 0)</f>
        <v>0</v>
      </c>
      <c r="M48" cm="1">
        <f t="array" ref="M48">IFERROR(_xlfn.XLOOKUP(C48&amp;A48, TDrate!F:F&amp;TDrate!H:H, TDrate!B:B), "N/A")</f>
        <v>3.85E-2</v>
      </c>
      <c r="N48" cm="1">
        <f t="array" ref="N48">IFERROR(_xlfn.XLOOKUP(C48&amp;A48, TDrate!F:F&amp;TDrate!H:H, TDrate!D:D), "N/A")</f>
        <v>4.0500000000000001E-2</v>
      </c>
    </row>
    <row r="49" spans="1:14" x14ac:dyDescent="0.45">
      <c r="A49" s="8">
        <v>2025</v>
      </c>
      <c r="B49" s="9" t="s">
        <v>344</v>
      </c>
      <c r="C49" s="10" t="str">
        <f t="shared" si="0"/>
        <v>Devin Singletary</v>
      </c>
      <c r="D49" s="10" t="str">
        <f t="shared" si="1"/>
        <v>NYG</v>
      </c>
      <c r="E49" cm="1">
        <f t="array" aca="1" ref="E49" ca="1">IFERROR(_xlfn.XLOOKUP(C49&amp;A49, Inside5!B:B&amp;Inside5!I:I, Inside5!C:C), 0)</f>
        <v>9</v>
      </c>
      <c r="F49" cm="1">
        <f t="array" aca="1" ref="F49" ca="1">IFERROR(_xlfn.XLOOKUP(C49&amp;A49, Inside5!B:B&amp;Inside5!I:I, Inside5!D:D), 0)</f>
        <v>3</v>
      </c>
      <c r="G49" cm="1">
        <f t="array" ref="G49">IFERROR(_xlfn.XLOOKUP(C49&amp;A49, Inside5!B:B&amp;Inside5!I:I, Inside5!E:E), 0)</f>
        <v>0.45</v>
      </c>
      <c r="H49" cm="1">
        <f t="array" ref="H49">IFERROR(_xlfn.XLOOKUP(C49&amp;A49, TDrate!F:F&amp;TDrate!H:H, TDrate!C:C), "N/A")</f>
        <v>4.2000000000000003E-2</v>
      </c>
      <c r="I49" cm="1">
        <f t="array" ref="I49">IFERROR(_xlfn.XLOOKUP(C49&amp;A49, TDrate!F:F&amp;TDrate!H:H, TDrate!E:E), "N/A")</f>
        <v>4.36E-2</v>
      </c>
      <c r="J49" cm="1">
        <f t="array" ref="J49">IFERROR(_xlfn.XLOOKUP(C49&amp;A49, Inside5!B:B&amp;Inside5!I:I, Inside5!F:F), 0)</f>
        <v>1</v>
      </c>
      <c r="K49" cm="1">
        <f t="array" ref="K49">IFERROR(_xlfn.XLOOKUP(C49&amp;A49, Inside5!B:B&amp;Inside5!I:I, Inside5!G:G), 0)</f>
        <v>1</v>
      </c>
      <c r="L49" cm="1">
        <f t="array" ref="L49">IFERROR(_xlfn.XLOOKUP(C49&amp;A49, Inside5!B:B&amp;Inside5!I:I, Inside5!H:H), 0)</f>
        <v>0</v>
      </c>
      <c r="M49" cm="1">
        <f t="array" ref="M49">IFERROR(_xlfn.XLOOKUP(C49&amp;A49, TDrate!F:F&amp;TDrate!H:H, TDrate!B:B), "N/A")</f>
        <v>0</v>
      </c>
      <c r="N49" cm="1">
        <f t="array" ref="N49">IFERROR(_xlfn.XLOOKUP(C49&amp;A49, TDrate!F:F&amp;TDrate!H:H, TDrate!D:D), "N/A")</f>
        <v>2.0299999999999999E-2</v>
      </c>
    </row>
    <row r="50" spans="1:14" x14ac:dyDescent="0.45">
      <c r="A50" s="5">
        <v>2025</v>
      </c>
      <c r="B50" s="6" t="s">
        <v>345</v>
      </c>
      <c r="C50" s="7" t="str">
        <f t="shared" si="0"/>
        <v>Cam Skattebo</v>
      </c>
      <c r="D50" s="7" t="str">
        <f t="shared" si="1"/>
        <v>NYG</v>
      </c>
      <c r="E50" cm="1">
        <f t="array" ref="E50">IFERROR(_xlfn.XLOOKUP(C50&amp;A50, Inside5!B:B&amp;Inside5!I:I, Inside5!C:C), 0)</f>
        <v>9</v>
      </c>
      <c r="F50" cm="1">
        <f t="array" ref="F50">IFERROR(_xlfn.XLOOKUP(C50&amp;A50, Inside5!B:B&amp;Inside5!I:I, Inside5!D:D), 0)</f>
        <v>4</v>
      </c>
      <c r="G50" cm="1">
        <f t="array" ref="G50">IFERROR(_xlfn.XLOOKUP(C50&amp;A50, Inside5!B:B&amp;Inside5!I:I, Inside5!E:E), 0)</f>
        <v>0.45</v>
      </c>
      <c r="H50" cm="1">
        <f t="array" ref="H50">IFERROR(_xlfn.XLOOKUP(C50&amp;A50, TDrate!F:F&amp;TDrate!H:H, TDrate!C:C), "N/A")</f>
        <v>4.9500000000000002E-2</v>
      </c>
      <c r="I50" cm="1">
        <f t="array" ref="I50">IFERROR(_xlfn.XLOOKUP(C50&amp;A50, TDrate!F:F&amp;TDrate!H:H, TDrate!E:E), "N/A")</f>
        <v>4.7399999999999998E-2</v>
      </c>
      <c r="J50" cm="1">
        <f t="array" ref="J50">IFERROR(_xlfn.XLOOKUP(C50&amp;A50, Inside5!B:B&amp;Inside5!I:I, Inside5!F:F), 0)</f>
        <v>0</v>
      </c>
      <c r="K50" cm="1">
        <f t="array" ref="K50">IFERROR(_xlfn.XLOOKUP(C50&amp;A50, Inside5!B:B&amp;Inside5!I:I, Inside5!G:G), 0)</f>
        <v>0</v>
      </c>
      <c r="L50" cm="1">
        <f t="array" ref="L50">IFERROR(_xlfn.XLOOKUP(C50&amp;A50, Inside5!B:B&amp;Inside5!I:I, Inside5!H:H), 0)</f>
        <v>0</v>
      </c>
      <c r="M50" cm="1">
        <f t="array" ref="M50">IFERROR(_xlfn.XLOOKUP(C50&amp;A50, TDrate!F:F&amp;TDrate!H:H, TDrate!B:B), "N/A")</f>
        <v>6.25E-2</v>
      </c>
      <c r="N50" cm="1">
        <f t="array" ref="N50">IFERROR(_xlfn.XLOOKUP(C50&amp;A50, TDrate!F:F&amp;TDrate!H:H, TDrate!D:D), "N/A")</f>
        <v>4.36E-2</v>
      </c>
    </row>
    <row r="51" spans="1:14" x14ac:dyDescent="0.45">
      <c r="A51" s="8">
        <v>2025</v>
      </c>
      <c r="B51" s="9" t="s">
        <v>346</v>
      </c>
      <c r="C51" s="10" t="str">
        <f t="shared" si="0"/>
        <v>Brian Robinson Jr.</v>
      </c>
      <c r="D51" s="10" t="str">
        <f t="shared" si="1"/>
        <v>SF</v>
      </c>
      <c r="E51" cm="1">
        <f t="array" aca="1" ref="E51" ca="1">IFERROR(_xlfn.XLOOKUP(C51&amp;A51, Inside5!B:B&amp;Inside5!I:I, Inside5!C:C), 0)</f>
        <v>2</v>
      </c>
      <c r="F51" cm="1">
        <f t="array" aca="1" ref="F51" ca="1">IFERROR(_xlfn.XLOOKUP(C51&amp;A51, Inside5!B:B&amp;Inside5!I:I, Inside5!D:D), 0)</f>
        <v>1</v>
      </c>
      <c r="G51" cm="1">
        <f t="array" ref="G51">IFERROR(_xlfn.XLOOKUP(C51&amp;A51, Inside5!B:B&amp;Inside5!I:I, Inside5!E:E), 0)</f>
        <v>8.6999999999999994E-2</v>
      </c>
      <c r="H51" cm="1">
        <f t="array" ref="H51">IFERROR(_xlfn.XLOOKUP(C51&amp;A51, TDrate!F:F&amp;TDrate!H:H, TDrate!C:C), "N/A")</f>
        <v>2.1700000000000001E-2</v>
      </c>
      <c r="I51" cm="1">
        <f t="array" ref="I51">IFERROR(_xlfn.XLOOKUP(C51&amp;A51, TDrate!F:F&amp;TDrate!H:H, TDrate!E:E), "N/A")</f>
        <v>2.12E-2</v>
      </c>
      <c r="J51" cm="1">
        <f t="array" ref="J51">IFERROR(_xlfn.XLOOKUP(C51&amp;A51, Inside5!B:B&amp;Inside5!I:I, Inside5!F:F), 0)</f>
        <v>1</v>
      </c>
      <c r="K51" cm="1">
        <f t="array" ref="K51">IFERROR(_xlfn.XLOOKUP(C51&amp;A51, Inside5!B:B&amp;Inside5!I:I, Inside5!G:G), 0)</f>
        <v>1</v>
      </c>
      <c r="L51" cm="1">
        <f t="array" aca="1" ref="L51" ca="1">IFERROR(_xlfn.XLOOKUP(C51&amp;A51, Inside5!B:B&amp;Inside5!I:I, Inside5!H:H), 0)</f>
        <v>0</v>
      </c>
      <c r="M51" cm="1">
        <f t="array" ref="M51">IFERROR(_xlfn.XLOOKUP(C51&amp;A51, TDrate!F:F&amp;TDrate!H:H, TDrate!B:B), "N/A")</f>
        <v>0</v>
      </c>
      <c r="N51" cm="1">
        <f t="array" ref="N51">IFERROR(_xlfn.XLOOKUP(C51&amp;A51, TDrate!F:F&amp;TDrate!H:H, TDrate!D:D), "N/A")</f>
        <v>3.5099999999999999E-2</v>
      </c>
    </row>
    <row r="52" spans="1:14" x14ac:dyDescent="0.45">
      <c r="A52" s="5">
        <v>2025</v>
      </c>
      <c r="B52" s="6" t="s">
        <v>347</v>
      </c>
      <c r="C52" s="7" t="str">
        <f t="shared" si="0"/>
        <v>Samaje Perine</v>
      </c>
      <c r="D52" s="7" t="str">
        <f t="shared" si="1"/>
        <v>CIN</v>
      </c>
      <c r="E52" cm="1">
        <f t="array" aca="1" ref="E52" ca="1">IFERROR(_xlfn.XLOOKUP(C52&amp;A52, Inside5!B:B&amp;Inside5!I:I, Inside5!C:C), 0)</f>
        <v>4</v>
      </c>
      <c r="F52" cm="1">
        <f t="array" aca="1" ref="F52" ca="1">IFERROR(_xlfn.XLOOKUP(C52&amp;A52, Inside5!B:B&amp;Inside5!I:I, Inside5!D:D), 0)</f>
        <v>2</v>
      </c>
      <c r="G52" cm="1">
        <f t="array" ref="G52">IFERROR(_xlfn.XLOOKUP(C52&amp;A52, Inside5!B:B&amp;Inside5!I:I, Inside5!E:E), 0)</f>
        <v>0.25</v>
      </c>
      <c r="H52" cm="1">
        <f t="array" ref="H52">IFERROR(_xlfn.XLOOKUP(C52&amp;A52, TDrate!F:F&amp;TDrate!H:H, TDrate!C:C), "N/A")</f>
        <v>3.5700000000000003E-2</v>
      </c>
      <c r="I52" cm="1">
        <f t="array" ref="I52">IFERROR(_xlfn.XLOOKUP(C52&amp;A52, TDrate!F:F&amp;TDrate!H:H, TDrate!E:E), "N/A")</f>
        <v>3.3599999999999998E-2</v>
      </c>
      <c r="J52" cm="1">
        <f t="array" ref="J52">IFERROR(_xlfn.XLOOKUP(C52&amp;A52, Inside5!B:B&amp;Inside5!I:I, Inside5!F:F), 0)</f>
        <v>0</v>
      </c>
      <c r="K52" cm="1">
        <f t="array" aca="1" ref="K52" ca="1">IFERROR(_xlfn.XLOOKUP(C52&amp;A52, Inside5!B:B&amp;Inside5!I:I, Inside5!G:G), 0)</f>
        <v>0</v>
      </c>
      <c r="L52" cm="1">
        <f t="array" ref="L52">IFERROR(_xlfn.XLOOKUP(C52&amp;A52, Inside5!B:B&amp;Inside5!I:I, Inside5!H:H), 0)</f>
        <v>0</v>
      </c>
      <c r="M52" cm="1">
        <f t="array" ref="M52">IFERROR(_xlfn.XLOOKUP(C52&amp;A52, TDrate!F:F&amp;TDrate!H:H, TDrate!B:B), "N/A")</f>
        <v>0</v>
      </c>
      <c r="N52" cm="1">
        <f t="array" ref="N52">IFERROR(_xlfn.XLOOKUP(C52&amp;A52, TDrate!F:F&amp;TDrate!H:H, TDrate!D:D), "N/A")</f>
        <v>7.1999999999999998E-3</v>
      </c>
    </row>
    <row r="53" spans="1:14" x14ac:dyDescent="0.45">
      <c r="A53" s="8">
        <v>2025</v>
      </c>
      <c r="B53" s="9" t="s">
        <v>348</v>
      </c>
      <c r="C53" s="10" t="str">
        <f t="shared" si="0"/>
        <v>Tank Bigsby</v>
      </c>
      <c r="D53" s="10" t="str">
        <f t="shared" si="1"/>
        <v>PHI</v>
      </c>
      <c r="E53" cm="1">
        <f t="array" aca="1" ref="E53" ca="1">IFERROR(_xlfn.XLOOKUP(C53&amp;A53, Inside5!B:B&amp;Inside5!I:I, Inside5!C:C), 0)</f>
        <v>4</v>
      </c>
      <c r="F53" cm="1">
        <f t="array" aca="1" ref="F53" ca="1">IFERROR(_xlfn.XLOOKUP(C53&amp;A53, Inside5!B:B&amp;Inside5!I:I, Inside5!D:D), 0)</f>
        <v>0</v>
      </c>
      <c r="G53" cm="1">
        <f t="array" ref="G53">IFERROR(_xlfn.XLOOKUP(C53&amp;A53, Inside5!B:B&amp;Inside5!I:I, Inside5!E:E), 0)</f>
        <v>0.222</v>
      </c>
      <c r="H53" cm="1">
        <f t="array" ref="H53">IFERROR(_xlfn.XLOOKUP(C53&amp;A53, TDrate!F:F&amp;TDrate!H:H, TDrate!C:C), "N/A")</f>
        <v>3.1699999999999999E-2</v>
      </c>
      <c r="I53" cm="1">
        <f t="array" ref="I53">IFERROR(_xlfn.XLOOKUP(C53&amp;A53, TDrate!F:F&amp;TDrate!H:H, TDrate!E:E), "N/A")</f>
        <v>4.0800000000000003E-2</v>
      </c>
      <c r="J53" cm="1">
        <f t="array" ref="J53">IFERROR(_xlfn.XLOOKUP(C53&amp;A53, Inside5!B:B&amp;Inside5!I:I, Inside5!F:F), 0)</f>
        <v>0</v>
      </c>
      <c r="K53" cm="1">
        <f t="array" ref="K53">IFERROR(_xlfn.XLOOKUP(C53&amp;A53, Inside5!B:B&amp;Inside5!I:I, Inside5!G:G), 0)</f>
        <v>0</v>
      </c>
      <c r="L53" cm="1">
        <f t="array" ref="L53">IFERROR(_xlfn.XLOOKUP(C53&amp;A53, Inside5!B:B&amp;Inside5!I:I, Inside5!H:H), 0)</f>
        <v>0</v>
      </c>
      <c r="M53" cm="1">
        <f t="array" ref="M53">IFERROR(_xlfn.XLOOKUP(C53&amp;A53, TDrate!F:F&amp;TDrate!H:H, TDrate!B:B), "N/A")</f>
        <v>0</v>
      </c>
      <c r="N53" cm="1">
        <f t="array" ref="N53">IFERROR(_xlfn.XLOOKUP(C53&amp;A53, TDrate!F:F&amp;TDrate!H:H, TDrate!D:D), "N/A")</f>
        <v>1.52E-2</v>
      </c>
    </row>
    <row r="54" spans="1:14" x14ac:dyDescent="0.45">
      <c r="A54" s="5">
        <v>2025</v>
      </c>
      <c r="B54" s="6" t="s">
        <v>349</v>
      </c>
      <c r="C54" s="7" t="str">
        <f t="shared" si="0"/>
        <v>Keaton Mitchell</v>
      </c>
      <c r="D54" s="7" t="str">
        <f t="shared" si="1"/>
        <v>BAL</v>
      </c>
      <c r="E54" cm="1">
        <f t="array" ref="E54">IFERROR(_xlfn.XLOOKUP(C54&amp;A54, Inside5!B:B&amp;Inside5!I:I, Inside5!C:C), 0)</f>
        <v>0</v>
      </c>
      <c r="F54" cm="1">
        <f t="array" ref="F54">IFERROR(_xlfn.XLOOKUP(C54&amp;A54, Inside5!B:B&amp;Inside5!I:I, Inside5!D:D), 0)</f>
        <v>0</v>
      </c>
      <c r="G54" cm="1">
        <f t="array" ref="G54">IFERROR(_xlfn.XLOOKUP(C54&amp;A54, Inside5!B:B&amp;Inside5!I:I, Inside5!E:E), 0)</f>
        <v>0</v>
      </c>
      <c r="H54" cm="1">
        <f t="array" ref="H54">IFERROR(_xlfn.XLOOKUP(C54&amp;A54, TDrate!F:F&amp;TDrate!H:H, TDrate!C:C), "N/A")</f>
        <v>1.6899999999999998E-2</v>
      </c>
      <c r="I54" cm="1">
        <f t="array" ref="I54">IFERROR(_xlfn.XLOOKUP(C54&amp;A54, TDrate!F:F&amp;TDrate!H:H, TDrate!E:E), "N/A")</f>
        <v>1.5599999999999999E-2</v>
      </c>
      <c r="J54" cm="1">
        <f t="array" ref="J54">IFERROR(_xlfn.XLOOKUP(C54&amp;A54, Inside5!B:B&amp;Inside5!I:I, Inside5!F:F), 0)</f>
        <v>0</v>
      </c>
      <c r="K54" cm="1">
        <f t="array" ref="K54">IFERROR(_xlfn.XLOOKUP(C54&amp;A54, Inside5!B:B&amp;Inside5!I:I, Inside5!G:G), 0)</f>
        <v>0</v>
      </c>
      <c r="L54" cm="1">
        <f t="array" ref="L54">IFERROR(_xlfn.XLOOKUP(C54&amp;A54, Inside5!B:B&amp;Inside5!I:I, Inside5!H:H), 0)</f>
        <v>0</v>
      </c>
      <c r="M54" cm="1">
        <f t="array" ref="M54">IFERROR(_xlfn.XLOOKUP(C54&amp;A54, TDrate!F:F&amp;TDrate!H:H, TDrate!B:B), "N/A")</f>
        <v>0</v>
      </c>
      <c r="N54" cm="1">
        <f t="array" ref="N54">IFERROR(_xlfn.XLOOKUP(C54&amp;A54, TDrate!F:F&amp;TDrate!H:H, TDrate!D:D), "N/A")</f>
        <v>5.5999999999999999E-3</v>
      </c>
    </row>
    <row r="55" spans="1:14" x14ac:dyDescent="0.45">
      <c r="A55" s="8">
        <v>2025</v>
      </c>
      <c r="B55" s="9" t="s">
        <v>350</v>
      </c>
      <c r="C55" s="10" t="str">
        <f t="shared" si="0"/>
        <v>Michael Carter</v>
      </c>
      <c r="D55" s="10" t="str">
        <f t="shared" si="1"/>
        <v>ARI</v>
      </c>
      <c r="E55" cm="1">
        <f t="array" aca="1" ref="E55" ca="1">IFERROR(_xlfn.XLOOKUP(C55&amp;A55, Inside5!B:B&amp;Inside5!I:I, Inside5!C:C), 0)</f>
        <v>3</v>
      </c>
      <c r="F55" cm="1">
        <f t="array" aca="1" ref="F55" ca="1">IFERROR(_xlfn.XLOOKUP(C55&amp;A55, Inside5!B:B&amp;Inside5!I:I, Inside5!D:D), 0)</f>
        <v>1</v>
      </c>
      <c r="G55" cm="1">
        <f t="array" ref="G55">IFERROR(_xlfn.XLOOKUP(C55&amp;A55, Inside5!B:B&amp;Inside5!I:I, Inside5!E:E), 0)</f>
        <v>0.214</v>
      </c>
      <c r="H55" cm="1">
        <f t="array" ref="H55">IFERROR(_xlfn.XLOOKUP(C55&amp;A55, TDrate!F:F&amp;TDrate!H:H, TDrate!C:C), "N/A")</f>
        <v>1.09E-2</v>
      </c>
      <c r="I55" cm="1">
        <f t="array" ref="I55">IFERROR(_xlfn.XLOOKUP(C55&amp;A55, TDrate!F:F&amp;TDrate!H:H, TDrate!E:E), "N/A")</f>
        <v>1.5699999999999999E-2</v>
      </c>
      <c r="J55" cm="1">
        <f t="array" ref="J55">IFERROR(_xlfn.XLOOKUP(C55&amp;A55, Inside5!B:B&amp;Inside5!I:I, Inside5!F:F), 0)</f>
        <v>0</v>
      </c>
      <c r="K55" cm="1">
        <f t="array" ref="K55">IFERROR(_xlfn.XLOOKUP(C55&amp;A55, Inside5!B:B&amp;Inside5!I:I, Inside5!G:G), 0)</f>
        <v>0</v>
      </c>
      <c r="L55" cm="1">
        <f t="array" ref="L55">IFERROR(_xlfn.XLOOKUP(C55&amp;A55, Inside5!B:B&amp;Inside5!I:I, Inside5!H:H), 0)</f>
        <v>0</v>
      </c>
      <c r="M55" cm="1">
        <f t="array" ref="M55">IFERROR(_xlfn.XLOOKUP(C55&amp;A55, TDrate!F:F&amp;TDrate!H:H, TDrate!B:B), "N/A")</f>
        <v>0</v>
      </c>
      <c r="N55" cm="1">
        <f t="array" ref="N55">IFERROR(_xlfn.XLOOKUP(C55&amp;A55, TDrate!F:F&amp;TDrate!H:H, TDrate!D:D), "N/A")</f>
        <v>1.5900000000000001E-2</v>
      </c>
    </row>
    <row r="56" spans="1:14" x14ac:dyDescent="0.45">
      <c r="A56" s="5">
        <v>2025</v>
      </c>
      <c r="B56" s="6" t="s">
        <v>351</v>
      </c>
      <c r="C56" s="7" t="str">
        <f t="shared" si="0"/>
        <v>Sean Tucker</v>
      </c>
      <c r="D56" s="7" t="str">
        <f t="shared" si="1"/>
        <v>TB</v>
      </c>
      <c r="E56" cm="1">
        <f t="array" aca="1" ref="E56" ca="1">IFERROR(_xlfn.XLOOKUP(C56&amp;A56, Inside5!B:B&amp;Inside5!I:I, Inside5!C:C), 0)</f>
        <v>11</v>
      </c>
      <c r="F56" cm="1">
        <f t="array" aca="1" ref="F56" ca="1">IFERROR(_xlfn.XLOOKUP(C56&amp;A56, Inside5!B:B&amp;Inside5!I:I, Inside5!D:D), 0)</f>
        <v>4</v>
      </c>
      <c r="G56" cm="1">
        <f t="array" ref="G56">IFERROR(_xlfn.XLOOKUP(C56&amp;A56, Inside5!B:B&amp;Inside5!I:I, Inside5!E:E), 0)</f>
        <v>0.57899999999999996</v>
      </c>
      <c r="H56" cm="1">
        <f t="array" ref="H56">IFERROR(_xlfn.XLOOKUP(C56&amp;A56, TDrate!F:F&amp;TDrate!H:H, TDrate!C:C), "N/A")</f>
        <v>8.14E-2</v>
      </c>
      <c r="I56" cm="1">
        <f t="array" ref="I56">IFERROR(_xlfn.XLOOKUP(C56&amp;A56, TDrate!F:F&amp;TDrate!H:H, TDrate!E:E), "N/A")</f>
        <v>7.0499999999999993E-2</v>
      </c>
      <c r="J56" cm="1">
        <f t="array" ref="J56">IFERROR(_xlfn.XLOOKUP(C56&amp;A56, Inside5!B:B&amp;Inside5!I:I, Inside5!F:F), 0)</f>
        <v>0</v>
      </c>
      <c r="K56" cm="1">
        <f t="array" ref="K56">IFERROR(_xlfn.XLOOKUP(C56&amp;A56, Inside5!B:B&amp;Inside5!I:I, Inside5!G:G), 0)</f>
        <v>1</v>
      </c>
      <c r="L56" cm="1">
        <f t="array" ref="L56">IFERROR(_xlfn.XLOOKUP(C56&amp;A56, Inside5!B:B&amp;Inside5!I:I, Inside5!H:H), 0)</f>
        <v>0</v>
      </c>
      <c r="M56" cm="1">
        <f t="array" ref="M56">IFERROR(_xlfn.XLOOKUP(C56&amp;A56, TDrate!F:F&amp;TDrate!H:H, TDrate!B:B), "N/A")</f>
        <v>9.0899999999999995E-2</v>
      </c>
      <c r="N56" cm="1">
        <f t="array" ref="N56">IFERROR(_xlfn.XLOOKUP(C56&amp;A56, TDrate!F:F&amp;TDrate!H:H, TDrate!D:D), "N/A")</f>
        <v>8.0399999999999999E-2</v>
      </c>
    </row>
    <row r="57" spans="1:14" x14ac:dyDescent="0.45">
      <c r="A57" s="8">
        <v>2025</v>
      </c>
      <c r="B57" s="9" t="s">
        <v>352</v>
      </c>
      <c r="C57" s="10" t="str">
        <f t="shared" si="0"/>
        <v>Emari Demercado</v>
      </c>
      <c r="D57" s="10" t="str">
        <f t="shared" si="1"/>
        <v>ARI</v>
      </c>
      <c r="E57" cm="1">
        <f t="array" aca="1" ref="E57" ca="1">IFERROR(_xlfn.XLOOKUP(C57&amp;A57, Inside5!B:B&amp;Inside5!I:I, Inside5!C:C), 0)</f>
        <v>0</v>
      </c>
      <c r="F57" cm="1">
        <f t="array" aca="1" ref="F57" ca="1">IFERROR(_xlfn.XLOOKUP(C57&amp;A57, Inside5!B:B&amp;Inside5!I:I, Inside5!D:D), 0)</f>
        <v>0</v>
      </c>
      <c r="G57" cm="1">
        <f t="array" ref="G57">IFERROR(_xlfn.XLOOKUP(C57&amp;A57, Inside5!B:B&amp;Inside5!I:I, Inside5!E:E), 0)</f>
        <v>0</v>
      </c>
      <c r="H57" cm="1">
        <f t="array" ref="H57">IFERROR(_xlfn.XLOOKUP(C57&amp;A57, TDrate!F:F&amp;TDrate!H:H, TDrate!C:C), "N/A")</f>
        <v>0</v>
      </c>
      <c r="I57" cm="1">
        <f t="array" ref="I57">IFERROR(_xlfn.XLOOKUP(C57&amp;A57, TDrate!F:F&amp;TDrate!H:H, TDrate!E:E), "N/A")</f>
        <v>7.4999999999999997E-3</v>
      </c>
      <c r="J57" cm="1">
        <f t="array" ref="J57">IFERROR(_xlfn.XLOOKUP(C57&amp;A57, Inside5!B:B&amp;Inside5!I:I, Inside5!F:F), 0)</f>
        <v>1</v>
      </c>
      <c r="K57" cm="1">
        <f t="array" ref="K57">IFERROR(_xlfn.XLOOKUP(C57&amp;A57, Inside5!B:B&amp;Inside5!I:I, Inside5!G:G), 0)</f>
        <v>1</v>
      </c>
      <c r="L57" cm="1">
        <f t="array" ref="L57">IFERROR(_xlfn.XLOOKUP(C57&amp;A57, Inside5!B:B&amp;Inside5!I:I, Inside5!H:H), 0)</f>
        <v>0</v>
      </c>
      <c r="M57" cm="1">
        <f t="array" ref="M57">IFERROR(_xlfn.XLOOKUP(C57&amp;A57, TDrate!F:F&amp;TDrate!H:H, TDrate!B:B), "N/A")</f>
        <v>0.05</v>
      </c>
      <c r="N57" cm="1">
        <f t="array" ref="N57">IFERROR(_xlfn.XLOOKUP(C57&amp;A57, TDrate!F:F&amp;TDrate!H:H, TDrate!D:D), "N/A")</f>
        <v>5.8200000000000002E-2</v>
      </c>
    </row>
    <row r="58" spans="1:14" x14ac:dyDescent="0.45">
      <c r="A58" s="5">
        <v>2025</v>
      </c>
      <c r="B58" s="6" t="s">
        <v>353</v>
      </c>
      <c r="C58" s="7" t="str">
        <f t="shared" si="0"/>
        <v>Bhayshul Tuten</v>
      </c>
      <c r="D58" s="7" t="str">
        <f t="shared" si="1"/>
        <v>JAC</v>
      </c>
      <c r="E58" cm="1">
        <f t="array" aca="1" ref="E58" ca="1">IFERROR(_xlfn.XLOOKUP(C58&amp;A58, Inside5!B:B&amp;Inside5!I:I, Inside5!C:C), 0)</f>
        <v>6</v>
      </c>
      <c r="F58" cm="1">
        <f t="array" aca="1" ref="F58" ca="1">IFERROR(_xlfn.XLOOKUP(C58&amp;A58, Inside5!B:B&amp;Inside5!I:I, Inside5!D:D), 0)</f>
        <v>4</v>
      </c>
      <c r="G58" cm="1">
        <f t="array" ref="G58">IFERROR(_xlfn.XLOOKUP(C58&amp;A58, Inside5!B:B&amp;Inside5!I:I, Inside5!E:E), 0)</f>
        <v>0.33300000000000002</v>
      </c>
      <c r="H58" cm="1">
        <f t="array" ref="H58">IFERROR(_xlfn.XLOOKUP(C58&amp;A58, TDrate!F:F&amp;TDrate!H:H, TDrate!C:C), "N/A")</f>
        <v>6.0199999999999997E-2</v>
      </c>
      <c r="I58" cm="1">
        <f t="array" ref="I58">IFERROR(_xlfn.XLOOKUP(C58&amp;A58, TDrate!F:F&amp;TDrate!H:H, TDrate!E:E), "N/A")</f>
        <v>5.2900000000000003E-2</v>
      </c>
      <c r="J58" cm="1">
        <f t="array" ref="J58">IFERROR(_xlfn.XLOOKUP(C58&amp;A58, Inside5!B:B&amp;Inside5!I:I, Inside5!F:F), 0)</f>
        <v>0</v>
      </c>
      <c r="K58" cm="1">
        <f t="array" ref="K58">IFERROR(_xlfn.XLOOKUP(C58&amp;A58, Inside5!B:B&amp;Inside5!I:I, Inside5!G:G), 0)</f>
        <v>0</v>
      </c>
      <c r="L58" cm="1">
        <f t="array" ref="L58">IFERROR(_xlfn.XLOOKUP(C58&amp;A58, Inside5!B:B&amp;Inside5!I:I, Inside5!H:H), 0)</f>
        <v>0</v>
      </c>
      <c r="M58" cm="1">
        <f t="array" ref="M58">IFERROR(_xlfn.XLOOKUP(C58&amp;A58, TDrate!F:F&amp;TDrate!H:H, TDrate!B:B), "N/A")</f>
        <v>0.1429</v>
      </c>
      <c r="N58" cm="1">
        <f t="array" ref="N58">IFERROR(_xlfn.XLOOKUP(C58&amp;A58, TDrate!F:F&amp;TDrate!H:H, TDrate!D:D), "N/A")</f>
        <v>8.6599999999999996E-2</v>
      </c>
    </row>
    <row r="59" spans="1:14" x14ac:dyDescent="0.45">
      <c r="A59" s="8">
        <v>2025</v>
      </c>
      <c r="B59" s="9" t="s">
        <v>354</v>
      </c>
      <c r="C59" s="10" t="str">
        <f t="shared" si="0"/>
        <v>Jaylen Wright</v>
      </c>
      <c r="D59" s="10" t="str">
        <f t="shared" si="1"/>
        <v>MIA</v>
      </c>
      <c r="E59" cm="1">
        <f t="array" aca="1" ref="E59" ca="1">IFERROR(_xlfn.XLOOKUP(C59&amp;A59, Inside5!B:B&amp;Inside5!I:I, Inside5!C:C), 0)</f>
        <v>2</v>
      </c>
      <c r="F59" cm="1">
        <f t="array" aca="1" ref="F59" ca="1">IFERROR(_xlfn.XLOOKUP(C59&amp;A59, Inside5!B:B&amp;Inside5!I:I, Inside5!D:D), 0)</f>
        <v>2</v>
      </c>
      <c r="G59" cm="1">
        <f t="array" ref="G59">IFERROR(_xlfn.XLOOKUP(C59&amp;A59, Inside5!B:B&amp;Inside5!I:I, Inside5!E:E), 0)</f>
        <v>0.16700000000000001</v>
      </c>
      <c r="H59" cm="1">
        <f t="array" ref="H59">IFERROR(_xlfn.XLOOKUP(C59&amp;A59, TDrate!F:F&amp;TDrate!H:H, TDrate!C:C), "N/A")</f>
        <v>2.86E-2</v>
      </c>
      <c r="I59" cm="1">
        <f t="array" ref="I59">IFERROR(_xlfn.XLOOKUP(C59&amp;A59, TDrate!F:F&amp;TDrate!H:H, TDrate!E:E), "N/A")</f>
        <v>3.0700000000000002E-2</v>
      </c>
      <c r="J59" cm="1">
        <f t="array" ref="J59">IFERROR(_xlfn.XLOOKUP(C59&amp;A59, Inside5!B:B&amp;Inside5!I:I, Inside5!F:F), 0)</f>
        <v>0</v>
      </c>
      <c r="K59" cm="1">
        <f t="array" aca="1" ref="K59" ca="1">IFERROR(_xlfn.XLOOKUP(C59&amp;A59, Inside5!B:B&amp;Inside5!I:I, Inside5!G:G), 0)</f>
        <v>0</v>
      </c>
      <c r="L59" cm="1">
        <f t="array" aca="1" ref="L59" ca="1">IFERROR(_xlfn.XLOOKUP(C59&amp;A59, Inside5!B:B&amp;Inside5!I:I, Inside5!H:H), 0)</f>
        <v>0</v>
      </c>
      <c r="M59" cm="1">
        <f t="array" ref="M59">IFERROR(_xlfn.XLOOKUP(C59&amp;A59, TDrate!F:F&amp;TDrate!H:H, TDrate!B:B), "N/A")</f>
        <v>0</v>
      </c>
      <c r="N59" cm="1">
        <f t="array" ref="N59">IFERROR(_xlfn.XLOOKUP(C59&amp;A59, TDrate!F:F&amp;TDrate!H:H, TDrate!D:D), "N/A")</f>
        <v>3.5000000000000001E-3</v>
      </c>
    </row>
    <row r="60" spans="1:14" x14ac:dyDescent="0.45">
      <c r="A60" s="5">
        <v>2025</v>
      </c>
      <c r="B60" s="6" t="s">
        <v>355</v>
      </c>
      <c r="C60" s="7" t="str">
        <f t="shared" si="0"/>
        <v>Tyjae Spears</v>
      </c>
      <c r="D60" s="7" t="str">
        <f t="shared" si="1"/>
        <v>TEN</v>
      </c>
      <c r="E60" cm="1">
        <f t="array" aca="1" ref="E60" ca="1">IFERROR(_xlfn.XLOOKUP(C60&amp;A60, Inside5!B:B&amp;Inside5!I:I, Inside5!C:C), 0)</f>
        <v>2</v>
      </c>
      <c r="F60" cm="1">
        <f t="array" aca="1" ref="F60" ca="1">IFERROR(_xlfn.XLOOKUP(C60&amp;A60, Inside5!B:B&amp;Inside5!I:I, Inside5!D:D), 0)</f>
        <v>2</v>
      </c>
      <c r="G60" cm="1">
        <f t="array" ref="G60">IFERROR(_xlfn.XLOOKUP(C60&amp;A60, Inside5!B:B&amp;Inside5!I:I, Inside5!E:E), 0)</f>
        <v>0.25</v>
      </c>
      <c r="H60" cm="1">
        <f t="array" ref="H60">IFERROR(_xlfn.XLOOKUP(C60&amp;A60, TDrate!F:F&amp;TDrate!H:H, TDrate!C:C), "N/A")</f>
        <v>2.7799999999999998E-2</v>
      </c>
      <c r="I60" cm="1">
        <f t="array" ref="I60">IFERROR(_xlfn.XLOOKUP(C60&amp;A60, TDrate!F:F&amp;TDrate!H:H, TDrate!E:E), "N/A")</f>
        <v>2.5399999999999999E-2</v>
      </c>
      <c r="J60" cm="1">
        <f t="array" ref="J60">IFERROR(_xlfn.XLOOKUP(C60&amp;A60, Inside5!B:B&amp;Inside5!I:I, Inside5!F:F), 0)</f>
        <v>0</v>
      </c>
      <c r="K60" cm="1">
        <f t="array" aca="1" ref="K60" ca="1">IFERROR(_xlfn.XLOOKUP(C60&amp;A60, Inside5!B:B&amp;Inside5!I:I, Inside5!G:G), 0)</f>
        <v>0</v>
      </c>
      <c r="L60" cm="1">
        <f t="array" ref="L60">IFERROR(_xlfn.XLOOKUP(C60&amp;A60, Inside5!B:B&amp;Inside5!I:I, Inside5!H:H), 0)</f>
        <v>0</v>
      </c>
      <c r="M60" cm="1">
        <f t="array" ref="M60">IFERROR(_xlfn.XLOOKUP(C60&amp;A60, TDrate!F:F&amp;TDrate!H:H, TDrate!B:B), "N/A")</f>
        <v>0</v>
      </c>
      <c r="N60" cm="1">
        <f t="array" ref="N60">IFERROR(_xlfn.XLOOKUP(C60&amp;A60, TDrate!F:F&amp;TDrate!H:H, TDrate!D:D), "N/A")</f>
        <v>1.5100000000000001E-2</v>
      </c>
    </row>
    <row r="61" spans="1:14" x14ac:dyDescent="0.45">
      <c r="A61" s="8">
        <v>2025</v>
      </c>
      <c r="B61" s="9" t="s">
        <v>356</v>
      </c>
      <c r="C61" s="10" t="str">
        <f t="shared" si="0"/>
        <v>Ray Davis</v>
      </c>
      <c r="D61" s="10" t="str">
        <f t="shared" si="1"/>
        <v>BUF</v>
      </c>
      <c r="E61" cm="1">
        <f t="array" aca="1" ref="E61" ca="1">IFERROR(_xlfn.XLOOKUP(C61&amp;A61, Inside5!B:B&amp;Inside5!I:I, Inside5!C:C), 0)</f>
        <v>2</v>
      </c>
      <c r="F61" cm="1">
        <f t="array" aca="1" ref="F61" ca="1">IFERROR(_xlfn.XLOOKUP(C61&amp;A61, Inside5!B:B&amp;Inside5!I:I, Inside5!D:D), 0)</f>
        <v>0</v>
      </c>
      <c r="G61" cm="1">
        <f t="array" ref="G61">IFERROR(_xlfn.XLOOKUP(C61&amp;A61, Inside5!B:B&amp;Inside5!I:I, Inside5!E:E), 0)</f>
        <v>9.5000000000000001E-2</v>
      </c>
      <c r="H61" cm="1">
        <f t="array" ref="H61">IFERROR(_xlfn.XLOOKUP(C61&amp;A61, TDrate!F:F&amp;TDrate!H:H, TDrate!C:C), "N/A")</f>
        <v>0</v>
      </c>
      <c r="I61" cm="1">
        <f t="array" ref="I61">IFERROR(_xlfn.XLOOKUP(C61&amp;A61, TDrate!F:F&amp;TDrate!H:H, TDrate!E:E), "N/A")</f>
        <v>1.1599999999999999E-2</v>
      </c>
      <c r="J61" cm="1">
        <f t="array" ref="J61">IFERROR(_xlfn.XLOOKUP(C61&amp;A61, Inside5!B:B&amp;Inside5!I:I, Inside5!F:F), 0)</f>
        <v>1</v>
      </c>
      <c r="K61" cm="1">
        <f t="array" ref="K61">IFERROR(_xlfn.XLOOKUP(C61&amp;A61, Inside5!B:B&amp;Inside5!I:I, Inside5!G:G), 0)</f>
        <v>1</v>
      </c>
      <c r="L61" cm="1">
        <f t="array" ref="L61">IFERROR(_xlfn.XLOOKUP(C61&amp;A61, Inside5!B:B&amp;Inside5!I:I, Inside5!H:H), 0)</f>
        <v>0</v>
      </c>
      <c r="M61" cm="1">
        <f t="array" ref="M61">IFERROR(_xlfn.XLOOKUP(C61&amp;A61, TDrate!F:F&amp;TDrate!H:H, TDrate!B:B), "N/A")</f>
        <v>0.15379999999999999</v>
      </c>
      <c r="N61" cm="1">
        <f t="array" ref="N61">IFERROR(_xlfn.XLOOKUP(C61&amp;A61, TDrate!F:F&amp;TDrate!H:H, TDrate!D:D), "N/A")</f>
        <v>0.1275</v>
      </c>
    </row>
    <row r="62" spans="1:14" x14ac:dyDescent="0.45">
      <c r="A62" s="5">
        <v>2025</v>
      </c>
      <c r="B62" s="6" t="s">
        <v>357</v>
      </c>
      <c r="C62" s="7" t="str">
        <f t="shared" si="0"/>
        <v>Bam Knight</v>
      </c>
      <c r="D62" s="7" t="str">
        <f t="shared" si="1"/>
        <v>ARI</v>
      </c>
      <c r="E62" cm="1">
        <f t="array" aca="1" ref="E62" ca="1">IFERROR(_xlfn.XLOOKUP(C62&amp;A62, Inside5!B:B&amp;Inside5!I:I, Inside5!C:C), 0)</f>
        <v>7</v>
      </c>
      <c r="F62" cm="1">
        <f t="array" aca="1" ref="F62" ca="1">IFERROR(_xlfn.XLOOKUP(C62&amp;A62, Inside5!B:B&amp;Inside5!I:I, Inside5!D:D), 0)</f>
        <v>3</v>
      </c>
      <c r="G62" cm="1">
        <f t="array" ref="G62">IFERROR(_xlfn.XLOOKUP(C62&amp;A62, Inside5!B:B&amp;Inside5!I:I, Inside5!E:E), 0)</f>
        <v>0.5</v>
      </c>
      <c r="H62" cm="1">
        <f t="array" ref="H62">IFERROR(_xlfn.XLOOKUP(C62&amp;A62, TDrate!F:F&amp;TDrate!H:H, TDrate!C:C), "N/A")</f>
        <v>4.8800000000000003E-2</v>
      </c>
      <c r="I62" cm="1">
        <f t="array" ref="I62">IFERROR(_xlfn.XLOOKUP(C62&amp;A62, TDrate!F:F&amp;TDrate!H:H, TDrate!E:E), "N/A")</f>
        <v>4.7399999999999998E-2</v>
      </c>
      <c r="J62" cm="1">
        <f t="array" ref="J62">IFERROR(_xlfn.XLOOKUP(C62&amp;A62, Inside5!B:B&amp;Inside5!I:I, Inside5!F:F), 0)</f>
        <v>0</v>
      </c>
      <c r="K62" cm="1">
        <f t="array" aca="1" ref="K62" ca="1">IFERROR(_xlfn.XLOOKUP(C62&amp;A62, Inside5!B:B&amp;Inside5!I:I, Inside5!G:G), 0)</f>
        <v>1</v>
      </c>
      <c r="L62" cm="1">
        <f t="array" ref="L62">IFERROR(_xlfn.XLOOKUP(C62&amp;A62, Inside5!B:B&amp;Inside5!I:I, Inside5!H:H), 0)</f>
        <v>0</v>
      </c>
      <c r="M62" cm="1">
        <f t="array" ref="M62">IFERROR(_xlfn.XLOOKUP(C62&amp;A62, TDrate!F:F&amp;TDrate!H:H, TDrate!B:B), "N/A")</f>
        <v>3.2300000000000002E-2</v>
      </c>
      <c r="N62" cm="1">
        <f t="array" ref="N62">IFERROR(_xlfn.XLOOKUP(C62&amp;A62, TDrate!F:F&amp;TDrate!H:H, TDrate!D:D), "N/A")</f>
        <v>3.6600000000000001E-2</v>
      </c>
    </row>
    <row r="63" spans="1:14" x14ac:dyDescent="0.45">
      <c r="A63" s="8">
        <v>2025</v>
      </c>
      <c r="B63" s="9" t="s">
        <v>358</v>
      </c>
      <c r="C63" s="10" t="str">
        <f t="shared" si="0"/>
        <v>Malik Davis</v>
      </c>
      <c r="D63" s="10" t="str">
        <f t="shared" si="1"/>
        <v>DAL</v>
      </c>
      <c r="E63" cm="1">
        <f t="array" ref="E63">IFERROR(_xlfn.XLOOKUP(C63&amp;A63, Inside5!B:B&amp;Inside5!I:I, Inside5!C:C), 0)</f>
        <v>2</v>
      </c>
      <c r="F63" cm="1">
        <f t="array" aca="1" ref="F63" ca="1">IFERROR(_xlfn.XLOOKUP(C63&amp;A63, Inside5!B:B&amp;Inside5!I:I, Inside5!D:D), 0)</f>
        <v>1</v>
      </c>
      <c r="G63" cm="1">
        <f t="array" ref="G63">IFERROR(_xlfn.XLOOKUP(C63&amp;A63, Inside5!B:B&amp;Inside5!I:I, Inside5!E:E), 0)</f>
        <v>8.6999999999999994E-2</v>
      </c>
      <c r="H63" cm="1">
        <f t="array" ref="H63">IFERROR(_xlfn.XLOOKUP(C63&amp;A63, TDrate!F:F&amp;TDrate!H:H, TDrate!C:C), "N/A")</f>
        <v>3.85E-2</v>
      </c>
      <c r="I63" cm="1">
        <f t="array" ref="I63">IFERROR(_xlfn.XLOOKUP(C63&amp;A63, TDrate!F:F&amp;TDrate!H:H, TDrate!E:E), "N/A")</f>
        <v>3.2300000000000002E-2</v>
      </c>
      <c r="J63" cm="1">
        <f t="array" ref="J63">IFERROR(_xlfn.XLOOKUP(C63&amp;A63, Inside5!B:B&amp;Inside5!I:I, Inside5!F:F), 0)</f>
        <v>0</v>
      </c>
      <c r="K63" cm="1">
        <f t="array" ref="K63">IFERROR(_xlfn.XLOOKUP(C63&amp;A63, Inside5!B:B&amp;Inside5!I:I, Inside5!G:G), 0)</f>
        <v>0</v>
      </c>
      <c r="L63" cm="1">
        <f t="array" ref="L63">IFERROR(_xlfn.XLOOKUP(C63&amp;A63, Inside5!B:B&amp;Inside5!I:I, Inside5!H:H), 0)</f>
        <v>0</v>
      </c>
      <c r="M63" cm="1">
        <f t="array" ref="M63">IFERROR(_xlfn.XLOOKUP(C63&amp;A63, TDrate!F:F&amp;TDrate!H:H, TDrate!B:B), "N/A")</f>
        <v>0</v>
      </c>
      <c r="N63" cm="1">
        <f t="array" ref="N63">IFERROR(_xlfn.XLOOKUP(C63&amp;A63, TDrate!F:F&amp;TDrate!H:H, TDrate!D:D), "N/A")</f>
        <v>1.1299999999999999E-2</v>
      </c>
    </row>
    <row r="64" spans="1:14" x14ac:dyDescent="0.45">
      <c r="A64" s="5">
        <v>2025</v>
      </c>
      <c r="B64" s="6" t="s">
        <v>359</v>
      </c>
      <c r="C64" s="7" t="str">
        <f t="shared" si="0"/>
        <v>Isaiah Davis</v>
      </c>
      <c r="D64" s="7" t="str">
        <f t="shared" si="1"/>
        <v>NYJ</v>
      </c>
      <c r="E64" cm="1">
        <f t="array" ref="E64">IFERROR(_xlfn.XLOOKUP(C64&amp;A64, Inside5!B:B&amp;Inside5!I:I, Inside5!C:C), 0)</f>
        <v>0</v>
      </c>
      <c r="F64" cm="1">
        <f t="array" ref="F64">IFERROR(_xlfn.XLOOKUP(C64&amp;A64, Inside5!B:B&amp;Inside5!I:I, Inside5!D:D), 0)</f>
        <v>0</v>
      </c>
      <c r="G64" cm="1">
        <f t="array" ref="G64">IFERROR(_xlfn.XLOOKUP(C64&amp;A64, Inside5!B:B&amp;Inside5!I:I, Inside5!E:E), 0)</f>
        <v>0</v>
      </c>
      <c r="H64" cm="1">
        <f t="array" ref="H64">IFERROR(_xlfn.XLOOKUP(C64&amp;A64, TDrate!F:F&amp;TDrate!H:H, TDrate!C:C), "N/A")</f>
        <v>2.3300000000000001E-2</v>
      </c>
      <c r="I64" cm="1">
        <f t="array" ref="I64">IFERROR(_xlfn.XLOOKUP(C64&amp;A64, TDrate!F:F&amp;TDrate!H:H, TDrate!E:E), "N/A")</f>
        <v>1.9E-2</v>
      </c>
      <c r="J64" cm="1">
        <f t="array" ref="J64">IFERROR(_xlfn.XLOOKUP(C64&amp;A64, Inside5!B:B&amp;Inside5!I:I, Inside5!F:F), 0)</f>
        <v>0</v>
      </c>
      <c r="K64" cm="1">
        <f t="array" ref="K64">IFERROR(_xlfn.XLOOKUP(C64&amp;A64, Inside5!B:B&amp;Inside5!I:I, Inside5!G:G), 0)</f>
        <v>0</v>
      </c>
      <c r="L64" cm="1">
        <f t="array" ref="L64">IFERROR(_xlfn.XLOOKUP(C64&amp;A64, Inside5!B:B&amp;Inside5!I:I, Inside5!H:H), 0)</f>
        <v>0</v>
      </c>
      <c r="M64" cm="1">
        <f t="array" ref="M64">IFERROR(_xlfn.XLOOKUP(C64&amp;A64, TDrate!F:F&amp;TDrate!H:H, TDrate!B:B), "N/A")</f>
        <v>0</v>
      </c>
      <c r="N64" cm="1">
        <f t="array" ref="N64">IFERROR(_xlfn.XLOOKUP(C64&amp;A64, TDrate!F:F&amp;TDrate!H:H, TDrate!D:D), "N/A")</f>
        <v>5.3E-3</v>
      </c>
    </row>
    <row r="65" spans="1:14" x14ac:dyDescent="0.45">
      <c r="A65" s="8">
        <v>2025</v>
      </c>
      <c r="B65" s="9" t="s">
        <v>360</v>
      </c>
      <c r="C65" s="10" t="str">
        <f t="shared" si="0"/>
        <v>Jeremy McNichols</v>
      </c>
      <c r="D65" s="10" t="str">
        <f t="shared" si="1"/>
        <v>WAS</v>
      </c>
      <c r="E65" cm="1">
        <f t="array" ref="E65">IFERROR(_xlfn.XLOOKUP(C65&amp;A65, Inside5!B:B&amp;Inside5!I:I, Inside5!C:C), 0)</f>
        <v>1</v>
      </c>
      <c r="F65" cm="1">
        <f t="array" aca="1" ref="F65" ca="1">IFERROR(_xlfn.XLOOKUP(C65&amp;A65, Inside5!B:B&amp;Inside5!I:I, Inside5!D:D), 0)</f>
        <v>0</v>
      </c>
      <c r="G65" cm="1">
        <f t="array" ref="G65">IFERROR(_xlfn.XLOOKUP(C65&amp;A65, Inside5!B:B&amp;Inside5!I:I, Inside5!E:E), 0)</f>
        <v>0.05</v>
      </c>
      <c r="H65" cm="1">
        <f t="array" ref="H65">IFERROR(_xlfn.XLOOKUP(C65&amp;A65, TDrate!F:F&amp;TDrate!H:H, TDrate!C:C), "N/A")</f>
        <v>2.2700000000000001E-2</v>
      </c>
      <c r="I65" cm="1">
        <f t="array" ref="I65">IFERROR(_xlfn.XLOOKUP(C65&amp;A65, TDrate!F:F&amp;TDrate!H:H, TDrate!E:E), "N/A")</f>
        <v>2.1000000000000001E-2</v>
      </c>
      <c r="J65" cm="1">
        <f t="array" ref="J65">IFERROR(_xlfn.XLOOKUP(C65&amp;A65, Inside5!B:B&amp;Inside5!I:I, Inside5!F:F), 0)</f>
        <v>0</v>
      </c>
      <c r="K65" cm="1">
        <f t="array" aca="1" ref="K65" ca="1">IFERROR(_xlfn.XLOOKUP(C65&amp;A65, Inside5!B:B&amp;Inside5!I:I, Inside5!G:G), 0)</f>
        <v>0</v>
      </c>
      <c r="L65" cm="1">
        <f t="array" ref="L65">IFERROR(_xlfn.XLOOKUP(C65&amp;A65, Inside5!B:B&amp;Inside5!I:I, Inside5!H:H), 0)</f>
        <v>0</v>
      </c>
      <c r="M65" cm="1">
        <f t="array" ref="M65">IFERROR(_xlfn.XLOOKUP(C65&amp;A65, TDrate!F:F&amp;TDrate!H:H, TDrate!B:B), "N/A")</f>
        <v>0</v>
      </c>
      <c r="N65" cm="1">
        <f t="array" ref="N65">IFERROR(_xlfn.XLOOKUP(C65&amp;A65, TDrate!F:F&amp;TDrate!H:H, TDrate!D:D), "N/A")</f>
        <v>6.8999999999999999E-3</v>
      </c>
    </row>
    <row r="66" spans="1:14" x14ac:dyDescent="0.45">
      <c r="A66" s="5">
        <v>2025</v>
      </c>
      <c r="B66" s="6" t="s">
        <v>361</v>
      </c>
      <c r="C66" s="7" t="str">
        <f t="shared" ref="C66:C129" si="2">TRIM(LEFT(B66, LEN(B66) - LEN(TRIM(RIGHT(SUBSTITUTE(TRIM(B66)," ",REPT(" ",100)),100)))))</f>
        <v>Devin Neal</v>
      </c>
      <c r="D66" s="7" t="str">
        <f t="shared" ref="D66:D129" si="3">MID(B66, FIND("(", B66) + 1, FIND(")", B66) - FIND("(", B66) - 1)</f>
        <v>NO</v>
      </c>
      <c r="E66" cm="1">
        <f t="array" aca="1" ref="E66" ca="1">IFERROR(_xlfn.XLOOKUP(C66&amp;A66, Inside5!B:B&amp;Inside5!I:I, Inside5!C:C), 0)</f>
        <v>2</v>
      </c>
      <c r="F66" cm="1">
        <f t="array" aca="1" ref="F66" ca="1">IFERROR(_xlfn.XLOOKUP(C66&amp;A66, Inside5!B:B&amp;Inside5!I:I, Inside5!D:D), 0)</f>
        <v>2</v>
      </c>
      <c r="G66" cm="1">
        <f t="array" ref="G66">IFERROR(_xlfn.XLOOKUP(C66&amp;A66, Inside5!B:B&amp;Inside5!I:I, Inside5!E:E), 0)</f>
        <v>0.5</v>
      </c>
      <c r="H66" cm="1">
        <f t="array" ref="H66">IFERROR(_xlfn.XLOOKUP(C66&amp;A66, TDrate!F:F&amp;TDrate!H:H, TDrate!C:C), "N/A")</f>
        <v>3.5099999999999999E-2</v>
      </c>
      <c r="I66" cm="1">
        <f t="array" ref="I66">IFERROR(_xlfn.XLOOKUP(C66&amp;A66, TDrate!F:F&amp;TDrate!H:H, TDrate!E:E), "N/A")</f>
        <v>2.8299999999999999E-2</v>
      </c>
      <c r="J66" cm="1">
        <f t="array" ref="J66">IFERROR(_xlfn.XLOOKUP(C66&amp;A66, Inside5!B:B&amp;Inside5!I:I, Inside5!F:F), 0)</f>
        <v>0</v>
      </c>
      <c r="K66" cm="1">
        <f t="array" ref="K66">IFERROR(_xlfn.XLOOKUP(C66&amp;A66, Inside5!B:B&amp;Inside5!I:I, Inside5!G:G), 0)</f>
        <v>0</v>
      </c>
      <c r="L66" cm="1">
        <f t="array" ref="L66">IFERROR(_xlfn.XLOOKUP(C66&amp;A66, Inside5!B:B&amp;Inside5!I:I, Inside5!H:H), 0)</f>
        <v>0</v>
      </c>
      <c r="M66" cm="1">
        <f t="array" ref="M66">IFERROR(_xlfn.XLOOKUP(C66&amp;A66, TDrate!F:F&amp;TDrate!H:H, TDrate!B:B), "N/A")</f>
        <v>0</v>
      </c>
      <c r="N66" cm="1">
        <f t="array" ref="N66">IFERROR(_xlfn.XLOOKUP(C66&amp;A66, TDrate!F:F&amp;TDrate!H:H, TDrate!D:D), "N/A")</f>
        <v>7.9000000000000008E-3</v>
      </c>
    </row>
    <row r="67" spans="1:14" x14ac:dyDescent="0.45">
      <c r="A67" s="8">
        <v>2025</v>
      </c>
      <c r="B67" s="9" t="s">
        <v>362</v>
      </c>
      <c r="C67" s="10" t="str">
        <f t="shared" si="2"/>
        <v>Ty Johnson</v>
      </c>
      <c r="D67" s="10" t="str">
        <f t="shared" si="3"/>
        <v>BUF</v>
      </c>
      <c r="E67" cm="1">
        <f t="array" ref="E67">IFERROR(_xlfn.XLOOKUP(C67&amp;A67, Inside5!B:B&amp;Inside5!I:I, Inside5!C:C), 0)</f>
        <v>3</v>
      </c>
      <c r="F67" cm="1">
        <f t="array" ref="F67">IFERROR(_xlfn.XLOOKUP(C67&amp;A67, Inside5!B:B&amp;Inside5!I:I, Inside5!D:D), 0)</f>
        <v>2</v>
      </c>
      <c r="G67" cm="1">
        <f t="array" ref="G67">IFERROR(_xlfn.XLOOKUP(C67&amp;A67, Inside5!B:B&amp;Inside5!I:I, Inside5!E:E), 0)</f>
        <v>0.14299999999999999</v>
      </c>
      <c r="H67" cm="1">
        <f t="array" ref="H67">IFERROR(_xlfn.XLOOKUP(C67&amp;A67, TDrate!F:F&amp;TDrate!H:H, TDrate!C:C), "N/A")</f>
        <v>0.06</v>
      </c>
      <c r="I67" cm="1">
        <f t="array" ref="I67">IFERROR(_xlfn.XLOOKUP(C67&amp;A67, TDrate!F:F&amp;TDrate!H:H, TDrate!E:E), "N/A")</f>
        <v>6.3799999999999996E-2</v>
      </c>
      <c r="J67" cm="1">
        <f t="array" ref="J67">IFERROR(_xlfn.XLOOKUP(C67&amp;A67, Inside5!B:B&amp;Inside5!I:I, Inside5!F:F), 0)</f>
        <v>0</v>
      </c>
      <c r="K67" cm="1">
        <f t="array" ref="K67">IFERROR(_xlfn.XLOOKUP(C67&amp;A67, Inside5!B:B&amp;Inside5!I:I, Inside5!G:G), 0)</f>
        <v>0</v>
      </c>
      <c r="L67" cm="1">
        <f t="array" ref="L67">IFERROR(_xlfn.XLOOKUP(C67&amp;A67, Inside5!B:B&amp;Inside5!I:I, Inside5!H:H), 0)</f>
        <v>0</v>
      </c>
      <c r="M67" cm="1">
        <f t="array" ref="M67">IFERROR(_xlfn.XLOOKUP(C67&amp;A67, TDrate!F:F&amp;TDrate!H:H, TDrate!B:B), "N/A")</f>
        <v>6.0600000000000001E-2</v>
      </c>
      <c r="N67" cm="1">
        <f t="array" ref="N67">IFERROR(_xlfn.XLOOKUP(C67&amp;A67, TDrate!F:F&amp;TDrate!H:H, TDrate!D:D), "N/A")</f>
        <v>4.19E-2</v>
      </c>
    </row>
    <row r="68" spans="1:14" x14ac:dyDescent="0.45">
      <c r="A68" s="5">
        <v>2025</v>
      </c>
      <c r="B68" s="6" t="s">
        <v>363</v>
      </c>
      <c r="C68" s="7" t="str">
        <f t="shared" si="2"/>
        <v>Ollie Gordon II</v>
      </c>
      <c r="D68" s="7" t="str">
        <f t="shared" si="3"/>
        <v>MIA</v>
      </c>
      <c r="E68" cm="1">
        <f t="array" aca="1" ref="E68" ca="1">IFERROR(_xlfn.XLOOKUP(C68&amp;A68, Inside5!B:B&amp;Inside5!I:I, Inside5!C:C), 0)</f>
        <v>5</v>
      </c>
      <c r="F68" cm="1">
        <f t="array" aca="1" ref="F68" ca="1">IFERROR(_xlfn.XLOOKUP(C68&amp;A68, Inside5!B:B&amp;Inside5!I:I, Inside5!D:D), 0)</f>
        <v>2</v>
      </c>
      <c r="G68" cm="1">
        <f t="array" ref="G68">IFERROR(_xlfn.XLOOKUP(C68&amp;A68, Inside5!B:B&amp;Inside5!I:I, Inside5!E:E), 0)</f>
        <v>0.41699999999999998</v>
      </c>
      <c r="H68" cm="1">
        <f t="array" ref="H68">IFERROR(_xlfn.XLOOKUP(C68&amp;A68, TDrate!F:F&amp;TDrate!H:H, TDrate!C:C), "N/A")</f>
        <v>4.2900000000000001E-2</v>
      </c>
      <c r="I68" cm="1">
        <f t="array" ref="I68">IFERROR(_xlfn.XLOOKUP(C68&amp;A68, TDrate!F:F&amp;TDrate!H:H, TDrate!E:E), "N/A")</f>
        <v>4.6399999999999997E-2</v>
      </c>
      <c r="J68" cm="1">
        <f t="array" ref="J68">IFERROR(_xlfn.XLOOKUP(C68&amp;A68, Inside5!B:B&amp;Inside5!I:I, Inside5!F:F), 0)</f>
        <v>0</v>
      </c>
      <c r="K68" cm="1">
        <f t="array" ref="K68">IFERROR(_xlfn.XLOOKUP(C68&amp;A68, Inside5!B:B&amp;Inside5!I:I, Inside5!G:G), 0)</f>
        <v>0</v>
      </c>
      <c r="L68" cm="1">
        <f t="array" ref="L68">IFERROR(_xlfn.XLOOKUP(C68&amp;A68, Inside5!B:B&amp;Inside5!I:I, Inside5!H:H), 0)</f>
        <v>0</v>
      </c>
      <c r="M68" cm="1">
        <f t="array" ref="M68">IFERROR(_xlfn.XLOOKUP(C68&amp;A68, TDrate!F:F&amp;TDrate!H:H, TDrate!B:B), "N/A")</f>
        <v>0.1111</v>
      </c>
      <c r="N68" cm="1">
        <f t="array" ref="N68">IFERROR(_xlfn.XLOOKUP(C68&amp;A68, TDrate!F:F&amp;TDrate!H:H, TDrate!D:D), "N/A")</f>
        <v>7.0699999999999999E-2</v>
      </c>
    </row>
    <row r="69" spans="1:14" x14ac:dyDescent="0.45">
      <c r="A69" s="8">
        <v>2025</v>
      </c>
      <c r="B69" s="9" t="s">
        <v>364</v>
      </c>
      <c r="C69" s="10" t="str">
        <f t="shared" si="2"/>
        <v>Audric Estime</v>
      </c>
      <c r="D69" s="10" t="str">
        <f t="shared" si="3"/>
        <v>NO</v>
      </c>
      <c r="E69" cm="1">
        <f t="array" ref="E69">IFERROR(_xlfn.XLOOKUP(C69&amp;A69, Inside5!B:B&amp;Inside5!I:I, Inside5!C:C), 0)</f>
        <v>0</v>
      </c>
      <c r="F69" cm="1">
        <f t="array" ref="F69">IFERROR(_xlfn.XLOOKUP(C69&amp;A69, Inside5!B:B&amp;Inside5!I:I, Inside5!D:D), 0)</f>
        <v>0</v>
      </c>
      <c r="G69" cm="1">
        <f t="array" ref="G69">IFERROR(_xlfn.XLOOKUP(C69&amp;A69, Inside5!B:B&amp;Inside5!I:I, Inside5!E:E), 0)</f>
        <v>0</v>
      </c>
      <c r="H69" cm="1">
        <f t="array" ref="H69">IFERROR(_xlfn.XLOOKUP(C69&amp;A69, TDrate!F:F&amp;TDrate!H:H, TDrate!C:C), "N/A")</f>
        <v>2.1700000000000001E-2</v>
      </c>
      <c r="I69" cm="1">
        <f t="array" ref="I69">IFERROR(_xlfn.XLOOKUP(C69&amp;A69, TDrate!F:F&amp;TDrate!H:H, TDrate!E:E), "N/A")</f>
        <v>2.81E-2</v>
      </c>
      <c r="J69" cm="1">
        <f t="array" ref="J69">IFERROR(_xlfn.XLOOKUP(C69&amp;A69, Inside5!B:B&amp;Inside5!I:I, Inside5!F:F), 0)</f>
        <v>0</v>
      </c>
      <c r="K69" cm="1">
        <f t="array" ref="K69">IFERROR(_xlfn.XLOOKUP(C69&amp;A69, Inside5!B:B&amp;Inside5!I:I, Inside5!G:G), 0)</f>
        <v>0</v>
      </c>
      <c r="L69" cm="1">
        <f t="array" ref="L69">IFERROR(_xlfn.XLOOKUP(C69&amp;A69, Inside5!B:B&amp;Inside5!I:I, Inside5!H:H), 0)</f>
        <v>0</v>
      </c>
      <c r="M69" cm="1">
        <f t="array" ref="M69">IFERROR(_xlfn.XLOOKUP(C69&amp;A69, TDrate!F:F&amp;TDrate!H:H, TDrate!B:B), "N/A")</f>
        <v>0</v>
      </c>
      <c r="N69" cm="1">
        <f t="array" ref="N69">IFERROR(_xlfn.XLOOKUP(C69&amp;A69, TDrate!F:F&amp;TDrate!H:H, TDrate!D:D), "N/A")</f>
        <v>3.8E-3</v>
      </c>
    </row>
    <row r="70" spans="1:14" x14ac:dyDescent="0.45">
      <c r="A70" s="5">
        <v>2025</v>
      </c>
      <c r="B70" s="6" t="s">
        <v>365</v>
      </c>
      <c r="C70" s="7" t="str">
        <f t="shared" si="2"/>
        <v>Kendre Miller</v>
      </c>
      <c r="D70" s="7" t="str">
        <f t="shared" si="3"/>
        <v>NO</v>
      </c>
      <c r="E70" cm="1">
        <f t="array" ref="E70">IFERROR(_xlfn.XLOOKUP(C70&amp;A70, Inside5!B:B&amp;Inside5!I:I, Inside5!C:C), 0)</f>
        <v>0</v>
      </c>
      <c r="F70" cm="1">
        <f t="array" ref="F70">IFERROR(_xlfn.XLOOKUP(C70&amp;A70, Inside5!B:B&amp;Inside5!I:I, Inside5!D:D), 0)</f>
        <v>0</v>
      </c>
      <c r="G70" cm="1">
        <f t="array" ref="G70">IFERROR(_xlfn.XLOOKUP(C70&amp;A70, Inside5!B:B&amp;Inside5!I:I, Inside5!E:E), 0)</f>
        <v>0</v>
      </c>
      <c r="H70" cm="1">
        <f t="array" ref="H70">IFERROR(_xlfn.XLOOKUP(C70&amp;A70, TDrate!F:F&amp;TDrate!H:H, TDrate!C:C), "N/A")</f>
        <v>2.1299999999999999E-2</v>
      </c>
      <c r="I70" cm="1">
        <f t="array" ref="I70">IFERROR(_xlfn.XLOOKUP(C70&amp;A70, TDrate!F:F&amp;TDrate!H:H, TDrate!E:E), "N/A")</f>
        <v>1.6500000000000001E-2</v>
      </c>
      <c r="J70" cm="1">
        <f t="array" ref="J70">IFERROR(_xlfn.XLOOKUP(C70&amp;A70, Inside5!B:B&amp;Inside5!I:I, Inside5!F:F), 0)</f>
        <v>0</v>
      </c>
      <c r="K70" cm="1">
        <f t="array" ref="K70">IFERROR(_xlfn.XLOOKUP(C70&amp;A70, Inside5!B:B&amp;Inside5!I:I, Inside5!G:G), 0)</f>
        <v>0</v>
      </c>
      <c r="L70" cm="1">
        <f t="array" ref="L70">IFERROR(_xlfn.XLOOKUP(C70&amp;A70, Inside5!B:B&amp;Inside5!I:I, Inside5!H:H), 0)</f>
        <v>0</v>
      </c>
      <c r="M70" cm="1">
        <f t="array" ref="M70">IFERROR(_xlfn.XLOOKUP(C70&amp;A70, TDrate!F:F&amp;TDrate!H:H, TDrate!B:B), "N/A")</f>
        <v>0</v>
      </c>
      <c r="N70" cm="1">
        <f t="array" ref="N70">IFERROR(_xlfn.XLOOKUP(C70&amp;A70, TDrate!F:F&amp;TDrate!H:H, TDrate!D:D), "N/A")</f>
        <v>1.5E-3</v>
      </c>
    </row>
    <row r="71" spans="1:14" x14ac:dyDescent="0.45">
      <c r="A71" s="8">
        <v>2025</v>
      </c>
      <c r="B71" s="9" t="s">
        <v>366</v>
      </c>
      <c r="C71" s="10" t="str">
        <f t="shared" si="2"/>
        <v>Jawhar Jordan</v>
      </c>
      <c r="D71" s="10" t="str">
        <f t="shared" si="3"/>
        <v>HOU</v>
      </c>
      <c r="E71" cm="1">
        <f t="array" ref="E71">IFERROR(_xlfn.XLOOKUP(C71&amp;A71, Inside5!B:B&amp;Inside5!I:I, Inside5!C:C), 0)</f>
        <v>1</v>
      </c>
      <c r="F71" cm="1">
        <f t="array" ref="F71">IFERROR(_xlfn.XLOOKUP(C71&amp;A71, Inside5!B:B&amp;Inside5!I:I, Inside5!D:D), 0)</f>
        <v>0</v>
      </c>
      <c r="G71" cm="1">
        <f t="array" ref="G71">IFERROR(_xlfn.XLOOKUP(C71&amp;A71, Inside5!B:B&amp;Inside5!I:I, Inside5!E:E), 0)</f>
        <v>4.8000000000000001E-2</v>
      </c>
      <c r="H71" cm="1">
        <f t="array" ref="H71">IFERROR(_xlfn.XLOOKUP(C71&amp;A71, TDrate!F:F&amp;TDrate!H:H, TDrate!C:C), "N/A")</f>
        <v>0</v>
      </c>
      <c r="I71" cm="1">
        <f t="array" ref="I71">IFERROR(_xlfn.XLOOKUP(C71&amp;A71, TDrate!F:F&amp;TDrate!H:H, TDrate!E:E), "N/A")</f>
        <v>9.1000000000000004E-3</v>
      </c>
      <c r="J71" cm="1">
        <f t="array" ref="J71">IFERROR(_xlfn.XLOOKUP(C71&amp;A71, Inside5!B:B&amp;Inside5!I:I, Inside5!F:F), 0)</f>
        <v>0</v>
      </c>
      <c r="K71" cm="1">
        <f t="array" aca="1" ref="K71" ca="1">IFERROR(_xlfn.XLOOKUP(C71&amp;A71, Inside5!B:B&amp;Inside5!I:I, Inside5!G:G), 0)</f>
        <v>0</v>
      </c>
      <c r="L71" cm="1">
        <f t="array" ref="L71">IFERROR(_xlfn.XLOOKUP(C71&amp;A71, Inside5!B:B&amp;Inside5!I:I, Inside5!H:H), 0)</f>
        <v>0</v>
      </c>
      <c r="M71" cm="1">
        <f t="array" ref="M71">IFERROR(_xlfn.XLOOKUP(C71&amp;A71, TDrate!F:F&amp;TDrate!H:H, TDrate!B:B), "N/A")</f>
        <v>0</v>
      </c>
      <c r="N71" cm="1">
        <f t="array" ref="N71">IFERROR(_xlfn.XLOOKUP(C71&amp;A71, TDrate!F:F&amp;TDrate!H:H, TDrate!D:D), "N/A")</f>
        <v>3.8E-3</v>
      </c>
    </row>
    <row r="72" spans="1:14" x14ac:dyDescent="0.45">
      <c r="A72" s="5">
        <v>2025</v>
      </c>
      <c r="B72" s="6" t="s">
        <v>367</v>
      </c>
      <c r="C72" s="7" t="str">
        <f t="shared" si="2"/>
        <v>Jaleel McLaughlin</v>
      </c>
      <c r="D72" s="7" t="str">
        <f t="shared" si="3"/>
        <v>DEN</v>
      </c>
      <c r="E72" cm="1">
        <f t="array" aca="1" ref="E72" ca="1">IFERROR(_xlfn.XLOOKUP(C72&amp;A72, Inside5!B:B&amp;Inside5!I:I, Inside5!C:C), 0)</f>
        <v>1</v>
      </c>
      <c r="F72" cm="1">
        <f t="array" aca="1" ref="F72" ca="1">IFERROR(_xlfn.XLOOKUP(C72&amp;A72, Inside5!B:B&amp;Inside5!I:I, Inside5!D:D), 0)</f>
        <v>1</v>
      </c>
      <c r="G72" cm="1">
        <f t="array" ref="G72">IFERROR(_xlfn.XLOOKUP(C72&amp;A72, Inside5!B:B&amp;Inside5!I:I, Inside5!E:E), 0)</f>
        <v>5.6000000000000001E-2</v>
      </c>
      <c r="H72" cm="1">
        <f t="array" ref="H72">IFERROR(_xlfn.XLOOKUP(C72&amp;A72, TDrate!F:F&amp;TDrate!H:H, TDrate!C:C), "N/A")</f>
        <v>2.7E-2</v>
      </c>
      <c r="I72" cm="1">
        <f t="array" ref="I72">IFERROR(_xlfn.XLOOKUP(C72&amp;A72, TDrate!F:F&amp;TDrate!H:H, TDrate!E:E), "N/A")</f>
        <v>2.3300000000000001E-2</v>
      </c>
      <c r="J72" cm="1">
        <f t="array" ref="J72">IFERROR(_xlfn.XLOOKUP(C72&amp;A72, Inside5!B:B&amp;Inside5!I:I, Inside5!F:F), 0)</f>
        <v>0</v>
      </c>
      <c r="K72" cm="1">
        <f t="array" ref="K72">IFERROR(_xlfn.XLOOKUP(C72&amp;A72, Inside5!B:B&amp;Inside5!I:I, Inside5!G:G), 0)</f>
        <v>0</v>
      </c>
      <c r="L72" cm="1">
        <f t="array" ref="L72">IFERROR(_xlfn.XLOOKUP(C72&amp;A72, Inside5!B:B&amp;Inside5!I:I, Inside5!H:H), 0)</f>
        <v>0</v>
      </c>
      <c r="M72" cm="1">
        <f t="array" ref="M72">IFERROR(_xlfn.XLOOKUP(C72&amp;A72, TDrate!F:F&amp;TDrate!H:H, TDrate!B:B), "N/A")</f>
        <v>0</v>
      </c>
      <c r="N72" cm="1">
        <f t="array" ref="N72">IFERROR(_xlfn.XLOOKUP(C72&amp;A72, TDrate!F:F&amp;TDrate!H:H, TDrate!D:D), "N/A")</f>
        <v>1.9E-3</v>
      </c>
    </row>
    <row r="73" spans="1:14" x14ac:dyDescent="0.45">
      <c r="A73" s="8">
        <v>2025</v>
      </c>
      <c r="B73" s="9" t="s">
        <v>368</v>
      </c>
      <c r="C73" s="10" t="str">
        <f t="shared" si="2"/>
        <v>Dylan Sampson</v>
      </c>
      <c r="D73" s="10" t="str">
        <f t="shared" si="3"/>
        <v>CLE</v>
      </c>
      <c r="E73" cm="1">
        <f t="array" ref="E73">IFERROR(_xlfn.XLOOKUP(C73&amp;A73, Inside5!B:B&amp;Inside5!I:I, Inside5!C:C), 0)</f>
        <v>0</v>
      </c>
      <c r="F73" cm="1">
        <f t="array" ref="F73">IFERROR(_xlfn.XLOOKUP(C73&amp;A73, Inside5!B:B&amp;Inside5!I:I, Inside5!D:D), 0)</f>
        <v>0</v>
      </c>
      <c r="G73" cm="1">
        <f t="array" ref="G73">IFERROR(_xlfn.XLOOKUP(C73&amp;A73, Inside5!B:B&amp;Inside5!I:I, Inside5!E:E), 0)</f>
        <v>0</v>
      </c>
      <c r="H73" cm="1">
        <f t="array" ref="H73">IFERROR(_xlfn.XLOOKUP(C73&amp;A73, TDrate!F:F&amp;TDrate!H:H, TDrate!C:C), "N/A")</f>
        <v>0</v>
      </c>
      <c r="I73" cm="1">
        <f t="array" ref="I73">IFERROR(_xlfn.XLOOKUP(C73&amp;A73, TDrate!F:F&amp;TDrate!H:H, TDrate!E:E), "N/A")</f>
        <v>4.1000000000000003E-3</v>
      </c>
      <c r="J73" cm="1">
        <f t="array" ref="J73">IFERROR(_xlfn.XLOOKUP(C73&amp;A73, Inside5!B:B&amp;Inside5!I:I, Inside5!F:F), 0)</f>
        <v>0</v>
      </c>
      <c r="K73" cm="1">
        <f t="array" ref="K73">IFERROR(_xlfn.XLOOKUP(C73&amp;A73, Inside5!B:B&amp;Inside5!I:I, Inside5!G:G), 0)</f>
        <v>0</v>
      </c>
      <c r="L73" cm="1">
        <f t="array" ref="L73">IFERROR(_xlfn.XLOOKUP(C73&amp;A73, Inside5!B:B&amp;Inside5!I:I, Inside5!H:H), 0)</f>
        <v>0</v>
      </c>
      <c r="M73" cm="1">
        <f t="array" ref="M73">IFERROR(_xlfn.XLOOKUP(C73&amp;A73, TDrate!F:F&amp;TDrate!H:H, TDrate!B:B), "N/A")</f>
        <v>0.05</v>
      </c>
      <c r="N73" cm="1">
        <f t="array" ref="N73">IFERROR(_xlfn.XLOOKUP(C73&amp;A73, TDrate!F:F&amp;TDrate!H:H, TDrate!D:D), "N/A")</f>
        <v>4.0099999999999997E-2</v>
      </c>
    </row>
    <row r="74" spans="1:14" x14ac:dyDescent="0.45">
      <c r="A74" s="5">
        <v>2025</v>
      </c>
      <c r="B74" s="6" t="s">
        <v>369</v>
      </c>
      <c r="C74" s="7" t="str">
        <f t="shared" si="2"/>
        <v>Trey Benson</v>
      </c>
      <c r="D74" s="7" t="str">
        <f t="shared" si="3"/>
        <v>ARI</v>
      </c>
      <c r="E74" cm="1">
        <f t="array" ref="E74">IFERROR(_xlfn.XLOOKUP(C74&amp;A74, Inside5!B:B&amp;Inside5!I:I, Inside5!C:C), 0)</f>
        <v>1</v>
      </c>
      <c r="F74" cm="1">
        <f t="array" aca="1" ref="F74" ca="1">IFERROR(_xlfn.XLOOKUP(C74&amp;A74, Inside5!B:B&amp;Inside5!I:I, Inside5!D:D), 0)</f>
        <v>0</v>
      </c>
      <c r="G74" cm="1">
        <f t="array" ref="G74">IFERROR(_xlfn.XLOOKUP(C74&amp;A74, Inside5!B:B&amp;Inside5!I:I, Inside5!E:E), 0)</f>
        <v>7.0999999999999994E-2</v>
      </c>
      <c r="H74" cm="1">
        <f t="array" ref="H74">IFERROR(_xlfn.XLOOKUP(C74&amp;A74, TDrate!F:F&amp;TDrate!H:H, TDrate!C:C), "N/A")</f>
        <v>0</v>
      </c>
      <c r="I74" cm="1">
        <f t="array" ref="I74">IFERROR(_xlfn.XLOOKUP(C74&amp;A74, TDrate!F:F&amp;TDrate!H:H, TDrate!E:E), "N/A")</f>
        <v>1.21E-2</v>
      </c>
      <c r="J74" cm="1">
        <f t="array" ref="J74">IFERROR(_xlfn.XLOOKUP(C74&amp;A74, Inside5!B:B&amp;Inside5!I:I, Inside5!F:F), 0)</f>
        <v>0</v>
      </c>
      <c r="K74" cm="1">
        <f t="array" aca="1" ref="K74" ca="1">IFERROR(_xlfn.XLOOKUP(C74&amp;A74, Inside5!B:B&amp;Inside5!I:I, Inside5!G:G), 0)</f>
        <v>0</v>
      </c>
      <c r="L74" cm="1">
        <f t="array" ref="L74">IFERROR(_xlfn.XLOOKUP(C74&amp;A74, Inside5!B:B&amp;Inside5!I:I, Inside5!H:H), 0)</f>
        <v>0</v>
      </c>
      <c r="M74" cm="1">
        <f t="array" ref="M74">IFERROR(_xlfn.XLOOKUP(C74&amp;A74, TDrate!F:F&amp;TDrate!H:H, TDrate!B:B), "N/A")</f>
        <v>0</v>
      </c>
      <c r="N74" cm="1">
        <f t="array" ref="N74">IFERROR(_xlfn.XLOOKUP(C74&amp;A74, TDrate!F:F&amp;TDrate!H:H, TDrate!D:D), "N/A")</f>
        <v>1.3100000000000001E-2</v>
      </c>
    </row>
    <row r="75" spans="1:14" x14ac:dyDescent="0.45">
      <c r="A75" s="8">
        <v>2025</v>
      </c>
      <c r="B75" s="9" t="s">
        <v>370</v>
      </c>
      <c r="C75" s="10" t="str">
        <f t="shared" si="2"/>
        <v>Jaret Patterson</v>
      </c>
      <c r="D75" s="10" t="str">
        <f t="shared" si="3"/>
        <v>LAC</v>
      </c>
      <c r="E75" cm="1">
        <f t="array" ref="E75">IFERROR(_xlfn.XLOOKUP(C75&amp;A75, Inside5!B:B&amp;Inside5!I:I, Inside5!C:C), 0)</f>
        <v>2</v>
      </c>
      <c r="F75" cm="1">
        <f t="array" ref="F75">IFERROR(_xlfn.XLOOKUP(C75&amp;A75, Inside5!B:B&amp;Inside5!I:I, Inside5!D:D), 0)</f>
        <v>1</v>
      </c>
      <c r="G75" cm="1">
        <f t="array" ref="G75">IFERROR(_xlfn.XLOOKUP(C75&amp;A75, Inside5!B:B&amp;Inside5!I:I, Inside5!E:E), 0)</f>
        <v>0.11799999999999999</v>
      </c>
      <c r="H75" cm="1">
        <f t="array" ref="H75">IFERROR(_xlfn.XLOOKUP(C75&amp;A75, TDrate!F:F&amp;TDrate!H:H, TDrate!C:C), "N/A")</f>
        <v>2.4400000000000002E-2</v>
      </c>
      <c r="I75" cm="1">
        <f t="array" ref="I75">IFERROR(_xlfn.XLOOKUP(C75&amp;A75, TDrate!F:F&amp;TDrate!H:H, TDrate!E:E), "N/A")</f>
        <v>2.6700000000000002E-2</v>
      </c>
      <c r="J75" cm="1">
        <f t="array" ref="J75">IFERROR(_xlfn.XLOOKUP(C75&amp;A75, Inside5!B:B&amp;Inside5!I:I, Inside5!F:F), 0)</f>
        <v>0</v>
      </c>
      <c r="K75" cm="1">
        <f t="array" aca="1" ref="K75" ca="1">IFERROR(_xlfn.XLOOKUP(C75&amp;A75, Inside5!B:B&amp;Inside5!I:I, Inside5!G:G), 0)</f>
        <v>0</v>
      </c>
      <c r="L75" cm="1">
        <f t="array" ref="L75">IFERROR(_xlfn.XLOOKUP(C75&amp;A75, Inside5!B:B&amp;Inside5!I:I, Inside5!H:H), 0)</f>
        <v>0</v>
      </c>
      <c r="M75" cm="1">
        <f t="array" ref="M75">IFERROR(_xlfn.XLOOKUP(C75&amp;A75, TDrate!F:F&amp;TDrate!H:H, TDrate!B:B), "N/A")</f>
        <v>0</v>
      </c>
      <c r="N75" cm="1">
        <f t="array" ref="N75">IFERROR(_xlfn.XLOOKUP(C75&amp;A75, TDrate!F:F&amp;TDrate!H:H, TDrate!D:D), "N/A")</f>
        <v>3.2000000000000002E-3</v>
      </c>
    </row>
    <row r="76" spans="1:14" x14ac:dyDescent="0.45">
      <c r="A76" s="5">
        <v>2025</v>
      </c>
      <c r="B76" s="6" t="s">
        <v>371</v>
      </c>
      <c r="C76" s="7" t="str">
        <f t="shared" si="2"/>
        <v>Brashard Smith</v>
      </c>
      <c r="D76" s="7" t="str">
        <f t="shared" si="3"/>
        <v>KC</v>
      </c>
      <c r="E76" cm="1">
        <f t="array" aca="1" ref="E76" ca="1">IFERROR(_xlfn.XLOOKUP(C76&amp;A76, Inside5!B:B&amp;Inside5!I:I, Inside5!C:C), 0)</f>
        <v>1</v>
      </c>
      <c r="F76" cm="1">
        <f t="array" ref="F76">IFERROR(_xlfn.XLOOKUP(C76&amp;A76, Inside5!B:B&amp;Inside5!I:I, Inside5!D:D), 0)</f>
        <v>0</v>
      </c>
      <c r="G76" cm="1">
        <f t="array" ref="G76">IFERROR(_xlfn.XLOOKUP(C76&amp;A76, Inside5!B:B&amp;Inside5!I:I, Inside5!E:E), 0)</f>
        <v>6.3E-2</v>
      </c>
      <c r="H76" cm="1">
        <f t="array" ref="H76">IFERROR(_xlfn.XLOOKUP(C76&amp;A76, TDrate!F:F&amp;TDrate!H:H, TDrate!C:C), "N/A")</f>
        <v>0</v>
      </c>
      <c r="I76" cm="1">
        <f t="array" ref="I76">IFERROR(_xlfn.XLOOKUP(C76&amp;A76, TDrate!F:F&amp;TDrate!H:H, TDrate!E:E), "N/A")</f>
        <v>1.32E-2</v>
      </c>
      <c r="J76" cm="1">
        <f t="array" ref="J76">IFERROR(_xlfn.XLOOKUP(C76&amp;A76, Inside5!B:B&amp;Inside5!I:I, Inside5!F:F), 0)</f>
        <v>2</v>
      </c>
      <c r="K76" cm="1">
        <f t="array" aca="1" ref="K76" ca="1">IFERROR(_xlfn.XLOOKUP(C76&amp;A76, Inside5!B:B&amp;Inside5!I:I, Inside5!G:G), 0)</f>
        <v>2</v>
      </c>
      <c r="L76" cm="1">
        <f t="array" aca="1" ref="L76" ca="1">IFERROR(_xlfn.XLOOKUP(C76&amp;A76, Inside5!B:B&amp;Inside5!I:I, Inside5!H:H), 0)</f>
        <v>1</v>
      </c>
      <c r="M76" cm="1">
        <f t="array" ref="M76">IFERROR(_xlfn.XLOOKUP(C76&amp;A76, TDrate!F:F&amp;TDrate!H:H, TDrate!B:B), "N/A")</f>
        <v>2.86E-2</v>
      </c>
      <c r="N76" cm="1">
        <f t="array" ref="N76">IFERROR(_xlfn.XLOOKUP(C76&amp;A76, TDrate!F:F&amp;TDrate!H:H, TDrate!D:D), "N/A")</f>
        <v>4.36E-2</v>
      </c>
    </row>
    <row r="77" spans="1:14" x14ac:dyDescent="0.45">
      <c r="A77" s="8">
        <v>2025</v>
      </c>
      <c r="B77" s="9" t="s">
        <v>372</v>
      </c>
      <c r="C77" s="10" t="str">
        <f t="shared" si="2"/>
        <v>Jaydon Blue</v>
      </c>
      <c r="D77" s="10" t="str">
        <f t="shared" si="3"/>
        <v>DAL</v>
      </c>
      <c r="E77" cm="1">
        <f t="array" ref="E77">IFERROR(_xlfn.XLOOKUP(C77&amp;A77, Inside5!B:B&amp;Inside5!I:I, Inside5!C:C), 0)</f>
        <v>0</v>
      </c>
      <c r="F77" cm="1">
        <f t="array" ref="F77">IFERROR(_xlfn.XLOOKUP(C77&amp;A77, Inside5!B:B&amp;Inside5!I:I, Inside5!D:D), 0)</f>
        <v>0</v>
      </c>
      <c r="G77" cm="1">
        <f t="array" ref="G77">IFERROR(_xlfn.XLOOKUP(C77&amp;A77, Inside5!B:B&amp;Inside5!I:I, Inside5!E:E), 0)</f>
        <v>0</v>
      </c>
      <c r="H77" cm="1">
        <f t="array" ref="H77">IFERROR(_xlfn.XLOOKUP(C77&amp;A77, TDrate!F:F&amp;TDrate!H:H, TDrate!C:C), "N/A")</f>
        <v>2.63E-2</v>
      </c>
      <c r="I77" cm="1">
        <f t="array" ref="I77">IFERROR(_xlfn.XLOOKUP(C77&amp;A77, TDrate!F:F&amp;TDrate!H:H, TDrate!E:E), "N/A")</f>
        <v>2.4E-2</v>
      </c>
      <c r="J77" cm="1">
        <f t="array" ref="J77">IFERROR(_xlfn.XLOOKUP(C77&amp;A77, Inside5!B:B&amp;Inside5!I:I, Inside5!F:F), 0)</f>
        <v>0</v>
      </c>
      <c r="K77" cm="1">
        <f t="array" ref="K77">IFERROR(_xlfn.XLOOKUP(C77&amp;A77, Inside5!B:B&amp;Inside5!I:I, Inside5!G:G), 0)</f>
        <v>0</v>
      </c>
      <c r="L77" cm="1">
        <f t="array" ref="L77">IFERROR(_xlfn.XLOOKUP(C77&amp;A77, Inside5!B:B&amp;Inside5!I:I, Inside5!H:H), 0)</f>
        <v>0</v>
      </c>
      <c r="M77" cm="1">
        <f t="array" ref="M77">IFERROR(_xlfn.XLOOKUP(C77&amp;A77, TDrate!F:F&amp;TDrate!H:H, TDrate!B:B), "N/A")</f>
        <v>0</v>
      </c>
      <c r="N77" cm="1">
        <f t="array" ref="N77">IFERROR(_xlfn.XLOOKUP(C77&amp;A77, TDrate!F:F&amp;TDrate!H:H, TDrate!D:D), "N/A")</f>
        <v>1.8200000000000001E-2</v>
      </c>
    </row>
    <row r="78" spans="1:14" x14ac:dyDescent="0.45">
      <c r="A78" s="5">
        <v>2025</v>
      </c>
      <c r="B78" s="6" t="s">
        <v>373</v>
      </c>
      <c r="C78" s="7" t="str">
        <f t="shared" si="2"/>
        <v>Miles Sanders</v>
      </c>
      <c r="D78" s="7" t="str">
        <f t="shared" si="3"/>
        <v>DAL</v>
      </c>
      <c r="E78" cm="1">
        <f t="array" ref="E78">IFERROR(_xlfn.XLOOKUP(C78&amp;A78, Inside5!B:B&amp;Inside5!I:I, Inside5!C:C), 0)</f>
        <v>1</v>
      </c>
      <c r="F78" cm="1">
        <f t="array" aca="1" ref="F78" ca="1">IFERROR(_xlfn.XLOOKUP(C78&amp;A78, Inside5!B:B&amp;Inside5!I:I, Inside5!D:D), 0)</f>
        <v>1</v>
      </c>
      <c r="G78" cm="1">
        <f t="array" ref="G78">IFERROR(_xlfn.XLOOKUP(C78&amp;A78, Inside5!B:B&amp;Inside5!I:I, Inside5!E:E), 0)</f>
        <v>4.2999999999999997E-2</v>
      </c>
      <c r="H78" t="str" cm="1">
        <f t="array" ref="H78">IFERROR(_xlfn.XLOOKUP(C78&amp;A78, TDrate!F:F&amp;TDrate!H:H, TDrate!C:C), "N/A")</f>
        <v>N/A</v>
      </c>
      <c r="I78" t="str" cm="1">
        <f t="array" ref="I78">IFERROR(_xlfn.XLOOKUP(C78&amp;A78, TDrate!F:F&amp;TDrate!H:H, TDrate!E:E), "N/A")</f>
        <v>N/A</v>
      </c>
      <c r="J78" cm="1">
        <f t="array" ref="J78">IFERROR(_xlfn.XLOOKUP(C78&amp;A78, Inside5!B:B&amp;Inside5!I:I, Inside5!F:F), 0)</f>
        <v>0</v>
      </c>
      <c r="K78" cm="1">
        <f t="array" ref="K78">IFERROR(_xlfn.XLOOKUP(C78&amp;A78, Inside5!B:B&amp;Inside5!I:I, Inside5!G:G), 0)</f>
        <v>0</v>
      </c>
      <c r="L78" cm="1">
        <f t="array" ref="L78">IFERROR(_xlfn.XLOOKUP(C78&amp;A78, Inside5!B:B&amp;Inside5!I:I, Inside5!H:H), 0)</f>
        <v>0</v>
      </c>
      <c r="M78" t="str" cm="1">
        <f t="array" ref="M78">IFERROR(_xlfn.XLOOKUP(C78&amp;A78, TDrate!F:F&amp;TDrate!H:H, TDrate!B:B), "N/A")</f>
        <v>N/A</v>
      </c>
      <c r="N78" t="str" cm="1">
        <f t="array" ref="N78">IFERROR(_xlfn.XLOOKUP(C78&amp;A78, TDrate!F:F&amp;TDrate!H:H, TDrate!D:D), "N/A")</f>
        <v>N/A</v>
      </c>
    </row>
    <row r="79" spans="1:14" x14ac:dyDescent="0.45">
      <c r="A79" s="8">
        <v>2025</v>
      </c>
      <c r="B79" s="9" t="s">
        <v>374</v>
      </c>
      <c r="C79" s="10" t="str">
        <f t="shared" si="2"/>
        <v>Zavier Scott</v>
      </c>
      <c r="D79" s="10" t="str">
        <f t="shared" si="3"/>
        <v>MIN</v>
      </c>
      <c r="E79" cm="1">
        <f t="array" aca="1" ref="E79" ca="1">IFERROR(_xlfn.XLOOKUP(C79&amp;A79, Inside5!B:B&amp;Inside5!I:I, Inside5!C:C), 0)</f>
        <v>1</v>
      </c>
      <c r="F79" cm="1">
        <f t="array" ref="F79">IFERROR(_xlfn.XLOOKUP(C79&amp;A79, Inside5!B:B&amp;Inside5!I:I, Inside5!D:D), 0)</f>
        <v>0</v>
      </c>
      <c r="G79" cm="1">
        <f t="array" ref="G79">IFERROR(_xlfn.XLOOKUP(C79&amp;A79, Inside5!B:B&amp;Inside5!I:I, Inside5!E:E), 0)</f>
        <v>8.3000000000000004E-2</v>
      </c>
      <c r="H79" cm="1">
        <f t="array" ref="H79">IFERROR(_xlfn.XLOOKUP(C79&amp;A79, TDrate!F:F&amp;TDrate!H:H, TDrate!C:C), "N/A")</f>
        <v>0</v>
      </c>
      <c r="I79" cm="1">
        <f t="array" ref="I79">IFERROR(_xlfn.XLOOKUP(C79&amp;A79, TDrate!F:F&amp;TDrate!H:H, TDrate!E:E), "N/A")</f>
        <v>9.5999999999999992E-3</v>
      </c>
      <c r="J79" cm="1">
        <f t="array" ref="J79">IFERROR(_xlfn.XLOOKUP(C79&amp;A79, Inside5!B:B&amp;Inside5!I:I, Inside5!F:F), 0)</f>
        <v>0</v>
      </c>
      <c r="K79" cm="1">
        <f t="array" ref="K79">IFERROR(_xlfn.XLOOKUP(C79&amp;A79, Inside5!B:B&amp;Inside5!I:I, Inside5!G:G), 0)</f>
        <v>0</v>
      </c>
      <c r="L79" cm="1">
        <f t="array" ref="L79">IFERROR(_xlfn.XLOOKUP(C79&amp;A79, Inside5!B:B&amp;Inside5!I:I, Inside5!H:H), 0)</f>
        <v>0</v>
      </c>
      <c r="M79" cm="1">
        <f t="array" ref="M79">IFERROR(_xlfn.XLOOKUP(C79&amp;A79, TDrate!F:F&amp;TDrate!H:H, TDrate!B:B), "N/A")</f>
        <v>6.25E-2</v>
      </c>
      <c r="N79" cm="1">
        <f t="array" ref="N79">IFERROR(_xlfn.XLOOKUP(C79&amp;A79, TDrate!F:F&amp;TDrate!H:H, TDrate!D:D), "N/A")</f>
        <v>4.3799999999999999E-2</v>
      </c>
    </row>
    <row r="80" spans="1:14" x14ac:dyDescent="0.45">
      <c r="A80" s="5">
        <v>2025</v>
      </c>
      <c r="B80" s="6" t="s">
        <v>375</v>
      </c>
      <c r="C80" s="7" t="str">
        <f t="shared" si="2"/>
        <v>Chris Brooks</v>
      </c>
      <c r="D80" s="7" t="str">
        <f t="shared" si="3"/>
        <v>GB</v>
      </c>
      <c r="E80" cm="1">
        <f t="array" ref="E80">IFERROR(_xlfn.XLOOKUP(C80&amp;A80, Inside5!B:B&amp;Inside5!I:I, Inside5!C:C), 0)</f>
        <v>0</v>
      </c>
      <c r="F80" cm="1">
        <f t="array" ref="F80">IFERROR(_xlfn.XLOOKUP(C80&amp;A80, Inside5!B:B&amp;Inside5!I:I, Inside5!D:D), 0)</f>
        <v>0</v>
      </c>
      <c r="G80" cm="1">
        <f t="array" ref="G80">IFERROR(_xlfn.XLOOKUP(C80&amp;A80, Inside5!B:B&amp;Inside5!I:I, Inside5!E:E), 0)</f>
        <v>0</v>
      </c>
      <c r="H80" cm="1">
        <f t="array" ref="H80">IFERROR(_xlfn.XLOOKUP(C80&amp;A80, TDrate!F:F&amp;TDrate!H:H, TDrate!C:C), "N/A")</f>
        <v>0</v>
      </c>
      <c r="I80" cm="1">
        <f t="array" ref="I80">IFERROR(_xlfn.XLOOKUP(C80&amp;A80, TDrate!F:F&amp;TDrate!H:H, TDrate!E:E), "N/A")</f>
        <v>5.4999999999999997E-3</v>
      </c>
      <c r="J80" cm="1">
        <f t="array" ref="J80">IFERROR(_xlfn.XLOOKUP(C80&amp;A80, Inside5!B:B&amp;Inside5!I:I, Inside5!F:F), 0)</f>
        <v>0</v>
      </c>
      <c r="K80" cm="1">
        <f t="array" ref="K80">IFERROR(_xlfn.XLOOKUP(C80&amp;A80, Inside5!B:B&amp;Inside5!I:I, Inside5!G:G), 0)</f>
        <v>0</v>
      </c>
      <c r="L80" cm="1">
        <f t="array" ref="L80">IFERROR(_xlfn.XLOOKUP(C80&amp;A80, Inside5!B:B&amp;Inside5!I:I, Inside5!H:H), 0)</f>
        <v>0</v>
      </c>
      <c r="M80" cm="1">
        <f t="array" ref="M80">IFERROR(_xlfn.XLOOKUP(C80&amp;A80, TDrate!F:F&amp;TDrate!H:H, TDrate!B:B), "N/A")</f>
        <v>0</v>
      </c>
      <c r="N80" cm="1">
        <f t="array" ref="N80">IFERROR(_xlfn.XLOOKUP(C80&amp;A80, TDrate!F:F&amp;TDrate!H:H, TDrate!D:D), "N/A")</f>
        <v>1.32E-2</v>
      </c>
    </row>
    <row r="81" spans="1:14" x14ac:dyDescent="0.45">
      <c r="A81" s="8">
        <v>2025</v>
      </c>
      <c r="B81" s="9" t="s">
        <v>376</v>
      </c>
      <c r="C81" s="10" t="str">
        <f t="shared" si="2"/>
        <v>Antonio Gibson</v>
      </c>
      <c r="D81" s="10" t="str">
        <f t="shared" si="3"/>
        <v>NE</v>
      </c>
      <c r="E81" cm="1">
        <f t="array" aca="1" ref="E81" ca="1">IFERROR(_xlfn.XLOOKUP(C81&amp;A81, Inside5!B:B&amp;Inside5!I:I, Inside5!C:C), 0)</f>
        <v>2</v>
      </c>
      <c r="F81" cm="1">
        <f t="array" aca="1" ref="F81" ca="1">IFERROR(_xlfn.XLOOKUP(C81&amp;A81, Inside5!B:B&amp;Inside5!I:I, Inside5!D:D), 0)</f>
        <v>1</v>
      </c>
      <c r="G81" cm="1">
        <f t="array" ref="G81">IFERROR(_xlfn.XLOOKUP(C81&amp;A81, Inside5!B:B&amp;Inside5!I:I, Inside5!E:E), 0)</f>
        <v>9.5000000000000001E-2</v>
      </c>
      <c r="H81" t="str" cm="1">
        <f t="array" ref="H81">IFERROR(_xlfn.XLOOKUP(C81&amp;A81, TDrate!F:F&amp;TDrate!H:H, TDrate!C:C), "N/A")</f>
        <v>N/A</v>
      </c>
      <c r="I81" t="str" cm="1">
        <f t="array" ref="I81">IFERROR(_xlfn.XLOOKUP(C81&amp;A81, TDrate!F:F&amp;TDrate!H:H, TDrate!E:E), "N/A")</f>
        <v>N/A</v>
      </c>
      <c r="J81" cm="1">
        <f t="array" ref="J81">IFERROR(_xlfn.XLOOKUP(C81&amp;A81, Inside5!B:B&amp;Inside5!I:I, Inside5!F:F), 0)</f>
        <v>0</v>
      </c>
      <c r="K81" cm="1">
        <f t="array" ref="K81">IFERROR(_xlfn.XLOOKUP(C81&amp;A81, Inside5!B:B&amp;Inside5!I:I, Inside5!G:G), 0)</f>
        <v>0</v>
      </c>
      <c r="L81" cm="1">
        <f t="array" ref="L81">IFERROR(_xlfn.XLOOKUP(C81&amp;A81, Inside5!B:B&amp;Inside5!I:I, Inside5!H:H), 0)</f>
        <v>0</v>
      </c>
      <c r="M81" t="str" cm="1">
        <f t="array" ref="M81">IFERROR(_xlfn.XLOOKUP(C81&amp;A81, TDrate!F:F&amp;TDrate!H:H, TDrate!B:B), "N/A")</f>
        <v>N/A</v>
      </c>
      <c r="N81" t="str" cm="1">
        <f t="array" ref="N81">IFERROR(_xlfn.XLOOKUP(C81&amp;A81, TDrate!F:F&amp;TDrate!H:H, TDrate!D:D), "N/A")</f>
        <v>N/A</v>
      </c>
    </row>
    <row r="82" spans="1:14" x14ac:dyDescent="0.45">
      <c r="A82" s="5">
        <v>2025</v>
      </c>
      <c r="B82" s="6" t="s">
        <v>377</v>
      </c>
      <c r="C82" s="7" t="str">
        <f t="shared" si="2"/>
        <v>Raheem Mostert</v>
      </c>
      <c r="D82" s="7" t="str">
        <f t="shared" si="3"/>
        <v>LV</v>
      </c>
      <c r="E82" cm="1">
        <f t="array" aca="1" ref="E82" ca="1">IFERROR(_xlfn.XLOOKUP(C82&amp;A82, Inside5!B:B&amp;Inside5!I:I, Inside5!C:C), 0)</f>
        <v>0</v>
      </c>
      <c r="F82" cm="1">
        <f t="array" aca="1" ref="F82" ca="1">IFERROR(_xlfn.XLOOKUP(C82&amp;A82, Inside5!B:B&amp;Inside5!I:I, Inside5!D:D), 0)</f>
        <v>0</v>
      </c>
      <c r="G82" cm="1">
        <f t="array" ref="G82">IFERROR(_xlfn.XLOOKUP(C82&amp;A82, Inside5!B:B&amp;Inside5!I:I, Inside5!E:E), 0)</f>
        <v>0</v>
      </c>
      <c r="H82" t="str" cm="1">
        <f t="array" ref="H82">IFERROR(_xlfn.XLOOKUP(C82&amp;A82, TDrate!F:F&amp;TDrate!H:H, TDrate!C:C), "N/A")</f>
        <v>N/A</v>
      </c>
      <c r="I82" t="str" cm="1">
        <f t="array" ref="I82">IFERROR(_xlfn.XLOOKUP(C82&amp;A82, TDrate!F:F&amp;TDrate!H:H, TDrate!E:E), "N/A")</f>
        <v>N/A</v>
      </c>
      <c r="J82" cm="1">
        <f t="array" ref="J82">IFERROR(_xlfn.XLOOKUP(C82&amp;A82, Inside5!B:B&amp;Inside5!I:I, Inside5!F:F), 0)</f>
        <v>0</v>
      </c>
      <c r="K82" cm="1">
        <f t="array" aca="1" ref="K82" ca="1">IFERROR(_xlfn.XLOOKUP(C82&amp;A82, Inside5!B:B&amp;Inside5!I:I, Inside5!G:G), 0)</f>
        <v>0</v>
      </c>
      <c r="L82" cm="1">
        <f t="array" ref="L82">IFERROR(_xlfn.XLOOKUP(C82&amp;A82, Inside5!B:B&amp;Inside5!I:I, Inside5!H:H), 0)</f>
        <v>0</v>
      </c>
      <c r="M82" t="str" cm="1">
        <f t="array" ref="M82">IFERROR(_xlfn.XLOOKUP(C82&amp;A82, TDrate!F:F&amp;TDrate!H:H, TDrate!B:B), "N/A")</f>
        <v>N/A</v>
      </c>
      <c r="N82" t="str" cm="1">
        <f t="array" ref="N82">IFERROR(_xlfn.XLOOKUP(C82&amp;A82, TDrate!F:F&amp;TDrate!H:H, TDrate!D:D), "N/A")</f>
        <v>N/A</v>
      </c>
    </row>
    <row r="83" spans="1:14" x14ac:dyDescent="0.45">
      <c r="A83" s="8">
        <v>2025</v>
      </c>
      <c r="B83" s="9" t="s">
        <v>378</v>
      </c>
      <c r="C83" s="10" t="str">
        <f t="shared" si="2"/>
        <v>DJ Giddens</v>
      </c>
      <c r="D83" s="10" t="str">
        <f t="shared" si="3"/>
        <v>IND</v>
      </c>
      <c r="E83" cm="1">
        <f t="array" aca="1" ref="E83" ca="1">IFERROR(_xlfn.XLOOKUP(C83&amp;A83, Inside5!B:B&amp;Inside5!I:I, Inside5!C:C), 0)</f>
        <v>1</v>
      </c>
      <c r="F83" cm="1">
        <f t="array" aca="1" ref="F83" ca="1">IFERROR(_xlfn.XLOOKUP(C83&amp;A83, Inside5!B:B&amp;Inside5!I:I, Inside5!D:D), 0)</f>
        <v>0</v>
      </c>
      <c r="G83" cm="1">
        <f t="array" ref="G83">IFERROR(_xlfn.XLOOKUP(C83&amp;A83, Inside5!B:B&amp;Inside5!I:I, Inside5!E:E), 0)</f>
        <v>4.2000000000000003E-2</v>
      </c>
      <c r="H83" cm="1">
        <f t="array" ref="H83">IFERROR(_xlfn.XLOOKUP(C83&amp;A83, TDrate!F:F&amp;TDrate!H:H, TDrate!C:C), "N/A")</f>
        <v>0</v>
      </c>
      <c r="I83" cm="1">
        <f t="array" ref="I83">IFERROR(_xlfn.XLOOKUP(C83&amp;A83, TDrate!F:F&amp;TDrate!H:H, TDrate!E:E), "N/A")</f>
        <v>1.32E-2</v>
      </c>
      <c r="J83" cm="1">
        <f t="array" ref="J83">IFERROR(_xlfn.XLOOKUP(C83&amp;A83, Inside5!B:B&amp;Inside5!I:I, Inside5!F:F), 0)</f>
        <v>0</v>
      </c>
      <c r="K83" cm="1">
        <f t="array" ref="K83">IFERROR(_xlfn.XLOOKUP(C83&amp;A83, Inside5!B:B&amp;Inside5!I:I, Inside5!G:G), 0)</f>
        <v>0</v>
      </c>
      <c r="L83" cm="1">
        <f t="array" ref="L83">IFERROR(_xlfn.XLOOKUP(C83&amp;A83, Inside5!B:B&amp;Inside5!I:I, Inside5!H:H), 0)</f>
        <v>0</v>
      </c>
      <c r="M83" cm="1">
        <f t="array" ref="M83">IFERROR(_xlfn.XLOOKUP(C83&amp;A83, TDrate!F:F&amp;TDrate!H:H, TDrate!B:B), "N/A")</f>
        <v>0</v>
      </c>
      <c r="N83" cm="1">
        <f t="array" ref="N83">IFERROR(_xlfn.XLOOKUP(C83&amp;A83, TDrate!F:F&amp;TDrate!H:H, TDrate!D:D), "N/A")</f>
        <v>7.6399999999999996E-2</v>
      </c>
    </row>
    <row r="84" spans="1:14" x14ac:dyDescent="0.45">
      <c r="A84" s="5">
        <v>2025</v>
      </c>
      <c r="B84" s="6" t="s">
        <v>379</v>
      </c>
      <c r="C84" s="7" t="str">
        <f t="shared" si="2"/>
        <v>James Conner</v>
      </c>
      <c r="D84" s="7" t="str">
        <f t="shared" si="3"/>
        <v>ARI</v>
      </c>
      <c r="E84" cm="1">
        <f t="array" ref="E84">IFERROR(_xlfn.XLOOKUP(C84&amp;A84, Inside5!B:B&amp;Inside5!I:I, Inside5!C:C), 0)</f>
        <v>3</v>
      </c>
      <c r="F84" cm="1">
        <f t="array" ref="F84">IFERROR(_xlfn.XLOOKUP(C84&amp;A84, Inside5!B:B&amp;Inside5!I:I, Inside5!D:D), 0)</f>
        <v>1</v>
      </c>
      <c r="G84" cm="1">
        <f t="array" ref="G84">IFERROR(_xlfn.XLOOKUP(C84&amp;A84, Inside5!B:B&amp;Inside5!I:I, Inside5!E:E), 0)</f>
        <v>0.214</v>
      </c>
      <c r="H84" cm="1">
        <f t="array" ref="H84">IFERROR(_xlfn.XLOOKUP(C84&amp;A84, TDrate!F:F&amp;TDrate!H:H, TDrate!C:C), "N/A")</f>
        <v>3.1300000000000001E-2</v>
      </c>
      <c r="I84" cm="1">
        <f t="array" ref="I84">IFERROR(_xlfn.XLOOKUP(C84&amp;A84, TDrate!F:F&amp;TDrate!H:H, TDrate!E:E), "N/A")</f>
        <v>3.6299999999999999E-2</v>
      </c>
      <c r="J84" cm="1">
        <f t="array" ref="J84">IFERROR(_xlfn.XLOOKUP(C84&amp;A84, Inside5!B:B&amp;Inside5!I:I, Inside5!F:F), 0)</f>
        <v>1</v>
      </c>
      <c r="K84" cm="1">
        <f t="array" aca="1" ref="K84" ca="1">IFERROR(_xlfn.XLOOKUP(C84&amp;A84, Inside5!B:B&amp;Inside5!I:I, Inside5!G:G), 0)</f>
        <v>1</v>
      </c>
      <c r="L84" cm="1">
        <f t="array" ref="L84">IFERROR(_xlfn.XLOOKUP(C84&amp;A84, Inside5!B:B&amp;Inside5!I:I, Inside5!H:H), 0)</f>
        <v>1</v>
      </c>
      <c r="M84" cm="1">
        <f t="array" ref="M84">IFERROR(_xlfn.XLOOKUP(C84&amp;A84, TDrate!F:F&amp;TDrate!H:H, TDrate!B:B), "N/A")</f>
        <v>0.1111</v>
      </c>
      <c r="N84" cm="1">
        <f t="array" ref="N84">IFERROR(_xlfn.XLOOKUP(C84&amp;A84, TDrate!F:F&amp;TDrate!H:H, TDrate!D:D), "N/A")</f>
        <v>8.72E-2</v>
      </c>
    </row>
    <row r="85" spans="1:14" x14ac:dyDescent="0.45">
      <c r="A85" s="8">
        <v>2025</v>
      </c>
      <c r="B85" s="9" t="s">
        <v>380</v>
      </c>
      <c r="C85" s="10" t="str">
        <f t="shared" si="2"/>
        <v>Trevor Etienne</v>
      </c>
      <c r="D85" s="10" t="str">
        <f t="shared" si="3"/>
        <v>CAR</v>
      </c>
      <c r="E85" cm="1">
        <f t="array" aca="1" ref="E85" ca="1">IFERROR(_xlfn.XLOOKUP(C85&amp;A85, Inside5!B:B&amp;Inside5!I:I, Inside5!C:C), 0)</f>
        <v>1</v>
      </c>
      <c r="F85" cm="1">
        <f t="array" aca="1" ref="F85" ca="1">IFERROR(_xlfn.XLOOKUP(C85&amp;A85, Inside5!B:B&amp;Inside5!I:I, Inside5!D:D), 0)</f>
        <v>0</v>
      </c>
      <c r="G85" cm="1">
        <f t="array" ref="G85">IFERROR(_xlfn.XLOOKUP(C85&amp;A85, Inside5!B:B&amp;Inside5!I:I, Inside5!E:E), 0)</f>
        <v>0.1</v>
      </c>
      <c r="H85" t="str" cm="1">
        <f t="array" ref="H85">IFERROR(_xlfn.XLOOKUP(C85&amp;A85, TDrate!F:F&amp;TDrate!H:H, TDrate!C:C), "N/A")</f>
        <v>N/A</v>
      </c>
      <c r="I85" t="str" cm="1">
        <f t="array" ref="I85">IFERROR(_xlfn.XLOOKUP(C85&amp;A85, TDrate!F:F&amp;TDrate!H:H, TDrate!E:E), "N/A")</f>
        <v>N/A</v>
      </c>
      <c r="J85" cm="1">
        <f t="array" ref="J85">IFERROR(_xlfn.XLOOKUP(C85&amp;A85, Inside5!B:B&amp;Inside5!I:I, Inside5!F:F), 0)</f>
        <v>0</v>
      </c>
      <c r="K85" cm="1">
        <f t="array" aca="1" ref="K85" ca="1">IFERROR(_xlfn.XLOOKUP(C85&amp;A85, Inside5!B:B&amp;Inside5!I:I, Inside5!G:G), 0)</f>
        <v>0</v>
      </c>
      <c r="L85" cm="1">
        <f t="array" ref="L85">IFERROR(_xlfn.XLOOKUP(C85&amp;A85, Inside5!B:B&amp;Inside5!I:I, Inside5!H:H), 0)</f>
        <v>0</v>
      </c>
      <c r="M85" t="str" cm="1">
        <f t="array" ref="M85">IFERROR(_xlfn.XLOOKUP(C85&amp;A85, TDrate!F:F&amp;TDrate!H:H, TDrate!B:B), "N/A")</f>
        <v>N/A</v>
      </c>
      <c r="N85" t="str" cm="1">
        <f t="array" ref="N85">IFERROR(_xlfn.XLOOKUP(C85&amp;A85, TDrate!F:F&amp;TDrate!H:H, TDrate!D:D), "N/A")</f>
        <v>N/A</v>
      </c>
    </row>
    <row r="86" spans="1:14" x14ac:dyDescent="0.45">
      <c r="A86" s="5">
        <v>2025</v>
      </c>
      <c r="B86" s="6" t="s">
        <v>381</v>
      </c>
      <c r="C86" s="7" t="str">
        <f t="shared" si="2"/>
        <v>LeQuint Allen Jr.</v>
      </c>
      <c r="D86" s="7" t="str">
        <f t="shared" si="3"/>
        <v>JAC</v>
      </c>
      <c r="E86" cm="1">
        <f t="array" ref="E86">IFERROR(_xlfn.XLOOKUP(C86&amp;A86, Inside5!B:B&amp;Inside5!I:I, Inside5!C:C), 0)</f>
        <v>1</v>
      </c>
      <c r="F86" cm="1">
        <f t="array" ref="F86">IFERROR(_xlfn.XLOOKUP(C86&amp;A86, Inside5!B:B&amp;Inside5!I:I, Inside5!D:D), 0)</f>
        <v>0</v>
      </c>
      <c r="G86" cm="1">
        <f t="array" ref="G86">IFERROR(_xlfn.XLOOKUP(C86&amp;A86, Inside5!B:B&amp;Inside5!I:I, Inside5!E:E), 0)</f>
        <v>5.6000000000000001E-2</v>
      </c>
      <c r="H86" t="str" cm="1">
        <f t="array" ref="H86">IFERROR(_xlfn.XLOOKUP(C86&amp;A86, TDrate!F:F&amp;TDrate!H:H, TDrate!C:C), "N/A")</f>
        <v>N/A</v>
      </c>
      <c r="I86" t="str" cm="1">
        <f t="array" ref="I86">IFERROR(_xlfn.XLOOKUP(C86&amp;A86, TDrate!F:F&amp;TDrate!H:H, TDrate!E:E), "N/A")</f>
        <v>N/A</v>
      </c>
      <c r="J86" cm="1">
        <f t="array" ref="J86">IFERROR(_xlfn.XLOOKUP(C86&amp;A86, Inside5!B:B&amp;Inside5!I:I, Inside5!F:F), 0)</f>
        <v>0</v>
      </c>
      <c r="K86" cm="1">
        <f t="array" aca="1" ref="K86" ca="1">IFERROR(_xlfn.XLOOKUP(C86&amp;A86, Inside5!B:B&amp;Inside5!I:I, Inside5!G:G), 0)</f>
        <v>0</v>
      </c>
      <c r="L86" cm="1">
        <f t="array" ref="L86">IFERROR(_xlfn.XLOOKUP(C86&amp;A86, Inside5!B:B&amp;Inside5!I:I, Inside5!H:H), 0)</f>
        <v>0</v>
      </c>
      <c r="M86" t="str" cm="1">
        <f t="array" ref="M86">IFERROR(_xlfn.XLOOKUP(C86&amp;A86, TDrate!F:F&amp;TDrate!H:H, TDrate!B:B), "N/A")</f>
        <v>N/A</v>
      </c>
      <c r="N86" t="str" cm="1">
        <f t="array" ref="N86">IFERROR(_xlfn.XLOOKUP(C86&amp;A86, TDrate!F:F&amp;TDrate!H:H, TDrate!D:D), "N/A")</f>
        <v>N/A</v>
      </c>
    </row>
    <row r="87" spans="1:14" x14ac:dyDescent="0.45">
      <c r="A87" s="8">
        <v>2025</v>
      </c>
      <c r="B87" s="9" t="s">
        <v>382</v>
      </c>
      <c r="C87" s="10" t="str">
        <f t="shared" si="2"/>
        <v>Justice Hill</v>
      </c>
      <c r="D87" s="10" t="str">
        <f t="shared" si="3"/>
        <v>BAL</v>
      </c>
      <c r="E87" cm="1">
        <f t="array" aca="1" ref="E87" ca="1">IFERROR(_xlfn.XLOOKUP(C87&amp;A87, Inside5!B:B&amp;Inside5!I:I, Inside5!C:C), 0)</f>
        <v>1</v>
      </c>
      <c r="F87" cm="1">
        <f t="array" aca="1" ref="F87" ca="1">IFERROR(_xlfn.XLOOKUP(C87&amp;A87, Inside5!B:B&amp;Inside5!I:I, Inside5!D:D), 0)</f>
        <v>1</v>
      </c>
      <c r="G87" cm="1">
        <f t="array" ref="G87">IFERROR(_xlfn.XLOOKUP(C87&amp;A87, Inside5!B:B&amp;Inside5!I:I, Inside5!E:E), 0)</f>
        <v>3.5999999999999997E-2</v>
      </c>
      <c r="H87" t="str" cm="1">
        <f t="array" ref="H87">IFERROR(_xlfn.XLOOKUP(C87&amp;A87, TDrate!F:F&amp;TDrate!H:H, TDrate!C:C), "N/A")</f>
        <v>N/A</v>
      </c>
      <c r="I87" t="str" cm="1">
        <f t="array" ref="I87">IFERROR(_xlfn.XLOOKUP(C87&amp;A87, TDrate!F:F&amp;TDrate!H:H, TDrate!E:E), "N/A")</f>
        <v>N/A</v>
      </c>
      <c r="J87" cm="1">
        <f t="array" ref="J87">IFERROR(_xlfn.XLOOKUP(C87&amp;A87, Inside5!B:B&amp;Inside5!I:I, Inside5!F:F), 0)</f>
        <v>0</v>
      </c>
      <c r="K87" cm="1">
        <f t="array" aca="1" ref="K87" ca="1">IFERROR(_xlfn.XLOOKUP(C87&amp;A87, Inside5!B:B&amp;Inside5!I:I, Inside5!G:G), 0)</f>
        <v>0</v>
      </c>
      <c r="L87" cm="1">
        <f t="array" ref="L87">IFERROR(_xlfn.XLOOKUP(C87&amp;A87, Inside5!B:B&amp;Inside5!I:I, Inside5!H:H), 0)</f>
        <v>0</v>
      </c>
      <c r="M87" t="str" cm="1">
        <f t="array" ref="M87">IFERROR(_xlfn.XLOOKUP(C87&amp;A87, TDrate!F:F&amp;TDrate!H:H, TDrate!B:B), "N/A")</f>
        <v>N/A</v>
      </c>
      <c r="N87" t="str" cm="1">
        <f t="array" ref="N87">IFERROR(_xlfn.XLOOKUP(C87&amp;A87, TDrate!F:F&amp;TDrate!H:H, TDrate!D:D), "N/A")</f>
        <v>N/A</v>
      </c>
    </row>
    <row r="88" spans="1:14" x14ac:dyDescent="0.45">
      <c r="A88" s="5">
        <v>2025</v>
      </c>
      <c r="B88" s="6" t="s">
        <v>383</v>
      </c>
      <c r="C88" s="7" t="str">
        <f t="shared" si="2"/>
        <v>Raheim Sanders</v>
      </c>
      <c r="D88" s="7" t="str">
        <f t="shared" si="3"/>
        <v>CLE</v>
      </c>
      <c r="E88" cm="1">
        <f t="array" aca="1" ref="E88" ca="1">IFERROR(_xlfn.XLOOKUP(C88&amp;A88, Inside5!B:B&amp;Inside5!I:I, Inside5!C:C), 0)</f>
        <v>4</v>
      </c>
      <c r="F88" cm="1">
        <f t="array" aca="1" ref="F88" ca="1">IFERROR(_xlfn.XLOOKUP(C88&amp;A88, Inside5!B:B&amp;Inside5!I:I, Inside5!D:D), 0)</f>
        <v>1</v>
      </c>
      <c r="G88" cm="1">
        <f t="array" ref="G88">IFERROR(_xlfn.XLOOKUP(C88&amp;A88, Inside5!B:B&amp;Inside5!I:I, Inside5!E:E), 0)</f>
        <v>0.222</v>
      </c>
      <c r="H88" cm="1">
        <f t="array" ref="H88">IFERROR(_xlfn.XLOOKUP(C88&amp;A88, TDrate!F:F&amp;TDrate!H:H, TDrate!C:C), "N/A")</f>
        <v>3.6999999999999998E-2</v>
      </c>
      <c r="I88" cm="1">
        <f t="array" ref="I88">IFERROR(_xlfn.XLOOKUP(C88&amp;A88, TDrate!F:F&amp;TDrate!H:H, TDrate!E:E), "N/A")</f>
        <v>5.2400000000000002E-2</v>
      </c>
      <c r="J88" cm="1">
        <f t="array" ref="J88">IFERROR(_xlfn.XLOOKUP(C88&amp;A88, Inside5!B:B&amp;Inside5!I:I, Inside5!F:F), 0)</f>
        <v>0</v>
      </c>
      <c r="K88" cm="1">
        <f t="array" aca="1" ref="K88" ca="1">IFERROR(_xlfn.XLOOKUP(C88&amp;A88, Inside5!B:B&amp;Inside5!I:I, Inside5!G:G), 0)</f>
        <v>0</v>
      </c>
      <c r="L88" cm="1">
        <f t="array" ref="L88">IFERROR(_xlfn.XLOOKUP(C88&amp;A88, Inside5!B:B&amp;Inside5!I:I, Inside5!H:H), 0)</f>
        <v>0</v>
      </c>
      <c r="M88" cm="1">
        <f t="array" ref="M88">IFERROR(_xlfn.XLOOKUP(C88&amp;A88, TDrate!F:F&amp;TDrate!H:H, TDrate!B:B), "N/A")</f>
        <v>0</v>
      </c>
      <c r="N88" cm="1">
        <f t="array" ref="N88">IFERROR(_xlfn.XLOOKUP(C88&amp;A88, TDrate!F:F&amp;TDrate!H:H, TDrate!D:D), "N/A")</f>
        <v>2.8E-3</v>
      </c>
    </row>
    <row r="89" spans="1:14" x14ac:dyDescent="0.45">
      <c r="A89" s="8">
        <v>2025</v>
      </c>
      <c r="B89" s="9" t="s">
        <v>384</v>
      </c>
      <c r="C89" s="10" t="str">
        <f t="shared" si="2"/>
        <v>British Brooks</v>
      </c>
      <c r="D89" s="10" t="str">
        <f t="shared" si="3"/>
        <v>HOU</v>
      </c>
      <c r="E89" cm="1">
        <f t="array" aca="1" ref="E89" ca="1">IFERROR(_xlfn.XLOOKUP(C89&amp;A89, Inside5!B:B&amp;Inside5!I:I, Inside5!C:C), 0)</f>
        <v>2</v>
      </c>
      <c r="F89" cm="1">
        <f t="array" aca="1" ref="F89" ca="1">IFERROR(_xlfn.XLOOKUP(C89&amp;A89, Inside5!B:B&amp;Inside5!I:I, Inside5!D:D), 0)</f>
        <v>0</v>
      </c>
      <c r="G89" cm="1">
        <f t="array" ref="G89">IFERROR(_xlfn.XLOOKUP(C89&amp;A89, Inside5!B:B&amp;Inside5!I:I, Inside5!E:E), 0)</f>
        <v>9.5000000000000001E-2</v>
      </c>
      <c r="H89" t="str" cm="1">
        <f t="array" ref="H89">IFERROR(_xlfn.XLOOKUP(C89&amp;A89, TDrate!F:F&amp;TDrate!H:H, TDrate!C:C), "N/A")</f>
        <v>N/A</v>
      </c>
      <c r="I89" t="str" cm="1">
        <f t="array" ref="I89">IFERROR(_xlfn.XLOOKUP(C89&amp;A89, TDrate!F:F&amp;TDrate!H:H, TDrate!E:E), "N/A")</f>
        <v>N/A</v>
      </c>
      <c r="J89" cm="1">
        <f t="array" ref="J89">IFERROR(_xlfn.XLOOKUP(C89&amp;A89, Inside5!B:B&amp;Inside5!I:I, Inside5!F:F), 0)</f>
        <v>0</v>
      </c>
      <c r="K89" cm="1">
        <f t="array" aca="1" ref="K89" ca="1">IFERROR(_xlfn.XLOOKUP(C89&amp;A89, Inside5!B:B&amp;Inside5!I:I, Inside5!G:G), 0)</f>
        <v>0</v>
      </c>
      <c r="L89" cm="1">
        <f t="array" ref="L89">IFERROR(_xlfn.XLOOKUP(C89&amp;A89, Inside5!B:B&amp;Inside5!I:I, Inside5!H:H), 0)</f>
        <v>0</v>
      </c>
      <c r="M89" t="str" cm="1">
        <f t="array" ref="M89">IFERROR(_xlfn.XLOOKUP(C89&amp;A89, TDrate!F:F&amp;TDrate!H:H, TDrate!B:B), "N/A")</f>
        <v>N/A</v>
      </c>
      <c r="N89" t="str" cm="1">
        <f t="array" ref="N89">IFERROR(_xlfn.XLOOKUP(C89&amp;A89, TDrate!F:F&amp;TDrate!H:H, TDrate!D:D), "N/A")</f>
        <v>N/A</v>
      </c>
    </row>
    <row r="90" spans="1:14" x14ac:dyDescent="0.45">
      <c r="A90" s="5">
        <v>2025</v>
      </c>
      <c r="B90" s="6" t="s">
        <v>385</v>
      </c>
      <c r="C90" s="7" t="str">
        <f t="shared" si="2"/>
        <v>Braelon Allen</v>
      </c>
      <c r="D90" s="7" t="str">
        <f t="shared" si="3"/>
        <v>NYJ</v>
      </c>
      <c r="E90" cm="1">
        <f t="array" ref="E90">IFERROR(_xlfn.XLOOKUP(C90&amp;A90, Inside5!B:B&amp;Inside5!I:I, Inside5!C:C), 0)</f>
        <v>0</v>
      </c>
      <c r="F90" cm="1">
        <f t="array" ref="F90">IFERROR(_xlfn.XLOOKUP(C90&amp;A90, Inside5!B:B&amp;Inside5!I:I, Inside5!D:D), 0)</f>
        <v>0</v>
      </c>
      <c r="G90" cm="1">
        <f t="array" ref="G90">IFERROR(_xlfn.XLOOKUP(C90&amp;A90, Inside5!B:B&amp;Inside5!I:I, Inside5!E:E), 0)</f>
        <v>0</v>
      </c>
      <c r="H90" t="str" cm="1">
        <f t="array" ref="H90">IFERROR(_xlfn.XLOOKUP(C90&amp;A90, TDrate!F:F&amp;TDrate!H:H, TDrate!C:C), "N/A")</f>
        <v>N/A</v>
      </c>
      <c r="I90" t="str" cm="1">
        <f t="array" ref="I90">IFERROR(_xlfn.XLOOKUP(C90&amp;A90, TDrate!F:F&amp;TDrate!H:H, TDrate!E:E), "N/A")</f>
        <v>N/A</v>
      </c>
      <c r="J90" cm="1">
        <f t="array" ref="J90">IFERROR(_xlfn.XLOOKUP(C90&amp;A90, Inside5!B:B&amp;Inside5!I:I, Inside5!F:F), 0)</f>
        <v>0</v>
      </c>
      <c r="K90" cm="1">
        <f t="array" ref="K90">IFERROR(_xlfn.XLOOKUP(C90&amp;A90, Inside5!B:B&amp;Inside5!I:I, Inside5!G:G), 0)</f>
        <v>1</v>
      </c>
      <c r="L90" cm="1">
        <f t="array" ref="L90">IFERROR(_xlfn.XLOOKUP(C90&amp;A90, Inside5!B:B&amp;Inside5!I:I, Inside5!H:H), 0)</f>
        <v>0</v>
      </c>
      <c r="M90" t="str" cm="1">
        <f t="array" ref="M90">IFERROR(_xlfn.XLOOKUP(C90&amp;A90, TDrate!F:F&amp;TDrate!H:H, TDrate!B:B), "N/A")</f>
        <v>N/A</v>
      </c>
      <c r="N90" t="str" cm="1">
        <f t="array" ref="N90">IFERROR(_xlfn.XLOOKUP(C90&amp;A90, TDrate!F:F&amp;TDrate!H:H, TDrate!D:D), "N/A")</f>
        <v>N/A</v>
      </c>
    </row>
    <row r="91" spans="1:14" x14ac:dyDescent="0.45">
      <c r="A91" s="8">
        <v>2025</v>
      </c>
      <c r="B91" s="9" t="s">
        <v>386</v>
      </c>
      <c r="C91" s="10" t="str">
        <f t="shared" si="2"/>
        <v>Terrell Jennings</v>
      </c>
      <c r="D91" s="10" t="str">
        <f t="shared" si="3"/>
        <v>NE</v>
      </c>
      <c r="E91" cm="1">
        <f t="array" aca="1" ref="E91" ca="1">IFERROR(_xlfn.XLOOKUP(C91&amp;A91, Inside5!B:B&amp;Inside5!I:I, Inside5!C:C), 0)</f>
        <v>2</v>
      </c>
      <c r="F91" cm="1">
        <f t="array" aca="1" ref="F91" ca="1">IFERROR(_xlfn.XLOOKUP(C91&amp;A91, Inside5!B:B&amp;Inside5!I:I, Inside5!D:D), 0)</f>
        <v>1</v>
      </c>
      <c r="G91" cm="1">
        <f t="array" ref="G91">IFERROR(_xlfn.XLOOKUP(C91&amp;A91, Inside5!B:B&amp;Inside5!I:I, Inside5!E:E), 0)</f>
        <v>9.5000000000000001E-2</v>
      </c>
      <c r="H91" t="str" cm="1">
        <f t="array" ref="H91">IFERROR(_xlfn.XLOOKUP(C91&amp;A91, TDrate!F:F&amp;TDrate!H:H, TDrate!C:C), "N/A")</f>
        <v>N/A</v>
      </c>
      <c r="I91" t="str" cm="1">
        <f t="array" ref="I91">IFERROR(_xlfn.XLOOKUP(C91&amp;A91, TDrate!F:F&amp;TDrate!H:H, TDrate!E:E), "N/A")</f>
        <v>N/A</v>
      </c>
      <c r="J91" cm="1">
        <f t="array" ref="J91">IFERROR(_xlfn.XLOOKUP(C91&amp;A91, Inside5!B:B&amp;Inside5!I:I, Inside5!F:F), 0)</f>
        <v>0</v>
      </c>
      <c r="K91" cm="1">
        <f t="array" aca="1" ref="K91" ca="1">IFERROR(_xlfn.XLOOKUP(C91&amp;A91, Inside5!B:B&amp;Inside5!I:I, Inside5!G:G), 0)</f>
        <v>0</v>
      </c>
      <c r="L91" cm="1">
        <f t="array" ref="L91">IFERROR(_xlfn.XLOOKUP(C91&amp;A91, Inside5!B:B&amp;Inside5!I:I, Inside5!H:H), 0)</f>
        <v>0</v>
      </c>
      <c r="M91" t="str" cm="1">
        <f t="array" ref="M91">IFERROR(_xlfn.XLOOKUP(C91&amp;A91, TDrate!F:F&amp;TDrate!H:H, TDrate!B:B), "N/A")</f>
        <v>N/A</v>
      </c>
      <c r="N91" t="str" cm="1">
        <f t="array" ref="N91">IFERROR(_xlfn.XLOOKUP(C91&amp;A91, TDrate!F:F&amp;TDrate!H:H, TDrate!D:D), "N/A")</f>
        <v>N/A</v>
      </c>
    </row>
    <row r="92" spans="1:14" x14ac:dyDescent="0.45">
      <c r="A92" s="5">
        <v>2025</v>
      </c>
      <c r="B92" s="6" t="s">
        <v>387</v>
      </c>
      <c r="C92" s="7" t="str">
        <f t="shared" si="2"/>
        <v>Jerome Ford</v>
      </c>
      <c r="D92" s="7" t="str">
        <f t="shared" si="3"/>
        <v>CLE</v>
      </c>
      <c r="E92" cm="1">
        <f t="array" aca="1" ref="E92" ca="1">IFERROR(_xlfn.XLOOKUP(C92&amp;A92, Inside5!B:B&amp;Inside5!I:I, Inside5!C:C), 0)</f>
        <v>3</v>
      </c>
      <c r="F92" cm="1">
        <f t="array" aca="1" ref="F92" ca="1">IFERROR(_xlfn.XLOOKUP(C92&amp;A92, Inside5!B:B&amp;Inside5!I:I, Inside5!D:D), 0)</f>
        <v>0</v>
      </c>
      <c r="G92" cm="1">
        <f t="array" ref="G92">IFERROR(_xlfn.XLOOKUP(C92&amp;A92, Inside5!B:B&amp;Inside5!I:I, Inside5!E:E), 0)</f>
        <v>0.16700000000000001</v>
      </c>
      <c r="H92" t="str" cm="1">
        <f t="array" ref="H92">IFERROR(_xlfn.XLOOKUP(C92&amp;A92, TDrate!F:F&amp;TDrate!H:H, TDrate!C:C), "N/A")</f>
        <v>N/A</v>
      </c>
      <c r="I92" t="str" cm="1">
        <f t="array" ref="I92">IFERROR(_xlfn.XLOOKUP(C92&amp;A92, TDrate!F:F&amp;TDrate!H:H, TDrate!E:E), "N/A")</f>
        <v>N/A</v>
      </c>
      <c r="J92" cm="1">
        <f t="array" ref="J92">IFERROR(_xlfn.XLOOKUP(C92&amp;A92, Inside5!B:B&amp;Inside5!I:I, Inside5!F:F), 0)</f>
        <v>0</v>
      </c>
      <c r="K92" cm="1">
        <f t="array" aca="1" ref="K92" ca="1">IFERROR(_xlfn.XLOOKUP(C92&amp;A92, Inside5!B:B&amp;Inside5!I:I, Inside5!G:G), 0)</f>
        <v>0</v>
      </c>
      <c r="L92" cm="1">
        <f t="array" ref="L92">IFERROR(_xlfn.XLOOKUP(C92&amp;A92, Inside5!B:B&amp;Inside5!I:I, Inside5!H:H), 0)</f>
        <v>0</v>
      </c>
      <c r="M92" t="str" cm="1">
        <f t="array" ref="M92">IFERROR(_xlfn.XLOOKUP(C92&amp;A92, TDrate!F:F&amp;TDrate!H:H, TDrate!B:B), "N/A")</f>
        <v>N/A</v>
      </c>
      <c r="N92" t="str" cm="1">
        <f t="array" ref="N92">IFERROR(_xlfn.XLOOKUP(C92&amp;A92, TDrate!F:F&amp;TDrate!H:H, TDrate!D:D), "N/A")</f>
        <v>N/A</v>
      </c>
    </row>
    <row r="93" spans="1:14" x14ac:dyDescent="0.45">
      <c r="A93" s="8">
        <v>2025</v>
      </c>
      <c r="B93" s="9" t="s">
        <v>388</v>
      </c>
      <c r="C93" s="10" t="str">
        <f t="shared" si="2"/>
        <v>George Holani</v>
      </c>
      <c r="D93" s="10" t="str">
        <f t="shared" si="3"/>
        <v>SEA</v>
      </c>
      <c r="E93" cm="1">
        <f t="array" aca="1" ref="E93" ca="1">IFERROR(_xlfn.XLOOKUP(C93&amp;A93, Inside5!B:B&amp;Inside5!I:I, Inside5!C:C), 0)</f>
        <v>0</v>
      </c>
      <c r="F93" cm="1">
        <f t="array" aca="1" ref="F93" ca="1">IFERROR(_xlfn.XLOOKUP(C93&amp;A93, Inside5!B:B&amp;Inside5!I:I, Inside5!D:D), 0)</f>
        <v>0</v>
      </c>
      <c r="G93" cm="1">
        <f t="array" ref="G93">IFERROR(_xlfn.XLOOKUP(C93&amp;A93, Inside5!B:B&amp;Inside5!I:I, Inside5!E:E), 0)</f>
        <v>0</v>
      </c>
      <c r="H93" t="str" cm="1">
        <f t="array" ref="H93">IFERROR(_xlfn.XLOOKUP(C93&amp;A93, TDrate!F:F&amp;TDrate!H:H, TDrate!C:C), "N/A")</f>
        <v>N/A</v>
      </c>
      <c r="I93" t="str" cm="1">
        <f t="array" ref="I93">IFERROR(_xlfn.XLOOKUP(C93&amp;A93, TDrate!F:F&amp;TDrate!H:H, TDrate!E:E), "N/A")</f>
        <v>N/A</v>
      </c>
      <c r="J93" cm="1">
        <f t="array" ref="J93">IFERROR(_xlfn.XLOOKUP(C93&amp;A93, Inside5!B:B&amp;Inside5!I:I, Inside5!F:F), 0)</f>
        <v>0</v>
      </c>
      <c r="K93" cm="1">
        <f t="array" ref="K93">IFERROR(_xlfn.XLOOKUP(C93&amp;A93, Inside5!B:B&amp;Inside5!I:I, Inside5!G:G), 0)</f>
        <v>0</v>
      </c>
      <c r="L93" cm="1">
        <f t="array" ref="L93">IFERROR(_xlfn.XLOOKUP(C93&amp;A93, Inside5!B:B&amp;Inside5!I:I, Inside5!H:H), 0)</f>
        <v>0</v>
      </c>
      <c r="M93" t="str" cm="1">
        <f t="array" ref="M93">IFERROR(_xlfn.XLOOKUP(C93&amp;A93, TDrate!F:F&amp;TDrate!H:H, TDrate!B:B), "N/A")</f>
        <v>N/A</v>
      </c>
      <c r="N93" t="str" cm="1">
        <f t="array" ref="N93">IFERROR(_xlfn.XLOOKUP(C93&amp;A93, TDrate!F:F&amp;TDrate!H:H, TDrate!D:D), "N/A")</f>
        <v>N/A</v>
      </c>
    </row>
    <row r="94" spans="1:14" x14ac:dyDescent="0.45">
      <c r="A94" s="5">
        <v>2025</v>
      </c>
      <c r="B94" s="6" t="s">
        <v>389</v>
      </c>
      <c r="C94" s="7" t="str">
        <f t="shared" si="2"/>
        <v>Hunter Luepke</v>
      </c>
      <c r="D94" s="7" t="str">
        <f t="shared" si="3"/>
        <v>DAL</v>
      </c>
      <c r="E94" cm="1">
        <f t="array" aca="1" ref="E94" ca="1">IFERROR(_xlfn.XLOOKUP(C94&amp;A94, Inside5!B:B&amp;Inside5!I:I, Inside5!C:C), 0)</f>
        <v>0</v>
      </c>
      <c r="F94" cm="1">
        <f t="array" aca="1" ref="F94" ca="1">IFERROR(_xlfn.XLOOKUP(C94&amp;A94, Inside5!B:B&amp;Inside5!I:I, Inside5!D:D), 0)</f>
        <v>0</v>
      </c>
      <c r="G94" cm="1">
        <f t="array" ref="G94">IFERROR(_xlfn.XLOOKUP(C94&amp;A94, Inside5!B:B&amp;Inside5!I:I, Inside5!E:E), 0)</f>
        <v>0</v>
      </c>
      <c r="H94" t="str" cm="1">
        <f t="array" ref="H94">IFERROR(_xlfn.XLOOKUP(C94&amp;A94, TDrate!F:F&amp;TDrate!H:H, TDrate!C:C), "N/A")</f>
        <v>N/A</v>
      </c>
      <c r="I94" t="str" cm="1">
        <f t="array" ref="I94">IFERROR(_xlfn.XLOOKUP(C94&amp;A94, TDrate!F:F&amp;TDrate!H:H, TDrate!E:E), "N/A")</f>
        <v>N/A</v>
      </c>
      <c r="J94" cm="1">
        <f t="array" ref="J94">IFERROR(_xlfn.XLOOKUP(C94&amp;A94, Inside5!B:B&amp;Inside5!I:I, Inside5!F:F), 0)</f>
        <v>1</v>
      </c>
      <c r="K94" cm="1">
        <f t="array" ref="K94">IFERROR(_xlfn.XLOOKUP(C94&amp;A94, Inside5!B:B&amp;Inside5!I:I, Inside5!G:G), 0)</f>
        <v>1</v>
      </c>
      <c r="L94" cm="1">
        <f t="array" ref="L94">IFERROR(_xlfn.XLOOKUP(C94&amp;A94, Inside5!B:B&amp;Inside5!I:I, Inside5!H:H), 0)</f>
        <v>1</v>
      </c>
      <c r="M94" t="str" cm="1">
        <f t="array" ref="M94">IFERROR(_xlfn.XLOOKUP(C94&amp;A94, TDrate!F:F&amp;TDrate!H:H, TDrate!B:B), "N/A")</f>
        <v>N/A</v>
      </c>
      <c r="N94" t="str" cm="1">
        <f t="array" ref="N94">IFERROR(_xlfn.XLOOKUP(C94&amp;A94, TDrate!F:F&amp;TDrate!H:H, TDrate!D:D), "N/A")</f>
        <v>N/A</v>
      </c>
    </row>
    <row r="95" spans="1:14" x14ac:dyDescent="0.45">
      <c r="A95" s="8">
        <v>2025</v>
      </c>
      <c r="B95" s="9" t="s">
        <v>390</v>
      </c>
      <c r="C95" s="10" t="str">
        <f t="shared" si="2"/>
        <v>Kaleb Johnson</v>
      </c>
      <c r="D95" s="10" t="str">
        <f t="shared" si="3"/>
        <v>PIT</v>
      </c>
      <c r="E95" cm="1">
        <f t="array" aca="1" ref="E95" ca="1">IFERROR(_xlfn.XLOOKUP(C95&amp;A95, Inside5!B:B&amp;Inside5!I:I, Inside5!C:C), 0)</f>
        <v>0</v>
      </c>
      <c r="F95" cm="1">
        <f t="array" aca="1" ref="F95" ca="1">IFERROR(_xlfn.XLOOKUP(C95&amp;A95, Inside5!B:B&amp;Inside5!I:I, Inside5!D:D), 0)</f>
        <v>0</v>
      </c>
      <c r="G95" cm="1">
        <f t="array" ref="G95">IFERROR(_xlfn.XLOOKUP(C95&amp;A95, Inside5!B:B&amp;Inside5!I:I, Inside5!E:E), 0)</f>
        <v>0</v>
      </c>
      <c r="H95" cm="1">
        <f t="array" ref="H95">IFERROR(_xlfn.XLOOKUP(C95&amp;A95, TDrate!F:F&amp;TDrate!H:H, TDrate!C:C), "N/A")</f>
        <v>0</v>
      </c>
      <c r="I95" cm="1">
        <f t="array" ref="I95">IFERROR(_xlfn.XLOOKUP(C95&amp;A95, TDrate!F:F&amp;TDrate!H:H, TDrate!E:E), "N/A")</f>
        <v>4.7000000000000002E-3</v>
      </c>
      <c r="J95" cm="1">
        <f t="array" ref="J95">IFERROR(_xlfn.XLOOKUP(C95&amp;A95, Inside5!B:B&amp;Inside5!I:I, Inside5!F:F), 0)</f>
        <v>0</v>
      </c>
      <c r="K95" cm="1">
        <f t="array" ref="K95">IFERROR(_xlfn.XLOOKUP(C95&amp;A95, Inside5!B:B&amp;Inside5!I:I, Inside5!G:G), 0)</f>
        <v>0</v>
      </c>
      <c r="L95" cm="1">
        <f t="array" ref="L95">IFERROR(_xlfn.XLOOKUP(C95&amp;A95, Inside5!B:B&amp;Inside5!I:I, Inside5!H:H), 0)</f>
        <v>0</v>
      </c>
      <c r="M95" cm="1">
        <f t="array" ref="M95">IFERROR(_xlfn.XLOOKUP(C95&amp;A95, TDrate!F:F&amp;TDrate!H:H, TDrate!B:B), "N/A")</f>
        <v>0</v>
      </c>
      <c r="N95" cm="1">
        <f t="array" ref="N95">IFERROR(_xlfn.XLOOKUP(C95&amp;A95, TDrate!F:F&amp;TDrate!H:H, TDrate!D:D), "N/A")</f>
        <v>7.1999999999999998E-3</v>
      </c>
    </row>
    <row r="96" spans="1:14" x14ac:dyDescent="0.45">
      <c r="A96" s="5">
        <v>2025</v>
      </c>
      <c r="B96" s="6" t="s">
        <v>391</v>
      </c>
      <c r="C96" s="7" t="str">
        <f t="shared" si="2"/>
        <v>Najee Harris</v>
      </c>
      <c r="D96" s="7" t="str">
        <f t="shared" si="3"/>
        <v>LAC</v>
      </c>
      <c r="E96" cm="1">
        <f t="array" aca="1" ref="E96" ca="1">IFERROR(_xlfn.XLOOKUP(C96&amp;A96, Inside5!B:B&amp;Inside5!I:I, Inside5!C:C), 0)</f>
        <v>0</v>
      </c>
      <c r="F96" cm="1">
        <f t="array" aca="1" ref="F96" ca="1">IFERROR(_xlfn.XLOOKUP(C96&amp;A96, Inside5!B:B&amp;Inside5!I:I, Inside5!D:D), 0)</f>
        <v>0</v>
      </c>
      <c r="G96" cm="1">
        <f t="array" ref="G96">IFERROR(_xlfn.XLOOKUP(C96&amp;A96, Inside5!B:B&amp;Inside5!I:I, Inside5!E:E), 0)</f>
        <v>0</v>
      </c>
      <c r="H96" t="str" cm="1">
        <f t="array" ref="H96">IFERROR(_xlfn.XLOOKUP(C96&amp;A96, TDrate!F:F&amp;TDrate!H:H, TDrate!C:C), "N/A")</f>
        <v>N/A</v>
      </c>
      <c r="I96" t="str" cm="1">
        <f t="array" ref="I96">IFERROR(_xlfn.XLOOKUP(C96&amp;A96, TDrate!F:F&amp;TDrate!H:H, TDrate!E:E), "N/A")</f>
        <v>N/A</v>
      </c>
      <c r="J96" cm="1">
        <f t="array" ref="J96">IFERROR(_xlfn.XLOOKUP(C96&amp;A96, Inside5!B:B&amp;Inside5!I:I, Inside5!F:F), 0)</f>
        <v>0</v>
      </c>
      <c r="K96" cm="1">
        <f t="array" ref="K96">IFERROR(_xlfn.XLOOKUP(C96&amp;A96, Inside5!B:B&amp;Inside5!I:I, Inside5!G:G), 0)</f>
        <v>0</v>
      </c>
      <c r="L96" cm="1">
        <f t="array" ref="L96">IFERROR(_xlfn.XLOOKUP(C96&amp;A96, Inside5!B:B&amp;Inside5!I:I, Inside5!H:H), 0)</f>
        <v>0</v>
      </c>
      <c r="M96" t="str" cm="1">
        <f t="array" ref="M96">IFERROR(_xlfn.XLOOKUP(C96&amp;A96, TDrate!F:F&amp;TDrate!H:H, TDrate!B:B), "N/A")</f>
        <v>N/A</v>
      </c>
      <c r="N96" t="str" cm="1">
        <f t="array" ref="N96">IFERROR(_xlfn.XLOOKUP(C96&amp;A96, TDrate!F:F&amp;TDrate!H:H, TDrate!D:D), "N/A")</f>
        <v>N/A</v>
      </c>
    </row>
    <row r="97" spans="1:14" x14ac:dyDescent="0.45">
      <c r="A97" s="8">
        <v>2025</v>
      </c>
      <c r="B97" s="9" t="s">
        <v>392</v>
      </c>
      <c r="C97" s="10" t="str">
        <f t="shared" si="2"/>
        <v>Nathan Carter</v>
      </c>
      <c r="D97" s="10" t="str">
        <f t="shared" si="3"/>
        <v>ATL</v>
      </c>
      <c r="E97" cm="1">
        <f t="array" aca="1" ref="E97" ca="1">IFERROR(_xlfn.XLOOKUP(C97&amp;A97, Inside5!B:B&amp;Inside5!I:I, Inside5!C:C), 0)</f>
        <v>0</v>
      </c>
      <c r="F97" cm="1">
        <f t="array" aca="1" ref="F97" ca="1">IFERROR(_xlfn.XLOOKUP(C97&amp;A97, Inside5!B:B&amp;Inside5!I:I, Inside5!D:D), 0)</f>
        <v>0</v>
      </c>
      <c r="G97" cm="1">
        <f t="array" ref="G97">IFERROR(_xlfn.XLOOKUP(C97&amp;A97, Inside5!B:B&amp;Inside5!I:I, Inside5!E:E), 0)</f>
        <v>0</v>
      </c>
      <c r="H97" t="str" cm="1">
        <f t="array" ref="H97">IFERROR(_xlfn.XLOOKUP(C97&amp;A97, TDrate!F:F&amp;TDrate!H:H, TDrate!C:C), "N/A")</f>
        <v>N/A</v>
      </c>
      <c r="I97" t="str" cm="1">
        <f t="array" ref="I97">IFERROR(_xlfn.XLOOKUP(C97&amp;A97, TDrate!F:F&amp;TDrate!H:H, TDrate!E:E), "N/A")</f>
        <v>N/A</v>
      </c>
      <c r="J97" cm="1">
        <f t="array" ref="J97">IFERROR(_xlfn.XLOOKUP(C97&amp;A97, Inside5!B:B&amp;Inside5!I:I, Inside5!F:F), 0)</f>
        <v>0</v>
      </c>
      <c r="K97" cm="1">
        <f t="array" ref="K97">IFERROR(_xlfn.XLOOKUP(C97&amp;A97, Inside5!B:B&amp;Inside5!I:I, Inside5!G:G), 0)</f>
        <v>0</v>
      </c>
      <c r="L97" cm="1">
        <f t="array" ref="L97">IFERROR(_xlfn.XLOOKUP(C97&amp;A97, Inside5!B:B&amp;Inside5!I:I, Inside5!H:H), 0)</f>
        <v>0</v>
      </c>
      <c r="M97" t="str" cm="1">
        <f t="array" ref="M97">IFERROR(_xlfn.XLOOKUP(C97&amp;A97, TDrate!F:F&amp;TDrate!H:H, TDrate!B:B), "N/A")</f>
        <v>N/A</v>
      </c>
      <c r="N97" t="str" cm="1">
        <f t="array" ref="N97">IFERROR(_xlfn.XLOOKUP(C97&amp;A97, TDrate!F:F&amp;TDrate!H:H, TDrate!D:D), "N/A")</f>
        <v>N/A</v>
      </c>
    </row>
    <row r="98" spans="1:14" x14ac:dyDescent="0.45">
      <c r="A98" s="5">
        <v>2025</v>
      </c>
      <c r="B98" s="6" t="s">
        <v>393</v>
      </c>
      <c r="C98" s="7" t="str">
        <f t="shared" si="2"/>
        <v>Ameer Abdullah</v>
      </c>
      <c r="D98" s="7" t="str">
        <f t="shared" si="3"/>
        <v>IND</v>
      </c>
      <c r="E98" cm="1">
        <f t="array" aca="1" ref="E98" ca="1">IFERROR(_xlfn.XLOOKUP(C98&amp;A98, Inside5!B:B&amp;Inside5!I:I, Inside5!C:C), 0)</f>
        <v>1</v>
      </c>
      <c r="F98" cm="1">
        <f t="array" aca="1" ref="F98" ca="1">IFERROR(_xlfn.XLOOKUP(C98&amp;A98, Inside5!B:B&amp;Inside5!I:I, Inside5!D:D), 0)</f>
        <v>1</v>
      </c>
      <c r="G98" cm="1">
        <f t="array" ref="G98">IFERROR(_xlfn.XLOOKUP(C98&amp;A98, Inside5!B:B&amp;Inside5!I:I, Inside5!E:E), 0)</f>
        <v>4.2000000000000003E-2</v>
      </c>
      <c r="H98" t="str" cm="1">
        <f t="array" ref="H98">IFERROR(_xlfn.XLOOKUP(C98&amp;A98, TDrate!F:F&amp;TDrate!H:H, TDrate!C:C), "N/A")</f>
        <v>N/A</v>
      </c>
      <c r="I98" t="str" cm="1">
        <f t="array" ref="I98">IFERROR(_xlfn.XLOOKUP(C98&amp;A98, TDrate!F:F&amp;TDrate!H:H, TDrate!E:E), "N/A")</f>
        <v>N/A</v>
      </c>
      <c r="J98" cm="1">
        <f t="array" ref="J98">IFERROR(_xlfn.XLOOKUP(C98&amp;A98, Inside5!B:B&amp;Inside5!I:I, Inside5!F:F), 0)</f>
        <v>0</v>
      </c>
      <c r="K98" cm="1">
        <f t="array" ref="K98">IFERROR(_xlfn.XLOOKUP(C98&amp;A98, Inside5!B:B&amp;Inside5!I:I, Inside5!G:G), 0)</f>
        <v>0</v>
      </c>
      <c r="L98" cm="1">
        <f t="array" ref="L98">IFERROR(_xlfn.XLOOKUP(C98&amp;A98, Inside5!B:B&amp;Inside5!I:I, Inside5!H:H), 0)</f>
        <v>0</v>
      </c>
      <c r="M98" t="str" cm="1">
        <f t="array" ref="M98">IFERROR(_xlfn.XLOOKUP(C98&amp;A98, TDrate!F:F&amp;TDrate!H:H, TDrate!B:B), "N/A")</f>
        <v>N/A</v>
      </c>
      <c r="N98" t="str" cm="1">
        <f t="array" ref="N98">IFERROR(_xlfn.XLOOKUP(C98&amp;A98, TDrate!F:F&amp;TDrate!H:H, TDrate!D:D), "N/A")</f>
        <v>N/A</v>
      </c>
    </row>
    <row r="99" spans="1:14" x14ac:dyDescent="0.45">
      <c r="A99" s="8">
        <v>2025</v>
      </c>
      <c r="B99" s="9" t="s">
        <v>394</v>
      </c>
      <c r="C99" s="10" t="str">
        <f t="shared" si="2"/>
        <v>AJ Dillon</v>
      </c>
      <c r="D99" s="10" t="str">
        <f t="shared" si="3"/>
        <v>PHI</v>
      </c>
      <c r="E99" cm="1">
        <f t="array" ref="E99">IFERROR(_xlfn.XLOOKUP(C99&amp;A99, Inside5!B:B&amp;Inside5!I:I, Inside5!C:C), 0)</f>
        <v>0</v>
      </c>
      <c r="F99" cm="1">
        <f t="array" aca="1" ref="F99" ca="1">IFERROR(_xlfn.XLOOKUP(C99&amp;A99, Inside5!B:B&amp;Inside5!I:I, Inside5!D:D), 0)</f>
        <v>0</v>
      </c>
      <c r="G99" cm="1">
        <f t="array" ref="G99">IFERROR(_xlfn.XLOOKUP(C99&amp;A99, Inside5!B:B&amp;Inside5!I:I, Inside5!E:E), 0)</f>
        <v>0</v>
      </c>
      <c r="H99" t="str" cm="1">
        <f t="array" ref="H99">IFERROR(_xlfn.XLOOKUP(C99&amp;A99, TDrate!F:F&amp;TDrate!H:H, TDrate!C:C), "N/A")</f>
        <v>N/A</v>
      </c>
      <c r="I99" t="str" cm="1">
        <f t="array" ref="I99">IFERROR(_xlfn.XLOOKUP(C99&amp;A99, TDrate!F:F&amp;TDrate!H:H, TDrate!E:E), "N/A")</f>
        <v>N/A</v>
      </c>
      <c r="J99" cm="1">
        <f t="array" ref="J99">IFERROR(_xlfn.XLOOKUP(C99&amp;A99, Inside5!B:B&amp;Inside5!I:I, Inside5!F:F), 0)</f>
        <v>0</v>
      </c>
      <c r="K99" cm="1">
        <f t="array" ref="K99">IFERROR(_xlfn.XLOOKUP(C99&amp;A99, Inside5!B:B&amp;Inside5!I:I, Inside5!G:G), 0)</f>
        <v>0</v>
      </c>
      <c r="L99" cm="1">
        <f t="array" ref="L99">IFERROR(_xlfn.XLOOKUP(C99&amp;A99, Inside5!B:B&amp;Inside5!I:I, Inside5!H:H), 0)</f>
        <v>0</v>
      </c>
      <c r="M99" t="str" cm="1">
        <f t="array" ref="M99">IFERROR(_xlfn.XLOOKUP(C99&amp;A99, TDrate!F:F&amp;TDrate!H:H, TDrate!B:B), "N/A")</f>
        <v>N/A</v>
      </c>
      <c r="N99" t="str" cm="1">
        <f t="array" ref="N99">IFERROR(_xlfn.XLOOKUP(C99&amp;A99, TDrate!F:F&amp;TDrate!H:H, TDrate!D:D), "N/A")</f>
        <v>N/A</v>
      </c>
    </row>
    <row r="100" spans="1:14" x14ac:dyDescent="0.45">
      <c r="A100" s="5">
        <v>2025</v>
      </c>
      <c r="B100" s="6" t="s">
        <v>395</v>
      </c>
      <c r="C100" s="7" t="str">
        <f t="shared" si="2"/>
        <v>Corey Kiner</v>
      </c>
      <c r="D100" s="7" t="str">
        <f t="shared" si="3"/>
        <v>ARI</v>
      </c>
      <c r="E100" cm="1">
        <f t="array" ref="E100">IFERROR(_xlfn.XLOOKUP(C100&amp;A100, Inside5!B:B&amp;Inside5!I:I, Inside5!C:C), 0)</f>
        <v>0</v>
      </c>
      <c r="F100" cm="1">
        <f t="array" ref="F100">IFERROR(_xlfn.XLOOKUP(C100&amp;A100, Inside5!B:B&amp;Inside5!I:I, Inside5!D:D), 0)</f>
        <v>0</v>
      </c>
      <c r="G100" cm="1">
        <f t="array" ref="G100">IFERROR(_xlfn.XLOOKUP(C100&amp;A100, Inside5!B:B&amp;Inside5!I:I, Inside5!E:E), 0)</f>
        <v>0</v>
      </c>
      <c r="H100" t="str" cm="1">
        <f t="array" ref="H100">IFERROR(_xlfn.XLOOKUP(C100&amp;A100, TDrate!F:F&amp;TDrate!H:H, TDrate!C:C), "N/A")</f>
        <v>N/A</v>
      </c>
      <c r="I100" t="str" cm="1">
        <f t="array" ref="I100">IFERROR(_xlfn.XLOOKUP(C100&amp;A100, TDrate!F:F&amp;TDrate!H:H, TDrate!E:E), "N/A")</f>
        <v>N/A</v>
      </c>
      <c r="J100" cm="1">
        <f t="array" ref="J100">IFERROR(_xlfn.XLOOKUP(C100&amp;A100, Inside5!B:B&amp;Inside5!I:I, Inside5!F:F), 0)</f>
        <v>0</v>
      </c>
      <c r="K100" cm="1">
        <f t="array" ref="K100">IFERROR(_xlfn.XLOOKUP(C100&amp;A100, Inside5!B:B&amp;Inside5!I:I, Inside5!G:G), 0)</f>
        <v>0</v>
      </c>
      <c r="L100" cm="1">
        <f t="array" ref="L100">IFERROR(_xlfn.XLOOKUP(C100&amp;A100, Inside5!B:B&amp;Inside5!I:I, Inside5!H:H), 0)</f>
        <v>0</v>
      </c>
      <c r="M100" t="str" cm="1">
        <f t="array" ref="M100">IFERROR(_xlfn.XLOOKUP(C100&amp;A100, TDrate!F:F&amp;TDrate!H:H, TDrate!B:B), "N/A")</f>
        <v>N/A</v>
      </c>
      <c r="N100" t="str" cm="1">
        <f t="array" ref="N100">IFERROR(_xlfn.XLOOKUP(C100&amp;A100, TDrate!F:F&amp;TDrate!H:H, TDrate!D:D), "N/A")</f>
        <v>N/A</v>
      </c>
    </row>
    <row r="101" spans="1:14" x14ac:dyDescent="0.45">
      <c r="A101" s="8">
        <v>2025</v>
      </c>
      <c r="B101" s="9" t="s">
        <v>396</v>
      </c>
      <c r="C101" s="10" t="str">
        <f t="shared" si="2"/>
        <v>Khalil Herbert</v>
      </c>
      <c r="D101" s="10" t="str">
        <f t="shared" si="3"/>
        <v>NYJ</v>
      </c>
      <c r="E101" cm="1">
        <f t="array" aca="1" ref="E101" ca="1">IFERROR(_xlfn.XLOOKUP(C101&amp;A101, Inside5!B:B&amp;Inside5!I:I, Inside5!C:C), 0)</f>
        <v>0</v>
      </c>
      <c r="F101" cm="1">
        <f t="array" ref="F101">IFERROR(_xlfn.XLOOKUP(C101&amp;A101, Inside5!B:B&amp;Inside5!I:I, Inside5!D:D), 0)</f>
        <v>0</v>
      </c>
      <c r="G101" cm="1">
        <f t="array" ref="G101">IFERROR(_xlfn.XLOOKUP(C101&amp;A101, Inside5!B:B&amp;Inside5!I:I, Inside5!E:E), 0)</f>
        <v>0</v>
      </c>
      <c r="H101" t="str" cm="1">
        <f t="array" ref="H101">IFERROR(_xlfn.XLOOKUP(C101&amp;A101, TDrate!F:F&amp;TDrate!H:H, TDrate!C:C), "N/A")</f>
        <v>N/A</v>
      </c>
      <c r="I101" t="str" cm="1">
        <f t="array" ref="I101">IFERROR(_xlfn.XLOOKUP(C101&amp;A101, TDrate!F:F&amp;TDrate!H:H, TDrate!E:E), "N/A")</f>
        <v>N/A</v>
      </c>
      <c r="J101" cm="1">
        <f t="array" ref="J101">IFERROR(_xlfn.XLOOKUP(C101&amp;A101, Inside5!B:B&amp;Inside5!I:I, Inside5!F:F), 0)</f>
        <v>0</v>
      </c>
      <c r="K101" cm="1">
        <f t="array" ref="K101">IFERROR(_xlfn.XLOOKUP(C101&amp;A101, Inside5!B:B&amp;Inside5!I:I, Inside5!G:G), 0)</f>
        <v>0</v>
      </c>
      <c r="L101" cm="1">
        <f t="array" ref="L101">IFERROR(_xlfn.XLOOKUP(C101&amp;A101, Inside5!B:B&amp;Inside5!I:I, Inside5!H:H), 0)</f>
        <v>0</v>
      </c>
      <c r="M101" t="str" cm="1">
        <f t="array" ref="M101">IFERROR(_xlfn.XLOOKUP(C101&amp;A101, TDrate!F:F&amp;TDrate!H:H, TDrate!B:B), "N/A")</f>
        <v>N/A</v>
      </c>
      <c r="N101" t="str" cm="1">
        <f t="array" ref="N101">IFERROR(_xlfn.XLOOKUP(C101&amp;A101, TDrate!F:F&amp;TDrate!H:H, TDrate!D:D), "N/A")</f>
        <v>N/A</v>
      </c>
    </row>
    <row r="102" spans="1:14" x14ac:dyDescent="0.45">
      <c r="A102" s="5">
        <v>2025</v>
      </c>
      <c r="B102" s="6" t="s">
        <v>397</v>
      </c>
      <c r="C102" s="7" t="str">
        <f t="shared" si="2"/>
        <v>Will Shipley</v>
      </c>
      <c r="D102" s="7" t="str">
        <f t="shared" si="3"/>
        <v>PHI</v>
      </c>
      <c r="E102" cm="1">
        <f t="array" aca="1" ref="E102" ca="1">IFERROR(_xlfn.XLOOKUP(C102&amp;A102, Inside5!B:B&amp;Inside5!I:I, Inside5!C:C), 0)</f>
        <v>0</v>
      </c>
      <c r="F102" cm="1">
        <f t="array" aca="1" ref="F102" ca="1">IFERROR(_xlfn.XLOOKUP(C102&amp;A102, Inside5!B:B&amp;Inside5!I:I, Inside5!D:D), 0)</f>
        <v>0</v>
      </c>
      <c r="G102" cm="1">
        <f t="array" ref="G102">IFERROR(_xlfn.XLOOKUP(C102&amp;A102, Inside5!B:B&amp;Inside5!I:I, Inside5!E:E), 0)</f>
        <v>0</v>
      </c>
      <c r="H102" t="str" cm="1">
        <f t="array" ref="H102">IFERROR(_xlfn.XLOOKUP(C102&amp;A102, TDrate!F:F&amp;TDrate!H:H, TDrate!C:C), "N/A")</f>
        <v>N/A</v>
      </c>
      <c r="I102" t="str" cm="1">
        <f t="array" ref="I102">IFERROR(_xlfn.XLOOKUP(C102&amp;A102, TDrate!F:F&amp;TDrate!H:H, TDrate!E:E), "N/A")</f>
        <v>N/A</v>
      </c>
      <c r="J102" cm="1">
        <f t="array" ref="J102">IFERROR(_xlfn.XLOOKUP(C102&amp;A102, Inside5!B:B&amp;Inside5!I:I, Inside5!F:F), 0)</f>
        <v>0</v>
      </c>
      <c r="K102" cm="1">
        <f t="array" ref="K102">IFERROR(_xlfn.XLOOKUP(C102&amp;A102, Inside5!B:B&amp;Inside5!I:I, Inside5!G:G), 0)</f>
        <v>0</v>
      </c>
      <c r="L102" cm="1">
        <f t="array" ref="L102">IFERROR(_xlfn.XLOOKUP(C102&amp;A102, Inside5!B:B&amp;Inside5!I:I, Inside5!H:H), 0)</f>
        <v>0</v>
      </c>
      <c r="M102" t="str" cm="1">
        <f t="array" ref="M102">IFERROR(_xlfn.XLOOKUP(C102&amp;A102, TDrate!F:F&amp;TDrate!H:H, TDrate!B:B), "N/A")</f>
        <v>N/A</v>
      </c>
      <c r="N102" t="str" cm="1">
        <f t="array" ref="N102">IFERROR(_xlfn.XLOOKUP(C102&amp;A102, TDrate!F:F&amp;TDrate!H:H, TDrate!D:D), "N/A")</f>
        <v>N/A</v>
      </c>
    </row>
    <row r="103" spans="1:14" x14ac:dyDescent="0.45">
      <c r="A103" s="8">
        <v>2025</v>
      </c>
      <c r="B103" s="9" t="s">
        <v>398</v>
      </c>
      <c r="C103" s="10" t="str">
        <f t="shared" si="2"/>
        <v>Kene Nwangwu</v>
      </c>
      <c r="D103" s="10" t="str">
        <f t="shared" si="3"/>
        <v>NYJ</v>
      </c>
      <c r="E103" cm="1">
        <f t="array" ref="E103">IFERROR(_xlfn.XLOOKUP(C103&amp;A103, Inside5!B:B&amp;Inside5!I:I, Inside5!C:C), 0)</f>
        <v>2</v>
      </c>
      <c r="F103" cm="1">
        <f t="array" ref="F103">IFERROR(_xlfn.XLOOKUP(C103&amp;A103, Inside5!B:B&amp;Inside5!I:I, Inside5!D:D), 0)</f>
        <v>0</v>
      </c>
      <c r="G103" cm="1">
        <f t="array" ref="G103">IFERROR(_xlfn.XLOOKUP(C103&amp;A103, Inside5!B:B&amp;Inside5!I:I, Inside5!E:E), 0)</f>
        <v>0.33300000000000002</v>
      </c>
      <c r="H103" t="str" cm="1">
        <f t="array" ref="H103">IFERROR(_xlfn.XLOOKUP(C103&amp;A103, TDrate!F:F&amp;TDrate!H:H, TDrate!C:C), "N/A")</f>
        <v>N/A</v>
      </c>
      <c r="I103" t="str" cm="1">
        <f t="array" ref="I103">IFERROR(_xlfn.XLOOKUP(C103&amp;A103, TDrate!F:F&amp;TDrate!H:H, TDrate!E:E), "N/A")</f>
        <v>N/A</v>
      </c>
      <c r="J103" cm="1">
        <f t="array" ref="J103">IFERROR(_xlfn.XLOOKUP(C103&amp;A103, Inside5!B:B&amp;Inside5!I:I, Inside5!F:F), 0)</f>
        <v>0</v>
      </c>
      <c r="K103" cm="1">
        <f t="array" ref="K103">IFERROR(_xlfn.XLOOKUP(C103&amp;A103, Inside5!B:B&amp;Inside5!I:I, Inside5!G:G), 0)</f>
        <v>0</v>
      </c>
      <c r="L103" cm="1">
        <f t="array" ref="L103">IFERROR(_xlfn.XLOOKUP(C103&amp;A103, Inside5!B:B&amp;Inside5!I:I, Inside5!H:H), 0)</f>
        <v>0</v>
      </c>
      <c r="M103" t="str" cm="1">
        <f t="array" ref="M103">IFERROR(_xlfn.XLOOKUP(C103&amp;A103, TDrate!F:F&amp;TDrate!H:H, TDrate!B:B), "N/A")</f>
        <v>N/A</v>
      </c>
      <c r="N103" t="str" cm="1">
        <f t="array" ref="N103">IFERROR(_xlfn.XLOOKUP(C103&amp;A103, TDrate!F:F&amp;TDrate!H:H, TDrate!D:D), "N/A")</f>
        <v>N/A</v>
      </c>
    </row>
    <row r="104" spans="1:14" x14ac:dyDescent="0.45">
      <c r="A104" s="5">
        <v>2025</v>
      </c>
      <c r="B104" s="6" t="s">
        <v>399</v>
      </c>
      <c r="C104" s="7" t="str">
        <f t="shared" si="2"/>
        <v>Evan Hull</v>
      </c>
      <c r="D104" s="7" t="str">
        <f t="shared" si="3"/>
        <v>NO</v>
      </c>
      <c r="E104" cm="1">
        <f t="array" aca="1" ref="E104" ca="1">IFERROR(_xlfn.XLOOKUP(C104&amp;A104, Inside5!B:B&amp;Inside5!I:I, Inside5!C:C), 0)</f>
        <v>0</v>
      </c>
      <c r="F104" cm="1">
        <f t="array" aca="1" ref="F104" ca="1">IFERROR(_xlfn.XLOOKUP(C104&amp;A104, Inside5!B:B&amp;Inside5!I:I, Inside5!D:D), 0)</f>
        <v>0</v>
      </c>
      <c r="G104" cm="1">
        <f t="array" ref="G104">IFERROR(_xlfn.XLOOKUP(C104&amp;A104, Inside5!B:B&amp;Inside5!I:I, Inside5!E:E), 0)</f>
        <v>0</v>
      </c>
      <c r="H104" t="str" cm="1">
        <f t="array" ref="H104">IFERROR(_xlfn.XLOOKUP(C104&amp;A104, TDrate!F:F&amp;TDrate!H:H, TDrate!C:C), "N/A")</f>
        <v>N/A</v>
      </c>
      <c r="I104" t="str" cm="1">
        <f t="array" ref="I104">IFERROR(_xlfn.XLOOKUP(C104&amp;A104, TDrate!F:F&amp;TDrate!H:H, TDrate!E:E), "N/A")</f>
        <v>N/A</v>
      </c>
      <c r="J104" cm="1">
        <f t="array" ref="J104">IFERROR(_xlfn.XLOOKUP(C104&amp;A104, Inside5!B:B&amp;Inside5!I:I, Inside5!F:F), 0)</f>
        <v>0</v>
      </c>
      <c r="K104" cm="1">
        <f t="array" ref="K104">IFERROR(_xlfn.XLOOKUP(C104&amp;A104, Inside5!B:B&amp;Inside5!I:I, Inside5!G:G), 0)</f>
        <v>0</v>
      </c>
      <c r="L104" cm="1">
        <f t="array" ref="L104">IFERROR(_xlfn.XLOOKUP(C104&amp;A104, Inside5!B:B&amp;Inside5!I:I, Inside5!H:H), 0)</f>
        <v>0</v>
      </c>
      <c r="M104" t="str" cm="1">
        <f t="array" ref="M104">IFERROR(_xlfn.XLOOKUP(C104&amp;A104, TDrate!F:F&amp;TDrate!H:H, TDrate!B:B), "N/A")</f>
        <v>N/A</v>
      </c>
      <c r="N104" t="str" cm="1">
        <f t="array" ref="N104">IFERROR(_xlfn.XLOOKUP(C104&amp;A104, TDrate!F:F&amp;TDrate!H:H, TDrate!D:D), "N/A")</f>
        <v>N/A</v>
      </c>
    </row>
    <row r="105" spans="1:14" x14ac:dyDescent="0.45">
      <c r="A105" s="8">
        <v>2025</v>
      </c>
      <c r="B105" s="9" t="s">
        <v>400</v>
      </c>
      <c r="C105" s="10" t="str">
        <f t="shared" si="2"/>
        <v>Ty Chandler</v>
      </c>
      <c r="D105" s="10" t="str">
        <f t="shared" si="3"/>
        <v>MIN</v>
      </c>
      <c r="E105" cm="1">
        <f t="array" ref="E105">IFERROR(_xlfn.XLOOKUP(C105&amp;A105, Inside5!B:B&amp;Inside5!I:I, Inside5!C:C), 0)</f>
        <v>0</v>
      </c>
      <c r="F105" cm="1">
        <f t="array" ref="F105">IFERROR(_xlfn.XLOOKUP(C105&amp;A105, Inside5!B:B&amp;Inside5!I:I, Inside5!D:D), 0)</f>
        <v>0</v>
      </c>
      <c r="G105" cm="1">
        <f t="array" ref="G105">IFERROR(_xlfn.XLOOKUP(C105&amp;A105, Inside5!B:B&amp;Inside5!I:I, Inside5!E:E), 0)</f>
        <v>0</v>
      </c>
      <c r="H105" t="str" cm="1">
        <f t="array" ref="H105">IFERROR(_xlfn.XLOOKUP(C105&amp;A105, TDrate!F:F&amp;TDrate!H:H, TDrate!C:C), "N/A")</f>
        <v>N/A</v>
      </c>
      <c r="I105" t="str" cm="1">
        <f t="array" ref="I105">IFERROR(_xlfn.XLOOKUP(C105&amp;A105, TDrate!F:F&amp;TDrate!H:H, TDrate!E:E), "N/A")</f>
        <v>N/A</v>
      </c>
      <c r="J105" cm="1">
        <f t="array" ref="J105">IFERROR(_xlfn.XLOOKUP(C105&amp;A105, Inside5!B:B&amp;Inside5!I:I, Inside5!F:F), 0)</f>
        <v>0</v>
      </c>
      <c r="K105" cm="1">
        <f t="array" aca="1" ref="K105" ca="1">IFERROR(_xlfn.XLOOKUP(C105&amp;A105, Inside5!B:B&amp;Inside5!I:I, Inside5!G:G), 0)</f>
        <v>0</v>
      </c>
      <c r="L105" cm="1">
        <f t="array" ref="L105">IFERROR(_xlfn.XLOOKUP(C105&amp;A105, Inside5!B:B&amp;Inside5!I:I, Inside5!H:H), 0)</f>
        <v>0</v>
      </c>
      <c r="M105" t="str" cm="1">
        <f t="array" ref="M105">IFERROR(_xlfn.XLOOKUP(C105&amp;A105, TDrate!F:F&amp;TDrate!H:H, TDrate!B:B), "N/A")</f>
        <v>N/A</v>
      </c>
      <c r="N105" t="str" cm="1">
        <f t="array" ref="N105">IFERROR(_xlfn.XLOOKUP(C105&amp;A105, TDrate!F:F&amp;TDrate!H:H, TDrate!D:D), "N/A")</f>
        <v>N/A</v>
      </c>
    </row>
    <row r="106" spans="1:14" x14ac:dyDescent="0.45">
      <c r="A106" s="5">
        <v>2025</v>
      </c>
      <c r="B106" s="6" t="s">
        <v>401</v>
      </c>
      <c r="C106" s="7" t="str">
        <f t="shared" si="2"/>
        <v>Hassan Haskins</v>
      </c>
      <c r="D106" s="7" t="str">
        <f t="shared" si="3"/>
        <v>LAC</v>
      </c>
      <c r="E106" cm="1">
        <f t="array" ref="E106">IFERROR(_xlfn.XLOOKUP(C106&amp;A106, Inside5!B:B&amp;Inside5!I:I, Inside5!C:C), 0)</f>
        <v>0</v>
      </c>
      <c r="F106" cm="1">
        <f t="array" ref="F106">IFERROR(_xlfn.XLOOKUP(C106&amp;A106, Inside5!B:B&amp;Inside5!I:I, Inside5!D:D), 0)</f>
        <v>0</v>
      </c>
      <c r="G106" cm="1">
        <f t="array" ref="G106">IFERROR(_xlfn.XLOOKUP(C106&amp;A106, Inside5!B:B&amp;Inside5!I:I, Inside5!E:E), 0)</f>
        <v>0</v>
      </c>
      <c r="H106" t="str" cm="1">
        <f t="array" ref="H106">IFERROR(_xlfn.XLOOKUP(C106&amp;A106, TDrate!F:F&amp;TDrate!H:H, TDrate!C:C), "N/A")</f>
        <v>N/A</v>
      </c>
      <c r="I106" t="str" cm="1">
        <f t="array" ref="I106">IFERROR(_xlfn.XLOOKUP(C106&amp;A106, TDrate!F:F&amp;TDrate!H:H, TDrate!E:E), "N/A")</f>
        <v>N/A</v>
      </c>
      <c r="J106" cm="1">
        <f t="array" ref="J106">IFERROR(_xlfn.XLOOKUP(C106&amp;A106, Inside5!B:B&amp;Inside5!I:I, Inside5!F:F), 0)</f>
        <v>0</v>
      </c>
      <c r="K106" cm="1">
        <f t="array" ref="K106">IFERROR(_xlfn.XLOOKUP(C106&amp;A106, Inside5!B:B&amp;Inside5!I:I, Inside5!G:G), 0)</f>
        <v>0</v>
      </c>
      <c r="L106" cm="1">
        <f t="array" ref="L106">IFERROR(_xlfn.XLOOKUP(C106&amp;A106, Inside5!B:B&amp;Inside5!I:I, Inside5!H:H), 0)</f>
        <v>0</v>
      </c>
      <c r="M106" t="str" cm="1">
        <f t="array" ref="M106">IFERROR(_xlfn.XLOOKUP(C106&amp;A106, TDrate!F:F&amp;TDrate!H:H, TDrate!B:B), "N/A")</f>
        <v>N/A</v>
      </c>
      <c r="N106" t="str" cm="1">
        <f t="array" ref="N106">IFERROR(_xlfn.XLOOKUP(C106&amp;A106, TDrate!F:F&amp;TDrate!H:H, TDrate!D:D), "N/A")</f>
        <v>N/A</v>
      </c>
    </row>
    <row r="107" spans="1:14" x14ac:dyDescent="0.45">
      <c r="A107" s="8">
        <v>2025</v>
      </c>
      <c r="B107" s="9" t="s">
        <v>402</v>
      </c>
      <c r="C107" s="10" t="str">
        <f t="shared" si="2"/>
        <v>Ronnie Rivers</v>
      </c>
      <c r="D107" s="10" t="str">
        <f t="shared" si="3"/>
        <v>LAR</v>
      </c>
      <c r="E107" cm="1">
        <f t="array" ref="E107">IFERROR(_xlfn.XLOOKUP(C107&amp;A107, Inside5!B:B&amp;Inside5!I:I, Inside5!C:C), 0)</f>
        <v>0</v>
      </c>
      <c r="F107" cm="1">
        <f t="array" ref="F107">IFERROR(_xlfn.XLOOKUP(C107&amp;A107, Inside5!B:B&amp;Inside5!I:I, Inside5!D:D), 0)</f>
        <v>0</v>
      </c>
      <c r="G107" cm="1">
        <f t="array" ref="G107">IFERROR(_xlfn.XLOOKUP(C107&amp;A107, Inside5!B:B&amp;Inside5!I:I, Inside5!E:E), 0)</f>
        <v>0</v>
      </c>
      <c r="H107" t="str" cm="1">
        <f t="array" ref="H107">IFERROR(_xlfn.XLOOKUP(C107&amp;A107, TDrate!F:F&amp;TDrate!H:H, TDrate!C:C), "N/A")</f>
        <v>N/A</v>
      </c>
      <c r="I107" t="str" cm="1">
        <f t="array" ref="I107">IFERROR(_xlfn.XLOOKUP(C107&amp;A107, TDrate!F:F&amp;TDrate!H:H, TDrate!E:E), "N/A")</f>
        <v>N/A</v>
      </c>
      <c r="J107" cm="1">
        <f t="array" ref="J107">IFERROR(_xlfn.XLOOKUP(C107&amp;A107, Inside5!B:B&amp;Inside5!I:I, Inside5!F:F), 0)</f>
        <v>0</v>
      </c>
      <c r="K107" cm="1">
        <f t="array" aca="1" ref="K107" ca="1">IFERROR(_xlfn.XLOOKUP(C107&amp;A107, Inside5!B:B&amp;Inside5!I:I, Inside5!G:G), 0)</f>
        <v>0</v>
      </c>
      <c r="L107" cm="1">
        <f t="array" aca="1" ref="L107" ca="1">IFERROR(_xlfn.XLOOKUP(C107&amp;A107, Inside5!B:B&amp;Inside5!I:I, Inside5!H:H), 0)</f>
        <v>0</v>
      </c>
      <c r="M107" t="str" cm="1">
        <f t="array" ref="M107">IFERROR(_xlfn.XLOOKUP(C107&amp;A107, TDrate!F:F&amp;TDrate!H:H, TDrate!B:B), "N/A")</f>
        <v>N/A</v>
      </c>
      <c r="N107" t="str" cm="1">
        <f t="array" ref="N107">IFERROR(_xlfn.XLOOKUP(C107&amp;A107, TDrate!F:F&amp;TDrate!H:H, TDrate!D:D), "N/A")</f>
        <v>N/A</v>
      </c>
    </row>
    <row r="108" spans="1:14" x14ac:dyDescent="0.45">
      <c r="A108" s="5">
        <v>2025</v>
      </c>
      <c r="B108" s="6" t="s">
        <v>403</v>
      </c>
      <c r="C108" s="7" t="str">
        <f t="shared" si="2"/>
        <v>Tahj Brooks</v>
      </c>
      <c r="D108" s="7" t="str">
        <f t="shared" si="3"/>
        <v>CIN</v>
      </c>
      <c r="E108" cm="1">
        <f t="array" aca="1" ref="E108" ca="1">IFERROR(_xlfn.XLOOKUP(C108&amp;A108, Inside5!B:B&amp;Inside5!I:I, Inside5!C:C), 0)</f>
        <v>0</v>
      </c>
      <c r="F108" cm="1">
        <f t="array" aca="1" ref="F108" ca="1">IFERROR(_xlfn.XLOOKUP(C108&amp;A108, Inside5!B:B&amp;Inside5!I:I, Inside5!D:D), 0)</f>
        <v>0</v>
      </c>
      <c r="G108" cm="1">
        <f t="array" ref="G108">IFERROR(_xlfn.XLOOKUP(C108&amp;A108, Inside5!B:B&amp;Inside5!I:I, Inside5!E:E), 0)</f>
        <v>0</v>
      </c>
      <c r="H108" t="str" cm="1">
        <f t="array" ref="H108">IFERROR(_xlfn.XLOOKUP(C108&amp;A108, TDrate!F:F&amp;TDrate!H:H, TDrate!C:C), "N/A")</f>
        <v>N/A</v>
      </c>
      <c r="I108" t="str" cm="1">
        <f t="array" ref="I108">IFERROR(_xlfn.XLOOKUP(C108&amp;A108, TDrate!F:F&amp;TDrate!H:H, TDrate!E:E), "N/A")</f>
        <v>N/A</v>
      </c>
      <c r="J108" cm="1">
        <f t="array" ref="J108">IFERROR(_xlfn.XLOOKUP(C108&amp;A108, Inside5!B:B&amp;Inside5!I:I, Inside5!F:F), 0)</f>
        <v>0</v>
      </c>
      <c r="K108" cm="1">
        <f t="array" ref="K108">IFERROR(_xlfn.XLOOKUP(C108&amp;A108, Inside5!B:B&amp;Inside5!I:I, Inside5!G:G), 0)</f>
        <v>0</v>
      </c>
      <c r="L108" cm="1">
        <f t="array" ref="L108">IFERROR(_xlfn.XLOOKUP(C108&amp;A108, Inside5!B:B&amp;Inside5!I:I, Inside5!H:H), 0)</f>
        <v>0</v>
      </c>
      <c r="M108" t="str" cm="1">
        <f t="array" ref="M108">IFERROR(_xlfn.XLOOKUP(C108&amp;A108, TDrate!F:F&amp;TDrate!H:H, TDrate!B:B), "N/A")</f>
        <v>N/A</v>
      </c>
      <c r="N108" t="str" cm="1">
        <f t="array" ref="N108">IFERROR(_xlfn.XLOOKUP(C108&amp;A108, TDrate!F:F&amp;TDrate!H:H, TDrate!D:D), "N/A")</f>
        <v>N/A</v>
      </c>
    </row>
    <row r="109" spans="1:14" x14ac:dyDescent="0.45">
      <c r="A109" s="8">
        <v>2025</v>
      </c>
      <c r="B109" s="9" t="s">
        <v>404</v>
      </c>
      <c r="C109" s="10" t="str">
        <f t="shared" si="2"/>
        <v>Adam Prentice</v>
      </c>
      <c r="D109" s="10" t="str">
        <f t="shared" si="3"/>
        <v>DEN</v>
      </c>
      <c r="E109" cm="1">
        <f t="array" ref="E109">IFERROR(_xlfn.XLOOKUP(C109&amp;A109, Inside5!B:B&amp;Inside5!I:I, Inside5!C:C), 0)</f>
        <v>1</v>
      </c>
      <c r="F109" cm="1">
        <f t="array" ref="F109">IFERROR(_xlfn.XLOOKUP(C109&amp;A109, Inside5!B:B&amp;Inside5!I:I, Inside5!D:D), 0)</f>
        <v>0</v>
      </c>
      <c r="G109" cm="1">
        <f t="array" ref="G109">IFERROR(_xlfn.XLOOKUP(C109&amp;A109, Inside5!B:B&amp;Inside5!I:I, Inside5!E:E), 0)</f>
        <v>5.6000000000000001E-2</v>
      </c>
      <c r="H109" t="str" cm="1">
        <f t="array" ref="H109">IFERROR(_xlfn.XLOOKUP(C109&amp;A109, TDrate!F:F&amp;TDrate!H:H, TDrate!C:C), "N/A")</f>
        <v>N/A</v>
      </c>
      <c r="I109" t="str" cm="1">
        <f t="array" ref="I109">IFERROR(_xlfn.XLOOKUP(C109&amp;A109, TDrate!F:F&amp;TDrate!H:H, TDrate!E:E), "N/A")</f>
        <v>N/A</v>
      </c>
      <c r="J109" cm="1">
        <f t="array" ref="J109">IFERROR(_xlfn.XLOOKUP(C109&amp;A109, Inside5!B:B&amp;Inside5!I:I, Inside5!F:F), 0)</f>
        <v>0</v>
      </c>
      <c r="K109" cm="1">
        <f t="array" ref="K109">IFERROR(_xlfn.XLOOKUP(C109&amp;A109, Inside5!B:B&amp;Inside5!I:I, Inside5!G:G), 0)</f>
        <v>1</v>
      </c>
      <c r="L109" cm="1">
        <f t="array" ref="L109">IFERROR(_xlfn.XLOOKUP(C109&amp;A109, Inside5!B:B&amp;Inside5!I:I, Inside5!H:H), 0)</f>
        <v>0</v>
      </c>
      <c r="M109" t="str" cm="1">
        <f t="array" ref="M109">IFERROR(_xlfn.XLOOKUP(C109&amp;A109, TDrate!F:F&amp;TDrate!H:H, TDrate!B:B), "N/A")</f>
        <v>N/A</v>
      </c>
      <c r="N109" t="str" cm="1">
        <f t="array" ref="N109">IFERROR(_xlfn.XLOOKUP(C109&amp;A109, TDrate!F:F&amp;TDrate!H:H, TDrate!D:D), "N/A")</f>
        <v>N/A</v>
      </c>
    </row>
    <row r="110" spans="1:14" x14ac:dyDescent="0.45">
      <c r="A110" s="5">
        <v>2025</v>
      </c>
      <c r="B110" s="6" t="s">
        <v>405</v>
      </c>
      <c r="C110" s="7" t="str">
        <f t="shared" si="2"/>
        <v>Connor Heyward</v>
      </c>
      <c r="D110" s="7" t="str">
        <f t="shared" si="3"/>
        <v>PIT</v>
      </c>
      <c r="E110" cm="1">
        <f t="array" ref="E110">IFERROR(_xlfn.XLOOKUP(C110&amp;A110, Inside5!B:B&amp;Inside5!I:I, Inside5!C:C), 0)</f>
        <v>0</v>
      </c>
      <c r="F110" cm="1">
        <f t="array" aca="1" ref="F110" ca="1">IFERROR(_xlfn.XLOOKUP(C110&amp;A110, Inside5!B:B&amp;Inside5!I:I, Inside5!D:D), 0)</f>
        <v>0</v>
      </c>
      <c r="G110" cm="1">
        <f t="array" ref="G110">IFERROR(_xlfn.XLOOKUP(C110&amp;A110, Inside5!B:B&amp;Inside5!I:I, Inside5!E:E), 0)</f>
        <v>0</v>
      </c>
      <c r="H110" t="str" cm="1">
        <f t="array" ref="H110">IFERROR(_xlfn.XLOOKUP(C110&amp;A110, TDrate!F:F&amp;TDrate!H:H, TDrate!C:C), "N/A")</f>
        <v>N/A</v>
      </c>
      <c r="I110" t="str" cm="1">
        <f t="array" ref="I110">IFERROR(_xlfn.XLOOKUP(C110&amp;A110, TDrate!F:F&amp;TDrate!H:H, TDrate!E:E), "N/A")</f>
        <v>N/A</v>
      </c>
      <c r="J110" cm="1">
        <f t="array" ref="J110">IFERROR(_xlfn.XLOOKUP(C110&amp;A110, Inside5!B:B&amp;Inside5!I:I, Inside5!F:F), 0)</f>
        <v>0</v>
      </c>
      <c r="K110" cm="1">
        <f t="array" aca="1" ref="K110" ca="1">IFERROR(_xlfn.XLOOKUP(C110&amp;A110, Inside5!B:B&amp;Inside5!I:I, Inside5!G:G), 0)</f>
        <v>0</v>
      </c>
      <c r="L110" cm="1">
        <f t="array" ref="L110">IFERROR(_xlfn.XLOOKUP(C110&amp;A110, Inside5!B:B&amp;Inside5!I:I, Inside5!H:H), 0)</f>
        <v>0</v>
      </c>
      <c r="M110" t="str" cm="1">
        <f t="array" ref="M110">IFERROR(_xlfn.XLOOKUP(C110&amp;A110, TDrate!F:F&amp;TDrate!H:H, TDrate!B:B), "N/A")</f>
        <v>N/A</v>
      </c>
      <c r="N110" t="str" cm="1">
        <f t="array" ref="N110">IFERROR(_xlfn.XLOOKUP(C110&amp;A110, TDrate!F:F&amp;TDrate!H:H, TDrate!D:D), "N/A")</f>
        <v>N/A</v>
      </c>
    </row>
    <row r="111" spans="1:14" x14ac:dyDescent="0.45">
      <c r="A111" s="8">
        <v>2025</v>
      </c>
      <c r="B111" s="9" t="s">
        <v>406</v>
      </c>
      <c r="C111" s="10" t="str">
        <f t="shared" si="2"/>
        <v>Austin Ekeler</v>
      </c>
      <c r="D111" s="10" t="str">
        <f t="shared" si="3"/>
        <v>WAS</v>
      </c>
      <c r="E111" cm="1">
        <f t="array" ref="E111">IFERROR(_xlfn.XLOOKUP(C111&amp;A111, Inside5!B:B&amp;Inside5!I:I, Inside5!C:C), 0)</f>
        <v>0</v>
      </c>
      <c r="F111" cm="1">
        <f t="array" ref="F111">IFERROR(_xlfn.XLOOKUP(C111&amp;A111, Inside5!B:B&amp;Inside5!I:I, Inside5!D:D), 0)</f>
        <v>0</v>
      </c>
      <c r="G111" cm="1">
        <f t="array" ref="G111">IFERROR(_xlfn.XLOOKUP(C111&amp;A111, Inside5!B:B&amp;Inside5!I:I, Inside5!E:E), 0)</f>
        <v>0</v>
      </c>
      <c r="H111" t="str" cm="1">
        <f t="array" ref="H111">IFERROR(_xlfn.XLOOKUP(C111&amp;A111, TDrate!F:F&amp;TDrate!H:H, TDrate!C:C), "N/A")</f>
        <v>N/A</v>
      </c>
      <c r="I111" t="str" cm="1">
        <f t="array" ref="I111">IFERROR(_xlfn.XLOOKUP(C111&amp;A111, TDrate!F:F&amp;TDrate!H:H, TDrate!E:E), "N/A")</f>
        <v>N/A</v>
      </c>
      <c r="J111" cm="1">
        <f t="array" ref="J111">IFERROR(_xlfn.XLOOKUP(C111&amp;A111, Inside5!B:B&amp;Inside5!I:I, Inside5!F:F), 0)</f>
        <v>0</v>
      </c>
      <c r="K111" cm="1">
        <f t="array" aca="1" ref="K111" ca="1">IFERROR(_xlfn.XLOOKUP(C111&amp;A111, Inside5!B:B&amp;Inside5!I:I, Inside5!G:G), 0)</f>
        <v>0</v>
      </c>
      <c r="L111" cm="1">
        <f t="array" ref="L111">IFERROR(_xlfn.XLOOKUP(C111&amp;A111, Inside5!B:B&amp;Inside5!I:I, Inside5!H:H), 0)</f>
        <v>0</v>
      </c>
      <c r="M111" t="str" cm="1">
        <f t="array" ref="M111">IFERROR(_xlfn.XLOOKUP(C111&amp;A111, TDrate!F:F&amp;TDrate!H:H, TDrate!B:B), "N/A")</f>
        <v>N/A</v>
      </c>
      <c r="N111" t="str" cm="1">
        <f t="array" ref="N111">IFERROR(_xlfn.XLOOKUP(C111&amp;A111, TDrate!F:F&amp;TDrate!H:H, TDrate!D:D), "N/A")</f>
        <v>N/A</v>
      </c>
    </row>
    <row r="112" spans="1:14" x14ac:dyDescent="0.45">
      <c r="A112" s="5">
        <v>2025</v>
      </c>
      <c r="B112" s="6" t="s">
        <v>407</v>
      </c>
      <c r="C112" s="7" t="str">
        <f t="shared" si="2"/>
        <v>Julius Chestnut</v>
      </c>
      <c r="D112" s="7" t="str">
        <f t="shared" si="3"/>
        <v>TEN</v>
      </c>
      <c r="E112" cm="1">
        <f t="array" aca="1" ref="E112" ca="1">IFERROR(_xlfn.XLOOKUP(C112&amp;A112, Inside5!B:B&amp;Inside5!I:I, Inside5!C:C), 0)</f>
        <v>2</v>
      </c>
      <c r="F112" cm="1">
        <f t="array" ref="F112">IFERROR(_xlfn.XLOOKUP(C112&amp;A112, Inside5!B:B&amp;Inside5!I:I, Inside5!D:D), 0)</f>
        <v>0</v>
      </c>
      <c r="G112" cm="1">
        <f t="array" ref="G112">IFERROR(_xlfn.XLOOKUP(C112&amp;A112, Inside5!B:B&amp;Inside5!I:I, Inside5!E:E), 0)</f>
        <v>0.25</v>
      </c>
      <c r="H112" t="str" cm="1">
        <f t="array" ref="H112">IFERROR(_xlfn.XLOOKUP(C112&amp;A112, TDrate!F:F&amp;TDrate!H:H, TDrate!C:C), "N/A")</f>
        <v>N/A</v>
      </c>
      <c r="I112" t="str" cm="1">
        <f t="array" ref="I112">IFERROR(_xlfn.XLOOKUP(C112&amp;A112, TDrate!F:F&amp;TDrate!H:H, TDrate!E:E), "N/A")</f>
        <v>N/A</v>
      </c>
      <c r="J112" cm="1">
        <f t="array" ref="J112">IFERROR(_xlfn.XLOOKUP(C112&amp;A112, Inside5!B:B&amp;Inside5!I:I, Inside5!F:F), 0)</f>
        <v>0</v>
      </c>
      <c r="K112" cm="1">
        <f t="array" aca="1" ref="K112" ca="1">IFERROR(_xlfn.XLOOKUP(C112&amp;A112, Inside5!B:B&amp;Inside5!I:I, Inside5!G:G), 0)</f>
        <v>0</v>
      </c>
      <c r="L112" cm="1">
        <f t="array" aca="1" ref="L112" ca="1">IFERROR(_xlfn.XLOOKUP(C112&amp;A112, Inside5!B:B&amp;Inside5!I:I, Inside5!H:H), 0)</f>
        <v>0</v>
      </c>
      <c r="M112" t="str" cm="1">
        <f t="array" ref="M112">IFERROR(_xlfn.XLOOKUP(C112&amp;A112, TDrate!F:F&amp;TDrate!H:H, TDrate!B:B), "N/A")</f>
        <v>N/A</v>
      </c>
      <c r="N112" t="str" cm="1">
        <f t="array" ref="N112">IFERROR(_xlfn.XLOOKUP(C112&amp;A112, TDrate!F:F&amp;TDrate!H:H, TDrate!D:D), "N/A")</f>
        <v>N/A</v>
      </c>
    </row>
    <row r="113" spans="1:14" x14ac:dyDescent="0.45">
      <c r="A113" s="8">
        <v>2025</v>
      </c>
      <c r="B113" s="9" t="s">
        <v>408</v>
      </c>
      <c r="C113" s="10" t="str">
        <f t="shared" si="2"/>
        <v>Brittain Brown</v>
      </c>
      <c r="D113" s="10" t="str">
        <f t="shared" si="3"/>
        <v>CHI</v>
      </c>
      <c r="E113" cm="1">
        <f t="array" ref="E113">IFERROR(_xlfn.XLOOKUP(C113&amp;A113, Inside5!B:B&amp;Inside5!I:I, Inside5!C:C), 0)</f>
        <v>0</v>
      </c>
      <c r="F113" cm="1">
        <f t="array" ref="F113">IFERROR(_xlfn.XLOOKUP(C113&amp;A113, Inside5!B:B&amp;Inside5!I:I, Inside5!D:D), 0)</f>
        <v>0</v>
      </c>
      <c r="G113" cm="1">
        <f t="array" ref="G113">IFERROR(_xlfn.XLOOKUP(C113&amp;A113, Inside5!B:B&amp;Inside5!I:I, Inside5!E:E), 0)</f>
        <v>0</v>
      </c>
      <c r="H113" t="str" cm="1">
        <f t="array" ref="H113">IFERROR(_xlfn.XLOOKUP(C113&amp;A113, TDrate!F:F&amp;TDrate!H:H, TDrate!C:C), "N/A")</f>
        <v>N/A</v>
      </c>
      <c r="I113" t="str" cm="1">
        <f t="array" ref="I113">IFERROR(_xlfn.XLOOKUP(C113&amp;A113, TDrate!F:F&amp;TDrate!H:H, TDrate!E:E), "N/A")</f>
        <v>N/A</v>
      </c>
      <c r="J113" cm="1">
        <f t="array" ref="J113">IFERROR(_xlfn.XLOOKUP(C113&amp;A113, Inside5!B:B&amp;Inside5!I:I, Inside5!F:F), 0)</f>
        <v>0</v>
      </c>
      <c r="K113" cm="1">
        <f t="array" ref="K113">IFERROR(_xlfn.XLOOKUP(C113&amp;A113, Inside5!B:B&amp;Inside5!I:I, Inside5!G:G), 0)</f>
        <v>0</v>
      </c>
      <c r="L113" cm="1">
        <f t="array" ref="L113">IFERROR(_xlfn.XLOOKUP(C113&amp;A113, Inside5!B:B&amp;Inside5!I:I, Inside5!H:H), 0)</f>
        <v>0</v>
      </c>
      <c r="M113" t="str" cm="1">
        <f t="array" ref="M113">IFERROR(_xlfn.XLOOKUP(C113&amp;A113, TDrate!F:F&amp;TDrate!H:H, TDrate!B:B), "N/A")</f>
        <v>N/A</v>
      </c>
      <c r="N113" t="str" cm="1">
        <f t="array" ref="N113">IFERROR(_xlfn.XLOOKUP(C113&amp;A113, TDrate!F:F&amp;TDrate!H:H, TDrate!D:D), "N/A")</f>
        <v>N/A</v>
      </c>
    </row>
    <row r="114" spans="1:14" x14ac:dyDescent="0.45">
      <c r="A114" s="5">
        <v>2025</v>
      </c>
      <c r="B114" s="6" t="s">
        <v>409</v>
      </c>
      <c r="C114" s="7" t="str">
        <f t="shared" si="2"/>
        <v>Trayveon Williams</v>
      </c>
      <c r="D114" s="7" t="str">
        <f t="shared" si="3"/>
        <v>CLE</v>
      </c>
      <c r="E114" cm="1">
        <f t="array" ref="E114">IFERROR(_xlfn.XLOOKUP(C114&amp;A114, Inside5!B:B&amp;Inside5!I:I, Inside5!C:C), 0)</f>
        <v>0</v>
      </c>
      <c r="F114" cm="1">
        <f t="array" aca="1" ref="F114" ca="1">IFERROR(_xlfn.XLOOKUP(C114&amp;A114, Inside5!B:B&amp;Inside5!I:I, Inside5!D:D), 0)</f>
        <v>0</v>
      </c>
      <c r="G114" cm="1">
        <f t="array" ref="G114">IFERROR(_xlfn.XLOOKUP(C114&amp;A114, Inside5!B:B&amp;Inside5!I:I, Inside5!E:E), 0)</f>
        <v>0</v>
      </c>
      <c r="H114" t="str" cm="1">
        <f t="array" ref="H114">IFERROR(_xlfn.XLOOKUP(C114&amp;A114, TDrate!F:F&amp;TDrate!H:H, TDrate!C:C), "N/A")</f>
        <v>N/A</v>
      </c>
      <c r="I114" t="str" cm="1">
        <f t="array" ref="I114">IFERROR(_xlfn.XLOOKUP(C114&amp;A114, TDrate!F:F&amp;TDrate!H:H, TDrate!E:E), "N/A")</f>
        <v>N/A</v>
      </c>
      <c r="J114" cm="1">
        <f t="array" ref="J114">IFERROR(_xlfn.XLOOKUP(C114&amp;A114, Inside5!B:B&amp;Inside5!I:I, Inside5!F:F), 0)</f>
        <v>0</v>
      </c>
      <c r="K114" cm="1">
        <f t="array" ref="K114">IFERROR(_xlfn.XLOOKUP(C114&amp;A114, Inside5!B:B&amp;Inside5!I:I, Inside5!G:G), 0)</f>
        <v>0</v>
      </c>
      <c r="L114" cm="1">
        <f t="array" ref="L114">IFERROR(_xlfn.XLOOKUP(C114&amp;A114, Inside5!B:B&amp;Inside5!I:I, Inside5!H:H), 0)</f>
        <v>0</v>
      </c>
      <c r="M114" t="str" cm="1">
        <f t="array" ref="M114">IFERROR(_xlfn.XLOOKUP(C114&amp;A114, TDrate!F:F&amp;TDrate!H:H, TDrate!B:B), "N/A")</f>
        <v>N/A</v>
      </c>
      <c r="N114" t="str" cm="1">
        <f t="array" ref="N114">IFERROR(_xlfn.XLOOKUP(C114&amp;A114, TDrate!F:F&amp;TDrate!H:H, TDrate!D:D), "N/A")</f>
        <v>N/A</v>
      </c>
    </row>
    <row r="115" spans="1:14" x14ac:dyDescent="0.45">
      <c r="A115" s="8">
        <v>2025</v>
      </c>
      <c r="B115" s="9" t="s">
        <v>410</v>
      </c>
      <c r="C115" s="10" t="str">
        <f t="shared" si="2"/>
        <v>Dameon Pierce</v>
      </c>
      <c r="D115" s="10" t="str">
        <f t="shared" si="3"/>
        <v>KC</v>
      </c>
      <c r="E115" cm="1">
        <f t="array" aca="1" ref="E115" ca="1">IFERROR(_xlfn.XLOOKUP(C115&amp;A115, Inside5!B:B&amp;Inside5!I:I, Inside5!C:C), 0)</f>
        <v>0</v>
      </c>
      <c r="F115" cm="1">
        <f t="array" ref="F115">IFERROR(_xlfn.XLOOKUP(C115&amp;A115, Inside5!B:B&amp;Inside5!I:I, Inside5!D:D), 0)</f>
        <v>0</v>
      </c>
      <c r="G115" cm="1">
        <f t="array" ref="G115">IFERROR(_xlfn.XLOOKUP(C115&amp;A115, Inside5!B:B&amp;Inside5!I:I, Inside5!E:E), 0)</f>
        <v>0</v>
      </c>
      <c r="H115" t="str" cm="1">
        <f t="array" ref="H115">IFERROR(_xlfn.XLOOKUP(C115&amp;A115, TDrate!F:F&amp;TDrate!H:H, TDrate!C:C), "N/A")</f>
        <v>N/A</v>
      </c>
      <c r="I115" t="str" cm="1">
        <f t="array" ref="I115">IFERROR(_xlfn.XLOOKUP(C115&amp;A115, TDrate!F:F&amp;TDrate!H:H, TDrate!E:E), "N/A")</f>
        <v>N/A</v>
      </c>
      <c r="J115" cm="1">
        <f t="array" ref="J115">IFERROR(_xlfn.XLOOKUP(C115&amp;A115, Inside5!B:B&amp;Inside5!I:I, Inside5!F:F), 0)</f>
        <v>0</v>
      </c>
      <c r="K115" cm="1">
        <f t="array" ref="K115">IFERROR(_xlfn.XLOOKUP(C115&amp;A115, Inside5!B:B&amp;Inside5!I:I, Inside5!G:G), 0)</f>
        <v>0</v>
      </c>
      <c r="L115" cm="1">
        <f t="array" ref="L115">IFERROR(_xlfn.XLOOKUP(C115&amp;A115, Inside5!B:B&amp;Inside5!I:I, Inside5!H:H), 0)</f>
        <v>0</v>
      </c>
      <c r="M115" t="str" cm="1">
        <f t="array" ref="M115">IFERROR(_xlfn.XLOOKUP(C115&amp;A115, TDrate!F:F&amp;TDrate!H:H, TDrate!B:B), "N/A")</f>
        <v>N/A</v>
      </c>
      <c r="N115" t="str" cm="1">
        <f t="array" ref="N115">IFERROR(_xlfn.XLOOKUP(C115&amp;A115, TDrate!F:F&amp;TDrate!H:H, TDrate!D:D), "N/A")</f>
        <v>N/A</v>
      </c>
    </row>
    <row r="116" spans="1:14" x14ac:dyDescent="0.45">
      <c r="A116" s="5">
        <v>2025</v>
      </c>
      <c r="B116" s="6" t="s">
        <v>411</v>
      </c>
      <c r="C116" s="7" t="str">
        <f t="shared" si="2"/>
        <v>Zamir White</v>
      </c>
      <c r="D116" s="7" t="str">
        <f t="shared" si="3"/>
        <v>LV</v>
      </c>
      <c r="E116" cm="1">
        <f t="array" ref="E116">IFERROR(_xlfn.XLOOKUP(C116&amp;A116, Inside5!B:B&amp;Inside5!I:I, Inside5!C:C), 0)</f>
        <v>0</v>
      </c>
      <c r="F116" cm="1">
        <f t="array" ref="F116">IFERROR(_xlfn.XLOOKUP(C116&amp;A116, Inside5!B:B&amp;Inside5!I:I, Inside5!D:D), 0)</f>
        <v>0</v>
      </c>
      <c r="G116" cm="1">
        <f t="array" ref="G116">IFERROR(_xlfn.XLOOKUP(C116&amp;A116, Inside5!B:B&amp;Inside5!I:I, Inside5!E:E), 0)</f>
        <v>0</v>
      </c>
      <c r="H116" t="str" cm="1">
        <f t="array" ref="H116">IFERROR(_xlfn.XLOOKUP(C116&amp;A116, TDrate!F:F&amp;TDrate!H:H, TDrate!C:C), "N/A")</f>
        <v>N/A</v>
      </c>
      <c r="I116" t="str" cm="1">
        <f t="array" ref="I116">IFERROR(_xlfn.XLOOKUP(C116&amp;A116, TDrate!F:F&amp;TDrate!H:H, TDrate!E:E), "N/A")</f>
        <v>N/A</v>
      </c>
      <c r="J116" cm="1">
        <f t="array" ref="J116">IFERROR(_xlfn.XLOOKUP(C116&amp;A116, Inside5!B:B&amp;Inside5!I:I, Inside5!F:F), 0)</f>
        <v>0</v>
      </c>
      <c r="K116" cm="1">
        <f t="array" ref="K116">IFERROR(_xlfn.XLOOKUP(C116&amp;A116, Inside5!B:B&amp;Inside5!I:I, Inside5!G:G), 0)</f>
        <v>0</v>
      </c>
      <c r="L116" cm="1">
        <f t="array" ref="L116">IFERROR(_xlfn.XLOOKUP(C116&amp;A116, Inside5!B:B&amp;Inside5!I:I, Inside5!H:H), 0)</f>
        <v>0</v>
      </c>
      <c r="M116" t="str" cm="1">
        <f t="array" ref="M116">IFERROR(_xlfn.XLOOKUP(C116&amp;A116, TDrate!F:F&amp;TDrate!H:H, TDrate!B:B), "N/A")</f>
        <v>N/A</v>
      </c>
      <c r="N116" t="str" cm="1">
        <f t="array" ref="N116">IFERROR(_xlfn.XLOOKUP(C116&amp;A116, TDrate!F:F&amp;TDrate!H:H, TDrate!D:D), "N/A")</f>
        <v>N/A</v>
      </c>
    </row>
    <row r="117" spans="1:14" x14ac:dyDescent="0.45">
      <c r="A117" s="8">
        <v>2025</v>
      </c>
      <c r="B117" s="9" t="s">
        <v>412</v>
      </c>
      <c r="C117" s="10" t="str">
        <f t="shared" si="2"/>
        <v>Velus Jones Jr.</v>
      </c>
      <c r="D117" s="10" t="str">
        <f t="shared" si="3"/>
        <v>SEA</v>
      </c>
      <c r="E117" cm="1">
        <f t="array" aca="1" ref="E117" ca="1">IFERROR(_xlfn.XLOOKUP(C117&amp;A117, Inside5!B:B&amp;Inside5!I:I, Inside5!C:C), 0)</f>
        <v>0</v>
      </c>
      <c r="F117" cm="1">
        <f t="array" aca="1" ref="F117" ca="1">IFERROR(_xlfn.XLOOKUP(C117&amp;A117, Inside5!B:B&amp;Inside5!I:I, Inside5!D:D), 0)</f>
        <v>0</v>
      </c>
      <c r="G117" cm="1">
        <f t="array" ref="G117">IFERROR(_xlfn.XLOOKUP(C117&amp;A117, Inside5!B:B&amp;Inside5!I:I, Inside5!E:E), 0)</f>
        <v>0</v>
      </c>
      <c r="H117" t="str" cm="1">
        <f t="array" ref="H117">IFERROR(_xlfn.XLOOKUP(C117&amp;A117, TDrate!F:F&amp;TDrate!H:H, TDrate!C:C), "N/A")</f>
        <v>N/A</v>
      </c>
      <c r="I117" t="str" cm="1">
        <f t="array" ref="I117">IFERROR(_xlfn.XLOOKUP(C117&amp;A117, TDrate!F:F&amp;TDrate!H:H, TDrate!E:E), "N/A")</f>
        <v>N/A</v>
      </c>
      <c r="J117" cm="1">
        <f t="array" ref="J117">IFERROR(_xlfn.XLOOKUP(C117&amp;A117, Inside5!B:B&amp;Inside5!I:I, Inside5!F:F), 0)</f>
        <v>0</v>
      </c>
      <c r="K117" cm="1">
        <f t="array" ref="K117">IFERROR(_xlfn.XLOOKUP(C117&amp;A117, Inside5!B:B&amp;Inside5!I:I, Inside5!G:G), 0)</f>
        <v>0</v>
      </c>
      <c r="L117" cm="1">
        <f t="array" ref="L117">IFERROR(_xlfn.XLOOKUP(C117&amp;A117, Inside5!B:B&amp;Inside5!I:I, Inside5!H:H), 0)</f>
        <v>0</v>
      </c>
      <c r="M117" t="str" cm="1">
        <f t="array" ref="M117">IFERROR(_xlfn.XLOOKUP(C117&amp;A117, TDrate!F:F&amp;TDrate!H:H, TDrate!B:B), "N/A")</f>
        <v>N/A</v>
      </c>
      <c r="N117" t="str" cm="1">
        <f t="array" ref="N117">IFERROR(_xlfn.XLOOKUP(C117&amp;A117, TDrate!F:F&amp;TDrate!H:H, TDrate!D:D), "N/A")</f>
        <v>N/A</v>
      </c>
    </row>
    <row r="118" spans="1:14" x14ac:dyDescent="0.45">
      <c r="A118" s="5">
        <v>2025</v>
      </c>
      <c r="B118" s="6" t="s">
        <v>413</v>
      </c>
      <c r="C118" s="7" t="str">
        <f t="shared" si="2"/>
        <v>Dare Ogunbowale</v>
      </c>
      <c r="D118" s="7" t="str">
        <f t="shared" si="3"/>
        <v>HOU</v>
      </c>
      <c r="E118" cm="1">
        <f t="array" aca="1" ref="E118" ca="1">IFERROR(_xlfn.XLOOKUP(C118&amp;A118, Inside5!B:B&amp;Inside5!I:I, Inside5!C:C), 0)</f>
        <v>3</v>
      </c>
      <c r="F118" cm="1">
        <f t="array" aca="1" ref="F118" ca="1">IFERROR(_xlfn.XLOOKUP(C118&amp;A118, Inside5!B:B&amp;Inside5!I:I, Inside5!D:D), 0)</f>
        <v>1</v>
      </c>
      <c r="G118" cm="1">
        <f t="array" ref="G118">IFERROR(_xlfn.XLOOKUP(C118&amp;A118, Inside5!B:B&amp;Inside5!I:I, Inside5!E:E), 0)</f>
        <v>0.14299999999999999</v>
      </c>
      <c r="H118" t="str" cm="1">
        <f t="array" ref="H118">IFERROR(_xlfn.XLOOKUP(C118&amp;A118, TDrate!F:F&amp;TDrate!H:H, TDrate!C:C), "N/A")</f>
        <v>N/A</v>
      </c>
      <c r="I118" t="str" cm="1">
        <f t="array" ref="I118">IFERROR(_xlfn.XLOOKUP(C118&amp;A118, TDrate!F:F&amp;TDrate!H:H, TDrate!E:E), "N/A")</f>
        <v>N/A</v>
      </c>
      <c r="J118" cm="1">
        <f t="array" ref="J118">IFERROR(_xlfn.XLOOKUP(C118&amp;A118, Inside5!B:B&amp;Inside5!I:I, Inside5!F:F), 0)</f>
        <v>0</v>
      </c>
      <c r="K118" cm="1">
        <f t="array" ref="K118">IFERROR(_xlfn.XLOOKUP(C118&amp;A118, Inside5!B:B&amp;Inside5!I:I, Inside5!G:G), 0)</f>
        <v>0</v>
      </c>
      <c r="L118" cm="1">
        <f t="array" ref="L118">IFERROR(_xlfn.XLOOKUP(C118&amp;A118, Inside5!B:B&amp;Inside5!I:I, Inside5!H:H), 0)</f>
        <v>0</v>
      </c>
      <c r="M118" t="str" cm="1">
        <f t="array" ref="M118">IFERROR(_xlfn.XLOOKUP(C118&amp;A118, TDrate!F:F&amp;TDrate!H:H, TDrate!B:B), "N/A")</f>
        <v>N/A</v>
      </c>
      <c r="N118" t="str" cm="1">
        <f t="array" ref="N118">IFERROR(_xlfn.XLOOKUP(C118&amp;A118, TDrate!F:F&amp;TDrate!H:H, TDrate!D:D), "N/A")</f>
        <v>N/A</v>
      </c>
    </row>
    <row r="119" spans="1:14" x14ac:dyDescent="0.45">
      <c r="A119" s="8">
        <v>2025</v>
      </c>
      <c r="B119" s="9" t="s">
        <v>414</v>
      </c>
      <c r="C119" s="10" t="str">
        <f t="shared" si="2"/>
        <v>D'Ernest Johnson</v>
      </c>
      <c r="D119" s="10" t="str">
        <f t="shared" si="3"/>
        <v>NE</v>
      </c>
      <c r="E119" cm="1">
        <f t="array" aca="1" ref="E119" ca="1">IFERROR(_xlfn.XLOOKUP(C119&amp;A119, Inside5!B:B&amp;Inside5!I:I, Inside5!C:C), 0)</f>
        <v>1</v>
      </c>
      <c r="F119" cm="1">
        <f t="array" aca="1" ref="F119" ca="1">IFERROR(_xlfn.XLOOKUP(C119&amp;A119, Inside5!B:B&amp;Inside5!I:I, Inside5!D:D), 0)</f>
        <v>0</v>
      </c>
      <c r="G119" cm="1">
        <f t="array" ref="G119">IFERROR(_xlfn.XLOOKUP(C119&amp;A119, Inside5!B:B&amp;Inside5!I:I, Inside5!E:E), 0)</f>
        <v>4.8000000000000001E-2</v>
      </c>
      <c r="H119" t="str" cm="1">
        <f t="array" ref="H119">IFERROR(_xlfn.XLOOKUP(C119&amp;A119, TDrate!F:F&amp;TDrate!H:H, TDrate!C:C), "N/A")</f>
        <v>N/A</v>
      </c>
      <c r="I119" t="str" cm="1">
        <f t="array" ref="I119">IFERROR(_xlfn.XLOOKUP(C119&amp;A119, TDrate!F:F&amp;TDrate!H:H, TDrate!E:E), "N/A")</f>
        <v>N/A</v>
      </c>
      <c r="J119" cm="1">
        <f t="array" ref="J119">IFERROR(_xlfn.XLOOKUP(C119&amp;A119, Inside5!B:B&amp;Inside5!I:I, Inside5!F:F), 0)</f>
        <v>0</v>
      </c>
      <c r="K119" cm="1">
        <f t="array" aca="1" ref="K119" ca="1">IFERROR(_xlfn.XLOOKUP(C119&amp;A119, Inside5!B:B&amp;Inside5!I:I, Inside5!G:G), 0)</f>
        <v>0</v>
      </c>
      <c r="L119" cm="1">
        <f t="array" ref="L119">IFERROR(_xlfn.XLOOKUP(C119&amp;A119, Inside5!B:B&amp;Inside5!I:I, Inside5!H:H), 0)</f>
        <v>0</v>
      </c>
      <c r="M119" t="str" cm="1">
        <f t="array" ref="M119">IFERROR(_xlfn.XLOOKUP(C119&amp;A119, TDrate!F:F&amp;TDrate!H:H, TDrate!B:B), "N/A")</f>
        <v>N/A</v>
      </c>
      <c r="N119" t="str" cm="1">
        <f t="array" ref="N119">IFERROR(_xlfn.XLOOKUP(C119&amp;A119, TDrate!F:F&amp;TDrate!H:H, TDrate!D:D), "N/A")</f>
        <v>N/A</v>
      </c>
    </row>
    <row r="120" spans="1:14" x14ac:dyDescent="0.45">
      <c r="A120" s="5">
        <v>2025</v>
      </c>
      <c r="B120" s="6" t="s">
        <v>415</v>
      </c>
      <c r="C120" s="7" t="str">
        <f t="shared" si="2"/>
        <v>Tyler Goodson</v>
      </c>
      <c r="D120" s="7" t="str">
        <f t="shared" si="3"/>
        <v>IND</v>
      </c>
      <c r="E120" cm="1">
        <f t="array" ref="E120">IFERROR(_xlfn.XLOOKUP(C120&amp;A120, Inside5!B:B&amp;Inside5!I:I, Inside5!C:C), 0)</f>
        <v>0</v>
      </c>
      <c r="F120" cm="1">
        <f t="array" ref="F120">IFERROR(_xlfn.XLOOKUP(C120&amp;A120, Inside5!B:B&amp;Inside5!I:I, Inside5!D:D), 0)</f>
        <v>0</v>
      </c>
      <c r="G120" cm="1">
        <f t="array" ref="G120">IFERROR(_xlfn.XLOOKUP(C120&amp;A120, Inside5!B:B&amp;Inside5!I:I, Inside5!E:E), 0)</f>
        <v>0</v>
      </c>
      <c r="H120" t="str" cm="1">
        <f t="array" ref="H120">IFERROR(_xlfn.XLOOKUP(C120&amp;A120, TDrate!F:F&amp;TDrate!H:H, TDrate!C:C), "N/A")</f>
        <v>N/A</v>
      </c>
      <c r="I120" t="str" cm="1">
        <f t="array" ref="I120">IFERROR(_xlfn.XLOOKUP(C120&amp;A120, TDrate!F:F&amp;TDrate!H:H, TDrate!E:E), "N/A")</f>
        <v>N/A</v>
      </c>
      <c r="J120" cm="1">
        <f t="array" ref="J120">IFERROR(_xlfn.XLOOKUP(C120&amp;A120, Inside5!B:B&amp;Inside5!I:I, Inside5!F:F), 0)</f>
        <v>0</v>
      </c>
      <c r="K120" cm="1">
        <f t="array" aca="1" ref="K120" ca="1">IFERROR(_xlfn.XLOOKUP(C120&amp;A120, Inside5!B:B&amp;Inside5!I:I, Inside5!G:G), 0)</f>
        <v>1</v>
      </c>
      <c r="L120" cm="1">
        <f t="array" ref="L120">IFERROR(_xlfn.XLOOKUP(C120&amp;A120, Inside5!B:B&amp;Inside5!I:I, Inside5!H:H), 0)</f>
        <v>0</v>
      </c>
      <c r="M120" t="str" cm="1">
        <f t="array" ref="M120">IFERROR(_xlfn.XLOOKUP(C120&amp;A120, TDrate!F:F&amp;TDrate!H:H, TDrate!B:B), "N/A")</f>
        <v>N/A</v>
      </c>
      <c r="N120" t="str" cm="1">
        <f t="array" ref="N120">IFERROR(_xlfn.XLOOKUP(C120&amp;A120, TDrate!F:F&amp;TDrate!H:H, TDrate!D:D), "N/A")</f>
        <v>N/A</v>
      </c>
    </row>
    <row r="121" spans="1:14" x14ac:dyDescent="0.45">
      <c r="A121" s="8">
        <v>2025</v>
      </c>
      <c r="B121" s="9" t="s">
        <v>416</v>
      </c>
      <c r="C121" s="10" t="str">
        <f t="shared" si="2"/>
        <v>Rasheen Ali</v>
      </c>
      <c r="D121" s="10" t="str">
        <f t="shared" si="3"/>
        <v>BAL</v>
      </c>
      <c r="E121" cm="1">
        <f t="array" aca="1" ref="E121" ca="1">IFERROR(_xlfn.XLOOKUP(C121&amp;A121, Inside5!B:B&amp;Inside5!I:I, Inside5!C:C), 0)</f>
        <v>0</v>
      </c>
      <c r="F121" cm="1">
        <f t="array" aca="1" ref="F121" ca="1">IFERROR(_xlfn.XLOOKUP(C121&amp;A121, Inside5!B:B&amp;Inside5!I:I, Inside5!D:D), 0)</f>
        <v>0</v>
      </c>
      <c r="G121" cm="1">
        <f t="array" ref="G121">IFERROR(_xlfn.XLOOKUP(C121&amp;A121, Inside5!B:B&amp;Inside5!I:I, Inside5!E:E), 0)</f>
        <v>0</v>
      </c>
      <c r="H121" t="str" cm="1">
        <f t="array" ref="H121">IFERROR(_xlfn.XLOOKUP(C121&amp;A121, TDrate!F:F&amp;TDrate!H:H, TDrate!C:C), "N/A")</f>
        <v>N/A</v>
      </c>
      <c r="I121" t="str" cm="1">
        <f t="array" ref="I121">IFERROR(_xlfn.XLOOKUP(C121&amp;A121, TDrate!F:F&amp;TDrate!H:H, TDrate!E:E), "N/A")</f>
        <v>N/A</v>
      </c>
      <c r="J121" cm="1">
        <f t="array" ref="J121">IFERROR(_xlfn.XLOOKUP(C121&amp;A121, Inside5!B:B&amp;Inside5!I:I, Inside5!F:F), 0)</f>
        <v>0</v>
      </c>
      <c r="K121" cm="1">
        <f t="array" ref="K121">IFERROR(_xlfn.XLOOKUP(C121&amp;A121, Inside5!B:B&amp;Inside5!I:I, Inside5!G:G), 0)</f>
        <v>0</v>
      </c>
      <c r="L121" cm="1">
        <f t="array" ref="L121">IFERROR(_xlfn.XLOOKUP(C121&amp;A121, Inside5!B:B&amp;Inside5!I:I, Inside5!H:H), 0)</f>
        <v>0</v>
      </c>
      <c r="M121" t="str" cm="1">
        <f t="array" ref="M121">IFERROR(_xlfn.XLOOKUP(C121&amp;A121, TDrate!F:F&amp;TDrate!H:H, TDrate!B:B), "N/A")</f>
        <v>N/A</v>
      </c>
      <c r="N121" t="str" cm="1">
        <f t="array" ref="N121">IFERROR(_xlfn.XLOOKUP(C121&amp;A121, TDrate!F:F&amp;TDrate!H:H, TDrate!D:D), "N/A")</f>
        <v>N/A</v>
      </c>
    </row>
    <row r="122" spans="1:14" x14ac:dyDescent="0.45">
      <c r="A122" s="5">
        <v>2025</v>
      </c>
      <c r="B122" s="6" t="s">
        <v>417</v>
      </c>
      <c r="C122" s="7" t="str">
        <f t="shared" si="2"/>
        <v>Tyler Badie</v>
      </c>
      <c r="D122" s="7" t="str">
        <f t="shared" si="3"/>
        <v>DEN</v>
      </c>
      <c r="E122" cm="1">
        <f t="array" ref="E122">IFERROR(_xlfn.XLOOKUP(C122&amp;A122, Inside5!B:B&amp;Inside5!I:I, Inside5!C:C), 0)</f>
        <v>0</v>
      </c>
      <c r="F122" cm="1">
        <f t="array" ref="F122">IFERROR(_xlfn.XLOOKUP(C122&amp;A122, Inside5!B:B&amp;Inside5!I:I, Inside5!D:D), 0)</f>
        <v>0</v>
      </c>
      <c r="G122" cm="1">
        <f t="array" ref="G122">IFERROR(_xlfn.XLOOKUP(C122&amp;A122, Inside5!B:B&amp;Inside5!I:I, Inside5!E:E), 0)</f>
        <v>0</v>
      </c>
      <c r="H122" t="str" cm="1">
        <f t="array" ref="H122">IFERROR(_xlfn.XLOOKUP(C122&amp;A122, TDrate!F:F&amp;TDrate!H:H, TDrate!C:C), "N/A")</f>
        <v>N/A</v>
      </c>
      <c r="I122" t="str" cm="1">
        <f t="array" ref="I122">IFERROR(_xlfn.XLOOKUP(C122&amp;A122, TDrate!F:F&amp;TDrate!H:H, TDrate!E:E), "N/A")</f>
        <v>N/A</v>
      </c>
      <c r="J122" cm="1">
        <f t="array" ref="J122">IFERROR(_xlfn.XLOOKUP(C122&amp;A122, Inside5!B:B&amp;Inside5!I:I, Inside5!F:F), 0)</f>
        <v>0</v>
      </c>
      <c r="K122" cm="1">
        <f t="array" ref="K122">IFERROR(_xlfn.XLOOKUP(C122&amp;A122, Inside5!B:B&amp;Inside5!I:I, Inside5!G:G), 0)</f>
        <v>0</v>
      </c>
      <c r="L122" cm="1">
        <f t="array" ref="L122">IFERROR(_xlfn.XLOOKUP(C122&amp;A122, Inside5!B:B&amp;Inside5!I:I, Inside5!H:H), 0)</f>
        <v>0</v>
      </c>
      <c r="M122" t="str" cm="1">
        <f t="array" ref="M122">IFERROR(_xlfn.XLOOKUP(C122&amp;A122, TDrate!F:F&amp;TDrate!H:H, TDrate!B:B), "N/A")</f>
        <v>N/A</v>
      </c>
      <c r="N122" t="str" cm="1">
        <f t="array" ref="N122">IFERROR(_xlfn.XLOOKUP(C122&amp;A122, TDrate!F:F&amp;TDrate!H:H, TDrate!D:D), "N/A")</f>
        <v>N/A</v>
      </c>
    </row>
    <row r="123" spans="1:14" x14ac:dyDescent="0.45">
      <c r="A123" s="8">
        <v>2025</v>
      </c>
      <c r="B123" s="9" t="s">
        <v>418</v>
      </c>
      <c r="C123" s="10" t="str">
        <f t="shared" si="2"/>
        <v>DeeJay Dallas</v>
      </c>
      <c r="D123" s="10" t="str">
        <f t="shared" si="3"/>
        <v>JAC</v>
      </c>
      <c r="E123" cm="1">
        <f t="array" aca="1" ref="E123" ca="1">IFERROR(_xlfn.XLOOKUP(C123&amp;A123, Inside5!B:B&amp;Inside5!I:I, Inside5!C:C), 0)</f>
        <v>0</v>
      </c>
      <c r="F123" cm="1">
        <f t="array" aca="1" ref="F123" ca="1">IFERROR(_xlfn.XLOOKUP(C123&amp;A123, Inside5!B:B&amp;Inside5!I:I, Inside5!D:D), 0)</f>
        <v>0</v>
      </c>
      <c r="G123" cm="1">
        <f t="array" ref="G123">IFERROR(_xlfn.XLOOKUP(C123&amp;A123, Inside5!B:B&amp;Inside5!I:I, Inside5!E:E), 0)</f>
        <v>0</v>
      </c>
      <c r="H123" t="str" cm="1">
        <f t="array" ref="H123">IFERROR(_xlfn.XLOOKUP(C123&amp;A123, TDrate!F:F&amp;TDrate!H:H, TDrate!C:C), "N/A")</f>
        <v>N/A</v>
      </c>
      <c r="I123" t="str" cm="1">
        <f t="array" ref="I123">IFERROR(_xlfn.XLOOKUP(C123&amp;A123, TDrate!F:F&amp;TDrate!H:H, TDrate!E:E), "N/A")</f>
        <v>N/A</v>
      </c>
      <c r="J123" cm="1">
        <f t="array" ref="J123">IFERROR(_xlfn.XLOOKUP(C123&amp;A123, Inside5!B:B&amp;Inside5!I:I, Inside5!F:F), 0)</f>
        <v>0</v>
      </c>
      <c r="K123" cm="1">
        <f t="array" aca="1" ref="K123" ca="1">IFERROR(_xlfn.XLOOKUP(C123&amp;A123, Inside5!B:B&amp;Inside5!I:I, Inside5!G:G), 0)</f>
        <v>0</v>
      </c>
      <c r="L123" cm="1">
        <f t="array" ref="L123">IFERROR(_xlfn.XLOOKUP(C123&amp;A123, Inside5!B:B&amp;Inside5!I:I, Inside5!H:H), 0)</f>
        <v>0</v>
      </c>
      <c r="M123" t="str" cm="1">
        <f t="array" ref="M123">IFERROR(_xlfn.XLOOKUP(C123&amp;A123, TDrate!F:F&amp;TDrate!H:H, TDrate!B:B), "N/A")</f>
        <v>N/A</v>
      </c>
      <c r="N123" t="str" cm="1">
        <f t="array" ref="N123">IFERROR(_xlfn.XLOOKUP(C123&amp;A123, TDrate!F:F&amp;TDrate!H:H, TDrate!D:D), "N/A")</f>
        <v>N/A</v>
      </c>
    </row>
    <row r="124" spans="1:14" x14ac:dyDescent="0.45">
      <c r="A124" s="5">
        <v>2025</v>
      </c>
      <c r="B124" s="6" t="s">
        <v>419</v>
      </c>
      <c r="C124" s="7" t="str">
        <f t="shared" si="2"/>
        <v>Jacardia Wright</v>
      </c>
      <c r="D124" s="7" t="str">
        <f t="shared" si="3"/>
        <v>SEA</v>
      </c>
      <c r="E124" cm="1">
        <f t="array" aca="1" ref="E124" ca="1">IFERROR(_xlfn.XLOOKUP(C124&amp;A124, Inside5!B:B&amp;Inside5!I:I, Inside5!C:C), 0)</f>
        <v>0</v>
      </c>
      <c r="F124" cm="1">
        <f t="array" aca="1" ref="F124" ca="1">IFERROR(_xlfn.XLOOKUP(C124&amp;A124, Inside5!B:B&amp;Inside5!I:I, Inside5!D:D), 0)</f>
        <v>0</v>
      </c>
      <c r="G124" cm="1">
        <f t="array" ref="G124">IFERROR(_xlfn.XLOOKUP(C124&amp;A124, Inside5!B:B&amp;Inside5!I:I, Inside5!E:E), 0)</f>
        <v>0</v>
      </c>
      <c r="H124" t="str" cm="1">
        <f t="array" ref="H124">IFERROR(_xlfn.XLOOKUP(C124&amp;A124, TDrate!F:F&amp;TDrate!H:H, TDrate!C:C), "N/A")</f>
        <v>N/A</v>
      </c>
      <c r="I124" t="str" cm="1">
        <f t="array" ref="I124">IFERROR(_xlfn.XLOOKUP(C124&amp;A124, TDrate!F:F&amp;TDrate!H:H, TDrate!E:E), "N/A")</f>
        <v>N/A</v>
      </c>
      <c r="J124" cm="1">
        <f t="array" ref="J124">IFERROR(_xlfn.XLOOKUP(C124&amp;A124, Inside5!B:B&amp;Inside5!I:I, Inside5!F:F), 0)</f>
        <v>0</v>
      </c>
      <c r="K124" cm="1">
        <f t="array" aca="1" ref="K124" ca="1">IFERROR(_xlfn.XLOOKUP(C124&amp;A124, Inside5!B:B&amp;Inside5!I:I, Inside5!G:G), 0)</f>
        <v>0</v>
      </c>
      <c r="L124" cm="1">
        <f t="array" ref="L124">IFERROR(_xlfn.XLOOKUP(C124&amp;A124, Inside5!B:B&amp;Inside5!I:I, Inside5!H:H), 0)</f>
        <v>0</v>
      </c>
      <c r="M124" t="str" cm="1">
        <f t="array" ref="M124">IFERROR(_xlfn.XLOOKUP(C124&amp;A124, TDrate!F:F&amp;TDrate!H:H, TDrate!B:B), "N/A")</f>
        <v>N/A</v>
      </c>
      <c r="N124" t="str" cm="1">
        <f t="array" ref="N124">IFERROR(_xlfn.XLOOKUP(C124&amp;A124, TDrate!F:F&amp;TDrate!H:H, TDrate!D:D), "N/A")</f>
        <v>N/A</v>
      </c>
    </row>
    <row r="125" spans="1:14" x14ac:dyDescent="0.45">
      <c r="A125" s="8">
        <v>2025</v>
      </c>
      <c r="B125" s="9" t="s">
        <v>420</v>
      </c>
      <c r="C125" s="10" t="str">
        <f t="shared" si="2"/>
        <v>Cam Akers</v>
      </c>
      <c r="D125" s="10" t="str">
        <f t="shared" si="3"/>
        <v>SEA</v>
      </c>
      <c r="E125" cm="1">
        <f t="array" aca="1" ref="E125" ca="1">IFERROR(_xlfn.XLOOKUP(C125&amp;A125, Inside5!B:B&amp;Inside5!I:I, Inside5!C:C), 0)</f>
        <v>0</v>
      </c>
      <c r="F125" cm="1">
        <f t="array" aca="1" ref="F125" ca="1">IFERROR(_xlfn.XLOOKUP(C125&amp;A125, Inside5!B:B&amp;Inside5!I:I, Inside5!D:D), 0)</f>
        <v>0</v>
      </c>
      <c r="G125" cm="1">
        <f t="array" ref="G125">IFERROR(_xlfn.XLOOKUP(C125&amp;A125, Inside5!B:B&amp;Inside5!I:I, Inside5!E:E), 0)</f>
        <v>0</v>
      </c>
      <c r="H125" t="str" cm="1">
        <f t="array" ref="H125">IFERROR(_xlfn.XLOOKUP(C125&amp;A125, TDrate!F:F&amp;TDrate!H:H, TDrate!C:C), "N/A")</f>
        <v>N/A</v>
      </c>
      <c r="I125" t="str" cm="1">
        <f t="array" ref="I125">IFERROR(_xlfn.XLOOKUP(C125&amp;A125, TDrate!F:F&amp;TDrate!H:H, TDrate!E:E), "N/A")</f>
        <v>N/A</v>
      </c>
      <c r="J125" cm="1">
        <f t="array" ref="J125">IFERROR(_xlfn.XLOOKUP(C125&amp;A125, Inside5!B:B&amp;Inside5!I:I, Inside5!F:F), 0)</f>
        <v>0</v>
      </c>
      <c r="K125" cm="1">
        <f t="array" ref="K125">IFERROR(_xlfn.XLOOKUP(C125&amp;A125, Inside5!B:B&amp;Inside5!I:I, Inside5!G:G), 0)</f>
        <v>0</v>
      </c>
      <c r="L125" cm="1">
        <f t="array" ref="L125">IFERROR(_xlfn.XLOOKUP(C125&amp;A125, Inside5!B:B&amp;Inside5!I:I, Inside5!H:H), 0)</f>
        <v>0</v>
      </c>
      <c r="M125" t="str" cm="1">
        <f t="array" ref="M125">IFERROR(_xlfn.XLOOKUP(C125&amp;A125, TDrate!F:F&amp;TDrate!H:H, TDrate!B:B), "N/A")</f>
        <v>N/A</v>
      </c>
      <c r="N125" t="str" cm="1">
        <f t="array" ref="N125">IFERROR(_xlfn.XLOOKUP(C125&amp;A125, TDrate!F:F&amp;TDrate!H:H, TDrate!D:D), "N/A")</f>
        <v>N/A</v>
      </c>
    </row>
    <row r="126" spans="1:14" x14ac:dyDescent="0.45">
      <c r="A126" s="5">
        <v>2025</v>
      </c>
      <c r="B126" s="6" t="s">
        <v>421</v>
      </c>
      <c r="C126" s="7" t="str">
        <f t="shared" si="2"/>
        <v>Phil Mafah</v>
      </c>
      <c r="D126" s="7" t="str">
        <f t="shared" si="3"/>
        <v>DAL</v>
      </c>
      <c r="E126" cm="1">
        <f t="array" ref="E126">IFERROR(_xlfn.XLOOKUP(C126&amp;A126, Inside5!B:B&amp;Inside5!I:I, Inside5!C:C), 0)</f>
        <v>0</v>
      </c>
      <c r="F126" cm="1">
        <f t="array" ref="F126">IFERROR(_xlfn.XLOOKUP(C126&amp;A126, Inside5!B:B&amp;Inside5!I:I, Inside5!D:D), 0)</f>
        <v>0</v>
      </c>
      <c r="G126" cm="1">
        <f t="array" ref="G126">IFERROR(_xlfn.XLOOKUP(C126&amp;A126, Inside5!B:B&amp;Inside5!I:I, Inside5!E:E), 0)</f>
        <v>0</v>
      </c>
      <c r="H126" t="str" cm="1">
        <f t="array" ref="H126">IFERROR(_xlfn.XLOOKUP(C126&amp;A126, TDrate!F:F&amp;TDrate!H:H, TDrate!C:C), "N/A")</f>
        <v>N/A</v>
      </c>
      <c r="I126" t="str" cm="1">
        <f t="array" ref="I126">IFERROR(_xlfn.XLOOKUP(C126&amp;A126, TDrate!F:F&amp;TDrate!H:H, TDrate!E:E), "N/A")</f>
        <v>N/A</v>
      </c>
      <c r="J126" cm="1">
        <f t="array" ref="J126">IFERROR(_xlfn.XLOOKUP(C126&amp;A126, Inside5!B:B&amp;Inside5!I:I, Inside5!F:F), 0)</f>
        <v>0</v>
      </c>
      <c r="K126" cm="1">
        <f t="array" ref="K126">IFERROR(_xlfn.XLOOKUP(C126&amp;A126, Inside5!B:B&amp;Inside5!I:I, Inside5!G:G), 0)</f>
        <v>0</v>
      </c>
      <c r="L126" cm="1">
        <f t="array" ref="L126">IFERROR(_xlfn.XLOOKUP(C126&amp;A126, Inside5!B:B&amp;Inside5!I:I, Inside5!H:H), 0)</f>
        <v>0</v>
      </c>
      <c r="M126" t="str" cm="1">
        <f t="array" ref="M126">IFERROR(_xlfn.XLOOKUP(C126&amp;A126, TDrate!F:F&amp;TDrate!H:H, TDrate!B:B), "N/A")</f>
        <v>N/A</v>
      </c>
      <c r="N126" t="str" cm="1">
        <f t="array" ref="N126">IFERROR(_xlfn.XLOOKUP(C126&amp;A126, TDrate!F:F&amp;TDrate!H:H, TDrate!D:D), "N/A")</f>
        <v>N/A</v>
      </c>
    </row>
    <row r="127" spans="1:14" x14ac:dyDescent="0.45">
      <c r="A127" s="8">
        <v>2025</v>
      </c>
      <c r="B127" s="9" t="s">
        <v>422</v>
      </c>
      <c r="C127" s="10" t="str">
        <f t="shared" si="2"/>
        <v>Roschon Johnson</v>
      </c>
      <c r="D127" s="10" t="str">
        <f t="shared" si="3"/>
        <v>CHI</v>
      </c>
      <c r="E127" cm="1">
        <f t="array" aca="1" ref="E127" ca="1">IFERROR(_xlfn.XLOOKUP(C127&amp;A127, Inside5!B:B&amp;Inside5!I:I, Inside5!C:C), 0)</f>
        <v>0</v>
      </c>
      <c r="F127" cm="1">
        <f t="array" aca="1" ref="F127" ca="1">IFERROR(_xlfn.XLOOKUP(C127&amp;A127, Inside5!B:B&amp;Inside5!I:I, Inside5!D:D), 0)</f>
        <v>0</v>
      </c>
      <c r="G127" cm="1">
        <f t="array" ref="G127">IFERROR(_xlfn.XLOOKUP(C127&amp;A127, Inside5!B:B&amp;Inside5!I:I, Inside5!E:E), 0)</f>
        <v>0</v>
      </c>
      <c r="H127" t="str" cm="1">
        <f t="array" ref="H127">IFERROR(_xlfn.XLOOKUP(C127&amp;A127, TDrate!F:F&amp;TDrate!H:H, TDrate!C:C), "N/A")</f>
        <v>N/A</v>
      </c>
      <c r="I127" t="str" cm="1">
        <f t="array" ref="I127">IFERROR(_xlfn.XLOOKUP(C127&amp;A127, TDrate!F:F&amp;TDrate!H:H, TDrate!E:E), "N/A")</f>
        <v>N/A</v>
      </c>
      <c r="J127" cm="1">
        <f t="array" ref="J127">IFERROR(_xlfn.XLOOKUP(C127&amp;A127, Inside5!B:B&amp;Inside5!I:I, Inside5!F:F), 0)</f>
        <v>0</v>
      </c>
      <c r="K127" cm="1">
        <f t="array" ref="K127">IFERROR(_xlfn.XLOOKUP(C127&amp;A127, Inside5!B:B&amp;Inside5!I:I, Inside5!G:G), 0)</f>
        <v>0</v>
      </c>
      <c r="L127" cm="1">
        <f t="array" ref="L127">IFERROR(_xlfn.XLOOKUP(C127&amp;A127, Inside5!B:B&amp;Inside5!I:I, Inside5!H:H), 0)</f>
        <v>0</v>
      </c>
      <c r="M127" t="str" cm="1">
        <f t="array" ref="M127">IFERROR(_xlfn.XLOOKUP(C127&amp;A127, TDrate!F:F&amp;TDrate!H:H, TDrate!B:B), "N/A")</f>
        <v>N/A</v>
      </c>
      <c r="N127" t="str" cm="1">
        <f t="array" ref="N127">IFERROR(_xlfn.XLOOKUP(C127&amp;A127, TDrate!F:F&amp;TDrate!H:H, TDrate!D:D), "N/A")</f>
        <v>N/A</v>
      </c>
    </row>
    <row r="128" spans="1:14" x14ac:dyDescent="0.45">
      <c r="A128" s="5">
        <v>2025</v>
      </c>
      <c r="B128" s="6" t="s">
        <v>423</v>
      </c>
      <c r="C128" s="7" t="str">
        <f t="shared" si="2"/>
        <v>Clyde Edwards-Helaire</v>
      </c>
      <c r="D128" s="7" t="str">
        <f t="shared" si="3"/>
        <v>KC</v>
      </c>
      <c r="E128" cm="1">
        <f t="array" aca="1" ref="E128" ca="1">IFERROR(_xlfn.XLOOKUP(C128&amp;A128, Inside5!B:B&amp;Inside5!I:I, Inside5!C:C), 0)</f>
        <v>0</v>
      </c>
      <c r="F128" cm="1">
        <f t="array" aca="1" ref="F128" ca="1">IFERROR(_xlfn.XLOOKUP(C128&amp;A128, Inside5!B:B&amp;Inside5!I:I, Inside5!D:D), 0)</f>
        <v>0</v>
      </c>
      <c r="G128" cm="1">
        <f t="array" ref="G128">IFERROR(_xlfn.XLOOKUP(C128&amp;A128, Inside5!B:B&amp;Inside5!I:I, Inside5!E:E), 0)</f>
        <v>0</v>
      </c>
      <c r="H128" t="str" cm="1">
        <f t="array" ref="H128">IFERROR(_xlfn.XLOOKUP(C128&amp;A128, TDrate!F:F&amp;TDrate!H:H, TDrate!C:C), "N/A")</f>
        <v>N/A</v>
      </c>
      <c r="I128" t="str" cm="1">
        <f t="array" ref="I128">IFERROR(_xlfn.XLOOKUP(C128&amp;A128, TDrate!F:F&amp;TDrate!H:H, TDrate!E:E), "N/A")</f>
        <v>N/A</v>
      </c>
      <c r="J128" cm="1">
        <f t="array" ref="J128">IFERROR(_xlfn.XLOOKUP(C128&amp;A128, Inside5!B:B&amp;Inside5!I:I, Inside5!F:F), 0)</f>
        <v>0</v>
      </c>
      <c r="K128" cm="1">
        <f t="array" ref="K128">IFERROR(_xlfn.XLOOKUP(C128&amp;A128, Inside5!B:B&amp;Inside5!I:I, Inside5!G:G), 0)</f>
        <v>0</v>
      </c>
      <c r="L128" cm="1">
        <f t="array" aca="1" ref="L128" ca="1">IFERROR(_xlfn.XLOOKUP(C128&amp;A128, Inside5!B:B&amp;Inside5!I:I, Inside5!H:H), 0)</f>
        <v>0</v>
      </c>
      <c r="M128" t="str" cm="1">
        <f t="array" ref="M128">IFERROR(_xlfn.XLOOKUP(C128&amp;A128, TDrate!F:F&amp;TDrate!H:H, TDrate!B:B), "N/A")</f>
        <v>N/A</v>
      </c>
      <c r="N128" t="str" cm="1">
        <f t="array" ref="N128">IFERROR(_xlfn.XLOOKUP(C128&amp;A128, TDrate!F:F&amp;TDrate!H:H, TDrate!D:D), "N/A")</f>
        <v>N/A</v>
      </c>
    </row>
    <row r="129" spans="1:14" x14ac:dyDescent="0.45">
      <c r="A129" s="8">
        <v>2025</v>
      </c>
      <c r="B129" s="9" t="s">
        <v>424</v>
      </c>
      <c r="C129" s="10" t="str">
        <f t="shared" si="2"/>
        <v>Josh Williams</v>
      </c>
      <c r="D129" s="10" t="str">
        <f t="shared" si="3"/>
        <v>TB</v>
      </c>
      <c r="E129" cm="1">
        <f t="array" aca="1" ref="E129" ca="1">IFERROR(_xlfn.XLOOKUP(C129&amp;A129, Inside5!B:B&amp;Inside5!I:I, Inside5!C:C), 0)</f>
        <v>0</v>
      </c>
      <c r="F129" cm="1">
        <f t="array" aca="1" ref="F129" ca="1">IFERROR(_xlfn.XLOOKUP(C129&amp;A129, Inside5!B:B&amp;Inside5!I:I, Inside5!D:D), 0)</f>
        <v>0</v>
      </c>
      <c r="G129" cm="1">
        <f t="array" ref="G129">IFERROR(_xlfn.XLOOKUP(C129&amp;A129, Inside5!B:B&amp;Inside5!I:I, Inside5!E:E), 0)</f>
        <v>0</v>
      </c>
      <c r="H129" t="str" cm="1">
        <f t="array" ref="H129">IFERROR(_xlfn.XLOOKUP(C129&amp;A129, TDrate!F:F&amp;TDrate!H:H, TDrate!C:C), "N/A")</f>
        <v>N/A</v>
      </c>
      <c r="I129" t="str" cm="1">
        <f t="array" ref="I129">IFERROR(_xlfn.XLOOKUP(C129&amp;A129, TDrate!F:F&amp;TDrate!H:H, TDrate!E:E), "N/A")</f>
        <v>N/A</v>
      </c>
      <c r="J129" cm="1">
        <f t="array" ref="J129">IFERROR(_xlfn.XLOOKUP(C129&amp;A129, Inside5!B:B&amp;Inside5!I:I, Inside5!F:F), 0)</f>
        <v>0</v>
      </c>
      <c r="K129" cm="1">
        <f t="array" aca="1" ref="K129" ca="1">IFERROR(_xlfn.XLOOKUP(C129&amp;A129, Inside5!B:B&amp;Inside5!I:I, Inside5!G:G), 0)</f>
        <v>0</v>
      </c>
      <c r="L129" cm="1">
        <f t="array" ref="L129">IFERROR(_xlfn.XLOOKUP(C129&amp;A129, Inside5!B:B&amp;Inside5!I:I, Inside5!H:H), 0)</f>
        <v>0</v>
      </c>
      <c r="M129" t="str" cm="1">
        <f t="array" ref="M129">IFERROR(_xlfn.XLOOKUP(C129&amp;A129, TDrate!F:F&amp;TDrate!H:H, TDrate!B:B), "N/A")</f>
        <v>N/A</v>
      </c>
      <c r="N129" t="str" cm="1">
        <f t="array" ref="N129">IFERROR(_xlfn.XLOOKUP(C129&amp;A129, TDrate!F:F&amp;TDrate!H:H, TDrate!D:D), "N/A")</f>
        <v>N/A</v>
      </c>
    </row>
    <row r="130" spans="1:14" x14ac:dyDescent="0.45">
      <c r="A130" s="5">
        <v>2025</v>
      </c>
      <c r="B130" s="6" t="s">
        <v>425</v>
      </c>
      <c r="C130" s="7" t="str">
        <f t="shared" ref="C130:C193" si="4">TRIM(LEFT(B130, LEN(B130) - LEN(TRIM(RIGHT(SUBSTITUTE(TRIM(B130)," ",REPT(" ",100)),100)))))</f>
        <v>Jacob Saylors</v>
      </c>
      <c r="D130" s="7" t="str">
        <f t="shared" ref="D130:D193" si="5">MID(B130, FIND("(", B130) + 1, FIND(")", B130) - FIND("(", B130) - 1)</f>
        <v>DET</v>
      </c>
      <c r="E130" cm="1">
        <f t="array" aca="1" ref="E130" ca="1">IFERROR(_xlfn.XLOOKUP(C130&amp;A130, Inside5!B:B&amp;Inside5!I:I, Inside5!C:C), 0)</f>
        <v>0</v>
      </c>
      <c r="F130" cm="1">
        <f t="array" aca="1" ref="F130" ca="1">IFERROR(_xlfn.XLOOKUP(C130&amp;A130, Inside5!B:B&amp;Inside5!I:I, Inside5!D:D), 0)</f>
        <v>0</v>
      </c>
      <c r="G130" cm="1">
        <f t="array" ref="G130">IFERROR(_xlfn.XLOOKUP(C130&amp;A130, Inside5!B:B&amp;Inside5!I:I, Inside5!E:E), 0)</f>
        <v>0</v>
      </c>
      <c r="H130" t="str" cm="1">
        <f t="array" ref="H130">IFERROR(_xlfn.XLOOKUP(C130&amp;A130, TDrate!F:F&amp;TDrate!H:H, TDrate!C:C), "N/A")</f>
        <v>N/A</v>
      </c>
      <c r="I130" t="str" cm="1">
        <f t="array" ref="I130">IFERROR(_xlfn.XLOOKUP(C130&amp;A130, TDrate!F:F&amp;TDrate!H:H, TDrate!E:E), "N/A")</f>
        <v>N/A</v>
      </c>
      <c r="J130" cm="1">
        <f t="array" ref="J130">IFERROR(_xlfn.XLOOKUP(C130&amp;A130, Inside5!B:B&amp;Inside5!I:I, Inside5!F:F), 0)</f>
        <v>0</v>
      </c>
      <c r="K130" cm="1">
        <f t="array" ref="K130">IFERROR(_xlfn.XLOOKUP(C130&amp;A130, Inside5!B:B&amp;Inside5!I:I, Inside5!G:G), 0)</f>
        <v>0</v>
      </c>
      <c r="L130" cm="1">
        <f t="array" ref="L130">IFERROR(_xlfn.XLOOKUP(C130&amp;A130, Inside5!B:B&amp;Inside5!I:I, Inside5!H:H), 0)</f>
        <v>0</v>
      </c>
      <c r="M130" t="str" cm="1">
        <f t="array" ref="M130">IFERROR(_xlfn.XLOOKUP(C130&amp;A130, TDrate!F:F&amp;TDrate!H:H, TDrate!B:B), "N/A")</f>
        <v>N/A</v>
      </c>
      <c r="N130" t="str" cm="1">
        <f t="array" ref="N130">IFERROR(_xlfn.XLOOKUP(C130&amp;A130, TDrate!F:F&amp;TDrate!H:H, TDrate!D:D), "N/A")</f>
        <v>N/A</v>
      </c>
    </row>
    <row r="131" spans="1:14" x14ac:dyDescent="0.45">
      <c r="A131" s="8">
        <v>2025</v>
      </c>
      <c r="B131" s="9" t="s">
        <v>426</v>
      </c>
      <c r="C131" s="10" t="str">
        <f t="shared" si="4"/>
        <v>Dylan Laube</v>
      </c>
      <c r="D131" s="10" t="str">
        <f t="shared" si="5"/>
        <v>LV</v>
      </c>
      <c r="E131" cm="1">
        <f t="array" aca="1" ref="E131" ca="1">IFERROR(_xlfn.XLOOKUP(C131&amp;A131, Inside5!B:B&amp;Inside5!I:I, Inside5!C:C), 0)</f>
        <v>0</v>
      </c>
      <c r="F131" cm="1">
        <f t="array" aca="1" ref="F131" ca="1">IFERROR(_xlfn.XLOOKUP(C131&amp;A131, Inside5!B:B&amp;Inside5!I:I, Inside5!D:D), 0)</f>
        <v>0</v>
      </c>
      <c r="G131" cm="1">
        <f t="array" ref="G131">IFERROR(_xlfn.XLOOKUP(C131&amp;A131, Inside5!B:B&amp;Inside5!I:I, Inside5!E:E), 0)</f>
        <v>0</v>
      </c>
      <c r="H131" t="str" cm="1">
        <f t="array" ref="H131">IFERROR(_xlfn.XLOOKUP(C131&amp;A131, TDrate!F:F&amp;TDrate!H:H, TDrate!C:C), "N/A")</f>
        <v>N/A</v>
      </c>
      <c r="I131" t="str" cm="1">
        <f t="array" ref="I131">IFERROR(_xlfn.XLOOKUP(C131&amp;A131, TDrate!F:F&amp;TDrate!H:H, TDrate!E:E), "N/A")</f>
        <v>N/A</v>
      </c>
      <c r="J131" cm="1">
        <f t="array" ref="J131">IFERROR(_xlfn.XLOOKUP(C131&amp;A131, Inside5!B:B&amp;Inside5!I:I, Inside5!F:F), 0)</f>
        <v>0</v>
      </c>
      <c r="K131" cm="1">
        <f t="array" ref="K131">IFERROR(_xlfn.XLOOKUP(C131&amp;A131, Inside5!B:B&amp;Inside5!I:I, Inside5!G:G), 0)</f>
        <v>0</v>
      </c>
      <c r="L131" cm="1">
        <f t="array" ref="L131">IFERROR(_xlfn.XLOOKUP(C131&amp;A131, Inside5!B:B&amp;Inside5!I:I, Inside5!H:H), 0)</f>
        <v>0</v>
      </c>
      <c r="M131" t="str" cm="1">
        <f t="array" ref="M131">IFERROR(_xlfn.XLOOKUP(C131&amp;A131, TDrate!F:F&amp;TDrate!H:H, TDrate!B:B), "N/A")</f>
        <v>N/A</v>
      </c>
      <c r="N131" t="str" cm="1">
        <f t="array" ref="N131">IFERROR(_xlfn.XLOOKUP(C131&amp;A131, TDrate!F:F&amp;TDrate!H:H, TDrate!D:D), "N/A")</f>
        <v>N/A</v>
      </c>
    </row>
    <row r="132" spans="1:14" x14ac:dyDescent="0.45">
      <c r="A132" s="5">
        <v>2025</v>
      </c>
      <c r="B132" s="6" t="s">
        <v>427</v>
      </c>
      <c r="C132" s="7" t="str">
        <f t="shared" si="4"/>
        <v>Alec Ingold</v>
      </c>
      <c r="D132" s="7" t="str">
        <f t="shared" si="5"/>
        <v>MIA</v>
      </c>
      <c r="E132" cm="1">
        <f t="array" aca="1" ref="E132" ca="1">IFERROR(_xlfn.XLOOKUP(C132&amp;A132, Inside5!B:B&amp;Inside5!I:I, Inside5!C:C), 0)</f>
        <v>0</v>
      </c>
      <c r="F132" cm="1">
        <f t="array" aca="1" ref="F132" ca="1">IFERROR(_xlfn.XLOOKUP(C132&amp;A132, Inside5!B:B&amp;Inside5!I:I, Inside5!D:D), 0)</f>
        <v>0</v>
      </c>
      <c r="G132" cm="1">
        <f t="array" ref="G132">IFERROR(_xlfn.XLOOKUP(C132&amp;A132, Inside5!B:B&amp;Inside5!I:I, Inside5!E:E), 0)</f>
        <v>0</v>
      </c>
      <c r="H132" t="str" cm="1">
        <f t="array" ref="H132">IFERROR(_xlfn.XLOOKUP(C132&amp;A132, TDrate!F:F&amp;TDrate!H:H, TDrate!C:C), "N/A")</f>
        <v>N/A</v>
      </c>
      <c r="I132" t="str" cm="1">
        <f t="array" ref="I132">IFERROR(_xlfn.XLOOKUP(C132&amp;A132, TDrate!F:F&amp;TDrate!H:H, TDrate!E:E), "N/A")</f>
        <v>N/A</v>
      </c>
      <c r="J132" cm="1">
        <f t="array" ref="J132">IFERROR(_xlfn.XLOOKUP(C132&amp;A132, Inside5!B:B&amp;Inside5!I:I, Inside5!F:F), 0)</f>
        <v>0</v>
      </c>
      <c r="K132" cm="1">
        <f t="array" ref="K132">IFERROR(_xlfn.XLOOKUP(C132&amp;A132, Inside5!B:B&amp;Inside5!I:I, Inside5!G:G), 0)</f>
        <v>0</v>
      </c>
      <c r="L132" cm="1">
        <f t="array" ref="L132">IFERROR(_xlfn.XLOOKUP(C132&amp;A132, Inside5!B:B&amp;Inside5!I:I, Inside5!H:H), 0)</f>
        <v>0</v>
      </c>
      <c r="M132" t="str" cm="1">
        <f t="array" ref="M132">IFERROR(_xlfn.XLOOKUP(C132&amp;A132, TDrate!F:F&amp;TDrate!H:H, TDrate!B:B), "N/A")</f>
        <v>N/A</v>
      </c>
      <c r="N132" t="str" cm="1">
        <f t="array" ref="N132">IFERROR(_xlfn.XLOOKUP(C132&amp;A132, TDrate!F:F&amp;TDrate!H:H, TDrate!D:D), "N/A")</f>
        <v>N/A</v>
      </c>
    </row>
    <row r="133" spans="1:14" x14ac:dyDescent="0.45">
      <c r="A133" s="8">
        <v>2025</v>
      </c>
      <c r="B133" s="9" t="s">
        <v>428</v>
      </c>
      <c r="C133" s="10" t="str">
        <f t="shared" si="4"/>
        <v>Amar Johnson</v>
      </c>
      <c r="D133" s="10" t="str">
        <f t="shared" si="5"/>
        <v>LAC</v>
      </c>
      <c r="E133" cm="1">
        <f t="array" aca="1" ref="E133" ca="1">IFERROR(_xlfn.XLOOKUP(C133&amp;A133, Inside5!B:B&amp;Inside5!I:I, Inside5!C:C), 0)</f>
        <v>0</v>
      </c>
      <c r="F133" cm="1">
        <f t="array" aca="1" ref="F133" ca="1">IFERROR(_xlfn.XLOOKUP(C133&amp;A133, Inside5!B:B&amp;Inside5!I:I, Inside5!D:D), 0)</f>
        <v>0</v>
      </c>
      <c r="G133" cm="1">
        <f t="array" ref="G133">IFERROR(_xlfn.XLOOKUP(C133&amp;A133, Inside5!B:B&amp;Inside5!I:I, Inside5!E:E), 0)</f>
        <v>0</v>
      </c>
      <c r="H133" t="str" cm="1">
        <f t="array" ref="H133">IFERROR(_xlfn.XLOOKUP(C133&amp;A133, TDrate!F:F&amp;TDrate!H:H, TDrate!C:C), "N/A")</f>
        <v>N/A</v>
      </c>
      <c r="I133" t="str" cm="1">
        <f t="array" ref="I133">IFERROR(_xlfn.XLOOKUP(C133&amp;A133, TDrate!F:F&amp;TDrate!H:H, TDrate!E:E), "N/A")</f>
        <v>N/A</v>
      </c>
      <c r="J133" cm="1">
        <f t="array" ref="J133">IFERROR(_xlfn.XLOOKUP(C133&amp;A133, Inside5!B:B&amp;Inside5!I:I, Inside5!F:F), 0)</f>
        <v>0</v>
      </c>
      <c r="K133" cm="1">
        <f t="array" ref="K133">IFERROR(_xlfn.XLOOKUP(C133&amp;A133, Inside5!B:B&amp;Inside5!I:I, Inside5!G:G), 0)</f>
        <v>0</v>
      </c>
      <c r="L133" cm="1">
        <f t="array" ref="L133">IFERROR(_xlfn.XLOOKUP(C133&amp;A133, Inside5!B:B&amp;Inside5!I:I, Inside5!H:H), 0)</f>
        <v>0</v>
      </c>
      <c r="M133" t="str" cm="1">
        <f t="array" ref="M133">IFERROR(_xlfn.XLOOKUP(C133&amp;A133, TDrate!F:F&amp;TDrate!H:H, TDrate!B:B), "N/A")</f>
        <v>N/A</v>
      </c>
      <c r="N133" t="str" cm="1">
        <f t="array" ref="N133">IFERROR(_xlfn.XLOOKUP(C133&amp;A133, TDrate!F:F&amp;TDrate!H:H, TDrate!D:D), "N/A")</f>
        <v>N/A</v>
      </c>
    </row>
    <row r="134" spans="1:14" x14ac:dyDescent="0.45">
      <c r="A134" s="5">
        <v>2025</v>
      </c>
      <c r="B134" s="6" t="s">
        <v>429</v>
      </c>
      <c r="C134" s="7" t="str">
        <f t="shared" si="4"/>
        <v>Kalel Mullings</v>
      </c>
      <c r="D134" s="7" t="str">
        <f t="shared" si="5"/>
        <v>TEN</v>
      </c>
      <c r="E134" cm="1">
        <f t="array" aca="1" ref="E134" ca="1">IFERROR(_xlfn.XLOOKUP(C134&amp;A134, Inside5!B:B&amp;Inside5!I:I, Inside5!C:C), 0)</f>
        <v>0</v>
      </c>
      <c r="F134" cm="1">
        <f t="array" aca="1" ref="F134" ca="1">IFERROR(_xlfn.XLOOKUP(C134&amp;A134, Inside5!B:B&amp;Inside5!I:I, Inside5!D:D), 0)</f>
        <v>0</v>
      </c>
      <c r="G134" cm="1">
        <f t="array" ref="G134">IFERROR(_xlfn.XLOOKUP(C134&amp;A134, Inside5!B:B&amp;Inside5!I:I, Inside5!E:E), 0)</f>
        <v>0</v>
      </c>
      <c r="H134" t="str" cm="1">
        <f t="array" ref="H134">IFERROR(_xlfn.XLOOKUP(C134&amp;A134, TDrate!F:F&amp;TDrate!H:H, TDrate!C:C), "N/A")</f>
        <v>N/A</v>
      </c>
      <c r="I134" t="str" cm="1">
        <f t="array" ref="I134">IFERROR(_xlfn.XLOOKUP(C134&amp;A134, TDrate!F:F&amp;TDrate!H:H, TDrate!E:E), "N/A")</f>
        <v>N/A</v>
      </c>
      <c r="J134" cm="1">
        <f t="array" ref="J134">IFERROR(_xlfn.XLOOKUP(C134&amp;A134, Inside5!B:B&amp;Inside5!I:I, Inside5!F:F), 0)</f>
        <v>0</v>
      </c>
      <c r="K134" cm="1">
        <f t="array" aca="1" ref="K134" ca="1">IFERROR(_xlfn.XLOOKUP(C134&amp;A134, Inside5!B:B&amp;Inside5!I:I, Inside5!G:G), 0)</f>
        <v>0</v>
      </c>
      <c r="L134" cm="1">
        <f t="array" ref="L134">IFERROR(_xlfn.XLOOKUP(C134&amp;A134, Inside5!B:B&amp;Inside5!I:I, Inside5!H:H), 0)</f>
        <v>0</v>
      </c>
      <c r="M134" t="str" cm="1">
        <f t="array" ref="M134">IFERROR(_xlfn.XLOOKUP(C134&amp;A134, TDrate!F:F&amp;TDrate!H:H, TDrate!B:B), "N/A")</f>
        <v>N/A</v>
      </c>
      <c r="N134" t="str" cm="1">
        <f t="array" ref="N134">IFERROR(_xlfn.XLOOKUP(C134&amp;A134, TDrate!F:F&amp;TDrate!H:H, TDrate!D:D), "N/A")</f>
        <v>N/A</v>
      </c>
    </row>
    <row r="135" spans="1:14" x14ac:dyDescent="0.45">
      <c r="A135" s="8">
        <v>2025</v>
      </c>
      <c r="B135" s="9" t="s">
        <v>430</v>
      </c>
      <c r="C135" s="10" t="str">
        <f t="shared" si="4"/>
        <v>Owen Wright</v>
      </c>
      <c r="D135" s="10" t="str">
        <f t="shared" si="5"/>
        <v>TB</v>
      </c>
      <c r="E135" cm="1">
        <f t="array" ref="E135">IFERROR(_xlfn.XLOOKUP(C135&amp;A135, Inside5!B:B&amp;Inside5!I:I, Inside5!C:C), 0)</f>
        <v>0</v>
      </c>
      <c r="F135" cm="1">
        <f t="array" aca="1" ref="F135" ca="1">IFERROR(_xlfn.XLOOKUP(C135&amp;A135, Inside5!B:B&amp;Inside5!I:I, Inside5!D:D), 0)</f>
        <v>0</v>
      </c>
      <c r="G135" cm="1">
        <f t="array" ref="G135">IFERROR(_xlfn.XLOOKUP(C135&amp;A135, Inside5!B:B&amp;Inside5!I:I, Inside5!E:E), 0)</f>
        <v>0</v>
      </c>
      <c r="H135" t="str" cm="1">
        <f t="array" ref="H135">IFERROR(_xlfn.XLOOKUP(C135&amp;A135, TDrate!F:F&amp;TDrate!H:H, TDrate!C:C), "N/A")</f>
        <v>N/A</v>
      </c>
      <c r="I135" t="str" cm="1">
        <f t="array" ref="I135">IFERROR(_xlfn.XLOOKUP(C135&amp;A135, TDrate!F:F&amp;TDrate!H:H, TDrate!E:E), "N/A")</f>
        <v>N/A</v>
      </c>
      <c r="J135" cm="1">
        <f t="array" ref="J135">IFERROR(_xlfn.XLOOKUP(C135&amp;A135, Inside5!B:B&amp;Inside5!I:I, Inside5!F:F), 0)</f>
        <v>0</v>
      </c>
      <c r="K135" cm="1">
        <f t="array" ref="K135">IFERROR(_xlfn.XLOOKUP(C135&amp;A135, Inside5!B:B&amp;Inside5!I:I, Inside5!G:G), 0)</f>
        <v>0</v>
      </c>
      <c r="L135" cm="1">
        <f t="array" ref="L135">IFERROR(_xlfn.XLOOKUP(C135&amp;A135, Inside5!B:B&amp;Inside5!I:I, Inside5!H:H), 0)</f>
        <v>0</v>
      </c>
      <c r="M135" t="str" cm="1">
        <f t="array" ref="M135">IFERROR(_xlfn.XLOOKUP(C135&amp;A135, TDrate!F:F&amp;TDrate!H:H, TDrate!B:B), "N/A")</f>
        <v>N/A</v>
      </c>
      <c r="N135" t="str" cm="1">
        <f t="array" ref="N135">IFERROR(_xlfn.XLOOKUP(C135&amp;A135, TDrate!F:F&amp;TDrate!H:H, TDrate!D:D), "N/A")</f>
        <v>N/A</v>
      </c>
    </row>
    <row r="136" spans="1:14" x14ac:dyDescent="0.45">
      <c r="A136" s="5">
        <v>2025</v>
      </c>
      <c r="B136" s="6" t="s">
        <v>431</v>
      </c>
      <c r="C136" s="7" t="str">
        <f t="shared" si="4"/>
        <v>Myles Gaskin</v>
      </c>
      <c r="D136" s="7" t="str">
        <f t="shared" si="5"/>
        <v>SEA</v>
      </c>
      <c r="E136" cm="1">
        <f t="array" ref="E136">IFERROR(_xlfn.XLOOKUP(C136&amp;A136, Inside5!B:B&amp;Inside5!I:I, Inside5!C:C), 0)</f>
        <v>0</v>
      </c>
      <c r="F136" cm="1">
        <f t="array" ref="F136">IFERROR(_xlfn.XLOOKUP(C136&amp;A136, Inside5!B:B&amp;Inside5!I:I, Inside5!D:D), 0)</f>
        <v>0</v>
      </c>
      <c r="G136" cm="1">
        <f t="array" ref="G136">IFERROR(_xlfn.XLOOKUP(C136&amp;A136, Inside5!B:B&amp;Inside5!I:I, Inside5!E:E), 0)</f>
        <v>0</v>
      </c>
      <c r="H136" t="str" cm="1">
        <f t="array" ref="H136">IFERROR(_xlfn.XLOOKUP(C136&amp;A136, TDrate!F:F&amp;TDrate!H:H, TDrate!C:C), "N/A")</f>
        <v>N/A</v>
      </c>
      <c r="I136" t="str" cm="1">
        <f t="array" ref="I136">IFERROR(_xlfn.XLOOKUP(C136&amp;A136, TDrate!F:F&amp;TDrate!H:H, TDrate!E:E), "N/A")</f>
        <v>N/A</v>
      </c>
      <c r="J136" cm="1">
        <f t="array" ref="J136">IFERROR(_xlfn.XLOOKUP(C136&amp;A136, Inside5!B:B&amp;Inside5!I:I, Inside5!F:F), 0)</f>
        <v>0</v>
      </c>
      <c r="K136" cm="1">
        <f t="array" aca="1" ref="K136" ca="1">IFERROR(_xlfn.XLOOKUP(C136&amp;A136, Inside5!B:B&amp;Inside5!I:I, Inside5!G:G), 0)</f>
        <v>0</v>
      </c>
      <c r="L136" cm="1">
        <f t="array" ref="L136">IFERROR(_xlfn.XLOOKUP(C136&amp;A136, Inside5!B:B&amp;Inside5!I:I, Inside5!H:H), 0)</f>
        <v>0</v>
      </c>
      <c r="M136" t="str" cm="1">
        <f t="array" ref="M136">IFERROR(_xlfn.XLOOKUP(C136&amp;A136, TDrate!F:F&amp;TDrate!H:H, TDrate!B:B), "N/A")</f>
        <v>N/A</v>
      </c>
      <c r="N136" t="str" cm="1">
        <f t="array" ref="N136">IFERROR(_xlfn.XLOOKUP(C136&amp;A136, TDrate!F:F&amp;TDrate!H:H, TDrate!D:D), "N/A")</f>
        <v>N/A</v>
      </c>
    </row>
    <row r="137" spans="1:14" x14ac:dyDescent="0.45">
      <c r="A137" s="8">
        <v>2025</v>
      </c>
      <c r="B137" s="9" t="s">
        <v>432</v>
      </c>
      <c r="C137" s="10" t="str">
        <f t="shared" si="4"/>
        <v>C.J. Ham</v>
      </c>
      <c r="D137" s="10" t="str">
        <f t="shared" si="5"/>
        <v>MIN</v>
      </c>
      <c r="E137" cm="1">
        <f t="array" ref="E137">IFERROR(_xlfn.XLOOKUP(C137&amp;A137, Inside5!B:B&amp;Inside5!I:I, Inside5!C:C), 0)</f>
        <v>1</v>
      </c>
      <c r="F137" cm="1">
        <f t="array" aca="1" ref="F137" ca="1">IFERROR(_xlfn.XLOOKUP(C137&amp;A137, Inside5!B:B&amp;Inside5!I:I, Inside5!D:D), 0)</f>
        <v>1</v>
      </c>
      <c r="G137" cm="1">
        <f t="array" ref="G137">IFERROR(_xlfn.XLOOKUP(C137&amp;A137, Inside5!B:B&amp;Inside5!I:I, Inside5!E:E), 0)</f>
        <v>8.3000000000000004E-2</v>
      </c>
      <c r="H137" t="str" cm="1">
        <f t="array" ref="H137">IFERROR(_xlfn.XLOOKUP(C137&amp;A137, TDrate!F:F&amp;TDrate!H:H, TDrate!C:C), "N/A")</f>
        <v>N/A</v>
      </c>
      <c r="I137" t="str" cm="1">
        <f t="array" ref="I137">IFERROR(_xlfn.XLOOKUP(C137&amp;A137, TDrate!F:F&amp;TDrate!H:H, TDrate!E:E), "N/A")</f>
        <v>N/A</v>
      </c>
      <c r="J137" cm="1">
        <f t="array" ref="J137">IFERROR(_xlfn.XLOOKUP(C137&amp;A137, Inside5!B:B&amp;Inside5!I:I, Inside5!F:F), 0)</f>
        <v>0</v>
      </c>
      <c r="K137" cm="1">
        <f t="array" aca="1" ref="K137" ca="1">IFERROR(_xlfn.XLOOKUP(C137&amp;A137, Inside5!B:B&amp;Inside5!I:I, Inside5!G:G), 0)</f>
        <v>0</v>
      </c>
      <c r="L137" cm="1">
        <f t="array" aca="1" ref="L137" ca="1">IFERROR(_xlfn.XLOOKUP(C137&amp;A137, Inside5!B:B&amp;Inside5!I:I, Inside5!H:H), 0)</f>
        <v>0</v>
      </c>
      <c r="M137" t="str" cm="1">
        <f t="array" ref="M137">IFERROR(_xlfn.XLOOKUP(C137&amp;A137, TDrate!F:F&amp;TDrate!H:H, TDrate!B:B), "N/A")</f>
        <v>N/A</v>
      </c>
      <c r="N137" t="str" cm="1">
        <f t="array" ref="N137">IFERROR(_xlfn.XLOOKUP(C137&amp;A137, TDrate!F:F&amp;TDrate!H:H, TDrate!D:D), "N/A")</f>
        <v>N/A</v>
      </c>
    </row>
    <row r="138" spans="1:14" x14ac:dyDescent="0.45">
      <c r="A138" s="5">
        <v>2025</v>
      </c>
      <c r="B138" s="6" t="s">
        <v>433</v>
      </c>
      <c r="C138" s="7" t="str">
        <f t="shared" si="4"/>
        <v>Andrew Beck</v>
      </c>
      <c r="D138" s="7" t="str">
        <f t="shared" si="5"/>
        <v>NYJ</v>
      </c>
      <c r="E138" cm="1">
        <f t="array" aca="1" ref="E138" ca="1">IFERROR(_xlfn.XLOOKUP(C138&amp;A138, Inside5!B:B&amp;Inside5!I:I, Inside5!C:C), 0)</f>
        <v>0</v>
      </c>
      <c r="F138" cm="1">
        <f t="array" aca="1" ref="F138" ca="1">IFERROR(_xlfn.XLOOKUP(C138&amp;A138, Inside5!B:B&amp;Inside5!I:I, Inside5!D:D), 0)</f>
        <v>0</v>
      </c>
      <c r="G138" cm="1">
        <f t="array" ref="G138">IFERROR(_xlfn.XLOOKUP(C138&amp;A138, Inside5!B:B&amp;Inside5!I:I, Inside5!E:E), 0)</f>
        <v>0</v>
      </c>
      <c r="H138" t="str" cm="1">
        <f t="array" ref="H138">IFERROR(_xlfn.XLOOKUP(C138&amp;A138, TDrate!F:F&amp;TDrate!H:H, TDrate!C:C), "N/A")</f>
        <v>N/A</v>
      </c>
      <c r="I138" t="str" cm="1">
        <f t="array" ref="I138">IFERROR(_xlfn.XLOOKUP(C138&amp;A138, TDrate!F:F&amp;TDrate!H:H, TDrate!E:E), "N/A")</f>
        <v>N/A</v>
      </c>
      <c r="J138" cm="1">
        <f t="array" ref="J138">IFERROR(_xlfn.XLOOKUP(C138&amp;A138, Inside5!B:B&amp;Inside5!I:I, Inside5!F:F), 0)</f>
        <v>0</v>
      </c>
      <c r="K138" cm="1">
        <f t="array" ref="K138">IFERROR(_xlfn.XLOOKUP(C138&amp;A138, Inside5!B:B&amp;Inside5!I:I, Inside5!G:G), 0)</f>
        <v>0</v>
      </c>
      <c r="L138" cm="1">
        <f t="array" ref="L138">IFERROR(_xlfn.XLOOKUP(C138&amp;A138, Inside5!B:B&amp;Inside5!I:I, Inside5!H:H), 0)</f>
        <v>0</v>
      </c>
      <c r="M138" t="str" cm="1">
        <f t="array" ref="M138">IFERROR(_xlfn.XLOOKUP(C138&amp;A138, TDrate!F:F&amp;TDrate!H:H, TDrate!B:B), "N/A")</f>
        <v>N/A</v>
      </c>
      <c r="N138" t="str" cm="1">
        <f t="array" ref="N138">IFERROR(_xlfn.XLOOKUP(C138&amp;A138, TDrate!F:F&amp;TDrate!H:H, TDrate!D:D), "N/A")</f>
        <v>N/A</v>
      </c>
    </row>
    <row r="139" spans="1:14" x14ac:dyDescent="0.45">
      <c r="A139" s="8">
        <v>2025</v>
      </c>
      <c r="B139" s="9" t="s">
        <v>434</v>
      </c>
      <c r="C139" s="10" t="str">
        <f t="shared" si="4"/>
        <v>Sione Vaki</v>
      </c>
      <c r="D139" s="10" t="str">
        <f t="shared" si="5"/>
        <v>DET</v>
      </c>
      <c r="E139" cm="1">
        <f t="array" ref="E139">IFERROR(_xlfn.XLOOKUP(C139&amp;A139, Inside5!B:B&amp;Inside5!I:I, Inside5!C:C), 0)</f>
        <v>0</v>
      </c>
      <c r="F139" cm="1">
        <f t="array" ref="F139">IFERROR(_xlfn.XLOOKUP(C139&amp;A139, Inside5!B:B&amp;Inside5!I:I, Inside5!D:D), 0)</f>
        <v>0</v>
      </c>
      <c r="G139" cm="1">
        <f t="array" ref="G139">IFERROR(_xlfn.XLOOKUP(C139&amp;A139, Inside5!B:B&amp;Inside5!I:I, Inside5!E:E), 0)</f>
        <v>0</v>
      </c>
      <c r="H139" t="str" cm="1">
        <f t="array" ref="H139">IFERROR(_xlfn.XLOOKUP(C139&amp;A139, TDrate!F:F&amp;TDrate!H:H, TDrate!C:C), "N/A")</f>
        <v>N/A</v>
      </c>
      <c r="I139" t="str" cm="1">
        <f t="array" ref="I139">IFERROR(_xlfn.XLOOKUP(C139&amp;A139, TDrate!F:F&amp;TDrate!H:H, TDrate!E:E), "N/A")</f>
        <v>N/A</v>
      </c>
      <c r="J139" cm="1">
        <f t="array" ref="J139">IFERROR(_xlfn.XLOOKUP(C139&amp;A139, Inside5!B:B&amp;Inside5!I:I, Inside5!F:F), 0)</f>
        <v>0</v>
      </c>
      <c r="K139" cm="1">
        <f t="array" ref="K139">IFERROR(_xlfn.XLOOKUP(C139&amp;A139, Inside5!B:B&amp;Inside5!I:I, Inside5!G:G), 0)</f>
        <v>0</v>
      </c>
      <c r="L139" cm="1">
        <f t="array" ref="L139">IFERROR(_xlfn.XLOOKUP(C139&amp;A139, Inside5!B:B&amp;Inside5!I:I, Inside5!H:H), 0)</f>
        <v>0</v>
      </c>
      <c r="M139" t="str" cm="1">
        <f t="array" ref="M139">IFERROR(_xlfn.XLOOKUP(C139&amp;A139, TDrate!F:F&amp;TDrate!H:H, TDrate!B:B), "N/A")</f>
        <v>N/A</v>
      </c>
      <c r="N139" t="str" cm="1">
        <f t="array" ref="N139">IFERROR(_xlfn.XLOOKUP(C139&amp;A139, TDrate!F:F&amp;TDrate!H:H, TDrate!D:D), "N/A")</f>
        <v>N/A</v>
      </c>
    </row>
    <row r="140" spans="1:14" x14ac:dyDescent="0.45">
      <c r="A140" s="5">
        <v>2025</v>
      </c>
      <c r="B140" s="6" t="s">
        <v>435</v>
      </c>
      <c r="C140" s="7" t="str">
        <f t="shared" si="4"/>
        <v>Reggie Gilliam</v>
      </c>
      <c r="D140" s="7" t="str">
        <f t="shared" si="5"/>
        <v>BUF</v>
      </c>
      <c r="E140" cm="1">
        <f t="array" aca="1" ref="E140" ca="1">IFERROR(_xlfn.XLOOKUP(C140&amp;A140, Inside5!B:B&amp;Inside5!I:I, Inside5!C:C), 0)</f>
        <v>0</v>
      </c>
      <c r="F140" cm="1">
        <f t="array" aca="1" ref="F140" ca="1">IFERROR(_xlfn.XLOOKUP(C140&amp;A140, Inside5!B:B&amp;Inside5!I:I, Inside5!D:D), 0)</f>
        <v>0</v>
      </c>
      <c r="G140" cm="1">
        <f t="array" ref="G140">IFERROR(_xlfn.XLOOKUP(C140&amp;A140, Inside5!B:B&amp;Inside5!I:I, Inside5!E:E), 0)</f>
        <v>0</v>
      </c>
      <c r="H140" t="str" cm="1">
        <f t="array" ref="H140">IFERROR(_xlfn.XLOOKUP(C140&amp;A140, TDrate!F:F&amp;TDrate!H:H, TDrate!C:C), "N/A")</f>
        <v>N/A</v>
      </c>
      <c r="I140" t="str" cm="1">
        <f t="array" ref="I140">IFERROR(_xlfn.XLOOKUP(C140&amp;A140, TDrate!F:F&amp;TDrate!H:H, TDrate!E:E), "N/A")</f>
        <v>N/A</v>
      </c>
      <c r="J140" cm="1">
        <f t="array" ref="J140">IFERROR(_xlfn.XLOOKUP(C140&amp;A140, Inside5!B:B&amp;Inside5!I:I, Inside5!F:F), 0)</f>
        <v>0</v>
      </c>
      <c r="K140" cm="1">
        <f t="array" ref="K140">IFERROR(_xlfn.XLOOKUP(C140&amp;A140, Inside5!B:B&amp;Inside5!I:I, Inside5!G:G), 0)</f>
        <v>0</v>
      </c>
      <c r="L140" cm="1">
        <f t="array" ref="L140">IFERROR(_xlfn.XLOOKUP(C140&amp;A140, Inside5!B:B&amp;Inside5!I:I, Inside5!H:H), 0)</f>
        <v>0</v>
      </c>
      <c r="M140" t="str" cm="1">
        <f t="array" ref="M140">IFERROR(_xlfn.XLOOKUP(C140&amp;A140, TDrate!F:F&amp;TDrate!H:H, TDrate!B:B), "N/A")</f>
        <v>N/A</v>
      </c>
      <c r="N140" t="str" cm="1">
        <f t="array" ref="N140">IFERROR(_xlfn.XLOOKUP(C140&amp;A140, TDrate!F:F&amp;TDrate!H:H, TDrate!D:D), "N/A")</f>
        <v>N/A</v>
      </c>
    </row>
    <row r="141" spans="1:14" x14ac:dyDescent="0.45">
      <c r="A141" s="8">
        <v>2025</v>
      </c>
      <c r="B141" s="9" t="s">
        <v>436</v>
      </c>
      <c r="C141" s="10" t="str">
        <f t="shared" si="4"/>
        <v>Craig Reynolds</v>
      </c>
      <c r="D141" s="10" t="str">
        <f t="shared" si="5"/>
        <v>DET</v>
      </c>
      <c r="E141" cm="1">
        <f t="array" ref="E141">IFERROR(_xlfn.XLOOKUP(C141&amp;A141, Inside5!B:B&amp;Inside5!I:I, Inside5!C:C), 0)</f>
        <v>0</v>
      </c>
      <c r="F141" cm="1">
        <f t="array" ref="F141">IFERROR(_xlfn.XLOOKUP(C141&amp;A141, Inside5!B:B&amp;Inside5!I:I, Inside5!D:D), 0)</f>
        <v>0</v>
      </c>
      <c r="G141" cm="1">
        <f t="array" ref="G141">IFERROR(_xlfn.XLOOKUP(C141&amp;A141, Inside5!B:B&amp;Inside5!I:I, Inside5!E:E), 0)</f>
        <v>0</v>
      </c>
      <c r="H141" t="str" cm="1">
        <f t="array" ref="H141">IFERROR(_xlfn.XLOOKUP(C141&amp;A141, TDrate!F:F&amp;TDrate!H:H, TDrate!C:C), "N/A")</f>
        <v>N/A</v>
      </c>
      <c r="I141" t="str" cm="1">
        <f t="array" ref="I141">IFERROR(_xlfn.XLOOKUP(C141&amp;A141, TDrate!F:F&amp;TDrate!H:H, TDrate!E:E), "N/A")</f>
        <v>N/A</v>
      </c>
      <c r="J141" cm="1">
        <f t="array" ref="J141">IFERROR(_xlfn.XLOOKUP(C141&amp;A141, Inside5!B:B&amp;Inside5!I:I, Inside5!F:F), 0)</f>
        <v>0</v>
      </c>
      <c r="K141" cm="1">
        <f t="array" ref="K141">IFERROR(_xlfn.XLOOKUP(C141&amp;A141, Inside5!B:B&amp;Inside5!I:I, Inside5!G:G), 0)</f>
        <v>0</v>
      </c>
      <c r="L141" cm="1">
        <f t="array" aca="1" ref="L141" ca="1">IFERROR(_xlfn.XLOOKUP(C141&amp;A141, Inside5!B:B&amp;Inside5!I:I, Inside5!H:H), 0)</f>
        <v>0</v>
      </c>
      <c r="M141" t="str" cm="1">
        <f t="array" ref="M141">IFERROR(_xlfn.XLOOKUP(C141&amp;A141, TDrate!F:F&amp;TDrate!H:H, TDrate!B:B), "N/A")</f>
        <v>N/A</v>
      </c>
      <c r="N141" t="str" cm="1">
        <f t="array" ref="N141">IFERROR(_xlfn.XLOOKUP(C141&amp;A141, TDrate!F:F&amp;TDrate!H:H, TDrate!D:D), "N/A")</f>
        <v>N/A</v>
      </c>
    </row>
    <row r="142" spans="1:14" x14ac:dyDescent="0.45">
      <c r="A142" s="5">
        <v>2025</v>
      </c>
      <c r="B142" s="6" t="s">
        <v>437</v>
      </c>
      <c r="C142" s="7" t="str">
        <f t="shared" si="4"/>
        <v>Patrick Ricard</v>
      </c>
      <c r="D142" s="7" t="str">
        <f t="shared" si="5"/>
        <v>BAL</v>
      </c>
      <c r="E142" cm="1">
        <f t="array" ref="E142">IFERROR(_xlfn.XLOOKUP(C142&amp;A142, Inside5!B:B&amp;Inside5!I:I, Inside5!C:C), 0)</f>
        <v>0</v>
      </c>
      <c r="F142" cm="1">
        <f t="array" ref="F142">IFERROR(_xlfn.XLOOKUP(C142&amp;A142, Inside5!B:B&amp;Inside5!I:I, Inside5!D:D), 0)</f>
        <v>0</v>
      </c>
      <c r="G142" cm="1">
        <f t="array" ref="G142">IFERROR(_xlfn.XLOOKUP(C142&amp;A142, Inside5!B:B&amp;Inside5!I:I, Inside5!E:E), 0)</f>
        <v>0</v>
      </c>
      <c r="H142" t="str" cm="1">
        <f t="array" ref="H142">IFERROR(_xlfn.XLOOKUP(C142&amp;A142, TDrate!F:F&amp;TDrate!H:H, TDrate!C:C), "N/A")</f>
        <v>N/A</v>
      </c>
      <c r="I142" t="str" cm="1">
        <f t="array" ref="I142">IFERROR(_xlfn.XLOOKUP(C142&amp;A142, TDrate!F:F&amp;TDrate!H:H, TDrate!E:E), "N/A")</f>
        <v>N/A</v>
      </c>
      <c r="J142" cm="1">
        <f t="array" ref="J142">IFERROR(_xlfn.XLOOKUP(C142&amp;A142, Inside5!B:B&amp;Inside5!I:I, Inside5!F:F), 0)</f>
        <v>0</v>
      </c>
      <c r="K142" cm="1">
        <f t="array" ref="K142">IFERROR(_xlfn.XLOOKUP(C142&amp;A142, Inside5!B:B&amp;Inside5!I:I, Inside5!G:G), 0)</f>
        <v>0</v>
      </c>
      <c r="L142" cm="1">
        <f t="array" ref="L142">IFERROR(_xlfn.XLOOKUP(C142&amp;A142, Inside5!B:B&amp;Inside5!I:I, Inside5!H:H), 0)</f>
        <v>0</v>
      </c>
      <c r="M142" t="str" cm="1">
        <f t="array" ref="M142">IFERROR(_xlfn.XLOOKUP(C142&amp;A142, TDrate!F:F&amp;TDrate!H:H, TDrate!B:B), "N/A")</f>
        <v>N/A</v>
      </c>
      <c r="N142" t="str" cm="1">
        <f t="array" ref="N142">IFERROR(_xlfn.XLOOKUP(C142&amp;A142, TDrate!F:F&amp;TDrate!H:H, TDrate!D:D), "N/A")</f>
        <v>N/A</v>
      </c>
    </row>
    <row r="143" spans="1:14" x14ac:dyDescent="0.45">
      <c r="A143" s="8">
        <v>2025</v>
      </c>
      <c r="B143" s="9" t="s">
        <v>438</v>
      </c>
      <c r="C143" s="10" t="str">
        <f t="shared" si="4"/>
        <v>Kendall Milton</v>
      </c>
      <c r="D143" s="10" t="str">
        <f t="shared" si="5"/>
        <v>CIN</v>
      </c>
      <c r="E143" cm="1">
        <f t="array" ref="E143">IFERROR(_xlfn.XLOOKUP(C143&amp;A143, Inside5!B:B&amp;Inside5!I:I, Inside5!C:C), 0)</f>
        <v>0</v>
      </c>
      <c r="F143" cm="1">
        <f t="array" ref="F143">IFERROR(_xlfn.XLOOKUP(C143&amp;A143, Inside5!B:B&amp;Inside5!I:I, Inside5!D:D), 0)</f>
        <v>0</v>
      </c>
      <c r="G143" cm="1">
        <f t="array" ref="G143">IFERROR(_xlfn.XLOOKUP(C143&amp;A143, Inside5!B:B&amp;Inside5!I:I, Inside5!E:E), 0)</f>
        <v>0</v>
      </c>
      <c r="H143" t="str" cm="1">
        <f t="array" ref="H143">IFERROR(_xlfn.XLOOKUP(C143&amp;A143, TDrate!F:F&amp;TDrate!H:H, TDrate!C:C), "N/A")</f>
        <v>N/A</v>
      </c>
      <c r="I143" t="str" cm="1">
        <f t="array" ref="I143">IFERROR(_xlfn.XLOOKUP(C143&amp;A143, TDrate!F:F&amp;TDrate!H:H, TDrate!E:E), "N/A")</f>
        <v>N/A</v>
      </c>
      <c r="J143" cm="1">
        <f t="array" ref="J143">IFERROR(_xlfn.XLOOKUP(C143&amp;A143, Inside5!B:B&amp;Inside5!I:I, Inside5!F:F), 0)</f>
        <v>0</v>
      </c>
      <c r="K143" cm="1">
        <f t="array" aca="1" ref="K143" ca="1">IFERROR(_xlfn.XLOOKUP(C143&amp;A143, Inside5!B:B&amp;Inside5!I:I, Inside5!G:G), 0)</f>
        <v>0</v>
      </c>
      <c r="L143" cm="1">
        <f t="array" ref="L143">IFERROR(_xlfn.XLOOKUP(C143&amp;A143, Inside5!B:B&amp;Inside5!I:I, Inside5!H:H), 0)</f>
        <v>0</v>
      </c>
      <c r="M143" t="str" cm="1">
        <f t="array" ref="M143">IFERROR(_xlfn.XLOOKUP(C143&amp;A143, TDrate!F:F&amp;TDrate!H:H, TDrate!B:B), "N/A")</f>
        <v>N/A</v>
      </c>
      <c r="N143" t="str" cm="1">
        <f t="array" ref="N143">IFERROR(_xlfn.XLOOKUP(C143&amp;A143, TDrate!F:F&amp;TDrate!H:H, TDrate!D:D), "N/A")</f>
        <v>N/A</v>
      </c>
    </row>
    <row r="144" spans="1:14" x14ac:dyDescent="0.45">
      <c r="A144" s="5">
        <v>2025</v>
      </c>
      <c r="B144" s="6" t="s">
        <v>439</v>
      </c>
      <c r="C144" s="7" t="str">
        <f t="shared" si="4"/>
        <v>Xazavian Valladay</v>
      </c>
      <c r="D144" s="7" t="str">
        <f t="shared" si="5"/>
        <v>MIN</v>
      </c>
      <c r="E144" cm="1">
        <f t="array" aca="1" ref="E144" ca="1">IFERROR(_xlfn.XLOOKUP(C144&amp;A144, Inside5!B:B&amp;Inside5!I:I, Inside5!C:C), 0)</f>
        <v>0</v>
      </c>
      <c r="F144" cm="1">
        <f t="array" aca="1" ref="F144" ca="1">IFERROR(_xlfn.XLOOKUP(C144&amp;A144, Inside5!B:B&amp;Inside5!I:I, Inside5!D:D), 0)</f>
        <v>0</v>
      </c>
      <c r="G144" cm="1">
        <f t="array" ref="G144">IFERROR(_xlfn.XLOOKUP(C144&amp;A144, Inside5!B:B&amp;Inside5!I:I, Inside5!E:E), 0)</f>
        <v>0</v>
      </c>
      <c r="H144" t="str" cm="1">
        <f t="array" ref="H144">IFERROR(_xlfn.XLOOKUP(C144&amp;A144, TDrate!F:F&amp;TDrate!H:H, TDrate!C:C), "N/A")</f>
        <v>N/A</v>
      </c>
      <c r="I144" t="str" cm="1">
        <f t="array" ref="I144">IFERROR(_xlfn.XLOOKUP(C144&amp;A144, TDrate!F:F&amp;TDrate!H:H, TDrate!E:E), "N/A")</f>
        <v>N/A</v>
      </c>
      <c r="J144" cm="1">
        <f t="array" ref="J144">IFERROR(_xlfn.XLOOKUP(C144&amp;A144, Inside5!B:B&amp;Inside5!I:I, Inside5!F:F), 0)</f>
        <v>0</v>
      </c>
      <c r="K144" cm="1">
        <f t="array" aca="1" ref="K144" ca="1">IFERROR(_xlfn.XLOOKUP(C144&amp;A144, Inside5!B:B&amp;Inside5!I:I, Inside5!G:G), 0)</f>
        <v>0</v>
      </c>
      <c r="L144" cm="1">
        <f t="array" aca="1" ref="L144" ca="1">IFERROR(_xlfn.XLOOKUP(C144&amp;A144, Inside5!B:B&amp;Inside5!I:I, Inside5!H:H), 0)</f>
        <v>0</v>
      </c>
      <c r="M144" t="str" cm="1">
        <f t="array" ref="M144">IFERROR(_xlfn.XLOOKUP(C144&amp;A144, TDrate!F:F&amp;TDrate!H:H, TDrate!B:B), "N/A")</f>
        <v>N/A</v>
      </c>
      <c r="N144" t="str" cm="1">
        <f t="array" ref="N144">IFERROR(_xlfn.XLOOKUP(C144&amp;A144, TDrate!F:F&amp;TDrate!H:H, TDrate!D:D), "N/A")</f>
        <v>N/A</v>
      </c>
    </row>
    <row r="145" spans="1:14" x14ac:dyDescent="0.45">
      <c r="A145" s="8">
        <v>2025</v>
      </c>
      <c r="B145" s="9" t="s">
        <v>440</v>
      </c>
      <c r="C145" s="10" t="str">
        <f t="shared" si="4"/>
        <v>Ulysses Bentley IV</v>
      </c>
      <c r="D145" s="10" t="str">
        <f t="shared" si="5"/>
        <v>IND</v>
      </c>
      <c r="E145" cm="1">
        <f t="array" ref="E145">IFERROR(_xlfn.XLOOKUP(C145&amp;A145, Inside5!B:B&amp;Inside5!I:I, Inside5!C:C), 0)</f>
        <v>0</v>
      </c>
      <c r="F145" cm="1">
        <f t="array" ref="F145">IFERROR(_xlfn.XLOOKUP(C145&amp;A145, Inside5!B:B&amp;Inside5!I:I, Inside5!D:D), 0)</f>
        <v>0</v>
      </c>
      <c r="G145" cm="1">
        <f t="array" ref="G145">IFERROR(_xlfn.XLOOKUP(C145&amp;A145, Inside5!B:B&amp;Inside5!I:I, Inside5!E:E), 0)</f>
        <v>0</v>
      </c>
      <c r="H145" t="str" cm="1">
        <f t="array" ref="H145">IFERROR(_xlfn.XLOOKUP(C145&amp;A145, TDrate!F:F&amp;TDrate!H:H, TDrate!C:C), "N/A")</f>
        <v>N/A</v>
      </c>
      <c r="I145" t="str" cm="1">
        <f t="array" ref="I145">IFERROR(_xlfn.XLOOKUP(C145&amp;A145, TDrate!F:F&amp;TDrate!H:H, TDrate!E:E), "N/A")</f>
        <v>N/A</v>
      </c>
      <c r="J145" cm="1">
        <f t="array" ref="J145">IFERROR(_xlfn.XLOOKUP(C145&amp;A145, Inside5!B:B&amp;Inside5!I:I, Inside5!F:F), 0)</f>
        <v>0</v>
      </c>
      <c r="K145" cm="1">
        <f t="array" ref="K145">IFERROR(_xlfn.XLOOKUP(C145&amp;A145, Inside5!B:B&amp;Inside5!I:I, Inside5!G:G), 0)</f>
        <v>0</v>
      </c>
      <c r="L145" cm="1">
        <f t="array" ref="L145">IFERROR(_xlfn.XLOOKUP(C145&amp;A145, Inside5!B:B&amp;Inside5!I:I, Inside5!H:H), 0)</f>
        <v>0</v>
      </c>
      <c r="M145" t="str" cm="1">
        <f t="array" ref="M145">IFERROR(_xlfn.XLOOKUP(C145&amp;A145, TDrate!F:F&amp;TDrate!H:H, TDrate!B:B), "N/A")</f>
        <v>N/A</v>
      </c>
      <c r="N145" t="str" cm="1">
        <f t="array" ref="N145">IFERROR(_xlfn.XLOOKUP(C145&amp;A145, TDrate!F:F&amp;TDrate!H:H, TDrate!D:D), "N/A")</f>
        <v>N/A</v>
      </c>
    </row>
    <row r="146" spans="1:14" x14ac:dyDescent="0.45">
      <c r="A146" s="5">
        <v>2025</v>
      </c>
      <c r="B146" s="6" t="s">
        <v>441</v>
      </c>
      <c r="C146" s="7" t="str">
        <f t="shared" si="4"/>
        <v>Trey Sermon</v>
      </c>
      <c r="D146" s="7" t="str">
        <f t="shared" si="5"/>
        <v>PIT</v>
      </c>
      <c r="E146" cm="1">
        <f t="array" ref="E146">IFERROR(_xlfn.XLOOKUP(C146&amp;A146, Inside5!B:B&amp;Inside5!I:I, Inside5!C:C), 0)</f>
        <v>0</v>
      </c>
      <c r="F146" cm="1">
        <f t="array" aca="1" ref="F146" ca="1">IFERROR(_xlfn.XLOOKUP(C146&amp;A146, Inside5!B:B&amp;Inside5!I:I, Inside5!D:D), 0)</f>
        <v>0</v>
      </c>
      <c r="G146" cm="1">
        <f t="array" ref="G146">IFERROR(_xlfn.XLOOKUP(C146&amp;A146, Inside5!B:B&amp;Inside5!I:I, Inside5!E:E), 0)</f>
        <v>0</v>
      </c>
      <c r="H146" t="str" cm="1">
        <f t="array" ref="H146">IFERROR(_xlfn.XLOOKUP(C146&amp;A146, TDrate!F:F&amp;TDrate!H:H, TDrate!C:C), "N/A")</f>
        <v>N/A</v>
      </c>
      <c r="I146" t="str" cm="1">
        <f t="array" ref="I146">IFERROR(_xlfn.XLOOKUP(C146&amp;A146, TDrate!F:F&amp;TDrate!H:H, TDrate!E:E), "N/A")</f>
        <v>N/A</v>
      </c>
      <c r="J146" cm="1">
        <f t="array" ref="J146">IFERROR(_xlfn.XLOOKUP(C146&amp;A146, Inside5!B:B&amp;Inside5!I:I, Inside5!F:F), 0)</f>
        <v>0</v>
      </c>
      <c r="K146" cm="1">
        <f t="array" ref="K146">IFERROR(_xlfn.XLOOKUP(C146&amp;A146, Inside5!B:B&amp;Inside5!I:I, Inside5!G:G), 0)</f>
        <v>0</v>
      </c>
      <c r="L146" cm="1">
        <f t="array" ref="L146">IFERROR(_xlfn.XLOOKUP(C146&amp;A146, Inside5!B:B&amp;Inside5!I:I, Inside5!H:H), 0)</f>
        <v>0</v>
      </c>
      <c r="M146" t="str" cm="1">
        <f t="array" ref="M146">IFERROR(_xlfn.XLOOKUP(C146&amp;A146, TDrate!F:F&amp;TDrate!H:H, TDrate!B:B), "N/A")</f>
        <v>N/A</v>
      </c>
      <c r="N146" t="str" cm="1">
        <f t="array" ref="N146">IFERROR(_xlfn.XLOOKUP(C146&amp;A146, TDrate!F:F&amp;TDrate!H:H, TDrate!D:D), "N/A")</f>
        <v>N/A</v>
      </c>
    </row>
    <row r="147" spans="1:14" x14ac:dyDescent="0.45">
      <c r="A147" s="8">
        <v>2025</v>
      </c>
      <c r="B147" s="9" t="s">
        <v>442</v>
      </c>
      <c r="C147" s="10" t="str">
        <f t="shared" si="4"/>
        <v>Sincere McCormick</v>
      </c>
      <c r="D147" s="10" t="str">
        <f t="shared" si="5"/>
        <v>SF</v>
      </c>
      <c r="E147" cm="1">
        <f t="array" ref="E147">IFERROR(_xlfn.XLOOKUP(C147&amp;A147, Inside5!B:B&amp;Inside5!I:I, Inside5!C:C), 0)</f>
        <v>0</v>
      </c>
      <c r="F147" cm="1">
        <f t="array" ref="F147">IFERROR(_xlfn.XLOOKUP(C147&amp;A147, Inside5!B:B&amp;Inside5!I:I, Inside5!D:D), 0)</f>
        <v>0</v>
      </c>
      <c r="G147" cm="1">
        <f t="array" ref="G147">IFERROR(_xlfn.XLOOKUP(C147&amp;A147, Inside5!B:B&amp;Inside5!I:I, Inside5!E:E), 0)</f>
        <v>0</v>
      </c>
      <c r="H147" t="str" cm="1">
        <f t="array" ref="H147">IFERROR(_xlfn.XLOOKUP(C147&amp;A147, TDrate!F:F&amp;TDrate!H:H, TDrate!C:C), "N/A")</f>
        <v>N/A</v>
      </c>
      <c r="I147" t="str" cm="1">
        <f t="array" ref="I147">IFERROR(_xlfn.XLOOKUP(C147&amp;A147, TDrate!F:F&amp;TDrate!H:H, TDrate!E:E), "N/A")</f>
        <v>N/A</v>
      </c>
      <c r="J147" cm="1">
        <f t="array" ref="J147">IFERROR(_xlfn.XLOOKUP(C147&amp;A147, Inside5!B:B&amp;Inside5!I:I, Inside5!F:F), 0)</f>
        <v>0</v>
      </c>
      <c r="K147" cm="1">
        <f t="array" ref="K147">IFERROR(_xlfn.XLOOKUP(C147&amp;A147, Inside5!B:B&amp;Inside5!I:I, Inside5!G:G), 0)</f>
        <v>0</v>
      </c>
      <c r="L147" cm="1">
        <f t="array" ref="L147">IFERROR(_xlfn.XLOOKUP(C147&amp;A147, Inside5!B:B&amp;Inside5!I:I, Inside5!H:H), 0)</f>
        <v>0</v>
      </c>
      <c r="M147" t="str" cm="1">
        <f t="array" ref="M147">IFERROR(_xlfn.XLOOKUP(C147&amp;A147, TDrate!F:F&amp;TDrate!H:H, TDrate!B:B), "N/A")</f>
        <v>N/A</v>
      </c>
      <c r="N147" t="str" cm="1">
        <f t="array" ref="N147">IFERROR(_xlfn.XLOOKUP(C147&amp;A147, TDrate!F:F&amp;TDrate!H:H, TDrate!D:D), "N/A")</f>
        <v>N/A</v>
      </c>
    </row>
    <row r="148" spans="1:14" x14ac:dyDescent="0.45">
      <c r="A148" s="5">
        <v>2025</v>
      </c>
      <c r="B148" s="6" t="s">
        <v>443</v>
      </c>
      <c r="C148" s="7" t="str">
        <f t="shared" si="4"/>
        <v>Scott Matlock</v>
      </c>
      <c r="D148" s="7" t="str">
        <f t="shared" si="5"/>
        <v>LAC</v>
      </c>
      <c r="E148" cm="1">
        <f t="array" aca="1" ref="E148" ca="1">IFERROR(_xlfn.XLOOKUP(C148&amp;A148, Inside5!B:B&amp;Inside5!I:I, Inside5!C:C), 0)</f>
        <v>0</v>
      </c>
      <c r="F148" cm="1">
        <f t="array" ref="F148">IFERROR(_xlfn.XLOOKUP(C148&amp;A148, Inside5!B:B&amp;Inside5!I:I, Inside5!D:D), 0)</f>
        <v>0</v>
      </c>
      <c r="G148" cm="1">
        <f t="array" ref="G148">IFERROR(_xlfn.XLOOKUP(C148&amp;A148, Inside5!B:B&amp;Inside5!I:I, Inside5!E:E), 0)</f>
        <v>0</v>
      </c>
      <c r="H148" t="str" cm="1">
        <f t="array" ref="H148">IFERROR(_xlfn.XLOOKUP(C148&amp;A148, TDrate!F:F&amp;TDrate!H:H, TDrate!C:C), "N/A")</f>
        <v>N/A</v>
      </c>
      <c r="I148" t="str" cm="1">
        <f t="array" ref="I148">IFERROR(_xlfn.XLOOKUP(C148&amp;A148, TDrate!F:F&amp;TDrate!H:H, TDrate!E:E), "N/A")</f>
        <v>N/A</v>
      </c>
      <c r="J148" cm="1">
        <f t="array" ref="J148">IFERROR(_xlfn.XLOOKUP(C148&amp;A148, Inside5!B:B&amp;Inside5!I:I, Inside5!F:F), 0)</f>
        <v>0</v>
      </c>
      <c r="K148" cm="1">
        <f t="array" aca="1" ref="K148" ca="1">IFERROR(_xlfn.XLOOKUP(C148&amp;A148, Inside5!B:B&amp;Inside5!I:I, Inside5!G:G), 0)</f>
        <v>0</v>
      </c>
      <c r="L148" cm="1">
        <f t="array" ref="L148">IFERROR(_xlfn.XLOOKUP(C148&amp;A148, Inside5!B:B&amp;Inside5!I:I, Inside5!H:H), 0)</f>
        <v>0</v>
      </c>
      <c r="M148" t="str" cm="1">
        <f t="array" ref="M148">IFERROR(_xlfn.XLOOKUP(C148&amp;A148, TDrate!F:F&amp;TDrate!H:H, TDrate!B:B), "N/A")</f>
        <v>N/A</v>
      </c>
      <c r="N148" t="str" cm="1">
        <f t="array" ref="N148">IFERROR(_xlfn.XLOOKUP(C148&amp;A148, TDrate!F:F&amp;TDrate!H:H, TDrate!D:D), "N/A")</f>
        <v>N/A</v>
      </c>
    </row>
    <row r="149" spans="1:14" x14ac:dyDescent="0.45">
      <c r="A149" s="8">
        <v>2025</v>
      </c>
      <c r="B149" s="9" t="s">
        <v>444</v>
      </c>
      <c r="C149" s="10" t="str">
        <f t="shared" si="4"/>
        <v>Robbie Ouzts</v>
      </c>
      <c r="D149" s="10" t="str">
        <f t="shared" si="5"/>
        <v>SEA</v>
      </c>
      <c r="E149" cm="1">
        <f t="array" ref="E149">IFERROR(_xlfn.XLOOKUP(C149&amp;A149, Inside5!B:B&amp;Inside5!I:I, Inside5!C:C), 0)</f>
        <v>0</v>
      </c>
      <c r="F149" cm="1">
        <f t="array" ref="F149">IFERROR(_xlfn.XLOOKUP(C149&amp;A149, Inside5!B:B&amp;Inside5!I:I, Inside5!D:D), 0)</f>
        <v>0</v>
      </c>
      <c r="G149" cm="1">
        <f t="array" ref="G149">IFERROR(_xlfn.XLOOKUP(C149&amp;A149, Inside5!B:B&amp;Inside5!I:I, Inside5!E:E), 0)</f>
        <v>0</v>
      </c>
      <c r="H149" t="str" cm="1">
        <f t="array" ref="H149">IFERROR(_xlfn.XLOOKUP(C149&amp;A149, TDrate!F:F&amp;TDrate!H:H, TDrate!C:C), "N/A")</f>
        <v>N/A</v>
      </c>
      <c r="I149" t="str" cm="1">
        <f t="array" ref="I149">IFERROR(_xlfn.XLOOKUP(C149&amp;A149, TDrate!F:F&amp;TDrate!H:H, TDrate!E:E), "N/A")</f>
        <v>N/A</v>
      </c>
      <c r="J149" cm="1">
        <f t="array" ref="J149">IFERROR(_xlfn.XLOOKUP(C149&amp;A149, Inside5!B:B&amp;Inside5!I:I, Inside5!F:F), 0)</f>
        <v>0</v>
      </c>
      <c r="K149" cm="1">
        <f t="array" ref="K149">IFERROR(_xlfn.XLOOKUP(C149&amp;A149, Inside5!B:B&amp;Inside5!I:I, Inside5!G:G), 0)</f>
        <v>0</v>
      </c>
      <c r="L149" cm="1">
        <f t="array" ref="L149">IFERROR(_xlfn.XLOOKUP(C149&amp;A149, Inside5!B:B&amp;Inside5!I:I, Inside5!H:H), 0)</f>
        <v>0</v>
      </c>
      <c r="M149" t="str" cm="1">
        <f t="array" ref="M149">IFERROR(_xlfn.XLOOKUP(C149&amp;A149, TDrate!F:F&amp;TDrate!H:H, TDrate!B:B), "N/A")</f>
        <v>N/A</v>
      </c>
      <c r="N149" t="str" cm="1">
        <f t="array" ref="N149">IFERROR(_xlfn.XLOOKUP(C149&amp;A149, TDrate!F:F&amp;TDrate!H:H, TDrate!D:D), "N/A")</f>
        <v>N/A</v>
      </c>
    </row>
    <row r="150" spans="1:14" x14ac:dyDescent="0.45">
      <c r="A150" s="5">
        <v>2025</v>
      </c>
      <c r="B150" s="6" t="s">
        <v>445</v>
      </c>
      <c r="C150" s="7" t="str">
        <f t="shared" si="4"/>
        <v>Raheem Blackshear</v>
      </c>
      <c r="D150" s="7" t="str">
        <f t="shared" si="5"/>
        <v>PIT</v>
      </c>
      <c r="E150" cm="1">
        <f t="array" ref="E150">IFERROR(_xlfn.XLOOKUP(C150&amp;A150, Inside5!B:B&amp;Inside5!I:I, Inside5!C:C), 0)</f>
        <v>0</v>
      </c>
      <c r="F150" cm="1">
        <f t="array" aca="1" ref="F150" ca="1">IFERROR(_xlfn.XLOOKUP(C150&amp;A150, Inside5!B:B&amp;Inside5!I:I, Inside5!D:D), 0)</f>
        <v>0</v>
      </c>
      <c r="G150" cm="1">
        <f t="array" ref="G150">IFERROR(_xlfn.XLOOKUP(C150&amp;A150, Inside5!B:B&amp;Inside5!I:I, Inside5!E:E), 0)</f>
        <v>0</v>
      </c>
      <c r="H150" t="str" cm="1">
        <f t="array" ref="H150">IFERROR(_xlfn.XLOOKUP(C150&amp;A150, TDrate!F:F&amp;TDrate!H:H, TDrate!C:C), "N/A")</f>
        <v>N/A</v>
      </c>
      <c r="I150" t="str" cm="1">
        <f t="array" ref="I150">IFERROR(_xlfn.XLOOKUP(C150&amp;A150, TDrate!F:F&amp;TDrate!H:H, TDrate!E:E), "N/A")</f>
        <v>N/A</v>
      </c>
      <c r="J150" cm="1">
        <f t="array" ref="J150">IFERROR(_xlfn.XLOOKUP(C150&amp;A150, Inside5!B:B&amp;Inside5!I:I, Inside5!F:F), 0)</f>
        <v>0</v>
      </c>
      <c r="K150" cm="1">
        <f t="array" ref="K150">IFERROR(_xlfn.XLOOKUP(C150&amp;A150, Inside5!B:B&amp;Inside5!I:I, Inside5!G:G), 0)</f>
        <v>0</v>
      </c>
      <c r="L150" cm="1">
        <f t="array" ref="L150">IFERROR(_xlfn.XLOOKUP(C150&amp;A150, Inside5!B:B&amp;Inside5!I:I, Inside5!H:H), 0)</f>
        <v>0</v>
      </c>
      <c r="M150" t="str" cm="1">
        <f t="array" ref="M150">IFERROR(_xlfn.XLOOKUP(C150&amp;A150, TDrate!F:F&amp;TDrate!H:H, TDrate!B:B), "N/A")</f>
        <v>N/A</v>
      </c>
      <c r="N150" t="str" cm="1">
        <f t="array" ref="N150">IFERROR(_xlfn.XLOOKUP(C150&amp;A150, TDrate!F:F&amp;TDrate!H:H, TDrate!D:D), "N/A")</f>
        <v>N/A</v>
      </c>
    </row>
    <row r="151" spans="1:14" x14ac:dyDescent="0.45">
      <c r="A151" s="8">
        <v>2025</v>
      </c>
      <c r="B151" s="9" t="s">
        <v>446</v>
      </c>
      <c r="C151" s="10" t="str">
        <f t="shared" si="4"/>
        <v>Michael Burton</v>
      </c>
      <c r="D151" s="10" t="str">
        <f t="shared" si="5"/>
        <v>DEN</v>
      </c>
      <c r="E151" cm="1">
        <f t="array" aca="1" ref="E151" ca="1">IFERROR(_xlfn.XLOOKUP(C151&amp;A151, Inside5!B:B&amp;Inside5!I:I, Inside5!C:C), 0)</f>
        <v>0</v>
      </c>
      <c r="F151" cm="1">
        <f t="array" ref="F151">IFERROR(_xlfn.XLOOKUP(C151&amp;A151, Inside5!B:B&amp;Inside5!I:I, Inside5!D:D), 0)</f>
        <v>0</v>
      </c>
      <c r="G151" cm="1">
        <f t="array" ref="G151">IFERROR(_xlfn.XLOOKUP(C151&amp;A151, Inside5!B:B&amp;Inside5!I:I, Inside5!E:E), 0)</f>
        <v>0</v>
      </c>
      <c r="H151" t="str" cm="1">
        <f t="array" ref="H151">IFERROR(_xlfn.XLOOKUP(C151&amp;A151, TDrate!F:F&amp;TDrate!H:H, TDrate!C:C), "N/A")</f>
        <v>N/A</v>
      </c>
      <c r="I151" t="str" cm="1">
        <f t="array" ref="I151">IFERROR(_xlfn.XLOOKUP(C151&amp;A151, TDrate!F:F&amp;TDrate!H:H, TDrate!E:E), "N/A")</f>
        <v>N/A</v>
      </c>
      <c r="J151" cm="1">
        <f t="array" ref="J151">IFERROR(_xlfn.XLOOKUP(C151&amp;A151, Inside5!B:B&amp;Inside5!I:I, Inside5!F:F), 0)</f>
        <v>0</v>
      </c>
      <c r="K151" cm="1">
        <f t="array" ref="K151">IFERROR(_xlfn.XLOOKUP(C151&amp;A151, Inside5!B:B&amp;Inside5!I:I, Inside5!G:G), 0)</f>
        <v>0</v>
      </c>
      <c r="L151" cm="1">
        <f t="array" ref="L151">IFERROR(_xlfn.XLOOKUP(C151&amp;A151, Inside5!B:B&amp;Inside5!I:I, Inside5!H:H), 0)</f>
        <v>0</v>
      </c>
      <c r="M151" t="str" cm="1">
        <f t="array" ref="M151">IFERROR(_xlfn.XLOOKUP(C151&amp;A151, TDrate!F:F&amp;TDrate!H:H, TDrate!B:B), "N/A")</f>
        <v>N/A</v>
      </c>
      <c r="N151" t="str" cm="1">
        <f t="array" ref="N151">IFERROR(_xlfn.XLOOKUP(C151&amp;A151, TDrate!F:F&amp;TDrate!H:H, TDrate!D:D), "N/A")</f>
        <v>N/A</v>
      </c>
    </row>
    <row r="152" spans="1:14" x14ac:dyDescent="0.45">
      <c r="A152" s="5">
        <v>2025</v>
      </c>
      <c r="B152" s="6" t="s">
        <v>447</v>
      </c>
      <c r="C152" s="7" t="str">
        <f t="shared" si="4"/>
        <v>Lew Nichols III</v>
      </c>
      <c r="D152" s="7" t="str">
        <f t="shared" si="5"/>
        <v>PIT</v>
      </c>
      <c r="E152" cm="1">
        <f t="array" ref="E152">IFERROR(_xlfn.XLOOKUP(C152&amp;A152, Inside5!B:B&amp;Inside5!I:I, Inside5!C:C), 0)</f>
        <v>0</v>
      </c>
      <c r="F152" cm="1">
        <f t="array" ref="F152">IFERROR(_xlfn.XLOOKUP(C152&amp;A152, Inside5!B:B&amp;Inside5!I:I, Inside5!D:D), 0)</f>
        <v>0</v>
      </c>
      <c r="G152" cm="1">
        <f t="array" ref="G152">IFERROR(_xlfn.XLOOKUP(C152&amp;A152, Inside5!B:B&amp;Inside5!I:I, Inside5!E:E), 0)</f>
        <v>0</v>
      </c>
      <c r="H152" t="str" cm="1">
        <f t="array" ref="H152">IFERROR(_xlfn.XLOOKUP(C152&amp;A152, TDrate!F:F&amp;TDrate!H:H, TDrate!C:C), "N/A")</f>
        <v>N/A</v>
      </c>
      <c r="I152" t="str" cm="1">
        <f t="array" ref="I152">IFERROR(_xlfn.XLOOKUP(C152&amp;A152, TDrate!F:F&amp;TDrate!H:H, TDrate!E:E), "N/A")</f>
        <v>N/A</v>
      </c>
      <c r="J152" cm="1">
        <f t="array" ref="J152">IFERROR(_xlfn.XLOOKUP(C152&amp;A152, Inside5!B:B&amp;Inside5!I:I, Inside5!F:F), 0)</f>
        <v>0</v>
      </c>
      <c r="K152" cm="1">
        <f t="array" ref="K152">IFERROR(_xlfn.XLOOKUP(C152&amp;A152, Inside5!B:B&amp;Inside5!I:I, Inside5!G:G), 0)</f>
        <v>0</v>
      </c>
      <c r="L152" cm="1">
        <f t="array" ref="L152">IFERROR(_xlfn.XLOOKUP(C152&amp;A152, Inside5!B:B&amp;Inside5!I:I, Inside5!H:H), 0)</f>
        <v>0</v>
      </c>
      <c r="M152" t="str" cm="1">
        <f t="array" ref="M152">IFERROR(_xlfn.XLOOKUP(C152&amp;A152, TDrate!F:F&amp;TDrate!H:H, TDrate!B:B), "N/A")</f>
        <v>N/A</v>
      </c>
      <c r="N152" t="str" cm="1">
        <f t="array" ref="N152">IFERROR(_xlfn.XLOOKUP(C152&amp;A152, TDrate!F:F&amp;TDrate!H:H, TDrate!D:D), "N/A")</f>
        <v>N/A</v>
      </c>
    </row>
    <row r="153" spans="1:14" x14ac:dyDescent="0.45">
      <c r="A153" s="8">
        <v>2025</v>
      </c>
      <c r="B153" s="9" t="s">
        <v>448</v>
      </c>
      <c r="C153" s="10" t="str">
        <f t="shared" si="4"/>
        <v>Kye Robichaux</v>
      </c>
      <c r="D153" s="10" t="str">
        <f t="shared" si="5"/>
        <v>DET</v>
      </c>
      <c r="E153" cm="1">
        <f t="array" aca="1" ref="E153" ca="1">IFERROR(_xlfn.XLOOKUP(C153&amp;A153, Inside5!B:B&amp;Inside5!I:I, Inside5!C:C), 0)</f>
        <v>0</v>
      </c>
      <c r="F153" cm="1">
        <f t="array" aca="1" ref="F153" ca="1">IFERROR(_xlfn.XLOOKUP(C153&amp;A153, Inside5!B:B&amp;Inside5!I:I, Inside5!D:D), 0)</f>
        <v>0</v>
      </c>
      <c r="G153" cm="1">
        <f t="array" ref="G153">IFERROR(_xlfn.XLOOKUP(C153&amp;A153, Inside5!B:B&amp;Inside5!I:I, Inside5!E:E), 0)</f>
        <v>0</v>
      </c>
      <c r="H153" t="str" cm="1">
        <f t="array" ref="H153">IFERROR(_xlfn.XLOOKUP(C153&amp;A153, TDrate!F:F&amp;TDrate!H:H, TDrate!C:C), "N/A")</f>
        <v>N/A</v>
      </c>
      <c r="I153" t="str" cm="1">
        <f t="array" ref="I153">IFERROR(_xlfn.XLOOKUP(C153&amp;A153, TDrate!F:F&amp;TDrate!H:H, TDrate!E:E), "N/A")</f>
        <v>N/A</v>
      </c>
      <c r="J153" cm="1">
        <f t="array" ref="J153">IFERROR(_xlfn.XLOOKUP(C153&amp;A153, Inside5!B:B&amp;Inside5!I:I, Inside5!F:F), 0)</f>
        <v>0</v>
      </c>
      <c r="K153" cm="1">
        <f t="array" aca="1" ref="K153" ca="1">IFERROR(_xlfn.XLOOKUP(C153&amp;A153, Inside5!B:B&amp;Inside5!I:I, Inside5!G:G), 0)</f>
        <v>0</v>
      </c>
      <c r="L153" cm="1">
        <f t="array" ref="L153">IFERROR(_xlfn.XLOOKUP(C153&amp;A153, Inside5!B:B&amp;Inside5!I:I, Inside5!H:H), 0)</f>
        <v>0</v>
      </c>
      <c r="M153" t="str" cm="1">
        <f t="array" ref="M153">IFERROR(_xlfn.XLOOKUP(C153&amp;A153, TDrate!F:F&amp;TDrate!H:H, TDrate!B:B), "N/A")</f>
        <v>N/A</v>
      </c>
      <c r="N153" t="str" cm="1">
        <f t="array" ref="N153">IFERROR(_xlfn.XLOOKUP(C153&amp;A153, TDrate!F:F&amp;TDrate!H:H, TDrate!D:D), "N/A")</f>
        <v>N/A</v>
      </c>
    </row>
    <row r="154" spans="1:14" x14ac:dyDescent="0.45">
      <c r="A154" s="5">
        <v>2025</v>
      </c>
      <c r="B154" s="6" t="s">
        <v>449</v>
      </c>
      <c r="C154" s="7" t="str">
        <f t="shared" si="4"/>
        <v>Keilan Robinson</v>
      </c>
      <c r="D154" s="7" t="str">
        <f t="shared" si="5"/>
        <v>NYJ</v>
      </c>
      <c r="E154" cm="1">
        <f t="array" aca="1" ref="E154" ca="1">IFERROR(_xlfn.XLOOKUP(C154&amp;A154, Inside5!B:B&amp;Inside5!I:I, Inside5!C:C), 0)</f>
        <v>0</v>
      </c>
      <c r="F154" cm="1">
        <f t="array" aca="1" ref="F154" ca="1">IFERROR(_xlfn.XLOOKUP(C154&amp;A154, Inside5!B:B&amp;Inside5!I:I, Inside5!D:D), 0)</f>
        <v>0</v>
      </c>
      <c r="G154" cm="1">
        <f t="array" ref="G154">IFERROR(_xlfn.XLOOKUP(C154&amp;A154, Inside5!B:B&amp;Inside5!I:I, Inside5!E:E), 0)</f>
        <v>0</v>
      </c>
      <c r="H154" t="str" cm="1">
        <f t="array" ref="H154">IFERROR(_xlfn.XLOOKUP(C154&amp;A154, TDrate!F:F&amp;TDrate!H:H, TDrate!C:C), "N/A")</f>
        <v>N/A</v>
      </c>
      <c r="I154" t="str" cm="1">
        <f t="array" ref="I154">IFERROR(_xlfn.XLOOKUP(C154&amp;A154, TDrate!F:F&amp;TDrate!H:H, TDrate!E:E), "N/A")</f>
        <v>N/A</v>
      </c>
      <c r="J154" cm="1">
        <f t="array" ref="J154">IFERROR(_xlfn.XLOOKUP(C154&amp;A154, Inside5!B:B&amp;Inside5!I:I, Inside5!F:F), 0)</f>
        <v>0</v>
      </c>
      <c r="K154" cm="1">
        <f t="array" ref="K154">IFERROR(_xlfn.XLOOKUP(C154&amp;A154, Inside5!B:B&amp;Inside5!I:I, Inside5!G:G), 0)</f>
        <v>0</v>
      </c>
      <c r="L154" cm="1">
        <f t="array" ref="L154">IFERROR(_xlfn.XLOOKUP(C154&amp;A154, Inside5!B:B&amp;Inside5!I:I, Inside5!H:H), 0)</f>
        <v>0</v>
      </c>
      <c r="M154" t="str" cm="1">
        <f t="array" ref="M154">IFERROR(_xlfn.XLOOKUP(C154&amp;A154, TDrate!F:F&amp;TDrate!H:H, TDrate!B:B), "N/A")</f>
        <v>N/A</v>
      </c>
      <c r="N154" t="str" cm="1">
        <f t="array" ref="N154">IFERROR(_xlfn.XLOOKUP(C154&amp;A154, TDrate!F:F&amp;TDrate!H:H, TDrate!D:D), "N/A")</f>
        <v>N/A</v>
      </c>
    </row>
    <row r="155" spans="1:14" x14ac:dyDescent="0.45">
      <c r="A155" s="8">
        <v>2025</v>
      </c>
      <c r="B155" s="9" t="s">
        <v>450</v>
      </c>
      <c r="C155" s="10" t="str">
        <f t="shared" si="4"/>
        <v>Keaontay Ingram</v>
      </c>
      <c r="D155" s="10" t="str">
        <f t="shared" si="5"/>
        <v>KC</v>
      </c>
      <c r="E155" cm="1">
        <f t="array" aca="1" ref="E155" ca="1">IFERROR(_xlfn.XLOOKUP(C155&amp;A155, Inside5!B:B&amp;Inside5!I:I, Inside5!C:C), 0)</f>
        <v>0</v>
      </c>
      <c r="F155" cm="1">
        <f t="array" aca="1" ref="F155" ca="1">IFERROR(_xlfn.XLOOKUP(C155&amp;A155, Inside5!B:B&amp;Inside5!I:I, Inside5!D:D), 0)</f>
        <v>0</v>
      </c>
      <c r="G155" cm="1">
        <f t="array" ref="G155">IFERROR(_xlfn.XLOOKUP(C155&amp;A155, Inside5!B:B&amp;Inside5!I:I, Inside5!E:E), 0)</f>
        <v>0</v>
      </c>
      <c r="H155" t="str" cm="1">
        <f t="array" ref="H155">IFERROR(_xlfn.XLOOKUP(C155&amp;A155, TDrate!F:F&amp;TDrate!H:H, TDrate!C:C), "N/A")</f>
        <v>N/A</v>
      </c>
      <c r="I155" t="str" cm="1">
        <f t="array" ref="I155">IFERROR(_xlfn.XLOOKUP(C155&amp;A155, TDrate!F:F&amp;TDrate!H:H, TDrate!E:E), "N/A")</f>
        <v>N/A</v>
      </c>
      <c r="J155" cm="1">
        <f t="array" ref="J155">IFERROR(_xlfn.XLOOKUP(C155&amp;A155, Inside5!B:B&amp;Inside5!I:I, Inside5!F:F), 0)</f>
        <v>0</v>
      </c>
      <c r="K155" cm="1">
        <f t="array" ref="K155">IFERROR(_xlfn.XLOOKUP(C155&amp;A155, Inside5!B:B&amp;Inside5!I:I, Inside5!G:G), 0)</f>
        <v>0</v>
      </c>
      <c r="L155" cm="1">
        <f t="array" ref="L155">IFERROR(_xlfn.XLOOKUP(C155&amp;A155, Inside5!B:B&amp;Inside5!I:I, Inside5!H:H), 0)</f>
        <v>0</v>
      </c>
      <c r="M155" t="str" cm="1">
        <f t="array" ref="M155">IFERROR(_xlfn.XLOOKUP(C155&amp;A155, TDrate!F:F&amp;TDrate!H:H, TDrate!B:B), "N/A")</f>
        <v>N/A</v>
      </c>
      <c r="N155" t="str" cm="1">
        <f t="array" ref="N155">IFERROR(_xlfn.XLOOKUP(C155&amp;A155, TDrate!F:F&amp;TDrate!H:H, TDrate!D:D), "N/A")</f>
        <v>N/A</v>
      </c>
    </row>
    <row r="156" spans="1:14" x14ac:dyDescent="0.45">
      <c r="A156" s="5">
        <v>2025</v>
      </c>
      <c r="B156" s="6" t="s">
        <v>451</v>
      </c>
      <c r="C156" s="7" t="str">
        <f t="shared" si="4"/>
        <v>Jordan Mims</v>
      </c>
      <c r="D156" s="7" t="str">
        <f t="shared" si="5"/>
        <v>TEN</v>
      </c>
      <c r="E156" cm="1">
        <f t="array" ref="E156">IFERROR(_xlfn.XLOOKUP(C156&amp;A156, Inside5!B:B&amp;Inside5!I:I, Inside5!C:C), 0)</f>
        <v>0</v>
      </c>
      <c r="F156" cm="1">
        <f t="array" ref="F156">IFERROR(_xlfn.XLOOKUP(C156&amp;A156, Inside5!B:B&amp;Inside5!I:I, Inside5!D:D), 0)</f>
        <v>0</v>
      </c>
      <c r="G156" cm="1">
        <f t="array" ref="G156">IFERROR(_xlfn.XLOOKUP(C156&amp;A156, Inside5!B:B&amp;Inside5!I:I, Inside5!E:E), 0)</f>
        <v>0</v>
      </c>
      <c r="H156" t="str" cm="1">
        <f t="array" ref="H156">IFERROR(_xlfn.XLOOKUP(C156&amp;A156, TDrate!F:F&amp;TDrate!H:H, TDrate!C:C), "N/A")</f>
        <v>N/A</v>
      </c>
      <c r="I156" t="str" cm="1">
        <f t="array" ref="I156">IFERROR(_xlfn.XLOOKUP(C156&amp;A156, TDrate!F:F&amp;TDrate!H:H, TDrate!E:E), "N/A")</f>
        <v>N/A</v>
      </c>
      <c r="J156" cm="1">
        <f t="array" ref="J156">IFERROR(_xlfn.XLOOKUP(C156&amp;A156, Inside5!B:B&amp;Inside5!I:I, Inside5!F:F), 0)</f>
        <v>0</v>
      </c>
      <c r="K156" cm="1">
        <f t="array" ref="K156">IFERROR(_xlfn.XLOOKUP(C156&amp;A156, Inside5!B:B&amp;Inside5!I:I, Inside5!G:G), 0)</f>
        <v>0</v>
      </c>
      <c r="L156" cm="1">
        <f t="array" ref="L156">IFERROR(_xlfn.XLOOKUP(C156&amp;A156, Inside5!B:B&amp;Inside5!I:I, Inside5!H:H), 0)</f>
        <v>0</v>
      </c>
      <c r="M156" t="str" cm="1">
        <f t="array" ref="M156">IFERROR(_xlfn.XLOOKUP(C156&amp;A156, TDrate!F:F&amp;TDrate!H:H, TDrate!B:B), "N/A")</f>
        <v>N/A</v>
      </c>
      <c r="N156" t="str" cm="1">
        <f t="array" ref="N156">IFERROR(_xlfn.XLOOKUP(C156&amp;A156, TDrate!F:F&amp;TDrate!H:H, TDrate!D:D), "N/A")</f>
        <v>N/A</v>
      </c>
    </row>
    <row r="157" spans="1:14" x14ac:dyDescent="0.45">
      <c r="A157" s="8">
        <v>2025</v>
      </c>
      <c r="B157" s="9" t="s">
        <v>452</v>
      </c>
      <c r="C157" s="10" t="str">
        <f t="shared" si="4"/>
        <v>Jordan James</v>
      </c>
      <c r="D157" s="10" t="str">
        <f t="shared" si="5"/>
        <v>SF</v>
      </c>
      <c r="E157" cm="1">
        <f t="array" aca="1" ref="E157" ca="1">IFERROR(_xlfn.XLOOKUP(C157&amp;A157, Inside5!B:B&amp;Inside5!I:I, Inside5!C:C), 0)</f>
        <v>0</v>
      </c>
      <c r="F157" cm="1">
        <f t="array" aca="1" ref="F157" ca="1">IFERROR(_xlfn.XLOOKUP(C157&amp;A157, Inside5!B:B&amp;Inside5!I:I, Inside5!D:D), 0)</f>
        <v>0</v>
      </c>
      <c r="G157" cm="1">
        <f t="array" ref="G157">IFERROR(_xlfn.XLOOKUP(C157&amp;A157, Inside5!B:B&amp;Inside5!I:I, Inside5!E:E), 0)</f>
        <v>0</v>
      </c>
      <c r="H157" t="str" cm="1">
        <f t="array" ref="H157">IFERROR(_xlfn.XLOOKUP(C157&amp;A157, TDrate!F:F&amp;TDrate!H:H, TDrate!C:C), "N/A")</f>
        <v>N/A</v>
      </c>
      <c r="I157" t="str" cm="1">
        <f t="array" ref="I157">IFERROR(_xlfn.XLOOKUP(C157&amp;A157, TDrate!F:F&amp;TDrate!H:H, TDrate!E:E), "N/A")</f>
        <v>N/A</v>
      </c>
      <c r="J157" cm="1">
        <f t="array" ref="J157">IFERROR(_xlfn.XLOOKUP(C157&amp;A157, Inside5!B:B&amp;Inside5!I:I, Inside5!F:F), 0)</f>
        <v>0</v>
      </c>
      <c r="K157" cm="1">
        <f t="array" ref="K157">IFERROR(_xlfn.XLOOKUP(C157&amp;A157, Inside5!B:B&amp;Inside5!I:I, Inside5!G:G), 0)</f>
        <v>0</v>
      </c>
      <c r="L157" cm="1">
        <f t="array" ref="L157">IFERROR(_xlfn.XLOOKUP(C157&amp;A157, Inside5!B:B&amp;Inside5!I:I, Inside5!H:H), 0)</f>
        <v>0</v>
      </c>
      <c r="M157" t="str" cm="1">
        <f t="array" ref="M157">IFERROR(_xlfn.XLOOKUP(C157&amp;A157, TDrate!F:F&amp;TDrate!H:H, TDrate!B:B), "N/A")</f>
        <v>N/A</v>
      </c>
      <c r="N157" t="str" cm="1">
        <f t="array" ref="N157">IFERROR(_xlfn.XLOOKUP(C157&amp;A157, TDrate!F:F&amp;TDrate!H:H, TDrate!D:D), "N/A")</f>
        <v>N/A</v>
      </c>
    </row>
    <row r="158" spans="1:14" x14ac:dyDescent="0.45">
      <c r="A158" s="5">
        <v>2025</v>
      </c>
      <c r="B158" s="6" t="s">
        <v>453</v>
      </c>
      <c r="C158" s="7" t="str">
        <f t="shared" si="4"/>
        <v>Jeff Wilson Jr.</v>
      </c>
      <c r="D158" s="7" t="str">
        <f t="shared" si="5"/>
        <v>MIA</v>
      </c>
      <c r="E158" cm="1">
        <f t="array" ref="E158">IFERROR(_xlfn.XLOOKUP(C158&amp;A158, Inside5!B:B&amp;Inside5!I:I, Inside5!C:C), 0)</f>
        <v>0</v>
      </c>
      <c r="F158" cm="1">
        <f t="array" ref="F158">IFERROR(_xlfn.XLOOKUP(C158&amp;A158, Inside5!B:B&amp;Inside5!I:I, Inside5!D:D), 0)</f>
        <v>0</v>
      </c>
      <c r="G158" cm="1">
        <f t="array" ref="G158">IFERROR(_xlfn.XLOOKUP(C158&amp;A158, Inside5!B:B&amp;Inside5!I:I, Inside5!E:E), 0)</f>
        <v>0</v>
      </c>
      <c r="H158" t="str" cm="1">
        <f t="array" ref="H158">IFERROR(_xlfn.XLOOKUP(C158&amp;A158, TDrate!F:F&amp;TDrate!H:H, TDrate!C:C), "N/A")</f>
        <v>N/A</v>
      </c>
      <c r="I158" t="str" cm="1">
        <f t="array" ref="I158">IFERROR(_xlfn.XLOOKUP(C158&amp;A158, TDrate!F:F&amp;TDrate!H:H, TDrate!E:E), "N/A")</f>
        <v>N/A</v>
      </c>
      <c r="J158" cm="1">
        <f t="array" ref="J158">IFERROR(_xlfn.XLOOKUP(C158&amp;A158, Inside5!B:B&amp;Inside5!I:I, Inside5!F:F), 0)</f>
        <v>0</v>
      </c>
      <c r="K158" cm="1">
        <f t="array" ref="K158">IFERROR(_xlfn.XLOOKUP(C158&amp;A158, Inside5!B:B&amp;Inside5!I:I, Inside5!G:G), 0)</f>
        <v>0</v>
      </c>
      <c r="L158" cm="1">
        <f t="array" ref="L158">IFERROR(_xlfn.XLOOKUP(C158&amp;A158, Inside5!B:B&amp;Inside5!I:I, Inside5!H:H), 0)</f>
        <v>0</v>
      </c>
      <c r="M158" t="str" cm="1">
        <f t="array" ref="M158">IFERROR(_xlfn.XLOOKUP(C158&amp;A158, TDrate!F:F&amp;TDrate!H:H, TDrate!B:B), "N/A")</f>
        <v>N/A</v>
      </c>
      <c r="N158" t="str" cm="1">
        <f t="array" ref="N158">IFERROR(_xlfn.XLOOKUP(C158&amp;A158, TDrate!F:F&amp;TDrate!H:H, TDrate!D:D), "N/A")</f>
        <v>N/A</v>
      </c>
    </row>
    <row r="159" spans="1:14" x14ac:dyDescent="0.45">
      <c r="A159" s="8">
        <v>2025</v>
      </c>
      <c r="B159" s="9" t="s">
        <v>454</v>
      </c>
      <c r="C159" s="10" t="str">
        <f t="shared" si="4"/>
        <v>Jashaun Corbin</v>
      </c>
      <c r="D159" s="10" t="str">
        <f t="shared" si="5"/>
        <v>NE</v>
      </c>
      <c r="E159" cm="1">
        <f t="array" aca="1" ref="E159" ca="1">IFERROR(_xlfn.XLOOKUP(C159&amp;A159, Inside5!B:B&amp;Inside5!I:I, Inside5!C:C), 0)</f>
        <v>0</v>
      </c>
      <c r="F159" cm="1">
        <f t="array" aca="1" ref="F159" ca="1">IFERROR(_xlfn.XLOOKUP(C159&amp;A159, Inside5!B:B&amp;Inside5!I:I, Inside5!D:D), 0)</f>
        <v>0</v>
      </c>
      <c r="G159" cm="1">
        <f t="array" ref="G159">IFERROR(_xlfn.XLOOKUP(C159&amp;A159, Inside5!B:B&amp;Inside5!I:I, Inside5!E:E), 0)</f>
        <v>0</v>
      </c>
      <c r="H159" t="str" cm="1">
        <f t="array" ref="H159">IFERROR(_xlfn.XLOOKUP(C159&amp;A159, TDrate!F:F&amp;TDrate!H:H, TDrate!C:C), "N/A")</f>
        <v>N/A</v>
      </c>
      <c r="I159" t="str" cm="1">
        <f t="array" ref="I159">IFERROR(_xlfn.XLOOKUP(C159&amp;A159, TDrate!F:F&amp;TDrate!H:H, TDrate!E:E), "N/A")</f>
        <v>N/A</v>
      </c>
      <c r="J159" cm="1">
        <f t="array" ref="J159">IFERROR(_xlfn.XLOOKUP(C159&amp;A159, Inside5!B:B&amp;Inside5!I:I, Inside5!F:F), 0)</f>
        <v>0</v>
      </c>
      <c r="K159" cm="1">
        <f t="array" aca="1" ref="K159" ca="1">IFERROR(_xlfn.XLOOKUP(C159&amp;A159, Inside5!B:B&amp;Inside5!I:I, Inside5!G:G), 0)</f>
        <v>0</v>
      </c>
      <c r="L159" cm="1">
        <f t="array" ref="L159">IFERROR(_xlfn.XLOOKUP(C159&amp;A159, Inside5!B:B&amp;Inside5!I:I, Inside5!H:H), 0)</f>
        <v>0</v>
      </c>
      <c r="M159" t="str" cm="1">
        <f t="array" ref="M159">IFERROR(_xlfn.XLOOKUP(C159&amp;A159, TDrate!F:F&amp;TDrate!H:H, TDrate!B:B), "N/A")</f>
        <v>N/A</v>
      </c>
      <c r="N159" t="str" cm="1">
        <f t="array" ref="N159">IFERROR(_xlfn.XLOOKUP(C159&amp;A159, TDrate!F:F&amp;TDrate!H:H, TDrate!D:D), "N/A")</f>
        <v>N/A</v>
      </c>
    </row>
    <row r="160" spans="1:14" x14ac:dyDescent="0.45">
      <c r="A160" s="5">
        <v>2025</v>
      </c>
      <c r="B160" s="6" t="s">
        <v>455</v>
      </c>
      <c r="C160" s="7" t="str">
        <f t="shared" si="4"/>
        <v>Jakob Johnson</v>
      </c>
      <c r="D160" s="7" t="str">
        <f t="shared" si="5"/>
        <v>HOU</v>
      </c>
      <c r="E160" cm="1">
        <f t="array" aca="1" ref="E160" ca="1">IFERROR(_xlfn.XLOOKUP(C160&amp;A160, Inside5!B:B&amp;Inside5!I:I, Inside5!C:C), 0)</f>
        <v>0</v>
      </c>
      <c r="F160" cm="1">
        <f t="array" aca="1" ref="F160" ca="1">IFERROR(_xlfn.XLOOKUP(C160&amp;A160, Inside5!B:B&amp;Inside5!I:I, Inside5!D:D), 0)</f>
        <v>0</v>
      </c>
      <c r="G160" cm="1">
        <f t="array" ref="G160">IFERROR(_xlfn.XLOOKUP(C160&amp;A160, Inside5!B:B&amp;Inside5!I:I, Inside5!E:E), 0)</f>
        <v>0</v>
      </c>
      <c r="H160" t="str" cm="1">
        <f t="array" ref="H160">IFERROR(_xlfn.XLOOKUP(C160&amp;A160, TDrate!F:F&amp;TDrate!H:H, TDrate!C:C), "N/A")</f>
        <v>N/A</v>
      </c>
      <c r="I160" t="str" cm="1">
        <f t="array" ref="I160">IFERROR(_xlfn.XLOOKUP(C160&amp;A160, TDrate!F:F&amp;TDrate!H:H, TDrate!E:E), "N/A")</f>
        <v>N/A</v>
      </c>
      <c r="J160" cm="1">
        <f t="array" ref="J160">IFERROR(_xlfn.XLOOKUP(C160&amp;A160, Inside5!B:B&amp;Inside5!I:I, Inside5!F:F), 0)</f>
        <v>0</v>
      </c>
      <c r="K160" cm="1">
        <f t="array" ref="K160">IFERROR(_xlfn.XLOOKUP(C160&amp;A160, Inside5!B:B&amp;Inside5!I:I, Inside5!G:G), 0)</f>
        <v>0</v>
      </c>
      <c r="L160" cm="1">
        <f t="array" ref="L160">IFERROR(_xlfn.XLOOKUP(C160&amp;A160, Inside5!B:B&amp;Inside5!I:I, Inside5!H:H), 0)</f>
        <v>0</v>
      </c>
      <c r="M160" t="str" cm="1">
        <f t="array" ref="M160">IFERROR(_xlfn.XLOOKUP(C160&amp;A160, TDrate!F:F&amp;TDrate!H:H, TDrate!B:B), "N/A")</f>
        <v>N/A</v>
      </c>
      <c r="N160" t="str" cm="1">
        <f t="array" ref="N160">IFERROR(_xlfn.XLOOKUP(C160&amp;A160, TDrate!F:F&amp;TDrate!H:H, TDrate!D:D), "N/A")</f>
        <v>N/A</v>
      </c>
    </row>
    <row r="161" spans="1:14" x14ac:dyDescent="0.45">
      <c r="A161" s="8">
        <v>2025</v>
      </c>
      <c r="B161" s="9" t="s">
        <v>456</v>
      </c>
      <c r="C161" s="10" t="str">
        <f t="shared" si="4"/>
        <v>Jack Westover</v>
      </c>
      <c r="D161" s="10" t="str">
        <f t="shared" si="5"/>
        <v>NE</v>
      </c>
      <c r="E161" cm="1">
        <f t="array" aca="1" ref="E161" ca="1">IFERROR(_xlfn.XLOOKUP(C161&amp;A161, Inside5!B:B&amp;Inside5!I:I, Inside5!C:C), 0)</f>
        <v>0</v>
      </c>
      <c r="F161" cm="1">
        <f t="array" aca="1" ref="F161" ca="1">IFERROR(_xlfn.XLOOKUP(C161&amp;A161, Inside5!B:B&amp;Inside5!I:I, Inside5!D:D), 0)</f>
        <v>0</v>
      </c>
      <c r="G161" cm="1">
        <f t="array" ref="G161">IFERROR(_xlfn.XLOOKUP(C161&amp;A161, Inside5!B:B&amp;Inside5!I:I, Inside5!E:E), 0)</f>
        <v>0</v>
      </c>
      <c r="H161" t="str" cm="1">
        <f t="array" ref="H161">IFERROR(_xlfn.XLOOKUP(C161&amp;A161, TDrate!F:F&amp;TDrate!H:H, TDrate!C:C), "N/A")</f>
        <v>N/A</v>
      </c>
      <c r="I161" t="str" cm="1">
        <f t="array" ref="I161">IFERROR(_xlfn.XLOOKUP(C161&amp;A161, TDrate!F:F&amp;TDrate!H:H, TDrate!E:E), "N/A")</f>
        <v>N/A</v>
      </c>
      <c r="J161" cm="1">
        <f t="array" ref="J161">IFERROR(_xlfn.XLOOKUP(C161&amp;A161, Inside5!B:B&amp;Inside5!I:I, Inside5!F:F), 0)</f>
        <v>0</v>
      </c>
      <c r="K161" cm="1">
        <f t="array" aca="1" ref="K161" ca="1">IFERROR(_xlfn.XLOOKUP(C161&amp;A161, Inside5!B:B&amp;Inside5!I:I, Inside5!G:G), 0)</f>
        <v>0</v>
      </c>
      <c r="L161" cm="1">
        <f t="array" ref="L161">IFERROR(_xlfn.XLOOKUP(C161&amp;A161, Inside5!B:B&amp;Inside5!I:I, Inside5!H:H), 0)</f>
        <v>0</v>
      </c>
      <c r="M161" t="str" cm="1">
        <f t="array" ref="M161">IFERROR(_xlfn.XLOOKUP(C161&amp;A161, TDrate!F:F&amp;TDrate!H:H, TDrate!B:B), "N/A")</f>
        <v>N/A</v>
      </c>
      <c r="N161" t="str" cm="1">
        <f t="array" ref="N161">IFERROR(_xlfn.XLOOKUP(C161&amp;A161, TDrate!F:F&amp;TDrate!H:H, TDrate!D:D), "N/A")</f>
        <v>N/A</v>
      </c>
    </row>
    <row r="162" spans="1:14" x14ac:dyDescent="0.45">
      <c r="A162" s="5">
        <v>2025</v>
      </c>
      <c r="B162" s="6" t="s">
        <v>457</v>
      </c>
      <c r="C162" s="7" t="str">
        <f t="shared" si="4"/>
        <v>Isaac Guerendo</v>
      </c>
      <c r="D162" s="7" t="str">
        <f t="shared" si="5"/>
        <v>SF</v>
      </c>
      <c r="E162" cm="1">
        <f t="array" ref="E162">IFERROR(_xlfn.XLOOKUP(C162&amp;A162, Inside5!B:B&amp;Inside5!I:I, Inside5!C:C), 0)</f>
        <v>0</v>
      </c>
      <c r="F162" cm="1">
        <f t="array" ref="F162">IFERROR(_xlfn.XLOOKUP(C162&amp;A162, Inside5!B:B&amp;Inside5!I:I, Inside5!D:D), 0)</f>
        <v>0</v>
      </c>
      <c r="G162" cm="1">
        <f t="array" ref="G162">IFERROR(_xlfn.XLOOKUP(C162&amp;A162, Inside5!B:B&amp;Inside5!I:I, Inside5!E:E), 0)</f>
        <v>0</v>
      </c>
      <c r="H162" t="str" cm="1">
        <f t="array" ref="H162">IFERROR(_xlfn.XLOOKUP(C162&amp;A162, TDrate!F:F&amp;TDrate!H:H, TDrate!C:C), "N/A")</f>
        <v>N/A</v>
      </c>
      <c r="I162" t="str" cm="1">
        <f t="array" ref="I162">IFERROR(_xlfn.XLOOKUP(C162&amp;A162, TDrate!F:F&amp;TDrate!H:H, TDrate!E:E), "N/A")</f>
        <v>N/A</v>
      </c>
      <c r="J162" cm="1">
        <f t="array" ref="J162">IFERROR(_xlfn.XLOOKUP(C162&amp;A162, Inside5!B:B&amp;Inside5!I:I, Inside5!F:F), 0)</f>
        <v>0</v>
      </c>
      <c r="K162" cm="1">
        <f t="array" ref="K162">IFERROR(_xlfn.XLOOKUP(C162&amp;A162, Inside5!B:B&amp;Inside5!I:I, Inside5!G:G), 0)</f>
        <v>0</v>
      </c>
      <c r="L162" cm="1">
        <f t="array" ref="L162">IFERROR(_xlfn.XLOOKUP(C162&amp;A162, Inside5!B:B&amp;Inside5!I:I, Inside5!H:H), 0)</f>
        <v>0</v>
      </c>
      <c r="M162" t="str" cm="1">
        <f t="array" ref="M162">IFERROR(_xlfn.XLOOKUP(C162&amp;A162, TDrate!F:F&amp;TDrate!H:H, TDrate!B:B), "N/A")</f>
        <v>N/A</v>
      </c>
      <c r="N162" t="str" cm="1">
        <f t="array" ref="N162">IFERROR(_xlfn.XLOOKUP(C162&amp;A162, TDrate!F:F&amp;TDrate!H:H, TDrate!D:D), "N/A")</f>
        <v>N/A</v>
      </c>
    </row>
    <row r="163" spans="1:14" x14ac:dyDescent="0.45">
      <c r="A163" s="8">
        <v>2025</v>
      </c>
      <c r="B163" s="9" t="s">
        <v>458</v>
      </c>
      <c r="C163" s="10" t="str">
        <f t="shared" si="4"/>
        <v>Gary Brightwell</v>
      </c>
      <c r="D163" s="10" t="str">
        <f t="shared" si="5"/>
        <v>CIN</v>
      </c>
      <c r="E163" cm="1">
        <f t="array" aca="1" ref="E163" ca="1">IFERROR(_xlfn.XLOOKUP(C163&amp;A163, Inside5!B:B&amp;Inside5!I:I, Inside5!C:C), 0)</f>
        <v>0</v>
      </c>
      <c r="F163" cm="1">
        <f t="array" aca="1" ref="F163" ca="1">IFERROR(_xlfn.XLOOKUP(C163&amp;A163, Inside5!B:B&amp;Inside5!I:I, Inside5!D:D), 0)</f>
        <v>0</v>
      </c>
      <c r="G163" cm="1">
        <f t="array" ref="G163">IFERROR(_xlfn.XLOOKUP(C163&amp;A163, Inside5!B:B&amp;Inside5!I:I, Inside5!E:E), 0)</f>
        <v>0</v>
      </c>
      <c r="H163" t="str" cm="1">
        <f t="array" ref="H163">IFERROR(_xlfn.XLOOKUP(C163&amp;A163, TDrate!F:F&amp;TDrate!H:H, TDrate!C:C), "N/A")</f>
        <v>N/A</v>
      </c>
      <c r="I163" t="str" cm="1">
        <f t="array" ref="I163">IFERROR(_xlfn.XLOOKUP(C163&amp;A163, TDrate!F:F&amp;TDrate!H:H, TDrate!E:E), "N/A")</f>
        <v>N/A</v>
      </c>
      <c r="J163" cm="1">
        <f t="array" ref="J163">IFERROR(_xlfn.XLOOKUP(C163&amp;A163, Inside5!B:B&amp;Inside5!I:I, Inside5!F:F), 0)</f>
        <v>0</v>
      </c>
      <c r="K163" cm="1">
        <f t="array" ref="K163">IFERROR(_xlfn.XLOOKUP(C163&amp;A163, Inside5!B:B&amp;Inside5!I:I, Inside5!G:G), 0)</f>
        <v>0</v>
      </c>
      <c r="L163" cm="1">
        <f t="array" ref="L163">IFERROR(_xlfn.XLOOKUP(C163&amp;A163, Inside5!B:B&amp;Inside5!I:I, Inside5!H:H), 0)</f>
        <v>0</v>
      </c>
      <c r="M163" t="str" cm="1">
        <f t="array" ref="M163">IFERROR(_xlfn.XLOOKUP(C163&amp;A163, TDrate!F:F&amp;TDrate!H:H, TDrate!B:B), "N/A")</f>
        <v>N/A</v>
      </c>
      <c r="N163" t="str" cm="1">
        <f t="array" ref="N163">IFERROR(_xlfn.XLOOKUP(C163&amp;A163, TDrate!F:F&amp;TDrate!H:H, TDrate!D:D), "N/A")</f>
        <v>N/A</v>
      </c>
    </row>
    <row r="164" spans="1:14" x14ac:dyDescent="0.45">
      <c r="A164" s="5">
        <v>2025</v>
      </c>
      <c r="B164" s="6" t="s">
        <v>459</v>
      </c>
      <c r="C164" s="7" t="str">
        <f t="shared" si="4"/>
        <v>Eric Gray</v>
      </c>
      <c r="D164" s="7" t="str">
        <f t="shared" si="5"/>
        <v>NYG</v>
      </c>
      <c r="E164" cm="1">
        <f t="array" aca="1" ref="E164" ca="1">IFERROR(_xlfn.XLOOKUP(C164&amp;A164, Inside5!B:B&amp;Inside5!I:I, Inside5!C:C), 0)</f>
        <v>0</v>
      </c>
      <c r="F164" cm="1">
        <f t="array" aca="1" ref="F164" ca="1">IFERROR(_xlfn.XLOOKUP(C164&amp;A164, Inside5!B:B&amp;Inside5!I:I, Inside5!D:D), 0)</f>
        <v>0</v>
      </c>
      <c r="G164" cm="1">
        <f t="array" ref="G164">IFERROR(_xlfn.XLOOKUP(C164&amp;A164, Inside5!B:B&amp;Inside5!I:I, Inside5!E:E), 0)</f>
        <v>0</v>
      </c>
      <c r="H164" t="str" cm="1">
        <f t="array" ref="H164">IFERROR(_xlfn.XLOOKUP(C164&amp;A164, TDrate!F:F&amp;TDrate!H:H, TDrate!C:C), "N/A")</f>
        <v>N/A</v>
      </c>
      <c r="I164" t="str" cm="1">
        <f t="array" ref="I164">IFERROR(_xlfn.XLOOKUP(C164&amp;A164, TDrate!F:F&amp;TDrate!H:H, TDrate!E:E), "N/A")</f>
        <v>N/A</v>
      </c>
      <c r="J164" cm="1">
        <f t="array" ref="J164">IFERROR(_xlfn.XLOOKUP(C164&amp;A164, Inside5!B:B&amp;Inside5!I:I, Inside5!F:F), 0)</f>
        <v>0</v>
      </c>
      <c r="K164" cm="1">
        <f t="array" aca="1" ref="K164" ca="1">IFERROR(_xlfn.XLOOKUP(C164&amp;A164, Inside5!B:B&amp;Inside5!I:I, Inside5!G:G), 0)</f>
        <v>0</v>
      </c>
      <c r="L164" cm="1">
        <f t="array" ref="L164">IFERROR(_xlfn.XLOOKUP(C164&amp;A164, Inside5!B:B&amp;Inside5!I:I, Inside5!H:H), 0)</f>
        <v>0</v>
      </c>
      <c r="M164" t="str" cm="1">
        <f t="array" ref="M164">IFERROR(_xlfn.XLOOKUP(C164&amp;A164, TDrate!F:F&amp;TDrate!H:H, TDrate!B:B), "N/A")</f>
        <v>N/A</v>
      </c>
      <c r="N164" t="str" cm="1">
        <f t="array" ref="N164">IFERROR(_xlfn.XLOOKUP(C164&amp;A164, TDrate!F:F&amp;TDrate!H:H, TDrate!D:D), "N/A")</f>
        <v>N/A</v>
      </c>
    </row>
    <row r="165" spans="1:14" x14ac:dyDescent="0.45">
      <c r="A165" s="8">
        <v>2025</v>
      </c>
      <c r="B165" s="9" t="s">
        <v>460</v>
      </c>
      <c r="C165" s="10" t="str">
        <f t="shared" si="4"/>
        <v>Elijah Mitchell</v>
      </c>
      <c r="D165" s="10" t="str">
        <f t="shared" si="5"/>
        <v>KC</v>
      </c>
      <c r="E165" cm="1">
        <f t="array" aca="1" ref="E165" ca="1">IFERROR(_xlfn.XLOOKUP(C165&amp;A165, Inside5!B:B&amp;Inside5!I:I, Inside5!C:C), 0)</f>
        <v>0</v>
      </c>
      <c r="F165" cm="1">
        <f t="array" aca="1" ref="F165" ca="1">IFERROR(_xlfn.XLOOKUP(C165&amp;A165, Inside5!B:B&amp;Inside5!I:I, Inside5!D:D), 0)</f>
        <v>0</v>
      </c>
      <c r="G165" cm="1">
        <f t="array" ref="G165">IFERROR(_xlfn.XLOOKUP(C165&amp;A165, Inside5!B:B&amp;Inside5!I:I, Inside5!E:E), 0)</f>
        <v>0</v>
      </c>
      <c r="H165" t="str" cm="1">
        <f t="array" ref="H165">IFERROR(_xlfn.XLOOKUP(C165&amp;A165, TDrate!F:F&amp;TDrate!H:H, TDrate!C:C), "N/A")</f>
        <v>N/A</v>
      </c>
      <c r="I165" t="str" cm="1">
        <f t="array" ref="I165">IFERROR(_xlfn.XLOOKUP(C165&amp;A165, TDrate!F:F&amp;TDrate!H:H, TDrate!E:E), "N/A")</f>
        <v>N/A</v>
      </c>
      <c r="J165" cm="1">
        <f t="array" ref="J165">IFERROR(_xlfn.XLOOKUP(C165&amp;A165, Inside5!B:B&amp;Inside5!I:I, Inside5!F:F), 0)</f>
        <v>0</v>
      </c>
      <c r="K165" cm="1">
        <f t="array" ref="K165">IFERROR(_xlfn.XLOOKUP(C165&amp;A165, Inside5!B:B&amp;Inside5!I:I, Inside5!G:G), 0)</f>
        <v>0</v>
      </c>
      <c r="L165" cm="1">
        <f t="array" ref="L165">IFERROR(_xlfn.XLOOKUP(C165&amp;A165, Inside5!B:B&amp;Inside5!I:I, Inside5!H:H), 0)</f>
        <v>0</v>
      </c>
      <c r="M165" t="str" cm="1">
        <f t="array" ref="M165">IFERROR(_xlfn.XLOOKUP(C165&amp;A165, TDrate!F:F&amp;TDrate!H:H, TDrate!B:B), "N/A")</f>
        <v>N/A</v>
      </c>
      <c r="N165" t="str" cm="1">
        <f t="array" ref="N165">IFERROR(_xlfn.XLOOKUP(C165&amp;A165, TDrate!F:F&amp;TDrate!H:H, TDrate!D:D), "N/A")</f>
        <v>N/A</v>
      </c>
    </row>
    <row r="166" spans="1:14" x14ac:dyDescent="0.45">
      <c r="A166" s="5">
        <v>2025</v>
      </c>
      <c r="B166" s="6" t="s">
        <v>461</v>
      </c>
      <c r="C166" s="7" t="str">
        <f t="shared" si="4"/>
        <v>Deion Hankins</v>
      </c>
      <c r="D166" s="7" t="str">
        <f t="shared" si="5"/>
        <v>CHI</v>
      </c>
      <c r="E166" cm="1">
        <f t="array" aca="1" ref="E166" ca="1">IFERROR(_xlfn.XLOOKUP(C166&amp;A166, Inside5!B:B&amp;Inside5!I:I, Inside5!C:C), 0)</f>
        <v>0</v>
      </c>
      <c r="F166" cm="1">
        <f t="array" aca="1" ref="F166" ca="1">IFERROR(_xlfn.XLOOKUP(C166&amp;A166, Inside5!B:B&amp;Inside5!I:I, Inside5!D:D), 0)</f>
        <v>0</v>
      </c>
      <c r="G166" cm="1">
        <f t="array" ref="G166">IFERROR(_xlfn.XLOOKUP(C166&amp;A166, Inside5!B:B&amp;Inside5!I:I, Inside5!E:E), 0)</f>
        <v>0</v>
      </c>
      <c r="H166" t="str" cm="1">
        <f t="array" ref="H166">IFERROR(_xlfn.XLOOKUP(C166&amp;A166, TDrate!F:F&amp;TDrate!H:H, TDrate!C:C), "N/A")</f>
        <v>N/A</v>
      </c>
      <c r="I166" t="str" cm="1">
        <f t="array" ref="I166">IFERROR(_xlfn.XLOOKUP(C166&amp;A166, TDrate!F:F&amp;TDrate!H:H, TDrate!E:E), "N/A")</f>
        <v>N/A</v>
      </c>
      <c r="J166" cm="1">
        <f t="array" ref="J166">IFERROR(_xlfn.XLOOKUP(C166&amp;A166, Inside5!B:B&amp;Inside5!I:I, Inside5!F:F), 0)</f>
        <v>0</v>
      </c>
      <c r="K166" cm="1">
        <f t="array" ref="K166">IFERROR(_xlfn.XLOOKUP(C166&amp;A166, Inside5!B:B&amp;Inside5!I:I, Inside5!G:G), 0)</f>
        <v>0</v>
      </c>
      <c r="L166" cm="1">
        <f t="array" ref="L166">IFERROR(_xlfn.XLOOKUP(C166&amp;A166, Inside5!B:B&amp;Inside5!I:I, Inside5!H:H), 0)</f>
        <v>0</v>
      </c>
      <c r="M166" t="str" cm="1">
        <f t="array" ref="M166">IFERROR(_xlfn.XLOOKUP(C166&amp;A166, TDrate!F:F&amp;TDrate!H:H, TDrate!B:B), "N/A")</f>
        <v>N/A</v>
      </c>
      <c r="N166" t="str" cm="1">
        <f t="array" ref="N166">IFERROR(_xlfn.XLOOKUP(C166&amp;A166, TDrate!F:F&amp;TDrate!H:H, TDrate!D:D), "N/A")</f>
        <v>N/A</v>
      </c>
    </row>
    <row r="167" spans="1:14" x14ac:dyDescent="0.45">
      <c r="A167" s="8">
        <v>2025</v>
      </c>
      <c r="B167" s="9" t="s">
        <v>462</v>
      </c>
      <c r="C167" s="10" t="str">
        <f t="shared" si="4"/>
        <v>Chris Collier</v>
      </c>
      <c r="D167" s="10" t="str">
        <f t="shared" si="5"/>
        <v>LV</v>
      </c>
      <c r="E167" cm="1">
        <f t="array" aca="1" ref="E167" ca="1">IFERROR(_xlfn.XLOOKUP(C167&amp;A167, Inside5!B:B&amp;Inside5!I:I, Inside5!C:C), 0)</f>
        <v>0</v>
      </c>
      <c r="F167" cm="1">
        <f t="array" aca="1" ref="F167" ca="1">IFERROR(_xlfn.XLOOKUP(C167&amp;A167, Inside5!B:B&amp;Inside5!I:I, Inside5!D:D), 0)</f>
        <v>0</v>
      </c>
      <c r="G167" cm="1">
        <f t="array" ref="G167">IFERROR(_xlfn.XLOOKUP(C167&amp;A167, Inside5!B:B&amp;Inside5!I:I, Inside5!E:E), 0)</f>
        <v>0</v>
      </c>
      <c r="H167" t="str" cm="1">
        <f t="array" ref="H167">IFERROR(_xlfn.XLOOKUP(C167&amp;A167, TDrate!F:F&amp;TDrate!H:H, TDrate!C:C), "N/A")</f>
        <v>N/A</v>
      </c>
      <c r="I167" t="str" cm="1">
        <f t="array" ref="I167">IFERROR(_xlfn.XLOOKUP(C167&amp;A167, TDrate!F:F&amp;TDrate!H:H, TDrate!E:E), "N/A")</f>
        <v>N/A</v>
      </c>
      <c r="J167" cm="1">
        <f t="array" ref="J167">IFERROR(_xlfn.XLOOKUP(C167&amp;A167, Inside5!B:B&amp;Inside5!I:I, Inside5!F:F), 0)</f>
        <v>0</v>
      </c>
      <c r="K167" cm="1">
        <f t="array" aca="1" ref="K167" ca="1">IFERROR(_xlfn.XLOOKUP(C167&amp;A167, Inside5!B:B&amp;Inside5!I:I, Inside5!G:G), 0)</f>
        <v>0</v>
      </c>
      <c r="L167" cm="1">
        <f t="array" ref="L167">IFERROR(_xlfn.XLOOKUP(C167&amp;A167, Inside5!B:B&amp;Inside5!I:I, Inside5!H:H), 0)</f>
        <v>0</v>
      </c>
      <c r="M167" t="str" cm="1">
        <f t="array" ref="M167">IFERROR(_xlfn.XLOOKUP(C167&amp;A167, TDrate!F:F&amp;TDrate!H:H, TDrate!B:B), "N/A")</f>
        <v>N/A</v>
      </c>
      <c r="N167" t="str" cm="1">
        <f t="array" ref="N167">IFERROR(_xlfn.XLOOKUP(C167&amp;A167, TDrate!F:F&amp;TDrate!H:H, TDrate!D:D), "N/A")</f>
        <v>N/A</v>
      </c>
    </row>
    <row r="168" spans="1:14" x14ac:dyDescent="0.45">
      <c r="A168" s="5">
        <v>2025</v>
      </c>
      <c r="B168" s="6" t="s">
        <v>463</v>
      </c>
      <c r="C168" s="7" t="str">
        <f t="shared" si="4"/>
        <v>Chase Edmonds</v>
      </c>
      <c r="D168" s="7" t="str">
        <f t="shared" si="5"/>
        <v>WAS</v>
      </c>
      <c r="E168" cm="1">
        <f t="array" aca="1" ref="E168" ca="1">IFERROR(_xlfn.XLOOKUP(C168&amp;A168, Inside5!B:B&amp;Inside5!I:I, Inside5!C:C), 0)</f>
        <v>0</v>
      </c>
      <c r="F168" cm="1">
        <f t="array" aca="1" ref="F168" ca="1">IFERROR(_xlfn.XLOOKUP(C168&amp;A168, Inside5!B:B&amp;Inside5!I:I, Inside5!D:D), 0)</f>
        <v>0</v>
      </c>
      <c r="G168" cm="1">
        <f t="array" ref="G168">IFERROR(_xlfn.XLOOKUP(C168&amp;A168, Inside5!B:B&amp;Inside5!I:I, Inside5!E:E), 0)</f>
        <v>0</v>
      </c>
      <c r="H168" t="str" cm="1">
        <f t="array" ref="H168">IFERROR(_xlfn.XLOOKUP(C168&amp;A168, TDrate!F:F&amp;TDrate!H:H, TDrate!C:C), "N/A")</f>
        <v>N/A</v>
      </c>
      <c r="I168" t="str" cm="1">
        <f t="array" ref="I168">IFERROR(_xlfn.XLOOKUP(C168&amp;A168, TDrate!F:F&amp;TDrate!H:H, TDrate!E:E), "N/A")</f>
        <v>N/A</v>
      </c>
      <c r="J168" cm="1">
        <f t="array" ref="J168">IFERROR(_xlfn.XLOOKUP(C168&amp;A168, Inside5!B:B&amp;Inside5!I:I, Inside5!F:F), 0)</f>
        <v>0</v>
      </c>
      <c r="K168" cm="1">
        <f t="array" ref="K168">IFERROR(_xlfn.XLOOKUP(C168&amp;A168, Inside5!B:B&amp;Inside5!I:I, Inside5!G:G), 0)</f>
        <v>0</v>
      </c>
      <c r="L168" cm="1">
        <f t="array" ref="L168">IFERROR(_xlfn.XLOOKUP(C168&amp;A168, Inside5!B:B&amp;Inside5!I:I, Inside5!H:H), 0)</f>
        <v>0</v>
      </c>
      <c r="M168" t="str" cm="1">
        <f t="array" ref="M168">IFERROR(_xlfn.XLOOKUP(C168&amp;A168, TDrate!F:F&amp;TDrate!H:H, TDrate!B:B), "N/A")</f>
        <v>N/A</v>
      </c>
      <c r="N168" t="str" cm="1">
        <f t="array" ref="N168">IFERROR(_xlfn.XLOOKUP(C168&amp;A168, TDrate!F:F&amp;TDrate!H:H, TDrate!D:D), "N/A")</f>
        <v>N/A</v>
      </c>
    </row>
    <row r="169" spans="1:14" x14ac:dyDescent="0.45">
      <c r="A169" s="8">
        <v>2025</v>
      </c>
      <c r="B169" s="9" t="s">
        <v>464</v>
      </c>
      <c r="C169" s="10" t="str">
        <f t="shared" si="4"/>
        <v>Brady Russell</v>
      </c>
      <c r="D169" s="10" t="str">
        <f t="shared" si="5"/>
        <v>SEA</v>
      </c>
      <c r="E169" cm="1">
        <f t="array" aca="1" ref="E169" ca="1">IFERROR(_xlfn.XLOOKUP(C169&amp;A169, Inside5!B:B&amp;Inside5!I:I, Inside5!C:C), 0)</f>
        <v>0</v>
      </c>
      <c r="F169" cm="1">
        <f t="array" aca="1" ref="F169" ca="1">IFERROR(_xlfn.XLOOKUP(C169&amp;A169, Inside5!B:B&amp;Inside5!I:I, Inside5!D:D), 0)</f>
        <v>0</v>
      </c>
      <c r="G169" cm="1">
        <f t="array" ref="G169">IFERROR(_xlfn.XLOOKUP(C169&amp;A169, Inside5!B:B&amp;Inside5!I:I, Inside5!E:E), 0)</f>
        <v>0</v>
      </c>
      <c r="H169" t="str" cm="1">
        <f t="array" ref="H169">IFERROR(_xlfn.XLOOKUP(C169&amp;A169, TDrate!F:F&amp;TDrate!H:H, TDrate!C:C), "N/A")</f>
        <v>N/A</v>
      </c>
      <c r="I169" t="str" cm="1">
        <f t="array" ref="I169">IFERROR(_xlfn.XLOOKUP(C169&amp;A169, TDrate!F:F&amp;TDrate!H:H, TDrate!E:E), "N/A")</f>
        <v>N/A</v>
      </c>
      <c r="J169" cm="1">
        <f t="array" ref="J169">IFERROR(_xlfn.XLOOKUP(C169&amp;A169, Inside5!B:B&amp;Inside5!I:I, Inside5!F:F), 0)</f>
        <v>0</v>
      </c>
      <c r="K169" cm="1">
        <f t="array" aca="1" ref="K169" ca="1">IFERROR(_xlfn.XLOOKUP(C169&amp;A169, Inside5!B:B&amp;Inside5!I:I, Inside5!G:G), 0)</f>
        <v>0</v>
      </c>
      <c r="L169" cm="1">
        <f t="array" ref="L169">IFERROR(_xlfn.XLOOKUP(C169&amp;A169, Inside5!B:B&amp;Inside5!I:I, Inside5!H:H), 0)</f>
        <v>0</v>
      </c>
      <c r="M169" t="str" cm="1">
        <f t="array" ref="M169">IFERROR(_xlfn.XLOOKUP(C169&amp;A169, TDrate!F:F&amp;TDrate!H:H, TDrate!B:B), "N/A")</f>
        <v>N/A</v>
      </c>
      <c r="N169" t="str" cm="1">
        <f t="array" ref="N169">IFERROR(_xlfn.XLOOKUP(C169&amp;A169, TDrate!F:F&amp;TDrate!H:H, TDrate!D:D), "N/A")</f>
        <v>N/A</v>
      </c>
    </row>
    <row r="170" spans="1:14" x14ac:dyDescent="0.45">
      <c r="A170" s="5">
        <v>2025</v>
      </c>
      <c r="B170" s="6" t="s">
        <v>465</v>
      </c>
      <c r="C170" s="7" t="str">
        <f t="shared" si="4"/>
        <v>Avery Williams</v>
      </c>
      <c r="D170" s="7" t="str">
        <f t="shared" si="5"/>
        <v>NYJ</v>
      </c>
      <c r="E170" cm="1">
        <f t="array" aca="1" ref="E170" ca="1">IFERROR(_xlfn.XLOOKUP(C170&amp;A170, Inside5!B:B&amp;Inside5!I:I, Inside5!C:C), 0)</f>
        <v>0</v>
      </c>
      <c r="F170" cm="1">
        <f t="array" aca="1" ref="F170" ca="1">IFERROR(_xlfn.XLOOKUP(C170&amp;A170, Inside5!B:B&amp;Inside5!I:I, Inside5!D:D), 0)</f>
        <v>0</v>
      </c>
      <c r="G170" cm="1">
        <f t="array" ref="G170">IFERROR(_xlfn.XLOOKUP(C170&amp;A170, Inside5!B:B&amp;Inside5!I:I, Inside5!E:E), 0)</f>
        <v>0</v>
      </c>
      <c r="H170" t="str" cm="1">
        <f t="array" ref="H170">IFERROR(_xlfn.XLOOKUP(C170&amp;A170, TDrate!F:F&amp;TDrate!H:H, TDrate!C:C), "N/A")</f>
        <v>N/A</v>
      </c>
      <c r="I170" t="str" cm="1">
        <f t="array" ref="I170">IFERROR(_xlfn.XLOOKUP(C170&amp;A170, TDrate!F:F&amp;TDrate!H:H, TDrate!E:E), "N/A")</f>
        <v>N/A</v>
      </c>
      <c r="J170" cm="1">
        <f t="array" ref="J170">IFERROR(_xlfn.XLOOKUP(C170&amp;A170, Inside5!B:B&amp;Inside5!I:I, Inside5!F:F), 0)</f>
        <v>0</v>
      </c>
      <c r="K170" cm="1">
        <f t="array" ref="K170">IFERROR(_xlfn.XLOOKUP(C170&amp;A170, Inside5!B:B&amp;Inside5!I:I, Inside5!G:G), 0)</f>
        <v>0</v>
      </c>
      <c r="L170" cm="1">
        <f t="array" ref="L170">IFERROR(_xlfn.XLOOKUP(C170&amp;A170, Inside5!B:B&amp;Inside5!I:I, Inside5!H:H), 0)</f>
        <v>0</v>
      </c>
      <c r="M170" t="str" cm="1">
        <f t="array" ref="M170">IFERROR(_xlfn.XLOOKUP(C170&amp;A170, TDrate!F:F&amp;TDrate!H:H, TDrate!B:B), "N/A")</f>
        <v>N/A</v>
      </c>
      <c r="N170" t="str" cm="1">
        <f t="array" ref="N170">IFERROR(_xlfn.XLOOKUP(C170&amp;A170, TDrate!F:F&amp;TDrate!H:H, TDrate!D:D), "N/A")</f>
        <v>N/A</v>
      </c>
    </row>
    <row r="171" spans="1:14" x14ac:dyDescent="0.45">
      <c r="A171" s="8">
        <v>2025</v>
      </c>
      <c r="B171" s="9" t="s">
        <v>466</v>
      </c>
      <c r="C171" s="10" t="str">
        <f t="shared" si="4"/>
        <v>Alexander Mattison</v>
      </c>
      <c r="D171" s="10" t="str">
        <f t="shared" si="5"/>
        <v>MIA</v>
      </c>
      <c r="E171" cm="1">
        <f t="array" ref="E171">IFERROR(_xlfn.XLOOKUP(C171&amp;A171, Inside5!B:B&amp;Inside5!I:I, Inside5!C:C), 0)</f>
        <v>0</v>
      </c>
      <c r="F171" cm="1">
        <f t="array" aca="1" ref="F171" ca="1">IFERROR(_xlfn.XLOOKUP(C171&amp;A171, Inside5!B:B&amp;Inside5!I:I, Inside5!D:D), 0)</f>
        <v>0</v>
      </c>
      <c r="G171" cm="1">
        <f t="array" ref="G171">IFERROR(_xlfn.XLOOKUP(C171&amp;A171, Inside5!B:B&amp;Inside5!I:I, Inside5!E:E), 0)</f>
        <v>0</v>
      </c>
      <c r="H171" t="str" cm="1">
        <f t="array" ref="H171">IFERROR(_xlfn.XLOOKUP(C171&amp;A171, TDrate!F:F&amp;TDrate!H:H, TDrate!C:C), "N/A")</f>
        <v>N/A</v>
      </c>
      <c r="I171" t="str" cm="1">
        <f t="array" ref="I171">IFERROR(_xlfn.XLOOKUP(C171&amp;A171, TDrate!F:F&amp;TDrate!H:H, TDrate!E:E), "N/A")</f>
        <v>N/A</v>
      </c>
      <c r="J171" cm="1">
        <f t="array" ref="J171">IFERROR(_xlfn.XLOOKUP(C171&amp;A171, Inside5!B:B&amp;Inside5!I:I, Inside5!F:F), 0)</f>
        <v>0</v>
      </c>
      <c r="K171" cm="1">
        <f t="array" ref="K171">IFERROR(_xlfn.XLOOKUP(C171&amp;A171, Inside5!B:B&amp;Inside5!I:I, Inside5!G:G), 0)</f>
        <v>0</v>
      </c>
      <c r="L171" cm="1">
        <f t="array" ref="L171">IFERROR(_xlfn.XLOOKUP(C171&amp;A171, Inside5!B:B&amp;Inside5!I:I, Inside5!H:H), 0)</f>
        <v>0</v>
      </c>
      <c r="M171" t="str" cm="1">
        <f t="array" ref="M171">IFERROR(_xlfn.XLOOKUP(C171&amp;A171, TDrate!F:F&amp;TDrate!H:H, TDrate!B:B), "N/A")</f>
        <v>N/A</v>
      </c>
      <c r="N171" t="str" cm="1">
        <f t="array" ref="N171">IFERROR(_xlfn.XLOOKUP(C171&amp;A171, TDrate!F:F&amp;TDrate!H:H, TDrate!D:D), "N/A")</f>
        <v>N/A</v>
      </c>
    </row>
    <row r="172" spans="1:14" x14ac:dyDescent="0.45">
      <c r="A172" s="5">
        <v>2025</v>
      </c>
      <c r="B172" s="6" t="s">
        <v>467</v>
      </c>
      <c r="C172" s="7" t="str">
        <f t="shared" si="4"/>
        <v>Travis Homer</v>
      </c>
      <c r="D172" s="7" t="str">
        <f t="shared" si="5"/>
        <v>CHI</v>
      </c>
      <c r="E172" cm="1">
        <f t="array" ref="E172">IFERROR(_xlfn.XLOOKUP(C172&amp;A172, Inside5!B:B&amp;Inside5!I:I, Inside5!C:C), 0)</f>
        <v>0</v>
      </c>
      <c r="F172" cm="1">
        <f t="array" ref="F172">IFERROR(_xlfn.XLOOKUP(C172&amp;A172, Inside5!B:B&amp;Inside5!I:I, Inside5!D:D), 0)</f>
        <v>0</v>
      </c>
      <c r="G172" cm="1">
        <f t="array" ref="G172">IFERROR(_xlfn.XLOOKUP(C172&amp;A172, Inside5!B:B&amp;Inside5!I:I, Inside5!E:E), 0)</f>
        <v>0</v>
      </c>
      <c r="H172" t="str" cm="1">
        <f t="array" ref="H172">IFERROR(_xlfn.XLOOKUP(C172&amp;A172, TDrate!F:F&amp;TDrate!H:H, TDrate!C:C), "N/A")</f>
        <v>N/A</v>
      </c>
      <c r="I172" t="str" cm="1">
        <f t="array" ref="I172">IFERROR(_xlfn.XLOOKUP(C172&amp;A172, TDrate!F:F&amp;TDrate!H:H, TDrate!E:E), "N/A")</f>
        <v>N/A</v>
      </c>
      <c r="J172" cm="1">
        <f t="array" ref="J172">IFERROR(_xlfn.XLOOKUP(C172&amp;A172, Inside5!B:B&amp;Inside5!I:I, Inside5!F:F), 0)</f>
        <v>0</v>
      </c>
      <c r="K172" cm="1">
        <f t="array" ref="K172">IFERROR(_xlfn.XLOOKUP(C172&amp;A172, Inside5!B:B&amp;Inside5!I:I, Inside5!G:G), 0)</f>
        <v>0</v>
      </c>
      <c r="L172" cm="1">
        <f t="array" ref="L172">IFERROR(_xlfn.XLOOKUP(C172&amp;A172, Inside5!B:B&amp;Inside5!I:I, Inside5!H:H), 0)</f>
        <v>0</v>
      </c>
      <c r="M172" t="str" cm="1">
        <f t="array" ref="M172">IFERROR(_xlfn.XLOOKUP(C172&amp;A172, TDrate!F:F&amp;TDrate!H:H, TDrate!B:B), "N/A")</f>
        <v>N/A</v>
      </c>
      <c r="N172" t="str" cm="1">
        <f t="array" ref="N172">IFERROR(_xlfn.XLOOKUP(C172&amp;A172, TDrate!F:F&amp;TDrate!H:H, TDrate!D:D), "N/A")</f>
        <v>N/A</v>
      </c>
    </row>
    <row r="173" spans="1:14" x14ac:dyDescent="0.45">
      <c r="A173" s="8">
        <v>2025</v>
      </c>
      <c r="B173" s="9" t="s">
        <v>468</v>
      </c>
      <c r="C173" s="10" t="str">
        <f t="shared" si="4"/>
        <v>Nyheim Miller-Hines</v>
      </c>
      <c r="D173" s="10" t="str">
        <f t="shared" si="5"/>
        <v>NO</v>
      </c>
      <c r="E173" cm="1">
        <f t="array" ref="E173">IFERROR(_xlfn.XLOOKUP(C173&amp;A173, Inside5!B:B&amp;Inside5!I:I, Inside5!C:C), 0)</f>
        <v>0</v>
      </c>
      <c r="F173" cm="1">
        <f t="array" aca="1" ref="F173" ca="1">IFERROR(_xlfn.XLOOKUP(C173&amp;A173, Inside5!B:B&amp;Inside5!I:I, Inside5!D:D), 0)</f>
        <v>0</v>
      </c>
      <c r="G173" cm="1">
        <f t="array" ref="G173">IFERROR(_xlfn.XLOOKUP(C173&amp;A173, Inside5!B:B&amp;Inside5!I:I, Inside5!E:E), 0)</f>
        <v>0</v>
      </c>
      <c r="H173" t="str" cm="1">
        <f t="array" ref="H173">IFERROR(_xlfn.XLOOKUP(C173&amp;A173, TDrate!F:F&amp;TDrate!H:H, TDrate!C:C), "N/A")</f>
        <v>N/A</v>
      </c>
      <c r="I173" t="str" cm="1">
        <f t="array" ref="I173">IFERROR(_xlfn.XLOOKUP(C173&amp;A173, TDrate!F:F&amp;TDrate!H:H, TDrate!E:E), "N/A")</f>
        <v>N/A</v>
      </c>
      <c r="J173" cm="1">
        <f t="array" ref="J173">IFERROR(_xlfn.XLOOKUP(C173&amp;A173, Inside5!B:B&amp;Inside5!I:I, Inside5!F:F), 0)</f>
        <v>0</v>
      </c>
      <c r="K173" cm="1">
        <f t="array" ref="K173">IFERROR(_xlfn.XLOOKUP(C173&amp;A173, Inside5!B:B&amp;Inside5!I:I, Inside5!G:G), 0)</f>
        <v>0</v>
      </c>
      <c r="L173" cm="1">
        <f t="array" ref="L173">IFERROR(_xlfn.XLOOKUP(C173&amp;A173, Inside5!B:B&amp;Inside5!I:I, Inside5!H:H), 0)</f>
        <v>0</v>
      </c>
      <c r="M173" t="str" cm="1">
        <f t="array" ref="M173">IFERROR(_xlfn.XLOOKUP(C173&amp;A173, TDrate!F:F&amp;TDrate!H:H, TDrate!B:B), "N/A")</f>
        <v>N/A</v>
      </c>
      <c r="N173" t="str" cm="1">
        <f t="array" ref="N173">IFERROR(_xlfn.XLOOKUP(C173&amp;A173, TDrate!F:F&amp;TDrate!H:H, TDrate!D:D), "N/A")</f>
        <v>N/A</v>
      </c>
    </row>
    <row r="174" spans="1:14" x14ac:dyDescent="0.45">
      <c r="A174" s="5">
        <v>2025</v>
      </c>
      <c r="B174" s="6" t="s">
        <v>469</v>
      </c>
      <c r="C174" s="7" t="str">
        <f t="shared" si="4"/>
        <v>Kyle Juszczyk</v>
      </c>
      <c r="D174" s="7" t="str">
        <f t="shared" si="5"/>
        <v>SF</v>
      </c>
      <c r="E174" cm="1">
        <f t="array" aca="1" ref="E174" ca="1">IFERROR(_xlfn.XLOOKUP(C174&amp;A174, Inside5!B:B&amp;Inside5!I:I, Inside5!C:C), 0)</f>
        <v>1</v>
      </c>
      <c r="F174" cm="1">
        <f t="array" aca="1" ref="F174" ca="1">IFERROR(_xlfn.XLOOKUP(C174&amp;A174, Inside5!B:B&amp;Inside5!I:I, Inside5!D:D), 0)</f>
        <v>0</v>
      </c>
      <c r="G174" cm="1">
        <f t="array" ref="G174">IFERROR(_xlfn.XLOOKUP(C174&amp;A174, Inside5!B:B&amp;Inside5!I:I, Inside5!E:E), 0)</f>
        <v>4.2999999999999997E-2</v>
      </c>
      <c r="H174" t="str" cm="1">
        <f t="array" ref="H174">IFERROR(_xlfn.XLOOKUP(C174&amp;A174, TDrate!F:F&amp;TDrate!H:H, TDrate!C:C), "N/A")</f>
        <v>N/A</v>
      </c>
      <c r="I174" t="str" cm="1">
        <f t="array" ref="I174">IFERROR(_xlfn.XLOOKUP(C174&amp;A174, TDrate!F:F&amp;TDrate!H:H, TDrate!E:E), "N/A")</f>
        <v>N/A</v>
      </c>
      <c r="J174" cm="1">
        <f t="array" ref="J174">IFERROR(_xlfn.XLOOKUP(C174&amp;A174, Inside5!B:B&amp;Inside5!I:I, Inside5!F:F), 0)</f>
        <v>2</v>
      </c>
      <c r="K174" cm="1">
        <f t="array" aca="1" ref="K174" ca="1">IFERROR(_xlfn.XLOOKUP(C174&amp;A174, Inside5!B:B&amp;Inside5!I:I, Inside5!G:G), 0)</f>
        <v>2</v>
      </c>
      <c r="L174" cm="1">
        <f t="array" ref="L174">IFERROR(_xlfn.XLOOKUP(C174&amp;A174, Inside5!B:B&amp;Inside5!I:I, Inside5!H:H), 0)</f>
        <v>1</v>
      </c>
      <c r="M174" t="str" cm="1">
        <f t="array" ref="M174">IFERROR(_xlfn.XLOOKUP(C174&amp;A174, TDrate!F:F&amp;TDrate!H:H, TDrate!B:B), "N/A")</f>
        <v>N/A</v>
      </c>
      <c r="N174" t="str" cm="1">
        <f t="array" ref="N174">IFERROR(_xlfn.XLOOKUP(C174&amp;A174, TDrate!F:F&amp;TDrate!H:H, TDrate!D:D), "N/A")</f>
        <v>N/A</v>
      </c>
    </row>
    <row r="175" spans="1:14" x14ac:dyDescent="0.45">
      <c r="A175" s="8">
        <v>2024</v>
      </c>
      <c r="B175" s="9" t="s">
        <v>306</v>
      </c>
      <c r="C175" s="10" t="str">
        <f t="shared" si="4"/>
        <v>Saquon Barkley</v>
      </c>
      <c r="D175" s="10" t="str">
        <f t="shared" si="5"/>
        <v>PHI</v>
      </c>
      <c r="E175" cm="1">
        <f t="array" ref="E175">IFERROR(_xlfn.XLOOKUP(C175&amp;A175, Inside5!B:B&amp;Inside5!I:I, Inside5!C:C), 0)</f>
        <v>17</v>
      </c>
      <c r="F175" cm="1">
        <f t="array" ref="F175">IFERROR(_xlfn.XLOOKUP(C175&amp;A175, Inside5!B:B&amp;Inside5!I:I, Inside5!D:D), 0)</f>
        <v>4</v>
      </c>
      <c r="G175" cm="1">
        <f t="array" ref="G175">IFERROR(_xlfn.XLOOKUP(C175&amp;A175, Inside5!B:B&amp;Inside5!I:I, Inside5!E:E), 0)</f>
        <v>0.85</v>
      </c>
      <c r="H175" cm="1">
        <f t="array" ref="H175">IFERROR(_xlfn.XLOOKUP(C175&amp;A175, TDrate!F:F&amp;TDrate!H:H, TDrate!C:C), "N/A")</f>
        <v>3.7699999999999997E-2</v>
      </c>
      <c r="I175" cm="1">
        <f t="array" ref="I175">IFERROR(_xlfn.XLOOKUP(C175&amp;A175, TDrate!F:F&amp;TDrate!H:H, TDrate!E:E), "N/A")</f>
        <v>3.39E-2</v>
      </c>
      <c r="J175" cm="1">
        <f t="array" ref="J175">IFERROR(_xlfn.XLOOKUP(C175&amp;A175, Inside5!B:B&amp;Inside5!I:I, Inside5!F:F), 0)</f>
        <v>1</v>
      </c>
      <c r="K175" cm="1">
        <f t="array" ref="K175">IFERROR(_xlfn.XLOOKUP(C175&amp;A175, Inside5!B:B&amp;Inside5!I:I, Inside5!G:G), 0)</f>
        <v>1</v>
      </c>
      <c r="L175" cm="1">
        <f t="array" ref="L175">IFERROR(_xlfn.XLOOKUP(C175&amp;A175, Inside5!B:B&amp;Inside5!I:I, Inside5!H:H), 0)</f>
        <v>0</v>
      </c>
      <c r="M175" cm="1">
        <f t="array" ref="M175">IFERROR(_xlfn.XLOOKUP(C175&amp;A175, TDrate!F:F&amp;TDrate!H:H, TDrate!B:B), "N/A")</f>
        <v>4.65E-2</v>
      </c>
      <c r="N175" cm="1">
        <f t="array" ref="N175">IFERROR(_xlfn.XLOOKUP(C175&amp;A175, TDrate!F:F&amp;TDrate!H:H, TDrate!D:D), "N/A")</f>
        <v>4.3299999999999998E-2</v>
      </c>
    </row>
    <row r="176" spans="1:14" x14ac:dyDescent="0.45">
      <c r="A176" s="5">
        <v>2024</v>
      </c>
      <c r="B176" s="6" t="s">
        <v>298</v>
      </c>
      <c r="C176" s="7" t="str">
        <f t="shared" si="4"/>
        <v>Derrick Henry</v>
      </c>
      <c r="D176" s="7" t="str">
        <f t="shared" si="5"/>
        <v>BAL</v>
      </c>
      <c r="E176" cm="1">
        <f t="array" aca="1" ref="E176" ca="1">IFERROR(_xlfn.XLOOKUP(C176&amp;A176, Inside5!B:B&amp;Inside5!I:I, Inside5!C:C), 0)</f>
        <v>18</v>
      </c>
      <c r="F176" cm="1">
        <f t="array" aca="1" ref="F176" ca="1">IFERROR(_xlfn.XLOOKUP(C176&amp;A176, Inside5!B:B&amp;Inside5!I:I, Inside5!D:D), 0)</f>
        <v>9</v>
      </c>
      <c r="G176" cm="1">
        <f t="array" ref="G176">IFERROR(_xlfn.XLOOKUP(C176&amp;A176, Inside5!B:B&amp;Inside5!I:I, Inside5!E:E), 0)</f>
        <v>0.94699999999999995</v>
      </c>
      <c r="H176" cm="1">
        <f t="array" ref="H176">IFERROR(_xlfn.XLOOKUP(C176&amp;A176, TDrate!F:F&amp;TDrate!H:H, TDrate!C:C), "N/A")</f>
        <v>4.9200000000000001E-2</v>
      </c>
      <c r="I176" cm="1">
        <f t="array" ref="I176">IFERROR(_xlfn.XLOOKUP(C176&amp;A176, TDrate!F:F&amp;TDrate!H:H, TDrate!E:E), "N/A")</f>
        <v>4.1799999999999997E-2</v>
      </c>
      <c r="J176" cm="1">
        <f t="array" ref="J176">IFERROR(_xlfn.XLOOKUP(C176&amp;A176, Inside5!B:B&amp;Inside5!I:I, Inside5!F:F), 0)</f>
        <v>1</v>
      </c>
      <c r="K176" cm="1">
        <f t="array" ref="K176">IFERROR(_xlfn.XLOOKUP(C176&amp;A176, Inside5!B:B&amp;Inside5!I:I, Inside5!G:G), 0)</f>
        <v>1</v>
      </c>
      <c r="L176" cm="1">
        <f t="array" ref="L176">IFERROR(_xlfn.XLOOKUP(C176&amp;A176, Inside5!B:B&amp;Inside5!I:I, Inside5!H:H), 0)</f>
        <v>1</v>
      </c>
      <c r="M176" cm="1">
        <f t="array" ref="M176">IFERROR(_xlfn.XLOOKUP(C176&amp;A176, TDrate!F:F&amp;TDrate!H:H, TDrate!B:B), "N/A")</f>
        <v>9.0899999999999995E-2</v>
      </c>
      <c r="N176" cm="1">
        <f t="array" ref="N176">IFERROR(_xlfn.XLOOKUP(C176&amp;A176, TDrate!F:F&amp;TDrate!H:H, TDrate!D:D), "N/A")</f>
        <v>7.0999999999999994E-2</v>
      </c>
    </row>
    <row r="177" spans="1:14" x14ac:dyDescent="0.45">
      <c r="A177" s="8">
        <v>2024</v>
      </c>
      <c r="B177" s="9" t="s">
        <v>303</v>
      </c>
      <c r="C177" s="10" t="str">
        <f t="shared" si="4"/>
        <v>Jahmyr Gibbs</v>
      </c>
      <c r="D177" s="10" t="str">
        <f t="shared" si="5"/>
        <v>DET</v>
      </c>
      <c r="E177" cm="1">
        <f t="array" ref="E177">IFERROR(_xlfn.XLOOKUP(C177&amp;A177, Inside5!B:B&amp;Inside5!I:I, Inside5!C:C), 0)</f>
        <v>16</v>
      </c>
      <c r="F177" cm="1">
        <f t="array" ref="F177">IFERROR(_xlfn.XLOOKUP(C177&amp;A177, Inside5!B:B&amp;Inside5!I:I, Inside5!D:D), 0)</f>
        <v>8</v>
      </c>
      <c r="G177" cm="1">
        <f t="array" ref="G177">IFERROR(_xlfn.XLOOKUP(C177&amp;A177, Inside5!B:B&amp;Inside5!I:I, Inside5!E:E), 0)</f>
        <v>0.47099999999999997</v>
      </c>
      <c r="H177" cm="1">
        <f t="array" ref="H177">IFERROR(_xlfn.XLOOKUP(C177&amp;A177, TDrate!F:F&amp;TDrate!H:H, TDrate!C:C), "N/A")</f>
        <v>6.4000000000000001E-2</v>
      </c>
      <c r="I177" cm="1">
        <f t="array" ref="I177">IFERROR(_xlfn.XLOOKUP(C177&amp;A177, TDrate!F:F&amp;TDrate!H:H, TDrate!E:E), "N/A")</f>
        <v>5.1700000000000003E-2</v>
      </c>
      <c r="J177" cm="1">
        <f t="array" ref="J177">IFERROR(_xlfn.XLOOKUP(C177&amp;A177, Inside5!B:B&amp;Inside5!I:I, Inside5!F:F), 0)</f>
        <v>1</v>
      </c>
      <c r="K177" cm="1">
        <f t="array" ref="K177">IFERROR(_xlfn.XLOOKUP(C177&amp;A177, Inside5!B:B&amp;Inside5!I:I, Inside5!G:G), 0)</f>
        <v>1</v>
      </c>
      <c r="L177" cm="1">
        <f t="array" ref="L177">IFERROR(_xlfn.XLOOKUP(C177&amp;A177, Inside5!B:B&amp;Inside5!I:I, Inside5!H:H), 0)</f>
        <v>1</v>
      </c>
      <c r="M177" cm="1">
        <f t="array" ref="M177">IFERROR(_xlfn.XLOOKUP(C177&amp;A177, TDrate!F:F&amp;TDrate!H:H, TDrate!B:B), "N/A")</f>
        <v>6.3500000000000001E-2</v>
      </c>
      <c r="N177" cm="1">
        <f t="array" ref="N177">IFERROR(_xlfn.XLOOKUP(C177&amp;A177, TDrate!F:F&amp;TDrate!H:H, TDrate!D:D), "N/A")</f>
        <v>4.9399999999999999E-2</v>
      </c>
    </row>
    <row r="178" spans="1:14" x14ac:dyDescent="0.45">
      <c r="A178" s="5">
        <v>2024</v>
      </c>
      <c r="B178" s="6" t="s">
        <v>300</v>
      </c>
      <c r="C178" s="7" t="str">
        <f t="shared" si="4"/>
        <v>Bijan Robinson</v>
      </c>
      <c r="D178" s="7" t="str">
        <f t="shared" si="5"/>
        <v>ATL</v>
      </c>
      <c r="E178" cm="1">
        <f t="array" ref="E178">IFERROR(_xlfn.XLOOKUP(C178&amp;A178, Inside5!B:B&amp;Inside5!I:I, Inside5!C:C), 0)</f>
        <v>14</v>
      </c>
      <c r="F178" cm="1">
        <f t="array" ref="F178">IFERROR(_xlfn.XLOOKUP(C178&amp;A178, Inside5!B:B&amp;Inside5!I:I, Inside5!D:D), 0)</f>
        <v>9</v>
      </c>
      <c r="G178" cm="1">
        <f t="array" ref="G178">IFERROR(_xlfn.XLOOKUP(C178&amp;A178, Inside5!B:B&amp;Inside5!I:I, Inside5!E:E), 0)</f>
        <v>0.7</v>
      </c>
      <c r="H178" cm="1">
        <f t="array" ref="H178">IFERROR(_xlfn.XLOOKUP(C178&amp;A178, TDrate!F:F&amp;TDrate!H:H, TDrate!C:C), "N/A")</f>
        <v>4.6100000000000002E-2</v>
      </c>
      <c r="I178" cm="1">
        <f t="array" ref="I178">IFERROR(_xlfn.XLOOKUP(C178&amp;A178, TDrate!F:F&amp;TDrate!H:H, TDrate!E:E), "N/A")</f>
        <v>4.0500000000000001E-2</v>
      </c>
      <c r="J178" cm="1">
        <f t="array" ref="J178">IFERROR(_xlfn.XLOOKUP(C178&amp;A178, Inside5!B:B&amp;Inside5!I:I, Inside5!F:F), 0)</f>
        <v>0</v>
      </c>
      <c r="K178" cm="1">
        <f t="array" aca="1" ref="K178" ca="1">IFERROR(_xlfn.XLOOKUP(C178&amp;A178, Inside5!B:B&amp;Inside5!I:I, Inside5!G:G), 0)</f>
        <v>0</v>
      </c>
      <c r="L178" cm="1">
        <f t="array" ref="L178">IFERROR(_xlfn.XLOOKUP(C178&amp;A178, Inside5!B:B&amp;Inside5!I:I, Inside5!H:H), 0)</f>
        <v>0</v>
      </c>
      <c r="M178" cm="1">
        <f t="array" ref="M178">IFERROR(_xlfn.XLOOKUP(C178&amp;A178, TDrate!F:F&amp;TDrate!H:H, TDrate!B:B), "N/A")</f>
        <v>1.3899999999999999E-2</v>
      </c>
      <c r="N178" cm="1">
        <f t="array" ref="N178">IFERROR(_xlfn.XLOOKUP(C178&amp;A178, TDrate!F:F&amp;TDrate!H:H, TDrate!D:D), "N/A")</f>
        <v>1.4999999999999999E-2</v>
      </c>
    </row>
    <row r="179" spans="1:14" x14ac:dyDescent="0.45">
      <c r="A179" s="8">
        <v>2024</v>
      </c>
      <c r="B179" s="9" t="s">
        <v>316</v>
      </c>
      <c r="C179" s="10" t="str">
        <f t="shared" si="4"/>
        <v>Josh Jacobs</v>
      </c>
      <c r="D179" s="10" t="str">
        <f t="shared" si="5"/>
        <v>GB</v>
      </c>
      <c r="E179" cm="1">
        <f t="array" ref="E179">IFERROR(_xlfn.XLOOKUP(C179&amp;A179, Inside5!B:B&amp;Inside5!I:I, Inside5!C:C), 0)</f>
        <v>22</v>
      </c>
      <c r="F179" cm="1">
        <f t="array" ref="F179">IFERROR(_xlfn.XLOOKUP(C179&amp;A179, Inside5!B:B&amp;Inside5!I:I, Inside5!D:D), 0)</f>
        <v>11</v>
      </c>
      <c r="G179" cm="1">
        <f t="array" ref="G179">IFERROR(_xlfn.XLOOKUP(C179&amp;A179, Inside5!B:B&amp;Inside5!I:I, Inside5!E:E), 0)</f>
        <v>0.78600000000000003</v>
      </c>
      <c r="H179" cm="1">
        <f t="array" ref="H179">IFERROR(_xlfn.XLOOKUP(C179&amp;A179, TDrate!F:F&amp;TDrate!H:H, TDrate!C:C), "N/A")</f>
        <v>4.9799999999999997E-2</v>
      </c>
      <c r="I179" cm="1">
        <f t="array" ref="I179">IFERROR(_xlfn.XLOOKUP(C179&amp;A179, TDrate!F:F&amp;TDrate!H:H, TDrate!E:E), "N/A")</f>
        <v>4.5499999999999999E-2</v>
      </c>
      <c r="J179" cm="1">
        <f t="array" ref="J179">IFERROR(_xlfn.XLOOKUP(C179&amp;A179, Inside5!B:B&amp;Inside5!I:I, Inside5!F:F), 0)</f>
        <v>1</v>
      </c>
      <c r="K179" cm="1">
        <f t="array" ref="K179">IFERROR(_xlfn.XLOOKUP(C179&amp;A179, Inside5!B:B&amp;Inside5!I:I, Inside5!G:G), 0)</f>
        <v>1</v>
      </c>
      <c r="L179" cm="1">
        <f t="array" ref="L179">IFERROR(_xlfn.XLOOKUP(C179&amp;A179, Inside5!B:B&amp;Inside5!I:I, Inside5!H:H), 0)</f>
        <v>0</v>
      </c>
      <c r="M179" cm="1">
        <f t="array" ref="M179">IFERROR(_xlfn.XLOOKUP(C179&amp;A179, TDrate!F:F&amp;TDrate!H:H, TDrate!B:B), "N/A")</f>
        <v>2.3300000000000001E-2</v>
      </c>
      <c r="N179" cm="1">
        <f t="array" ref="N179">IFERROR(_xlfn.XLOOKUP(C179&amp;A179, TDrate!F:F&amp;TDrate!H:H, TDrate!D:D), "N/A")</f>
        <v>2.7199999999999998E-2</v>
      </c>
    </row>
    <row r="180" spans="1:14" x14ac:dyDescent="0.45">
      <c r="A180" s="5">
        <v>2024</v>
      </c>
      <c r="B180" s="6" t="s">
        <v>302</v>
      </c>
      <c r="C180" s="7" t="str">
        <f t="shared" si="4"/>
        <v>Kyren Williams</v>
      </c>
      <c r="D180" s="7" t="str">
        <f t="shared" si="5"/>
        <v>LAR</v>
      </c>
      <c r="E180" cm="1">
        <f t="array" aca="1" ref="E180" ca="1">IFERROR(_xlfn.XLOOKUP(C180&amp;A180, Inside5!B:B&amp;Inside5!I:I, Inside5!C:C), 0)</f>
        <v>20</v>
      </c>
      <c r="F180" cm="1">
        <f t="array" aca="1" ref="F180" ca="1">IFERROR(_xlfn.XLOOKUP(C180&amp;A180, Inside5!B:B&amp;Inside5!I:I, Inside5!D:D), 0)</f>
        <v>12</v>
      </c>
      <c r="G180" cm="1">
        <f t="array" ref="G180">IFERROR(_xlfn.XLOOKUP(C180&amp;A180, Inside5!B:B&amp;Inside5!I:I, Inside5!E:E), 0)</f>
        <v>0.8</v>
      </c>
      <c r="H180" cm="1">
        <f t="array" ref="H180">IFERROR(_xlfn.XLOOKUP(C180&amp;A180, TDrate!F:F&amp;TDrate!H:H, TDrate!C:C), "N/A")</f>
        <v>4.4299999999999999E-2</v>
      </c>
      <c r="I180" cm="1">
        <f t="array" ref="I180">IFERROR(_xlfn.XLOOKUP(C180&amp;A180, TDrate!F:F&amp;TDrate!H:H, TDrate!E:E), "N/A")</f>
        <v>4.1000000000000002E-2</v>
      </c>
      <c r="J180" cm="1">
        <f t="array" ref="J180">IFERROR(_xlfn.XLOOKUP(C180&amp;A180, Inside5!B:B&amp;Inside5!I:I, Inside5!F:F), 0)</f>
        <v>2</v>
      </c>
      <c r="K180" cm="1">
        <f t="array" ref="K180">IFERROR(_xlfn.XLOOKUP(C180&amp;A180, Inside5!B:B&amp;Inside5!I:I, Inside5!G:G), 0)</f>
        <v>2</v>
      </c>
      <c r="L180" cm="1">
        <f t="array" ref="L180">IFERROR(_xlfn.XLOOKUP(C180&amp;A180, Inside5!B:B&amp;Inside5!I:I, Inside5!H:H), 0)</f>
        <v>1</v>
      </c>
      <c r="M180" cm="1">
        <f t="array" ref="M180">IFERROR(_xlfn.XLOOKUP(C180&amp;A180, TDrate!F:F&amp;TDrate!H:H, TDrate!B:B), "N/A")</f>
        <v>0.05</v>
      </c>
      <c r="N180" cm="1">
        <f t="array" ref="N180">IFERROR(_xlfn.XLOOKUP(C180&amp;A180, TDrate!F:F&amp;TDrate!H:H, TDrate!D:D), "N/A")</f>
        <v>4.9799999999999997E-2</v>
      </c>
    </row>
    <row r="181" spans="1:14" x14ac:dyDescent="0.45">
      <c r="A181" s="8">
        <v>2024</v>
      </c>
      <c r="B181" s="9" t="s">
        <v>297</v>
      </c>
      <c r="C181" s="10" t="str">
        <f t="shared" si="4"/>
        <v>James Cook III</v>
      </c>
      <c r="D181" s="10" t="str">
        <f t="shared" si="5"/>
        <v>BUF</v>
      </c>
      <c r="E181" cm="1">
        <f t="array" ref="E181">IFERROR(_xlfn.XLOOKUP(C181&amp;A181, Inside5!B:B&amp;Inside5!I:I, Inside5!C:C), 0)</f>
        <v>11</v>
      </c>
      <c r="F181" cm="1">
        <f t="array" ref="F181">IFERROR(_xlfn.XLOOKUP(C181&amp;A181, Inside5!B:B&amp;Inside5!I:I, Inside5!D:D), 0)</f>
        <v>6</v>
      </c>
      <c r="G181" cm="1">
        <f t="array" ref="G181">IFERROR(_xlfn.XLOOKUP(C181&amp;A181, Inside5!B:B&amp;Inside5!I:I, Inside5!E:E), 0)</f>
        <v>0.68799999999999994</v>
      </c>
      <c r="H181" cm="1">
        <f t="array" ref="H181">IFERROR(_xlfn.XLOOKUP(C181&amp;A181, TDrate!F:F&amp;TDrate!H:H, TDrate!C:C), "N/A")</f>
        <v>7.7299999999999994E-2</v>
      </c>
      <c r="I181" cm="1">
        <f t="array" ref="I181">IFERROR(_xlfn.XLOOKUP(C181&amp;A181, TDrate!F:F&amp;TDrate!H:H, TDrate!E:E), "N/A")</f>
        <v>6.0199999999999997E-2</v>
      </c>
      <c r="J181" cm="1">
        <f t="array" ref="J181">IFERROR(_xlfn.XLOOKUP(C181&amp;A181, Inside5!B:B&amp;Inside5!I:I, Inside5!F:F), 0)</f>
        <v>1</v>
      </c>
      <c r="K181" cm="1">
        <f t="array" ref="K181">IFERROR(_xlfn.XLOOKUP(C181&amp;A181, Inside5!B:B&amp;Inside5!I:I, Inside5!G:G), 0)</f>
        <v>1</v>
      </c>
      <c r="L181" cm="1">
        <f t="array" ref="L181">IFERROR(_xlfn.XLOOKUP(C181&amp;A181, Inside5!B:B&amp;Inside5!I:I, Inside5!H:H), 0)</f>
        <v>1</v>
      </c>
      <c r="M181" cm="1">
        <f t="array" ref="M181">IFERROR(_xlfn.XLOOKUP(C181&amp;A181, TDrate!F:F&amp;TDrate!H:H, TDrate!B:B), "N/A")</f>
        <v>5.2600000000000001E-2</v>
      </c>
      <c r="N181" cm="1">
        <f t="array" ref="N181">IFERROR(_xlfn.XLOOKUP(C181&amp;A181, TDrate!F:F&amp;TDrate!H:H, TDrate!D:D), "N/A")</f>
        <v>4.02E-2</v>
      </c>
    </row>
    <row r="182" spans="1:14" x14ac:dyDescent="0.45">
      <c r="A182" s="5">
        <v>2024</v>
      </c>
      <c r="B182" s="6" t="s">
        <v>299</v>
      </c>
      <c r="C182" s="7" t="str">
        <f t="shared" si="4"/>
        <v>Jonathan Taylor</v>
      </c>
      <c r="D182" s="7" t="str">
        <f t="shared" si="5"/>
        <v>IND</v>
      </c>
      <c r="E182" cm="1">
        <f t="array" ref="E182">IFERROR(_xlfn.XLOOKUP(C182&amp;A182, Inside5!B:B&amp;Inside5!I:I, Inside5!C:C), 0)</f>
        <v>18</v>
      </c>
      <c r="F182" cm="1">
        <f t="array" aca="1" ref="F182" ca="1">IFERROR(_xlfn.XLOOKUP(C182&amp;A182, Inside5!B:B&amp;Inside5!I:I, Inside5!D:D), 0)</f>
        <v>6</v>
      </c>
      <c r="G182" cm="1">
        <f t="array" ref="G182">IFERROR(_xlfn.XLOOKUP(C182&amp;A182, Inside5!B:B&amp;Inside5!I:I, Inside5!E:E), 0)</f>
        <v>0.69199999999999995</v>
      </c>
      <c r="H182" cm="1">
        <f t="array" ref="H182">IFERROR(_xlfn.XLOOKUP(C182&amp;A182, TDrate!F:F&amp;TDrate!H:H, TDrate!C:C), "N/A")</f>
        <v>3.6299999999999999E-2</v>
      </c>
      <c r="I182" cm="1">
        <f t="array" ref="I182">IFERROR(_xlfn.XLOOKUP(C182&amp;A182, TDrate!F:F&amp;TDrate!H:H, TDrate!E:E), "N/A")</f>
        <v>3.5700000000000003E-2</v>
      </c>
      <c r="J182" cm="1">
        <f t="array" ref="J182">IFERROR(_xlfn.XLOOKUP(C182&amp;A182, Inside5!B:B&amp;Inside5!I:I, Inside5!F:F), 0)</f>
        <v>0</v>
      </c>
      <c r="K182" cm="1">
        <f t="array" ref="K182">IFERROR(_xlfn.XLOOKUP(C182&amp;A182, Inside5!B:B&amp;Inside5!I:I, Inside5!G:G), 0)</f>
        <v>0</v>
      </c>
      <c r="L182" cm="1">
        <f t="array" ref="L182">IFERROR(_xlfn.XLOOKUP(C182&amp;A182, Inside5!B:B&amp;Inside5!I:I, Inside5!H:H), 0)</f>
        <v>0</v>
      </c>
      <c r="M182" cm="1">
        <f t="array" ref="M182">IFERROR(_xlfn.XLOOKUP(C182&amp;A182, TDrate!F:F&amp;TDrate!H:H, TDrate!B:B), "N/A")</f>
        <v>3.1300000000000001E-2</v>
      </c>
      <c r="N182" cm="1">
        <f t="array" ref="N182">IFERROR(_xlfn.XLOOKUP(C182&amp;A182, TDrate!F:F&amp;TDrate!H:H, TDrate!D:D), "N/A")</f>
        <v>2.52E-2</v>
      </c>
    </row>
    <row r="183" spans="1:14" x14ac:dyDescent="0.45">
      <c r="A183" s="8">
        <v>2024</v>
      </c>
      <c r="B183" s="9" t="s">
        <v>301</v>
      </c>
      <c r="C183" s="10" t="str">
        <f t="shared" si="4"/>
        <v>De'Von Achane</v>
      </c>
      <c r="D183" s="10" t="str">
        <f t="shared" si="5"/>
        <v>MIA</v>
      </c>
      <c r="E183" cm="1">
        <f t="array" ref="E183">IFERROR(_xlfn.XLOOKUP(C183&amp;A183, Inside5!B:B&amp;Inside5!I:I, Inside5!C:C), 0)</f>
        <v>13</v>
      </c>
      <c r="F183" cm="1">
        <f t="array" ref="F183">IFERROR(_xlfn.XLOOKUP(C183&amp;A183, Inside5!B:B&amp;Inside5!I:I, Inside5!D:D), 0)</f>
        <v>3</v>
      </c>
      <c r="G183" cm="1">
        <f t="array" ref="G183">IFERROR(_xlfn.XLOOKUP(C183&amp;A183, Inside5!B:B&amp;Inside5!I:I, Inside5!E:E), 0)</f>
        <v>0.72199999999999998</v>
      </c>
      <c r="H183" cm="1">
        <f t="array" ref="H183">IFERROR(_xlfn.XLOOKUP(C183&amp;A183, TDrate!F:F&amp;TDrate!H:H, TDrate!C:C), "N/A")</f>
        <v>2.9600000000000001E-2</v>
      </c>
      <c r="I183" cm="1">
        <f t="array" ref="I183">IFERROR(_xlfn.XLOOKUP(C183&amp;A183, TDrate!F:F&amp;TDrate!H:H, TDrate!E:E), "N/A")</f>
        <v>3.4200000000000001E-2</v>
      </c>
      <c r="J183" cm="1">
        <f t="array" ref="J183">IFERROR(_xlfn.XLOOKUP(C183&amp;A183, Inside5!B:B&amp;Inside5!I:I, Inside5!F:F), 0)</f>
        <v>3</v>
      </c>
      <c r="K183" cm="1">
        <f t="array" aca="1" ref="K183" ca="1">IFERROR(_xlfn.XLOOKUP(C183&amp;A183, Inside5!B:B&amp;Inside5!I:I, Inside5!G:G), 0)</f>
        <v>4</v>
      </c>
      <c r="L183" cm="1">
        <f t="array" ref="L183">IFERROR(_xlfn.XLOOKUP(C183&amp;A183, Inside5!B:B&amp;Inside5!I:I, Inside5!H:H), 0)</f>
        <v>1</v>
      </c>
      <c r="M183" cm="1">
        <f t="array" ref="M183">IFERROR(_xlfn.XLOOKUP(C183&amp;A183, TDrate!F:F&amp;TDrate!H:H, TDrate!B:B), "N/A")</f>
        <v>6.9000000000000006E-2</v>
      </c>
      <c r="N183" cm="1">
        <f t="array" ref="N183">IFERROR(_xlfn.XLOOKUP(C183&amp;A183, TDrate!F:F&amp;TDrate!H:H, TDrate!D:D), "N/A")</f>
        <v>5.5399999999999998E-2</v>
      </c>
    </row>
    <row r="184" spans="1:14" x14ac:dyDescent="0.45">
      <c r="A184" s="5">
        <v>2024</v>
      </c>
      <c r="B184" s="6" t="s">
        <v>379</v>
      </c>
      <c r="C184" s="7" t="str">
        <f t="shared" si="4"/>
        <v>James Conner</v>
      </c>
      <c r="D184" s="7" t="str">
        <f t="shared" si="5"/>
        <v>ARI</v>
      </c>
      <c r="E184" cm="1">
        <f t="array" aca="1" ref="E184" ca="1">IFERROR(_xlfn.XLOOKUP(C184&amp;A184, Inside5!B:B&amp;Inside5!I:I, Inside5!C:C), 0)</f>
        <v>12</v>
      </c>
      <c r="F184" cm="1">
        <f t="array" ref="F184">IFERROR(_xlfn.XLOOKUP(C184&amp;A184, Inside5!B:B&amp;Inside5!I:I, Inside5!D:D), 0)</f>
        <v>6</v>
      </c>
      <c r="G184" cm="1">
        <f t="array" ref="G184">IFERROR(_xlfn.XLOOKUP(C184&amp;A184, Inside5!B:B&amp;Inside5!I:I, Inside5!E:E), 0)</f>
        <v>0.85699999999999998</v>
      </c>
      <c r="H184" cm="1">
        <f t="array" ref="H184">IFERROR(_xlfn.XLOOKUP(C184&amp;A184, TDrate!F:F&amp;TDrate!H:H, TDrate!C:C), "N/A")</f>
        <v>3.39E-2</v>
      </c>
      <c r="I184" cm="1">
        <f t="array" ref="I184">IFERROR(_xlfn.XLOOKUP(C184&amp;A184, TDrate!F:F&amp;TDrate!H:H, TDrate!E:E), "N/A")</f>
        <v>3.3300000000000003E-2</v>
      </c>
      <c r="J184" cm="1">
        <f t="array" ref="J184">IFERROR(_xlfn.XLOOKUP(C184&amp;A184, Inside5!B:B&amp;Inside5!I:I, Inside5!F:F), 0)</f>
        <v>1</v>
      </c>
      <c r="K184" cm="1">
        <f t="array" ref="K184">IFERROR(_xlfn.XLOOKUP(C184&amp;A184, Inside5!B:B&amp;Inside5!I:I, Inside5!G:G), 0)</f>
        <v>1</v>
      </c>
      <c r="L184" cm="1">
        <f t="array" ref="L184">IFERROR(_xlfn.XLOOKUP(C184&amp;A184, Inside5!B:B&amp;Inside5!I:I, Inside5!H:H), 0)</f>
        <v>1</v>
      </c>
      <c r="M184" cm="1">
        <f t="array" ref="M184">IFERROR(_xlfn.XLOOKUP(C184&amp;A184, TDrate!F:F&amp;TDrate!H:H, TDrate!B:B), "N/A")</f>
        <v>1.8200000000000001E-2</v>
      </c>
      <c r="N184" cm="1">
        <f t="array" ref="N184">IFERROR(_xlfn.XLOOKUP(C184&amp;A184, TDrate!F:F&amp;TDrate!H:H, TDrate!D:D), "N/A")</f>
        <v>2.0799999999999999E-2</v>
      </c>
    </row>
    <row r="185" spans="1:14" x14ac:dyDescent="0.45">
      <c r="A185" s="8">
        <v>2024</v>
      </c>
      <c r="B185" s="9" t="s">
        <v>470</v>
      </c>
      <c r="C185" s="10" t="str">
        <f t="shared" si="4"/>
        <v>Joe Mixon</v>
      </c>
      <c r="D185" s="10" t="str">
        <f t="shared" si="5"/>
        <v>HOU</v>
      </c>
      <c r="E185" cm="1">
        <f t="array" ref="E185">IFERROR(_xlfn.XLOOKUP(C185&amp;A185, Inside5!B:B&amp;Inside5!I:I, Inside5!C:C), 0)</f>
        <v>12</v>
      </c>
      <c r="F185" cm="1">
        <f t="array" ref="F185">IFERROR(_xlfn.XLOOKUP(C185&amp;A185, Inside5!B:B&amp;Inside5!I:I, Inside5!D:D), 0)</f>
        <v>6</v>
      </c>
      <c r="G185" cm="1">
        <f t="array" ref="G185">IFERROR(_xlfn.XLOOKUP(C185&amp;A185, Inside5!B:B&amp;Inside5!I:I, Inside5!E:E), 0)</f>
        <v>1</v>
      </c>
      <c r="H185" cm="1">
        <f t="array" ref="H185">IFERROR(_xlfn.XLOOKUP(C185&amp;A185, TDrate!F:F&amp;TDrate!H:H, TDrate!C:C), "N/A")</f>
        <v>4.4699999999999997E-2</v>
      </c>
      <c r="I185" cm="1">
        <f t="array" ref="I185">IFERROR(_xlfn.XLOOKUP(C185&amp;A185, TDrate!F:F&amp;TDrate!H:H, TDrate!E:E), "N/A")</f>
        <v>4.1300000000000003E-2</v>
      </c>
      <c r="J185" cm="1">
        <f t="array" ref="J185">IFERROR(_xlfn.XLOOKUP(C185&amp;A185, Inside5!B:B&amp;Inside5!I:I, Inside5!F:F), 0)</f>
        <v>1</v>
      </c>
      <c r="K185" cm="1">
        <f t="array" ref="K185">IFERROR(_xlfn.XLOOKUP(C185&amp;A185, Inside5!B:B&amp;Inside5!I:I, Inside5!G:G), 0)</f>
        <v>2</v>
      </c>
      <c r="L185" cm="1">
        <f t="array" ref="L185">IFERROR(_xlfn.XLOOKUP(C185&amp;A185, Inside5!B:B&amp;Inside5!I:I, Inside5!H:H), 0)</f>
        <v>0</v>
      </c>
      <c r="M185" cm="1">
        <f t="array" ref="M185">IFERROR(_xlfn.XLOOKUP(C185&amp;A185, TDrate!F:F&amp;TDrate!H:H, TDrate!B:B), "N/A")</f>
        <v>1.9199999999999998E-2</v>
      </c>
      <c r="N185" cm="1">
        <f t="array" ref="N185">IFERROR(_xlfn.XLOOKUP(C185&amp;A185, TDrate!F:F&amp;TDrate!H:H, TDrate!D:D), "N/A")</f>
        <v>3.1899999999999998E-2</v>
      </c>
    </row>
    <row r="186" spans="1:14" x14ac:dyDescent="0.45">
      <c r="A186" s="5">
        <v>2024</v>
      </c>
      <c r="B186" s="6" t="s">
        <v>313</v>
      </c>
      <c r="C186" s="7" t="str">
        <f t="shared" si="4"/>
        <v>Chase Brown</v>
      </c>
      <c r="D186" s="7" t="str">
        <f t="shared" si="5"/>
        <v>CIN</v>
      </c>
      <c r="E186" cm="1">
        <f t="array" ref="E186">IFERROR(_xlfn.XLOOKUP(C186&amp;A186, Inside5!B:B&amp;Inside5!I:I, Inside5!C:C), 0)</f>
        <v>13</v>
      </c>
      <c r="F186" cm="1">
        <f t="array" aca="1" ref="F186" ca="1">IFERROR(_xlfn.XLOOKUP(C186&amp;A186, Inside5!B:B&amp;Inside5!I:I, Inside5!D:D), 0)</f>
        <v>6</v>
      </c>
      <c r="G186" cm="1">
        <f t="array" ref="G186">IFERROR(_xlfn.XLOOKUP(C186&amp;A186, Inside5!B:B&amp;Inside5!I:I, Inside5!E:E), 0)</f>
        <v>0.61899999999999999</v>
      </c>
      <c r="H186" cm="1">
        <f t="array" ref="H186">IFERROR(_xlfn.XLOOKUP(C186&amp;A186, TDrate!F:F&amp;TDrate!H:H, TDrate!C:C), "N/A")</f>
        <v>3.0599999999999999E-2</v>
      </c>
      <c r="I186" cm="1">
        <f t="array" ref="I186">IFERROR(_xlfn.XLOOKUP(C186&amp;A186, TDrate!F:F&amp;TDrate!H:H, TDrate!E:E), "N/A")</f>
        <v>3.3300000000000003E-2</v>
      </c>
      <c r="J186" cm="1">
        <f t="array" ref="J186">IFERROR(_xlfn.XLOOKUP(C186&amp;A186, Inside5!B:B&amp;Inside5!I:I, Inside5!F:F), 0)</f>
        <v>2</v>
      </c>
      <c r="K186" cm="1">
        <f t="array" ref="K186">IFERROR(_xlfn.XLOOKUP(C186&amp;A186, Inside5!B:B&amp;Inside5!I:I, Inside5!G:G), 0)</f>
        <v>3</v>
      </c>
      <c r="L186" cm="1">
        <f t="array" ref="L186">IFERROR(_xlfn.XLOOKUP(C186&amp;A186, Inside5!B:B&amp;Inside5!I:I, Inside5!H:H), 0)</f>
        <v>2</v>
      </c>
      <c r="M186" cm="1">
        <f t="array" ref="M186">IFERROR(_xlfn.XLOOKUP(C186&amp;A186, TDrate!F:F&amp;TDrate!H:H, TDrate!B:B), "N/A")</f>
        <v>6.0600000000000001E-2</v>
      </c>
      <c r="N186" cm="1">
        <f t="array" ref="N186">IFERROR(_xlfn.XLOOKUP(C186&amp;A186, TDrate!F:F&amp;TDrate!H:H, TDrate!D:D), "N/A")</f>
        <v>5.7200000000000001E-2</v>
      </c>
    </row>
    <row r="187" spans="1:14" x14ac:dyDescent="0.45">
      <c r="A187" s="8">
        <v>2024</v>
      </c>
      <c r="B187" s="9" t="s">
        <v>338</v>
      </c>
      <c r="C187" s="10" t="str">
        <f t="shared" si="4"/>
        <v>Chuba Hubbard</v>
      </c>
      <c r="D187" s="10" t="str">
        <f t="shared" si="5"/>
        <v>CAR</v>
      </c>
      <c r="E187" cm="1">
        <f t="array" aca="1" ref="E187" ca="1">IFERROR(_xlfn.XLOOKUP(C187&amp;A187, Inside5!B:B&amp;Inside5!I:I, Inside5!C:C), 0)</f>
        <v>21</v>
      </c>
      <c r="F187" cm="1">
        <f t="array" ref="F187">IFERROR(_xlfn.XLOOKUP(C187&amp;A187, Inside5!B:B&amp;Inside5!I:I, Inside5!D:D), 0)</f>
        <v>7</v>
      </c>
      <c r="G187" cm="1">
        <f t="array" ref="G187">IFERROR(_xlfn.XLOOKUP(C187&amp;A187, Inside5!B:B&amp;Inside5!I:I, Inside5!E:E), 0)</f>
        <v>0.91300000000000003</v>
      </c>
      <c r="H187" cm="1">
        <f t="array" ref="H187">IFERROR(_xlfn.XLOOKUP(C187&amp;A187, TDrate!F:F&amp;TDrate!H:H, TDrate!C:C), "N/A")</f>
        <v>0.04</v>
      </c>
      <c r="I187" cm="1">
        <f t="array" ref="I187">IFERROR(_xlfn.XLOOKUP(C187&amp;A187, TDrate!F:F&amp;TDrate!H:H, TDrate!E:E), "N/A")</f>
        <v>4.1000000000000002E-2</v>
      </c>
      <c r="J187" cm="1">
        <f t="array" ref="J187">IFERROR(_xlfn.XLOOKUP(C187&amp;A187, Inside5!B:B&amp;Inside5!I:I, Inside5!F:F), 0)</f>
        <v>0</v>
      </c>
      <c r="K187" cm="1">
        <f t="array" ref="K187">IFERROR(_xlfn.XLOOKUP(C187&amp;A187, Inside5!B:B&amp;Inside5!I:I, Inside5!G:G), 0)</f>
        <v>0</v>
      </c>
      <c r="L187" cm="1">
        <f t="array" ref="L187">IFERROR(_xlfn.XLOOKUP(C187&amp;A187, Inside5!B:B&amp;Inside5!I:I, Inside5!H:H), 0)</f>
        <v>0</v>
      </c>
      <c r="M187" cm="1">
        <f t="array" ref="M187">IFERROR(_xlfn.XLOOKUP(C187&amp;A187, TDrate!F:F&amp;TDrate!H:H, TDrate!B:B), "N/A")</f>
        <v>1.8499999999999999E-2</v>
      </c>
      <c r="N187" cm="1">
        <f t="array" ref="N187">IFERROR(_xlfn.XLOOKUP(C187&amp;A187, TDrate!F:F&amp;TDrate!H:H, TDrate!D:D), "N/A")</f>
        <v>2.4299999999999999E-2</v>
      </c>
    </row>
    <row r="188" spans="1:14" x14ac:dyDescent="0.45">
      <c r="A188" s="5">
        <v>2024</v>
      </c>
      <c r="B188" s="6" t="s">
        <v>331</v>
      </c>
      <c r="C188" s="7" t="str">
        <f t="shared" si="4"/>
        <v>Bucky Irving</v>
      </c>
      <c r="D188" s="7" t="str">
        <f t="shared" si="5"/>
        <v>TB</v>
      </c>
      <c r="E188" cm="1">
        <f t="array" ref="E188">IFERROR(_xlfn.XLOOKUP(C188&amp;A188, Inside5!B:B&amp;Inside5!I:I, Inside5!C:C), 0)</f>
        <v>13</v>
      </c>
      <c r="F188" cm="1">
        <f t="array" ref="F188">IFERROR(_xlfn.XLOOKUP(C188&amp;A188, Inside5!B:B&amp;Inside5!I:I, Inside5!D:D), 0)</f>
        <v>4</v>
      </c>
      <c r="G188" cm="1">
        <f t="array" ref="G188">IFERROR(_xlfn.XLOOKUP(C188&amp;A188, Inside5!B:B&amp;Inside5!I:I, Inside5!E:E), 0)</f>
        <v>0.54200000000000004</v>
      </c>
      <c r="H188" cm="1">
        <f t="array" ref="H188">IFERROR(_xlfn.XLOOKUP(C188&amp;A188, TDrate!F:F&amp;TDrate!H:H, TDrate!C:C), "N/A")</f>
        <v>3.85E-2</v>
      </c>
      <c r="I188" cm="1">
        <f t="array" ref="I188">IFERROR(_xlfn.XLOOKUP(C188&amp;A188, TDrate!F:F&amp;TDrate!H:H, TDrate!E:E), "N/A")</f>
        <v>3.7400000000000003E-2</v>
      </c>
      <c r="J188" cm="1">
        <f t="array" ref="J188">IFERROR(_xlfn.XLOOKUP(C188&amp;A188, Inside5!B:B&amp;Inside5!I:I, Inside5!F:F), 0)</f>
        <v>0</v>
      </c>
      <c r="K188" cm="1">
        <f t="array" aca="1" ref="K188" ca="1">IFERROR(_xlfn.XLOOKUP(C188&amp;A188, Inside5!B:B&amp;Inside5!I:I, Inside5!G:G), 0)</f>
        <v>0</v>
      </c>
      <c r="L188" cm="1">
        <f t="array" ref="L188">IFERROR(_xlfn.XLOOKUP(C188&amp;A188, Inside5!B:B&amp;Inside5!I:I, Inside5!H:H), 0)</f>
        <v>0</v>
      </c>
      <c r="M188" cm="1">
        <f t="array" ref="M188">IFERROR(_xlfn.XLOOKUP(C188&amp;A188, TDrate!F:F&amp;TDrate!H:H, TDrate!B:B), "N/A")</f>
        <v>0</v>
      </c>
      <c r="N188" cm="1">
        <f t="array" ref="N188">IFERROR(_xlfn.XLOOKUP(C188&amp;A188, TDrate!F:F&amp;TDrate!H:H, TDrate!D:D), "N/A")</f>
        <v>1.9199999999999998E-2</v>
      </c>
    </row>
    <row r="189" spans="1:14" x14ac:dyDescent="0.45">
      <c r="A189" s="8">
        <v>2024</v>
      </c>
      <c r="B189" s="9" t="s">
        <v>342</v>
      </c>
      <c r="C189" s="10" t="str">
        <f t="shared" si="4"/>
        <v>Alvin Kamara</v>
      </c>
      <c r="D189" s="10" t="str">
        <f t="shared" si="5"/>
        <v>NO</v>
      </c>
      <c r="E189" cm="1">
        <f t="array" aca="1" ref="E189" ca="1">IFERROR(_xlfn.XLOOKUP(C189&amp;A189, Inside5!B:B&amp;Inside5!I:I, Inside5!C:C), 0)</f>
        <v>11</v>
      </c>
      <c r="F189" cm="1">
        <f t="array" aca="1" ref="F189" ca="1">IFERROR(_xlfn.XLOOKUP(C189&amp;A189, Inside5!B:B&amp;Inside5!I:I, Inside5!D:D), 0)</f>
        <v>4</v>
      </c>
      <c r="G189" cm="1">
        <f t="array" ref="G189">IFERROR(_xlfn.XLOOKUP(C189&amp;A189, Inside5!B:B&amp;Inside5!I:I, Inside5!E:E), 0)</f>
        <v>1</v>
      </c>
      <c r="H189" cm="1">
        <f t="array" ref="H189">IFERROR(_xlfn.XLOOKUP(C189&amp;A189, TDrate!F:F&amp;TDrate!H:H, TDrate!C:C), "N/A")</f>
        <v>2.63E-2</v>
      </c>
      <c r="I189" cm="1">
        <f t="array" ref="I189">IFERROR(_xlfn.XLOOKUP(C189&amp;A189, TDrate!F:F&amp;TDrate!H:H, TDrate!E:E), "N/A")</f>
        <v>2.75E-2</v>
      </c>
      <c r="J189" cm="1">
        <f t="array" ref="J189">IFERROR(_xlfn.XLOOKUP(C189&amp;A189, Inside5!B:B&amp;Inside5!I:I, Inside5!F:F), 0)</f>
        <v>0</v>
      </c>
      <c r="K189" cm="1">
        <f t="array" ref="K189">IFERROR(_xlfn.XLOOKUP(C189&amp;A189, Inside5!B:B&amp;Inside5!I:I, Inside5!G:G), 0)</f>
        <v>0</v>
      </c>
      <c r="L189" cm="1">
        <f t="array" ref="L189">IFERROR(_xlfn.XLOOKUP(C189&amp;A189, Inside5!B:B&amp;Inside5!I:I, Inside5!H:H), 0)</f>
        <v>0</v>
      </c>
      <c r="M189" cm="1">
        <f t="array" ref="M189">IFERROR(_xlfn.XLOOKUP(C189&amp;A189, TDrate!F:F&amp;TDrate!H:H, TDrate!B:B), "N/A")</f>
        <v>2.2499999999999999E-2</v>
      </c>
      <c r="N189" cm="1">
        <f t="array" ref="N189">IFERROR(_xlfn.XLOOKUP(C189&amp;A189, TDrate!F:F&amp;TDrate!H:H, TDrate!D:D), "N/A")</f>
        <v>1.78E-2</v>
      </c>
    </row>
    <row r="190" spans="1:14" x14ac:dyDescent="0.45">
      <c r="A190" s="5">
        <v>2024</v>
      </c>
      <c r="B190" s="6" t="s">
        <v>333</v>
      </c>
      <c r="C190" s="7" t="str">
        <f t="shared" si="4"/>
        <v>Aaron Jones Sr.</v>
      </c>
      <c r="D190" s="7" t="str">
        <f t="shared" si="5"/>
        <v>MIN</v>
      </c>
      <c r="E190" cm="1">
        <f t="array" aca="1" ref="E190" ca="1">IFERROR(_xlfn.XLOOKUP(C190&amp;A190, Inside5!B:B&amp;Inside5!I:I, Inside5!C:C), 0)</f>
        <v>13</v>
      </c>
      <c r="F190" cm="1">
        <f t="array" aca="1" ref="F190" ca="1">IFERROR(_xlfn.XLOOKUP(C190&amp;A190, Inside5!B:B&amp;Inside5!I:I, Inside5!D:D), 0)</f>
        <v>3</v>
      </c>
      <c r="G190" cm="1">
        <f t="array" ref="G190">IFERROR(_xlfn.XLOOKUP(C190&amp;A190, Inside5!B:B&amp;Inside5!I:I, Inside5!E:E), 0)</f>
        <v>0.81299999999999994</v>
      </c>
      <c r="H190" cm="1">
        <f t="array" ref="H190">IFERROR(_xlfn.XLOOKUP(C190&amp;A190, TDrate!F:F&amp;TDrate!H:H, TDrate!C:C), "N/A")</f>
        <v>1.9599999999999999E-2</v>
      </c>
      <c r="I190" cm="1">
        <f t="array" ref="I190">IFERROR(_xlfn.XLOOKUP(C190&amp;A190, TDrate!F:F&amp;TDrate!H:H, TDrate!E:E), "N/A")</f>
        <v>2.5499999999999998E-2</v>
      </c>
      <c r="J190" cm="1">
        <f t="array" ref="J190">IFERROR(_xlfn.XLOOKUP(C190&amp;A190, Inside5!B:B&amp;Inside5!I:I, Inside5!F:F), 0)</f>
        <v>2</v>
      </c>
      <c r="K190" cm="1">
        <f t="array" aca="1" ref="K190" ca="1">IFERROR(_xlfn.XLOOKUP(C190&amp;A190, Inside5!B:B&amp;Inside5!I:I, Inside5!G:G), 0)</f>
        <v>2</v>
      </c>
      <c r="L190" cm="1">
        <f t="array" ref="L190">IFERROR(_xlfn.XLOOKUP(C190&amp;A190, Inside5!B:B&amp;Inside5!I:I, Inside5!H:H), 0)</f>
        <v>1</v>
      </c>
      <c r="M190" cm="1">
        <f t="array" ref="M190">IFERROR(_xlfn.XLOOKUP(C190&amp;A190, TDrate!F:F&amp;TDrate!H:H, TDrate!B:B), "N/A")</f>
        <v>3.2300000000000002E-2</v>
      </c>
      <c r="N190" cm="1">
        <f t="array" ref="N190">IFERROR(_xlfn.XLOOKUP(C190&amp;A190, TDrate!F:F&amp;TDrate!H:H, TDrate!D:D), "N/A")</f>
        <v>4.5499999999999999E-2</v>
      </c>
    </row>
    <row r="191" spans="1:14" x14ac:dyDescent="0.45">
      <c r="A191" s="8">
        <v>2024</v>
      </c>
      <c r="B191" s="9" t="s">
        <v>326</v>
      </c>
      <c r="C191" s="10" t="str">
        <f t="shared" si="4"/>
        <v>David Montgomery</v>
      </c>
      <c r="D191" s="10" t="str">
        <f t="shared" si="5"/>
        <v>DET</v>
      </c>
      <c r="E191" cm="1">
        <f t="array" aca="1" ref="E191" ca="1">IFERROR(_xlfn.XLOOKUP(C191&amp;A191, Inside5!B:B&amp;Inside5!I:I, Inside5!C:C), 0)</f>
        <v>17</v>
      </c>
      <c r="F191" cm="1">
        <f t="array" aca="1" ref="F191" ca="1">IFERROR(_xlfn.XLOOKUP(C191&amp;A191, Inside5!B:B&amp;Inside5!I:I, Inside5!D:D), 0)</f>
        <v>8</v>
      </c>
      <c r="G191" cm="1">
        <f t="array" ref="G191">IFERROR(_xlfn.XLOOKUP(C191&amp;A191, Inside5!B:B&amp;Inside5!I:I, Inside5!E:E), 0)</f>
        <v>0.5</v>
      </c>
      <c r="H191" cm="1">
        <f t="array" ref="H191">IFERROR(_xlfn.XLOOKUP(C191&amp;A191, TDrate!F:F&amp;TDrate!H:H, TDrate!C:C), "N/A")</f>
        <v>6.4899999999999999E-2</v>
      </c>
      <c r="I191" cm="1">
        <f t="array" ref="I191">IFERROR(_xlfn.XLOOKUP(C191&amp;A191, TDrate!F:F&amp;TDrate!H:H, TDrate!E:E), "N/A")</f>
        <v>5.8400000000000001E-2</v>
      </c>
      <c r="J191" cm="1">
        <f t="array" ref="J191">IFERROR(_xlfn.XLOOKUP(C191&amp;A191, Inside5!B:B&amp;Inside5!I:I, Inside5!F:F), 0)</f>
        <v>0</v>
      </c>
      <c r="K191" cm="1">
        <f t="array" aca="1" ref="K191" ca="1">IFERROR(_xlfn.XLOOKUP(C191&amp;A191, Inside5!B:B&amp;Inside5!I:I, Inside5!G:G), 0)</f>
        <v>0</v>
      </c>
      <c r="L191" cm="1">
        <f t="array" ref="L191">IFERROR(_xlfn.XLOOKUP(C191&amp;A191, Inside5!B:B&amp;Inside5!I:I, Inside5!H:H), 0)</f>
        <v>0</v>
      </c>
      <c r="M191" cm="1">
        <f t="array" ref="M191">IFERROR(_xlfn.XLOOKUP(C191&amp;A191, TDrate!F:F&amp;TDrate!H:H, TDrate!B:B), "N/A")</f>
        <v>0</v>
      </c>
      <c r="N191" cm="1">
        <f t="array" ref="N191">IFERROR(_xlfn.XLOOKUP(C191&amp;A191, TDrate!F:F&amp;TDrate!H:H, TDrate!D:D), "N/A")</f>
        <v>6.0000000000000001E-3</v>
      </c>
    </row>
    <row r="192" spans="1:14" x14ac:dyDescent="0.45">
      <c r="A192" s="5">
        <v>2024</v>
      </c>
      <c r="B192" s="6" t="s">
        <v>311</v>
      </c>
      <c r="C192" s="7" t="str">
        <f t="shared" si="4"/>
        <v>Breece Hall</v>
      </c>
      <c r="D192" s="7" t="str">
        <f t="shared" si="5"/>
        <v>NYJ</v>
      </c>
      <c r="E192" cm="1">
        <f t="array" ref="E192">IFERROR(_xlfn.XLOOKUP(C192&amp;A192, Inside5!B:B&amp;Inside5!I:I, Inside5!C:C), 0)</f>
        <v>8</v>
      </c>
      <c r="F192" cm="1">
        <f t="array" ref="F192">IFERROR(_xlfn.XLOOKUP(C192&amp;A192, Inside5!B:B&amp;Inside5!I:I, Inside5!D:D), 0)</f>
        <v>3</v>
      </c>
      <c r="G192" cm="1">
        <f t="array" ref="G192">IFERROR(_xlfn.XLOOKUP(C192&amp;A192, Inside5!B:B&amp;Inside5!I:I, Inside5!E:E), 0)</f>
        <v>0.88900000000000001</v>
      </c>
      <c r="H192" cm="1">
        <f t="array" ref="H192">IFERROR(_xlfn.XLOOKUP(C192&amp;A192, TDrate!F:F&amp;TDrate!H:H, TDrate!C:C), "N/A")</f>
        <v>2.3800000000000002E-2</v>
      </c>
      <c r="I192" cm="1">
        <f t="array" ref="I192">IFERROR(_xlfn.XLOOKUP(C192&amp;A192, TDrate!F:F&amp;TDrate!H:H, TDrate!E:E), "N/A")</f>
        <v>2.3E-2</v>
      </c>
      <c r="J192" cm="1">
        <f t="array" ref="J192">IFERROR(_xlfn.XLOOKUP(C192&amp;A192, Inside5!B:B&amp;Inside5!I:I, Inside5!F:F), 0)</f>
        <v>0</v>
      </c>
      <c r="K192" cm="1">
        <f t="array" ref="K192">IFERROR(_xlfn.XLOOKUP(C192&amp;A192, Inside5!B:B&amp;Inside5!I:I, Inside5!G:G), 0)</f>
        <v>1</v>
      </c>
      <c r="L192" cm="1">
        <f t="array" ref="L192">IFERROR(_xlfn.XLOOKUP(C192&amp;A192, Inside5!B:B&amp;Inside5!I:I, Inside5!H:H), 0)</f>
        <v>0</v>
      </c>
      <c r="M192" cm="1">
        <f t="array" ref="M192">IFERROR(_xlfn.XLOOKUP(C192&amp;A192, TDrate!F:F&amp;TDrate!H:H, TDrate!B:B), "N/A")</f>
        <v>3.9E-2</v>
      </c>
      <c r="N192" cm="1">
        <f t="array" ref="N192">IFERROR(_xlfn.XLOOKUP(C192&amp;A192, TDrate!F:F&amp;TDrate!H:H, TDrate!D:D), "N/A")</f>
        <v>3.39E-2</v>
      </c>
    </row>
    <row r="193" spans="1:14" x14ac:dyDescent="0.45">
      <c r="A193" s="8">
        <v>2024</v>
      </c>
      <c r="B193" s="9" t="s">
        <v>308</v>
      </c>
      <c r="C193" s="10" t="str">
        <f t="shared" si="4"/>
        <v>D'Andre Swift</v>
      </c>
      <c r="D193" s="10" t="str">
        <f t="shared" si="5"/>
        <v>CHI</v>
      </c>
      <c r="E193" cm="1">
        <f t="array" aca="1" ref="E193" ca="1">IFERROR(_xlfn.XLOOKUP(C193&amp;A193, Inside5!B:B&amp;Inside5!I:I, Inside5!C:C), 0)</f>
        <v>9</v>
      </c>
      <c r="F193" cm="1">
        <f t="array" aca="1" ref="F193" ca="1">IFERROR(_xlfn.XLOOKUP(C193&amp;A193, Inside5!B:B&amp;Inside5!I:I, Inside5!D:D), 0)</f>
        <v>2</v>
      </c>
      <c r="G193" cm="1">
        <f t="array" ref="G193">IFERROR(_xlfn.XLOOKUP(C193&amp;A193, Inside5!B:B&amp;Inside5!I:I, Inside5!E:E), 0)</f>
        <v>0.40899999999999997</v>
      </c>
      <c r="H193" cm="1">
        <f t="array" ref="H193">IFERROR(_xlfn.XLOOKUP(C193&amp;A193, TDrate!F:F&amp;TDrate!H:H, TDrate!C:C), "N/A")</f>
        <v>2.3699999999999999E-2</v>
      </c>
      <c r="I193" cm="1">
        <f t="array" ref="I193">IFERROR(_xlfn.XLOOKUP(C193&amp;A193, TDrate!F:F&amp;TDrate!H:H, TDrate!E:E), "N/A")</f>
        <v>2.4E-2</v>
      </c>
      <c r="J193" cm="1">
        <f t="array" ref="J193">IFERROR(_xlfn.XLOOKUP(C193&amp;A193, Inside5!B:B&amp;Inside5!I:I, Inside5!F:F), 0)</f>
        <v>0</v>
      </c>
      <c r="K193" cm="1">
        <f t="array" ref="K193">IFERROR(_xlfn.XLOOKUP(C193&amp;A193, Inside5!B:B&amp;Inside5!I:I, Inside5!G:G), 0)</f>
        <v>0</v>
      </c>
      <c r="L193" cm="1">
        <f t="array" ref="L193">IFERROR(_xlfn.XLOOKUP(C193&amp;A193, Inside5!B:B&amp;Inside5!I:I, Inside5!H:H), 0)</f>
        <v>0</v>
      </c>
      <c r="M193" cm="1">
        <f t="array" ref="M193">IFERROR(_xlfn.XLOOKUP(C193&amp;A193, TDrate!F:F&amp;TDrate!H:H, TDrate!B:B), "N/A")</f>
        <v>0</v>
      </c>
      <c r="N193" cm="1">
        <f t="array" ref="N193">IFERROR(_xlfn.XLOOKUP(C193&amp;A193, TDrate!F:F&amp;TDrate!H:H, TDrate!D:D), "N/A")</f>
        <v>3.0000000000000001E-3</v>
      </c>
    </row>
    <row r="194" spans="1:14" x14ac:dyDescent="0.45">
      <c r="A194" s="5">
        <v>2024</v>
      </c>
      <c r="B194" s="6" t="s">
        <v>471</v>
      </c>
      <c r="C194" s="7" t="str">
        <f t="shared" ref="C194:C257" si="6">TRIM(LEFT(B194, LEN(B194) - LEN(TRIM(RIGHT(SUBSTITUTE(TRIM(B194)," ",REPT(" ",100)),100)))))</f>
        <v>Najee Harris</v>
      </c>
      <c r="D194" s="7" t="str">
        <f t="shared" ref="D194:D257" si="7">MID(B194, FIND("(", B194) + 1, FIND(")", B194) - FIND("(", B194) - 1)</f>
        <v>PIT</v>
      </c>
      <c r="E194" cm="1">
        <f t="array" ref="E194">IFERROR(_xlfn.XLOOKUP(C194&amp;A194, Inside5!B:B&amp;Inside5!I:I, Inside5!C:C), 0)</f>
        <v>11</v>
      </c>
      <c r="F194" cm="1">
        <f t="array" ref="F194">IFERROR(_xlfn.XLOOKUP(C194&amp;A194, Inside5!B:B&amp;Inside5!I:I, Inside5!D:D), 0)</f>
        <v>2</v>
      </c>
      <c r="G194" cm="1">
        <f t="array" ref="G194">IFERROR(_xlfn.XLOOKUP(C194&amp;A194, Inside5!B:B&amp;Inside5!I:I, Inside5!E:E), 0)</f>
        <v>0.64700000000000002</v>
      </c>
      <c r="H194" cm="1">
        <f t="array" ref="H194">IFERROR(_xlfn.XLOOKUP(C194&amp;A194, TDrate!F:F&amp;TDrate!H:H, TDrate!C:C), "N/A")</f>
        <v>2.2800000000000001E-2</v>
      </c>
      <c r="I194" cm="1">
        <f t="array" ref="I194">IFERROR(_xlfn.XLOOKUP(C194&amp;A194, TDrate!F:F&amp;TDrate!H:H, TDrate!E:E), "N/A")</f>
        <v>2.6800000000000001E-2</v>
      </c>
      <c r="J194" cm="1">
        <f t="array" ref="J194">IFERROR(_xlfn.XLOOKUP(C194&amp;A194, Inside5!B:B&amp;Inside5!I:I, Inside5!F:F), 0)</f>
        <v>0</v>
      </c>
      <c r="K194" cm="1">
        <f t="array" ref="K194">IFERROR(_xlfn.XLOOKUP(C194&amp;A194, Inside5!B:B&amp;Inside5!I:I, Inside5!G:G), 0)</f>
        <v>0</v>
      </c>
      <c r="L194" cm="1">
        <f t="array" ref="L194">IFERROR(_xlfn.XLOOKUP(C194&amp;A194, Inside5!B:B&amp;Inside5!I:I, Inside5!H:H), 0)</f>
        <v>0</v>
      </c>
      <c r="M194" cm="1">
        <f t="array" ref="M194">IFERROR(_xlfn.XLOOKUP(C194&amp;A194, TDrate!F:F&amp;TDrate!H:H, TDrate!B:B), "N/A")</f>
        <v>0</v>
      </c>
      <c r="N194" cm="1">
        <f t="array" ref="N194">IFERROR(_xlfn.XLOOKUP(C194&amp;A194, TDrate!F:F&amp;TDrate!H:H, TDrate!D:D), "N/A")</f>
        <v>6.4999999999999997E-3</v>
      </c>
    </row>
    <row r="195" spans="1:14" x14ac:dyDescent="0.45">
      <c r="A195" s="8">
        <v>2024</v>
      </c>
      <c r="B195" s="9" t="s">
        <v>472</v>
      </c>
      <c r="C195" s="10" t="str">
        <f t="shared" si="6"/>
        <v>J.K. Dobbins</v>
      </c>
      <c r="D195" s="10" t="str">
        <f t="shared" si="7"/>
        <v>LAC</v>
      </c>
      <c r="E195" cm="1">
        <f t="array" aca="1" ref="E195" ca="1">IFERROR(_xlfn.XLOOKUP(C195&amp;A195, Inside5!B:B&amp;Inside5!I:I, Inside5!C:C), 0)</f>
        <v>6</v>
      </c>
      <c r="F195" cm="1">
        <f t="array" aca="1" ref="F195" ca="1">IFERROR(_xlfn.XLOOKUP(C195&amp;A195, Inside5!B:B&amp;Inside5!I:I, Inside5!D:D), 0)</f>
        <v>4</v>
      </c>
      <c r="G195" cm="1">
        <f t="array" ref="G195">IFERROR(_xlfn.XLOOKUP(C195&amp;A195, Inside5!B:B&amp;Inside5!I:I, Inside5!E:E), 0)</f>
        <v>0.375</v>
      </c>
      <c r="H195" cm="1">
        <f t="array" ref="H195">IFERROR(_xlfn.XLOOKUP(C195&amp;A195, TDrate!F:F&amp;TDrate!H:H, TDrate!C:C), "N/A")</f>
        <v>4.6199999999999998E-2</v>
      </c>
      <c r="I195" cm="1">
        <f t="array" ref="I195">IFERROR(_xlfn.XLOOKUP(C195&amp;A195, TDrate!F:F&amp;TDrate!H:H, TDrate!E:E), "N/A")</f>
        <v>3.7600000000000001E-2</v>
      </c>
      <c r="J195" cm="1">
        <f t="array" ref="J195">IFERROR(_xlfn.XLOOKUP(C195&amp;A195, Inside5!B:B&amp;Inside5!I:I, Inside5!F:F), 0)</f>
        <v>0</v>
      </c>
      <c r="K195" cm="1">
        <f t="array" ref="K195">IFERROR(_xlfn.XLOOKUP(C195&amp;A195, Inside5!B:B&amp;Inside5!I:I, Inside5!G:G), 0)</f>
        <v>0</v>
      </c>
      <c r="L195" cm="1">
        <f t="array" ref="L195">IFERROR(_xlfn.XLOOKUP(C195&amp;A195, Inside5!B:B&amp;Inside5!I:I, Inside5!H:H), 0)</f>
        <v>0</v>
      </c>
      <c r="M195" cm="1">
        <f t="array" ref="M195">IFERROR(_xlfn.XLOOKUP(C195&amp;A195, TDrate!F:F&amp;TDrate!H:H, TDrate!B:B), "N/A")</f>
        <v>0</v>
      </c>
      <c r="N195" cm="1">
        <f t="array" ref="N195">IFERROR(_xlfn.XLOOKUP(C195&amp;A195, TDrate!F:F&amp;TDrate!H:H, TDrate!D:D), "N/A")</f>
        <v>1.12E-2</v>
      </c>
    </row>
    <row r="196" spans="1:14" x14ac:dyDescent="0.45">
      <c r="A196" s="5">
        <v>2024</v>
      </c>
      <c r="B196" s="6" t="s">
        <v>309</v>
      </c>
      <c r="C196" s="7" t="str">
        <f t="shared" si="6"/>
        <v>Tony Pollard</v>
      </c>
      <c r="D196" s="7" t="str">
        <f t="shared" si="7"/>
        <v>TEN</v>
      </c>
      <c r="E196" cm="1">
        <f t="array" aca="1" ref="E196" ca="1">IFERROR(_xlfn.XLOOKUP(C196&amp;A196, Inside5!B:B&amp;Inside5!I:I, Inside5!C:C), 0)</f>
        <v>5</v>
      </c>
      <c r="F196" cm="1">
        <f t="array" aca="1" ref="F196" ca="1">IFERROR(_xlfn.XLOOKUP(C196&amp;A196, Inside5!B:B&amp;Inside5!I:I, Inside5!D:D), 0)</f>
        <v>2</v>
      </c>
      <c r="G196" cm="1">
        <f t="array" ref="G196">IFERROR(_xlfn.XLOOKUP(C196&amp;A196, Inside5!B:B&amp;Inside5!I:I, Inside5!E:E), 0)</f>
        <v>0.5</v>
      </c>
      <c r="H196" cm="1">
        <f t="array" ref="H196">IFERROR(_xlfn.XLOOKUP(C196&amp;A196, TDrate!F:F&amp;TDrate!H:H, TDrate!C:C), "N/A")</f>
        <v>1.9199999999999998E-2</v>
      </c>
      <c r="I196" cm="1">
        <f t="array" ref="I196">IFERROR(_xlfn.XLOOKUP(C196&amp;A196, TDrate!F:F&amp;TDrate!H:H, TDrate!E:E), "N/A")</f>
        <v>1.8499999999999999E-2</v>
      </c>
      <c r="J196" cm="1">
        <f t="array" ref="J196">IFERROR(_xlfn.XLOOKUP(C196&amp;A196, Inside5!B:B&amp;Inside5!I:I, Inside5!F:F), 0)</f>
        <v>0</v>
      </c>
      <c r="K196" cm="1">
        <f t="array" aca="1" ref="K196" ca="1">IFERROR(_xlfn.XLOOKUP(C196&amp;A196, Inside5!B:B&amp;Inside5!I:I, Inside5!G:G), 0)</f>
        <v>0</v>
      </c>
      <c r="L196" cm="1">
        <f t="array" ref="L196">IFERROR(_xlfn.XLOOKUP(C196&amp;A196, Inside5!B:B&amp;Inside5!I:I, Inside5!H:H), 0)</f>
        <v>0</v>
      </c>
      <c r="M196" cm="1">
        <f t="array" ref="M196">IFERROR(_xlfn.XLOOKUP(C196&amp;A196, TDrate!F:F&amp;TDrate!H:H, TDrate!B:B), "N/A")</f>
        <v>0</v>
      </c>
      <c r="N196" cm="1">
        <f t="array" ref="N196">IFERROR(_xlfn.XLOOKUP(C196&amp;A196, TDrate!F:F&amp;TDrate!H:H, TDrate!D:D), "N/A")</f>
        <v>5.7000000000000002E-3</v>
      </c>
    </row>
    <row r="197" spans="1:14" x14ac:dyDescent="0.45">
      <c r="A197" s="8">
        <v>2024</v>
      </c>
      <c r="B197" s="9" t="s">
        <v>473</v>
      </c>
      <c r="C197" s="10" t="str">
        <f t="shared" si="6"/>
        <v>Rico Dowdle</v>
      </c>
      <c r="D197" s="10" t="str">
        <f t="shared" si="7"/>
        <v>DAL</v>
      </c>
      <c r="E197" cm="1">
        <f t="array" aca="1" ref="E197" ca="1">IFERROR(_xlfn.XLOOKUP(C197&amp;A197, Inside5!B:B&amp;Inside5!I:I, Inside5!C:C), 0)</f>
        <v>3</v>
      </c>
      <c r="F197" cm="1">
        <f t="array" aca="1" ref="F197" ca="1">IFERROR(_xlfn.XLOOKUP(C197&amp;A197, Inside5!B:B&amp;Inside5!I:I, Inside5!D:D), 0)</f>
        <v>1</v>
      </c>
      <c r="G197" cm="1">
        <f t="array" ref="G197">IFERROR(_xlfn.XLOOKUP(C197&amp;A197, Inside5!B:B&amp;Inside5!I:I, Inside5!E:E), 0)</f>
        <v>0.375</v>
      </c>
      <c r="H197" cm="1">
        <f t="array" ref="H197">IFERROR(_xlfn.XLOOKUP(C197&amp;A197, TDrate!F:F&amp;TDrate!H:H, TDrate!C:C), "N/A")</f>
        <v>8.5000000000000006E-3</v>
      </c>
      <c r="I197" cm="1">
        <f t="array" ref="I197">IFERROR(_xlfn.XLOOKUP(C197&amp;A197, TDrate!F:F&amp;TDrate!H:H, TDrate!E:E), "N/A")</f>
        <v>1.2800000000000001E-2</v>
      </c>
      <c r="J197" cm="1">
        <f t="array" ref="J197">IFERROR(_xlfn.XLOOKUP(C197&amp;A197, Inside5!B:B&amp;Inside5!I:I, Inside5!F:F), 0)</f>
        <v>1</v>
      </c>
      <c r="K197" cm="1">
        <f t="array" aca="1" ref="K197" ca="1">IFERROR(_xlfn.XLOOKUP(C197&amp;A197, Inside5!B:B&amp;Inside5!I:I, Inside5!G:G), 0)</f>
        <v>1</v>
      </c>
      <c r="L197" cm="1">
        <f t="array" ref="L197">IFERROR(_xlfn.XLOOKUP(C197&amp;A197, Inside5!B:B&amp;Inside5!I:I, Inside5!H:H), 0)</f>
        <v>1</v>
      </c>
      <c r="M197" cm="1">
        <f t="array" ref="M197">IFERROR(_xlfn.XLOOKUP(C197&amp;A197, TDrate!F:F&amp;TDrate!H:H, TDrate!B:B), "N/A")</f>
        <v>6.1199999999999997E-2</v>
      </c>
      <c r="N197" cm="1">
        <f t="array" ref="N197">IFERROR(_xlfn.XLOOKUP(C197&amp;A197, TDrate!F:F&amp;TDrate!H:H, TDrate!D:D), "N/A")</f>
        <v>4.9599999999999998E-2</v>
      </c>
    </row>
    <row r="198" spans="1:14" x14ac:dyDescent="0.45">
      <c r="A198" s="5">
        <v>2024</v>
      </c>
      <c r="B198" s="6" t="s">
        <v>332</v>
      </c>
      <c r="C198" s="7" t="str">
        <f t="shared" si="6"/>
        <v>Rachaad White</v>
      </c>
      <c r="D198" s="7" t="str">
        <f t="shared" si="7"/>
        <v>TB</v>
      </c>
      <c r="E198" cm="1">
        <f t="array" ref="E198">IFERROR(_xlfn.XLOOKUP(C198&amp;A198, Inside5!B:B&amp;Inside5!I:I, Inside5!C:C), 0)</f>
        <v>8</v>
      </c>
      <c r="F198" cm="1">
        <f t="array" ref="F198">IFERROR(_xlfn.XLOOKUP(C198&amp;A198, Inside5!B:B&amp;Inside5!I:I, Inside5!D:D), 0)</f>
        <v>2</v>
      </c>
      <c r="G198" cm="1">
        <f t="array" ref="G198">IFERROR(_xlfn.XLOOKUP(C198&amp;A198, Inside5!B:B&amp;Inside5!I:I, Inside5!E:E), 0)</f>
        <v>0.33300000000000002</v>
      </c>
      <c r="H198" cm="1">
        <f t="array" ref="H198">IFERROR(_xlfn.XLOOKUP(C198&amp;A198, TDrate!F:F&amp;TDrate!H:H, TDrate!C:C), "N/A")</f>
        <v>2.0799999999999999E-2</v>
      </c>
      <c r="I198" cm="1">
        <f t="array" ref="I198">IFERROR(_xlfn.XLOOKUP(C198&amp;A198, TDrate!F:F&amp;TDrate!H:H, TDrate!E:E), "N/A")</f>
        <v>2.6700000000000002E-2</v>
      </c>
      <c r="J198" cm="1">
        <f t="array" ref="J198">IFERROR(_xlfn.XLOOKUP(C198&amp;A198, Inside5!B:B&amp;Inside5!I:I, Inside5!F:F), 0)</f>
        <v>2</v>
      </c>
      <c r="K198" cm="1">
        <f t="array" aca="1" ref="K198" ca="1">IFERROR(_xlfn.XLOOKUP(C198&amp;A198, Inside5!B:B&amp;Inside5!I:I, Inside5!G:G), 0)</f>
        <v>2</v>
      </c>
      <c r="L198" cm="1">
        <f t="array" ref="L198">IFERROR(_xlfn.XLOOKUP(C198&amp;A198, Inside5!B:B&amp;Inside5!I:I, Inside5!H:H), 0)</f>
        <v>1</v>
      </c>
      <c r="M198" cm="1">
        <f t="array" ref="M198">IFERROR(_xlfn.XLOOKUP(C198&amp;A198, TDrate!F:F&amp;TDrate!H:H, TDrate!B:B), "N/A")</f>
        <v>0.1053</v>
      </c>
      <c r="N198" cm="1">
        <f t="array" ref="N198">IFERROR(_xlfn.XLOOKUP(C198&amp;A198, TDrate!F:F&amp;TDrate!H:H, TDrate!D:D), "N/A")</f>
        <v>7.7600000000000002E-2</v>
      </c>
    </row>
    <row r="199" spans="1:14" x14ac:dyDescent="0.45">
      <c r="A199" s="8">
        <v>2024</v>
      </c>
      <c r="B199" s="9" t="s">
        <v>325</v>
      </c>
      <c r="C199" s="10" t="str">
        <f t="shared" si="6"/>
        <v>Zach Charbonnet</v>
      </c>
      <c r="D199" s="10" t="str">
        <f t="shared" si="7"/>
        <v>SEA</v>
      </c>
      <c r="E199" cm="1">
        <f t="array" aca="1" ref="E199" ca="1">IFERROR(_xlfn.XLOOKUP(C199&amp;A199, Inside5!B:B&amp;Inside5!I:I, Inside5!C:C), 0)</f>
        <v>12</v>
      </c>
      <c r="F199" cm="1">
        <f t="array" aca="1" ref="F199" ca="1">IFERROR(_xlfn.XLOOKUP(C199&amp;A199, Inside5!B:B&amp;Inside5!I:I, Inside5!D:D), 0)</f>
        <v>4</v>
      </c>
      <c r="G199" cm="1">
        <f t="array" ref="G199">IFERROR(_xlfn.XLOOKUP(C199&amp;A199, Inside5!B:B&amp;Inside5!I:I, Inside5!E:E), 0)</f>
        <v>0.5</v>
      </c>
      <c r="H199" cm="1">
        <f t="array" ref="H199">IFERROR(_xlfn.XLOOKUP(C199&amp;A199, TDrate!F:F&amp;TDrate!H:H, TDrate!C:C), "N/A")</f>
        <v>5.8799999999999998E-2</v>
      </c>
      <c r="I199" cm="1">
        <f t="array" ref="I199">IFERROR(_xlfn.XLOOKUP(C199&amp;A199, TDrate!F:F&amp;TDrate!H:H, TDrate!E:E), "N/A")</f>
        <v>5.2499999999999998E-2</v>
      </c>
      <c r="J199" cm="1">
        <f t="array" ref="J199">IFERROR(_xlfn.XLOOKUP(C199&amp;A199, Inside5!B:B&amp;Inside5!I:I, Inside5!F:F), 0)</f>
        <v>0</v>
      </c>
      <c r="K199" cm="1">
        <f t="array" ref="K199">IFERROR(_xlfn.XLOOKUP(C199&amp;A199, Inside5!B:B&amp;Inside5!I:I, Inside5!G:G), 0)</f>
        <v>0</v>
      </c>
      <c r="L199" cm="1">
        <f t="array" ref="L199">IFERROR(_xlfn.XLOOKUP(C199&amp;A199, Inside5!B:B&amp;Inside5!I:I, Inside5!H:H), 0)</f>
        <v>0</v>
      </c>
      <c r="M199" cm="1">
        <f t="array" ref="M199">IFERROR(_xlfn.XLOOKUP(C199&amp;A199, TDrate!F:F&amp;TDrate!H:H, TDrate!B:B), "N/A")</f>
        <v>1.9199999999999998E-2</v>
      </c>
      <c r="N199" cm="1">
        <f t="array" ref="N199">IFERROR(_xlfn.XLOOKUP(C199&amp;A199, TDrate!F:F&amp;TDrate!H:H, TDrate!D:D), "N/A")</f>
        <v>1.2500000000000001E-2</v>
      </c>
    </row>
    <row r="200" spans="1:14" x14ac:dyDescent="0.45">
      <c r="A200" s="5">
        <v>2024</v>
      </c>
      <c r="B200" s="6" t="s">
        <v>324</v>
      </c>
      <c r="C200" s="7" t="str">
        <f t="shared" si="6"/>
        <v>Tyrone Tracy Jr.</v>
      </c>
      <c r="D200" s="7" t="str">
        <f t="shared" si="7"/>
        <v>NYG</v>
      </c>
      <c r="E200" cm="1">
        <f t="array" aca="1" ref="E200" ca="1">IFERROR(_xlfn.XLOOKUP(C200&amp;A200, Inside5!B:B&amp;Inside5!I:I, Inside5!C:C), 0)</f>
        <v>5</v>
      </c>
      <c r="F200" cm="1">
        <f t="array" aca="1" ref="F200" ca="1">IFERROR(_xlfn.XLOOKUP(C200&amp;A200, Inside5!B:B&amp;Inside5!I:I, Inside5!D:D), 0)</f>
        <v>3</v>
      </c>
      <c r="G200" cm="1">
        <f t="array" ref="G200">IFERROR(_xlfn.XLOOKUP(C200&amp;A200, Inside5!B:B&amp;Inside5!I:I, Inside5!E:E), 0)</f>
        <v>0.38500000000000001</v>
      </c>
      <c r="H200" cm="1">
        <f t="array" ref="H200">IFERROR(_xlfn.XLOOKUP(C200&amp;A200, TDrate!F:F&amp;TDrate!H:H, TDrate!C:C), "N/A")</f>
        <v>2.5999999999999999E-2</v>
      </c>
      <c r="I200" cm="1">
        <f t="array" ref="I200">IFERROR(_xlfn.XLOOKUP(C200&amp;A200, TDrate!F:F&amp;TDrate!H:H, TDrate!E:E), "N/A")</f>
        <v>2.2599999999999999E-2</v>
      </c>
      <c r="J200" cm="1">
        <f t="array" ref="J200">IFERROR(_xlfn.XLOOKUP(C200&amp;A200, Inside5!B:B&amp;Inside5!I:I, Inside5!F:F), 0)</f>
        <v>1</v>
      </c>
      <c r="K200" cm="1">
        <f t="array" ref="K200">IFERROR(_xlfn.XLOOKUP(C200&amp;A200, Inside5!B:B&amp;Inside5!I:I, Inside5!G:G), 0)</f>
        <v>1</v>
      </c>
      <c r="L200" cm="1">
        <f t="array" ref="L200">IFERROR(_xlfn.XLOOKUP(C200&amp;A200, Inside5!B:B&amp;Inside5!I:I, Inside5!H:H), 0)</f>
        <v>1</v>
      </c>
      <c r="M200" cm="1">
        <f t="array" ref="M200">IFERROR(_xlfn.XLOOKUP(C200&amp;A200, TDrate!F:F&amp;TDrate!H:H, TDrate!B:B), "N/A")</f>
        <v>1.89E-2</v>
      </c>
      <c r="N200" cm="1">
        <f t="array" ref="N200">IFERROR(_xlfn.XLOOKUP(C200&amp;A200, TDrate!F:F&amp;TDrate!H:H, TDrate!D:D), "N/A")</f>
        <v>2.1000000000000001E-2</v>
      </c>
    </row>
    <row r="201" spans="1:14" x14ac:dyDescent="0.45">
      <c r="A201" s="8">
        <v>2024</v>
      </c>
      <c r="B201" s="9" t="s">
        <v>330</v>
      </c>
      <c r="C201" s="10" t="str">
        <f t="shared" si="6"/>
        <v>Rhamondre Stevenson</v>
      </c>
      <c r="D201" s="10" t="str">
        <f t="shared" si="7"/>
        <v>NE</v>
      </c>
      <c r="E201" cm="1">
        <f t="array" aca="1" ref="E201" ca="1">IFERROR(_xlfn.XLOOKUP(C201&amp;A201, Inside5!B:B&amp;Inside5!I:I, Inside5!C:C), 0)</f>
        <v>12</v>
      </c>
      <c r="F201" cm="1">
        <f t="array" aca="1" ref="F201" ca="1">IFERROR(_xlfn.XLOOKUP(C201&amp;A201, Inside5!B:B&amp;Inside5!I:I, Inside5!D:D), 0)</f>
        <v>5</v>
      </c>
      <c r="G201" cm="1">
        <f t="array" ref="G201">IFERROR(_xlfn.XLOOKUP(C201&amp;A201, Inside5!B:B&amp;Inside5!I:I, Inside5!E:E), 0)</f>
        <v>0.8</v>
      </c>
      <c r="H201" cm="1">
        <f t="array" ref="H201">IFERROR(_xlfn.XLOOKUP(C201&amp;A201, TDrate!F:F&amp;TDrate!H:H, TDrate!C:C), "N/A")</f>
        <v>3.3799999999999997E-2</v>
      </c>
      <c r="I201" cm="1">
        <f t="array" ref="I201">IFERROR(_xlfn.XLOOKUP(C201&amp;A201, TDrate!F:F&amp;TDrate!H:H, TDrate!E:E), "N/A")</f>
        <v>3.3799999999999997E-2</v>
      </c>
      <c r="J201" cm="1">
        <f t="array" ref="J201">IFERROR(_xlfn.XLOOKUP(C201&amp;A201, Inside5!B:B&amp;Inside5!I:I, Inside5!F:F), 0)</f>
        <v>1</v>
      </c>
      <c r="K201" cm="1">
        <f t="array" ref="K201">IFERROR(_xlfn.XLOOKUP(C201&amp;A201, Inside5!B:B&amp;Inside5!I:I, Inside5!G:G), 0)</f>
        <v>1</v>
      </c>
      <c r="L201" cm="1">
        <f t="array" ref="L201">IFERROR(_xlfn.XLOOKUP(C201&amp;A201, Inside5!B:B&amp;Inside5!I:I, Inside5!H:H), 0)</f>
        <v>1</v>
      </c>
      <c r="M201" cm="1">
        <f t="array" ref="M201">IFERROR(_xlfn.XLOOKUP(C201&amp;A201, TDrate!F:F&amp;TDrate!H:H, TDrate!B:B), "N/A")</f>
        <v>2.4400000000000002E-2</v>
      </c>
      <c r="N201" cm="1">
        <f t="array" ref="N201">IFERROR(_xlfn.XLOOKUP(C201&amp;A201, TDrate!F:F&amp;TDrate!H:H, TDrate!D:D), "N/A")</f>
        <v>3.7499999999999999E-2</v>
      </c>
    </row>
    <row r="202" spans="1:14" x14ac:dyDescent="0.45">
      <c r="A202" s="5">
        <v>2024</v>
      </c>
      <c r="B202" s="6" t="s">
        <v>474</v>
      </c>
      <c r="C202" s="7" t="str">
        <f t="shared" si="6"/>
        <v>Brian Robinson Jr.</v>
      </c>
      <c r="D202" s="7" t="str">
        <f t="shared" si="7"/>
        <v>WAS</v>
      </c>
      <c r="E202" cm="1">
        <f t="array" aca="1" ref="E202" ca="1">IFERROR(_xlfn.XLOOKUP(C202&amp;A202, Inside5!B:B&amp;Inside5!I:I, Inside5!C:C), 0)</f>
        <v>13</v>
      </c>
      <c r="F202" cm="1">
        <f t="array" aca="1" ref="F202" ca="1">IFERROR(_xlfn.XLOOKUP(C202&amp;A202, Inside5!B:B&amp;Inside5!I:I, Inside5!D:D), 0)</f>
        <v>4</v>
      </c>
      <c r="G202" cm="1">
        <f t="array" ref="G202">IFERROR(_xlfn.XLOOKUP(C202&amp;A202, Inside5!B:B&amp;Inside5!I:I, Inside5!E:E), 0)</f>
        <v>0.59099999999999997</v>
      </c>
      <c r="H202" cm="1">
        <f t="array" ref="H202">IFERROR(_xlfn.XLOOKUP(C202&amp;A202, TDrate!F:F&amp;TDrate!H:H, TDrate!C:C), "N/A")</f>
        <v>4.2799999999999998E-2</v>
      </c>
      <c r="I202" cm="1">
        <f t="array" ref="I202">IFERROR(_xlfn.XLOOKUP(C202&amp;A202, TDrate!F:F&amp;TDrate!H:H, TDrate!E:E), "N/A")</f>
        <v>4.2200000000000001E-2</v>
      </c>
      <c r="J202" cm="1">
        <f t="array" ref="J202">IFERROR(_xlfn.XLOOKUP(C202&amp;A202, Inside5!B:B&amp;Inside5!I:I, Inside5!F:F), 0)</f>
        <v>0</v>
      </c>
      <c r="K202" cm="1">
        <f t="array" ref="K202">IFERROR(_xlfn.XLOOKUP(C202&amp;A202, Inside5!B:B&amp;Inside5!I:I, Inside5!G:G), 0)</f>
        <v>0</v>
      </c>
      <c r="L202" cm="1">
        <f t="array" ref="L202">IFERROR(_xlfn.XLOOKUP(C202&amp;A202, Inside5!B:B&amp;Inside5!I:I, Inside5!H:H), 0)</f>
        <v>0</v>
      </c>
      <c r="M202" cm="1">
        <f t="array" ref="M202">IFERROR(_xlfn.XLOOKUP(C202&amp;A202, TDrate!F:F&amp;TDrate!H:H, TDrate!B:B), "N/A")</f>
        <v>0</v>
      </c>
      <c r="N202" cm="1">
        <f t="array" ref="N202">IFERROR(_xlfn.XLOOKUP(C202&amp;A202, TDrate!F:F&amp;TDrate!H:H, TDrate!D:D), "N/A")</f>
        <v>1.1299999999999999E-2</v>
      </c>
    </row>
    <row r="203" spans="1:14" x14ac:dyDescent="0.45">
      <c r="A203" s="8">
        <v>2024</v>
      </c>
      <c r="B203" s="9" t="s">
        <v>312</v>
      </c>
      <c r="C203" s="10" t="str">
        <f t="shared" si="6"/>
        <v>Kenneth Walker III</v>
      </c>
      <c r="D203" s="10" t="str">
        <f t="shared" si="7"/>
        <v>SEA</v>
      </c>
      <c r="E203" cm="1">
        <f t="array" aca="1" ref="E203" ca="1">IFERROR(_xlfn.XLOOKUP(C203&amp;A203, Inside5!B:B&amp;Inside5!I:I, Inside5!C:C), 0)</f>
        <v>12</v>
      </c>
      <c r="F203" cm="1">
        <f t="array" aca="1" ref="F203" ca="1">IFERROR(_xlfn.XLOOKUP(C203&amp;A203, Inside5!B:B&amp;Inside5!I:I, Inside5!D:D), 0)</f>
        <v>4</v>
      </c>
      <c r="G203" cm="1">
        <f t="array" ref="G203">IFERROR(_xlfn.XLOOKUP(C203&amp;A203, Inside5!B:B&amp;Inside5!I:I, Inside5!E:E), 0)</f>
        <v>0.5</v>
      </c>
      <c r="H203" cm="1">
        <f t="array" ref="H203">IFERROR(_xlfn.XLOOKUP(C203&amp;A203, TDrate!F:F&amp;TDrate!H:H, TDrate!C:C), "N/A")</f>
        <v>4.58E-2</v>
      </c>
      <c r="I203" cm="1">
        <f t="array" ref="I203">IFERROR(_xlfn.XLOOKUP(C203&amp;A203, TDrate!F:F&amp;TDrate!H:H, TDrate!E:E), "N/A")</f>
        <v>4.2099999999999999E-2</v>
      </c>
      <c r="J203" cm="1">
        <f t="array" ref="J203">IFERROR(_xlfn.XLOOKUP(C203&amp;A203, Inside5!B:B&amp;Inside5!I:I, Inside5!F:F), 0)</f>
        <v>0</v>
      </c>
      <c r="K203" cm="1">
        <f t="array" aca="1" ref="K203" ca="1">IFERROR(_xlfn.XLOOKUP(C203&amp;A203, Inside5!B:B&amp;Inside5!I:I, Inside5!G:G), 0)</f>
        <v>0</v>
      </c>
      <c r="L203" cm="1">
        <f t="array" aca="1" ref="L203" ca="1">IFERROR(_xlfn.XLOOKUP(C203&amp;A203, Inside5!B:B&amp;Inside5!I:I, Inside5!H:H), 0)</f>
        <v>0</v>
      </c>
      <c r="M203" cm="1">
        <f t="array" ref="M203">IFERROR(_xlfn.XLOOKUP(C203&amp;A203, TDrate!F:F&amp;TDrate!H:H, TDrate!B:B), "N/A")</f>
        <v>1.89E-2</v>
      </c>
      <c r="N203" cm="1">
        <f t="array" ref="N203">IFERROR(_xlfn.XLOOKUP(C203&amp;A203, TDrate!F:F&amp;TDrate!H:H, TDrate!D:D), "N/A")</f>
        <v>2.1000000000000001E-2</v>
      </c>
    </row>
    <row r="204" spans="1:14" x14ac:dyDescent="0.45">
      <c r="A204" s="5">
        <v>2024</v>
      </c>
      <c r="B204" s="6" t="s">
        <v>329</v>
      </c>
      <c r="C204" s="7" t="str">
        <f t="shared" si="6"/>
        <v>Kareem Hunt</v>
      </c>
      <c r="D204" s="7" t="str">
        <f t="shared" si="7"/>
        <v>KC</v>
      </c>
      <c r="E204" cm="1">
        <f t="array" aca="1" ref="E204" ca="1">IFERROR(_xlfn.XLOOKUP(C204&amp;A204, Inside5!B:B&amp;Inside5!I:I, Inside5!C:C), 0)</f>
        <v>17</v>
      </c>
      <c r="F204" cm="1">
        <f t="array" aca="1" ref="F204" ca="1">IFERROR(_xlfn.XLOOKUP(C204&amp;A204, Inside5!B:B&amp;Inside5!I:I, Inside5!D:D), 0)</f>
        <v>6</v>
      </c>
      <c r="G204" cm="1">
        <f t="array" ref="G204">IFERROR(_xlfn.XLOOKUP(C204&amp;A204, Inside5!B:B&amp;Inside5!I:I, Inside5!E:E), 0)</f>
        <v>0.68</v>
      </c>
      <c r="H204" cm="1">
        <f t="array" ref="H204">IFERROR(_xlfn.XLOOKUP(C204&amp;A204, TDrate!F:F&amp;TDrate!H:H, TDrate!C:C), "N/A")</f>
        <v>3.5000000000000003E-2</v>
      </c>
      <c r="I204" cm="1">
        <f t="array" ref="I204">IFERROR(_xlfn.XLOOKUP(C204&amp;A204, TDrate!F:F&amp;TDrate!H:H, TDrate!E:E), "N/A")</f>
        <v>3.9899999999999998E-2</v>
      </c>
      <c r="J204" cm="1">
        <f t="array" ref="J204">IFERROR(_xlfn.XLOOKUP(C204&amp;A204, Inside5!B:B&amp;Inside5!I:I, Inside5!F:F), 0)</f>
        <v>1</v>
      </c>
      <c r="K204" cm="1">
        <f t="array" ref="K204">IFERROR(_xlfn.XLOOKUP(C204&amp;A204, Inside5!B:B&amp;Inside5!I:I, Inside5!G:G), 0)</f>
        <v>2</v>
      </c>
      <c r="L204" cm="1">
        <f t="array" ref="L204">IFERROR(_xlfn.XLOOKUP(C204&amp;A204, Inside5!B:B&amp;Inside5!I:I, Inside5!H:H), 0)</f>
        <v>0</v>
      </c>
      <c r="M204" cm="1">
        <f t="array" ref="M204">IFERROR(_xlfn.XLOOKUP(C204&amp;A204, TDrate!F:F&amp;TDrate!H:H, TDrate!B:B), "N/A")</f>
        <v>0</v>
      </c>
      <c r="N204" cm="1">
        <f t="array" ref="N204">IFERROR(_xlfn.XLOOKUP(C204&amp;A204, TDrate!F:F&amp;TDrate!H:H, TDrate!D:D), "N/A")</f>
        <v>4.2700000000000002E-2</v>
      </c>
    </row>
    <row r="205" spans="1:14" x14ac:dyDescent="0.45">
      <c r="A205" s="8">
        <v>2024</v>
      </c>
      <c r="B205" s="9" t="s">
        <v>475</v>
      </c>
      <c r="C205" s="10" t="str">
        <f t="shared" si="6"/>
        <v>Tank Bigsby</v>
      </c>
      <c r="D205" s="10" t="str">
        <f t="shared" si="7"/>
        <v>JAC</v>
      </c>
      <c r="E205" cm="1">
        <f t="array" aca="1" ref="E205" ca="1">IFERROR(_xlfn.XLOOKUP(C205&amp;A205, Inside5!B:B&amp;Inside5!I:I, Inside5!C:C), 0)</f>
        <v>8</v>
      </c>
      <c r="F205" cm="1">
        <f t="array" aca="1" ref="F205" ca="1">IFERROR(_xlfn.XLOOKUP(C205&amp;A205, Inside5!B:B&amp;Inside5!I:I, Inside5!D:D), 0)</f>
        <v>3</v>
      </c>
      <c r="G205" cm="1">
        <f t="array" ref="G205">IFERROR(_xlfn.XLOOKUP(C205&amp;A205, Inside5!B:B&amp;Inside5!I:I, Inside5!E:E), 0)</f>
        <v>0.57099999999999995</v>
      </c>
      <c r="H205" cm="1">
        <f t="array" ref="H205">IFERROR(_xlfn.XLOOKUP(C205&amp;A205, TDrate!F:F&amp;TDrate!H:H, TDrate!C:C), "N/A")</f>
        <v>4.1700000000000001E-2</v>
      </c>
      <c r="I205" cm="1">
        <f t="array" ref="I205">IFERROR(_xlfn.XLOOKUP(C205&amp;A205, TDrate!F:F&amp;TDrate!H:H, TDrate!E:E), "N/A")</f>
        <v>0.04</v>
      </c>
      <c r="J205" cm="1">
        <f t="array" ref="J205">IFERROR(_xlfn.XLOOKUP(C205&amp;A205, Inside5!B:B&amp;Inside5!I:I, Inside5!F:F), 0)</f>
        <v>0</v>
      </c>
      <c r="K205" cm="1">
        <f t="array" aca="1" ref="K205" ca="1">IFERROR(_xlfn.XLOOKUP(C205&amp;A205, Inside5!B:B&amp;Inside5!I:I, Inside5!G:G), 0)</f>
        <v>0</v>
      </c>
      <c r="L205" cm="1">
        <f t="array" ref="L205">IFERROR(_xlfn.XLOOKUP(C205&amp;A205, Inside5!B:B&amp;Inside5!I:I, Inside5!H:H), 0)</f>
        <v>0</v>
      </c>
      <c r="M205" cm="1">
        <f t="array" ref="M205">IFERROR(_xlfn.XLOOKUP(C205&amp;A205, TDrate!F:F&amp;TDrate!H:H, TDrate!B:B), "N/A")</f>
        <v>0</v>
      </c>
      <c r="N205" cm="1">
        <f t="array" ref="N205">IFERROR(_xlfn.XLOOKUP(C205&amp;A205, TDrate!F:F&amp;TDrate!H:H, TDrate!D:D), "N/A")</f>
        <v>3.5000000000000001E-3</v>
      </c>
    </row>
    <row r="206" spans="1:14" x14ac:dyDescent="0.45">
      <c r="A206" s="5">
        <v>2024</v>
      </c>
      <c r="B206" s="6" t="s">
        <v>476</v>
      </c>
      <c r="C206" s="7" t="str">
        <f t="shared" si="6"/>
        <v>Javonte Williams</v>
      </c>
      <c r="D206" s="7" t="str">
        <f t="shared" si="7"/>
        <v>DEN</v>
      </c>
      <c r="E206" cm="1">
        <f t="array" aca="1" ref="E206" ca="1">IFERROR(_xlfn.XLOOKUP(C206&amp;A206, Inside5!B:B&amp;Inside5!I:I, Inside5!C:C), 0)</f>
        <v>10</v>
      </c>
      <c r="F206" cm="1">
        <f t="array" aca="1" ref="F206" ca="1">IFERROR(_xlfn.XLOOKUP(C206&amp;A206, Inside5!B:B&amp;Inside5!I:I, Inside5!D:D), 0)</f>
        <v>2</v>
      </c>
      <c r="G206" cm="1">
        <f t="array" ref="G206">IFERROR(_xlfn.XLOOKUP(C206&amp;A206, Inside5!B:B&amp;Inside5!I:I, Inside5!E:E), 0)</f>
        <v>0.625</v>
      </c>
      <c r="H206" cm="1">
        <f t="array" ref="H206">IFERROR(_xlfn.XLOOKUP(C206&amp;A206, TDrate!F:F&amp;TDrate!H:H, TDrate!C:C), "N/A")</f>
        <v>2.8799999999999999E-2</v>
      </c>
      <c r="I206" cm="1">
        <f t="array" ref="I206">IFERROR(_xlfn.XLOOKUP(C206&amp;A206, TDrate!F:F&amp;TDrate!H:H, TDrate!E:E), "N/A")</f>
        <v>3.3500000000000002E-2</v>
      </c>
      <c r="J206" cm="1">
        <f t="array" ref="J206">IFERROR(_xlfn.XLOOKUP(C206&amp;A206, Inside5!B:B&amp;Inside5!I:I, Inside5!F:F), 0)</f>
        <v>0</v>
      </c>
      <c r="K206" cm="1">
        <f t="array" aca="1" ref="K206" ca="1">IFERROR(_xlfn.XLOOKUP(C206&amp;A206, Inside5!B:B&amp;Inside5!I:I, Inside5!G:G), 0)</f>
        <v>0</v>
      </c>
      <c r="L206" cm="1">
        <f t="array" ref="L206">IFERROR(_xlfn.XLOOKUP(C206&amp;A206, Inside5!B:B&amp;Inside5!I:I, Inside5!H:H), 0)</f>
        <v>0</v>
      </c>
      <c r="M206" cm="1">
        <f t="array" ref="M206">IFERROR(_xlfn.XLOOKUP(C206&amp;A206, TDrate!F:F&amp;TDrate!H:H, TDrate!B:B), "N/A")</f>
        <v>0</v>
      </c>
      <c r="N206" cm="1">
        <f t="array" ref="N206">IFERROR(_xlfn.XLOOKUP(C206&amp;A206, TDrate!F:F&amp;TDrate!H:H, TDrate!D:D), "N/A")</f>
        <v>6.8999999999999999E-3</v>
      </c>
    </row>
    <row r="207" spans="1:14" x14ac:dyDescent="0.45">
      <c r="A207" s="8">
        <v>2024</v>
      </c>
      <c r="B207" s="9" t="s">
        <v>477</v>
      </c>
      <c r="C207" s="10" t="str">
        <f t="shared" si="6"/>
        <v>Jordan Mason</v>
      </c>
      <c r="D207" s="10" t="str">
        <f t="shared" si="7"/>
        <v>SF</v>
      </c>
      <c r="E207" cm="1">
        <f t="array" ref="E207">IFERROR(_xlfn.XLOOKUP(C207&amp;A207, Inside5!B:B&amp;Inside5!I:I, Inside5!C:C), 0)</f>
        <v>9</v>
      </c>
      <c r="F207" cm="1">
        <f t="array" aca="1" ref="F207" ca="1">IFERROR(_xlfn.XLOOKUP(C207&amp;A207, Inside5!B:B&amp;Inside5!I:I, Inside5!D:D), 0)</f>
        <v>2</v>
      </c>
      <c r="G207" cm="1">
        <f t="array" ref="G207">IFERROR(_xlfn.XLOOKUP(C207&amp;A207, Inside5!B:B&amp;Inside5!I:I, Inside5!E:E), 0)</f>
        <v>0.47399999999999998</v>
      </c>
      <c r="H207" cm="1">
        <f t="array" ref="H207">IFERROR(_xlfn.XLOOKUP(C207&amp;A207, TDrate!F:F&amp;TDrate!H:H, TDrate!C:C), "N/A")</f>
        <v>1.9599999999999999E-2</v>
      </c>
      <c r="I207" cm="1">
        <f t="array" ref="I207">IFERROR(_xlfn.XLOOKUP(C207&amp;A207, TDrate!F:F&amp;TDrate!H:H, TDrate!E:E), "N/A")</f>
        <v>2.8799999999999999E-2</v>
      </c>
      <c r="J207" cm="1">
        <f t="array" ref="J207">IFERROR(_xlfn.XLOOKUP(C207&amp;A207, Inside5!B:B&amp;Inside5!I:I, Inside5!F:F), 0)</f>
        <v>0</v>
      </c>
      <c r="K207" cm="1">
        <f t="array" ref="K207">IFERROR(_xlfn.XLOOKUP(C207&amp;A207, Inside5!B:B&amp;Inside5!I:I, Inside5!G:G), 0)</f>
        <v>0</v>
      </c>
      <c r="L207" cm="1">
        <f t="array" ref="L207">IFERROR(_xlfn.XLOOKUP(C207&amp;A207, Inside5!B:B&amp;Inside5!I:I, Inside5!H:H), 0)</f>
        <v>0</v>
      </c>
      <c r="M207" cm="1">
        <f t="array" ref="M207">IFERROR(_xlfn.XLOOKUP(C207&amp;A207, TDrate!F:F&amp;TDrate!H:H, TDrate!B:B), "N/A")</f>
        <v>0</v>
      </c>
      <c r="N207" cm="1">
        <f t="array" ref="N207">IFERROR(_xlfn.XLOOKUP(C207&amp;A207, TDrate!F:F&amp;TDrate!H:H, TDrate!D:D), "N/A")</f>
        <v>1.7100000000000001E-2</v>
      </c>
    </row>
    <row r="208" spans="1:14" x14ac:dyDescent="0.45">
      <c r="A208" s="5">
        <v>2024</v>
      </c>
      <c r="B208" s="6" t="s">
        <v>478</v>
      </c>
      <c r="C208" s="7" t="str">
        <f t="shared" si="6"/>
        <v>Alexander Mattison</v>
      </c>
      <c r="D208" s="7" t="str">
        <f t="shared" si="7"/>
        <v>LV</v>
      </c>
      <c r="E208" cm="1">
        <f t="array" ref="E208">IFERROR(_xlfn.XLOOKUP(C208&amp;A208, Inside5!B:B&amp;Inside5!I:I, Inside5!C:C), 0)</f>
        <v>11</v>
      </c>
      <c r="F208" cm="1">
        <f t="array" ref="F208">IFERROR(_xlfn.XLOOKUP(C208&amp;A208, Inside5!B:B&amp;Inside5!I:I, Inside5!D:D), 0)</f>
        <v>4</v>
      </c>
      <c r="G208" cm="1">
        <f t="array" ref="G208">IFERROR(_xlfn.XLOOKUP(C208&amp;A208, Inside5!B:B&amp;Inside5!I:I, Inside5!E:E), 0)</f>
        <v>0.57899999999999996</v>
      </c>
      <c r="H208" cm="1">
        <f t="array" ref="H208">IFERROR(_xlfn.XLOOKUP(C208&amp;A208, TDrate!F:F&amp;TDrate!H:H, TDrate!C:C), "N/A")</f>
        <v>3.0300000000000001E-2</v>
      </c>
      <c r="I208" cm="1">
        <f t="array" ref="I208">IFERROR(_xlfn.XLOOKUP(C208&amp;A208, TDrate!F:F&amp;TDrate!H:H, TDrate!E:E), "N/A")</f>
        <v>3.5499999999999997E-2</v>
      </c>
      <c r="J208" cm="1">
        <f t="array" ref="J208">IFERROR(_xlfn.XLOOKUP(C208&amp;A208, Inside5!B:B&amp;Inside5!I:I, Inside5!F:F), 0)</f>
        <v>0</v>
      </c>
      <c r="K208" cm="1">
        <f t="array" ref="K208">IFERROR(_xlfn.XLOOKUP(C208&amp;A208, Inside5!B:B&amp;Inside5!I:I, Inside5!G:G), 0)</f>
        <v>0</v>
      </c>
      <c r="L208" cm="1">
        <f t="array" ref="L208">IFERROR(_xlfn.XLOOKUP(C208&amp;A208, Inside5!B:B&amp;Inside5!I:I, Inside5!H:H), 0)</f>
        <v>0</v>
      </c>
      <c r="M208" cm="1">
        <f t="array" ref="M208">IFERROR(_xlfn.XLOOKUP(C208&amp;A208, TDrate!F:F&amp;TDrate!H:H, TDrate!B:B), "N/A")</f>
        <v>2.0400000000000001E-2</v>
      </c>
      <c r="N208" cm="1">
        <f t="array" ref="N208">IFERROR(_xlfn.XLOOKUP(C208&amp;A208, TDrate!F:F&amp;TDrate!H:H, TDrate!D:D), "N/A")</f>
        <v>1.7399999999999999E-2</v>
      </c>
    </row>
    <row r="209" spans="1:14" x14ac:dyDescent="0.45">
      <c r="A209" s="8">
        <v>2024</v>
      </c>
      <c r="B209" s="9" t="s">
        <v>356</v>
      </c>
      <c r="C209" s="10" t="str">
        <f t="shared" si="6"/>
        <v>Ray Davis</v>
      </c>
      <c r="D209" s="10" t="str">
        <f t="shared" si="7"/>
        <v>BUF</v>
      </c>
      <c r="E209" cm="1">
        <f t="array" ref="E209">IFERROR(_xlfn.XLOOKUP(C209&amp;A209, Inside5!B:B&amp;Inside5!I:I, Inside5!C:C), 0)</f>
        <v>3</v>
      </c>
      <c r="F209" cm="1">
        <f t="array" aca="1" ref="F209" ca="1">IFERROR(_xlfn.XLOOKUP(C209&amp;A209, Inside5!B:B&amp;Inside5!I:I, Inside5!D:D), 0)</f>
        <v>2</v>
      </c>
      <c r="G209" cm="1">
        <f t="array" ref="G209">IFERROR(_xlfn.XLOOKUP(C209&amp;A209, Inside5!B:B&amp;Inside5!I:I, Inside5!E:E), 0)</f>
        <v>0.188</v>
      </c>
      <c r="H209" cm="1">
        <f t="array" ref="H209">IFERROR(_xlfn.XLOOKUP(C209&amp;A209, TDrate!F:F&amp;TDrate!H:H, TDrate!C:C), "N/A")</f>
        <v>2.6499999999999999E-2</v>
      </c>
      <c r="I209" cm="1">
        <f t="array" ref="I209">IFERROR(_xlfn.XLOOKUP(C209&amp;A209, TDrate!F:F&amp;TDrate!H:H, TDrate!E:E), "N/A")</f>
        <v>2.4400000000000002E-2</v>
      </c>
      <c r="J209" cm="1">
        <f t="array" ref="J209">IFERROR(_xlfn.XLOOKUP(C209&amp;A209, Inside5!B:B&amp;Inside5!I:I, Inside5!F:F), 0)</f>
        <v>1</v>
      </c>
      <c r="K209" cm="1">
        <f t="array" ref="K209">IFERROR(_xlfn.XLOOKUP(C209&amp;A209, Inside5!B:B&amp;Inside5!I:I, Inside5!G:G), 0)</f>
        <v>1</v>
      </c>
      <c r="L209" cm="1">
        <f t="array" ref="L209">IFERROR(_xlfn.XLOOKUP(C209&amp;A209, Inside5!B:B&amp;Inside5!I:I, Inside5!H:H), 0)</f>
        <v>1</v>
      </c>
      <c r="M209" cm="1">
        <f t="array" ref="M209">IFERROR(_xlfn.XLOOKUP(C209&amp;A209, TDrate!F:F&amp;TDrate!H:H, TDrate!B:B), "N/A")</f>
        <v>0.15790000000000001</v>
      </c>
      <c r="N209" cm="1">
        <f t="array" ref="N209">IFERROR(_xlfn.XLOOKUP(C209&amp;A209, TDrate!F:F&amp;TDrate!H:H, TDrate!D:D), "N/A")</f>
        <v>0.1074</v>
      </c>
    </row>
    <row r="210" spans="1:14" x14ac:dyDescent="0.45">
      <c r="A210" s="5">
        <v>2024</v>
      </c>
      <c r="B210" s="6" t="s">
        <v>406</v>
      </c>
      <c r="C210" s="7" t="str">
        <f t="shared" si="6"/>
        <v>Austin Ekeler</v>
      </c>
      <c r="D210" s="7" t="str">
        <f t="shared" si="7"/>
        <v>WAS</v>
      </c>
      <c r="E210" cm="1">
        <f t="array" aca="1" ref="E210" ca="1">IFERROR(_xlfn.XLOOKUP(C210&amp;A210, Inside5!B:B&amp;Inside5!I:I, Inside5!C:C), 0)</f>
        <v>5</v>
      </c>
      <c r="F210" cm="1">
        <f t="array" aca="1" ref="F210" ca="1">IFERROR(_xlfn.XLOOKUP(C210&amp;A210, Inside5!B:B&amp;Inside5!I:I, Inside5!D:D), 0)</f>
        <v>3</v>
      </c>
      <c r="G210" cm="1">
        <f t="array" ref="G210">IFERROR(_xlfn.XLOOKUP(C210&amp;A210, Inside5!B:B&amp;Inside5!I:I, Inside5!E:E), 0)</f>
        <v>0.22700000000000001</v>
      </c>
      <c r="H210" cm="1">
        <f t="array" ref="H210">IFERROR(_xlfn.XLOOKUP(C210&amp;A210, TDrate!F:F&amp;TDrate!H:H, TDrate!C:C), "N/A")</f>
        <v>5.1900000000000002E-2</v>
      </c>
      <c r="I210" cm="1">
        <f t="array" ref="I210">IFERROR(_xlfn.XLOOKUP(C210&amp;A210, TDrate!F:F&amp;TDrate!H:H, TDrate!E:E), "N/A")</f>
        <v>4.7500000000000001E-2</v>
      </c>
      <c r="J210" cm="1">
        <f t="array" ref="J210">IFERROR(_xlfn.XLOOKUP(C210&amp;A210, Inside5!B:B&amp;Inside5!I:I, Inside5!F:F), 0)</f>
        <v>0</v>
      </c>
      <c r="K210" cm="1">
        <f t="array" ref="K210">IFERROR(_xlfn.XLOOKUP(C210&amp;A210, Inside5!B:B&amp;Inside5!I:I, Inside5!G:G), 0)</f>
        <v>0</v>
      </c>
      <c r="L210" cm="1">
        <f t="array" ref="L210">IFERROR(_xlfn.XLOOKUP(C210&amp;A210, Inside5!B:B&amp;Inside5!I:I, Inside5!H:H), 0)</f>
        <v>0</v>
      </c>
      <c r="M210" cm="1">
        <f t="array" ref="M210">IFERROR(_xlfn.XLOOKUP(C210&amp;A210, TDrate!F:F&amp;TDrate!H:H, TDrate!B:B), "N/A")</f>
        <v>0</v>
      </c>
      <c r="N210" cm="1">
        <f t="array" ref="N210">IFERROR(_xlfn.XLOOKUP(C210&amp;A210, TDrate!F:F&amp;TDrate!H:H, TDrate!D:D), "N/A")</f>
        <v>8.8999999999999999E-3</v>
      </c>
    </row>
    <row r="211" spans="1:14" x14ac:dyDescent="0.45">
      <c r="A211" s="8">
        <v>2024</v>
      </c>
      <c r="B211" s="9" t="s">
        <v>387</v>
      </c>
      <c r="C211" s="10" t="str">
        <f t="shared" si="6"/>
        <v>Jerome Ford</v>
      </c>
      <c r="D211" s="10" t="str">
        <f t="shared" si="7"/>
        <v>CLE</v>
      </c>
      <c r="E211" cm="1">
        <f t="array" ref="E211">IFERROR(_xlfn.XLOOKUP(C211&amp;A211, Inside5!B:B&amp;Inside5!I:I, Inside5!C:C), 0)</f>
        <v>3</v>
      </c>
      <c r="F211" cm="1">
        <f t="array" ref="F211">IFERROR(_xlfn.XLOOKUP(C211&amp;A211, Inside5!B:B&amp;Inside5!I:I, Inside5!D:D), 0)</f>
        <v>2</v>
      </c>
      <c r="G211" cm="1">
        <f t="array" ref="G211">IFERROR(_xlfn.XLOOKUP(C211&amp;A211, Inside5!B:B&amp;Inside5!I:I, Inside5!E:E), 0)</f>
        <v>0.2</v>
      </c>
      <c r="H211" cm="1">
        <f t="array" ref="H211">IFERROR(_xlfn.XLOOKUP(C211&amp;A211, TDrate!F:F&amp;TDrate!H:H, TDrate!C:C), "N/A")</f>
        <v>2.8799999999999999E-2</v>
      </c>
      <c r="I211" cm="1">
        <f t="array" ref="I211">IFERROR(_xlfn.XLOOKUP(C211&amp;A211, TDrate!F:F&amp;TDrate!H:H, TDrate!E:E), "N/A")</f>
        <v>2.47E-2</v>
      </c>
      <c r="J211" cm="1">
        <f t="array" ref="J211">IFERROR(_xlfn.XLOOKUP(C211&amp;A211, Inside5!B:B&amp;Inside5!I:I, Inside5!F:F), 0)</f>
        <v>0</v>
      </c>
      <c r="K211" cm="1">
        <f t="array" ref="K211">IFERROR(_xlfn.XLOOKUP(C211&amp;A211, Inside5!B:B&amp;Inside5!I:I, Inside5!G:G), 0)</f>
        <v>0</v>
      </c>
      <c r="L211" cm="1">
        <f t="array" ref="L211">IFERROR(_xlfn.XLOOKUP(C211&amp;A211, Inside5!B:B&amp;Inside5!I:I, Inside5!H:H), 0)</f>
        <v>0</v>
      </c>
      <c r="M211" cm="1">
        <f t="array" ref="M211">IFERROR(_xlfn.XLOOKUP(C211&amp;A211, TDrate!F:F&amp;TDrate!H:H, TDrate!B:B), "N/A")</f>
        <v>0</v>
      </c>
      <c r="N211" cm="1">
        <f t="array" ref="N211">IFERROR(_xlfn.XLOOKUP(C211&amp;A211, TDrate!F:F&amp;TDrate!H:H, TDrate!D:D), "N/A")</f>
        <v>3.0999999999999999E-3</v>
      </c>
    </row>
    <row r="212" spans="1:14" x14ac:dyDescent="0.45">
      <c r="A212" s="5">
        <v>2024</v>
      </c>
      <c r="B212" s="6" t="s">
        <v>337</v>
      </c>
      <c r="C212" s="7" t="str">
        <f t="shared" si="6"/>
        <v>Tyler Allgeier</v>
      </c>
      <c r="D212" s="7" t="str">
        <f t="shared" si="7"/>
        <v>ATL</v>
      </c>
      <c r="E212" cm="1">
        <f t="array" aca="1" ref="E212" ca="1">IFERROR(_xlfn.XLOOKUP(C212&amp;A212, Inside5!B:B&amp;Inside5!I:I, Inside5!C:C), 0)</f>
        <v>6</v>
      </c>
      <c r="F212" cm="1">
        <f t="array" aca="1" ref="F212" ca="1">IFERROR(_xlfn.XLOOKUP(C212&amp;A212, Inside5!B:B&amp;Inside5!I:I, Inside5!D:D), 0)</f>
        <v>1</v>
      </c>
      <c r="G212" cm="1">
        <f t="array" ref="G212">IFERROR(_xlfn.XLOOKUP(C212&amp;A212, Inside5!B:B&amp;Inside5!I:I, Inside5!E:E), 0)</f>
        <v>0.3</v>
      </c>
      <c r="H212" cm="1">
        <f t="array" ref="H212">IFERROR(_xlfn.XLOOKUP(C212&amp;A212, TDrate!F:F&amp;TDrate!H:H, TDrate!C:C), "N/A")</f>
        <v>2.1899999999999999E-2</v>
      </c>
      <c r="I212" cm="1">
        <f t="array" ref="I212">IFERROR(_xlfn.XLOOKUP(C212&amp;A212, TDrate!F:F&amp;TDrate!H:H, TDrate!E:E), "N/A")</f>
        <v>2.6200000000000001E-2</v>
      </c>
      <c r="J212" cm="1">
        <f t="array" ref="J212">IFERROR(_xlfn.XLOOKUP(C212&amp;A212, Inside5!B:B&amp;Inside5!I:I, Inside5!F:F), 0)</f>
        <v>0</v>
      </c>
      <c r="K212" cm="1">
        <f t="array" ref="K212">IFERROR(_xlfn.XLOOKUP(C212&amp;A212, Inside5!B:B&amp;Inside5!I:I, Inside5!G:G), 0)</f>
        <v>0</v>
      </c>
      <c r="L212" cm="1">
        <f t="array" ref="L212">IFERROR(_xlfn.XLOOKUP(C212&amp;A212, Inside5!B:B&amp;Inside5!I:I, Inside5!H:H), 0)</f>
        <v>0</v>
      </c>
      <c r="M212" cm="1">
        <f t="array" ref="M212">IFERROR(_xlfn.XLOOKUP(C212&amp;A212, TDrate!F:F&amp;TDrate!H:H, TDrate!B:B), "N/A")</f>
        <v>0</v>
      </c>
      <c r="N212" cm="1">
        <f t="array" ref="N212">IFERROR(_xlfn.XLOOKUP(C212&amp;A212, TDrate!F:F&amp;TDrate!H:H, TDrate!D:D), "N/A")</f>
        <v>7.9000000000000008E-3</v>
      </c>
    </row>
    <row r="213" spans="1:14" x14ac:dyDescent="0.45">
      <c r="A213" s="8">
        <v>2024</v>
      </c>
      <c r="B213" s="9" t="s">
        <v>307</v>
      </c>
      <c r="C213" s="10" t="str">
        <f t="shared" si="6"/>
        <v>Travis Etienne Jr.</v>
      </c>
      <c r="D213" s="10" t="str">
        <f t="shared" si="7"/>
        <v>JAC</v>
      </c>
      <c r="E213" cm="1">
        <f t="array" ref="E213">IFERROR(_xlfn.XLOOKUP(C213&amp;A213, Inside5!B:B&amp;Inside5!I:I, Inside5!C:C), 0)</f>
        <v>5</v>
      </c>
      <c r="F213" cm="1">
        <f t="array" ref="F213">IFERROR(_xlfn.XLOOKUP(C213&amp;A213, Inside5!B:B&amp;Inside5!I:I, Inside5!D:D), 0)</f>
        <v>2</v>
      </c>
      <c r="G213" cm="1">
        <f t="array" ref="G213">IFERROR(_xlfn.XLOOKUP(C213&amp;A213, Inside5!B:B&amp;Inside5!I:I, Inside5!E:E), 0)</f>
        <v>0.35699999999999998</v>
      </c>
      <c r="H213" cm="1">
        <f t="array" ref="H213">IFERROR(_xlfn.XLOOKUP(C213&amp;A213, TDrate!F:F&amp;TDrate!H:H, TDrate!C:C), "N/A")</f>
        <v>1.3299999999999999E-2</v>
      </c>
      <c r="I213" cm="1">
        <f t="array" ref="I213">IFERROR(_xlfn.XLOOKUP(C213&amp;A213, TDrate!F:F&amp;TDrate!H:H, TDrate!E:E), "N/A")</f>
        <v>1.7899999999999999E-2</v>
      </c>
      <c r="J213" cm="1">
        <f t="array" ref="J213">IFERROR(_xlfn.XLOOKUP(C213&amp;A213, Inside5!B:B&amp;Inside5!I:I, Inside5!F:F), 0)</f>
        <v>0</v>
      </c>
      <c r="K213" cm="1">
        <f t="array" ref="K213">IFERROR(_xlfn.XLOOKUP(C213&amp;A213, Inside5!B:B&amp;Inside5!I:I, Inside5!G:G), 0)</f>
        <v>0</v>
      </c>
      <c r="L213" cm="1">
        <f t="array" ref="L213">IFERROR(_xlfn.XLOOKUP(C213&amp;A213, Inside5!B:B&amp;Inside5!I:I, Inside5!H:H), 0)</f>
        <v>0</v>
      </c>
      <c r="M213" cm="1">
        <f t="array" ref="M213">IFERROR(_xlfn.XLOOKUP(C213&amp;A213, TDrate!F:F&amp;TDrate!H:H, TDrate!B:B), "N/A")</f>
        <v>0</v>
      </c>
      <c r="N213" cm="1">
        <f t="array" ref="N213">IFERROR(_xlfn.XLOOKUP(C213&amp;A213, TDrate!F:F&amp;TDrate!H:H, TDrate!D:D), "N/A")</f>
        <v>1.0800000000000001E-2</v>
      </c>
    </row>
    <row r="214" spans="1:14" x14ac:dyDescent="0.45">
      <c r="A214" s="5">
        <v>2024</v>
      </c>
      <c r="B214" s="6" t="s">
        <v>315</v>
      </c>
      <c r="C214" s="7" t="str">
        <f t="shared" si="6"/>
        <v>Jaylen Warren</v>
      </c>
      <c r="D214" s="7" t="str">
        <f t="shared" si="7"/>
        <v>PIT</v>
      </c>
      <c r="E214" cm="1">
        <f t="array" ref="E214">IFERROR(_xlfn.XLOOKUP(C214&amp;A214, Inside5!B:B&amp;Inside5!I:I, Inside5!C:C), 0)</f>
        <v>4</v>
      </c>
      <c r="F214" cm="1">
        <f t="array" ref="F214">IFERROR(_xlfn.XLOOKUP(C214&amp;A214, Inside5!B:B&amp;Inside5!I:I, Inside5!D:D), 0)</f>
        <v>1</v>
      </c>
      <c r="G214" cm="1">
        <f t="array" ref="G214">IFERROR(_xlfn.XLOOKUP(C214&amp;A214, Inside5!B:B&amp;Inside5!I:I, Inside5!E:E), 0)</f>
        <v>0.23499999999999999</v>
      </c>
      <c r="H214" cm="1">
        <f t="array" ref="H214">IFERROR(_xlfn.XLOOKUP(C214&amp;A214, TDrate!F:F&amp;TDrate!H:H, TDrate!C:C), "N/A")</f>
        <v>8.3000000000000001E-3</v>
      </c>
      <c r="I214" cm="1">
        <f t="array" ref="I214">IFERROR(_xlfn.XLOOKUP(C214&amp;A214, TDrate!F:F&amp;TDrate!H:H, TDrate!E:E), "N/A")</f>
        <v>1.5900000000000001E-2</v>
      </c>
      <c r="J214" cm="1">
        <f t="array" ref="J214">IFERROR(_xlfn.XLOOKUP(C214&amp;A214, Inside5!B:B&amp;Inside5!I:I, Inside5!F:F), 0)</f>
        <v>0</v>
      </c>
      <c r="K214" cm="1">
        <f t="array" aca="1" ref="K214" ca="1">IFERROR(_xlfn.XLOOKUP(C214&amp;A214, Inside5!B:B&amp;Inside5!I:I, Inside5!G:G), 0)</f>
        <v>0</v>
      </c>
      <c r="L214" cm="1">
        <f t="array" ref="L214">IFERROR(_xlfn.XLOOKUP(C214&amp;A214, Inside5!B:B&amp;Inside5!I:I, Inside5!H:H), 0)</f>
        <v>0</v>
      </c>
      <c r="M214" cm="1">
        <f t="array" ref="M214">IFERROR(_xlfn.XLOOKUP(C214&amp;A214, TDrate!F:F&amp;TDrate!H:H, TDrate!B:B), "N/A")</f>
        <v>0</v>
      </c>
      <c r="N214" cm="1">
        <f t="array" ref="N214">IFERROR(_xlfn.XLOOKUP(C214&amp;A214, TDrate!F:F&amp;TDrate!H:H, TDrate!D:D), "N/A")</f>
        <v>1.15E-2</v>
      </c>
    </row>
    <row r="215" spans="1:14" x14ac:dyDescent="0.45">
      <c r="A215" s="8">
        <v>2024</v>
      </c>
      <c r="B215" s="9" t="s">
        <v>479</v>
      </c>
      <c r="C215" s="10" t="str">
        <f t="shared" si="6"/>
        <v>Ameer Abdullah</v>
      </c>
      <c r="D215" s="10" t="str">
        <f t="shared" si="7"/>
        <v>LV</v>
      </c>
      <c r="E215" cm="1">
        <f t="array" ref="E215">IFERROR(_xlfn.XLOOKUP(C215&amp;A215, Inside5!B:B&amp;Inside5!I:I, Inside5!C:C), 0)</f>
        <v>4</v>
      </c>
      <c r="F215" cm="1">
        <f t="array" ref="F215">IFERROR(_xlfn.XLOOKUP(C215&amp;A215, Inside5!B:B&amp;Inside5!I:I, Inside5!D:D), 0)</f>
        <v>1</v>
      </c>
      <c r="G215" cm="1">
        <f t="array" ref="G215">IFERROR(_xlfn.XLOOKUP(C215&amp;A215, Inside5!B:B&amp;Inside5!I:I, Inside5!E:E), 0)</f>
        <v>0.21099999999999999</v>
      </c>
      <c r="H215" cm="1">
        <f t="array" ref="H215">IFERROR(_xlfn.XLOOKUP(C215&amp;A215, TDrate!F:F&amp;TDrate!H:H, TDrate!C:C), "N/A")</f>
        <v>3.0300000000000001E-2</v>
      </c>
      <c r="I215" cm="1">
        <f t="array" ref="I215">IFERROR(_xlfn.XLOOKUP(C215&amp;A215, TDrate!F:F&amp;TDrate!H:H, TDrate!E:E), "N/A")</f>
        <v>3.39E-2</v>
      </c>
      <c r="J215" cm="1">
        <f t="array" ref="J215">IFERROR(_xlfn.XLOOKUP(C215&amp;A215, Inside5!B:B&amp;Inside5!I:I, Inside5!F:F), 0)</f>
        <v>2</v>
      </c>
      <c r="K215" cm="1">
        <f t="array" aca="1" ref="K215" ca="1">IFERROR(_xlfn.XLOOKUP(C215&amp;A215, Inside5!B:B&amp;Inside5!I:I, Inside5!G:G), 0)</f>
        <v>2</v>
      </c>
      <c r="L215" cm="1">
        <f t="array" ref="L215">IFERROR(_xlfn.XLOOKUP(C215&amp;A215, Inside5!B:B&amp;Inside5!I:I, Inside5!H:H), 0)</f>
        <v>1</v>
      </c>
      <c r="M215" cm="1">
        <f t="array" ref="M215">IFERROR(_xlfn.XLOOKUP(C215&amp;A215, TDrate!F:F&amp;TDrate!H:H, TDrate!B:B), "N/A")</f>
        <v>6.3799999999999996E-2</v>
      </c>
      <c r="N215" cm="1">
        <f t="array" ref="N215">IFERROR(_xlfn.XLOOKUP(C215&amp;A215, TDrate!F:F&amp;TDrate!H:H, TDrate!D:D), "N/A")</f>
        <v>5.4300000000000001E-2</v>
      </c>
    </row>
    <row r="216" spans="1:14" x14ac:dyDescent="0.45">
      <c r="A216" s="5">
        <v>2024</v>
      </c>
      <c r="B216" s="6" t="s">
        <v>382</v>
      </c>
      <c r="C216" s="7" t="str">
        <f t="shared" si="6"/>
        <v>Justice Hill</v>
      </c>
      <c r="D216" s="7" t="str">
        <f t="shared" si="7"/>
        <v>BAL</v>
      </c>
      <c r="E216" cm="1">
        <f t="array" aca="1" ref="E216" ca="1">IFERROR(_xlfn.XLOOKUP(C216&amp;A216, Inside5!B:B&amp;Inside5!I:I, Inside5!C:C), 0)</f>
        <v>1</v>
      </c>
      <c r="F216" cm="1">
        <f t="array" aca="1" ref="F216" ca="1">IFERROR(_xlfn.XLOOKUP(C216&amp;A216, Inside5!B:B&amp;Inside5!I:I, Inside5!D:D), 0)</f>
        <v>0</v>
      </c>
      <c r="G216" cm="1">
        <f t="array" ref="G216">IFERROR(_xlfn.XLOOKUP(C216&amp;A216, Inside5!B:B&amp;Inside5!I:I, Inside5!E:E), 0)</f>
        <v>5.2999999999999999E-2</v>
      </c>
      <c r="H216" cm="1">
        <f t="array" ref="H216">IFERROR(_xlfn.XLOOKUP(C216&amp;A216, TDrate!F:F&amp;TDrate!H:H, TDrate!C:C), "N/A")</f>
        <v>2.1299999999999999E-2</v>
      </c>
      <c r="I216" cm="1">
        <f t="array" ref="I216">IFERROR(_xlfn.XLOOKUP(C216&amp;A216, TDrate!F:F&amp;TDrate!H:H, TDrate!E:E), "N/A")</f>
        <v>2.0500000000000001E-2</v>
      </c>
      <c r="J216" cm="1">
        <f t="array" ref="J216">IFERROR(_xlfn.XLOOKUP(C216&amp;A216, Inside5!B:B&amp;Inside5!I:I, Inside5!F:F), 0)</f>
        <v>0</v>
      </c>
      <c r="K216" cm="1">
        <f t="array" aca="1" ref="K216" ca="1">IFERROR(_xlfn.XLOOKUP(C216&amp;A216, Inside5!B:B&amp;Inside5!I:I, Inside5!G:G), 0)</f>
        <v>0</v>
      </c>
      <c r="L216" cm="1">
        <f t="array" ref="L216">IFERROR(_xlfn.XLOOKUP(C216&amp;A216, Inside5!B:B&amp;Inside5!I:I, Inside5!H:H), 0)</f>
        <v>0</v>
      </c>
      <c r="M216" cm="1">
        <f t="array" ref="M216">IFERROR(_xlfn.XLOOKUP(C216&amp;A216, TDrate!F:F&amp;TDrate!H:H, TDrate!B:B), "N/A")</f>
        <v>5.7700000000000001E-2</v>
      </c>
      <c r="N216" cm="1">
        <f t="array" ref="N216">IFERROR(_xlfn.XLOOKUP(C216&amp;A216, TDrate!F:F&amp;TDrate!H:H, TDrate!D:D), "N/A")</f>
        <v>4.1599999999999998E-2</v>
      </c>
    </row>
    <row r="217" spans="1:14" x14ac:dyDescent="0.45">
      <c r="A217" s="8">
        <v>2024</v>
      </c>
      <c r="B217" s="9" t="s">
        <v>341</v>
      </c>
      <c r="C217" s="10" t="str">
        <f t="shared" si="6"/>
        <v>Emanuel Wilson</v>
      </c>
      <c r="D217" s="10" t="str">
        <f t="shared" si="7"/>
        <v>GB</v>
      </c>
      <c r="E217" cm="1">
        <f t="array" ref="E217">IFERROR(_xlfn.XLOOKUP(C217&amp;A217, Inside5!B:B&amp;Inside5!I:I, Inside5!C:C), 0)</f>
        <v>5</v>
      </c>
      <c r="F217" cm="1">
        <f t="array" ref="F217">IFERROR(_xlfn.XLOOKUP(C217&amp;A217, Inside5!B:B&amp;Inside5!I:I, Inside5!D:D), 0)</f>
        <v>3</v>
      </c>
      <c r="G217" cm="1">
        <f t="array" ref="G217">IFERROR(_xlfn.XLOOKUP(C217&amp;A217, Inside5!B:B&amp;Inside5!I:I, Inside5!E:E), 0)</f>
        <v>0.17899999999999999</v>
      </c>
      <c r="H217" cm="1">
        <f t="array" ref="H217">IFERROR(_xlfn.XLOOKUP(C217&amp;A217, TDrate!F:F&amp;TDrate!H:H, TDrate!C:C), "N/A")</f>
        <v>3.8800000000000001E-2</v>
      </c>
      <c r="I217" cm="1">
        <f t="array" ref="I217">IFERROR(_xlfn.XLOOKUP(C217&amp;A217, TDrate!F:F&amp;TDrate!H:H, TDrate!E:E), "N/A")</f>
        <v>3.4099999999999998E-2</v>
      </c>
      <c r="J217" cm="1">
        <f t="array" ref="J217">IFERROR(_xlfn.XLOOKUP(C217&amp;A217, Inside5!B:B&amp;Inside5!I:I, Inside5!F:F), 0)</f>
        <v>0</v>
      </c>
      <c r="K217" cm="1">
        <f t="array" ref="K217">IFERROR(_xlfn.XLOOKUP(C217&amp;A217, Inside5!B:B&amp;Inside5!I:I, Inside5!G:G), 0)</f>
        <v>0</v>
      </c>
      <c r="L217" cm="1">
        <f t="array" ref="L217">IFERROR(_xlfn.XLOOKUP(C217&amp;A217, Inside5!B:B&amp;Inside5!I:I, Inside5!H:H), 0)</f>
        <v>0</v>
      </c>
      <c r="M217" cm="1">
        <f t="array" ref="M217">IFERROR(_xlfn.XLOOKUP(C217&amp;A217, TDrate!F:F&amp;TDrate!H:H, TDrate!B:B), "N/A")</f>
        <v>7.1400000000000005E-2</v>
      </c>
      <c r="N217" cm="1">
        <f t="array" ref="N217">IFERROR(_xlfn.XLOOKUP(C217&amp;A217, TDrate!F:F&amp;TDrate!H:H, TDrate!D:D), "N/A")</f>
        <v>4.6899999999999997E-2</v>
      </c>
    </row>
    <row r="218" spans="1:14" x14ac:dyDescent="0.45">
      <c r="A218" s="5">
        <v>2024</v>
      </c>
      <c r="B218" s="6" t="s">
        <v>355</v>
      </c>
      <c r="C218" s="7" t="str">
        <f t="shared" si="6"/>
        <v>Tyjae Spears</v>
      </c>
      <c r="D218" s="7" t="str">
        <f t="shared" si="7"/>
        <v>TEN</v>
      </c>
      <c r="E218" cm="1">
        <f t="array" ref="E218">IFERROR(_xlfn.XLOOKUP(C218&amp;A218, Inside5!B:B&amp;Inside5!I:I, Inside5!C:C), 0)</f>
        <v>4</v>
      </c>
      <c r="F218" cm="1">
        <f t="array" aca="1" ref="F218" ca="1">IFERROR(_xlfn.XLOOKUP(C218&amp;A218, Inside5!B:B&amp;Inside5!I:I, Inside5!D:D), 0)</f>
        <v>2</v>
      </c>
      <c r="G218" cm="1">
        <f t="array" ref="G218">IFERROR(_xlfn.XLOOKUP(C218&amp;A218, Inside5!B:B&amp;Inside5!I:I, Inside5!E:E), 0)</f>
        <v>0.4</v>
      </c>
      <c r="H218" cm="1">
        <f t="array" ref="H218">IFERROR(_xlfn.XLOOKUP(C218&amp;A218, TDrate!F:F&amp;TDrate!H:H, TDrate!C:C), "N/A")</f>
        <v>4.7600000000000003E-2</v>
      </c>
      <c r="I218" cm="1">
        <f t="array" ref="I218">IFERROR(_xlfn.XLOOKUP(C218&amp;A218, TDrate!F:F&amp;TDrate!H:H, TDrate!E:E), "N/A")</f>
        <v>3.7900000000000003E-2</v>
      </c>
      <c r="J218" cm="1">
        <f t="array" ref="J218">IFERROR(_xlfn.XLOOKUP(C218&amp;A218, Inside5!B:B&amp;Inside5!I:I, Inside5!F:F), 0)</f>
        <v>0</v>
      </c>
      <c r="K218" cm="1">
        <f t="array" ref="K218">IFERROR(_xlfn.XLOOKUP(C218&amp;A218, Inside5!B:B&amp;Inside5!I:I, Inside5!G:G), 0)</f>
        <v>0</v>
      </c>
      <c r="L218" cm="1">
        <f t="array" ref="L218">IFERROR(_xlfn.XLOOKUP(C218&amp;A218, Inside5!B:B&amp;Inside5!I:I, Inside5!H:H), 0)</f>
        <v>0</v>
      </c>
      <c r="M218" cm="1">
        <f t="array" ref="M218">IFERROR(_xlfn.XLOOKUP(C218&amp;A218, TDrate!F:F&amp;TDrate!H:H, TDrate!B:B), "N/A")</f>
        <v>2.86E-2</v>
      </c>
      <c r="N218" cm="1">
        <f t="array" ref="N218">IFERROR(_xlfn.XLOOKUP(C218&amp;A218, TDrate!F:F&amp;TDrate!H:H, TDrate!D:D), "N/A")</f>
        <v>2.24E-2</v>
      </c>
    </row>
    <row r="219" spans="1:14" x14ac:dyDescent="0.45">
      <c r="A219" s="8">
        <v>2024</v>
      </c>
      <c r="B219" s="9" t="s">
        <v>376</v>
      </c>
      <c r="C219" s="10" t="str">
        <f t="shared" si="6"/>
        <v>Antonio Gibson</v>
      </c>
      <c r="D219" s="10" t="str">
        <f t="shared" si="7"/>
        <v>NE</v>
      </c>
      <c r="E219" cm="1">
        <f t="array" ref="E219">IFERROR(_xlfn.XLOOKUP(C219&amp;A219, Inside5!B:B&amp;Inside5!I:I, Inside5!C:C), 0)</f>
        <v>3</v>
      </c>
      <c r="F219" cm="1">
        <f t="array" ref="F219">IFERROR(_xlfn.XLOOKUP(C219&amp;A219, Inside5!B:B&amp;Inside5!I:I, Inside5!D:D), 0)</f>
        <v>0</v>
      </c>
      <c r="G219" cm="1">
        <f t="array" ref="G219">IFERROR(_xlfn.XLOOKUP(C219&amp;A219, Inside5!B:B&amp;Inside5!I:I, Inside5!E:E), 0)</f>
        <v>0.2</v>
      </c>
      <c r="H219" cm="1">
        <f t="array" ref="H219">IFERROR(_xlfn.XLOOKUP(C219&amp;A219, TDrate!F:F&amp;TDrate!H:H, TDrate!C:C), "N/A")</f>
        <v>8.3000000000000001E-3</v>
      </c>
      <c r="I219" cm="1">
        <f t="array" ref="I219">IFERROR(_xlfn.XLOOKUP(C219&amp;A219, TDrate!F:F&amp;TDrate!H:H, TDrate!E:E), "N/A")</f>
        <v>1.35E-2</v>
      </c>
      <c r="J219" cm="1">
        <f t="array" ref="J219">IFERROR(_xlfn.XLOOKUP(C219&amp;A219, Inside5!B:B&amp;Inside5!I:I, Inside5!F:F), 0)</f>
        <v>0</v>
      </c>
      <c r="K219" cm="1">
        <f t="array" ref="K219">IFERROR(_xlfn.XLOOKUP(C219&amp;A219, Inside5!B:B&amp;Inside5!I:I, Inside5!G:G), 0)</f>
        <v>0</v>
      </c>
      <c r="L219" cm="1">
        <f t="array" aca="1" ref="L219" ca="1">IFERROR(_xlfn.XLOOKUP(C219&amp;A219, Inside5!B:B&amp;Inside5!I:I, Inside5!H:H), 0)</f>
        <v>0</v>
      </c>
      <c r="M219" cm="1">
        <f t="array" ref="M219">IFERROR(_xlfn.XLOOKUP(C219&amp;A219, TDrate!F:F&amp;TDrate!H:H, TDrate!B:B), "N/A")</f>
        <v>0</v>
      </c>
      <c r="N219" cm="1">
        <f t="array" ref="N219">IFERROR(_xlfn.XLOOKUP(C219&amp;A219, TDrate!F:F&amp;TDrate!H:H, TDrate!D:D), "N/A")</f>
        <v>6.1000000000000004E-3</v>
      </c>
    </row>
    <row r="220" spans="1:14" x14ac:dyDescent="0.45">
      <c r="A220" s="5">
        <v>2024</v>
      </c>
      <c r="B220" s="6" t="s">
        <v>480</v>
      </c>
      <c r="C220" s="7" t="str">
        <f t="shared" si="6"/>
        <v>Cam Akers</v>
      </c>
      <c r="D220" s="7" t="str">
        <f t="shared" si="7"/>
        <v>MIN</v>
      </c>
      <c r="E220" cm="1">
        <f t="array" aca="1" ref="E220" ca="1">IFERROR(_xlfn.XLOOKUP(C220&amp;A220, Inside5!B:B&amp;Inside5!I:I, Inside5!C:C), 0)</f>
        <v>2</v>
      </c>
      <c r="F220" cm="1">
        <f t="array" ref="F220">IFERROR(_xlfn.XLOOKUP(C220&amp;A220, Inside5!B:B&amp;Inside5!I:I, Inside5!D:D), 0)</f>
        <v>1</v>
      </c>
      <c r="G220" cm="1">
        <f t="array" ref="G220">IFERROR(_xlfn.XLOOKUP(C220&amp;A220, Inside5!B:B&amp;Inside5!I:I, Inside5!E:E), 0)</f>
        <v>0.125</v>
      </c>
      <c r="H220" cm="1">
        <f t="array" ref="H220">IFERROR(_xlfn.XLOOKUP(C220&amp;A220, TDrate!F:F&amp;TDrate!H:H, TDrate!C:C), "N/A")</f>
        <v>1.9199999999999998E-2</v>
      </c>
      <c r="I220" cm="1">
        <f t="array" ref="I220">IFERROR(_xlfn.XLOOKUP(C220&amp;A220, TDrate!F:F&amp;TDrate!H:H, TDrate!E:E), "N/A")</f>
        <v>2.1399999999999999E-2</v>
      </c>
      <c r="J220" cm="1">
        <f t="array" ref="J220">IFERROR(_xlfn.XLOOKUP(C220&amp;A220, Inside5!B:B&amp;Inside5!I:I, Inside5!F:F), 0)</f>
        <v>1</v>
      </c>
      <c r="K220" cm="1">
        <f t="array" ref="K220">IFERROR(_xlfn.XLOOKUP(C220&amp;A220, Inside5!B:B&amp;Inside5!I:I, Inside5!G:G), 0)</f>
        <v>1</v>
      </c>
      <c r="L220" cm="1">
        <f t="array" ref="L220">IFERROR(_xlfn.XLOOKUP(C220&amp;A220, Inside5!B:B&amp;Inside5!I:I, Inside5!H:H), 0)</f>
        <v>1</v>
      </c>
      <c r="M220" cm="1">
        <f t="array" ref="M220">IFERROR(_xlfn.XLOOKUP(C220&amp;A220, TDrate!F:F&amp;TDrate!H:H, TDrate!B:B), "N/A")</f>
        <v>0.16669999999999999</v>
      </c>
      <c r="N220" cm="1">
        <f t="array" ref="N220">IFERROR(_xlfn.XLOOKUP(C220&amp;A220, TDrate!F:F&amp;TDrate!H:H, TDrate!D:D), "N/A")</f>
        <v>0.12089999999999999</v>
      </c>
    </row>
    <row r="221" spans="1:14" x14ac:dyDescent="0.45">
      <c r="A221" s="8">
        <v>2024</v>
      </c>
      <c r="B221" s="9" t="s">
        <v>457</v>
      </c>
      <c r="C221" s="10" t="str">
        <f t="shared" si="6"/>
        <v>Isaac Guerendo</v>
      </c>
      <c r="D221" s="10" t="str">
        <f t="shared" si="7"/>
        <v>SF</v>
      </c>
      <c r="E221" cm="1">
        <f t="array" ref="E221">IFERROR(_xlfn.XLOOKUP(C221&amp;A221, Inside5!B:B&amp;Inside5!I:I, Inside5!C:C), 0)</f>
        <v>5</v>
      </c>
      <c r="F221" cm="1">
        <f t="array" ref="F221">IFERROR(_xlfn.XLOOKUP(C221&amp;A221, Inside5!B:B&amp;Inside5!I:I, Inside5!D:D), 0)</f>
        <v>3</v>
      </c>
      <c r="G221" cm="1">
        <f t="array" ref="G221">IFERROR(_xlfn.XLOOKUP(C221&amp;A221, Inside5!B:B&amp;Inside5!I:I, Inside5!E:E), 0)</f>
        <v>0.26300000000000001</v>
      </c>
      <c r="H221" cm="1">
        <f t="array" ref="H221">IFERROR(_xlfn.XLOOKUP(C221&amp;A221, TDrate!F:F&amp;TDrate!H:H, TDrate!C:C), "N/A")</f>
        <v>4.7600000000000003E-2</v>
      </c>
      <c r="I221" cm="1">
        <f t="array" ref="I221">IFERROR(_xlfn.XLOOKUP(C221&amp;A221, TDrate!F:F&amp;TDrate!H:H, TDrate!E:E), "N/A")</f>
        <v>4.2099999999999999E-2</v>
      </c>
      <c r="J221" cm="1">
        <f t="array" ref="J221">IFERROR(_xlfn.XLOOKUP(C221&amp;A221, Inside5!B:B&amp;Inside5!I:I, Inside5!F:F), 0)</f>
        <v>0</v>
      </c>
      <c r="K221" cm="1">
        <f t="array" aca="1" ref="K221" ca="1">IFERROR(_xlfn.XLOOKUP(C221&amp;A221, Inside5!B:B&amp;Inside5!I:I, Inside5!G:G), 0)</f>
        <v>0</v>
      </c>
      <c r="L221" cm="1">
        <f t="array" ref="L221">IFERROR(_xlfn.XLOOKUP(C221&amp;A221, Inside5!B:B&amp;Inside5!I:I, Inside5!H:H), 0)</f>
        <v>0</v>
      </c>
      <c r="M221" cm="1">
        <f t="array" ref="M221">IFERROR(_xlfn.XLOOKUP(C221&amp;A221, TDrate!F:F&amp;TDrate!H:H, TDrate!B:B), "N/A")</f>
        <v>0</v>
      </c>
      <c r="N221" cm="1">
        <f t="array" ref="N221">IFERROR(_xlfn.XLOOKUP(C221&amp;A221, TDrate!F:F&amp;TDrate!H:H, TDrate!D:D), "N/A")</f>
        <v>5.4999999999999997E-3</v>
      </c>
    </row>
    <row r="222" spans="1:14" x14ac:dyDescent="0.45">
      <c r="A222" s="5">
        <v>2024</v>
      </c>
      <c r="B222" s="6" t="s">
        <v>344</v>
      </c>
      <c r="C222" s="7" t="str">
        <f t="shared" si="6"/>
        <v>Devin Singletary</v>
      </c>
      <c r="D222" s="7" t="str">
        <f t="shared" si="7"/>
        <v>NYG</v>
      </c>
      <c r="E222" cm="1">
        <f t="array" ref="E222">IFERROR(_xlfn.XLOOKUP(C222&amp;A222, Inside5!B:B&amp;Inside5!I:I, Inside5!C:C), 0)</f>
        <v>5</v>
      </c>
      <c r="F222" cm="1">
        <f t="array" aca="1" ref="F222" ca="1">IFERROR(_xlfn.XLOOKUP(C222&amp;A222, Inside5!B:B&amp;Inside5!I:I, Inside5!D:D), 0)</f>
        <v>3</v>
      </c>
      <c r="G222" cm="1">
        <f t="array" ref="G222">IFERROR(_xlfn.XLOOKUP(C222&amp;A222, Inside5!B:B&amp;Inside5!I:I, Inside5!E:E), 0)</f>
        <v>0.38500000000000001</v>
      </c>
      <c r="H222" cm="1">
        <f t="array" ref="H222">IFERROR(_xlfn.XLOOKUP(C222&amp;A222, TDrate!F:F&amp;TDrate!H:H, TDrate!C:C), "N/A")</f>
        <v>3.5400000000000001E-2</v>
      </c>
      <c r="I222" cm="1">
        <f t="array" ref="I222">IFERROR(_xlfn.XLOOKUP(C222&amp;A222, TDrate!F:F&amp;TDrate!H:H, TDrate!E:E), "N/A")</f>
        <v>3.09E-2</v>
      </c>
      <c r="J222" cm="1">
        <f t="array" ref="J222">IFERROR(_xlfn.XLOOKUP(C222&amp;A222, Inside5!B:B&amp;Inside5!I:I, Inside5!F:F), 0)</f>
        <v>0</v>
      </c>
      <c r="K222" cm="1">
        <f t="array" ref="K222">IFERROR(_xlfn.XLOOKUP(C222&amp;A222, Inside5!B:B&amp;Inside5!I:I, Inside5!G:G), 0)</f>
        <v>0</v>
      </c>
      <c r="L222" cm="1">
        <f t="array" ref="L222">IFERROR(_xlfn.XLOOKUP(C222&amp;A222, Inside5!B:B&amp;Inside5!I:I, Inside5!H:H), 0)</f>
        <v>0</v>
      </c>
      <c r="M222" cm="1">
        <f t="array" ref="M222">IFERROR(_xlfn.XLOOKUP(C222&amp;A222, TDrate!F:F&amp;TDrate!H:H, TDrate!B:B), "N/A")</f>
        <v>0</v>
      </c>
      <c r="N222" cm="1">
        <f t="array" ref="N222">IFERROR(_xlfn.XLOOKUP(C222&amp;A222, TDrate!F:F&amp;TDrate!H:H, TDrate!D:D), "N/A")</f>
        <v>3.0999999999999999E-3</v>
      </c>
    </row>
    <row r="223" spans="1:14" x14ac:dyDescent="0.45">
      <c r="A223" s="8">
        <v>2024</v>
      </c>
      <c r="B223" s="9" t="s">
        <v>362</v>
      </c>
      <c r="C223" s="10" t="str">
        <f t="shared" si="6"/>
        <v>Ty Johnson</v>
      </c>
      <c r="D223" s="10" t="str">
        <f t="shared" si="7"/>
        <v>BUF</v>
      </c>
      <c r="E223" cm="1">
        <f t="array" aca="1" ref="E223" ca="1">IFERROR(_xlfn.XLOOKUP(C223&amp;A223, Inside5!B:B&amp;Inside5!I:I, Inside5!C:C), 0)</f>
        <v>2</v>
      </c>
      <c r="F223" cm="1">
        <f t="array" ref="F223">IFERROR(_xlfn.XLOOKUP(C223&amp;A223, Inside5!B:B&amp;Inside5!I:I, Inside5!D:D), 0)</f>
        <v>1</v>
      </c>
      <c r="G223" cm="1">
        <f t="array" ref="G223">IFERROR(_xlfn.XLOOKUP(C223&amp;A223, Inside5!B:B&amp;Inside5!I:I, Inside5!E:E), 0)</f>
        <v>0.125</v>
      </c>
      <c r="H223" cm="1">
        <f t="array" ref="H223">IFERROR(_xlfn.XLOOKUP(C223&amp;A223, TDrate!F:F&amp;TDrate!H:H, TDrate!C:C), "N/A")</f>
        <v>2.4400000000000002E-2</v>
      </c>
      <c r="I223" cm="1">
        <f t="array" ref="I223">IFERROR(_xlfn.XLOOKUP(C223&amp;A223, TDrate!F:F&amp;TDrate!H:H, TDrate!E:E), "N/A")</f>
        <v>2.7900000000000001E-2</v>
      </c>
      <c r="J223" cm="1">
        <f t="array" ref="J223">IFERROR(_xlfn.XLOOKUP(C223&amp;A223, Inside5!B:B&amp;Inside5!I:I, Inside5!F:F), 0)</f>
        <v>1</v>
      </c>
      <c r="K223" cm="1">
        <f t="array" ref="K223">IFERROR(_xlfn.XLOOKUP(C223&amp;A223, Inside5!B:B&amp;Inside5!I:I, Inside5!G:G), 0)</f>
        <v>1</v>
      </c>
      <c r="L223" cm="1">
        <f t="array" ref="L223">IFERROR(_xlfn.XLOOKUP(C223&amp;A223, Inside5!B:B&amp;Inside5!I:I, Inside5!H:H), 0)</f>
        <v>1</v>
      </c>
      <c r="M223" cm="1">
        <f t="array" ref="M223">IFERROR(_xlfn.XLOOKUP(C223&amp;A223, TDrate!F:F&amp;TDrate!H:H, TDrate!B:B), "N/A")</f>
        <v>0.12</v>
      </c>
      <c r="N223" cm="1">
        <f t="array" ref="N223">IFERROR(_xlfn.XLOOKUP(C223&amp;A223, TDrate!F:F&amp;TDrate!H:H, TDrate!D:D), "N/A")</f>
        <v>8.3500000000000005E-2</v>
      </c>
    </row>
    <row r="224" spans="1:14" x14ac:dyDescent="0.45">
      <c r="A224" s="5">
        <v>2024</v>
      </c>
      <c r="B224" s="6" t="s">
        <v>367</v>
      </c>
      <c r="C224" s="7" t="str">
        <f t="shared" si="6"/>
        <v>Jaleel McLaughlin</v>
      </c>
      <c r="D224" s="7" t="str">
        <f t="shared" si="7"/>
        <v>DEN</v>
      </c>
      <c r="E224" cm="1">
        <f t="array" ref="E224">IFERROR(_xlfn.XLOOKUP(C224&amp;A224, Inside5!B:B&amp;Inside5!I:I, Inside5!C:C), 0)</f>
        <v>3</v>
      </c>
      <c r="F224" cm="1">
        <f t="array" ref="F224">IFERROR(_xlfn.XLOOKUP(C224&amp;A224, Inside5!B:B&amp;Inside5!I:I, Inside5!D:D), 0)</f>
        <v>1</v>
      </c>
      <c r="G224" cm="1">
        <f t="array" ref="G224">IFERROR(_xlfn.XLOOKUP(C224&amp;A224, Inside5!B:B&amp;Inside5!I:I, Inside5!E:E), 0)</f>
        <v>0.188</v>
      </c>
      <c r="H224" cm="1">
        <f t="array" ref="H224">IFERROR(_xlfn.XLOOKUP(C224&amp;A224, TDrate!F:F&amp;TDrate!H:H, TDrate!C:C), "N/A")</f>
        <v>8.8000000000000005E-3</v>
      </c>
      <c r="I224" cm="1">
        <f t="array" ref="I224">IFERROR(_xlfn.XLOOKUP(C224&amp;A224, TDrate!F:F&amp;TDrate!H:H, TDrate!E:E), "N/A")</f>
        <v>1.47E-2</v>
      </c>
      <c r="J224" cm="1">
        <f t="array" ref="J224">IFERROR(_xlfn.XLOOKUP(C224&amp;A224, Inside5!B:B&amp;Inside5!I:I, Inside5!F:F), 0)</f>
        <v>1</v>
      </c>
      <c r="K224" cm="1">
        <f t="array" ref="K224">IFERROR(_xlfn.XLOOKUP(C224&amp;A224, Inside5!B:B&amp;Inside5!I:I, Inside5!G:G), 0)</f>
        <v>1</v>
      </c>
      <c r="L224" cm="1">
        <f t="array" ref="L224">IFERROR(_xlfn.XLOOKUP(C224&amp;A224, Inside5!B:B&amp;Inside5!I:I, Inside5!H:H), 0)</f>
        <v>1</v>
      </c>
      <c r="M224" cm="1">
        <f t="array" ref="M224">IFERROR(_xlfn.XLOOKUP(C224&amp;A224, TDrate!F:F&amp;TDrate!H:H, TDrate!B:B), "N/A")</f>
        <v>7.4099999999999999E-2</v>
      </c>
      <c r="N224" cm="1">
        <f t="array" ref="N224">IFERROR(_xlfn.XLOOKUP(C224&amp;A224, TDrate!F:F&amp;TDrate!H:H, TDrate!D:D), "N/A")</f>
        <v>5.4899999999999997E-2</v>
      </c>
    </row>
    <row r="225" spans="1:14" x14ac:dyDescent="0.45">
      <c r="A225" s="8">
        <v>2024</v>
      </c>
      <c r="B225" s="9" t="s">
        <v>385</v>
      </c>
      <c r="C225" s="10" t="str">
        <f t="shared" si="6"/>
        <v>Braelon Allen</v>
      </c>
      <c r="D225" s="10" t="str">
        <f t="shared" si="7"/>
        <v>NYJ</v>
      </c>
      <c r="E225" cm="1">
        <f t="array" aca="1" ref="E225" ca="1">IFERROR(_xlfn.XLOOKUP(C225&amp;A225, Inside5!B:B&amp;Inside5!I:I, Inside5!C:C), 0)</f>
        <v>1</v>
      </c>
      <c r="F225" cm="1">
        <f t="array" aca="1" ref="F225" ca="1">IFERROR(_xlfn.XLOOKUP(C225&amp;A225, Inside5!B:B&amp;Inside5!I:I, Inside5!D:D), 0)</f>
        <v>1</v>
      </c>
      <c r="G225" cm="1">
        <f t="array" ref="G225">IFERROR(_xlfn.XLOOKUP(C225&amp;A225, Inside5!B:B&amp;Inside5!I:I, Inside5!E:E), 0)</f>
        <v>0.111</v>
      </c>
      <c r="H225" cm="1">
        <f t="array" ref="H225">IFERROR(_xlfn.XLOOKUP(C225&amp;A225, TDrate!F:F&amp;TDrate!H:H, TDrate!C:C), "N/A")</f>
        <v>2.1700000000000001E-2</v>
      </c>
      <c r="I225" cm="1">
        <f t="array" ref="I225">IFERROR(_xlfn.XLOOKUP(C225&amp;A225, TDrate!F:F&amp;TDrate!H:H, TDrate!E:E), "N/A")</f>
        <v>2.07E-2</v>
      </c>
      <c r="J225" cm="1">
        <f t="array" ref="J225">IFERROR(_xlfn.XLOOKUP(C225&amp;A225, Inside5!B:B&amp;Inside5!I:I, Inside5!F:F), 0)</f>
        <v>0</v>
      </c>
      <c r="K225" cm="1">
        <f t="array" ref="K225">IFERROR(_xlfn.XLOOKUP(C225&amp;A225, Inside5!B:B&amp;Inside5!I:I, Inside5!G:G), 0)</f>
        <v>0</v>
      </c>
      <c r="L225" cm="1">
        <f t="array" ref="L225">IFERROR(_xlfn.XLOOKUP(C225&amp;A225, Inside5!B:B&amp;Inside5!I:I, Inside5!H:H), 0)</f>
        <v>0</v>
      </c>
      <c r="M225" cm="1">
        <f t="array" ref="M225">IFERROR(_xlfn.XLOOKUP(C225&amp;A225, TDrate!F:F&amp;TDrate!H:H, TDrate!B:B), "N/A")</f>
        <v>3.6999999999999998E-2</v>
      </c>
      <c r="N225" cm="1">
        <f t="array" ref="N225">IFERROR(_xlfn.XLOOKUP(C225&amp;A225, TDrate!F:F&amp;TDrate!H:H, TDrate!D:D), "N/A")</f>
        <v>2.3400000000000001E-2</v>
      </c>
    </row>
    <row r="226" spans="1:14" x14ac:dyDescent="0.45">
      <c r="A226" s="5">
        <v>2024</v>
      </c>
      <c r="B226" s="6" t="s">
        <v>422</v>
      </c>
      <c r="C226" s="7" t="str">
        <f t="shared" si="6"/>
        <v>Roschon Johnson</v>
      </c>
      <c r="D226" s="7" t="str">
        <f t="shared" si="7"/>
        <v>CHI</v>
      </c>
      <c r="E226" cm="1">
        <f t="array" aca="1" ref="E226" ca="1">IFERROR(_xlfn.XLOOKUP(C226&amp;A226, Inside5!B:B&amp;Inside5!I:I, Inside5!C:C), 0)</f>
        <v>9</v>
      </c>
      <c r="F226" cm="1">
        <f t="array" aca="1" ref="F226" ca="1">IFERROR(_xlfn.XLOOKUP(C226&amp;A226, Inside5!B:B&amp;Inside5!I:I, Inside5!D:D), 0)</f>
        <v>6</v>
      </c>
      <c r="G226" cm="1">
        <f t="array" ref="G226">IFERROR(_xlfn.XLOOKUP(C226&amp;A226, Inside5!B:B&amp;Inside5!I:I, Inside5!E:E), 0)</f>
        <v>0.40899999999999997</v>
      </c>
      <c r="H226" cm="1">
        <f t="array" ref="H226">IFERROR(_xlfn.XLOOKUP(C226&amp;A226, TDrate!F:F&amp;TDrate!H:H, TDrate!C:C), "N/A")</f>
        <v>0.1091</v>
      </c>
      <c r="I226" cm="1">
        <f t="array" ref="I226">IFERROR(_xlfn.XLOOKUP(C226&amp;A226, TDrate!F:F&amp;TDrate!H:H, TDrate!E:E), "N/A")</f>
        <v>9.0899999999999995E-2</v>
      </c>
      <c r="J226" cm="1">
        <f t="array" ref="J226">IFERROR(_xlfn.XLOOKUP(C226&amp;A226, Inside5!B:B&amp;Inside5!I:I, Inside5!F:F), 0)</f>
        <v>0</v>
      </c>
      <c r="K226" cm="1">
        <f t="array" ref="K226">IFERROR(_xlfn.XLOOKUP(C226&amp;A226, Inside5!B:B&amp;Inside5!I:I, Inside5!G:G), 0)</f>
        <v>0</v>
      </c>
      <c r="L226" cm="1">
        <f t="array" ref="L226">IFERROR(_xlfn.XLOOKUP(C226&amp;A226, Inside5!B:B&amp;Inside5!I:I, Inside5!H:H), 0)</f>
        <v>0</v>
      </c>
      <c r="M226" cm="1">
        <f t="array" ref="M226">IFERROR(_xlfn.XLOOKUP(C226&amp;A226, TDrate!F:F&amp;TDrate!H:H, TDrate!B:B), "N/A")</f>
        <v>0</v>
      </c>
      <c r="N226" cm="1">
        <f t="array" ref="N226">IFERROR(_xlfn.XLOOKUP(C226&amp;A226, TDrate!F:F&amp;TDrate!H:H, TDrate!D:D), "N/A")</f>
        <v>6.6E-3</v>
      </c>
    </row>
    <row r="227" spans="1:14" x14ac:dyDescent="0.45">
      <c r="A227" s="8">
        <v>2024</v>
      </c>
      <c r="B227" s="9" t="s">
        <v>481</v>
      </c>
      <c r="C227" s="10" t="str">
        <f t="shared" si="6"/>
        <v>Gus Edwards</v>
      </c>
      <c r="D227" s="10" t="str">
        <f t="shared" si="7"/>
        <v>LAC</v>
      </c>
      <c r="E227" cm="1">
        <f t="array" aca="1" ref="E227" ca="1">IFERROR(_xlfn.XLOOKUP(C227&amp;A227, Inside5!B:B&amp;Inside5!I:I, Inside5!C:C), 0)</f>
        <v>6</v>
      </c>
      <c r="F227" cm="1">
        <f t="array" aca="1" ref="F227" ca="1">IFERROR(_xlfn.XLOOKUP(C227&amp;A227, Inside5!B:B&amp;Inside5!I:I, Inside5!D:D), 0)</f>
        <v>4</v>
      </c>
      <c r="G227" cm="1">
        <f t="array" ref="G227">IFERROR(_xlfn.XLOOKUP(C227&amp;A227, Inside5!B:B&amp;Inside5!I:I, Inside5!E:E), 0)</f>
        <v>0.375</v>
      </c>
      <c r="H227" cm="1">
        <f t="array" ref="H227">IFERROR(_xlfn.XLOOKUP(C227&amp;A227, TDrate!F:F&amp;TDrate!H:H, TDrate!C:C), "N/A")</f>
        <v>3.9600000000000003E-2</v>
      </c>
      <c r="I227" cm="1">
        <f t="array" ref="I227">IFERROR(_xlfn.XLOOKUP(C227&amp;A227, TDrate!F:F&amp;TDrate!H:H, TDrate!E:E), "N/A")</f>
        <v>3.8600000000000002E-2</v>
      </c>
      <c r="J227" cm="1">
        <f t="array" ref="J227">IFERROR(_xlfn.XLOOKUP(C227&amp;A227, Inside5!B:B&amp;Inside5!I:I, Inside5!F:F), 0)</f>
        <v>0</v>
      </c>
      <c r="K227" cm="1">
        <f t="array" ref="K227">IFERROR(_xlfn.XLOOKUP(C227&amp;A227, Inside5!B:B&amp;Inside5!I:I, Inside5!G:G), 0)</f>
        <v>0</v>
      </c>
      <c r="L227" cm="1">
        <f t="array" ref="L227">IFERROR(_xlfn.XLOOKUP(C227&amp;A227, Inside5!B:B&amp;Inside5!I:I, Inside5!H:H), 0)</f>
        <v>0</v>
      </c>
      <c r="M227" cm="1">
        <f t="array" ref="M227">IFERROR(_xlfn.XLOOKUP(C227&amp;A227, TDrate!F:F&amp;TDrate!H:H, TDrate!B:B), "N/A")</f>
        <v>0</v>
      </c>
      <c r="N227" cm="1">
        <f t="array" ref="N227">IFERROR(_xlfn.XLOOKUP(C227&amp;A227, TDrate!F:F&amp;TDrate!H:H, TDrate!D:D), "N/A")</f>
        <v>2.5000000000000001E-3</v>
      </c>
    </row>
    <row r="228" spans="1:14" x14ac:dyDescent="0.45">
      <c r="A228" s="5">
        <v>2024</v>
      </c>
      <c r="B228" s="6" t="s">
        <v>351</v>
      </c>
      <c r="C228" s="7" t="str">
        <f t="shared" si="6"/>
        <v>Sean Tucker</v>
      </c>
      <c r="D228" s="7" t="str">
        <f t="shared" si="7"/>
        <v>TB</v>
      </c>
      <c r="E228" cm="1">
        <f t="array" ref="E228">IFERROR(_xlfn.XLOOKUP(C228&amp;A228, Inside5!B:B&amp;Inside5!I:I, Inside5!C:C), 0)</f>
        <v>3</v>
      </c>
      <c r="F228" cm="1">
        <f t="array" ref="F228">IFERROR(_xlfn.XLOOKUP(C228&amp;A228, Inside5!B:B&amp;Inside5!I:I, Inside5!D:D), 0)</f>
        <v>2</v>
      </c>
      <c r="G228" cm="1">
        <f t="array" ref="G228">IFERROR(_xlfn.XLOOKUP(C228&amp;A228, Inside5!B:B&amp;Inside5!I:I, Inside5!E:E), 0)</f>
        <v>0.125</v>
      </c>
      <c r="H228" cm="1">
        <f t="array" ref="H228">IFERROR(_xlfn.XLOOKUP(C228&amp;A228, TDrate!F:F&amp;TDrate!H:H, TDrate!C:C), "N/A")</f>
        <v>0.04</v>
      </c>
      <c r="I228" cm="1">
        <f t="array" ref="I228">IFERROR(_xlfn.XLOOKUP(C228&amp;A228, TDrate!F:F&amp;TDrate!H:H, TDrate!E:E), "N/A")</f>
        <v>3.5700000000000003E-2</v>
      </c>
      <c r="J228" cm="1">
        <f t="array" ref="J228">IFERROR(_xlfn.XLOOKUP(C228&amp;A228, Inside5!B:B&amp;Inside5!I:I, Inside5!F:F), 0)</f>
        <v>0</v>
      </c>
      <c r="K228" cm="1">
        <f t="array" ref="K228">IFERROR(_xlfn.XLOOKUP(C228&amp;A228, Inside5!B:B&amp;Inside5!I:I, Inside5!G:G), 0)</f>
        <v>0</v>
      </c>
      <c r="L228" cm="1">
        <f t="array" ref="L228">IFERROR(_xlfn.XLOOKUP(C228&amp;A228, Inside5!B:B&amp;Inside5!I:I, Inside5!H:H), 0)</f>
        <v>0</v>
      </c>
      <c r="M228" cm="1">
        <f t="array" ref="M228">IFERROR(_xlfn.XLOOKUP(C228&amp;A228, TDrate!F:F&amp;TDrate!H:H, TDrate!B:B), "N/A")</f>
        <v>8.3299999999999999E-2</v>
      </c>
      <c r="N228" cm="1">
        <f t="array" ref="N228">IFERROR(_xlfn.XLOOKUP(C228&amp;A228, TDrate!F:F&amp;TDrate!H:H, TDrate!D:D), "N/A")</f>
        <v>4.4600000000000001E-2</v>
      </c>
    </row>
    <row r="229" spans="1:14" x14ac:dyDescent="0.45">
      <c r="A229" s="8">
        <v>2024</v>
      </c>
      <c r="B229" s="9" t="s">
        <v>482</v>
      </c>
      <c r="C229" s="10" t="str">
        <f t="shared" si="6"/>
        <v>Zack Moss</v>
      </c>
      <c r="D229" s="10" t="str">
        <f t="shared" si="7"/>
        <v>CIN</v>
      </c>
      <c r="E229" cm="1">
        <f t="array" aca="1" ref="E229" ca="1">IFERROR(_xlfn.XLOOKUP(C229&amp;A229, Inside5!B:B&amp;Inside5!I:I, Inside5!C:C), 0)</f>
        <v>8</v>
      </c>
      <c r="F229" cm="1">
        <f t="array" aca="1" ref="F229" ca="1">IFERROR(_xlfn.XLOOKUP(C229&amp;A229, Inside5!B:B&amp;Inside5!I:I, Inside5!D:D), 0)</f>
        <v>2</v>
      </c>
      <c r="G229" cm="1">
        <f t="array" ref="G229">IFERROR(_xlfn.XLOOKUP(C229&amp;A229, Inside5!B:B&amp;Inside5!I:I, Inside5!E:E), 0)</f>
        <v>0.38100000000000001</v>
      </c>
      <c r="H229" cm="1">
        <f t="array" ref="H229">IFERROR(_xlfn.XLOOKUP(C229&amp;A229, TDrate!F:F&amp;TDrate!H:H, TDrate!C:C), "N/A")</f>
        <v>2.7E-2</v>
      </c>
      <c r="I229" cm="1">
        <f t="array" ref="I229">IFERROR(_xlfn.XLOOKUP(C229&amp;A229, TDrate!F:F&amp;TDrate!H:H, TDrate!E:E), "N/A")</f>
        <v>4.02E-2</v>
      </c>
      <c r="J229" cm="1">
        <f t="array" ref="J229">IFERROR(_xlfn.XLOOKUP(C229&amp;A229, Inside5!B:B&amp;Inside5!I:I, Inside5!F:F), 0)</f>
        <v>1</v>
      </c>
      <c r="K229" cm="1">
        <f t="array" aca="1" ref="K229" ca="1">IFERROR(_xlfn.XLOOKUP(C229&amp;A229, Inside5!B:B&amp;Inside5!I:I, Inside5!G:G), 0)</f>
        <v>1</v>
      </c>
      <c r="L229" cm="1">
        <f t="array" ref="L229">IFERROR(_xlfn.XLOOKUP(C229&amp;A229, Inside5!B:B&amp;Inside5!I:I, Inside5!H:H), 0)</f>
        <v>1</v>
      </c>
      <c r="M229" cm="1">
        <f t="array" ref="M229">IFERROR(_xlfn.XLOOKUP(C229&amp;A229, TDrate!F:F&amp;TDrate!H:H, TDrate!B:B), "N/A")</f>
        <v>3.6999999999999998E-2</v>
      </c>
      <c r="N229" cm="1">
        <f t="array" ref="N229">IFERROR(_xlfn.XLOOKUP(C229&amp;A229, TDrate!F:F&amp;TDrate!H:H, TDrate!D:D), "N/A")</f>
        <v>3.2599999999999997E-2</v>
      </c>
    </row>
    <row r="230" spans="1:14" x14ac:dyDescent="0.45">
      <c r="A230" s="5">
        <v>2024</v>
      </c>
      <c r="B230" s="6" t="s">
        <v>483</v>
      </c>
      <c r="C230" s="7" t="str">
        <f t="shared" si="6"/>
        <v>Nick Chubb</v>
      </c>
      <c r="D230" s="7" t="str">
        <f t="shared" si="7"/>
        <v>CLE</v>
      </c>
      <c r="E230" cm="1">
        <f t="array" ref="E230">IFERROR(_xlfn.XLOOKUP(C230&amp;A230, Inside5!B:B&amp;Inside5!I:I, Inside5!C:C), 0)</f>
        <v>6</v>
      </c>
      <c r="F230" cm="1">
        <f t="array" ref="F230">IFERROR(_xlfn.XLOOKUP(C230&amp;A230, Inside5!B:B&amp;Inside5!I:I, Inside5!D:D), 0)</f>
        <v>3</v>
      </c>
      <c r="G230" cm="1">
        <f t="array" ref="G230">IFERROR(_xlfn.XLOOKUP(C230&amp;A230, Inside5!B:B&amp;Inside5!I:I, Inside5!E:E), 0)</f>
        <v>0.4</v>
      </c>
      <c r="H230" cm="1">
        <f t="array" ref="H230">IFERROR(_xlfn.XLOOKUP(C230&amp;A230, TDrate!F:F&amp;TDrate!H:H, TDrate!C:C), "N/A")</f>
        <v>2.9399999999999999E-2</v>
      </c>
      <c r="I230" cm="1">
        <f t="array" ref="I230">IFERROR(_xlfn.XLOOKUP(C230&amp;A230, TDrate!F:F&amp;TDrate!H:H, TDrate!E:E), "N/A")</f>
        <v>3.1699999999999999E-2</v>
      </c>
      <c r="J230" cm="1">
        <f t="array" ref="J230">IFERROR(_xlfn.XLOOKUP(C230&amp;A230, Inside5!B:B&amp;Inside5!I:I, Inside5!F:F), 0)</f>
        <v>1</v>
      </c>
      <c r="K230" cm="1">
        <f t="array" ref="K230">IFERROR(_xlfn.XLOOKUP(C230&amp;A230, Inside5!B:B&amp;Inside5!I:I, Inside5!G:G), 0)</f>
        <v>1</v>
      </c>
      <c r="L230" cm="1">
        <f t="array" ref="L230">IFERROR(_xlfn.XLOOKUP(C230&amp;A230, Inside5!B:B&amp;Inside5!I:I, Inside5!H:H), 0)</f>
        <v>1</v>
      </c>
      <c r="M230" cm="1">
        <f t="array" ref="M230">IFERROR(_xlfn.XLOOKUP(C230&amp;A230, TDrate!F:F&amp;TDrate!H:H, TDrate!B:B), "N/A")</f>
        <v>9.0899999999999995E-2</v>
      </c>
      <c r="N230" cm="1">
        <f t="array" ref="N230">IFERROR(_xlfn.XLOOKUP(C230&amp;A230, TDrate!F:F&amp;TDrate!H:H, TDrate!D:D), "N/A")</f>
        <v>7.17E-2</v>
      </c>
    </row>
    <row r="231" spans="1:14" x14ac:dyDescent="0.45">
      <c r="A231" s="8">
        <v>2024</v>
      </c>
      <c r="B231" s="9" t="s">
        <v>360</v>
      </c>
      <c r="C231" s="10" t="str">
        <f t="shared" si="6"/>
        <v>Jeremy McNichols</v>
      </c>
      <c r="D231" s="10" t="str">
        <f t="shared" si="7"/>
        <v>WAS</v>
      </c>
      <c r="E231" cm="1">
        <f t="array" aca="1" ref="E231" ca="1">IFERROR(_xlfn.XLOOKUP(C231&amp;A231, Inside5!B:B&amp;Inside5!I:I, Inside5!C:C), 0)</f>
        <v>2</v>
      </c>
      <c r="F231" cm="1">
        <f t="array" aca="1" ref="F231" ca="1">IFERROR(_xlfn.XLOOKUP(C231&amp;A231, Inside5!B:B&amp;Inside5!I:I, Inside5!D:D), 0)</f>
        <v>2</v>
      </c>
      <c r="G231" cm="1">
        <f t="array" ref="G231">IFERROR(_xlfn.XLOOKUP(C231&amp;A231, Inside5!B:B&amp;Inside5!I:I, Inside5!E:E), 0)</f>
        <v>9.0999999999999998E-2</v>
      </c>
      <c r="H231" cm="1">
        <f t="array" ref="H231">IFERROR(_xlfn.XLOOKUP(C231&amp;A231, TDrate!F:F&amp;TDrate!H:H, TDrate!C:C), "N/A")</f>
        <v>7.2700000000000001E-2</v>
      </c>
      <c r="I231" cm="1">
        <f t="array" ref="I231">IFERROR(_xlfn.XLOOKUP(C231&amp;A231, TDrate!F:F&amp;TDrate!H:H, TDrate!E:E), "N/A")</f>
        <v>5.2900000000000003E-2</v>
      </c>
      <c r="J231" cm="1">
        <f t="array" ref="J231">IFERROR(_xlfn.XLOOKUP(C231&amp;A231, Inside5!B:B&amp;Inside5!I:I, Inside5!F:F), 0)</f>
        <v>0</v>
      </c>
      <c r="K231" cm="1">
        <f t="array" ref="K231">IFERROR(_xlfn.XLOOKUP(C231&amp;A231, Inside5!B:B&amp;Inside5!I:I, Inside5!G:G), 0)</f>
        <v>0</v>
      </c>
      <c r="L231" cm="1">
        <f t="array" ref="L231">IFERROR(_xlfn.XLOOKUP(C231&amp;A231, Inside5!B:B&amp;Inside5!I:I, Inside5!H:H), 0)</f>
        <v>0</v>
      </c>
      <c r="M231" cm="1">
        <f t="array" ref="M231">IFERROR(_xlfn.XLOOKUP(C231&amp;A231, TDrate!F:F&amp;TDrate!H:H, TDrate!B:B), "N/A")</f>
        <v>0</v>
      </c>
      <c r="N231" cm="1">
        <f t="array" ref="N231">IFERROR(_xlfn.XLOOKUP(C231&amp;A231, TDrate!F:F&amp;TDrate!H:H, TDrate!D:D), "N/A")</f>
        <v>1.17E-2</v>
      </c>
    </row>
    <row r="232" spans="1:14" x14ac:dyDescent="0.45">
      <c r="A232" s="5">
        <v>2024</v>
      </c>
      <c r="B232" s="6" t="s">
        <v>484</v>
      </c>
      <c r="C232" s="7" t="str">
        <f t="shared" si="6"/>
        <v>Samaje Perine</v>
      </c>
      <c r="D232" s="7" t="str">
        <f t="shared" si="7"/>
        <v>KC</v>
      </c>
      <c r="E232" cm="1">
        <f t="array" aca="1" ref="E232" ca="1">IFERROR(_xlfn.XLOOKUP(C232&amp;A232, Inside5!B:B&amp;Inside5!I:I, Inside5!C:C), 0)</f>
        <v>1</v>
      </c>
      <c r="F232" cm="1">
        <f t="array" aca="1" ref="F232" ca="1">IFERROR(_xlfn.XLOOKUP(C232&amp;A232, Inside5!B:B&amp;Inside5!I:I, Inside5!D:D), 0)</f>
        <v>1</v>
      </c>
      <c r="G232" cm="1">
        <f t="array" ref="G232">IFERROR(_xlfn.XLOOKUP(C232&amp;A232, Inside5!B:B&amp;Inside5!I:I, Inside5!E:E), 0)</f>
        <v>0.04</v>
      </c>
      <c r="H232" t="str" cm="1">
        <f t="array" ref="H232">IFERROR(_xlfn.XLOOKUP(C232&amp;A232, TDrate!F:F&amp;TDrate!H:H, TDrate!C:C), "N/A")</f>
        <v>N/A</v>
      </c>
      <c r="I232" t="str" cm="1">
        <f t="array" ref="I232">IFERROR(_xlfn.XLOOKUP(C232&amp;A232, TDrate!F:F&amp;TDrate!H:H, TDrate!E:E), "N/A")</f>
        <v>N/A</v>
      </c>
      <c r="J232" cm="1">
        <f t="array" ref="J232">IFERROR(_xlfn.XLOOKUP(C232&amp;A232, Inside5!B:B&amp;Inside5!I:I, Inside5!F:F), 0)</f>
        <v>0</v>
      </c>
      <c r="K232" cm="1">
        <f t="array" ref="K232">IFERROR(_xlfn.XLOOKUP(C232&amp;A232, Inside5!B:B&amp;Inside5!I:I, Inside5!G:G), 0)</f>
        <v>1</v>
      </c>
      <c r="L232" cm="1">
        <f t="array" ref="L232">IFERROR(_xlfn.XLOOKUP(C232&amp;A232, Inside5!B:B&amp;Inside5!I:I, Inside5!H:H), 0)</f>
        <v>0</v>
      </c>
      <c r="M232" t="str" cm="1">
        <f t="array" ref="M232">IFERROR(_xlfn.XLOOKUP(C232&amp;A232, TDrate!F:F&amp;TDrate!H:H, TDrate!B:B), "N/A")</f>
        <v>N/A</v>
      </c>
      <c r="N232" t="str" cm="1">
        <f t="array" ref="N232">IFERROR(_xlfn.XLOOKUP(C232&amp;A232, TDrate!F:F&amp;TDrate!H:H, TDrate!D:D), "N/A")</f>
        <v>N/A</v>
      </c>
    </row>
    <row r="233" spans="1:14" x14ac:dyDescent="0.45">
      <c r="A233" s="8">
        <v>2024</v>
      </c>
      <c r="B233" s="9" t="s">
        <v>485</v>
      </c>
      <c r="C233" s="10" t="str">
        <f t="shared" si="6"/>
        <v>Miles Sanders</v>
      </c>
      <c r="D233" s="10" t="str">
        <f t="shared" si="7"/>
        <v>CAR</v>
      </c>
      <c r="E233" cm="1">
        <f t="array" aca="1" ref="E233" ca="1">IFERROR(_xlfn.XLOOKUP(C233&amp;A233, Inside5!B:B&amp;Inside5!I:I, Inside5!C:C), 0)</f>
        <v>1</v>
      </c>
      <c r="F233" cm="1">
        <f t="array" aca="1" ref="F233" ca="1">IFERROR(_xlfn.XLOOKUP(C233&amp;A233, Inside5!B:B&amp;Inside5!I:I, Inside5!D:D), 0)</f>
        <v>1</v>
      </c>
      <c r="G233" cm="1">
        <f t="array" ref="G233">IFERROR(_xlfn.XLOOKUP(C233&amp;A233, Inside5!B:B&amp;Inside5!I:I, Inside5!E:E), 0)</f>
        <v>4.2999999999999997E-2</v>
      </c>
      <c r="H233" cm="1">
        <f t="array" ref="H233">IFERROR(_xlfn.XLOOKUP(C233&amp;A233, TDrate!F:F&amp;TDrate!H:H, TDrate!C:C), "N/A")</f>
        <v>3.6400000000000002E-2</v>
      </c>
      <c r="I233" cm="1">
        <f t="array" ref="I233">IFERROR(_xlfn.XLOOKUP(C233&amp;A233, TDrate!F:F&amp;TDrate!H:H, TDrate!E:E), "N/A")</f>
        <v>3.0200000000000001E-2</v>
      </c>
      <c r="J233" cm="1">
        <f t="array" ref="J233">IFERROR(_xlfn.XLOOKUP(C233&amp;A233, Inside5!B:B&amp;Inside5!I:I, Inside5!F:F), 0)</f>
        <v>0</v>
      </c>
      <c r="K233" cm="1">
        <f t="array" ref="K233">IFERROR(_xlfn.XLOOKUP(C233&amp;A233, Inside5!B:B&amp;Inside5!I:I, Inside5!G:G), 0)</f>
        <v>0</v>
      </c>
      <c r="L233" cm="1">
        <f t="array" ref="L233">IFERROR(_xlfn.XLOOKUP(C233&amp;A233, Inside5!B:B&amp;Inside5!I:I, Inside5!H:H), 0)</f>
        <v>0</v>
      </c>
      <c r="M233" cm="1">
        <f t="array" ref="M233">IFERROR(_xlfn.XLOOKUP(C233&amp;A233, TDrate!F:F&amp;TDrate!H:H, TDrate!B:B), "N/A")</f>
        <v>3.3300000000000003E-2</v>
      </c>
      <c r="N233" cm="1">
        <f t="array" ref="N233">IFERROR(_xlfn.XLOOKUP(C233&amp;A233, TDrate!F:F&amp;TDrate!H:H, TDrate!D:D), "N/A")</f>
        <v>2.4E-2</v>
      </c>
    </row>
    <row r="234" spans="1:14" x14ac:dyDescent="0.45">
      <c r="A234" s="5">
        <v>2024</v>
      </c>
      <c r="B234" s="6" t="s">
        <v>486</v>
      </c>
      <c r="C234" s="7" t="str">
        <f t="shared" si="6"/>
        <v>Raheem Mostert</v>
      </c>
      <c r="D234" s="7" t="str">
        <f t="shared" si="7"/>
        <v>MIA</v>
      </c>
      <c r="E234" cm="1">
        <f t="array" ref="E234">IFERROR(_xlfn.XLOOKUP(C234&amp;A234, Inside5!B:B&amp;Inside5!I:I, Inside5!C:C), 0)</f>
        <v>4</v>
      </c>
      <c r="F234" cm="1">
        <f t="array" ref="F234">IFERROR(_xlfn.XLOOKUP(C234&amp;A234, Inside5!B:B&amp;Inside5!I:I, Inside5!D:D), 0)</f>
        <v>1</v>
      </c>
      <c r="G234" cm="1">
        <f t="array" ref="G234">IFERROR(_xlfn.XLOOKUP(C234&amp;A234, Inside5!B:B&amp;Inside5!I:I, Inside5!E:E), 0)</f>
        <v>0.222</v>
      </c>
      <c r="H234" cm="1">
        <f t="array" ref="H234">IFERROR(_xlfn.XLOOKUP(C234&amp;A234, TDrate!F:F&amp;TDrate!H:H, TDrate!C:C), "N/A")</f>
        <v>2.35E-2</v>
      </c>
      <c r="I234" cm="1">
        <f t="array" ref="I234">IFERROR(_xlfn.XLOOKUP(C234&amp;A234, TDrate!F:F&amp;TDrate!H:H, TDrate!E:E), "N/A")</f>
        <v>2.7699999999999999E-2</v>
      </c>
      <c r="J234" cm="1">
        <f t="array" ref="J234">IFERROR(_xlfn.XLOOKUP(C234&amp;A234, Inside5!B:B&amp;Inside5!I:I, Inside5!F:F), 0)</f>
        <v>0</v>
      </c>
      <c r="K234" cm="1">
        <f t="array" aca="1" ref="K234" ca="1">IFERROR(_xlfn.XLOOKUP(C234&amp;A234, Inside5!B:B&amp;Inside5!I:I, Inside5!G:G), 0)</f>
        <v>0</v>
      </c>
      <c r="L234" cm="1">
        <f t="array" aca="1" ref="L234" ca="1">IFERROR(_xlfn.XLOOKUP(C234&amp;A234, Inside5!B:B&amp;Inside5!I:I, Inside5!H:H), 0)</f>
        <v>0</v>
      </c>
      <c r="M234" cm="1">
        <f t="array" ref="M234">IFERROR(_xlfn.XLOOKUP(C234&amp;A234, TDrate!F:F&amp;TDrate!H:H, TDrate!B:B), "N/A")</f>
        <v>0</v>
      </c>
      <c r="N234" cm="1">
        <f t="array" ref="N234">IFERROR(_xlfn.XLOOKUP(C234&amp;A234, TDrate!F:F&amp;TDrate!H:H, TDrate!D:D), "N/A")</f>
        <v>6.7000000000000002E-3</v>
      </c>
    </row>
    <row r="235" spans="1:14" x14ac:dyDescent="0.45">
      <c r="A235" s="8">
        <v>2024</v>
      </c>
      <c r="B235" s="9" t="s">
        <v>487</v>
      </c>
      <c r="C235" s="10" t="str">
        <f t="shared" si="6"/>
        <v>Kenny Gainwell</v>
      </c>
      <c r="D235" s="10" t="str">
        <f t="shared" si="7"/>
        <v>PHI</v>
      </c>
      <c r="E235" cm="1">
        <f t="array" aca="1" ref="E235" ca="1">IFERROR(_xlfn.XLOOKUP(C235&amp;A235, Inside5!B:B&amp;Inside5!I:I, Inside5!C:C), 0)</f>
        <v>3</v>
      </c>
      <c r="F235" cm="1">
        <f t="array" aca="1" ref="F235" ca="1">IFERROR(_xlfn.XLOOKUP(C235&amp;A235, Inside5!B:B&amp;Inside5!I:I, Inside5!D:D), 0)</f>
        <v>0</v>
      </c>
      <c r="G235" cm="1">
        <f t="array" ref="G235">IFERROR(_xlfn.XLOOKUP(C235&amp;A235, Inside5!B:B&amp;Inside5!I:I, Inside5!E:E), 0)</f>
        <v>0.15</v>
      </c>
      <c r="H235" cm="1">
        <f t="array" ref="H235">IFERROR(_xlfn.XLOOKUP(C235&amp;A235, TDrate!F:F&amp;TDrate!H:H, TDrate!C:C), "N/A")</f>
        <v>1.3299999999999999E-2</v>
      </c>
      <c r="I235" cm="1">
        <f t="array" ref="I235">IFERROR(_xlfn.XLOOKUP(C235&amp;A235, TDrate!F:F&amp;TDrate!H:H, TDrate!E:E), "N/A")</f>
        <v>2.4E-2</v>
      </c>
      <c r="J235" cm="1">
        <f t="array" ref="J235">IFERROR(_xlfn.XLOOKUP(C235&amp;A235, Inside5!B:B&amp;Inside5!I:I, Inside5!F:F), 0)</f>
        <v>0</v>
      </c>
      <c r="K235" cm="1">
        <f t="array" ref="K235">IFERROR(_xlfn.XLOOKUP(C235&amp;A235, Inside5!B:B&amp;Inside5!I:I, Inside5!G:G), 0)</f>
        <v>0</v>
      </c>
      <c r="L235" cm="1">
        <f t="array" ref="L235">IFERROR(_xlfn.XLOOKUP(C235&amp;A235, Inside5!B:B&amp;Inside5!I:I, Inside5!H:H), 0)</f>
        <v>0</v>
      </c>
      <c r="M235" cm="1">
        <f t="array" ref="M235">IFERROR(_xlfn.XLOOKUP(C235&amp;A235, TDrate!F:F&amp;TDrate!H:H, TDrate!B:B), "N/A")</f>
        <v>0</v>
      </c>
      <c r="N235" cm="1">
        <f t="array" ref="N235">IFERROR(_xlfn.XLOOKUP(C235&amp;A235, TDrate!F:F&amp;TDrate!H:H, TDrate!D:D), "N/A")</f>
        <v>1.1299999999999999E-2</v>
      </c>
    </row>
    <row r="236" spans="1:14" x14ac:dyDescent="0.45">
      <c r="A236" s="5">
        <v>2024</v>
      </c>
      <c r="B236" s="6" t="s">
        <v>488</v>
      </c>
      <c r="C236" s="7" t="str">
        <f t="shared" si="6"/>
        <v>Ezekiel Elliott</v>
      </c>
      <c r="D236" s="7" t="str">
        <f t="shared" si="7"/>
        <v>DAL</v>
      </c>
      <c r="E236" cm="1">
        <f t="array" aca="1" ref="E236" ca="1">IFERROR(_xlfn.XLOOKUP(C236&amp;A236, Inside5!B:B&amp;Inside5!I:I, Inside5!C:C), 0)</f>
        <v>5</v>
      </c>
      <c r="F236" cm="1">
        <f t="array" aca="1" ref="F236" ca="1">IFERROR(_xlfn.XLOOKUP(C236&amp;A236, Inside5!B:B&amp;Inside5!I:I, Inside5!D:D), 0)</f>
        <v>3</v>
      </c>
      <c r="G236" cm="1">
        <f t="array" ref="G236">IFERROR(_xlfn.XLOOKUP(C236&amp;A236, Inside5!B:B&amp;Inside5!I:I, Inside5!E:E), 0)</f>
        <v>0.625</v>
      </c>
      <c r="H236" cm="1">
        <f t="array" ref="H236">IFERROR(_xlfn.XLOOKUP(C236&amp;A236, TDrate!F:F&amp;TDrate!H:H, TDrate!C:C), "N/A")</f>
        <v>4.0500000000000001E-2</v>
      </c>
      <c r="I236" cm="1">
        <f t="array" ref="I236">IFERROR(_xlfn.XLOOKUP(C236&amp;A236, TDrate!F:F&amp;TDrate!H:H, TDrate!E:E), "N/A")</f>
        <v>3.9100000000000003E-2</v>
      </c>
      <c r="J236" cm="1">
        <f t="array" ref="J236">IFERROR(_xlfn.XLOOKUP(C236&amp;A236, Inside5!B:B&amp;Inside5!I:I, Inside5!F:F), 0)</f>
        <v>0</v>
      </c>
      <c r="K236" cm="1">
        <f t="array" ref="K236">IFERROR(_xlfn.XLOOKUP(C236&amp;A236, Inside5!B:B&amp;Inside5!I:I, Inside5!G:G), 0)</f>
        <v>0</v>
      </c>
      <c r="L236" cm="1">
        <f t="array" ref="L236">IFERROR(_xlfn.XLOOKUP(C236&amp;A236, Inside5!B:B&amp;Inside5!I:I, Inside5!H:H), 0)</f>
        <v>0</v>
      </c>
      <c r="M236" cm="1">
        <f t="array" ref="M236">IFERROR(_xlfn.XLOOKUP(C236&amp;A236, TDrate!F:F&amp;TDrate!H:H, TDrate!B:B), "N/A")</f>
        <v>0</v>
      </c>
      <c r="N236" cm="1">
        <f t="array" ref="N236">IFERROR(_xlfn.XLOOKUP(C236&amp;A236, TDrate!F:F&amp;TDrate!H:H, TDrate!D:D), "N/A")</f>
        <v>8.0999999999999996E-3</v>
      </c>
    </row>
    <row r="237" spans="1:14" x14ac:dyDescent="0.45">
      <c r="A237" s="8">
        <v>2024</v>
      </c>
      <c r="B237" s="9" t="s">
        <v>343</v>
      </c>
      <c r="C237" s="10" t="str">
        <f t="shared" si="6"/>
        <v>Isiah Pacheco</v>
      </c>
      <c r="D237" s="10" t="str">
        <f t="shared" si="7"/>
        <v>KC</v>
      </c>
      <c r="E237" cm="1">
        <f t="array" aca="1" ref="E237" ca="1">IFERROR(_xlfn.XLOOKUP(C237&amp;A237, Inside5!B:B&amp;Inside5!I:I, Inside5!C:C), 0)</f>
        <v>3</v>
      </c>
      <c r="F237" cm="1">
        <f t="array" aca="1" ref="F237" ca="1">IFERROR(_xlfn.XLOOKUP(C237&amp;A237, Inside5!B:B&amp;Inside5!I:I, Inside5!D:D), 0)</f>
        <v>1</v>
      </c>
      <c r="G237" cm="1">
        <f t="array" ref="G237">IFERROR(_xlfn.XLOOKUP(C237&amp;A237, Inside5!B:B&amp;Inside5!I:I, Inside5!E:E), 0)</f>
        <v>0.12</v>
      </c>
      <c r="H237" cm="1">
        <f t="array" ref="H237">IFERROR(_xlfn.XLOOKUP(C237&amp;A237, TDrate!F:F&amp;TDrate!H:H, TDrate!C:C), "N/A")</f>
        <v>1.2E-2</v>
      </c>
      <c r="I237" cm="1">
        <f t="array" ref="I237">IFERROR(_xlfn.XLOOKUP(C237&amp;A237, TDrate!F:F&amp;TDrate!H:H, TDrate!E:E), "N/A")</f>
        <v>1.7500000000000002E-2</v>
      </c>
      <c r="J237" cm="1">
        <f t="array" ref="J237">IFERROR(_xlfn.XLOOKUP(C237&amp;A237, Inside5!B:B&amp;Inside5!I:I, Inside5!F:F), 0)</f>
        <v>1</v>
      </c>
      <c r="K237" cm="1">
        <f t="array" aca="1" ref="K237" ca="1">IFERROR(_xlfn.XLOOKUP(C237&amp;A237, Inside5!B:B&amp;Inside5!I:I, Inside5!G:G), 0)</f>
        <v>1</v>
      </c>
      <c r="L237" cm="1">
        <f t="array" ref="L237">IFERROR(_xlfn.XLOOKUP(C237&amp;A237, Inside5!B:B&amp;Inside5!I:I, Inside5!H:H), 0)</f>
        <v>0</v>
      </c>
      <c r="M237" cm="1">
        <f t="array" ref="M237">IFERROR(_xlfn.XLOOKUP(C237&amp;A237, TDrate!F:F&amp;TDrate!H:H, TDrate!B:B), "N/A")</f>
        <v>0</v>
      </c>
      <c r="N237" cm="1">
        <f t="array" ref="N237">IFERROR(_xlfn.XLOOKUP(C237&amp;A237, TDrate!F:F&amp;TDrate!H:H, TDrate!D:D), "N/A")</f>
        <v>1.9800000000000002E-2</v>
      </c>
    </row>
    <row r="238" spans="1:14" x14ac:dyDescent="0.45">
      <c r="A238" s="5">
        <v>2024</v>
      </c>
      <c r="B238" s="6" t="s">
        <v>489</v>
      </c>
      <c r="C238" s="7" t="str">
        <f t="shared" si="6"/>
        <v>Audric Estime</v>
      </c>
      <c r="D238" s="7" t="str">
        <f t="shared" si="7"/>
        <v>DEN</v>
      </c>
      <c r="E238" cm="1">
        <f t="array" aca="1" ref="E238" ca="1">IFERROR(_xlfn.XLOOKUP(C238&amp;A238, Inside5!B:B&amp;Inside5!I:I, Inside5!C:C), 0)</f>
        <v>1</v>
      </c>
      <c r="F238" cm="1">
        <f t="array" aca="1" ref="F238" ca="1">IFERROR(_xlfn.XLOOKUP(C238&amp;A238, Inside5!B:B&amp;Inside5!I:I, Inside5!D:D), 0)</f>
        <v>1</v>
      </c>
      <c r="G238" cm="1">
        <f t="array" ref="G238">IFERROR(_xlfn.XLOOKUP(C238&amp;A238, Inside5!B:B&amp;Inside5!I:I, Inside5!E:E), 0)</f>
        <v>6.3E-2</v>
      </c>
      <c r="H238" cm="1">
        <f t="array" ref="H238">IFERROR(_xlfn.XLOOKUP(C238&amp;A238, TDrate!F:F&amp;TDrate!H:H, TDrate!C:C), "N/A")</f>
        <v>2.63E-2</v>
      </c>
      <c r="I238" cm="1">
        <f t="array" ref="I238">IFERROR(_xlfn.XLOOKUP(C238&amp;A238, TDrate!F:F&amp;TDrate!H:H, TDrate!E:E), "N/A")</f>
        <v>2.3300000000000001E-2</v>
      </c>
      <c r="J238" cm="1">
        <f t="array" ref="J238">IFERROR(_xlfn.XLOOKUP(C238&amp;A238, Inside5!B:B&amp;Inside5!I:I, Inside5!F:F), 0)</f>
        <v>0</v>
      </c>
      <c r="K238" cm="1">
        <f t="array" aca="1" ref="K238" ca="1">IFERROR(_xlfn.XLOOKUP(C238&amp;A238, Inside5!B:B&amp;Inside5!I:I, Inside5!G:G), 0)</f>
        <v>0</v>
      </c>
      <c r="L238" cm="1">
        <f t="array" aca="1" ref="L238" ca="1">IFERROR(_xlfn.XLOOKUP(C238&amp;A238, Inside5!B:B&amp;Inside5!I:I, Inside5!H:H), 0)</f>
        <v>0</v>
      </c>
      <c r="M238" cm="1">
        <f t="array" ref="M238">IFERROR(_xlfn.XLOOKUP(C238&amp;A238, TDrate!F:F&amp;TDrate!H:H, TDrate!B:B), "N/A")</f>
        <v>0</v>
      </c>
      <c r="N238" cm="1">
        <f t="array" ref="N238">IFERROR(_xlfn.XLOOKUP(C238&amp;A238, TDrate!F:F&amp;TDrate!H:H, TDrate!D:D), "N/A")</f>
        <v>1.6000000000000001E-3</v>
      </c>
    </row>
    <row r="239" spans="1:14" x14ac:dyDescent="0.45">
      <c r="A239" s="8">
        <v>2024</v>
      </c>
      <c r="B239" s="9" t="s">
        <v>490</v>
      </c>
      <c r="C239" s="10" t="str">
        <f t="shared" si="6"/>
        <v>Dameon Pierce</v>
      </c>
      <c r="D239" s="10" t="str">
        <f t="shared" si="7"/>
        <v>HOU</v>
      </c>
      <c r="E239" cm="1">
        <f t="array" aca="1" ref="E239" ca="1">IFERROR(_xlfn.XLOOKUP(C239&amp;A239, Inside5!B:B&amp;Inside5!I:I, Inside5!C:C), 0)</f>
        <v>0</v>
      </c>
      <c r="F239" cm="1">
        <f t="array" aca="1" ref="F239" ca="1">IFERROR(_xlfn.XLOOKUP(C239&amp;A239, Inside5!B:B&amp;Inside5!I:I, Inside5!D:D), 0)</f>
        <v>0</v>
      </c>
      <c r="G239" cm="1">
        <f t="array" ref="G239">IFERROR(_xlfn.XLOOKUP(C239&amp;A239, Inside5!B:B&amp;Inside5!I:I, Inside5!E:E), 0)</f>
        <v>0</v>
      </c>
      <c r="H239" cm="1">
        <f t="array" ref="H239">IFERROR(_xlfn.XLOOKUP(C239&amp;A239, TDrate!F:F&amp;TDrate!H:H, TDrate!C:C), "N/A")</f>
        <v>0.05</v>
      </c>
      <c r="I239" cm="1">
        <f t="array" ref="I239">IFERROR(_xlfn.XLOOKUP(C239&amp;A239, TDrate!F:F&amp;TDrate!H:H, TDrate!E:E), "N/A")</f>
        <v>3.04E-2</v>
      </c>
      <c r="J239" cm="1">
        <f t="array" ref="J239">IFERROR(_xlfn.XLOOKUP(C239&amp;A239, Inside5!B:B&amp;Inside5!I:I, Inside5!F:F), 0)</f>
        <v>0</v>
      </c>
      <c r="K239" cm="1">
        <f t="array" ref="K239">IFERROR(_xlfn.XLOOKUP(C239&amp;A239, Inside5!B:B&amp;Inside5!I:I, Inside5!G:G), 0)</f>
        <v>0</v>
      </c>
      <c r="L239" cm="1">
        <f t="array" ref="L239">IFERROR(_xlfn.XLOOKUP(C239&amp;A239, Inside5!B:B&amp;Inside5!I:I, Inside5!H:H), 0)</f>
        <v>0</v>
      </c>
      <c r="M239" cm="1">
        <f t="array" ref="M239">IFERROR(_xlfn.XLOOKUP(C239&amp;A239, TDrate!F:F&amp;TDrate!H:H, TDrate!B:B), "N/A")</f>
        <v>0</v>
      </c>
      <c r="N239" cm="1">
        <f t="array" ref="N239">IFERROR(_xlfn.XLOOKUP(C239&amp;A239, TDrate!F:F&amp;TDrate!H:H, TDrate!D:D), "N/A")</f>
        <v>9.9000000000000008E-3</v>
      </c>
    </row>
    <row r="240" spans="1:14" x14ac:dyDescent="0.45">
      <c r="A240" s="5">
        <v>2024</v>
      </c>
      <c r="B240" s="6" t="s">
        <v>369</v>
      </c>
      <c r="C240" s="7" t="str">
        <f t="shared" si="6"/>
        <v>Trey Benson</v>
      </c>
      <c r="D240" s="7" t="str">
        <f t="shared" si="7"/>
        <v>ARI</v>
      </c>
      <c r="E240" cm="1">
        <f t="array" aca="1" ref="E240" ca="1">IFERROR(_xlfn.XLOOKUP(C240&amp;A240, Inside5!B:B&amp;Inside5!I:I, Inside5!C:C), 0)</f>
        <v>1</v>
      </c>
      <c r="F240" cm="1">
        <f t="array" aca="1" ref="F240" ca="1">IFERROR(_xlfn.XLOOKUP(C240&amp;A240, Inside5!B:B&amp;Inside5!I:I, Inside5!D:D), 0)</f>
        <v>1</v>
      </c>
      <c r="G240" cm="1">
        <f t="array" ref="G240">IFERROR(_xlfn.XLOOKUP(C240&amp;A240, Inside5!B:B&amp;Inside5!I:I, Inside5!E:E), 0)</f>
        <v>7.0999999999999994E-2</v>
      </c>
      <c r="H240" cm="1">
        <f t="array" ref="H240">IFERROR(_xlfn.XLOOKUP(C240&amp;A240, TDrate!F:F&amp;TDrate!H:H, TDrate!C:C), "N/A")</f>
        <v>1.5900000000000001E-2</v>
      </c>
      <c r="I240" cm="1">
        <f t="array" ref="I240">IFERROR(_xlfn.XLOOKUP(C240&amp;A240, TDrate!F:F&amp;TDrate!H:H, TDrate!E:E), "N/A")</f>
        <v>1.4E-2</v>
      </c>
      <c r="J240" cm="1">
        <f t="array" ref="J240">IFERROR(_xlfn.XLOOKUP(C240&amp;A240, Inside5!B:B&amp;Inside5!I:I, Inside5!F:F), 0)</f>
        <v>0</v>
      </c>
      <c r="K240" cm="1">
        <f t="array" ref="K240">IFERROR(_xlfn.XLOOKUP(C240&amp;A240, Inside5!B:B&amp;Inside5!I:I, Inside5!G:G), 0)</f>
        <v>0</v>
      </c>
      <c r="L240" cm="1">
        <f t="array" ref="L240">IFERROR(_xlfn.XLOOKUP(C240&amp;A240, Inside5!B:B&amp;Inside5!I:I, Inside5!H:H), 0)</f>
        <v>0</v>
      </c>
      <c r="M240" cm="1">
        <f t="array" ref="M240">IFERROR(_xlfn.XLOOKUP(C240&amp;A240, TDrate!F:F&amp;TDrate!H:H, TDrate!B:B), "N/A")</f>
        <v>0</v>
      </c>
      <c r="N240" cm="1">
        <f t="array" ref="N240">IFERROR(_xlfn.XLOOKUP(C240&amp;A240, TDrate!F:F&amp;TDrate!H:H, TDrate!D:D), "N/A")</f>
        <v>3.5000000000000001E-3</v>
      </c>
    </row>
    <row r="241" spans="1:14" x14ac:dyDescent="0.45">
      <c r="A241" s="8">
        <v>2024</v>
      </c>
      <c r="B241" s="9" t="s">
        <v>352</v>
      </c>
      <c r="C241" s="10" t="str">
        <f t="shared" si="6"/>
        <v>Emari Demercado</v>
      </c>
      <c r="D241" s="10" t="str">
        <f t="shared" si="7"/>
        <v>ARI</v>
      </c>
      <c r="E241" cm="1">
        <f t="array" aca="1" ref="E241" ca="1">IFERROR(_xlfn.XLOOKUP(C241&amp;A241, Inside5!B:B&amp;Inside5!I:I, Inside5!C:C), 0)</f>
        <v>0</v>
      </c>
      <c r="F241" cm="1">
        <f t="array" aca="1" ref="F241" ca="1">IFERROR(_xlfn.XLOOKUP(C241&amp;A241, Inside5!B:B&amp;Inside5!I:I, Inside5!D:D), 0)</f>
        <v>0</v>
      </c>
      <c r="G241" cm="1">
        <f t="array" ref="G241">IFERROR(_xlfn.XLOOKUP(C241&amp;A241, Inside5!B:B&amp;Inside5!I:I, Inside5!E:E), 0)</f>
        <v>0</v>
      </c>
      <c r="H241" t="str" cm="1">
        <f t="array" ref="H241">IFERROR(_xlfn.XLOOKUP(C241&amp;A241, TDrate!F:F&amp;TDrate!H:H, TDrate!C:C), "N/A")</f>
        <v>N/A</v>
      </c>
      <c r="I241" t="str" cm="1">
        <f t="array" ref="I241">IFERROR(_xlfn.XLOOKUP(C241&amp;A241, TDrate!F:F&amp;TDrate!H:H, TDrate!E:E), "N/A")</f>
        <v>N/A</v>
      </c>
      <c r="J241" cm="1">
        <f t="array" ref="J241">IFERROR(_xlfn.XLOOKUP(C241&amp;A241, Inside5!B:B&amp;Inside5!I:I, Inside5!F:F), 0)</f>
        <v>0</v>
      </c>
      <c r="K241" cm="1">
        <f t="array" ref="K241">IFERROR(_xlfn.XLOOKUP(C241&amp;A241, Inside5!B:B&amp;Inside5!I:I, Inside5!G:G), 0)</f>
        <v>0</v>
      </c>
      <c r="L241" cm="1">
        <f t="array" ref="L241">IFERROR(_xlfn.XLOOKUP(C241&amp;A241, Inside5!B:B&amp;Inside5!I:I, Inside5!H:H), 0)</f>
        <v>0</v>
      </c>
      <c r="M241" t="str" cm="1">
        <f t="array" ref="M241">IFERROR(_xlfn.XLOOKUP(C241&amp;A241, TDrate!F:F&amp;TDrate!H:H, TDrate!B:B), "N/A")</f>
        <v>N/A</v>
      </c>
      <c r="N241" t="str" cm="1">
        <f t="array" ref="N241">IFERROR(_xlfn.XLOOKUP(C241&amp;A241, TDrate!F:F&amp;TDrate!H:H, TDrate!D:D), "N/A")</f>
        <v>N/A</v>
      </c>
    </row>
    <row r="242" spans="1:14" x14ac:dyDescent="0.45">
      <c r="A242" s="5">
        <v>2024</v>
      </c>
      <c r="B242" s="6" t="s">
        <v>469</v>
      </c>
      <c r="C242" s="7" t="str">
        <f t="shared" si="6"/>
        <v>Kyle Juszczyk</v>
      </c>
      <c r="D242" s="7" t="str">
        <f t="shared" si="7"/>
        <v>SF</v>
      </c>
      <c r="E242" cm="1">
        <f t="array" aca="1" ref="E242" ca="1">IFERROR(_xlfn.XLOOKUP(C242&amp;A242, Inside5!B:B&amp;Inside5!I:I, Inside5!C:C), 0)</f>
        <v>2</v>
      </c>
      <c r="F242" cm="1">
        <f t="array" aca="1" ref="F242" ca="1">IFERROR(_xlfn.XLOOKUP(C242&amp;A242, Inside5!B:B&amp;Inside5!I:I, Inside5!D:D), 0)</f>
        <v>0</v>
      </c>
      <c r="G242" cm="1">
        <f t="array" ref="G242">IFERROR(_xlfn.XLOOKUP(C242&amp;A242, Inside5!B:B&amp;Inside5!I:I, Inside5!E:E), 0)</f>
        <v>0.105</v>
      </c>
      <c r="H242" t="str" cm="1">
        <f t="array" ref="H242">IFERROR(_xlfn.XLOOKUP(C242&amp;A242, TDrate!F:F&amp;TDrate!H:H, TDrate!C:C), "N/A")</f>
        <v>N/A</v>
      </c>
      <c r="I242" t="str" cm="1">
        <f t="array" ref="I242">IFERROR(_xlfn.XLOOKUP(C242&amp;A242, TDrate!F:F&amp;TDrate!H:H, TDrate!E:E), "N/A")</f>
        <v>N/A</v>
      </c>
      <c r="J242" cm="1">
        <f t="array" ref="J242">IFERROR(_xlfn.XLOOKUP(C242&amp;A242, Inside5!B:B&amp;Inside5!I:I, Inside5!F:F), 0)</f>
        <v>0</v>
      </c>
      <c r="K242" cm="1">
        <f t="array" ref="K242">IFERROR(_xlfn.XLOOKUP(C242&amp;A242, Inside5!B:B&amp;Inside5!I:I, Inside5!G:G), 0)</f>
        <v>0</v>
      </c>
      <c r="L242" cm="1">
        <f t="array" ref="L242">IFERROR(_xlfn.XLOOKUP(C242&amp;A242, Inside5!B:B&amp;Inside5!I:I, Inside5!H:H), 0)</f>
        <v>0</v>
      </c>
      <c r="M242" t="str" cm="1">
        <f t="array" ref="M242">IFERROR(_xlfn.XLOOKUP(C242&amp;A242, TDrate!F:F&amp;TDrate!H:H, TDrate!B:B), "N/A")</f>
        <v>N/A</v>
      </c>
      <c r="N242" t="str" cm="1">
        <f t="array" ref="N242">IFERROR(_xlfn.XLOOKUP(C242&amp;A242, TDrate!F:F&amp;TDrate!H:H, TDrate!D:D), "N/A")</f>
        <v>N/A</v>
      </c>
    </row>
    <row r="243" spans="1:14" x14ac:dyDescent="0.45">
      <c r="A243" s="8">
        <v>2024</v>
      </c>
      <c r="B243" s="9" t="s">
        <v>491</v>
      </c>
      <c r="C243" s="10" t="str">
        <f t="shared" si="6"/>
        <v>Trey Sermon</v>
      </c>
      <c r="D243" s="10" t="str">
        <f t="shared" si="7"/>
        <v>IND</v>
      </c>
      <c r="E243" cm="1">
        <f t="array" ref="E243">IFERROR(_xlfn.XLOOKUP(C243&amp;A243, Inside5!B:B&amp;Inside5!I:I, Inside5!C:C), 0)</f>
        <v>7</v>
      </c>
      <c r="F243" cm="1">
        <f t="array" aca="1" ref="F243" ca="1">IFERROR(_xlfn.XLOOKUP(C243&amp;A243, Inside5!B:B&amp;Inside5!I:I, Inside5!D:D), 0)</f>
        <v>2</v>
      </c>
      <c r="G243" cm="1">
        <f t="array" ref="G243">IFERROR(_xlfn.XLOOKUP(C243&amp;A243, Inside5!B:B&amp;Inside5!I:I, Inside5!E:E), 0)</f>
        <v>0.26900000000000002</v>
      </c>
      <c r="H243" cm="1">
        <f t="array" ref="H243">IFERROR(_xlfn.XLOOKUP(C243&amp;A243, TDrate!F:F&amp;TDrate!H:H, TDrate!C:C), "N/A")</f>
        <v>3.5700000000000003E-2</v>
      </c>
      <c r="I243" cm="1">
        <f t="array" ref="I243">IFERROR(_xlfn.XLOOKUP(C243&amp;A243, TDrate!F:F&amp;TDrate!H:H, TDrate!E:E), "N/A")</f>
        <v>4.7100000000000003E-2</v>
      </c>
      <c r="J243" cm="1">
        <f t="array" ref="J243">IFERROR(_xlfn.XLOOKUP(C243&amp;A243, Inside5!B:B&amp;Inside5!I:I, Inside5!F:F), 0)</f>
        <v>0</v>
      </c>
      <c r="K243" cm="1">
        <f t="array" aca="1" ref="K243" ca="1">IFERROR(_xlfn.XLOOKUP(C243&amp;A243, Inside5!B:B&amp;Inside5!I:I, Inside5!G:G), 0)</f>
        <v>0</v>
      </c>
      <c r="L243" cm="1">
        <f t="array" ref="L243">IFERROR(_xlfn.XLOOKUP(C243&amp;A243, Inside5!B:B&amp;Inside5!I:I, Inside5!H:H), 0)</f>
        <v>0</v>
      </c>
      <c r="M243" cm="1">
        <f t="array" ref="M243">IFERROR(_xlfn.XLOOKUP(C243&amp;A243, TDrate!F:F&amp;TDrate!H:H, TDrate!B:B), "N/A")</f>
        <v>0</v>
      </c>
      <c r="N243" cm="1">
        <f t="array" ref="N243">IFERROR(_xlfn.XLOOKUP(C243&amp;A243, TDrate!F:F&amp;TDrate!H:H, TDrate!D:D), "N/A")</f>
        <v>1.0200000000000001E-2</v>
      </c>
    </row>
    <row r="244" spans="1:14" x14ac:dyDescent="0.45">
      <c r="A244" s="5">
        <v>2024</v>
      </c>
      <c r="B244" s="6" t="s">
        <v>413</v>
      </c>
      <c r="C244" s="7" t="str">
        <f t="shared" si="6"/>
        <v>Dare Ogunbowale</v>
      </c>
      <c r="D244" s="7" t="str">
        <f t="shared" si="7"/>
        <v>HOU</v>
      </c>
      <c r="E244" cm="1">
        <f t="array" ref="E244">IFERROR(_xlfn.XLOOKUP(C244&amp;A244, Inside5!B:B&amp;Inside5!I:I, Inside5!C:C), 0)</f>
        <v>0</v>
      </c>
      <c r="F244" cm="1">
        <f t="array" ref="F244">IFERROR(_xlfn.XLOOKUP(C244&amp;A244, Inside5!B:B&amp;Inside5!I:I, Inside5!D:D), 0)</f>
        <v>0</v>
      </c>
      <c r="G244" cm="1">
        <f t="array" ref="G244">IFERROR(_xlfn.XLOOKUP(C244&amp;A244, Inside5!B:B&amp;Inside5!I:I, Inside5!E:E), 0)</f>
        <v>0</v>
      </c>
      <c r="H244" cm="1">
        <f t="array" ref="H244">IFERROR(_xlfn.XLOOKUP(C244&amp;A244, TDrate!F:F&amp;TDrate!H:H, TDrate!C:C), "N/A")</f>
        <v>0</v>
      </c>
      <c r="I244" cm="1">
        <f t="array" ref="I244">IFERROR(_xlfn.XLOOKUP(C244&amp;A244, TDrate!F:F&amp;TDrate!H:H, TDrate!E:E), "N/A")</f>
        <v>7.0000000000000001E-3</v>
      </c>
      <c r="J244" cm="1">
        <f t="array" ref="J244">IFERROR(_xlfn.XLOOKUP(C244&amp;A244, Inside5!B:B&amp;Inside5!I:I, Inside5!F:F), 0)</f>
        <v>1</v>
      </c>
      <c r="K244" cm="1">
        <f t="array" ref="K244">IFERROR(_xlfn.XLOOKUP(C244&amp;A244, Inside5!B:B&amp;Inside5!I:I, Inside5!G:G), 0)</f>
        <v>3</v>
      </c>
      <c r="L244" cm="1">
        <f t="array" ref="L244">IFERROR(_xlfn.XLOOKUP(C244&amp;A244, Inside5!B:B&amp;Inside5!I:I, Inside5!H:H), 0)</f>
        <v>1</v>
      </c>
      <c r="M244" cm="1">
        <f t="array" ref="M244">IFERROR(_xlfn.XLOOKUP(C244&amp;A244, TDrate!F:F&amp;TDrate!H:H, TDrate!B:B), "N/A")</f>
        <v>3.5700000000000003E-2</v>
      </c>
      <c r="N244" cm="1">
        <f t="array" ref="N244">IFERROR(_xlfn.XLOOKUP(C244&amp;A244, TDrate!F:F&amp;TDrate!H:H, TDrate!D:D), "N/A")</f>
        <v>5.1900000000000002E-2</v>
      </c>
    </row>
    <row r="245" spans="1:14" x14ac:dyDescent="0.45">
      <c r="A245" s="8">
        <v>2024</v>
      </c>
      <c r="B245" s="9" t="s">
        <v>359</v>
      </c>
      <c r="C245" s="10" t="str">
        <f t="shared" si="6"/>
        <v>Isaiah Davis</v>
      </c>
      <c r="D245" s="10" t="str">
        <f t="shared" si="7"/>
        <v>NYJ</v>
      </c>
      <c r="E245" cm="1">
        <f t="array" ref="E245">IFERROR(_xlfn.XLOOKUP(C245&amp;A245, Inside5!B:B&amp;Inside5!I:I, Inside5!C:C), 0)</f>
        <v>0</v>
      </c>
      <c r="F245" cm="1">
        <f t="array" aca="1" ref="F245" ca="1">IFERROR(_xlfn.XLOOKUP(C245&amp;A245, Inside5!B:B&amp;Inside5!I:I, Inside5!D:D), 0)</f>
        <v>0</v>
      </c>
      <c r="G245" cm="1">
        <f t="array" ref="G245">IFERROR(_xlfn.XLOOKUP(C245&amp;A245, Inside5!B:B&amp;Inside5!I:I, Inside5!E:E), 0)</f>
        <v>0</v>
      </c>
      <c r="H245" cm="1">
        <f t="array" ref="H245">IFERROR(_xlfn.XLOOKUP(C245&amp;A245, TDrate!F:F&amp;TDrate!H:H, TDrate!C:C), "N/A")</f>
        <v>3.3300000000000003E-2</v>
      </c>
      <c r="I245" cm="1">
        <f t="array" ref="I245">IFERROR(_xlfn.XLOOKUP(C245&amp;A245, TDrate!F:F&amp;TDrate!H:H, TDrate!E:E), "N/A")</f>
        <v>2.1299999999999999E-2</v>
      </c>
      <c r="J245" cm="1">
        <f t="array" ref="J245">IFERROR(_xlfn.XLOOKUP(C245&amp;A245, Inside5!B:B&amp;Inside5!I:I, Inside5!F:F), 0)</f>
        <v>1</v>
      </c>
      <c r="K245" cm="1">
        <f t="array" aca="1" ref="K245" ca="1">IFERROR(_xlfn.XLOOKUP(C245&amp;A245, Inside5!B:B&amp;Inside5!I:I, Inside5!G:G), 0)</f>
        <v>1</v>
      </c>
      <c r="L245" cm="1">
        <f t="array" aca="1" ref="L245" ca="1">IFERROR(_xlfn.XLOOKUP(C245&amp;A245, Inside5!B:B&amp;Inside5!I:I, Inside5!H:H), 0)</f>
        <v>1</v>
      </c>
      <c r="M245" cm="1">
        <f t="array" ref="M245">IFERROR(_xlfn.XLOOKUP(C245&amp;A245, TDrate!F:F&amp;TDrate!H:H, TDrate!B:B), "N/A")</f>
        <v>8.3299999999999999E-2</v>
      </c>
      <c r="N245" cm="1">
        <f t="array" ref="N245">IFERROR(_xlfn.XLOOKUP(C245&amp;A245, TDrate!F:F&amp;TDrate!H:H, TDrate!D:D), "N/A")</f>
        <v>7.1800000000000003E-2</v>
      </c>
    </row>
    <row r="246" spans="1:14" x14ac:dyDescent="0.45">
      <c r="A246" s="5">
        <v>2024</v>
      </c>
      <c r="B246" s="6" t="s">
        <v>415</v>
      </c>
      <c r="C246" s="7" t="str">
        <f t="shared" si="6"/>
        <v>Tyler Goodson</v>
      </c>
      <c r="D246" s="7" t="str">
        <f t="shared" si="7"/>
        <v>IND</v>
      </c>
      <c r="E246" cm="1">
        <f t="array" aca="1" ref="E246" ca="1">IFERROR(_xlfn.XLOOKUP(C246&amp;A246, Inside5!B:B&amp;Inside5!I:I, Inside5!C:C), 0)</f>
        <v>1</v>
      </c>
      <c r="F246" cm="1">
        <f t="array" aca="1" ref="F246" ca="1">IFERROR(_xlfn.XLOOKUP(C246&amp;A246, Inside5!B:B&amp;Inside5!I:I, Inside5!D:D), 0)</f>
        <v>0</v>
      </c>
      <c r="G246" cm="1">
        <f t="array" ref="G246">IFERROR(_xlfn.XLOOKUP(C246&amp;A246, Inside5!B:B&amp;Inside5!I:I, Inside5!E:E), 0)</f>
        <v>3.7999999999999999E-2</v>
      </c>
      <c r="H246" cm="1">
        <f t="array" ref="H246">IFERROR(_xlfn.XLOOKUP(C246&amp;A246, TDrate!F:F&amp;TDrate!H:H, TDrate!C:C), "N/A")</f>
        <v>3.1300000000000001E-2</v>
      </c>
      <c r="I246" cm="1">
        <f t="array" ref="I246">IFERROR(_xlfn.XLOOKUP(C246&amp;A246, TDrate!F:F&amp;TDrate!H:H, TDrate!E:E), "N/A")</f>
        <v>2.9700000000000001E-2</v>
      </c>
      <c r="J246" cm="1">
        <f t="array" ref="J246">IFERROR(_xlfn.XLOOKUP(C246&amp;A246, Inside5!B:B&amp;Inside5!I:I, Inside5!F:F), 0)</f>
        <v>1</v>
      </c>
      <c r="K246" cm="1">
        <f t="array" aca="1" ref="K246" ca="1">IFERROR(_xlfn.XLOOKUP(C246&amp;A246, Inside5!B:B&amp;Inside5!I:I, Inside5!G:G), 0)</f>
        <v>1</v>
      </c>
      <c r="L246" cm="1">
        <f t="array" ref="L246">IFERROR(_xlfn.XLOOKUP(C246&amp;A246, Inside5!B:B&amp;Inside5!I:I, Inside5!H:H), 0)</f>
        <v>1</v>
      </c>
      <c r="M246" cm="1">
        <f t="array" ref="M246">IFERROR(_xlfn.XLOOKUP(C246&amp;A246, TDrate!F:F&amp;TDrate!H:H, TDrate!B:B), "N/A")</f>
        <v>6.6699999999999995E-2</v>
      </c>
      <c r="N246" cm="1">
        <f t="array" ref="N246">IFERROR(_xlfn.XLOOKUP(C246&amp;A246, TDrate!F:F&amp;TDrate!H:H, TDrate!D:D), "N/A")</f>
        <v>5.57E-2</v>
      </c>
    </row>
    <row r="247" spans="1:14" x14ac:dyDescent="0.45">
      <c r="A247" s="8">
        <v>2024</v>
      </c>
      <c r="B247" s="9" t="s">
        <v>304</v>
      </c>
      <c r="C247" s="10" t="str">
        <f t="shared" si="6"/>
        <v>Christian McCaffrey</v>
      </c>
      <c r="D247" s="10" t="str">
        <f t="shared" si="7"/>
        <v>SF</v>
      </c>
      <c r="E247" cm="1">
        <f t="array" ref="E247">IFERROR(_xlfn.XLOOKUP(C247&amp;A247, Inside5!B:B&amp;Inside5!I:I, Inside5!C:C), 0)</f>
        <v>1</v>
      </c>
      <c r="F247" cm="1">
        <f t="array" ref="F247">IFERROR(_xlfn.XLOOKUP(C247&amp;A247, Inside5!B:B&amp;Inside5!I:I, Inside5!D:D), 0)</f>
        <v>0</v>
      </c>
      <c r="G247" cm="1">
        <f t="array" ref="G247">IFERROR(_xlfn.XLOOKUP(C247&amp;A247, Inside5!B:B&amp;Inside5!I:I, Inside5!E:E), 0)</f>
        <v>5.2999999999999999E-2</v>
      </c>
      <c r="H247" cm="1">
        <f t="array" ref="H247">IFERROR(_xlfn.XLOOKUP(C247&amp;A247, TDrate!F:F&amp;TDrate!H:H, TDrate!C:C), "N/A")</f>
        <v>0</v>
      </c>
      <c r="I247" cm="1">
        <f t="array" ref="I247">IFERROR(_xlfn.XLOOKUP(C247&amp;A247, TDrate!F:F&amp;TDrate!H:H, TDrate!E:E), "N/A")</f>
        <v>7.9000000000000008E-3</v>
      </c>
      <c r="J247" cm="1">
        <f t="array" ref="J247">IFERROR(_xlfn.XLOOKUP(C247&amp;A247, Inside5!B:B&amp;Inside5!I:I, Inside5!F:F), 0)</f>
        <v>0</v>
      </c>
      <c r="K247" cm="1">
        <f t="array" ref="K247">IFERROR(_xlfn.XLOOKUP(C247&amp;A247, Inside5!B:B&amp;Inside5!I:I, Inside5!G:G), 0)</f>
        <v>0</v>
      </c>
      <c r="L247" cm="1">
        <f t="array" ref="L247">IFERROR(_xlfn.XLOOKUP(C247&amp;A247, Inside5!B:B&amp;Inside5!I:I, Inside5!H:H), 0)</f>
        <v>0</v>
      </c>
      <c r="M247" cm="1">
        <f t="array" ref="M247">IFERROR(_xlfn.XLOOKUP(C247&amp;A247, TDrate!F:F&amp;TDrate!H:H, TDrate!B:B), "N/A")</f>
        <v>0</v>
      </c>
      <c r="N247" cm="1">
        <f t="array" ref="N247">IFERROR(_xlfn.XLOOKUP(C247&amp;A247, TDrate!F:F&amp;TDrate!H:H, TDrate!D:D), "N/A")</f>
        <v>1.6500000000000001E-2</v>
      </c>
    </row>
    <row r="248" spans="1:14" x14ac:dyDescent="0.45">
      <c r="A248" s="5">
        <v>2024</v>
      </c>
      <c r="B248" s="6" t="s">
        <v>375</v>
      </c>
      <c r="C248" s="7" t="str">
        <f t="shared" si="6"/>
        <v>Chris Brooks</v>
      </c>
      <c r="D248" s="7" t="str">
        <f t="shared" si="7"/>
        <v>GB</v>
      </c>
      <c r="E248" cm="1">
        <f t="array" aca="1" ref="E248" ca="1">IFERROR(_xlfn.XLOOKUP(C248&amp;A248, Inside5!B:B&amp;Inside5!I:I, Inside5!C:C), 0)</f>
        <v>1</v>
      </c>
      <c r="F248" cm="1">
        <f t="array" aca="1" ref="F248" ca="1">IFERROR(_xlfn.XLOOKUP(C248&amp;A248, Inside5!B:B&amp;Inside5!I:I, Inside5!D:D), 0)</f>
        <v>1</v>
      </c>
      <c r="G248" cm="1">
        <f t="array" ref="G248">IFERROR(_xlfn.XLOOKUP(C248&amp;A248, Inside5!B:B&amp;Inside5!I:I, Inside5!E:E), 0)</f>
        <v>3.5999999999999997E-2</v>
      </c>
      <c r="H248" cm="1">
        <f t="array" ref="H248">IFERROR(_xlfn.XLOOKUP(C248&amp;A248, TDrate!F:F&amp;TDrate!H:H, TDrate!C:C), "N/A")</f>
        <v>2.7799999999999998E-2</v>
      </c>
      <c r="I248" cm="1">
        <f t="array" ref="I248">IFERROR(_xlfn.XLOOKUP(C248&amp;A248, TDrate!F:F&amp;TDrate!H:H, TDrate!E:E), "N/A")</f>
        <v>2.69E-2</v>
      </c>
      <c r="J248" cm="1">
        <f t="array" ref="J248">IFERROR(_xlfn.XLOOKUP(C248&amp;A248, Inside5!B:B&amp;Inside5!I:I, Inside5!F:F), 0)</f>
        <v>0</v>
      </c>
      <c r="K248" cm="1">
        <f t="array" ref="K248">IFERROR(_xlfn.XLOOKUP(C248&amp;A248, Inside5!B:B&amp;Inside5!I:I, Inside5!G:G), 0)</f>
        <v>0</v>
      </c>
      <c r="L248" cm="1">
        <f t="array" ref="L248">IFERROR(_xlfn.XLOOKUP(C248&amp;A248, Inside5!B:B&amp;Inside5!I:I, Inside5!H:H), 0)</f>
        <v>0</v>
      </c>
      <c r="M248" cm="1">
        <f t="array" ref="M248">IFERROR(_xlfn.XLOOKUP(C248&amp;A248, TDrate!F:F&amp;TDrate!H:H, TDrate!B:B), "N/A")</f>
        <v>0</v>
      </c>
      <c r="N248" cm="1">
        <f t="array" ref="N248">IFERROR(_xlfn.XLOOKUP(C248&amp;A248, TDrate!F:F&amp;TDrate!H:H, TDrate!D:D), "N/A")</f>
        <v>1.46E-2</v>
      </c>
    </row>
    <row r="249" spans="1:14" x14ac:dyDescent="0.45">
      <c r="A249" s="8">
        <v>2024</v>
      </c>
      <c r="B249" s="9" t="s">
        <v>340</v>
      </c>
      <c r="C249" s="10" t="str">
        <f t="shared" si="6"/>
        <v>Chris Rodriguez Jr.</v>
      </c>
      <c r="D249" s="10" t="str">
        <f t="shared" si="7"/>
        <v>WAS</v>
      </c>
      <c r="E249" cm="1">
        <f t="array" ref="E249">IFERROR(_xlfn.XLOOKUP(C249&amp;A249, Inside5!B:B&amp;Inside5!I:I, Inside5!C:C), 0)</f>
        <v>2</v>
      </c>
      <c r="F249" cm="1">
        <f t="array" ref="F249">IFERROR(_xlfn.XLOOKUP(C249&amp;A249, Inside5!B:B&amp;Inside5!I:I, Inside5!D:D), 0)</f>
        <v>1</v>
      </c>
      <c r="G249" cm="1">
        <f t="array" ref="G249">IFERROR(_xlfn.XLOOKUP(C249&amp;A249, Inside5!B:B&amp;Inside5!I:I, Inside5!E:E), 0)</f>
        <v>9.0999999999999998E-2</v>
      </c>
      <c r="H249" cm="1">
        <f t="array" ref="H249">IFERROR(_xlfn.XLOOKUP(C249&amp;A249, TDrate!F:F&amp;TDrate!H:H, TDrate!C:C), "N/A")</f>
        <v>5.7099999999999998E-2</v>
      </c>
      <c r="I249" cm="1">
        <f t="array" ref="I249">IFERROR(_xlfn.XLOOKUP(C249&amp;A249, TDrate!F:F&amp;TDrate!H:H, TDrate!E:E), "N/A")</f>
        <v>5.3199999999999997E-2</v>
      </c>
      <c r="J249" cm="1">
        <f t="array" ref="J249">IFERROR(_xlfn.XLOOKUP(C249&amp;A249, Inside5!B:B&amp;Inside5!I:I, Inside5!F:F), 0)</f>
        <v>0</v>
      </c>
      <c r="K249" cm="1">
        <f t="array" ref="K249">IFERROR(_xlfn.XLOOKUP(C249&amp;A249, Inside5!B:B&amp;Inside5!I:I, Inside5!G:G), 0)</f>
        <v>0</v>
      </c>
      <c r="L249" cm="1">
        <f t="array" ref="L249">IFERROR(_xlfn.XLOOKUP(C249&amp;A249, Inside5!B:B&amp;Inside5!I:I, Inside5!H:H), 0)</f>
        <v>0</v>
      </c>
      <c r="M249" cm="1">
        <f t="array" ref="M249">IFERROR(_xlfn.XLOOKUP(C249&amp;A249, TDrate!F:F&amp;TDrate!H:H, TDrate!B:B), "N/A")</f>
        <v>0</v>
      </c>
      <c r="N249" cm="1">
        <f t="array" ref="N249">IFERROR(_xlfn.XLOOKUP(C249&amp;A249, TDrate!F:F&amp;TDrate!H:H, TDrate!D:D), "N/A")</f>
        <v>1.5599999999999999E-2</v>
      </c>
    </row>
    <row r="250" spans="1:14" x14ac:dyDescent="0.45">
      <c r="A250" s="5">
        <v>2024</v>
      </c>
      <c r="B250" s="6" t="s">
        <v>401</v>
      </c>
      <c r="C250" s="7" t="str">
        <f t="shared" si="6"/>
        <v>Hassan Haskins</v>
      </c>
      <c r="D250" s="7" t="str">
        <f t="shared" si="7"/>
        <v>LAC</v>
      </c>
      <c r="E250" cm="1">
        <f t="array" ref="E250">IFERROR(_xlfn.XLOOKUP(C250&amp;A250, Inside5!B:B&amp;Inside5!I:I, Inside5!C:C), 0)</f>
        <v>4</v>
      </c>
      <c r="F250" cm="1">
        <f t="array" ref="F250">IFERROR(_xlfn.XLOOKUP(C250&amp;A250, Inside5!B:B&amp;Inside5!I:I, Inside5!D:D), 0)</f>
        <v>1</v>
      </c>
      <c r="G250" cm="1">
        <f t="array" ref="G250">IFERROR(_xlfn.XLOOKUP(C250&amp;A250, Inside5!B:B&amp;Inside5!I:I, Inside5!E:E), 0)</f>
        <v>0.25</v>
      </c>
      <c r="H250" cm="1">
        <f t="array" ref="H250">IFERROR(_xlfn.XLOOKUP(C250&amp;A250, TDrate!F:F&amp;TDrate!H:H, TDrate!C:C), "N/A")</f>
        <v>5.8799999999999998E-2</v>
      </c>
      <c r="I250" cm="1">
        <f t="array" ref="I250">IFERROR(_xlfn.XLOOKUP(C250&amp;A250, TDrate!F:F&amp;TDrate!H:H, TDrate!E:E), "N/A")</f>
        <v>8.3299999999999999E-2</v>
      </c>
      <c r="J250" cm="1">
        <f t="array" ref="J250">IFERROR(_xlfn.XLOOKUP(C250&amp;A250, Inside5!B:B&amp;Inside5!I:I, Inside5!F:F), 0)</f>
        <v>0</v>
      </c>
      <c r="K250" cm="1">
        <f t="array" aca="1" ref="K250" ca="1">IFERROR(_xlfn.XLOOKUP(C250&amp;A250, Inside5!B:B&amp;Inside5!I:I, Inside5!G:G), 0)</f>
        <v>0</v>
      </c>
      <c r="L250" cm="1">
        <f t="array" ref="L250">IFERROR(_xlfn.XLOOKUP(C250&amp;A250, Inside5!B:B&amp;Inside5!I:I, Inside5!H:H), 0)</f>
        <v>0</v>
      </c>
      <c r="M250" cm="1">
        <f t="array" ref="M250">IFERROR(_xlfn.XLOOKUP(C250&amp;A250, TDrate!F:F&amp;TDrate!H:H, TDrate!B:B), "N/A")</f>
        <v>0.33329999999999999</v>
      </c>
      <c r="N250" cm="1">
        <f t="array" ref="N250">IFERROR(_xlfn.XLOOKUP(C250&amp;A250, TDrate!F:F&amp;TDrate!H:H, TDrate!D:D), "N/A")</f>
        <v>0.17050000000000001</v>
      </c>
    </row>
    <row r="251" spans="1:14" x14ac:dyDescent="0.45">
      <c r="A251" s="8">
        <v>2024</v>
      </c>
      <c r="B251" s="9" t="s">
        <v>492</v>
      </c>
      <c r="C251" s="10" t="str">
        <f t="shared" si="6"/>
        <v>Jamaal Williams</v>
      </c>
      <c r="D251" s="10" t="str">
        <f t="shared" si="7"/>
        <v>NO</v>
      </c>
      <c r="E251" cm="1">
        <f t="array" ref="E251">IFERROR(_xlfn.XLOOKUP(C251&amp;A251, Inside5!B:B&amp;Inside5!I:I, Inside5!C:C), 0)</f>
        <v>0</v>
      </c>
      <c r="F251" cm="1">
        <f t="array" ref="F251">IFERROR(_xlfn.XLOOKUP(C251&amp;A251, Inside5!B:B&amp;Inside5!I:I, Inside5!D:D), 0)</f>
        <v>0</v>
      </c>
      <c r="G251" cm="1">
        <f t="array" ref="G251">IFERROR(_xlfn.XLOOKUP(C251&amp;A251, Inside5!B:B&amp;Inside5!I:I, Inside5!E:E), 0)</f>
        <v>0</v>
      </c>
      <c r="H251" cm="1">
        <f t="array" ref="H251">IFERROR(_xlfn.XLOOKUP(C251&amp;A251, TDrate!F:F&amp;TDrate!H:H, TDrate!C:C), "N/A")</f>
        <v>2.0799999999999999E-2</v>
      </c>
      <c r="I251" cm="1">
        <f t="array" ref="I251">IFERROR(_xlfn.XLOOKUP(C251&amp;A251, TDrate!F:F&amp;TDrate!H:H, TDrate!E:E), "N/A")</f>
        <v>2.23E-2</v>
      </c>
      <c r="J251" cm="1">
        <f t="array" ref="J251">IFERROR(_xlfn.XLOOKUP(C251&amp;A251, Inside5!B:B&amp;Inside5!I:I, Inside5!F:F), 0)</f>
        <v>0</v>
      </c>
      <c r="K251" cm="1">
        <f t="array" aca="1" ref="K251" ca="1">IFERROR(_xlfn.XLOOKUP(C251&amp;A251, Inside5!B:B&amp;Inside5!I:I, Inside5!G:G), 0)</f>
        <v>0</v>
      </c>
      <c r="L251" cm="1">
        <f t="array" ref="L251">IFERROR(_xlfn.XLOOKUP(C251&amp;A251, Inside5!B:B&amp;Inside5!I:I, Inside5!H:H), 0)</f>
        <v>0</v>
      </c>
      <c r="M251" cm="1">
        <f t="array" ref="M251">IFERROR(_xlfn.XLOOKUP(C251&amp;A251, TDrate!F:F&amp;TDrate!H:H, TDrate!B:B), "N/A")</f>
        <v>0</v>
      </c>
      <c r="N251" cm="1">
        <f t="array" ref="N251">IFERROR(_xlfn.XLOOKUP(C251&amp;A251, TDrate!F:F&amp;TDrate!H:H, TDrate!D:D), "N/A")</f>
        <v>8.5000000000000006E-3</v>
      </c>
    </row>
    <row r="252" spans="1:14" x14ac:dyDescent="0.45">
      <c r="A252" s="5">
        <v>2024</v>
      </c>
      <c r="B252" s="6" t="s">
        <v>328</v>
      </c>
      <c r="C252" s="7" t="str">
        <f t="shared" si="6"/>
        <v>Kimani Vidal</v>
      </c>
      <c r="D252" s="7" t="str">
        <f t="shared" si="7"/>
        <v>LAC</v>
      </c>
      <c r="E252" cm="1">
        <f t="array" aca="1" ref="E252" ca="1">IFERROR(_xlfn.XLOOKUP(C252&amp;A252, Inside5!B:B&amp;Inside5!I:I, Inside5!C:C), 0)</f>
        <v>0</v>
      </c>
      <c r="F252" cm="1">
        <f t="array" aca="1" ref="F252" ca="1">IFERROR(_xlfn.XLOOKUP(C252&amp;A252, Inside5!B:B&amp;Inside5!I:I, Inside5!D:D), 0)</f>
        <v>0</v>
      </c>
      <c r="G252" cm="1">
        <f t="array" ref="G252">IFERROR(_xlfn.XLOOKUP(C252&amp;A252, Inside5!B:B&amp;Inside5!I:I, Inside5!E:E), 0)</f>
        <v>0</v>
      </c>
      <c r="H252" cm="1">
        <f t="array" ref="H252">IFERROR(_xlfn.XLOOKUP(C252&amp;A252, TDrate!F:F&amp;TDrate!H:H, TDrate!C:C), "N/A")</f>
        <v>0</v>
      </c>
      <c r="I252" cm="1">
        <f t="array" ref="I252">IFERROR(_xlfn.XLOOKUP(C252&amp;A252, TDrate!F:F&amp;TDrate!H:H, TDrate!E:E), "N/A")</f>
        <v>5.1000000000000004E-3</v>
      </c>
      <c r="J252" cm="1">
        <f t="array" ref="J252">IFERROR(_xlfn.XLOOKUP(C252&amp;A252, Inside5!B:B&amp;Inside5!I:I, Inside5!F:F), 0)</f>
        <v>0</v>
      </c>
      <c r="K252" cm="1">
        <f t="array" ref="K252">IFERROR(_xlfn.XLOOKUP(C252&amp;A252, Inside5!B:B&amp;Inside5!I:I, Inside5!G:G), 0)</f>
        <v>0</v>
      </c>
      <c r="L252" cm="1">
        <f t="array" ref="L252">IFERROR(_xlfn.XLOOKUP(C252&amp;A252, Inside5!B:B&amp;Inside5!I:I, Inside5!H:H), 0)</f>
        <v>0</v>
      </c>
      <c r="M252" cm="1">
        <f t="array" ref="M252">IFERROR(_xlfn.XLOOKUP(C252&amp;A252, TDrate!F:F&amp;TDrate!H:H, TDrate!B:B), "N/A")</f>
        <v>0.1111</v>
      </c>
      <c r="N252" cm="1">
        <f t="array" ref="N252">IFERROR(_xlfn.XLOOKUP(C252&amp;A252, TDrate!F:F&amp;TDrate!H:H, TDrate!D:D), "N/A")</f>
        <v>6.25E-2</v>
      </c>
    </row>
    <row r="253" spans="1:14" x14ac:dyDescent="0.45">
      <c r="A253" s="8">
        <v>2024</v>
      </c>
      <c r="B253" s="9" t="s">
        <v>493</v>
      </c>
      <c r="C253" s="10" t="str">
        <f t="shared" si="6"/>
        <v>Patrick Taylor Jr.</v>
      </c>
      <c r="D253" s="10" t="str">
        <f t="shared" si="7"/>
        <v>SF</v>
      </c>
      <c r="E253" cm="1">
        <f t="array" ref="E253">IFERROR(_xlfn.XLOOKUP(C253&amp;A253, Inside5!B:B&amp;Inside5!I:I, Inside5!C:C), 0)</f>
        <v>2</v>
      </c>
      <c r="F253" cm="1">
        <f t="array" ref="F253">IFERROR(_xlfn.XLOOKUP(C253&amp;A253, Inside5!B:B&amp;Inside5!I:I, Inside5!D:D), 0)</f>
        <v>1</v>
      </c>
      <c r="G253" cm="1">
        <f t="array" ref="G253">IFERROR(_xlfn.XLOOKUP(C253&amp;A253, Inside5!B:B&amp;Inside5!I:I, Inside5!E:E), 0)</f>
        <v>0.105</v>
      </c>
      <c r="H253" cm="1">
        <f t="array" ref="H253">IFERROR(_xlfn.XLOOKUP(C253&amp;A253, TDrate!F:F&amp;TDrate!H:H, TDrate!C:C), "N/A")</f>
        <v>2.5600000000000001E-2</v>
      </c>
      <c r="I253" cm="1">
        <f t="array" ref="I253">IFERROR(_xlfn.XLOOKUP(C253&amp;A253, TDrate!F:F&amp;TDrate!H:H, TDrate!E:E), "N/A")</f>
        <v>3.5099999999999999E-2</v>
      </c>
      <c r="J253" cm="1">
        <f t="array" ref="J253">IFERROR(_xlfn.XLOOKUP(C253&amp;A253, Inside5!B:B&amp;Inside5!I:I, Inside5!F:F), 0)</f>
        <v>0</v>
      </c>
      <c r="K253" cm="1">
        <f t="array" ref="K253">IFERROR(_xlfn.XLOOKUP(C253&amp;A253, Inside5!B:B&amp;Inside5!I:I, Inside5!G:G), 0)</f>
        <v>0</v>
      </c>
      <c r="L253" cm="1">
        <f t="array" ref="L253">IFERROR(_xlfn.XLOOKUP(C253&amp;A253, Inside5!B:B&amp;Inside5!I:I, Inside5!H:H), 0)</f>
        <v>0</v>
      </c>
      <c r="M253" cm="1">
        <f t="array" ref="M253">IFERROR(_xlfn.XLOOKUP(C253&amp;A253, TDrate!F:F&amp;TDrate!H:H, TDrate!B:B), "N/A")</f>
        <v>0</v>
      </c>
      <c r="N253" cm="1">
        <f t="array" ref="N253">IFERROR(_xlfn.XLOOKUP(C253&amp;A253, TDrate!F:F&amp;TDrate!H:H, TDrate!D:D), "N/A")</f>
        <v>8.0000000000000002E-3</v>
      </c>
    </row>
    <row r="254" spans="1:14" x14ac:dyDescent="0.45">
      <c r="A254" s="5">
        <v>2024</v>
      </c>
      <c r="B254" s="6" t="s">
        <v>494</v>
      </c>
      <c r="C254" s="7" t="str">
        <f t="shared" si="6"/>
        <v>D'Onta Foreman</v>
      </c>
      <c r="D254" s="7" t="str">
        <f t="shared" si="7"/>
        <v>CLE</v>
      </c>
      <c r="E254" cm="1">
        <f t="array" ref="E254">IFERROR(_xlfn.XLOOKUP(C254&amp;A254, Inside5!B:B&amp;Inside5!I:I, Inside5!C:C), 0)</f>
        <v>6</v>
      </c>
      <c r="F254" cm="1">
        <f t="array" aca="1" ref="F254" ca="1">IFERROR(_xlfn.XLOOKUP(C254&amp;A254, Inside5!B:B&amp;Inside5!I:I, Inside5!D:D), 0)</f>
        <v>0</v>
      </c>
      <c r="G254" cm="1">
        <f t="array" ref="G254">IFERROR(_xlfn.XLOOKUP(C254&amp;A254, Inside5!B:B&amp;Inside5!I:I, Inside5!E:E), 0)</f>
        <v>0.4</v>
      </c>
      <c r="H254" cm="1">
        <f t="array" ref="H254">IFERROR(_xlfn.XLOOKUP(C254&amp;A254, TDrate!F:F&amp;TDrate!H:H, TDrate!C:C), "N/A")</f>
        <v>0</v>
      </c>
      <c r="I254" cm="1">
        <f t="array" ref="I254">IFERROR(_xlfn.XLOOKUP(C254&amp;A254, TDrate!F:F&amp;TDrate!H:H, TDrate!E:E), "N/A")</f>
        <v>2.1700000000000001E-2</v>
      </c>
      <c r="J254" cm="1">
        <f t="array" ref="J254">IFERROR(_xlfn.XLOOKUP(C254&amp;A254, Inside5!B:B&amp;Inside5!I:I, Inside5!F:F), 0)</f>
        <v>0</v>
      </c>
      <c r="K254" cm="1">
        <f t="array" aca="1" ref="K254" ca="1">IFERROR(_xlfn.XLOOKUP(C254&amp;A254, Inside5!B:B&amp;Inside5!I:I, Inside5!G:G), 0)</f>
        <v>0</v>
      </c>
      <c r="L254" cm="1">
        <f t="array" ref="L254">IFERROR(_xlfn.XLOOKUP(C254&amp;A254, Inside5!B:B&amp;Inside5!I:I, Inside5!H:H), 0)</f>
        <v>0</v>
      </c>
      <c r="M254" cm="1">
        <f t="array" ref="M254">IFERROR(_xlfn.XLOOKUP(C254&amp;A254, TDrate!F:F&amp;TDrate!H:H, TDrate!B:B), "N/A")</f>
        <v>0</v>
      </c>
      <c r="N254" cm="1">
        <f t="array" ref="N254">IFERROR(_xlfn.XLOOKUP(C254&amp;A254, TDrate!F:F&amp;TDrate!H:H, TDrate!D:D), "N/A")</f>
        <v>3.5000000000000001E-3</v>
      </c>
    </row>
    <row r="255" spans="1:14" x14ac:dyDescent="0.45">
      <c r="A255" s="8">
        <v>2024</v>
      </c>
      <c r="B255" s="9" t="s">
        <v>323</v>
      </c>
      <c r="C255" s="10" t="str">
        <f t="shared" si="6"/>
        <v>Blake Corum</v>
      </c>
      <c r="D255" s="10" t="str">
        <f t="shared" si="7"/>
        <v>LAR</v>
      </c>
      <c r="E255" cm="1">
        <f t="array" ref="E255">IFERROR(_xlfn.XLOOKUP(C255&amp;A255, Inside5!B:B&amp;Inside5!I:I, Inside5!C:C), 0)</f>
        <v>5</v>
      </c>
      <c r="F255" cm="1">
        <f t="array" ref="F255">IFERROR(_xlfn.XLOOKUP(C255&amp;A255, Inside5!B:B&amp;Inside5!I:I, Inside5!D:D), 0)</f>
        <v>0</v>
      </c>
      <c r="G255" cm="1">
        <f t="array" ref="G255">IFERROR(_xlfn.XLOOKUP(C255&amp;A255, Inside5!B:B&amp;Inside5!I:I, Inside5!E:E), 0)</f>
        <v>0.2</v>
      </c>
      <c r="H255" cm="1">
        <f t="array" ref="H255">IFERROR(_xlfn.XLOOKUP(C255&amp;A255, TDrate!F:F&amp;TDrate!H:H, TDrate!C:C), "N/A")</f>
        <v>0</v>
      </c>
      <c r="I255" cm="1">
        <f t="array" ref="I255">IFERROR(_xlfn.XLOOKUP(C255&amp;A255, TDrate!F:F&amp;TDrate!H:H, TDrate!E:E), "N/A")</f>
        <v>2.06E-2</v>
      </c>
      <c r="J255" cm="1">
        <f t="array" ref="J255">IFERROR(_xlfn.XLOOKUP(C255&amp;A255, Inside5!B:B&amp;Inside5!I:I, Inside5!F:F), 0)</f>
        <v>0</v>
      </c>
      <c r="K255" cm="1">
        <f t="array" ref="K255">IFERROR(_xlfn.XLOOKUP(C255&amp;A255, Inside5!B:B&amp;Inside5!I:I, Inside5!G:G), 0)</f>
        <v>0</v>
      </c>
      <c r="L255" cm="1">
        <f t="array" ref="L255">IFERROR(_xlfn.XLOOKUP(C255&amp;A255, Inside5!B:B&amp;Inside5!I:I, Inside5!H:H), 0)</f>
        <v>0</v>
      </c>
      <c r="M255" cm="1">
        <f t="array" ref="M255">IFERROR(_xlfn.XLOOKUP(C255&amp;A255, TDrate!F:F&amp;TDrate!H:H, TDrate!B:B), "N/A")</f>
        <v>0</v>
      </c>
      <c r="N255" cm="1">
        <f t="array" ref="N255">IFERROR(_xlfn.XLOOKUP(C255&amp;A255, TDrate!F:F&amp;TDrate!H:H, TDrate!D:D), "N/A")</f>
        <v>1.4E-3</v>
      </c>
    </row>
    <row r="256" spans="1:14" x14ac:dyDescent="0.45">
      <c r="A256" s="5">
        <v>2024</v>
      </c>
      <c r="B256" s="6" t="s">
        <v>495</v>
      </c>
      <c r="C256" s="7" t="str">
        <f t="shared" si="6"/>
        <v>Cordarrelle Patterson</v>
      </c>
      <c r="D256" s="7" t="str">
        <f t="shared" si="7"/>
        <v>PIT</v>
      </c>
      <c r="E256" cm="1">
        <f t="array" aca="1" ref="E256" ca="1">IFERROR(_xlfn.XLOOKUP(C256&amp;A256, Inside5!B:B&amp;Inside5!I:I, Inside5!C:C), 0)</f>
        <v>1</v>
      </c>
      <c r="F256" cm="1">
        <f t="array" ref="F256">IFERROR(_xlfn.XLOOKUP(C256&amp;A256, Inside5!B:B&amp;Inside5!I:I, Inside5!D:D), 0)</f>
        <v>0</v>
      </c>
      <c r="G256" cm="1">
        <f t="array" ref="G256">IFERROR(_xlfn.XLOOKUP(C256&amp;A256, Inside5!B:B&amp;Inside5!I:I, Inside5!E:E), 0)</f>
        <v>5.8999999999999997E-2</v>
      </c>
      <c r="H256" cm="1">
        <f t="array" ref="H256">IFERROR(_xlfn.XLOOKUP(C256&amp;A256, TDrate!F:F&amp;TDrate!H:H, TDrate!C:C), "N/A")</f>
        <v>0</v>
      </c>
      <c r="I256" cm="1">
        <f t="array" ref="I256">IFERROR(_xlfn.XLOOKUP(C256&amp;A256, TDrate!F:F&amp;TDrate!H:H, TDrate!E:E), "N/A")</f>
        <v>8.8999999999999999E-3</v>
      </c>
      <c r="J256" cm="1">
        <f t="array" ref="J256">IFERROR(_xlfn.XLOOKUP(C256&amp;A256, Inside5!B:B&amp;Inside5!I:I, Inside5!F:F), 0)</f>
        <v>0</v>
      </c>
      <c r="K256" cm="1">
        <f t="array" ref="K256">IFERROR(_xlfn.XLOOKUP(C256&amp;A256, Inside5!B:B&amp;Inside5!I:I, Inside5!G:G), 0)</f>
        <v>0</v>
      </c>
      <c r="L256" cm="1">
        <f t="array" ref="L256">IFERROR(_xlfn.XLOOKUP(C256&amp;A256, Inside5!B:B&amp;Inside5!I:I, Inside5!H:H), 0)</f>
        <v>0</v>
      </c>
      <c r="M256" cm="1">
        <f t="array" ref="M256">IFERROR(_xlfn.XLOOKUP(C256&amp;A256, TDrate!F:F&amp;TDrate!H:H, TDrate!B:B), "N/A")</f>
        <v>7.1400000000000005E-2</v>
      </c>
      <c r="N256" cm="1">
        <f t="array" ref="N256">IFERROR(_xlfn.XLOOKUP(C256&amp;A256, TDrate!F:F&amp;TDrate!H:H, TDrate!D:D), "N/A")</f>
        <v>5.0099999999999999E-2</v>
      </c>
    </row>
    <row r="257" spans="1:14" x14ac:dyDescent="0.45">
      <c r="A257" s="8">
        <v>2024</v>
      </c>
      <c r="B257" s="9" t="s">
        <v>350</v>
      </c>
      <c r="C257" s="10" t="str">
        <f t="shared" si="6"/>
        <v>Michael Carter</v>
      </c>
      <c r="D257" s="10" t="str">
        <f t="shared" si="7"/>
        <v>ARI</v>
      </c>
      <c r="E257" cm="1">
        <f t="array" ref="E257">IFERROR(_xlfn.XLOOKUP(C257&amp;A257, Inside5!B:B&amp;Inside5!I:I, Inside5!C:C), 0)</f>
        <v>1</v>
      </c>
      <c r="F257" cm="1">
        <f t="array" ref="F257">IFERROR(_xlfn.XLOOKUP(C257&amp;A257, Inside5!B:B&amp;Inside5!I:I, Inside5!D:D), 0)</f>
        <v>0</v>
      </c>
      <c r="G257" cm="1">
        <f t="array" ref="G257">IFERROR(_xlfn.XLOOKUP(C257&amp;A257, Inside5!B:B&amp;Inside5!I:I, Inside5!E:E), 0)</f>
        <v>7.0999999999999994E-2</v>
      </c>
      <c r="H257" cm="1">
        <f t="array" ref="H257">IFERROR(_xlfn.XLOOKUP(C257&amp;A257, TDrate!F:F&amp;TDrate!H:H, TDrate!C:C), "N/A")</f>
        <v>2.86E-2</v>
      </c>
      <c r="I257" cm="1">
        <f t="array" ref="I257">IFERROR(_xlfn.XLOOKUP(C257&amp;A257, TDrate!F:F&amp;TDrate!H:H, TDrate!E:E), "N/A")</f>
        <v>3.5799999999999998E-2</v>
      </c>
      <c r="J257" cm="1">
        <f t="array" ref="J257">IFERROR(_xlfn.XLOOKUP(C257&amp;A257, Inside5!B:B&amp;Inside5!I:I, Inside5!F:F), 0)</f>
        <v>0</v>
      </c>
      <c r="K257" cm="1">
        <f t="array" aca="1" ref="K257" ca="1">IFERROR(_xlfn.XLOOKUP(C257&amp;A257, Inside5!B:B&amp;Inside5!I:I, Inside5!G:G), 0)</f>
        <v>0</v>
      </c>
      <c r="L257" cm="1">
        <f t="array" ref="L257">IFERROR(_xlfn.XLOOKUP(C257&amp;A257, Inside5!B:B&amp;Inside5!I:I, Inside5!H:H), 0)</f>
        <v>0</v>
      </c>
      <c r="M257" cm="1">
        <f t="array" ref="M257">IFERROR(_xlfn.XLOOKUP(C257&amp;A257, TDrate!F:F&amp;TDrate!H:H, TDrate!B:B), "N/A")</f>
        <v>0</v>
      </c>
      <c r="N257" cm="1">
        <f t="array" ref="N257">IFERROR(_xlfn.XLOOKUP(C257&amp;A257, TDrate!F:F&amp;TDrate!H:H, TDrate!D:D), "N/A")</f>
        <v>1.23E-2</v>
      </c>
    </row>
    <row r="258" spans="1:14" x14ac:dyDescent="0.45">
      <c r="A258" s="5">
        <v>2024</v>
      </c>
      <c r="B258" s="6" t="s">
        <v>365</v>
      </c>
      <c r="C258" s="7" t="str">
        <f t="shared" ref="C258:C321" si="8">TRIM(LEFT(B258, LEN(B258) - LEN(TRIM(RIGHT(SUBSTITUTE(TRIM(B258)," ",REPT(" ",100)),100)))))</f>
        <v>Kendre Miller</v>
      </c>
      <c r="D258" s="7" t="str">
        <f t="shared" ref="D258:D321" si="9">MID(B258, FIND("(", B258) + 1, FIND(")", B258) - FIND("(", B258) - 1)</f>
        <v>NO</v>
      </c>
      <c r="E258" cm="1">
        <f t="array" ref="E258">IFERROR(_xlfn.XLOOKUP(C258&amp;A258, Inside5!B:B&amp;Inside5!I:I, Inside5!C:C), 0)</f>
        <v>0</v>
      </c>
      <c r="F258" cm="1">
        <f t="array" aca="1" ref="F258" ca="1">IFERROR(_xlfn.XLOOKUP(C258&amp;A258, Inside5!B:B&amp;Inside5!I:I, Inside5!D:D), 0)</f>
        <v>0</v>
      </c>
      <c r="G258" cm="1">
        <f t="array" ref="G258">IFERROR(_xlfn.XLOOKUP(C258&amp;A258, Inside5!B:B&amp;Inside5!I:I, Inside5!E:E), 0)</f>
        <v>0</v>
      </c>
      <c r="H258" cm="1">
        <f t="array" ref="H258">IFERROR(_xlfn.XLOOKUP(C258&amp;A258, TDrate!F:F&amp;TDrate!H:H, TDrate!C:C), "N/A")</f>
        <v>2.5600000000000001E-2</v>
      </c>
      <c r="I258" cm="1">
        <f t="array" ref="I258">IFERROR(_xlfn.XLOOKUP(C258&amp;A258, TDrate!F:F&amp;TDrate!H:H, TDrate!E:E), "N/A")</f>
        <v>1.7100000000000001E-2</v>
      </c>
      <c r="J258" cm="1">
        <f t="array" ref="J258">IFERROR(_xlfn.XLOOKUP(C258&amp;A258, Inside5!B:B&amp;Inside5!I:I, Inside5!F:F), 0)</f>
        <v>0</v>
      </c>
      <c r="K258" cm="1">
        <f t="array" ref="K258">IFERROR(_xlfn.XLOOKUP(C258&amp;A258, Inside5!B:B&amp;Inside5!I:I, Inside5!G:G), 0)</f>
        <v>0</v>
      </c>
      <c r="L258" cm="1">
        <f t="array" ref="L258">IFERROR(_xlfn.XLOOKUP(C258&amp;A258, Inside5!B:B&amp;Inside5!I:I, Inside5!H:H), 0)</f>
        <v>0</v>
      </c>
      <c r="M258" cm="1">
        <f t="array" ref="M258">IFERROR(_xlfn.XLOOKUP(C258&amp;A258, TDrate!F:F&amp;TDrate!H:H, TDrate!B:B), "N/A")</f>
        <v>0</v>
      </c>
      <c r="N258" cm="1">
        <f t="array" ref="N258">IFERROR(_xlfn.XLOOKUP(C258&amp;A258, TDrate!F:F&amp;TDrate!H:H, TDrate!D:D), "N/A")</f>
        <v>3.8999999999999998E-3</v>
      </c>
    </row>
    <row r="259" spans="1:14" x14ac:dyDescent="0.45">
      <c r="A259" s="8">
        <v>2024</v>
      </c>
      <c r="B259" s="9" t="s">
        <v>496</v>
      </c>
      <c r="C259" s="10" t="str">
        <f t="shared" si="8"/>
        <v>D'Ernest Johnson</v>
      </c>
      <c r="D259" s="10" t="str">
        <f t="shared" si="9"/>
        <v>JAC</v>
      </c>
      <c r="E259" cm="1">
        <f t="array" ref="E259">IFERROR(_xlfn.XLOOKUP(C259&amp;A259, Inside5!B:B&amp;Inside5!I:I, Inside5!C:C), 0)</f>
        <v>1</v>
      </c>
      <c r="F259" cm="1">
        <f t="array" aca="1" ref="F259" ca="1">IFERROR(_xlfn.XLOOKUP(C259&amp;A259, Inside5!B:B&amp;Inside5!I:I, Inside5!D:D), 0)</f>
        <v>0</v>
      </c>
      <c r="G259" cm="1">
        <f t="array" ref="G259">IFERROR(_xlfn.XLOOKUP(C259&amp;A259, Inside5!B:B&amp;Inside5!I:I, Inside5!E:E), 0)</f>
        <v>7.0999999999999994E-2</v>
      </c>
      <c r="H259" cm="1">
        <f t="array" ref="H259">IFERROR(_xlfn.XLOOKUP(C259&amp;A259, TDrate!F:F&amp;TDrate!H:H, TDrate!C:C), "N/A")</f>
        <v>0</v>
      </c>
      <c r="I259" cm="1">
        <f t="array" ref="I259">IFERROR(_xlfn.XLOOKUP(C259&amp;A259, TDrate!F:F&amp;TDrate!H:H, TDrate!E:E), "N/A")</f>
        <v>1.44E-2</v>
      </c>
      <c r="J259" cm="1">
        <f t="array" ref="J259">IFERROR(_xlfn.XLOOKUP(C259&amp;A259, Inside5!B:B&amp;Inside5!I:I, Inside5!F:F), 0)</f>
        <v>0</v>
      </c>
      <c r="K259" cm="1">
        <f t="array" ref="K259">IFERROR(_xlfn.XLOOKUP(C259&amp;A259, Inside5!B:B&amp;Inside5!I:I, Inside5!G:G), 0)</f>
        <v>0</v>
      </c>
      <c r="L259" cm="1">
        <f t="array" ref="L259">IFERROR(_xlfn.XLOOKUP(C259&amp;A259, Inside5!B:B&amp;Inside5!I:I, Inside5!H:H), 0)</f>
        <v>0</v>
      </c>
      <c r="M259" cm="1">
        <f t="array" ref="M259">IFERROR(_xlfn.XLOOKUP(C259&amp;A259, TDrate!F:F&amp;TDrate!H:H, TDrate!B:B), "N/A")</f>
        <v>0</v>
      </c>
      <c r="N259" cm="1">
        <f t="array" ref="N259">IFERROR(_xlfn.XLOOKUP(C259&amp;A259, TDrate!F:F&amp;TDrate!H:H, TDrate!D:D), "N/A")</f>
        <v>1.23E-2</v>
      </c>
    </row>
    <row r="260" spans="1:14" x14ac:dyDescent="0.45">
      <c r="A260" s="5">
        <v>2024</v>
      </c>
      <c r="B260" s="6" t="s">
        <v>354</v>
      </c>
      <c r="C260" s="7" t="str">
        <f t="shared" si="8"/>
        <v>Jaylen Wright</v>
      </c>
      <c r="D260" s="7" t="str">
        <f t="shared" si="9"/>
        <v>MIA</v>
      </c>
      <c r="E260" cm="1">
        <f t="array" ref="E260">IFERROR(_xlfn.XLOOKUP(C260&amp;A260, Inside5!B:B&amp;Inside5!I:I, Inside5!C:C), 0)</f>
        <v>0</v>
      </c>
      <c r="F260" cm="1">
        <f t="array" ref="F260">IFERROR(_xlfn.XLOOKUP(C260&amp;A260, Inside5!B:B&amp;Inside5!I:I, Inside5!D:D), 0)</f>
        <v>0</v>
      </c>
      <c r="G260" cm="1">
        <f t="array" ref="G260">IFERROR(_xlfn.XLOOKUP(C260&amp;A260, Inside5!B:B&amp;Inside5!I:I, Inside5!E:E), 0)</f>
        <v>0</v>
      </c>
      <c r="H260" cm="1">
        <f t="array" ref="H260">IFERROR(_xlfn.XLOOKUP(C260&amp;A260, TDrate!F:F&amp;TDrate!H:H, TDrate!C:C), "N/A")</f>
        <v>0</v>
      </c>
      <c r="I260" cm="1">
        <f t="array" ref="I260">IFERROR(_xlfn.XLOOKUP(C260&amp;A260, TDrate!F:F&amp;TDrate!H:H, TDrate!E:E), "N/A")</f>
        <v>3.8E-3</v>
      </c>
      <c r="J260" cm="1">
        <f t="array" ref="J260">IFERROR(_xlfn.XLOOKUP(C260&amp;A260, Inside5!B:B&amp;Inside5!I:I, Inside5!F:F), 0)</f>
        <v>0</v>
      </c>
      <c r="K260" cm="1">
        <f t="array" ref="K260">IFERROR(_xlfn.XLOOKUP(C260&amp;A260, Inside5!B:B&amp;Inside5!I:I, Inside5!G:G), 0)</f>
        <v>0</v>
      </c>
      <c r="L260" cm="1">
        <f t="array" ref="L260">IFERROR(_xlfn.XLOOKUP(C260&amp;A260, Inside5!B:B&amp;Inside5!I:I, Inside5!H:H), 0)</f>
        <v>0</v>
      </c>
      <c r="M260" cm="1">
        <f t="array" ref="M260">IFERROR(_xlfn.XLOOKUP(C260&amp;A260, TDrate!F:F&amp;TDrate!H:H, TDrate!B:B), "N/A")</f>
        <v>0</v>
      </c>
      <c r="N260" cm="1">
        <f t="array" ref="N260">IFERROR(_xlfn.XLOOKUP(C260&amp;A260, TDrate!F:F&amp;TDrate!H:H, TDrate!D:D), "N/A")</f>
        <v>2.2800000000000001E-2</v>
      </c>
    </row>
    <row r="261" spans="1:14" x14ac:dyDescent="0.45">
      <c r="A261" s="8">
        <v>2024</v>
      </c>
      <c r="B261" s="9" t="s">
        <v>411</v>
      </c>
      <c r="C261" s="10" t="str">
        <f t="shared" si="8"/>
        <v>Zamir White</v>
      </c>
      <c r="D261" s="10" t="str">
        <f t="shared" si="9"/>
        <v>LV</v>
      </c>
      <c r="E261" cm="1">
        <f t="array" aca="1" ref="E261" ca="1">IFERROR(_xlfn.XLOOKUP(C261&amp;A261, Inside5!B:B&amp;Inside5!I:I, Inside5!C:C), 0)</f>
        <v>2</v>
      </c>
      <c r="F261" cm="1">
        <f t="array" aca="1" ref="F261" ca="1">IFERROR(_xlfn.XLOOKUP(C261&amp;A261, Inside5!B:B&amp;Inside5!I:I, Inside5!D:D), 0)</f>
        <v>1</v>
      </c>
      <c r="G261" cm="1">
        <f t="array" ref="G261">IFERROR(_xlfn.XLOOKUP(C261&amp;A261, Inside5!B:B&amp;Inside5!I:I, Inside5!E:E), 0)</f>
        <v>0.105</v>
      </c>
      <c r="H261" cm="1">
        <f t="array" ref="H261">IFERROR(_xlfn.XLOOKUP(C261&amp;A261, TDrate!F:F&amp;TDrate!H:H, TDrate!C:C), "N/A")</f>
        <v>1.54E-2</v>
      </c>
      <c r="I261" cm="1">
        <f t="array" ref="I261">IFERROR(_xlfn.XLOOKUP(C261&amp;A261, TDrate!F:F&amp;TDrate!H:H, TDrate!E:E), "N/A")</f>
        <v>1.9300000000000001E-2</v>
      </c>
      <c r="J261" cm="1">
        <f t="array" ref="J261">IFERROR(_xlfn.XLOOKUP(C261&amp;A261, Inside5!B:B&amp;Inside5!I:I, Inside5!F:F), 0)</f>
        <v>0</v>
      </c>
      <c r="K261" cm="1">
        <f t="array" ref="K261">IFERROR(_xlfn.XLOOKUP(C261&amp;A261, Inside5!B:B&amp;Inside5!I:I, Inside5!G:G), 0)</f>
        <v>0</v>
      </c>
      <c r="L261" cm="1">
        <f t="array" ref="L261">IFERROR(_xlfn.XLOOKUP(C261&amp;A261, Inside5!B:B&amp;Inside5!I:I, Inside5!H:H), 0)</f>
        <v>0</v>
      </c>
      <c r="M261" cm="1">
        <f t="array" ref="M261">IFERROR(_xlfn.XLOOKUP(C261&amp;A261, TDrate!F:F&amp;TDrate!H:H, TDrate!B:B), "N/A")</f>
        <v>0</v>
      </c>
      <c r="N261" cm="1">
        <f t="array" ref="N261">IFERROR(_xlfn.XLOOKUP(C261&amp;A261, TDrate!F:F&amp;TDrate!H:H, TDrate!D:D), "N/A")</f>
        <v>5.5999999999999999E-3</v>
      </c>
    </row>
    <row r="262" spans="1:14" x14ac:dyDescent="0.45">
      <c r="A262" s="5">
        <v>2024</v>
      </c>
      <c r="B262" s="6" t="s">
        <v>400</v>
      </c>
      <c r="C262" s="7" t="str">
        <f t="shared" si="8"/>
        <v>Ty Chandler</v>
      </c>
      <c r="D262" s="7" t="str">
        <f t="shared" si="9"/>
        <v>MIN</v>
      </c>
      <c r="E262" cm="1">
        <f t="array" aca="1" ref="E262" ca="1">IFERROR(_xlfn.XLOOKUP(C262&amp;A262, Inside5!B:B&amp;Inside5!I:I, Inside5!C:C), 0)</f>
        <v>0</v>
      </c>
      <c r="F262" cm="1">
        <f t="array" aca="1" ref="F262" ca="1">IFERROR(_xlfn.XLOOKUP(C262&amp;A262, Inside5!B:B&amp;Inside5!I:I, Inside5!D:D), 0)</f>
        <v>0</v>
      </c>
      <c r="G262" cm="1">
        <f t="array" ref="G262">IFERROR(_xlfn.XLOOKUP(C262&amp;A262, Inside5!B:B&amp;Inside5!I:I, Inside5!E:E), 0)</f>
        <v>0</v>
      </c>
      <c r="H262" cm="1">
        <f t="array" ref="H262">IFERROR(_xlfn.XLOOKUP(C262&amp;A262, TDrate!F:F&amp;TDrate!H:H, TDrate!C:C), "N/A")</f>
        <v>0</v>
      </c>
      <c r="I262" cm="1">
        <f t="array" ref="I262">IFERROR(_xlfn.XLOOKUP(C262&amp;A262, TDrate!F:F&amp;TDrate!H:H, TDrate!E:E), "N/A")</f>
        <v>5.4000000000000003E-3</v>
      </c>
      <c r="J262" cm="1">
        <f t="array" ref="J262">IFERROR(_xlfn.XLOOKUP(C262&amp;A262, Inside5!B:B&amp;Inside5!I:I, Inside5!F:F), 0)</f>
        <v>0</v>
      </c>
      <c r="K262" cm="1">
        <f t="array" ref="K262">IFERROR(_xlfn.XLOOKUP(C262&amp;A262, Inside5!B:B&amp;Inside5!I:I, Inside5!G:G), 0)</f>
        <v>0</v>
      </c>
      <c r="L262" cm="1">
        <f t="array" ref="L262">IFERROR(_xlfn.XLOOKUP(C262&amp;A262, Inside5!B:B&amp;Inside5!I:I, Inside5!H:H), 0)</f>
        <v>0</v>
      </c>
      <c r="M262" cm="1">
        <f t="array" ref="M262">IFERROR(_xlfn.XLOOKUP(C262&amp;A262, TDrate!F:F&amp;TDrate!H:H, TDrate!B:B), "N/A")</f>
        <v>0</v>
      </c>
      <c r="N262" cm="1">
        <f t="array" ref="N262">IFERROR(_xlfn.XLOOKUP(C262&amp;A262, TDrate!F:F&amp;TDrate!H:H, TDrate!D:D), "N/A")</f>
        <v>1.2800000000000001E-2</v>
      </c>
    </row>
    <row r="263" spans="1:14" x14ac:dyDescent="0.45">
      <c r="A263" s="8">
        <v>2024</v>
      </c>
      <c r="B263" s="9" t="s">
        <v>497</v>
      </c>
      <c r="C263" s="10" t="str">
        <f t="shared" si="8"/>
        <v>Khalil Herbert</v>
      </c>
      <c r="D263" s="10" t="str">
        <f t="shared" si="9"/>
        <v>CIN</v>
      </c>
      <c r="E263" cm="1">
        <f t="array" aca="1" ref="E263" ca="1">IFERROR(_xlfn.XLOOKUP(C263&amp;A263, Inside5!B:B&amp;Inside5!I:I, Inside5!C:C), 0)</f>
        <v>4</v>
      </c>
      <c r="F263" cm="1">
        <f t="array" aca="1" ref="F263" ca="1">IFERROR(_xlfn.XLOOKUP(C263&amp;A263, Inside5!B:B&amp;Inside5!I:I, Inside5!D:D), 0)</f>
        <v>1</v>
      </c>
      <c r="G263" cm="1">
        <f t="array" ref="G263">IFERROR(_xlfn.XLOOKUP(C263&amp;A263, Inside5!B:B&amp;Inside5!I:I, Inside5!E:E), 0)</f>
        <v>0.182</v>
      </c>
      <c r="H263" cm="1">
        <f t="array" ref="H263">IFERROR(_xlfn.XLOOKUP(C263&amp;A263, TDrate!F:F&amp;TDrate!H:H, TDrate!C:C), "N/A")</f>
        <v>2.7799999999999998E-2</v>
      </c>
      <c r="I263" cm="1">
        <f t="array" ref="I263">IFERROR(_xlfn.XLOOKUP(C263&amp;A263, TDrate!F:F&amp;TDrate!H:H, TDrate!E:E), "N/A")</f>
        <v>4.0800000000000003E-2</v>
      </c>
      <c r="J263" cm="1">
        <f t="array" ref="J263">IFERROR(_xlfn.XLOOKUP(C263&amp;A263, Inside5!B:B&amp;Inside5!I:I, Inside5!F:F), 0)</f>
        <v>0</v>
      </c>
      <c r="K263" cm="1">
        <f t="array" ref="K263">IFERROR(_xlfn.XLOOKUP(C263&amp;A263, Inside5!B:B&amp;Inside5!I:I, Inside5!G:G), 0)</f>
        <v>0</v>
      </c>
      <c r="L263" cm="1">
        <f t="array" ref="L263">IFERROR(_xlfn.XLOOKUP(C263&amp;A263, Inside5!B:B&amp;Inside5!I:I, Inside5!H:H), 0)</f>
        <v>0</v>
      </c>
      <c r="M263" cm="1">
        <f t="array" ref="M263">IFERROR(_xlfn.XLOOKUP(C263&amp;A263, TDrate!F:F&amp;TDrate!H:H, TDrate!B:B), "N/A")</f>
        <v>0</v>
      </c>
      <c r="N263" cm="1">
        <f t="array" ref="N263">IFERROR(_xlfn.XLOOKUP(C263&amp;A263, TDrate!F:F&amp;TDrate!H:H, TDrate!D:D), "N/A")</f>
        <v>2.3300000000000001E-2</v>
      </c>
    </row>
    <row r="264" spans="1:14" x14ac:dyDescent="0.45">
      <c r="A264" s="5">
        <v>2024</v>
      </c>
      <c r="B264" s="6" t="s">
        <v>498</v>
      </c>
      <c r="C264" s="7" t="str">
        <f t="shared" si="8"/>
        <v>Sincere McCormick</v>
      </c>
      <c r="D264" s="7" t="str">
        <f t="shared" si="9"/>
        <v>LV</v>
      </c>
      <c r="E264" cm="1">
        <f t="array" ref="E264">IFERROR(_xlfn.XLOOKUP(C264&amp;A264, Inside5!B:B&amp;Inside5!I:I, Inside5!C:C), 0)</f>
        <v>2</v>
      </c>
      <c r="F264" cm="1">
        <f t="array" ref="F264">IFERROR(_xlfn.XLOOKUP(C264&amp;A264, Inside5!B:B&amp;Inside5!I:I, Inside5!D:D), 0)</f>
        <v>0</v>
      </c>
      <c r="G264" cm="1">
        <f t="array" ref="G264">IFERROR(_xlfn.XLOOKUP(C264&amp;A264, Inside5!B:B&amp;Inside5!I:I, Inside5!E:E), 0)</f>
        <v>0.105</v>
      </c>
      <c r="H264" cm="1">
        <f t="array" ref="H264">IFERROR(_xlfn.XLOOKUP(C264&amp;A264, TDrate!F:F&amp;TDrate!H:H, TDrate!C:C), "N/A")</f>
        <v>0</v>
      </c>
      <c r="I264" cm="1">
        <f t="array" ref="I264">IFERROR(_xlfn.XLOOKUP(C264&amp;A264, TDrate!F:F&amp;TDrate!H:H, TDrate!E:E), "N/A")</f>
        <v>1.38E-2</v>
      </c>
      <c r="J264" cm="1">
        <f t="array" ref="J264">IFERROR(_xlfn.XLOOKUP(C264&amp;A264, Inside5!B:B&amp;Inside5!I:I, Inside5!F:F), 0)</f>
        <v>0</v>
      </c>
      <c r="K264" cm="1">
        <f t="array" ref="K264">IFERROR(_xlfn.XLOOKUP(C264&amp;A264, Inside5!B:B&amp;Inside5!I:I, Inside5!G:G), 0)</f>
        <v>0</v>
      </c>
      <c r="L264" cm="1">
        <f t="array" ref="L264">IFERROR(_xlfn.XLOOKUP(C264&amp;A264, Inside5!B:B&amp;Inside5!I:I, Inside5!H:H), 0)</f>
        <v>0</v>
      </c>
      <c r="M264" cm="1">
        <f t="array" ref="M264">IFERROR(_xlfn.XLOOKUP(C264&amp;A264, TDrate!F:F&amp;TDrate!H:H, TDrate!B:B), "N/A")</f>
        <v>0</v>
      </c>
      <c r="N264" cm="1">
        <f t="array" ref="N264">IFERROR(_xlfn.XLOOKUP(C264&amp;A264, TDrate!F:F&amp;TDrate!H:H, TDrate!D:D), "N/A")</f>
        <v>1.17E-2</v>
      </c>
    </row>
    <row r="265" spans="1:14" x14ac:dyDescent="0.45">
      <c r="A265" s="8">
        <v>2024</v>
      </c>
      <c r="B265" s="9" t="s">
        <v>499</v>
      </c>
      <c r="C265" s="10" t="str">
        <f t="shared" si="8"/>
        <v>Pierre Strong Jr.</v>
      </c>
      <c r="D265" s="10" t="str">
        <f t="shared" si="9"/>
        <v>CLE</v>
      </c>
      <c r="E265" cm="1">
        <f t="array" aca="1" ref="E265" ca="1">IFERROR(_xlfn.XLOOKUP(C265&amp;A265, Inside5!B:B&amp;Inside5!I:I, Inside5!C:C), 0)</f>
        <v>0</v>
      </c>
      <c r="F265" cm="1">
        <f t="array" aca="1" ref="F265" ca="1">IFERROR(_xlfn.XLOOKUP(C265&amp;A265, Inside5!B:B&amp;Inside5!I:I, Inside5!D:D), 0)</f>
        <v>0</v>
      </c>
      <c r="G265" cm="1">
        <f t="array" ref="G265">IFERROR(_xlfn.XLOOKUP(C265&amp;A265, Inside5!B:B&amp;Inside5!I:I, Inside5!E:E), 0)</f>
        <v>0</v>
      </c>
      <c r="H265" cm="1">
        <f t="array" ref="H265">IFERROR(_xlfn.XLOOKUP(C265&amp;A265, TDrate!F:F&amp;TDrate!H:H, TDrate!C:C), "N/A")</f>
        <v>0</v>
      </c>
      <c r="I265" cm="1">
        <f t="array" ref="I265">IFERROR(_xlfn.XLOOKUP(C265&amp;A265, TDrate!F:F&amp;TDrate!H:H, TDrate!E:E), "N/A")</f>
        <v>2.5999999999999999E-3</v>
      </c>
      <c r="J265" cm="1">
        <f t="array" ref="J265">IFERROR(_xlfn.XLOOKUP(C265&amp;A265, Inside5!B:B&amp;Inside5!I:I, Inside5!F:F), 0)</f>
        <v>0</v>
      </c>
      <c r="K265" cm="1">
        <f t="array" ref="K265">IFERROR(_xlfn.XLOOKUP(C265&amp;A265, Inside5!B:B&amp;Inside5!I:I, Inside5!G:G), 0)</f>
        <v>0</v>
      </c>
      <c r="L265" cm="1">
        <f t="array" ref="L265">IFERROR(_xlfn.XLOOKUP(C265&amp;A265, Inside5!B:B&amp;Inside5!I:I, Inside5!H:H), 0)</f>
        <v>0</v>
      </c>
      <c r="M265" cm="1">
        <f t="array" ref="M265">IFERROR(_xlfn.XLOOKUP(C265&amp;A265, TDrate!F:F&amp;TDrate!H:H, TDrate!B:B), "N/A")</f>
        <v>0</v>
      </c>
      <c r="N265" cm="1">
        <f t="array" ref="N265">IFERROR(_xlfn.XLOOKUP(C265&amp;A265, TDrate!F:F&amp;TDrate!H:H, TDrate!D:D), "N/A")</f>
        <v>6.1999999999999998E-3</v>
      </c>
    </row>
    <row r="266" spans="1:14" x14ac:dyDescent="0.45">
      <c r="A266" s="5">
        <v>2024</v>
      </c>
      <c r="B266" s="6" t="s">
        <v>500</v>
      </c>
      <c r="C266" s="7" t="str">
        <f t="shared" si="8"/>
        <v>Kenny McIntosh</v>
      </c>
      <c r="D266" s="7" t="str">
        <f t="shared" si="9"/>
        <v>SEA</v>
      </c>
      <c r="E266" cm="1">
        <f t="array" ref="E266">IFERROR(_xlfn.XLOOKUP(C266&amp;A266, Inside5!B:B&amp;Inside5!I:I, Inside5!C:C), 0)</f>
        <v>0</v>
      </c>
      <c r="F266" cm="1">
        <f t="array" ref="F266">IFERROR(_xlfn.XLOOKUP(C266&amp;A266, Inside5!B:B&amp;Inside5!I:I, Inside5!D:D), 0)</f>
        <v>0</v>
      </c>
      <c r="G266" cm="1">
        <f t="array" ref="G266">IFERROR(_xlfn.XLOOKUP(C266&amp;A266, Inside5!B:B&amp;Inside5!I:I, Inside5!E:E), 0)</f>
        <v>0</v>
      </c>
      <c r="H266" cm="1">
        <f t="array" ref="H266">IFERROR(_xlfn.XLOOKUP(C266&amp;A266, TDrate!F:F&amp;TDrate!H:H, TDrate!C:C), "N/A")</f>
        <v>0</v>
      </c>
      <c r="I266" cm="1">
        <f t="array" ref="I266">IFERROR(_xlfn.XLOOKUP(C266&amp;A266, TDrate!F:F&amp;TDrate!H:H, TDrate!E:E), "N/A")</f>
        <v>3.8999999999999998E-3</v>
      </c>
      <c r="J266" cm="1">
        <f t="array" ref="J266">IFERROR(_xlfn.XLOOKUP(C266&amp;A266, Inside5!B:B&amp;Inside5!I:I, Inside5!F:F), 0)</f>
        <v>0</v>
      </c>
      <c r="K266" cm="1">
        <f t="array" ref="K266">IFERROR(_xlfn.XLOOKUP(C266&amp;A266, Inside5!B:B&amp;Inside5!I:I, Inside5!G:G), 0)</f>
        <v>0</v>
      </c>
      <c r="L266" cm="1">
        <f t="array" ref="L266">IFERROR(_xlfn.XLOOKUP(C266&amp;A266, Inside5!B:B&amp;Inside5!I:I, Inside5!H:H), 0)</f>
        <v>0</v>
      </c>
      <c r="M266" cm="1">
        <f t="array" ref="M266">IFERROR(_xlfn.XLOOKUP(C266&amp;A266, TDrate!F:F&amp;TDrate!H:H, TDrate!B:B), "N/A")</f>
        <v>0</v>
      </c>
      <c r="N266" cm="1">
        <f t="array" ref="N266">IFERROR(_xlfn.XLOOKUP(C266&amp;A266, TDrate!F:F&amp;TDrate!H:H, TDrate!D:D), "N/A")</f>
        <v>1.4E-3</v>
      </c>
    </row>
    <row r="267" spans="1:14" x14ac:dyDescent="0.45">
      <c r="A267" s="8">
        <v>2024</v>
      </c>
      <c r="B267" s="9" t="s">
        <v>446</v>
      </c>
      <c r="C267" s="10" t="str">
        <f t="shared" si="8"/>
        <v>Michael Burton</v>
      </c>
      <c r="D267" s="10" t="str">
        <f t="shared" si="9"/>
        <v>DEN</v>
      </c>
      <c r="E267" cm="1">
        <f t="array" aca="1" ref="E267" ca="1">IFERROR(_xlfn.XLOOKUP(C267&amp;A267, Inside5!B:B&amp;Inside5!I:I, Inside5!C:C), 0)</f>
        <v>2</v>
      </c>
      <c r="F267" cm="1">
        <f t="array" aca="1" ref="F267" ca="1">IFERROR(_xlfn.XLOOKUP(C267&amp;A267, Inside5!B:B&amp;Inside5!I:I, Inside5!D:D), 0)</f>
        <v>1</v>
      </c>
      <c r="G267" cm="1">
        <f t="array" ref="G267">IFERROR(_xlfn.XLOOKUP(C267&amp;A267, Inside5!B:B&amp;Inside5!I:I, Inside5!E:E), 0)</f>
        <v>0.125</v>
      </c>
      <c r="H267" t="str" cm="1">
        <f t="array" ref="H267">IFERROR(_xlfn.XLOOKUP(C267&amp;A267, TDrate!F:F&amp;TDrate!H:H, TDrate!C:C), "N/A")</f>
        <v>N/A</v>
      </c>
      <c r="I267" t="str" cm="1">
        <f t="array" ref="I267">IFERROR(_xlfn.XLOOKUP(C267&amp;A267, TDrate!F:F&amp;TDrate!H:H, TDrate!E:E), "N/A")</f>
        <v>N/A</v>
      </c>
      <c r="J267" cm="1">
        <f t="array" ref="J267">IFERROR(_xlfn.XLOOKUP(C267&amp;A267, Inside5!B:B&amp;Inside5!I:I, Inside5!F:F), 0)</f>
        <v>2</v>
      </c>
      <c r="K267" cm="1">
        <f t="array" ref="K267">IFERROR(_xlfn.XLOOKUP(C267&amp;A267, Inside5!B:B&amp;Inside5!I:I, Inside5!G:G), 0)</f>
        <v>2</v>
      </c>
      <c r="L267" cm="1">
        <f t="array" ref="L267">IFERROR(_xlfn.XLOOKUP(C267&amp;A267, Inside5!B:B&amp;Inside5!I:I, Inside5!H:H), 0)</f>
        <v>1</v>
      </c>
      <c r="M267" t="str" cm="1">
        <f t="array" ref="M267">IFERROR(_xlfn.XLOOKUP(C267&amp;A267, TDrate!F:F&amp;TDrate!H:H, TDrate!B:B), "N/A")</f>
        <v>N/A</v>
      </c>
      <c r="N267" t="str" cm="1">
        <f t="array" ref="N267">IFERROR(_xlfn.XLOOKUP(C267&amp;A267, TDrate!F:F&amp;TDrate!H:H, TDrate!D:D), "N/A")</f>
        <v>N/A</v>
      </c>
    </row>
    <row r="268" spans="1:14" x14ac:dyDescent="0.45">
      <c r="A268" s="5">
        <v>2024</v>
      </c>
      <c r="B268" s="6" t="s">
        <v>501</v>
      </c>
      <c r="C268" s="7" t="str">
        <f t="shared" si="8"/>
        <v>JaMycal Hasty</v>
      </c>
      <c r="D268" s="7" t="str">
        <f t="shared" si="9"/>
        <v>NE</v>
      </c>
      <c r="E268" cm="1">
        <f t="array" aca="1" ref="E268" ca="1">IFERROR(_xlfn.XLOOKUP(C268&amp;A268, Inside5!B:B&amp;Inside5!I:I, Inside5!C:C), 0)</f>
        <v>0</v>
      </c>
      <c r="F268" cm="1">
        <f t="array" aca="1" ref="F268" ca="1">IFERROR(_xlfn.XLOOKUP(C268&amp;A268, Inside5!B:B&amp;Inside5!I:I, Inside5!D:D), 0)</f>
        <v>0</v>
      </c>
      <c r="G268" cm="1">
        <f t="array" ref="G268">IFERROR(_xlfn.XLOOKUP(C268&amp;A268, Inside5!B:B&amp;Inside5!I:I, Inside5!E:E), 0)</f>
        <v>0</v>
      </c>
      <c r="H268" t="str" cm="1">
        <f t="array" ref="H268">IFERROR(_xlfn.XLOOKUP(C268&amp;A268, TDrate!F:F&amp;TDrate!H:H, TDrate!C:C), "N/A")</f>
        <v>N/A</v>
      </c>
      <c r="I268" t="str" cm="1">
        <f t="array" ref="I268">IFERROR(_xlfn.XLOOKUP(C268&amp;A268, TDrate!F:F&amp;TDrate!H:H, TDrate!E:E), "N/A")</f>
        <v>N/A</v>
      </c>
      <c r="J268" cm="1">
        <f t="array" ref="J268">IFERROR(_xlfn.XLOOKUP(C268&amp;A268, Inside5!B:B&amp;Inside5!I:I, Inside5!F:F), 0)</f>
        <v>0</v>
      </c>
      <c r="K268" cm="1">
        <f t="array" aca="1" ref="K268" ca="1">IFERROR(_xlfn.XLOOKUP(C268&amp;A268, Inside5!B:B&amp;Inside5!I:I, Inside5!G:G), 0)</f>
        <v>0</v>
      </c>
      <c r="L268" cm="1">
        <f t="array" aca="1" ref="L268" ca="1">IFERROR(_xlfn.XLOOKUP(C268&amp;A268, Inside5!B:B&amp;Inside5!I:I, Inside5!H:H), 0)</f>
        <v>0</v>
      </c>
      <c r="M268" t="str" cm="1">
        <f t="array" ref="M268">IFERROR(_xlfn.XLOOKUP(C268&amp;A268, TDrate!F:F&amp;TDrate!H:H, TDrate!B:B), "N/A")</f>
        <v>N/A</v>
      </c>
      <c r="N268" t="str" cm="1">
        <f t="array" ref="N268">IFERROR(_xlfn.XLOOKUP(C268&amp;A268, TDrate!F:F&amp;TDrate!H:H, TDrate!D:D), "N/A")</f>
        <v>N/A</v>
      </c>
    </row>
    <row r="269" spans="1:14" x14ac:dyDescent="0.45">
      <c r="A269" s="8">
        <v>2024</v>
      </c>
      <c r="B269" s="9" t="s">
        <v>502</v>
      </c>
      <c r="C269" s="10" t="str">
        <f t="shared" si="8"/>
        <v>DeeJay Dallas</v>
      </c>
      <c r="D269" s="10" t="str">
        <f t="shared" si="9"/>
        <v>ARI</v>
      </c>
      <c r="E269" cm="1">
        <f t="array" aca="1" ref="E269" ca="1">IFERROR(_xlfn.XLOOKUP(C269&amp;A269, Inside5!B:B&amp;Inside5!I:I, Inside5!C:C), 0)</f>
        <v>0</v>
      </c>
      <c r="F269" cm="1">
        <f t="array" aca="1" ref="F269" ca="1">IFERROR(_xlfn.XLOOKUP(C269&amp;A269, Inside5!B:B&amp;Inside5!I:I, Inside5!D:D), 0)</f>
        <v>0</v>
      </c>
      <c r="G269" cm="1">
        <f t="array" ref="G269">IFERROR(_xlfn.XLOOKUP(C269&amp;A269, Inside5!B:B&amp;Inside5!I:I, Inside5!E:E), 0)</f>
        <v>0</v>
      </c>
      <c r="H269" t="str" cm="1">
        <f t="array" ref="H269">IFERROR(_xlfn.XLOOKUP(C269&amp;A269, TDrate!F:F&amp;TDrate!H:H, TDrate!C:C), "N/A")</f>
        <v>N/A</v>
      </c>
      <c r="I269" t="str" cm="1">
        <f t="array" ref="I269">IFERROR(_xlfn.XLOOKUP(C269&amp;A269, TDrate!F:F&amp;TDrate!H:H, TDrate!E:E), "N/A")</f>
        <v>N/A</v>
      </c>
      <c r="J269" cm="1">
        <f t="array" ref="J269">IFERROR(_xlfn.XLOOKUP(C269&amp;A269, Inside5!B:B&amp;Inside5!I:I, Inside5!F:F), 0)</f>
        <v>1</v>
      </c>
      <c r="K269" cm="1">
        <f t="array" aca="1" ref="K269" ca="1">IFERROR(_xlfn.XLOOKUP(C269&amp;A269, Inside5!B:B&amp;Inside5!I:I, Inside5!G:G), 0)</f>
        <v>1</v>
      </c>
      <c r="L269" cm="1">
        <f t="array" ref="L269">IFERROR(_xlfn.XLOOKUP(C269&amp;A269, Inside5!B:B&amp;Inside5!I:I, Inside5!H:H), 0)</f>
        <v>1</v>
      </c>
      <c r="M269" t="str" cm="1">
        <f t="array" ref="M269">IFERROR(_xlfn.XLOOKUP(C269&amp;A269, TDrate!F:F&amp;TDrate!H:H, TDrate!B:B), "N/A")</f>
        <v>N/A</v>
      </c>
      <c r="N269" t="str" cm="1">
        <f t="array" ref="N269">IFERROR(_xlfn.XLOOKUP(C269&amp;A269, TDrate!F:F&amp;TDrate!H:H, TDrate!D:D), "N/A")</f>
        <v>N/A</v>
      </c>
    </row>
    <row r="270" spans="1:14" x14ac:dyDescent="0.45">
      <c r="A270" s="5">
        <v>2024</v>
      </c>
      <c r="B270" s="6" t="s">
        <v>436</v>
      </c>
      <c r="C270" s="7" t="str">
        <f t="shared" si="8"/>
        <v>Craig Reynolds</v>
      </c>
      <c r="D270" s="7" t="str">
        <f t="shared" si="9"/>
        <v>DET</v>
      </c>
      <c r="E270" cm="1">
        <f t="array" ref="E270">IFERROR(_xlfn.XLOOKUP(C270&amp;A270, Inside5!B:B&amp;Inside5!I:I, Inside5!C:C), 0)</f>
        <v>0</v>
      </c>
      <c r="F270" cm="1">
        <f t="array" ref="F270">IFERROR(_xlfn.XLOOKUP(C270&amp;A270, Inside5!B:B&amp;Inside5!I:I, Inside5!D:D), 0)</f>
        <v>0</v>
      </c>
      <c r="G270" cm="1">
        <f t="array" ref="G270">IFERROR(_xlfn.XLOOKUP(C270&amp;A270, Inside5!B:B&amp;Inside5!I:I, Inside5!E:E), 0)</f>
        <v>0</v>
      </c>
      <c r="H270" cm="1">
        <f t="array" ref="H270">IFERROR(_xlfn.XLOOKUP(C270&amp;A270, TDrate!F:F&amp;TDrate!H:H, TDrate!C:C), "N/A")</f>
        <v>0</v>
      </c>
      <c r="I270" cm="1">
        <f t="array" ref="I270">IFERROR(_xlfn.XLOOKUP(C270&amp;A270, TDrate!F:F&amp;TDrate!H:H, TDrate!E:E), "N/A")</f>
        <v>3.7000000000000002E-3</v>
      </c>
      <c r="J270" cm="1">
        <f t="array" ref="J270">IFERROR(_xlfn.XLOOKUP(C270&amp;A270, Inside5!B:B&amp;Inside5!I:I, Inside5!F:F), 0)</f>
        <v>0</v>
      </c>
      <c r="K270" cm="1">
        <f t="array" aca="1" ref="K270" ca="1">IFERROR(_xlfn.XLOOKUP(C270&amp;A270, Inside5!B:B&amp;Inside5!I:I, Inside5!G:G), 0)</f>
        <v>0</v>
      </c>
      <c r="L270" cm="1">
        <f t="array" aca="1" ref="L270" ca="1">IFERROR(_xlfn.XLOOKUP(C270&amp;A270, Inside5!B:B&amp;Inside5!I:I, Inside5!H:H), 0)</f>
        <v>0</v>
      </c>
      <c r="M270" cm="1">
        <f t="array" ref="M270">IFERROR(_xlfn.XLOOKUP(C270&amp;A270, TDrate!F:F&amp;TDrate!H:H, TDrate!B:B), "N/A")</f>
        <v>0</v>
      </c>
      <c r="N270" cm="1">
        <f t="array" ref="N270">IFERROR(_xlfn.XLOOKUP(C270&amp;A270, TDrate!F:F&amp;TDrate!H:H, TDrate!D:D), "N/A")</f>
        <v>4.1999999999999997E-3</v>
      </c>
    </row>
    <row r="271" spans="1:14" x14ac:dyDescent="0.45">
      <c r="A271" s="8">
        <v>2024</v>
      </c>
      <c r="B271" s="9" t="s">
        <v>503</v>
      </c>
      <c r="C271" s="10" t="str">
        <f t="shared" si="8"/>
        <v>Carson Steele</v>
      </c>
      <c r="D271" s="10" t="str">
        <f t="shared" si="9"/>
        <v>KC</v>
      </c>
      <c r="E271" cm="1">
        <f t="array" aca="1" ref="E271" ca="1">IFERROR(_xlfn.XLOOKUP(C271&amp;A271, Inside5!B:B&amp;Inside5!I:I, Inside5!C:C), 0)</f>
        <v>4</v>
      </c>
      <c r="F271" cm="1">
        <f t="array" aca="1" ref="F271" ca="1">IFERROR(_xlfn.XLOOKUP(C271&amp;A271, Inside5!B:B&amp;Inside5!I:I, Inside5!D:D), 0)</f>
        <v>0</v>
      </c>
      <c r="G271" cm="1">
        <f t="array" ref="G271">IFERROR(_xlfn.XLOOKUP(C271&amp;A271, Inside5!B:B&amp;Inside5!I:I, Inside5!E:E), 0)</f>
        <v>0.16</v>
      </c>
      <c r="H271" cm="1">
        <f t="array" ref="H271">IFERROR(_xlfn.XLOOKUP(C271&amp;A271, TDrate!F:F&amp;TDrate!H:H, TDrate!C:C), "N/A")</f>
        <v>0</v>
      </c>
      <c r="I271" cm="1">
        <f t="array" ref="I271">IFERROR(_xlfn.XLOOKUP(C271&amp;A271, TDrate!F:F&amp;TDrate!H:H, TDrate!E:E), "N/A")</f>
        <v>1.8499999999999999E-2</v>
      </c>
      <c r="J271" cm="1">
        <f t="array" ref="J271">IFERROR(_xlfn.XLOOKUP(C271&amp;A271, Inside5!B:B&amp;Inside5!I:I, Inside5!F:F), 0)</f>
        <v>0</v>
      </c>
      <c r="K271" cm="1">
        <f t="array" ref="K271">IFERROR(_xlfn.XLOOKUP(C271&amp;A271, Inside5!B:B&amp;Inside5!I:I, Inside5!G:G), 0)</f>
        <v>0</v>
      </c>
      <c r="L271" cm="1">
        <f t="array" ref="L271">IFERROR(_xlfn.XLOOKUP(C271&amp;A271, Inside5!B:B&amp;Inside5!I:I, Inside5!H:H), 0)</f>
        <v>0</v>
      </c>
      <c r="M271" cm="1">
        <f t="array" ref="M271">IFERROR(_xlfn.XLOOKUP(C271&amp;A271, TDrate!F:F&amp;TDrate!H:H, TDrate!B:B), "N/A")</f>
        <v>0</v>
      </c>
      <c r="N271" cm="1">
        <f t="array" ref="N271">IFERROR(_xlfn.XLOOKUP(C271&amp;A271, TDrate!F:F&amp;TDrate!H:H, TDrate!D:D), "N/A")</f>
        <v>1.37E-2</v>
      </c>
    </row>
    <row r="272" spans="1:14" x14ac:dyDescent="0.45">
      <c r="A272" s="5">
        <v>2024</v>
      </c>
      <c r="B272" s="6" t="s">
        <v>427</v>
      </c>
      <c r="C272" s="7" t="str">
        <f t="shared" si="8"/>
        <v>Alec Ingold</v>
      </c>
      <c r="D272" s="7" t="str">
        <f t="shared" si="9"/>
        <v>MIA</v>
      </c>
      <c r="E272" cm="1">
        <f t="array" aca="1" ref="E272" ca="1">IFERROR(_xlfn.XLOOKUP(C272&amp;A272, Inside5!B:B&amp;Inside5!I:I, Inside5!C:C), 0)</f>
        <v>1</v>
      </c>
      <c r="F272" cm="1">
        <f t="array" aca="1" ref="F272" ca="1">IFERROR(_xlfn.XLOOKUP(C272&amp;A272, Inside5!B:B&amp;Inside5!I:I, Inside5!D:D), 0)</f>
        <v>1</v>
      </c>
      <c r="G272" cm="1">
        <f t="array" ref="G272">IFERROR(_xlfn.XLOOKUP(C272&amp;A272, Inside5!B:B&amp;Inside5!I:I, Inside5!E:E), 0)</f>
        <v>5.6000000000000001E-2</v>
      </c>
      <c r="H272" t="str" cm="1">
        <f t="array" ref="H272">IFERROR(_xlfn.XLOOKUP(C272&amp;A272, TDrate!F:F&amp;TDrate!H:H, TDrate!C:C), "N/A")</f>
        <v>N/A</v>
      </c>
      <c r="I272" t="str" cm="1">
        <f t="array" ref="I272">IFERROR(_xlfn.XLOOKUP(C272&amp;A272, TDrate!F:F&amp;TDrate!H:H, TDrate!E:E), "N/A")</f>
        <v>N/A</v>
      </c>
      <c r="J272" cm="1">
        <f t="array" ref="J272">IFERROR(_xlfn.XLOOKUP(C272&amp;A272, Inside5!B:B&amp;Inside5!I:I, Inside5!F:F), 0)</f>
        <v>0</v>
      </c>
      <c r="K272" cm="1">
        <f t="array" ref="K272">IFERROR(_xlfn.XLOOKUP(C272&amp;A272, Inside5!B:B&amp;Inside5!I:I, Inside5!G:G), 0)</f>
        <v>0</v>
      </c>
      <c r="L272" cm="1">
        <f t="array" ref="L272">IFERROR(_xlfn.XLOOKUP(C272&amp;A272, Inside5!B:B&amp;Inside5!I:I, Inside5!H:H), 0)</f>
        <v>0</v>
      </c>
      <c r="M272" t="str" cm="1">
        <f t="array" ref="M272">IFERROR(_xlfn.XLOOKUP(C272&amp;A272, TDrate!F:F&amp;TDrate!H:H, TDrate!B:B), "N/A")</f>
        <v>N/A</v>
      </c>
      <c r="N272" t="str" cm="1">
        <f t="array" ref="N272">IFERROR(_xlfn.XLOOKUP(C272&amp;A272, TDrate!F:F&amp;TDrate!H:H, TDrate!D:D), "N/A")</f>
        <v>N/A</v>
      </c>
    </row>
    <row r="273" spans="1:14" x14ac:dyDescent="0.45">
      <c r="A273" s="8">
        <v>2024</v>
      </c>
      <c r="B273" s="9" t="s">
        <v>389</v>
      </c>
      <c r="C273" s="10" t="str">
        <f t="shared" si="8"/>
        <v>Hunter Luepke</v>
      </c>
      <c r="D273" s="10" t="str">
        <f t="shared" si="9"/>
        <v>DAL</v>
      </c>
      <c r="E273" cm="1">
        <f t="array" aca="1" ref="E273" ca="1">IFERROR(_xlfn.XLOOKUP(C273&amp;A273, Inside5!B:B&amp;Inside5!I:I, Inside5!C:C), 0)</f>
        <v>0</v>
      </c>
      <c r="F273" cm="1">
        <f t="array" aca="1" ref="F273" ca="1">IFERROR(_xlfn.XLOOKUP(C273&amp;A273, Inside5!B:B&amp;Inside5!I:I, Inside5!D:D), 0)</f>
        <v>0</v>
      </c>
      <c r="G273" cm="1">
        <f t="array" ref="G273">IFERROR(_xlfn.XLOOKUP(C273&amp;A273, Inside5!B:B&amp;Inside5!I:I, Inside5!E:E), 0)</f>
        <v>0</v>
      </c>
      <c r="H273" t="str" cm="1">
        <f t="array" ref="H273">IFERROR(_xlfn.XLOOKUP(C273&amp;A273, TDrate!F:F&amp;TDrate!H:H, TDrate!C:C), "N/A")</f>
        <v>N/A</v>
      </c>
      <c r="I273" t="str" cm="1">
        <f t="array" ref="I273">IFERROR(_xlfn.XLOOKUP(C273&amp;A273, TDrate!F:F&amp;TDrate!H:H, TDrate!E:E), "N/A")</f>
        <v>N/A</v>
      </c>
      <c r="J273" cm="1">
        <f t="array" ref="J273">IFERROR(_xlfn.XLOOKUP(C273&amp;A273, Inside5!B:B&amp;Inside5!I:I, Inside5!F:F), 0)</f>
        <v>0</v>
      </c>
      <c r="K273" cm="1">
        <f t="array" ref="K273">IFERROR(_xlfn.XLOOKUP(C273&amp;A273, Inside5!B:B&amp;Inside5!I:I, Inside5!G:G), 0)</f>
        <v>0</v>
      </c>
      <c r="L273" cm="1">
        <f t="array" ref="L273">IFERROR(_xlfn.XLOOKUP(C273&amp;A273, Inside5!B:B&amp;Inside5!I:I, Inside5!H:H), 0)</f>
        <v>0</v>
      </c>
      <c r="M273" t="str" cm="1">
        <f t="array" ref="M273">IFERROR(_xlfn.XLOOKUP(C273&amp;A273, TDrate!F:F&amp;TDrate!H:H, TDrate!B:B), "N/A")</f>
        <v>N/A</v>
      </c>
      <c r="N273" t="str" cm="1">
        <f t="array" ref="N273">IFERROR(_xlfn.XLOOKUP(C273&amp;A273, TDrate!F:F&amp;TDrate!H:H, TDrate!D:D), "N/A")</f>
        <v>N/A</v>
      </c>
    </row>
    <row r="274" spans="1:14" x14ac:dyDescent="0.45">
      <c r="A274" s="5">
        <v>2024</v>
      </c>
      <c r="B274" s="6" t="s">
        <v>437</v>
      </c>
      <c r="C274" s="7" t="str">
        <f t="shared" si="8"/>
        <v>Patrick Ricard</v>
      </c>
      <c r="D274" s="7" t="str">
        <f t="shared" si="9"/>
        <v>BAL</v>
      </c>
      <c r="E274" cm="1">
        <f t="array" aca="1" ref="E274" ca="1">IFERROR(_xlfn.XLOOKUP(C274&amp;A274, Inside5!B:B&amp;Inside5!I:I, Inside5!C:C), 0)</f>
        <v>0</v>
      </c>
      <c r="F274" cm="1">
        <f t="array" aca="1" ref="F274" ca="1">IFERROR(_xlfn.XLOOKUP(C274&amp;A274, Inside5!B:B&amp;Inside5!I:I, Inside5!D:D), 0)</f>
        <v>0</v>
      </c>
      <c r="G274" cm="1">
        <f t="array" ref="G274">IFERROR(_xlfn.XLOOKUP(C274&amp;A274, Inside5!B:B&amp;Inside5!I:I, Inside5!E:E), 0)</f>
        <v>0</v>
      </c>
      <c r="H274" t="str" cm="1">
        <f t="array" ref="H274">IFERROR(_xlfn.XLOOKUP(C274&amp;A274, TDrate!F:F&amp;TDrate!H:H, TDrate!C:C), "N/A")</f>
        <v>N/A</v>
      </c>
      <c r="I274" t="str" cm="1">
        <f t="array" ref="I274">IFERROR(_xlfn.XLOOKUP(C274&amp;A274, TDrate!F:F&amp;TDrate!H:H, TDrate!E:E), "N/A")</f>
        <v>N/A</v>
      </c>
      <c r="J274" cm="1">
        <f t="array" ref="J274">IFERROR(_xlfn.XLOOKUP(C274&amp;A274, Inside5!B:B&amp;Inside5!I:I, Inside5!F:F), 0)</f>
        <v>1</v>
      </c>
      <c r="K274" cm="1">
        <f t="array" ref="K274">IFERROR(_xlfn.XLOOKUP(C274&amp;A274, Inside5!B:B&amp;Inside5!I:I, Inside5!G:G), 0)</f>
        <v>1</v>
      </c>
      <c r="L274" cm="1">
        <f t="array" ref="L274">IFERROR(_xlfn.XLOOKUP(C274&amp;A274, Inside5!B:B&amp;Inside5!I:I, Inside5!H:H), 0)</f>
        <v>1</v>
      </c>
      <c r="M274" t="str" cm="1">
        <f t="array" ref="M274">IFERROR(_xlfn.XLOOKUP(C274&amp;A274, TDrate!F:F&amp;TDrate!H:H, TDrate!B:B), "N/A")</f>
        <v>N/A</v>
      </c>
      <c r="N274" t="str" cm="1">
        <f t="array" ref="N274">IFERROR(_xlfn.XLOOKUP(C274&amp;A274, TDrate!F:F&amp;TDrate!H:H, TDrate!D:D), "N/A")</f>
        <v>N/A</v>
      </c>
    </row>
    <row r="275" spans="1:14" x14ac:dyDescent="0.45">
      <c r="A275" s="8">
        <v>2024</v>
      </c>
      <c r="B275" s="9" t="s">
        <v>504</v>
      </c>
      <c r="C275" s="10" t="str">
        <f t="shared" si="8"/>
        <v>Jordan Mims</v>
      </c>
      <c r="D275" s="10" t="str">
        <f t="shared" si="9"/>
        <v>NO</v>
      </c>
      <c r="E275" cm="1">
        <f t="array" aca="1" ref="E275" ca="1">IFERROR(_xlfn.XLOOKUP(C275&amp;A275, Inside5!B:B&amp;Inside5!I:I, Inside5!C:C), 0)</f>
        <v>0</v>
      </c>
      <c r="F275" cm="1">
        <f t="array" aca="1" ref="F275" ca="1">IFERROR(_xlfn.XLOOKUP(C275&amp;A275, Inside5!B:B&amp;Inside5!I:I, Inside5!D:D), 0)</f>
        <v>0</v>
      </c>
      <c r="G275" cm="1">
        <f t="array" ref="G275">IFERROR(_xlfn.XLOOKUP(C275&amp;A275, Inside5!B:B&amp;Inside5!I:I, Inside5!E:E), 0)</f>
        <v>0</v>
      </c>
      <c r="H275" t="str" cm="1">
        <f t="array" ref="H275">IFERROR(_xlfn.XLOOKUP(C275&amp;A275, TDrate!F:F&amp;TDrate!H:H, TDrate!C:C), "N/A")</f>
        <v>N/A</v>
      </c>
      <c r="I275" t="str" cm="1">
        <f t="array" ref="I275">IFERROR(_xlfn.XLOOKUP(C275&amp;A275, TDrate!F:F&amp;TDrate!H:H, TDrate!E:E), "N/A")</f>
        <v>N/A</v>
      </c>
      <c r="J275" cm="1">
        <f t="array" ref="J275">IFERROR(_xlfn.XLOOKUP(C275&amp;A275, Inside5!B:B&amp;Inside5!I:I, Inside5!F:F), 0)</f>
        <v>0</v>
      </c>
      <c r="K275" cm="1">
        <f t="array" aca="1" ref="K275" ca="1">IFERROR(_xlfn.XLOOKUP(C275&amp;A275, Inside5!B:B&amp;Inside5!I:I, Inside5!G:G), 0)</f>
        <v>0</v>
      </c>
      <c r="L275" cm="1">
        <f t="array" ref="L275">IFERROR(_xlfn.XLOOKUP(C275&amp;A275, Inside5!B:B&amp;Inside5!I:I, Inside5!H:H), 0)</f>
        <v>0</v>
      </c>
      <c r="M275" t="str" cm="1">
        <f t="array" ref="M275">IFERROR(_xlfn.XLOOKUP(C275&amp;A275, TDrate!F:F&amp;TDrate!H:H, TDrate!B:B), "N/A")</f>
        <v>N/A</v>
      </c>
      <c r="N275" t="str" cm="1">
        <f t="array" ref="N275">IFERROR(_xlfn.XLOOKUP(C275&amp;A275, TDrate!F:F&amp;TDrate!H:H, TDrate!D:D), "N/A")</f>
        <v>N/A</v>
      </c>
    </row>
    <row r="276" spans="1:14" x14ac:dyDescent="0.45">
      <c r="A276" s="5">
        <v>2024</v>
      </c>
      <c r="B276" s="6" t="s">
        <v>402</v>
      </c>
      <c r="C276" s="7" t="str">
        <f t="shared" si="8"/>
        <v>Ronnie Rivers</v>
      </c>
      <c r="D276" s="7" t="str">
        <f t="shared" si="9"/>
        <v>LAR</v>
      </c>
      <c r="E276" cm="1">
        <f t="array" aca="1" ref="E276" ca="1">IFERROR(_xlfn.XLOOKUP(C276&amp;A276, Inside5!B:B&amp;Inside5!I:I, Inside5!C:C), 0)</f>
        <v>0</v>
      </c>
      <c r="F276" cm="1">
        <f t="array" aca="1" ref="F276" ca="1">IFERROR(_xlfn.XLOOKUP(C276&amp;A276, Inside5!B:B&amp;Inside5!I:I, Inside5!D:D), 0)</f>
        <v>0</v>
      </c>
      <c r="G276" cm="1">
        <f t="array" ref="G276">IFERROR(_xlfn.XLOOKUP(C276&amp;A276, Inside5!B:B&amp;Inside5!I:I, Inside5!E:E), 0)</f>
        <v>0</v>
      </c>
      <c r="H276" t="str" cm="1">
        <f t="array" ref="H276">IFERROR(_xlfn.XLOOKUP(C276&amp;A276, TDrate!F:F&amp;TDrate!H:H, TDrate!C:C), "N/A")</f>
        <v>N/A</v>
      </c>
      <c r="I276" t="str" cm="1">
        <f t="array" ref="I276">IFERROR(_xlfn.XLOOKUP(C276&amp;A276, TDrate!F:F&amp;TDrate!H:H, TDrate!E:E), "N/A")</f>
        <v>N/A</v>
      </c>
      <c r="J276" cm="1">
        <f t="array" ref="J276">IFERROR(_xlfn.XLOOKUP(C276&amp;A276, Inside5!B:B&amp;Inside5!I:I, Inside5!F:F), 0)</f>
        <v>0</v>
      </c>
      <c r="K276" cm="1">
        <f t="array" aca="1" ref="K276" ca="1">IFERROR(_xlfn.XLOOKUP(C276&amp;A276, Inside5!B:B&amp;Inside5!I:I, Inside5!G:G), 0)</f>
        <v>0</v>
      </c>
      <c r="L276" cm="1">
        <f t="array" ref="L276">IFERROR(_xlfn.XLOOKUP(C276&amp;A276, Inside5!B:B&amp;Inside5!I:I, Inside5!H:H), 0)</f>
        <v>0</v>
      </c>
      <c r="M276" t="str" cm="1">
        <f t="array" ref="M276">IFERROR(_xlfn.XLOOKUP(C276&amp;A276, TDrate!F:F&amp;TDrate!H:H, TDrate!B:B), "N/A")</f>
        <v>N/A</v>
      </c>
      <c r="N276" t="str" cm="1">
        <f t="array" ref="N276">IFERROR(_xlfn.XLOOKUP(C276&amp;A276, TDrate!F:F&amp;TDrate!H:H, TDrate!D:D), "N/A")</f>
        <v>N/A</v>
      </c>
    </row>
    <row r="277" spans="1:14" x14ac:dyDescent="0.45">
      <c r="A277" s="8">
        <v>2024</v>
      </c>
      <c r="B277" s="9" t="s">
        <v>397</v>
      </c>
      <c r="C277" s="10" t="str">
        <f t="shared" si="8"/>
        <v>Will Shipley</v>
      </c>
      <c r="D277" s="10" t="str">
        <f t="shared" si="9"/>
        <v>PHI</v>
      </c>
      <c r="E277" cm="1">
        <f t="array" aca="1" ref="E277" ca="1">IFERROR(_xlfn.XLOOKUP(C277&amp;A277, Inside5!B:B&amp;Inside5!I:I, Inside5!C:C), 0)</f>
        <v>0</v>
      </c>
      <c r="F277" cm="1">
        <f t="array" aca="1" ref="F277" ca="1">IFERROR(_xlfn.XLOOKUP(C277&amp;A277, Inside5!B:B&amp;Inside5!I:I, Inside5!D:D), 0)</f>
        <v>0</v>
      </c>
      <c r="G277" cm="1">
        <f t="array" ref="G277">IFERROR(_xlfn.XLOOKUP(C277&amp;A277, Inside5!B:B&amp;Inside5!I:I, Inside5!E:E), 0)</f>
        <v>0</v>
      </c>
      <c r="H277" cm="1">
        <f t="array" ref="H277">IFERROR(_xlfn.XLOOKUP(C277&amp;A277, TDrate!F:F&amp;TDrate!H:H, TDrate!C:C), "N/A")</f>
        <v>0</v>
      </c>
      <c r="I277" cm="1">
        <f t="array" ref="I277">IFERROR(_xlfn.XLOOKUP(C277&amp;A277, TDrate!F:F&amp;TDrate!H:H, TDrate!E:E), "N/A")</f>
        <v>4.0000000000000001E-3</v>
      </c>
      <c r="J277" cm="1">
        <f t="array" ref="J277">IFERROR(_xlfn.XLOOKUP(C277&amp;A277, Inside5!B:B&amp;Inside5!I:I, Inside5!F:F), 0)</f>
        <v>0</v>
      </c>
      <c r="K277" cm="1">
        <f t="array" ref="K277">IFERROR(_xlfn.XLOOKUP(C277&amp;A277, Inside5!B:B&amp;Inside5!I:I, Inside5!G:G), 0)</f>
        <v>0</v>
      </c>
      <c r="L277" cm="1">
        <f t="array" ref="L277">IFERROR(_xlfn.XLOOKUP(C277&amp;A277, Inside5!B:B&amp;Inside5!I:I, Inside5!H:H), 0)</f>
        <v>0</v>
      </c>
      <c r="M277" cm="1">
        <f t="array" ref="M277">IFERROR(_xlfn.XLOOKUP(C277&amp;A277, TDrate!F:F&amp;TDrate!H:H, TDrate!B:B), "N/A")</f>
        <v>0</v>
      </c>
      <c r="N277" cm="1">
        <f t="array" ref="N277">IFERROR(_xlfn.XLOOKUP(C277&amp;A277, TDrate!F:F&amp;TDrate!H:H, TDrate!D:D), "N/A")</f>
        <v>3.9600000000000003E-2</v>
      </c>
    </row>
    <row r="278" spans="1:14" x14ac:dyDescent="0.45">
      <c r="A278" s="5">
        <v>2024</v>
      </c>
      <c r="B278" s="6" t="s">
        <v>505</v>
      </c>
      <c r="C278" s="7" t="str">
        <f t="shared" si="8"/>
        <v>Tony Jones Jr.</v>
      </c>
      <c r="D278" s="7" t="str">
        <f t="shared" si="9"/>
        <v>ARI</v>
      </c>
      <c r="E278" cm="1">
        <f t="array" aca="1" ref="E278" ca="1">IFERROR(_xlfn.XLOOKUP(C278&amp;A278, Inside5!B:B&amp;Inside5!I:I, Inside5!C:C), 0)</f>
        <v>0</v>
      </c>
      <c r="F278" cm="1">
        <f t="array" aca="1" ref="F278" ca="1">IFERROR(_xlfn.XLOOKUP(C278&amp;A278, Inside5!B:B&amp;Inside5!I:I, Inside5!D:D), 0)</f>
        <v>0</v>
      </c>
      <c r="G278" cm="1">
        <f t="array" ref="G278">IFERROR(_xlfn.XLOOKUP(C278&amp;A278, Inside5!B:B&amp;Inside5!I:I, Inside5!E:E), 0)</f>
        <v>0</v>
      </c>
      <c r="H278" t="str" cm="1">
        <f t="array" ref="H278">IFERROR(_xlfn.XLOOKUP(C278&amp;A278, TDrate!F:F&amp;TDrate!H:H, TDrate!C:C), "N/A")</f>
        <v>N/A</v>
      </c>
      <c r="I278" t="str" cm="1">
        <f t="array" ref="I278">IFERROR(_xlfn.XLOOKUP(C278&amp;A278, TDrate!F:F&amp;TDrate!H:H, TDrate!E:E), "N/A")</f>
        <v>N/A</v>
      </c>
      <c r="J278" cm="1">
        <f t="array" ref="J278">IFERROR(_xlfn.XLOOKUP(C278&amp;A278, Inside5!B:B&amp;Inside5!I:I, Inside5!F:F), 0)</f>
        <v>0</v>
      </c>
      <c r="K278" cm="1">
        <f t="array" aca="1" ref="K278" ca="1">IFERROR(_xlfn.XLOOKUP(C278&amp;A278, Inside5!B:B&amp;Inside5!I:I, Inside5!G:G), 0)</f>
        <v>0</v>
      </c>
      <c r="L278" cm="1">
        <f t="array" ref="L278">IFERROR(_xlfn.XLOOKUP(C278&amp;A278, Inside5!B:B&amp;Inside5!I:I, Inside5!H:H), 0)</f>
        <v>0</v>
      </c>
      <c r="M278" t="str" cm="1">
        <f t="array" ref="M278">IFERROR(_xlfn.XLOOKUP(C278&amp;A278, TDrate!F:F&amp;TDrate!H:H, TDrate!B:B), "N/A")</f>
        <v>N/A</v>
      </c>
      <c r="N278" t="str" cm="1">
        <f t="array" ref="N278">IFERROR(_xlfn.XLOOKUP(C278&amp;A278, TDrate!F:F&amp;TDrate!H:H, TDrate!D:D), "N/A")</f>
        <v>N/A</v>
      </c>
    </row>
    <row r="279" spans="1:14" x14ac:dyDescent="0.45">
      <c r="A279" s="8">
        <v>2024</v>
      </c>
      <c r="B279" s="9" t="s">
        <v>407</v>
      </c>
      <c r="C279" s="10" t="str">
        <f t="shared" si="8"/>
        <v>Julius Chestnut</v>
      </c>
      <c r="D279" s="10" t="str">
        <f t="shared" si="9"/>
        <v>TEN</v>
      </c>
      <c r="E279" cm="1">
        <f t="array" ref="E279">IFERROR(_xlfn.XLOOKUP(C279&amp;A279, Inside5!B:B&amp;Inside5!I:I, Inside5!C:C), 0)</f>
        <v>1</v>
      </c>
      <c r="F279" cm="1">
        <f t="array" aca="1" ref="F279" ca="1">IFERROR(_xlfn.XLOOKUP(C279&amp;A279, Inside5!B:B&amp;Inside5!I:I, Inside5!D:D), 0)</f>
        <v>0</v>
      </c>
      <c r="G279" cm="1">
        <f t="array" ref="G279">IFERROR(_xlfn.XLOOKUP(C279&amp;A279, Inside5!B:B&amp;Inside5!I:I, Inside5!E:E), 0)</f>
        <v>0.1</v>
      </c>
      <c r="H279" t="str" cm="1">
        <f t="array" ref="H279">IFERROR(_xlfn.XLOOKUP(C279&amp;A279, TDrate!F:F&amp;TDrate!H:H, TDrate!C:C), "N/A")</f>
        <v>N/A</v>
      </c>
      <c r="I279" t="str" cm="1">
        <f t="array" ref="I279">IFERROR(_xlfn.XLOOKUP(C279&amp;A279, TDrate!F:F&amp;TDrate!H:H, TDrate!E:E), "N/A")</f>
        <v>N/A</v>
      </c>
      <c r="J279" cm="1">
        <f t="array" ref="J279">IFERROR(_xlfn.XLOOKUP(C279&amp;A279, Inside5!B:B&amp;Inside5!I:I, Inside5!F:F), 0)</f>
        <v>0</v>
      </c>
      <c r="K279" cm="1">
        <f t="array" ref="K279">IFERROR(_xlfn.XLOOKUP(C279&amp;A279, Inside5!B:B&amp;Inside5!I:I, Inside5!G:G), 0)</f>
        <v>0</v>
      </c>
      <c r="L279" cm="1">
        <f t="array" aca="1" ref="L279" ca="1">IFERROR(_xlfn.XLOOKUP(C279&amp;A279, Inside5!B:B&amp;Inside5!I:I, Inside5!H:H), 0)</f>
        <v>0</v>
      </c>
      <c r="M279" t="str" cm="1">
        <f t="array" ref="M279">IFERROR(_xlfn.XLOOKUP(C279&amp;A279, TDrate!F:F&amp;TDrate!H:H, TDrate!B:B), "N/A")</f>
        <v>N/A</v>
      </c>
      <c r="N279" t="str" cm="1">
        <f t="array" ref="N279">IFERROR(_xlfn.XLOOKUP(C279&amp;A279, TDrate!F:F&amp;TDrate!H:H, TDrate!D:D), "N/A")</f>
        <v>N/A</v>
      </c>
    </row>
    <row r="280" spans="1:14" x14ac:dyDescent="0.45">
      <c r="A280" s="5">
        <v>2024</v>
      </c>
      <c r="B280" s="6" t="s">
        <v>506</v>
      </c>
      <c r="C280" s="7" t="str">
        <f t="shared" si="8"/>
        <v>Deuce Vaughn</v>
      </c>
      <c r="D280" s="7" t="str">
        <f t="shared" si="9"/>
        <v>DAL</v>
      </c>
      <c r="E280" cm="1">
        <f t="array" ref="E280">IFERROR(_xlfn.XLOOKUP(C280&amp;A280, Inside5!B:B&amp;Inside5!I:I, Inside5!C:C), 0)</f>
        <v>0</v>
      </c>
      <c r="F280" cm="1">
        <f t="array" ref="F280">IFERROR(_xlfn.XLOOKUP(C280&amp;A280, Inside5!B:B&amp;Inside5!I:I, Inside5!D:D), 0)</f>
        <v>0</v>
      </c>
      <c r="G280" cm="1">
        <f t="array" ref="G280">IFERROR(_xlfn.XLOOKUP(C280&amp;A280, Inside5!B:B&amp;Inside5!I:I, Inside5!E:E), 0)</f>
        <v>0</v>
      </c>
      <c r="H280" t="str" cm="1">
        <f t="array" ref="H280">IFERROR(_xlfn.XLOOKUP(C280&amp;A280, TDrate!F:F&amp;TDrate!H:H, TDrate!C:C), "N/A")</f>
        <v>N/A</v>
      </c>
      <c r="I280" t="str" cm="1">
        <f t="array" ref="I280">IFERROR(_xlfn.XLOOKUP(C280&amp;A280, TDrate!F:F&amp;TDrate!H:H, TDrate!E:E), "N/A")</f>
        <v>N/A</v>
      </c>
      <c r="J280" cm="1">
        <f t="array" ref="J280">IFERROR(_xlfn.XLOOKUP(C280&amp;A280, Inside5!B:B&amp;Inside5!I:I, Inside5!F:F), 0)</f>
        <v>0</v>
      </c>
      <c r="K280" cm="1">
        <f t="array" ref="K280">IFERROR(_xlfn.XLOOKUP(C280&amp;A280, Inside5!B:B&amp;Inside5!I:I, Inside5!G:G), 0)</f>
        <v>0</v>
      </c>
      <c r="L280" cm="1">
        <f t="array" ref="L280">IFERROR(_xlfn.XLOOKUP(C280&amp;A280, Inside5!B:B&amp;Inside5!I:I, Inside5!H:H), 0)</f>
        <v>0</v>
      </c>
      <c r="M280" t="str" cm="1">
        <f t="array" ref="M280">IFERROR(_xlfn.XLOOKUP(C280&amp;A280, TDrate!F:F&amp;TDrate!H:H, TDrate!B:B), "N/A")</f>
        <v>N/A</v>
      </c>
      <c r="N280" t="str" cm="1">
        <f t="array" ref="N280">IFERROR(_xlfn.XLOOKUP(C280&amp;A280, TDrate!F:F&amp;TDrate!H:H, TDrate!D:D), "N/A")</f>
        <v>N/A</v>
      </c>
    </row>
    <row r="281" spans="1:14" x14ac:dyDescent="0.45">
      <c r="A281" s="8">
        <v>2024</v>
      </c>
      <c r="B281" s="9" t="s">
        <v>432</v>
      </c>
      <c r="C281" s="10" t="str">
        <f t="shared" si="8"/>
        <v>C.J. Ham</v>
      </c>
      <c r="D281" s="10" t="str">
        <f t="shared" si="9"/>
        <v>MIN</v>
      </c>
      <c r="E281" cm="1">
        <f t="array" ref="E281">IFERROR(_xlfn.XLOOKUP(C281&amp;A281, Inside5!B:B&amp;Inside5!I:I, Inside5!C:C), 0)</f>
        <v>1</v>
      </c>
      <c r="F281" cm="1">
        <f t="array" aca="1" ref="F281" ca="1">IFERROR(_xlfn.XLOOKUP(C281&amp;A281, Inside5!B:B&amp;Inside5!I:I, Inside5!D:D), 0)</f>
        <v>1</v>
      </c>
      <c r="G281" cm="1">
        <f t="array" ref="G281">IFERROR(_xlfn.XLOOKUP(C281&amp;A281, Inside5!B:B&amp;Inside5!I:I, Inside5!E:E), 0)</f>
        <v>6.3E-2</v>
      </c>
      <c r="H281" t="str" cm="1">
        <f t="array" ref="H281">IFERROR(_xlfn.XLOOKUP(C281&amp;A281, TDrate!F:F&amp;TDrate!H:H, TDrate!C:C), "N/A")</f>
        <v>N/A</v>
      </c>
      <c r="I281" t="str" cm="1">
        <f t="array" ref="I281">IFERROR(_xlfn.XLOOKUP(C281&amp;A281, TDrate!F:F&amp;TDrate!H:H, TDrate!E:E), "N/A")</f>
        <v>N/A</v>
      </c>
      <c r="J281" cm="1">
        <f t="array" ref="J281">IFERROR(_xlfn.XLOOKUP(C281&amp;A281, Inside5!B:B&amp;Inside5!I:I, Inside5!F:F), 0)</f>
        <v>0</v>
      </c>
      <c r="K281" cm="1">
        <f t="array" ref="K281">IFERROR(_xlfn.XLOOKUP(C281&amp;A281, Inside5!B:B&amp;Inside5!I:I, Inside5!G:G), 0)</f>
        <v>0</v>
      </c>
      <c r="L281" cm="1">
        <f t="array" ref="L281">IFERROR(_xlfn.XLOOKUP(C281&amp;A281, Inside5!B:B&amp;Inside5!I:I, Inside5!H:H), 0)</f>
        <v>0</v>
      </c>
      <c r="M281" t="str" cm="1">
        <f t="array" ref="M281">IFERROR(_xlfn.XLOOKUP(C281&amp;A281, TDrate!F:F&amp;TDrate!H:H, TDrate!B:B), "N/A")</f>
        <v>N/A</v>
      </c>
      <c r="N281" t="str" cm="1">
        <f t="array" ref="N281">IFERROR(_xlfn.XLOOKUP(C281&amp;A281, TDrate!F:F&amp;TDrate!H:H, TDrate!D:D), "N/A")</f>
        <v>N/A</v>
      </c>
    </row>
    <row r="282" spans="1:14" x14ac:dyDescent="0.45">
      <c r="A282" s="5">
        <v>2024</v>
      </c>
      <c r="B282" s="6" t="s">
        <v>507</v>
      </c>
      <c r="C282" s="7" t="str">
        <f t="shared" si="8"/>
        <v>Raheem Blackshear</v>
      </c>
      <c r="D282" s="7" t="str">
        <f t="shared" si="9"/>
        <v>CAR</v>
      </c>
      <c r="E282" cm="1">
        <f t="array" aca="1" ref="E282" ca="1">IFERROR(_xlfn.XLOOKUP(C282&amp;A282, Inside5!B:B&amp;Inside5!I:I, Inside5!C:C), 0)</f>
        <v>0</v>
      </c>
      <c r="F282" cm="1">
        <f t="array" aca="1" ref="F282" ca="1">IFERROR(_xlfn.XLOOKUP(C282&amp;A282, Inside5!B:B&amp;Inside5!I:I, Inside5!D:D), 0)</f>
        <v>0</v>
      </c>
      <c r="G282" cm="1">
        <f t="array" ref="G282">IFERROR(_xlfn.XLOOKUP(C282&amp;A282, Inside5!B:B&amp;Inside5!I:I, Inside5!E:E), 0)</f>
        <v>0</v>
      </c>
      <c r="H282" t="str" cm="1">
        <f t="array" ref="H282">IFERROR(_xlfn.XLOOKUP(C282&amp;A282, TDrate!F:F&amp;TDrate!H:H, TDrate!C:C), "N/A")</f>
        <v>N/A</v>
      </c>
      <c r="I282" t="str" cm="1">
        <f t="array" ref="I282">IFERROR(_xlfn.XLOOKUP(C282&amp;A282, TDrate!F:F&amp;TDrate!H:H, TDrate!E:E), "N/A")</f>
        <v>N/A</v>
      </c>
      <c r="J282" cm="1">
        <f t="array" ref="J282">IFERROR(_xlfn.XLOOKUP(C282&amp;A282, Inside5!B:B&amp;Inside5!I:I, Inside5!F:F), 0)</f>
        <v>0</v>
      </c>
      <c r="K282" cm="1">
        <f t="array" ref="K282">IFERROR(_xlfn.XLOOKUP(C282&amp;A282, Inside5!B:B&amp;Inside5!I:I, Inside5!G:G), 0)</f>
        <v>0</v>
      </c>
      <c r="L282" cm="1">
        <f t="array" ref="L282">IFERROR(_xlfn.XLOOKUP(C282&amp;A282, Inside5!B:B&amp;Inside5!I:I, Inside5!H:H), 0)</f>
        <v>0</v>
      </c>
      <c r="M282" t="str" cm="1">
        <f t="array" ref="M282">IFERROR(_xlfn.XLOOKUP(C282&amp;A282, TDrate!F:F&amp;TDrate!H:H, TDrate!B:B), "N/A")</f>
        <v>N/A</v>
      </c>
      <c r="N282" t="str" cm="1">
        <f t="array" ref="N282">IFERROR(_xlfn.XLOOKUP(C282&amp;A282, TDrate!F:F&amp;TDrate!H:H, TDrate!D:D), "N/A")</f>
        <v>N/A</v>
      </c>
    </row>
    <row r="283" spans="1:14" x14ac:dyDescent="0.45">
      <c r="A283" s="8">
        <v>2024</v>
      </c>
      <c r="B283" s="9" t="s">
        <v>453</v>
      </c>
      <c r="C283" s="10" t="str">
        <f t="shared" si="8"/>
        <v>Jeff Wilson Jr.</v>
      </c>
      <c r="D283" s="10" t="str">
        <f t="shared" si="9"/>
        <v>MIA</v>
      </c>
      <c r="E283" cm="1">
        <f t="array" ref="E283">IFERROR(_xlfn.XLOOKUP(C283&amp;A283, Inside5!B:B&amp;Inside5!I:I, Inside5!C:C), 0)</f>
        <v>0</v>
      </c>
      <c r="F283" cm="1">
        <f t="array" ref="F283">IFERROR(_xlfn.XLOOKUP(C283&amp;A283, Inside5!B:B&amp;Inside5!I:I, Inside5!D:D), 0)</f>
        <v>0</v>
      </c>
      <c r="G283" cm="1">
        <f t="array" ref="G283">IFERROR(_xlfn.XLOOKUP(C283&amp;A283, Inside5!B:B&amp;Inside5!I:I, Inside5!E:E), 0)</f>
        <v>0</v>
      </c>
      <c r="H283" t="str" cm="1">
        <f t="array" ref="H283">IFERROR(_xlfn.XLOOKUP(C283&amp;A283, TDrate!F:F&amp;TDrate!H:H, TDrate!C:C), "N/A")</f>
        <v>N/A</v>
      </c>
      <c r="I283" t="str" cm="1">
        <f t="array" ref="I283">IFERROR(_xlfn.XLOOKUP(C283&amp;A283, TDrate!F:F&amp;TDrate!H:H, TDrate!E:E), "N/A")</f>
        <v>N/A</v>
      </c>
      <c r="J283" cm="1">
        <f t="array" ref="J283">IFERROR(_xlfn.XLOOKUP(C283&amp;A283, Inside5!B:B&amp;Inside5!I:I, Inside5!F:F), 0)</f>
        <v>0</v>
      </c>
      <c r="K283" cm="1">
        <f t="array" ref="K283">IFERROR(_xlfn.XLOOKUP(C283&amp;A283, Inside5!B:B&amp;Inside5!I:I, Inside5!G:G), 0)</f>
        <v>0</v>
      </c>
      <c r="L283" cm="1">
        <f t="array" ref="L283">IFERROR(_xlfn.XLOOKUP(C283&amp;A283, Inside5!B:B&amp;Inside5!I:I, Inside5!H:H), 0)</f>
        <v>0</v>
      </c>
      <c r="M283" t="str" cm="1">
        <f t="array" ref="M283">IFERROR(_xlfn.XLOOKUP(C283&amp;A283, TDrate!F:F&amp;TDrate!H:H, TDrate!B:B), "N/A")</f>
        <v>N/A</v>
      </c>
      <c r="N283" t="str" cm="1">
        <f t="array" ref="N283">IFERROR(_xlfn.XLOOKUP(C283&amp;A283, TDrate!F:F&amp;TDrate!H:H, TDrate!D:D), "N/A")</f>
        <v>N/A</v>
      </c>
    </row>
    <row r="284" spans="1:14" x14ac:dyDescent="0.45">
      <c r="A284" s="5">
        <v>2024</v>
      </c>
      <c r="B284" s="6" t="s">
        <v>459</v>
      </c>
      <c r="C284" s="7" t="str">
        <f t="shared" si="8"/>
        <v>Eric Gray</v>
      </c>
      <c r="D284" s="7" t="str">
        <f t="shared" si="9"/>
        <v>NYG</v>
      </c>
      <c r="E284" cm="1">
        <f t="array" aca="1" ref="E284" ca="1">IFERROR(_xlfn.XLOOKUP(C284&amp;A284, Inside5!B:B&amp;Inside5!I:I, Inside5!C:C), 0)</f>
        <v>3</v>
      </c>
      <c r="F284" cm="1">
        <f t="array" aca="1" ref="F284" ca="1">IFERROR(_xlfn.XLOOKUP(C284&amp;A284, Inside5!B:B&amp;Inside5!I:I, Inside5!D:D), 0)</f>
        <v>0</v>
      </c>
      <c r="G284" cm="1">
        <f t="array" ref="G284">IFERROR(_xlfn.XLOOKUP(C284&amp;A284, Inside5!B:B&amp;Inside5!I:I, Inside5!E:E), 0)</f>
        <v>0.23100000000000001</v>
      </c>
      <c r="H284" t="str" cm="1">
        <f t="array" ref="H284">IFERROR(_xlfn.XLOOKUP(C284&amp;A284, TDrate!F:F&amp;TDrate!H:H, TDrate!C:C), "N/A")</f>
        <v>N/A</v>
      </c>
      <c r="I284" t="str" cm="1">
        <f t="array" ref="I284">IFERROR(_xlfn.XLOOKUP(C284&amp;A284, TDrate!F:F&amp;TDrate!H:H, TDrate!E:E), "N/A")</f>
        <v>N/A</v>
      </c>
      <c r="J284" cm="1">
        <f t="array" ref="J284">IFERROR(_xlfn.XLOOKUP(C284&amp;A284, Inside5!B:B&amp;Inside5!I:I, Inside5!F:F), 0)</f>
        <v>0</v>
      </c>
      <c r="K284" cm="1">
        <f t="array" ref="K284">IFERROR(_xlfn.XLOOKUP(C284&amp;A284, Inside5!B:B&amp;Inside5!I:I, Inside5!G:G), 0)</f>
        <v>0</v>
      </c>
      <c r="L284" cm="1">
        <f t="array" ref="L284">IFERROR(_xlfn.XLOOKUP(C284&amp;A284, Inside5!B:B&amp;Inside5!I:I, Inside5!H:H), 0)</f>
        <v>0</v>
      </c>
      <c r="M284" t="str" cm="1">
        <f t="array" ref="M284">IFERROR(_xlfn.XLOOKUP(C284&amp;A284, TDrate!F:F&amp;TDrate!H:H, TDrate!B:B), "N/A")</f>
        <v>N/A</v>
      </c>
      <c r="N284" t="str" cm="1">
        <f t="array" ref="N284">IFERROR(_xlfn.XLOOKUP(C284&amp;A284, TDrate!F:F&amp;TDrate!H:H, TDrate!D:D), "N/A")</f>
        <v>N/A</v>
      </c>
    </row>
    <row r="285" spans="1:14" x14ac:dyDescent="0.45">
      <c r="A285" s="8">
        <v>2024</v>
      </c>
      <c r="B285" s="9" t="s">
        <v>508</v>
      </c>
      <c r="C285" s="10" t="str">
        <f t="shared" si="8"/>
        <v>Clyde Edwards-Helaire</v>
      </c>
      <c r="D285" s="10" t="str">
        <f t="shared" si="9"/>
        <v>NO</v>
      </c>
      <c r="E285" cm="1">
        <f t="array" ref="E285">IFERROR(_xlfn.XLOOKUP(C285&amp;A285, Inside5!B:B&amp;Inside5!I:I, Inside5!C:C), 0)</f>
        <v>0</v>
      </c>
      <c r="F285" cm="1">
        <f t="array" ref="F285">IFERROR(_xlfn.XLOOKUP(C285&amp;A285, Inside5!B:B&amp;Inside5!I:I, Inside5!D:D), 0)</f>
        <v>0</v>
      </c>
      <c r="G285" cm="1">
        <f t="array" ref="G285">IFERROR(_xlfn.XLOOKUP(C285&amp;A285, Inside5!B:B&amp;Inside5!I:I, Inside5!E:E), 0)</f>
        <v>0</v>
      </c>
      <c r="H285" t="str" cm="1">
        <f t="array" ref="H285">IFERROR(_xlfn.XLOOKUP(C285&amp;A285, TDrate!F:F&amp;TDrate!H:H, TDrate!C:C), "N/A")</f>
        <v>N/A</v>
      </c>
      <c r="I285" t="str" cm="1">
        <f t="array" ref="I285">IFERROR(_xlfn.XLOOKUP(C285&amp;A285, TDrate!F:F&amp;TDrate!H:H, TDrate!E:E), "N/A")</f>
        <v>N/A</v>
      </c>
      <c r="J285" cm="1">
        <f t="array" ref="J285">IFERROR(_xlfn.XLOOKUP(C285&amp;A285, Inside5!B:B&amp;Inside5!I:I, Inside5!F:F), 0)</f>
        <v>0</v>
      </c>
      <c r="K285" cm="1">
        <f t="array" ref="K285">IFERROR(_xlfn.XLOOKUP(C285&amp;A285, Inside5!B:B&amp;Inside5!I:I, Inside5!G:G), 0)</f>
        <v>0</v>
      </c>
      <c r="L285" cm="1">
        <f t="array" ref="L285">IFERROR(_xlfn.XLOOKUP(C285&amp;A285, Inside5!B:B&amp;Inside5!I:I, Inside5!H:H), 0)</f>
        <v>0</v>
      </c>
      <c r="M285" t="str" cm="1">
        <f t="array" ref="M285">IFERROR(_xlfn.XLOOKUP(C285&amp;A285, TDrate!F:F&amp;TDrate!H:H, TDrate!B:B), "N/A")</f>
        <v>N/A</v>
      </c>
      <c r="N285" t="str" cm="1">
        <f t="array" ref="N285">IFERROR(_xlfn.XLOOKUP(C285&amp;A285, TDrate!F:F&amp;TDrate!H:H, TDrate!D:D), "N/A")</f>
        <v>N/A</v>
      </c>
    </row>
    <row r="286" spans="1:14" x14ac:dyDescent="0.45">
      <c r="A286" s="5">
        <v>2024</v>
      </c>
      <c r="B286" s="6" t="s">
        <v>417</v>
      </c>
      <c r="C286" s="7" t="str">
        <f t="shared" si="8"/>
        <v>Tyler Badie</v>
      </c>
      <c r="D286" s="7" t="str">
        <f t="shared" si="9"/>
        <v>DEN</v>
      </c>
      <c r="E286" cm="1">
        <f t="array" ref="E286">IFERROR(_xlfn.XLOOKUP(C286&amp;A286, Inside5!B:B&amp;Inside5!I:I, Inside5!C:C), 0)</f>
        <v>0</v>
      </c>
      <c r="F286" cm="1">
        <f t="array" ref="F286">IFERROR(_xlfn.XLOOKUP(C286&amp;A286, Inside5!B:B&amp;Inside5!I:I, Inside5!D:D), 0)</f>
        <v>0</v>
      </c>
      <c r="G286" cm="1">
        <f t="array" ref="G286">IFERROR(_xlfn.XLOOKUP(C286&amp;A286, Inside5!B:B&amp;Inside5!I:I, Inside5!E:E), 0)</f>
        <v>0</v>
      </c>
      <c r="H286" t="str" cm="1">
        <f t="array" ref="H286">IFERROR(_xlfn.XLOOKUP(C286&amp;A286, TDrate!F:F&amp;TDrate!H:H, TDrate!C:C), "N/A")</f>
        <v>N/A</v>
      </c>
      <c r="I286" t="str" cm="1">
        <f t="array" ref="I286">IFERROR(_xlfn.XLOOKUP(C286&amp;A286, TDrate!F:F&amp;TDrate!H:H, TDrate!E:E), "N/A")</f>
        <v>N/A</v>
      </c>
      <c r="J286" cm="1">
        <f t="array" ref="J286">IFERROR(_xlfn.XLOOKUP(C286&amp;A286, Inside5!B:B&amp;Inside5!I:I, Inside5!F:F), 0)</f>
        <v>0</v>
      </c>
      <c r="K286" cm="1">
        <f t="array" ref="K286">IFERROR(_xlfn.XLOOKUP(C286&amp;A286, Inside5!B:B&amp;Inside5!I:I, Inside5!G:G), 0)</f>
        <v>0</v>
      </c>
      <c r="L286" cm="1">
        <f t="array" ref="L286">IFERROR(_xlfn.XLOOKUP(C286&amp;A286, Inside5!B:B&amp;Inside5!I:I, Inside5!H:H), 0)</f>
        <v>0</v>
      </c>
      <c r="M286" t="str" cm="1">
        <f t="array" ref="M286">IFERROR(_xlfn.XLOOKUP(C286&amp;A286, TDrate!F:F&amp;TDrate!H:H, TDrate!B:B), "N/A")</f>
        <v>N/A</v>
      </c>
      <c r="N286" t="str" cm="1">
        <f t="array" ref="N286">IFERROR(_xlfn.XLOOKUP(C286&amp;A286, TDrate!F:F&amp;TDrate!H:H, TDrate!D:D), "N/A")</f>
        <v>N/A</v>
      </c>
    </row>
    <row r="287" spans="1:14" x14ac:dyDescent="0.45">
      <c r="A287" s="8">
        <v>2024</v>
      </c>
      <c r="B287" s="9" t="s">
        <v>398</v>
      </c>
      <c r="C287" s="10" t="str">
        <f t="shared" si="8"/>
        <v>Kene Nwangwu</v>
      </c>
      <c r="D287" s="10" t="str">
        <f t="shared" si="9"/>
        <v>NYJ</v>
      </c>
      <c r="E287" cm="1">
        <f t="array" ref="E287">IFERROR(_xlfn.XLOOKUP(C287&amp;A287, Inside5!B:B&amp;Inside5!I:I, Inside5!C:C), 0)</f>
        <v>0</v>
      </c>
      <c r="F287" cm="1">
        <f t="array" ref="F287">IFERROR(_xlfn.XLOOKUP(C287&amp;A287, Inside5!B:B&amp;Inside5!I:I, Inside5!D:D), 0)</f>
        <v>0</v>
      </c>
      <c r="G287" cm="1">
        <f t="array" ref="G287">IFERROR(_xlfn.XLOOKUP(C287&amp;A287, Inside5!B:B&amp;Inside5!I:I, Inside5!E:E), 0)</f>
        <v>0</v>
      </c>
      <c r="H287" t="str" cm="1">
        <f t="array" ref="H287">IFERROR(_xlfn.XLOOKUP(C287&amp;A287, TDrate!F:F&amp;TDrate!H:H, TDrate!C:C), "N/A")</f>
        <v>N/A</v>
      </c>
      <c r="I287" t="str" cm="1">
        <f t="array" ref="I287">IFERROR(_xlfn.XLOOKUP(C287&amp;A287, TDrate!F:F&amp;TDrate!H:H, TDrate!E:E), "N/A")</f>
        <v>N/A</v>
      </c>
      <c r="J287" cm="1">
        <f t="array" ref="J287">IFERROR(_xlfn.XLOOKUP(C287&amp;A287, Inside5!B:B&amp;Inside5!I:I, Inside5!F:F), 0)</f>
        <v>0</v>
      </c>
      <c r="K287" cm="1">
        <f t="array" ref="K287">IFERROR(_xlfn.XLOOKUP(C287&amp;A287, Inside5!B:B&amp;Inside5!I:I, Inside5!G:G), 0)</f>
        <v>0</v>
      </c>
      <c r="L287" cm="1">
        <f t="array" ref="L287">IFERROR(_xlfn.XLOOKUP(C287&amp;A287, Inside5!B:B&amp;Inside5!I:I, Inside5!H:H), 0)</f>
        <v>0</v>
      </c>
      <c r="M287" t="str" cm="1">
        <f t="array" ref="M287">IFERROR(_xlfn.XLOOKUP(C287&amp;A287, TDrate!F:F&amp;TDrate!H:H, TDrate!B:B), "N/A")</f>
        <v>N/A</v>
      </c>
      <c r="N287" t="str" cm="1">
        <f t="array" ref="N287">IFERROR(_xlfn.XLOOKUP(C287&amp;A287, TDrate!F:F&amp;TDrate!H:H, TDrate!D:D), "N/A")</f>
        <v>N/A</v>
      </c>
    </row>
    <row r="288" spans="1:14" x14ac:dyDescent="0.45">
      <c r="A288" s="5">
        <v>2024</v>
      </c>
      <c r="B288" s="6" t="s">
        <v>349</v>
      </c>
      <c r="C288" s="7" t="str">
        <f t="shared" si="8"/>
        <v>Keaton Mitchell</v>
      </c>
      <c r="D288" s="7" t="str">
        <f t="shared" si="9"/>
        <v>BAL</v>
      </c>
      <c r="E288" cm="1">
        <f t="array" aca="1" ref="E288" ca="1">IFERROR(_xlfn.XLOOKUP(C288&amp;A288, Inside5!B:B&amp;Inside5!I:I, Inside5!C:C), 0)</f>
        <v>0</v>
      </c>
      <c r="F288" cm="1">
        <f t="array" aca="1" ref="F288" ca="1">IFERROR(_xlfn.XLOOKUP(C288&amp;A288, Inside5!B:B&amp;Inside5!I:I, Inside5!D:D), 0)</f>
        <v>0</v>
      </c>
      <c r="G288" cm="1">
        <f t="array" ref="G288">IFERROR(_xlfn.XLOOKUP(C288&amp;A288, Inside5!B:B&amp;Inside5!I:I, Inside5!E:E), 0)</f>
        <v>0</v>
      </c>
      <c r="H288" t="str" cm="1">
        <f t="array" ref="H288">IFERROR(_xlfn.XLOOKUP(C288&amp;A288, TDrate!F:F&amp;TDrate!H:H, TDrate!C:C), "N/A")</f>
        <v>N/A</v>
      </c>
      <c r="I288" t="str" cm="1">
        <f t="array" ref="I288">IFERROR(_xlfn.XLOOKUP(C288&amp;A288, TDrate!F:F&amp;TDrate!H:H, TDrate!E:E), "N/A")</f>
        <v>N/A</v>
      </c>
      <c r="J288" cm="1">
        <f t="array" ref="J288">IFERROR(_xlfn.XLOOKUP(C288&amp;A288, Inside5!B:B&amp;Inside5!I:I, Inside5!F:F), 0)</f>
        <v>0</v>
      </c>
      <c r="K288" cm="1">
        <f t="array" ref="K288">IFERROR(_xlfn.XLOOKUP(C288&amp;A288, Inside5!B:B&amp;Inside5!I:I, Inside5!G:G), 0)</f>
        <v>0</v>
      </c>
      <c r="L288" cm="1">
        <f t="array" ref="L288">IFERROR(_xlfn.XLOOKUP(C288&amp;A288, Inside5!B:B&amp;Inside5!I:I, Inside5!H:H), 0)</f>
        <v>0</v>
      </c>
      <c r="M288" t="str" cm="1">
        <f t="array" ref="M288">IFERROR(_xlfn.XLOOKUP(C288&amp;A288, TDrate!F:F&amp;TDrate!H:H, TDrate!B:B), "N/A")</f>
        <v>N/A</v>
      </c>
      <c r="N288" t="str" cm="1">
        <f t="array" ref="N288">IFERROR(_xlfn.XLOOKUP(C288&amp;A288, TDrate!F:F&amp;TDrate!H:H, TDrate!D:D), "N/A")</f>
        <v>N/A</v>
      </c>
    </row>
    <row r="289" spans="1:14" x14ac:dyDescent="0.45">
      <c r="A289" s="8">
        <v>2024</v>
      </c>
      <c r="B289" s="9" t="s">
        <v>434</v>
      </c>
      <c r="C289" s="10" t="str">
        <f t="shared" si="8"/>
        <v>Sione Vaki</v>
      </c>
      <c r="D289" s="10" t="str">
        <f t="shared" si="9"/>
        <v>DET</v>
      </c>
      <c r="E289" cm="1">
        <f t="array" ref="E289">IFERROR(_xlfn.XLOOKUP(C289&amp;A289, Inside5!B:B&amp;Inside5!I:I, Inside5!C:C), 0)</f>
        <v>0</v>
      </c>
      <c r="F289" cm="1">
        <f t="array" ref="F289">IFERROR(_xlfn.XLOOKUP(C289&amp;A289, Inside5!B:B&amp;Inside5!I:I, Inside5!D:D), 0)</f>
        <v>0</v>
      </c>
      <c r="G289" cm="1">
        <f t="array" ref="G289">IFERROR(_xlfn.XLOOKUP(C289&amp;A289, Inside5!B:B&amp;Inside5!I:I, Inside5!E:E), 0)</f>
        <v>0</v>
      </c>
      <c r="H289" t="str" cm="1">
        <f t="array" ref="H289">IFERROR(_xlfn.XLOOKUP(C289&amp;A289, TDrate!F:F&amp;TDrate!H:H, TDrate!C:C), "N/A")</f>
        <v>N/A</v>
      </c>
      <c r="I289" t="str" cm="1">
        <f t="array" ref="I289">IFERROR(_xlfn.XLOOKUP(C289&amp;A289, TDrate!F:F&amp;TDrate!H:H, TDrate!E:E), "N/A")</f>
        <v>N/A</v>
      </c>
      <c r="J289" cm="1">
        <f t="array" ref="J289">IFERROR(_xlfn.XLOOKUP(C289&amp;A289, Inside5!B:B&amp;Inside5!I:I, Inside5!F:F), 0)</f>
        <v>0</v>
      </c>
      <c r="K289" cm="1">
        <f t="array" ref="K289">IFERROR(_xlfn.XLOOKUP(C289&amp;A289, Inside5!B:B&amp;Inside5!I:I, Inside5!G:G), 0)</f>
        <v>0</v>
      </c>
      <c r="L289" cm="1">
        <f t="array" ref="L289">IFERROR(_xlfn.XLOOKUP(C289&amp;A289, Inside5!B:B&amp;Inside5!I:I, Inside5!H:H), 0)</f>
        <v>0</v>
      </c>
      <c r="M289" t="str" cm="1">
        <f t="array" ref="M289">IFERROR(_xlfn.XLOOKUP(C289&amp;A289, TDrate!F:F&amp;TDrate!H:H, TDrate!B:B), "N/A")</f>
        <v>N/A</v>
      </c>
      <c r="N289" t="str" cm="1">
        <f t="array" ref="N289">IFERROR(_xlfn.XLOOKUP(C289&amp;A289, TDrate!F:F&amp;TDrate!H:H, TDrate!D:D), "N/A")</f>
        <v>N/A</v>
      </c>
    </row>
    <row r="290" spans="1:14" x14ac:dyDescent="0.45">
      <c r="A290" s="5">
        <v>2024</v>
      </c>
      <c r="B290" s="6" t="s">
        <v>509</v>
      </c>
      <c r="C290" s="7" t="str">
        <f t="shared" si="8"/>
        <v>Mike Boone</v>
      </c>
      <c r="D290" s="7" t="str">
        <f t="shared" si="9"/>
        <v>CAR</v>
      </c>
      <c r="E290" cm="1">
        <f t="array" ref="E290">IFERROR(_xlfn.XLOOKUP(C290&amp;A290, Inside5!B:B&amp;Inside5!I:I, Inside5!C:C), 0)</f>
        <v>0</v>
      </c>
      <c r="F290" cm="1">
        <f t="array" aca="1" ref="F290" ca="1">IFERROR(_xlfn.XLOOKUP(C290&amp;A290, Inside5!B:B&amp;Inside5!I:I, Inside5!D:D), 0)</f>
        <v>0</v>
      </c>
      <c r="G290" cm="1">
        <f t="array" ref="G290">IFERROR(_xlfn.XLOOKUP(C290&amp;A290, Inside5!B:B&amp;Inside5!I:I, Inside5!E:E), 0)</f>
        <v>0</v>
      </c>
      <c r="H290" t="str" cm="1">
        <f t="array" ref="H290">IFERROR(_xlfn.XLOOKUP(C290&amp;A290, TDrate!F:F&amp;TDrate!H:H, TDrate!C:C), "N/A")</f>
        <v>N/A</v>
      </c>
      <c r="I290" t="str" cm="1">
        <f t="array" ref="I290">IFERROR(_xlfn.XLOOKUP(C290&amp;A290, TDrate!F:F&amp;TDrate!H:H, TDrate!E:E), "N/A")</f>
        <v>N/A</v>
      </c>
      <c r="J290" cm="1">
        <f t="array" ref="J290">IFERROR(_xlfn.XLOOKUP(C290&amp;A290, Inside5!B:B&amp;Inside5!I:I, Inside5!F:F), 0)</f>
        <v>0</v>
      </c>
      <c r="K290" cm="1">
        <f t="array" ref="K290">IFERROR(_xlfn.XLOOKUP(C290&amp;A290, Inside5!B:B&amp;Inside5!I:I, Inside5!G:G), 0)</f>
        <v>0</v>
      </c>
      <c r="L290" cm="1">
        <f t="array" ref="L290">IFERROR(_xlfn.XLOOKUP(C290&amp;A290, Inside5!B:B&amp;Inside5!I:I, Inside5!H:H), 0)</f>
        <v>0</v>
      </c>
      <c r="M290" t="str" cm="1">
        <f t="array" ref="M290">IFERROR(_xlfn.XLOOKUP(C290&amp;A290, TDrate!F:F&amp;TDrate!H:H, TDrate!B:B), "N/A")</f>
        <v>N/A</v>
      </c>
      <c r="N290" t="str" cm="1">
        <f t="array" ref="N290">IFERROR(_xlfn.XLOOKUP(C290&amp;A290, TDrate!F:F&amp;TDrate!H:H, TDrate!D:D), "N/A")</f>
        <v>N/A</v>
      </c>
    </row>
    <row r="291" spans="1:14" x14ac:dyDescent="0.45">
      <c r="A291" s="8">
        <v>2024</v>
      </c>
      <c r="B291" s="9" t="s">
        <v>510</v>
      </c>
      <c r="C291" s="10" t="str">
        <f t="shared" si="8"/>
        <v>Jonathon Brooks</v>
      </c>
      <c r="D291" s="10" t="str">
        <f t="shared" si="9"/>
        <v>CAR</v>
      </c>
      <c r="E291" cm="1">
        <f t="array" ref="E291">IFERROR(_xlfn.XLOOKUP(C291&amp;A291, Inside5!B:B&amp;Inside5!I:I, Inside5!C:C), 0)</f>
        <v>1</v>
      </c>
      <c r="F291" cm="1">
        <f t="array" ref="F291">IFERROR(_xlfn.XLOOKUP(C291&amp;A291, Inside5!B:B&amp;Inside5!I:I, Inside5!D:D), 0)</f>
        <v>0</v>
      </c>
      <c r="G291" cm="1">
        <f t="array" ref="G291">IFERROR(_xlfn.XLOOKUP(C291&amp;A291, Inside5!B:B&amp;Inside5!I:I, Inside5!E:E), 0)</f>
        <v>4.2999999999999997E-2</v>
      </c>
      <c r="H291" t="str" cm="1">
        <f t="array" ref="H291">IFERROR(_xlfn.XLOOKUP(C291&amp;A291, TDrate!F:F&amp;TDrate!H:H, TDrate!C:C), "N/A")</f>
        <v>N/A</v>
      </c>
      <c r="I291" t="str" cm="1">
        <f t="array" ref="I291">IFERROR(_xlfn.XLOOKUP(C291&amp;A291, TDrate!F:F&amp;TDrate!H:H, TDrate!E:E), "N/A")</f>
        <v>N/A</v>
      </c>
      <c r="J291" cm="1">
        <f t="array" ref="J291">IFERROR(_xlfn.XLOOKUP(C291&amp;A291, Inside5!B:B&amp;Inside5!I:I, Inside5!F:F), 0)</f>
        <v>0</v>
      </c>
      <c r="K291" cm="1">
        <f t="array" aca="1" ref="K291" ca="1">IFERROR(_xlfn.XLOOKUP(C291&amp;A291, Inside5!B:B&amp;Inside5!I:I, Inside5!G:G), 0)</f>
        <v>0</v>
      </c>
      <c r="L291" cm="1">
        <f t="array" ref="L291">IFERROR(_xlfn.XLOOKUP(C291&amp;A291, Inside5!B:B&amp;Inside5!I:I, Inside5!H:H), 0)</f>
        <v>0</v>
      </c>
      <c r="M291" t="str" cm="1">
        <f t="array" ref="M291">IFERROR(_xlfn.XLOOKUP(C291&amp;A291, TDrate!F:F&amp;TDrate!H:H, TDrate!B:B), "N/A")</f>
        <v>N/A</v>
      </c>
      <c r="N291" t="str" cm="1">
        <f t="array" ref="N291">IFERROR(_xlfn.XLOOKUP(C291&amp;A291, TDrate!F:F&amp;TDrate!H:H, TDrate!D:D), "N/A")</f>
        <v>N/A</v>
      </c>
    </row>
    <row r="292" spans="1:14" x14ac:dyDescent="0.45">
      <c r="A292" s="5">
        <v>2024</v>
      </c>
      <c r="B292" s="6" t="s">
        <v>511</v>
      </c>
      <c r="C292" s="7" t="str">
        <f t="shared" si="8"/>
        <v>J.J. Taylor</v>
      </c>
      <c r="D292" s="7" t="str">
        <f t="shared" si="9"/>
        <v>HOU</v>
      </c>
      <c r="E292" cm="1">
        <f t="array" aca="1" ref="E292" ca="1">IFERROR(_xlfn.XLOOKUP(C292&amp;A292, Inside5!B:B&amp;Inside5!I:I, Inside5!C:C), 0)</f>
        <v>0</v>
      </c>
      <c r="F292" cm="1">
        <f t="array" ref="F292">IFERROR(_xlfn.XLOOKUP(C292&amp;A292, Inside5!B:B&amp;Inside5!I:I, Inside5!D:D), 0)</f>
        <v>0</v>
      </c>
      <c r="G292" cm="1">
        <f t="array" ref="G292">IFERROR(_xlfn.XLOOKUP(C292&amp;A292, Inside5!B:B&amp;Inside5!I:I, Inside5!E:E), 0)</f>
        <v>0</v>
      </c>
      <c r="H292" t="str" cm="1">
        <f t="array" ref="H292">IFERROR(_xlfn.XLOOKUP(C292&amp;A292, TDrate!F:F&amp;TDrate!H:H, TDrate!C:C), "N/A")</f>
        <v>N/A</v>
      </c>
      <c r="I292" t="str" cm="1">
        <f t="array" ref="I292">IFERROR(_xlfn.XLOOKUP(C292&amp;A292, TDrate!F:F&amp;TDrate!H:H, TDrate!E:E), "N/A")</f>
        <v>N/A</v>
      </c>
      <c r="J292" cm="1">
        <f t="array" ref="J292">IFERROR(_xlfn.XLOOKUP(C292&amp;A292, Inside5!B:B&amp;Inside5!I:I, Inside5!F:F), 0)</f>
        <v>0</v>
      </c>
      <c r="K292" cm="1">
        <f t="array" aca="1" ref="K292" ca="1">IFERROR(_xlfn.XLOOKUP(C292&amp;A292, Inside5!B:B&amp;Inside5!I:I, Inside5!G:G), 0)</f>
        <v>0</v>
      </c>
      <c r="L292" cm="1">
        <f t="array" aca="1" ref="L292" ca="1">IFERROR(_xlfn.XLOOKUP(C292&amp;A292, Inside5!B:B&amp;Inside5!I:I, Inside5!H:H), 0)</f>
        <v>0</v>
      </c>
      <c r="M292" t="str" cm="1">
        <f t="array" ref="M292">IFERROR(_xlfn.XLOOKUP(C292&amp;A292, TDrate!F:F&amp;TDrate!H:H, TDrate!B:B), "N/A")</f>
        <v>N/A</v>
      </c>
      <c r="N292" t="str" cm="1">
        <f t="array" ref="N292">IFERROR(_xlfn.XLOOKUP(C292&amp;A292, TDrate!F:F&amp;TDrate!H:H, TDrate!D:D), "N/A")</f>
        <v>N/A</v>
      </c>
    </row>
    <row r="293" spans="1:14" x14ac:dyDescent="0.45">
      <c r="A293" s="8">
        <v>2024</v>
      </c>
      <c r="B293" s="9" t="s">
        <v>512</v>
      </c>
      <c r="C293" s="10" t="str">
        <f t="shared" si="8"/>
        <v>Jacob Kibodi</v>
      </c>
      <c r="D293" s="10" t="str">
        <f t="shared" si="9"/>
        <v>CLE</v>
      </c>
      <c r="E293" cm="1">
        <f t="array" ref="E293">IFERROR(_xlfn.XLOOKUP(C293&amp;A293, Inside5!B:B&amp;Inside5!I:I, Inside5!C:C), 0)</f>
        <v>0</v>
      </c>
      <c r="F293" cm="1">
        <f t="array" ref="F293">IFERROR(_xlfn.XLOOKUP(C293&amp;A293, Inside5!B:B&amp;Inside5!I:I, Inside5!D:D), 0)</f>
        <v>0</v>
      </c>
      <c r="G293" cm="1">
        <f t="array" ref="G293">IFERROR(_xlfn.XLOOKUP(C293&amp;A293, Inside5!B:B&amp;Inside5!I:I, Inside5!E:E), 0)</f>
        <v>0</v>
      </c>
      <c r="H293" t="str" cm="1">
        <f t="array" ref="H293">IFERROR(_xlfn.XLOOKUP(C293&amp;A293, TDrate!F:F&amp;TDrate!H:H, TDrate!C:C), "N/A")</f>
        <v>N/A</v>
      </c>
      <c r="I293" t="str" cm="1">
        <f t="array" ref="I293">IFERROR(_xlfn.XLOOKUP(C293&amp;A293, TDrate!F:F&amp;TDrate!H:H, TDrate!E:E), "N/A")</f>
        <v>N/A</v>
      </c>
      <c r="J293" cm="1">
        <f t="array" ref="J293">IFERROR(_xlfn.XLOOKUP(C293&amp;A293, Inside5!B:B&amp;Inside5!I:I, Inside5!F:F), 0)</f>
        <v>0</v>
      </c>
      <c r="K293" cm="1">
        <f t="array" ref="K293">IFERROR(_xlfn.XLOOKUP(C293&amp;A293, Inside5!B:B&amp;Inside5!I:I, Inside5!G:G), 0)</f>
        <v>0</v>
      </c>
      <c r="L293" cm="1">
        <f t="array" ref="L293">IFERROR(_xlfn.XLOOKUP(C293&amp;A293, Inside5!B:B&amp;Inside5!I:I, Inside5!H:H), 0)</f>
        <v>0</v>
      </c>
      <c r="M293" t="str" cm="1">
        <f t="array" ref="M293">IFERROR(_xlfn.XLOOKUP(C293&amp;A293, TDrate!F:F&amp;TDrate!H:H, TDrate!B:B), "N/A")</f>
        <v>N/A</v>
      </c>
      <c r="N293" t="str" cm="1">
        <f t="array" ref="N293">IFERROR(_xlfn.XLOOKUP(C293&amp;A293, TDrate!F:F&amp;TDrate!H:H, TDrate!D:D), "N/A")</f>
        <v>N/A</v>
      </c>
    </row>
    <row r="294" spans="1:14" x14ac:dyDescent="0.45">
      <c r="A294" s="5">
        <v>2024</v>
      </c>
      <c r="B294" s="6" t="s">
        <v>467</v>
      </c>
      <c r="C294" s="7" t="str">
        <f t="shared" si="8"/>
        <v>Travis Homer</v>
      </c>
      <c r="D294" s="7" t="str">
        <f t="shared" si="9"/>
        <v>CHI</v>
      </c>
      <c r="E294" cm="1">
        <f t="array" ref="E294">IFERROR(_xlfn.XLOOKUP(C294&amp;A294, Inside5!B:B&amp;Inside5!I:I, Inside5!C:C), 0)</f>
        <v>0</v>
      </c>
      <c r="F294" cm="1">
        <f t="array" aca="1" ref="F294" ca="1">IFERROR(_xlfn.XLOOKUP(C294&amp;A294, Inside5!B:B&amp;Inside5!I:I, Inside5!D:D), 0)</f>
        <v>0</v>
      </c>
      <c r="G294" cm="1">
        <f t="array" ref="G294">IFERROR(_xlfn.XLOOKUP(C294&amp;A294, Inside5!B:B&amp;Inside5!I:I, Inside5!E:E), 0)</f>
        <v>0</v>
      </c>
      <c r="H294" t="str" cm="1">
        <f t="array" ref="H294">IFERROR(_xlfn.XLOOKUP(C294&amp;A294, TDrate!F:F&amp;TDrate!H:H, TDrate!C:C), "N/A")</f>
        <v>N/A</v>
      </c>
      <c r="I294" t="str" cm="1">
        <f t="array" ref="I294">IFERROR(_xlfn.XLOOKUP(C294&amp;A294, TDrate!F:F&amp;TDrate!H:H, TDrate!E:E), "N/A")</f>
        <v>N/A</v>
      </c>
      <c r="J294" cm="1">
        <f t="array" ref="J294">IFERROR(_xlfn.XLOOKUP(C294&amp;A294, Inside5!B:B&amp;Inside5!I:I, Inside5!F:F), 0)</f>
        <v>0</v>
      </c>
      <c r="K294" cm="1">
        <f t="array" ref="K294">IFERROR(_xlfn.XLOOKUP(C294&amp;A294, Inside5!B:B&amp;Inside5!I:I, Inside5!G:G), 0)</f>
        <v>0</v>
      </c>
      <c r="L294" cm="1">
        <f t="array" ref="L294">IFERROR(_xlfn.XLOOKUP(C294&amp;A294, Inside5!B:B&amp;Inside5!I:I, Inside5!H:H), 0)</f>
        <v>0</v>
      </c>
      <c r="M294" t="str" cm="1">
        <f t="array" ref="M294">IFERROR(_xlfn.XLOOKUP(C294&amp;A294, TDrate!F:F&amp;TDrate!H:H, TDrate!B:B), "N/A")</f>
        <v>N/A</v>
      </c>
      <c r="N294" t="str" cm="1">
        <f t="array" ref="N294">IFERROR(_xlfn.XLOOKUP(C294&amp;A294, TDrate!F:F&amp;TDrate!H:H, TDrate!D:D), "N/A")</f>
        <v>N/A</v>
      </c>
    </row>
    <row r="295" spans="1:14" x14ac:dyDescent="0.45">
      <c r="A295" s="8">
        <v>2024</v>
      </c>
      <c r="B295" s="9" t="s">
        <v>386</v>
      </c>
      <c r="C295" s="10" t="str">
        <f t="shared" si="8"/>
        <v>Terrell Jennings</v>
      </c>
      <c r="D295" s="10" t="str">
        <f t="shared" si="9"/>
        <v>NE</v>
      </c>
      <c r="E295" cm="1">
        <f t="array" aca="1" ref="E295" ca="1">IFERROR(_xlfn.XLOOKUP(C295&amp;A295, Inside5!B:B&amp;Inside5!I:I, Inside5!C:C), 0)</f>
        <v>0</v>
      </c>
      <c r="F295" cm="1">
        <f t="array" ref="F295">IFERROR(_xlfn.XLOOKUP(C295&amp;A295, Inside5!B:B&amp;Inside5!I:I, Inside5!D:D), 0)</f>
        <v>0</v>
      </c>
      <c r="G295" cm="1">
        <f t="array" ref="G295">IFERROR(_xlfn.XLOOKUP(C295&amp;A295, Inside5!B:B&amp;Inside5!I:I, Inside5!E:E), 0)</f>
        <v>0</v>
      </c>
      <c r="H295" t="str" cm="1">
        <f t="array" ref="H295">IFERROR(_xlfn.XLOOKUP(C295&amp;A295, TDrate!F:F&amp;TDrate!H:H, TDrate!C:C), "N/A")</f>
        <v>N/A</v>
      </c>
      <c r="I295" t="str" cm="1">
        <f t="array" ref="I295">IFERROR(_xlfn.XLOOKUP(C295&amp;A295, TDrate!F:F&amp;TDrate!H:H, TDrate!E:E), "N/A")</f>
        <v>N/A</v>
      </c>
      <c r="J295" cm="1">
        <f t="array" ref="J295">IFERROR(_xlfn.XLOOKUP(C295&amp;A295, Inside5!B:B&amp;Inside5!I:I, Inside5!F:F), 0)</f>
        <v>0</v>
      </c>
      <c r="K295" cm="1">
        <f t="array" ref="K295">IFERROR(_xlfn.XLOOKUP(C295&amp;A295, Inside5!B:B&amp;Inside5!I:I, Inside5!G:G), 0)</f>
        <v>0</v>
      </c>
      <c r="L295" cm="1">
        <f t="array" ref="L295">IFERROR(_xlfn.XLOOKUP(C295&amp;A295, Inside5!B:B&amp;Inside5!I:I, Inside5!H:H), 0)</f>
        <v>0</v>
      </c>
      <c r="M295" t="str" cm="1">
        <f t="array" ref="M295">IFERROR(_xlfn.XLOOKUP(C295&amp;A295, TDrate!F:F&amp;TDrate!H:H, TDrate!B:B), "N/A")</f>
        <v>N/A</v>
      </c>
      <c r="N295" t="str" cm="1">
        <f t="array" ref="N295">IFERROR(_xlfn.XLOOKUP(C295&amp;A295, TDrate!F:F&amp;TDrate!H:H, TDrate!D:D), "N/A")</f>
        <v>N/A</v>
      </c>
    </row>
    <row r="296" spans="1:14" x14ac:dyDescent="0.45">
      <c r="A296" s="5">
        <v>2024</v>
      </c>
      <c r="B296" s="6" t="s">
        <v>513</v>
      </c>
      <c r="C296" s="7" t="str">
        <f t="shared" si="8"/>
        <v>Jermar Jefferson</v>
      </c>
      <c r="D296" s="7" t="str">
        <f t="shared" si="9"/>
        <v>DET</v>
      </c>
      <c r="E296" cm="1">
        <f t="array" ref="E296">IFERROR(_xlfn.XLOOKUP(C296&amp;A296, Inside5!B:B&amp;Inside5!I:I, Inside5!C:C), 0)</f>
        <v>1</v>
      </c>
      <c r="F296" cm="1">
        <f t="array" ref="F296">IFERROR(_xlfn.XLOOKUP(C296&amp;A296, Inside5!B:B&amp;Inside5!I:I, Inside5!D:D), 0)</f>
        <v>0</v>
      </c>
      <c r="G296" cm="1">
        <f t="array" ref="G296">IFERROR(_xlfn.XLOOKUP(C296&amp;A296, Inside5!B:B&amp;Inside5!I:I, Inside5!E:E), 0)</f>
        <v>2.9000000000000001E-2</v>
      </c>
      <c r="H296" t="str" cm="1">
        <f t="array" ref="H296">IFERROR(_xlfn.XLOOKUP(C296&amp;A296, TDrate!F:F&amp;TDrate!H:H, TDrate!C:C), "N/A")</f>
        <v>N/A</v>
      </c>
      <c r="I296" t="str" cm="1">
        <f t="array" ref="I296">IFERROR(_xlfn.XLOOKUP(C296&amp;A296, TDrate!F:F&amp;TDrate!H:H, TDrate!E:E), "N/A")</f>
        <v>N/A</v>
      </c>
      <c r="J296" cm="1">
        <f t="array" ref="J296">IFERROR(_xlfn.XLOOKUP(C296&amp;A296, Inside5!B:B&amp;Inside5!I:I, Inside5!F:F), 0)</f>
        <v>0</v>
      </c>
      <c r="K296" cm="1">
        <f t="array" aca="1" ref="K296" ca="1">IFERROR(_xlfn.XLOOKUP(C296&amp;A296, Inside5!B:B&amp;Inside5!I:I, Inside5!G:G), 0)</f>
        <v>0</v>
      </c>
      <c r="L296" cm="1">
        <f t="array" ref="L296">IFERROR(_xlfn.XLOOKUP(C296&amp;A296, Inside5!B:B&amp;Inside5!I:I, Inside5!H:H), 0)</f>
        <v>0</v>
      </c>
      <c r="M296" t="str" cm="1">
        <f t="array" ref="M296">IFERROR(_xlfn.XLOOKUP(C296&amp;A296, TDrate!F:F&amp;TDrate!H:H, TDrate!B:B), "N/A")</f>
        <v>N/A</v>
      </c>
      <c r="N296" t="str" cm="1">
        <f t="array" ref="N296">IFERROR(_xlfn.XLOOKUP(C296&amp;A296, TDrate!F:F&amp;TDrate!H:H, TDrate!D:D), "N/A")</f>
        <v>N/A</v>
      </c>
    </row>
    <row r="297" spans="1:14" x14ac:dyDescent="0.45">
      <c r="A297" s="8">
        <v>2024</v>
      </c>
      <c r="B297" s="9" t="s">
        <v>514</v>
      </c>
      <c r="C297" s="10" t="str">
        <f t="shared" si="8"/>
        <v>Jase McClellan</v>
      </c>
      <c r="D297" s="10" t="str">
        <f t="shared" si="9"/>
        <v>ATL</v>
      </c>
      <c r="E297" cm="1">
        <f t="array" aca="1" ref="E297" ca="1">IFERROR(_xlfn.XLOOKUP(C297&amp;A297, Inside5!B:B&amp;Inside5!I:I, Inside5!C:C), 0)</f>
        <v>0</v>
      </c>
      <c r="F297" cm="1">
        <f t="array" aca="1" ref="F297" ca="1">IFERROR(_xlfn.XLOOKUP(C297&amp;A297, Inside5!B:B&amp;Inside5!I:I, Inside5!D:D), 0)</f>
        <v>0</v>
      </c>
      <c r="G297" cm="1">
        <f t="array" ref="G297">IFERROR(_xlfn.XLOOKUP(C297&amp;A297, Inside5!B:B&amp;Inside5!I:I, Inside5!E:E), 0)</f>
        <v>0</v>
      </c>
      <c r="H297" t="str" cm="1">
        <f t="array" ref="H297">IFERROR(_xlfn.XLOOKUP(C297&amp;A297, TDrate!F:F&amp;TDrate!H:H, TDrate!C:C), "N/A")</f>
        <v>N/A</v>
      </c>
      <c r="I297" t="str" cm="1">
        <f t="array" ref="I297">IFERROR(_xlfn.XLOOKUP(C297&amp;A297, TDrate!F:F&amp;TDrate!H:H, TDrate!E:E), "N/A")</f>
        <v>N/A</v>
      </c>
      <c r="J297" cm="1">
        <f t="array" ref="J297">IFERROR(_xlfn.XLOOKUP(C297&amp;A297, Inside5!B:B&amp;Inside5!I:I, Inside5!F:F), 0)</f>
        <v>0</v>
      </c>
      <c r="K297" cm="1">
        <f t="array" aca="1" ref="K297" ca="1">IFERROR(_xlfn.XLOOKUP(C297&amp;A297, Inside5!B:B&amp;Inside5!I:I, Inside5!G:G), 0)</f>
        <v>0</v>
      </c>
      <c r="L297" cm="1">
        <f t="array" ref="L297">IFERROR(_xlfn.XLOOKUP(C297&amp;A297, Inside5!B:B&amp;Inside5!I:I, Inside5!H:H), 0)</f>
        <v>0</v>
      </c>
      <c r="M297" t="str" cm="1">
        <f t="array" ref="M297">IFERROR(_xlfn.XLOOKUP(C297&amp;A297, TDrate!F:F&amp;TDrate!H:H, TDrate!B:B), "N/A")</f>
        <v>N/A</v>
      </c>
      <c r="N297" t="str" cm="1">
        <f t="array" ref="N297">IFERROR(_xlfn.XLOOKUP(C297&amp;A297, TDrate!F:F&amp;TDrate!H:H, TDrate!D:D), "N/A")</f>
        <v>N/A</v>
      </c>
    </row>
    <row r="298" spans="1:14" x14ac:dyDescent="0.45">
      <c r="A298" s="5">
        <v>2024</v>
      </c>
      <c r="B298" s="6" t="s">
        <v>416</v>
      </c>
      <c r="C298" s="7" t="str">
        <f t="shared" si="8"/>
        <v>Rasheen Ali</v>
      </c>
      <c r="D298" s="7" t="str">
        <f t="shared" si="9"/>
        <v>BAL</v>
      </c>
      <c r="E298" cm="1">
        <f t="array" aca="1" ref="E298" ca="1">IFERROR(_xlfn.XLOOKUP(C298&amp;A298, Inside5!B:B&amp;Inside5!I:I, Inside5!C:C), 0)</f>
        <v>0</v>
      </c>
      <c r="F298" cm="1">
        <f t="array" aca="1" ref="F298" ca="1">IFERROR(_xlfn.XLOOKUP(C298&amp;A298, Inside5!B:B&amp;Inside5!I:I, Inside5!D:D), 0)</f>
        <v>0</v>
      </c>
      <c r="G298" cm="1">
        <f t="array" ref="G298">IFERROR(_xlfn.XLOOKUP(C298&amp;A298, Inside5!B:B&amp;Inside5!I:I, Inside5!E:E), 0)</f>
        <v>0</v>
      </c>
      <c r="H298" t="str" cm="1">
        <f t="array" ref="H298">IFERROR(_xlfn.XLOOKUP(C298&amp;A298, TDrate!F:F&amp;TDrate!H:H, TDrate!C:C), "N/A")</f>
        <v>N/A</v>
      </c>
      <c r="I298" t="str" cm="1">
        <f t="array" ref="I298">IFERROR(_xlfn.XLOOKUP(C298&amp;A298, TDrate!F:F&amp;TDrate!H:H, TDrate!E:E), "N/A")</f>
        <v>N/A</v>
      </c>
      <c r="J298" cm="1">
        <f t="array" ref="J298">IFERROR(_xlfn.XLOOKUP(C298&amp;A298, Inside5!B:B&amp;Inside5!I:I, Inside5!F:F), 0)</f>
        <v>0</v>
      </c>
      <c r="K298" cm="1">
        <f t="array" ref="K298">IFERROR(_xlfn.XLOOKUP(C298&amp;A298, Inside5!B:B&amp;Inside5!I:I, Inside5!G:G), 0)</f>
        <v>0</v>
      </c>
      <c r="L298" cm="1">
        <f t="array" ref="L298">IFERROR(_xlfn.XLOOKUP(C298&amp;A298, Inside5!B:B&amp;Inside5!I:I, Inside5!H:H), 0)</f>
        <v>0</v>
      </c>
      <c r="M298" t="str" cm="1">
        <f t="array" ref="M298">IFERROR(_xlfn.XLOOKUP(C298&amp;A298, TDrate!F:F&amp;TDrate!H:H, TDrate!B:B), "N/A")</f>
        <v>N/A</v>
      </c>
      <c r="N298" t="str" cm="1">
        <f t="array" ref="N298">IFERROR(_xlfn.XLOOKUP(C298&amp;A298, TDrate!F:F&amp;TDrate!H:H, TDrate!D:D), "N/A")</f>
        <v>N/A</v>
      </c>
    </row>
    <row r="299" spans="1:14" x14ac:dyDescent="0.45">
      <c r="A299" s="8">
        <v>2024</v>
      </c>
      <c r="B299" s="9" t="s">
        <v>515</v>
      </c>
      <c r="C299" s="10" t="str">
        <f t="shared" si="8"/>
        <v>Dalvin Cook</v>
      </c>
      <c r="D299" s="10" t="str">
        <f t="shared" si="9"/>
        <v>DAL</v>
      </c>
      <c r="E299" cm="1">
        <f t="array" aca="1" ref="E299" ca="1">IFERROR(_xlfn.XLOOKUP(C299&amp;A299, Inside5!B:B&amp;Inside5!I:I, Inside5!C:C), 0)</f>
        <v>0</v>
      </c>
      <c r="F299" cm="1">
        <f t="array" aca="1" ref="F299" ca="1">IFERROR(_xlfn.XLOOKUP(C299&amp;A299, Inside5!B:B&amp;Inside5!I:I, Inside5!D:D), 0)</f>
        <v>0</v>
      </c>
      <c r="G299" cm="1">
        <f t="array" ref="G299">IFERROR(_xlfn.XLOOKUP(C299&amp;A299, Inside5!B:B&amp;Inside5!I:I, Inside5!E:E), 0)</f>
        <v>0</v>
      </c>
      <c r="H299" t="str" cm="1">
        <f t="array" ref="H299">IFERROR(_xlfn.XLOOKUP(C299&amp;A299, TDrate!F:F&amp;TDrate!H:H, TDrate!C:C), "N/A")</f>
        <v>N/A</v>
      </c>
      <c r="I299" t="str" cm="1">
        <f t="array" ref="I299">IFERROR(_xlfn.XLOOKUP(C299&amp;A299, TDrate!F:F&amp;TDrate!H:H, TDrate!E:E), "N/A")</f>
        <v>N/A</v>
      </c>
      <c r="J299" cm="1">
        <f t="array" ref="J299">IFERROR(_xlfn.XLOOKUP(C299&amp;A299, Inside5!B:B&amp;Inside5!I:I, Inside5!F:F), 0)</f>
        <v>0</v>
      </c>
      <c r="K299" cm="1">
        <f t="array" ref="K299">IFERROR(_xlfn.XLOOKUP(C299&amp;A299, Inside5!B:B&amp;Inside5!I:I, Inside5!G:G), 0)</f>
        <v>0</v>
      </c>
      <c r="L299" cm="1">
        <f t="array" ref="L299">IFERROR(_xlfn.XLOOKUP(C299&amp;A299, Inside5!B:B&amp;Inside5!I:I, Inside5!H:H), 0)</f>
        <v>0</v>
      </c>
      <c r="M299" t="str" cm="1">
        <f t="array" ref="M299">IFERROR(_xlfn.XLOOKUP(C299&amp;A299, TDrate!F:F&amp;TDrate!H:H, TDrate!B:B), "N/A")</f>
        <v>N/A</v>
      </c>
      <c r="N299" t="str" cm="1">
        <f t="array" ref="N299">IFERROR(_xlfn.XLOOKUP(C299&amp;A299, TDrate!F:F&amp;TDrate!H:H, TDrate!D:D), "N/A")</f>
        <v>N/A</v>
      </c>
    </row>
    <row r="300" spans="1:14" x14ac:dyDescent="0.45">
      <c r="A300" s="5">
        <v>2024</v>
      </c>
      <c r="B300" s="6" t="s">
        <v>516</v>
      </c>
      <c r="C300" s="7" t="str">
        <f t="shared" si="8"/>
        <v>Blake Watson</v>
      </c>
      <c r="D300" s="7" t="str">
        <f t="shared" si="9"/>
        <v>DEN</v>
      </c>
      <c r="E300" cm="1">
        <f t="array" ref="E300">IFERROR(_xlfn.XLOOKUP(C300&amp;A300, Inside5!B:B&amp;Inside5!I:I, Inside5!C:C), 0)</f>
        <v>0</v>
      </c>
      <c r="F300" cm="1">
        <f t="array" ref="F300">IFERROR(_xlfn.XLOOKUP(C300&amp;A300, Inside5!B:B&amp;Inside5!I:I, Inside5!D:D), 0)</f>
        <v>0</v>
      </c>
      <c r="G300" cm="1">
        <f t="array" ref="G300">IFERROR(_xlfn.XLOOKUP(C300&amp;A300, Inside5!B:B&amp;Inside5!I:I, Inside5!E:E), 0)</f>
        <v>0</v>
      </c>
      <c r="H300" t="str" cm="1">
        <f t="array" ref="H300">IFERROR(_xlfn.XLOOKUP(C300&amp;A300, TDrate!F:F&amp;TDrate!H:H, TDrate!C:C), "N/A")</f>
        <v>N/A</v>
      </c>
      <c r="I300" t="str" cm="1">
        <f t="array" ref="I300">IFERROR(_xlfn.XLOOKUP(C300&amp;A300, TDrate!F:F&amp;TDrate!H:H, TDrate!E:E), "N/A")</f>
        <v>N/A</v>
      </c>
      <c r="J300" cm="1">
        <f t="array" ref="J300">IFERROR(_xlfn.XLOOKUP(C300&amp;A300, Inside5!B:B&amp;Inside5!I:I, Inside5!F:F), 0)</f>
        <v>0</v>
      </c>
      <c r="K300" cm="1">
        <f t="array" ref="K300">IFERROR(_xlfn.XLOOKUP(C300&amp;A300, Inside5!B:B&amp;Inside5!I:I, Inside5!G:G), 0)</f>
        <v>0</v>
      </c>
      <c r="L300" cm="1">
        <f t="array" ref="L300">IFERROR(_xlfn.XLOOKUP(C300&amp;A300, Inside5!B:B&amp;Inside5!I:I, Inside5!H:H), 0)</f>
        <v>0</v>
      </c>
      <c r="M300" t="str" cm="1">
        <f t="array" ref="M300">IFERROR(_xlfn.XLOOKUP(C300&amp;A300, TDrate!F:F&amp;TDrate!H:H, TDrate!B:B), "N/A")</f>
        <v>N/A</v>
      </c>
      <c r="N300" t="str" cm="1">
        <f t="array" ref="N300">IFERROR(_xlfn.XLOOKUP(C300&amp;A300, TDrate!F:F&amp;TDrate!H:H, TDrate!D:D), "N/A")</f>
        <v>N/A</v>
      </c>
    </row>
    <row r="301" spans="1:14" x14ac:dyDescent="0.45">
      <c r="A301" s="8">
        <v>2024</v>
      </c>
      <c r="B301" s="9" t="s">
        <v>517</v>
      </c>
      <c r="C301" s="10" t="str">
        <f t="shared" si="8"/>
        <v>Jonathan Ward</v>
      </c>
      <c r="D301" s="10" t="str">
        <f t="shared" si="9"/>
        <v>PIT</v>
      </c>
      <c r="E301" cm="1">
        <f t="array" aca="1" ref="E301" ca="1">IFERROR(_xlfn.XLOOKUP(C301&amp;A301, Inside5!B:B&amp;Inside5!I:I, Inside5!C:C), 0)</f>
        <v>0</v>
      </c>
      <c r="F301" cm="1">
        <f t="array" aca="1" ref="F301" ca="1">IFERROR(_xlfn.XLOOKUP(C301&amp;A301, Inside5!B:B&amp;Inside5!I:I, Inside5!D:D), 0)</f>
        <v>0</v>
      </c>
      <c r="G301" cm="1">
        <f t="array" ref="G301">IFERROR(_xlfn.XLOOKUP(C301&amp;A301, Inside5!B:B&amp;Inside5!I:I, Inside5!E:E), 0)</f>
        <v>0</v>
      </c>
      <c r="H301" t="str" cm="1">
        <f t="array" ref="H301">IFERROR(_xlfn.XLOOKUP(C301&amp;A301, TDrate!F:F&amp;TDrate!H:H, TDrate!C:C), "N/A")</f>
        <v>N/A</v>
      </c>
      <c r="I301" t="str" cm="1">
        <f t="array" ref="I301">IFERROR(_xlfn.XLOOKUP(C301&amp;A301, TDrate!F:F&amp;TDrate!H:H, TDrate!E:E), "N/A")</f>
        <v>N/A</v>
      </c>
      <c r="J301" cm="1">
        <f t="array" ref="J301">IFERROR(_xlfn.XLOOKUP(C301&amp;A301, Inside5!B:B&amp;Inside5!I:I, Inside5!F:F), 0)</f>
        <v>0</v>
      </c>
      <c r="K301" cm="1">
        <f t="array" aca="1" ref="K301" ca="1">IFERROR(_xlfn.XLOOKUP(C301&amp;A301, Inside5!B:B&amp;Inside5!I:I, Inside5!G:G), 0)</f>
        <v>0</v>
      </c>
      <c r="L301" cm="1">
        <f t="array" ref="L301">IFERROR(_xlfn.XLOOKUP(C301&amp;A301, Inside5!B:B&amp;Inside5!I:I, Inside5!H:H), 0)</f>
        <v>0</v>
      </c>
      <c r="M301" t="str" cm="1">
        <f t="array" ref="M301">IFERROR(_xlfn.XLOOKUP(C301&amp;A301, TDrate!F:F&amp;TDrate!H:H, TDrate!B:B), "N/A")</f>
        <v>N/A</v>
      </c>
      <c r="N301" t="str" cm="1">
        <f t="array" ref="N301">IFERROR(_xlfn.XLOOKUP(C301&amp;A301, TDrate!F:F&amp;TDrate!H:H, TDrate!D:D), "N/A")</f>
        <v>N/A</v>
      </c>
    </row>
    <row r="302" spans="1:14" x14ac:dyDescent="0.45">
      <c r="A302" s="5">
        <v>2024</v>
      </c>
      <c r="B302" s="6" t="s">
        <v>518</v>
      </c>
      <c r="C302" s="7" t="str">
        <f t="shared" si="8"/>
        <v>MarShawn Lloyd</v>
      </c>
      <c r="D302" s="7" t="str">
        <f t="shared" si="9"/>
        <v>GB</v>
      </c>
      <c r="E302" cm="1">
        <f t="array" ref="E302">IFERROR(_xlfn.XLOOKUP(C302&amp;A302, Inside5!B:B&amp;Inside5!I:I, Inside5!C:C), 0)</f>
        <v>0</v>
      </c>
      <c r="F302" cm="1">
        <f t="array" ref="F302">IFERROR(_xlfn.XLOOKUP(C302&amp;A302, Inside5!B:B&amp;Inside5!I:I, Inside5!D:D), 0)</f>
        <v>0</v>
      </c>
      <c r="G302" cm="1">
        <f t="array" ref="G302">IFERROR(_xlfn.XLOOKUP(C302&amp;A302, Inside5!B:B&amp;Inside5!I:I, Inside5!E:E), 0)</f>
        <v>0</v>
      </c>
      <c r="H302" t="str" cm="1">
        <f t="array" ref="H302">IFERROR(_xlfn.XLOOKUP(C302&amp;A302, TDrate!F:F&amp;TDrate!H:H, TDrate!C:C), "N/A")</f>
        <v>N/A</v>
      </c>
      <c r="I302" t="str" cm="1">
        <f t="array" ref="I302">IFERROR(_xlfn.XLOOKUP(C302&amp;A302, TDrate!F:F&amp;TDrate!H:H, TDrate!E:E), "N/A")</f>
        <v>N/A</v>
      </c>
      <c r="J302" cm="1">
        <f t="array" ref="J302">IFERROR(_xlfn.XLOOKUP(C302&amp;A302, Inside5!B:B&amp;Inside5!I:I, Inside5!F:F), 0)</f>
        <v>0</v>
      </c>
      <c r="K302" cm="1">
        <f t="array" ref="K302">IFERROR(_xlfn.XLOOKUP(C302&amp;A302, Inside5!B:B&amp;Inside5!I:I, Inside5!G:G), 0)</f>
        <v>0</v>
      </c>
      <c r="L302" cm="1">
        <f t="array" ref="L302">IFERROR(_xlfn.XLOOKUP(C302&amp;A302, Inside5!B:B&amp;Inside5!I:I, Inside5!H:H), 0)</f>
        <v>0</v>
      </c>
      <c r="M302" t="str" cm="1">
        <f t="array" ref="M302">IFERROR(_xlfn.XLOOKUP(C302&amp;A302, TDrate!F:F&amp;TDrate!H:H, TDrate!B:B), "N/A")</f>
        <v>N/A</v>
      </c>
      <c r="N302" t="str" cm="1">
        <f t="array" ref="N302">IFERROR(_xlfn.XLOOKUP(C302&amp;A302, TDrate!F:F&amp;TDrate!H:H, TDrate!D:D), "N/A")</f>
        <v>N/A</v>
      </c>
    </row>
    <row r="303" spans="1:14" x14ac:dyDescent="0.45">
      <c r="A303" s="8">
        <v>2024</v>
      </c>
      <c r="B303" s="9" t="s">
        <v>519</v>
      </c>
      <c r="C303" s="10" t="str">
        <f t="shared" si="8"/>
        <v>Aaron Shampklin</v>
      </c>
      <c r="D303" s="10" t="str">
        <f t="shared" si="9"/>
        <v>PIT</v>
      </c>
      <c r="E303" cm="1">
        <f t="array" aca="1" ref="E303" ca="1">IFERROR(_xlfn.XLOOKUP(C303&amp;A303, Inside5!B:B&amp;Inside5!I:I, Inside5!C:C), 0)</f>
        <v>1</v>
      </c>
      <c r="F303" cm="1">
        <f t="array" aca="1" ref="F303" ca="1">IFERROR(_xlfn.XLOOKUP(C303&amp;A303, Inside5!B:B&amp;Inside5!I:I, Inside5!D:D), 0)</f>
        <v>0</v>
      </c>
      <c r="G303" cm="1">
        <f t="array" ref="G303">IFERROR(_xlfn.XLOOKUP(C303&amp;A303, Inside5!B:B&amp;Inside5!I:I, Inside5!E:E), 0)</f>
        <v>5.8999999999999997E-2</v>
      </c>
      <c r="H303" t="str" cm="1">
        <f t="array" ref="H303">IFERROR(_xlfn.XLOOKUP(C303&amp;A303, TDrate!F:F&amp;TDrate!H:H, TDrate!C:C), "N/A")</f>
        <v>N/A</v>
      </c>
      <c r="I303" t="str" cm="1">
        <f t="array" ref="I303">IFERROR(_xlfn.XLOOKUP(C303&amp;A303, TDrate!F:F&amp;TDrate!H:H, TDrate!E:E), "N/A")</f>
        <v>N/A</v>
      </c>
      <c r="J303" cm="1">
        <f t="array" ref="J303">IFERROR(_xlfn.XLOOKUP(C303&amp;A303, Inside5!B:B&amp;Inside5!I:I, Inside5!F:F), 0)</f>
        <v>0</v>
      </c>
      <c r="K303" cm="1">
        <f t="array" ref="K303">IFERROR(_xlfn.XLOOKUP(C303&amp;A303, Inside5!B:B&amp;Inside5!I:I, Inside5!G:G), 0)</f>
        <v>0</v>
      </c>
      <c r="L303" cm="1">
        <f t="array" ref="L303">IFERROR(_xlfn.XLOOKUP(C303&amp;A303, Inside5!B:B&amp;Inside5!I:I, Inside5!H:H), 0)</f>
        <v>0</v>
      </c>
      <c r="M303" t="str" cm="1">
        <f t="array" ref="M303">IFERROR(_xlfn.XLOOKUP(C303&amp;A303, TDrate!F:F&amp;TDrate!H:H, TDrate!B:B), "N/A")</f>
        <v>N/A</v>
      </c>
      <c r="N303" t="str" cm="1">
        <f t="array" ref="N303">IFERROR(_xlfn.XLOOKUP(C303&amp;A303, TDrate!F:F&amp;TDrate!H:H, TDrate!D:D), "N/A")</f>
        <v>N/A</v>
      </c>
    </row>
    <row r="304" spans="1:14" x14ac:dyDescent="0.45">
      <c r="A304" s="5">
        <v>2024</v>
      </c>
      <c r="B304" s="6" t="s">
        <v>520</v>
      </c>
      <c r="C304" s="7" t="str">
        <f t="shared" si="8"/>
        <v>Tyreik McAllister</v>
      </c>
      <c r="D304" s="7" t="str">
        <f t="shared" si="9"/>
        <v>LV</v>
      </c>
      <c r="E304" cm="1">
        <f t="array" aca="1" ref="E304" ca="1">IFERROR(_xlfn.XLOOKUP(C304&amp;A304, Inside5!B:B&amp;Inside5!I:I, Inside5!C:C), 0)</f>
        <v>0</v>
      </c>
      <c r="F304" cm="1">
        <f t="array" aca="1" ref="F304" ca="1">IFERROR(_xlfn.XLOOKUP(C304&amp;A304, Inside5!B:B&amp;Inside5!I:I, Inside5!D:D), 0)</f>
        <v>0</v>
      </c>
      <c r="G304" cm="1">
        <f t="array" ref="G304">IFERROR(_xlfn.XLOOKUP(C304&amp;A304, Inside5!B:B&amp;Inside5!I:I, Inside5!E:E), 0)</f>
        <v>0</v>
      </c>
      <c r="H304" t="str" cm="1">
        <f t="array" ref="H304">IFERROR(_xlfn.XLOOKUP(C304&amp;A304, TDrate!F:F&amp;TDrate!H:H, TDrate!C:C), "N/A")</f>
        <v>N/A</v>
      </c>
      <c r="I304" t="str" cm="1">
        <f t="array" ref="I304">IFERROR(_xlfn.XLOOKUP(C304&amp;A304, TDrate!F:F&amp;TDrate!H:H, TDrate!E:E), "N/A")</f>
        <v>N/A</v>
      </c>
      <c r="J304" cm="1">
        <f t="array" ref="J304">IFERROR(_xlfn.XLOOKUP(C304&amp;A304, Inside5!B:B&amp;Inside5!I:I, Inside5!F:F), 0)</f>
        <v>0</v>
      </c>
      <c r="K304" cm="1">
        <f t="array" aca="1" ref="K304" ca="1">IFERROR(_xlfn.XLOOKUP(C304&amp;A304, Inside5!B:B&amp;Inside5!I:I, Inside5!G:G), 0)</f>
        <v>0</v>
      </c>
      <c r="L304" cm="1">
        <f t="array" ref="L304">IFERROR(_xlfn.XLOOKUP(C304&amp;A304, Inside5!B:B&amp;Inside5!I:I, Inside5!H:H), 0)</f>
        <v>0</v>
      </c>
      <c r="M304" t="str" cm="1">
        <f t="array" ref="M304">IFERROR(_xlfn.XLOOKUP(C304&amp;A304, TDrate!F:F&amp;TDrate!H:H, TDrate!B:B), "N/A")</f>
        <v>N/A</v>
      </c>
      <c r="N304" t="str" cm="1">
        <f t="array" ref="N304">IFERROR(_xlfn.XLOOKUP(C304&amp;A304, TDrate!F:F&amp;TDrate!H:H, TDrate!D:D), "N/A")</f>
        <v>N/A</v>
      </c>
    </row>
    <row r="305" spans="1:14" x14ac:dyDescent="0.45">
      <c r="A305" s="8">
        <v>2024</v>
      </c>
      <c r="B305" s="9" t="s">
        <v>521</v>
      </c>
      <c r="C305" s="10" t="str">
        <f t="shared" si="8"/>
        <v>Myles Gaskin</v>
      </c>
      <c r="D305" s="10" t="str">
        <f t="shared" si="9"/>
        <v>MIN</v>
      </c>
      <c r="E305" cm="1">
        <f t="array" aca="1" ref="E305" ca="1">IFERROR(_xlfn.XLOOKUP(C305&amp;A305, Inside5!B:B&amp;Inside5!I:I, Inside5!C:C), 0)</f>
        <v>0</v>
      </c>
      <c r="F305" cm="1">
        <f t="array" aca="1" ref="F305" ca="1">IFERROR(_xlfn.XLOOKUP(C305&amp;A305, Inside5!B:B&amp;Inside5!I:I, Inside5!D:D), 0)</f>
        <v>0</v>
      </c>
      <c r="G305" cm="1">
        <f t="array" ref="G305">IFERROR(_xlfn.XLOOKUP(C305&amp;A305, Inside5!B:B&amp;Inside5!I:I, Inside5!E:E), 0)</f>
        <v>0</v>
      </c>
      <c r="H305" t="str" cm="1">
        <f t="array" ref="H305">IFERROR(_xlfn.XLOOKUP(C305&amp;A305, TDrate!F:F&amp;TDrate!H:H, TDrate!C:C), "N/A")</f>
        <v>N/A</v>
      </c>
      <c r="I305" t="str" cm="1">
        <f t="array" ref="I305">IFERROR(_xlfn.XLOOKUP(C305&amp;A305, TDrate!F:F&amp;TDrate!H:H, TDrate!E:E), "N/A")</f>
        <v>N/A</v>
      </c>
      <c r="J305" cm="1">
        <f t="array" ref="J305">IFERROR(_xlfn.XLOOKUP(C305&amp;A305, Inside5!B:B&amp;Inside5!I:I, Inside5!F:F), 0)</f>
        <v>0</v>
      </c>
      <c r="K305" cm="1">
        <f t="array" ref="K305">IFERROR(_xlfn.XLOOKUP(C305&amp;A305, Inside5!B:B&amp;Inside5!I:I, Inside5!G:G), 0)</f>
        <v>0</v>
      </c>
      <c r="L305" cm="1">
        <f t="array" ref="L305">IFERROR(_xlfn.XLOOKUP(C305&amp;A305, Inside5!B:B&amp;Inside5!I:I, Inside5!H:H), 0)</f>
        <v>0</v>
      </c>
      <c r="M305" t="str" cm="1">
        <f t="array" ref="M305">IFERROR(_xlfn.XLOOKUP(C305&amp;A305, TDrate!F:F&amp;TDrate!H:H, TDrate!B:B), "N/A")</f>
        <v>N/A</v>
      </c>
      <c r="N305" t="str" cm="1">
        <f t="array" ref="N305">IFERROR(_xlfn.XLOOKUP(C305&amp;A305, TDrate!F:F&amp;TDrate!H:H, TDrate!D:D), "N/A")</f>
        <v>N/A</v>
      </c>
    </row>
    <row r="306" spans="1:14" x14ac:dyDescent="0.45">
      <c r="A306" s="5">
        <v>2024</v>
      </c>
      <c r="B306" s="6" t="s">
        <v>388</v>
      </c>
      <c r="C306" s="7" t="str">
        <f t="shared" si="8"/>
        <v>George Holani</v>
      </c>
      <c r="D306" s="7" t="str">
        <f t="shared" si="9"/>
        <v>SEA</v>
      </c>
      <c r="E306" cm="1">
        <f t="array" ref="E306">IFERROR(_xlfn.XLOOKUP(C306&amp;A306, Inside5!B:B&amp;Inside5!I:I, Inside5!C:C), 0)</f>
        <v>0</v>
      </c>
      <c r="F306" cm="1">
        <f t="array" ref="F306">IFERROR(_xlfn.XLOOKUP(C306&amp;A306, Inside5!B:B&amp;Inside5!I:I, Inside5!D:D), 0)</f>
        <v>0</v>
      </c>
      <c r="G306" cm="1">
        <f t="array" ref="G306">IFERROR(_xlfn.XLOOKUP(C306&amp;A306, Inside5!B:B&amp;Inside5!I:I, Inside5!E:E), 0)</f>
        <v>0</v>
      </c>
      <c r="H306" t="str" cm="1">
        <f t="array" ref="H306">IFERROR(_xlfn.XLOOKUP(C306&amp;A306, TDrate!F:F&amp;TDrate!H:H, TDrate!C:C), "N/A")</f>
        <v>N/A</v>
      </c>
      <c r="I306" t="str" cm="1">
        <f t="array" ref="I306">IFERROR(_xlfn.XLOOKUP(C306&amp;A306, TDrate!F:F&amp;TDrate!H:H, TDrate!E:E), "N/A")</f>
        <v>N/A</v>
      </c>
      <c r="J306" cm="1">
        <f t="array" ref="J306">IFERROR(_xlfn.XLOOKUP(C306&amp;A306, Inside5!B:B&amp;Inside5!I:I, Inside5!F:F), 0)</f>
        <v>0</v>
      </c>
      <c r="K306" cm="1">
        <f t="array" ref="K306">IFERROR(_xlfn.XLOOKUP(C306&amp;A306, Inside5!B:B&amp;Inside5!I:I, Inside5!G:G), 0)</f>
        <v>0</v>
      </c>
      <c r="L306" cm="1">
        <f t="array" ref="L306">IFERROR(_xlfn.XLOOKUP(C306&amp;A306, Inside5!B:B&amp;Inside5!I:I, Inside5!H:H), 0)</f>
        <v>0</v>
      </c>
      <c r="M306" t="str" cm="1">
        <f t="array" ref="M306">IFERROR(_xlfn.XLOOKUP(C306&amp;A306, TDrate!F:F&amp;TDrate!H:H, TDrate!B:B), "N/A")</f>
        <v>N/A</v>
      </c>
      <c r="N306" t="str" cm="1">
        <f t="array" ref="N306">IFERROR(_xlfn.XLOOKUP(C306&amp;A306, TDrate!F:F&amp;TDrate!H:H, TDrate!D:D), "N/A")</f>
        <v>N/A</v>
      </c>
    </row>
    <row r="307" spans="1:14" x14ac:dyDescent="0.45">
      <c r="A307" s="8">
        <v>2024</v>
      </c>
      <c r="B307" s="9" t="s">
        <v>522</v>
      </c>
      <c r="C307" s="10" t="str">
        <f t="shared" si="8"/>
        <v>Cody Schrader</v>
      </c>
      <c r="D307" s="10" t="str">
        <f t="shared" si="9"/>
        <v>LAR</v>
      </c>
      <c r="E307" cm="1">
        <f t="array" aca="1" ref="E307" ca="1">IFERROR(_xlfn.XLOOKUP(C307&amp;A307, Inside5!B:B&amp;Inside5!I:I, Inside5!C:C), 0)</f>
        <v>0</v>
      </c>
      <c r="F307" cm="1">
        <f t="array" aca="1" ref="F307" ca="1">IFERROR(_xlfn.XLOOKUP(C307&amp;A307, Inside5!B:B&amp;Inside5!I:I, Inside5!D:D), 0)</f>
        <v>0</v>
      </c>
      <c r="G307" cm="1">
        <f t="array" ref="G307">IFERROR(_xlfn.XLOOKUP(C307&amp;A307, Inside5!B:B&amp;Inside5!I:I, Inside5!E:E), 0)</f>
        <v>0</v>
      </c>
      <c r="H307" t="str" cm="1">
        <f t="array" ref="H307">IFERROR(_xlfn.XLOOKUP(C307&amp;A307, TDrate!F:F&amp;TDrate!H:H, TDrate!C:C), "N/A")</f>
        <v>N/A</v>
      </c>
      <c r="I307" t="str" cm="1">
        <f t="array" ref="I307">IFERROR(_xlfn.XLOOKUP(C307&amp;A307, TDrate!F:F&amp;TDrate!H:H, TDrate!E:E), "N/A")</f>
        <v>N/A</v>
      </c>
      <c r="J307" cm="1">
        <f t="array" ref="J307">IFERROR(_xlfn.XLOOKUP(C307&amp;A307, Inside5!B:B&amp;Inside5!I:I, Inside5!F:F), 0)</f>
        <v>0</v>
      </c>
      <c r="K307" cm="1">
        <f t="array" ref="K307">IFERROR(_xlfn.XLOOKUP(C307&amp;A307, Inside5!B:B&amp;Inside5!I:I, Inside5!G:G), 0)</f>
        <v>0</v>
      </c>
      <c r="L307" cm="1">
        <f t="array" ref="L307">IFERROR(_xlfn.XLOOKUP(C307&amp;A307, Inside5!B:B&amp;Inside5!I:I, Inside5!H:H), 0)</f>
        <v>0</v>
      </c>
      <c r="M307" t="str" cm="1">
        <f t="array" ref="M307">IFERROR(_xlfn.XLOOKUP(C307&amp;A307, TDrate!F:F&amp;TDrate!H:H, TDrate!B:B), "N/A")</f>
        <v>N/A</v>
      </c>
      <c r="N307" t="str" cm="1">
        <f t="array" ref="N307">IFERROR(_xlfn.XLOOKUP(C307&amp;A307, TDrate!F:F&amp;TDrate!H:H, TDrate!D:D), "N/A")</f>
        <v>N/A</v>
      </c>
    </row>
    <row r="308" spans="1:14" x14ac:dyDescent="0.45">
      <c r="A308" s="5">
        <v>2024</v>
      </c>
      <c r="B308" s="6" t="s">
        <v>462</v>
      </c>
      <c r="C308" s="7" t="str">
        <f t="shared" si="8"/>
        <v>Chris Collier</v>
      </c>
      <c r="D308" s="7" t="str">
        <f t="shared" si="9"/>
        <v>LV</v>
      </c>
      <c r="E308" cm="1">
        <f t="array" aca="1" ref="E308" ca="1">IFERROR(_xlfn.XLOOKUP(C308&amp;A308, Inside5!B:B&amp;Inside5!I:I, Inside5!C:C), 0)</f>
        <v>0</v>
      </c>
      <c r="F308" cm="1">
        <f t="array" aca="1" ref="F308" ca="1">IFERROR(_xlfn.XLOOKUP(C308&amp;A308, Inside5!B:B&amp;Inside5!I:I, Inside5!D:D), 0)</f>
        <v>0</v>
      </c>
      <c r="G308" cm="1">
        <f t="array" ref="G308">IFERROR(_xlfn.XLOOKUP(C308&amp;A308, Inside5!B:B&amp;Inside5!I:I, Inside5!E:E), 0)</f>
        <v>0</v>
      </c>
      <c r="H308" t="str" cm="1">
        <f t="array" ref="H308">IFERROR(_xlfn.XLOOKUP(C308&amp;A308, TDrate!F:F&amp;TDrate!H:H, TDrate!C:C), "N/A")</f>
        <v>N/A</v>
      </c>
      <c r="I308" t="str" cm="1">
        <f t="array" ref="I308">IFERROR(_xlfn.XLOOKUP(C308&amp;A308, TDrate!F:F&amp;TDrate!H:H, TDrate!E:E), "N/A")</f>
        <v>N/A</v>
      </c>
      <c r="J308" cm="1">
        <f t="array" ref="J308">IFERROR(_xlfn.XLOOKUP(C308&amp;A308, Inside5!B:B&amp;Inside5!I:I, Inside5!F:F), 0)</f>
        <v>0</v>
      </c>
      <c r="K308" cm="1">
        <f t="array" ref="K308">IFERROR(_xlfn.XLOOKUP(C308&amp;A308, Inside5!B:B&amp;Inside5!I:I, Inside5!G:G), 0)</f>
        <v>0</v>
      </c>
      <c r="L308" cm="1">
        <f t="array" ref="L308">IFERROR(_xlfn.XLOOKUP(C308&amp;A308, Inside5!B:B&amp;Inside5!I:I, Inside5!H:H), 0)</f>
        <v>0</v>
      </c>
      <c r="M308" t="str" cm="1">
        <f t="array" ref="M308">IFERROR(_xlfn.XLOOKUP(C308&amp;A308, TDrate!F:F&amp;TDrate!H:H, TDrate!B:B), "N/A")</f>
        <v>N/A</v>
      </c>
      <c r="N308" t="str" cm="1">
        <f t="array" ref="N308">IFERROR(_xlfn.XLOOKUP(C308&amp;A308, TDrate!F:F&amp;TDrate!H:H, TDrate!D:D), "N/A")</f>
        <v>N/A</v>
      </c>
    </row>
    <row r="309" spans="1:14" x14ac:dyDescent="0.45">
      <c r="A309" s="8">
        <v>2024</v>
      </c>
      <c r="B309" s="9" t="s">
        <v>435</v>
      </c>
      <c r="C309" s="10" t="str">
        <f t="shared" si="8"/>
        <v>Reggie Gilliam</v>
      </c>
      <c r="D309" s="10" t="str">
        <f t="shared" si="9"/>
        <v>BUF</v>
      </c>
      <c r="E309" cm="1">
        <f t="array" aca="1" ref="E309" ca="1">IFERROR(_xlfn.XLOOKUP(C309&amp;A309, Inside5!B:B&amp;Inside5!I:I, Inside5!C:C), 0)</f>
        <v>0</v>
      </c>
      <c r="F309" cm="1">
        <f t="array" aca="1" ref="F309" ca="1">IFERROR(_xlfn.XLOOKUP(C309&amp;A309, Inside5!B:B&amp;Inside5!I:I, Inside5!D:D), 0)</f>
        <v>0</v>
      </c>
      <c r="G309" cm="1">
        <f t="array" ref="G309">IFERROR(_xlfn.XLOOKUP(C309&amp;A309, Inside5!B:B&amp;Inside5!I:I, Inside5!E:E), 0)</f>
        <v>0</v>
      </c>
      <c r="H309" t="str" cm="1">
        <f t="array" ref="H309">IFERROR(_xlfn.XLOOKUP(C309&amp;A309, TDrate!F:F&amp;TDrate!H:H, TDrate!C:C), "N/A")</f>
        <v>N/A</v>
      </c>
      <c r="I309" t="str" cm="1">
        <f t="array" ref="I309">IFERROR(_xlfn.XLOOKUP(C309&amp;A309, TDrate!F:F&amp;TDrate!H:H, TDrate!E:E), "N/A")</f>
        <v>N/A</v>
      </c>
      <c r="J309" cm="1">
        <f t="array" ref="J309">IFERROR(_xlfn.XLOOKUP(C309&amp;A309, Inside5!B:B&amp;Inside5!I:I, Inside5!F:F), 0)</f>
        <v>0</v>
      </c>
      <c r="K309" cm="1">
        <f t="array" ref="K309">IFERROR(_xlfn.XLOOKUP(C309&amp;A309, Inside5!B:B&amp;Inside5!I:I, Inside5!G:G), 0)</f>
        <v>0</v>
      </c>
      <c r="L309" cm="1">
        <f t="array" ref="L309">IFERROR(_xlfn.XLOOKUP(C309&amp;A309, Inside5!B:B&amp;Inside5!I:I, Inside5!H:H), 0)</f>
        <v>0</v>
      </c>
      <c r="M309" t="str" cm="1">
        <f t="array" ref="M309">IFERROR(_xlfn.XLOOKUP(C309&amp;A309, TDrate!F:F&amp;TDrate!H:H, TDrate!B:B), "N/A")</f>
        <v>N/A</v>
      </c>
      <c r="N309" t="str" cm="1">
        <f t="array" ref="N309">IFERROR(_xlfn.XLOOKUP(C309&amp;A309, TDrate!F:F&amp;TDrate!H:H, TDrate!D:D), "N/A")</f>
        <v>N/A</v>
      </c>
    </row>
    <row r="310" spans="1:14" x14ac:dyDescent="0.45">
      <c r="A310" s="5">
        <v>2024</v>
      </c>
      <c r="B310" s="6" t="s">
        <v>523</v>
      </c>
      <c r="C310" s="7" t="str">
        <f t="shared" si="8"/>
        <v>Tyrion Davis-Price</v>
      </c>
      <c r="D310" s="7" t="str">
        <f t="shared" si="9"/>
        <v>PHI</v>
      </c>
      <c r="E310" cm="1">
        <f t="array" aca="1" ref="E310" ca="1">IFERROR(_xlfn.XLOOKUP(C310&amp;A310, Inside5!B:B&amp;Inside5!I:I, Inside5!C:C), 0)</f>
        <v>0</v>
      </c>
      <c r="F310" cm="1">
        <f t="array" aca="1" ref="F310" ca="1">IFERROR(_xlfn.XLOOKUP(C310&amp;A310, Inside5!B:B&amp;Inside5!I:I, Inside5!D:D), 0)</f>
        <v>0</v>
      </c>
      <c r="G310" cm="1">
        <f t="array" ref="G310">IFERROR(_xlfn.XLOOKUP(C310&amp;A310, Inside5!B:B&amp;Inside5!I:I, Inside5!E:E), 0)</f>
        <v>0</v>
      </c>
      <c r="H310" t="str" cm="1">
        <f t="array" ref="H310">IFERROR(_xlfn.XLOOKUP(C310&amp;A310, TDrate!F:F&amp;TDrate!H:H, TDrate!C:C), "N/A")</f>
        <v>N/A</v>
      </c>
      <c r="I310" t="str" cm="1">
        <f t="array" ref="I310">IFERROR(_xlfn.XLOOKUP(C310&amp;A310, TDrate!F:F&amp;TDrate!H:H, TDrate!E:E), "N/A")</f>
        <v>N/A</v>
      </c>
      <c r="J310" cm="1">
        <f t="array" ref="J310">IFERROR(_xlfn.XLOOKUP(C310&amp;A310, Inside5!B:B&amp;Inside5!I:I, Inside5!F:F), 0)</f>
        <v>0</v>
      </c>
      <c r="K310" cm="1">
        <f t="array" ref="K310">IFERROR(_xlfn.XLOOKUP(C310&amp;A310, Inside5!B:B&amp;Inside5!I:I, Inside5!G:G), 0)</f>
        <v>0</v>
      </c>
      <c r="L310" cm="1">
        <f t="array" ref="L310">IFERROR(_xlfn.XLOOKUP(C310&amp;A310, Inside5!B:B&amp;Inside5!I:I, Inside5!H:H), 0)</f>
        <v>0</v>
      </c>
      <c r="M310" t="str" cm="1">
        <f t="array" ref="M310">IFERROR(_xlfn.XLOOKUP(C310&amp;A310, TDrate!F:F&amp;TDrate!H:H, TDrate!B:B), "N/A")</f>
        <v>N/A</v>
      </c>
      <c r="N310" t="str" cm="1">
        <f t="array" ref="N310">IFERROR(_xlfn.XLOOKUP(C310&amp;A310, TDrate!F:F&amp;TDrate!H:H, TDrate!D:D), "N/A")</f>
        <v>N/A</v>
      </c>
    </row>
    <row r="311" spans="1:14" x14ac:dyDescent="0.45">
      <c r="A311" s="8">
        <v>2024</v>
      </c>
      <c r="B311" s="9" t="s">
        <v>524</v>
      </c>
      <c r="C311" s="10" t="str">
        <f t="shared" si="8"/>
        <v>Ke'Shawn Vaughn</v>
      </c>
      <c r="D311" s="10" t="str">
        <f t="shared" si="9"/>
        <v>SF</v>
      </c>
      <c r="E311" cm="1">
        <f t="array" aca="1" ref="E311" ca="1">IFERROR(_xlfn.XLOOKUP(C311&amp;A311, Inside5!B:B&amp;Inside5!I:I, Inside5!C:C), 0)</f>
        <v>0</v>
      </c>
      <c r="F311" cm="1">
        <f t="array" aca="1" ref="F311" ca="1">IFERROR(_xlfn.XLOOKUP(C311&amp;A311, Inside5!B:B&amp;Inside5!I:I, Inside5!D:D), 0)</f>
        <v>0</v>
      </c>
      <c r="G311" cm="1">
        <f t="array" ref="G311">IFERROR(_xlfn.XLOOKUP(C311&amp;A311, Inside5!B:B&amp;Inside5!I:I, Inside5!E:E), 0)</f>
        <v>0</v>
      </c>
      <c r="H311" t="str" cm="1">
        <f t="array" ref="H311">IFERROR(_xlfn.XLOOKUP(C311&amp;A311, TDrate!F:F&amp;TDrate!H:H, TDrate!C:C), "N/A")</f>
        <v>N/A</v>
      </c>
      <c r="I311" t="str" cm="1">
        <f t="array" ref="I311">IFERROR(_xlfn.XLOOKUP(C311&amp;A311, TDrate!F:F&amp;TDrate!H:H, TDrate!E:E), "N/A")</f>
        <v>N/A</v>
      </c>
      <c r="J311" cm="1">
        <f t="array" ref="J311">IFERROR(_xlfn.XLOOKUP(C311&amp;A311, Inside5!B:B&amp;Inside5!I:I, Inside5!F:F), 0)</f>
        <v>0</v>
      </c>
      <c r="K311" cm="1">
        <f t="array" ref="K311">IFERROR(_xlfn.XLOOKUP(C311&amp;A311, Inside5!B:B&amp;Inside5!I:I, Inside5!G:G), 0)</f>
        <v>0</v>
      </c>
      <c r="L311" cm="1">
        <f t="array" ref="L311">IFERROR(_xlfn.XLOOKUP(C311&amp;A311, Inside5!B:B&amp;Inside5!I:I, Inside5!H:H), 0)</f>
        <v>0</v>
      </c>
      <c r="M311" t="str" cm="1">
        <f t="array" ref="M311">IFERROR(_xlfn.XLOOKUP(C311&amp;A311, TDrate!F:F&amp;TDrate!H:H, TDrate!B:B), "N/A")</f>
        <v>N/A</v>
      </c>
      <c r="N311" t="str" cm="1">
        <f t="array" ref="N311">IFERROR(_xlfn.XLOOKUP(C311&amp;A311, TDrate!F:F&amp;TDrate!H:H, TDrate!D:D), "N/A")</f>
        <v>N/A</v>
      </c>
    </row>
    <row r="312" spans="1:14" x14ac:dyDescent="0.45">
      <c r="A312" s="5">
        <v>2024</v>
      </c>
      <c r="B312" s="6" t="s">
        <v>525</v>
      </c>
      <c r="C312" s="7" t="str">
        <f t="shared" si="8"/>
        <v>Darrynton Evans</v>
      </c>
      <c r="D312" s="7" t="str">
        <f t="shared" si="9"/>
        <v>CHI</v>
      </c>
      <c r="E312" cm="1">
        <f t="array" aca="1" ref="E312" ca="1">IFERROR(_xlfn.XLOOKUP(C312&amp;A312, Inside5!B:B&amp;Inside5!I:I, Inside5!C:C), 0)</f>
        <v>0</v>
      </c>
      <c r="F312" cm="1">
        <f t="array" aca="1" ref="F312" ca="1">IFERROR(_xlfn.XLOOKUP(C312&amp;A312, Inside5!B:B&amp;Inside5!I:I, Inside5!D:D), 0)</f>
        <v>0</v>
      </c>
      <c r="G312" cm="1">
        <f t="array" ref="G312">IFERROR(_xlfn.XLOOKUP(C312&amp;A312, Inside5!B:B&amp;Inside5!I:I, Inside5!E:E), 0)</f>
        <v>0</v>
      </c>
      <c r="H312" t="str" cm="1">
        <f t="array" ref="H312">IFERROR(_xlfn.XLOOKUP(C312&amp;A312, TDrate!F:F&amp;TDrate!H:H, TDrate!C:C), "N/A")</f>
        <v>N/A</v>
      </c>
      <c r="I312" t="str" cm="1">
        <f t="array" ref="I312">IFERROR(_xlfn.XLOOKUP(C312&amp;A312, TDrate!F:F&amp;TDrate!H:H, TDrate!E:E), "N/A")</f>
        <v>N/A</v>
      </c>
      <c r="J312" cm="1">
        <f t="array" ref="J312">IFERROR(_xlfn.XLOOKUP(C312&amp;A312, Inside5!B:B&amp;Inside5!I:I, Inside5!F:F), 0)</f>
        <v>0</v>
      </c>
      <c r="K312" cm="1">
        <f t="array" ref="K312">IFERROR(_xlfn.XLOOKUP(C312&amp;A312, Inside5!B:B&amp;Inside5!I:I, Inside5!G:G), 0)</f>
        <v>0</v>
      </c>
      <c r="L312" cm="1">
        <f t="array" ref="L312">IFERROR(_xlfn.XLOOKUP(C312&amp;A312, Inside5!B:B&amp;Inside5!I:I, Inside5!H:H), 0)</f>
        <v>0</v>
      </c>
      <c r="M312" t="str" cm="1">
        <f t="array" ref="M312">IFERROR(_xlfn.XLOOKUP(C312&amp;A312, TDrate!F:F&amp;TDrate!H:H, TDrate!B:B), "N/A")</f>
        <v>N/A</v>
      </c>
      <c r="N312" t="str" cm="1">
        <f t="array" ref="N312">IFERROR(_xlfn.XLOOKUP(C312&amp;A312, TDrate!F:F&amp;TDrate!H:H, TDrate!D:D), "N/A")</f>
        <v>N/A</v>
      </c>
    </row>
    <row r="313" spans="1:14" x14ac:dyDescent="0.45">
      <c r="A313" s="8">
        <v>2024</v>
      </c>
      <c r="B313" s="9" t="s">
        <v>526</v>
      </c>
      <c r="C313" s="10" t="str">
        <f t="shared" si="8"/>
        <v>Joshua Kelley</v>
      </c>
      <c r="D313" s="10" t="str">
        <f t="shared" si="9"/>
        <v>TEN</v>
      </c>
      <c r="E313" cm="1">
        <f t="array" aca="1" ref="E313" ca="1">IFERROR(_xlfn.XLOOKUP(C313&amp;A313, Inside5!B:B&amp;Inside5!I:I, Inside5!C:C), 0)</f>
        <v>0</v>
      </c>
      <c r="F313" cm="1">
        <f t="array" aca="1" ref="F313" ca="1">IFERROR(_xlfn.XLOOKUP(C313&amp;A313, Inside5!B:B&amp;Inside5!I:I, Inside5!D:D), 0)</f>
        <v>0</v>
      </c>
      <c r="G313" cm="1">
        <f t="array" ref="G313">IFERROR(_xlfn.XLOOKUP(C313&amp;A313, Inside5!B:B&amp;Inside5!I:I, Inside5!E:E), 0)</f>
        <v>0</v>
      </c>
      <c r="H313" t="str" cm="1">
        <f t="array" ref="H313">IFERROR(_xlfn.XLOOKUP(C313&amp;A313, TDrate!F:F&amp;TDrate!H:H, TDrate!C:C), "N/A")</f>
        <v>N/A</v>
      </c>
      <c r="I313" t="str" cm="1">
        <f t="array" ref="I313">IFERROR(_xlfn.XLOOKUP(C313&amp;A313, TDrate!F:F&amp;TDrate!H:H, TDrate!E:E), "N/A")</f>
        <v>N/A</v>
      </c>
      <c r="J313" cm="1">
        <f t="array" ref="J313">IFERROR(_xlfn.XLOOKUP(C313&amp;A313, Inside5!B:B&amp;Inside5!I:I, Inside5!F:F), 0)</f>
        <v>0</v>
      </c>
      <c r="K313" cm="1">
        <f t="array" ref="K313">IFERROR(_xlfn.XLOOKUP(C313&amp;A313, Inside5!B:B&amp;Inside5!I:I, Inside5!G:G), 0)</f>
        <v>0</v>
      </c>
      <c r="L313" cm="1">
        <f t="array" ref="L313">IFERROR(_xlfn.XLOOKUP(C313&amp;A313, Inside5!B:B&amp;Inside5!I:I, Inside5!H:H), 0)</f>
        <v>0</v>
      </c>
      <c r="M313" t="str" cm="1">
        <f t="array" ref="M313">IFERROR(_xlfn.XLOOKUP(C313&amp;A313, TDrate!F:F&amp;TDrate!H:H, TDrate!B:B), "N/A")</f>
        <v>N/A</v>
      </c>
      <c r="N313" t="str" cm="1">
        <f t="array" ref="N313">IFERROR(_xlfn.XLOOKUP(C313&amp;A313, TDrate!F:F&amp;TDrate!H:H, TDrate!D:D), "N/A")</f>
        <v>N/A</v>
      </c>
    </row>
    <row r="314" spans="1:14" x14ac:dyDescent="0.45">
      <c r="A314" s="5">
        <v>2024</v>
      </c>
      <c r="B314" s="6" t="s">
        <v>384</v>
      </c>
      <c r="C314" s="7" t="str">
        <f t="shared" si="8"/>
        <v>British Brooks</v>
      </c>
      <c r="D314" s="7" t="str">
        <f t="shared" si="9"/>
        <v>HOU</v>
      </c>
      <c r="E314" cm="1">
        <f t="array" aca="1" ref="E314" ca="1">IFERROR(_xlfn.XLOOKUP(C314&amp;A314, Inside5!B:B&amp;Inside5!I:I, Inside5!C:C), 0)</f>
        <v>0</v>
      </c>
      <c r="F314" cm="1">
        <f t="array" aca="1" ref="F314" ca="1">IFERROR(_xlfn.XLOOKUP(C314&amp;A314, Inside5!B:B&amp;Inside5!I:I, Inside5!D:D), 0)</f>
        <v>0</v>
      </c>
      <c r="G314" cm="1">
        <f t="array" ref="G314">IFERROR(_xlfn.XLOOKUP(C314&amp;A314, Inside5!B:B&amp;Inside5!I:I, Inside5!E:E), 0)</f>
        <v>0</v>
      </c>
      <c r="H314" t="str" cm="1">
        <f t="array" ref="H314">IFERROR(_xlfn.XLOOKUP(C314&amp;A314, TDrate!F:F&amp;TDrate!H:H, TDrate!C:C), "N/A")</f>
        <v>N/A</v>
      </c>
      <c r="I314" t="str" cm="1">
        <f t="array" ref="I314">IFERROR(_xlfn.XLOOKUP(C314&amp;A314, TDrate!F:F&amp;TDrate!H:H, TDrate!E:E), "N/A")</f>
        <v>N/A</v>
      </c>
      <c r="J314" cm="1">
        <f t="array" ref="J314">IFERROR(_xlfn.XLOOKUP(C314&amp;A314, Inside5!B:B&amp;Inside5!I:I, Inside5!F:F), 0)</f>
        <v>0</v>
      </c>
      <c r="K314" cm="1">
        <f t="array" aca="1" ref="K314" ca="1">IFERROR(_xlfn.XLOOKUP(C314&amp;A314, Inside5!B:B&amp;Inside5!I:I, Inside5!G:G), 0)</f>
        <v>0</v>
      </c>
      <c r="L314" cm="1">
        <f t="array" ref="L314">IFERROR(_xlfn.XLOOKUP(C314&amp;A314, Inside5!B:B&amp;Inside5!I:I, Inside5!H:H), 0)</f>
        <v>0</v>
      </c>
      <c r="M314" t="str" cm="1">
        <f t="array" ref="M314">IFERROR(_xlfn.XLOOKUP(C314&amp;A314, TDrate!F:F&amp;TDrate!H:H, TDrate!B:B), "N/A")</f>
        <v>N/A</v>
      </c>
      <c r="N314" t="str" cm="1">
        <f t="array" ref="N314">IFERROR(_xlfn.XLOOKUP(C314&amp;A314, TDrate!F:F&amp;TDrate!H:H, TDrate!D:D), "N/A")</f>
        <v>N/A</v>
      </c>
    </row>
    <row r="315" spans="1:14" x14ac:dyDescent="0.45">
      <c r="A315" s="8">
        <v>2024</v>
      </c>
      <c r="B315" s="9" t="s">
        <v>527</v>
      </c>
      <c r="C315" s="10" t="str">
        <f t="shared" si="8"/>
        <v>Nyheim Miller-Hines</v>
      </c>
      <c r="D315" s="10" t="str">
        <f t="shared" si="9"/>
        <v>CLE</v>
      </c>
      <c r="E315" cm="1">
        <f t="array" ref="E315">IFERROR(_xlfn.XLOOKUP(C315&amp;A315, Inside5!B:B&amp;Inside5!I:I, Inside5!C:C), 0)</f>
        <v>0</v>
      </c>
      <c r="F315" cm="1">
        <f t="array" aca="1" ref="F315" ca="1">IFERROR(_xlfn.XLOOKUP(C315&amp;A315, Inside5!B:B&amp;Inside5!I:I, Inside5!D:D), 0)</f>
        <v>0</v>
      </c>
      <c r="G315" cm="1">
        <f t="array" ref="G315">IFERROR(_xlfn.XLOOKUP(C315&amp;A315, Inside5!B:B&amp;Inside5!I:I, Inside5!E:E), 0)</f>
        <v>0</v>
      </c>
      <c r="H315" t="str" cm="1">
        <f t="array" ref="H315">IFERROR(_xlfn.XLOOKUP(C315&amp;A315, TDrate!F:F&amp;TDrate!H:H, TDrate!C:C), "N/A")</f>
        <v>N/A</v>
      </c>
      <c r="I315" t="str" cm="1">
        <f t="array" ref="I315">IFERROR(_xlfn.XLOOKUP(C315&amp;A315, TDrate!F:F&amp;TDrate!H:H, TDrate!E:E), "N/A")</f>
        <v>N/A</v>
      </c>
      <c r="J315" cm="1">
        <f t="array" ref="J315">IFERROR(_xlfn.XLOOKUP(C315&amp;A315, Inside5!B:B&amp;Inside5!I:I, Inside5!F:F), 0)</f>
        <v>0</v>
      </c>
      <c r="K315" cm="1">
        <f t="array" ref="K315">IFERROR(_xlfn.XLOOKUP(C315&amp;A315, Inside5!B:B&amp;Inside5!I:I, Inside5!G:G), 0)</f>
        <v>0</v>
      </c>
      <c r="L315" cm="1">
        <f t="array" ref="L315">IFERROR(_xlfn.XLOOKUP(C315&amp;A315, Inside5!B:B&amp;Inside5!I:I, Inside5!H:H), 0)</f>
        <v>0</v>
      </c>
      <c r="M315" t="str" cm="1">
        <f t="array" ref="M315">IFERROR(_xlfn.XLOOKUP(C315&amp;A315, TDrate!F:F&amp;TDrate!H:H, TDrate!B:B), "N/A")</f>
        <v>N/A</v>
      </c>
      <c r="N315" t="str" cm="1">
        <f t="array" ref="N315">IFERROR(_xlfn.XLOOKUP(C315&amp;A315, TDrate!F:F&amp;TDrate!H:H, TDrate!D:D), "N/A")</f>
        <v>N/A</v>
      </c>
    </row>
    <row r="316" spans="1:14" x14ac:dyDescent="0.45">
      <c r="A316" s="5">
        <v>2024</v>
      </c>
      <c r="B316" s="6" t="s">
        <v>528</v>
      </c>
      <c r="C316" s="7" t="str">
        <f t="shared" si="8"/>
        <v>John Kelly Jr.</v>
      </c>
      <c r="D316" s="7" t="str">
        <f t="shared" si="9"/>
        <v>BAL</v>
      </c>
      <c r="E316" cm="1">
        <f t="array" ref="E316">IFERROR(_xlfn.XLOOKUP(C316&amp;A316, Inside5!B:B&amp;Inside5!I:I, Inside5!C:C), 0)</f>
        <v>0</v>
      </c>
      <c r="F316" cm="1">
        <f t="array" ref="F316">IFERROR(_xlfn.XLOOKUP(C316&amp;A316, Inside5!B:B&amp;Inside5!I:I, Inside5!D:D), 0)</f>
        <v>0</v>
      </c>
      <c r="G316" cm="1">
        <f t="array" ref="G316">IFERROR(_xlfn.XLOOKUP(C316&amp;A316, Inside5!B:B&amp;Inside5!I:I, Inside5!E:E), 0)</f>
        <v>0</v>
      </c>
      <c r="H316" t="str" cm="1">
        <f t="array" ref="H316">IFERROR(_xlfn.XLOOKUP(C316&amp;A316, TDrate!F:F&amp;TDrate!H:H, TDrate!C:C), "N/A")</f>
        <v>N/A</v>
      </c>
      <c r="I316" t="str" cm="1">
        <f t="array" ref="I316">IFERROR(_xlfn.XLOOKUP(C316&amp;A316, TDrate!F:F&amp;TDrate!H:H, TDrate!E:E), "N/A")</f>
        <v>N/A</v>
      </c>
      <c r="J316" cm="1">
        <f t="array" ref="J316">IFERROR(_xlfn.XLOOKUP(C316&amp;A316, Inside5!B:B&amp;Inside5!I:I, Inside5!F:F), 0)</f>
        <v>0</v>
      </c>
      <c r="K316" cm="1">
        <f t="array" ref="K316">IFERROR(_xlfn.XLOOKUP(C316&amp;A316, Inside5!B:B&amp;Inside5!I:I, Inside5!G:G), 0)</f>
        <v>0</v>
      </c>
      <c r="L316" cm="1">
        <f t="array" ref="L316">IFERROR(_xlfn.XLOOKUP(C316&amp;A316, Inside5!B:B&amp;Inside5!I:I, Inside5!H:H), 0)</f>
        <v>0</v>
      </c>
      <c r="M316" t="str" cm="1">
        <f t="array" ref="M316">IFERROR(_xlfn.XLOOKUP(C316&amp;A316, TDrate!F:F&amp;TDrate!H:H, TDrate!B:B), "N/A")</f>
        <v>N/A</v>
      </c>
      <c r="N316" t="str" cm="1">
        <f t="array" ref="N316">IFERROR(_xlfn.XLOOKUP(C316&amp;A316, TDrate!F:F&amp;TDrate!H:H, TDrate!D:D), "N/A")</f>
        <v>N/A</v>
      </c>
    </row>
    <row r="317" spans="1:14" x14ac:dyDescent="0.45">
      <c r="A317" s="8">
        <v>2024</v>
      </c>
      <c r="B317" s="9" t="s">
        <v>529</v>
      </c>
      <c r="C317" s="10" t="str">
        <f t="shared" si="8"/>
        <v>Trayveon Williams</v>
      </c>
      <c r="D317" s="10" t="str">
        <f t="shared" si="9"/>
        <v>CIN</v>
      </c>
      <c r="E317" cm="1">
        <f t="array" ref="E317">IFERROR(_xlfn.XLOOKUP(C317&amp;A317, Inside5!B:B&amp;Inside5!I:I, Inside5!C:C), 0)</f>
        <v>0</v>
      </c>
      <c r="F317" cm="1">
        <f t="array" aca="1" ref="F317" ca="1">IFERROR(_xlfn.XLOOKUP(C317&amp;A317, Inside5!B:B&amp;Inside5!I:I, Inside5!D:D), 0)</f>
        <v>0</v>
      </c>
      <c r="G317" cm="1">
        <f t="array" ref="G317">IFERROR(_xlfn.XLOOKUP(C317&amp;A317, Inside5!B:B&amp;Inside5!I:I, Inside5!E:E), 0)</f>
        <v>0</v>
      </c>
      <c r="H317" t="str" cm="1">
        <f t="array" ref="H317">IFERROR(_xlfn.XLOOKUP(C317&amp;A317, TDrate!F:F&amp;TDrate!H:H, TDrate!C:C), "N/A")</f>
        <v>N/A</v>
      </c>
      <c r="I317" t="str" cm="1">
        <f t="array" ref="I317">IFERROR(_xlfn.XLOOKUP(C317&amp;A317, TDrate!F:F&amp;TDrate!H:H, TDrate!E:E), "N/A")</f>
        <v>N/A</v>
      </c>
      <c r="J317" cm="1">
        <f t="array" ref="J317">IFERROR(_xlfn.XLOOKUP(C317&amp;A317, Inside5!B:B&amp;Inside5!I:I, Inside5!F:F), 0)</f>
        <v>0</v>
      </c>
      <c r="K317" cm="1">
        <f t="array" ref="K317">IFERROR(_xlfn.XLOOKUP(C317&amp;A317, Inside5!B:B&amp;Inside5!I:I, Inside5!G:G), 0)</f>
        <v>0</v>
      </c>
      <c r="L317" cm="1">
        <f t="array" ref="L317">IFERROR(_xlfn.XLOOKUP(C317&amp;A317, Inside5!B:B&amp;Inside5!I:I, Inside5!H:H), 0)</f>
        <v>0</v>
      </c>
      <c r="M317" t="str" cm="1">
        <f t="array" ref="M317">IFERROR(_xlfn.XLOOKUP(C317&amp;A317, TDrate!F:F&amp;TDrate!H:H, TDrate!B:B), "N/A")</f>
        <v>N/A</v>
      </c>
      <c r="N317" t="str" cm="1">
        <f t="array" ref="N317">IFERROR(_xlfn.XLOOKUP(C317&amp;A317, TDrate!F:F&amp;TDrate!H:H, TDrate!D:D), "N/A")</f>
        <v>N/A</v>
      </c>
    </row>
    <row r="318" spans="1:14" x14ac:dyDescent="0.45">
      <c r="A318" s="5">
        <v>2024</v>
      </c>
      <c r="B318" s="6" t="s">
        <v>530</v>
      </c>
      <c r="C318" s="7" t="str">
        <f t="shared" si="8"/>
        <v>Jakob Johnson</v>
      </c>
      <c r="D318" s="7" t="str">
        <f t="shared" si="9"/>
        <v>NYG</v>
      </c>
      <c r="E318" cm="1">
        <f t="array" aca="1" ref="E318" ca="1">IFERROR(_xlfn.XLOOKUP(C318&amp;A318, Inside5!B:B&amp;Inside5!I:I, Inside5!C:C), 0)</f>
        <v>0</v>
      </c>
      <c r="F318" cm="1">
        <f t="array" aca="1" ref="F318" ca="1">IFERROR(_xlfn.XLOOKUP(C318&amp;A318, Inside5!B:B&amp;Inside5!I:I, Inside5!D:D), 0)</f>
        <v>0</v>
      </c>
      <c r="G318" cm="1">
        <f t="array" ref="G318">IFERROR(_xlfn.XLOOKUP(C318&amp;A318, Inside5!B:B&amp;Inside5!I:I, Inside5!E:E), 0)</f>
        <v>0</v>
      </c>
      <c r="H318" t="str" cm="1">
        <f t="array" ref="H318">IFERROR(_xlfn.XLOOKUP(C318&amp;A318, TDrate!F:F&amp;TDrate!H:H, TDrate!C:C), "N/A")</f>
        <v>N/A</v>
      </c>
      <c r="I318" t="str" cm="1">
        <f t="array" ref="I318">IFERROR(_xlfn.XLOOKUP(C318&amp;A318, TDrate!F:F&amp;TDrate!H:H, TDrate!E:E), "N/A")</f>
        <v>N/A</v>
      </c>
      <c r="J318" cm="1">
        <f t="array" ref="J318">IFERROR(_xlfn.XLOOKUP(C318&amp;A318, Inside5!B:B&amp;Inside5!I:I, Inside5!F:F), 0)</f>
        <v>0</v>
      </c>
      <c r="K318" cm="1">
        <f t="array" ref="K318">IFERROR(_xlfn.XLOOKUP(C318&amp;A318, Inside5!B:B&amp;Inside5!I:I, Inside5!G:G), 0)</f>
        <v>0</v>
      </c>
      <c r="L318" cm="1">
        <f t="array" ref="L318">IFERROR(_xlfn.XLOOKUP(C318&amp;A318, Inside5!B:B&amp;Inside5!I:I, Inside5!H:H), 0)</f>
        <v>0</v>
      </c>
      <c r="M318" t="str" cm="1">
        <f t="array" ref="M318">IFERROR(_xlfn.XLOOKUP(C318&amp;A318, TDrate!F:F&amp;TDrate!H:H, TDrate!B:B), "N/A")</f>
        <v>N/A</v>
      </c>
      <c r="N318" t="str" cm="1">
        <f t="array" ref="N318">IFERROR(_xlfn.XLOOKUP(C318&amp;A318, TDrate!F:F&amp;TDrate!H:H, TDrate!D:D), "N/A")</f>
        <v>N/A</v>
      </c>
    </row>
    <row r="319" spans="1:14" x14ac:dyDescent="0.45">
      <c r="A319" s="8">
        <v>2024</v>
      </c>
      <c r="B319" s="9" t="s">
        <v>531</v>
      </c>
      <c r="C319" s="10" t="str">
        <f t="shared" si="8"/>
        <v>Andrew Beck</v>
      </c>
      <c r="D319" s="10" t="str">
        <f t="shared" si="9"/>
        <v>HOU</v>
      </c>
      <c r="E319" cm="1">
        <f t="array" ref="E319">IFERROR(_xlfn.XLOOKUP(C319&amp;A319, Inside5!B:B&amp;Inside5!I:I, Inside5!C:C), 0)</f>
        <v>0</v>
      </c>
      <c r="F319" cm="1">
        <f t="array" ref="F319">IFERROR(_xlfn.XLOOKUP(C319&amp;A319, Inside5!B:B&amp;Inside5!I:I, Inside5!D:D), 0)</f>
        <v>0</v>
      </c>
      <c r="G319" cm="1">
        <f t="array" ref="G319">IFERROR(_xlfn.XLOOKUP(C319&amp;A319, Inside5!B:B&amp;Inside5!I:I, Inside5!E:E), 0)</f>
        <v>0</v>
      </c>
      <c r="H319" t="str" cm="1">
        <f t="array" ref="H319">IFERROR(_xlfn.XLOOKUP(C319&amp;A319, TDrate!F:F&amp;TDrate!H:H, TDrate!C:C), "N/A")</f>
        <v>N/A</v>
      </c>
      <c r="I319" t="str" cm="1">
        <f t="array" ref="I319">IFERROR(_xlfn.XLOOKUP(C319&amp;A319, TDrate!F:F&amp;TDrate!H:H, TDrate!E:E), "N/A")</f>
        <v>N/A</v>
      </c>
      <c r="J319" cm="1">
        <f t="array" ref="J319">IFERROR(_xlfn.XLOOKUP(C319&amp;A319, Inside5!B:B&amp;Inside5!I:I, Inside5!F:F), 0)</f>
        <v>0</v>
      </c>
      <c r="K319" cm="1">
        <f t="array" ref="K319">IFERROR(_xlfn.XLOOKUP(C319&amp;A319, Inside5!B:B&amp;Inside5!I:I, Inside5!G:G), 0)</f>
        <v>0</v>
      </c>
      <c r="L319" cm="1">
        <f t="array" ref="L319">IFERROR(_xlfn.XLOOKUP(C319&amp;A319, Inside5!B:B&amp;Inside5!I:I, Inside5!H:H), 0)</f>
        <v>0</v>
      </c>
      <c r="M319" t="str" cm="1">
        <f t="array" ref="M319">IFERROR(_xlfn.XLOOKUP(C319&amp;A319, TDrate!F:F&amp;TDrate!H:H, TDrate!B:B), "N/A")</f>
        <v>N/A</v>
      </c>
      <c r="N319" t="str" cm="1">
        <f t="array" ref="N319">IFERROR(_xlfn.XLOOKUP(C319&amp;A319, TDrate!F:F&amp;TDrate!H:H, TDrate!D:D), "N/A")</f>
        <v>N/A</v>
      </c>
    </row>
    <row r="320" spans="1:14" x14ac:dyDescent="0.45">
      <c r="A320" s="5">
        <v>2024</v>
      </c>
      <c r="B320" s="6" t="s">
        <v>532</v>
      </c>
      <c r="C320" s="7" t="str">
        <f t="shared" si="8"/>
        <v>Khari Blasingame</v>
      </c>
      <c r="D320" s="7" t="str">
        <f t="shared" si="9"/>
        <v>CHI</v>
      </c>
      <c r="E320" cm="1">
        <f t="array" aca="1" ref="E320" ca="1">IFERROR(_xlfn.XLOOKUP(C320&amp;A320, Inside5!B:B&amp;Inside5!I:I, Inside5!C:C), 0)</f>
        <v>0</v>
      </c>
      <c r="F320" cm="1">
        <f t="array" aca="1" ref="F320" ca="1">IFERROR(_xlfn.XLOOKUP(C320&amp;A320, Inside5!B:B&amp;Inside5!I:I, Inside5!D:D), 0)</f>
        <v>0</v>
      </c>
      <c r="G320" cm="1">
        <f t="array" ref="G320">IFERROR(_xlfn.XLOOKUP(C320&amp;A320, Inside5!B:B&amp;Inside5!I:I, Inside5!E:E), 0)</f>
        <v>0</v>
      </c>
      <c r="H320" t="str" cm="1">
        <f t="array" ref="H320">IFERROR(_xlfn.XLOOKUP(C320&amp;A320, TDrate!F:F&amp;TDrate!H:H, TDrate!C:C), "N/A")</f>
        <v>N/A</v>
      </c>
      <c r="I320" t="str" cm="1">
        <f t="array" ref="I320">IFERROR(_xlfn.XLOOKUP(C320&amp;A320, TDrate!F:F&amp;TDrate!H:H, TDrate!E:E), "N/A")</f>
        <v>N/A</v>
      </c>
      <c r="J320" cm="1">
        <f t="array" ref="J320">IFERROR(_xlfn.XLOOKUP(C320&amp;A320, Inside5!B:B&amp;Inside5!I:I, Inside5!F:F), 0)</f>
        <v>0</v>
      </c>
      <c r="K320" cm="1">
        <f t="array" aca="1" ref="K320" ca="1">IFERROR(_xlfn.XLOOKUP(C320&amp;A320, Inside5!B:B&amp;Inside5!I:I, Inside5!G:G), 0)</f>
        <v>0</v>
      </c>
      <c r="L320" cm="1">
        <f t="array" ref="L320">IFERROR(_xlfn.XLOOKUP(C320&amp;A320, Inside5!B:B&amp;Inside5!I:I, Inside5!H:H), 0)</f>
        <v>0</v>
      </c>
      <c r="M320" t="str" cm="1">
        <f t="array" ref="M320">IFERROR(_xlfn.XLOOKUP(C320&amp;A320, TDrate!F:F&amp;TDrate!H:H, TDrate!B:B), "N/A")</f>
        <v>N/A</v>
      </c>
      <c r="N320" t="str" cm="1">
        <f t="array" ref="N320">IFERROR(_xlfn.XLOOKUP(C320&amp;A320, TDrate!F:F&amp;TDrate!H:H, TDrate!D:D), "N/A")</f>
        <v>N/A</v>
      </c>
    </row>
    <row r="321" spans="1:14" x14ac:dyDescent="0.45">
      <c r="A321" s="8">
        <v>2024</v>
      </c>
      <c r="B321" s="9" t="s">
        <v>533</v>
      </c>
      <c r="C321" s="10" t="str">
        <f t="shared" si="8"/>
        <v>La'Mical Perine</v>
      </c>
      <c r="D321" s="10" t="str">
        <f t="shared" si="9"/>
        <v>PIT</v>
      </c>
      <c r="E321" cm="1">
        <f t="array" ref="E321">IFERROR(_xlfn.XLOOKUP(C321&amp;A321, Inside5!B:B&amp;Inside5!I:I, Inside5!C:C), 0)</f>
        <v>0</v>
      </c>
      <c r="F321" cm="1">
        <f t="array" ref="F321">IFERROR(_xlfn.XLOOKUP(C321&amp;A321, Inside5!B:B&amp;Inside5!I:I, Inside5!D:D), 0)</f>
        <v>0</v>
      </c>
      <c r="G321" cm="1">
        <f t="array" ref="G321">IFERROR(_xlfn.XLOOKUP(C321&amp;A321, Inside5!B:B&amp;Inside5!I:I, Inside5!E:E), 0)</f>
        <v>0</v>
      </c>
      <c r="H321" t="str" cm="1">
        <f t="array" ref="H321">IFERROR(_xlfn.XLOOKUP(C321&amp;A321, TDrate!F:F&amp;TDrate!H:H, TDrate!C:C), "N/A")</f>
        <v>N/A</v>
      </c>
      <c r="I321" t="str" cm="1">
        <f t="array" ref="I321">IFERROR(_xlfn.XLOOKUP(C321&amp;A321, TDrate!F:F&amp;TDrate!H:H, TDrate!E:E), "N/A")</f>
        <v>N/A</v>
      </c>
      <c r="J321" cm="1">
        <f t="array" ref="J321">IFERROR(_xlfn.XLOOKUP(C321&amp;A321, Inside5!B:B&amp;Inside5!I:I, Inside5!F:F), 0)</f>
        <v>0</v>
      </c>
      <c r="K321" cm="1">
        <f t="array" ref="K321">IFERROR(_xlfn.XLOOKUP(C321&amp;A321, Inside5!B:B&amp;Inside5!I:I, Inside5!G:G), 0)</f>
        <v>0</v>
      </c>
      <c r="L321" cm="1">
        <f t="array" ref="L321">IFERROR(_xlfn.XLOOKUP(C321&amp;A321, Inside5!B:B&amp;Inside5!I:I, Inside5!H:H), 0)</f>
        <v>0</v>
      </c>
      <c r="M321" t="str" cm="1">
        <f t="array" ref="M321">IFERROR(_xlfn.XLOOKUP(C321&amp;A321, TDrate!F:F&amp;TDrate!H:H, TDrate!B:B), "N/A")</f>
        <v>N/A</v>
      </c>
      <c r="N321" t="str" cm="1">
        <f t="array" ref="N321">IFERROR(_xlfn.XLOOKUP(C321&amp;A321, TDrate!F:F&amp;TDrate!H:H, TDrate!D:D), "N/A")</f>
        <v>N/A</v>
      </c>
    </row>
    <row r="322" spans="1:14" x14ac:dyDescent="0.45">
      <c r="A322" s="5">
        <v>2024</v>
      </c>
      <c r="B322" s="6" t="s">
        <v>534</v>
      </c>
      <c r="C322" s="7" t="str">
        <f t="shared" ref="C322:C385" si="10">TRIM(LEFT(B322, LEN(B322) - LEN(TRIM(RIGHT(SUBSTITUTE(TRIM(B322)," ",REPT(" ",100)),100)))))</f>
        <v>Keilan Robinson</v>
      </c>
      <c r="D322" s="7" t="str">
        <f t="shared" ref="D322:D385" si="11">MID(B322, FIND("(", B322) + 1, FIND(")", B322) - FIND("(", B322) - 1)</f>
        <v>JAC</v>
      </c>
      <c r="E322" cm="1">
        <f t="array" ref="E322">IFERROR(_xlfn.XLOOKUP(C322&amp;A322, Inside5!B:B&amp;Inside5!I:I, Inside5!C:C), 0)</f>
        <v>0</v>
      </c>
      <c r="F322" cm="1">
        <f t="array" ref="F322">IFERROR(_xlfn.XLOOKUP(C322&amp;A322, Inside5!B:B&amp;Inside5!I:I, Inside5!D:D), 0)</f>
        <v>0</v>
      </c>
      <c r="G322" cm="1">
        <f t="array" ref="G322">IFERROR(_xlfn.XLOOKUP(C322&amp;A322, Inside5!B:B&amp;Inside5!I:I, Inside5!E:E), 0)</f>
        <v>0</v>
      </c>
      <c r="H322" t="str" cm="1">
        <f t="array" ref="H322">IFERROR(_xlfn.XLOOKUP(C322&amp;A322, TDrate!F:F&amp;TDrate!H:H, TDrate!C:C), "N/A")</f>
        <v>N/A</v>
      </c>
      <c r="I322" t="str" cm="1">
        <f t="array" ref="I322">IFERROR(_xlfn.XLOOKUP(C322&amp;A322, TDrate!F:F&amp;TDrate!H:H, TDrate!E:E), "N/A")</f>
        <v>N/A</v>
      </c>
      <c r="J322" cm="1">
        <f t="array" ref="J322">IFERROR(_xlfn.XLOOKUP(C322&amp;A322, Inside5!B:B&amp;Inside5!I:I, Inside5!F:F), 0)</f>
        <v>0</v>
      </c>
      <c r="K322" cm="1">
        <f t="array" ref="K322">IFERROR(_xlfn.XLOOKUP(C322&amp;A322, Inside5!B:B&amp;Inside5!I:I, Inside5!G:G), 0)</f>
        <v>0</v>
      </c>
      <c r="L322" cm="1">
        <f t="array" ref="L322">IFERROR(_xlfn.XLOOKUP(C322&amp;A322, Inside5!B:B&amp;Inside5!I:I, Inside5!H:H), 0)</f>
        <v>0</v>
      </c>
      <c r="M322" t="str" cm="1">
        <f t="array" ref="M322">IFERROR(_xlfn.XLOOKUP(C322&amp;A322, TDrate!F:F&amp;TDrate!H:H, TDrate!B:B), "N/A")</f>
        <v>N/A</v>
      </c>
      <c r="N322" t="str" cm="1">
        <f t="array" ref="N322">IFERROR(_xlfn.XLOOKUP(C322&amp;A322, TDrate!F:F&amp;TDrate!H:H, TDrate!D:D), "N/A")</f>
        <v>N/A</v>
      </c>
    </row>
    <row r="323" spans="1:14" x14ac:dyDescent="0.45">
      <c r="A323" s="8">
        <v>2024</v>
      </c>
      <c r="B323" s="9" t="s">
        <v>535</v>
      </c>
      <c r="C323" s="10" t="str">
        <f t="shared" si="10"/>
        <v>D.J. Williams</v>
      </c>
      <c r="D323" s="10" t="str">
        <f t="shared" si="11"/>
        <v>TB</v>
      </c>
      <c r="E323" cm="1">
        <f t="array" ref="E323">IFERROR(_xlfn.XLOOKUP(C323&amp;A323, Inside5!B:B&amp;Inside5!I:I, Inside5!C:C), 0)</f>
        <v>0</v>
      </c>
      <c r="F323" cm="1">
        <f t="array" ref="F323">IFERROR(_xlfn.XLOOKUP(C323&amp;A323, Inside5!B:B&amp;Inside5!I:I, Inside5!D:D), 0)</f>
        <v>0</v>
      </c>
      <c r="G323" cm="1">
        <f t="array" ref="G323">IFERROR(_xlfn.XLOOKUP(C323&amp;A323, Inside5!B:B&amp;Inside5!I:I, Inside5!E:E), 0)</f>
        <v>0</v>
      </c>
      <c r="H323" t="str" cm="1">
        <f t="array" ref="H323">IFERROR(_xlfn.XLOOKUP(C323&amp;A323, TDrate!F:F&amp;TDrate!H:H, TDrate!C:C), "N/A")</f>
        <v>N/A</v>
      </c>
      <c r="I323" t="str" cm="1">
        <f t="array" ref="I323">IFERROR(_xlfn.XLOOKUP(C323&amp;A323, TDrate!F:F&amp;TDrate!H:H, TDrate!E:E), "N/A")</f>
        <v>N/A</v>
      </c>
      <c r="J323" cm="1">
        <f t="array" ref="J323">IFERROR(_xlfn.XLOOKUP(C323&amp;A323, Inside5!B:B&amp;Inside5!I:I, Inside5!F:F), 0)</f>
        <v>0</v>
      </c>
      <c r="K323" cm="1">
        <f t="array" ref="K323">IFERROR(_xlfn.XLOOKUP(C323&amp;A323, Inside5!B:B&amp;Inside5!I:I, Inside5!G:G), 0)</f>
        <v>0</v>
      </c>
      <c r="L323" cm="1">
        <f t="array" ref="L323">IFERROR(_xlfn.XLOOKUP(C323&amp;A323, Inside5!B:B&amp;Inside5!I:I, Inside5!H:H), 0)</f>
        <v>0</v>
      </c>
      <c r="M323" t="str" cm="1">
        <f t="array" ref="M323">IFERROR(_xlfn.XLOOKUP(C323&amp;A323, TDrate!F:F&amp;TDrate!H:H, TDrate!B:B), "N/A")</f>
        <v>N/A</v>
      </c>
      <c r="N323" t="str" cm="1">
        <f t="array" ref="N323">IFERROR(_xlfn.XLOOKUP(C323&amp;A323, TDrate!F:F&amp;TDrate!H:H, TDrate!D:D), "N/A")</f>
        <v>N/A</v>
      </c>
    </row>
    <row r="324" spans="1:14" x14ac:dyDescent="0.45">
      <c r="A324" s="5">
        <v>2024</v>
      </c>
      <c r="B324" s="6" t="s">
        <v>438</v>
      </c>
      <c r="C324" s="7" t="str">
        <f t="shared" si="10"/>
        <v>Kendall Milton</v>
      </c>
      <c r="D324" s="7" t="str">
        <f t="shared" si="11"/>
        <v>CIN</v>
      </c>
      <c r="E324" cm="1">
        <f t="array" aca="1" ref="E324" ca="1">IFERROR(_xlfn.XLOOKUP(C324&amp;A324, Inside5!B:B&amp;Inside5!I:I, Inside5!C:C), 0)</f>
        <v>0</v>
      </c>
      <c r="F324" cm="1">
        <f t="array" aca="1" ref="F324" ca="1">IFERROR(_xlfn.XLOOKUP(C324&amp;A324, Inside5!B:B&amp;Inside5!I:I, Inside5!D:D), 0)</f>
        <v>0</v>
      </c>
      <c r="G324" cm="1">
        <f t="array" ref="G324">IFERROR(_xlfn.XLOOKUP(C324&amp;A324, Inside5!B:B&amp;Inside5!I:I, Inside5!E:E), 0)</f>
        <v>0</v>
      </c>
      <c r="H324" t="str" cm="1">
        <f t="array" ref="H324">IFERROR(_xlfn.XLOOKUP(C324&amp;A324, TDrate!F:F&amp;TDrate!H:H, TDrate!C:C), "N/A")</f>
        <v>N/A</v>
      </c>
      <c r="I324" t="str" cm="1">
        <f t="array" ref="I324">IFERROR(_xlfn.XLOOKUP(C324&amp;A324, TDrate!F:F&amp;TDrate!H:H, TDrate!E:E), "N/A")</f>
        <v>N/A</v>
      </c>
      <c r="J324" cm="1">
        <f t="array" ref="J324">IFERROR(_xlfn.XLOOKUP(C324&amp;A324, Inside5!B:B&amp;Inside5!I:I, Inside5!F:F), 0)</f>
        <v>0</v>
      </c>
      <c r="K324" cm="1">
        <f t="array" aca="1" ref="K324" ca="1">IFERROR(_xlfn.XLOOKUP(C324&amp;A324, Inside5!B:B&amp;Inside5!I:I, Inside5!G:G), 0)</f>
        <v>0</v>
      </c>
      <c r="L324" cm="1">
        <f t="array" ref="L324">IFERROR(_xlfn.XLOOKUP(C324&amp;A324, Inside5!B:B&amp;Inside5!I:I, Inside5!H:H), 0)</f>
        <v>0</v>
      </c>
      <c r="M324" t="str" cm="1">
        <f t="array" ref="M324">IFERROR(_xlfn.XLOOKUP(C324&amp;A324, TDrate!F:F&amp;TDrate!H:H, TDrate!B:B), "N/A")</f>
        <v>N/A</v>
      </c>
      <c r="N324" t="str" cm="1">
        <f t="array" ref="N324">IFERROR(_xlfn.XLOOKUP(C324&amp;A324, TDrate!F:F&amp;TDrate!H:H, TDrate!D:D), "N/A")</f>
        <v>N/A</v>
      </c>
    </row>
    <row r="325" spans="1:14" x14ac:dyDescent="0.45">
      <c r="A325" s="8">
        <v>2024</v>
      </c>
      <c r="B325" s="9" t="s">
        <v>450</v>
      </c>
      <c r="C325" s="10" t="str">
        <f t="shared" si="10"/>
        <v>Keaontay Ingram</v>
      </c>
      <c r="D325" s="10" t="str">
        <f t="shared" si="11"/>
        <v>KC</v>
      </c>
      <c r="E325" cm="1">
        <f t="array" ref="E325">IFERROR(_xlfn.XLOOKUP(C325&amp;A325, Inside5!B:B&amp;Inside5!I:I, Inside5!C:C), 0)</f>
        <v>0</v>
      </c>
      <c r="F325" cm="1">
        <f t="array" ref="F325">IFERROR(_xlfn.XLOOKUP(C325&amp;A325, Inside5!B:B&amp;Inside5!I:I, Inside5!D:D), 0)</f>
        <v>0</v>
      </c>
      <c r="G325" cm="1">
        <f t="array" ref="G325">IFERROR(_xlfn.XLOOKUP(C325&amp;A325, Inside5!B:B&amp;Inside5!I:I, Inside5!E:E), 0)</f>
        <v>0</v>
      </c>
      <c r="H325" t="str" cm="1">
        <f t="array" ref="H325">IFERROR(_xlfn.XLOOKUP(C325&amp;A325, TDrate!F:F&amp;TDrate!H:H, TDrate!C:C), "N/A")</f>
        <v>N/A</v>
      </c>
      <c r="I325" t="str" cm="1">
        <f t="array" ref="I325">IFERROR(_xlfn.XLOOKUP(C325&amp;A325, TDrate!F:F&amp;TDrate!H:H, TDrate!E:E), "N/A")</f>
        <v>N/A</v>
      </c>
      <c r="J325" cm="1">
        <f t="array" ref="J325">IFERROR(_xlfn.XLOOKUP(C325&amp;A325, Inside5!B:B&amp;Inside5!I:I, Inside5!F:F), 0)</f>
        <v>0</v>
      </c>
      <c r="K325" cm="1">
        <f t="array" ref="K325">IFERROR(_xlfn.XLOOKUP(C325&amp;A325, Inside5!B:B&amp;Inside5!I:I, Inside5!G:G), 0)</f>
        <v>0</v>
      </c>
      <c r="L325" cm="1">
        <f t="array" ref="L325">IFERROR(_xlfn.XLOOKUP(C325&amp;A325, Inside5!B:B&amp;Inside5!I:I, Inside5!H:H), 0)</f>
        <v>0</v>
      </c>
      <c r="M325" t="str" cm="1">
        <f t="array" ref="M325">IFERROR(_xlfn.XLOOKUP(C325&amp;A325, TDrate!F:F&amp;TDrate!H:H, TDrate!B:B), "N/A")</f>
        <v>N/A</v>
      </c>
      <c r="N325" t="str" cm="1">
        <f t="array" ref="N325">IFERROR(_xlfn.XLOOKUP(C325&amp;A325, TDrate!F:F&amp;TDrate!H:H, TDrate!D:D), "N/A")</f>
        <v>N/A</v>
      </c>
    </row>
    <row r="326" spans="1:14" x14ac:dyDescent="0.45">
      <c r="A326" s="5">
        <v>2024</v>
      </c>
      <c r="B326" s="6" t="s">
        <v>536</v>
      </c>
      <c r="C326" s="7" t="str">
        <f t="shared" si="10"/>
        <v>Avery Williams</v>
      </c>
      <c r="D326" s="7" t="str">
        <f t="shared" si="11"/>
        <v>ATL</v>
      </c>
      <c r="E326" cm="1">
        <f t="array" ref="E326">IFERROR(_xlfn.XLOOKUP(C326&amp;A326, Inside5!B:B&amp;Inside5!I:I, Inside5!C:C), 0)</f>
        <v>0</v>
      </c>
      <c r="F326" cm="1">
        <f t="array" aca="1" ref="F326" ca="1">IFERROR(_xlfn.XLOOKUP(C326&amp;A326, Inside5!B:B&amp;Inside5!I:I, Inside5!D:D), 0)</f>
        <v>0</v>
      </c>
      <c r="G326" cm="1">
        <f t="array" ref="G326">IFERROR(_xlfn.XLOOKUP(C326&amp;A326, Inside5!B:B&amp;Inside5!I:I, Inside5!E:E), 0)</f>
        <v>0</v>
      </c>
      <c r="H326" t="str" cm="1">
        <f t="array" ref="H326">IFERROR(_xlfn.XLOOKUP(C326&amp;A326, TDrate!F:F&amp;TDrate!H:H, TDrate!C:C), "N/A")</f>
        <v>N/A</v>
      </c>
      <c r="I326" t="str" cm="1">
        <f t="array" ref="I326">IFERROR(_xlfn.XLOOKUP(C326&amp;A326, TDrate!F:F&amp;TDrate!H:H, TDrate!E:E), "N/A")</f>
        <v>N/A</v>
      </c>
      <c r="J326" cm="1">
        <f t="array" ref="J326">IFERROR(_xlfn.XLOOKUP(C326&amp;A326, Inside5!B:B&amp;Inside5!I:I, Inside5!F:F), 0)</f>
        <v>0</v>
      </c>
      <c r="K326" cm="1">
        <f t="array" aca="1" ref="K326" ca="1">IFERROR(_xlfn.XLOOKUP(C326&amp;A326, Inside5!B:B&amp;Inside5!I:I, Inside5!G:G), 0)</f>
        <v>0</v>
      </c>
      <c r="L326" cm="1">
        <f t="array" ref="L326">IFERROR(_xlfn.XLOOKUP(C326&amp;A326, Inside5!B:B&amp;Inside5!I:I, Inside5!H:H), 0)</f>
        <v>0</v>
      </c>
      <c r="M326" t="str" cm="1">
        <f t="array" ref="M326">IFERROR(_xlfn.XLOOKUP(C326&amp;A326, TDrate!F:F&amp;TDrate!H:H, TDrate!B:B), "N/A")</f>
        <v>N/A</v>
      </c>
      <c r="N326" t="str" cm="1">
        <f t="array" ref="N326">IFERROR(_xlfn.XLOOKUP(C326&amp;A326, TDrate!F:F&amp;TDrate!H:H, TDrate!D:D), "N/A")</f>
        <v>N/A</v>
      </c>
    </row>
    <row r="327" spans="1:14" x14ac:dyDescent="0.45">
      <c r="A327" s="8">
        <v>2024</v>
      </c>
      <c r="B327" s="9" t="s">
        <v>537</v>
      </c>
      <c r="C327" s="10" t="str">
        <f t="shared" si="10"/>
        <v>Gary Brightwell</v>
      </c>
      <c r="D327" s="10" t="str">
        <f t="shared" si="11"/>
        <v>CLE</v>
      </c>
      <c r="E327" cm="1">
        <f t="array" ref="E327">IFERROR(_xlfn.XLOOKUP(C327&amp;A327, Inside5!B:B&amp;Inside5!I:I, Inside5!C:C), 0)</f>
        <v>0</v>
      </c>
      <c r="F327" cm="1">
        <f t="array" ref="F327">IFERROR(_xlfn.XLOOKUP(C327&amp;A327, Inside5!B:B&amp;Inside5!I:I, Inside5!D:D), 0)</f>
        <v>0</v>
      </c>
      <c r="G327" cm="1">
        <f t="array" ref="G327">IFERROR(_xlfn.XLOOKUP(C327&amp;A327, Inside5!B:B&amp;Inside5!I:I, Inside5!E:E), 0)</f>
        <v>0</v>
      </c>
      <c r="H327" t="str" cm="1">
        <f t="array" ref="H327">IFERROR(_xlfn.XLOOKUP(C327&amp;A327, TDrate!F:F&amp;TDrate!H:H, TDrate!C:C), "N/A")</f>
        <v>N/A</v>
      </c>
      <c r="I327" t="str" cm="1">
        <f t="array" ref="I327">IFERROR(_xlfn.XLOOKUP(C327&amp;A327, TDrate!F:F&amp;TDrate!H:H, TDrate!E:E), "N/A")</f>
        <v>N/A</v>
      </c>
      <c r="J327" cm="1">
        <f t="array" ref="J327">IFERROR(_xlfn.XLOOKUP(C327&amp;A327, Inside5!B:B&amp;Inside5!I:I, Inside5!F:F), 0)</f>
        <v>0</v>
      </c>
      <c r="K327" cm="1">
        <f t="array" ref="K327">IFERROR(_xlfn.XLOOKUP(C327&amp;A327, Inside5!B:B&amp;Inside5!I:I, Inside5!G:G), 0)</f>
        <v>0</v>
      </c>
      <c r="L327" cm="1">
        <f t="array" ref="L327">IFERROR(_xlfn.XLOOKUP(C327&amp;A327, Inside5!B:B&amp;Inside5!I:I, Inside5!H:H), 0)</f>
        <v>0</v>
      </c>
      <c r="M327" t="str" cm="1">
        <f t="array" ref="M327">IFERROR(_xlfn.XLOOKUP(C327&amp;A327, TDrate!F:F&amp;TDrate!H:H, TDrate!B:B), "N/A")</f>
        <v>N/A</v>
      </c>
      <c r="N327" t="str" cm="1">
        <f t="array" ref="N327">IFERROR(_xlfn.XLOOKUP(C327&amp;A327, TDrate!F:F&amp;TDrate!H:H, TDrate!D:D), "N/A")</f>
        <v>N/A</v>
      </c>
    </row>
    <row r="328" spans="1:14" x14ac:dyDescent="0.45">
      <c r="A328" s="5">
        <v>2024</v>
      </c>
      <c r="B328" s="6" t="s">
        <v>538</v>
      </c>
      <c r="C328" s="7" t="str">
        <f t="shared" si="10"/>
        <v>Adam Prentice</v>
      </c>
      <c r="D328" s="7" t="str">
        <f t="shared" si="11"/>
        <v>NO</v>
      </c>
      <c r="E328" cm="1">
        <f t="array" aca="1" ref="E328" ca="1">IFERROR(_xlfn.XLOOKUP(C328&amp;A328, Inside5!B:B&amp;Inside5!I:I, Inside5!C:C), 0)</f>
        <v>0</v>
      </c>
      <c r="F328" cm="1">
        <f t="array" ref="F328">IFERROR(_xlfn.XLOOKUP(C328&amp;A328, Inside5!B:B&amp;Inside5!I:I, Inside5!D:D), 0)</f>
        <v>0</v>
      </c>
      <c r="G328" cm="1">
        <f t="array" ref="G328">IFERROR(_xlfn.XLOOKUP(C328&amp;A328, Inside5!B:B&amp;Inside5!I:I, Inside5!E:E), 0)</f>
        <v>0</v>
      </c>
      <c r="H328" t="str" cm="1">
        <f t="array" ref="H328">IFERROR(_xlfn.XLOOKUP(C328&amp;A328, TDrate!F:F&amp;TDrate!H:H, TDrate!C:C), "N/A")</f>
        <v>N/A</v>
      </c>
      <c r="I328" t="str" cm="1">
        <f t="array" ref="I328">IFERROR(_xlfn.XLOOKUP(C328&amp;A328, TDrate!F:F&amp;TDrate!H:H, TDrate!E:E), "N/A")</f>
        <v>N/A</v>
      </c>
      <c r="J328" cm="1">
        <f t="array" ref="J328">IFERROR(_xlfn.XLOOKUP(C328&amp;A328, Inside5!B:B&amp;Inside5!I:I, Inside5!F:F), 0)</f>
        <v>0</v>
      </c>
      <c r="K328" cm="1">
        <f t="array" aca="1" ref="K328" ca="1">IFERROR(_xlfn.XLOOKUP(C328&amp;A328, Inside5!B:B&amp;Inside5!I:I, Inside5!G:G), 0)</f>
        <v>0</v>
      </c>
      <c r="L328" cm="1">
        <f t="array" aca="1" ref="L328" ca="1">IFERROR(_xlfn.XLOOKUP(C328&amp;A328, Inside5!B:B&amp;Inside5!I:I, Inside5!H:H), 0)</f>
        <v>0</v>
      </c>
      <c r="M328" t="str" cm="1">
        <f t="array" ref="M328">IFERROR(_xlfn.XLOOKUP(C328&amp;A328, TDrate!F:F&amp;TDrate!H:H, TDrate!B:B), "N/A")</f>
        <v>N/A</v>
      </c>
      <c r="N328" t="str" cm="1">
        <f t="array" ref="N328">IFERROR(_xlfn.XLOOKUP(C328&amp;A328, TDrate!F:F&amp;TDrate!H:H, TDrate!D:D), "N/A")</f>
        <v>N/A</v>
      </c>
    </row>
    <row r="329" spans="1:14" x14ac:dyDescent="0.45">
      <c r="A329" s="8">
        <v>2024</v>
      </c>
      <c r="B329" s="9" t="s">
        <v>539</v>
      </c>
      <c r="C329" s="10" t="str">
        <f t="shared" si="10"/>
        <v>Velus Jones Jr.</v>
      </c>
      <c r="D329" s="10" t="str">
        <f t="shared" si="11"/>
        <v>CAR</v>
      </c>
      <c r="E329" cm="1">
        <f t="array" aca="1" ref="E329" ca="1">IFERROR(_xlfn.XLOOKUP(C329&amp;A329, Inside5!B:B&amp;Inside5!I:I, Inside5!C:C), 0)</f>
        <v>0</v>
      </c>
      <c r="F329" cm="1">
        <f t="array" aca="1" ref="F329" ca="1">IFERROR(_xlfn.XLOOKUP(C329&amp;A329, Inside5!B:B&amp;Inside5!I:I, Inside5!D:D), 0)</f>
        <v>0</v>
      </c>
      <c r="G329" cm="1">
        <f t="array" ref="G329">IFERROR(_xlfn.XLOOKUP(C329&amp;A329, Inside5!B:B&amp;Inside5!I:I, Inside5!E:E), 0)</f>
        <v>0</v>
      </c>
      <c r="H329" t="str" cm="1">
        <f t="array" ref="H329">IFERROR(_xlfn.XLOOKUP(C329&amp;A329, TDrate!F:F&amp;TDrate!H:H, TDrate!C:C), "N/A")</f>
        <v>N/A</v>
      </c>
      <c r="I329" t="str" cm="1">
        <f t="array" ref="I329">IFERROR(_xlfn.XLOOKUP(C329&amp;A329, TDrate!F:F&amp;TDrate!H:H, TDrate!E:E), "N/A")</f>
        <v>N/A</v>
      </c>
      <c r="J329" cm="1">
        <f t="array" ref="J329">IFERROR(_xlfn.XLOOKUP(C329&amp;A329, Inside5!B:B&amp;Inside5!I:I, Inside5!F:F), 0)</f>
        <v>0</v>
      </c>
      <c r="K329" cm="1">
        <f t="array" ref="K329">IFERROR(_xlfn.XLOOKUP(C329&amp;A329, Inside5!B:B&amp;Inside5!I:I, Inside5!G:G), 0)</f>
        <v>0</v>
      </c>
      <c r="L329" cm="1">
        <f t="array" ref="L329">IFERROR(_xlfn.XLOOKUP(C329&amp;A329, Inside5!B:B&amp;Inside5!I:I, Inside5!H:H), 0)</f>
        <v>0</v>
      </c>
      <c r="M329" t="str" cm="1">
        <f t="array" ref="M329">IFERROR(_xlfn.XLOOKUP(C329&amp;A329, TDrate!F:F&amp;TDrate!H:H, TDrate!B:B), "N/A")</f>
        <v>N/A</v>
      </c>
      <c r="N329" t="str" cm="1">
        <f t="array" ref="N329">IFERROR(_xlfn.XLOOKUP(C329&amp;A329, TDrate!F:F&amp;TDrate!H:H, TDrate!D:D), "N/A")</f>
        <v>N/A</v>
      </c>
    </row>
    <row r="330" spans="1:14" x14ac:dyDescent="0.45">
      <c r="A330" s="5">
        <v>2024</v>
      </c>
      <c r="B330" s="6" t="s">
        <v>540</v>
      </c>
      <c r="C330" s="7" t="str">
        <f t="shared" si="10"/>
        <v>Jabari Small</v>
      </c>
      <c r="D330" s="7" t="str">
        <f t="shared" si="11"/>
        <v>TEN</v>
      </c>
      <c r="E330" cm="1">
        <f t="array" ref="E330">IFERROR(_xlfn.XLOOKUP(C330&amp;A330, Inside5!B:B&amp;Inside5!I:I, Inside5!C:C), 0)</f>
        <v>0</v>
      </c>
      <c r="F330" cm="1">
        <f t="array" aca="1" ref="F330" ca="1">IFERROR(_xlfn.XLOOKUP(C330&amp;A330, Inside5!B:B&amp;Inside5!I:I, Inside5!D:D), 0)</f>
        <v>0</v>
      </c>
      <c r="G330" cm="1">
        <f t="array" ref="G330">IFERROR(_xlfn.XLOOKUP(C330&amp;A330, Inside5!B:B&amp;Inside5!I:I, Inside5!E:E), 0)</f>
        <v>0</v>
      </c>
      <c r="H330" t="str" cm="1">
        <f t="array" ref="H330">IFERROR(_xlfn.XLOOKUP(C330&amp;A330, TDrate!F:F&amp;TDrate!H:H, TDrate!C:C), "N/A")</f>
        <v>N/A</v>
      </c>
      <c r="I330" t="str" cm="1">
        <f t="array" ref="I330">IFERROR(_xlfn.XLOOKUP(C330&amp;A330, TDrate!F:F&amp;TDrate!H:H, TDrate!E:E), "N/A")</f>
        <v>N/A</v>
      </c>
      <c r="J330" cm="1">
        <f t="array" ref="J330">IFERROR(_xlfn.XLOOKUP(C330&amp;A330, Inside5!B:B&amp;Inside5!I:I, Inside5!F:F), 0)</f>
        <v>0</v>
      </c>
      <c r="K330" cm="1">
        <f t="array" ref="K330">IFERROR(_xlfn.XLOOKUP(C330&amp;A330, Inside5!B:B&amp;Inside5!I:I, Inside5!G:G), 0)</f>
        <v>0</v>
      </c>
      <c r="L330" cm="1">
        <f t="array" ref="L330">IFERROR(_xlfn.XLOOKUP(C330&amp;A330, Inside5!B:B&amp;Inside5!I:I, Inside5!H:H), 0)</f>
        <v>0</v>
      </c>
      <c r="M330" t="str" cm="1">
        <f t="array" ref="M330">IFERROR(_xlfn.XLOOKUP(C330&amp;A330, TDrate!F:F&amp;TDrate!H:H, TDrate!B:B), "N/A")</f>
        <v>N/A</v>
      </c>
      <c r="N330" t="str" cm="1">
        <f t="array" ref="N330">IFERROR(_xlfn.XLOOKUP(C330&amp;A330, TDrate!F:F&amp;TDrate!H:H, TDrate!D:D), "N/A")</f>
        <v>N/A</v>
      </c>
    </row>
    <row r="331" spans="1:14" x14ac:dyDescent="0.45">
      <c r="A331" s="8">
        <v>2024</v>
      </c>
      <c r="B331" s="9" t="s">
        <v>405</v>
      </c>
      <c r="C331" s="10" t="str">
        <f t="shared" si="10"/>
        <v>Connor Heyward</v>
      </c>
      <c r="D331" s="10" t="str">
        <f t="shared" si="11"/>
        <v>PIT</v>
      </c>
      <c r="E331" cm="1">
        <f t="array" aca="1" ref="E331" ca="1">IFERROR(_xlfn.XLOOKUP(C331&amp;A331, Inside5!B:B&amp;Inside5!I:I, Inside5!C:C), 0)</f>
        <v>0</v>
      </c>
      <c r="F331" cm="1">
        <f t="array" ref="F331">IFERROR(_xlfn.XLOOKUP(C331&amp;A331, Inside5!B:B&amp;Inside5!I:I, Inside5!D:D), 0)</f>
        <v>0</v>
      </c>
      <c r="G331" cm="1">
        <f t="array" ref="G331">IFERROR(_xlfn.XLOOKUP(C331&amp;A331, Inside5!B:B&amp;Inside5!I:I, Inside5!E:E), 0)</f>
        <v>0</v>
      </c>
      <c r="H331" t="str" cm="1">
        <f t="array" ref="H331">IFERROR(_xlfn.XLOOKUP(C331&amp;A331, TDrate!F:F&amp;TDrate!H:H, TDrate!C:C), "N/A")</f>
        <v>N/A</v>
      </c>
      <c r="I331" t="str" cm="1">
        <f t="array" ref="I331">IFERROR(_xlfn.XLOOKUP(C331&amp;A331, TDrate!F:F&amp;TDrate!H:H, TDrate!E:E), "N/A")</f>
        <v>N/A</v>
      </c>
      <c r="J331" cm="1">
        <f t="array" ref="J331">IFERROR(_xlfn.XLOOKUP(C331&amp;A331, Inside5!B:B&amp;Inside5!I:I, Inside5!F:F), 0)</f>
        <v>0</v>
      </c>
      <c r="K331" cm="1">
        <f t="array" ref="K331">IFERROR(_xlfn.XLOOKUP(C331&amp;A331, Inside5!B:B&amp;Inside5!I:I, Inside5!G:G), 0)</f>
        <v>0</v>
      </c>
      <c r="L331" cm="1">
        <f t="array" ref="L331">IFERROR(_xlfn.XLOOKUP(C331&amp;A331, Inside5!B:B&amp;Inside5!I:I, Inside5!H:H), 0)</f>
        <v>0</v>
      </c>
      <c r="M331" t="str" cm="1">
        <f t="array" ref="M331">IFERROR(_xlfn.XLOOKUP(C331&amp;A331, TDrate!F:F&amp;TDrate!H:H, TDrate!B:B), "N/A")</f>
        <v>N/A</v>
      </c>
      <c r="N331" t="str" cm="1">
        <f t="array" ref="N331">IFERROR(_xlfn.XLOOKUP(C331&amp;A331, TDrate!F:F&amp;TDrate!H:H, TDrate!D:D), "N/A")</f>
        <v>N/A</v>
      </c>
    </row>
    <row r="332" spans="1:14" x14ac:dyDescent="0.45">
      <c r="A332" s="5">
        <v>2024</v>
      </c>
      <c r="B332" s="6" t="s">
        <v>541</v>
      </c>
      <c r="C332" s="7" t="str">
        <f t="shared" si="10"/>
        <v>Troy Hairston II</v>
      </c>
      <c r="D332" s="7" t="str">
        <f t="shared" si="11"/>
        <v>HOU</v>
      </c>
      <c r="E332" cm="1">
        <f t="array" ref="E332">IFERROR(_xlfn.XLOOKUP(C332&amp;A332, Inside5!B:B&amp;Inside5!I:I, Inside5!C:C), 0)</f>
        <v>0</v>
      </c>
      <c r="F332" cm="1">
        <f t="array" ref="F332">IFERROR(_xlfn.XLOOKUP(C332&amp;A332, Inside5!B:B&amp;Inside5!I:I, Inside5!D:D), 0)</f>
        <v>0</v>
      </c>
      <c r="G332" cm="1">
        <f t="array" ref="G332">IFERROR(_xlfn.XLOOKUP(C332&amp;A332, Inside5!B:B&amp;Inside5!I:I, Inside5!E:E), 0)</f>
        <v>0</v>
      </c>
      <c r="H332" t="str" cm="1">
        <f t="array" ref="H332">IFERROR(_xlfn.XLOOKUP(C332&amp;A332, TDrate!F:F&amp;TDrate!H:H, TDrate!C:C), "N/A")</f>
        <v>N/A</v>
      </c>
      <c r="I332" t="str" cm="1">
        <f t="array" ref="I332">IFERROR(_xlfn.XLOOKUP(C332&amp;A332, TDrate!F:F&amp;TDrate!H:H, TDrate!E:E), "N/A")</f>
        <v>N/A</v>
      </c>
      <c r="J332" cm="1">
        <f t="array" ref="J332">IFERROR(_xlfn.XLOOKUP(C332&amp;A332, Inside5!B:B&amp;Inside5!I:I, Inside5!F:F), 0)</f>
        <v>0</v>
      </c>
      <c r="K332" cm="1">
        <f t="array" ref="K332">IFERROR(_xlfn.XLOOKUP(C332&amp;A332, Inside5!B:B&amp;Inside5!I:I, Inside5!G:G), 0)</f>
        <v>0</v>
      </c>
      <c r="L332" cm="1">
        <f t="array" ref="L332">IFERROR(_xlfn.XLOOKUP(C332&amp;A332, Inside5!B:B&amp;Inside5!I:I, Inside5!H:H), 0)</f>
        <v>0</v>
      </c>
      <c r="M332" t="str" cm="1">
        <f t="array" ref="M332">IFERROR(_xlfn.XLOOKUP(C332&amp;A332, TDrate!F:F&amp;TDrate!H:H, TDrate!B:B), "N/A")</f>
        <v>N/A</v>
      </c>
      <c r="N332" t="str" cm="1">
        <f t="array" ref="N332">IFERROR(_xlfn.XLOOKUP(C332&amp;A332, TDrate!F:F&amp;TDrate!H:H, TDrate!D:D), "N/A")</f>
        <v>N/A</v>
      </c>
    </row>
    <row r="333" spans="1:14" x14ac:dyDescent="0.45">
      <c r="A333" s="8">
        <v>2024</v>
      </c>
      <c r="B333" s="9" t="s">
        <v>443</v>
      </c>
      <c r="C333" s="10" t="str">
        <f t="shared" si="10"/>
        <v>Scott Matlock</v>
      </c>
      <c r="D333" s="10" t="str">
        <f t="shared" si="11"/>
        <v>LAC</v>
      </c>
      <c r="E333" cm="1">
        <f t="array" aca="1" ref="E333" ca="1">IFERROR(_xlfn.XLOOKUP(C333&amp;A333, Inside5!B:B&amp;Inside5!I:I, Inside5!C:C), 0)</f>
        <v>0</v>
      </c>
      <c r="F333" cm="1">
        <f t="array" aca="1" ref="F333" ca="1">IFERROR(_xlfn.XLOOKUP(C333&amp;A333, Inside5!B:B&amp;Inside5!I:I, Inside5!D:D), 0)</f>
        <v>0</v>
      </c>
      <c r="G333" cm="1">
        <f t="array" ref="G333">IFERROR(_xlfn.XLOOKUP(C333&amp;A333, Inside5!B:B&amp;Inside5!I:I, Inside5!E:E), 0)</f>
        <v>0</v>
      </c>
      <c r="H333" t="str" cm="1">
        <f t="array" ref="H333">IFERROR(_xlfn.XLOOKUP(C333&amp;A333, TDrate!F:F&amp;TDrate!H:H, TDrate!C:C), "N/A")</f>
        <v>N/A</v>
      </c>
      <c r="I333" t="str" cm="1">
        <f t="array" ref="I333">IFERROR(_xlfn.XLOOKUP(C333&amp;A333, TDrate!F:F&amp;TDrate!H:H, TDrate!E:E), "N/A")</f>
        <v>N/A</v>
      </c>
      <c r="J333" cm="1">
        <f t="array" ref="J333">IFERROR(_xlfn.XLOOKUP(C333&amp;A333, Inside5!B:B&amp;Inside5!I:I, Inside5!F:F), 0)</f>
        <v>0</v>
      </c>
      <c r="K333" cm="1">
        <f t="array" ref="K333">IFERROR(_xlfn.XLOOKUP(C333&amp;A333, Inside5!B:B&amp;Inside5!I:I, Inside5!G:G), 0)</f>
        <v>0</v>
      </c>
      <c r="L333" cm="1">
        <f t="array" ref="L333">IFERROR(_xlfn.XLOOKUP(C333&amp;A333, Inside5!B:B&amp;Inside5!I:I, Inside5!H:H), 0)</f>
        <v>0</v>
      </c>
      <c r="M333" t="str" cm="1">
        <f t="array" ref="M333">IFERROR(_xlfn.XLOOKUP(C333&amp;A333, TDrate!F:F&amp;TDrate!H:H, TDrate!B:B), "N/A")</f>
        <v>N/A</v>
      </c>
      <c r="N333" t="str" cm="1">
        <f t="array" ref="N333">IFERROR(_xlfn.XLOOKUP(C333&amp;A333, TDrate!F:F&amp;TDrate!H:H, TDrate!D:D), "N/A")</f>
        <v>N/A</v>
      </c>
    </row>
    <row r="334" spans="1:14" x14ac:dyDescent="0.45">
      <c r="A334" s="5">
        <v>2024</v>
      </c>
      <c r="B334" s="6" t="s">
        <v>542</v>
      </c>
      <c r="C334" s="7" t="str">
        <f t="shared" si="10"/>
        <v>Kazmeir Allen</v>
      </c>
      <c r="D334" s="7" t="str">
        <f t="shared" si="11"/>
        <v>WAS</v>
      </c>
      <c r="E334" cm="1">
        <f t="array" aca="1" ref="E334" ca="1">IFERROR(_xlfn.XLOOKUP(C334&amp;A334, Inside5!B:B&amp;Inside5!I:I, Inside5!C:C), 0)</f>
        <v>0</v>
      </c>
      <c r="F334" cm="1">
        <f t="array" aca="1" ref="F334" ca="1">IFERROR(_xlfn.XLOOKUP(C334&amp;A334, Inside5!B:B&amp;Inside5!I:I, Inside5!D:D), 0)</f>
        <v>0</v>
      </c>
      <c r="G334" cm="1">
        <f t="array" ref="G334">IFERROR(_xlfn.XLOOKUP(C334&amp;A334, Inside5!B:B&amp;Inside5!I:I, Inside5!E:E), 0)</f>
        <v>0</v>
      </c>
      <c r="H334" t="str" cm="1">
        <f t="array" ref="H334">IFERROR(_xlfn.XLOOKUP(C334&amp;A334, TDrate!F:F&amp;TDrate!H:H, TDrate!C:C), "N/A")</f>
        <v>N/A</v>
      </c>
      <c r="I334" t="str" cm="1">
        <f t="array" ref="I334">IFERROR(_xlfn.XLOOKUP(C334&amp;A334, TDrate!F:F&amp;TDrate!H:H, TDrate!E:E), "N/A")</f>
        <v>N/A</v>
      </c>
      <c r="J334" cm="1">
        <f t="array" ref="J334">IFERROR(_xlfn.XLOOKUP(C334&amp;A334, Inside5!B:B&amp;Inside5!I:I, Inside5!F:F), 0)</f>
        <v>0</v>
      </c>
      <c r="K334" cm="1">
        <f t="array" ref="K334">IFERROR(_xlfn.XLOOKUP(C334&amp;A334, Inside5!B:B&amp;Inside5!I:I, Inside5!G:G), 0)</f>
        <v>0</v>
      </c>
      <c r="L334" cm="1">
        <f t="array" ref="L334">IFERROR(_xlfn.XLOOKUP(C334&amp;A334, Inside5!B:B&amp;Inside5!I:I, Inside5!H:H), 0)</f>
        <v>0</v>
      </c>
      <c r="M334" t="str" cm="1">
        <f t="array" ref="M334">IFERROR(_xlfn.XLOOKUP(C334&amp;A334, TDrate!F:F&amp;TDrate!H:H, TDrate!B:B), "N/A")</f>
        <v>N/A</v>
      </c>
      <c r="N334" t="str" cm="1">
        <f t="array" ref="N334">IFERROR(_xlfn.XLOOKUP(C334&amp;A334, TDrate!F:F&amp;TDrate!H:H, TDrate!D:D), "N/A")</f>
        <v>N/A</v>
      </c>
    </row>
    <row r="335" spans="1:14" x14ac:dyDescent="0.45">
      <c r="A335" s="8">
        <v>2024</v>
      </c>
      <c r="B335" s="9" t="s">
        <v>543</v>
      </c>
      <c r="C335" s="10" t="str">
        <f t="shared" si="10"/>
        <v>Ben VanSumeren</v>
      </c>
      <c r="D335" s="10" t="str">
        <f t="shared" si="11"/>
        <v>PHI</v>
      </c>
      <c r="E335" cm="1">
        <f t="array" aca="1" ref="E335" ca="1">IFERROR(_xlfn.XLOOKUP(C335&amp;A335, Inside5!B:B&amp;Inside5!I:I, Inside5!C:C), 0)</f>
        <v>0</v>
      </c>
      <c r="F335" cm="1">
        <f t="array" ref="F335">IFERROR(_xlfn.XLOOKUP(C335&amp;A335, Inside5!B:B&amp;Inside5!I:I, Inside5!D:D), 0)</f>
        <v>0</v>
      </c>
      <c r="G335" cm="1">
        <f t="array" ref="G335">IFERROR(_xlfn.XLOOKUP(C335&amp;A335, Inside5!B:B&amp;Inside5!I:I, Inside5!E:E), 0)</f>
        <v>0</v>
      </c>
      <c r="H335" t="str" cm="1">
        <f t="array" ref="H335">IFERROR(_xlfn.XLOOKUP(C335&amp;A335, TDrate!F:F&amp;TDrate!H:H, TDrate!C:C), "N/A")</f>
        <v>N/A</v>
      </c>
      <c r="I335" t="str" cm="1">
        <f t="array" ref="I335">IFERROR(_xlfn.XLOOKUP(C335&amp;A335, TDrate!F:F&amp;TDrate!H:H, TDrate!E:E), "N/A")</f>
        <v>N/A</v>
      </c>
      <c r="J335" cm="1">
        <f t="array" ref="J335">IFERROR(_xlfn.XLOOKUP(C335&amp;A335, Inside5!B:B&amp;Inside5!I:I, Inside5!F:F), 0)</f>
        <v>0</v>
      </c>
      <c r="K335" cm="1">
        <f t="array" ref="K335">IFERROR(_xlfn.XLOOKUP(C335&amp;A335, Inside5!B:B&amp;Inside5!I:I, Inside5!G:G), 0)</f>
        <v>0</v>
      </c>
      <c r="L335" cm="1">
        <f t="array" ref="L335">IFERROR(_xlfn.XLOOKUP(C335&amp;A335, Inside5!B:B&amp;Inside5!I:I, Inside5!H:H), 0)</f>
        <v>0</v>
      </c>
      <c r="M335" t="str" cm="1">
        <f t="array" ref="M335">IFERROR(_xlfn.XLOOKUP(C335&amp;A335, TDrate!F:F&amp;TDrate!H:H, TDrate!B:B), "N/A")</f>
        <v>N/A</v>
      </c>
      <c r="N335" t="str" cm="1">
        <f t="array" ref="N335">IFERROR(_xlfn.XLOOKUP(C335&amp;A335, TDrate!F:F&amp;TDrate!H:H, TDrate!D:D), "N/A")</f>
        <v>N/A</v>
      </c>
    </row>
    <row r="336" spans="1:14" x14ac:dyDescent="0.45">
      <c r="A336" s="5">
        <v>2024</v>
      </c>
      <c r="B336" s="6" t="s">
        <v>464</v>
      </c>
      <c r="C336" s="7" t="str">
        <f t="shared" si="10"/>
        <v>Brady Russell</v>
      </c>
      <c r="D336" s="7" t="str">
        <f t="shared" si="11"/>
        <v>SEA</v>
      </c>
      <c r="E336" cm="1">
        <f t="array" ref="E336">IFERROR(_xlfn.XLOOKUP(C336&amp;A336, Inside5!B:B&amp;Inside5!I:I, Inside5!C:C), 0)</f>
        <v>0</v>
      </c>
      <c r="F336" cm="1">
        <f t="array" ref="F336">IFERROR(_xlfn.XLOOKUP(C336&amp;A336, Inside5!B:B&amp;Inside5!I:I, Inside5!D:D), 0)</f>
        <v>0</v>
      </c>
      <c r="G336" cm="1">
        <f t="array" ref="G336">IFERROR(_xlfn.XLOOKUP(C336&amp;A336, Inside5!B:B&amp;Inside5!I:I, Inside5!E:E), 0)</f>
        <v>0</v>
      </c>
      <c r="H336" t="str" cm="1">
        <f t="array" ref="H336">IFERROR(_xlfn.XLOOKUP(C336&amp;A336, TDrate!F:F&amp;TDrate!H:H, TDrate!C:C), "N/A")</f>
        <v>N/A</v>
      </c>
      <c r="I336" t="str" cm="1">
        <f t="array" ref="I336">IFERROR(_xlfn.XLOOKUP(C336&amp;A336, TDrate!F:F&amp;TDrate!H:H, TDrate!E:E), "N/A")</f>
        <v>N/A</v>
      </c>
      <c r="J336" cm="1">
        <f t="array" ref="J336">IFERROR(_xlfn.XLOOKUP(C336&amp;A336, Inside5!B:B&amp;Inside5!I:I, Inside5!F:F), 0)</f>
        <v>0</v>
      </c>
      <c r="K336" cm="1">
        <f t="array" aca="1" ref="K336" ca="1">IFERROR(_xlfn.XLOOKUP(C336&amp;A336, Inside5!B:B&amp;Inside5!I:I, Inside5!G:G), 0)</f>
        <v>0</v>
      </c>
      <c r="L336" cm="1">
        <f t="array" ref="L336">IFERROR(_xlfn.XLOOKUP(C336&amp;A336, Inside5!B:B&amp;Inside5!I:I, Inside5!H:H), 0)</f>
        <v>0</v>
      </c>
      <c r="M336" t="str" cm="1">
        <f t="array" ref="M336">IFERROR(_xlfn.XLOOKUP(C336&amp;A336, TDrate!F:F&amp;TDrate!H:H, TDrate!B:B), "N/A")</f>
        <v>N/A</v>
      </c>
      <c r="N336" t="str" cm="1">
        <f t="array" ref="N336">IFERROR(_xlfn.XLOOKUP(C336&amp;A336, TDrate!F:F&amp;TDrate!H:H, TDrate!D:D), "N/A")</f>
        <v>N/A</v>
      </c>
    </row>
    <row r="337" spans="1:14" x14ac:dyDescent="0.45">
      <c r="A337" s="8">
        <v>2024</v>
      </c>
      <c r="B337" s="9" t="s">
        <v>456</v>
      </c>
      <c r="C337" s="10" t="str">
        <f t="shared" si="10"/>
        <v>Jack Westover</v>
      </c>
      <c r="D337" s="10" t="str">
        <f t="shared" si="11"/>
        <v>NE</v>
      </c>
      <c r="E337" cm="1">
        <f t="array" aca="1" ref="E337" ca="1">IFERROR(_xlfn.XLOOKUP(C337&amp;A337, Inside5!B:B&amp;Inside5!I:I, Inside5!C:C), 0)</f>
        <v>0</v>
      </c>
      <c r="F337" cm="1">
        <f t="array" aca="1" ref="F337" ca="1">IFERROR(_xlfn.XLOOKUP(C337&amp;A337, Inside5!B:B&amp;Inside5!I:I, Inside5!D:D), 0)</f>
        <v>0</v>
      </c>
      <c r="G337" cm="1">
        <f t="array" ref="G337">IFERROR(_xlfn.XLOOKUP(C337&amp;A337, Inside5!B:B&amp;Inside5!I:I, Inside5!E:E), 0)</f>
        <v>0</v>
      </c>
      <c r="H337" t="str" cm="1">
        <f t="array" ref="H337">IFERROR(_xlfn.XLOOKUP(C337&amp;A337, TDrate!F:F&amp;TDrate!H:H, TDrate!C:C), "N/A")</f>
        <v>N/A</v>
      </c>
      <c r="I337" t="str" cm="1">
        <f t="array" ref="I337">IFERROR(_xlfn.XLOOKUP(C337&amp;A337, TDrate!F:F&amp;TDrate!H:H, TDrate!E:E), "N/A")</f>
        <v>N/A</v>
      </c>
      <c r="J337" cm="1">
        <f t="array" ref="J337">IFERROR(_xlfn.XLOOKUP(C337&amp;A337, Inside5!B:B&amp;Inside5!I:I, Inside5!F:F), 0)</f>
        <v>0</v>
      </c>
      <c r="K337" cm="1">
        <f t="array" aca="1" ref="K337" ca="1">IFERROR(_xlfn.XLOOKUP(C337&amp;A337, Inside5!B:B&amp;Inside5!I:I, Inside5!G:G), 0)</f>
        <v>0</v>
      </c>
      <c r="L337" cm="1">
        <f t="array" ref="L337">IFERROR(_xlfn.XLOOKUP(C337&amp;A337, Inside5!B:B&amp;Inside5!I:I, Inside5!H:H), 0)</f>
        <v>0</v>
      </c>
      <c r="M337" t="str" cm="1">
        <f t="array" ref="M337">IFERROR(_xlfn.XLOOKUP(C337&amp;A337, TDrate!F:F&amp;TDrate!H:H, TDrate!B:B), "N/A")</f>
        <v>N/A</v>
      </c>
      <c r="N337" t="str" cm="1">
        <f t="array" ref="N337">IFERROR(_xlfn.XLOOKUP(C337&amp;A337, TDrate!F:F&amp;TDrate!H:H, TDrate!D:D), "N/A")</f>
        <v>N/A</v>
      </c>
    </row>
    <row r="338" spans="1:14" x14ac:dyDescent="0.45">
      <c r="A338" s="5">
        <v>2024</v>
      </c>
      <c r="B338" s="6" t="s">
        <v>544</v>
      </c>
      <c r="C338" s="7" t="str">
        <f t="shared" si="10"/>
        <v>Dante Miller</v>
      </c>
      <c r="D338" s="7" t="str">
        <f t="shared" si="11"/>
        <v>NYG</v>
      </c>
      <c r="E338" cm="1">
        <f t="array" ref="E338">IFERROR(_xlfn.XLOOKUP(C338&amp;A338, Inside5!B:B&amp;Inside5!I:I, Inside5!C:C), 0)</f>
        <v>0</v>
      </c>
      <c r="F338" cm="1">
        <f t="array" ref="F338">IFERROR(_xlfn.XLOOKUP(C338&amp;A338, Inside5!B:B&amp;Inside5!I:I, Inside5!D:D), 0)</f>
        <v>0</v>
      </c>
      <c r="G338" cm="1">
        <f t="array" ref="G338">IFERROR(_xlfn.XLOOKUP(C338&amp;A338, Inside5!B:B&amp;Inside5!I:I, Inside5!E:E), 0)</f>
        <v>0</v>
      </c>
      <c r="H338" t="str" cm="1">
        <f t="array" ref="H338">IFERROR(_xlfn.XLOOKUP(C338&amp;A338, TDrate!F:F&amp;TDrate!H:H, TDrate!C:C), "N/A")</f>
        <v>N/A</v>
      </c>
      <c r="I338" t="str" cm="1">
        <f t="array" ref="I338">IFERROR(_xlfn.XLOOKUP(C338&amp;A338, TDrate!F:F&amp;TDrate!H:H, TDrate!E:E), "N/A")</f>
        <v>N/A</v>
      </c>
      <c r="J338" cm="1">
        <f t="array" ref="J338">IFERROR(_xlfn.XLOOKUP(C338&amp;A338, Inside5!B:B&amp;Inside5!I:I, Inside5!F:F), 0)</f>
        <v>0</v>
      </c>
      <c r="K338" cm="1">
        <f t="array" ref="K338">IFERROR(_xlfn.XLOOKUP(C338&amp;A338, Inside5!B:B&amp;Inside5!I:I, Inside5!G:G), 0)</f>
        <v>0</v>
      </c>
      <c r="L338" cm="1">
        <f t="array" ref="L338">IFERROR(_xlfn.XLOOKUP(C338&amp;A338, Inside5!B:B&amp;Inside5!I:I, Inside5!H:H), 0)</f>
        <v>0</v>
      </c>
      <c r="M338" t="str" cm="1">
        <f t="array" ref="M338">IFERROR(_xlfn.XLOOKUP(C338&amp;A338, TDrate!F:F&amp;TDrate!H:H, TDrate!B:B), "N/A")</f>
        <v>N/A</v>
      </c>
      <c r="N338" t="str" cm="1">
        <f t="array" ref="N338">IFERROR(_xlfn.XLOOKUP(C338&amp;A338, TDrate!F:F&amp;TDrate!H:H, TDrate!D:D), "N/A")</f>
        <v>N/A</v>
      </c>
    </row>
    <row r="339" spans="1:14" x14ac:dyDescent="0.45">
      <c r="A339" s="8">
        <v>2024</v>
      </c>
      <c r="B339" s="9" t="s">
        <v>426</v>
      </c>
      <c r="C339" s="10" t="str">
        <f t="shared" si="10"/>
        <v>Dylan Laube</v>
      </c>
      <c r="D339" s="10" t="str">
        <f t="shared" si="11"/>
        <v>LV</v>
      </c>
      <c r="E339" cm="1">
        <f t="array" aca="1" ref="E339" ca="1">IFERROR(_xlfn.XLOOKUP(C339&amp;A339, Inside5!B:B&amp;Inside5!I:I, Inside5!C:C), 0)</f>
        <v>0</v>
      </c>
      <c r="F339" cm="1">
        <f t="array" aca="1" ref="F339" ca="1">IFERROR(_xlfn.XLOOKUP(C339&amp;A339, Inside5!B:B&amp;Inside5!I:I, Inside5!D:D), 0)</f>
        <v>0</v>
      </c>
      <c r="G339" cm="1">
        <f t="array" ref="G339">IFERROR(_xlfn.XLOOKUP(C339&amp;A339, Inside5!B:B&amp;Inside5!I:I, Inside5!E:E), 0)</f>
        <v>0</v>
      </c>
      <c r="H339" t="str" cm="1">
        <f t="array" ref="H339">IFERROR(_xlfn.XLOOKUP(C339&amp;A339, TDrate!F:F&amp;TDrate!H:H, TDrate!C:C), "N/A")</f>
        <v>N/A</v>
      </c>
      <c r="I339" t="str" cm="1">
        <f t="array" ref="I339">IFERROR(_xlfn.XLOOKUP(C339&amp;A339, TDrate!F:F&amp;TDrate!H:H, TDrate!E:E), "N/A")</f>
        <v>N/A</v>
      </c>
      <c r="J339" cm="1">
        <f t="array" ref="J339">IFERROR(_xlfn.XLOOKUP(C339&amp;A339, Inside5!B:B&amp;Inside5!I:I, Inside5!F:F), 0)</f>
        <v>0</v>
      </c>
      <c r="K339" cm="1">
        <f t="array" ref="K339">IFERROR(_xlfn.XLOOKUP(C339&amp;A339, Inside5!B:B&amp;Inside5!I:I, Inside5!G:G), 0)</f>
        <v>0</v>
      </c>
      <c r="L339" cm="1">
        <f t="array" aca="1" ref="L339" ca="1">IFERROR(_xlfn.XLOOKUP(C339&amp;A339, Inside5!B:B&amp;Inside5!I:I, Inside5!H:H), 0)</f>
        <v>0</v>
      </c>
      <c r="M339" t="str" cm="1">
        <f t="array" ref="M339">IFERROR(_xlfn.XLOOKUP(C339&amp;A339, TDrate!F:F&amp;TDrate!H:H, TDrate!B:B), "N/A")</f>
        <v>N/A</v>
      </c>
      <c r="N339" t="str" cm="1">
        <f t="array" ref="N339">IFERROR(_xlfn.XLOOKUP(C339&amp;A339, TDrate!F:F&amp;TDrate!H:H, TDrate!D:D), "N/A")</f>
        <v>N/A</v>
      </c>
    </row>
    <row r="340" spans="1:14" x14ac:dyDescent="0.45">
      <c r="A340" s="5">
        <v>2023</v>
      </c>
      <c r="B340" s="6" t="s">
        <v>304</v>
      </c>
      <c r="C340" s="7" t="str">
        <f t="shared" si="10"/>
        <v>Christian McCaffrey</v>
      </c>
      <c r="D340" s="7" t="str">
        <f t="shared" si="11"/>
        <v>SF</v>
      </c>
      <c r="E340" cm="1">
        <f t="array" aca="1" ref="E340" ca="1">IFERROR(_xlfn.XLOOKUP(C340&amp;A340, Inside5!B:B&amp;Inside5!I:I, Inside5!C:C), 0)</f>
        <v>18</v>
      </c>
      <c r="F340" cm="1">
        <f t="array" aca="1" ref="F340" ca="1">IFERROR(_xlfn.XLOOKUP(C340&amp;A340, Inside5!B:B&amp;Inside5!I:I, Inside5!D:D), 0)</f>
        <v>9</v>
      </c>
      <c r="G340" cm="1">
        <f t="array" ref="G340">IFERROR(_xlfn.XLOOKUP(C340&amp;A340, Inside5!B:B&amp;Inside5!I:I, Inside5!E:E), 0)</f>
        <v>0.75</v>
      </c>
      <c r="H340" cm="1">
        <f t="array" ref="H340">IFERROR(_xlfn.XLOOKUP(C340&amp;A340, TDrate!F:F&amp;TDrate!H:H, TDrate!C:C), "N/A")</f>
        <v>5.1499999999999997E-2</v>
      </c>
      <c r="I340" cm="1">
        <f t="array" ref="I340">IFERROR(_xlfn.XLOOKUP(C340&amp;A340, TDrate!F:F&amp;TDrate!H:H, TDrate!E:E), "N/A")</f>
        <v>4.6300000000000001E-2</v>
      </c>
      <c r="J340" cm="1">
        <f t="array" ref="J340">IFERROR(_xlfn.XLOOKUP(C340&amp;A340, Inside5!B:B&amp;Inside5!I:I, Inside5!F:F), 0)</f>
        <v>3</v>
      </c>
      <c r="K340" cm="1">
        <f t="array" ref="K340">IFERROR(_xlfn.XLOOKUP(C340&amp;A340, Inside5!B:B&amp;Inside5!I:I, Inside5!G:G), 0)</f>
        <v>5</v>
      </c>
      <c r="L340" cm="1">
        <f t="array" ref="L340">IFERROR(_xlfn.XLOOKUP(C340&amp;A340, Inside5!B:B&amp;Inside5!I:I, Inside5!H:H), 0)</f>
        <v>3</v>
      </c>
      <c r="M340" cm="1">
        <f t="array" ref="M340">IFERROR(_xlfn.XLOOKUP(C340&amp;A340, TDrate!F:F&amp;TDrate!H:H, TDrate!B:B), "N/A")</f>
        <v>8.43E-2</v>
      </c>
      <c r="N340" cm="1">
        <f t="array" ref="N340">IFERROR(_xlfn.XLOOKUP(C340&amp;A340, TDrate!F:F&amp;TDrate!H:H, TDrate!D:D), "N/A")</f>
        <v>7.0199999999999999E-2</v>
      </c>
    </row>
    <row r="341" spans="1:14" x14ac:dyDescent="0.45">
      <c r="A341" s="8">
        <v>2023</v>
      </c>
      <c r="B341" s="9" t="s">
        <v>486</v>
      </c>
      <c r="C341" s="10" t="str">
        <f t="shared" si="10"/>
        <v>Raheem Mostert</v>
      </c>
      <c r="D341" s="10" t="str">
        <f t="shared" si="11"/>
        <v>MIA</v>
      </c>
      <c r="E341" cm="1">
        <f t="array" aca="1" ref="E341" ca="1">IFERROR(_xlfn.XLOOKUP(C341&amp;A341, Inside5!B:B&amp;Inside5!I:I, Inside5!C:C), 0)</f>
        <v>20</v>
      </c>
      <c r="F341" cm="1">
        <f t="array" aca="1" ref="F341" ca="1">IFERROR(_xlfn.XLOOKUP(C341&amp;A341, Inside5!B:B&amp;Inside5!I:I, Inside5!D:D), 0)</f>
        <v>12</v>
      </c>
      <c r="G341" cm="1">
        <f t="array" ref="G341">IFERROR(_xlfn.XLOOKUP(C341&amp;A341, Inside5!B:B&amp;Inside5!I:I, Inside5!E:E), 0)</f>
        <v>0.74099999999999999</v>
      </c>
      <c r="H341" cm="1">
        <f t="array" ref="H341">IFERROR(_xlfn.XLOOKUP(C341&amp;A341, TDrate!F:F&amp;TDrate!H:H, TDrate!C:C), "N/A")</f>
        <v>8.6099999999999996E-2</v>
      </c>
      <c r="I341" cm="1">
        <f t="array" ref="I341">IFERROR(_xlfn.XLOOKUP(C341&amp;A341, TDrate!F:F&amp;TDrate!H:H, TDrate!E:E), "N/A")</f>
        <v>6.8699999999999997E-2</v>
      </c>
      <c r="J341" cm="1">
        <f t="array" ref="J341">IFERROR(_xlfn.XLOOKUP(C341&amp;A341, Inside5!B:B&amp;Inside5!I:I, Inside5!F:F), 0)</f>
        <v>2</v>
      </c>
      <c r="K341" cm="1">
        <f t="array" aca="1" ref="K341" ca="1">IFERROR(_xlfn.XLOOKUP(C341&amp;A341, Inside5!B:B&amp;Inside5!I:I, Inside5!G:G), 0)</f>
        <v>2</v>
      </c>
      <c r="L341" cm="1">
        <f t="array" aca="1" ref="L341" ca="1">IFERROR(_xlfn.XLOOKUP(C341&amp;A341, Inside5!B:B&amp;Inside5!I:I, Inside5!H:H), 0)</f>
        <v>2</v>
      </c>
      <c r="M341" cm="1">
        <f t="array" ref="M341">IFERROR(_xlfn.XLOOKUP(C341&amp;A341, TDrate!F:F&amp;TDrate!H:H, TDrate!B:B), "N/A")</f>
        <v>9.3799999999999994E-2</v>
      </c>
      <c r="N341" cm="1">
        <f t="array" ref="N341">IFERROR(_xlfn.XLOOKUP(C341&amp;A341, TDrate!F:F&amp;TDrate!H:H, TDrate!D:D), "N/A")</f>
        <v>7.22E-2</v>
      </c>
    </row>
    <row r="342" spans="1:14" x14ac:dyDescent="0.45">
      <c r="A342" s="5">
        <v>2023</v>
      </c>
      <c r="B342" s="6" t="s">
        <v>307</v>
      </c>
      <c r="C342" s="7" t="str">
        <f t="shared" si="10"/>
        <v>Travis Etienne Jr.</v>
      </c>
      <c r="D342" s="7" t="str">
        <f t="shared" si="11"/>
        <v>JAC</v>
      </c>
      <c r="E342" cm="1">
        <f t="array" ref="E342">IFERROR(_xlfn.XLOOKUP(C342&amp;A342, Inside5!B:B&amp;Inside5!I:I, Inside5!C:C), 0)</f>
        <v>11</v>
      </c>
      <c r="F342" cm="1">
        <f t="array" ref="F342">IFERROR(_xlfn.XLOOKUP(C342&amp;A342, Inside5!B:B&amp;Inside5!I:I, Inside5!D:D), 0)</f>
        <v>5</v>
      </c>
      <c r="G342" cm="1">
        <f t="array" ref="G342">IFERROR(_xlfn.XLOOKUP(C342&amp;A342, Inside5!B:B&amp;Inside5!I:I, Inside5!E:E), 0)</f>
        <v>0.78600000000000003</v>
      </c>
      <c r="H342" cm="1">
        <f t="array" ref="H342">IFERROR(_xlfn.XLOOKUP(C342&amp;A342, TDrate!F:F&amp;TDrate!H:H, TDrate!C:C), "N/A")</f>
        <v>4.1200000000000001E-2</v>
      </c>
      <c r="I342" cm="1">
        <f t="array" ref="I342">IFERROR(_xlfn.XLOOKUP(C342&amp;A342, TDrate!F:F&amp;TDrate!H:H, TDrate!E:E), "N/A")</f>
        <v>3.3500000000000002E-2</v>
      </c>
      <c r="J342" cm="1">
        <f t="array" ref="J342">IFERROR(_xlfn.XLOOKUP(C342&amp;A342, Inside5!B:B&amp;Inside5!I:I, Inside5!F:F), 0)</f>
        <v>0</v>
      </c>
      <c r="K342" cm="1">
        <f t="array" aca="1" ref="K342" ca="1">IFERROR(_xlfn.XLOOKUP(C342&amp;A342, Inside5!B:B&amp;Inside5!I:I, Inside5!G:G), 0)</f>
        <v>0</v>
      </c>
      <c r="L342" cm="1">
        <f t="array" aca="1" ref="L342" ca="1">IFERROR(_xlfn.XLOOKUP(C342&amp;A342, Inside5!B:B&amp;Inside5!I:I, Inside5!H:H), 0)</f>
        <v>0</v>
      </c>
      <c r="M342" cm="1">
        <f t="array" ref="M342">IFERROR(_xlfn.XLOOKUP(C342&amp;A342, TDrate!F:F&amp;TDrate!H:H, TDrate!B:B), "N/A")</f>
        <v>1.37E-2</v>
      </c>
      <c r="N342" cm="1">
        <f t="array" ref="N342">IFERROR(_xlfn.XLOOKUP(C342&amp;A342, TDrate!F:F&amp;TDrate!H:H, TDrate!D:D), "N/A")</f>
        <v>1.15E-2</v>
      </c>
    </row>
    <row r="343" spans="1:14" x14ac:dyDescent="0.45">
      <c r="A343" s="8">
        <v>2023</v>
      </c>
      <c r="B343" s="9" t="s">
        <v>302</v>
      </c>
      <c r="C343" s="10" t="str">
        <f t="shared" si="10"/>
        <v>Kyren Williams</v>
      </c>
      <c r="D343" s="10" t="str">
        <f t="shared" si="11"/>
        <v>LAR</v>
      </c>
      <c r="E343" cm="1">
        <f t="array" aca="1" ref="E343" ca="1">IFERROR(_xlfn.XLOOKUP(C343&amp;A343, Inside5!B:B&amp;Inside5!I:I, Inside5!C:C), 0)</f>
        <v>17</v>
      </c>
      <c r="F343" cm="1">
        <f t="array" aca="1" ref="F343" ca="1">IFERROR(_xlfn.XLOOKUP(C343&amp;A343, Inside5!B:B&amp;Inside5!I:I, Inside5!D:D), 0)</f>
        <v>9</v>
      </c>
      <c r="G343" cm="1">
        <f t="array" ref="G343">IFERROR(_xlfn.XLOOKUP(C343&amp;A343, Inside5!B:B&amp;Inside5!I:I, Inside5!E:E), 0)</f>
        <v>0.63</v>
      </c>
      <c r="H343" cm="1">
        <f t="array" ref="H343">IFERROR(_xlfn.XLOOKUP(C343&amp;A343, TDrate!F:F&amp;TDrate!H:H, TDrate!C:C), "N/A")</f>
        <v>5.2600000000000001E-2</v>
      </c>
      <c r="I343" cm="1">
        <f t="array" ref="I343">IFERROR(_xlfn.XLOOKUP(C343&amp;A343, TDrate!F:F&amp;TDrate!H:H, TDrate!E:E), "N/A")</f>
        <v>4.8800000000000003E-2</v>
      </c>
      <c r="J343" cm="1">
        <f t="array" ref="J343">IFERROR(_xlfn.XLOOKUP(C343&amp;A343, Inside5!B:B&amp;Inside5!I:I, Inside5!F:F), 0)</f>
        <v>3</v>
      </c>
      <c r="K343" cm="1">
        <f t="array" aca="1" ref="K343" ca="1">IFERROR(_xlfn.XLOOKUP(C343&amp;A343, Inside5!B:B&amp;Inside5!I:I, Inside5!G:G), 0)</f>
        <v>3</v>
      </c>
      <c r="L343" cm="1">
        <f t="array" ref="L343">IFERROR(_xlfn.XLOOKUP(C343&amp;A343, Inside5!B:B&amp;Inside5!I:I, Inside5!H:H), 0)</f>
        <v>1</v>
      </c>
      <c r="M343" cm="1">
        <f t="array" ref="M343">IFERROR(_xlfn.XLOOKUP(C343&amp;A343, TDrate!F:F&amp;TDrate!H:H, TDrate!B:B), "N/A")</f>
        <v>6.25E-2</v>
      </c>
      <c r="N343" cm="1">
        <f t="array" ref="N343">IFERROR(_xlfn.XLOOKUP(C343&amp;A343, TDrate!F:F&amp;TDrate!H:H, TDrate!D:D), "N/A")</f>
        <v>6.0600000000000001E-2</v>
      </c>
    </row>
    <row r="344" spans="1:14" x14ac:dyDescent="0.45">
      <c r="A344" s="5">
        <v>2023</v>
      </c>
      <c r="B344" s="6" t="s">
        <v>545</v>
      </c>
      <c r="C344" s="7" t="str">
        <f t="shared" si="10"/>
        <v>Derrick Henry</v>
      </c>
      <c r="D344" s="7" t="str">
        <f t="shared" si="11"/>
        <v>TEN</v>
      </c>
      <c r="E344" cm="1">
        <f t="array" aca="1" ref="E344" ca="1">IFERROR(_xlfn.XLOOKUP(C344&amp;A344, Inside5!B:B&amp;Inside5!I:I, Inside5!C:C), 0)</f>
        <v>15</v>
      </c>
      <c r="F344" cm="1">
        <f t="array" aca="1" ref="F344" ca="1">IFERROR(_xlfn.XLOOKUP(C344&amp;A344, Inside5!B:B&amp;Inside5!I:I, Inside5!D:D), 0)</f>
        <v>7</v>
      </c>
      <c r="G344" cm="1">
        <f t="array" ref="G344">IFERROR(_xlfn.XLOOKUP(C344&amp;A344, Inside5!B:B&amp;Inside5!I:I, Inside5!E:E), 0)</f>
        <v>0.88200000000000001</v>
      </c>
      <c r="H344" cm="1">
        <f t="array" ref="H344">IFERROR(_xlfn.XLOOKUP(C344&amp;A344, TDrate!F:F&amp;TDrate!H:H, TDrate!C:C), "N/A")</f>
        <v>4.2900000000000001E-2</v>
      </c>
      <c r="I344" cm="1">
        <f t="array" ref="I344">IFERROR(_xlfn.XLOOKUP(C344&amp;A344, TDrate!F:F&amp;TDrate!H:H, TDrate!E:E), "N/A")</f>
        <v>3.6999999999999998E-2</v>
      </c>
      <c r="J344" cm="1">
        <f t="array" ref="J344">IFERROR(_xlfn.XLOOKUP(C344&amp;A344, Inside5!B:B&amp;Inside5!I:I, Inside5!F:F), 0)</f>
        <v>0</v>
      </c>
      <c r="K344" cm="1">
        <f t="array" aca="1" ref="K344" ca="1">IFERROR(_xlfn.XLOOKUP(C344&amp;A344, Inside5!B:B&amp;Inside5!I:I, Inside5!G:G), 0)</f>
        <v>0</v>
      </c>
      <c r="L344" cm="1">
        <f t="array" ref="L344">IFERROR(_xlfn.XLOOKUP(C344&amp;A344, Inside5!B:B&amp;Inside5!I:I, Inside5!H:H), 0)</f>
        <v>0</v>
      </c>
      <c r="M344" cm="1">
        <f t="array" ref="M344">IFERROR(_xlfn.XLOOKUP(C344&amp;A344, TDrate!F:F&amp;TDrate!H:H, TDrate!B:B), "N/A")</f>
        <v>0</v>
      </c>
      <c r="N344" cm="1">
        <f t="array" ref="N344">IFERROR(_xlfn.XLOOKUP(C344&amp;A344, TDrate!F:F&amp;TDrate!H:H, TDrate!D:D), "N/A")</f>
        <v>1.01E-2</v>
      </c>
    </row>
    <row r="345" spans="1:14" x14ac:dyDescent="0.45">
      <c r="A345" s="8">
        <v>2023</v>
      </c>
      <c r="B345" s="9" t="s">
        <v>546</v>
      </c>
      <c r="C345" s="10" t="str">
        <f t="shared" si="10"/>
        <v>Joe Mixon</v>
      </c>
      <c r="D345" s="10" t="str">
        <f t="shared" si="11"/>
        <v>CIN</v>
      </c>
      <c r="E345" cm="1">
        <f t="array" aca="1" ref="E345" ca="1">IFERROR(_xlfn.XLOOKUP(C345&amp;A345, Inside5!B:B&amp;Inside5!I:I, Inside5!C:C), 0)</f>
        <v>20</v>
      </c>
      <c r="F345" cm="1">
        <f t="array" aca="1" ref="F345" ca="1">IFERROR(_xlfn.XLOOKUP(C345&amp;A345, Inside5!B:B&amp;Inside5!I:I, Inside5!D:D), 0)</f>
        <v>6</v>
      </c>
      <c r="G345" cm="1">
        <f t="array" ref="G345">IFERROR(_xlfn.XLOOKUP(C345&amp;A345, Inside5!B:B&amp;Inside5!I:I, Inside5!E:E), 0)</f>
        <v>1</v>
      </c>
      <c r="H345" cm="1">
        <f t="array" ref="H345">IFERROR(_xlfn.XLOOKUP(C345&amp;A345, TDrate!F:F&amp;TDrate!H:H, TDrate!C:C), "N/A")</f>
        <v>3.5000000000000003E-2</v>
      </c>
      <c r="I345" cm="1">
        <f t="array" ref="I345">IFERROR(_xlfn.XLOOKUP(C345&amp;A345, TDrate!F:F&amp;TDrate!H:H, TDrate!E:E), "N/A")</f>
        <v>4.07E-2</v>
      </c>
      <c r="J345" cm="1">
        <f t="array" ref="J345">IFERROR(_xlfn.XLOOKUP(C345&amp;A345, Inside5!B:B&amp;Inside5!I:I, Inside5!F:F), 0)</f>
        <v>2</v>
      </c>
      <c r="K345" cm="1">
        <f t="array" ref="K345">IFERROR(_xlfn.XLOOKUP(C345&amp;A345, Inside5!B:B&amp;Inside5!I:I, Inside5!G:G), 0)</f>
        <v>3</v>
      </c>
      <c r="L345" cm="1">
        <f t="array" ref="L345">IFERROR(_xlfn.XLOOKUP(C345&amp;A345, Inside5!B:B&amp;Inside5!I:I, Inside5!H:H), 0)</f>
        <v>1</v>
      </c>
      <c r="M345" cm="1">
        <f t="array" ref="M345">IFERROR(_xlfn.XLOOKUP(C345&amp;A345, TDrate!F:F&amp;TDrate!H:H, TDrate!B:B), "N/A")</f>
        <v>4.6899999999999997E-2</v>
      </c>
      <c r="N345" cm="1">
        <f t="array" ref="N345">IFERROR(_xlfn.XLOOKUP(C345&amp;A345, TDrate!F:F&amp;TDrate!H:H, TDrate!D:D), "N/A")</f>
        <v>4.7E-2</v>
      </c>
    </row>
    <row r="346" spans="1:14" x14ac:dyDescent="0.45">
      <c r="A346" s="5">
        <v>2023</v>
      </c>
      <c r="B346" s="6" t="s">
        <v>311</v>
      </c>
      <c r="C346" s="7" t="str">
        <f t="shared" si="10"/>
        <v>Breece Hall</v>
      </c>
      <c r="D346" s="7" t="str">
        <f t="shared" si="11"/>
        <v>NYJ</v>
      </c>
      <c r="E346" cm="1">
        <f t="array" aca="1" ref="E346" ca="1">IFERROR(_xlfn.XLOOKUP(C346&amp;A346, Inside5!B:B&amp;Inside5!I:I, Inside5!C:C), 0)</f>
        <v>1</v>
      </c>
      <c r="F346" cm="1">
        <f t="array" aca="1" ref="F346" ca="1">IFERROR(_xlfn.XLOOKUP(C346&amp;A346, Inside5!B:B&amp;Inside5!I:I, Inside5!D:D), 0)</f>
        <v>1</v>
      </c>
      <c r="G346" cm="1">
        <f t="array" ref="G346">IFERROR(_xlfn.XLOOKUP(C346&amp;A346, Inside5!B:B&amp;Inside5!I:I, Inside5!E:E), 0)</f>
        <v>0.33300000000000002</v>
      </c>
      <c r="H346" cm="1">
        <f t="array" ref="H346">IFERROR(_xlfn.XLOOKUP(C346&amp;A346, TDrate!F:F&amp;TDrate!H:H, TDrate!C:C), "N/A")</f>
        <v>2.24E-2</v>
      </c>
      <c r="I346" cm="1">
        <f t="array" ref="I346">IFERROR(_xlfn.XLOOKUP(C346&amp;A346, TDrate!F:F&amp;TDrate!H:H, TDrate!E:E), "N/A")</f>
        <v>1.7299999999999999E-2</v>
      </c>
      <c r="J346" cm="1">
        <f t="array" ref="J346">IFERROR(_xlfn.XLOOKUP(C346&amp;A346, Inside5!B:B&amp;Inside5!I:I, Inside5!F:F), 0)</f>
        <v>1</v>
      </c>
      <c r="K346" cm="1">
        <f t="array" aca="1" ref="K346" ca="1">IFERROR(_xlfn.XLOOKUP(C346&amp;A346, Inside5!B:B&amp;Inside5!I:I, Inside5!G:G), 0)</f>
        <v>1</v>
      </c>
      <c r="L346" cm="1">
        <f t="array" ref="L346">IFERROR(_xlfn.XLOOKUP(C346&amp;A346, Inside5!B:B&amp;Inside5!I:I, Inside5!H:H), 0)</f>
        <v>1</v>
      </c>
      <c r="M346" cm="1">
        <f t="array" ref="M346">IFERROR(_xlfn.XLOOKUP(C346&amp;A346, TDrate!F:F&amp;TDrate!H:H, TDrate!B:B), "N/A")</f>
        <v>4.2099999999999999E-2</v>
      </c>
      <c r="N346" cm="1">
        <f t="array" ref="N346">IFERROR(_xlfn.XLOOKUP(C346&amp;A346, TDrate!F:F&amp;TDrate!H:H, TDrate!D:D), "N/A")</f>
        <v>3.04E-2</v>
      </c>
    </row>
    <row r="347" spans="1:14" x14ac:dyDescent="0.45">
      <c r="A347" s="8">
        <v>2023</v>
      </c>
      <c r="B347" s="9" t="s">
        <v>332</v>
      </c>
      <c r="C347" s="10" t="str">
        <f t="shared" si="10"/>
        <v>Rachaad White</v>
      </c>
      <c r="D347" s="10" t="str">
        <f t="shared" si="11"/>
        <v>TB</v>
      </c>
      <c r="E347" cm="1">
        <f t="array" aca="1" ref="E347" ca="1">IFERROR(_xlfn.XLOOKUP(C347&amp;A347, Inside5!B:B&amp;Inside5!I:I, Inside5!C:C), 0)</f>
        <v>11</v>
      </c>
      <c r="F347" cm="1">
        <f t="array" aca="1" ref="F347" ca="1">IFERROR(_xlfn.XLOOKUP(C347&amp;A347, Inside5!B:B&amp;Inside5!I:I, Inside5!D:D), 0)</f>
        <v>6</v>
      </c>
      <c r="G347" cm="1">
        <f t="array" ref="G347">IFERROR(_xlfn.XLOOKUP(C347&amp;A347, Inside5!B:B&amp;Inside5!I:I, Inside5!E:E), 0)</f>
        <v>0.91700000000000004</v>
      </c>
      <c r="H347" cm="1">
        <f t="array" ref="H347">IFERROR(_xlfn.XLOOKUP(C347&amp;A347, TDrate!F:F&amp;TDrate!H:H, TDrate!C:C), "N/A")</f>
        <v>2.2100000000000002E-2</v>
      </c>
      <c r="I347" cm="1">
        <f t="array" ref="I347">IFERROR(_xlfn.XLOOKUP(C347&amp;A347, TDrate!F:F&amp;TDrate!H:H, TDrate!E:E), "N/A")</f>
        <v>2.3699999999999999E-2</v>
      </c>
      <c r="J347" cm="1">
        <f t="array" ref="J347">IFERROR(_xlfn.XLOOKUP(C347&amp;A347, Inside5!B:B&amp;Inside5!I:I, Inside5!F:F), 0)</f>
        <v>0</v>
      </c>
      <c r="K347" cm="1">
        <f t="array" aca="1" ref="K347" ca="1">IFERROR(_xlfn.XLOOKUP(C347&amp;A347, Inside5!B:B&amp;Inside5!I:I, Inside5!G:G), 0)</f>
        <v>0</v>
      </c>
      <c r="L347" cm="1">
        <f t="array" ref="L347">IFERROR(_xlfn.XLOOKUP(C347&amp;A347, Inside5!B:B&amp;Inside5!I:I, Inside5!H:H), 0)</f>
        <v>0</v>
      </c>
      <c r="M347" cm="1">
        <f t="array" ref="M347">IFERROR(_xlfn.XLOOKUP(C347&amp;A347, TDrate!F:F&amp;TDrate!H:H, TDrate!B:B), "N/A")</f>
        <v>4.2900000000000001E-2</v>
      </c>
      <c r="N347" cm="1">
        <f t="array" ref="N347">IFERROR(_xlfn.XLOOKUP(C347&amp;A347, TDrate!F:F&amp;TDrate!H:H, TDrate!D:D), "N/A")</f>
        <v>3.27E-2</v>
      </c>
    </row>
    <row r="348" spans="1:14" x14ac:dyDescent="0.45">
      <c r="A348" s="5">
        <v>2023</v>
      </c>
      <c r="B348" s="6" t="s">
        <v>326</v>
      </c>
      <c r="C348" s="7" t="str">
        <f t="shared" si="10"/>
        <v>David Montgomery</v>
      </c>
      <c r="D348" s="7" t="str">
        <f t="shared" si="11"/>
        <v>DET</v>
      </c>
      <c r="E348" cm="1">
        <f t="array" aca="1" ref="E348" ca="1">IFERROR(_xlfn.XLOOKUP(C348&amp;A348, Inside5!B:B&amp;Inside5!I:I, Inside5!C:C), 0)</f>
        <v>17</v>
      </c>
      <c r="F348" cm="1">
        <f t="array" aca="1" ref="F348" ca="1">IFERROR(_xlfn.XLOOKUP(C348&amp;A348, Inside5!B:B&amp;Inside5!I:I, Inside5!D:D), 0)</f>
        <v>8</v>
      </c>
      <c r="G348" cm="1">
        <f t="array" ref="G348">IFERROR(_xlfn.XLOOKUP(C348&amp;A348, Inside5!B:B&amp;Inside5!I:I, Inside5!E:E), 0)</f>
        <v>0.54800000000000004</v>
      </c>
      <c r="H348" cm="1">
        <f t="array" ref="H348">IFERROR(_xlfn.XLOOKUP(C348&amp;A348, TDrate!F:F&amp;TDrate!H:H, TDrate!C:C), "N/A")</f>
        <v>5.9400000000000001E-2</v>
      </c>
      <c r="I348" cm="1">
        <f t="array" ref="I348">IFERROR(_xlfn.XLOOKUP(C348&amp;A348, TDrate!F:F&amp;TDrate!H:H, TDrate!E:E), "N/A")</f>
        <v>5.3800000000000001E-2</v>
      </c>
      <c r="J348" cm="1">
        <f t="array" ref="J348">IFERROR(_xlfn.XLOOKUP(C348&amp;A348, Inside5!B:B&amp;Inside5!I:I, Inside5!F:F), 0)</f>
        <v>0</v>
      </c>
      <c r="K348" cm="1">
        <f t="array" ref="K348">IFERROR(_xlfn.XLOOKUP(C348&amp;A348, Inside5!B:B&amp;Inside5!I:I, Inside5!G:G), 0)</f>
        <v>0</v>
      </c>
      <c r="L348" cm="1">
        <f t="array" ref="L348">IFERROR(_xlfn.XLOOKUP(C348&amp;A348, Inside5!B:B&amp;Inside5!I:I, Inside5!H:H), 0)</f>
        <v>0</v>
      </c>
      <c r="M348" cm="1">
        <f t="array" ref="M348">IFERROR(_xlfn.XLOOKUP(C348&amp;A348, TDrate!F:F&amp;TDrate!H:H, TDrate!B:B), "N/A")</f>
        <v>0</v>
      </c>
      <c r="N348" cm="1">
        <f t="array" ref="N348">IFERROR(_xlfn.XLOOKUP(C348&amp;A348, TDrate!F:F&amp;TDrate!H:H, TDrate!D:D), "N/A")</f>
        <v>4.4999999999999997E-3</v>
      </c>
    </row>
    <row r="349" spans="1:14" x14ac:dyDescent="0.45">
      <c r="A349" s="8">
        <v>2023</v>
      </c>
      <c r="B349" s="9" t="s">
        <v>303</v>
      </c>
      <c r="C349" s="10" t="str">
        <f t="shared" si="10"/>
        <v>Jahmyr Gibbs</v>
      </c>
      <c r="D349" s="10" t="str">
        <f t="shared" si="11"/>
        <v>DET</v>
      </c>
      <c r="E349" cm="1">
        <f t="array" aca="1" ref="E349" ca="1">IFERROR(_xlfn.XLOOKUP(C349&amp;A349, Inside5!B:B&amp;Inside5!I:I, Inside5!C:C), 0)</f>
        <v>10</v>
      </c>
      <c r="F349" cm="1">
        <f t="array" aca="1" ref="F349" ca="1">IFERROR(_xlfn.XLOOKUP(C349&amp;A349, Inside5!B:B&amp;Inside5!I:I, Inside5!D:D), 0)</f>
        <v>4</v>
      </c>
      <c r="G349" cm="1">
        <f t="array" ref="G349">IFERROR(_xlfn.XLOOKUP(C349&amp;A349, Inside5!B:B&amp;Inside5!I:I, Inside5!E:E), 0)</f>
        <v>0.32300000000000001</v>
      </c>
      <c r="H349" cm="1">
        <f t="array" ref="H349">IFERROR(_xlfn.XLOOKUP(C349&amp;A349, TDrate!F:F&amp;TDrate!H:H, TDrate!C:C), "N/A")</f>
        <v>5.4899999999999997E-2</v>
      </c>
      <c r="I349" cm="1">
        <f t="array" ref="I349">IFERROR(_xlfn.XLOOKUP(C349&amp;A349, TDrate!F:F&amp;TDrate!H:H, TDrate!E:E), "N/A")</f>
        <v>4.6699999999999998E-2</v>
      </c>
      <c r="J349" cm="1">
        <f t="array" ref="J349">IFERROR(_xlfn.XLOOKUP(C349&amp;A349, Inside5!B:B&amp;Inside5!I:I, Inside5!F:F), 0)</f>
        <v>0</v>
      </c>
      <c r="K349" cm="1">
        <f t="array" aca="1" ref="K349" ca="1">IFERROR(_xlfn.XLOOKUP(C349&amp;A349, Inside5!B:B&amp;Inside5!I:I, Inside5!G:G), 0)</f>
        <v>1</v>
      </c>
      <c r="L349" cm="1">
        <f t="array" ref="L349">IFERROR(_xlfn.XLOOKUP(C349&amp;A349, Inside5!B:B&amp;Inside5!I:I, Inside5!H:H), 0)</f>
        <v>0</v>
      </c>
      <c r="M349" cm="1">
        <f t="array" ref="M349">IFERROR(_xlfn.XLOOKUP(C349&amp;A349, TDrate!F:F&amp;TDrate!H:H, TDrate!B:B), "N/A")</f>
        <v>1.41E-2</v>
      </c>
      <c r="N349" cm="1">
        <f t="array" ref="N349">IFERROR(_xlfn.XLOOKUP(C349&amp;A349, TDrate!F:F&amp;TDrate!H:H, TDrate!D:D), "N/A")</f>
        <v>2.3E-2</v>
      </c>
    </row>
    <row r="350" spans="1:14" x14ac:dyDescent="0.45">
      <c r="A350" s="5">
        <v>2023</v>
      </c>
      <c r="B350" s="6" t="s">
        <v>297</v>
      </c>
      <c r="C350" s="7" t="str">
        <f t="shared" si="10"/>
        <v>James Cook III</v>
      </c>
      <c r="D350" s="7" t="str">
        <f t="shared" si="11"/>
        <v>BUF</v>
      </c>
      <c r="E350" cm="1">
        <f t="array" aca="1" ref="E350" ca="1">IFERROR(_xlfn.XLOOKUP(C350&amp;A350, Inside5!B:B&amp;Inside5!I:I, Inside5!C:C), 0)</f>
        <v>4</v>
      </c>
      <c r="F350" cm="1">
        <f t="array" aca="1" ref="F350" ca="1">IFERROR(_xlfn.XLOOKUP(C350&amp;A350, Inside5!B:B&amp;Inside5!I:I, Inside5!D:D), 0)</f>
        <v>1</v>
      </c>
      <c r="G350" cm="1">
        <f t="array" ref="G350">IFERROR(_xlfn.XLOOKUP(C350&amp;A350, Inside5!B:B&amp;Inside5!I:I, Inside5!E:E), 0)</f>
        <v>0.2</v>
      </c>
      <c r="H350" cm="1">
        <f t="array" ref="H350">IFERROR(_xlfn.XLOOKUP(C350&amp;A350, TDrate!F:F&amp;TDrate!H:H, TDrate!C:C), "N/A")</f>
        <v>8.3999999999999995E-3</v>
      </c>
      <c r="I350" cm="1">
        <f t="array" ref="I350">IFERROR(_xlfn.XLOOKUP(C350&amp;A350, TDrate!F:F&amp;TDrate!H:H, TDrate!E:E), "N/A")</f>
        <v>1.4500000000000001E-2</v>
      </c>
      <c r="J350" cm="1">
        <f t="array" ref="J350">IFERROR(_xlfn.XLOOKUP(C350&amp;A350, Inside5!B:B&amp;Inside5!I:I, Inside5!F:F), 0)</f>
        <v>1</v>
      </c>
      <c r="K350" cm="1">
        <f t="array" ref="K350">IFERROR(_xlfn.XLOOKUP(C350&amp;A350, Inside5!B:B&amp;Inside5!I:I, Inside5!G:G), 0)</f>
        <v>2</v>
      </c>
      <c r="L350" cm="1">
        <f t="array" ref="L350">IFERROR(_xlfn.XLOOKUP(C350&amp;A350, Inside5!B:B&amp;Inside5!I:I, Inside5!H:H), 0)</f>
        <v>1</v>
      </c>
      <c r="M350" cm="1">
        <f t="array" ref="M350">IFERROR(_xlfn.XLOOKUP(C350&amp;A350, TDrate!F:F&amp;TDrate!H:H, TDrate!B:B), "N/A")</f>
        <v>7.4099999999999999E-2</v>
      </c>
      <c r="N350" cm="1">
        <f t="array" ref="N350">IFERROR(_xlfn.XLOOKUP(C350&amp;A350, TDrate!F:F&amp;TDrate!H:H, TDrate!D:D), "N/A")</f>
        <v>5.5199999999999999E-2</v>
      </c>
    </row>
    <row r="351" spans="1:14" x14ac:dyDescent="0.45">
      <c r="A351" s="8">
        <v>2023</v>
      </c>
      <c r="B351" s="9" t="s">
        <v>300</v>
      </c>
      <c r="C351" s="10" t="str">
        <f t="shared" si="10"/>
        <v>Bijan Robinson</v>
      </c>
      <c r="D351" s="10" t="str">
        <f t="shared" si="11"/>
        <v>ATL</v>
      </c>
      <c r="E351" cm="1">
        <f t="array" ref="E351">IFERROR(_xlfn.XLOOKUP(C351&amp;A351, Inside5!B:B&amp;Inside5!I:I, Inside5!C:C), 0)</f>
        <v>3</v>
      </c>
      <c r="F351" cm="1">
        <f t="array" aca="1" ref="F351" ca="1">IFERROR(_xlfn.XLOOKUP(C351&amp;A351, Inside5!B:B&amp;Inside5!I:I, Inside5!D:D), 0)</f>
        <v>2</v>
      </c>
      <c r="G351" cm="1">
        <f t="array" ref="G351">IFERROR(_xlfn.XLOOKUP(C351&amp;A351, Inside5!B:B&amp;Inside5!I:I, Inside5!E:E), 0)</f>
        <v>0.3</v>
      </c>
      <c r="H351" cm="1">
        <f t="array" ref="H351">IFERROR(_xlfn.XLOOKUP(C351&amp;A351, TDrate!F:F&amp;TDrate!H:H, TDrate!C:C), "N/A")</f>
        <v>1.8700000000000001E-2</v>
      </c>
      <c r="I351" cm="1">
        <f t="array" ref="I351">IFERROR(_xlfn.XLOOKUP(C351&amp;A351, TDrate!F:F&amp;TDrate!H:H, TDrate!E:E), "N/A")</f>
        <v>1.7399999999999999E-2</v>
      </c>
      <c r="J351" cm="1">
        <f t="array" ref="J351">IFERROR(_xlfn.XLOOKUP(C351&amp;A351, Inside5!B:B&amp;Inside5!I:I, Inside5!F:F), 0)</f>
        <v>1</v>
      </c>
      <c r="K351" cm="1">
        <f t="array" ref="K351">IFERROR(_xlfn.XLOOKUP(C351&amp;A351, Inside5!B:B&amp;Inside5!I:I, Inside5!G:G), 0)</f>
        <v>3</v>
      </c>
      <c r="L351" cm="1">
        <f t="array" ref="L351">IFERROR(_xlfn.XLOOKUP(C351&amp;A351, Inside5!B:B&amp;Inside5!I:I, Inside5!H:H), 0)</f>
        <v>0</v>
      </c>
      <c r="M351" cm="1">
        <f t="array" ref="M351">IFERROR(_xlfn.XLOOKUP(C351&amp;A351, TDrate!F:F&amp;TDrate!H:H, TDrate!B:B), "N/A")</f>
        <v>4.65E-2</v>
      </c>
      <c r="N351" cm="1">
        <f t="array" ref="N351">IFERROR(_xlfn.XLOOKUP(C351&amp;A351, TDrate!F:F&amp;TDrate!H:H, TDrate!D:D), "N/A")</f>
        <v>4.19E-2</v>
      </c>
    </row>
    <row r="352" spans="1:14" x14ac:dyDescent="0.45">
      <c r="A352" s="5">
        <v>2023</v>
      </c>
      <c r="B352" s="6" t="s">
        <v>547</v>
      </c>
      <c r="C352" s="7" t="str">
        <f t="shared" si="10"/>
        <v>Saquon Barkley</v>
      </c>
      <c r="D352" s="7" t="str">
        <f t="shared" si="11"/>
        <v>NYG</v>
      </c>
      <c r="E352" cm="1">
        <f t="array" ref="E352">IFERROR(_xlfn.XLOOKUP(C352&amp;A352, Inside5!B:B&amp;Inside5!I:I, Inside5!C:C), 0)</f>
        <v>6</v>
      </c>
      <c r="F352" cm="1">
        <f t="array" ref="F352">IFERROR(_xlfn.XLOOKUP(C352&amp;A352, Inside5!B:B&amp;Inside5!I:I, Inside5!D:D), 0)</f>
        <v>3</v>
      </c>
      <c r="G352" cm="1">
        <f t="array" ref="G352">IFERROR(_xlfn.XLOOKUP(C352&amp;A352, Inside5!B:B&amp;Inside5!I:I, Inside5!E:E), 0)</f>
        <v>1</v>
      </c>
      <c r="H352" cm="1">
        <f t="array" ref="H352">IFERROR(_xlfn.XLOOKUP(C352&amp;A352, TDrate!F:F&amp;TDrate!H:H, TDrate!C:C), "N/A")</f>
        <v>2.4299999999999999E-2</v>
      </c>
      <c r="I352" cm="1">
        <f t="array" ref="I352">IFERROR(_xlfn.XLOOKUP(C352&amp;A352, TDrate!F:F&amp;TDrate!H:H, TDrate!E:E), "N/A")</f>
        <v>2.4E-2</v>
      </c>
      <c r="J352" cm="1">
        <f t="array" ref="J352">IFERROR(_xlfn.XLOOKUP(C352&amp;A352, Inside5!B:B&amp;Inside5!I:I, Inside5!F:F), 0)</f>
        <v>1</v>
      </c>
      <c r="K352" cm="1">
        <f t="array" ref="K352">IFERROR(_xlfn.XLOOKUP(C352&amp;A352, Inside5!B:B&amp;Inside5!I:I, Inside5!G:G), 0)</f>
        <v>1</v>
      </c>
      <c r="L352" cm="1">
        <f t="array" ref="L352">IFERROR(_xlfn.XLOOKUP(C352&amp;A352, Inside5!B:B&amp;Inside5!I:I, Inside5!H:H), 0)</f>
        <v>1</v>
      </c>
      <c r="M352" cm="1">
        <f t="array" ref="M352">IFERROR(_xlfn.XLOOKUP(C352&amp;A352, TDrate!F:F&amp;TDrate!H:H, TDrate!B:B), "N/A")</f>
        <v>6.6699999999999995E-2</v>
      </c>
      <c r="N352" cm="1">
        <f t="array" ref="N352">IFERROR(_xlfn.XLOOKUP(C352&amp;A352, TDrate!F:F&amp;TDrate!H:H, TDrate!D:D), "N/A")</f>
        <v>4.65E-2</v>
      </c>
    </row>
    <row r="353" spans="1:14" x14ac:dyDescent="0.45">
      <c r="A353" s="8">
        <v>2023</v>
      </c>
      <c r="B353" s="9" t="s">
        <v>548</v>
      </c>
      <c r="C353" s="10" t="str">
        <f t="shared" si="10"/>
        <v>Gus Edwards</v>
      </c>
      <c r="D353" s="10" t="str">
        <f t="shared" si="11"/>
        <v>BAL</v>
      </c>
      <c r="E353" cm="1">
        <f t="array" aca="1" ref="E353" ca="1">IFERROR(_xlfn.XLOOKUP(C353&amp;A353, Inside5!B:B&amp;Inside5!I:I, Inside5!C:C), 0)</f>
        <v>23</v>
      </c>
      <c r="F353" cm="1">
        <f t="array" aca="1" ref="F353" ca="1">IFERROR(_xlfn.XLOOKUP(C353&amp;A353, Inside5!B:B&amp;Inside5!I:I, Inside5!D:D), 0)</f>
        <v>12</v>
      </c>
      <c r="G353" cm="1">
        <f t="array" ref="G353">IFERROR(_xlfn.XLOOKUP(C353&amp;A353, Inside5!B:B&amp;Inside5!I:I, Inside5!E:E), 0)</f>
        <v>0.82099999999999995</v>
      </c>
      <c r="H353" cm="1">
        <f t="array" ref="H353">IFERROR(_xlfn.XLOOKUP(C353&amp;A353, TDrate!F:F&amp;TDrate!H:H, TDrate!C:C), "N/A")</f>
        <v>6.5699999999999995E-2</v>
      </c>
      <c r="I353" cm="1">
        <f t="array" ref="I353">IFERROR(_xlfn.XLOOKUP(C353&amp;A353, TDrate!F:F&amp;TDrate!H:H, TDrate!E:E), "N/A")</f>
        <v>6.08E-2</v>
      </c>
      <c r="J353" cm="1">
        <f t="array" ref="J353">IFERROR(_xlfn.XLOOKUP(C353&amp;A353, Inside5!B:B&amp;Inside5!I:I, Inside5!F:F), 0)</f>
        <v>0</v>
      </c>
      <c r="K353" cm="1">
        <f t="array" aca="1" ref="K353" ca="1">IFERROR(_xlfn.XLOOKUP(C353&amp;A353, Inside5!B:B&amp;Inside5!I:I, Inside5!G:G), 0)</f>
        <v>0</v>
      </c>
      <c r="L353" cm="1">
        <f t="array" ref="L353">IFERROR(_xlfn.XLOOKUP(C353&amp;A353, Inside5!B:B&amp;Inside5!I:I, Inside5!H:H), 0)</f>
        <v>0</v>
      </c>
      <c r="M353" cm="1">
        <f t="array" ref="M353">IFERROR(_xlfn.XLOOKUP(C353&amp;A353, TDrate!F:F&amp;TDrate!H:H, TDrate!B:B), "N/A")</f>
        <v>0</v>
      </c>
      <c r="N353" cm="1">
        <f t="array" ref="N353">IFERROR(_xlfn.XLOOKUP(C353&amp;A353, TDrate!F:F&amp;TDrate!H:H, TDrate!D:D), "N/A")</f>
        <v>2.7000000000000001E-3</v>
      </c>
    </row>
    <row r="354" spans="1:14" x14ac:dyDescent="0.45">
      <c r="A354" s="5">
        <v>2023</v>
      </c>
      <c r="B354" s="6" t="s">
        <v>379</v>
      </c>
      <c r="C354" s="7" t="str">
        <f t="shared" si="10"/>
        <v>James Conner</v>
      </c>
      <c r="D354" s="7" t="str">
        <f t="shared" si="11"/>
        <v>ARI</v>
      </c>
      <c r="E354" cm="1">
        <f t="array" aca="1" ref="E354" ca="1">IFERROR(_xlfn.XLOOKUP(C354&amp;A354, Inside5!B:B&amp;Inside5!I:I, Inside5!C:C), 0)</f>
        <v>11</v>
      </c>
      <c r="F354" cm="1">
        <f t="array" aca="1" ref="F354" ca="1">IFERROR(_xlfn.XLOOKUP(C354&amp;A354, Inside5!B:B&amp;Inside5!I:I, Inside5!D:D), 0)</f>
        <v>5</v>
      </c>
      <c r="G354" cm="1">
        <f t="array" ref="G354">IFERROR(_xlfn.XLOOKUP(C354&amp;A354, Inside5!B:B&amp;Inside5!I:I, Inside5!E:E), 0)</f>
        <v>0.73299999999999998</v>
      </c>
      <c r="H354" cm="1">
        <f t="array" ref="H354">IFERROR(_xlfn.XLOOKUP(C354&amp;A354, TDrate!F:F&amp;TDrate!H:H, TDrate!C:C), "N/A")</f>
        <v>3.3700000000000001E-2</v>
      </c>
      <c r="I354" cm="1">
        <f t="array" ref="I354">IFERROR(_xlfn.XLOOKUP(C354&amp;A354, TDrate!F:F&amp;TDrate!H:H, TDrate!E:E), "N/A")</f>
        <v>3.3500000000000002E-2</v>
      </c>
      <c r="J354" cm="1">
        <f t="array" ref="J354">IFERROR(_xlfn.XLOOKUP(C354&amp;A354, Inside5!B:B&amp;Inside5!I:I, Inside5!F:F), 0)</f>
        <v>1</v>
      </c>
      <c r="K354" cm="1">
        <f t="array" aca="1" ref="K354" ca="1">IFERROR(_xlfn.XLOOKUP(C354&amp;A354, Inside5!B:B&amp;Inside5!I:I, Inside5!G:G), 0)</f>
        <v>1</v>
      </c>
      <c r="L354" cm="1">
        <f t="array" ref="L354">IFERROR(_xlfn.XLOOKUP(C354&amp;A354, Inside5!B:B&amp;Inside5!I:I, Inside5!H:H), 0)</f>
        <v>1</v>
      </c>
      <c r="M354" cm="1">
        <f t="array" ref="M354">IFERROR(_xlfn.XLOOKUP(C354&amp;A354, TDrate!F:F&amp;TDrate!H:H, TDrate!B:B), "N/A")</f>
        <v>6.0600000000000001E-2</v>
      </c>
      <c r="N354" cm="1">
        <f t="array" ref="N354">IFERROR(_xlfn.XLOOKUP(C354&amp;A354, TDrate!F:F&amp;TDrate!H:H, TDrate!D:D), "N/A")</f>
        <v>4.48E-2</v>
      </c>
    </row>
    <row r="355" spans="1:14" x14ac:dyDescent="0.45">
      <c r="A355" s="8">
        <v>2023</v>
      </c>
      <c r="B355" s="9" t="s">
        <v>312</v>
      </c>
      <c r="C355" s="10" t="str">
        <f t="shared" si="10"/>
        <v>Kenneth Walker III</v>
      </c>
      <c r="D355" s="10" t="str">
        <f t="shared" si="11"/>
        <v>SEA</v>
      </c>
      <c r="E355" cm="1">
        <f t="array" ref="E355">IFERROR(_xlfn.XLOOKUP(C355&amp;A355, Inside5!B:B&amp;Inside5!I:I, Inside5!C:C), 0)</f>
        <v>15</v>
      </c>
      <c r="F355" cm="1">
        <f t="array" ref="F355">IFERROR(_xlfn.XLOOKUP(C355&amp;A355, Inside5!B:B&amp;Inside5!I:I, Inside5!D:D), 0)</f>
        <v>5</v>
      </c>
      <c r="G355" cm="1">
        <f t="array" ref="G355">IFERROR(_xlfn.XLOOKUP(C355&amp;A355, Inside5!B:B&amp;Inside5!I:I, Inside5!E:E), 0)</f>
        <v>0.71399999999999997</v>
      </c>
      <c r="H355" cm="1">
        <f t="array" ref="H355">IFERROR(_xlfn.XLOOKUP(C355&amp;A355, TDrate!F:F&amp;TDrate!H:H, TDrate!C:C), "N/A")</f>
        <v>3.6499999999999998E-2</v>
      </c>
      <c r="I355" cm="1">
        <f t="array" ref="I355">IFERROR(_xlfn.XLOOKUP(C355&amp;A355, TDrate!F:F&amp;TDrate!H:H, TDrate!E:E), "N/A")</f>
        <v>3.6799999999999999E-2</v>
      </c>
      <c r="J355" cm="1">
        <f t="array" ref="J355">IFERROR(_xlfn.XLOOKUP(C355&amp;A355, Inside5!B:B&amp;Inside5!I:I, Inside5!F:F), 0)</f>
        <v>0</v>
      </c>
      <c r="K355" cm="1">
        <f t="array" ref="K355">IFERROR(_xlfn.XLOOKUP(C355&amp;A355, Inside5!B:B&amp;Inside5!I:I, Inside5!G:G), 0)</f>
        <v>0</v>
      </c>
      <c r="L355" cm="1">
        <f t="array" ref="L355">IFERROR(_xlfn.XLOOKUP(C355&amp;A355, Inside5!B:B&amp;Inside5!I:I, Inside5!H:H), 0)</f>
        <v>0</v>
      </c>
      <c r="M355" cm="1">
        <f t="array" ref="M355">IFERROR(_xlfn.XLOOKUP(C355&amp;A355, TDrate!F:F&amp;TDrate!H:H, TDrate!B:B), "N/A")</f>
        <v>2.7E-2</v>
      </c>
      <c r="N355" cm="1">
        <f t="array" ref="N355">IFERROR(_xlfn.XLOOKUP(C355&amp;A355, TDrate!F:F&amp;TDrate!H:H, TDrate!D:D), "N/A")</f>
        <v>0.02</v>
      </c>
    </row>
    <row r="356" spans="1:14" x14ac:dyDescent="0.45">
      <c r="A356" s="5">
        <v>2023</v>
      </c>
      <c r="B356" s="6" t="s">
        <v>343</v>
      </c>
      <c r="C356" s="7" t="str">
        <f t="shared" si="10"/>
        <v>Isiah Pacheco</v>
      </c>
      <c r="D356" s="7" t="str">
        <f t="shared" si="11"/>
        <v>KC</v>
      </c>
      <c r="E356" cm="1">
        <f t="array" aca="1" ref="E356" ca="1">IFERROR(_xlfn.XLOOKUP(C356&amp;A356, Inside5!B:B&amp;Inside5!I:I, Inside5!C:C), 0)</f>
        <v>9</v>
      </c>
      <c r="F356" cm="1">
        <f t="array" aca="1" ref="F356" ca="1">IFERROR(_xlfn.XLOOKUP(C356&amp;A356, Inside5!B:B&amp;Inside5!I:I, Inside5!D:D), 0)</f>
        <v>5</v>
      </c>
      <c r="G356" cm="1">
        <f t="array" ref="G356">IFERROR(_xlfn.XLOOKUP(C356&amp;A356, Inside5!B:B&amp;Inside5!I:I, Inside5!E:E), 0)</f>
        <v>0.81799999999999995</v>
      </c>
      <c r="H356" cm="1">
        <f t="array" ref="H356">IFERROR(_xlfn.XLOOKUP(C356&amp;A356, TDrate!F:F&amp;TDrate!H:H, TDrate!C:C), "N/A")</f>
        <v>3.4099999999999998E-2</v>
      </c>
      <c r="I356" cm="1">
        <f t="array" ref="I356">IFERROR(_xlfn.XLOOKUP(C356&amp;A356, TDrate!F:F&amp;TDrate!H:H, TDrate!E:E), "N/A")</f>
        <v>3.2800000000000003E-2</v>
      </c>
      <c r="J356" cm="1">
        <f t="array" ref="J356">IFERROR(_xlfn.XLOOKUP(C356&amp;A356, Inside5!B:B&amp;Inside5!I:I, Inside5!F:F), 0)</f>
        <v>1</v>
      </c>
      <c r="K356" cm="1">
        <f t="array" aca="1" ref="K356" ca="1">IFERROR(_xlfn.XLOOKUP(C356&amp;A356, Inside5!B:B&amp;Inside5!I:I, Inside5!G:G), 0)</f>
        <v>2</v>
      </c>
      <c r="L356" cm="1">
        <f t="array" ref="L356">IFERROR(_xlfn.XLOOKUP(C356&amp;A356, Inside5!B:B&amp;Inside5!I:I, Inside5!H:H), 0)</f>
        <v>0</v>
      </c>
      <c r="M356" cm="1">
        <f t="array" ref="M356">IFERROR(_xlfn.XLOOKUP(C356&amp;A356, TDrate!F:F&amp;TDrate!H:H, TDrate!B:B), "N/A")</f>
        <v>4.0800000000000003E-2</v>
      </c>
      <c r="N356" cm="1">
        <f t="array" ref="N356">IFERROR(_xlfn.XLOOKUP(C356&amp;A356, TDrate!F:F&amp;TDrate!H:H, TDrate!D:D), "N/A")</f>
        <v>4.3900000000000002E-2</v>
      </c>
    </row>
    <row r="357" spans="1:14" x14ac:dyDescent="0.45">
      <c r="A357" s="8">
        <v>2023</v>
      </c>
      <c r="B357" s="9" t="s">
        <v>549</v>
      </c>
      <c r="C357" s="10" t="str">
        <f t="shared" si="10"/>
        <v>Tony Pollard</v>
      </c>
      <c r="D357" s="10" t="str">
        <f t="shared" si="11"/>
        <v>DAL</v>
      </c>
      <c r="E357" cm="1">
        <f t="array" aca="1" ref="E357" ca="1">IFERROR(_xlfn.XLOOKUP(C357&amp;A357, Inside5!B:B&amp;Inside5!I:I, Inside5!C:C), 0)</f>
        <v>16</v>
      </c>
      <c r="F357" cm="1">
        <f t="array" aca="1" ref="F357" ca="1">IFERROR(_xlfn.XLOOKUP(C357&amp;A357, Inside5!B:B&amp;Inside5!I:I, Inside5!D:D), 0)</f>
        <v>2</v>
      </c>
      <c r="G357" cm="1">
        <f t="array" ref="G357">IFERROR(_xlfn.XLOOKUP(C357&amp;A357, Inside5!B:B&amp;Inside5!I:I, Inside5!E:E), 0)</f>
        <v>0.69599999999999995</v>
      </c>
      <c r="H357" cm="1">
        <f t="array" ref="H357">IFERROR(_xlfn.XLOOKUP(C357&amp;A357, TDrate!F:F&amp;TDrate!H:H, TDrate!C:C), "N/A")</f>
        <v>2.3699999999999999E-2</v>
      </c>
      <c r="I357" cm="1">
        <f t="array" ref="I357">IFERROR(_xlfn.XLOOKUP(C357&amp;A357, TDrate!F:F&amp;TDrate!H:H, TDrate!E:E), "N/A")</f>
        <v>3.2500000000000001E-2</v>
      </c>
      <c r="J357" cm="1">
        <f t="array" ref="J357">IFERROR(_xlfn.XLOOKUP(C357&amp;A357, Inside5!B:B&amp;Inside5!I:I, Inside5!F:F), 0)</f>
        <v>0</v>
      </c>
      <c r="K357" cm="1">
        <f t="array" ref="K357">IFERROR(_xlfn.XLOOKUP(C357&amp;A357, Inside5!B:B&amp;Inside5!I:I, Inside5!G:G), 0)</f>
        <v>0</v>
      </c>
      <c r="L357" cm="1">
        <f t="array" ref="L357">IFERROR(_xlfn.XLOOKUP(C357&amp;A357, Inside5!B:B&amp;Inside5!I:I, Inside5!H:H), 0)</f>
        <v>0</v>
      </c>
      <c r="M357" cm="1">
        <f t="array" ref="M357">IFERROR(_xlfn.XLOOKUP(C357&amp;A357, TDrate!F:F&amp;TDrate!H:H, TDrate!B:B), "N/A")</f>
        <v>0</v>
      </c>
      <c r="N357" cm="1">
        <f t="array" ref="N357">IFERROR(_xlfn.XLOOKUP(C357&amp;A357, TDrate!F:F&amp;TDrate!H:H, TDrate!D:D), "N/A")</f>
        <v>1.5100000000000001E-2</v>
      </c>
    </row>
    <row r="358" spans="1:14" x14ac:dyDescent="0.45">
      <c r="A358" s="5">
        <v>2023</v>
      </c>
      <c r="B358" s="6" t="s">
        <v>387</v>
      </c>
      <c r="C358" s="7" t="str">
        <f t="shared" si="10"/>
        <v>Jerome Ford</v>
      </c>
      <c r="D358" s="7" t="str">
        <f t="shared" si="11"/>
        <v>CLE</v>
      </c>
      <c r="E358" cm="1">
        <f t="array" ref="E358">IFERROR(_xlfn.XLOOKUP(C358&amp;A358, Inside5!B:B&amp;Inside5!I:I, Inside5!C:C), 0)</f>
        <v>4</v>
      </c>
      <c r="F358" cm="1">
        <f t="array" ref="F358">IFERROR(_xlfn.XLOOKUP(C358&amp;A358, Inside5!B:B&amp;Inside5!I:I, Inside5!D:D), 0)</f>
        <v>3</v>
      </c>
      <c r="G358" cm="1">
        <f t="array" ref="G358">IFERROR(_xlfn.XLOOKUP(C358&amp;A358, Inside5!B:B&amp;Inside5!I:I, Inside5!E:E), 0)</f>
        <v>0.222</v>
      </c>
      <c r="H358" cm="1">
        <f t="array" ref="H358">IFERROR(_xlfn.XLOOKUP(C358&amp;A358, TDrate!F:F&amp;TDrate!H:H, TDrate!C:C), "N/A")</f>
        <v>1.9599999999999999E-2</v>
      </c>
      <c r="I358" cm="1">
        <f t="array" ref="I358">IFERROR(_xlfn.XLOOKUP(C358&amp;A358, TDrate!F:F&amp;TDrate!H:H, TDrate!E:E), "N/A")</f>
        <v>1.7600000000000001E-2</v>
      </c>
      <c r="J358" cm="1">
        <f t="array" ref="J358">IFERROR(_xlfn.XLOOKUP(C358&amp;A358, Inside5!B:B&amp;Inside5!I:I, Inside5!F:F), 0)</f>
        <v>1</v>
      </c>
      <c r="K358" cm="1">
        <f t="array" aca="1" ref="K358" ca="1">IFERROR(_xlfn.XLOOKUP(C358&amp;A358, Inside5!B:B&amp;Inside5!I:I, Inside5!G:G), 0)</f>
        <v>1</v>
      </c>
      <c r="L358" cm="1">
        <f t="array" ref="L358">IFERROR(_xlfn.XLOOKUP(C358&amp;A358, Inside5!B:B&amp;Inside5!I:I, Inside5!H:H), 0)</f>
        <v>1</v>
      </c>
      <c r="M358" cm="1">
        <f t="array" ref="M358">IFERROR(_xlfn.XLOOKUP(C358&amp;A358, TDrate!F:F&amp;TDrate!H:H, TDrate!B:B), "N/A")</f>
        <v>7.9399999999999998E-2</v>
      </c>
      <c r="N358" cm="1">
        <f t="array" ref="N358">IFERROR(_xlfn.XLOOKUP(C358&amp;A358, TDrate!F:F&amp;TDrate!H:H, TDrate!D:D), "N/A")</f>
        <v>5.0599999999999999E-2</v>
      </c>
    </row>
    <row r="359" spans="1:14" x14ac:dyDescent="0.45">
      <c r="A359" s="8">
        <v>2023</v>
      </c>
      <c r="B359" s="9" t="s">
        <v>471</v>
      </c>
      <c r="C359" s="10" t="str">
        <f t="shared" si="10"/>
        <v>Najee Harris</v>
      </c>
      <c r="D359" s="10" t="str">
        <f t="shared" si="11"/>
        <v>PIT</v>
      </c>
      <c r="E359" cm="1">
        <f t="array" ref="E359">IFERROR(_xlfn.XLOOKUP(C359&amp;A359, Inside5!B:B&amp;Inside5!I:I, Inside5!C:C), 0)</f>
        <v>10</v>
      </c>
      <c r="F359" cm="1">
        <f t="array" ref="F359">IFERROR(_xlfn.XLOOKUP(C359&amp;A359, Inside5!B:B&amp;Inside5!I:I, Inside5!D:D), 0)</f>
        <v>5</v>
      </c>
      <c r="G359" cm="1">
        <f t="array" ref="G359">IFERROR(_xlfn.XLOOKUP(C359&amp;A359, Inside5!B:B&amp;Inside5!I:I, Inside5!E:E), 0)</f>
        <v>0.71399999999999997</v>
      </c>
      <c r="H359" cm="1">
        <f t="array" ref="H359">IFERROR(_xlfn.XLOOKUP(C359&amp;A359, TDrate!F:F&amp;TDrate!H:H, TDrate!C:C), "N/A")</f>
        <v>3.1399999999999997E-2</v>
      </c>
      <c r="I359" cm="1">
        <f t="array" ref="I359">IFERROR(_xlfn.XLOOKUP(C359&amp;A359, TDrate!F:F&amp;TDrate!H:H, TDrate!E:E), "N/A")</f>
        <v>2.98E-2</v>
      </c>
      <c r="J359" cm="1">
        <f t="array" ref="J359">IFERROR(_xlfn.XLOOKUP(C359&amp;A359, Inside5!B:B&amp;Inside5!I:I, Inside5!F:F), 0)</f>
        <v>1</v>
      </c>
      <c r="K359" cm="1">
        <f t="array" ref="K359">IFERROR(_xlfn.XLOOKUP(C359&amp;A359, Inside5!B:B&amp;Inside5!I:I, Inside5!G:G), 0)</f>
        <v>1</v>
      </c>
      <c r="L359" cm="1">
        <f t="array" ref="L359">IFERROR(_xlfn.XLOOKUP(C359&amp;A359, Inside5!B:B&amp;Inside5!I:I, Inside5!H:H), 0)</f>
        <v>0</v>
      </c>
      <c r="M359" cm="1">
        <f t="array" ref="M359">IFERROR(_xlfn.XLOOKUP(C359&amp;A359, TDrate!F:F&amp;TDrate!H:H, TDrate!B:B), "N/A")</f>
        <v>0</v>
      </c>
      <c r="N359" cm="1">
        <f t="array" ref="N359">IFERROR(_xlfn.XLOOKUP(C359&amp;A359, TDrate!F:F&amp;TDrate!H:H, TDrate!D:D), "N/A")</f>
        <v>1.32E-2</v>
      </c>
    </row>
    <row r="360" spans="1:14" x14ac:dyDescent="0.45">
      <c r="A360" s="5">
        <v>2023</v>
      </c>
      <c r="B360" s="6" t="s">
        <v>301</v>
      </c>
      <c r="C360" s="7" t="str">
        <f t="shared" si="10"/>
        <v>De'Von Achane</v>
      </c>
      <c r="D360" s="7" t="str">
        <f t="shared" si="11"/>
        <v>MIA</v>
      </c>
      <c r="E360" cm="1">
        <f t="array" aca="1" ref="E360" ca="1">IFERROR(_xlfn.XLOOKUP(C360&amp;A360, Inside5!B:B&amp;Inside5!I:I, Inside5!C:C), 0)</f>
        <v>5</v>
      </c>
      <c r="F360" cm="1">
        <f t="array" aca="1" ref="F360" ca="1">IFERROR(_xlfn.XLOOKUP(C360&amp;A360, Inside5!B:B&amp;Inside5!I:I, Inside5!D:D), 0)</f>
        <v>3</v>
      </c>
      <c r="G360" cm="1">
        <f t="array" ref="G360">IFERROR(_xlfn.XLOOKUP(C360&amp;A360, Inside5!B:B&amp;Inside5!I:I, Inside5!E:E), 0)</f>
        <v>0.185</v>
      </c>
      <c r="H360" cm="1">
        <f t="array" ref="H360">IFERROR(_xlfn.XLOOKUP(C360&amp;A360, TDrate!F:F&amp;TDrate!H:H, TDrate!C:C), "N/A")</f>
        <v>7.7700000000000005E-2</v>
      </c>
      <c r="I360" cm="1">
        <f t="array" ref="I360">IFERROR(_xlfn.XLOOKUP(C360&amp;A360, TDrate!F:F&amp;TDrate!H:H, TDrate!E:E), "N/A")</f>
        <v>5.5500000000000001E-2</v>
      </c>
      <c r="J360" cm="1">
        <f t="array" ref="J360">IFERROR(_xlfn.XLOOKUP(C360&amp;A360, Inside5!B:B&amp;Inside5!I:I, Inside5!F:F), 0)</f>
        <v>2</v>
      </c>
      <c r="K360" cm="1">
        <f t="array" ref="K360">IFERROR(_xlfn.XLOOKUP(C360&amp;A360, Inside5!B:B&amp;Inside5!I:I, Inside5!G:G), 0)</f>
        <v>2</v>
      </c>
      <c r="L360" cm="1">
        <f t="array" ref="L360">IFERROR(_xlfn.XLOOKUP(C360&amp;A360, Inside5!B:B&amp;Inside5!I:I, Inside5!H:H), 0)</f>
        <v>2</v>
      </c>
      <c r="M360" cm="1">
        <f t="array" ref="M360">IFERROR(_xlfn.XLOOKUP(C360&amp;A360, TDrate!F:F&amp;TDrate!H:H, TDrate!B:B), "N/A")</f>
        <v>8.1100000000000005E-2</v>
      </c>
      <c r="N360" cm="1">
        <f t="array" ref="N360">IFERROR(_xlfn.XLOOKUP(C360&amp;A360, TDrate!F:F&amp;TDrate!H:H, TDrate!D:D), "N/A")</f>
        <v>6.6100000000000006E-2</v>
      </c>
    </row>
    <row r="361" spans="1:14" x14ac:dyDescent="0.45">
      <c r="A361" s="8">
        <v>2023</v>
      </c>
      <c r="B361" s="9" t="s">
        <v>474</v>
      </c>
      <c r="C361" s="10" t="str">
        <f t="shared" si="10"/>
        <v>Brian Robinson Jr.</v>
      </c>
      <c r="D361" s="10" t="str">
        <f t="shared" si="11"/>
        <v>WAS</v>
      </c>
      <c r="E361" cm="1">
        <f t="array" ref="E361">IFERROR(_xlfn.XLOOKUP(C361&amp;A361, Inside5!B:B&amp;Inside5!I:I, Inside5!C:C), 0)</f>
        <v>8</v>
      </c>
      <c r="F361" cm="1">
        <f t="array" ref="F361">IFERROR(_xlfn.XLOOKUP(C361&amp;A361, Inside5!B:B&amp;Inside5!I:I, Inside5!D:D), 0)</f>
        <v>2</v>
      </c>
      <c r="G361" cm="1">
        <f t="array" ref="G361">IFERROR(_xlfn.XLOOKUP(C361&amp;A361, Inside5!B:B&amp;Inside5!I:I, Inside5!E:E), 0)</f>
        <v>0.61499999999999999</v>
      </c>
      <c r="H361" cm="1">
        <f t="array" ref="H361">IFERROR(_xlfn.XLOOKUP(C361&amp;A361, TDrate!F:F&amp;TDrate!H:H, TDrate!C:C), "N/A")</f>
        <v>2.81E-2</v>
      </c>
      <c r="I361" cm="1">
        <f t="array" ref="I361">IFERROR(_xlfn.XLOOKUP(C361&amp;A361, TDrate!F:F&amp;TDrate!H:H, TDrate!E:E), "N/A")</f>
        <v>2.76E-2</v>
      </c>
      <c r="J361" cm="1">
        <f t="array" ref="J361">IFERROR(_xlfn.XLOOKUP(C361&amp;A361, Inside5!B:B&amp;Inside5!I:I, Inside5!F:F), 0)</f>
        <v>0</v>
      </c>
      <c r="K361" cm="1">
        <f t="array" aca="1" ref="K361" ca="1">IFERROR(_xlfn.XLOOKUP(C361&amp;A361, Inside5!B:B&amp;Inside5!I:I, Inside5!G:G), 0)</f>
        <v>0</v>
      </c>
      <c r="L361" cm="1">
        <f t="array" ref="L361">IFERROR(_xlfn.XLOOKUP(C361&amp;A361, Inside5!B:B&amp;Inside5!I:I, Inside5!H:H), 0)</f>
        <v>0</v>
      </c>
      <c r="M361" cm="1">
        <f t="array" ref="M361">IFERROR(_xlfn.XLOOKUP(C361&amp;A361, TDrate!F:F&amp;TDrate!H:H, TDrate!B:B), "N/A")</f>
        <v>9.2999999999999999E-2</v>
      </c>
      <c r="N361" cm="1">
        <f t="array" ref="N361">IFERROR(_xlfn.XLOOKUP(C361&amp;A361, TDrate!F:F&amp;TDrate!H:H, TDrate!D:D), "N/A")</f>
        <v>6.2E-2</v>
      </c>
    </row>
    <row r="362" spans="1:14" x14ac:dyDescent="0.45">
      <c r="A362" s="5">
        <v>2023</v>
      </c>
      <c r="B362" s="6" t="s">
        <v>550</v>
      </c>
      <c r="C362" s="7" t="str">
        <f t="shared" si="10"/>
        <v>D'Andre Swift</v>
      </c>
      <c r="D362" s="7" t="str">
        <f t="shared" si="11"/>
        <v>PHI</v>
      </c>
      <c r="E362" cm="1">
        <f t="array" ref="E362">IFERROR(_xlfn.XLOOKUP(C362&amp;A362, Inside5!B:B&amp;Inside5!I:I, Inside5!C:C), 0)</f>
        <v>14</v>
      </c>
      <c r="F362" cm="1">
        <f t="array" aca="1" ref="F362" ca="1">IFERROR(_xlfn.XLOOKUP(C362&amp;A362, Inside5!B:B&amp;Inside5!I:I, Inside5!D:D), 0)</f>
        <v>4</v>
      </c>
      <c r="G362" cm="1">
        <f t="array" ref="G362">IFERROR(_xlfn.XLOOKUP(C362&amp;A362, Inside5!B:B&amp;Inside5!I:I, Inside5!E:E), 0)</f>
        <v>0.77800000000000002</v>
      </c>
      <c r="H362" cm="1">
        <f t="array" ref="H362">IFERROR(_xlfn.XLOOKUP(C362&amp;A362, TDrate!F:F&amp;TDrate!H:H, TDrate!C:C), "N/A")</f>
        <v>2.18E-2</v>
      </c>
      <c r="I362" cm="1">
        <f t="array" ref="I362">IFERROR(_xlfn.XLOOKUP(C362&amp;A362, TDrate!F:F&amp;TDrate!H:H, TDrate!E:E), "N/A")</f>
        <v>2.9000000000000001E-2</v>
      </c>
      <c r="J362" cm="1">
        <f t="array" ref="J362">IFERROR(_xlfn.XLOOKUP(C362&amp;A362, Inside5!B:B&amp;Inside5!I:I, Inside5!F:F), 0)</f>
        <v>0</v>
      </c>
      <c r="K362" cm="1">
        <f t="array" ref="K362">IFERROR(_xlfn.XLOOKUP(C362&amp;A362, Inside5!B:B&amp;Inside5!I:I, Inside5!G:G), 0)</f>
        <v>0</v>
      </c>
      <c r="L362" cm="1">
        <f t="array" ref="L362">IFERROR(_xlfn.XLOOKUP(C362&amp;A362, Inside5!B:B&amp;Inside5!I:I, Inside5!H:H), 0)</f>
        <v>0</v>
      </c>
      <c r="M362" cm="1">
        <f t="array" ref="M362">IFERROR(_xlfn.XLOOKUP(C362&amp;A362, TDrate!F:F&amp;TDrate!H:H, TDrate!B:B), "N/A")</f>
        <v>2.0400000000000001E-2</v>
      </c>
      <c r="N362" cm="1">
        <f t="array" ref="N362">IFERROR(_xlfn.XLOOKUP(C362&amp;A362, TDrate!F:F&amp;TDrate!H:H, TDrate!D:D), "N/A")</f>
        <v>1.9900000000000001E-2</v>
      </c>
    </row>
    <row r="363" spans="1:14" x14ac:dyDescent="0.45">
      <c r="A363" s="8">
        <v>2023</v>
      </c>
      <c r="B363" s="9" t="s">
        <v>342</v>
      </c>
      <c r="C363" s="10" t="str">
        <f t="shared" si="10"/>
        <v>Alvin Kamara</v>
      </c>
      <c r="D363" s="10" t="str">
        <f t="shared" si="11"/>
        <v>NO</v>
      </c>
      <c r="E363" cm="1">
        <f t="array" ref="E363">IFERROR(_xlfn.XLOOKUP(C363&amp;A363, Inside5!B:B&amp;Inside5!I:I, Inside5!C:C), 0)</f>
        <v>12</v>
      </c>
      <c r="F363" cm="1">
        <f t="array" ref="F363">IFERROR(_xlfn.XLOOKUP(C363&amp;A363, Inside5!B:B&amp;Inside5!I:I, Inside5!D:D), 0)</f>
        <v>3</v>
      </c>
      <c r="G363" cm="1">
        <f t="array" ref="G363">IFERROR(_xlfn.XLOOKUP(C363&amp;A363, Inside5!B:B&amp;Inside5!I:I, Inside5!E:E), 0)</f>
        <v>1</v>
      </c>
      <c r="H363" cm="1">
        <f t="array" ref="H363">IFERROR(_xlfn.XLOOKUP(C363&amp;A363, TDrate!F:F&amp;TDrate!H:H, TDrate!C:C), "N/A")</f>
        <v>2.7799999999999998E-2</v>
      </c>
      <c r="I363" cm="1">
        <f t="array" ref="I363">IFERROR(_xlfn.XLOOKUP(C363&amp;A363, TDrate!F:F&amp;TDrate!H:H, TDrate!E:E), "N/A")</f>
        <v>3.3799999999999997E-2</v>
      </c>
      <c r="J363" cm="1">
        <f t="array" ref="J363">IFERROR(_xlfn.XLOOKUP(C363&amp;A363, Inside5!B:B&amp;Inside5!I:I, Inside5!F:F), 0)</f>
        <v>0</v>
      </c>
      <c r="K363" cm="1">
        <f t="array" aca="1" ref="K363" ca="1">IFERROR(_xlfn.XLOOKUP(C363&amp;A363, Inside5!B:B&amp;Inside5!I:I, Inside5!G:G), 0)</f>
        <v>0</v>
      </c>
      <c r="L363" cm="1">
        <f t="array" ref="L363">IFERROR(_xlfn.XLOOKUP(C363&amp;A363, Inside5!B:B&amp;Inside5!I:I, Inside5!H:H), 0)</f>
        <v>0</v>
      </c>
      <c r="M363" cm="1">
        <f t="array" ref="M363">IFERROR(_xlfn.XLOOKUP(C363&amp;A363, TDrate!F:F&amp;TDrate!H:H, TDrate!B:B), "N/A")</f>
        <v>1.15E-2</v>
      </c>
      <c r="N363" cm="1">
        <f t="array" ref="N363">IFERROR(_xlfn.XLOOKUP(C363&amp;A363, TDrate!F:F&amp;TDrate!H:H, TDrate!D:D), "N/A")</f>
        <v>1.35E-2</v>
      </c>
    </row>
    <row r="364" spans="1:14" x14ac:dyDescent="0.45">
      <c r="A364" s="5">
        <v>2023</v>
      </c>
      <c r="B364" s="6" t="s">
        <v>551</v>
      </c>
      <c r="C364" s="7" t="str">
        <f t="shared" si="10"/>
        <v>Josh Jacobs</v>
      </c>
      <c r="D364" s="7" t="str">
        <f t="shared" si="11"/>
        <v>LV</v>
      </c>
      <c r="E364" cm="1">
        <f t="array" aca="1" ref="E364" ca="1">IFERROR(_xlfn.XLOOKUP(C364&amp;A364, Inside5!B:B&amp;Inside5!I:I, Inside5!C:C), 0)</f>
        <v>10</v>
      </c>
      <c r="F364" cm="1">
        <f t="array" ref="F364">IFERROR(_xlfn.XLOOKUP(C364&amp;A364, Inside5!B:B&amp;Inside5!I:I, Inside5!D:D), 0)</f>
        <v>5</v>
      </c>
      <c r="G364" cm="1">
        <f t="array" ref="G364">IFERROR(_xlfn.XLOOKUP(C364&amp;A364, Inside5!B:B&amp;Inside5!I:I, Inside5!E:E), 0)</f>
        <v>0.76900000000000002</v>
      </c>
      <c r="H364" cm="1">
        <f t="array" ref="H364">IFERROR(_xlfn.XLOOKUP(C364&amp;A364, TDrate!F:F&amp;TDrate!H:H, TDrate!C:C), "N/A")</f>
        <v>2.58E-2</v>
      </c>
      <c r="I364" cm="1">
        <f t="array" ref="I364">IFERROR(_xlfn.XLOOKUP(C364&amp;A364, TDrate!F:F&amp;TDrate!H:H, TDrate!E:E), "N/A")</f>
        <v>2.7699999999999999E-2</v>
      </c>
      <c r="J364" cm="1">
        <f t="array" ref="J364">IFERROR(_xlfn.XLOOKUP(C364&amp;A364, Inside5!B:B&amp;Inside5!I:I, Inside5!F:F), 0)</f>
        <v>0</v>
      </c>
      <c r="K364" cm="1">
        <f t="array" ref="K364">IFERROR(_xlfn.XLOOKUP(C364&amp;A364, Inside5!B:B&amp;Inside5!I:I, Inside5!G:G), 0)</f>
        <v>1</v>
      </c>
      <c r="L364" cm="1">
        <f t="array" ref="L364">IFERROR(_xlfn.XLOOKUP(C364&amp;A364, Inside5!B:B&amp;Inside5!I:I, Inside5!H:H), 0)</f>
        <v>0</v>
      </c>
      <c r="M364" cm="1">
        <f t="array" ref="M364">IFERROR(_xlfn.XLOOKUP(C364&amp;A364, TDrate!F:F&amp;TDrate!H:H, TDrate!B:B), "N/A")</f>
        <v>0</v>
      </c>
      <c r="N364" cm="1">
        <f t="array" ref="N364">IFERROR(_xlfn.XLOOKUP(C364&amp;A364, TDrate!F:F&amp;TDrate!H:H, TDrate!D:D), "N/A")</f>
        <v>1.4500000000000001E-2</v>
      </c>
    </row>
    <row r="365" spans="1:14" x14ac:dyDescent="0.45">
      <c r="A365" s="8">
        <v>2023</v>
      </c>
      <c r="B365" s="9" t="s">
        <v>338</v>
      </c>
      <c r="C365" s="10" t="str">
        <f t="shared" si="10"/>
        <v>Chuba Hubbard</v>
      </c>
      <c r="D365" s="10" t="str">
        <f t="shared" si="11"/>
        <v>CAR</v>
      </c>
      <c r="E365" cm="1">
        <f t="array" ref="E365">IFERROR(_xlfn.XLOOKUP(C365&amp;A365, Inside5!B:B&amp;Inside5!I:I, Inside5!C:C), 0)</f>
        <v>11</v>
      </c>
      <c r="F365" cm="1">
        <f t="array" ref="F365">IFERROR(_xlfn.XLOOKUP(C365&amp;A365, Inside5!B:B&amp;Inside5!I:I, Inside5!D:D), 0)</f>
        <v>4</v>
      </c>
      <c r="G365" cm="1">
        <f t="array" ref="G365">IFERROR(_xlfn.XLOOKUP(C365&amp;A365, Inside5!B:B&amp;Inside5!I:I, Inside5!E:E), 0)</f>
        <v>0.73299999999999998</v>
      </c>
      <c r="H365" cm="1">
        <f t="array" ref="H365">IFERROR(_xlfn.XLOOKUP(C365&amp;A365, TDrate!F:F&amp;TDrate!H:H, TDrate!C:C), "N/A")</f>
        <v>2.1000000000000001E-2</v>
      </c>
      <c r="I365" cm="1">
        <f t="array" ref="I365">IFERROR(_xlfn.XLOOKUP(C365&amp;A365, TDrate!F:F&amp;TDrate!H:H, TDrate!E:E), "N/A")</f>
        <v>2.4500000000000001E-2</v>
      </c>
      <c r="J365" cm="1">
        <f t="array" ref="J365">IFERROR(_xlfn.XLOOKUP(C365&amp;A365, Inside5!B:B&amp;Inside5!I:I, Inside5!F:F), 0)</f>
        <v>0</v>
      </c>
      <c r="K365" cm="1">
        <f t="array" ref="K365">IFERROR(_xlfn.XLOOKUP(C365&amp;A365, Inside5!B:B&amp;Inside5!I:I, Inside5!G:G), 0)</f>
        <v>0</v>
      </c>
      <c r="L365" cm="1">
        <f t="array" ref="L365">IFERROR(_xlfn.XLOOKUP(C365&amp;A365, Inside5!B:B&amp;Inside5!I:I, Inside5!H:H), 0)</f>
        <v>0</v>
      </c>
      <c r="M365" cm="1">
        <f t="array" ref="M365">IFERROR(_xlfn.XLOOKUP(C365&amp;A365, TDrate!F:F&amp;TDrate!H:H, TDrate!B:B), "N/A")</f>
        <v>0</v>
      </c>
      <c r="N365" cm="1">
        <f t="array" ref="N365">IFERROR(_xlfn.XLOOKUP(C365&amp;A365, TDrate!F:F&amp;TDrate!H:H, TDrate!D:D), "N/A")</f>
        <v>3.7000000000000002E-3</v>
      </c>
    </row>
    <row r="366" spans="1:14" x14ac:dyDescent="0.45">
      <c r="A366" s="5">
        <v>2023</v>
      </c>
      <c r="B366" s="6" t="s">
        <v>552</v>
      </c>
      <c r="C366" s="7" t="str">
        <f t="shared" si="10"/>
        <v>Zack Moss</v>
      </c>
      <c r="D366" s="7" t="str">
        <f t="shared" si="11"/>
        <v>IND</v>
      </c>
      <c r="E366" cm="1">
        <f t="array" ref="E366">IFERROR(_xlfn.XLOOKUP(C366&amp;A366, Inside5!B:B&amp;Inside5!I:I, Inside5!C:C), 0)</f>
        <v>11</v>
      </c>
      <c r="F366" cm="1">
        <f t="array" aca="1" ref="F366" ca="1">IFERROR(_xlfn.XLOOKUP(C366&amp;A366, Inside5!B:B&amp;Inside5!I:I, Inside5!D:D), 0)</f>
        <v>3</v>
      </c>
      <c r="G366" cm="1">
        <f t="array" ref="G366">IFERROR(_xlfn.XLOOKUP(C366&amp;A366, Inside5!B:B&amp;Inside5!I:I, Inside5!E:E), 0)</f>
        <v>0.45800000000000002</v>
      </c>
      <c r="H366" cm="1">
        <f t="array" ref="H366">IFERROR(_xlfn.XLOOKUP(C366&amp;A366, TDrate!F:F&amp;TDrate!H:H, TDrate!C:C), "N/A")</f>
        <v>2.7300000000000001E-2</v>
      </c>
      <c r="I366" cm="1">
        <f t="array" ref="I366">IFERROR(_xlfn.XLOOKUP(C366&amp;A366, TDrate!F:F&amp;TDrate!H:H, TDrate!E:E), "N/A")</f>
        <v>3.2199999999999999E-2</v>
      </c>
      <c r="J366" cm="1">
        <f t="array" ref="J366">IFERROR(_xlfn.XLOOKUP(C366&amp;A366, Inside5!B:B&amp;Inside5!I:I, Inside5!F:F), 0)</f>
        <v>0</v>
      </c>
      <c r="K366" cm="1">
        <f t="array" ref="K366">IFERROR(_xlfn.XLOOKUP(C366&amp;A366, Inside5!B:B&amp;Inside5!I:I, Inside5!G:G), 0)</f>
        <v>0</v>
      </c>
      <c r="L366" cm="1">
        <f t="array" ref="L366">IFERROR(_xlfn.XLOOKUP(C366&amp;A366, Inside5!B:B&amp;Inside5!I:I, Inside5!H:H), 0)</f>
        <v>0</v>
      </c>
      <c r="M366" cm="1">
        <f t="array" ref="M366">IFERROR(_xlfn.XLOOKUP(C366&amp;A366, TDrate!F:F&amp;TDrate!H:H, TDrate!B:B), "N/A")</f>
        <v>5.4100000000000002E-2</v>
      </c>
      <c r="N366" cm="1">
        <f t="array" ref="N366">IFERROR(_xlfn.XLOOKUP(C366&amp;A366, TDrate!F:F&amp;TDrate!H:H, TDrate!D:D), "N/A")</f>
        <v>4.1099999999999998E-2</v>
      </c>
    </row>
    <row r="367" spans="1:14" x14ac:dyDescent="0.45">
      <c r="A367" s="8">
        <v>2023</v>
      </c>
      <c r="B367" s="9" t="s">
        <v>299</v>
      </c>
      <c r="C367" s="10" t="str">
        <f t="shared" si="10"/>
        <v>Jonathan Taylor</v>
      </c>
      <c r="D367" s="10" t="str">
        <f t="shared" si="11"/>
        <v>IND</v>
      </c>
      <c r="E367" cm="1">
        <f t="array" aca="1" ref="E367" ca="1">IFERROR(_xlfn.XLOOKUP(C367&amp;A367, Inside5!B:B&amp;Inside5!I:I, Inside5!C:C), 0)</f>
        <v>12</v>
      </c>
      <c r="F367" cm="1">
        <f t="array" ref="F367">IFERROR(_xlfn.XLOOKUP(C367&amp;A367, Inside5!B:B&amp;Inside5!I:I, Inside5!D:D), 0)</f>
        <v>6</v>
      </c>
      <c r="G367" cm="1">
        <f t="array" ref="G367">IFERROR(_xlfn.XLOOKUP(C367&amp;A367, Inside5!B:B&amp;Inside5!I:I, Inside5!E:E), 0)</f>
        <v>0.5</v>
      </c>
      <c r="H367" cm="1">
        <f t="array" ref="H367">IFERROR(_xlfn.XLOOKUP(C367&amp;A367, TDrate!F:F&amp;TDrate!H:H, TDrate!C:C), "N/A")</f>
        <v>4.1399999999999999E-2</v>
      </c>
      <c r="I367" cm="1">
        <f t="array" ref="I367">IFERROR(_xlfn.XLOOKUP(C367&amp;A367, TDrate!F:F&amp;TDrate!H:H, TDrate!E:E), "N/A")</f>
        <v>3.9699999999999999E-2</v>
      </c>
      <c r="J367" cm="1">
        <f t="array" ref="J367">IFERROR(_xlfn.XLOOKUP(C367&amp;A367, Inside5!B:B&amp;Inside5!I:I, Inside5!F:F), 0)</f>
        <v>0</v>
      </c>
      <c r="K367" cm="1">
        <f t="array" ref="K367">IFERROR(_xlfn.XLOOKUP(C367&amp;A367, Inside5!B:B&amp;Inside5!I:I, Inside5!G:G), 0)</f>
        <v>0</v>
      </c>
      <c r="L367" cm="1">
        <f t="array" ref="L367">IFERROR(_xlfn.XLOOKUP(C367&amp;A367, Inside5!B:B&amp;Inside5!I:I, Inside5!H:H), 0)</f>
        <v>0</v>
      </c>
      <c r="M367" cm="1">
        <f t="array" ref="M367">IFERROR(_xlfn.XLOOKUP(C367&amp;A367, TDrate!F:F&amp;TDrate!H:H, TDrate!B:B), "N/A")</f>
        <v>4.3499999999999997E-2</v>
      </c>
      <c r="N367" cm="1">
        <f t="array" ref="N367">IFERROR(_xlfn.XLOOKUP(C367&amp;A367, TDrate!F:F&amp;TDrate!H:H, TDrate!D:D), "N/A")</f>
        <v>4.1700000000000001E-2</v>
      </c>
    </row>
    <row r="368" spans="1:14" x14ac:dyDescent="0.45">
      <c r="A368" s="5">
        <v>2023</v>
      </c>
      <c r="B368" s="6" t="s">
        <v>553</v>
      </c>
      <c r="C368" s="7" t="str">
        <f t="shared" si="10"/>
        <v>Devin Singletary</v>
      </c>
      <c r="D368" s="7" t="str">
        <f t="shared" si="11"/>
        <v>HOU</v>
      </c>
      <c r="E368" cm="1">
        <f t="array" ref="E368">IFERROR(_xlfn.XLOOKUP(C368&amp;A368, Inside5!B:B&amp;Inside5!I:I, Inside5!C:C), 0)</f>
        <v>7</v>
      </c>
      <c r="F368" cm="1">
        <f t="array" ref="F368">IFERROR(_xlfn.XLOOKUP(C368&amp;A368, Inside5!B:B&amp;Inside5!I:I, Inside5!D:D), 0)</f>
        <v>1</v>
      </c>
      <c r="G368" cm="1">
        <f t="array" ref="G368">IFERROR(_xlfn.XLOOKUP(C368&amp;A368, Inside5!B:B&amp;Inside5!I:I, Inside5!E:E), 0)</f>
        <v>0.36799999999999999</v>
      </c>
      <c r="H368" cm="1">
        <f t="array" ref="H368">IFERROR(_xlfn.XLOOKUP(C368&amp;A368, TDrate!F:F&amp;TDrate!H:H, TDrate!C:C), "N/A")</f>
        <v>1.8499999999999999E-2</v>
      </c>
      <c r="I368" cm="1">
        <f t="array" ref="I368">IFERROR(_xlfn.XLOOKUP(C368&amp;A368, TDrate!F:F&amp;TDrate!H:H, TDrate!E:E), "N/A")</f>
        <v>2.2800000000000001E-2</v>
      </c>
      <c r="J368" cm="1">
        <f t="array" ref="J368">IFERROR(_xlfn.XLOOKUP(C368&amp;A368, Inside5!B:B&amp;Inside5!I:I, Inside5!F:F), 0)</f>
        <v>0</v>
      </c>
      <c r="K368" cm="1">
        <f t="array" ref="K368">IFERROR(_xlfn.XLOOKUP(C368&amp;A368, Inside5!B:B&amp;Inside5!I:I, Inside5!G:G), 0)</f>
        <v>0</v>
      </c>
      <c r="L368" cm="1">
        <f t="array" ref="L368">IFERROR(_xlfn.XLOOKUP(C368&amp;A368, Inside5!B:B&amp;Inside5!I:I, Inside5!H:H), 0)</f>
        <v>0</v>
      </c>
      <c r="M368" cm="1">
        <f t="array" ref="M368">IFERROR(_xlfn.XLOOKUP(C368&amp;A368, TDrate!F:F&amp;TDrate!H:H, TDrate!B:B), "N/A")</f>
        <v>0</v>
      </c>
      <c r="N368" cm="1">
        <f t="array" ref="N368">IFERROR(_xlfn.XLOOKUP(C368&amp;A368, TDrate!F:F&amp;TDrate!H:H, TDrate!D:D), "N/A")</f>
        <v>1.03E-2</v>
      </c>
    </row>
    <row r="369" spans="1:14" x14ac:dyDescent="0.45">
      <c r="A369" s="8">
        <v>2023</v>
      </c>
      <c r="B369" s="9" t="s">
        <v>315</v>
      </c>
      <c r="C369" s="10" t="str">
        <f t="shared" si="10"/>
        <v>Jaylen Warren</v>
      </c>
      <c r="D369" s="10" t="str">
        <f t="shared" si="11"/>
        <v>PIT</v>
      </c>
      <c r="E369" cm="1">
        <f t="array" ref="E369">IFERROR(_xlfn.XLOOKUP(C369&amp;A369, Inside5!B:B&amp;Inside5!I:I, Inside5!C:C), 0)</f>
        <v>4</v>
      </c>
      <c r="F369" cm="1">
        <f t="array" ref="F369">IFERROR(_xlfn.XLOOKUP(C369&amp;A369, Inside5!B:B&amp;Inside5!I:I, Inside5!D:D), 0)</f>
        <v>0</v>
      </c>
      <c r="G369" cm="1">
        <f t="array" ref="G369">IFERROR(_xlfn.XLOOKUP(C369&amp;A369, Inside5!B:B&amp;Inside5!I:I, Inside5!E:E), 0)</f>
        <v>0.28599999999999998</v>
      </c>
      <c r="H369" cm="1">
        <f t="array" ref="H369">IFERROR(_xlfn.XLOOKUP(C369&amp;A369, TDrate!F:F&amp;TDrate!H:H, TDrate!C:C), "N/A")</f>
        <v>2.6800000000000001E-2</v>
      </c>
      <c r="I369" cm="1">
        <f t="array" ref="I369">IFERROR(_xlfn.XLOOKUP(C369&amp;A369, TDrate!F:F&amp;TDrate!H:H, TDrate!E:E), "N/A")</f>
        <v>2.4799999999999999E-2</v>
      </c>
      <c r="J369" cm="1">
        <f t="array" ref="J369">IFERROR(_xlfn.XLOOKUP(C369&amp;A369, Inside5!B:B&amp;Inside5!I:I, Inside5!F:F), 0)</f>
        <v>0</v>
      </c>
      <c r="K369" cm="1">
        <f t="array" aca="1" ref="K369" ca="1">IFERROR(_xlfn.XLOOKUP(C369&amp;A369, Inside5!B:B&amp;Inside5!I:I, Inside5!G:G), 0)</f>
        <v>0</v>
      </c>
      <c r="L369" cm="1">
        <f t="array" ref="L369">IFERROR(_xlfn.XLOOKUP(C369&amp;A369, Inside5!B:B&amp;Inside5!I:I, Inside5!H:H), 0)</f>
        <v>0</v>
      </c>
      <c r="M369" cm="1">
        <f t="array" ref="M369">IFERROR(_xlfn.XLOOKUP(C369&amp;A369, TDrate!F:F&amp;TDrate!H:H, TDrate!B:B), "N/A")</f>
        <v>0</v>
      </c>
      <c r="N369" cm="1">
        <f t="array" ref="N369">IFERROR(_xlfn.XLOOKUP(C369&amp;A369, TDrate!F:F&amp;TDrate!H:H, TDrate!D:D), "N/A")</f>
        <v>7.7999999999999996E-3</v>
      </c>
    </row>
    <row r="370" spans="1:14" x14ac:dyDescent="0.45">
      <c r="A370" s="5">
        <v>2023</v>
      </c>
      <c r="B370" s="6" t="s">
        <v>554</v>
      </c>
      <c r="C370" s="7" t="str">
        <f t="shared" si="10"/>
        <v>Austin Ekeler</v>
      </c>
      <c r="D370" s="7" t="str">
        <f t="shared" si="11"/>
        <v>LAC</v>
      </c>
      <c r="E370" cm="1">
        <f t="array" aca="1" ref="E370" ca="1">IFERROR(_xlfn.XLOOKUP(C370&amp;A370, Inside5!B:B&amp;Inside5!I:I, Inside5!C:C), 0)</f>
        <v>15</v>
      </c>
      <c r="F370" cm="1">
        <f t="array" aca="1" ref="F370" ca="1">IFERROR(_xlfn.XLOOKUP(C370&amp;A370, Inside5!B:B&amp;Inside5!I:I, Inside5!D:D), 0)</f>
        <v>5</v>
      </c>
      <c r="G370" cm="1">
        <f t="array" ref="G370">IFERROR(_xlfn.XLOOKUP(C370&amp;A370, Inside5!B:B&amp;Inside5!I:I, Inside5!E:E), 0)</f>
        <v>0.83299999999999996</v>
      </c>
      <c r="H370" cm="1">
        <f t="array" ref="H370">IFERROR(_xlfn.XLOOKUP(C370&amp;A370, TDrate!F:F&amp;TDrate!H:H, TDrate!C:C), "N/A")</f>
        <v>2.7900000000000001E-2</v>
      </c>
      <c r="I370" cm="1">
        <f t="array" ref="I370">IFERROR(_xlfn.XLOOKUP(C370&amp;A370, TDrate!F:F&amp;TDrate!H:H, TDrate!E:E), "N/A")</f>
        <v>3.6600000000000001E-2</v>
      </c>
      <c r="J370" cm="1">
        <f t="array" ref="J370">IFERROR(_xlfn.XLOOKUP(C370&amp;A370, Inside5!B:B&amp;Inside5!I:I, Inside5!F:F), 0)</f>
        <v>1</v>
      </c>
      <c r="K370" cm="1">
        <f t="array" ref="K370">IFERROR(_xlfn.XLOOKUP(C370&amp;A370, Inside5!B:B&amp;Inside5!I:I, Inside5!G:G), 0)</f>
        <v>2</v>
      </c>
      <c r="L370" cm="1">
        <f t="array" ref="L370">IFERROR(_xlfn.XLOOKUP(C370&amp;A370, Inside5!B:B&amp;Inside5!I:I, Inside5!H:H), 0)</f>
        <v>0</v>
      </c>
      <c r="M370" cm="1">
        <f t="array" ref="M370">IFERROR(_xlfn.XLOOKUP(C370&amp;A370, TDrate!F:F&amp;TDrate!H:H, TDrate!B:B), "N/A")</f>
        <v>1.35E-2</v>
      </c>
      <c r="N370" cm="1">
        <f t="array" ref="N370">IFERROR(_xlfn.XLOOKUP(C370&amp;A370, TDrate!F:F&amp;TDrate!H:H, TDrate!D:D), "N/A")</f>
        <v>1.9699999999999999E-2</v>
      </c>
    </row>
    <row r="371" spans="1:14" x14ac:dyDescent="0.45">
      <c r="A371" s="8">
        <v>2023</v>
      </c>
      <c r="B371" s="9" t="s">
        <v>476</v>
      </c>
      <c r="C371" s="10" t="str">
        <f t="shared" si="10"/>
        <v>Javonte Williams</v>
      </c>
      <c r="D371" s="10" t="str">
        <f t="shared" si="11"/>
        <v>DEN</v>
      </c>
      <c r="E371" cm="1">
        <f t="array" aca="1" ref="E371" ca="1">IFERROR(_xlfn.XLOOKUP(C371&amp;A371, Inside5!B:B&amp;Inside5!I:I, Inside5!C:C), 0)</f>
        <v>7</v>
      </c>
      <c r="F371" cm="1">
        <f t="array" ref="F371">IFERROR(_xlfn.XLOOKUP(C371&amp;A371, Inside5!B:B&amp;Inside5!I:I, Inside5!D:D), 0)</f>
        <v>2</v>
      </c>
      <c r="G371" cm="1">
        <f t="array" ref="G371">IFERROR(_xlfn.XLOOKUP(C371&amp;A371, Inside5!B:B&amp;Inside5!I:I, Inside5!E:E), 0)</f>
        <v>0.63600000000000001</v>
      </c>
      <c r="H371" cm="1">
        <f t="array" ref="H371">IFERROR(_xlfn.XLOOKUP(C371&amp;A371, TDrate!F:F&amp;TDrate!H:H, TDrate!C:C), "N/A")</f>
        <v>1.38E-2</v>
      </c>
      <c r="I371" cm="1">
        <f t="array" ref="I371">IFERROR(_xlfn.XLOOKUP(C371&amp;A371, TDrate!F:F&amp;TDrate!H:H, TDrate!E:E), "N/A")</f>
        <v>2.0500000000000001E-2</v>
      </c>
      <c r="J371" cm="1">
        <f t="array" ref="J371">IFERROR(_xlfn.XLOOKUP(C371&amp;A371, Inside5!B:B&amp;Inside5!I:I, Inside5!F:F), 0)</f>
        <v>2</v>
      </c>
      <c r="K371" cm="1">
        <f t="array" ref="K371">IFERROR(_xlfn.XLOOKUP(C371&amp;A371, Inside5!B:B&amp;Inside5!I:I, Inside5!G:G), 0)</f>
        <v>2</v>
      </c>
      <c r="L371" cm="1">
        <f t="array" ref="L371">IFERROR(_xlfn.XLOOKUP(C371&amp;A371, Inside5!B:B&amp;Inside5!I:I, Inside5!H:H), 0)</f>
        <v>2</v>
      </c>
      <c r="M371" cm="1">
        <f t="array" ref="M371">IFERROR(_xlfn.XLOOKUP(C371&amp;A371, TDrate!F:F&amp;TDrate!H:H, TDrate!B:B), "N/A")</f>
        <v>3.4500000000000003E-2</v>
      </c>
      <c r="N371" cm="1">
        <f t="array" ref="N371">IFERROR(_xlfn.XLOOKUP(C371&amp;A371, TDrate!F:F&amp;TDrate!H:H, TDrate!D:D), "N/A")</f>
        <v>3.2899999999999999E-2</v>
      </c>
    </row>
    <row r="372" spans="1:14" x14ac:dyDescent="0.45">
      <c r="A372" s="5">
        <v>2023</v>
      </c>
      <c r="B372" s="6" t="s">
        <v>555</v>
      </c>
      <c r="C372" s="7" t="str">
        <f t="shared" si="10"/>
        <v>Ezekiel Elliott</v>
      </c>
      <c r="D372" s="7" t="str">
        <f t="shared" si="11"/>
        <v>NE</v>
      </c>
      <c r="E372" cm="1">
        <f t="array" ref="E372">IFERROR(_xlfn.XLOOKUP(C372&amp;A372, Inside5!B:B&amp;Inside5!I:I, Inside5!C:C), 0)</f>
        <v>5</v>
      </c>
      <c r="F372" cm="1">
        <f t="array" ref="F372">IFERROR(_xlfn.XLOOKUP(C372&amp;A372, Inside5!B:B&amp;Inside5!I:I, Inside5!D:D), 0)</f>
        <v>2</v>
      </c>
      <c r="G372" cm="1">
        <f t="array" ref="G372">IFERROR(_xlfn.XLOOKUP(C372&amp;A372, Inside5!B:B&amp;Inside5!I:I, Inside5!E:E), 0)</f>
        <v>0.625</v>
      </c>
      <c r="H372" cm="1">
        <f t="array" ref="H372">IFERROR(_xlfn.XLOOKUP(C372&amp;A372, TDrate!F:F&amp;TDrate!H:H, TDrate!C:C), "N/A")</f>
        <v>1.6299999999999999E-2</v>
      </c>
      <c r="I372" cm="1">
        <f t="array" ref="I372">IFERROR(_xlfn.XLOOKUP(C372&amp;A372, TDrate!F:F&amp;TDrate!H:H, TDrate!E:E), "N/A")</f>
        <v>1.8200000000000001E-2</v>
      </c>
      <c r="J372" cm="1">
        <f t="array" ref="J372">IFERROR(_xlfn.XLOOKUP(C372&amp;A372, Inside5!B:B&amp;Inside5!I:I, Inside5!F:F), 0)</f>
        <v>0</v>
      </c>
      <c r="K372" cm="1">
        <f t="array" ref="K372">IFERROR(_xlfn.XLOOKUP(C372&amp;A372, Inside5!B:B&amp;Inside5!I:I, Inside5!G:G), 0)</f>
        <v>0</v>
      </c>
      <c r="L372" cm="1">
        <f t="array" ref="L372">IFERROR(_xlfn.XLOOKUP(C372&amp;A372, Inside5!B:B&amp;Inside5!I:I, Inside5!H:H), 0)</f>
        <v>0</v>
      </c>
      <c r="M372" cm="1">
        <f t="array" ref="M372">IFERROR(_xlfn.XLOOKUP(C372&amp;A372, TDrate!F:F&amp;TDrate!H:H, TDrate!B:B), "N/A")</f>
        <v>3.0800000000000001E-2</v>
      </c>
      <c r="N372" cm="1">
        <f t="array" ref="N372">IFERROR(_xlfn.XLOOKUP(C372&amp;A372, TDrate!F:F&amp;TDrate!H:H, TDrate!D:D), "N/A")</f>
        <v>2.1499999999999998E-2</v>
      </c>
    </row>
    <row r="373" spans="1:14" x14ac:dyDescent="0.45">
      <c r="A373" s="8">
        <v>2023</v>
      </c>
      <c r="B373" s="9" t="s">
        <v>337</v>
      </c>
      <c r="C373" s="10" t="str">
        <f t="shared" si="10"/>
        <v>Tyler Allgeier</v>
      </c>
      <c r="D373" s="10" t="str">
        <f t="shared" si="11"/>
        <v>ATL</v>
      </c>
      <c r="E373" cm="1">
        <f t="array" aca="1" ref="E373" ca="1">IFERROR(_xlfn.XLOOKUP(C373&amp;A373, Inside5!B:B&amp;Inside5!I:I, Inside5!C:C), 0)</f>
        <v>6</v>
      </c>
      <c r="F373" cm="1">
        <f t="array" aca="1" ref="F373" ca="1">IFERROR(_xlfn.XLOOKUP(C373&amp;A373, Inside5!B:B&amp;Inside5!I:I, Inside5!D:D), 0)</f>
        <v>3</v>
      </c>
      <c r="G373" cm="1">
        <f t="array" ref="G373">IFERROR(_xlfn.XLOOKUP(C373&amp;A373, Inside5!B:B&amp;Inside5!I:I, Inside5!E:E), 0)</f>
        <v>0.6</v>
      </c>
      <c r="H373" cm="1">
        <f t="array" ref="H373">IFERROR(_xlfn.XLOOKUP(C373&amp;A373, TDrate!F:F&amp;TDrate!H:H, TDrate!C:C), "N/A")</f>
        <v>2.1499999999999998E-2</v>
      </c>
      <c r="I373" cm="1">
        <f t="array" ref="I373">IFERROR(_xlfn.XLOOKUP(C373&amp;A373, TDrate!F:F&amp;TDrate!H:H, TDrate!E:E), "N/A")</f>
        <v>2.3599999999999999E-2</v>
      </c>
      <c r="J373" cm="1">
        <f t="array" ref="J373">IFERROR(_xlfn.XLOOKUP(C373&amp;A373, Inside5!B:B&amp;Inside5!I:I, Inside5!F:F), 0)</f>
        <v>0</v>
      </c>
      <c r="K373" cm="1">
        <f t="array" ref="K373">IFERROR(_xlfn.XLOOKUP(C373&amp;A373, Inside5!B:B&amp;Inside5!I:I, Inside5!G:G), 0)</f>
        <v>0</v>
      </c>
      <c r="L373" cm="1">
        <f t="array" ref="L373">IFERROR(_xlfn.XLOOKUP(C373&amp;A373, Inside5!B:B&amp;Inside5!I:I, Inside5!H:H), 0)</f>
        <v>0</v>
      </c>
      <c r="M373" cm="1">
        <f t="array" ref="M373">IFERROR(_xlfn.XLOOKUP(C373&amp;A373, TDrate!F:F&amp;TDrate!H:H, TDrate!B:B), "N/A")</f>
        <v>4.3499999999999997E-2</v>
      </c>
      <c r="N373" cm="1">
        <f t="array" ref="N373">IFERROR(_xlfn.XLOOKUP(C373&amp;A373, TDrate!F:F&amp;TDrate!H:H, TDrate!D:D), "N/A")</f>
        <v>3.1199999999999999E-2</v>
      </c>
    </row>
    <row r="374" spans="1:14" x14ac:dyDescent="0.45">
      <c r="A374" s="5">
        <v>2023</v>
      </c>
      <c r="B374" s="6" t="s">
        <v>330</v>
      </c>
      <c r="C374" s="7" t="str">
        <f t="shared" si="10"/>
        <v>Rhamondre Stevenson</v>
      </c>
      <c r="D374" s="7" t="str">
        <f t="shared" si="11"/>
        <v>NE</v>
      </c>
      <c r="E374" cm="1">
        <f t="array" ref="E374">IFERROR(_xlfn.XLOOKUP(C374&amp;A374, Inside5!B:B&amp;Inside5!I:I, Inside5!C:C), 0)</f>
        <v>3</v>
      </c>
      <c r="F374" cm="1">
        <f t="array" ref="F374">IFERROR(_xlfn.XLOOKUP(C374&amp;A374, Inside5!B:B&amp;Inside5!I:I, Inside5!D:D), 0)</f>
        <v>2</v>
      </c>
      <c r="G374" cm="1">
        <f t="array" ref="G374">IFERROR(_xlfn.XLOOKUP(C374&amp;A374, Inside5!B:B&amp;Inside5!I:I, Inside5!E:E), 0)</f>
        <v>0.375</v>
      </c>
      <c r="H374" cm="1">
        <f t="array" ref="H374">IFERROR(_xlfn.XLOOKUP(C374&amp;A374, TDrate!F:F&amp;TDrate!H:H, TDrate!C:C), "N/A")</f>
        <v>2.5600000000000001E-2</v>
      </c>
      <c r="I374" cm="1">
        <f t="array" ref="I374">IFERROR(_xlfn.XLOOKUP(C374&amp;A374, TDrate!F:F&amp;TDrate!H:H, TDrate!E:E), "N/A")</f>
        <v>2.18E-2</v>
      </c>
      <c r="J374" cm="1">
        <f t="array" ref="J374">IFERROR(_xlfn.XLOOKUP(C374&amp;A374, Inside5!B:B&amp;Inside5!I:I, Inside5!F:F), 0)</f>
        <v>0</v>
      </c>
      <c r="K374" cm="1">
        <f t="array" ref="K374">IFERROR(_xlfn.XLOOKUP(C374&amp;A374, Inside5!B:B&amp;Inside5!I:I, Inside5!G:G), 0)</f>
        <v>0</v>
      </c>
      <c r="L374" cm="1">
        <f t="array" ref="L374">IFERROR(_xlfn.XLOOKUP(C374&amp;A374, Inside5!B:B&amp;Inside5!I:I, Inside5!H:H), 0)</f>
        <v>0</v>
      </c>
      <c r="M374" cm="1">
        <f t="array" ref="M374">IFERROR(_xlfn.XLOOKUP(C374&amp;A374, TDrate!F:F&amp;TDrate!H:H, TDrate!B:B), "N/A")</f>
        <v>0</v>
      </c>
      <c r="N374" cm="1">
        <f t="array" ref="N374">IFERROR(_xlfn.XLOOKUP(C374&amp;A374, TDrate!F:F&amp;TDrate!H:H, TDrate!D:D), "N/A")</f>
        <v>6.7000000000000002E-3</v>
      </c>
    </row>
    <row r="375" spans="1:14" x14ac:dyDescent="0.45">
      <c r="A375" s="8">
        <v>2023</v>
      </c>
      <c r="B375" s="9" t="s">
        <v>556</v>
      </c>
      <c r="C375" s="10" t="str">
        <f t="shared" si="10"/>
        <v>Aaron Jones Sr.</v>
      </c>
      <c r="D375" s="10" t="str">
        <f t="shared" si="11"/>
        <v>GB</v>
      </c>
      <c r="E375" cm="1">
        <f t="array" aca="1" ref="E375" ca="1">IFERROR(_xlfn.XLOOKUP(C375&amp;A375, Inside5!B:B&amp;Inside5!I:I, Inside5!C:C), 0)</f>
        <v>7</v>
      </c>
      <c r="F375" cm="1">
        <f t="array" ref="F375">IFERROR(_xlfn.XLOOKUP(C375&amp;A375, Inside5!B:B&amp;Inside5!I:I, Inside5!D:D), 0)</f>
        <v>2</v>
      </c>
      <c r="G375" cm="1">
        <f t="array" ref="G375">IFERROR(_xlfn.XLOOKUP(C375&amp;A375, Inside5!B:B&amp;Inside5!I:I, Inside5!E:E), 0)</f>
        <v>0.38900000000000001</v>
      </c>
      <c r="H375" cm="1">
        <f t="array" ref="H375">IFERROR(_xlfn.XLOOKUP(C375&amp;A375, TDrate!F:F&amp;TDrate!H:H, TDrate!C:C), "N/A")</f>
        <v>1.41E-2</v>
      </c>
      <c r="I375" cm="1">
        <f t="array" ref="I375">IFERROR(_xlfn.XLOOKUP(C375&amp;A375, TDrate!F:F&amp;TDrate!H:H, TDrate!E:E), "N/A")</f>
        <v>2.3699999999999999E-2</v>
      </c>
      <c r="J375" cm="1">
        <f t="array" ref="J375">IFERROR(_xlfn.XLOOKUP(C375&amp;A375, Inside5!B:B&amp;Inside5!I:I, Inside5!F:F), 0)</f>
        <v>0</v>
      </c>
      <c r="K375" cm="1">
        <f t="array" ref="K375">IFERROR(_xlfn.XLOOKUP(C375&amp;A375, Inside5!B:B&amp;Inside5!I:I, Inside5!G:G), 0)</f>
        <v>0</v>
      </c>
      <c r="L375" cm="1">
        <f t="array" ref="L375">IFERROR(_xlfn.XLOOKUP(C375&amp;A375, Inside5!B:B&amp;Inside5!I:I, Inside5!H:H), 0)</f>
        <v>0</v>
      </c>
      <c r="M375" cm="1">
        <f t="array" ref="M375">IFERROR(_xlfn.XLOOKUP(C375&amp;A375, TDrate!F:F&amp;TDrate!H:H, TDrate!B:B), "N/A")</f>
        <v>2.3300000000000001E-2</v>
      </c>
      <c r="N375" cm="1">
        <f t="array" ref="N375">IFERROR(_xlfn.XLOOKUP(C375&amp;A375, TDrate!F:F&amp;TDrate!H:H, TDrate!D:D), "N/A")</f>
        <v>2.8000000000000001E-2</v>
      </c>
    </row>
    <row r="376" spans="1:14" x14ac:dyDescent="0.45">
      <c r="A376" s="5">
        <v>2023</v>
      </c>
      <c r="B376" s="6" t="s">
        <v>557</v>
      </c>
      <c r="C376" s="7" t="str">
        <f t="shared" si="10"/>
        <v>Kareem Hunt</v>
      </c>
      <c r="D376" s="7" t="str">
        <f t="shared" si="11"/>
        <v>CLE</v>
      </c>
      <c r="E376" cm="1">
        <f t="array" aca="1" ref="E376" ca="1">IFERROR(_xlfn.XLOOKUP(C376&amp;A376, Inside5!B:B&amp;Inside5!I:I, Inside5!C:C), 0)</f>
        <v>12</v>
      </c>
      <c r="F376" cm="1">
        <f t="array" aca="1" ref="F376" ca="1">IFERROR(_xlfn.XLOOKUP(C376&amp;A376, Inside5!B:B&amp;Inside5!I:I, Inside5!D:D), 0)</f>
        <v>7</v>
      </c>
      <c r="G376" cm="1">
        <f t="array" ref="G376">IFERROR(_xlfn.XLOOKUP(C376&amp;A376, Inside5!B:B&amp;Inside5!I:I, Inside5!E:E), 0)</f>
        <v>0.66700000000000004</v>
      </c>
      <c r="H376" cm="1">
        <f t="array" ref="H376">IFERROR(_xlfn.XLOOKUP(C376&amp;A376, TDrate!F:F&amp;TDrate!H:H, TDrate!C:C), "N/A")</f>
        <v>6.6699999999999995E-2</v>
      </c>
      <c r="I376" cm="1">
        <f t="array" ref="I376">IFERROR(_xlfn.XLOOKUP(C376&amp;A376, TDrate!F:F&amp;TDrate!H:H, TDrate!E:E), "N/A")</f>
        <v>5.74E-2</v>
      </c>
      <c r="J376" cm="1">
        <f t="array" ref="J376">IFERROR(_xlfn.XLOOKUP(C376&amp;A376, Inside5!B:B&amp;Inside5!I:I, Inside5!F:F), 0)</f>
        <v>0</v>
      </c>
      <c r="K376" cm="1">
        <f t="array" ref="K376">IFERROR(_xlfn.XLOOKUP(C376&amp;A376, Inside5!B:B&amp;Inside5!I:I, Inside5!G:G), 0)</f>
        <v>0</v>
      </c>
      <c r="L376" cm="1">
        <f t="array" ref="L376">IFERROR(_xlfn.XLOOKUP(C376&amp;A376, Inside5!B:B&amp;Inside5!I:I, Inside5!H:H), 0)</f>
        <v>0</v>
      </c>
      <c r="M376" cm="1">
        <f t="array" ref="M376">IFERROR(_xlfn.XLOOKUP(C376&amp;A376, TDrate!F:F&amp;TDrate!H:H, TDrate!B:B), "N/A")</f>
        <v>0</v>
      </c>
      <c r="N376" cm="1">
        <f t="array" ref="N376">IFERROR(_xlfn.XLOOKUP(C376&amp;A376, TDrate!F:F&amp;TDrate!H:H, TDrate!D:D), "N/A")</f>
        <v>4.8999999999999998E-3</v>
      </c>
    </row>
    <row r="377" spans="1:14" x14ac:dyDescent="0.45">
      <c r="A377" s="8">
        <v>2023</v>
      </c>
      <c r="B377" s="9" t="s">
        <v>558</v>
      </c>
      <c r="C377" s="10" t="str">
        <f t="shared" si="10"/>
        <v>Alexander Mattison</v>
      </c>
      <c r="D377" s="10" t="str">
        <f t="shared" si="11"/>
        <v>MIN</v>
      </c>
      <c r="E377" cm="1">
        <f t="array" aca="1" ref="E377" ca="1">IFERROR(_xlfn.XLOOKUP(C377&amp;A377, Inside5!B:B&amp;Inside5!I:I, Inside5!C:C), 0)</f>
        <v>9</v>
      </c>
      <c r="F377" cm="1">
        <f t="array" aca="1" ref="F377" ca="1">IFERROR(_xlfn.XLOOKUP(C377&amp;A377, Inside5!B:B&amp;Inside5!I:I, Inside5!D:D), 0)</f>
        <v>0</v>
      </c>
      <c r="G377" cm="1">
        <f t="array" ref="G377">IFERROR(_xlfn.XLOOKUP(C377&amp;A377, Inside5!B:B&amp;Inside5!I:I, Inside5!E:E), 0)</f>
        <v>0.75</v>
      </c>
      <c r="H377" cm="1">
        <f t="array" ref="H377">IFERROR(_xlfn.XLOOKUP(C377&amp;A377, TDrate!F:F&amp;TDrate!H:H, TDrate!C:C), "N/A")</f>
        <v>0</v>
      </c>
      <c r="I377" cm="1">
        <f t="array" ref="I377">IFERROR(_xlfn.XLOOKUP(C377&amp;A377, TDrate!F:F&amp;TDrate!H:H, TDrate!E:E), "N/A")</f>
        <v>1.3899999999999999E-2</v>
      </c>
      <c r="J377" cm="1">
        <f t="array" ref="J377">IFERROR(_xlfn.XLOOKUP(C377&amp;A377, Inside5!B:B&amp;Inside5!I:I, Inside5!F:F), 0)</f>
        <v>2</v>
      </c>
      <c r="K377" cm="1">
        <f t="array" ref="K377">IFERROR(_xlfn.XLOOKUP(C377&amp;A377, Inside5!B:B&amp;Inside5!I:I, Inside5!G:G), 0)</f>
        <v>4</v>
      </c>
      <c r="L377" cm="1">
        <f t="array" ref="L377">IFERROR(_xlfn.XLOOKUP(C377&amp;A377, Inside5!B:B&amp;Inside5!I:I, Inside5!H:H), 0)</f>
        <v>2</v>
      </c>
      <c r="M377" cm="1">
        <f t="array" ref="M377">IFERROR(_xlfn.XLOOKUP(C377&amp;A377, TDrate!F:F&amp;TDrate!H:H, TDrate!B:B), "N/A")</f>
        <v>6.8199999999999997E-2</v>
      </c>
      <c r="N377" cm="1">
        <f t="array" ref="N377">IFERROR(_xlfn.XLOOKUP(C377&amp;A377, TDrate!F:F&amp;TDrate!H:H, TDrate!D:D), "N/A")</f>
        <v>6.8699999999999997E-2</v>
      </c>
    </row>
    <row r="378" spans="1:14" x14ac:dyDescent="0.45">
      <c r="A378" s="5">
        <v>2023</v>
      </c>
      <c r="B378" s="6" t="s">
        <v>355</v>
      </c>
      <c r="C378" s="7" t="str">
        <f t="shared" si="10"/>
        <v>Tyjae Spears</v>
      </c>
      <c r="D378" s="7" t="str">
        <f t="shared" si="11"/>
        <v>TEN</v>
      </c>
      <c r="E378" cm="1">
        <f t="array" ref="E378">IFERROR(_xlfn.XLOOKUP(C378&amp;A378, Inside5!B:B&amp;Inside5!I:I, Inside5!C:C), 0)</f>
        <v>2</v>
      </c>
      <c r="F378" cm="1">
        <f t="array" ref="F378">IFERROR(_xlfn.XLOOKUP(C378&amp;A378, Inside5!B:B&amp;Inside5!I:I, Inside5!D:D), 0)</f>
        <v>0</v>
      </c>
      <c r="G378" cm="1">
        <f t="array" ref="G378">IFERROR(_xlfn.XLOOKUP(C378&amp;A378, Inside5!B:B&amp;Inside5!I:I, Inside5!E:E), 0)</f>
        <v>0.11799999999999999</v>
      </c>
      <c r="H378" cm="1">
        <f t="array" ref="H378">IFERROR(_xlfn.XLOOKUP(C378&amp;A378, TDrate!F:F&amp;TDrate!H:H, TDrate!C:C), "N/A")</f>
        <v>0.02</v>
      </c>
      <c r="I378" cm="1">
        <f t="array" ref="I378">IFERROR(_xlfn.XLOOKUP(C378&amp;A378, TDrate!F:F&amp;TDrate!H:H, TDrate!E:E), "N/A")</f>
        <v>2.01E-2</v>
      </c>
      <c r="J378" cm="1">
        <f t="array" ref="J378">IFERROR(_xlfn.XLOOKUP(C378&amp;A378, Inside5!B:B&amp;Inside5!I:I, Inside5!F:F), 0)</f>
        <v>0</v>
      </c>
      <c r="K378" cm="1">
        <f t="array" ref="K378">IFERROR(_xlfn.XLOOKUP(C378&amp;A378, Inside5!B:B&amp;Inside5!I:I, Inside5!G:G), 0)</f>
        <v>1</v>
      </c>
      <c r="L378" cm="1">
        <f t="array" ref="L378">IFERROR(_xlfn.XLOOKUP(C378&amp;A378, Inside5!B:B&amp;Inside5!I:I, Inside5!H:H), 0)</f>
        <v>0</v>
      </c>
      <c r="M378" cm="1">
        <f t="array" ref="M378">IFERROR(_xlfn.XLOOKUP(C378&amp;A378, TDrate!F:F&amp;TDrate!H:H, TDrate!B:B), "N/A")</f>
        <v>1.43E-2</v>
      </c>
      <c r="N378" cm="1">
        <f t="array" ref="N378">IFERROR(_xlfn.XLOOKUP(C378&amp;A378, TDrate!F:F&amp;TDrate!H:H, TDrate!D:D), "N/A")</f>
        <v>1.83E-2</v>
      </c>
    </row>
    <row r="379" spans="1:14" x14ac:dyDescent="0.45">
      <c r="A379" s="8">
        <v>2023</v>
      </c>
      <c r="B379" s="9" t="s">
        <v>559</v>
      </c>
      <c r="C379" s="10" t="str">
        <f t="shared" si="10"/>
        <v>AJ Dillon</v>
      </c>
      <c r="D379" s="10" t="str">
        <f t="shared" si="11"/>
        <v>GB</v>
      </c>
      <c r="E379" cm="1">
        <f t="array" aca="1" ref="E379" ca="1">IFERROR(_xlfn.XLOOKUP(C379&amp;A379, Inside5!B:B&amp;Inside5!I:I, Inside5!C:C), 0)</f>
        <v>10</v>
      </c>
      <c r="F379" cm="1">
        <f t="array" aca="1" ref="F379" ca="1">IFERROR(_xlfn.XLOOKUP(C379&amp;A379, Inside5!B:B&amp;Inside5!I:I, Inside5!D:D), 0)</f>
        <v>2</v>
      </c>
      <c r="G379" cm="1">
        <f t="array" ref="G379">IFERROR(_xlfn.XLOOKUP(C379&amp;A379, Inside5!B:B&amp;Inside5!I:I, Inside5!E:E), 0)</f>
        <v>0.55600000000000005</v>
      </c>
      <c r="H379" cm="1">
        <f t="array" ref="H379">IFERROR(_xlfn.XLOOKUP(C379&amp;A379, TDrate!F:F&amp;TDrate!H:H, TDrate!C:C), "N/A")</f>
        <v>1.12E-2</v>
      </c>
      <c r="I379" cm="1">
        <f t="array" ref="I379">IFERROR(_xlfn.XLOOKUP(C379&amp;A379, TDrate!F:F&amp;TDrate!H:H, TDrate!E:E), "N/A")</f>
        <v>2.3199999999999998E-2</v>
      </c>
      <c r="J379" cm="1">
        <f t="array" ref="J379">IFERROR(_xlfn.XLOOKUP(C379&amp;A379, Inside5!B:B&amp;Inside5!I:I, Inside5!F:F), 0)</f>
        <v>0</v>
      </c>
      <c r="K379" cm="1">
        <f t="array" ref="K379">IFERROR(_xlfn.XLOOKUP(C379&amp;A379, Inside5!B:B&amp;Inside5!I:I, Inside5!G:G), 0)</f>
        <v>0</v>
      </c>
      <c r="L379" cm="1">
        <f t="array" ref="L379">IFERROR(_xlfn.XLOOKUP(C379&amp;A379, Inside5!B:B&amp;Inside5!I:I, Inside5!H:H), 0)</f>
        <v>0</v>
      </c>
      <c r="M379" cm="1">
        <f t="array" ref="M379">IFERROR(_xlfn.XLOOKUP(C379&amp;A379, TDrate!F:F&amp;TDrate!H:H, TDrate!B:B), "N/A")</f>
        <v>0</v>
      </c>
      <c r="N379" cm="1">
        <f t="array" ref="N379">IFERROR(_xlfn.XLOOKUP(C379&amp;A379, TDrate!F:F&amp;TDrate!H:H, TDrate!D:D), "N/A")</f>
        <v>5.4000000000000003E-3</v>
      </c>
    </row>
    <row r="380" spans="1:14" x14ac:dyDescent="0.45">
      <c r="A380" s="5">
        <v>2023</v>
      </c>
      <c r="B380" s="6" t="s">
        <v>560</v>
      </c>
      <c r="C380" s="7" t="str">
        <f t="shared" si="10"/>
        <v>Khalil Herbert</v>
      </c>
      <c r="D380" s="7" t="str">
        <f t="shared" si="11"/>
        <v>CHI</v>
      </c>
      <c r="E380" cm="1">
        <f t="array" ref="E380">IFERROR(_xlfn.XLOOKUP(C380&amp;A380, Inside5!B:B&amp;Inside5!I:I, Inside5!C:C), 0)</f>
        <v>1</v>
      </c>
      <c r="F380" cm="1">
        <f t="array" ref="F380">IFERROR(_xlfn.XLOOKUP(C380&amp;A380, Inside5!B:B&amp;Inside5!I:I, Inside5!D:D), 0)</f>
        <v>1</v>
      </c>
      <c r="G380" cm="1">
        <f t="array" ref="G380">IFERROR(_xlfn.XLOOKUP(C380&amp;A380, Inside5!B:B&amp;Inside5!I:I, Inside5!E:E), 0)</f>
        <v>6.7000000000000004E-2</v>
      </c>
      <c r="H380" cm="1">
        <f t="array" ref="H380">IFERROR(_xlfn.XLOOKUP(C380&amp;A380, TDrate!F:F&amp;TDrate!H:H, TDrate!C:C), "N/A")</f>
        <v>1.52E-2</v>
      </c>
      <c r="I380" cm="1">
        <f t="array" ref="I380">IFERROR(_xlfn.XLOOKUP(C380&amp;A380, TDrate!F:F&amp;TDrate!H:H, TDrate!E:E), "N/A")</f>
        <v>1.41E-2</v>
      </c>
      <c r="J380" cm="1">
        <f t="array" ref="J380">IFERROR(_xlfn.XLOOKUP(C380&amp;A380, Inside5!B:B&amp;Inside5!I:I, Inside5!F:F), 0)</f>
        <v>1</v>
      </c>
      <c r="K380" cm="1">
        <f t="array" aca="1" ref="K380" ca="1">IFERROR(_xlfn.XLOOKUP(C380&amp;A380, Inside5!B:B&amp;Inside5!I:I, Inside5!G:G), 0)</f>
        <v>1</v>
      </c>
      <c r="L380" cm="1">
        <f t="array" ref="L380">IFERROR(_xlfn.XLOOKUP(C380&amp;A380, Inside5!B:B&amp;Inside5!I:I, Inside5!H:H), 0)</f>
        <v>1</v>
      </c>
      <c r="M380" cm="1">
        <f t="array" ref="M380">IFERROR(_xlfn.XLOOKUP(C380&amp;A380, TDrate!F:F&amp;TDrate!H:H, TDrate!B:B), "N/A")</f>
        <v>3.2300000000000002E-2</v>
      </c>
      <c r="N380" cm="1">
        <f t="array" ref="N380">IFERROR(_xlfn.XLOOKUP(C380&amp;A380, TDrate!F:F&amp;TDrate!H:H, TDrate!D:D), "N/A")</f>
        <v>3.3700000000000001E-2</v>
      </c>
    </row>
    <row r="381" spans="1:14" x14ac:dyDescent="0.45">
      <c r="A381" s="8">
        <v>2023</v>
      </c>
      <c r="B381" s="9" t="s">
        <v>382</v>
      </c>
      <c r="C381" s="10" t="str">
        <f t="shared" si="10"/>
        <v>Justice Hill</v>
      </c>
      <c r="D381" s="10" t="str">
        <f t="shared" si="11"/>
        <v>BAL</v>
      </c>
      <c r="E381" cm="1">
        <f t="array" aca="1" ref="E381" ca="1">IFERROR(_xlfn.XLOOKUP(C381&amp;A381, Inside5!B:B&amp;Inside5!I:I, Inside5!C:C), 0)</f>
        <v>4</v>
      </c>
      <c r="F381" cm="1">
        <f t="array" aca="1" ref="F381" ca="1">IFERROR(_xlfn.XLOOKUP(C381&amp;A381, Inside5!B:B&amp;Inside5!I:I, Inside5!D:D), 0)</f>
        <v>2</v>
      </c>
      <c r="G381" cm="1">
        <f t="array" ref="G381">IFERROR(_xlfn.XLOOKUP(C381&amp;A381, Inside5!B:B&amp;Inside5!I:I, Inside5!E:E), 0)</f>
        <v>0.14299999999999999</v>
      </c>
      <c r="H381" cm="1">
        <f t="array" ref="H381">IFERROR(_xlfn.XLOOKUP(C381&amp;A381, TDrate!F:F&amp;TDrate!H:H, TDrate!C:C), "N/A")</f>
        <v>3.5700000000000003E-2</v>
      </c>
      <c r="I381" cm="1">
        <f t="array" ref="I381">IFERROR(_xlfn.XLOOKUP(C381&amp;A381, TDrate!F:F&amp;TDrate!H:H, TDrate!E:E), "N/A")</f>
        <v>3.6499999999999998E-2</v>
      </c>
      <c r="J381" cm="1">
        <f t="array" ref="J381">IFERROR(_xlfn.XLOOKUP(C381&amp;A381, Inside5!B:B&amp;Inside5!I:I, Inside5!F:F), 0)</f>
        <v>0</v>
      </c>
      <c r="K381" cm="1">
        <f t="array" ref="K381">IFERROR(_xlfn.XLOOKUP(C381&amp;A381, Inside5!B:B&amp;Inside5!I:I, Inside5!G:G), 0)</f>
        <v>0</v>
      </c>
      <c r="L381" cm="1">
        <f t="array" ref="L381">IFERROR(_xlfn.XLOOKUP(C381&amp;A381, Inside5!B:B&amp;Inside5!I:I, Inside5!H:H), 0)</f>
        <v>0</v>
      </c>
      <c r="M381" cm="1">
        <f t="array" ref="M381">IFERROR(_xlfn.XLOOKUP(C381&amp;A381, TDrate!F:F&amp;TDrate!H:H, TDrate!B:B), "N/A")</f>
        <v>2.5600000000000001E-2</v>
      </c>
      <c r="N381" cm="1">
        <f t="array" ref="N381">IFERROR(_xlfn.XLOOKUP(C381&amp;A381, TDrate!F:F&amp;TDrate!H:H, TDrate!D:D), "N/A")</f>
        <v>1.7500000000000002E-2</v>
      </c>
    </row>
    <row r="382" spans="1:14" x14ac:dyDescent="0.45">
      <c r="A382" s="5">
        <v>2023</v>
      </c>
      <c r="B382" s="6" t="s">
        <v>561</v>
      </c>
      <c r="C382" s="7" t="str">
        <f t="shared" si="10"/>
        <v>D'Onta Foreman</v>
      </c>
      <c r="D382" s="7" t="str">
        <f t="shared" si="11"/>
        <v>CHI</v>
      </c>
      <c r="E382" cm="1">
        <f t="array" aca="1" ref="E382" ca="1">IFERROR(_xlfn.XLOOKUP(C382&amp;A382, Inside5!B:B&amp;Inside5!I:I, Inside5!C:C), 0)</f>
        <v>7</v>
      </c>
      <c r="F382" cm="1">
        <f t="array" aca="1" ref="F382" ca="1">IFERROR(_xlfn.XLOOKUP(C382&amp;A382, Inside5!B:B&amp;Inside5!I:I, Inside5!D:D), 0)</f>
        <v>4</v>
      </c>
      <c r="G382" cm="1">
        <f t="array" ref="G382">IFERROR(_xlfn.XLOOKUP(C382&amp;A382, Inside5!B:B&amp;Inside5!I:I, Inside5!E:E), 0)</f>
        <v>0.46700000000000003</v>
      </c>
      <c r="H382" cm="1">
        <f t="array" ref="H382">IFERROR(_xlfn.XLOOKUP(C382&amp;A382, TDrate!F:F&amp;TDrate!H:H, TDrate!C:C), "N/A")</f>
        <v>3.6700000000000003E-2</v>
      </c>
      <c r="I382" cm="1">
        <f t="array" ref="I382">IFERROR(_xlfn.XLOOKUP(C382&amp;A382, TDrate!F:F&amp;TDrate!H:H, TDrate!E:E), "N/A")</f>
        <v>3.5499999999999997E-2</v>
      </c>
      <c r="J382" cm="1">
        <f t="array" ref="J382">IFERROR(_xlfn.XLOOKUP(C382&amp;A382, Inside5!B:B&amp;Inside5!I:I, Inside5!F:F), 0)</f>
        <v>1</v>
      </c>
      <c r="K382" cm="1">
        <f t="array" aca="1" ref="K382" ca="1">IFERROR(_xlfn.XLOOKUP(C382&amp;A382, Inside5!B:B&amp;Inside5!I:I, Inside5!G:G), 0)</f>
        <v>1</v>
      </c>
      <c r="L382" cm="1">
        <f t="array" ref="L382">IFERROR(_xlfn.XLOOKUP(C382&amp;A382, Inside5!B:B&amp;Inside5!I:I, Inside5!H:H), 0)</f>
        <v>1</v>
      </c>
      <c r="M382" cm="1">
        <f t="array" ref="M382">IFERROR(_xlfn.XLOOKUP(C382&amp;A382, TDrate!F:F&amp;TDrate!H:H, TDrate!B:B), "N/A")</f>
        <v>6.25E-2</v>
      </c>
      <c r="N382" cm="1">
        <f t="array" ref="N382">IFERROR(_xlfn.XLOOKUP(C382&amp;A382, TDrate!F:F&amp;TDrate!H:H, TDrate!D:D), "N/A")</f>
        <v>5.67E-2</v>
      </c>
    </row>
    <row r="383" spans="1:14" x14ac:dyDescent="0.45">
      <c r="A383" s="8">
        <v>2023</v>
      </c>
      <c r="B383" s="9" t="s">
        <v>400</v>
      </c>
      <c r="C383" s="10" t="str">
        <f t="shared" si="10"/>
        <v>Ty Chandler</v>
      </c>
      <c r="D383" s="10" t="str">
        <f t="shared" si="11"/>
        <v>MIN</v>
      </c>
      <c r="E383" cm="1">
        <f t="array" aca="1" ref="E383" ca="1">IFERROR(_xlfn.XLOOKUP(C383&amp;A383, Inside5!B:B&amp;Inside5!I:I, Inside5!C:C), 0)</f>
        <v>3</v>
      </c>
      <c r="F383" cm="1">
        <f t="array" aca="1" ref="F383" ca="1">IFERROR(_xlfn.XLOOKUP(C383&amp;A383, Inside5!B:B&amp;Inside5!I:I, Inside5!D:D), 0)</f>
        <v>3</v>
      </c>
      <c r="G383" cm="1">
        <f t="array" ref="G383">IFERROR(_xlfn.XLOOKUP(C383&amp;A383, Inside5!B:B&amp;Inside5!I:I, Inside5!E:E), 0)</f>
        <v>0.25</v>
      </c>
      <c r="H383" cm="1">
        <f t="array" ref="H383">IFERROR(_xlfn.XLOOKUP(C383&amp;A383, TDrate!F:F&amp;TDrate!H:H, TDrate!C:C), "N/A")</f>
        <v>2.9399999999999999E-2</v>
      </c>
      <c r="I383" cm="1">
        <f t="array" ref="I383">IFERROR(_xlfn.XLOOKUP(C383&amp;A383, TDrate!F:F&amp;TDrate!H:H, TDrate!E:E), "N/A")</f>
        <v>2.4500000000000001E-2</v>
      </c>
      <c r="J383" cm="1">
        <f t="array" ref="J383">IFERROR(_xlfn.XLOOKUP(C383&amp;A383, Inside5!B:B&amp;Inside5!I:I, Inside5!F:F), 0)</f>
        <v>0</v>
      </c>
      <c r="K383" cm="1">
        <f t="array" aca="1" ref="K383" ca="1">IFERROR(_xlfn.XLOOKUP(C383&amp;A383, Inside5!B:B&amp;Inside5!I:I, Inside5!G:G), 0)</f>
        <v>0</v>
      </c>
      <c r="L383" cm="1">
        <f t="array" aca="1" ref="L383" ca="1">IFERROR(_xlfn.XLOOKUP(C383&amp;A383, Inside5!B:B&amp;Inside5!I:I, Inside5!H:H), 0)</f>
        <v>0</v>
      </c>
      <c r="M383" cm="1">
        <f t="array" ref="M383">IFERROR(_xlfn.XLOOKUP(C383&amp;A383, TDrate!F:F&amp;TDrate!H:H, TDrate!B:B), "N/A")</f>
        <v>0</v>
      </c>
      <c r="N383" cm="1">
        <f t="array" ref="N383">IFERROR(_xlfn.XLOOKUP(C383&amp;A383, TDrate!F:F&amp;TDrate!H:H, TDrate!D:D), "N/A")</f>
        <v>1.41E-2</v>
      </c>
    </row>
    <row r="384" spans="1:14" x14ac:dyDescent="0.45">
      <c r="A384" s="5">
        <v>2023</v>
      </c>
      <c r="B384" s="6" t="s">
        <v>562</v>
      </c>
      <c r="C384" s="7" t="str">
        <f t="shared" si="10"/>
        <v>Antonio Gibson</v>
      </c>
      <c r="D384" s="7" t="str">
        <f t="shared" si="11"/>
        <v>WAS</v>
      </c>
      <c r="E384" cm="1">
        <f t="array" aca="1" ref="E384" ca="1">IFERROR(_xlfn.XLOOKUP(C384&amp;A384, Inside5!B:B&amp;Inside5!I:I, Inside5!C:C), 0)</f>
        <v>1</v>
      </c>
      <c r="F384" cm="1">
        <f t="array" aca="1" ref="F384" ca="1">IFERROR(_xlfn.XLOOKUP(C384&amp;A384, Inside5!B:B&amp;Inside5!I:I, Inside5!D:D), 0)</f>
        <v>1</v>
      </c>
      <c r="G384" cm="1">
        <f t="array" ref="G384">IFERROR(_xlfn.XLOOKUP(C384&amp;A384, Inside5!B:B&amp;Inside5!I:I, Inside5!E:E), 0)</f>
        <v>7.6999999999999999E-2</v>
      </c>
      <c r="H384" cm="1">
        <f t="array" ref="H384">IFERROR(_xlfn.XLOOKUP(C384&amp;A384, TDrate!F:F&amp;TDrate!H:H, TDrate!C:C), "N/A")</f>
        <v>1.54E-2</v>
      </c>
      <c r="I384" cm="1">
        <f t="array" ref="I384">IFERROR(_xlfn.XLOOKUP(C384&amp;A384, TDrate!F:F&amp;TDrate!H:H, TDrate!E:E), "N/A")</f>
        <v>1.54E-2</v>
      </c>
      <c r="J384" cm="1">
        <f t="array" ref="J384">IFERROR(_xlfn.XLOOKUP(C384&amp;A384, Inside5!B:B&amp;Inside5!I:I, Inside5!F:F), 0)</f>
        <v>1</v>
      </c>
      <c r="K384" cm="1">
        <f t="array" ref="K384">IFERROR(_xlfn.XLOOKUP(C384&amp;A384, Inside5!B:B&amp;Inside5!I:I, Inside5!G:G), 0)</f>
        <v>1</v>
      </c>
      <c r="L384" cm="1">
        <f t="array" ref="L384">IFERROR(_xlfn.XLOOKUP(C384&amp;A384, Inside5!B:B&amp;Inside5!I:I, Inside5!H:H), 0)</f>
        <v>1</v>
      </c>
      <c r="M384" cm="1">
        <f t="array" ref="M384">IFERROR(_xlfn.XLOOKUP(C384&amp;A384, TDrate!F:F&amp;TDrate!H:H, TDrate!B:B), "N/A")</f>
        <v>3.39E-2</v>
      </c>
      <c r="N384" cm="1">
        <f t="array" ref="N384">IFERROR(_xlfn.XLOOKUP(C384&amp;A384, TDrate!F:F&amp;TDrate!H:H, TDrate!D:D), "N/A")</f>
        <v>2.63E-2</v>
      </c>
    </row>
    <row r="385" spans="1:14" x14ac:dyDescent="0.45">
      <c r="A385" s="8">
        <v>2023</v>
      </c>
      <c r="B385" s="9" t="s">
        <v>367</v>
      </c>
      <c r="C385" s="10" t="str">
        <f t="shared" si="10"/>
        <v>Jaleel McLaughlin</v>
      </c>
      <c r="D385" s="10" t="str">
        <f t="shared" si="11"/>
        <v>DEN</v>
      </c>
      <c r="E385" cm="1">
        <f t="array" aca="1" ref="E385" ca="1">IFERROR(_xlfn.XLOOKUP(C385&amp;A385, Inside5!B:B&amp;Inside5!I:I, Inside5!C:C), 0)</f>
        <v>2</v>
      </c>
      <c r="F385" cm="1">
        <f t="array" aca="1" ref="F385" ca="1">IFERROR(_xlfn.XLOOKUP(C385&amp;A385, Inside5!B:B&amp;Inside5!I:I, Inside5!D:D), 0)</f>
        <v>1</v>
      </c>
      <c r="G385" cm="1">
        <f t="array" ref="G385">IFERROR(_xlfn.XLOOKUP(C385&amp;A385, Inside5!B:B&amp;Inside5!I:I, Inside5!E:E), 0)</f>
        <v>0.182</v>
      </c>
      <c r="H385" cm="1">
        <f t="array" ref="H385">IFERROR(_xlfn.XLOOKUP(C385&amp;A385, TDrate!F:F&amp;TDrate!H:H, TDrate!C:C), "N/A")</f>
        <v>1.32E-2</v>
      </c>
      <c r="I385" cm="1">
        <f t="array" ref="I385">IFERROR(_xlfn.XLOOKUP(C385&amp;A385, TDrate!F:F&amp;TDrate!H:H, TDrate!E:E), "N/A")</f>
        <v>1.5800000000000002E-2</v>
      </c>
      <c r="J385" cm="1">
        <f t="array" ref="J385">IFERROR(_xlfn.XLOOKUP(C385&amp;A385, Inside5!B:B&amp;Inside5!I:I, Inside5!F:F), 0)</f>
        <v>0</v>
      </c>
      <c r="K385" cm="1">
        <f t="array" ref="K385">IFERROR(_xlfn.XLOOKUP(C385&amp;A385, Inside5!B:B&amp;Inside5!I:I, Inside5!G:G), 0)</f>
        <v>0</v>
      </c>
      <c r="L385" cm="1">
        <f t="array" ref="L385">IFERROR(_xlfn.XLOOKUP(C385&amp;A385, Inside5!B:B&amp;Inside5!I:I, Inside5!H:H), 0)</f>
        <v>0</v>
      </c>
      <c r="M385" cm="1">
        <f t="array" ref="M385">IFERROR(_xlfn.XLOOKUP(C385&amp;A385, TDrate!F:F&amp;TDrate!H:H, TDrate!B:B), "N/A")</f>
        <v>5.5599999999999997E-2</v>
      </c>
      <c r="N385" cm="1">
        <f t="array" ref="N385">IFERROR(_xlfn.XLOOKUP(C385&amp;A385, TDrate!F:F&amp;TDrate!H:H, TDrate!D:D), "N/A")</f>
        <v>4.2500000000000003E-2</v>
      </c>
    </row>
    <row r="386" spans="1:14" x14ac:dyDescent="0.45">
      <c r="A386" s="5">
        <v>2023</v>
      </c>
      <c r="B386" s="6" t="s">
        <v>473</v>
      </c>
      <c r="C386" s="7" t="str">
        <f t="shared" ref="C386:C449" si="12">TRIM(LEFT(B386, LEN(B386) - LEN(TRIM(RIGHT(SUBSTITUTE(TRIM(B386)," ",REPT(" ",100)),100)))))</f>
        <v>Rico Dowdle</v>
      </c>
      <c r="D386" s="7" t="str">
        <f t="shared" ref="D386:D449" si="13">MID(B386, FIND("(", B386) + 1, FIND(")", B386) - FIND("(", B386) - 1)</f>
        <v>DAL</v>
      </c>
      <c r="E386" cm="1">
        <f t="array" aca="1" ref="E386" ca="1">IFERROR(_xlfn.XLOOKUP(C386&amp;A386, Inside5!B:B&amp;Inside5!I:I, Inside5!C:C), 0)</f>
        <v>4</v>
      </c>
      <c r="F386" cm="1">
        <f t="array" aca="1" ref="F386" ca="1">IFERROR(_xlfn.XLOOKUP(C386&amp;A386, Inside5!B:B&amp;Inside5!I:I, Inside5!D:D), 0)</f>
        <v>2</v>
      </c>
      <c r="G386" cm="1">
        <f t="array" ref="G386">IFERROR(_xlfn.XLOOKUP(C386&amp;A386, Inside5!B:B&amp;Inside5!I:I, Inside5!E:E), 0)</f>
        <v>0.17399999999999999</v>
      </c>
      <c r="H386" cm="1">
        <f t="array" ref="H386">IFERROR(_xlfn.XLOOKUP(C386&amp;A386, TDrate!F:F&amp;TDrate!H:H, TDrate!C:C), "N/A")</f>
        <v>2.2499999999999999E-2</v>
      </c>
      <c r="I386" cm="1">
        <f t="array" ref="I386">IFERROR(_xlfn.XLOOKUP(C386&amp;A386, TDrate!F:F&amp;TDrate!H:H, TDrate!E:E), "N/A")</f>
        <v>2.6200000000000001E-2</v>
      </c>
      <c r="J386" cm="1">
        <f t="array" ref="J386">IFERROR(_xlfn.XLOOKUP(C386&amp;A386, Inside5!B:B&amp;Inside5!I:I, Inside5!F:F), 0)</f>
        <v>0</v>
      </c>
      <c r="K386" cm="1">
        <f t="array" aca="1" ref="K386" ca="1">IFERROR(_xlfn.XLOOKUP(C386&amp;A386, Inside5!B:B&amp;Inside5!I:I, Inside5!G:G), 0)</f>
        <v>0</v>
      </c>
      <c r="L386" cm="1">
        <f t="array" ref="L386">IFERROR(_xlfn.XLOOKUP(C386&amp;A386, Inside5!B:B&amp;Inside5!I:I, Inside5!H:H), 0)</f>
        <v>0</v>
      </c>
      <c r="M386" cm="1">
        <f t="array" ref="M386">IFERROR(_xlfn.XLOOKUP(C386&amp;A386, TDrate!F:F&amp;TDrate!H:H, TDrate!B:B), "N/A")</f>
        <v>9.0899999999999995E-2</v>
      </c>
      <c r="N386" cm="1">
        <f t="array" ref="N386">IFERROR(_xlfn.XLOOKUP(C386&amp;A386, TDrate!F:F&amp;TDrate!H:H, TDrate!D:D), "N/A")</f>
        <v>5.9900000000000002E-2</v>
      </c>
    </row>
    <row r="387" spans="1:14" x14ac:dyDescent="0.45">
      <c r="A387" s="8">
        <v>2023</v>
      </c>
      <c r="B387" s="9" t="s">
        <v>325</v>
      </c>
      <c r="C387" s="10" t="str">
        <f t="shared" si="12"/>
        <v>Zach Charbonnet</v>
      </c>
      <c r="D387" s="10" t="str">
        <f t="shared" si="13"/>
        <v>SEA</v>
      </c>
      <c r="E387" cm="1">
        <f t="array" aca="1" ref="E387" ca="1">IFERROR(_xlfn.XLOOKUP(C387&amp;A387, Inside5!B:B&amp;Inside5!I:I, Inside5!C:C), 0)</f>
        <v>6</v>
      </c>
      <c r="F387" cm="1">
        <f t="array" aca="1" ref="F387" ca="1">IFERROR(_xlfn.XLOOKUP(C387&amp;A387, Inside5!B:B&amp;Inside5!I:I, Inside5!D:D), 0)</f>
        <v>1</v>
      </c>
      <c r="G387" cm="1">
        <f t="array" ref="G387">IFERROR(_xlfn.XLOOKUP(C387&amp;A387, Inside5!B:B&amp;Inside5!I:I, Inside5!E:E), 0)</f>
        <v>0.28599999999999998</v>
      </c>
      <c r="H387" cm="1">
        <f t="array" ref="H387">IFERROR(_xlfn.XLOOKUP(C387&amp;A387, TDrate!F:F&amp;TDrate!H:H, TDrate!C:C), "N/A")</f>
        <v>9.2999999999999992E-3</v>
      </c>
      <c r="I387" cm="1">
        <f t="array" ref="I387">IFERROR(_xlfn.XLOOKUP(C387&amp;A387, TDrate!F:F&amp;TDrate!H:H, TDrate!E:E), "N/A")</f>
        <v>2.3300000000000001E-2</v>
      </c>
      <c r="J387" cm="1">
        <f t="array" ref="J387">IFERROR(_xlfn.XLOOKUP(C387&amp;A387, Inside5!B:B&amp;Inside5!I:I, Inside5!F:F), 0)</f>
        <v>0</v>
      </c>
      <c r="K387" cm="1">
        <f t="array" ref="K387">IFERROR(_xlfn.XLOOKUP(C387&amp;A387, Inside5!B:B&amp;Inside5!I:I, Inside5!G:G), 0)</f>
        <v>0</v>
      </c>
      <c r="L387" cm="1">
        <f t="array" ref="L387">IFERROR(_xlfn.XLOOKUP(C387&amp;A387, Inside5!B:B&amp;Inside5!I:I, Inside5!H:H), 0)</f>
        <v>0</v>
      </c>
      <c r="M387" cm="1">
        <f t="array" ref="M387">IFERROR(_xlfn.XLOOKUP(C387&amp;A387, TDrate!F:F&amp;TDrate!H:H, TDrate!B:B), "N/A")</f>
        <v>0</v>
      </c>
      <c r="N387" cm="1">
        <f t="array" ref="N387">IFERROR(_xlfn.XLOOKUP(C387&amp;A387, TDrate!F:F&amp;TDrate!H:H, TDrate!D:D), "N/A")</f>
        <v>4.7999999999999996E-3</v>
      </c>
    </row>
    <row r="388" spans="1:14" x14ac:dyDescent="0.45">
      <c r="A388" s="5">
        <v>2023</v>
      </c>
      <c r="B388" s="6" t="s">
        <v>563</v>
      </c>
      <c r="C388" s="7" t="str">
        <f t="shared" si="12"/>
        <v>Samaje Perine</v>
      </c>
      <c r="D388" s="7" t="str">
        <f t="shared" si="13"/>
        <v>DEN</v>
      </c>
      <c r="E388" cm="1">
        <f t="array" ref="E388">IFERROR(_xlfn.XLOOKUP(C388&amp;A388, Inside5!B:B&amp;Inside5!I:I, Inside5!C:C), 0)</f>
        <v>2</v>
      </c>
      <c r="F388" cm="1">
        <f t="array" ref="F388">IFERROR(_xlfn.XLOOKUP(C388&amp;A388, Inside5!B:B&amp;Inside5!I:I, Inside5!D:D), 0)</f>
        <v>1</v>
      </c>
      <c r="G388" cm="1">
        <f t="array" ref="G388">IFERROR(_xlfn.XLOOKUP(C388&amp;A388, Inside5!B:B&amp;Inside5!I:I, Inside5!E:E), 0)</f>
        <v>0.182</v>
      </c>
      <c r="H388" cm="1">
        <f t="array" ref="H388">IFERROR(_xlfn.XLOOKUP(C388&amp;A388, TDrate!F:F&amp;TDrate!H:H, TDrate!C:C), "N/A")</f>
        <v>1.89E-2</v>
      </c>
      <c r="I388" cm="1">
        <f t="array" ref="I388">IFERROR(_xlfn.XLOOKUP(C388&amp;A388, TDrate!F:F&amp;TDrate!H:H, TDrate!E:E), "N/A")</f>
        <v>2.9100000000000001E-2</v>
      </c>
      <c r="J388" cm="1">
        <f t="array" ref="J388">IFERROR(_xlfn.XLOOKUP(C388&amp;A388, Inside5!B:B&amp;Inside5!I:I, Inside5!F:F), 0)</f>
        <v>0</v>
      </c>
      <c r="K388" cm="1">
        <f t="array" ref="K388">IFERROR(_xlfn.XLOOKUP(C388&amp;A388, Inside5!B:B&amp;Inside5!I:I, Inside5!G:G), 0)</f>
        <v>0</v>
      </c>
      <c r="L388" cm="1">
        <f t="array" ref="L388">IFERROR(_xlfn.XLOOKUP(C388&amp;A388, Inside5!B:B&amp;Inside5!I:I, Inside5!H:H), 0)</f>
        <v>0</v>
      </c>
      <c r="M388" cm="1">
        <f t="array" ref="M388">IFERROR(_xlfn.XLOOKUP(C388&amp;A388, TDrate!F:F&amp;TDrate!H:H, TDrate!B:B), "N/A")</f>
        <v>0</v>
      </c>
      <c r="N388" cm="1">
        <f t="array" ref="N388">IFERROR(_xlfn.XLOOKUP(C388&amp;A388, TDrate!F:F&amp;TDrate!H:H, TDrate!D:D), "N/A")</f>
        <v>6.7000000000000002E-3</v>
      </c>
    </row>
    <row r="389" spans="1:14" x14ac:dyDescent="0.45">
      <c r="A389" s="8">
        <v>2023</v>
      </c>
      <c r="B389" s="9" t="s">
        <v>490</v>
      </c>
      <c r="C389" s="10" t="str">
        <f t="shared" si="12"/>
        <v>Dameon Pierce</v>
      </c>
      <c r="D389" s="10" t="str">
        <f t="shared" si="13"/>
        <v>HOU</v>
      </c>
      <c r="E389" cm="1">
        <f t="array" aca="1" ref="E389" ca="1">IFERROR(_xlfn.XLOOKUP(C389&amp;A389, Inside5!B:B&amp;Inside5!I:I, Inside5!C:C), 0)</f>
        <v>9</v>
      </c>
      <c r="F389" cm="1">
        <f t="array" aca="1" ref="F389" ca="1">IFERROR(_xlfn.XLOOKUP(C389&amp;A389, Inside5!B:B&amp;Inside5!I:I, Inside5!D:D), 0)</f>
        <v>2</v>
      </c>
      <c r="G389" cm="1">
        <f t="array" ref="G389">IFERROR(_xlfn.XLOOKUP(C389&amp;A389, Inside5!B:B&amp;Inside5!I:I, Inside5!E:E), 0)</f>
        <v>0.47399999999999998</v>
      </c>
      <c r="H389" cm="1">
        <f t="array" ref="H389">IFERROR(_xlfn.XLOOKUP(C389&amp;A389, TDrate!F:F&amp;TDrate!H:H, TDrate!C:C), "N/A")</f>
        <v>1.38E-2</v>
      </c>
      <c r="I389" cm="1">
        <f t="array" ref="I389">IFERROR(_xlfn.XLOOKUP(C389&amp;A389, TDrate!F:F&amp;TDrate!H:H, TDrate!E:E), "N/A")</f>
        <v>2.41E-2</v>
      </c>
      <c r="J389" cm="1">
        <f t="array" ref="J389">IFERROR(_xlfn.XLOOKUP(C389&amp;A389, Inside5!B:B&amp;Inside5!I:I, Inside5!F:F), 0)</f>
        <v>0</v>
      </c>
      <c r="K389" cm="1">
        <f t="array" aca="1" ref="K389" ca="1">IFERROR(_xlfn.XLOOKUP(C389&amp;A389, Inside5!B:B&amp;Inside5!I:I, Inside5!G:G), 0)</f>
        <v>0</v>
      </c>
      <c r="L389" cm="1">
        <f t="array" ref="L389">IFERROR(_xlfn.XLOOKUP(C389&amp;A389, Inside5!B:B&amp;Inside5!I:I, Inside5!H:H), 0)</f>
        <v>0</v>
      </c>
      <c r="M389" cm="1">
        <f t="array" ref="M389">IFERROR(_xlfn.XLOOKUP(C389&amp;A389, TDrate!F:F&amp;TDrate!H:H, TDrate!B:B), "N/A")</f>
        <v>0</v>
      </c>
      <c r="N389" cm="1">
        <f t="array" ref="N389">IFERROR(_xlfn.XLOOKUP(C389&amp;A389, TDrate!F:F&amp;TDrate!H:H, TDrate!D:D), "N/A")</f>
        <v>6.7999999999999996E-3</v>
      </c>
    </row>
    <row r="390" spans="1:14" x14ac:dyDescent="0.45">
      <c r="A390" s="5">
        <v>2023</v>
      </c>
      <c r="B390" s="6" t="s">
        <v>422</v>
      </c>
      <c r="C390" s="7" t="str">
        <f t="shared" si="12"/>
        <v>Roschon Johnson</v>
      </c>
      <c r="D390" s="7" t="str">
        <f t="shared" si="13"/>
        <v>CHI</v>
      </c>
      <c r="E390" cm="1">
        <f t="array" aca="1" ref="E390" ca="1">IFERROR(_xlfn.XLOOKUP(C390&amp;A390, Inside5!B:B&amp;Inside5!I:I, Inside5!C:C), 0)</f>
        <v>6</v>
      </c>
      <c r="F390" cm="1">
        <f t="array" aca="1" ref="F390" ca="1">IFERROR(_xlfn.XLOOKUP(C390&amp;A390, Inside5!B:B&amp;Inside5!I:I, Inside5!D:D), 0)</f>
        <v>2</v>
      </c>
      <c r="G390" cm="1">
        <f t="array" ref="G390">IFERROR(_xlfn.XLOOKUP(C390&amp;A390, Inside5!B:B&amp;Inside5!I:I, Inside5!E:E), 0)</f>
        <v>0.4</v>
      </c>
      <c r="H390" cm="1">
        <f t="array" ref="H390">IFERROR(_xlfn.XLOOKUP(C390&amp;A390, TDrate!F:F&amp;TDrate!H:H, TDrate!C:C), "N/A")</f>
        <v>2.47E-2</v>
      </c>
      <c r="I390" cm="1">
        <f t="array" ref="I390">IFERROR(_xlfn.XLOOKUP(C390&amp;A390, TDrate!F:F&amp;TDrate!H:H, TDrate!E:E), "N/A")</f>
        <v>3.1E-2</v>
      </c>
      <c r="J390" cm="1">
        <f t="array" ref="J390">IFERROR(_xlfn.XLOOKUP(C390&amp;A390, Inside5!B:B&amp;Inside5!I:I, Inside5!F:F), 0)</f>
        <v>0</v>
      </c>
      <c r="K390" cm="1">
        <f t="array" ref="K390">IFERROR(_xlfn.XLOOKUP(C390&amp;A390, Inside5!B:B&amp;Inside5!I:I, Inside5!G:G), 0)</f>
        <v>0</v>
      </c>
      <c r="L390" cm="1">
        <f t="array" ref="L390">IFERROR(_xlfn.XLOOKUP(C390&amp;A390, Inside5!B:B&amp;Inside5!I:I, Inside5!H:H), 0)</f>
        <v>0</v>
      </c>
      <c r="M390" cm="1">
        <f t="array" ref="M390">IFERROR(_xlfn.XLOOKUP(C390&amp;A390, TDrate!F:F&amp;TDrate!H:H, TDrate!B:B), "N/A")</f>
        <v>0</v>
      </c>
      <c r="N390" cm="1">
        <f t="array" ref="N390">IFERROR(_xlfn.XLOOKUP(C390&amp;A390, TDrate!F:F&amp;TDrate!H:H, TDrate!D:D), "N/A")</f>
        <v>1.12E-2</v>
      </c>
    </row>
    <row r="391" spans="1:14" x14ac:dyDescent="0.45">
      <c r="A391" s="8">
        <v>2023</v>
      </c>
      <c r="B391" s="9" t="s">
        <v>487</v>
      </c>
      <c r="C391" s="10" t="str">
        <f t="shared" si="12"/>
        <v>Kenny Gainwell</v>
      </c>
      <c r="D391" s="10" t="str">
        <f t="shared" si="13"/>
        <v>PHI</v>
      </c>
      <c r="E391" cm="1">
        <f t="array" ref="E391">IFERROR(_xlfn.XLOOKUP(C391&amp;A391, Inside5!B:B&amp;Inside5!I:I, Inside5!C:C), 0)</f>
        <v>3</v>
      </c>
      <c r="F391" cm="1">
        <f t="array" ref="F391">IFERROR(_xlfn.XLOOKUP(C391&amp;A391, Inside5!B:B&amp;Inside5!I:I, Inside5!D:D), 0)</f>
        <v>1</v>
      </c>
      <c r="G391" cm="1">
        <f t="array" ref="G391">IFERROR(_xlfn.XLOOKUP(C391&amp;A391, Inside5!B:B&amp;Inside5!I:I, Inside5!E:E), 0)</f>
        <v>0.16700000000000001</v>
      </c>
      <c r="H391" cm="1">
        <f t="array" ref="H391">IFERROR(_xlfn.XLOOKUP(C391&amp;A391, TDrate!F:F&amp;TDrate!H:H, TDrate!C:C), "N/A")</f>
        <v>2.3800000000000002E-2</v>
      </c>
      <c r="I391" cm="1">
        <f t="array" ref="I391">IFERROR(_xlfn.XLOOKUP(C391&amp;A391, TDrate!F:F&amp;TDrate!H:H, TDrate!E:E), "N/A")</f>
        <v>2.9399999999999999E-2</v>
      </c>
      <c r="J391" cm="1">
        <f t="array" ref="J391">IFERROR(_xlfn.XLOOKUP(C391&amp;A391, Inside5!B:B&amp;Inside5!I:I, Inside5!F:F), 0)</f>
        <v>0</v>
      </c>
      <c r="K391" cm="1">
        <f t="array" ref="K391">IFERROR(_xlfn.XLOOKUP(C391&amp;A391, Inside5!B:B&amp;Inside5!I:I, Inside5!G:G), 0)</f>
        <v>0</v>
      </c>
      <c r="L391" cm="1">
        <f t="array" ref="L391">IFERROR(_xlfn.XLOOKUP(C391&amp;A391, Inside5!B:B&amp;Inside5!I:I, Inside5!H:H), 0)</f>
        <v>0</v>
      </c>
      <c r="M391" cm="1">
        <f t="array" ref="M391">IFERROR(_xlfn.XLOOKUP(C391&amp;A391, TDrate!F:F&amp;TDrate!H:H, TDrate!B:B), "N/A")</f>
        <v>0</v>
      </c>
      <c r="N391" cm="1">
        <f t="array" ref="N391">IFERROR(_xlfn.XLOOKUP(C391&amp;A391, TDrate!F:F&amp;TDrate!H:H, TDrate!D:D), "N/A")</f>
        <v>4.4000000000000003E-3</v>
      </c>
    </row>
    <row r="392" spans="1:14" x14ac:dyDescent="0.45">
      <c r="A392" s="5">
        <v>2023</v>
      </c>
      <c r="B392" s="6" t="s">
        <v>564</v>
      </c>
      <c r="C392" s="7" t="str">
        <f t="shared" si="12"/>
        <v>Latavius Murray</v>
      </c>
      <c r="D392" s="7" t="str">
        <f t="shared" si="13"/>
        <v>BUF</v>
      </c>
      <c r="E392" cm="1">
        <f t="array" aca="1" ref="E392" ca="1">IFERROR(_xlfn.XLOOKUP(C392&amp;A392, Inside5!B:B&amp;Inside5!I:I, Inside5!C:C), 0)</f>
        <v>12</v>
      </c>
      <c r="F392" cm="1">
        <f t="array" aca="1" ref="F392" ca="1">IFERROR(_xlfn.XLOOKUP(C392&amp;A392, Inside5!B:B&amp;Inside5!I:I, Inside5!D:D), 0)</f>
        <v>4</v>
      </c>
      <c r="G392" cm="1">
        <f t="array" ref="G392">IFERROR(_xlfn.XLOOKUP(C392&amp;A392, Inside5!B:B&amp;Inside5!I:I, Inside5!E:E), 0)</f>
        <v>0.6</v>
      </c>
      <c r="H392" cm="1">
        <f t="array" ref="H392">IFERROR(_xlfn.XLOOKUP(C392&amp;A392, TDrate!F:F&amp;TDrate!H:H, TDrate!C:C), "N/A")</f>
        <v>5.0599999999999999E-2</v>
      </c>
      <c r="I392" cm="1">
        <f t="array" ref="I392">IFERROR(_xlfn.XLOOKUP(C392&amp;A392, TDrate!F:F&amp;TDrate!H:H, TDrate!E:E), "N/A")</f>
        <v>6.1899999999999997E-2</v>
      </c>
      <c r="J392" cm="1">
        <f t="array" ref="J392">IFERROR(_xlfn.XLOOKUP(C392&amp;A392, Inside5!B:B&amp;Inside5!I:I, Inside5!F:F), 0)</f>
        <v>2</v>
      </c>
      <c r="K392" cm="1">
        <f t="array" ref="K392">IFERROR(_xlfn.XLOOKUP(C392&amp;A392, Inside5!B:B&amp;Inside5!I:I, Inside5!G:G), 0)</f>
        <v>2</v>
      </c>
      <c r="L392" cm="1">
        <f t="array" ref="L392">IFERROR(_xlfn.XLOOKUP(C392&amp;A392, Inside5!B:B&amp;Inside5!I:I, Inside5!H:H), 0)</f>
        <v>0</v>
      </c>
      <c r="M392" cm="1">
        <f t="array" ref="M392">IFERROR(_xlfn.XLOOKUP(C392&amp;A392, TDrate!F:F&amp;TDrate!H:H, TDrate!B:B), "N/A")</f>
        <v>0</v>
      </c>
      <c r="N392" cm="1">
        <f t="array" ref="N392">IFERROR(_xlfn.XLOOKUP(C392&amp;A392, TDrate!F:F&amp;TDrate!H:H, TDrate!D:D), "N/A")</f>
        <v>2.7400000000000001E-2</v>
      </c>
    </row>
    <row r="393" spans="1:14" x14ac:dyDescent="0.45">
      <c r="A393" s="8">
        <v>2023</v>
      </c>
      <c r="B393" s="9" t="s">
        <v>349</v>
      </c>
      <c r="C393" s="10" t="str">
        <f t="shared" si="12"/>
        <v>Keaton Mitchell</v>
      </c>
      <c r="D393" s="10" t="str">
        <f t="shared" si="13"/>
        <v>BAL</v>
      </c>
      <c r="E393" cm="1">
        <f t="array" aca="1" ref="E393" ca="1">IFERROR(_xlfn.XLOOKUP(C393&amp;A393, Inside5!B:B&amp;Inside5!I:I, Inside5!C:C), 0)</f>
        <v>0</v>
      </c>
      <c r="F393" cm="1">
        <f t="array" aca="1" ref="F393" ca="1">IFERROR(_xlfn.XLOOKUP(C393&amp;A393, Inside5!B:B&amp;Inside5!I:I, Inside5!D:D), 0)</f>
        <v>0</v>
      </c>
      <c r="G393" cm="1">
        <f t="array" ref="G393">IFERROR(_xlfn.XLOOKUP(C393&amp;A393, Inside5!B:B&amp;Inside5!I:I, Inside5!E:E), 0)</f>
        <v>0</v>
      </c>
      <c r="H393" cm="1">
        <f t="array" ref="H393">IFERROR(_xlfn.XLOOKUP(C393&amp;A393, TDrate!F:F&amp;TDrate!H:H, TDrate!C:C), "N/A")</f>
        <v>4.2599999999999999E-2</v>
      </c>
      <c r="I393" cm="1">
        <f t="array" ref="I393">IFERROR(_xlfn.XLOOKUP(C393&amp;A393, TDrate!F:F&amp;TDrate!H:H, TDrate!E:E), "N/A")</f>
        <v>2.5499999999999998E-2</v>
      </c>
      <c r="J393" cm="1">
        <f t="array" ref="J393">IFERROR(_xlfn.XLOOKUP(C393&amp;A393, Inside5!B:B&amp;Inside5!I:I, Inside5!F:F), 0)</f>
        <v>0</v>
      </c>
      <c r="K393" cm="1">
        <f t="array" ref="K393">IFERROR(_xlfn.XLOOKUP(C393&amp;A393, Inside5!B:B&amp;Inside5!I:I, Inside5!G:G), 0)</f>
        <v>0</v>
      </c>
      <c r="L393" cm="1">
        <f t="array" aca="1" ref="L393" ca="1">IFERROR(_xlfn.XLOOKUP(C393&amp;A393, Inside5!B:B&amp;Inside5!I:I, Inside5!H:H), 0)</f>
        <v>0</v>
      </c>
      <c r="M393" cm="1">
        <f t="array" ref="M393">IFERROR(_xlfn.XLOOKUP(C393&amp;A393, TDrate!F:F&amp;TDrate!H:H, TDrate!B:B), "N/A")</f>
        <v>0</v>
      </c>
      <c r="N393" cm="1">
        <f t="array" ref="N393">IFERROR(_xlfn.XLOOKUP(C393&amp;A393, TDrate!F:F&amp;TDrate!H:H, TDrate!D:D), "N/A")</f>
        <v>1.03E-2</v>
      </c>
    </row>
    <row r="394" spans="1:14" x14ac:dyDescent="0.45">
      <c r="A394" s="5">
        <v>2023</v>
      </c>
      <c r="B394" s="6" t="s">
        <v>485</v>
      </c>
      <c r="C394" s="7" t="str">
        <f t="shared" si="12"/>
        <v>Miles Sanders</v>
      </c>
      <c r="D394" s="7" t="str">
        <f t="shared" si="13"/>
        <v>CAR</v>
      </c>
      <c r="E394" cm="1">
        <f t="array" ref="E394">IFERROR(_xlfn.XLOOKUP(C394&amp;A394, Inside5!B:B&amp;Inside5!I:I, Inside5!C:C), 0)</f>
        <v>4</v>
      </c>
      <c r="F394" cm="1">
        <f t="array" ref="F394">IFERROR(_xlfn.XLOOKUP(C394&amp;A394, Inside5!B:B&amp;Inside5!I:I, Inside5!D:D), 0)</f>
        <v>1</v>
      </c>
      <c r="G394" cm="1">
        <f t="array" ref="G394">IFERROR(_xlfn.XLOOKUP(C394&amp;A394, Inside5!B:B&amp;Inside5!I:I, Inside5!E:E), 0)</f>
        <v>0.26700000000000002</v>
      </c>
      <c r="H394" cm="1">
        <f t="array" ref="H394">IFERROR(_xlfn.XLOOKUP(C394&amp;A394, TDrate!F:F&amp;TDrate!H:H, TDrate!C:C), "N/A")</f>
        <v>7.7999999999999996E-3</v>
      </c>
      <c r="I394" cm="1">
        <f t="array" ref="I394">IFERROR(_xlfn.XLOOKUP(C394&amp;A394, TDrate!F:F&amp;TDrate!H:H, TDrate!E:E), "N/A")</f>
        <v>1.37E-2</v>
      </c>
      <c r="J394" cm="1">
        <f t="array" ref="J394">IFERROR(_xlfn.XLOOKUP(C394&amp;A394, Inside5!B:B&amp;Inside5!I:I, Inside5!F:F), 0)</f>
        <v>0</v>
      </c>
      <c r="K394" cm="1">
        <f t="array" ref="K394">IFERROR(_xlfn.XLOOKUP(C394&amp;A394, Inside5!B:B&amp;Inside5!I:I, Inside5!G:G), 0)</f>
        <v>0</v>
      </c>
      <c r="L394" cm="1">
        <f t="array" ref="L394">IFERROR(_xlfn.XLOOKUP(C394&amp;A394, Inside5!B:B&amp;Inside5!I:I, Inside5!H:H), 0)</f>
        <v>0</v>
      </c>
      <c r="M394" cm="1">
        <f t="array" ref="M394">IFERROR(_xlfn.XLOOKUP(C394&amp;A394, TDrate!F:F&amp;TDrate!H:H, TDrate!B:B), "N/A")</f>
        <v>0</v>
      </c>
      <c r="N394" cm="1">
        <f t="array" ref="N394">IFERROR(_xlfn.XLOOKUP(C394&amp;A394, TDrate!F:F&amp;TDrate!H:H, TDrate!D:D), "N/A")</f>
        <v>6.7999999999999996E-3</v>
      </c>
    </row>
    <row r="395" spans="1:14" x14ac:dyDescent="0.45">
      <c r="A395" s="8">
        <v>2023</v>
      </c>
      <c r="B395" s="9" t="s">
        <v>565</v>
      </c>
      <c r="C395" s="10" t="str">
        <f t="shared" si="12"/>
        <v>Jerick McKinnon</v>
      </c>
      <c r="D395" s="10" t="str">
        <f t="shared" si="13"/>
        <v>KC</v>
      </c>
      <c r="E395" cm="1">
        <f t="array" ref="E395">IFERROR(_xlfn.XLOOKUP(C395&amp;A395, Inside5!B:B&amp;Inside5!I:I, Inside5!C:C), 0)</f>
        <v>0</v>
      </c>
      <c r="F395" cm="1">
        <f t="array" ref="F395">IFERROR(_xlfn.XLOOKUP(C395&amp;A395, Inside5!B:B&amp;Inside5!I:I, Inside5!D:D), 0)</f>
        <v>0</v>
      </c>
      <c r="G395" cm="1">
        <f t="array" ref="G395">IFERROR(_xlfn.XLOOKUP(C395&amp;A395, Inside5!B:B&amp;Inside5!I:I, Inside5!E:E), 0)</f>
        <v>0</v>
      </c>
      <c r="H395" t="str" cm="1">
        <f t="array" ref="H395">IFERROR(_xlfn.XLOOKUP(C395&amp;A395, TDrate!F:F&amp;TDrate!H:H, TDrate!C:C), "N/A")</f>
        <v>N/A</v>
      </c>
      <c r="I395" t="str" cm="1">
        <f t="array" ref="I395">IFERROR(_xlfn.XLOOKUP(C395&amp;A395, TDrate!F:F&amp;TDrate!H:H, TDrate!E:E), "N/A")</f>
        <v>N/A</v>
      </c>
      <c r="J395" cm="1">
        <f t="array" ref="J395">IFERROR(_xlfn.XLOOKUP(C395&amp;A395, Inside5!B:B&amp;Inside5!I:I, Inside5!F:F), 0)</f>
        <v>1</v>
      </c>
      <c r="K395" cm="1">
        <f t="array" aca="1" ref="K395" ca="1">IFERROR(_xlfn.XLOOKUP(C395&amp;A395, Inside5!B:B&amp;Inside5!I:I, Inside5!G:G), 0)</f>
        <v>1</v>
      </c>
      <c r="L395" cm="1">
        <f t="array" ref="L395">IFERROR(_xlfn.XLOOKUP(C395&amp;A395, Inside5!B:B&amp;Inside5!I:I, Inside5!H:H), 0)</f>
        <v>1</v>
      </c>
      <c r="M395" t="str" cm="1">
        <f t="array" ref="M395">IFERROR(_xlfn.XLOOKUP(C395&amp;A395, TDrate!F:F&amp;TDrate!H:H, TDrate!B:B), "N/A")</f>
        <v>N/A</v>
      </c>
      <c r="N395" t="str" cm="1">
        <f t="array" ref="N395">IFERROR(_xlfn.XLOOKUP(C395&amp;A395, TDrate!F:F&amp;TDrate!H:H, TDrate!D:D), "N/A")</f>
        <v>N/A</v>
      </c>
    </row>
    <row r="396" spans="1:14" x14ac:dyDescent="0.45">
      <c r="A396" s="5">
        <v>2023</v>
      </c>
      <c r="B396" s="6" t="s">
        <v>411</v>
      </c>
      <c r="C396" s="7" t="str">
        <f t="shared" si="12"/>
        <v>Zamir White</v>
      </c>
      <c r="D396" s="7" t="str">
        <f t="shared" si="13"/>
        <v>LV</v>
      </c>
      <c r="E396" cm="1">
        <f t="array" aca="1" ref="E396" ca="1">IFERROR(_xlfn.XLOOKUP(C396&amp;A396, Inside5!B:B&amp;Inside5!I:I, Inside5!C:C), 0)</f>
        <v>3</v>
      </c>
      <c r="F396" cm="1">
        <f t="array" aca="1" ref="F396" ca="1">IFERROR(_xlfn.XLOOKUP(C396&amp;A396, Inside5!B:B&amp;Inside5!I:I, Inside5!D:D), 0)</f>
        <v>1</v>
      </c>
      <c r="G396" cm="1">
        <f t="array" ref="G396">IFERROR(_xlfn.XLOOKUP(C396&amp;A396, Inside5!B:B&amp;Inside5!I:I, Inside5!E:E), 0)</f>
        <v>0.23100000000000001</v>
      </c>
      <c r="H396" cm="1">
        <f t="array" ref="H396">IFERROR(_xlfn.XLOOKUP(C396&amp;A396, TDrate!F:F&amp;TDrate!H:H, TDrate!C:C), "N/A")</f>
        <v>9.5999999999999992E-3</v>
      </c>
      <c r="I396" cm="1">
        <f t="array" ref="I396">IFERROR(_xlfn.XLOOKUP(C396&amp;A396, TDrate!F:F&amp;TDrate!H:H, TDrate!E:E), "N/A")</f>
        <v>1.5800000000000002E-2</v>
      </c>
      <c r="J396" cm="1">
        <f t="array" ref="J396">IFERROR(_xlfn.XLOOKUP(C396&amp;A396, Inside5!B:B&amp;Inside5!I:I, Inside5!F:F), 0)</f>
        <v>0</v>
      </c>
      <c r="K396" cm="1">
        <f t="array" ref="K396">IFERROR(_xlfn.XLOOKUP(C396&amp;A396, Inside5!B:B&amp;Inside5!I:I, Inside5!G:G), 0)</f>
        <v>0</v>
      </c>
      <c r="L396" cm="1">
        <f t="array" ref="L396">IFERROR(_xlfn.XLOOKUP(C396&amp;A396, Inside5!B:B&amp;Inside5!I:I, Inside5!H:H), 0)</f>
        <v>0</v>
      </c>
      <c r="M396" cm="1">
        <f t="array" ref="M396">IFERROR(_xlfn.XLOOKUP(C396&amp;A396, TDrate!F:F&amp;TDrate!H:H, TDrate!B:B), "N/A")</f>
        <v>0</v>
      </c>
      <c r="N396" cm="1">
        <f t="array" ref="N396">IFERROR(_xlfn.XLOOKUP(C396&amp;A396, TDrate!F:F&amp;TDrate!H:H, TDrate!D:D), "N/A")</f>
        <v>1.2500000000000001E-2</v>
      </c>
    </row>
    <row r="397" spans="1:14" x14ac:dyDescent="0.45">
      <c r="A397" s="8">
        <v>2023</v>
      </c>
      <c r="B397" s="9" t="s">
        <v>566</v>
      </c>
      <c r="C397" s="10" t="str">
        <f t="shared" si="12"/>
        <v>Joshua Kelley</v>
      </c>
      <c r="D397" s="10" t="str">
        <f t="shared" si="13"/>
        <v>LAC</v>
      </c>
      <c r="E397" cm="1">
        <f t="array" ref="E397">IFERROR(_xlfn.XLOOKUP(C397&amp;A397, Inside5!B:B&amp;Inside5!I:I, Inside5!C:C), 0)</f>
        <v>3</v>
      </c>
      <c r="F397" cm="1">
        <f t="array" ref="F397">IFERROR(_xlfn.XLOOKUP(C397&amp;A397, Inside5!B:B&amp;Inside5!I:I, Inside5!D:D), 0)</f>
        <v>1</v>
      </c>
      <c r="G397" cm="1">
        <f t="array" ref="G397">IFERROR(_xlfn.XLOOKUP(C397&amp;A397, Inside5!B:B&amp;Inside5!I:I, Inside5!E:E), 0)</f>
        <v>0.16700000000000001</v>
      </c>
      <c r="H397" cm="1">
        <f t="array" ref="H397">IFERROR(_xlfn.XLOOKUP(C397&amp;A397, TDrate!F:F&amp;TDrate!H:H, TDrate!C:C), "N/A")</f>
        <v>1.8700000000000001E-2</v>
      </c>
      <c r="I397" cm="1">
        <f t="array" ref="I397">IFERROR(_xlfn.XLOOKUP(C397&amp;A397, TDrate!F:F&amp;TDrate!H:H, TDrate!E:E), "N/A")</f>
        <v>1.9800000000000002E-2</v>
      </c>
      <c r="J397" cm="1">
        <f t="array" ref="J397">IFERROR(_xlfn.XLOOKUP(C397&amp;A397, Inside5!B:B&amp;Inside5!I:I, Inside5!F:F), 0)</f>
        <v>0</v>
      </c>
      <c r="K397" cm="1">
        <f t="array" ref="K397">IFERROR(_xlfn.XLOOKUP(C397&amp;A397, Inside5!B:B&amp;Inside5!I:I, Inside5!G:G), 0)</f>
        <v>0</v>
      </c>
      <c r="L397" cm="1">
        <f t="array" ref="L397">IFERROR(_xlfn.XLOOKUP(C397&amp;A397, Inside5!B:B&amp;Inside5!I:I, Inside5!H:H), 0)</f>
        <v>0</v>
      </c>
      <c r="M397" cm="1">
        <f t="array" ref="M397">IFERROR(_xlfn.XLOOKUP(C397&amp;A397, TDrate!F:F&amp;TDrate!H:H, TDrate!B:B), "N/A")</f>
        <v>0</v>
      </c>
      <c r="N397" cm="1">
        <f t="array" ref="N397">IFERROR(_xlfn.XLOOKUP(C397&amp;A397, TDrate!F:F&amp;TDrate!H:H, TDrate!D:D), "N/A")</f>
        <v>3.7000000000000002E-3</v>
      </c>
    </row>
    <row r="398" spans="1:14" x14ac:dyDescent="0.45">
      <c r="A398" s="5">
        <v>2023</v>
      </c>
      <c r="B398" s="6" t="s">
        <v>423</v>
      </c>
      <c r="C398" s="7" t="str">
        <f t="shared" si="12"/>
        <v>Clyde Edwards-Helaire</v>
      </c>
      <c r="D398" s="7" t="str">
        <f t="shared" si="13"/>
        <v>KC</v>
      </c>
      <c r="E398" cm="1">
        <f t="array" aca="1" ref="E398" ca="1">IFERROR(_xlfn.XLOOKUP(C398&amp;A398, Inside5!B:B&amp;Inside5!I:I, Inside5!C:C), 0)</f>
        <v>2</v>
      </c>
      <c r="F398" cm="1">
        <f t="array" aca="1" ref="F398" ca="1">IFERROR(_xlfn.XLOOKUP(C398&amp;A398, Inside5!B:B&amp;Inside5!I:I, Inside5!D:D), 0)</f>
        <v>1</v>
      </c>
      <c r="G398" cm="1">
        <f t="array" ref="G398">IFERROR(_xlfn.XLOOKUP(C398&amp;A398, Inside5!B:B&amp;Inside5!I:I, Inside5!E:E), 0)</f>
        <v>0.182</v>
      </c>
      <c r="H398" cm="1">
        <f t="array" ref="H398">IFERROR(_xlfn.XLOOKUP(C398&amp;A398, TDrate!F:F&amp;TDrate!H:H, TDrate!C:C), "N/A")</f>
        <v>1.43E-2</v>
      </c>
      <c r="I398" cm="1">
        <f t="array" ref="I398">IFERROR(_xlfn.XLOOKUP(C398&amp;A398, TDrate!F:F&amp;TDrate!H:H, TDrate!E:E), "N/A")</f>
        <v>1.7999999999999999E-2</v>
      </c>
      <c r="J398" cm="1">
        <f t="array" ref="J398">IFERROR(_xlfn.XLOOKUP(C398&amp;A398, Inside5!B:B&amp;Inside5!I:I, Inside5!F:F), 0)</f>
        <v>0</v>
      </c>
      <c r="K398" cm="1">
        <f t="array" ref="K398">IFERROR(_xlfn.XLOOKUP(C398&amp;A398, Inside5!B:B&amp;Inside5!I:I, Inside5!G:G), 0)</f>
        <v>1</v>
      </c>
      <c r="L398" cm="1">
        <f t="array" ref="L398">IFERROR(_xlfn.XLOOKUP(C398&amp;A398, Inside5!B:B&amp;Inside5!I:I, Inside5!H:H), 0)</f>
        <v>0</v>
      </c>
      <c r="M398" cm="1">
        <f t="array" ref="M398">IFERROR(_xlfn.XLOOKUP(C398&amp;A398, TDrate!F:F&amp;TDrate!H:H, TDrate!B:B), "N/A")</f>
        <v>4.5499999999999999E-2</v>
      </c>
      <c r="N398" cm="1">
        <f t="array" ref="N398">IFERROR(_xlfn.XLOOKUP(C398&amp;A398, TDrate!F:F&amp;TDrate!H:H, TDrate!D:D), "N/A")</f>
        <v>6.2700000000000006E-2</v>
      </c>
    </row>
    <row r="399" spans="1:14" x14ac:dyDescent="0.45">
      <c r="A399" s="8">
        <v>2023</v>
      </c>
      <c r="B399" s="9" t="s">
        <v>352</v>
      </c>
      <c r="C399" s="10" t="str">
        <f t="shared" si="12"/>
        <v>Emari Demercado</v>
      </c>
      <c r="D399" s="10" t="str">
        <f t="shared" si="13"/>
        <v>ARI</v>
      </c>
      <c r="E399" cm="1">
        <f t="array" ref="E399">IFERROR(_xlfn.XLOOKUP(C399&amp;A399, Inside5!B:B&amp;Inside5!I:I, Inside5!C:C), 0)</f>
        <v>1</v>
      </c>
      <c r="F399" cm="1">
        <f t="array" ref="F399">IFERROR(_xlfn.XLOOKUP(C399&amp;A399, Inside5!B:B&amp;Inside5!I:I, Inside5!D:D), 0)</f>
        <v>0</v>
      </c>
      <c r="G399" cm="1">
        <f t="array" ref="G399">IFERROR(_xlfn.XLOOKUP(C399&amp;A399, Inside5!B:B&amp;Inside5!I:I, Inside5!E:E), 0)</f>
        <v>6.7000000000000004E-2</v>
      </c>
      <c r="H399" cm="1">
        <f t="array" ref="H399">IFERROR(_xlfn.XLOOKUP(C399&amp;A399, TDrate!F:F&amp;TDrate!H:H, TDrate!C:C), "N/A")</f>
        <v>3.4500000000000003E-2</v>
      </c>
      <c r="I399" cm="1">
        <f t="array" ref="I399">IFERROR(_xlfn.XLOOKUP(C399&amp;A399, TDrate!F:F&amp;TDrate!H:H, TDrate!E:E), "N/A")</f>
        <v>2.3599999999999999E-2</v>
      </c>
      <c r="J399" cm="1">
        <f t="array" ref="J399">IFERROR(_xlfn.XLOOKUP(C399&amp;A399, Inside5!B:B&amp;Inside5!I:I, Inside5!F:F), 0)</f>
        <v>0</v>
      </c>
      <c r="K399" cm="1">
        <f t="array" ref="K399">IFERROR(_xlfn.XLOOKUP(C399&amp;A399, Inside5!B:B&amp;Inside5!I:I, Inside5!G:G), 0)</f>
        <v>0</v>
      </c>
      <c r="L399" cm="1">
        <f t="array" ref="L399">IFERROR(_xlfn.XLOOKUP(C399&amp;A399, Inside5!B:B&amp;Inside5!I:I, Inside5!H:H), 0)</f>
        <v>0</v>
      </c>
      <c r="M399" cm="1">
        <f t="array" ref="M399">IFERROR(_xlfn.XLOOKUP(C399&amp;A399, TDrate!F:F&amp;TDrate!H:H, TDrate!B:B), "N/A")</f>
        <v>0</v>
      </c>
      <c r="N399" cm="1">
        <f t="array" ref="N399">IFERROR(_xlfn.XLOOKUP(C399&amp;A399, TDrate!F:F&amp;TDrate!H:H, TDrate!D:D), "N/A")</f>
        <v>8.6999999999999994E-3</v>
      </c>
    </row>
    <row r="400" spans="1:14" x14ac:dyDescent="0.45">
      <c r="A400" s="5">
        <v>2023</v>
      </c>
      <c r="B400" s="6" t="s">
        <v>567</v>
      </c>
      <c r="C400" s="7" t="str">
        <f t="shared" si="12"/>
        <v>Royce Freeman</v>
      </c>
      <c r="D400" s="7" t="str">
        <f t="shared" si="13"/>
        <v>LAR</v>
      </c>
      <c r="E400" cm="1">
        <f t="array" aca="1" ref="E400" ca="1">IFERROR(_xlfn.XLOOKUP(C400&amp;A400, Inside5!B:B&amp;Inside5!I:I, Inside5!C:C), 0)</f>
        <v>5</v>
      </c>
      <c r="F400" cm="1">
        <f t="array" ref="F400">IFERROR(_xlfn.XLOOKUP(C400&amp;A400, Inside5!B:B&amp;Inside5!I:I, Inside5!D:D), 0)</f>
        <v>1</v>
      </c>
      <c r="G400" cm="1">
        <f t="array" ref="G400">IFERROR(_xlfn.XLOOKUP(C400&amp;A400, Inside5!B:B&amp;Inside5!I:I, Inside5!E:E), 0)</f>
        <v>0.185</v>
      </c>
      <c r="H400" cm="1">
        <f t="array" ref="H400">IFERROR(_xlfn.XLOOKUP(C400&amp;A400, TDrate!F:F&amp;TDrate!H:H, TDrate!C:C), "N/A")</f>
        <v>2.5999999999999999E-2</v>
      </c>
      <c r="I400" cm="1">
        <f t="array" ref="I400">IFERROR(_xlfn.XLOOKUP(C400&amp;A400, TDrate!F:F&amp;TDrate!H:H, TDrate!E:E), "N/A")</f>
        <v>3.4500000000000003E-2</v>
      </c>
      <c r="J400" cm="1">
        <f t="array" ref="J400">IFERROR(_xlfn.XLOOKUP(C400&amp;A400, Inside5!B:B&amp;Inside5!I:I, Inside5!F:F), 0)</f>
        <v>0</v>
      </c>
      <c r="K400" cm="1">
        <f t="array" aca="1" ref="K400" ca="1">IFERROR(_xlfn.XLOOKUP(C400&amp;A400, Inside5!B:B&amp;Inside5!I:I, Inside5!G:G), 0)</f>
        <v>0</v>
      </c>
      <c r="L400" cm="1">
        <f t="array" aca="1" ref="L400" ca="1">IFERROR(_xlfn.XLOOKUP(C400&amp;A400, Inside5!B:B&amp;Inside5!I:I, Inside5!H:H), 0)</f>
        <v>0</v>
      </c>
      <c r="M400" cm="1">
        <f t="array" ref="M400">IFERROR(_xlfn.XLOOKUP(C400&amp;A400, TDrate!F:F&amp;TDrate!H:H, TDrate!B:B), "N/A")</f>
        <v>0</v>
      </c>
      <c r="N400" cm="1">
        <f t="array" ref="N400">IFERROR(_xlfn.XLOOKUP(C400&amp;A400, TDrate!F:F&amp;TDrate!H:H, TDrate!D:D), "N/A")</f>
        <v>1.5E-3</v>
      </c>
    </row>
    <row r="401" spans="1:14" x14ac:dyDescent="0.45">
      <c r="A401" s="8">
        <v>2023</v>
      </c>
      <c r="B401" s="9" t="s">
        <v>492</v>
      </c>
      <c r="C401" s="10" t="str">
        <f t="shared" si="12"/>
        <v>Jamaal Williams</v>
      </c>
      <c r="D401" s="10" t="str">
        <f t="shared" si="13"/>
        <v>NO</v>
      </c>
      <c r="E401" cm="1">
        <f t="array" ref="E401">IFERROR(_xlfn.XLOOKUP(C401&amp;A401, Inside5!B:B&amp;Inside5!I:I, Inside5!C:C), 0)</f>
        <v>0</v>
      </c>
      <c r="F401" cm="1">
        <f t="array" ref="F401">IFERROR(_xlfn.XLOOKUP(C401&amp;A401, Inside5!B:B&amp;Inside5!I:I, Inside5!D:D), 0)</f>
        <v>0</v>
      </c>
      <c r="G401" cm="1">
        <f t="array" ref="G401">IFERROR(_xlfn.XLOOKUP(C401&amp;A401, Inside5!B:B&amp;Inside5!I:I, Inside5!E:E), 0)</f>
        <v>0</v>
      </c>
      <c r="H401" cm="1">
        <f t="array" ref="H401">IFERROR(_xlfn.XLOOKUP(C401&amp;A401, TDrate!F:F&amp;TDrate!H:H, TDrate!C:C), "N/A")</f>
        <v>9.4000000000000004E-3</v>
      </c>
      <c r="I401" cm="1">
        <f t="array" ref="I401">IFERROR(_xlfn.XLOOKUP(C401&amp;A401, TDrate!F:F&amp;TDrate!H:H, TDrate!E:E), "N/A")</f>
        <v>1.44E-2</v>
      </c>
      <c r="J401" cm="1">
        <f t="array" ref="J401">IFERROR(_xlfn.XLOOKUP(C401&amp;A401, Inside5!B:B&amp;Inside5!I:I, Inside5!F:F), 0)</f>
        <v>0</v>
      </c>
      <c r="K401" cm="1">
        <f t="array" ref="K401">IFERROR(_xlfn.XLOOKUP(C401&amp;A401, Inside5!B:B&amp;Inside5!I:I, Inside5!G:G), 0)</f>
        <v>0</v>
      </c>
      <c r="L401" cm="1">
        <f t="array" ref="L401">IFERROR(_xlfn.XLOOKUP(C401&amp;A401, Inside5!B:B&amp;Inside5!I:I, Inside5!H:H), 0)</f>
        <v>0</v>
      </c>
      <c r="M401" cm="1">
        <f t="array" ref="M401">IFERROR(_xlfn.XLOOKUP(C401&amp;A401, TDrate!F:F&amp;TDrate!H:H, TDrate!B:B), "N/A")</f>
        <v>0</v>
      </c>
      <c r="N401" cm="1">
        <f t="array" ref="N401">IFERROR(_xlfn.XLOOKUP(C401&amp;A401, TDrate!F:F&amp;TDrate!H:H, TDrate!D:D), "N/A")</f>
        <v>7.7999999999999996E-3</v>
      </c>
    </row>
    <row r="402" spans="1:14" x14ac:dyDescent="0.45">
      <c r="A402" s="5">
        <v>2023</v>
      </c>
      <c r="B402" s="6" t="s">
        <v>477</v>
      </c>
      <c r="C402" s="7" t="str">
        <f t="shared" si="12"/>
        <v>Jordan Mason</v>
      </c>
      <c r="D402" s="7" t="str">
        <f t="shared" si="13"/>
        <v>SF</v>
      </c>
      <c r="E402" cm="1">
        <f t="array" ref="E402">IFERROR(_xlfn.XLOOKUP(C402&amp;A402, Inside5!B:B&amp;Inside5!I:I, Inside5!C:C), 0)</f>
        <v>1</v>
      </c>
      <c r="F402" cm="1">
        <f t="array" aca="1" ref="F402" ca="1">IFERROR(_xlfn.XLOOKUP(C402&amp;A402, Inside5!B:B&amp;Inside5!I:I, Inside5!D:D), 0)</f>
        <v>1</v>
      </c>
      <c r="G402" cm="1">
        <f t="array" ref="G402">IFERROR(_xlfn.XLOOKUP(C402&amp;A402, Inside5!B:B&amp;Inside5!I:I, Inside5!E:E), 0)</f>
        <v>4.2000000000000003E-2</v>
      </c>
      <c r="H402" cm="1">
        <f t="array" ref="H402">IFERROR(_xlfn.XLOOKUP(C402&amp;A402, TDrate!F:F&amp;TDrate!H:H, TDrate!C:C), "N/A")</f>
        <v>7.4999999999999997E-2</v>
      </c>
      <c r="I402" cm="1">
        <f t="array" ref="I402">IFERROR(_xlfn.XLOOKUP(C402&amp;A402, TDrate!F:F&amp;TDrate!H:H, TDrate!E:E), "N/A")</f>
        <v>4.8000000000000001E-2</v>
      </c>
      <c r="J402" cm="1">
        <f t="array" ref="J402">IFERROR(_xlfn.XLOOKUP(C402&amp;A402, Inside5!B:B&amp;Inside5!I:I, Inside5!F:F), 0)</f>
        <v>0</v>
      </c>
      <c r="K402" cm="1">
        <f t="array" ref="K402">IFERROR(_xlfn.XLOOKUP(C402&amp;A402, Inside5!B:B&amp;Inside5!I:I, Inside5!G:G), 0)</f>
        <v>0</v>
      </c>
      <c r="L402" cm="1">
        <f t="array" ref="L402">IFERROR(_xlfn.XLOOKUP(C402&amp;A402, Inside5!B:B&amp;Inside5!I:I, Inside5!H:H), 0)</f>
        <v>0</v>
      </c>
      <c r="M402" cm="1">
        <f t="array" ref="M402">IFERROR(_xlfn.XLOOKUP(C402&amp;A402, TDrate!F:F&amp;TDrate!H:H, TDrate!B:B), "N/A")</f>
        <v>0</v>
      </c>
      <c r="N402" cm="1">
        <f t="array" ref="N402">IFERROR(_xlfn.XLOOKUP(C402&amp;A402, TDrate!F:F&amp;TDrate!H:H, TDrate!D:D), "N/A")</f>
        <v>2.5999999999999999E-3</v>
      </c>
    </row>
    <row r="403" spans="1:14" x14ac:dyDescent="0.45">
      <c r="A403" s="8">
        <v>2023</v>
      </c>
      <c r="B403" s="9" t="s">
        <v>568</v>
      </c>
      <c r="C403" s="10" t="str">
        <f t="shared" si="12"/>
        <v>Elijah Mitchell</v>
      </c>
      <c r="D403" s="10" t="str">
        <f t="shared" si="13"/>
        <v>SF</v>
      </c>
      <c r="E403" cm="1">
        <f t="array" aca="1" ref="E403" ca="1">IFERROR(_xlfn.XLOOKUP(C403&amp;A403, Inside5!B:B&amp;Inside5!I:I, Inside5!C:C), 0)</f>
        <v>4</v>
      </c>
      <c r="F403" cm="1">
        <f t="array" ref="F403">IFERROR(_xlfn.XLOOKUP(C403&amp;A403, Inside5!B:B&amp;Inside5!I:I, Inside5!D:D), 0)</f>
        <v>1</v>
      </c>
      <c r="G403" cm="1">
        <f t="array" ref="G403">IFERROR(_xlfn.XLOOKUP(C403&amp;A403, Inside5!B:B&amp;Inside5!I:I, Inside5!E:E), 0)</f>
        <v>0.16700000000000001</v>
      </c>
      <c r="H403" cm="1">
        <f t="array" ref="H403">IFERROR(_xlfn.XLOOKUP(C403&amp;A403, TDrate!F:F&amp;TDrate!H:H, TDrate!C:C), "N/A")</f>
        <v>2.6700000000000002E-2</v>
      </c>
      <c r="I403" cm="1">
        <f t="array" ref="I403">IFERROR(_xlfn.XLOOKUP(C403&amp;A403, TDrate!F:F&amp;TDrate!H:H, TDrate!E:E), "N/A")</f>
        <v>4.2900000000000001E-2</v>
      </c>
      <c r="J403" cm="1">
        <f t="array" ref="J403">IFERROR(_xlfn.XLOOKUP(C403&amp;A403, Inside5!B:B&amp;Inside5!I:I, Inside5!F:F), 0)</f>
        <v>0</v>
      </c>
      <c r="K403" cm="1">
        <f t="array" ref="K403">IFERROR(_xlfn.XLOOKUP(C403&amp;A403, Inside5!B:B&amp;Inside5!I:I, Inside5!G:G), 0)</f>
        <v>0</v>
      </c>
      <c r="L403" cm="1">
        <f t="array" ref="L403">IFERROR(_xlfn.XLOOKUP(C403&amp;A403, Inside5!B:B&amp;Inside5!I:I, Inside5!H:H), 0)</f>
        <v>0</v>
      </c>
      <c r="M403" cm="1">
        <f t="array" ref="M403">IFERROR(_xlfn.XLOOKUP(C403&amp;A403, TDrate!F:F&amp;TDrate!H:H, TDrate!B:B), "N/A")</f>
        <v>0</v>
      </c>
      <c r="N403" cm="1">
        <f t="array" ref="N403">IFERROR(_xlfn.XLOOKUP(C403&amp;A403, TDrate!F:F&amp;TDrate!H:H, TDrate!D:D), "N/A")</f>
        <v>2.2599999999999999E-2</v>
      </c>
    </row>
    <row r="404" spans="1:14" x14ac:dyDescent="0.45">
      <c r="A404" s="5">
        <v>2023</v>
      </c>
      <c r="B404" s="6" t="s">
        <v>313</v>
      </c>
      <c r="C404" s="7" t="str">
        <f t="shared" si="12"/>
        <v>Chase Brown</v>
      </c>
      <c r="D404" s="7" t="str">
        <f t="shared" si="13"/>
        <v>CIN</v>
      </c>
      <c r="E404" cm="1">
        <f t="array" ref="E404">IFERROR(_xlfn.XLOOKUP(C404&amp;A404, Inside5!B:B&amp;Inside5!I:I, Inside5!C:C), 0)</f>
        <v>0</v>
      </c>
      <c r="F404" cm="1">
        <f t="array" ref="F404">IFERROR(_xlfn.XLOOKUP(C404&amp;A404, Inside5!B:B&amp;Inside5!I:I, Inside5!D:D), 0)</f>
        <v>0</v>
      </c>
      <c r="G404" cm="1">
        <f t="array" ref="G404">IFERROR(_xlfn.XLOOKUP(C404&amp;A404, Inside5!B:B&amp;Inside5!I:I, Inside5!E:E), 0)</f>
        <v>0</v>
      </c>
      <c r="H404" cm="1">
        <f t="array" ref="H404">IFERROR(_xlfn.XLOOKUP(C404&amp;A404, TDrate!F:F&amp;TDrate!H:H, TDrate!C:C), "N/A")</f>
        <v>0</v>
      </c>
      <c r="I404" cm="1">
        <f t="array" ref="I404">IFERROR(_xlfn.XLOOKUP(C404&amp;A404, TDrate!F:F&amp;TDrate!H:H, TDrate!E:E), "N/A")</f>
        <v>4.4000000000000003E-3</v>
      </c>
      <c r="J404" cm="1">
        <f t="array" ref="J404">IFERROR(_xlfn.XLOOKUP(C404&amp;A404, Inside5!B:B&amp;Inside5!I:I, Inside5!F:F), 0)</f>
        <v>0</v>
      </c>
      <c r="K404" cm="1">
        <f t="array" aca="1" ref="K404" ca="1">IFERROR(_xlfn.XLOOKUP(C404&amp;A404, Inside5!B:B&amp;Inside5!I:I, Inside5!G:G), 0)</f>
        <v>0</v>
      </c>
      <c r="L404" cm="1">
        <f t="array" ref="L404">IFERROR(_xlfn.XLOOKUP(C404&amp;A404, Inside5!B:B&amp;Inside5!I:I, Inside5!H:H), 0)</f>
        <v>0</v>
      </c>
      <c r="M404" cm="1">
        <f t="array" ref="M404">IFERROR(_xlfn.XLOOKUP(C404&amp;A404, TDrate!F:F&amp;TDrate!H:H, TDrate!B:B), "N/A")</f>
        <v>6.6699999999999995E-2</v>
      </c>
      <c r="N404" cm="1">
        <f t="array" ref="N404">IFERROR(_xlfn.XLOOKUP(C404&amp;A404, TDrate!F:F&amp;TDrate!H:H, TDrate!D:D), "N/A")</f>
        <v>3.8800000000000001E-2</v>
      </c>
    </row>
    <row r="405" spans="1:14" x14ac:dyDescent="0.45">
      <c r="A405" s="8">
        <v>2023</v>
      </c>
      <c r="B405" s="9" t="s">
        <v>499</v>
      </c>
      <c r="C405" s="10" t="str">
        <f t="shared" si="12"/>
        <v>Pierre Strong Jr.</v>
      </c>
      <c r="D405" s="10" t="str">
        <f t="shared" si="13"/>
        <v>CLE</v>
      </c>
      <c r="E405" cm="1">
        <f t="array" ref="E405">IFERROR(_xlfn.XLOOKUP(C405&amp;A405, Inside5!B:B&amp;Inside5!I:I, Inside5!C:C), 0)</f>
        <v>2</v>
      </c>
      <c r="F405" cm="1">
        <f t="array" ref="F405">IFERROR(_xlfn.XLOOKUP(C405&amp;A405, Inside5!B:B&amp;Inside5!I:I, Inside5!D:D), 0)</f>
        <v>1</v>
      </c>
      <c r="G405" cm="1">
        <f t="array" ref="G405">IFERROR(_xlfn.XLOOKUP(C405&amp;A405, Inside5!B:B&amp;Inside5!I:I, Inside5!E:E), 0)</f>
        <v>0.111</v>
      </c>
      <c r="H405" cm="1">
        <f t="array" ref="H405">IFERROR(_xlfn.XLOOKUP(C405&amp;A405, TDrate!F:F&amp;TDrate!H:H, TDrate!C:C), "N/A")</f>
        <v>1.5900000000000001E-2</v>
      </c>
      <c r="I405" cm="1">
        <f t="array" ref="I405">IFERROR(_xlfn.XLOOKUP(C405&amp;A405, TDrate!F:F&amp;TDrate!H:H, TDrate!E:E), "N/A")</f>
        <v>1.7100000000000001E-2</v>
      </c>
      <c r="J405" cm="1">
        <f t="array" ref="J405">IFERROR(_xlfn.XLOOKUP(C405&amp;A405, Inside5!B:B&amp;Inside5!I:I, Inside5!F:F), 0)</f>
        <v>0</v>
      </c>
      <c r="K405" cm="1">
        <f t="array" ref="K405">IFERROR(_xlfn.XLOOKUP(C405&amp;A405, Inside5!B:B&amp;Inside5!I:I, Inside5!G:G), 0)</f>
        <v>0</v>
      </c>
      <c r="L405" cm="1">
        <f t="array" ref="L405">IFERROR(_xlfn.XLOOKUP(C405&amp;A405, Inside5!B:B&amp;Inside5!I:I, Inside5!H:H), 0)</f>
        <v>0</v>
      </c>
      <c r="M405" cm="1">
        <f t="array" ref="M405">IFERROR(_xlfn.XLOOKUP(C405&amp;A405, TDrate!F:F&amp;TDrate!H:H, TDrate!B:B), "N/A")</f>
        <v>0</v>
      </c>
      <c r="N405" cm="1">
        <f t="array" ref="N405">IFERROR(_xlfn.XLOOKUP(C405&amp;A405, TDrate!F:F&amp;TDrate!H:H, TDrate!D:D), "N/A")</f>
        <v>2.8999999999999998E-3</v>
      </c>
    </row>
    <row r="406" spans="1:14" x14ac:dyDescent="0.45">
      <c r="A406" s="5">
        <v>2023</v>
      </c>
      <c r="B406" s="6" t="s">
        <v>340</v>
      </c>
      <c r="C406" s="7" t="str">
        <f t="shared" si="12"/>
        <v>Chris Rodriguez Jr.</v>
      </c>
      <c r="D406" s="7" t="str">
        <f t="shared" si="13"/>
        <v>WAS</v>
      </c>
      <c r="E406" cm="1">
        <f t="array" aca="1" ref="E406" ca="1">IFERROR(_xlfn.XLOOKUP(C406&amp;A406, Inside5!B:B&amp;Inside5!I:I, Inside5!C:C), 0)</f>
        <v>3</v>
      </c>
      <c r="F406" cm="1">
        <f t="array" aca="1" ref="F406" ca="1">IFERROR(_xlfn.XLOOKUP(C406&amp;A406, Inside5!B:B&amp;Inside5!I:I, Inside5!D:D), 0)</f>
        <v>1</v>
      </c>
      <c r="G406" cm="1">
        <f t="array" ref="G406">IFERROR(_xlfn.XLOOKUP(C406&amp;A406, Inside5!B:B&amp;Inside5!I:I, Inside5!E:E), 0)</f>
        <v>0.23100000000000001</v>
      </c>
      <c r="H406" cm="1">
        <f t="array" ref="H406">IFERROR(_xlfn.XLOOKUP(C406&amp;A406, TDrate!F:F&amp;TDrate!H:H, TDrate!C:C), "N/A")</f>
        <v>3.9199999999999999E-2</v>
      </c>
      <c r="I406" cm="1">
        <f t="array" ref="I406">IFERROR(_xlfn.XLOOKUP(C406&amp;A406, TDrate!F:F&amp;TDrate!H:H, TDrate!E:E), "N/A")</f>
        <v>3.5400000000000001E-2</v>
      </c>
      <c r="J406" cm="1">
        <f t="array" ref="J406">IFERROR(_xlfn.XLOOKUP(C406&amp;A406, Inside5!B:B&amp;Inside5!I:I, Inside5!F:F), 0)</f>
        <v>0</v>
      </c>
      <c r="K406" cm="1">
        <f t="array" ref="K406">IFERROR(_xlfn.XLOOKUP(C406&amp;A406, Inside5!B:B&amp;Inside5!I:I, Inside5!G:G), 0)</f>
        <v>0</v>
      </c>
      <c r="L406" cm="1">
        <f t="array" ref="L406">IFERROR(_xlfn.XLOOKUP(C406&amp;A406, Inside5!B:B&amp;Inside5!I:I, Inside5!H:H), 0)</f>
        <v>0</v>
      </c>
      <c r="M406" cm="1">
        <f t="array" ref="M406">IFERROR(_xlfn.XLOOKUP(C406&amp;A406, TDrate!F:F&amp;TDrate!H:H, TDrate!B:B), "N/A")</f>
        <v>0</v>
      </c>
      <c r="N406" cm="1">
        <f t="array" ref="N406">IFERROR(_xlfn.XLOOKUP(C406&amp;A406, TDrate!F:F&amp;TDrate!H:H, TDrate!D:D), "N/A")</f>
        <v>1.9E-3</v>
      </c>
    </row>
    <row r="407" spans="1:14" x14ac:dyDescent="0.45">
      <c r="A407" s="8">
        <v>2023</v>
      </c>
      <c r="B407" s="9" t="s">
        <v>480</v>
      </c>
      <c r="C407" s="10" t="str">
        <f t="shared" si="12"/>
        <v>Cam Akers</v>
      </c>
      <c r="D407" s="10" t="str">
        <f t="shared" si="13"/>
        <v>MIN</v>
      </c>
      <c r="E407" cm="1">
        <f t="array" ref="E407">IFERROR(_xlfn.XLOOKUP(C407&amp;A407, Inside5!B:B&amp;Inside5!I:I, Inside5!C:C), 0)</f>
        <v>2</v>
      </c>
      <c r="F407" cm="1">
        <f t="array" aca="1" ref="F407" ca="1">IFERROR(_xlfn.XLOOKUP(C407&amp;A407, Inside5!B:B&amp;Inside5!I:I, Inside5!D:D), 0)</f>
        <v>1</v>
      </c>
      <c r="G407" cm="1">
        <f t="array" ref="G407">IFERROR(_xlfn.XLOOKUP(C407&amp;A407, Inside5!B:B&amp;Inside5!I:I, Inside5!E:E), 0)</f>
        <v>7.3999999999999996E-2</v>
      </c>
      <c r="H407" cm="1">
        <f t="array" ref="H407">IFERROR(_xlfn.XLOOKUP(C407&amp;A407, TDrate!F:F&amp;TDrate!H:H, TDrate!C:C), "N/A")</f>
        <v>3.3300000000000003E-2</v>
      </c>
      <c r="I407" cm="1">
        <f t="array" ref="I407">IFERROR(_xlfn.XLOOKUP(C407&amp;A407, TDrate!F:F&amp;TDrate!H:H, TDrate!E:E), "N/A")</f>
        <v>2.87E-2</v>
      </c>
      <c r="J407" cm="1">
        <f t="array" ref="J407">IFERROR(_xlfn.XLOOKUP(C407&amp;A407, Inside5!B:B&amp;Inside5!I:I, Inside5!F:F), 0)</f>
        <v>0</v>
      </c>
      <c r="K407" cm="1">
        <f t="array" ref="K407">IFERROR(_xlfn.XLOOKUP(C407&amp;A407, Inside5!B:B&amp;Inside5!I:I, Inside5!G:G), 0)</f>
        <v>0</v>
      </c>
      <c r="L407" cm="1">
        <f t="array" ref="L407">IFERROR(_xlfn.XLOOKUP(C407&amp;A407, Inside5!B:B&amp;Inside5!I:I, Inside5!H:H), 0)</f>
        <v>0</v>
      </c>
      <c r="M407" cm="1">
        <f t="array" ref="M407">IFERROR(_xlfn.XLOOKUP(C407&amp;A407, TDrate!F:F&amp;TDrate!H:H, TDrate!B:B), "N/A")</f>
        <v>0</v>
      </c>
      <c r="N407" cm="1">
        <f t="array" ref="N407">IFERROR(_xlfn.XLOOKUP(C407&amp;A407, TDrate!F:F&amp;TDrate!H:H, TDrate!D:D), "N/A")</f>
        <v>1.23E-2</v>
      </c>
    </row>
    <row r="408" spans="1:14" x14ac:dyDescent="0.45">
      <c r="A408" s="5">
        <v>2023</v>
      </c>
      <c r="B408" s="6" t="s">
        <v>350</v>
      </c>
      <c r="C408" s="7" t="str">
        <f t="shared" si="12"/>
        <v>Michael Carter</v>
      </c>
      <c r="D408" s="7" t="str">
        <f t="shared" si="13"/>
        <v>ARI</v>
      </c>
      <c r="E408" cm="1">
        <f t="array" ref="E408">IFERROR(_xlfn.XLOOKUP(C408&amp;A408, Inside5!B:B&amp;Inside5!I:I, Inside5!C:C), 0)</f>
        <v>1</v>
      </c>
      <c r="F408" cm="1">
        <f t="array" ref="F408">IFERROR(_xlfn.XLOOKUP(C408&amp;A408, Inside5!B:B&amp;Inside5!I:I, Inside5!D:D), 0)</f>
        <v>0</v>
      </c>
      <c r="G408" cm="1">
        <f t="array" ref="G408">IFERROR(_xlfn.XLOOKUP(C408&amp;A408, Inside5!B:B&amp;Inside5!I:I, Inside5!E:E), 0)</f>
        <v>6.7000000000000004E-2</v>
      </c>
      <c r="H408" cm="1">
        <f t="array" ref="H408">IFERROR(_xlfn.XLOOKUP(C408&amp;A408, TDrate!F:F&amp;TDrate!H:H, TDrate!C:C), "N/A")</f>
        <v>0</v>
      </c>
      <c r="I408" cm="1">
        <f t="array" ref="I408">IFERROR(_xlfn.XLOOKUP(C408&amp;A408, TDrate!F:F&amp;TDrate!H:H, TDrate!E:E), "N/A")</f>
        <v>1.17E-2</v>
      </c>
      <c r="J408" cm="1">
        <f t="array" ref="J408">IFERROR(_xlfn.XLOOKUP(C408&amp;A408, Inside5!B:B&amp;Inside5!I:I, Inside5!F:F), 0)</f>
        <v>0</v>
      </c>
      <c r="K408" cm="1">
        <f t="array" ref="K408">IFERROR(_xlfn.XLOOKUP(C408&amp;A408, Inside5!B:B&amp;Inside5!I:I, Inside5!G:G), 0)</f>
        <v>0</v>
      </c>
      <c r="L408" cm="1">
        <f t="array" ref="L408">IFERROR(_xlfn.XLOOKUP(C408&amp;A408, Inside5!B:B&amp;Inside5!I:I, Inside5!H:H), 0)</f>
        <v>0</v>
      </c>
      <c r="M408" cm="1">
        <f t="array" ref="M408">IFERROR(_xlfn.XLOOKUP(C408&amp;A408, TDrate!F:F&amp;TDrate!H:H, TDrate!B:B), "N/A")</f>
        <v>3.2300000000000002E-2</v>
      </c>
      <c r="N408" cm="1">
        <f t="array" ref="N408">IFERROR(_xlfn.XLOOKUP(C408&amp;A408, TDrate!F:F&amp;TDrate!H:H, TDrate!D:D), "N/A")</f>
        <v>3.0499999999999999E-2</v>
      </c>
    </row>
    <row r="409" spans="1:14" x14ac:dyDescent="0.45">
      <c r="A409" s="8">
        <v>2023</v>
      </c>
      <c r="B409" s="9" t="s">
        <v>569</v>
      </c>
      <c r="C409" s="10" t="str">
        <f t="shared" si="12"/>
        <v>Darrell Henderson Jr.</v>
      </c>
      <c r="D409" s="10" t="str">
        <f t="shared" si="13"/>
        <v>LAR</v>
      </c>
      <c r="E409" cm="1">
        <f t="array" aca="1" ref="E409" ca="1">IFERROR(_xlfn.XLOOKUP(C409&amp;A409, Inside5!B:B&amp;Inside5!I:I, Inside5!C:C), 0)</f>
        <v>3</v>
      </c>
      <c r="F409" cm="1">
        <f t="array" aca="1" ref="F409" ca="1">IFERROR(_xlfn.XLOOKUP(C409&amp;A409, Inside5!B:B&amp;Inside5!I:I, Inside5!D:D), 0)</f>
        <v>2</v>
      </c>
      <c r="G409" cm="1">
        <f t="array" ref="G409">IFERROR(_xlfn.XLOOKUP(C409&amp;A409, Inside5!B:B&amp;Inside5!I:I, Inside5!E:E), 0)</f>
        <v>0.111</v>
      </c>
      <c r="H409" cm="1">
        <f t="array" ref="H409">IFERROR(_xlfn.XLOOKUP(C409&amp;A409, TDrate!F:F&amp;TDrate!H:H, TDrate!C:C), "N/A")</f>
        <v>4.3499999999999997E-2</v>
      </c>
      <c r="I409" cm="1">
        <f t="array" ref="I409">IFERROR(_xlfn.XLOOKUP(C409&amp;A409, TDrate!F:F&amp;TDrate!H:H, TDrate!E:E), "N/A")</f>
        <v>3.8699999999999998E-2</v>
      </c>
      <c r="J409" cm="1">
        <f t="array" ref="J409">IFERROR(_xlfn.XLOOKUP(C409&amp;A409, Inside5!B:B&amp;Inside5!I:I, Inside5!F:F), 0)</f>
        <v>0</v>
      </c>
      <c r="K409" cm="1">
        <f t="array" ref="K409">IFERROR(_xlfn.XLOOKUP(C409&amp;A409, Inside5!B:B&amp;Inside5!I:I, Inside5!G:G), 0)</f>
        <v>1</v>
      </c>
      <c r="L409" cm="1">
        <f t="array" ref="L409">IFERROR(_xlfn.XLOOKUP(C409&amp;A409, Inside5!B:B&amp;Inside5!I:I, Inside5!H:H), 0)</f>
        <v>0</v>
      </c>
      <c r="M409" cm="1">
        <f t="array" ref="M409">IFERROR(_xlfn.XLOOKUP(C409&amp;A409, TDrate!F:F&amp;TDrate!H:H, TDrate!B:B), "N/A")</f>
        <v>0</v>
      </c>
      <c r="N409" cm="1">
        <f t="array" ref="N409">IFERROR(_xlfn.XLOOKUP(C409&amp;A409, TDrate!F:F&amp;TDrate!H:H, TDrate!D:D), "N/A")</f>
        <v>3.6400000000000002E-2</v>
      </c>
    </row>
    <row r="410" spans="1:14" x14ac:dyDescent="0.45">
      <c r="A410" s="5">
        <v>2023</v>
      </c>
      <c r="B410" s="6" t="s">
        <v>365</v>
      </c>
      <c r="C410" s="7" t="str">
        <f t="shared" si="12"/>
        <v>Kendre Miller</v>
      </c>
      <c r="D410" s="7" t="str">
        <f t="shared" si="13"/>
        <v>NO</v>
      </c>
      <c r="E410" cm="1">
        <f t="array" ref="E410">IFERROR(_xlfn.XLOOKUP(C410&amp;A410, Inside5!B:B&amp;Inside5!I:I, Inside5!C:C), 0)</f>
        <v>0</v>
      </c>
      <c r="F410" cm="1">
        <f t="array" ref="F410">IFERROR(_xlfn.XLOOKUP(C410&amp;A410, Inside5!B:B&amp;Inside5!I:I, Inside5!D:D), 0)</f>
        <v>0</v>
      </c>
      <c r="G410" cm="1">
        <f t="array" ref="G410">IFERROR(_xlfn.XLOOKUP(C410&amp;A410, Inside5!B:B&amp;Inside5!I:I, Inside5!E:E), 0)</f>
        <v>0</v>
      </c>
      <c r="H410" cm="1">
        <f t="array" ref="H410">IFERROR(_xlfn.XLOOKUP(C410&amp;A410, TDrate!F:F&amp;TDrate!H:H, TDrate!C:C), "N/A")</f>
        <v>2.4400000000000002E-2</v>
      </c>
      <c r="I410" cm="1">
        <f t="array" ref="I410">IFERROR(_xlfn.XLOOKUP(C410&amp;A410, TDrate!F:F&amp;TDrate!H:H, TDrate!E:E), "N/A")</f>
        <v>2.0199999999999999E-2</v>
      </c>
      <c r="J410" cm="1">
        <f t="array" ref="J410">IFERROR(_xlfn.XLOOKUP(C410&amp;A410, Inside5!B:B&amp;Inside5!I:I, Inside5!F:F), 0)</f>
        <v>0</v>
      </c>
      <c r="K410" cm="1">
        <f t="array" aca="1" ref="K410" ca="1">IFERROR(_xlfn.XLOOKUP(C410&amp;A410, Inside5!B:B&amp;Inside5!I:I, Inside5!G:G), 0)</f>
        <v>0</v>
      </c>
      <c r="L410" cm="1">
        <f t="array" ref="L410">IFERROR(_xlfn.XLOOKUP(C410&amp;A410, Inside5!B:B&amp;Inside5!I:I, Inside5!H:H), 0)</f>
        <v>0</v>
      </c>
      <c r="M410" cm="1">
        <f t="array" ref="M410">IFERROR(_xlfn.XLOOKUP(C410&amp;A410, TDrate!F:F&amp;TDrate!H:H, TDrate!B:B), "N/A")</f>
        <v>0</v>
      </c>
      <c r="N410" cm="1">
        <f t="array" ref="N410">IFERROR(_xlfn.XLOOKUP(C410&amp;A410, TDrate!F:F&amp;TDrate!H:H, TDrate!D:D), "N/A")</f>
        <v>2.3E-3</v>
      </c>
    </row>
    <row r="411" spans="1:14" x14ac:dyDescent="0.45">
      <c r="A411" s="8">
        <v>2023</v>
      </c>
      <c r="B411" s="9" t="s">
        <v>570</v>
      </c>
      <c r="C411" s="10" t="str">
        <f t="shared" si="12"/>
        <v>Matt Breida</v>
      </c>
      <c r="D411" s="10" t="str">
        <f t="shared" si="13"/>
        <v>NYG</v>
      </c>
      <c r="E411" cm="1">
        <f t="array" aca="1" ref="E411" ca="1">IFERROR(_xlfn.XLOOKUP(C411&amp;A411, Inside5!B:B&amp;Inside5!I:I, Inside5!C:C), 0)</f>
        <v>0</v>
      </c>
      <c r="F411" cm="1">
        <f t="array" ref="F411">IFERROR(_xlfn.XLOOKUP(C411&amp;A411, Inside5!B:B&amp;Inside5!I:I, Inside5!D:D), 0)</f>
        <v>0</v>
      </c>
      <c r="G411" cm="1">
        <f t="array" ref="G411">IFERROR(_xlfn.XLOOKUP(C411&amp;A411, Inside5!B:B&amp;Inside5!I:I, Inside5!E:E), 0)</f>
        <v>0</v>
      </c>
      <c r="H411" cm="1">
        <f t="array" ref="H411">IFERROR(_xlfn.XLOOKUP(C411&amp;A411, TDrate!F:F&amp;TDrate!H:H, TDrate!C:C), "N/A")</f>
        <v>1.8200000000000001E-2</v>
      </c>
      <c r="I411" cm="1">
        <f t="array" ref="I411">IFERROR(_xlfn.XLOOKUP(C411&amp;A411, TDrate!F:F&amp;TDrate!H:H, TDrate!E:E), "N/A")</f>
        <v>1.49E-2</v>
      </c>
      <c r="J411" cm="1">
        <f t="array" ref="J411">IFERROR(_xlfn.XLOOKUP(C411&amp;A411, Inside5!B:B&amp;Inside5!I:I, Inside5!F:F), 0)</f>
        <v>0</v>
      </c>
      <c r="K411" cm="1">
        <f t="array" ref="K411">IFERROR(_xlfn.XLOOKUP(C411&amp;A411, Inside5!B:B&amp;Inside5!I:I, Inside5!G:G), 0)</f>
        <v>0</v>
      </c>
      <c r="L411" cm="1">
        <f t="array" ref="L411">IFERROR(_xlfn.XLOOKUP(C411&amp;A411, Inside5!B:B&amp;Inside5!I:I, Inside5!H:H), 0)</f>
        <v>0</v>
      </c>
      <c r="M411" cm="1">
        <f t="array" ref="M411">IFERROR(_xlfn.XLOOKUP(C411&amp;A411, TDrate!F:F&amp;TDrate!H:H, TDrate!B:B), "N/A")</f>
        <v>0</v>
      </c>
      <c r="N411" cm="1">
        <f t="array" ref="N411">IFERROR(_xlfn.XLOOKUP(C411&amp;A411, TDrate!F:F&amp;TDrate!H:H, TDrate!D:D), "N/A")</f>
        <v>2.8E-3</v>
      </c>
    </row>
    <row r="412" spans="1:14" x14ac:dyDescent="0.45">
      <c r="A412" s="5">
        <v>2023</v>
      </c>
      <c r="B412" s="6" t="s">
        <v>571</v>
      </c>
      <c r="C412" s="7" t="str">
        <f t="shared" si="12"/>
        <v>Cordarrelle Patterson</v>
      </c>
      <c r="D412" s="7" t="str">
        <f t="shared" si="13"/>
        <v>ATL</v>
      </c>
      <c r="E412" cm="1">
        <f t="array" aca="1" ref="E412" ca="1">IFERROR(_xlfn.XLOOKUP(C412&amp;A412, Inside5!B:B&amp;Inside5!I:I, Inside5!C:C), 0)</f>
        <v>1</v>
      </c>
      <c r="F412" cm="1">
        <f t="array" aca="1" ref="F412" ca="1">IFERROR(_xlfn.XLOOKUP(C412&amp;A412, Inside5!B:B&amp;Inside5!I:I, Inside5!D:D), 0)</f>
        <v>0</v>
      </c>
      <c r="G412" cm="1">
        <f t="array" ref="G412">IFERROR(_xlfn.XLOOKUP(C412&amp;A412, Inside5!B:B&amp;Inside5!I:I, Inside5!E:E), 0)</f>
        <v>0.1</v>
      </c>
      <c r="H412" cm="1">
        <f t="array" ref="H412">IFERROR(_xlfn.XLOOKUP(C412&amp;A412, TDrate!F:F&amp;TDrate!H:H, TDrate!C:C), "N/A")</f>
        <v>0</v>
      </c>
      <c r="I412" cm="1">
        <f t="array" ref="I412">IFERROR(_xlfn.XLOOKUP(C412&amp;A412, TDrate!F:F&amp;TDrate!H:H, TDrate!E:E), "N/A")</f>
        <v>1.4800000000000001E-2</v>
      </c>
      <c r="J412" cm="1">
        <f t="array" ref="J412">IFERROR(_xlfn.XLOOKUP(C412&amp;A412, Inside5!B:B&amp;Inside5!I:I, Inside5!F:F), 0)</f>
        <v>1</v>
      </c>
      <c r="K412" cm="1">
        <f t="array" ref="K412">IFERROR(_xlfn.XLOOKUP(C412&amp;A412, Inside5!B:B&amp;Inside5!I:I, Inside5!G:G), 0)</f>
        <v>1</v>
      </c>
      <c r="L412" cm="1">
        <f t="array" ref="L412">IFERROR(_xlfn.XLOOKUP(C412&amp;A412, Inside5!B:B&amp;Inside5!I:I, Inside5!H:H), 0)</f>
        <v>1</v>
      </c>
      <c r="M412" cm="1">
        <f t="array" ref="M412">IFERROR(_xlfn.XLOOKUP(C412&amp;A412, TDrate!F:F&amp;TDrate!H:H, TDrate!B:B), "N/A")</f>
        <v>8.3299999999999999E-2</v>
      </c>
      <c r="N412" cm="1">
        <f t="array" ref="N412">IFERROR(_xlfn.XLOOKUP(C412&amp;A412, TDrate!F:F&amp;TDrate!H:H, TDrate!D:D), "N/A")</f>
        <v>6.5500000000000003E-2</v>
      </c>
    </row>
    <row r="413" spans="1:14" x14ac:dyDescent="0.45">
      <c r="A413" s="8">
        <v>2023</v>
      </c>
      <c r="B413" s="9" t="s">
        <v>453</v>
      </c>
      <c r="C413" s="10" t="str">
        <f t="shared" si="12"/>
        <v>Jeff Wilson Jr.</v>
      </c>
      <c r="D413" s="10" t="str">
        <f t="shared" si="13"/>
        <v>MIA</v>
      </c>
      <c r="E413" cm="1">
        <f t="array" ref="E413">IFERROR(_xlfn.XLOOKUP(C413&amp;A413, Inside5!B:B&amp;Inside5!I:I, Inside5!C:C), 0)</f>
        <v>1</v>
      </c>
      <c r="F413" cm="1">
        <f t="array" ref="F413">IFERROR(_xlfn.XLOOKUP(C413&amp;A413, Inside5!B:B&amp;Inside5!I:I, Inside5!D:D), 0)</f>
        <v>0</v>
      </c>
      <c r="G413" cm="1">
        <f t="array" ref="G413">IFERROR(_xlfn.XLOOKUP(C413&amp;A413, Inside5!B:B&amp;Inside5!I:I, Inside5!E:E), 0)</f>
        <v>3.6999999999999998E-2</v>
      </c>
      <c r="H413" cm="1">
        <f t="array" ref="H413">IFERROR(_xlfn.XLOOKUP(C413&amp;A413, TDrate!F:F&amp;TDrate!H:H, TDrate!C:C), "N/A")</f>
        <v>0</v>
      </c>
      <c r="I413" cm="1">
        <f t="array" ref="I413">IFERROR(_xlfn.XLOOKUP(C413&amp;A413, TDrate!F:F&amp;TDrate!H:H, TDrate!E:E), "N/A")</f>
        <v>1.1900000000000001E-2</v>
      </c>
      <c r="J413" cm="1">
        <f t="array" ref="J413">IFERROR(_xlfn.XLOOKUP(C413&amp;A413, Inside5!B:B&amp;Inside5!I:I, Inside5!F:F), 0)</f>
        <v>0</v>
      </c>
      <c r="K413" cm="1">
        <f t="array" ref="K413">IFERROR(_xlfn.XLOOKUP(C413&amp;A413, Inside5!B:B&amp;Inside5!I:I, Inside5!G:G), 0)</f>
        <v>0</v>
      </c>
      <c r="L413" cm="1">
        <f t="array" ref="L413">IFERROR(_xlfn.XLOOKUP(C413&amp;A413, Inside5!B:B&amp;Inside5!I:I, Inside5!H:H), 0)</f>
        <v>0</v>
      </c>
      <c r="M413" cm="1">
        <f t="array" ref="M413">IFERROR(_xlfn.XLOOKUP(C413&amp;A413, TDrate!F:F&amp;TDrate!H:H, TDrate!B:B), "N/A")</f>
        <v>0</v>
      </c>
      <c r="N413" cm="1">
        <f t="array" ref="N413">IFERROR(_xlfn.XLOOKUP(C413&amp;A413, TDrate!F:F&amp;TDrate!H:H, TDrate!D:D), "N/A")</f>
        <v>9.9000000000000008E-3</v>
      </c>
    </row>
    <row r="414" spans="1:14" x14ac:dyDescent="0.45">
      <c r="A414" s="5">
        <v>2023</v>
      </c>
      <c r="B414" s="6" t="s">
        <v>572</v>
      </c>
      <c r="C414" s="7" t="str">
        <f t="shared" si="12"/>
        <v>Salvon Ahmed</v>
      </c>
      <c r="D414" s="7" t="str">
        <f t="shared" si="13"/>
        <v>MIA</v>
      </c>
      <c r="E414" cm="1">
        <f t="array" ref="E414">IFERROR(_xlfn.XLOOKUP(C414&amp;A414, Inside5!B:B&amp;Inside5!I:I, Inside5!C:C), 0)</f>
        <v>1</v>
      </c>
      <c r="F414" cm="1">
        <f t="array" ref="F414">IFERROR(_xlfn.XLOOKUP(C414&amp;A414, Inside5!B:B&amp;Inside5!I:I, Inside5!D:D), 0)</f>
        <v>0</v>
      </c>
      <c r="G414" cm="1">
        <f t="array" ref="G414">IFERROR(_xlfn.XLOOKUP(C414&amp;A414, Inside5!B:B&amp;Inside5!I:I, Inside5!E:E), 0)</f>
        <v>3.6999999999999998E-2</v>
      </c>
      <c r="H414" t="str" cm="1">
        <f t="array" ref="H414">IFERROR(_xlfn.XLOOKUP(C414&amp;A414, TDrate!F:F&amp;TDrate!H:H, TDrate!C:C), "N/A")</f>
        <v>N/A</v>
      </c>
      <c r="I414" t="str" cm="1">
        <f t="array" ref="I414">IFERROR(_xlfn.XLOOKUP(C414&amp;A414, TDrate!F:F&amp;TDrate!H:H, TDrate!E:E), "N/A")</f>
        <v>N/A</v>
      </c>
      <c r="J414" cm="1">
        <f t="array" ref="J414">IFERROR(_xlfn.XLOOKUP(C414&amp;A414, Inside5!B:B&amp;Inside5!I:I, Inside5!F:F), 0)</f>
        <v>0</v>
      </c>
      <c r="K414" cm="1">
        <f t="array" ref="K414">IFERROR(_xlfn.XLOOKUP(C414&amp;A414, Inside5!B:B&amp;Inside5!I:I, Inside5!G:G), 0)</f>
        <v>0</v>
      </c>
      <c r="L414" cm="1">
        <f t="array" ref="L414">IFERROR(_xlfn.XLOOKUP(C414&amp;A414, Inside5!B:B&amp;Inside5!I:I, Inside5!H:H), 0)</f>
        <v>0</v>
      </c>
      <c r="M414" t="str" cm="1">
        <f t="array" ref="M414">IFERROR(_xlfn.XLOOKUP(C414&amp;A414, TDrate!F:F&amp;TDrate!H:H, TDrate!B:B), "N/A")</f>
        <v>N/A</v>
      </c>
      <c r="N414" t="str" cm="1">
        <f t="array" ref="N414">IFERROR(_xlfn.XLOOKUP(C414&amp;A414, TDrate!F:F&amp;TDrate!H:H, TDrate!D:D), "N/A")</f>
        <v>N/A</v>
      </c>
    </row>
    <row r="415" spans="1:14" x14ac:dyDescent="0.45">
      <c r="A415" s="8">
        <v>2023</v>
      </c>
      <c r="B415" s="9" t="s">
        <v>573</v>
      </c>
      <c r="C415" s="10" t="str">
        <f t="shared" si="12"/>
        <v>Chase Edmonds</v>
      </c>
      <c r="D415" s="10" t="str">
        <f t="shared" si="13"/>
        <v>TB</v>
      </c>
      <c r="E415" cm="1">
        <f t="array" aca="1" ref="E415" ca="1">IFERROR(_xlfn.XLOOKUP(C415&amp;A415, Inside5!B:B&amp;Inside5!I:I, Inside5!C:C), 0)</f>
        <v>0</v>
      </c>
      <c r="F415" cm="1">
        <f t="array" aca="1" ref="F415" ca="1">IFERROR(_xlfn.XLOOKUP(C415&amp;A415, Inside5!B:B&amp;Inside5!I:I, Inside5!D:D), 0)</f>
        <v>0</v>
      </c>
      <c r="G415" cm="1">
        <f t="array" ref="G415">IFERROR(_xlfn.XLOOKUP(C415&amp;A415, Inside5!B:B&amp;Inside5!I:I, Inside5!E:E), 0)</f>
        <v>0</v>
      </c>
      <c r="H415" cm="1">
        <f t="array" ref="H415">IFERROR(_xlfn.XLOOKUP(C415&amp;A415, TDrate!F:F&amp;TDrate!H:H, TDrate!C:C), "N/A")</f>
        <v>0</v>
      </c>
      <c r="I415" cm="1">
        <f t="array" ref="I415">IFERROR(_xlfn.XLOOKUP(C415&amp;A415, TDrate!F:F&amp;TDrate!H:H, TDrate!E:E), "N/A")</f>
        <v>3.8E-3</v>
      </c>
      <c r="J415" cm="1">
        <f t="array" ref="J415">IFERROR(_xlfn.XLOOKUP(C415&amp;A415, Inside5!B:B&amp;Inside5!I:I, Inside5!F:F), 0)</f>
        <v>0</v>
      </c>
      <c r="K415" cm="1">
        <f t="array" ref="K415">IFERROR(_xlfn.XLOOKUP(C415&amp;A415, Inside5!B:B&amp;Inside5!I:I, Inside5!G:G), 0)</f>
        <v>0</v>
      </c>
      <c r="L415" cm="1">
        <f t="array" ref="L415">IFERROR(_xlfn.XLOOKUP(C415&amp;A415, Inside5!B:B&amp;Inside5!I:I, Inside5!H:H), 0)</f>
        <v>0</v>
      </c>
      <c r="M415" cm="1">
        <f t="array" ref="M415">IFERROR(_xlfn.XLOOKUP(C415&amp;A415, TDrate!F:F&amp;TDrate!H:H, TDrate!B:B), "N/A")</f>
        <v>0</v>
      </c>
      <c r="N415" cm="1">
        <f t="array" ref="N415">IFERROR(_xlfn.XLOOKUP(C415&amp;A415, TDrate!F:F&amp;TDrate!H:H, TDrate!D:D), "N/A")</f>
        <v>2.8999999999999998E-3</v>
      </c>
    </row>
    <row r="416" spans="1:14" x14ac:dyDescent="0.45">
      <c r="A416" s="5">
        <v>2023</v>
      </c>
      <c r="B416" s="6" t="s">
        <v>362</v>
      </c>
      <c r="C416" s="7" t="str">
        <f t="shared" si="12"/>
        <v>Ty Johnson</v>
      </c>
      <c r="D416" s="7" t="str">
        <f t="shared" si="13"/>
        <v>BUF</v>
      </c>
      <c r="E416" cm="1">
        <f t="array" aca="1" ref="E416" ca="1">IFERROR(_xlfn.XLOOKUP(C416&amp;A416, Inside5!B:B&amp;Inside5!I:I, Inside5!C:C), 0)</f>
        <v>0</v>
      </c>
      <c r="F416" cm="1">
        <f t="array" ref="F416">IFERROR(_xlfn.XLOOKUP(C416&amp;A416, Inside5!B:B&amp;Inside5!I:I, Inside5!D:D), 0)</f>
        <v>0</v>
      </c>
      <c r="G416" cm="1">
        <f t="array" ref="G416">IFERROR(_xlfn.XLOOKUP(C416&amp;A416, Inside5!B:B&amp;Inside5!I:I, Inside5!E:E), 0)</f>
        <v>0</v>
      </c>
      <c r="H416" cm="1">
        <f t="array" ref="H416">IFERROR(_xlfn.XLOOKUP(C416&amp;A416, TDrate!F:F&amp;TDrate!H:H, TDrate!C:C), "N/A")</f>
        <v>0</v>
      </c>
      <c r="I416" cm="1">
        <f t="array" ref="I416">IFERROR(_xlfn.XLOOKUP(C416&amp;A416, TDrate!F:F&amp;TDrate!H:H, TDrate!E:E), "N/A")</f>
        <v>7.3000000000000001E-3</v>
      </c>
      <c r="J416" cm="1">
        <f t="array" ref="J416">IFERROR(_xlfn.XLOOKUP(C416&amp;A416, Inside5!B:B&amp;Inside5!I:I, Inside5!F:F), 0)</f>
        <v>0</v>
      </c>
      <c r="K416" cm="1">
        <f t="array" ref="K416">IFERROR(_xlfn.XLOOKUP(C416&amp;A416, Inside5!B:B&amp;Inside5!I:I, Inside5!G:G), 0)</f>
        <v>0</v>
      </c>
      <c r="L416" cm="1">
        <f t="array" ref="L416">IFERROR(_xlfn.XLOOKUP(C416&amp;A416, Inside5!B:B&amp;Inside5!I:I, Inside5!H:H), 0)</f>
        <v>0</v>
      </c>
      <c r="M416" cm="1">
        <f t="array" ref="M416">IFERROR(_xlfn.XLOOKUP(C416&amp;A416, TDrate!F:F&amp;TDrate!H:H, TDrate!B:B), "N/A")</f>
        <v>0.1429</v>
      </c>
      <c r="N416" cm="1">
        <f t="array" ref="N416">IFERROR(_xlfn.XLOOKUP(C416&amp;A416, TDrate!F:F&amp;TDrate!H:H, TDrate!D:D), "N/A")</f>
        <v>8.5999999999999993E-2</v>
      </c>
    </row>
    <row r="417" spans="1:14" x14ac:dyDescent="0.45">
      <c r="A417" s="8">
        <v>2023</v>
      </c>
      <c r="B417" s="9" t="s">
        <v>574</v>
      </c>
      <c r="C417" s="10" t="str">
        <f t="shared" si="12"/>
        <v>Dalvin Cook</v>
      </c>
      <c r="D417" s="10" t="str">
        <f t="shared" si="13"/>
        <v>NYJ</v>
      </c>
      <c r="E417" cm="1">
        <f t="array" aca="1" ref="E417" ca="1">IFERROR(_xlfn.XLOOKUP(C417&amp;A417, Inside5!B:B&amp;Inside5!I:I, Inside5!C:C), 0)</f>
        <v>1</v>
      </c>
      <c r="F417" cm="1">
        <f t="array" aca="1" ref="F417" ca="1">IFERROR(_xlfn.XLOOKUP(C417&amp;A417, Inside5!B:B&amp;Inside5!I:I, Inside5!D:D), 0)</f>
        <v>0</v>
      </c>
      <c r="G417" cm="1">
        <f t="array" ref="G417">IFERROR(_xlfn.XLOOKUP(C417&amp;A417, Inside5!B:B&amp;Inside5!I:I, Inside5!E:E), 0)</f>
        <v>0.33300000000000002</v>
      </c>
      <c r="H417" cm="1">
        <f t="array" ref="H417">IFERROR(_xlfn.XLOOKUP(C417&amp;A417, TDrate!F:F&amp;TDrate!H:H, TDrate!C:C), "N/A")</f>
        <v>0</v>
      </c>
      <c r="I417" cm="1">
        <f t="array" ref="I417">IFERROR(_xlfn.XLOOKUP(C417&amp;A417, TDrate!F:F&amp;TDrate!H:H, TDrate!E:E), "N/A")</f>
        <v>7.6E-3</v>
      </c>
      <c r="J417" cm="1">
        <f t="array" ref="J417">IFERROR(_xlfn.XLOOKUP(C417&amp;A417, Inside5!B:B&amp;Inside5!I:I, Inside5!F:F), 0)</f>
        <v>0</v>
      </c>
      <c r="K417" cm="1">
        <f t="array" ref="K417">IFERROR(_xlfn.XLOOKUP(C417&amp;A417, Inside5!B:B&amp;Inside5!I:I, Inside5!G:G), 0)</f>
        <v>0</v>
      </c>
      <c r="L417" cm="1">
        <f t="array" ref="L417">IFERROR(_xlfn.XLOOKUP(C417&amp;A417, Inside5!B:B&amp;Inside5!I:I, Inside5!H:H), 0)</f>
        <v>0</v>
      </c>
      <c r="M417" cm="1">
        <f t="array" ref="M417">IFERROR(_xlfn.XLOOKUP(C417&amp;A417, TDrate!F:F&amp;TDrate!H:H, TDrate!B:B), "N/A")</f>
        <v>0</v>
      </c>
      <c r="N417" cm="1">
        <f t="array" ref="N417">IFERROR(_xlfn.XLOOKUP(C417&amp;A417, TDrate!F:F&amp;TDrate!H:H, TDrate!D:D), "N/A")</f>
        <v>2.0999999999999999E-3</v>
      </c>
    </row>
    <row r="418" spans="1:14" x14ac:dyDescent="0.45">
      <c r="A418" s="5">
        <v>2023</v>
      </c>
      <c r="B418" s="6" t="s">
        <v>505</v>
      </c>
      <c r="C418" s="7" t="str">
        <f t="shared" si="12"/>
        <v>Tony Jones Jr.</v>
      </c>
      <c r="D418" s="7" t="str">
        <f t="shared" si="13"/>
        <v>ARI</v>
      </c>
      <c r="E418" cm="1">
        <f t="array" aca="1" ref="E418" ca="1">IFERROR(_xlfn.XLOOKUP(C418&amp;A418, Inside5!B:B&amp;Inside5!I:I, Inside5!C:C), 0)</f>
        <v>2</v>
      </c>
      <c r="F418" cm="1">
        <f t="array" aca="1" ref="F418" ca="1">IFERROR(_xlfn.XLOOKUP(C418&amp;A418, Inside5!B:B&amp;Inside5!I:I, Inside5!D:D), 0)</f>
        <v>2</v>
      </c>
      <c r="G418" cm="1">
        <f t="array" ref="G418">IFERROR(_xlfn.XLOOKUP(C418&amp;A418, Inside5!B:B&amp;Inside5!I:I, Inside5!E:E), 0)</f>
        <v>0.13300000000000001</v>
      </c>
      <c r="H418" cm="1">
        <f t="array" ref="H418">IFERROR(_xlfn.XLOOKUP(C418&amp;A418, TDrate!F:F&amp;TDrate!H:H, TDrate!C:C), "N/A")</f>
        <v>7.6899999999999996E-2</v>
      </c>
      <c r="I418" cm="1">
        <f t="array" ref="I418">IFERROR(_xlfn.XLOOKUP(C418&amp;A418, TDrate!F:F&amp;TDrate!H:H, TDrate!E:E), "N/A")</f>
        <v>6.1600000000000002E-2</v>
      </c>
      <c r="J418" cm="1">
        <f t="array" ref="J418">IFERROR(_xlfn.XLOOKUP(C418&amp;A418, Inside5!B:B&amp;Inside5!I:I, Inside5!F:F), 0)</f>
        <v>0</v>
      </c>
      <c r="K418" cm="1">
        <f t="array" aca="1" ref="K418" ca="1">IFERROR(_xlfn.XLOOKUP(C418&amp;A418, Inside5!B:B&amp;Inside5!I:I, Inside5!G:G), 0)</f>
        <v>1</v>
      </c>
      <c r="L418" cm="1">
        <f t="array" ref="L418">IFERROR(_xlfn.XLOOKUP(C418&amp;A418, Inside5!B:B&amp;Inside5!I:I, Inside5!H:H), 0)</f>
        <v>0</v>
      </c>
      <c r="M418" cm="1">
        <f t="array" ref="M418">IFERROR(_xlfn.XLOOKUP(C418&amp;A418, TDrate!F:F&amp;TDrate!H:H, TDrate!B:B), "N/A")</f>
        <v>0</v>
      </c>
      <c r="N418" cm="1">
        <f t="array" ref="N418">IFERROR(_xlfn.XLOOKUP(C418&amp;A418, TDrate!F:F&amp;TDrate!H:H, TDrate!D:D), "N/A")</f>
        <v>2.7799999999999998E-2</v>
      </c>
    </row>
    <row r="419" spans="1:14" x14ac:dyDescent="0.45">
      <c r="A419" s="8">
        <v>2023</v>
      </c>
      <c r="B419" s="9" t="s">
        <v>496</v>
      </c>
      <c r="C419" s="10" t="str">
        <f t="shared" si="12"/>
        <v>D'Ernest Johnson</v>
      </c>
      <c r="D419" s="10" t="str">
        <f t="shared" si="13"/>
        <v>JAC</v>
      </c>
      <c r="E419" cm="1">
        <f t="array" aca="1" ref="E419" ca="1">IFERROR(_xlfn.XLOOKUP(C419&amp;A419, Inside5!B:B&amp;Inside5!I:I, Inside5!C:C), 0)</f>
        <v>0</v>
      </c>
      <c r="F419" cm="1">
        <f t="array" aca="1" ref="F419" ca="1">IFERROR(_xlfn.XLOOKUP(C419&amp;A419, Inside5!B:B&amp;Inside5!I:I, Inside5!D:D), 0)</f>
        <v>0</v>
      </c>
      <c r="G419" cm="1">
        <f t="array" ref="G419">IFERROR(_xlfn.XLOOKUP(C419&amp;A419, Inside5!B:B&amp;Inside5!I:I, Inside5!E:E), 0)</f>
        <v>0</v>
      </c>
      <c r="H419" cm="1">
        <f t="array" ref="H419">IFERROR(_xlfn.XLOOKUP(C419&amp;A419, TDrate!F:F&amp;TDrate!H:H, TDrate!C:C), "N/A")</f>
        <v>0</v>
      </c>
      <c r="I419" cm="1">
        <f t="array" ref="I419">IFERROR(_xlfn.XLOOKUP(C419&amp;A419, TDrate!F:F&amp;TDrate!H:H, TDrate!E:E), "N/A")</f>
        <v>6.8999999999999999E-3</v>
      </c>
      <c r="J419" cm="1">
        <f t="array" ref="J419">IFERROR(_xlfn.XLOOKUP(C419&amp;A419, Inside5!B:B&amp;Inside5!I:I, Inside5!F:F), 0)</f>
        <v>0</v>
      </c>
      <c r="K419" cm="1">
        <f t="array" aca="1" ref="K419" ca="1">IFERROR(_xlfn.XLOOKUP(C419&amp;A419, Inside5!B:B&amp;Inside5!I:I, Inside5!G:G), 0)</f>
        <v>0</v>
      </c>
      <c r="L419" cm="1">
        <f t="array" ref="L419">IFERROR(_xlfn.XLOOKUP(C419&amp;A419, Inside5!B:B&amp;Inside5!I:I, Inside5!H:H), 0)</f>
        <v>0</v>
      </c>
      <c r="M419" cm="1">
        <f t="array" ref="M419">IFERROR(_xlfn.XLOOKUP(C419&amp;A419, TDrate!F:F&amp;TDrate!H:H, TDrate!B:B), "N/A")</f>
        <v>0</v>
      </c>
      <c r="N419" cm="1">
        <f t="array" ref="N419">IFERROR(_xlfn.XLOOKUP(C419&amp;A419, TDrate!F:F&amp;TDrate!H:H, TDrate!D:D), "N/A")</f>
        <v>2.3E-3</v>
      </c>
    </row>
    <row r="420" spans="1:14" x14ac:dyDescent="0.45">
      <c r="A420" s="5">
        <v>2023</v>
      </c>
      <c r="B420" s="6" t="s">
        <v>436</v>
      </c>
      <c r="C420" s="7" t="str">
        <f t="shared" si="12"/>
        <v>Craig Reynolds</v>
      </c>
      <c r="D420" s="7" t="str">
        <f t="shared" si="13"/>
        <v>DET</v>
      </c>
      <c r="E420" cm="1">
        <f t="array" aca="1" ref="E420" ca="1">IFERROR(_xlfn.XLOOKUP(C420&amp;A420, Inside5!B:B&amp;Inside5!I:I, Inside5!C:C), 0)</f>
        <v>4</v>
      </c>
      <c r="F420" cm="1">
        <f t="array" aca="1" ref="F420" ca="1">IFERROR(_xlfn.XLOOKUP(C420&amp;A420, Inside5!B:B&amp;Inside5!I:I, Inside5!D:D), 0)</f>
        <v>1</v>
      </c>
      <c r="G420" cm="1">
        <f t="array" ref="G420">IFERROR(_xlfn.XLOOKUP(C420&amp;A420, Inside5!B:B&amp;Inside5!I:I, Inside5!E:E), 0)</f>
        <v>0.129</v>
      </c>
      <c r="H420" cm="1">
        <f t="array" ref="H420">IFERROR(_xlfn.XLOOKUP(C420&amp;A420, TDrate!F:F&amp;TDrate!H:H, TDrate!C:C), "N/A")</f>
        <v>2.4400000000000002E-2</v>
      </c>
      <c r="I420" cm="1">
        <f t="array" ref="I420">IFERROR(_xlfn.XLOOKUP(C420&amp;A420, TDrate!F:F&amp;TDrate!H:H, TDrate!E:E), "N/A")</f>
        <v>3.5799999999999998E-2</v>
      </c>
      <c r="J420" cm="1">
        <f t="array" ref="J420">IFERROR(_xlfn.XLOOKUP(C420&amp;A420, Inside5!B:B&amp;Inside5!I:I, Inside5!F:F), 0)</f>
        <v>0</v>
      </c>
      <c r="K420" cm="1">
        <f t="array" ref="K420">IFERROR(_xlfn.XLOOKUP(C420&amp;A420, Inside5!B:B&amp;Inside5!I:I, Inside5!G:G), 0)</f>
        <v>0</v>
      </c>
      <c r="L420" cm="1">
        <f t="array" ref="L420">IFERROR(_xlfn.XLOOKUP(C420&amp;A420, Inside5!B:B&amp;Inside5!I:I, Inside5!H:H), 0)</f>
        <v>0</v>
      </c>
      <c r="M420" cm="1">
        <f t="array" ref="M420">IFERROR(_xlfn.XLOOKUP(C420&amp;A420, TDrate!F:F&amp;TDrate!H:H, TDrate!B:B), "N/A")</f>
        <v>0</v>
      </c>
      <c r="N420" cm="1">
        <f t="array" ref="N420">IFERROR(_xlfn.XLOOKUP(C420&amp;A420, TDrate!F:F&amp;TDrate!H:H, TDrate!D:D), "N/A")</f>
        <v>3.3999999999999998E-3</v>
      </c>
    </row>
    <row r="421" spans="1:14" x14ac:dyDescent="0.45">
      <c r="A421" s="8">
        <v>2023</v>
      </c>
      <c r="B421" s="9" t="s">
        <v>469</v>
      </c>
      <c r="C421" s="10" t="str">
        <f t="shared" si="12"/>
        <v>Kyle Juszczyk</v>
      </c>
      <c r="D421" s="10" t="str">
        <f t="shared" si="13"/>
        <v>SF</v>
      </c>
      <c r="E421" cm="1">
        <f t="array" aca="1" ref="E421" ca="1">IFERROR(_xlfn.XLOOKUP(C421&amp;A421, Inside5!B:B&amp;Inside5!I:I, Inside5!C:C), 0)</f>
        <v>1</v>
      </c>
      <c r="F421" cm="1">
        <f t="array" aca="1" ref="F421" ca="1">IFERROR(_xlfn.XLOOKUP(C421&amp;A421, Inside5!B:B&amp;Inside5!I:I, Inside5!D:D), 0)</f>
        <v>0</v>
      </c>
      <c r="G421" cm="1">
        <f t="array" ref="G421">IFERROR(_xlfn.XLOOKUP(C421&amp;A421, Inside5!B:B&amp;Inside5!I:I, Inside5!E:E), 0)</f>
        <v>4.2000000000000003E-2</v>
      </c>
      <c r="H421" t="str" cm="1">
        <f t="array" ref="H421">IFERROR(_xlfn.XLOOKUP(C421&amp;A421, TDrate!F:F&amp;TDrate!H:H, TDrate!C:C), "N/A")</f>
        <v>N/A</v>
      </c>
      <c r="I421" t="str" cm="1">
        <f t="array" ref="I421">IFERROR(_xlfn.XLOOKUP(C421&amp;A421, TDrate!F:F&amp;TDrate!H:H, TDrate!E:E), "N/A")</f>
        <v>N/A</v>
      </c>
      <c r="J421" cm="1">
        <f t="array" ref="J421">IFERROR(_xlfn.XLOOKUP(C421&amp;A421, Inside5!B:B&amp;Inside5!I:I, Inside5!F:F), 0)</f>
        <v>1</v>
      </c>
      <c r="K421" cm="1">
        <f t="array" ref="K421">IFERROR(_xlfn.XLOOKUP(C421&amp;A421, Inside5!B:B&amp;Inside5!I:I, Inside5!G:G), 0)</f>
        <v>1</v>
      </c>
      <c r="L421" cm="1">
        <f t="array" ref="L421">IFERROR(_xlfn.XLOOKUP(C421&amp;A421, Inside5!B:B&amp;Inside5!I:I, Inside5!H:H), 0)</f>
        <v>1</v>
      </c>
      <c r="M421" t="str" cm="1">
        <f t="array" ref="M421">IFERROR(_xlfn.XLOOKUP(C421&amp;A421, TDrate!F:F&amp;TDrate!H:H, TDrate!B:B), "N/A")</f>
        <v>N/A</v>
      </c>
      <c r="N421" t="str" cm="1">
        <f t="array" ref="N421">IFERROR(_xlfn.XLOOKUP(C421&amp;A421, TDrate!F:F&amp;TDrate!H:H, TDrate!D:D), "N/A")</f>
        <v>N/A</v>
      </c>
    </row>
    <row r="422" spans="1:14" x14ac:dyDescent="0.45">
      <c r="A422" s="5">
        <v>2023</v>
      </c>
      <c r="B422" s="6" t="s">
        <v>575</v>
      </c>
      <c r="C422" s="7" t="str">
        <f t="shared" si="12"/>
        <v>Darrynton Evans</v>
      </c>
      <c r="D422" s="7" t="str">
        <f t="shared" si="13"/>
        <v>MIA</v>
      </c>
      <c r="E422" cm="1">
        <f t="array" aca="1" ref="E422" ca="1">IFERROR(_xlfn.XLOOKUP(C422&amp;A422, Inside5!B:B&amp;Inside5!I:I, Inside5!C:C), 0)</f>
        <v>1</v>
      </c>
      <c r="F422" cm="1">
        <f t="array" aca="1" ref="F422" ca="1">IFERROR(_xlfn.XLOOKUP(C422&amp;A422, Inside5!B:B&amp;Inside5!I:I, Inside5!D:D), 0)</f>
        <v>0</v>
      </c>
      <c r="G422" cm="1">
        <f t="array" ref="G422">IFERROR(_xlfn.XLOOKUP(C422&amp;A422, Inside5!B:B&amp;Inside5!I:I, Inside5!E:E), 0)</f>
        <v>6.7000000000000004E-2</v>
      </c>
      <c r="H422" cm="1">
        <f t="array" ref="H422">IFERROR(_xlfn.XLOOKUP(C422&amp;A422, TDrate!F:F&amp;TDrate!H:H, TDrate!C:C), "N/A")</f>
        <v>3.1300000000000001E-2</v>
      </c>
      <c r="I422" cm="1">
        <f t="array" ref="I422">IFERROR(_xlfn.XLOOKUP(C422&amp;A422, TDrate!F:F&amp;TDrate!H:H, TDrate!E:E), "N/A")</f>
        <v>2.7099999999999999E-2</v>
      </c>
      <c r="J422" cm="1">
        <f t="array" ref="J422">IFERROR(_xlfn.XLOOKUP(C422&amp;A422, Inside5!B:B&amp;Inside5!I:I, Inside5!F:F), 0)</f>
        <v>0</v>
      </c>
      <c r="K422" cm="1">
        <f t="array" ref="K422">IFERROR(_xlfn.XLOOKUP(C422&amp;A422, Inside5!B:B&amp;Inside5!I:I, Inside5!G:G), 0)</f>
        <v>0</v>
      </c>
      <c r="L422" cm="1">
        <f t="array" ref="L422">IFERROR(_xlfn.XLOOKUP(C422&amp;A422, Inside5!B:B&amp;Inside5!I:I, Inside5!H:H), 0)</f>
        <v>0</v>
      </c>
      <c r="M422" cm="1">
        <f t="array" ref="M422">IFERROR(_xlfn.XLOOKUP(C422&amp;A422, TDrate!F:F&amp;TDrate!H:H, TDrate!B:B), "N/A")</f>
        <v>0</v>
      </c>
      <c r="N422" cm="1">
        <f t="array" ref="N422">IFERROR(_xlfn.XLOOKUP(C422&amp;A422, TDrate!F:F&amp;TDrate!H:H, TDrate!D:D), "N/A")</f>
        <v>1.21E-2</v>
      </c>
    </row>
    <row r="423" spans="1:14" x14ac:dyDescent="0.45">
      <c r="A423" s="8">
        <v>2023</v>
      </c>
      <c r="B423" s="9" t="s">
        <v>479</v>
      </c>
      <c r="C423" s="10" t="str">
        <f t="shared" si="12"/>
        <v>Ameer Abdullah</v>
      </c>
      <c r="D423" s="10" t="str">
        <f t="shared" si="13"/>
        <v>LV</v>
      </c>
      <c r="E423" cm="1">
        <f t="array" aca="1" ref="E423" ca="1">IFERROR(_xlfn.XLOOKUP(C423&amp;A423, Inside5!B:B&amp;Inside5!I:I, Inside5!C:C), 0)</f>
        <v>0</v>
      </c>
      <c r="F423" cm="1">
        <f t="array" aca="1" ref="F423" ca="1">IFERROR(_xlfn.XLOOKUP(C423&amp;A423, Inside5!B:B&amp;Inside5!I:I, Inside5!D:D), 0)</f>
        <v>0</v>
      </c>
      <c r="G423" cm="1">
        <f t="array" ref="G423">IFERROR(_xlfn.XLOOKUP(C423&amp;A423, Inside5!B:B&amp;Inside5!I:I, Inside5!E:E), 0)</f>
        <v>0</v>
      </c>
      <c r="H423" t="str" cm="1">
        <f t="array" ref="H423">IFERROR(_xlfn.XLOOKUP(C423&amp;A423, TDrate!F:F&amp;TDrate!H:H, TDrate!C:C), "N/A")</f>
        <v>N/A</v>
      </c>
      <c r="I423" t="str" cm="1">
        <f t="array" ref="I423">IFERROR(_xlfn.XLOOKUP(C423&amp;A423, TDrate!F:F&amp;TDrate!H:H, TDrate!E:E), "N/A")</f>
        <v>N/A</v>
      </c>
      <c r="J423" cm="1">
        <f t="array" ref="J423">IFERROR(_xlfn.XLOOKUP(C423&amp;A423, Inside5!B:B&amp;Inside5!I:I, Inside5!F:F), 0)</f>
        <v>0</v>
      </c>
      <c r="K423" cm="1">
        <f t="array" aca="1" ref="K423" ca="1">IFERROR(_xlfn.XLOOKUP(C423&amp;A423, Inside5!B:B&amp;Inside5!I:I, Inside5!G:G), 0)</f>
        <v>0</v>
      </c>
      <c r="L423" cm="1">
        <f t="array" ref="L423">IFERROR(_xlfn.XLOOKUP(C423&amp;A423, Inside5!B:B&amp;Inside5!I:I, Inside5!H:H), 0)</f>
        <v>0</v>
      </c>
      <c r="M423" t="str" cm="1">
        <f t="array" ref="M423">IFERROR(_xlfn.XLOOKUP(C423&amp;A423, TDrate!F:F&amp;TDrate!H:H, TDrate!B:B), "N/A")</f>
        <v>N/A</v>
      </c>
      <c r="N423" t="str" cm="1">
        <f t="array" ref="N423">IFERROR(_xlfn.XLOOKUP(C423&amp;A423, TDrate!F:F&amp;TDrate!H:H, TDrate!D:D), "N/A")</f>
        <v>N/A</v>
      </c>
    </row>
    <row r="424" spans="1:14" x14ac:dyDescent="0.45">
      <c r="A424" s="5">
        <v>2023</v>
      </c>
      <c r="B424" s="6" t="s">
        <v>475</v>
      </c>
      <c r="C424" s="7" t="str">
        <f t="shared" si="12"/>
        <v>Tank Bigsby</v>
      </c>
      <c r="D424" s="7" t="str">
        <f t="shared" si="13"/>
        <v>JAC</v>
      </c>
      <c r="E424" cm="1">
        <f t="array" ref="E424">IFERROR(_xlfn.XLOOKUP(C424&amp;A424, Inside5!B:B&amp;Inside5!I:I, Inside5!C:C), 0)</f>
        <v>3</v>
      </c>
      <c r="F424" cm="1">
        <f t="array" ref="F424">IFERROR(_xlfn.XLOOKUP(C424&amp;A424, Inside5!B:B&amp;Inside5!I:I, Inside5!D:D), 0)</f>
        <v>2</v>
      </c>
      <c r="G424" cm="1">
        <f t="array" ref="G424">IFERROR(_xlfn.XLOOKUP(C424&amp;A424, Inside5!B:B&amp;Inside5!I:I, Inside5!E:E), 0)</f>
        <v>0.214</v>
      </c>
      <c r="H424" cm="1">
        <f t="array" ref="H424">IFERROR(_xlfn.XLOOKUP(C424&amp;A424, TDrate!F:F&amp;TDrate!H:H, TDrate!C:C), "N/A")</f>
        <v>0.04</v>
      </c>
      <c r="I424" cm="1">
        <f t="array" ref="I424">IFERROR(_xlfn.XLOOKUP(C424&amp;A424, TDrate!F:F&amp;TDrate!H:H, TDrate!E:E), "N/A")</f>
        <v>3.7999999999999999E-2</v>
      </c>
      <c r="J424" cm="1">
        <f t="array" ref="J424">IFERROR(_xlfn.XLOOKUP(C424&amp;A424, Inside5!B:B&amp;Inside5!I:I, Inside5!F:F), 0)</f>
        <v>0</v>
      </c>
      <c r="K424" cm="1">
        <f t="array" ref="K424">IFERROR(_xlfn.XLOOKUP(C424&amp;A424, Inside5!B:B&amp;Inside5!I:I, Inside5!G:G), 0)</f>
        <v>0</v>
      </c>
      <c r="L424" cm="1">
        <f t="array" ref="L424">IFERROR(_xlfn.XLOOKUP(C424&amp;A424, Inside5!B:B&amp;Inside5!I:I, Inside5!H:H), 0)</f>
        <v>0</v>
      </c>
      <c r="M424" cm="1">
        <f t="array" ref="M424">IFERROR(_xlfn.XLOOKUP(C424&amp;A424, TDrate!F:F&amp;TDrate!H:H, TDrate!B:B), "N/A")</f>
        <v>0</v>
      </c>
      <c r="N424" cm="1">
        <f t="array" ref="N424">IFERROR(_xlfn.XLOOKUP(C424&amp;A424, TDrate!F:F&amp;TDrate!H:H, TDrate!D:D), "N/A")</f>
        <v>1.17E-2</v>
      </c>
    </row>
    <row r="425" spans="1:14" x14ac:dyDescent="0.45">
      <c r="A425" s="8">
        <v>2023</v>
      </c>
      <c r="B425" s="9" t="s">
        <v>483</v>
      </c>
      <c r="C425" s="10" t="str">
        <f t="shared" si="12"/>
        <v>Nick Chubb</v>
      </c>
      <c r="D425" s="10" t="str">
        <f t="shared" si="13"/>
        <v>CLE</v>
      </c>
      <c r="E425" cm="1">
        <f t="array" aca="1" ref="E425" ca="1">IFERROR(_xlfn.XLOOKUP(C425&amp;A425, Inside5!B:B&amp;Inside5!I:I, Inside5!C:C), 0)</f>
        <v>0</v>
      </c>
      <c r="F425" cm="1">
        <f t="array" aca="1" ref="F425" ca="1">IFERROR(_xlfn.XLOOKUP(C425&amp;A425, Inside5!B:B&amp;Inside5!I:I, Inside5!D:D), 0)</f>
        <v>0</v>
      </c>
      <c r="G425" cm="1">
        <f t="array" ref="G425">IFERROR(_xlfn.XLOOKUP(C425&amp;A425, Inside5!B:B&amp;Inside5!I:I, Inside5!E:E), 0)</f>
        <v>0</v>
      </c>
      <c r="H425" cm="1">
        <f t="array" ref="H425">IFERROR(_xlfn.XLOOKUP(C425&amp;A425, TDrate!F:F&amp;TDrate!H:H, TDrate!C:C), "N/A")</f>
        <v>0</v>
      </c>
      <c r="I425" cm="1">
        <f t="array" ref="I425">IFERROR(_xlfn.XLOOKUP(C425&amp;A425, TDrate!F:F&amp;TDrate!H:H, TDrate!E:E), "N/A")</f>
        <v>6.4000000000000003E-3</v>
      </c>
      <c r="J425" cm="1">
        <f t="array" ref="J425">IFERROR(_xlfn.XLOOKUP(C425&amp;A425, Inside5!B:B&amp;Inside5!I:I, Inside5!F:F), 0)</f>
        <v>0</v>
      </c>
      <c r="K425" cm="1">
        <f t="array" ref="K425">IFERROR(_xlfn.XLOOKUP(C425&amp;A425, Inside5!B:B&amp;Inside5!I:I, Inside5!G:G), 0)</f>
        <v>0</v>
      </c>
      <c r="L425" cm="1">
        <f t="array" ref="L425">IFERROR(_xlfn.XLOOKUP(C425&amp;A425, Inside5!B:B&amp;Inside5!I:I, Inside5!H:H), 0)</f>
        <v>0</v>
      </c>
      <c r="M425" cm="1">
        <f t="array" ref="M425">IFERROR(_xlfn.XLOOKUP(C425&amp;A425, TDrate!F:F&amp;TDrate!H:H, TDrate!B:B), "N/A")</f>
        <v>0</v>
      </c>
      <c r="N425" cm="1">
        <f t="array" ref="N425">IFERROR(_xlfn.XLOOKUP(C425&amp;A425, TDrate!F:F&amp;TDrate!H:H, TDrate!D:D), "N/A")</f>
        <v>9.4000000000000004E-3</v>
      </c>
    </row>
    <row r="426" spans="1:14" x14ac:dyDescent="0.45">
      <c r="A426" s="5">
        <v>2023</v>
      </c>
      <c r="B426" s="6" t="s">
        <v>576</v>
      </c>
      <c r="C426" s="7" t="str">
        <f t="shared" si="12"/>
        <v>Patrick Taylor Jr.</v>
      </c>
      <c r="D426" s="7" t="str">
        <f t="shared" si="13"/>
        <v>GB</v>
      </c>
      <c r="E426" cm="1">
        <f t="array" aca="1" ref="E426" ca="1">IFERROR(_xlfn.XLOOKUP(C426&amp;A426, Inside5!B:B&amp;Inside5!I:I, Inside5!C:C), 0)</f>
        <v>1</v>
      </c>
      <c r="F426" cm="1">
        <f t="array" aca="1" ref="F426" ca="1">IFERROR(_xlfn.XLOOKUP(C426&amp;A426, Inside5!B:B&amp;Inside5!I:I, Inside5!D:D), 0)</f>
        <v>0</v>
      </c>
      <c r="G426" cm="1">
        <f t="array" ref="G426">IFERROR(_xlfn.XLOOKUP(C426&amp;A426, Inside5!B:B&amp;Inside5!I:I, Inside5!E:E), 0)</f>
        <v>5.6000000000000001E-2</v>
      </c>
      <c r="H426" cm="1">
        <f t="array" ref="H426">IFERROR(_xlfn.XLOOKUP(C426&amp;A426, TDrate!F:F&amp;TDrate!H:H, TDrate!C:C), "N/A")</f>
        <v>0</v>
      </c>
      <c r="I426" cm="1">
        <f t="array" ref="I426">IFERROR(_xlfn.XLOOKUP(C426&amp;A426, TDrate!F:F&amp;TDrate!H:H, TDrate!E:E), "N/A")</f>
        <v>1.21E-2</v>
      </c>
      <c r="J426" cm="1">
        <f t="array" ref="J426">IFERROR(_xlfn.XLOOKUP(C426&amp;A426, Inside5!B:B&amp;Inside5!I:I, Inside5!F:F), 0)</f>
        <v>0</v>
      </c>
      <c r="K426" cm="1">
        <f t="array" ref="K426">IFERROR(_xlfn.XLOOKUP(C426&amp;A426, Inside5!B:B&amp;Inside5!I:I, Inside5!G:G), 0)</f>
        <v>0</v>
      </c>
      <c r="L426" cm="1">
        <f t="array" ref="L426">IFERROR(_xlfn.XLOOKUP(C426&amp;A426, Inside5!B:B&amp;Inside5!I:I, Inside5!H:H), 0)</f>
        <v>0</v>
      </c>
      <c r="M426" cm="1">
        <f t="array" ref="M426">IFERROR(_xlfn.XLOOKUP(C426&amp;A426, TDrate!F:F&amp;TDrate!H:H, TDrate!B:B), "N/A")</f>
        <v>0</v>
      </c>
      <c r="N426" cm="1">
        <f t="array" ref="N426">IFERROR(_xlfn.XLOOKUP(C426&amp;A426, TDrate!F:F&amp;TDrate!H:H, TDrate!D:D), "N/A")</f>
        <v>1.35E-2</v>
      </c>
    </row>
    <row r="427" spans="1:14" x14ac:dyDescent="0.45">
      <c r="A427" s="8">
        <v>2023</v>
      </c>
      <c r="B427" s="9" t="s">
        <v>577</v>
      </c>
      <c r="C427" s="10" t="str">
        <f t="shared" si="12"/>
        <v>Kevin Harris</v>
      </c>
      <c r="D427" s="10" t="str">
        <f t="shared" si="13"/>
        <v>NE</v>
      </c>
      <c r="E427" cm="1">
        <f t="array" ref="E427">IFERROR(_xlfn.XLOOKUP(C427&amp;A427, Inside5!B:B&amp;Inside5!I:I, Inside5!C:C), 0)</f>
        <v>0</v>
      </c>
      <c r="F427" cm="1">
        <f t="array" ref="F427">IFERROR(_xlfn.XLOOKUP(C427&amp;A427, Inside5!B:B&amp;Inside5!I:I, Inside5!D:D), 0)</f>
        <v>0</v>
      </c>
      <c r="G427" cm="1">
        <f t="array" ref="G427">IFERROR(_xlfn.XLOOKUP(C427&amp;A427, Inside5!B:B&amp;Inside5!I:I, Inside5!E:E), 0)</f>
        <v>0</v>
      </c>
      <c r="H427" t="str" cm="1">
        <f t="array" ref="H427">IFERROR(_xlfn.XLOOKUP(C427&amp;A427, TDrate!F:F&amp;TDrate!H:H, TDrate!C:C), "N/A")</f>
        <v>N/A</v>
      </c>
      <c r="I427" t="str" cm="1">
        <f t="array" ref="I427">IFERROR(_xlfn.XLOOKUP(C427&amp;A427, TDrate!F:F&amp;TDrate!H:H, TDrate!E:E), "N/A")</f>
        <v>N/A</v>
      </c>
      <c r="J427" cm="1">
        <f t="array" ref="J427">IFERROR(_xlfn.XLOOKUP(C427&amp;A427, Inside5!B:B&amp;Inside5!I:I, Inside5!F:F), 0)</f>
        <v>0</v>
      </c>
      <c r="K427" cm="1">
        <f t="array" ref="K427">IFERROR(_xlfn.XLOOKUP(C427&amp;A427, Inside5!B:B&amp;Inside5!I:I, Inside5!G:G), 0)</f>
        <v>0</v>
      </c>
      <c r="L427" cm="1">
        <f t="array" ref="L427">IFERROR(_xlfn.XLOOKUP(C427&amp;A427, Inside5!B:B&amp;Inside5!I:I, Inside5!H:H), 0)</f>
        <v>0</v>
      </c>
      <c r="M427" t="str" cm="1">
        <f t="array" ref="M427">IFERROR(_xlfn.XLOOKUP(C427&amp;A427, TDrate!F:F&amp;TDrate!H:H, TDrate!B:B), "N/A")</f>
        <v>N/A</v>
      </c>
      <c r="N427" t="str" cm="1">
        <f t="array" ref="N427">IFERROR(_xlfn.XLOOKUP(C427&amp;A427, TDrate!F:F&amp;TDrate!H:H, TDrate!D:D), "N/A")</f>
        <v>N/A</v>
      </c>
    </row>
    <row r="428" spans="1:14" x14ac:dyDescent="0.45">
      <c r="A428" s="5">
        <v>2023</v>
      </c>
      <c r="B428" s="6" t="s">
        <v>491</v>
      </c>
      <c r="C428" s="7" t="str">
        <f t="shared" si="12"/>
        <v>Trey Sermon</v>
      </c>
      <c r="D428" s="7" t="str">
        <f t="shared" si="13"/>
        <v>IND</v>
      </c>
      <c r="E428" cm="1">
        <f t="array" aca="1" ref="E428" ca="1">IFERROR(_xlfn.XLOOKUP(C428&amp;A428, Inside5!B:B&amp;Inside5!I:I, Inside5!C:C), 0)</f>
        <v>0</v>
      </c>
      <c r="F428" cm="1">
        <f t="array" aca="1" ref="F428" ca="1">IFERROR(_xlfn.XLOOKUP(C428&amp;A428, Inside5!B:B&amp;Inside5!I:I, Inside5!D:D), 0)</f>
        <v>0</v>
      </c>
      <c r="G428" cm="1">
        <f t="array" ref="G428">IFERROR(_xlfn.XLOOKUP(C428&amp;A428, Inside5!B:B&amp;Inside5!I:I, Inside5!E:E), 0)</f>
        <v>0</v>
      </c>
      <c r="H428" cm="1">
        <f t="array" ref="H428">IFERROR(_xlfn.XLOOKUP(C428&amp;A428, TDrate!F:F&amp;TDrate!H:H, TDrate!C:C), "N/A")</f>
        <v>0</v>
      </c>
      <c r="I428" cm="1">
        <f t="array" ref="I428">IFERROR(_xlfn.XLOOKUP(C428&amp;A428, TDrate!F:F&amp;TDrate!H:H, TDrate!E:E), "N/A")</f>
        <v>4.1000000000000003E-3</v>
      </c>
      <c r="J428" cm="1">
        <f t="array" ref="J428">IFERROR(_xlfn.XLOOKUP(C428&amp;A428, Inside5!B:B&amp;Inside5!I:I, Inside5!F:F), 0)</f>
        <v>0</v>
      </c>
      <c r="K428" cm="1">
        <f t="array" ref="K428">IFERROR(_xlfn.XLOOKUP(C428&amp;A428, Inside5!B:B&amp;Inside5!I:I, Inside5!G:G), 0)</f>
        <v>0</v>
      </c>
      <c r="L428" cm="1">
        <f t="array" ref="L428">IFERROR(_xlfn.XLOOKUP(C428&amp;A428, Inside5!B:B&amp;Inside5!I:I, Inside5!H:H), 0)</f>
        <v>0</v>
      </c>
      <c r="M428" cm="1">
        <f t="array" ref="M428">IFERROR(_xlfn.XLOOKUP(C428&amp;A428, TDrate!F:F&amp;TDrate!H:H, TDrate!B:B), "N/A")</f>
        <v>0</v>
      </c>
      <c r="N428" cm="1">
        <f t="array" ref="N428">IFERROR(_xlfn.XLOOKUP(C428&amp;A428, TDrate!F:F&amp;TDrate!H:H, TDrate!D:D), "N/A")</f>
        <v>2E-3</v>
      </c>
    </row>
    <row r="429" spans="1:14" x14ac:dyDescent="0.45">
      <c r="A429" s="8">
        <v>2023</v>
      </c>
      <c r="B429" s="9" t="s">
        <v>578</v>
      </c>
      <c r="C429" s="10" t="str">
        <f t="shared" si="12"/>
        <v>Damien Harris</v>
      </c>
      <c r="D429" s="10" t="str">
        <f t="shared" si="13"/>
        <v>BUF</v>
      </c>
      <c r="E429" cm="1">
        <f t="array" aca="1" ref="E429" ca="1">IFERROR(_xlfn.XLOOKUP(C429&amp;A429, Inside5!B:B&amp;Inside5!I:I, Inside5!C:C), 0)</f>
        <v>3</v>
      </c>
      <c r="F429" cm="1">
        <f t="array" aca="1" ref="F429" ca="1">IFERROR(_xlfn.XLOOKUP(C429&amp;A429, Inside5!B:B&amp;Inside5!I:I, Inside5!D:D), 0)</f>
        <v>1</v>
      </c>
      <c r="G429" cm="1">
        <f t="array" ref="G429">IFERROR(_xlfn.XLOOKUP(C429&amp;A429, Inside5!B:B&amp;Inside5!I:I, Inside5!E:E), 0)</f>
        <v>0.15</v>
      </c>
      <c r="H429" t="str" cm="1">
        <f t="array" ref="H429">IFERROR(_xlfn.XLOOKUP(C429&amp;A429, TDrate!F:F&amp;TDrate!H:H, TDrate!C:C), "N/A")</f>
        <v>N/A</v>
      </c>
      <c r="I429" t="str" cm="1">
        <f t="array" ref="I429">IFERROR(_xlfn.XLOOKUP(C429&amp;A429, TDrate!F:F&amp;TDrate!H:H, TDrate!E:E), "N/A")</f>
        <v>N/A</v>
      </c>
      <c r="J429" cm="1">
        <f t="array" ref="J429">IFERROR(_xlfn.XLOOKUP(C429&amp;A429, Inside5!B:B&amp;Inside5!I:I, Inside5!F:F), 0)</f>
        <v>0</v>
      </c>
      <c r="K429" cm="1">
        <f t="array" ref="K429">IFERROR(_xlfn.XLOOKUP(C429&amp;A429, Inside5!B:B&amp;Inside5!I:I, Inside5!G:G), 0)</f>
        <v>0</v>
      </c>
      <c r="L429" cm="1">
        <f t="array" ref="L429">IFERROR(_xlfn.XLOOKUP(C429&amp;A429, Inside5!B:B&amp;Inside5!I:I, Inside5!H:H), 0)</f>
        <v>0</v>
      </c>
      <c r="M429" t="str" cm="1">
        <f t="array" ref="M429">IFERROR(_xlfn.XLOOKUP(C429&amp;A429, TDrate!F:F&amp;TDrate!H:H, TDrate!B:B), "N/A")</f>
        <v>N/A</v>
      </c>
      <c r="N429" t="str" cm="1">
        <f t="array" ref="N429">IFERROR(_xlfn.XLOOKUP(C429&amp;A429, TDrate!F:F&amp;TDrate!H:H, TDrate!D:D), "N/A")</f>
        <v>N/A</v>
      </c>
    </row>
    <row r="430" spans="1:14" x14ac:dyDescent="0.45">
      <c r="A430" s="5">
        <v>2023</v>
      </c>
      <c r="B430" s="6" t="s">
        <v>579</v>
      </c>
      <c r="C430" s="7" t="str">
        <f t="shared" si="12"/>
        <v>Melvin Gordon III</v>
      </c>
      <c r="D430" s="7" t="str">
        <f t="shared" si="13"/>
        <v>BAL</v>
      </c>
      <c r="E430" cm="1">
        <f t="array" ref="E430">IFERROR(_xlfn.XLOOKUP(C430&amp;A430, Inside5!B:B&amp;Inside5!I:I, Inside5!C:C), 0)</f>
        <v>0</v>
      </c>
      <c r="F430" cm="1">
        <f t="array" ref="F430">IFERROR(_xlfn.XLOOKUP(C430&amp;A430, Inside5!B:B&amp;Inside5!I:I, Inside5!D:D), 0)</f>
        <v>0</v>
      </c>
      <c r="G430" cm="1">
        <f t="array" ref="G430">IFERROR(_xlfn.XLOOKUP(C430&amp;A430, Inside5!B:B&amp;Inside5!I:I, Inside5!E:E), 0)</f>
        <v>0</v>
      </c>
      <c r="H430" cm="1">
        <f t="array" ref="H430">IFERROR(_xlfn.XLOOKUP(C430&amp;A430, TDrate!F:F&amp;TDrate!H:H, TDrate!C:C), "N/A")</f>
        <v>3.85E-2</v>
      </c>
      <c r="I430" cm="1">
        <f t="array" ref="I430">IFERROR(_xlfn.XLOOKUP(C430&amp;A430, TDrate!F:F&amp;TDrate!H:H, TDrate!E:E), "N/A")</f>
        <v>2.8899999999999999E-2</v>
      </c>
      <c r="J430" cm="1">
        <f t="array" ref="J430">IFERROR(_xlfn.XLOOKUP(C430&amp;A430, Inside5!B:B&amp;Inside5!I:I, Inside5!F:F), 0)</f>
        <v>0</v>
      </c>
      <c r="K430" cm="1">
        <f t="array" ref="K430">IFERROR(_xlfn.XLOOKUP(C430&amp;A430, Inside5!B:B&amp;Inside5!I:I, Inside5!G:G), 0)</f>
        <v>0</v>
      </c>
      <c r="L430" cm="1">
        <f t="array" ref="L430">IFERROR(_xlfn.XLOOKUP(C430&amp;A430, Inside5!B:B&amp;Inside5!I:I, Inside5!H:H), 0)</f>
        <v>0</v>
      </c>
      <c r="M430" cm="1">
        <f t="array" ref="M430">IFERROR(_xlfn.XLOOKUP(C430&amp;A430, TDrate!F:F&amp;TDrate!H:H, TDrate!B:B), "N/A")</f>
        <v>0</v>
      </c>
      <c r="N430" cm="1">
        <f t="array" ref="N430">IFERROR(_xlfn.XLOOKUP(C430&amp;A430, TDrate!F:F&amp;TDrate!H:H, TDrate!D:D), "N/A")</f>
        <v>5.1999999999999998E-3</v>
      </c>
    </row>
    <row r="431" spans="1:14" x14ac:dyDescent="0.45">
      <c r="A431" s="8">
        <v>2023</v>
      </c>
      <c r="B431" s="9" t="s">
        <v>402</v>
      </c>
      <c r="C431" s="10" t="str">
        <f t="shared" si="12"/>
        <v>Ronnie Rivers</v>
      </c>
      <c r="D431" s="10" t="str">
        <f t="shared" si="13"/>
        <v>LAR</v>
      </c>
      <c r="E431" cm="1">
        <f t="array" aca="1" ref="E431" ca="1">IFERROR(_xlfn.XLOOKUP(C431&amp;A431, Inside5!B:B&amp;Inside5!I:I, Inside5!C:C), 0)</f>
        <v>0</v>
      </c>
      <c r="F431" cm="1">
        <f t="array" aca="1" ref="F431" ca="1">IFERROR(_xlfn.XLOOKUP(C431&amp;A431, Inside5!B:B&amp;Inside5!I:I, Inside5!D:D), 0)</f>
        <v>0</v>
      </c>
      <c r="G431" cm="1">
        <f t="array" ref="G431">IFERROR(_xlfn.XLOOKUP(C431&amp;A431, Inside5!B:B&amp;Inside5!I:I, Inside5!E:E), 0)</f>
        <v>0</v>
      </c>
      <c r="H431" cm="1">
        <f t="array" ref="H431">IFERROR(_xlfn.XLOOKUP(C431&amp;A431, TDrate!F:F&amp;TDrate!H:H, TDrate!C:C), "N/A")</f>
        <v>0</v>
      </c>
      <c r="I431" cm="1">
        <f t="array" ref="I431">IFERROR(_xlfn.XLOOKUP(C431&amp;A431, TDrate!F:F&amp;TDrate!H:H, TDrate!E:E), "N/A")</f>
        <v>2.7000000000000001E-3</v>
      </c>
      <c r="J431" cm="1">
        <f t="array" ref="J431">IFERROR(_xlfn.XLOOKUP(C431&amp;A431, Inside5!B:B&amp;Inside5!I:I, Inside5!F:F), 0)</f>
        <v>0</v>
      </c>
      <c r="K431" cm="1">
        <f t="array" ref="K431">IFERROR(_xlfn.XLOOKUP(C431&amp;A431, Inside5!B:B&amp;Inside5!I:I, Inside5!G:G), 0)</f>
        <v>0</v>
      </c>
      <c r="L431" cm="1">
        <f t="array" ref="L431">IFERROR(_xlfn.XLOOKUP(C431&amp;A431, Inside5!B:B&amp;Inside5!I:I, Inside5!H:H), 0)</f>
        <v>0</v>
      </c>
      <c r="M431" cm="1">
        <f t="array" ref="M431">IFERROR(_xlfn.XLOOKUP(C431&amp;A431, TDrate!F:F&amp;TDrate!H:H, TDrate!B:B), "N/A")</f>
        <v>0</v>
      </c>
      <c r="N431" cm="1">
        <f t="array" ref="N431">IFERROR(_xlfn.XLOOKUP(C431&amp;A431, TDrate!F:F&amp;TDrate!H:H, TDrate!D:D), "N/A")</f>
        <v>8.5000000000000006E-3</v>
      </c>
    </row>
    <row r="432" spans="1:14" x14ac:dyDescent="0.45">
      <c r="A432" s="5">
        <v>2023</v>
      </c>
      <c r="B432" s="6" t="s">
        <v>580</v>
      </c>
      <c r="C432" s="7" t="str">
        <f t="shared" si="12"/>
        <v>Isaiah Spiller</v>
      </c>
      <c r="D432" s="7" t="str">
        <f t="shared" si="13"/>
        <v>LAC</v>
      </c>
      <c r="E432" cm="1">
        <f t="array" aca="1" ref="E432" ca="1">IFERROR(_xlfn.XLOOKUP(C432&amp;A432, Inside5!B:B&amp;Inside5!I:I, Inside5!C:C), 0)</f>
        <v>0</v>
      </c>
      <c r="F432" cm="1">
        <f t="array" aca="1" ref="F432" ca="1">IFERROR(_xlfn.XLOOKUP(C432&amp;A432, Inside5!B:B&amp;Inside5!I:I, Inside5!D:D), 0)</f>
        <v>0</v>
      </c>
      <c r="G432" cm="1">
        <f t="array" ref="G432">IFERROR(_xlfn.XLOOKUP(C432&amp;A432, Inside5!B:B&amp;Inside5!I:I, Inside5!E:E), 0)</f>
        <v>0</v>
      </c>
      <c r="H432" cm="1">
        <f t="array" ref="H432">IFERROR(_xlfn.XLOOKUP(C432&amp;A432, TDrate!F:F&amp;TDrate!H:H, TDrate!C:C), "N/A")</f>
        <v>0</v>
      </c>
      <c r="I432" cm="1">
        <f t="array" ref="I432">IFERROR(_xlfn.XLOOKUP(C432&amp;A432, TDrate!F:F&amp;TDrate!H:H, TDrate!E:E), "N/A")</f>
        <v>7.4000000000000003E-3</v>
      </c>
      <c r="J432" cm="1">
        <f t="array" ref="J432">IFERROR(_xlfn.XLOOKUP(C432&amp;A432, Inside5!B:B&amp;Inside5!I:I, Inside5!F:F), 0)</f>
        <v>0</v>
      </c>
      <c r="K432" cm="1">
        <f t="array" ref="K432">IFERROR(_xlfn.XLOOKUP(C432&amp;A432, Inside5!B:B&amp;Inside5!I:I, Inside5!G:G), 0)</f>
        <v>0</v>
      </c>
      <c r="L432" cm="1">
        <f t="array" ref="L432">IFERROR(_xlfn.XLOOKUP(C432&amp;A432, Inside5!B:B&amp;Inside5!I:I, Inside5!H:H), 0)</f>
        <v>0</v>
      </c>
      <c r="M432" cm="1">
        <f t="array" ref="M432">IFERROR(_xlfn.XLOOKUP(C432&amp;A432, TDrate!F:F&amp;TDrate!H:H, TDrate!B:B), "N/A")</f>
        <v>0</v>
      </c>
      <c r="N432" cm="1">
        <f t="array" ref="N432">IFERROR(_xlfn.XLOOKUP(C432&amp;A432, TDrate!F:F&amp;TDrate!H:H, TDrate!D:D), "N/A")</f>
        <v>1.15E-2</v>
      </c>
    </row>
    <row r="433" spans="1:14" x14ac:dyDescent="0.45">
      <c r="A433" s="8">
        <v>2023</v>
      </c>
      <c r="B433" s="9" t="s">
        <v>415</v>
      </c>
      <c r="C433" s="10" t="str">
        <f t="shared" si="12"/>
        <v>Tyler Goodson</v>
      </c>
      <c r="D433" s="10" t="str">
        <f t="shared" si="13"/>
        <v>IND</v>
      </c>
      <c r="E433" cm="1">
        <f t="array" ref="E433">IFERROR(_xlfn.XLOOKUP(C433&amp;A433, Inside5!B:B&amp;Inside5!I:I, Inside5!C:C), 0)</f>
        <v>0</v>
      </c>
      <c r="F433" cm="1">
        <f t="array" ref="F433">IFERROR(_xlfn.XLOOKUP(C433&amp;A433, Inside5!B:B&amp;Inside5!I:I, Inside5!D:D), 0)</f>
        <v>0</v>
      </c>
      <c r="G433" cm="1">
        <f t="array" ref="G433">IFERROR(_xlfn.XLOOKUP(C433&amp;A433, Inside5!B:B&amp;Inside5!I:I, Inside5!E:E), 0)</f>
        <v>0</v>
      </c>
      <c r="H433" t="str" cm="1">
        <f t="array" ref="H433">IFERROR(_xlfn.XLOOKUP(C433&amp;A433, TDrate!F:F&amp;TDrate!H:H, TDrate!C:C), "N/A")</f>
        <v>N/A</v>
      </c>
      <c r="I433" t="str" cm="1">
        <f t="array" ref="I433">IFERROR(_xlfn.XLOOKUP(C433&amp;A433, TDrate!F:F&amp;TDrate!H:H, TDrate!E:E), "N/A")</f>
        <v>N/A</v>
      </c>
      <c r="J433" cm="1">
        <f t="array" ref="J433">IFERROR(_xlfn.XLOOKUP(C433&amp;A433, Inside5!B:B&amp;Inside5!I:I, Inside5!F:F), 0)</f>
        <v>0</v>
      </c>
      <c r="K433" cm="1">
        <f t="array" aca="1" ref="K433" ca="1">IFERROR(_xlfn.XLOOKUP(C433&amp;A433, Inside5!B:B&amp;Inside5!I:I, Inside5!G:G), 0)</f>
        <v>0</v>
      </c>
      <c r="L433" cm="1">
        <f t="array" ref="L433">IFERROR(_xlfn.XLOOKUP(C433&amp;A433, Inside5!B:B&amp;Inside5!I:I, Inside5!H:H), 0)</f>
        <v>0</v>
      </c>
      <c r="M433" t="str" cm="1">
        <f t="array" ref="M433">IFERROR(_xlfn.XLOOKUP(C433&amp;A433, TDrate!F:F&amp;TDrate!H:H, TDrate!B:B), "N/A")</f>
        <v>N/A</v>
      </c>
      <c r="N433" t="str" cm="1">
        <f t="array" ref="N433">IFERROR(_xlfn.XLOOKUP(C433&amp;A433, TDrate!F:F&amp;TDrate!H:H, TDrate!D:D), "N/A")</f>
        <v>N/A</v>
      </c>
    </row>
    <row r="434" spans="1:14" x14ac:dyDescent="0.45">
      <c r="A434" s="5">
        <v>2023</v>
      </c>
      <c r="B434" s="6" t="s">
        <v>427</v>
      </c>
      <c r="C434" s="7" t="str">
        <f t="shared" si="12"/>
        <v>Alec Ingold</v>
      </c>
      <c r="D434" s="7" t="str">
        <f t="shared" si="13"/>
        <v>MIA</v>
      </c>
      <c r="E434" cm="1">
        <f t="array" aca="1" ref="E434" ca="1">IFERROR(_xlfn.XLOOKUP(C434&amp;A434, Inside5!B:B&amp;Inside5!I:I, Inside5!C:C), 0)</f>
        <v>0</v>
      </c>
      <c r="F434" cm="1">
        <f t="array" aca="1" ref="F434" ca="1">IFERROR(_xlfn.XLOOKUP(C434&amp;A434, Inside5!B:B&amp;Inside5!I:I, Inside5!D:D), 0)</f>
        <v>0</v>
      </c>
      <c r="G434" cm="1">
        <f t="array" ref="G434">IFERROR(_xlfn.XLOOKUP(C434&amp;A434, Inside5!B:B&amp;Inside5!I:I, Inside5!E:E), 0)</f>
        <v>0</v>
      </c>
      <c r="H434" t="str" cm="1">
        <f t="array" ref="H434">IFERROR(_xlfn.XLOOKUP(C434&amp;A434, TDrate!F:F&amp;TDrate!H:H, TDrate!C:C), "N/A")</f>
        <v>N/A</v>
      </c>
      <c r="I434" t="str" cm="1">
        <f t="array" ref="I434">IFERROR(_xlfn.XLOOKUP(C434&amp;A434, TDrate!F:F&amp;TDrate!H:H, TDrate!E:E), "N/A")</f>
        <v>N/A</v>
      </c>
      <c r="J434" cm="1">
        <f t="array" ref="J434">IFERROR(_xlfn.XLOOKUP(C434&amp;A434, Inside5!B:B&amp;Inside5!I:I, Inside5!F:F), 0)</f>
        <v>0</v>
      </c>
      <c r="K434" cm="1">
        <f t="array" ref="K434">IFERROR(_xlfn.XLOOKUP(C434&amp;A434, Inside5!B:B&amp;Inside5!I:I, Inside5!G:G), 0)</f>
        <v>0</v>
      </c>
      <c r="L434" cm="1">
        <f t="array" ref="L434">IFERROR(_xlfn.XLOOKUP(C434&amp;A434, Inside5!B:B&amp;Inside5!I:I, Inside5!H:H), 0)</f>
        <v>0</v>
      </c>
      <c r="M434" t="str" cm="1">
        <f t="array" ref="M434">IFERROR(_xlfn.XLOOKUP(C434&amp;A434, TDrate!F:F&amp;TDrate!H:H, TDrate!B:B), "N/A")</f>
        <v>N/A</v>
      </c>
      <c r="N434" t="str" cm="1">
        <f t="array" ref="N434">IFERROR(_xlfn.XLOOKUP(C434&amp;A434, TDrate!F:F&amp;TDrate!H:H, TDrate!D:D), "N/A")</f>
        <v>N/A</v>
      </c>
    </row>
    <row r="435" spans="1:14" x14ac:dyDescent="0.45">
      <c r="A435" s="8">
        <v>2023</v>
      </c>
      <c r="B435" s="9" t="s">
        <v>581</v>
      </c>
      <c r="C435" s="10" t="str">
        <f t="shared" si="12"/>
        <v>Boston Scott</v>
      </c>
      <c r="D435" s="10" t="str">
        <f t="shared" si="13"/>
        <v>PHI</v>
      </c>
      <c r="E435" cm="1">
        <f t="array" ref="E435">IFERROR(_xlfn.XLOOKUP(C435&amp;A435, Inside5!B:B&amp;Inside5!I:I, Inside5!C:C), 0)</f>
        <v>1</v>
      </c>
      <c r="F435" cm="1">
        <f t="array" ref="F435">IFERROR(_xlfn.XLOOKUP(C435&amp;A435, Inside5!B:B&amp;Inside5!I:I, Inside5!D:D), 0)</f>
        <v>0</v>
      </c>
      <c r="G435" cm="1">
        <f t="array" ref="G435">IFERROR(_xlfn.XLOOKUP(C435&amp;A435, Inside5!B:B&amp;Inside5!I:I, Inside5!E:E), 0)</f>
        <v>5.6000000000000001E-2</v>
      </c>
      <c r="H435" t="str" cm="1">
        <f t="array" ref="H435">IFERROR(_xlfn.XLOOKUP(C435&amp;A435, TDrate!F:F&amp;TDrate!H:H, TDrate!C:C), "N/A")</f>
        <v>N/A</v>
      </c>
      <c r="I435" t="str" cm="1">
        <f t="array" ref="I435">IFERROR(_xlfn.XLOOKUP(C435&amp;A435, TDrate!F:F&amp;TDrate!H:H, TDrate!E:E), "N/A")</f>
        <v>N/A</v>
      </c>
      <c r="J435" cm="1">
        <f t="array" ref="J435">IFERROR(_xlfn.XLOOKUP(C435&amp;A435, Inside5!B:B&amp;Inside5!I:I, Inside5!F:F), 0)</f>
        <v>0</v>
      </c>
      <c r="K435" cm="1">
        <f t="array" ref="K435">IFERROR(_xlfn.XLOOKUP(C435&amp;A435, Inside5!B:B&amp;Inside5!I:I, Inside5!G:G), 0)</f>
        <v>0</v>
      </c>
      <c r="L435" cm="1">
        <f t="array" ref="L435">IFERROR(_xlfn.XLOOKUP(C435&amp;A435, Inside5!B:B&amp;Inside5!I:I, Inside5!H:H), 0)</f>
        <v>0</v>
      </c>
      <c r="M435" t="str" cm="1">
        <f t="array" ref="M435">IFERROR(_xlfn.XLOOKUP(C435&amp;A435, TDrate!F:F&amp;TDrate!H:H, TDrate!B:B), "N/A")</f>
        <v>N/A</v>
      </c>
      <c r="N435" t="str" cm="1">
        <f t="array" ref="N435">IFERROR(_xlfn.XLOOKUP(C435&amp;A435, TDrate!F:F&amp;TDrate!H:H, TDrate!D:D), "N/A")</f>
        <v>N/A</v>
      </c>
    </row>
    <row r="436" spans="1:14" x14ac:dyDescent="0.45">
      <c r="A436" s="5">
        <v>2023</v>
      </c>
      <c r="B436" s="6" t="s">
        <v>437</v>
      </c>
      <c r="C436" s="7" t="str">
        <f t="shared" si="12"/>
        <v>Patrick Ricard</v>
      </c>
      <c r="D436" s="7" t="str">
        <f t="shared" si="13"/>
        <v>BAL</v>
      </c>
      <c r="E436" cm="1">
        <f t="array" aca="1" ref="E436" ca="1">IFERROR(_xlfn.XLOOKUP(C436&amp;A436, Inside5!B:B&amp;Inside5!I:I, Inside5!C:C), 0)</f>
        <v>0</v>
      </c>
      <c r="F436" cm="1">
        <f t="array" ref="F436">IFERROR(_xlfn.XLOOKUP(C436&amp;A436, Inside5!B:B&amp;Inside5!I:I, Inside5!D:D), 0)</f>
        <v>0</v>
      </c>
      <c r="G436" cm="1">
        <f t="array" ref="G436">IFERROR(_xlfn.XLOOKUP(C436&amp;A436, Inside5!B:B&amp;Inside5!I:I, Inside5!E:E), 0)</f>
        <v>0</v>
      </c>
      <c r="H436" t="str" cm="1">
        <f t="array" ref="H436">IFERROR(_xlfn.XLOOKUP(C436&amp;A436, TDrate!F:F&amp;TDrate!H:H, TDrate!C:C), "N/A")</f>
        <v>N/A</v>
      </c>
      <c r="I436" t="str" cm="1">
        <f t="array" ref="I436">IFERROR(_xlfn.XLOOKUP(C436&amp;A436, TDrate!F:F&amp;TDrate!H:H, TDrate!E:E), "N/A")</f>
        <v>N/A</v>
      </c>
      <c r="J436" cm="1">
        <f t="array" ref="J436">IFERROR(_xlfn.XLOOKUP(C436&amp;A436, Inside5!B:B&amp;Inside5!I:I, Inside5!F:F), 0)</f>
        <v>1</v>
      </c>
      <c r="K436" cm="1">
        <f t="array" ref="K436">IFERROR(_xlfn.XLOOKUP(C436&amp;A436, Inside5!B:B&amp;Inside5!I:I, Inside5!G:G), 0)</f>
        <v>1</v>
      </c>
      <c r="L436" cm="1">
        <f t="array" ref="L436">IFERROR(_xlfn.XLOOKUP(C436&amp;A436, Inside5!B:B&amp;Inside5!I:I, Inside5!H:H), 0)</f>
        <v>1</v>
      </c>
      <c r="M436" t="str" cm="1">
        <f t="array" ref="M436">IFERROR(_xlfn.XLOOKUP(C436&amp;A436, TDrate!F:F&amp;TDrate!H:H, TDrate!B:B), "N/A")</f>
        <v>N/A</v>
      </c>
      <c r="N436" t="str" cm="1">
        <f t="array" ref="N436">IFERROR(_xlfn.XLOOKUP(C436&amp;A436, TDrate!F:F&amp;TDrate!H:H, TDrate!D:D), "N/A")</f>
        <v>N/A</v>
      </c>
    </row>
    <row r="437" spans="1:14" x14ac:dyDescent="0.45">
      <c r="A437" s="8">
        <v>2023</v>
      </c>
      <c r="B437" s="9" t="s">
        <v>582</v>
      </c>
      <c r="C437" s="10" t="str">
        <f t="shared" si="12"/>
        <v>Brandon Bolden</v>
      </c>
      <c r="D437" s="10" t="str">
        <f t="shared" si="13"/>
        <v>LV</v>
      </c>
      <c r="E437" cm="1">
        <f t="array" ref="E437">IFERROR(_xlfn.XLOOKUP(C437&amp;A437, Inside5!B:B&amp;Inside5!I:I, Inside5!C:C), 0)</f>
        <v>0</v>
      </c>
      <c r="F437" cm="1">
        <f t="array" aca="1" ref="F437" ca="1">IFERROR(_xlfn.XLOOKUP(C437&amp;A437, Inside5!B:B&amp;Inside5!I:I, Inside5!D:D), 0)</f>
        <v>0</v>
      </c>
      <c r="G437" cm="1">
        <f t="array" ref="G437">IFERROR(_xlfn.XLOOKUP(C437&amp;A437, Inside5!B:B&amp;Inside5!I:I, Inside5!E:E), 0)</f>
        <v>0</v>
      </c>
      <c r="H437" t="str" cm="1">
        <f t="array" ref="H437">IFERROR(_xlfn.XLOOKUP(C437&amp;A437, TDrate!F:F&amp;TDrate!H:H, TDrate!C:C), "N/A")</f>
        <v>N/A</v>
      </c>
      <c r="I437" t="str" cm="1">
        <f t="array" ref="I437">IFERROR(_xlfn.XLOOKUP(C437&amp;A437, TDrate!F:F&amp;TDrate!H:H, TDrate!E:E), "N/A")</f>
        <v>N/A</v>
      </c>
      <c r="J437" cm="1">
        <f t="array" ref="J437">IFERROR(_xlfn.XLOOKUP(C437&amp;A437, Inside5!B:B&amp;Inside5!I:I, Inside5!F:F), 0)</f>
        <v>0</v>
      </c>
      <c r="K437" cm="1">
        <f t="array" aca="1" ref="K437" ca="1">IFERROR(_xlfn.XLOOKUP(C437&amp;A437, Inside5!B:B&amp;Inside5!I:I, Inside5!G:G), 0)</f>
        <v>0</v>
      </c>
      <c r="L437" cm="1">
        <f t="array" aca="1" ref="L437" ca="1">IFERROR(_xlfn.XLOOKUP(C437&amp;A437, Inside5!B:B&amp;Inside5!I:I, Inside5!H:H), 0)</f>
        <v>0</v>
      </c>
      <c r="M437" t="str" cm="1">
        <f t="array" ref="M437">IFERROR(_xlfn.XLOOKUP(C437&amp;A437, TDrate!F:F&amp;TDrate!H:H, TDrate!B:B), "N/A")</f>
        <v>N/A</v>
      </c>
      <c r="N437" t="str" cm="1">
        <f t="array" ref="N437">IFERROR(_xlfn.XLOOKUP(C437&amp;A437, TDrate!F:F&amp;TDrate!H:H, TDrate!D:D), "N/A")</f>
        <v>N/A</v>
      </c>
    </row>
    <row r="438" spans="1:14" x14ac:dyDescent="0.45">
      <c r="A438" s="5">
        <v>2023</v>
      </c>
      <c r="B438" s="6" t="s">
        <v>507</v>
      </c>
      <c r="C438" s="7" t="str">
        <f t="shared" si="12"/>
        <v>Raheem Blackshear</v>
      </c>
      <c r="D438" s="7" t="str">
        <f t="shared" si="13"/>
        <v>CAR</v>
      </c>
      <c r="E438" cm="1">
        <f t="array" ref="E438">IFERROR(_xlfn.XLOOKUP(C438&amp;A438, Inside5!B:B&amp;Inside5!I:I, Inside5!C:C), 0)</f>
        <v>0</v>
      </c>
      <c r="F438" cm="1">
        <f t="array" aca="1" ref="F438" ca="1">IFERROR(_xlfn.XLOOKUP(C438&amp;A438, Inside5!B:B&amp;Inside5!I:I, Inside5!D:D), 0)</f>
        <v>0</v>
      </c>
      <c r="G438" cm="1">
        <f t="array" ref="G438">IFERROR(_xlfn.XLOOKUP(C438&amp;A438, Inside5!B:B&amp;Inside5!I:I, Inside5!E:E), 0)</f>
        <v>0</v>
      </c>
      <c r="H438" t="str" cm="1">
        <f t="array" ref="H438">IFERROR(_xlfn.XLOOKUP(C438&amp;A438, TDrate!F:F&amp;TDrate!H:H, TDrate!C:C), "N/A")</f>
        <v>N/A</v>
      </c>
      <c r="I438" t="str" cm="1">
        <f t="array" ref="I438">IFERROR(_xlfn.XLOOKUP(C438&amp;A438, TDrate!F:F&amp;TDrate!H:H, TDrate!E:E), "N/A")</f>
        <v>N/A</v>
      </c>
      <c r="J438" cm="1">
        <f t="array" ref="J438">IFERROR(_xlfn.XLOOKUP(C438&amp;A438, Inside5!B:B&amp;Inside5!I:I, Inside5!F:F), 0)</f>
        <v>0</v>
      </c>
      <c r="K438" cm="1">
        <f t="array" aca="1" ref="K438" ca="1">IFERROR(_xlfn.XLOOKUP(C438&amp;A438, Inside5!B:B&amp;Inside5!I:I, Inside5!G:G), 0)</f>
        <v>0</v>
      </c>
      <c r="L438" cm="1">
        <f t="array" ref="L438">IFERROR(_xlfn.XLOOKUP(C438&amp;A438, Inside5!B:B&amp;Inside5!I:I, Inside5!H:H), 0)</f>
        <v>0</v>
      </c>
      <c r="M438" t="str" cm="1">
        <f t="array" ref="M438">IFERROR(_xlfn.XLOOKUP(C438&amp;A438, TDrate!F:F&amp;TDrate!H:H, TDrate!B:B), "N/A")</f>
        <v>N/A</v>
      </c>
      <c r="N438" t="str" cm="1">
        <f t="array" ref="N438">IFERROR(_xlfn.XLOOKUP(C438&amp;A438, TDrate!F:F&amp;TDrate!H:H, TDrate!D:D), "N/A")</f>
        <v>N/A</v>
      </c>
    </row>
    <row r="439" spans="1:14" x14ac:dyDescent="0.45">
      <c r="A439" s="8">
        <v>2023</v>
      </c>
      <c r="B439" s="9" t="s">
        <v>583</v>
      </c>
      <c r="C439" s="10" t="str">
        <f t="shared" si="12"/>
        <v>La'Mical Perine</v>
      </c>
      <c r="D439" s="10" t="str">
        <f t="shared" si="13"/>
        <v>KC</v>
      </c>
      <c r="E439" cm="1">
        <f t="array" aca="1" ref="E439" ca="1">IFERROR(_xlfn.XLOOKUP(C439&amp;A439, Inside5!B:B&amp;Inside5!I:I, Inside5!C:C), 0)</f>
        <v>0</v>
      </c>
      <c r="F439" cm="1">
        <f t="array" ref="F439">IFERROR(_xlfn.XLOOKUP(C439&amp;A439, Inside5!B:B&amp;Inside5!I:I, Inside5!D:D), 0)</f>
        <v>0</v>
      </c>
      <c r="G439" cm="1">
        <f t="array" ref="G439">IFERROR(_xlfn.XLOOKUP(C439&amp;A439, Inside5!B:B&amp;Inside5!I:I, Inside5!E:E), 0)</f>
        <v>0</v>
      </c>
      <c r="H439" t="str" cm="1">
        <f t="array" ref="H439">IFERROR(_xlfn.XLOOKUP(C439&amp;A439, TDrate!F:F&amp;TDrate!H:H, TDrate!C:C), "N/A")</f>
        <v>N/A</v>
      </c>
      <c r="I439" t="str" cm="1">
        <f t="array" ref="I439">IFERROR(_xlfn.XLOOKUP(C439&amp;A439, TDrate!F:F&amp;TDrate!H:H, TDrate!E:E), "N/A")</f>
        <v>N/A</v>
      </c>
      <c r="J439" cm="1">
        <f t="array" ref="J439">IFERROR(_xlfn.XLOOKUP(C439&amp;A439, Inside5!B:B&amp;Inside5!I:I, Inside5!F:F), 0)</f>
        <v>0</v>
      </c>
      <c r="K439" cm="1">
        <f t="array" aca="1" ref="K439" ca="1">IFERROR(_xlfn.XLOOKUP(C439&amp;A439, Inside5!B:B&amp;Inside5!I:I, Inside5!G:G), 0)</f>
        <v>0</v>
      </c>
      <c r="L439" cm="1">
        <f t="array" ref="L439">IFERROR(_xlfn.XLOOKUP(C439&amp;A439, Inside5!B:B&amp;Inside5!I:I, Inside5!H:H), 0)</f>
        <v>0</v>
      </c>
      <c r="M439" t="str" cm="1">
        <f t="array" ref="M439">IFERROR(_xlfn.XLOOKUP(C439&amp;A439, TDrate!F:F&amp;TDrate!H:H, TDrate!B:B), "N/A")</f>
        <v>N/A</v>
      </c>
      <c r="N439" t="str" cm="1">
        <f t="array" ref="N439">IFERROR(_xlfn.XLOOKUP(C439&amp;A439, TDrate!F:F&amp;TDrate!H:H, TDrate!D:D), "N/A")</f>
        <v>N/A</v>
      </c>
    </row>
    <row r="440" spans="1:14" x14ac:dyDescent="0.45">
      <c r="A440" s="5">
        <v>2023</v>
      </c>
      <c r="B440" s="6" t="s">
        <v>341</v>
      </c>
      <c r="C440" s="7" t="str">
        <f t="shared" si="12"/>
        <v>Emanuel Wilson</v>
      </c>
      <c r="D440" s="7" t="str">
        <f t="shared" si="13"/>
        <v>GB</v>
      </c>
      <c r="E440" cm="1">
        <f t="array" ref="E440">IFERROR(_xlfn.XLOOKUP(C440&amp;A440, Inside5!B:B&amp;Inside5!I:I, Inside5!C:C), 0)</f>
        <v>0</v>
      </c>
      <c r="F440" cm="1">
        <f t="array" ref="F440">IFERROR(_xlfn.XLOOKUP(C440&amp;A440, Inside5!B:B&amp;Inside5!I:I, Inside5!D:D), 0)</f>
        <v>0</v>
      </c>
      <c r="G440" cm="1">
        <f t="array" ref="G440">IFERROR(_xlfn.XLOOKUP(C440&amp;A440, Inside5!B:B&amp;Inside5!I:I, Inside5!E:E), 0)</f>
        <v>0</v>
      </c>
      <c r="H440" t="str" cm="1">
        <f t="array" ref="H440">IFERROR(_xlfn.XLOOKUP(C440&amp;A440, TDrate!F:F&amp;TDrate!H:H, TDrate!C:C), "N/A")</f>
        <v>N/A</v>
      </c>
      <c r="I440" t="str" cm="1">
        <f t="array" ref="I440">IFERROR(_xlfn.XLOOKUP(C440&amp;A440, TDrate!F:F&amp;TDrate!H:H, TDrate!E:E), "N/A")</f>
        <v>N/A</v>
      </c>
      <c r="J440" cm="1">
        <f t="array" ref="J440">IFERROR(_xlfn.XLOOKUP(C440&amp;A440, Inside5!B:B&amp;Inside5!I:I, Inside5!F:F), 0)</f>
        <v>0</v>
      </c>
      <c r="K440" cm="1">
        <f t="array" aca="1" ref="K440" ca="1">IFERROR(_xlfn.XLOOKUP(C440&amp;A440, Inside5!B:B&amp;Inside5!I:I, Inside5!G:G), 0)</f>
        <v>0</v>
      </c>
      <c r="L440" cm="1">
        <f t="array" ref="L440">IFERROR(_xlfn.XLOOKUP(C440&amp;A440, Inside5!B:B&amp;Inside5!I:I, Inside5!H:H), 0)</f>
        <v>0</v>
      </c>
      <c r="M440" t="str" cm="1">
        <f t="array" ref="M440">IFERROR(_xlfn.XLOOKUP(C440&amp;A440, TDrate!F:F&amp;TDrate!H:H, TDrate!B:B), "N/A")</f>
        <v>N/A</v>
      </c>
      <c r="N440" t="str" cm="1">
        <f t="array" ref="N440">IFERROR(_xlfn.XLOOKUP(C440&amp;A440, TDrate!F:F&amp;TDrate!H:H, TDrate!D:D), "N/A")</f>
        <v>N/A</v>
      </c>
    </row>
    <row r="441" spans="1:14" x14ac:dyDescent="0.45">
      <c r="A441" s="8">
        <v>2023</v>
      </c>
      <c r="B441" s="9" t="s">
        <v>584</v>
      </c>
      <c r="C441" s="10" t="str">
        <f t="shared" si="12"/>
        <v>Chris Brooks</v>
      </c>
      <c r="D441" s="10" t="str">
        <f t="shared" si="13"/>
        <v>MIA</v>
      </c>
      <c r="E441" cm="1">
        <f t="array" ref="E441">IFERROR(_xlfn.XLOOKUP(C441&amp;A441, Inside5!B:B&amp;Inside5!I:I, Inside5!C:C), 0)</f>
        <v>0</v>
      </c>
      <c r="F441" cm="1">
        <f t="array" ref="F441">IFERROR(_xlfn.XLOOKUP(C441&amp;A441, Inside5!B:B&amp;Inside5!I:I, Inside5!D:D), 0)</f>
        <v>0</v>
      </c>
      <c r="G441" cm="1">
        <f t="array" ref="G441">IFERROR(_xlfn.XLOOKUP(C441&amp;A441, Inside5!B:B&amp;Inside5!I:I, Inside5!E:E), 0)</f>
        <v>0</v>
      </c>
      <c r="H441" t="str" cm="1">
        <f t="array" ref="H441">IFERROR(_xlfn.XLOOKUP(C441&amp;A441, TDrate!F:F&amp;TDrate!H:H, TDrate!C:C), "N/A")</f>
        <v>N/A</v>
      </c>
      <c r="I441" t="str" cm="1">
        <f t="array" ref="I441">IFERROR(_xlfn.XLOOKUP(C441&amp;A441, TDrate!F:F&amp;TDrate!H:H, TDrate!E:E), "N/A")</f>
        <v>N/A</v>
      </c>
      <c r="J441" cm="1">
        <f t="array" ref="J441">IFERROR(_xlfn.XLOOKUP(C441&amp;A441, Inside5!B:B&amp;Inside5!I:I, Inside5!F:F), 0)</f>
        <v>0</v>
      </c>
      <c r="K441" cm="1">
        <f t="array" ref="K441">IFERROR(_xlfn.XLOOKUP(C441&amp;A441, Inside5!B:B&amp;Inside5!I:I, Inside5!G:G), 0)</f>
        <v>0</v>
      </c>
      <c r="L441" cm="1">
        <f t="array" ref="L441">IFERROR(_xlfn.XLOOKUP(C441&amp;A441, Inside5!B:B&amp;Inside5!I:I, Inside5!H:H), 0)</f>
        <v>0</v>
      </c>
      <c r="M441" t="str" cm="1">
        <f t="array" ref="M441">IFERROR(_xlfn.XLOOKUP(C441&amp;A441, TDrate!F:F&amp;TDrate!H:H, TDrate!B:B), "N/A")</f>
        <v>N/A</v>
      </c>
      <c r="N441" t="str" cm="1">
        <f t="array" ref="N441">IFERROR(_xlfn.XLOOKUP(C441&amp;A441, TDrate!F:F&amp;TDrate!H:H, TDrate!D:D), "N/A")</f>
        <v>N/A</v>
      </c>
    </row>
    <row r="442" spans="1:14" x14ac:dyDescent="0.45">
      <c r="A442" s="5">
        <v>2023</v>
      </c>
      <c r="B442" s="6" t="s">
        <v>585</v>
      </c>
      <c r="C442" s="7" t="str">
        <f t="shared" si="12"/>
        <v>Keaontay Ingram</v>
      </c>
      <c r="D442" s="7" t="str">
        <f t="shared" si="13"/>
        <v>ARI</v>
      </c>
      <c r="E442" cm="1">
        <f t="array" aca="1" ref="E442" ca="1">IFERROR(_xlfn.XLOOKUP(C442&amp;A442, Inside5!B:B&amp;Inside5!I:I, Inside5!C:C), 0)</f>
        <v>0</v>
      </c>
      <c r="F442" cm="1">
        <f t="array" aca="1" ref="F442" ca="1">IFERROR(_xlfn.XLOOKUP(C442&amp;A442, Inside5!B:B&amp;Inside5!I:I, Inside5!D:D), 0)</f>
        <v>0</v>
      </c>
      <c r="G442" cm="1">
        <f t="array" ref="G442">IFERROR(_xlfn.XLOOKUP(C442&amp;A442, Inside5!B:B&amp;Inside5!I:I, Inside5!E:E), 0)</f>
        <v>0</v>
      </c>
      <c r="H442" cm="1">
        <f t="array" ref="H442">IFERROR(_xlfn.XLOOKUP(C442&amp;A442, TDrate!F:F&amp;TDrate!H:H, TDrate!C:C), "N/A")</f>
        <v>0</v>
      </c>
      <c r="I442" cm="1">
        <f t="array" ref="I442">IFERROR(_xlfn.XLOOKUP(C442&amp;A442, TDrate!F:F&amp;TDrate!H:H, TDrate!E:E), "N/A")</f>
        <v>3.8E-3</v>
      </c>
      <c r="J442" cm="1">
        <f t="array" ref="J442">IFERROR(_xlfn.XLOOKUP(C442&amp;A442, Inside5!B:B&amp;Inside5!I:I, Inside5!F:F), 0)</f>
        <v>0</v>
      </c>
      <c r="K442" cm="1">
        <f t="array" ref="K442">IFERROR(_xlfn.XLOOKUP(C442&amp;A442, Inside5!B:B&amp;Inside5!I:I, Inside5!G:G), 0)</f>
        <v>0</v>
      </c>
      <c r="L442" cm="1">
        <f t="array" ref="L442">IFERROR(_xlfn.XLOOKUP(C442&amp;A442, Inside5!B:B&amp;Inside5!I:I, Inside5!H:H), 0)</f>
        <v>0</v>
      </c>
      <c r="M442" cm="1">
        <f t="array" ref="M442">IFERROR(_xlfn.XLOOKUP(C442&amp;A442, TDrate!F:F&amp;TDrate!H:H, TDrate!B:B), "N/A")</f>
        <v>0</v>
      </c>
      <c r="N442" cm="1">
        <f t="array" ref="N442">IFERROR(_xlfn.XLOOKUP(C442&amp;A442, TDrate!F:F&amp;TDrate!H:H, TDrate!D:D), "N/A")</f>
        <v>2.7000000000000001E-3</v>
      </c>
    </row>
    <row r="443" spans="1:14" x14ac:dyDescent="0.45">
      <c r="A443" s="8">
        <v>2023</v>
      </c>
      <c r="B443" s="9" t="s">
        <v>586</v>
      </c>
      <c r="C443" s="10" t="str">
        <f t="shared" si="12"/>
        <v>J.K. Dobbins</v>
      </c>
      <c r="D443" s="10" t="str">
        <f t="shared" si="13"/>
        <v>BAL</v>
      </c>
      <c r="E443" cm="1">
        <f t="array" ref="E443">IFERROR(_xlfn.XLOOKUP(C443&amp;A443, Inside5!B:B&amp;Inside5!I:I, Inside5!C:C), 0)</f>
        <v>1</v>
      </c>
      <c r="F443" cm="1">
        <f t="array" ref="F443">IFERROR(_xlfn.XLOOKUP(C443&amp;A443, Inside5!B:B&amp;Inside5!I:I, Inside5!D:D), 0)</f>
        <v>1</v>
      </c>
      <c r="G443" cm="1">
        <f t="array" ref="G443">IFERROR(_xlfn.XLOOKUP(C443&amp;A443, Inside5!B:B&amp;Inside5!I:I, Inside5!E:E), 0)</f>
        <v>3.5999999999999997E-2</v>
      </c>
      <c r="H443" t="str" cm="1">
        <f t="array" ref="H443">IFERROR(_xlfn.XLOOKUP(C443&amp;A443, TDrate!F:F&amp;TDrate!H:H, TDrate!C:C), "N/A")</f>
        <v>N/A</v>
      </c>
      <c r="I443" t="str" cm="1">
        <f t="array" ref="I443">IFERROR(_xlfn.XLOOKUP(C443&amp;A443, TDrate!F:F&amp;TDrate!H:H, TDrate!E:E), "N/A")</f>
        <v>N/A</v>
      </c>
      <c r="J443" cm="1">
        <f t="array" ref="J443">IFERROR(_xlfn.XLOOKUP(C443&amp;A443, Inside5!B:B&amp;Inside5!I:I, Inside5!F:F), 0)</f>
        <v>0</v>
      </c>
      <c r="K443" cm="1">
        <f t="array" aca="1" ref="K443" ca="1">IFERROR(_xlfn.XLOOKUP(C443&amp;A443, Inside5!B:B&amp;Inside5!I:I, Inside5!G:G), 0)</f>
        <v>0</v>
      </c>
      <c r="L443" cm="1">
        <f t="array" ref="L443">IFERROR(_xlfn.XLOOKUP(C443&amp;A443, Inside5!B:B&amp;Inside5!I:I, Inside5!H:H), 0)</f>
        <v>0</v>
      </c>
      <c r="M443" t="str" cm="1">
        <f t="array" ref="M443">IFERROR(_xlfn.XLOOKUP(C443&amp;A443, TDrate!F:F&amp;TDrate!H:H, TDrate!B:B), "N/A")</f>
        <v>N/A</v>
      </c>
      <c r="N443" t="str" cm="1">
        <f t="array" ref="N443">IFERROR(_xlfn.XLOOKUP(C443&amp;A443, TDrate!F:F&amp;TDrate!H:H, TDrate!D:D), "N/A")</f>
        <v>N/A</v>
      </c>
    </row>
    <row r="444" spans="1:14" x14ac:dyDescent="0.45">
      <c r="A444" s="5">
        <v>2023</v>
      </c>
      <c r="B444" s="6" t="s">
        <v>389</v>
      </c>
      <c r="C444" s="7" t="str">
        <f t="shared" si="12"/>
        <v>Hunter Luepke</v>
      </c>
      <c r="D444" s="7" t="str">
        <f t="shared" si="13"/>
        <v>DAL</v>
      </c>
      <c r="E444" cm="1">
        <f t="array" ref="E444">IFERROR(_xlfn.XLOOKUP(C444&amp;A444, Inside5!B:B&amp;Inside5!I:I, Inside5!C:C), 0)</f>
        <v>2</v>
      </c>
      <c r="F444" cm="1">
        <f t="array" ref="F444">IFERROR(_xlfn.XLOOKUP(C444&amp;A444, Inside5!B:B&amp;Inside5!I:I, Inside5!D:D), 0)</f>
        <v>1</v>
      </c>
      <c r="G444" cm="1">
        <f t="array" ref="G444">IFERROR(_xlfn.XLOOKUP(C444&amp;A444, Inside5!B:B&amp;Inside5!I:I, Inside5!E:E), 0)</f>
        <v>8.6999999999999994E-2</v>
      </c>
      <c r="H444" t="str" cm="1">
        <f t="array" ref="H444">IFERROR(_xlfn.XLOOKUP(C444&amp;A444, TDrate!F:F&amp;TDrate!H:H, TDrate!C:C), "N/A")</f>
        <v>N/A</v>
      </c>
      <c r="I444" t="str" cm="1">
        <f t="array" ref="I444">IFERROR(_xlfn.XLOOKUP(C444&amp;A444, TDrate!F:F&amp;TDrate!H:H, TDrate!E:E), "N/A")</f>
        <v>N/A</v>
      </c>
      <c r="J444" cm="1">
        <f t="array" ref="J444">IFERROR(_xlfn.XLOOKUP(C444&amp;A444, Inside5!B:B&amp;Inside5!I:I, Inside5!F:F), 0)</f>
        <v>0</v>
      </c>
      <c r="K444" cm="1">
        <f t="array" ref="K444">IFERROR(_xlfn.XLOOKUP(C444&amp;A444, Inside5!B:B&amp;Inside5!I:I, Inside5!G:G), 0)</f>
        <v>0</v>
      </c>
      <c r="L444" cm="1">
        <f t="array" ref="L444">IFERROR(_xlfn.XLOOKUP(C444&amp;A444, Inside5!B:B&amp;Inside5!I:I, Inside5!H:H), 0)</f>
        <v>0</v>
      </c>
      <c r="M444" t="str" cm="1">
        <f t="array" ref="M444">IFERROR(_xlfn.XLOOKUP(C444&amp;A444, TDrate!F:F&amp;TDrate!H:H, TDrate!B:B), "N/A")</f>
        <v>N/A</v>
      </c>
      <c r="N444" t="str" cm="1">
        <f t="array" ref="N444">IFERROR(_xlfn.XLOOKUP(C444&amp;A444, TDrate!F:F&amp;TDrate!H:H, TDrate!D:D), "N/A")</f>
        <v>N/A</v>
      </c>
    </row>
    <row r="445" spans="1:14" x14ac:dyDescent="0.45">
      <c r="A445" s="8">
        <v>2023</v>
      </c>
      <c r="B445" s="9" t="s">
        <v>587</v>
      </c>
      <c r="C445" s="10" t="str">
        <f t="shared" si="12"/>
        <v>Israel Abanikanda</v>
      </c>
      <c r="D445" s="10" t="str">
        <f t="shared" si="13"/>
        <v>NYJ</v>
      </c>
      <c r="E445" cm="1">
        <f t="array" aca="1" ref="E445" ca="1">IFERROR(_xlfn.XLOOKUP(C445&amp;A445, Inside5!B:B&amp;Inside5!I:I, Inside5!C:C), 0)</f>
        <v>0</v>
      </c>
      <c r="F445" cm="1">
        <f t="array" aca="1" ref="F445" ca="1">IFERROR(_xlfn.XLOOKUP(C445&amp;A445, Inside5!B:B&amp;Inside5!I:I, Inside5!D:D), 0)</f>
        <v>0</v>
      </c>
      <c r="G445" cm="1">
        <f t="array" ref="G445">IFERROR(_xlfn.XLOOKUP(C445&amp;A445, Inside5!B:B&amp;Inside5!I:I, Inside5!E:E), 0)</f>
        <v>0</v>
      </c>
      <c r="H445" t="str" cm="1">
        <f t="array" ref="H445">IFERROR(_xlfn.XLOOKUP(C445&amp;A445, TDrate!F:F&amp;TDrate!H:H, TDrate!C:C), "N/A")</f>
        <v>N/A</v>
      </c>
      <c r="I445" t="str" cm="1">
        <f t="array" ref="I445">IFERROR(_xlfn.XLOOKUP(C445&amp;A445, TDrate!F:F&amp;TDrate!H:H, TDrate!E:E), "N/A")</f>
        <v>N/A</v>
      </c>
      <c r="J445" cm="1">
        <f t="array" ref="J445">IFERROR(_xlfn.XLOOKUP(C445&amp;A445, Inside5!B:B&amp;Inside5!I:I, Inside5!F:F), 0)</f>
        <v>0</v>
      </c>
      <c r="K445" cm="1">
        <f t="array" ref="K445">IFERROR(_xlfn.XLOOKUP(C445&amp;A445, Inside5!B:B&amp;Inside5!I:I, Inside5!G:G), 0)</f>
        <v>0</v>
      </c>
      <c r="L445" cm="1">
        <f t="array" ref="L445">IFERROR(_xlfn.XLOOKUP(C445&amp;A445, Inside5!B:B&amp;Inside5!I:I, Inside5!H:H), 0)</f>
        <v>0</v>
      </c>
      <c r="M445" t="str" cm="1">
        <f t="array" ref="M445">IFERROR(_xlfn.XLOOKUP(C445&amp;A445, TDrate!F:F&amp;TDrate!H:H, TDrate!B:B), "N/A")</f>
        <v>N/A</v>
      </c>
      <c r="N445" t="str" cm="1">
        <f t="array" ref="N445">IFERROR(_xlfn.XLOOKUP(C445&amp;A445, TDrate!F:F&amp;TDrate!H:H, TDrate!D:D), "N/A")</f>
        <v>N/A</v>
      </c>
    </row>
    <row r="446" spans="1:14" x14ac:dyDescent="0.45">
      <c r="A446" s="5">
        <v>2023</v>
      </c>
      <c r="B446" s="6" t="s">
        <v>588</v>
      </c>
      <c r="C446" s="7" t="str">
        <f t="shared" si="12"/>
        <v>Nick Bawden</v>
      </c>
      <c r="D446" s="7" t="str">
        <f t="shared" si="13"/>
        <v>NYJ</v>
      </c>
      <c r="E446" cm="1">
        <f t="array" ref="E446">IFERROR(_xlfn.XLOOKUP(C446&amp;A446, Inside5!B:B&amp;Inside5!I:I, Inside5!C:C), 0)</f>
        <v>1</v>
      </c>
      <c r="F446" cm="1">
        <f t="array" ref="F446">IFERROR(_xlfn.XLOOKUP(C446&amp;A446, Inside5!B:B&amp;Inside5!I:I, Inside5!D:D), 0)</f>
        <v>1</v>
      </c>
      <c r="G446" cm="1">
        <f t="array" ref="G446">IFERROR(_xlfn.XLOOKUP(C446&amp;A446, Inside5!B:B&amp;Inside5!I:I, Inside5!E:E), 0)</f>
        <v>0.33300000000000002</v>
      </c>
      <c r="H446" t="str" cm="1">
        <f t="array" ref="H446">IFERROR(_xlfn.XLOOKUP(C446&amp;A446, TDrate!F:F&amp;TDrate!H:H, TDrate!C:C), "N/A")</f>
        <v>N/A</v>
      </c>
      <c r="I446" t="str" cm="1">
        <f t="array" ref="I446">IFERROR(_xlfn.XLOOKUP(C446&amp;A446, TDrate!F:F&amp;TDrate!H:H, TDrate!E:E), "N/A")</f>
        <v>N/A</v>
      </c>
      <c r="J446" cm="1">
        <f t="array" ref="J446">IFERROR(_xlfn.XLOOKUP(C446&amp;A446, Inside5!B:B&amp;Inside5!I:I, Inside5!F:F), 0)</f>
        <v>0</v>
      </c>
      <c r="K446" cm="1">
        <f t="array" ref="K446">IFERROR(_xlfn.XLOOKUP(C446&amp;A446, Inside5!B:B&amp;Inside5!I:I, Inside5!G:G), 0)</f>
        <v>0</v>
      </c>
      <c r="L446" cm="1">
        <f t="array" ref="L446">IFERROR(_xlfn.XLOOKUP(C446&amp;A446, Inside5!B:B&amp;Inside5!I:I, Inside5!H:H), 0)</f>
        <v>0</v>
      </c>
      <c r="M446" t="str" cm="1">
        <f t="array" ref="M446">IFERROR(_xlfn.XLOOKUP(C446&amp;A446, TDrate!F:F&amp;TDrate!H:H, TDrate!B:B), "N/A")</f>
        <v>N/A</v>
      </c>
      <c r="N446" t="str" cm="1">
        <f t="array" ref="N446">IFERROR(_xlfn.XLOOKUP(C446&amp;A446, TDrate!F:F&amp;TDrate!H:H, TDrate!D:D), "N/A")</f>
        <v>N/A</v>
      </c>
    </row>
    <row r="447" spans="1:14" x14ac:dyDescent="0.45">
      <c r="A447" s="8">
        <v>2023</v>
      </c>
      <c r="B447" s="9" t="s">
        <v>413</v>
      </c>
      <c r="C447" s="10" t="str">
        <f t="shared" si="12"/>
        <v>Dare Ogunbowale</v>
      </c>
      <c r="D447" s="10" t="str">
        <f t="shared" si="13"/>
        <v>HOU</v>
      </c>
      <c r="E447" cm="1">
        <f t="array" aca="1" ref="E447" ca="1">IFERROR(_xlfn.XLOOKUP(C447&amp;A447, Inside5!B:B&amp;Inside5!I:I, Inside5!C:C), 0)</f>
        <v>0</v>
      </c>
      <c r="F447" cm="1">
        <f t="array" ref="F447">IFERROR(_xlfn.XLOOKUP(C447&amp;A447, Inside5!B:B&amp;Inside5!I:I, Inside5!D:D), 0)</f>
        <v>0</v>
      </c>
      <c r="G447" cm="1">
        <f t="array" ref="G447">IFERROR(_xlfn.XLOOKUP(C447&amp;A447, Inside5!B:B&amp;Inside5!I:I, Inside5!E:E), 0)</f>
        <v>0</v>
      </c>
      <c r="H447" t="str" cm="1">
        <f t="array" ref="H447">IFERROR(_xlfn.XLOOKUP(C447&amp;A447, TDrate!F:F&amp;TDrate!H:H, TDrate!C:C), "N/A")</f>
        <v>N/A</v>
      </c>
      <c r="I447" t="str" cm="1">
        <f t="array" ref="I447">IFERROR(_xlfn.XLOOKUP(C447&amp;A447, TDrate!F:F&amp;TDrate!H:H, TDrate!E:E), "N/A")</f>
        <v>N/A</v>
      </c>
      <c r="J447" cm="1">
        <f t="array" ref="J447">IFERROR(_xlfn.XLOOKUP(C447&amp;A447, Inside5!B:B&amp;Inside5!I:I, Inside5!F:F), 0)</f>
        <v>0</v>
      </c>
      <c r="K447" cm="1">
        <f t="array" ref="K447">IFERROR(_xlfn.XLOOKUP(C447&amp;A447, Inside5!B:B&amp;Inside5!I:I, Inside5!G:G), 0)</f>
        <v>0</v>
      </c>
      <c r="L447" cm="1">
        <f t="array" ref="L447">IFERROR(_xlfn.XLOOKUP(C447&amp;A447, Inside5!B:B&amp;Inside5!I:I, Inside5!H:H), 0)</f>
        <v>0</v>
      </c>
      <c r="M447" t="str" cm="1">
        <f t="array" ref="M447">IFERROR(_xlfn.XLOOKUP(C447&amp;A447, TDrate!F:F&amp;TDrate!H:H, TDrate!B:B), "N/A")</f>
        <v>N/A</v>
      </c>
      <c r="N447" t="str" cm="1">
        <f t="array" ref="N447">IFERROR(_xlfn.XLOOKUP(C447&amp;A447, TDrate!F:F&amp;TDrate!H:H, TDrate!D:D), "N/A")</f>
        <v>N/A</v>
      </c>
    </row>
    <row r="448" spans="1:14" x14ac:dyDescent="0.45">
      <c r="A448" s="5">
        <v>2023</v>
      </c>
      <c r="B448" s="6" t="s">
        <v>506</v>
      </c>
      <c r="C448" s="7" t="str">
        <f t="shared" si="12"/>
        <v>Deuce Vaughn</v>
      </c>
      <c r="D448" s="7" t="str">
        <f t="shared" si="13"/>
        <v>DAL</v>
      </c>
      <c r="E448" cm="1">
        <f t="array" aca="1" ref="E448" ca="1">IFERROR(_xlfn.XLOOKUP(C448&amp;A448, Inside5!B:B&amp;Inside5!I:I, Inside5!C:C), 0)</f>
        <v>1</v>
      </c>
      <c r="F448" cm="1">
        <f t="array" aca="1" ref="F448" ca="1">IFERROR(_xlfn.XLOOKUP(C448&amp;A448, Inside5!B:B&amp;Inside5!I:I, Inside5!D:D), 0)</f>
        <v>0</v>
      </c>
      <c r="G448" cm="1">
        <f t="array" ref="G448">IFERROR(_xlfn.XLOOKUP(C448&amp;A448, Inside5!B:B&amp;Inside5!I:I, Inside5!E:E), 0)</f>
        <v>4.2999999999999997E-2</v>
      </c>
      <c r="H448" t="str" cm="1">
        <f t="array" ref="H448">IFERROR(_xlfn.XLOOKUP(C448&amp;A448, TDrate!F:F&amp;TDrate!H:H, TDrate!C:C), "N/A")</f>
        <v>N/A</v>
      </c>
      <c r="I448" t="str" cm="1">
        <f t="array" ref="I448">IFERROR(_xlfn.XLOOKUP(C448&amp;A448, TDrate!F:F&amp;TDrate!H:H, TDrate!E:E), "N/A")</f>
        <v>N/A</v>
      </c>
      <c r="J448" cm="1">
        <f t="array" ref="J448">IFERROR(_xlfn.XLOOKUP(C448&amp;A448, Inside5!B:B&amp;Inside5!I:I, Inside5!F:F), 0)</f>
        <v>0</v>
      </c>
      <c r="K448" cm="1">
        <f t="array" ref="K448">IFERROR(_xlfn.XLOOKUP(C448&amp;A448, Inside5!B:B&amp;Inside5!I:I, Inside5!G:G), 0)</f>
        <v>0</v>
      </c>
      <c r="L448" cm="1">
        <f t="array" ref="L448">IFERROR(_xlfn.XLOOKUP(C448&amp;A448, Inside5!B:B&amp;Inside5!I:I, Inside5!H:H), 0)</f>
        <v>0</v>
      </c>
      <c r="M448" t="str" cm="1">
        <f t="array" ref="M448">IFERROR(_xlfn.XLOOKUP(C448&amp;A448, TDrate!F:F&amp;TDrate!H:H, TDrate!B:B), "N/A")</f>
        <v>N/A</v>
      </c>
      <c r="N448" t="str" cm="1">
        <f t="array" ref="N448">IFERROR(_xlfn.XLOOKUP(C448&amp;A448, TDrate!F:F&amp;TDrate!H:H, TDrate!D:D), "N/A")</f>
        <v>N/A</v>
      </c>
    </row>
    <row r="449" spans="1:14" x14ac:dyDescent="0.45">
      <c r="A449" s="8">
        <v>2023</v>
      </c>
      <c r="B449" s="9" t="s">
        <v>529</v>
      </c>
      <c r="C449" s="10" t="str">
        <f t="shared" si="12"/>
        <v>Trayveon Williams</v>
      </c>
      <c r="D449" s="10" t="str">
        <f t="shared" si="13"/>
        <v>CIN</v>
      </c>
      <c r="E449" cm="1">
        <f t="array" ref="E449">IFERROR(_xlfn.XLOOKUP(C449&amp;A449, Inside5!B:B&amp;Inside5!I:I, Inside5!C:C), 0)</f>
        <v>0</v>
      </c>
      <c r="F449" cm="1">
        <f t="array" ref="F449">IFERROR(_xlfn.XLOOKUP(C449&amp;A449, Inside5!B:B&amp;Inside5!I:I, Inside5!D:D), 0)</f>
        <v>0</v>
      </c>
      <c r="G449" cm="1">
        <f t="array" ref="G449">IFERROR(_xlfn.XLOOKUP(C449&amp;A449, Inside5!B:B&amp;Inside5!I:I, Inside5!E:E), 0)</f>
        <v>0</v>
      </c>
      <c r="H449" t="str" cm="1">
        <f t="array" ref="H449">IFERROR(_xlfn.XLOOKUP(C449&amp;A449, TDrate!F:F&amp;TDrate!H:H, TDrate!C:C), "N/A")</f>
        <v>N/A</v>
      </c>
      <c r="I449" t="str" cm="1">
        <f t="array" ref="I449">IFERROR(_xlfn.XLOOKUP(C449&amp;A449, TDrate!F:F&amp;TDrate!H:H, TDrate!E:E), "N/A")</f>
        <v>N/A</v>
      </c>
      <c r="J449" cm="1">
        <f t="array" ref="J449">IFERROR(_xlfn.XLOOKUP(C449&amp;A449, Inside5!B:B&amp;Inside5!I:I, Inside5!F:F), 0)</f>
        <v>0</v>
      </c>
      <c r="K449" cm="1">
        <f t="array" aca="1" ref="K449" ca="1">IFERROR(_xlfn.XLOOKUP(C449&amp;A449, Inside5!B:B&amp;Inside5!I:I, Inside5!G:G), 0)</f>
        <v>0</v>
      </c>
      <c r="L449" cm="1">
        <f t="array" ref="L449">IFERROR(_xlfn.XLOOKUP(C449&amp;A449, Inside5!B:B&amp;Inside5!I:I, Inside5!H:H), 0)</f>
        <v>0</v>
      </c>
      <c r="M449" t="str" cm="1">
        <f t="array" ref="M449">IFERROR(_xlfn.XLOOKUP(C449&amp;A449, TDrate!F:F&amp;TDrate!H:H, TDrate!B:B), "N/A")</f>
        <v>N/A</v>
      </c>
      <c r="N449" t="str" cm="1">
        <f t="array" ref="N449">IFERROR(_xlfn.XLOOKUP(C449&amp;A449, TDrate!F:F&amp;TDrate!H:H, TDrate!D:D), "N/A")</f>
        <v>N/A</v>
      </c>
    </row>
    <row r="450" spans="1:14" x14ac:dyDescent="0.45">
      <c r="A450" s="5">
        <v>2023</v>
      </c>
      <c r="B450" s="6" t="s">
        <v>459</v>
      </c>
      <c r="C450" s="7" t="str">
        <f t="shared" ref="C450:C513" si="14">TRIM(LEFT(B450, LEN(B450) - LEN(TRIM(RIGHT(SUBSTITUTE(TRIM(B450)," ",REPT(" ",100)),100)))))</f>
        <v>Eric Gray</v>
      </c>
      <c r="D450" s="7" t="str">
        <f t="shared" ref="D450:D513" si="15">MID(B450, FIND("(", B450) + 1, FIND(")", B450) - FIND("(", B450) - 1)</f>
        <v>NYG</v>
      </c>
      <c r="E450" cm="1">
        <f t="array" ref="E450">IFERROR(_xlfn.XLOOKUP(C450&amp;A450, Inside5!B:B&amp;Inside5!I:I, Inside5!C:C), 0)</f>
        <v>0</v>
      </c>
      <c r="F450" cm="1">
        <f t="array" ref="F450">IFERROR(_xlfn.XLOOKUP(C450&amp;A450, Inside5!B:B&amp;Inside5!I:I, Inside5!D:D), 0)</f>
        <v>0</v>
      </c>
      <c r="G450" cm="1">
        <f t="array" ref="G450">IFERROR(_xlfn.XLOOKUP(C450&amp;A450, Inside5!B:B&amp;Inside5!I:I, Inside5!E:E), 0)</f>
        <v>0</v>
      </c>
      <c r="H450" t="str" cm="1">
        <f t="array" ref="H450">IFERROR(_xlfn.XLOOKUP(C450&amp;A450, TDrate!F:F&amp;TDrate!H:H, TDrate!C:C), "N/A")</f>
        <v>N/A</v>
      </c>
      <c r="I450" t="str" cm="1">
        <f t="array" ref="I450">IFERROR(_xlfn.XLOOKUP(C450&amp;A450, TDrate!F:F&amp;TDrate!H:H, TDrate!E:E), "N/A")</f>
        <v>N/A</v>
      </c>
      <c r="J450" cm="1">
        <f t="array" ref="J450">IFERROR(_xlfn.XLOOKUP(C450&amp;A450, Inside5!B:B&amp;Inside5!I:I, Inside5!F:F), 0)</f>
        <v>0</v>
      </c>
      <c r="K450" cm="1">
        <f t="array" ref="K450">IFERROR(_xlfn.XLOOKUP(C450&amp;A450, Inside5!B:B&amp;Inside5!I:I, Inside5!G:G), 0)</f>
        <v>0</v>
      </c>
      <c r="L450" cm="1">
        <f t="array" ref="L450">IFERROR(_xlfn.XLOOKUP(C450&amp;A450, Inside5!B:B&amp;Inside5!I:I, Inside5!H:H), 0)</f>
        <v>0</v>
      </c>
      <c r="M450" t="str" cm="1">
        <f t="array" ref="M450">IFERROR(_xlfn.XLOOKUP(C450&amp;A450, TDrate!F:F&amp;TDrate!H:H, TDrate!B:B), "N/A")</f>
        <v>N/A</v>
      </c>
      <c r="N450" t="str" cm="1">
        <f t="array" ref="N450">IFERROR(_xlfn.XLOOKUP(C450&amp;A450, TDrate!F:F&amp;TDrate!H:H, TDrate!D:D), "N/A")</f>
        <v>N/A</v>
      </c>
    </row>
    <row r="451" spans="1:14" x14ac:dyDescent="0.45">
      <c r="A451" s="8">
        <v>2023</v>
      </c>
      <c r="B451" s="9" t="s">
        <v>589</v>
      </c>
      <c r="C451" s="10" t="str">
        <f t="shared" si="14"/>
        <v>Gary Brightwell</v>
      </c>
      <c r="D451" s="10" t="str">
        <f t="shared" si="15"/>
        <v>NYG</v>
      </c>
      <c r="E451" cm="1">
        <f t="array" aca="1" ref="E451" ca="1">IFERROR(_xlfn.XLOOKUP(C451&amp;A451, Inside5!B:B&amp;Inside5!I:I, Inside5!C:C), 0)</f>
        <v>0</v>
      </c>
      <c r="F451" cm="1">
        <f t="array" aca="1" ref="F451" ca="1">IFERROR(_xlfn.XLOOKUP(C451&amp;A451, Inside5!B:B&amp;Inside5!I:I, Inside5!D:D), 0)</f>
        <v>0</v>
      </c>
      <c r="G451" cm="1">
        <f t="array" ref="G451">IFERROR(_xlfn.XLOOKUP(C451&amp;A451, Inside5!B:B&amp;Inside5!I:I, Inside5!E:E), 0)</f>
        <v>0</v>
      </c>
      <c r="H451" t="str" cm="1">
        <f t="array" ref="H451">IFERROR(_xlfn.XLOOKUP(C451&amp;A451, TDrate!F:F&amp;TDrate!H:H, TDrate!C:C), "N/A")</f>
        <v>N/A</v>
      </c>
      <c r="I451" t="str" cm="1">
        <f t="array" ref="I451">IFERROR(_xlfn.XLOOKUP(C451&amp;A451, TDrate!F:F&amp;TDrate!H:H, TDrate!E:E), "N/A")</f>
        <v>N/A</v>
      </c>
      <c r="J451" cm="1">
        <f t="array" ref="J451">IFERROR(_xlfn.XLOOKUP(C451&amp;A451, Inside5!B:B&amp;Inside5!I:I, Inside5!F:F), 0)</f>
        <v>0</v>
      </c>
      <c r="K451" cm="1">
        <f t="array" ref="K451">IFERROR(_xlfn.XLOOKUP(C451&amp;A451, Inside5!B:B&amp;Inside5!I:I, Inside5!G:G), 0)</f>
        <v>0</v>
      </c>
      <c r="L451" cm="1">
        <f t="array" ref="L451">IFERROR(_xlfn.XLOOKUP(C451&amp;A451, Inside5!B:B&amp;Inside5!I:I, Inside5!H:H), 0)</f>
        <v>0</v>
      </c>
      <c r="M451" t="str" cm="1">
        <f t="array" ref="M451">IFERROR(_xlfn.XLOOKUP(C451&amp;A451, TDrate!F:F&amp;TDrate!H:H, TDrate!B:B), "N/A")</f>
        <v>N/A</v>
      </c>
      <c r="N451" t="str" cm="1">
        <f t="array" ref="N451">IFERROR(_xlfn.XLOOKUP(C451&amp;A451, TDrate!F:F&amp;TDrate!H:H, TDrate!D:D), "N/A")</f>
        <v>N/A</v>
      </c>
    </row>
    <row r="452" spans="1:14" x14ac:dyDescent="0.45">
      <c r="A452" s="5">
        <v>2023</v>
      </c>
      <c r="B452" s="6" t="s">
        <v>590</v>
      </c>
      <c r="C452" s="7" t="str">
        <f t="shared" si="14"/>
        <v>Mike Boone</v>
      </c>
      <c r="D452" s="7" t="str">
        <f t="shared" si="15"/>
        <v>HOU</v>
      </c>
      <c r="E452" cm="1">
        <f t="array" aca="1" ref="E452" ca="1">IFERROR(_xlfn.XLOOKUP(C452&amp;A452, Inside5!B:B&amp;Inside5!I:I, Inside5!C:C), 0)</f>
        <v>0</v>
      </c>
      <c r="F452" cm="1">
        <f t="array" ref="F452">IFERROR(_xlfn.XLOOKUP(C452&amp;A452, Inside5!B:B&amp;Inside5!I:I, Inside5!D:D), 0)</f>
        <v>0</v>
      </c>
      <c r="G452" cm="1">
        <f t="array" ref="G452">IFERROR(_xlfn.XLOOKUP(C452&amp;A452, Inside5!B:B&amp;Inside5!I:I, Inside5!E:E), 0)</f>
        <v>0</v>
      </c>
      <c r="H452" t="str" cm="1">
        <f t="array" ref="H452">IFERROR(_xlfn.XLOOKUP(C452&amp;A452, TDrate!F:F&amp;TDrate!H:H, TDrate!C:C), "N/A")</f>
        <v>N/A</v>
      </c>
      <c r="I452" t="str" cm="1">
        <f t="array" ref="I452">IFERROR(_xlfn.XLOOKUP(C452&amp;A452, TDrate!F:F&amp;TDrate!H:H, TDrate!E:E), "N/A")</f>
        <v>N/A</v>
      </c>
      <c r="J452" cm="1">
        <f t="array" ref="J452">IFERROR(_xlfn.XLOOKUP(C452&amp;A452, Inside5!B:B&amp;Inside5!I:I, Inside5!F:F), 0)</f>
        <v>0</v>
      </c>
      <c r="K452" cm="1">
        <f t="array" ref="K452">IFERROR(_xlfn.XLOOKUP(C452&amp;A452, Inside5!B:B&amp;Inside5!I:I, Inside5!G:G), 0)</f>
        <v>0</v>
      </c>
      <c r="L452" cm="1">
        <f t="array" ref="L452">IFERROR(_xlfn.XLOOKUP(C452&amp;A452, Inside5!B:B&amp;Inside5!I:I, Inside5!H:H), 0)</f>
        <v>0</v>
      </c>
      <c r="M452" t="str" cm="1">
        <f t="array" ref="M452">IFERROR(_xlfn.XLOOKUP(C452&amp;A452, TDrate!F:F&amp;TDrate!H:H, TDrate!B:B), "N/A")</f>
        <v>N/A</v>
      </c>
      <c r="N452" t="str" cm="1">
        <f t="array" ref="N452">IFERROR(_xlfn.XLOOKUP(C452&amp;A452, TDrate!F:F&amp;TDrate!H:H, TDrate!D:D), "N/A")</f>
        <v>N/A</v>
      </c>
    </row>
    <row r="453" spans="1:14" x14ac:dyDescent="0.45">
      <c r="A453" s="8">
        <v>2023</v>
      </c>
      <c r="B453" s="9" t="s">
        <v>591</v>
      </c>
      <c r="C453" s="10" t="str">
        <f t="shared" si="14"/>
        <v>Damien Williams</v>
      </c>
      <c r="D453" s="10" t="str">
        <f t="shared" si="15"/>
        <v>ARI</v>
      </c>
      <c r="E453" cm="1">
        <f t="array" aca="1" ref="E453" ca="1">IFERROR(_xlfn.XLOOKUP(C453&amp;A453, Inside5!B:B&amp;Inside5!I:I, Inside5!C:C), 0)</f>
        <v>0</v>
      </c>
      <c r="F453" cm="1">
        <f t="array" aca="1" ref="F453" ca="1">IFERROR(_xlfn.XLOOKUP(C453&amp;A453, Inside5!B:B&amp;Inside5!I:I, Inside5!D:D), 0)</f>
        <v>0</v>
      </c>
      <c r="G453" cm="1">
        <f t="array" ref="G453">IFERROR(_xlfn.XLOOKUP(C453&amp;A453, Inside5!B:B&amp;Inside5!I:I, Inside5!E:E), 0)</f>
        <v>0</v>
      </c>
      <c r="H453" t="str" cm="1">
        <f t="array" ref="H453">IFERROR(_xlfn.XLOOKUP(C453&amp;A453, TDrate!F:F&amp;TDrate!H:H, TDrate!C:C), "N/A")</f>
        <v>N/A</v>
      </c>
      <c r="I453" t="str" cm="1">
        <f t="array" ref="I453">IFERROR(_xlfn.XLOOKUP(C453&amp;A453, TDrate!F:F&amp;TDrate!H:H, TDrate!E:E), "N/A")</f>
        <v>N/A</v>
      </c>
      <c r="J453" cm="1">
        <f t="array" ref="J453">IFERROR(_xlfn.XLOOKUP(C453&amp;A453, Inside5!B:B&amp;Inside5!I:I, Inside5!F:F), 0)</f>
        <v>0</v>
      </c>
      <c r="K453" cm="1">
        <f t="array" ref="K453">IFERROR(_xlfn.XLOOKUP(C453&amp;A453, Inside5!B:B&amp;Inside5!I:I, Inside5!G:G), 0)</f>
        <v>0</v>
      </c>
      <c r="L453" cm="1">
        <f t="array" ref="L453">IFERROR(_xlfn.XLOOKUP(C453&amp;A453, Inside5!B:B&amp;Inside5!I:I, Inside5!H:H), 0)</f>
        <v>0</v>
      </c>
      <c r="M453" t="str" cm="1">
        <f t="array" ref="M453">IFERROR(_xlfn.XLOOKUP(C453&amp;A453, TDrate!F:F&amp;TDrate!H:H, TDrate!B:B), "N/A")</f>
        <v>N/A</v>
      </c>
      <c r="N453" t="str" cm="1">
        <f t="array" ref="N453">IFERROR(_xlfn.XLOOKUP(C453&amp;A453, TDrate!F:F&amp;TDrate!H:H, TDrate!D:D), "N/A")</f>
        <v>N/A</v>
      </c>
    </row>
    <row r="454" spans="1:14" x14ac:dyDescent="0.45">
      <c r="A454" s="5">
        <v>2023</v>
      </c>
      <c r="B454" s="6" t="s">
        <v>592</v>
      </c>
      <c r="C454" s="7" t="str">
        <f t="shared" si="14"/>
        <v>Ty Montgomery II</v>
      </c>
      <c r="D454" s="7" t="str">
        <f t="shared" si="15"/>
        <v>NE</v>
      </c>
      <c r="E454" cm="1">
        <f t="array" aca="1" ref="E454" ca="1">IFERROR(_xlfn.XLOOKUP(C454&amp;A454, Inside5!B:B&amp;Inside5!I:I, Inside5!C:C), 0)</f>
        <v>0</v>
      </c>
      <c r="F454" cm="1">
        <f t="array" aca="1" ref="F454" ca="1">IFERROR(_xlfn.XLOOKUP(C454&amp;A454, Inside5!B:B&amp;Inside5!I:I, Inside5!D:D), 0)</f>
        <v>0</v>
      </c>
      <c r="G454" cm="1">
        <f t="array" ref="G454">IFERROR(_xlfn.XLOOKUP(C454&amp;A454, Inside5!B:B&amp;Inside5!I:I, Inside5!E:E), 0)</f>
        <v>0</v>
      </c>
      <c r="H454" t="str" cm="1">
        <f t="array" ref="H454">IFERROR(_xlfn.XLOOKUP(C454&amp;A454, TDrate!F:F&amp;TDrate!H:H, TDrate!C:C), "N/A")</f>
        <v>N/A</v>
      </c>
      <c r="I454" t="str" cm="1">
        <f t="array" ref="I454">IFERROR(_xlfn.XLOOKUP(C454&amp;A454, TDrate!F:F&amp;TDrate!H:H, TDrate!E:E), "N/A")</f>
        <v>N/A</v>
      </c>
      <c r="J454" cm="1">
        <f t="array" ref="J454">IFERROR(_xlfn.XLOOKUP(C454&amp;A454, Inside5!B:B&amp;Inside5!I:I, Inside5!F:F), 0)</f>
        <v>0</v>
      </c>
      <c r="K454" cm="1">
        <f t="array" aca="1" ref="K454" ca="1">IFERROR(_xlfn.XLOOKUP(C454&amp;A454, Inside5!B:B&amp;Inside5!I:I, Inside5!G:G), 0)</f>
        <v>0</v>
      </c>
      <c r="L454" cm="1">
        <f t="array" aca="1" ref="L454" ca="1">IFERROR(_xlfn.XLOOKUP(C454&amp;A454, Inside5!B:B&amp;Inside5!I:I, Inside5!H:H), 0)</f>
        <v>0</v>
      </c>
      <c r="M454" t="str" cm="1">
        <f t="array" ref="M454">IFERROR(_xlfn.XLOOKUP(C454&amp;A454, TDrate!F:F&amp;TDrate!H:H, TDrate!B:B), "N/A")</f>
        <v>N/A</v>
      </c>
      <c r="N454" t="str" cm="1">
        <f t="array" ref="N454">IFERROR(_xlfn.XLOOKUP(C454&amp;A454, TDrate!F:F&amp;TDrate!H:H, TDrate!D:D), "N/A")</f>
        <v>N/A</v>
      </c>
    </row>
    <row r="455" spans="1:14" x14ac:dyDescent="0.45">
      <c r="A455" s="8">
        <v>2023</v>
      </c>
      <c r="B455" s="9" t="s">
        <v>593</v>
      </c>
      <c r="C455" s="10" t="str">
        <f t="shared" si="14"/>
        <v>Ke'Shawn Vaughn</v>
      </c>
      <c r="D455" s="10" t="str">
        <f t="shared" si="15"/>
        <v>TB</v>
      </c>
      <c r="E455" cm="1">
        <f t="array" aca="1" ref="E455" ca="1">IFERROR(_xlfn.XLOOKUP(C455&amp;A455, Inside5!B:B&amp;Inside5!I:I, Inside5!C:C), 0)</f>
        <v>1</v>
      </c>
      <c r="F455" cm="1">
        <f t="array" aca="1" ref="F455" ca="1">IFERROR(_xlfn.XLOOKUP(C455&amp;A455, Inside5!B:B&amp;Inside5!I:I, Inside5!D:D), 0)</f>
        <v>0</v>
      </c>
      <c r="G455" cm="1">
        <f t="array" ref="G455">IFERROR(_xlfn.XLOOKUP(C455&amp;A455, Inside5!B:B&amp;Inside5!I:I, Inside5!E:E), 0)</f>
        <v>8.3000000000000004E-2</v>
      </c>
      <c r="H455" t="str" cm="1">
        <f t="array" ref="H455">IFERROR(_xlfn.XLOOKUP(C455&amp;A455, TDrate!F:F&amp;TDrate!H:H, TDrate!C:C), "N/A")</f>
        <v>N/A</v>
      </c>
      <c r="I455" t="str" cm="1">
        <f t="array" ref="I455">IFERROR(_xlfn.XLOOKUP(C455&amp;A455, TDrate!F:F&amp;TDrate!H:H, TDrate!E:E), "N/A")</f>
        <v>N/A</v>
      </c>
      <c r="J455" cm="1">
        <f t="array" ref="J455">IFERROR(_xlfn.XLOOKUP(C455&amp;A455, Inside5!B:B&amp;Inside5!I:I, Inside5!F:F), 0)</f>
        <v>0</v>
      </c>
      <c r="K455" cm="1">
        <f t="array" ref="K455">IFERROR(_xlfn.XLOOKUP(C455&amp;A455, Inside5!B:B&amp;Inside5!I:I, Inside5!G:G), 0)</f>
        <v>0</v>
      </c>
      <c r="L455" cm="1">
        <f t="array" ref="L455">IFERROR(_xlfn.XLOOKUP(C455&amp;A455, Inside5!B:B&amp;Inside5!I:I, Inside5!H:H), 0)</f>
        <v>0</v>
      </c>
      <c r="M455" t="str" cm="1">
        <f t="array" ref="M455">IFERROR(_xlfn.XLOOKUP(C455&amp;A455, TDrate!F:F&amp;TDrate!H:H, TDrate!B:B), "N/A")</f>
        <v>N/A</v>
      </c>
      <c r="N455" t="str" cm="1">
        <f t="array" ref="N455">IFERROR(_xlfn.XLOOKUP(C455&amp;A455, TDrate!F:F&amp;TDrate!H:H, TDrate!D:D), "N/A")</f>
        <v>N/A</v>
      </c>
    </row>
    <row r="456" spans="1:14" x14ac:dyDescent="0.45">
      <c r="A456" s="5">
        <v>2023</v>
      </c>
      <c r="B456" s="6" t="s">
        <v>594</v>
      </c>
      <c r="C456" s="7" t="str">
        <f t="shared" si="14"/>
        <v>Leonard Fournette</v>
      </c>
      <c r="D456" s="7" t="str">
        <f t="shared" si="15"/>
        <v>BUF</v>
      </c>
      <c r="E456" cm="1">
        <f t="array" aca="1" ref="E456" ca="1">IFERROR(_xlfn.XLOOKUP(C456&amp;A456, Inside5!B:B&amp;Inside5!I:I, Inside5!C:C), 0)</f>
        <v>1</v>
      </c>
      <c r="F456" cm="1">
        <f t="array" aca="1" ref="F456" ca="1">IFERROR(_xlfn.XLOOKUP(C456&amp;A456, Inside5!B:B&amp;Inside5!I:I, Inside5!D:D), 0)</f>
        <v>0</v>
      </c>
      <c r="G456" cm="1">
        <f t="array" ref="G456">IFERROR(_xlfn.XLOOKUP(C456&amp;A456, Inside5!B:B&amp;Inside5!I:I, Inside5!E:E), 0)</f>
        <v>0.05</v>
      </c>
      <c r="H456" t="str" cm="1">
        <f t="array" ref="H456">IFERROR(_xlfn.XLOOKUP(C456&amp;A456, TDrate!F:F&amp;TDrate!H:H, TDrate!C:C), "N/A")</f>
        <v>N/A</v>
      </c>
      <c r="I456" t="str" cm="1">
        <f t="array" ref="I456">IFERROR(_xlfn.XLOOKUP(C456&amp;A456, TDrate!F:F&amp;TDrate!H:H, TDrate!E:E), "N/A")</f>
        <v>N/A</v>
      </c>
      <c r="J456" cm="1">
        <f t="array" ref="J456">IFERROR(_xlfn.XLOOKUP(C456&amp;A456, Inside5!B:B&amp;Inside5!I:I, Inside5!F:F), 0)</f>
        <v>0</v>
      </c>
      <c r="K456" cm="1">
        <f t="array" ref="K456">IFERROR(_xlfn.XLOOKUP(C456&amp;A456, Inside5!B:B&amp;Inside5!I:I, Inside5!G:G), 0)</f>
        <v>0</v>
      </c>
      <c r="L456" cm="1">
        <f t="array" ref="L456">IFERROR(_xlfn.XLOOKUP(C456&amp;A456, Inside5!B:B&amp;Inside5!I:I, Inside5!H:H), 0)</f>
        <v>0</v>
      </c>
      <c r="M456" t="str" cm="1">
        <f t="array" ref="M456">IFERROR(_xlfn.XLOOKUP(C456&amp;A456, TDrate!F:F&amp;TDrate!H:H, TDrate!B:B), "N/A")</f>
        <v>N/A</v>
      </c>
      <c r="N456" t="str" cm="1">
        <f t="array" ref="N456">IFERROR(_xlfn.XLOOKUP(C456&amp;A456, TDrate!F:F&amp;TDrate!H:H, TDrate!D:D), "N/A")</f>
        <v>N/A</v>
      </c>
    </row>
    <row r="457" spans="1:14" x14ac:dyDescent="0.45">
      <c r="A457" s="8">
        <v>2023</v>
      </c>
      <c r="B457" s="9" t="s">
        <v>595</v>
      </c>
      <c r="C457" s="10" t="str">
        <f t="shared" si="14"/>
        <v>Rashaad Penny</v>
      </c>
      <c r="D457" s="10" t="str">
        <f t="shared" si="15"/>
        <v>PHI</v>
      </c>
      <c r="E457" cm="1">
        <f t="array" aca="1" ref="E457" ca="1">IFERROR(_xlfn.XLOOKUP(C457&amp;A457, Inside5!B:B&amp;Inside5!I:I, Inside5!C:C), 0)</f>
        <v>0</v>
      </c>
      <c r="F457" cm="1">
        <f t="array" aca="1" ref="F457" ca="1">IFERROR(_xlfn.XLOOKUP(C457&amp;A457, Inside5!B:B&amp;Inside5!I:I, Inside5!D:D), 0)</f>
        <v>0</v>
      </c>
      <c r="G457" cm="1">
        <f t="array" ref="G457">IFERROR(_xlfn.XLOOKUP(C457&amp;A457, Inside5!B:B&amp;Inside5!I:I, Inside5!E:E), 0)</f>
        <v>0</v>
      </c>
      <c r="H457" t="str" cm="1">
        <f t="array" ref="H457">IFERROR(_xlfn.XLOOKUP(C457&amp;A457, TDrate!F:F&amp;TDrate!H:H, TDrate!C:C), "N/A")</f>
        <v>N/A</v>
      </c>
      <c r="I457" t="str" cm="1">
        <f t="array" ref="I457">IFERROR(_xlfn.XLOOKUP(C457&amp;A457, TDrate!F:F&amp;TDrate!H:H, TDrate!E:E), "N/A")</f>
        <v>N/A</v>
      </c>
      <c r="J457" cm="1">
        <f t="array" ref="J457">IFERROR(_xlfn.XLOOKUP(C457&amp;A457, Inside5!B:B&amp;Inside5!I:I, Inside5!F:F), 0)</f>
        <v>0</v>
      </c>
      <c r="K457" cm="1">
        <f t="array" ref="K457">IFERROR(_xlfn.XLOOKUP(C457&amp;A457, Inside5!B:B&amp;Inside5!I:I, Inside5!G:G), 0)</f>
        <v>0</v>
      </c>
      <c r="L457" cm="1">
        <f t="array" ref="L457">IFERROR(_xlfn.XLOOKUP(C457&amp;A457, Inside5!B:B&amp;Inside5!I:I, Inside5!H:H), 0)</f>
        <v>0</v>
      </c>
      <c r="M457" t="str" cm="1">
        <f t="array" ref="M457">IFERROR(_xlfn.XLOOKUP(C457&amp;A457, TDrate!F:F&amp;TDrate!H:H, TDrate!B:B), "N/A")</f>
        <v>N/A</v>
      </c>
      <c r="N457" t="str" cm="1">
        <f t="array" ref="N457">IFERROR(_xlfn.XLOOKUP(C457&amp;A457, TDrate!F:F&amp;TDrate!H:H, TDrate!D:D), "N/A")</f>
        <v>N/A</v>
      </c>
    </row>
    <row r="458" spans="1:14" x14ac:dyDescent="0.45">
      <c r="A458" s="5">
        <v>2023</v>
      </c>
      <c r="B458" s="6" t="s">
        <v>446</v>
      </c>
      <c r="C458" s="7" t="str">
        <f t="shared" si="14"/>
        <v>Michael Burton</v>
      </c>
      <c r="D458" s="7" t="str">
        <f t="shared" si="15"/>
        <v>DEN</v>
      </c>
      <c r="E458" cm="1">
        <f t="array" aca="1" ref="E458" ca="1">IFERROR(_xlfn.XLOOKUP(C458&amp;A458, Inside5!B:B&amp;Inside5!I:I, Inside5!C:C), 0)</f>
        <v>0</v>
      </c>
      <c r="F458" cm="1">
        <f t="array" aca="1" ref="F458" ca="1">IFERROR(_xlfn.XLOOKUP(C458&amp;A458, Inside5!B:B&amp;Inside5!I:I, Inside5!D:D), 0)</f>
        <v>0</v>
      </c>
      <c r="G458" cm="1">
        <f t="array" ref="G458">IFERROR(_xlfn.XLOOKUP(C458&amp;A458, Inside5!B:B&amp;Inside5!I:I, Inside5!E:E), 0)</f>
        <v>0</v>
      </c>
      <c r="H458" t="str" cm="1">
        <f t="array" ref="H458">IFERROR(_xlfn.XLOOKUP(C458&amp;A458, TDrate!F:F&amp;TDrate!H:H, TDrate!C:C), "N/A")</f>
        <v>N/A</v>
      </c>
      <c r="I458" t="str" cm="1">
        <f t="array" ref="I458">IFERROR(_xlfn.XLOOKUP(C458&amp;A458, TDrate!F:F&amp;TDrate!H:H, TDrate!E:E), "N/A")</f>
        <v>N/A</v>
      </c>
      <c r="J458" cm="1">
        <f t="array" ref="J458">IFERROR(_xlfn.XLOOKUP(C458&amp;A458, Inside5!B:B&amp;Inside5!I:I, Inside5!F:F), 0)</f>
        <v>0</v>
      </c>
      <c r="K458" cm="1">
        <f t="array" ref="K458">IFERROR(_xlfn.XLOOKUP(C458&amp;A458, Inside5!B:B&amp;Inside5!I:I, Inside5!G:G), 0)</f>
        <v>0</v>
      </c>
      <c r="L458" cm="1">
        <f t="array" ref="L458">IFERROR(_xlfn.XLOOKUP(C458&amp;A458, Inside5!B:B&amp;Inside5!I:I, Inside5!H:H), 0)</f>
        <v>0</v>
      </c>
      <c r="M458" t="str" cm="1">
        <f t="array" ref="M458">IFERROR(_xlfn.XLOOKUP(C458&amp;A458, TDrate!F:F&amp;TDrate!H:H, TDrate!B:B), "N/A")</f>
        <v>N/A</v>
      </c>
      <c r="N458" t="str" cm="1">
        <f t="array" ref="N458">IFERROR(_xlfn.XLOOKUP(C458&amp;A458, TDrate!F:F&amp;TDrate!H:H, TDrate!D:D), "N/A")</f>
        <v>N/A</v>
      </c>
    </row>
    <row r="459" spans="1:14" x14ac:dyDescent="0.45">
      <c r="A459" s="8">
        <v>2023</v>
      </c>
      <c r="B459" s="9" t="s">
        <v>596</v>
      </c>
      <c r="C459" s="10" t="str">
        <f t="shared" si="14"/>
        <v>Keith Smith</v>
      </c>
      <c r="D459" s="10" t="str">
        <f t="shared" si="15"/>
        <v>ATL</v>
      </c>
      <c r="E459" cm="1">
        <f t="array" aca="1" ref="E459" ca="1">IFERROR(_xlfn.XLOOKUP(C459&amp;A459, Inside5!B:B&amp;Inside5!I:I, Inside5!C:C), 0)</f>
        <v>0</v>
      </c>
      <c r="F459" cm="1">
        <f t="array" aca="1" ref="F459" ca="1">IFERROR(_xlfn.XLOOKUP(C459&amp;A459, Inside5!B:B&amp;Inside5!I:I, Inside5!D:D), 0)</f>
        <v>0</v>
      </c>
      <c r="G459" cm="1">
        <f t="array" ref="G459">IFERROR(_xlfn.XLOOKUP(C459&amp;A459, Inside5!B:B&amp;Inside5!I:I, Inside5!E:E), 0)</f>
        <v>0</v>
      </c>
      <c r="H459" t="str" cm="1">
        <f t="array" ref="H459">IFERROR(_xlfn.XLOOKUP(C459&amp;A459, TDrate!F:F&amp;TDrate!H:H, TDrate!C:C), "N/A")</f>
        <v>N/A</v>
      </c>
      <c r="I459" t="str" cm="1">
        <f t="array" ref="I459">IFERROR(_xlfn.XLOOKUP(C459&amp;A459, TDrate!F:F&amp;TDrate!H:H, TDrate!E:E), "N/A")</f>
        <v>N/A</v>
      </c>
      <c r="J459" cm="1">
        <f t="array" ref="J459">IFERROR(_xlfn.XLOOKUP(C459&amp;A459, Inside5!B:B&amp;Inside5!I:I, Inside5!F:F), 0)</f>
        <v>0</v>
      </c>
      <c r="K459" cm="1">
        <f t="array" ref="K459">IFERROR(_xlfn.XLOOKUP(C459&amp;A459, Inside5!B:B&amp;Inside5!I:I, Inside5!G:G), 0)</f>
        <v>0</v>
      </c>
      <c r="L459" cm="1">
        <f t="array" ref="L459">IFERROR(_xlfn.XLOOKUP(C459&amp;A459, Inside5!B:B&amp;Inside5!I:I, Inside5!H:H), 0)</f>
        <v>0</v>
      </c>
      <c r="M459" t="str" cm="1">
        <f t="array" ref="M459">IFERROR(_xlfn.XLOOKUP(C459&amp;A459, TDrate!F:F&amp;TDrate!H:H, TDrate!B:B), "N/A")</f>
        <v>N/A</v>
      </c>
      <c r="N459" t="str" cm="1">
        <f t="array" ref="N459">IFERROR(_xlfn.XLOOKUP(C459&amp;A459, TDrate!F:F&amp;TDrate!H:H, TDrate!D:D), "N/A")</f>
        <v>N/A</v>
      </c>
    </row>
    <row r="460" spans="1:14" x14ac:dyDescent="0.45">
      <c r="A460" s="5">
        <v>2023</v>
      </c>
      <c r="B460" s="6" t="s">
        <v>432</v>
      </c>
      <c r="C460" s="7" t="str">
        <f t="shared" si="14"/>
        <v>C.J. Ham</v>
      </c>
      <c r="D460" s="7" t="str">
        <f t="shared" si="15"/>
        <v>MIN</v>
      </c>
      <c r="E460" cm="1">
        <f t="array" ref="E460">IFERROR(_xlfn.XLOOKUP(C460&amp;A460, Inside5!B:B&amp;Inside5!I:I, Inside5!C:C), 0)</f>
        <v>0</v>
      </c>
      <c r="F460" cm="1">
        <f t="array" ref="F460">IFERROR(_xlfn.XLOOKUP(C460&amp;A460, Inside5!B:B&amp;Inside5!I:I, Inside5!D:D), 0)</f>
        <v>0</v>
      </c>
      <c r="G460" cm="1">
        <f t="array" ref="G460">IFERROR(_xlfn.XLOOKUP(C460&amp;A460, Inside5!B:B&amp;Inside5!I:I, Inside5!E:E), 0)</f>
        <v>0</v>
      </c>
      <c r="H460" t="str" cm="1">
        <f t="array" ref="H460">IFERROR(_xlfn.XLOOKUP(C460&amp;A460, TDrate!F:F&amp;TDrate!H:H, TDrate!C:C), "N/A")</f>
        <v>N/A</v>
      </c>
      <c r="I460" t="str" cm="1">
        <f t="array" ref="I460">IFERROR(_xlfn.XLOOKUP(C460&amp;A460, TDrate!F:F&amp;TDrate!H:H, TDrate!E:E), "N/A")</f>
        <v>N/A</v>
      </c>
      <c r="J460" cm="1">
        <f t="array" ref="J460">IFERROR(_xlfn.XLOOKUP(C460&amp;A460, Inside5!B:B&amp;Inside5!I:I, Inside5!F:F), 0)</f>
        <v>0</v>
      </c>
      <c r="K460" cm="1">
        <f t="array" ref="K460">IFERROR(_xlfn.XLOOKUP(C460&amp;A460, Inside5!B:B&amp;Inside5!I:I, Inside5!G:G), 0)</f>
        <v>0</v>
      </c>
      <c r="L460" cm="1">
        <f t="array" ref="L460">IFERROR(_xlfn.XLOOKUP(C460&amp;A460, Inside5!B:B&amp;Inside5!I:I, Inside5!H:H), 0)</f>
        <v>0</v>
      </c>
      <c r="M460" t="str" cm="1">
        <f t="array" ref="M460">IFERROR(_xlfn.XLOOKUP(C460&amp;A460, TDrate!F:F&amp;TDrate!H:H, TDrate!B:B), "N/A")</f>
        <v>N/A</v>
      </c>
      <c r="N460" t="str" cm="1">
        <f t="array" ref="N460">IFERROR(_xlfn.XLOOKUP(C460&amp;A460, TDrate!F:F&amp;TDrate!H:H, TDrate!D:D), "N/A")</f>
        <v>N/A</v>
      </c>
    </row>
    <row r="461" spans="1:14" x14ac:dyDescent="0.45">
      <c r="A461" s="8">
        <v>2023</v>
      </c>
      <c r="B461" s="9" t="s">
        <v>351</v>
      </c>
      <c r="C461" s="10" t="str">
        <f t="shared" si="14"/>
        <v>Sean Tucker</v>
      </c>
      <c r="D461" s="10" t="str">
        <f t="shared" si="15"/>
        <v>TB</v>
      </c>
      <c r="E461" cm="1">
        <f t="array" aca="1" ref="E461" ca="1">IFERROR(_xlfn.XLOOKUP(C461&amp;A461, Inside5!B:B&amp;Inside5!I:I, Inside5!C:C), 0)</f>
        <v>0</v>
      </c>
      <c r="F461" cm="1">
        <f t="array" aca="1" ref="F461" ca="1">IFERROR(_xlfn.XLOOKUP(C461&amp;A461, Inside5!B:B&amp;Inside5!I:I, Inside5!D:D), 0)</f>
        <v>0</v>
      </c>
      <c r="G461" cm="1">
        <f t="array" ref="G461">IFERROR(_xlfn.XLOOKUP(C461&amp;A461, Inside5!B:B&amp;Inside5!I:I, Inside5!E:E), 0)</f>
        <v>0</v>
      </c>
      <c r="H461" t="str" cm="1">
        <f t="array" ref="H461">IFERROR(_xlfn.XLOOKUP(C461&amp;A461, TDrate!F:F&amp;TDrate!H:H, TDrate!C:C), "N/A")</f>
        <v>N/A</v>
      </c>
      <c r="I461" t="str" cm="1">
        <f t="array" ref="I461">IFERROR(_xlfn.XLOOKUP(C461&amp;A461, TDrate!F:F&amp;TDrate!H:H, TDrate!E:E), "N/A")</f>
        <v>N/A</v>
      </c>
      <c r="J461" cm="1">
        <f t="array" ref="J461">IFERROR(_xlfn.XLOOKUP(C461&amp;A461, Inside5!B:B&amp;Inside5!I:I, Inside5!F:F), 0)</f>
        <v>0</v>
      </c>
      <c r="K461" cm="1">
        <f t="array" ref="K461">IFERROR(_xlfn.XLOOKUP(C461&amp;A461, Inside5!B:B&amp;Inside5!I:I, Inside5!G:G), 0)</f>
        <v>0</v>
      </c>
      <c r="L461" cm="1">
        <f t="array" ref="L461">IFERROR(_xlfn.XLOOKUP(C461&amp;A461, Inside5!B:B&amp;Inside5!I:I, Inside5!H:H), 0)</f>
        <v>0</v>
      </c>
      <c r="M461" t="str" cm="1">
        <f t="array" ref="M461">IFERROR(_xlfn.XLOOKUP(C461&amp;A461, TDrate!F:F&amp;TDrate!H:H, TDrate!B:B), "N/A")</f>
        <v>N/A</v>
      </c>
      <c r="N461" t="str" cm="1">
        <f t="array" ref="N461">IFERROR(_xlfn.XLOOKUP(C461&amp;A461, TDrate!F:F&amp;TDrate!H:H, TDrate!D:D), "N/A")</f>
        <v>N/A</v>
      </c>
    </row>
    <row r="462" spans="1:14" x14ac:dyDescent="0.45">
      <c r="A462" s="5">
        <v>2023</v>
      </c>
      <c r="B462" s="6" t="s">
        <v>532</v>
      </c>
      <c r="C462" s="7" t="str">
        <f t="shared" si="14"/>
        <v>Khari Blasingame</v>
      </c>
      <c r="D462" s="7" t="str">
        <f t="shared" si="15"/>
        <v>CHI</v>
      </c>
      <c r="E462" cm="1">
        <f t="array" aca="1" ref="E462" ca="1">IFERROR(_xlfn.XLOOKUP(C462&amp;A462, Inside5!B:B&amp;Inside5!I:I, Inside5!C:C), 0)</f>
        <v>0</v>
      </c>
      <c r="F462" cm="1">
        <f t="array" aca="1" ref="F462" ca="1">IFERROR(_xlfn.XLOOKUP(C462&amp;A462, Inside5!B:B&amp;Inside5!I:I, Inside5!D:D), 0)</f>
        <v>0</v>
      </c>
      <c r="G462" cm="1">
        <f t="array" ref="G462">IFERROR(_xlfn.XLOOKUP(C462&amp;A462, Inside5!B:B&amp;Inside5!I:I, Inside5!E:E), 0)</f>
        <v>0</v>
      </c>
      <c r="H462" t="str" cm="1">
        <f t="array" ref="H462">IFERROR(_xlfn.XLOOKUP(C462&amp;A462, TDrate!F:F&amp;TDrate!H:H, TDrate!C:C), "N/A")</f>
        <v>N/A</v>
      </c>
      <c r="I462" t="str" cm="1">
        <f t="array" ref="I462">IFERROR(_xlfn.XLOOKUP(C462&amp;A462, TDrate!F:F&amp;TDrate!H:H, TDrate!E:E), "N/A")</f>
        <v>N/A</v>
      </c>
      <c r="J462" cm="1">
        <f t="array" ref="J462">IFERROR(_xlfn.XLOOKUP(C462&amp;A462, Inside5!B:B&amp;Inside5!I:I, Inside5!F:F), 0)</f>
        <v>0</v>
      </c>
      <c r="K462" cm="1">
        <f t="array" aca="1" ref="K462" ca="1">IFERROR(_xlfn.XLOOKUP(C462&amp;A462, Inside5!B:B&amp;Inside5!I:I, Inside5!G:G), 0)</f>
        <v>0</v>
      </c>
      <c r="L462" cm="1">
        <f t="array" ref="L462">IFERROR(_xlfn.XLOOKUP(C462&amp;A462, Inside5!B:B&amp;Inside5!I:I, Inside5!H:H), 0)</f>
        <v>0</v>
      </c>
      <c r="M462" t="str" cm="1">
        <f t="array" ref="M462">IFERROR(_xlfn.XLOOKUP(C462&amp;A462, TDrate!F:F&amp;TDrate!H:H, TDrate!B:B), "N/A")</f>
        <v>N/A</v>
      </c>
      <c r="N462" t="str" cm="1">
        <f t="array" ref="N462">IFERROR(_xlfn.XLOOKUP(C462&amp;A462, TDrate!F:F&amp;TDrate!H:H, TDrate!D:D), "N/A")</f>
        <v>N/A</v>
      </c>
    </row>
    <row r="463" spans="1:14" x14ac:dyDescent="0.45">
      <c r="A463" s="8">
        <v>2023</v>
      </c>
      <c r="B463" s="9" t="s">
        <v>597</v>
      </c>
      <c r="C463" s="10" t="str">
        <f t="shared" si="14"/>
        <v>Derrick Gore</v>
      </c>
      <c r="D463" s="10" t="str">
        <f t="shared" si="15"/>
        <v>WAS</v>
      </c>
      <c r="E463" cm="1">
        <f t="array" ref="E463">IFERROR(_xlfn.XLOOKUP(C463&amp;A463, Inside5!B:B&amp;Inside5!I:I, Inside5!C:C), 0)</f>
        <v>1</v>
      </c>
      <c r="F463" cm="1">
        <f t="array" ref="F463">IFERROR(_xlfn.XLOOKUP(C463&amp;A463, Inside5!B:B&amp;Inside5!I:I, Inside5!D:D), 0)</f>
        <v>0</v>
      </c>
      <c r="G463" cm="1">
        <f t="array" ref="G463">IFERROR(_xlfn.XLOOKUP(C463&amp;A463, Inside5!B:B&amp;Inside5!I:I, Inside5!E:E), 0)</f>
        <v>7.6999999999999999E-2</v>
      </c>
      <c r="H463" t="str" cm="1">
        <f t="array" ref="H463">IFERROR(_xlfn.XLOOKUP(C463&amp;A463, TDrate!F:F&amp;TDrate!H:H, TDrate!C:C), "N/A")</f>
        <v>N/A</v>
      </c>
      <c r="I463" t="str" cm="1">
        <f t="array" ref="I463">IFERROR(_xlfn.XLOOKUP(C463&amp;A463, TDrate!F:F&amp;TDrate!H:H, TDrate!E:E), "N/A")</f>
        <v>N/A</v>
      </c>
      <c r="J463" cm="1">
        <f t="array" ref="J463">IFERROR(_xlfn.XLOOKUP(C463&amp;A463, Inside5!B:B&amp;Inside5!I:I, Inside5!F:F), 0)</f>
        <v>0</v>
      </c>
      <c r="K463" cm="1">
        <f t="array" ref="K463">IFERROR(_xlfn.XLOOKUP(C463&amp;A463, Inside5!B:B&amp;Inside5!I:I, Inside5!G:G), 0)</f>
        <v>0</v>
      </c>
      <c r="L463" cm="1">
        <f t="array" ref="L463">IFERROR(_xlfn.XLOOKUP(C463&amp;A463, Inside5!B:B&amp;Inside5!I:I, Inside5!H:H), 0)</f>
        <v>0</v>
      </c>
      <c r="M463" t="str" cm="1">
        <f t="array" ref="M463">IFERROR(_xlfn.XLOOKUP(C463&amp;A463, TDrate!F:F&amp;TDrate!H:H, TDrate!B:B), "N/A")</f>
        <v>N/A</v>
      </c>
      <c r="N463" t="str" cm="1">
        <f t="array" ref="N463">IFERROR(_xlfn.XLOOKUP(C463&amp;A463, TDrate!F:F&amp;TDrate!H:H, TDrate!D:D), "N/A")</f>
        <v>N/A</v>
      </c>
    </row>
    <row r="464" spans="1:14" x14ac:dyDescent="0.45">
      <c r="A464" s="5">
        <v>2023</v>
      </c>
      <c r="B464" s="6" t="s">
        <v>598</v>
      </c>
      <c r="C464" s="7" t="str">
        <f t="shared" si="14"/>
        <v>DeeJay Dallas</v>
      </c>
      <c r="D464" s="7" t="str">
        <f t="shared" si="15"/>
        <v>SEA</v>
      </c>
      <c r="E464" cm="1">
        <f t="array" aca="1" ref="E464" ca="1">IFERROR(_xlfn.XLOOKUP(C464&amp;A464, Inside5!B:B&amp;Inside5!I:I, Inside5!C:C), 0)</f>
        <v>0</v>
      </c>
      <c r="F464" cm="1">
        <f t="array" aca="1" ref="F464" ca="1">IFERROR(_xlfn.XLOOKUP(C464&amp;A464, Inside5!B:B&amp;Inside5!I:I, Inside5!D:D), 0)</f>
        <v>0</v>
      </c>
      <c r="G464" cm="1">
        <f t="array" ref="G464">IFERROR(_xlfn.XLOOKUP(C464&amp;A464, Inside5!B:B&amp;Inside5!I:I, Inside5!E:E), 0)</f>
        <v>0</v>
      </c>
      <c r="H464" t="str" cm="1">
        <f t="array" ref="H464">IFERROR(_xlfn.XLOOKUP(C464&amp;A464, TDrate!F:F&amp;TDrate!H:H, TDrate!C:C), "N/A")</f>
        <v>N/A</v>
      </c>
      <c r="I464" t="str" cm="1">
        <f t="array" ref="I464">IFERROR(_xlfn.XLOOKUP(C464&amp;A464, TDrate!F:F&amp;TDrate!H:H, TDrate!E:E), "N/A")</f>
        <v>N/A</v>
      </c>
      <c r="J464" cm="1">
        <f t="array" ref="J464">IFERROR(_xlfn.XLOOKUP(C464&amp;A464, Inside5!B:B&amp;Inside5!I:I, Inside5!F:F), 0)</f>
        <v>0</v>
      </c>
      <c r="K464" cm="1">
        <f t="array" ref="K464">IFERROR(_xlfn.XLOOKUP(C464&amp;A464, Inside5!B:B&amp;Inside5!I:I, Inside5!G:G), 0)</f>
        <v>0</v>
      </c>
      <c r="L464" cm="1">
        <f t="array" ref="L464">IFERROR(_xlfn.XLOOKUP(C464&amp;A464, Inside5!B:B&amp;Inside5!I:I, Inside5!H:H), 0)</f>
        <v>0</v>
      </c>
      <c r="M464" t="str" cm="1">
        <f t="array" ref="M464">IFERROR(_xlfn.XLOOKUP(C464&amp;A464, TDrate!F:F&amp;TDrate!H:H, TDrate!B:B), "N/A")</f>
        <v>N/A</v>
      </c>
      <c r="N464" t="str" cm="1">
        <f t="array" ref="N464">IFERROR(_xlfn.XLOOKUP(C464&amp;A464, TDrate!F:F&amp;TDrate!H:H, TDrate!D:D), "N/A")</f>
        <v>N/A</v>
      </c>
    </row>
    <row r="465" spans="1:14" x14ac:dyDescent="0.45">
      <c r="A465" s="8">
        <v>2023</v>
      </c>
      <c r="B465" s="9" t="s">
        <v>599</v>
      </c>
      <c r="C465" s="10" t="str">
        <f t="shared" si="14"/>
        <v>Jake Funk</v>
      </c>
      <c r="D465" s="10" t="str">
        <f t="shared" si="15"/>
        <v>IND</v>
      </c>
      <c r="E465" cm="1">
        <f t="array" aca="1" ref="E465" ca="1">IFERROR(_xlfn.XLOOKUP(C465&amp;A465, Inside5!B:B&amp;Inside5!I:I, Inside5!C:C), 0)</f>
        <v>0</v>
      </c>
      <c r="F465" cm="1">
        <f t="array" aca="1" ref="F465" ca="1">IFERROR(_xlfn.XLOOKUP(C465&amp;A465, Inside5!B:B&amp;Inside5!I:I, Inside5!D:D), 0)</f>
        <v>0</v>
      </c>
      <c r="G465" cm="1">
        <f t="array" ref="G465">IFERROR(_xlfn.XLOOKUP(C465&amp;A465, Inside5!B:B&amp;Inside5!I:I, Inside5!E:E), 0)</f>
        <v>0</v>
      </c>
      <c r="H465" t="str" cm="1">
        <f t="array" ref="H465">IFERROR(_xlfn.XLOOKUP(C465&amp;A465, TDrate!F:F&amp;TDrate!H:H, TDrate!C:C), "N/A")</f>
        <v>N/A</v>
      </c>
      <c r="I465" t="str" cm="1">
        <f t="array" ref="I465">IFERROR(_xlfn.XLOOKUP(C465&amp;A465, TDrate!F:F&amp;TDrate!H:H, TDrate!E:E), "N/A")</f>
        <v>N/A</v>
      </c>
      <c r="J465" cm="1">
        <f t="array" ref="J465">IFERROR(_xlfn.XLOOKUP(C465&amp;A465, Inside5!B:B&amp;Inside5!I:I, Inside5!F:F), 0)</f>
        <v>0</v>
      </c>
      <c r="K465" cm="1">
        <f t="array" ref="K465">IFERROR(_xlfn.XLOOKUP(C465&amp;A465, Inside5!B:B&amp;Inside5!I:I, Inside5!G:G), 0)</f>
        <v>0</v>
      </c>
      <c r="L465" cm="1">
        <f t="array" ref="L465">IFERROR(_xlfn.XLOOKUP(C465&amp;A465, Inside5!B:B&amp;Inside5!I:I, Inside5!H:H), 0)</f>
        <v>0</v>
      </c>
      <c r="M465" t="str" cm="1">
        <f t="array" ref="M465">IFERROR(_xlfn.XLOOKUP(C465&amp;A465, TDrate!F:F&amp;TDrate!H:H, TDrate!B:B), "N/A")</f>
        <v>N/A</v>
      </c>
      <c r="N465" t="str" cm="1">
        <f t="array" ref="N465">IFERROR(_xlfn.XLOOKUP(C465&amp;A465, TDrate!F:F&amp;TDrate!H:H, TDrate!D:D), "N/A")</f>
        <v>N/A</v>
      </c>
    </row>
    <row r="466" spans="1:14" x14ac:dyDescent="0.45">
      <c r="A466" s="5">
        <v>2023</v>
      </c>
      <c r="B466" s="6" t="s">
        <v>600</v>
      </c>
      <c r="C466" s="7" t="str">
        <f t="shared" si="14"/>
        <v>Tyrion Davis-Price</v>
      </c>
      <c r="D466" s="7" t="str">
        <f t="shared" si="15"/>
        <v>SF</v>
      </c>
      <c r="E466" cm="1">
        <f t="array" ref="E466">IFERROR(_xlfn.XLOOKUP(C466&amp;A466, Inside5!B:B&amp;Inside5!I:I, Inside5!C:C), 0)</f>
        <v>0</v>
      </c>
      <c r="F466" cm="1">
        <f t="array" ref="F466">IFERROR(_xlfn.XLOOKUP(C466&amp;A466, Inside5!B:B&amp;Inside5!I:I, Inside5!D:D), 0)</f>
        <v>0</v>
      </c>
      <c r="G466" cm="1">
        <f t="array" ref="G466">IFERROR(_xlfn.XLOOKUP(C466&amp;A466, Inside5!B:B&amp;Inside5!I:I, Inside5!E:E), 0)</f>
        <v>0</v>
      </c>
      <c r="H466" t="str" cm="1">
        <f t="array" ref="H466">IFERROR(_xlfn.XLOOKUP(C466&amp;A466, TDrate!F:F&amp;TDrate!H:H, TDrate!C:C), "N/A")</f>
        <v>N/A</v>
      </c>
      <c r="I466" t="str" cm="1">
        <f t="array" ref="I466">IFERROR(_xlfn.XLOOKUP(C466&amp;A466, TDrate!F:F&amp;TDrate!H:H, TDrate!E:E), "N/A")</f>
        <v>N/A</v>
      </c>
      <c r="J466" cm="1">
        <f t="array" ref="J466">IFERROR(_xlfn.XLOOKUP(C466&amp;A466, Inside5!B:B&amp;Inside5!I:I, Inside5!F:F), 0)</f>
        <v>0</v>
      </c>
      <c r="K466" cm="1">
        <f t="array" aca="1" ref="K466" ca="1">IFERROR(_xlfn.XLOOKUP(C466&amp;A466, Inside5!B:B&amp;Inside5!I:I, Inside5!G:G), 0)</f>
        <v>0</v>
      </c>
      <c r="L466" cm="1">
        <f t="array" ref="L466">IFERROR(_xlfn.XLOOKUP(C466&amp;A466, Inside5!B:B&amp;Inside5!I:I, Inside5!H:H), 0)</f>
        <v>0</v>
      </c>
      <c r="M466" t="str" cm="1">
        <f t="array" ref="M466">IFERROR(_xlfn.XLOOKUP(C466&amp;A466, TDrate!F:F&amp;TDrate!H:H, TDrate!B:B), "N/A")</f>
        <v>N/A</v>
      </c>
      <c r="N466" t="str" cm="1">
        <f t="array" ref="N466">IFERROR(_xlfn.XLOOKUP(C466&amp;A466, TDrate!F:F&amp;TDrate!H:H, TDrate!D:D), "N/A")</f>
        <v>N/A</v>
      </c>
    </row>
    <row r="467" spans="1:14" x14ac:dyDescent="0.45">
      <c r="A467" s="8">
        <v>2023</v>
      </c>
      <c r="B467" s="9" t="s">
        <v>601</v>
      </c>
      <c r="C467" s="10" t="str">
        <f t="shared" si="14"/>
        <v>Bam Knight</v>
      </c>
      <c r="D467" s="10" t="str">
        <f t="shared" si="15"/>
        <v>DET</v>
      </c>
      <c r="E467" cm="1">
        <f t="array" aca="1" ref="E467" ca="1">IFERROR(_xlfn.XLOOKUP(C467&amp;A467, Inside5!B:B&amp;Inside5!I:I, Inside5!C:C), 0)</f>
        <v>0</v>
      </c>
      <c r="F467" cm="1">
        <f t="array" aca="1" ref="F467" ca="1">IFERROR(_xlfn.XLOOKUP(C467&amp;A467, Inside5!B:B&amp;Inside5!I:I, Inside5!D:D), 0)</f>
        <v>0</v>
      </c>
      <c r="G467" cm="1">
        <f t="array" ref="G467">IFERROR(_xlfn.XLOOKUP(C467&amp;A467, Inside5!B:B&amp;Inside5!I:I, Inside5!E:E), 0)</f>
        <v>0</v>
      </c>
      <c r="H467" t="str" cm="1">
        <f t="array" ref="H467">IFERROR(_xlfn.XLOOKUP(C467&amp;A467, TDrate!F:F&amp;TDrate!H:H, TDrate!C:C), "N/A")</f>
        <v>N/A</v>
      </c>
      <c r="I467" t="str" cm="1">
        <f t="array" ref="I467">IFERROR(_xlfn.XLOOKUP(C467&amp;A467, TDrate!F:F&amp;TDrate!H:H, TDrate!E:E), "N/A")</f>
        <v>N/A</v>
      </c>
      <c r="J467" cm="1">
        <f t="array" ref="J467">IFERROR(_xlfn.XLOOKUP(C467&amp;A467, Inside5!B:B&amp;Inside5!I:I, Inside5!F:F), 0)</f>
        <v>0</v>
      </c>
      <c r="K467" cm="1">
        <f t="array" ref="K467">IFERROR(_xlfn.XLOOKUP(C467&amp;A467, Inside5!B:B&amp;Inside5!I:I, Inside5!G:G), 0)</f>
        <v>0</v>
      </c>
      <c r="L467" cm="1">
        <f t="array" ref="L467">IFERROR(_xlfn.XLOOKUP(C467&amp;A467, Inside5!B:B&amp;Inside5!I:I, Inside5!H:H), 0)</f>
        <v>0</v>
      </c>
      <c r="M467" t="str" cm="1">
        <f t="array" ref="M467">IFERROR(_xlfn.XLOOKUP(C467&amp;A467, TDrate!F:F&amp;TDrate!H:H, TDrate!B:B), "N/A")</f>
        <v>N/A</v>
      </c>
      <c r="N467" t="str" cm="1">
        <f t="array" ref="N467">IFERROR(_xlfn.XLOOKUP(C467&amp;A467, TDrate!F:F&amp;TDrate!H:H, TDrate!D:D), "N/A")</f>
        <v>N/A</v>
      </c>
    </row>
    <row r="468" spans="1:14" x14ac:dyDescent="0.45">
      <c r="A468" s="5">
        <v>2023</v>
      </c>
      <c r="B468" s="6" t="s">
        <v>602</v>
      </c>
      <c r="C468" s="7" t="str">
        <f t="shared" si="14"/>
        <v>Zach Evans</v>
      </c>
      <c r="D468" s="7" t="str">
        <f t="shared" si="15"/>
        <v>LAR</v>
      </c>
      <c r="E468" cm="1">
        <f t="array" aca="1" ref="E468" ca="1">IFERROR(_xlfn.XLOOKUP(C468&amp;A468, Inside5!B:B&amp;Inside5!I:I, Inside5!C:C), 0)</f>
        <v>0</v>
      </c>
      <c r="F468" cm="1">
        <f t="array" aca="1" ref="F468" ca="1">IFERROR(_xlfn.XLOOKUP(C468&amp;A468, Inside5!B:B&amp;Inside5!I:I, Inside5!D:D), 0)</f>
        <v>0</v>
      </c>
      <c r="G468" cm="1">
        <f t="array" ref="G468">IFERROR(_xlfn.XLOOKUP(C468&amp;A468, Inside5!B:B&amp;Inside5!I:I, Inside5!E:E), 0)</f>
        <v>0</v>
      </c>
      <c r="H468" t="str" cm="1">
        <f t="array" ref="H468">IFERROR(_xlfn.XLOOKUP(C468&amp;A468, TDrate!F:F&amp;TDrate!H:H, TDrate!C:C), "N/A")</f>
        <v>N/A</v>
      </c>
      <c r="I468" t="str" cm="1">
        <f t="array" ref="I468">IFERROR(_xlfn.XLOOKUP(C468&amp;A468, TDrate!F:F&amp;TDrate!H:H, TDrate!E:E), "N/A")</f>
        <v>N/A</v>
      </c>
      <c r="J468" cm="1">
        <f t="array" ref="J468">IFERROR(_xlfn.XLOOKUP(C468&amp;A468, Inside5!B:B&amp;Inside5!I:I, Inside5!F:F), 0)</f>
        <v>0</v>
      </c>
      <c r="K468" cm="1">
        <f t="array" ref="K468">IFERROR(_xlfn.XLOOKUP(C468&amp;A468, Inside5!B:B&amp;Inside5!I:I, Inside5!G:G), 0)</f>
        <v>0</v>
      </c>
      <c r="L468" cm="1">
        <f t="array" ref="L468">IFERROR(_xlfn.XLOOKUP(C468&amp;A468, Inside5!B:B&amp;Inside5!I:I, Inside5!H:H), 0)</f>
        <v>0</v>
      </c>
      <c r="M468" t="str" cm="1">
        <f t="array" ref="M468">IFERROR(_xlfn.XLOOKUP(C468&amp;A468, TDrate!F:F&amp;TDrate!H:H, TDrate!B:B), "N/A")</f>
        <v>N/A</v>
      </c>
      <c r="N468" t="str" cm="1">
        <f t="array" ref="N468">IFERROR(_xlfn.XLOOKUP(C468&amp;A468, TDrate!F:F&amp;TDrate!H:H, TDrate!D:D), "N/A")</f>
        <v>N/A</v>
      </c>
    </row>
    <row r="469" spans="1:14" x14ac:dyDescent="0.45">
      <c r="A469" s="8">
        <v>2023</v>
      </c>
      <c r="B469" s="9" t="s">
        <v>603</v>
      </c>
      <c r="C469" s="10" t="str">
        <f t="shared" si="14"/>
        <v>Elijah Dotson</v>
      </c>
      <c r="D469" s="10" t="str">
        <f t="shared" si="15"/>
        <v>LAC</v>
      </c>
      <c r="E469" cm="1">
        <f t="array" ref="E469">IFERROR(_xlfn.XLOOKUP(C469&amp;A469, Inside5!B:B&amp;Inside5!I:I, Inside5!C:C), 0)</f>
        <v>0</v>
      </c>
      <c r="F469" cm="1">
        <f t="array" ref="F469">IFERROR(_xlfn.XLOOKUP(C469&amp;A469, Inside5!B:B&amp;Inside5!I:I, Inside5!D:D), 0)</f>
        <v>0</v>
      </c>
      <c r="G469" cm="1">
        <f t="array" ref="G469">IFERROR(_xlfn.XLOOKUP(C469&amp;A469, Inside5!B:B&amp;Inside5!I:I, Inside5!E:E), 0)</f>
        <v>0</v>
      </c>
      <c r="H469" t="str" cm="1">
        <f t="array" ref="H469">IFERROR(_xlfn.XLOOKUP(C469&amp;A469, TDrate!F:F&amp;TDrate!H:H, TDrate!C:C), "N/A")</f>
        <v>N/A</v>
      </c>
      <c r="I469" t="str" cm="1">
        <f t="array" ref="I469">IFERROR(_xlfn.XLOOKUP(C469&amp;A469, TDrate!F:F&amp;TDrate!H:H, TDrate!E:E), "N/A")</f>
        <v>N/A</v>
      </c>
      <c r="J469" cm="1">
        <f t="array" ref="J469">IFERROR(_xlfn.XLOOKUP(C469&amp;A469, Inside5!B:B&amp;Inside5!I:I, Inside5!F:F), 0)</f>
        <v>0</v>
      </c>
      <c r="K469" cm="1">
        <f t="array" ref="K469">IFERROR(_xlfn.XLOOKUP(C469&amp;A469, Inside5!B:B&amp;Inside5!I:I, Inside5!G:G), 0)</f>
        <v>0</v>
      </c>
      <c r="L469" cm="1">
        <f t="array" ref="L469">IFERROR(_xlfn.XLOOKUP(C469&amp;A469, Inside5!B:B&amp;Inside5!I:I, Inside5!H:H), 0)</f>
        <v>0</v>
      </c>
      <c r="M469" t="str" cm="1">
        <f t="array" ref="M469">IFERROR(_xlfn.XLOOKUP(C469&amp;A469, TDrate!F:F&amp;TDrate!H:H, TDrate!B:B), "N/A")</f>
        <v>N/A</v>
      </c>
      <c r="N469" t="str" cm="1">
        <f t="array" ref="N469">IFERROR(_xlfn.XLOOKUP(C469&amp;A469, TDrate!F:F&amp;TDrate!H:H, TDrate!D:D), "N/A")</f>
        <v>N/A</v>
      </c>
    </row>
    <row r="470" spans="1:14" x14ac:dyDescent="0.45">
      <c r="A470" s="5">
        <v>2023</v>
      </c>
      <c r="B470" s="6" t="s">
        <v>604</v>
      </c>
      <c r="C470" s="7" t="str">
        <f t="shared" si="14"/>
        <v>Alex Armah Jr.</v>
      </c>
      <c r="D470" s="7" t="str">
        <f t="shared" si="15"/>
        <v>WAS</v>
      </c>
      <c r="E470" cm="1">
        <f t="array" ref="E470">IFERROR(_xlfn.XLOOKUP(C470&amp;A470, Inside5!B:B&amp;Inside5!I:I, Inside5!C:C), 0)</f>
        <v>0</v>
      </c>
      <c r="F470" cm="1">
        <f t="array" ref="F470">IFERROR(_xlfn.XLOOKUP(C470&amp;A470, Inside5!B:B&amp;Inside5!I:I, Inside5!D:D), 0)</f>
        <v>0</v>
      </c>
      <c r="G470" cm="1">
        <f t="array" ref="G470">IFERROR(_xlfn.XLOOKUP(C470&amp;A470, Inside5!B:B&amp;Inside5!I:I, Inside5!E:E), 0)</f>
        <v>0</v>
      </c>
      <c r="H470" t="str" cm="1">
        <f t="array" ref="H470">IFERROR(_xlfn.XLOOKUP(C470&amp;A470, TDrate!F:F&amp;TDrate!H:H, TDrate!C:C), "N/A")</f>
        <v>N/A</v>
      </c>
      <c r="I470" t="str" cm="1">
        <f t="array" ref="I470">IFERROR(_xlfn.XLOOKUP(C470&amp;A470, TDrate!F:F&amp;TDrate!H:H, TDrate!E:E), "N/A")</f>
        <v>N/A</v>
      </c>
      <c r="J470" cm="1">
        <f t="array" ref="J470">IFERROR(_xlfn.XLOOKUP(C470&amp;A470, Inside5!B:B&amp;Inside5!I:I, Inside5!F:F), 0)</f>
        <v>0</v>
      </c>
      <c r="K470" cm="1">
        <f t="array" aca="1" ref="K470" ca="1">IFERROR(_xlfn.XLOOKUP(C470&amp;A470, Inside5!B:B&amp;Inside5!I:I, Inside5!G:G), 0)</f>
        <v>0</v>
      </c>
      <c r="L470" cm="1">
        <f t="array" ref="L470">IFERROR(_xlfn.XLOOKUP(C470&amp;A470, Inside5!B:B&amp;Inside5!I:I, Inside5!H:H), 0)</f>
        <v>0</v>
      </c>
      <c r="M470" t="str" cm="1">
        <f t="array" ref="M470">IFERROR(_xlfn.XLOOKUP(C470&amp;A470, TDrate!F:F&amp;TDrate!H:H, TDrate!B:B), "N/A")</f>
        <v>N/A</v>
      </c>
      <c r="N470" t="str" cm="1">
        <f t="array" ref="N470">IFERROR(_xlfn.XLOOKUP(C470&amp;A470, TDrate!F:F&amp;TDrate!H:H, TDrate!D:D), "N/A")</f>
        <v>N/A</v>
      </c>
    </row>
    <row r="471" spans="1:14" x14ac:dyDescent="0.45">
      <c r="A471" s="8">
        <v>2023</v>
      </c>
      <c r="B471" s="9" t="s">
        <v>605</v>
      </c>
      <c r="C471" s="10" t="str">
        <f t="shared" si="14"/>
        <v>Devine Ozigbo</v>
      </c>
      <c r="D471" s="10" t="str">
        <f t="shared" si="15"/>
        <v>DET</v>
      </c>
      <c r="E471" cm="1">
        <f t="array" ref="E471">IFERROR(_xlfn.XLOOKUP(C471&amp;A471, Inside5!B:B&amp;Inside5!I:I, Inside5!C:C), 0)</f>
        <v>0</v>
      </c>
      <c r="F471" cm="1">
        <f t="array" ref="F471">IFERROR(_xlfn.XLOOKUP(C471&amp;A471, Inside5!B:B&amp;Inside5!I:I, Inside5!D:D), 0)</f>
        <v>0</v>
      </c>
      <c r="G471" cm="1">
        <f t="array" ref="G471">IFERROR(_xlfn.XLOOKUP(C471&amp;A471, Inside5!B:B&amp;Inside5!I:I, Inside5!E:E), 0)</f>
        <v>0</v>
      </c>
      <c r="H471" t="str" cm="1">
        <f t="array" ref="H471">IFERROR(_xlfn.XLOOKUP(C471&amp;A471, TDrate!F:F&amp;TDrate!H:H, TDrate!C:C), "N/A")</f>
        <v>N/A</v>
      </c>
      <c r="I471" t="str" cm="1">
        <f t="array" ref="I471">IFERROR(_xlfn.XLOOKUP(C471&amp;A471, TDrate!F:F&amp;TDrate!H:H, TDrate!E:E), "N/A")</f>
        <v>N/A</v>
      </c>
      <c r="J471" cm="1">
        <f t="array" ref="J471">IFERROR(_xlfn.XLOOKUP(C471&amp;A471, Inside5!B:B&amp;Inside5!I:I, Inside5!F:F), 0)</f>
        <v>0</v>
      </c>
      <c r="K471" cm="1">
        <f t="array" ref="K471">IFERROR(_xlfn.XLOOKUP(C471&amp;A471, Inside5!B:B&amp;Inside5!I:I, Inside5!G:G), 0)</f>
        <v>0</v>
      </c>
      <c r="L471" cm="1">
        <f t="array" ref="L471">IFERROR(_xlfn.XLOOKUP(C471&amp;A471, Inside5!B:B&amp;Inside5!I:I, Inside5!H:H), 0)</f>
        <v>0</v>
      </c>
      <c r="M471" t="str" cm="1">
        <f t="array" ref="M471">IFERROR(_xlfn.XLOOKUP(C471&amp;A471, TDrate!F:F&amp;TDrate!H:H, TDrate!B:B), "N/A")</f>
        <v>N/A</v>
      </c>
      <c r="N471" t="str" cm="1">
        <f t="array" ref="N471">IFERROR(_xlfn.XLOOKUP(C471&amp;A471, TDrate!F:F&amp;TDrate!H:H, TDrate!D:D), "N/A")</f>
        <v>N/A</v>
      </c>
    </row>
    <row r="472" spans="1:14" x14ac:dyDescent="0.45">
      <c r="A472" s="5">
        <v>2023</v>
      </c>
      <c r="B472" s="6" t="s">
        <v>606</v>
      </c>
      <c r="C472" s="7" t="str">
        <f t="shared" si="14"/>
        <v>Jashaun Corbin</v>
      </c>
      <c r="D472" s="7" t="str">
        <f t="shared" si="15"/>
        <v>NYG</v>
      </c>
      <c r="E472" cm="1">
        <f t="array" aca="1" ref="E472" ca="1">IFERROR(_xlfn.XLOOKUP(C472&amp;A472, Inside5!B:B&amp;Inside5!I:I, Inside5!C:C), 0)</f>
        <v>0</v>
      </c>
      <c r="F472" cm="1">
        <f t="array" ref="F472">IFERROR(_xlfn.XLOOKUP(C472&amp;A472, Inside5!B:B&amp;Inside5!I:I, Inside5!D:D), 0)</f>
        <v>0</v>
      </c>
      <c r="G472" cm="1">
        <f t="array" ref="G472">IFERROR(_xlfn.XLOOKUP(C472&amp;A472, Inside5!B:B&amp;Inside5!I:I, Inside5!E:E), 0)</f>
        <v>0</v>
      </c>
      <c r="H472" t="str" cm="1">
        <f t="array" ref="H472">IFERROR(_xlfn.XLOOKUP(C472&amp;A472, TDrate!F:F&amp;TDrate!H:H, TDrate!C:C), "N/A")</f>
        <v>N/A</v>
      </c>
      <c r="I472" t="str" cm="1">
        <f t="array" ref="I472">IFERROR(_xlfn.XLOOKUP(C472&amp;A472, TDrate!F:F&amp;TDrate!H:H, TDrate!E:E), "N/A")</f>
        <v>N/A</v>
      </c>
      <c r="J472" cm="1">
        <f t="array" ref="J472">IFERROR(_xlfn.XLOOKUP(C472&amp;A472, Inside5!B:B&amp;Inside5!I:I, Inside5!F:F), 0)</f>
        <v>0</v>
      </c>
      <c r="K472" cm="1">
        <f t="array" ref="K472">IFERROR(_xlfn.XLOOKUP(C472&amp;A472, Inside5!B:B&amp;Inside5!I:I, Inside5!G:G), 0)</f>
        <v>0</v>
      </c>
      <c r="L472" cm="1">
        <f t="array" ref="L472">IFERROR(_xlfn.XLOOKUP(C472&amp;A472, Inside5!B:B&amp;Inside5!I:I, Inside5!H:H), 0)</f>
        <v>0</v>
      </c>
      <c r="M472" t="str" cm="1">
        <f t="array" ref="M472">IFERROR(_xlfn.XLOOKUP(C472&amp;A472, TDrate!F:F&amp;TDrate!H:H, TDrate!B:B), "N/A")</f>
        <v>N/A</v>
      </c>
      <c r="N472" t="str" cm="1">
        <f t="array" ref="N472">IFERROR(_xlfn.XLOOKUP(C472&amp;A472, TDrate!F:F&amp;TDrate!H:H, TDrate!D:D), "N/A")</f>
        <v>N/A</v>
      </c>
    </row>
    <row r="473" spans="1:14" x14ac:dyDescent="0.45">
      <c r="A473" s="8">
        <v>2023</v>
      </c>
      <c r="B473" s="9" t="s">
        <v>607</v>
      </c>
      <c r="C473" s="10" t="str">
        <f t="shared" si="14"/>
        <v>Kene Nwangwu</v>
      </c>
      <c r="D473" s="10" t="str">
        <f t="shared" si="15"/>
        <v>MIN</v>
      </c>
      <c r="E473" cm="1">
        <f t="array" ref="E473">IFERROR(_xlfn.XLOOKUP(C473&amp;A473, Inside5!B:B&amp;Inside5!I:I, Inside5!C:C), 0)</f>
        <v>0</v>
      </c>
      <c r="F473" cm="1">
        <f t="array" aca="1" ref="F473" ca="1">IFERROR(_xlfn.XLOOKUP(C473&amp;A473, Inside5!B:B&amp;Inside5!I:I, Inside5!D:D), 0)</f>
        <v>0</v>
      </c>
      <c r="G473" cm="1">
        <f t="array" ref="G473">IFERROR(_xlfn.XLOOKUP(C473&amp;A473, Inside5!B:B&amp;Inside5!I:I, Inside5!E:E), 0)</f>
        <v>0</v>
      </c>
      <c r="H473" t="str" cm="1">
        <f t="array" ref="H473">IFERROR(_xlfn.XLOOKUP(C473&amp;A473, TDrate!F:F&amp;TDrate!H:H, TDrate!C:C), "N/A")</f>
        <v>N/A</v>
      </c>
      <c r="I473" t="str" cm="1">
        <f t="array" ref="I473">IFERROR(_xlfn.XLOOKUP(C473&amp;A473, TDrate!F:F&amp;TDrate!H:H, TDrate!E:E), "N/A")</f>
        <v>N/A</v>
      </c>
      <c r="J473" cm="1">
        <f t="array" ref="J473">IFERROR(_xlfn.XLOOKUP(C473&amp;A473, Inside5!B:B&amp;Inside5!I:I, Inside5!F:F), 0)</f>
        <v>0</v>
      </c>
      <c r="K473" cm="1">
        <f t="array" ref="K473">IFERROR(_xlfn.XLOOKUP(C473&amp;A473, Inside5!B:B&amp;Inside5!I:I, Inside5!G:G), 0)</f>
        <v>0</v>
      </c>
      <c r="L473" cm="1">
        <f t="array" ref="L473">IFERROR(_xlfn.XLOOKUP(C473&amp;A473, Inside5!B:B&amp;Inside5!I:I, Inside5!H:H), 0)</f>
        <v>0</v>
      </c>
      <c r="M473" t="str" cm="1">
        <f t="array" ref="M473">IFERROR(_xlfn.XLOOKUP(C473&amp;A473, TDrate!F:F&amp;TDrate!H:H, TDrate!B:B), "N/A")</f>
        <v>N/A</v>
      </c>
      <c r="N473" t="str" cm="1">
        <f t="array" ref="N473">IFERROR(_xlfn.XLOOKUP(C473&amp;A473, TDrate!F:F&amp;TDrate!H:H, TDrate!D:D), "N/A")</f>
        <v>N/A</v>
      </c>
    </row>
    <row r="474" spans="1:14" x14ac:dyDescent="0.45">
      <c r="A474" s="5">
        <v>2023</v>
      </c>
      <c r="B474" s="6" t="s">
        <v>608</v>
      </c>
      <c r="C474" s="7" t="str">
        <f t="shared" si="14"/>
        <v>Jakob Johnson</v>
      </c>
      <c r="D474" s="7" t="str">
        <f t="shared" si="15"/>
        <v>LV</v>
      </c>
      <c r="E474" cm="1">
        <f t="array" ref="E474">IFERROR(_xlfn.XLOOKUP(C474&amp;A474, Inside5!B:B&amp;Inside5!I:I, Inside5!C:C), 0)</f>
        <v>0</v>
      </c>
      <c r="F474" cm="1">
        <f t="array" aca="1" ref="F474" ca="1">IFERROR(_xlfn.XLOOKUP(C474&amp;A474, Inside5!B:B&amp;Inside5!I:I, Inside5!D:D), 0)</f>
        <v>0</v>
      </c>
      <c r="G474" cm="1">
        <f t="array" ref="G474">IFERROR(_xlfn.XLOOKUP(C474&amp;A474, Inside5!B:B&amp;Inside5!I:I, Inside5!E:E), 0)</f>
        <v>0</v>
      </c>
      <c r="H474" t="str" cm="1">
        <f t="array" ref="H474">IFERROR(_xlfn.XLOOKUP(C474&amp;A474, TDrate!F:F&amp;TDrate!H:H, TDrate!C:C), "N/A")</f>
        <v>N/A</v>
      </c>
      <c r="I474" t="str" cm="1">
        <f t="array" ref="I474">IFERROR(_xlfn.XLOOKUP(C474&amp;A474, TDrate!F:F&amp;TDrate!H:H, TDrate!E:E), "N/A")</f>
        <v>N/A</v>
      </c>
      <c r="J474" cm="1">
        <f t="array" ref="J474">IFERROR(_xlfn.XLOOKUP(C474&amp;A474, Inside5!B:B&amp;Inside5!I:I, Inside5!F:F), 0)</f>
        <v>0</v>
      </c>
      <c r="K474" cm="1">
        <f t="array" ref="K474">IFERROR(_xlfn.XLOOKUP(C474&amp;A474, Inside5!B:B&amp;Inside5!I:I, Inside5!G:G), 0)</f>
        <v>0</v>
      </c>
      <c r="L474" cm="1">
        <f t="array" ref="L474">IFERROR(_xlfn.XLOOKUP(C474&amp;A474, Inside5!B:B&amp;Inside5!I:I, Inside5!H:H), 0)</f>
        <v>0</v>
      </c>
      <c r="M474" t="str" cm="1">
        <f t="array" ref="M474">IFERROR(_xlfn.XLOOKUP(C474&amp;A474, TDrate!F:F&amp;TDrate!H:H, TDrate!B:B), "N/A")</f>
        <v>N/A</v>
      </c>
      <c r="N474" t="str" cm="1">
        <f t="array" ref="N474">IFERROR(_xlfn.XLOOKUP(C474&amp;A474, TDrate!F:F&amp;TDrate!H:H, TDrate!D:D), "N/A")</f>
        <v>N/A</v>
      </c>
    </row>
    <row r="475" spans="1:14" x14ac:dyDescent="0.45">
      <c r="A475" s="8">
        <v>2023</v>
      </c>
      <c r="B475" s="9" t="s">
        <v>609</v>
      </c>
      <c r="C475" s="10" t="str">
        <f t="shared" si="14"/>
        <v>Kenyan Drake</v>
      </c>
      <c r="D475" s="10" t="str">
        <f t="shared" si="15"/>
        <v>GB</v>
      </c>
      <c r="E475" cm="1">
        <f t="array" aca="1" ref="E475" ca="1">IFERROR(_xlfn.XLOOKUP(C475&amp;A475, Inside5!B:B&amp;Inside5!I:I, Inside5!C:C), 0)</f>
        <v>0</v>
      </c>
      <c r="F475" cm="1">
        <f t="array" ref="F475">IFERROR(_xlfn.XLOOKUP(C475&amp;A475, Inside5!B:B&amp;Inside5!I:I, Inside5!D:D), 0)</f>
        <v>0</v>
      </c>
      <c r="G475" cm="1">
        <f t="array" ref="G475">IFERROR(_xlfn.XLOOKUP(C475&amp;A475, Inside5!B:B&amp;Inside5!I:I, Inside5!E:E), 0)</f>
        <v>0</v>
      </c>
      <c r="H475" t="str" cm="1">
        <f t="array" ref="H475">IFERROR(_xlfn.XLOOKUP(C475&amp;A475, TDrate!F:F&amp;TDrate!H:H, TDrate!C:C), "N/A")</f>
        <v>N/A</v>
      </c>
      <c r="I475" t="str" cm="1">
        <f t="array" ref="I475">IFERROR(_xlfn.XLOOKUP(C475&amp;A475, TDrate!F:F&amp;TDrate!H:H, TDrate!E:E), "N/A")</f>
        <v>N/A</v>
      </c>
      <c r="J475" cm="1">
        <f t="array" ref="J475">IFERROR(_xlfn.XLOOKUP(C475&amp;A475, Inside5!B:B&amp;Inside5!I:I, Inside5!F:F), 0)</f>
        <v>0</v>
      </c>
      <c r="K475" cm="1">
        <f t="array" ref="K475">IFERROR(_xlfn.XLOOKUP(C475&amp;A475, Inside5!B:B&amp;Inside5!I:I, Inside5!G:G), 0)</f>
        <v>0</v>
      </c>
      <c r="L475" cm="1">
        <f t="array" ref="L475">IFERROR(_xlfn.XLOOKUP(C475&amp;A475, Inside5!B:B&amp;Inside5!I:I, Inside5!H:H), 0)</f>
        <v>0</v>
      </c>
      <c r="M475" t="str" cm="1">
        <f t="array" ref="M475">IFERROR(_xlfn.XLOOKUP(C475&amp;A475, TDrate!F:F&amp;TDrate!H:H, TDrate!B:B), "N/A")</f>
        <v>N/A</v>
      </c>
      <c r="N475" t="str" cm="1">
        <f t="array" ref="N475">IFERROR(_xlfn.XLOOKUP(C475&amp;A475, TDrate!F:F&amp;TDrate!H:H, TDrate!D:D), "N/A")</f>
        <v>N/A</v>
      </c>
    </row>
    <row r="476" spans="1:14" x14ac:dyDescent="0.45">
      <c r="A476" s="5">
        <v>2023</v>
      </c>
      <c r="B476" s="6" t="s">
        <v>610</v>
      </c>
      <c r="C476" s="7" t="str">
        <f t="shared" si="14"/>
        <v>Anthony McFarland Jr.</v>
      </c>
      <c r="D476" s="7" t="str">
        <f t="shared" si="15"/>
        <v>PIT</v>
      </c>
      <c r="E476" cm="1">
        <f t="array" ref="E476">IFERROR(_xlfn.XLOOKUP(C476&amp;A476, Inside5!B:B&amp;Inside5!I:I, Inside5!C:C), 0)</f>
        <v>0</v>
      </c>
      <c r="F476" cm="1">
        <f t="array" ref="F476">IFERROR(_xlfn.XLOOKUP(C476&amp;A476, Inside5!B:B&amp;Inside5!I:I, Inside5!D:D), 0)</f>
        <v>0</v>
      </c>
      <c r="G476" cm="1">
        <f t="array" ref="G476">IFERROR(_xlfn.XLOOKUP(C476&amp;A476, Inside5!B:B&amp;Inside5!I:I, Inside5!E:E), 0)</f>
        <v>0</v>
      </c>
      <c r="H476" t="str" cm="1">
        <f t="array" ref="H476">IFERROR(_xlfn.XLOOKUP(C476&amp;A476, TDrate!F:F&amp;TDrate!H:H, TDrate!C:C), "N/A")</f>
        <v>N/A</v>
      </c>
      <c r="I476" t="str" cm="1">
        <f t="array" ref="I476">IFERROR(_xlfn.XLOOKUP(C476&amp;A476, TDrate!F:F&amp;TDrate!H:H, TDrate!E:E), "N/A")</f>
        <v>N/A</v>
      </c>
      <c r="J476" cm="1">
        <f t="array" ref="J476">IFERROR(_xlfn.XLOOKUP(C476&amp;A476, Inside5!B:B&amp;Inside5!I:I, Inside5!F:F), 0)</f>
        <v>0</v>
      </c>
      <c r="K476" cm="1">
        <f t="array" ref="K476">IFERROR(_xlfn.XLOOKUP(C476&amp;A476, Inside5!B:B&amp;Inside5!I:I, Inside5!G:G), 0)</f>
        <v>0</v>
      </c>
      <c r="L476" cm="1">
        <f t="array" ref="L476">IFERROR(_xlfn.XLOOKUP(C476&amp;A476, Inside5!B:B&amp;Inside5!I:I, Inside5!H:H), 0)</f>
        <v>0</v>
      </c>
      <c r="M476" t="str" cm="1">
        <f t="array" ref="M476">IFERROR(_xlfn.XLOOKUP(C476&amp;A476, TDrate!F:F&amp;TDrate!H:H, TDrate!B:B), "N/A")</f>
        <v>N/A</v>
      </c>
      <c r="N476" t="str" cm="1">
        <f t="array" ref="N476">IFERROR(_xlfn.XLOOKUP(C476&amp;A476, TDrate!F:F&amp;TDrate!H:H, TDrate!D:D), "N/A")</f>
        <v>N/A</v>
      </c>
    </row>
    <row r="477" spans="1:14" x14ac:dyDescent="0.45">
      <c r="A477" s="8">
        <v>2023</v>
      </c>
      <c r="B477" s="9" t="s">
        <v>611</v>
      </c>
      <c r="C477" s="10" t="str">
        <f t="shared" si="14"/>
        <v>Jonathan Ward</v>
      </c>
      <c r="D477" s="10" t="str">
        <f t="shared" si="15"/>
        <v>TEN</v>
      </c>
      <c r="E477" cm="1">
        <f t="array" ref="E477">IFERROR(_xlfn.XLOOKUP(C477&amp;A477, Inside5!B:B&amp;Inside5!I:I, Inside5!C:C), 0)</f>
        <v>0</v>
      </c>
      <c r="F477" cm="1">
        <f t="array" ref="F477">IFERROR(_xlfn.XLOOKUP(C477&amp;A477, Inside5!B:B&amp;Inside5!I:I, Inside5!D:D), 0)</f>
        <v>0</v>
      </c>
      <c r="G477" cm="1">
        <f t="array" ref="G477">IFERROR(_xlfn.XLOOKUP(C477&amp;A477, Inside5!B:B&amp;Inside5!I:I, Inside5!E:E), 0)</f>
        <v>0</v>
      </c>
      <c r="H477" t="str" cm="1">
        <f t="array" ref="H477">IFERROR(_xlfn.XLOOKUP(C477&amp;A477, TDrate!F:F&amp;TDrate!H:H, TDrate!C:C), "N/A")</f>
        <v>N/A</v>
      </c>
      <c r="I477" t="str" cm="1">
        <f t="array" ref="I477">IFERROR(_xlfn.XLOOKUP(C477&amp;A477, TDrate!F:F&amp;TDrate!H:H, TDrate!E:E), "N/A")</f>
        <v>N/A</v>
      </c>
      <c r="J477" cm="1">
        <f t="array" ref="J477">IFERROR(_xlfn.XLOOKUP(C477&amp;A477, Inside5!B:B&amp;Inside5!I:I, Inside5!F:F), 0)</f>
        <v>0</v>
      </c>
      <c r="K477" cm="1">
        <f t="array" ref="K477">IFERROR(_xlfn.XLOOKUP(C477&amp;A477, Inside5!B:B&amp;Inside5!I:I, Inside5!G:G), 0)</f>
        <v>0</v>
      </c>
      <c r="L477" cm="1">
        <f t="array" ref="L477">IFERROR(_xlfn.XLOOKUP(C477&amp;A477, Inside5!B:B&amp;Inside5!I:I, Inside5!H:H), 0)</f>
        <v>0</v>
      </c>
      <c r="M477" t="str" cm="1">
        <f t="array" ref="M477">IFERROR(_xlfn.XLOOKUP(C477&amp;A477, TDrate!F:F&amp;TDrate!H:H, TDrate!B:B), "N/A")</f>
        <v>N/A</v>
      </c>
      <c r="N477" t="str" cm="1">
        <f t="array" ref="N477">IFERROR(_xlfn.XLOOKUP(C477&amp;A477, TDrate!F:F&amp;TDrate!H:H, TDrate!D:D), "N/A")</f>
        <v>N/A</v>
      </c>
    </row>
    <row r="478" spans="1:14" x14ac:dyDescent="0.45">
      <c r="A478" s="5">
        <v>2023</v>
      </c>
      <c r="B478" s="6" t="s">
        <v>612</v>
      </c>
      <c r="C478" s="7" t="str">
        <f t="shared" si="14"/>
        <v>Chris Evans</v>
      </c>
      <c r="D478" s="7" t="str">
        <f t="shared" si="15"/>
        <v>CIN</v>
      </c>
      <c r="E478" cm="1">
        <f t="array" aca="1" ref="E478" ca="1">IFERROR(_xlfn.XLOOKUP(C478&amp;A478, Inside5!B:B&amp;Inside5!I:I, Inside5!C:C), 0)</f>
        <v>0</v>
      </c>
      <c r="F478" cm="1">
        <f t="array" aca="1" ref="F478" ca="1">IFERROR(_xlfn.XLOOKUP(C478&amp;A478, Inside5!B:B&amp;Inside5!I:I, Inside5!D:D), 0)</f>
        <v>0</v>
      </c>
      <c r="G478" cm="1">
        <f t="array" ref="G478">IFERROR(_xlfn.XLOOKUP(C478&amp;A478, Inside5!B:B&amp;Inside5!I:I, Inside5!E:E), 0)</f>
        <v>0</v>
      </c>
      <c r="H478" t="str" cm="1">
        <f t="array" ref="H478">IFERROR(_xlfn.XLOOKUP(C478&amp;A478, TDrate!F:F&amp;TDrate!H:H, TDrate!C:C), "N/A")</f>
        <v>N/A</v>
      </c>
      <c r="I478" t="str" cm="1">
        <f t="array" ref="I478">IFERROR(_xlfn.XLOOKUP(C478&amp;A478, TDrate!F:F&amp;TDrate!H:H, TDrate!E:E), "N/A")</f>
        <v>N/A</v>
      </c>
      <c r="J478" cm="1">
        <f t="array" ref="J478">IFERROR(_xlfn.XLOOKUP(C478&amp;A478, Inside5!B:B&amp;Inside5!I:I, Inside5!F:F), 0)</f>
        <v>0</v>
      </c>
      <c r="K478" cm="1">
        <f t="array" aca="1" ref="K478" ca="1">IFERROR(_xlfn.XLOOKUP(C478&amp;A478, Inside5!B:B&amp;Inside5!I:I, Inside5!G:G), 0)</f>
        <v>0</v>
      </c>
      <c r="L478" cm="1">
        <f t="array" ref="L478">IFERROR(_xlfn.XLOOKUP(C478&amp;A478, Inside5!B:B&amp;Inside5!I:I, Inside5!H:H), 0)</f>
        <v>0</v>
      </c>
      <c r="M478" t="str" cm="1">
        <f t="array" ref="M478">IFERROR(_xlfn.XLOOKUP(C478&amp;A478, TDrate!F:F&amp;TDrate!H:H, TDrate!B:B), "N/A")</f>
        <v>N/A</v>
      </c>
      <c r="N478" t="str" cm="1">
        <f t="array" ref="N478">IFERROR(_xlfn.XLOOKUP(C478&amp;A478, TDrate!F:F&amp;TDrate!H:H, TDrate!D:D), "N/A")</f>
        <v>N/A</v>
      </c>
    </row>
    <row r="479" spans="1:14" x14ac:dyDescent="0.45">
      <c r="A479" s="8">
        <v>2023</v>
      </c>
      <c r="B479" s="9" t="s">
        <v>613</v>
      </c>
      <c r="C479" s="10" t="str">
        <f t="shared" si="14"/>
        <v>Evan Hull</v>
      </c>
      <c r="D479" s="10" t="str">
        <f t="shared" si="15"/>
        <v>IND</v>
      </c>
      <c r="E479" cm="1">
        <f t="array" ref="E479">IFERROR(_xlfn.XLOOKUP(C479&amp;A479, Inside5!B:B&amp;Inside5!I:I, Inside5!C:C), 0)</f>
        <v>0</v>
      </c>
      <c r="F479" cm="1">
        <f t="array" ref="F479">IFERROR(_xlfn.XLOOKUP(C479&amp;A479, Inside5!B:B&amp;Inside5!I:I, Inside5!D:D), 0)</f>
        <v>0</v>
      </c>
      <c r="G479" cm="1">
        <f t="array" ref="G479">IFERROR(_xlfn.XLOOKUP(C479&amp;A479, Inside5!B:B&amp;Inside5!I:I, Inside5!E:E), 0)</f>
        <v>0</v>
      </c>
      <c r="H479" t="str" cm="1">
        <f t="array" ref="H479">IFERROR(_xlfn.XLOOKUP(C479&amp;A479, TDrate!F:F&amp;TDrate!H:H, TDrate!C:C), "N/A")</f>
        <v>N/A</v>
      </c>
      <c r="I479" t="str" cm="1">
        <f t="array" ref="I479">IFERROR(_xlfn.XLOOKUP(C479&amp;A479, TDrate!F:F&amp;TDrate!H:H, TDrate!E:E), "N/A")</f>
        <v>N/A</v>
      </c>
      <c r="J479" cm="1">
        <f t="array" ref="J479">IFERROR(_xlfn.XLOOKUP(C479&amp;A479, Inside5!B:B&amp;Inside5!I:I, Inside5!F:F), 0)</f>
        <v>0</v>
      </c>
      <c r="K479" cm="1">
        <f t="array" ref="K479">IFERROR(_xlfn.XLOOKUP(C479&amp;A479, Inside5!B:B&amp;Inside5!I:I, Inside5!G:G), 0)</f>
        <v>0</v>
      </c>
      <c r="L479" cm="1">
        <f t="array" ref="L479">IFERROR(_xlfn.XLOOKUP(C479&amp;A479, Inside5!B:B&amp;Inside5!I:I, Inside5!H:H), 0)</f>
        <v>0</v>
      </c>
      <c r="M479" t="str" cm="1">
        <f t="array" ref="M479">IFERROR(_xlfn.XLOOKUP(C479&amp;A479, TDrate!F:F&amp;TDrate!H:H, TDrate!B:B), "N/A")</f>
        <v>N/A</v>
      </c>
      <c r="N479" t="str" cm="1">
        <f t="array" ref="N479">IFERROR(_xlfn.XLOOKUP(C479&amp;A479, TDrate!F:F&amp;TDrate!H:H, TDrate!D:D), "N/A")</f>
        <v>N/A</v>
      </c>
    </row>
    <row r="480" spans="1:14" x14ac:dyDescent="0.45">
      <c r="A480" s="5">
        <v>2023</v>
      </c>
      <c r="B480" s="6" t="s">
        <v>538</v>
      </c>
      <c r="C480" s="7" t="str">
        <f t="shared" si="14"/>
        <v>Adam Prentice</v>
      </c>
      <c r="D480" s="7" t="str">
        <f t="shared" si="15"/>
        <v>NO</v>
      </c>
      <c r="E480" cm="1">
        <f t="array" ref="E480">IFERROR(_xlfn.XLOOKUP(C480&amp;A480, Inside5!B:B&amp;Inside5!I:I, Inside5!C:C), 0)</f>
        <v>0</v>
      </c>
      <c r="F480" cm="1">
        <f t="array" ref="F480">IFERROR(_xlfn.XLOOKUP(C480&amp;A480, Inside5!B:B&amp;Inside5!I:I, Inside5!D:D), 0)</f>
        <v>0</v>
      </c>
      <c r="G480" cm="1">
        <f t="array" ref="G480">IFERROR(_xlfn.XLOOKUP(C480&amp;A480, Inside5!B:B&amp;Inside5!I:I, Inside5!E:E), 0)</f>
        <v>0</v>
      </c>
      <c r="H480" t="str" cm="1">
        <f t="array" ref="H480">IFERROR(_xlfn.XLOOKUP(C480&amp;A480, TDrate!F:F&amp;TDrate!H:H, TDrate!C:C), "N/A")</f>
        <v>N/A</v>
      </c>
      <c r="I480" t="str" cm="1">
        <f t="array" ref="I480">IFERROR(_xlfn.XLOOKUP(C480&amp;A480, TDrate!F:F&amp;TDrate!H:H, TDrate!E:E), "N/A")</f>
        <v>N/A</v>
      </c>
      <c r="J480" cm="1">
        <f t="array" ref="J480">IFERROR(_xlfn.XLOOKUP(C480&amp;A480, Inside5!B:B&amp;Inside5!I:I, Inside5!F:F), 0)</f>
        <v>0</v>
      </c>
      <c r="K480" cm="1">
        <f t="array" ref="K480">IFERROR(_xlfn.XLOOKUP(C480&amp;A480, Inside5!B:B&amp;Inside5!I:I, Inside5!G:G), 0)</f>
        <v>0</v>
      </c>
      <c r="L480" cm="1">
        <f t="array" ref="L480">IFERROR(_xlfn.XLOOKUP(C480&amp;A480, Inside5!B:B&amp;Inside5!I:I, Inside5!H:H), 0)</f>
        <v>0</v>
      </c>
      <c r="M480" t="str" cm="1">
        <f t="array" ref="M480">IFERROR(_xlfn.XLOOKUP(C480&amp;A480, TDrate!F:F&amp;TDrate!H:H, TDrate!B:B), "N/A")</f>
        <v>N/A</v>
      </c>
      <c r="N480" t="str" cm="1">
        <f t="array" ref="N480">IFERROR(_xlfn.XLOOKUP(C480&amp;A480, TDrate!F:F&amp;TDrate!H:H, TDrate!D:D), "N/A")</f>
        <v>N/A</v>
      </c>
    </row>
    <row r="481" spans="1:14" x14ac:dyDescent="0.45">
      <c r="A481" s="8">
        <v>2023</v>
      </c>
      <c r="B481" s="9" t="s">
        <v>435</v>
      </c>
      <c r="C481" s="10" t="str">
        <f t="shared" si="14"/>
        <v>Reggie Gilliam</v>
      </c>
      <c r="D481" s="10" t="str">
        <f t="shared" si="15"/>
        <v>BUF</v>
      </c>
      <c r="E481" cm="1">
        <f t="array" aca="1" ref="E481" ca="1">IFERROR(_xlfn.XLOOKUP(C481&amp;A481, Inside5!B:B&amp;Inside5!I:I, Inside5!C:C), 0)</f>
        <v>0</v>
      </c>
      <c r="F481" cm="1">
        <f t="array" aca="1" ref="F481" ca="1">IFERROR(_xlfn.XLOOKUP(C481&amp;A481, Inside5!B:B&amp;Inside5!I:I, Inside5!D:D), 0)</f>
        <v>0</v>
      </c>
      <c r="G481" cm="1">
        <f t="array" ref="G481">IFERROR(_xlfn.XLOOKUP(C481&amp;A481, Inside5!B:B&amp;Inside5!I:I, Inside5!E:E), 0)</f>
        <v>0</v>
      </c>
      <c r="H481" t="str" cm="1">
        <f t="array" ref="H481">IFERROR(_xlfn.XLOOKUP(C481&amp;A481, TDrate!F:F&amp;TDrate!H:H, TDrate!C:C), "N/A")</f>
        <v>N/A</v>
      </c>
      <c r="I481" t="str" cm="1">
        <f t="array" ref="I481">IFERROR(_xlfn.XLOOKUP(C481&amp;A481, TDrate!F:F&amp;TDrate!H:H, TDrate!E:E), "N/A")</f>
        <v>N/A</v>
      </c>
      <c r="J481" cm="1">
        <f t="array" ref="J481">IFERROR(_xlfn.XLOOKUP(C481&amp;A481, Inside5!B:B&amp;Inside5!I:I, Inside5!F:F), 0)</f>
        <v>0</v>
      </c>
      <c r="K481" cm="1">
        <f t="array" ref="K481">IFERROR(_xlfn.XLOOKUP(C481&amp;A481, Inside5!B:B&amp;Inside5!I:I, Inside5!G:G), 0)</f>
        <v>0</v>
      </c>
      <c r="L481" cm="1">
        <f t="array" ref="L481">IFERROR(_xlfn.XLOOKUP(C481&amp;A481, Inside5!B:B&amp;Inside5!I:I, Inside5!H:H), 0)</f>
        <v>0</v>
      </c>
      <c r="M481" t="str" cm="1">
        <f t="array" ref="M481">IFERROR(_xlfn.XLOOKUP(C481&amp;A481, TDrate!F:F&amp;TDrate!H:H, TDrate!B:B), "N/A")</f>
        <v>N/A</v>
      </c>
      <c r="N481" t="str" cm="1">
        <f t="array" ref="N481">IFERROR(_xlfn.XLOOKUP(C481&amp;A481, TDrate!F:F&amp;TDrate!H:H, TDrate!D:D), "N/A")</f>
        <v>N/A</v>
      </c>
    </row>
    <row r="482" spans="1:14" x14ac:dyDescent="0.45">
      <c r="A482" s="5">
        <v>2023</v>
      </c>
      <c r="B482" s="6" t="s">
        <v>614</v>
      </c>
      <c r="C482" s="7" t="str">
        <f t="shared" si="14"/>
        <v>Dwayne Washington</v>
      </c>
      <c r="D482" s="7" t="str">
        <f t="shared" si="15"/>
        <v>DEN</v>
      </c>
      <c r="E482" cm="1">
        <f t="array" aca="1" ref="E482" ca="1">IFERROR(_xlfn.XLOOKUP(C482&amp;A482, Inside5!B:B&amp;Inside5!I:I, Inside5!C:C), 0)</f>
        <v>0</v>
      </c>
      <c r="F482" cm="1">
        <f t="array" ref="F482">IFERROR(_xlfn.XLOOKUP(C482&amp;A482, Inside5!B:B&amp;Inside5!I:I, Inside5!D:D), 0)</f>
        <v>0</v>
      </c>
      <c r="G482" cm="1">
        <f t="array" ref="G482">IFERROR(_xlfn.XLOOKUP(C482&amp;A482, Inside5!B:B&amp;Inside5!I:I, Inside5!E:E), 0)</f>
        <v>0</v>
      </c>
      <c r="H482" t="str" cm="1">
        <f t="array" ref="H482">IFERROR(_xlfn.XLOOKUP(C482&amp;A482, TDrate!F:F&amp;TDrate!H:H, TDrate!C:C), "N/A")</f>
        <v>N/A</v>
      </c>
      <c r="I482" t="str" cm="1">
        <f t="array" ref="I482">IFERROR(_xlfn.XLOOKUP(C482&amp;A482, TDrate!F:F&amp;TDrate!H:H, TDrate!E:E), "N/A")</f>
        <v>N/A</v>
      </c>
      <c r="J482" cm="1">
        <f t="array" ref="J482">IFERROR(_xlfn.XLOOKUP(C482&amp;A482, Inside5!B:B&amp;Inside5!I:I, Inside5!F:F), 0)</f>
        <v>0</v>
      </c>
      <c r="K482" cm="1">
        <f t="array" ref="K482">IFERROR(_xlfn.XLOOKUP(C482&amp;A482, Inside5!B:B&amp;Inside5!I:I, Inside5!G:G), 0)</f>
        <v>0</v>
      </c>
      <c r="L482" cm="1">
        <f t="array" ref="L482">IFERROR(_xlfn.XLOOKUP(C482&amp;A482, Inside5!B:B&amp;Inside5!I:I, Inside5!H:H), 0)</f>
        <v>0</v>
      </c>
      <c r="M482" t="str" cm="1">
        <f t="array" ref="M482">IFERROR(_xlfn.XLOOKUP(C482&amp;A482, TDrate!F:F&amp;TDrate!H:H, TDrate!B:B), "N/A")</f>
        <v>N/A</v>
      </c>
      <c r="N482" t="str" cm="1">
        <f t="array" ref="N482">IFERROR(_xlfn.XLOOKUP(C482&amp;A482, TDrate!F:F&amp;TDrate!H:H, TDrate!D:D), "N/A")</f>
        <v>N/A</v>
      </c>
    </row>
    <row r="483" spans="1:14" x14ac:dyDescent="0.45">
      <c r="A483" s="8">
        <v>2023</v>
      </c>
      <c r="B483" s="9" t="s">
        <v>615</v>
      </c>
      <c r="C483" s="10" t="str">
        <f t="shared" si="14"/>
        <v>Marlon Mack</v>
      </c>
      <c r="D483" s="10" t="str">
        <f t="shared" si="15"/>
        <v>ARI</v>
      </c>
      <c r="E483" cm="1">
        <f t="array" aca="1" ref="E483" ca="1">IFERROR(_xlfn.XLOOKUP(C483&amp;A483, Inside5!B:B&amp;Inside5!I:I, Inside5!C:C), 0)</f>
        <v>0</v>
      </c>
      <c r="F483" cm="1">
        <f t="array" aca="1" ref="F483" ca="1">IFERROR(_xlfn.XLOOKUP(C483&amp;A483, Inside5!B:B&amp;Inside5!I:I, Inside5!D:D), 0)</f>
        <v>0</v>
      </c>
      <c r="G483" cm="1">
        <f t="array" ref="G483">IFERROR(_xlfn.XLOOKUP(C483&amp;A483, Inside5!B:B&amp;Inside5!I:I, Inside5!E:E), 0)</f>
        <v>0</v>
      </c>
      <c r="H483" t="str" cm="1">
        <f t="array" ref="H483">IFERROR(_xlfn.XLOOKUP(C483&amp;A483, TDrate!F:F&amp;TDrate!H:H, TDrate!C:C), "N/A")</f>
        <v>N/A</v>
      </c>
      <c r="I483" t="str" cm="1">
        <f t="array" ref="I483">IFERROR(_xlfn.XLOOKUP(C483&amp;A483, TDrate!F:F&amp;TDrate!H:H, TDrate!E:E), "N/A")</f>
        <v>N/A</v>
      </c>
      <c r="J483" cm="1">
        <f t="array" ref="J483">IFERROR(_xlfn.XLOOKUP(C483&amp;A483, Inside5!B:B&amp;Inside5!I:I, Inside5!F:F), 0)</f>
        <v>0</v>
      </c>
      <c r="K483" cm="1">
        <f t="array" aca="1" ref="K483" ca="1">IFERROR(_xlfn.XLOOKUP(C483&amp;A483, Inside5!B:B&amp;Inside5!I:I, Inside5!G:G), 0)</f>
        <v>0</v>
      </c>
      <c r="L483" cm="1">
        <f t="array" ref="L483">IFERROR(_xlfn.XLOOKUP(C483&amp;A483, Inside5!B:B&amp;Inside5!I:I, Inside5!H:H), 0)</f>
        <v>0</v>
      </c>
      <c r="M483" t="str" cm="1">
        <f t="array" ref="M483">IFERROR(_xlfn.XLOOKUP(C483&amp;A483, TDrate!F:F&amp;TDrate!H:H, TDrate!B:B), "N/A")</f>
        <v>N/A</v>
      </c>
      <c r="N483" t="str" cm="1">
        <f t="array" ref="N483">IFERROR(_xlfn.XLOOKUP(C483&amp;A483, TDrate!F:F&amp;TDrate!H:H, TDrate!D:D), "N/A")</f>
        <v>N/A</v>
      </c>
    </row>
    <row r="484" spans="1:14" x14ac:dyDescent="0.45">
      <c r="A484" s="5">
        <v>2023</v>
      </c>
      <c r="B484" s="6" t="s">
        <v>616</v>
      </c>
      <c r="C484" s="7" t="str">
        <f t="shared" si="14"/>
        <v>Jeremy McNichols</v>
      </c>
      <c r="D484" s="7" t="str">
        <f t="shared" si="15"/>
        <v>SF</v>
      </c>
      <c r="E484" cm="1">
        <f t="array" aca="1" ref="E484" ca="1">IFERROR(_xlfn.XLOOKUP(C484&amp;A484, Inside5!B:B&amp;Inside5!I:I, Inside5!C:C), 0)</f>
        <v>0</v>
      </c>
      <c r="F484" cm="1">
        <f t="array" aca="1" ref="F484" ca="1">IFERROR(_xlfn.XLOOKUP(C484&amp;A484, Inside5!B:B&amp;Inside5!I:I, Inside5!D:D), 0)</f>
        <v>0</v>
      </c>
      <c r="G484" cm="1">
        <f t="array" ref="G484">IFERROR(_xlfn.XLOOKUP(C484&amp;A484, Inside5!B:B&amp;Inside5!I:I, Inside5!E:E), 0)</f>
        <v>0</v>
      </c>
      <c r="H484" t="str" cm="1">
        <f t="array" ref="H484">IFERROR(_xlfn.XLOOKUP(C484&amp;A484, TDrate!F:F&amp;TDrate!H:H, TDrate!C:C), "N/A")</f>
        <v>N/A</v>
      </c>
      <c r="I484" t="str" cm="1">
        <f t="array" ref="I484">IFERROR(_xlfn.XLOOKUP(C484&amp;A484, TDrate!F:F&amp;TDrate!H:H, TDrate!E:E), "N/A")</f>
        <v>N/A</v>
      </c>
      <c r="J484" cm="1">
        <f t="array" ref="J484">IFERROR(_xlfn.XLOOKUP(C484&amp;A484, Inside5!B:B&amp;Inside5!I:I, Inside5!F:F), 0)</f>
        <v>0</v>
      </c>
      <c r="K484" cm="1">
        <f t="array" aca="1" ref="K484" ca="1">IFERROR(_xlfn.XLOOKUP(C484&amp;A484, Inside5!B:B&amp;Inside5!I:I, Inside5!G:G), 0)</f>
        <v>0</v>
      </c>
      <c r="L484" cm="1">
        <f t="array" ref="L484">IFERROR(_xlfn.XLOOKUP(C484&amp;A484, Inside5!B:B&amp;Inside5!I:I, Inside5!H:H), 0)</f>
        <v>0</v>
      </c>
      <c r="M484" t="str" cm="1">
        <f t="array" ref="M484">IFERROR(_xlfn.XLOOKUP(C484&amp;A484, TDrate!F:F&amp;TDrate!H:H, TDrate!B:B), "N/A")</f>
        <v>N/A</v>
      </c>
      <c r="N484" t="str" cm="1">
        <f t="array" ref="N484">IFERROR(_xlfn.XLOOKUP(C484&amp;A484, TDrate!F:F&amp;TDrate!H:H, TDrate!D:D), "N/A")</f>
        <v>N/A</v>
      </c>
    </row>
    <row r="485" spans="1:14" x14ac:dyDescent="0.45">
      <c r="A485" s="8">
        <v>2023</v>
      </c>
      <c r="B485" s="9" t="s">
        <v>617</v>
      </c>
      <c r="C485" s="10" t="str">
        <f t="shared" si="14"/>
        <v>Corey Clement</v>
      </c>
      <c r="D485" s="10" t="str">
        <f t="shared" si="15"/>
        <v>ARI</v>
      </c>
      <c r="E485" cm="1">
        <f t="array" ref="E485">IFERROR(_xlfn.XLOOKUP(C485&amp;A485, Inside5!B:B&amp;Inside5!I:I, Inside5!C:C), 0)</f>
        <v>0</v>
      </c>
      <c r="F485" cm="1">
        <f t="array" ref="F485">IFERROR(_xlfn.XLOOKUP(C485&amp;A485, Inside5!B:B&amp;Inside5!I:I, Inside5!D:D), 0)</f>
        <v>0</v>
      </c>
      <c r="G485" cm="1">
        <f t="array" ref="G485">IFERROR(_xlfn.XLOOKUP(C485&amp;A485, Inside5!B:B&amp;Inside5!I:I, Inside5!E:E), 0)</f>
        <v>0</v>
      </c>
      <c r="H485" t="str" cm="1">
        <f t="array" ref="H485">IFERROR(_xlfn.XLOOKUP(C485&amp;A485, TDrate!F:F&amp;TDrate!H:H, TDrate!C:C), "N/A")</f>
        <v>N/A</v>
      </c>
      <c r="I485" t="str" cm="1">
        <f t="array" ref="I485">IFERROR(_xlfn.XLOOKUP(C485&amp;A485, TDrate!F:F&amp;TDrate!H:H, TDrate!E:E), "N/A")</f>
        <v>N/A</v>
      </c>
      <c r="J485" cm="1">
        <f t="array" ref="J485">IFERROR(_xlfn.XLOOKUP(C485&amp;A485, Inside5!B:B&amp;Inside5!I:I, Inside5!F:F), 0)</f>
        <v>0</v>
      </c>
      <c r="K485" cm="1">
        <f t="array" aca="1" ref="K485" ca="1">IFERROR(_xlfn.XLOOKUP(C485&amp;A485, Inside5!B:B&amp;Inside5!I:I, Inside5!G:G), 0)</f>
        <v>0</v>
      </c>
      <c r="L485" cm="1">
        <f t="array" aca="1" ref="L485" ca="1">IFERROR(_xlfn.XLOOKUP(C485&amp;A485, Inside5!B:B&amp;Inside5!I:I, Inside5!H:H), 0)</f>
        <v>0</v>
      </c>
      <c r="M485" t="str" cm="1">
        <f t="array" ref="M485">IFERROR(_xlfn.XLOOKUP(C485&amp;A485, TDrate!F:F&amp;TDrate!H:H, TDrate!B:B), "N/A")</f>
        <v>N/A</v>
      </c>
      <c r="N485" t="str" cm="1">
        <f t="array" ref="N485">IFERROR(_xlfn.XLOOKUP(C485&amp;A485, TDrate!F:F&amp;TDrate!H:H, TDrate!D:D), "N/A")</f>
        <v>N/A</v>
      </c>
    </row>
    <row r="486" spans="1:14" x14ac:dyDescent="0.45">
      <c r="A486" s="5">
        <v>2023</v>
      </c>
      <c r="B486" s="6" t="s">
        <v>618</v>
      </c>
      <c r="C486" s="7" t="str">
        <f t="shared" si="14"/>
        <v>Godwin Igwebuike</v>
      </c>
      <c r="D486" s="7" t="str">
        <f t="shared" si="15"/>
        <v>PIT</v>
      </c>
      <c r="E486" cm="1">
        <f t="array" ref="E486">IFERROR(_xlfn.XLOOKUP(C486&amp;A486, Inside5!B:B&amp;Inside5!I:I, Inside5!C:C), 0)</f>
        <v>0</v>
      </c>
      <c r="F486" cm="1">
        <f t="array" ref="F486">IFERROR(_xlfn.XLOOKUP(C486&amp;A486, Inside5!B:B&amp;Inside5!I:I, Inside5!D:D), 0)</f>
        <v>0</v>
      </c>
      <c r="G486" cm="1">
        <f t="array" ref="G486">IFERROR(_xlfn.XLOOKUP(C486&amp;A486, Inside5!B:B&amp;Inside5!I:I, Inside5!E:E), 0)</f>
        <v>0</v>
      </c>
      <c r="H486" t="str" cm="1">
        <f t="array" ref="H486">IFERROR(_xlfn.XLOOKUP(C486&amp;A486, TDrate!F:F&amp;TDrate!H:H, TDrate!C:C), "N/A")</f>
        <v>N/A</v>
      </c>
      <c r="I486" t="str" cm="1">
        <f t="array" ref="I486">IFERROR(_xlfn.XLOOKUP(C486&amp;A486, TDrate!F:F&amp;TDrate!H:H, TDrate!E:E), "N/A")</f>
        <v>N/A</v>
      </c>
      <c r="J486" cm="1">
        <f t="array" ref="J486">IFERROR(_xlfn.XLOOKUP(C486&amp;A486, Inside5!B:B&amp;Inside5!I:I, Inside5!F:F), 0)</f>
        <v>0</v>
      </c>
      <c r="K486" cm="1">
        <f t="array" ref="K486">IFERROR(_xlfn.XLOOKUP(C486&amp;A486, Inside5!B:B&amp;Inside5!I:I, Inside5!G:G), 0)</f>
        <v>0</v>
      </c>
      <c r="L486" cm="1">
        <f t="array" ref="L486">IFERROR(_xlfn.XLOOKUP(C486&amp;A486, Inside5!B:B&amp;Inside5!I:I, Inside5!H:H), 0)</f>
        <v>0</v>
      </c>
      <c r="M486" t="str" cm="1">
        <f t="array" ref="M486">IFERROR(_xlfn.XLOOKUP(C486&amp;A486, TDrate!F:F&amp;TDrate!H:H, TDrate!B:B), "N/A")</f>
        <v>N/A</v>
      </c>
      <c r="N486" t="str" cm="1">
        <f t="array" ref="N486">IFERROR(_xlfn.XLOOKUP(C486&amp;A486, TDrate!F:F&amp;TDrate!H:H, TDrate!D:D), "N/A")</f>
        <v>N/A</v>
      </c>
    </row>
    <row r="487" spans="1:14" x14ac:dyDescent="0.45">
      <c r="A487" s="8">
        <v>2023</v>
      </c>
      <c r="B487" s="9" t="s">
        <v>619</v>
      </c>
      <c r="C487" s="10" t="str">
        <f t="shared" si="14"/>
        <v>Jason Cabinda</v>
      </c>
      <c r="D487" s="10" t="str">
        <f t="shared" si="15"/>
        <v>DET</v>
      </c>
      <c r="E487" cm="1">
        <f t="array" aca="1" ref="E487" ca="1">IFERROR(_xlfn.XLOOKUP(C487&amp;A487, Inside5!B:B&amp;Inside5!I:I, Inside5!C:C), 0)</f>
        <v>0</v>
      </c>
      <c r="F487" cm="1">
        <f t="array" aca="1" ref="F487" ca="1">IFERROR(_xlfn.XLOOKUP(C487&amp;A487, Inside5!B:B&amp;Inside5!I:I, Inside5!D:D), 0)</f>
        <v>0</v>
      </c>
      <c r="G487" cm="1">
        <f t="array" ref="G487">IFERROR(_xlfn.XLOOKUP(C487&amp;A487, Inside5!B:B&amp;Inside5!I:I, Inside5!E:E), 0)</f>
        <v>0</v>
      </c>
      <c r="H487" t="str" cm="1">
        <f t="array" ref="H487">IFERROR(_xlfn.XLOOKUP(C487&amp;A487, TDrate!F:F&amp;TDrate!H:H, TDrate!C:C), "N/A")</f>
        <v>N/A</v>
      </c>
      <c r="I487" t="str" cm="1">
        <f t="array" ref="I487">IFERROR(_xlfn.XLOOKUP(C487&amp;A487, TDrate!F:F&amp;TDrate!H:H, TDrate!E:E), "N/A")</f>
        <v>N/A</v>
      </c>
      <c r="J487" cm="1">
        <f t="array" ref="J487">IFERROR(_xlfn.XLOOKUP(C487&amp;A487, Inside5!B:B&amp;Inside5!I:I, Inside5!F:F), 0)</f>
        <v>0</v>
      </c>
      <c r="K487" cm="1">
        <f t="array" ref="K487">IFERROR(_xlfn.XLOOKUP(C487&amp;A487, Inside5!B:B&amp;Inside5!I:I, Inside5!G:G), 0)</f>
        <v>0</v>
      </c>
      <c r="L487" cm="1">
        <f t="array" ref="L487">IFERROR(_xlfn.XLOOKUP(C487&amp;A487, Inside5!B:B&amp;Inside5!I:I, Inside5!H:H), 0)</f>
        <v>0</v>
      </c>
      <c r="M487" t="str" cm="1">
        <f t="array" ref="M487">IFERROR(_xlfn.XLOOKUP(C487&amp;A487, TDrate!F:F&amp;TDrate!H:H, TDrate!B:B), "N/A")</f>
        <v>N/A</v>
      </c>
      <c r="N487" t="str" cm="1">
        <f t="array" ref="N487">IFERROR(_xlfn.XLOOKUP(C487&amp;A487, TDrate!F:F&amp;TDrate!H:H, TDrate!D:D), "N/A")</f>
        <v>N/A</v>
      </c>
    </row>
    <row r="488" spans="1:14" x14ac:dyDescent="0.45">
      <c r="A488" s="5">
        <v>2023</v>
      </c>
      <c r="B488" s="6" t="s">
        <v>620</v>
      </c>
      <c r="C488" s="7" t="str">
        <f t="shared" si="14"/>
        <v>Patrick Laird</v>
      </c>
      <c r="D488" s="7" t="str">
        <f t="shared" si="15"/>
        <v>TB</v>
      </c>
      <c r="E488" cm="1">
        <f t="array" aca="1" ref="E488" ca="1">IFERROR(_xlfn.XLOOKUP(C488&amp;A488, Inside5!B:B&amp;Inside5!I:I, Inside5!C:C), 0)</f>
        <v>0</v>
      </c>
      <c r="F488" cm="1">
        <f t="array" aca="1" ref="F488" ca="1">IFERROR(_xlfn.XLOOKUP(C488&amp;A488, Inside5!B:B&amp;Inside5!I:I, Inside5!D:D), 0)</f>
        <v>0</v>
      </c>
      <c r="G488" cm="1">
        <f t="array" ref="G488">IFERROR(_xlfn.XLOOKUP(C488&amp;A488, Inside5!B:B&amp;Inside5!I:I, Inside5!E:E), 0)</f>
        <v>0</v>
      </c>
      <c r="H488" t="str" cm="1">
        <f t="array" ref="H488">IFERROR(_xlfn.XLOOKUP(C488&amp;A488, TDrate!F:F&amp;TDrate!H:H, TDrate!C:C), "N/A")</f>
        <v>N/A</v>
      </c>
      <c r="I488" t="str" cm="1">
        <f t="array" ref="I488">IFERROR(_xlfn.XLOOKUP(C488&amp;A488, TDrate!F:F&amp;TDrate!H:H, TDrate!E:E), "N/A")</f>
        <v>N/A</v>
      </c>
      <c r="J488" cm="1">
        <f t="array" ref="J488">IFERROR(_xlfn.XLOOKUP(C488&amp;A488, Inside5!B:B&amp;Inside5!I:I, Inside5!F:F), 0)</f>
        <v>0</v>
      </c>
      <c r="K488" cm="1">
        <f t="array" aca="1" ref="K488" ca="1">IFERROR(_xlfn.XLOOKUP(C488&amp;A488, Inside5!B:B&amp;Inside5!I:I, Inside5!G:G), 0)</f>
        <v>0</v>
      </c>
      <c r="L488" cm="1">
        <f t="array" ref="L488">IFERROR(_xlfn.XLOOKUP(C488&amp;A488, Inside5!B:B&amp;Inside5!I:I, Inside5!H:H), 0)</f>
        <v>0</v>
      </c>
      <c r="M488" t="str" cm="1">
        <f t="array" ref="M488">IFERROR(_xlfn.XLOOKUP(C488&amp;A488, TDrate!F:F&amp;TDrate!H:H, TDrate!B:B), "N/A")</f>
        <v>N/A</v>
      </c>
      <c r="N488" t="str" cm="1">
        <f t="array" ref="N488">IFERROR(_xlfn.XLOOKUP(C488&amp;A488, TDrate!F:F&amp;TDrate!H:H, TDrate!D:D), "N/A")</f>
        <v>N/A</v>
      </c>
    </row>
    <row r="489" spans="1:14" x14ac:dyDescent="0.45">
      <c r="A489" s="8">
        <v>2023</v>
      </c>
      <c r="B489" s="9" t="s">
        <v>467</v>
      </c>
      <c r="C489" s="10" t="str">
        <f t="shared" si="14"/>
        <v>Travis Homer</v>
      </c>
      <c r="D489" s="10" t="str">
        <f t="shared" si="15"/>
        <v>CHI</v>
      </c>
      <c r="E489" cm="1">
        <f t="array" ref="E489">IFERROR(_xlfn.XLOOKUP(C489&amp;A489, Inside5!B:B&amp;Inside5!I:I, Inside5!C:C), 0)</f>
        <v>0</v>
      </c>
      <c r="F489" cm="1">
        <f t="array" ref="F489">IFERROR(_xlfn.XLOOKUP(C489&amp;A489, Inside5!B:B&amp;Inside5!I:I, Inside5!D:D), 0)</f>
        <v>0</v>
      </c>
      <c r="G489" cm="1">
        <f t="array" ref="G489">IFERROR(_xlfn.XLOOKUP(C489&amp;A489, Inside5!B:B&amp;Inside5!I:I, Inside5!E:E), 0)</f>
        <v>0</v>
      </c>
      <c r="H489" t="str" cm="1">
        <f t="array" ref="H489">IFERROR(_xlfn.XLOOKUP(C489&amp;A489, TDrate!F:F&amp;TDrate!H:H, TDrate!C:C), "N/A")</f>
        <v>N/A</v>
      </c>
      <c r="I489" t="str" cm="1">
        <f t="array" ref="I489">IFERROR(_xlfn.XLOOKUP(C489&amp;A489, TDrate!F:F&amp;TDrate!H:H, TDrate!E:E), "N/A")</f>
        <v>N/A</v>
      </c>
      <c r="J489" cm="1">
        <f t="array" ref="J489">IFERROR(_xlfn.XLOOKUP(C489&amp;A489, Inside5!B:B&amp;Inside5!I:I, Inside5!F:F), 0)</f>
        <v>0</v>
      </c>
      <c r="K489" cm="1">
        <f t="array" ref="K489">IFERROR(_xlfn.XLOOKUP(C489&amp;A489, Inside5!B:B&amp;Inside5!I:I, Inside5!G:G), 0)</f>
        <v>0</v>
      </c>
      <c r="L489" cm="1">
        <f t="array" ref="L489">IFERROR(_xlfn.XLOOKUP(C489&amp;A489, Inside5!B:B&amp;Inside5!I:I, Inside5!H:H), 0)</f>
        <v>0</v>
      </c>
      <c r="M489" t="str" cm="1">
        <f t="array" ref="M489">IFERROR(_xlfn.XLOOKUP(C489&amp;A489, TDrate!F:F&amp;TDrate!H:H, TDrate!B:B), "N/A")</f>
        <v>N/A</v>
      </c>
      <c r="N489" t="str" cm="1">
        <f t="array" ref="N489">IFERROR(_xlfn.XLOOKUP(C489&amp;A489, TDrate!F:F&amp;TDrate!H:H, TDrate!D:D), "N/A")</f>
        <v>N/A</v>
      </c>
    </row>
    <row r="490" spans="1:14" x14ac:dyDescent="0.45">
      <c r="A490" s="5">
        <v>2023</v>
      </c>
      <c r="B490" s="6" t="s">
        <v>531</v>
      </c>
      <c r="C490" s="7" t="str">
        <f t="shared" si="14"/>
        <v>Andrew Beck</v>
      </c>
      <c r="D490" s="7" t="str">
        <f t="shared" si="15"/>
        <v>HOU</v>
      </c>
      <c r="E490" cm="1">
        <f t="array" aca="1" ref="E490" ca="1">IFERROR(_xlfn.XLOOKUP(C490&amp;A490, Inside5!B:B&amp;Inside5!I:I, Inside5!C:C), 0)</f>
        <v>0</v>
      </c>
      <c r="F490" cm="1">
        <f t="array" aca="1" ref="F490" ca="1">IFERROR(_xlfn.XLOOKUP(C490&amp;A490, Inside5!B:B&amp;Inside5!I:I, Inside5!D:D), 0)</f>
        <v>0</v>
      </c>
      <c r="G490" cm="1">
        <f t="array" ref="G490">IFERROR(_xlfn.XLOOKUP(C490&amp;A490, Inside5!B:B&amp;Inside5!I:I, Inside5!E:E), 0)</f>
        <v>0</v>
      </c>
      <c r="H490" t="str" cm="1">
        <f t="array" ref="H490">IFERROR(_xlfn.XLOOKUP(C490&amp;A490, TDrate!F:F&amp;TDrate!H:H, TDrate!C:C), "N/A")</f>
        <v>N/A</v>
      </c>
      <c r="I490" t="str" cm="1">
        <f t="array" ref="I490">IFERROR(_xlfn.XLOOKUP(C490&amp;A490, TDrate!F:F&amp;TDrate!H:H, TDrate!E:E), "N/A")</f>
        <v>N/A</v>
      </c>
      <c r="J490" cm="1">
        <f t="array" ref="J490">IFERROR(_xlfn.XLOOKUP(C490&amp;A490, Inside5!B:B&amp;Inside5!I:I, Inside5!F:F), 0)</f>
        <v>0</v>
      </c>
      <c r="K490" cm="1">
        <f t="array" aca="1" ref="K490" ca="1">IFERROR(_xlfn.XLOOKUP(C490&amp;A490, Inside5!B:B&amp;Inside5!I:I, Inside5!G:G), 0)</f>
        <v>0</v>
      </c>
      <c r="L490" cm="1">
        <f t="array" ref="L490">IFERROR(_xlfn.XLOOKUP(C490&amp;A490, Inside5!B:B&amp;Inside5!I:I, Inside5!H:H), 0)</f>
        <v>0</v>
      </c>
      <c r="M490" t="str" cm="1">
        <f t="array" ref="M490">IFERROR(_xlfn.XLOOKUP(C490&amp;A490, TDrate!F:F&amp;TDrate!H:H, TDrate!B:B), "N/A")</f>
        <v>N/A</v>
      </c>
      <c r="N490" t="str" cm="1">
        <f t="array" ref="N490">IFERROR(_xlfn.XLOOKUP(C490&amp;A490, TDrate!F:F&amp;TDrate!H:H, TDrate!D:D), "N/A")</f>
        <v>N/A</v>
      </c>
    </row>
    <row r="491" spans="1:14" x14ac:dyDescent="0.45">
      <c r="A491" s="8">
        <v>2023</v>
      </c>
      <c r="B491" s="9" t="s">
        <v>621</v>
      </c>
      <c r="C491" s="10" t="str">
        <f t="shared" si="14"/>
        <v>Austin Walter</v>
      </c>
      <c r="D491" s="10" t="str">
        <f t="shared" si="15"/>
        <v>LV</v>
      </c>
      <c r="E491" cm="1">
        <f t="array" aca="1" ref="E491" ca="1">IFERROR(_xlfn.XLOOKUP(C491&amp;A491, Inside5!B:B&amp;Inside5!I:I, Inside5!C:C), 0)</f>
        <v>0</v>
      </c>
      <c r="F491" cm="1">
        <f t="array" aca="1" ref="F491" ca="1">IFERROR(_xlfn.XLOOKUP(C491&amp;A491, Inside5!B:B&amp;Inside5!I:I, Inside5!D:D), 0)</f>
        <v>0</v>
      </c>
      <c r="G491" cm="1">
        <f t="array" ref="G491">IFERROR(_xlfn.XLOOKUP(C491&amp;A491, Inside5!B:B&amp;Inside5!I:I, Inside5!E:E), 0)</f>
        <v>0</v>
      </c>
      <c r="H491" t="str" cm="1">
        <f t="array" ref="H491">IFERROR(_xlfn.XLOOKUP(C491&amp;A491, TDrate!F:F&amp;TDrate!H:H, TDrate!C:C), "N/A")</f>
        <v>N/A</v>
      </c>
      <c r="I491" t="str" cm="1">
        <f t="array" ref="I491">IFERROR(_xlfn.XLOOKUP(C491&amp;A491, TDrate!F:F&amp;TDrate!H:H, TDrate!E:E), "N/A")</f>
        <v>N/A</v>
      </c>
      <c r="J491" cm="1">
        <f t="array" ref="J491">IFERROR(_xlfn.XLOOKUP(C491&amp;A491, Inside5!B:B&amp;Inside5!I:I, Inside5!F:F), 0)</f>
        <v>0</v>
      </c>
      <c r="K491" cm="1">
        <f t="array" aca="1" ref="K491" ca="1">IFERROR(_xlfn.XLOOKUP(C491&amp;A491, Inside5!B:B&amp;Inside5!I:I, Inside5!G:G), 0)</f>
        <v>0</v>
      </c>
      <c r="L491" cm="1">
        <f t="array" ref="L491">IFERROR(_xlfn.XLOOKUP(C491&amp;A491, Inside5!B:B&amp;Inside5!I:I, Inside5!H:H), 0)</f>
        <v>0</v>
      </c>
      <c r="M491" t="str" cm="1">
        <f t="array" ref="M491">IFERROR(_xlfn.XLOOKUP(C491&amp;A491, TDrate!F:F&amp;TDrate!H:H, TDrate!B:B), "N/A")</f>
        <v>N/A</v>
      </c>
      <c r="N491" t="str" cm="1">
        <f t="array" ref="N491">IFERROR(_xlfn.XLOOKUP(C491&amp;A491, TDrate!F:F&amp;TDrate!H:H, TDrate!D:D), "N/A")</f>
        <v>N/A</v>
      </c>
    </row>
    <row r="492" spans="1:14" x14ac:dyDescent="0.45">
      <c r="A492" s="5">
        <v>2023</v>
      </c>
      <c r="B492" s="6" t="s">
        <v>622</v>
      </c>
      <c r="C492" s="7" t="str">
        <f t="shared" si="14"/>
        <v>JaMycal Hasty</v>
      </c>
      <c r="D492" s="7" t="str">
        <f t="shared" si="15"/>
        <v>JAC</v>
      </c>
      <c r="E492" cm="1">
        <f t="array" aca="1" ref="E492" ca="1">IFERROR(_xlfn.XLOOKUP(C492&amp;A492, Inside5!B:B&amp;Inside5!I:I, Inside5!C:C), 0)</f>
        <v>0</v>
      </c>
      <c r="F492" cm="1">
        <f t="array" aca="1" ref="F492" ca="1">IFERROR(_xlfn.XLOOKUP(C492&amp;A492, Inside5!B:B&amp;Inside5!I:I, Inside5!D:D), 0)</f>
        <v>0</v>
      </c>
      <c r="G492" cm="1">
        <f t="array" ref="G492">IFERROR(_xlfn.XLOOKUP(C492&amp;A492, Inside5!B:B&amp;Inside5!I:I, Inside5!E:E), 0)</f>
        <v>0</v>
      </c>
      <c r="H492" t="str" cm="1">
        <f t="array" ref="H492">IFERROR(_xlfn.XLOOKUP(C492&amp;A492, TDrate!F:F&amp;TDrate!H:H, TDrate!C:C), "N/A")</f>
        <v>N/A</v>
      </c>
      <c r="I492" t="str" cm="1">
        <f t="array" ref="I492">IFERROR(_xlfn.XLOOKUP(C492&amp;A492, TDrate!F:F&amp;TDrate!H:H, TDrate!E:E), "N/A")</f>
        <v>N/A</v>
      </c>
      <c r="J492" cm="1">
        <f t="array" ref="J492">IFERROR(_xlfn.XLOOKUP(C492&amp;A492, Inside5!B:B&amp;Inside5!I:I, Inside5!F:F), 0)</f>
        <v>0</v>
      </c>
      <c r="K492" cm="1">
        <f t="array" ref="K492">IFERROR(_xlfn.XLOOKUP(C492&amp;A492, Inside5!B:B&amp;Inside5!I:I, Inside5!G:G), 0)</f>
        <v>0</v>
      </c>
      <c r="L492" cm="1">
        <f t="array" ref="L492">IFERROR(_xlfn.XLOOKUP(C492&amp;A492, Inside5!B:B&amp;Inside5!I:I, Inside5!H:H), 0)</f>
        <v>0</v>
      </c>
      <c r="M492" t="str" cm="1">
        <f t="array" ref="M492">IFERROR(_xlfn.XLOOKUP(C492&amp;A492, TDrate!F:F&amp;TDrate!H:H, TDrate!B:B), "N/A")</f>
        <v>N/A</v>
      </c>
      <c r="N492" t="str" cm="1">
        <f t="array" ref="N492">IFERROR(_xlfn.XLOOKUP(C492&amp;A492, TDrate!F:F&amp;TDrate!H:H, TDrate!D:D), "N/A")</f>
        <v>N/A</v>
      </c>
    </row>
    <row r="493" spans="1:14" x14ac:dyDescent="0.45">
      <c r="A493" s="8">
        <v>2023</v>
      </c>
      <c r="B493" s="9" t="s">
        <v>623</v>
      </c>
      <c r="C493" s="10" t="str">
        <f t="shared" si="14"/>
        <v>James Robinson</v>
      </c>
      <c r="D493" s="10" t="str">
        <f t="shared" si="15"/>
        <v>GB</v>
      </c>
      <c r="E493" cm="1">
        <f t="array" aca="1" ref="E493" ca="1">IFERROR(_xlfn.XLOOKUP(C493&amp;A493, Inside5!B:B&amp;Inside5!I:I, Inside5!C:C), 0)</f>
        <v>0</v>
      </c>
      <c r="F493" cm="1">
        <f t="array" aca="1" ref="F493" ca="1">IFERROR(_xlfn.XLOOKUP(C493&amp;A493, Inside5!B:B&amp;Inside5!I:I, Inside5!D:D), 0)</f>
        <v>0</v>
      </c>
      <c r="G493" cm="1">
        <f t="array" ref="G493">IFERROR(_xlfn.XLOOKUP(C493&amp;A493, Inside5!B:B&amp;Inside5!I:I, Inside5!E:E), 0)</f>
        <v>0</v>
      </c>
      <c r="H493" t="str" cm="1">
        <f t="array" ref="H493">IFERROR(_xlfn.XLOOKUP(C493&amp;A493, TDrate!F:F&amp;TDrate!H:H, TDrate!C:C), "N/A")</f>
        <v>N/A</v>
      </c>
      <c r="I493" t="str" cm="1">
        <f t="array" ref="I493">IFERROR(_xlfn.XLOOKUP(C493&amp;A493, TDrate!F:F&amp;TDrate!H:H, TDrate!E:E), "N/A")</f>
        <v>N/A</v>
      </c>
      <c r="J493" cm="1">
        <f t="array" ref="J493">IFERROR(_xlfn.XLOOKUP(C493&amp;A493, Inside5!B:B&amp;Inside5!I:I, Inside5!F:F), 0)</f>
        <v>0</v>
      </c>
      <c r="K493" cm="1">
        <f t="array" ref="K493">IFERROR(_xlfn.XLOOKUP(C493&amp;A493, Inside5!B:B&amp;Inside5!I:I, Inside5!G:G), 0)</f>
        <v>0</v>
      </c>
      <c r="L493" cm="1">
        <f t="array" ref="L493">IFERROR(_xlfn.XLOOKUP(C493&amp;A493, Inside5!B:B&amp;Inside5!I:I, Inside5!H:H), 0)</f>
        <v>0</v>
      </c>
      <c r="M493" t="str" cm="1">
        <f t="array" ref="M493">IFERROR(_xlfn.XLOOKUP(C493&amp;A493, TDrate!F:F&amp;TDrate!H:H, TDrate!B:B), "N/A")</f>
        <v>N/A</v>
      </c>
      <c r="N493" t="str" cm="1">
        <f t="array" ref="N493">IFERROR(_xlfn.XLOOKUP(C493&amp;A493, TDrate!F:F&amp;TDrate!H:H, TDrate!D:D), "N/A")</f>
        <v>N/A</v>
      </c>
    </row>
    <row r="494" spans="1:14" x14ac:dyDescent="0.45">
      <c r="A494" s="5">
        <v>2023</v>
      </c>
      <c r="B494" s="6" t="s">
        <v>624</v>
      </c>
      <c r="C494" s="7" t="str">
        <f t="shared" si="14"/>
        <v>Kirk Merritt</v>
      </c>
      <c r="D494" s="7" t="str">
        <f t="shared" si="15"/>
        <v>NO</v>
      </c>
      <c r="E494" cm="1">
        <f t="array" aca="1" ref="E494" ca="1">IFERROR(_xlfn.XLOOKUP(C494&amp;A494, Inside5!B:B&amp;Inside5!I:I, Inside5!C:C), 0)</f>
        <v>0</v>
      </c>
      <c r="F494" cm="1">
        <f t="array" aca="1" ref="F494" ca="1">IFERROR(_xlfn.XLOOKUP(C494&amp;A494, Inside5!B:B&amp;Inside5!I:I, Inside5!D:D), 0)</f>
        <v>0</v>
      </c>
      <c r="G494" cm="1">
        <f t="array" ref="G494">IFERROR(_xlfn.XLOOKUP(C494&amp;A494, Inside5!B:B&amp;Inside5!I:I, Inside5!E:E), 0)</f>
        <v>0</v>
      </c>
      <c r="H494" t="str" cm="1">
        <f t="array" ref="H494">IFERROR(_xlfn.XLOOKUP(C494&amp;A494, TDrate!F:F&amp;TDrate!H:H, TDrate!C:C), "N/A")</f>
        <v>N/A</v>
      </c>
      <c r="I494" t="str" cm="1">
        <f t="array" ref="I494">IFERROR(_xlfn.XLOOKUP(C494&amp;A494, TDrate!F:F&amp;TDrate!H:H, TDrate!E:E), "N/A")</f>
        <v>N/A</v>
      </c>
      <c r="J494" cm="1">
        <f t="array" ref="J494">IFERROR(_xlfn.XLOOKUP(C494&amp;A494, Inside5!B:B&amp;Inside5!I:I, Inside5!F:F), 0)</f>
        <v>0</v>
      </c>
      <c r="K494" cm="1">
        <f t="array" ref="K494">IFERROR(_xlfn.XLOOKUP(C494&amp;A494, Inside5!B:B&amp;Inside5!I:I, Inside5!G:G), 0)</f>
        <v>0</v>
      </c>
      <c r="L494" cm="1">
        <f t="array" ref="L494">IFERROR(_xlfn.XLOOKUP(C494&amp;A494, Inside5!B:B&amp;Inside5!I:I, Inside5!H:H), 0)</f>
        <v>0</v>
      </c>
      <c r="M494" t="str" cm="1">
        <f t="array" ref="M494">IFERROR(_xlfn.XLOOKUP(C494&amp;A494, TDrate!F:F&amp;TDrate!H:H, TDrate!B:B), "N/A")</f>
        <v>N/A</v>
      </c>
      <c r="N494" t="str" cm="1">
        <f t="array" ref="N494">IFERROR(_xlfn.XLOOKUP(C494&amp;A494, TDrate!F:F&amp;TDrate!H:H, TDrate!D:D), "N/A")</f>
        <v>N/A</v>
      </c>
    </row>
    <row r="495" spans="1:14" x14ac:dyDescent="0.45">
      <c r="A495" s="8">
        <v>2023</v>
      </c>
      <c r="B495" s="9" t="s">
        <v>625</v>
      </c>
      <c r="C495" s="10" t="str">
        <f t="shared" si="14"/>
        <v>Mohamed Ibrahim</v>
      </c>
      <c r="D495" s="10" t="str">
        <f t="shared" si="15"/>
        <v>DET</v>
      </c>
      <c r="E495" cm="1">
        <f t="array" aca="1" ref="E495" ca="1">IFERROR(_xlfn.XLOOKUP(C495&amp;A495, Inside5!B:B&amp;Inside5!I:I, Inside5!C:C), 0)</f>
        <v>0</v>
      </c>
      <c r="F495" cm="1">
        <f t="array" ref="F495">IFERROR(_xlfn.XLOOKUP(C495&amp;A495, Inside5!B:B&amp;Inside5!I:I, Inside5!D:D), 0)</f>
        <v>0</v>
      </c>
      <c r="G495" cm="1">
        <f t="array" ref="G495">IFERROR(_xlfn.XLOOKUP(C495&amp;A495, Inside5!B:B&amp;Inside5!I:I, Inside5!E:E), 0)</f>
        <v>0</v>
      </c>
      <c r="H495" t="str" cm="1">
        <f t="array" ref="H495">IFERROR(_xlfn.XLOOKUP(C495&amp;A495, TDrate!F:F&amp;TDrate!H:H, TDrate!C:C), "N/A")</f>
        <v>N/A</v>
      </c>
      <c r="I495" t="str" cm="1">
        <f t="array" ref="I495">IFERROR(_xlfn.XLOOKUP(C495&amp;A495, TDrate!F:F&amp;TDrate!H:H, TDrate!E:E), "N/A")</f>
        <v>N/A</v>
      </c>
      <c r="J495" cm="1">
        <f t="array" ref="J495">IFERROR(_xlfn.XLOOKUP(C495&amp;A495, Inside5!B:B&amp;Inside5!I:I, Inside5!F:F), 0)</f>
        <v>0</v>
      </c>
      <c r="K495" cm="1">
        <f t="array" ref="K495">IFERROR(_xlfn.XLOOKUP(C495&amp;A495, Inside5!B:B&amp;Inside5!I:I, Inside5!G:G), 0)</f>
        <v>0</v>
      </c>
      <c r="L495" cm="1">
        <f t="array" aca="1" ref="L495" ca="1">IFERROR(_xlfn.XLOOKUP(C495&amp;A495, Inside5!B:B&amp;Inside5!I:I, Inside5!H:H), 0)</f>
        <v>0</v>
      </c>
      <c r="M495" t="str" cm="1">
        <f t="array" ref="M495">IFERROR(_xlfn.XLOOKUP(C495&amp;A495, TDrate!F:F&amp;TDrate!H:H, TDrate!B:B), "N/A")</f>
        <v>N/A</v>
      </c>
      <c r="N495" t="str" cm="1">
        <f t="array" ref="N495">IFERROR(_xlfn.XLOOKUP(C495&amp;A495, TDrate!F:F&amp;TDrate!H:H, TDrate!D:D), "N/A")</f>
        <v>N/A</v>
      </c>
    </row>
    <row r="496" spans="1:14" x14ac:dyDescent="0.45">
      <c r="A496" s="5">
        <v>2023</v>
      </c>
      <c r="B496" s="6" t="s">
        <v>358</v>
      </c>
      <c r="C496" s="7" t="str">
        <f t="shared" si="14"/>
        <v>Malik Davis</v>
      </c>
      <c r="D496" s="7" t="str">
        <f t="shared" si="15"/>
        <v>DAL</v>
      </c>
      <c r="E496" cm="1">
        <f t="array" ref="E496">IFERROR(_xlfn.XLOOKUP(C496&amp;A496, Inside5!B:B&amp;Inside5!I:I, Inside5!C:C), 0)</f>
        <v>0</v>
      </c>
      <c r="F496" cm="1">
        <f t="array" ref="F496">IFERROR(_xlfn.XLOOKUP(C496&amp;A496, Inside5!B:B&amp;Inside5!I:I, Inside5!D:D), 0)</f>
        <v>0</v>
      </c>
      <c r="G496" cm="1">
        <f t="array" ref="G496">IFERROR(_xlfn.XLOOKUP(C496&amp;A496, Inside5!B:B&amp;Inside5!I:I, Inside5!E:E), 0)</f>
        <v>0</v>
      </c>
      <c r="H496" t="str" cm="1">
        <f t="array" ref="H496">IFERROR(_xlfn.XLOOKUP(C496&amp;A496, TDrate!F:F&amp;TDrate!H:H, TDrate!C:C), "N/A")</f>
        <v>N/A</v>
      </c>
      <c r="I496" t="str" cm="1">
        <f t="array" ref="I496">IFERROR(_xlfn.XLOOKUP(C496&amp;A496, TDrate!F:F&amp;TDrate!H:H, TDrate!E:E), "N/A")</f>
        <v>N/A</v>
      </c>
      <c r="J496" cm="1">
        <f t="array" ref="J496">IFERROR(_xlfn.XLOOKUP(C496&amp;A496, Inside5!B:B&amp;Inside5!I:I, Inside5!F:F), 0)</f>
        <v>0</v>
      </c>
      <c r="K496" cm="1">
        <f t="array" ref="K496">IFERROR(_xlfn.XLOOKUP(C496&amp;A496, Inside5!B:B&amp;Inside5!I:I, Inside5!G:G), 0)</f>
        <v>0</v>
      </c>
      <c r="L496" cm="1">
        <f t="array" ref="L496">IFERROR(_xlfn.XLOOKUP(C496&amp;A496, Inside5!B:B&amp;Inside5!I:I, Inside5!H:H), 0)</f>
        <v>0</v>
      </c>
      <c r="M496" t="str" cm="1">
        <f t="array" ref="M496">IFERROR(_xlfn.XLOOKUP(C496&amp;A496, TDrate!F:F&amp;TDrate!H:H, TDrate!B:B), "N/A")</f>
        <v>N/A</v>
      </c>
      <c r="N496" t="str" cm="1">
        <f t="array" ref="N496">IFERROR(_xlfn.XLOOKUP(C496&amp;A496, TDrate!F:F&amp;TDrate!H:H, TDrate!D:D), "N/A")</f>
        <v>N/A</v>
      </c>
    </row>
    <row r="497" spans="1:14" x14ac:dyDescent="0.45">
      <c r="A497" s="8">
        <v>2023</v>
      </c>
      <c r="B497" s="9" t="s">
        <v>626</v>
      </c>
      <c r="C497" s="10" t="str">
        <f t="shared" si="14"/>
        <v>Bryant Koback</v>
      </c>
      <c r="D497" s="10" t="str">
        <f t="shared" si="15"/>
        <v>PHI</v>
      </c>
      <c r="E497" cm="1">
        <f t="array" aca="1" ref="E497" ca="1">IFERROR(_xlfn.XLOOKUP(C497&amp;A497, Inside5!B:B&amp;Inside5!I:I, Inside5!C:C), 0)</f>
        <v>0</v>
      </c>
      <c r="F497" cm="1">
        <f t="array" aca="1" ref="F497" ca="1">IFERROR(_xlfn.XLOOKUP(C497&amp;A497, Inside5!B:B&amp;Inside5!I:I, Inside5!D:D), 0)</f>
        <v>0</v>
      </c>
      <c r="G497" cm="1">
        <f t="array" ref="G497">IFERROR(_xlfn.XLOOKUP(C497&amp;A497, Inside5!B:B&amp;Inside5!I:I, Inside5!E:E), 0)</f>
        <v>0</v>
      </c>
      <c r="H497" t="str" cm="1">
        <f t="array" ref="H497">IFERROR(_xlfn.XLOOKUP(C497&amp;A497, TDrate!F:F&amp;TDrate!H:H, TDrate!C:C), "N/A")</f>
        <v>N/A</v>
      </c>
      <c r="I497" t="str" cm="1">
        <f t="array" ref="I497">IFERROR(_xlfn.XLOOKUP(C497&amp;A497, TDrate!F:F&amp;TDrate!H:H, TDrate!E:E), "N/A")</f>
        <v>N/A</v>
      </c>
      <c r="J497" cm="1">
        <f t="array" ref="J497">IFERROR(_xlfn.XLOOKUP(C497&amp;A497, Inside5!B:B&amp;Inside5!I:I, Inside5!F:F), 0)</f>
        <v>0</v>
      </c>
      <c r="K497" cm="1">
        <f t="array" ref="K497">IFERROR(_xlfn.XLOOKUP(C497&amp;A497, Inside5!B:B&amp;Inside5!I:I, Inside5!G:G), 0)</f>
        <v>0</v>
      </c>
      <c r="L497" cm="1">
        <f t="array" ref="L497">IFERROR(_xlfn.XLOOKUP(C497&amp;A497, Inside5!B:B&amp;Inside5!I:I, Inside5!H:H), 0)</f>
        <v>0</v>
      </c>
      <c r="M497" t="str" cm="1">
        <f t="array" ref="M497">IFERROR(_xlfn.XLOOKUP(C497&amp;A497, TDrate!F:F&amp;TDrate!H:H, TDrate!B:B), "N/A")</f>
        <v>N/A</v>
      </c>
      <c r="N497" t="str" cm="1">
        <f t="array" ref="N497">IFERROR(_xlfn.XLOOKUP(C497&amp;A497, TDrate!F:F&amp;TDrate!H:H, TDrate!D:D), "N/A")</f>
        <v>N/A</v>
      </c>
    </row>
    <row r="498" spans="1:14" x14ac:dyDescent="0.45">
      <c r="A498" s="5">
        <v>2023</v>
      </c>
      <c r="B498" s="6" t="s">
        <v>627</v>
      </c>
      <c r="C498" s="7" t="str">
        <f t="shared" si="14"/>
        <v>Velus Jones Jr.</v>
      </c>
      <c r="D498" s="7" t="str">
        <f t="shared" si="15"/>
        <v>CHI</v>
      </c>
      <c r="E498" cm="1">
        <f t="array" aca="1" ref="E498" ca="1">IFERROR(_xlfn.XLOOKUP(C498&amp;A498, Inside5!B:B&amp;Inside5!I:I, Inside5!C:C), 0)</f>
        <v>0</v>
      </c>
      <c r="F498" cm="1">
        <f t="array" aca="1" ref="F498" ca="1">IFERROR(_xlfn.XLOOKUP(C498&amp;A498, Inside5!B:B&amp;Inside5!I:I, Inside5!D:D), 0)</f>
        <v>0</v>
      </c>
      <c r="G498" cm="1">
        <f t="array" ref="G498">IFERROR(_xlfn.XLOOKUP(C498&amp;A498, Inside5!B:B&amp;Inside5!I:I, Inside5!E:E), 0)</f>
        <v>0</v>
      </c>
      <c r="H498" t="str" cm="1">
        <f t="array" ref="H498">IFERROR(_xlfn.XLOOKUP(C498&amp;A498, TDrate!F:F&amp;TDrate!H:H, TDrate!C:C), "N/A")</f>
        <v>N/A</v>
      </c>
      <c r="I498" t="str" cm="1">
        <f t="array" ref="I498">IFERROR(_xlfn.XLOOKUP(C498&amp;A498, TDrate!F:F&amp;TDrate!H:H, TDrate!E:E), "N/A")</f>
        <v>N/A</v>
      </c>
      <c r="J498" cm="1">
        <f t="array" ref="J498">IFERROR(_xlfn.XLOOKUP(C498&amp;A498, Inside5!B:B&amp;Inside5!I:I, Inside5!F:F), 0)</f>
        <v>0</v>
      </c>
      <c r="K498" cm="1">
        <f t="array" ref="K498">IFERROR(_xlfn.XLOOKUP(C498&amp;A498, Inside5!B:B&amp;Inside5!I:I, Inside5!G:G), 0)</f>
        <v>0</v>
      </c>
      <c r="L498" cm="1">
        <f t="array" ref="L498">IFERROR(_xlfn.XLOOKUP(C498&amp;A498, Inside5!B:B&amp;Inside5!I:I, Inside5!H:H), 0)</f>
        <v>0</v>
      </c>
      <c r="M498" t="str" cm="1">
        <f t="array" ref="M498">IFERROR(_xlfn.XLOOKUP(C498&amp;A498, TDrate!F:F&amp;TDrate!H:H, TDrate!B:B), "N/A")</f>
        <v>N/A</v>
      </c>
      <c r="N498" t="str" cm="1">
        <f t="array" ref="N498">IFERROR(_xlfn.XLOOKUP(C498&amp;A498, TDrate!F:F&amp;TDrate!H:H, TDrate!D:D), "N/A")</f>
        <v>N/A</v>
      </c>
    </row>
    <row r="499" spans="1:14" x14ac:dyDescent="0.45">
      <c r="A499" s="8">
        <v>2023</v>
      </c>
      <c r="B499" s="9" t="s">
        <v>405</v>
      </c>
      <c r="C499" s="10" t="str">
        <f t="shared" si="14"/>
        <v>Connor Heyward</v>
      </c>
      <c r="D499" s="10" t="str">
        <f t="shared" si="15"/>
        <v>PIT</v>
      </c>
      <c r="E499" cm="1">
        <f t="array" ref="E499">IFERROR(_xlfn.XLOOKUP(C499&amp;A499, Inside5!B:B&amp;Inside5!I:I, Inside5!C:C), 0)</f>
        <v>0</v>
      </c>
      <c r="F499" cm="1">
        <f t="array" ref="F499">IFERROR(_xlfn.XLOOKUP(C499&amp;A499, Inside5!B:B&amp;Inside5!I:I, Inside5!D:D), 0)</f>
        <v>0</v>
      </c>
      <c r="G499" cm="1">
        <f t="array" ref="G499">IFERROR(_xlfn.XLOOKUP(C499&amp;A499, Inside5!B:B&amp;Inside5!I:I, Inside5!E:E), 0)</f>
        <v>0</v>
      </c>
      <c r="H499" t="str" cm="1">
        <f t="array" ref="H499">IFERROR(_xlfn.XLOOKUP(C499&amp;A499, TDrate!F:F&amp;TDrate!H:H, TDrate!C:C), "N/A")</f>
        <v>N/A</v>
      </c>
      <c r="I499" t="str" cm="1">
        <f t="array" ref="I499">IFERROR(_xlfn.XLOOKUP(C499&amp;A499, TDrate!F:F&amp;TDrate!H:H, TDrate!E:E), "N/A")</f>
        <v>N/A</v>
      </c>
      <c r="J499" cm="1">
        <f t="array" ref="J499">IFERROR(_xlfn.XLOOKUP(C499&amp;A499, Inside5!B:B&amp;Inside5!I:I, Inside5!F:F), 0)</f>
        <v>0</v>
      </c>
      <c r="K499" cm="1">
        <f t="array" ref="K499">IFERROR(_xlfn.XLOOKUP(C499&amp;A499, Inside5!B:B&amp;Inside5!I:I, Inside5!G:G), 0)</f>
        <v>0</v>
      </c>
      <c r="L499" cm="1">
        <f t="array" ref="L499">IFERROR(_xlfn.XLOOKUP(C499&amp;A499, Inside5!B:B&amp;Inside5!I:I, Inside5!H:H), 0)</f>
        <v>0</v>
      </c>
      <c r="M499" t="str" cm="1">
        <f t="array" ref="M499">IFERROR(_xlfn.XLOOKUP(C499&amp;A499, TDrate!F:F&amp;TDrate!H:H, TDrate!B:B), "N/A")</f>
        <v>N/A</v>
      </c>
      <c r="N499" t="str" cm="1">
        <f t="array" ref="N499">IFERROR(_xlfn.XLOOKUP(C499&amp;A499, TDrate!F:F&amp;TDrate!H:H, TDrate!D:D), "N/A")</f>
        <v>N/A</v>
      </c>
    </row>
    <row r="500" spans="1:14" x14ac:dyDescent="0.45">
      <c r="A500" s="5">
        <v>2023</v>
      </c>
      <c r="B500" s="6" t="s">
        <v>628</v>
      </c>
      <c r="C500" s="7" t="str">
        <f t="shared" si="14"/>
        <v>Brittain Brown</v>
      </c>
      <c r="D500" s="7" t="str">
        <f t="shared" si="15"/>
        <v>LV</v>
      </c>
      <c r="E500" cm="1">
        <f t="array" aca="1" ref="E500" ca="1">IFERROR(_xlfn.XLOOKUP(C500&amp;A500, Inside5!B:B&amp;Inside5!I:I, Inside5!C:C), 0)</f>
        <v>0</v>
      </c>
      <c r="F500" cm="1">
        <f t="array" aca="1" ref="F500" ca="1">IFERROR(_xlfn.XLOOKUP(C500&amp;A500, Inside5!B:B&amp;Inside5!I:I, Inside5!D:D), 0)</f>
        <v>0</v>
      </c>
      <c r="G500" cm="1">
        <f t="array" ref="G500">IFERROR(_xlfn.XLOOKUP(C500&amp;A500, Inside5!B:B&amp;Inside5!I:I, Inside5!E:E), 0)</f>
        <v>0</v>
      </c>
      <c r="H500" t="str" cm="1">
        <f t="array" ref="H500">IFERROR(_xlfn.XLOOKUP(C500&amp;A500, TDrate!F:F&amp;TDrate!H:H, TDrate!C:C), "N/A")</f>
        <v>N/A</v>
      </c>
      <c r="I500" t="str" cm="1">
        <f t="array" ref="I500">IFERROR(_xlfn.XLOOKUP(C500&amp;A500, TDrate!F:F&amp;TDrate!H:H, TDrate!E:E), "N/A")</f>
        <v>N/A</v>
      </c>
      <c r="J500" cm="1">
        <f t="array" ref="J500">IFERROR(_xlfn.XLOOKUP(C500&amp;A500, Inside5!B:B&amp;Inside5!I:I, Inside5!F:F), 0)</f>
        <v>0</v>
      </c>
      <c r="K500" cm="1">
        <f t="array" ref="K500">IFERROR(_xlfn.XLOOKUP(C500&amp;A500, Inside5!B:B&amp;Inside5!I:I, Inside5!G:G), 0)</f>
        <v>0</v>
      </c>
      <c r="L500" cm="1">
        <f t="array" ref="L500">IFERROR(_xlfn.XLOOKUP(C500&amp;A500, Inside5!B:B&amp;Inside5!I:I, Inside5!H:H), 0)</f>
        <v>0</v>
      </c>
      <c r="M500" t="str" cm="1">
        <f t="array" ref="M500">IFERROR(_xlfn.XLOOKUP(C500&amp;A500, TDrate!F:F&amp;TDrate!H:H, TDrate!B:B), "N/A")</f>
        <v>N/A</v>
      </c>
      <c r="N500" t="str" cm="1">
        <f t="array" ref="N500">IFERROR(_xlfn.XLOOKUP(C500&amp;A500, TDrate!F:F&amp;TDrate!H:H, TDrate!D:D), "N/A")</f>
        <v>N/A</v>
      </c>
    </row>
    <row r="501" spans="1:14" x14ac:dyDescent="0.45">
      <c r="A501" s="8">
        <v>2023</v>
      </c>
      <c r="B501" s="9" t="s">
        <v>407</v>
      </c>
      <c r="C501" s="10" t="str">
        <f t="shared" si="14"/>
        <v>Julius Chestnut</v>
      </c>
      <c r="D501" s="10" t="str">
        <f t="shared" si="15"/>
        <v>TEN</v>
      </c>
      <c r="E501" cm="1">
        <f t="array" aca="1" ref="E501" ca="1">IFERROR(_xlfn.XLOOKUP(C501&amp;A501, Inside5!B:B&amp;Inside5!I:I, Inside5!C:C), 0)</f>
        <v>0</v>
      </c>
      <c r="F501" cm="1">
        <f t="array" aca="1" ref="F501" ca="1">IFERROR(_xlfn.XLOOKUP(C501&amp;A501, Inside5!B:B&amp;Inside5!I:I, Inside5!D:D), 0)</f>
        <v>0</v>
      </c>
      <c r="G501" cm="1">
        <f t="array" ref="G501">IFERROR(_xlfn.XLOOKUP(C501&amp;A501, Inside5!B:B&amp;Inside5!I:I, Inside5!E:E), 0)</f>
        <v>0</v>
      </c>
      <c r="H501" t="str" cm="1">
        <f t="array" ref="H501">IFERROR(_xlfn.XLOOKUP(C501&amp;A501, TDrate!F:F&amp;TDrate!H:H, TDrate!C:C), "N/A")</f>
        <v>N/A</v>
      </c>
      <c r="I501" t="str" cm="1">
        <f t="array" ref="I501">IFERROR(_xlfn.XLOOKUP(C501&amp;A501, TDrate!F:F&amp;TDrate!H:H, TDrate!E:E), "N/A")</f>
        <v>N/A</v>
      </c>
      <c r="J501" cm="1">
        <f t="array" ref="J501">IFERROR(_xlfn.XLOOKUP(C501&amp;A501, Inside5!B:B&amp;Inside5!I:I, Inside5!F:F), 0)</f>
        <v>0</v>
      </c>
      <c r="K501" cm="1">
        <f t="array" ref="K501">IFERROR(_xlfn.XLOOKUP(C501&amp;A501, Inside5!B:B&amp;Inside5!I:I, Inside5!G:G), 0)</f>
        <v>0</v>
      </c>
      <c r="L501" cm="1">
        <f t="array" ref="L501">IFERROR(_xlfn.XLOOKUP(C501&amp;A501, Inside5!B:B&amp;Inside5!I:I, Inside5!H:H), 0)</f>
        <v>0</v>
      </c>
      <c r="M501" t="str" cm="1">
        <f t="array" ref="M501">IFERROR(_xlfn.XLOOKUP(C501&amp;A501, TDrate!F:F&amp;TDrate!H:H, TDrate!B:B), "N/A")</f>
        <v>N/A</v>
      </c>
      <c r="N501" t="str" cm="1">
        <f t="array" ref="N501">IFERROR(_xlfn.XLOOKUP(C501&amp;A501, TDrate!F:F&amp;TDrate!H:H, TDrate!D:D), "N/A")</f>
        <v>N/A</v>
      </c>
    </row>
    <row r="502" spans="1:14" x14ac:dyDescent="0.45">
      <c r="A502" s="5">
        <v>2023</v>
      </c>
      <c r="B502" s="6" t="s">
        <v>629</v>
      </c>
      <c r="C502" s="7" t="str">
        <f t="shared" si="14"/>
        <v>Derek Parish</v>
      </c>
      <c r="D502" s="7" t="str">
        <f t="shared" si="15"/>
        <v>JAC</v>
      </c>
      <c r="E502" cm="1">
        <f t="array" ref="E502">IFERROR(_xlfn.XLOOKUP(C502&amp;A502, Inside5!B:B&amp;Inside5!I:I, Inside5!C:C), 0)</f>
        <v>0</v>
      </c>
      <c r="F502" cm="1">
        <f t="array" ref="F502">IFERROR(_xlfn.XLOOKUP(C502&amp;A502, Inside5!B:B&amp;Inside5!I:I, Inside5!D:D), 0)</f>
        <v>0</v>
      </c>
      <c r="G502" cm="1">
        <f t="array" ref="G502">IFERROR(_xlfn.XLOOKUP(C502&amp;A502, Inside5!B:B&amp;Inside5!I:I, Inside5!E:E), 0)</f>
        <v>0</v>
      </c>
      <c r="H502" t="str" cm="1">
        <f t="array" ref="H502">IFERROR(_xlfn.XLOOKUP(C502&amp;A502, TDrate!F:F&amp;TDrate!H:H, TDrate!C:C), "N/A")</f>
        <v>N/A</v>
      </c>
      <c r="I502" t="str" cm="1">
        <f t="array" ref="I502">IFERROR(_xlfn.XLOOKUP(C502&amp;A502, TDrate!F:F&amp;TDrate!H:H, TDrate!E:E), "N/A")</f>
        <v>N/A</v>
      </c>
      <c r="J502" cm="1">
        <f t="array" ref="J502">IFERROR(_xlfn.XLOOKUP(C502&amp;A502, Inside5!B:B&amp;Inside5!I:I, Inside5!F:F), 0)</f>
        <v>0</v>
      </c>
      <c r="K502" cm="1">
        <f t="array" ref="K502">IFERROR(_xlfn.XLOOKUP(C502&amp;A502, Inside5!B:B&amp;Inside5!I:I, Inside5!G:G), 0)</f>
        <v>0</v>
      </c>
      <c r="L502" cm="1">
        <f t="array" ref="L502">IFERROR(_xlfn.XLOOKUP(C502&amp;A502, Inside5!B:B&amp;Inside5!I:I, Inside5!H:H), 0)</f>
        <v>0</v>
      </c>
      <c r="M502" t="str" cm="1">
        <f t="array" ref="M502">IFERROR(_xlfn.XLOOKUP(C502&amp;A502, TDrate!F:F&amp;TDrate!H:H, TDrate!B:B), "N/A")</f>
        <v>N/A</v>
      </c>
      <c r="N502" t="str" cm="1">
        <f t="array" ref="N502">IFERROR(_xlfn.XLOOKUP(C502&amp;A502, TDrate!F:F&amp;TDrate!H:H, TDrate!D:D), "N/A")</f>
        <v>N/A</v>
      </c>
    </row>
    <row r="503" spans="1:14" x14ac:dyDescent="0.45">
      <c r="A503" s="8">
        <v>2023</v>
      </c>
      <c r="B503" s="9" t="s">
        <v>630</v>
      </c>
      <c r="C503" s="10" t="str">
        <f t="shared" si="14"/>
        <v>SaRodorick Thompson Jr.</v>
      </c>
      <c r="D503" s="10" t="str">
        <f t="shared" si="15"/>
        <v>SEA</v>
      </c>
      <c r="E503" cm="1">
        <f t="array" aca="1" ref="E503" ca="1">IFERROR(_xlfn.XLOOKUP(C503&amp;A503, Inside5!B:B&amp;Inside5!I:I, Inside5!C:C), 0)</f>
        <v>0</v>
      </c>
      <c r="F503" cm="1">
        <f t="array" aca="1" ref="F503" ca="1">IFERROR(_xlfn.XLOOKUP(C503&amp;A503, Inside5!B:B&amp;Inside5!I:I, Inside5!D:D), 0)</f>
        <v>0</v>
      </c>
      <c r="G503" cm="1">
        <f t="array" ref="G503">IFERROR(_xlfn.XLOOKUP(C503&amp;A503, Inside5!B:B&amp;Inside5!I:I, Inside5!E:E), 0)</f>
        <v>0</v>
      </c>
      <c r="H503" t="str" cm="1">
        <f t="array" ref="H503">IFERROR(_xlfn.XLOOKUP(C503&amp;A503, TDrate!F:F&amp;TDrate!H:H, TDrate!C:C), "N/A")</f>
        <v>N/A</v>
      </c>
      <c r="I503" t="str" cm="1">
        <f t="array" ref="I503">IFERROR(_xlfn.XLOOKUP(C503&amp;A503, TDrate!F:F&amp;TDrate!H:H, TDrate!E:E), "N/A")</f>
        <v>N/A</v>
      </c>
      <c r="J503" cm="1">
        <f t="array" ref="J503">IFERROR(_xlfn.XLOOKUP(C503&amp;A503, Inside5!B:B&amp;Inside5!I:I, Inside5!F:F), 0)</f>
        <v>0</v>
      </c>
      <c r="K503" cm="1">
        <f t="array" ref="K503">IFERROR(_xlfn.XLOOKUP(C503&amp;A503, Inside5!B:B&amp;Inside5!I:I, Inside5!G:G), 0)</f>
        <v>0</v>
      </c>
      <c r="L503" cm="1">
        <f t="array" ref="L503">IFERROR(_xlfn.XLOOKUP(C503&amp;A503, Inside5!B:B&amp;Inside5!I:I, Inside5!H:H), 0)</f>
        <v>0</v>
      </c>
      <c r="M503" t="str" cm="1">
        <f t="array" ref="M503">IFERROR(_xlfn.XLOOKUP(C503&amp;A503, TDrate!F:F&amp;TDrate!H:H, TDrate!B:B), "N/A")</f>
        <v>N/A</v>
      </c>
      <c r="N503" t="str" cm="1">
        <f t="array" ref="N503">IFERROR(_xlfn.XLOOKUP(C503&amp;A503, TDrate!F:F&amp;TDrate!H:H, TDrate!D:D), "N/A")</f>
        <v>N/A</v>
      </c>
    </row>
    <row r="504" spans="1:14" x14ac:dyDescent="0.45">
      <c r="A504" s="5">
        <v>2023</v>
      </c>
      <c r="B504" s="6" t="s">
        <v>443</v>
      </c>
      <c r="C504" s="7" t="str">
        <f t="shared" si="14"/>
        <v>Scott Matlock</v>
      </c>
      <c r="D504" s="7" t="str">
        <f t="shared" si="15"/>
        <v>LAC</v>
      </c>
      <c r="E504" cm="1">
        <f t="array" aca="1" ref="E504" ca="1">IFERROR(_xlfn.XLOOKUP(C504&amp;A504, Inside5!B:B&amp;Inside5!I:I, Inside5!C:C), 0)</f>
        <v>0</v>
      </c>
      <c r="F504" cm="1">
        <f t="array" aca="1" ref="F504" ca="1">IFERROR(_xlfn.XLOOKUP(C504&amp;A504, Inside5!B:B&amp;Inside5!I:I, Inside5!D:D), 0)</f>
        <v>0</v>
      </c>
      <c r="G504" cm="1">
        <f t="array" ref="G504">IFERROR(_xlfn.XLOOKUP(C504&amp;A504, Inside5!B:B&amp;Inside5!I:I, Inside5!E:E), 0)</f>
        <v>0</v>
      </c>
      <c r="H504" t="str" cm="1">
        <f t="array" ref="H504">IFERROR(_xlfn.XLOOKUP(C504&amp;A504, TDrate!F:F&amp;TDrate!H:H, TDrate!C:C), "N/A")</f>
        <v>N/A</v>
      </c>
      <c r="I504" t="str" cm="1">
        <f t="array" ref="I504">IFERROR(_xlfn.XLOOKUP(C504&amp;A504, TDrate!F:F&amp;TDrate!H:H, TDrate!E:E), "N/A")</f>
        <v>N/A</v>
      </c>
      <c r="J504" cm="1">
        <f t="array" ref="J504">IFERROR(_xlfn.XLOOKUP(C504&amp;A504, Inside5!B:B&amp;Inside5!I:I, Inside5!F:F), 0)</f>
        <v>0</v>
      </c>
      <c r="K504" cm="1">
        <f t="array" ref="K504">IFERROR(_xlfn.XLOOKUP(C504&amp;A504, Inside5!B:B&amp;Inside5!I:I, Inside5!G:G), 0)</f>
        <v>0</v>
      </c>
      <c r="L504" cm="1">
        <f t="array" ref="L504">IFERROR(_xlfn.XLOOKUP(C504&amp;A504, Inside5!B:B&amp;Inside5!I:I, Inside5!H:H), 0)</f>
        <v>0</v>
      </c>
      <c r="M504" t="str" cm="1">
        <f t="array" ref="M504">IFERROR(_xlfn.XLOOKUP(C504&amp;A504, TDrate!F:F&amp;TDrate!H:H, TDrate!B:B), "N/A")</f>
        <v>N/A</v>
      </c>
      <c r="N504" t="str" cm="1">
        <f t="array" ref="N504">IFERROR(_xlfn.XLOOKUP(C504&amp;A504, TDrate!F:F&amp;TDrate!H:H, TDrate!D:D), "N/A")</f>
        <v>N/A</v>
      </c>
    </row>
    <row r="505" spans="1:14" x14ac:dyDescent="0.45">
      <c r="A505" s="8">
        <v>2023</v>
      </c>
      <c r="B505" s="9" t="s">
        <v>631</v>
      </c>
      <c r="C505" s="10" t="str">
        <f t="shared" si="14"/>
        <v>Henry Pearson</v>
      </c>
      <c r="D505" s="10" t="str">
        <f t="shared" si="15"/>
        <v>GB</v>
      </c>
      <c r="E505" cm="1">
        <f t="array" ref="E505">IFERROR(_xlfn.XLOOKUP(C505&amp;A505, Inside5!B:B&amp;Inside5!I:I, Inside5!C:C), 0)</f>
        <v>0</v>
      </c>
      <c r="F505" cm="1">
        <f t="array" ref="F505">IFERROR(_xlfn.XLOOKUP(C505&amp;A505, Inside5!B:B&amp;Inside5!I:I, Inside5!D:D), 0)</f>
        <v>0</v>
      </c>
      <c r="G505" cm="1">
        <f t="array" ref="G505">IFERROR(_xlfn.XLOOKUP(C505&amp;A505, Inside5!B:B&amp;Inside5!I:I, Inside5!E:E), 0)</f>
        <v>0</v>
      </c>
      <c r="H505" t="str" cm="1">
        <f t="array" ref="H505">IFERROR(_xlfn.XLOOKUP(C505&amp;A505, TDrate!F:F&amp;TDrate!H:H, TDrate!C:C), "N/A")</f>
        <v>N/A</v>
      </c>
      <c r="I505" t="str" cm="1">
        <f t="array" ref="I505">IFERROR(_xlfn.XLOOKUP(C505&amp;A505, TDrate!F:F&amp;TDrate!H:H, TDrate!E:E), "N/A")</f>
        <v>N/A</v>
      </c>
      <c r="J505" cm="1">
        <f t="array" ref="J505">IFERROR(_xlfn.XLOOKUP(C505&amp;A505, Inside5!B:B&amp;Inside5!I:I, Inside5!F:F), 0)</f>
        <v>0</v>
      </c>
      <c r="K505" cm="1">
        <f t="array" ref="K505">IFERROR(_xlfn.XLOOKUP(C505&amp;A505, Inside5!B:B&amp;Inside5!I:I, Inside5!G:G), 0)</f>
        <v>0</v>
      </c>
      <c r="L505" cm="1">
        <f t="array" ref="L505">IFERROR(_xlfn.XLOOKUP(C505&amp;A505, Inside5!B:B&amp;Inside5!I:I, Inside5!H:H), 0)</f>
        <v>0</v>
      </c>
      <c r="M505" t="str" cm="1">
        <f t="array" ref="M505">IFERROR(_xlfn.XLOOKUP(C505&amp;A505, TDrate!F:F&amp;TDrate!H:H, TDrate!B:B), "N/A")</f>
        <v>N/A</v>
      </c>
      <c r="N505" t="str" cm="1">
        <f t="array" ref="N505">IFERROR(_xlfn.XLOOKUP(C505&amp;A505, TDrate!F:F&amp;TDrate!H:H, TDrate!D:D), "N/A")</f>
        <v>N/A</v>
      </c>
    </row>
    <row r="506" spans="1:14" x14ac:dyDescent="0.45">
      <c r="A506" s="5">
        <v>2023</v>
      </c>
      <c r="B506" s="6" t="s">
        <v>543</v>
      </c>
      <c r="C506" s="7" t="str">
        <f t="shared" si="14"/>
        <v>Ben VanSumeren</v>
      </c>
      <c r="D506" s="7" t="str">
        <f t="shared" si="15"/>
        <v>PHI</v>
      </c>
      <c r="E506" cm="1">
        <f t="array" aca="1" ref="E506" ca="1">IFERROR(_xlfn.XLOOKUP(C506&amp;A506, Inside5!B:B&amp;Inside5!I:I, Inside5!C:C), 0)</f>
        <v>0</v>
      </c>
      <c r="F506" cm="1">
        <f t="array" aca="1" ref="F506" ca="1">IFERROR(_xlfn.XLOOKUP(C506&amp;A506, Inside5!B:B&amp;Inside5!I:I, Inside5!D:D), 0)</f>
        <v>0</v>
      </c>
      <c r="G506" cm="1">
        <f t="array" ref="G506">IFERROR(_xlfn.XLOOKUP(C506&amp;A506, Inside5!B:B&amp;Inside5!I:I, Inside5!E:E), 0)</f>
        <v>0</v>
      </c>
      <c r="H506" t="str" cm="1">
        <f t="array" ref="H506">IFERROR(_xlfn.XLOOKUP(C506&amp;A506, TDrate!F:F&amp;TDrate!H:H, TDrate!C:C), "N/A")</f>
        <v>N/A</v>
      </c>
      <c r="I506" t="str" cm="1">
        <f t="array" ref="I506">IFERROR(_xlfn.XLOOKUP(C506&amp;A506, TDrate!F:F&amp;TDrate!H:H, TDrate!E:E), "N/A")</f>
        <v>N/A</v>
      </c>
      <c r="J506" cm="1">
        <f t="array" ref="J506">IFERROR(_xlfn.XLOOKUP(C506&amp;A506, Inside5!B:B&amp;Inside5!I:I, Inside5!F:F), 0)</f>
        <v>0</v>
      </c>
      <c r="K506" cm="1">
        <f t="array" aca="1" ref="K506" ca="1">IFERROR(_xlfn.XLOOKUP(C506&amp;A506, Inside5!B:B&amp;Inside5!I:I, Inside5!G:G), 0)</f>
        <v>0</v>
      </c>
      <c r="L506" cm="1">
        <f t="array" ref="L506">IFERROR(_xlfn.XLOOKUP(C506&amp;A506, Inside5!B:B&amp;Inside5!I:I, Inside5!H:H), 0)</f>
        <v>0</v>
      </c>
      <c r="M506" t="str" cm="1">
        <f t="array" ref="M506">IFERROR(_xlfn.XLOOKUP(C506&amp;A506, TDrate!F:F&amp;TDrate!H:H, TDrate!B:B), "N/A")</f>
        <v>N/A</v>
      </c>
      <c r="N506" t="str" cm="1">
        <f t="array" ref="N506">IFERROR(_xlfn.XLOOKUP(C506&amp;A506, TDrate!F:F&amp;TDrate!H:H, TDrate!D:D), "N/A")</f>
        <v>N/A</v>
      </c>
    </row>
    <row r="507" spans="1:14" x14ac:dyDescent="0.45">
      <c r="A507" s="8">
        <v>2023</v>
      </c>
      <c r="B507" s="9" t="s">
        <v>464</v>
      </c>
      <c r="C507" s="10" t="str">
        <f t="shared" si="14"/>
        <v>Brady Russell</v>
      </c>
      <c r="D507" s="10" t="str">
        <f t="shared" si="15"/>
        <v>SEA</v>
      </c>
      <c r="E507" cm="1">
        <f t="array" aca="1" ref="E507" ca="1">IFERROR(_xlfn.XLOOKUP(C507&amp;A507, Inside5!B:B&amp;Inside5!I:I, Inside5!C:C), 0)</f>
        <v>0</v>
      </c>
      <c r="F507" cm="1">
        <f t="array" aca="1" ref="F507" ca="1">IFERROR(_xlfn.XLOOKUP(C507&amp;A507, Inside5!B:B&amp;Inside5!I:I, Inside5!D:D), 0)</f>
        <v>0</v>
      </c>
      <c r="G507" cm="1">
        <f t="array" ref="G507">IFERROR(_xlfn.XLOOKUP(C507&amp;A507, Inside5!B:B&amp;Inside5!I:I, Inside5!E:E), 0)</f>
        <v>0</v>
      </c>
      <c r="H507" t="str" cm="1">
        <f t="array" ref="H507">IFERROR(_xlfn.XLOOKUP(C507&amp;A507, TDrate!F:F&amp;TDrate!H:H, TDrate!C:C), "N/A")</f>
        <v>N/A</v>
      </c>
      <c r="I507" t="str" cm="1">
        <f t="array" ref="I507">IFERROR(_xlfn.XLOOKUP(C507&amp;A507, TDrate!F:F&amp;TDrate!H:H, TDrate!E:E), "N/A")</f>
        <v>N/A</v>
      </c>
      <c r="J507" cm="1">
        <f t="array" ref="J507">IFERROR(_xlfn.XLOOKUP(C507&amp;A507, Inside5!B:B&amp;Inside5!I:I, Inside5!F:F), 0)</f>
        <v>0</v>
      </c>
      <c r="K507" cm="1">
        <f t="array" aca="1" ref="K507" ca="1">IFERROR(_xlfn.XLOOKUP(C507&amp;A507, Inside5!B:B&amp;Inside5!I:I, Inside5!G:G), 0)</f>
        <v>0</v>
      </c>
      <c r="L507" cm="1">
        <f t="array" ref="L507">IFERROR(_xlfn.XLOOKUP(C507&amp;A507, Inside5!B:B&amp;Inside5!I:I, Inside5!H:H), 0)</f>
        <v>0</v>
      </c>
      <c r="M507" t="str" cm="1">
        <f t="array" ref="M507">IFERROR(_xlfn.XLOOKUP(C507&amp;A507, TDrate!F:F&amp;TDrate!H:H, TDrate!B:B), "N/A")</f>
        <v>N/A</v>
      </c>
      <c r="N507" t="str" cm="1">
        <f t="array" ref="N507">IFERROR(_xlfn.XLOOKUP(C507&amp;A507, TDrate!F:F&amp;TDrate!H:H, TDrate!D:D), "N/A")</f>
        <v>N/A</v>
      </c>
    </row>
    <row r="508" spans="1:14" x14ac:dyDescent="0.45">
      <c r="A508" s="5">
        <v>2023</v>
      </c>
      <c r="B508" s="6" t="s">
        <v>504</v>
      </c>
      <c r="C508" s="7" t="str">
        <f t="shared" si="14"/>
        <v>Jordan Mims</v>
      </c>
      <c r="D508" s="7" t="str">
        <f t="shared" si="15"/>
        <v>NO</v>
      </c>
      <c r="E508" cm="1">
        <f t="array" aca="1" ref="E508" ca="1">IFERROR(_xlfn.XLOOKUP(C508&amp;A508, Inside5!B:B&amp;Inside5!I:I, Inside5!C:C), 0)</f>
        <v>0</v>
      </c>
      <c r="F508" cm="1">
        <f t="array" ref="F508">IFERROR(_xlfn.XLOOKUP(C508&amp;A508, Inside5!B:B&amp;Inside5!I:I, Inside5!D:D), 0)</f>
        <v>0</v>
      </c>
      <c r="G508" cm="1">
        <f t="array" ref="G508">IFERROR(_xlfn.XLOOKUP(C508&amp;A508, Inside5!B:B&amp;Inside5!I:I, Inside5!E:E), 0)</f>
        <v>0</v>
      </c>
      <c r="H508" t="str" cm="1">
        <f t="array" ref="H508">IFERROR(_xlfn.XLOOKUP(C508&amp;A508, TDrate!F:F&amp;TDrate!H:H, TDrate!C:C), "N/A")</f>
        <v>N/A</v>
      </c>
      <c r="I508" t="str" cm="1">
        <f t="array" ref="I508">IFERROR(_xlfn.XLOOKUP(C508&amp;A508, TDrate!F:F&amp;TDrate!H:H, TDrate!E:E), "N/A")</f>
        <v>N/A</v>
      </c>
      <c r="J508" cm="1">
        <f t="array" ref="J508">IFERROR(_xlfn.XLOOKUP(C508&amp;A508, Inside5!B:B&amp;Inside5!I:I, Inside5!F:F), 0)</f>
        <v>0</v>
      </c>
      <c r="K508" cm="1">
        <f t="array" aca="1" ref="K508" ca="1">IFERROR(_xlfn.XLOOKUP(C508&amp;A508, Inside5!B:B&amp;Inside5!I:I, Inside5!G:G), 0)</f>
        <v>0</v>
      </c>
      <c r="L508" cm="1">
        <f t="array" aca="1" ref="L508" ca="1">IFERROR(_xlfn.XLOOKUP(C508&amp;A508, Inside5!B:B&amp;Inside5!I:I, Inside5!H:H), 0)</f>
        <v>0</v>
      </c>
      <c r="M508" t="str" cm="1">
        <f t="array" ref="M508">IFERROR(_xlfn.XLOOKUP(C508&amp;A508, TDrate!F:F&amp;TDrate!H:H, TDrate!B:B), "N/A")</f>
        <v>N/A</v>
      </c>
      <c r="N508" t="str" cm="1">
        <f t="array" ref="N508">IFERROR(_xlfn.XLOOKUP(C508&amp;A508, TDrate!F:F&amp;TDrate!H:H, TDrate!D:D), "N/A")</f>
        <v>N/A</v>
      </c>
    </row>
    <row r="509" spans="1:14" x14ac:dyDescent="0.45">
      <c r="A509" s="8">
        <v>2023</v>
      </c>
      <c r="B509" s="9" t="s">
        <v>632</v>
      </c>
      <c r="C509" s="10" t="str">
        <f t="shared" si="14"/>
        <v>Jonathan Williams</v>
      </c>
      <c r="D509" s="10" t="str">
        <f t="shared" si="15"/>
        <v>WAS</v>
      </c>
      <c r="E509" cm="1">
        <f t="array" aca="1" ref="E509" ca="1">IFERROR(_xlfn.XLOOKUP(C509&amp;A509, Inside5!B:B&amp;Inside5!I:I, Inside5!C:C), 0)</f>
        <v>0</v>
      </c>
      <c r="F509" cm="1">
        <f t="array" ref="F509">IFERROR(_xlfn.XLOOKUP(C509&amp;A509, Inside5!B:B&amp;Inside5!I:I, Inside5!D:D), 0)</f>
        <v>0</v>
      </c>
      <c r="G509" cm="1">
        <f t="array" ref="G509">IFERROR(_xlfn.XLOOKUP(C509&amp;A509, Inside5!B:B&amp;Inside5!I:I, Inside5!E:E), 0)</f>
        <v>0</v>
      </c>
      <c r="H509" t="str" cm="1">
        <f t="array" ref="H509">IFERROR(_xlfn.XLOOKUP(C509&amp;A509, TDrate!F:F&amp;TDrate!H:H, TDrate!C:C), "N/A")</f>
        <v>N/A</v>
      </c>
      <c r="I509" t="str" cm="1">
        <f t="array" ref="I509">IFERROR(_xlfn.XLOOKUP(C509&amp;A509, TDrate!F:F&amp;TDrate!H:H, TDrate!E:E), "N/A")</f>
        <v>N/A</v>
      </c>
      <c r="J509" cm="1">
        <f t="array" ref="J509">IFERROR(_xlfn.XLOOKUP(C509&amp;A509, Inside5!B:B&amp;Inside5!I:I, Inside5!F:F), 0)</f>
        <v>0</v>
      </c>
      <c r="K509" cm="1">
        <f t="array" aca="1" ref="K509" ca="1">IFERROR(_xlfn.XLOOKUP(C509&amp;A509, Inside5!B:B&amp;Inside5!I:I, Inside5!G:G), 0)</f>
        <v>0</v>
      </c>
      <c r="L509" cm="1">
        <f t="array" ref="L509">IFERROR(_xlfn.XLOOKUP(C509&amp;A509, Inside5!B:B&amp;Inside5!I:I, Inside5!H:H), 0)</f>
        <v>0</v>
      </c>
      <c r="M509" t="str" cm="1">
        <f t="array" ref="M509">IFERROR(_xlfn.XLOOKUP(C509&amp;A509, TDrate!F:F&amp;TDrate!H:H, TDrate!B:B), "N/A")</f>
        <v>N/A</v>
      </c>
      <c r="N509" t="str" cm="1">
        <f t="array" ref="N509">IFERROR(_xlfn.XLOOKUP(C509&amp;A509, TDrate!F:F&amp;TDrate!H:H, TDrate!D:D), "N/A")</f>
        <v>N/A</v>
      </c>
    </row>
    <row r="510" spans="1:14" x14ac:dyDescent="0.45">
      <c r="A510" s="5">
        <v>2023</v>
      </c>
      <c r="B510" s="6" t="s">
        <v>633</v>
      </c>
      <c r="C510" s="7" t="str">
        <f t="shared" si="14"/>
        <v>Deon Jackson</v>
      </c>
      <c r="D510" s="7" t="str">
        <f t="shared" si="15"/>
        <v>NYG</v>
      </c>
      <c r="E510" cm="1">
        <f t="array" ref="E510">IFERROR(_xlfn.XLOOKUP(C510&amp;A510, Inside5!B:B&amp;Inside5!I:I, Inside5!C:C), 0)</f>
        <v>1</v>
      </c>
      <c r="F510" cm="1">
        <f t="array" aca="1" ref="F510" ca="1">IFERROR(_xlfn.XLOOKUP(C510&amp;A510, Inside5!B:B&amp;Inside5!I:I, Inside5!D:D), 0)</f>
        <v>0</v>
      </c>
      <c r="G510" cm="1">
        <f t="array" ref="G510">IFERROR(_xlfn.XLOOKUP(C510&amp;A510, Inside5!B:B&amp;Inside5!I:I, Inside5!E:E), 0)</f>
        <v>4.2000000000000003E-2</v>
      </c>
      <c r="H510" t="str" cm="1">
        <f t="array" ref="H510">IFERROR(_xlfn.XLOOKUP(C510&amp;A510, TDrate!F:F&amp;TDrate!H:H, TDrate!C:C), "N/A")</f>
        <v>N/A</v>
      </c>
      <c r="I510" t="str" cm="1">
        <f t="array" ref="I510">IFERROR(_xlfn.XLOOKUP(C510&amp;A510, TDrate!F:F&amp;TDrate!H:H, TDrate!E:E), "N/A")</f>
        <v>N/A</v>
      </c>
      <c r="J510" cm="1">
        <f t="array" ref="J510">IFERROR(_xlfn.XLOOKUP(C510&amp;A510, Inside5!B:B&amp;Inside5!I:I, Inside5!F:F), 0)</f>
        <v>0</v>
      </c>
      <c r="K510" cm="1">
        <f t="array" ref="K510">IFERROR(_xlfn.XLOOKUP(C510&amp;A510, Inside5!B:B&amp;Inside5!I:I, Inside5!G:G), 0)</f>
        <v>0</v>
      </c>
      <c r="L510" cm="1">
        <f t="array" ref="L510">IFERROR(_xlfn.XLOOKUP(C510&amp;A510, Inside5!B:B&amp;Inside5!I:I, Inside5!H:H), 0)</f>
        <v>0</v>
      </c>
      <c r="M510" t="str" cm="1">
        <f t="array" ref="M510">IFERROR(_xlfn.XLOOKUP(C510&amp;A510, TDrate!F:F&amp;TDrate!H:H, TDrate!B:B), "N/A")</f>
        <v>N/A</v>
      </c>
      <c r="N510" t="str" cm="1">
        <f t="array" ref="N510">IFERROR(_xlfn.XLOOKUP(C510&amp;A510, TDrate!F:F&amp;TDrate!H:H, TDrate!D:D), "N/A")</f>
        <v>N/A</v>
      </c>
    </row>
    <row r="511" spans="1:14" x14ac:dyDescent="0.45">
      <c r="A511" s="8">
        <v>2022</v>
      </c>
      <c r="B511" s="9" t="s">
        <v>551</v>
      </c>
      <c r="C511" s="10" t="str">
        <f t="shared" si="14"/>
        <v>Josh Jacobs</v>
      </c>
      <c r="D511" s="10" t="str">
        <f t="shared" si="15"/>
        <v>LV</v>
      </c>
      <c r="E511" cm="1">
        <f t="array" aca="1" ref="E511" ca="1">IFERROR(_xlfn.XLOOKUP(C511&amp;A511, Inside5!B:B&amp;Inside5!I:I, Inside5!C:C), 0)</f>
        <v>11</v>
      </c>
      <c r="F511" cm="1">
        <f t="array" ref="F511">IFERROR(_xlfn.XLOOKUP(C511&amp;A511, Inside5!B:B&amp;Inside5!I:I, Inside5!D:D), 0)</f>
        <v>5</v>
      </c>
      <c r="G511" cm="1">
        <f t="array" ref="G511">IFERROR(_xlfn.XLOOKUP(C511&amp;A511, Inside5!B:B&amp;Inside5!I:I, Inside5!E:E), 0)</f>
        <v>0.84599999999999997</v>
      </c>
      <c r="H511" cm="1">
        <f t="array" ref="H511">IFERROR(_xlfn.XLOOKUP(C511&amp;A511, TDrate!F:F&amp;TDrate!H:H, TDrate!C:C), "N/A")</f>
        <v>3.5299999999999998E-2</v>
      </c>
      <c r="I511" cm="1">
        <f t="array" ref="I511">IFERROR(_xlfn.XLOOKUP(C511&amp;A511, TDrate!F:F&amp;TDrate!H:H, TDrate!E:E), "N/A")</f>
        <v>2.9899999999999999E-2</v>
      </c>
      <c r="J511" cm="1">
        <f t="array" ref="J511">IFERROR(_xlfn.XLOOKUP(C511&amp;A511, Inside5!B:B&amp;Inside5!I:I, Inside5!F:F), 0)</f>
        <v>0</v>
      </c>
      <c r="K511" cm="1">
        <f t="array" ref="K511">IFERROR(_xlfn.XLOOKUP(C511&amp;A511, Inside5!B:B&amp;Inside5!I:I, Inside5!G:G), 0)</f>
        <v>0</v>
      </c>
      <c r="L511" cm="1">
        <f t="array" ref="L511">IFERROR(_xlfn.XLOOKUP(C511&amp;A511, Inside5!B:B&amp;Inside5!I:I, Inside5!H:H), 0)</f>
        <v>0</v>
      </c>
      <c r="M511" cm="1">
        <f t="array" ref="M511">IFERROR(_xlfn.XLOOKUP(C511&amp;A511, TDrate!F:F&amp;TDrate!H:H, TDrate!B:B), "N/A")</f>
        <v>0</v>
      </c>
      <c r="N511" cm="1">
        <f t="array" ref="N511">IFERROR(_xlfn.XLOOKUP(C511&amp;A511, TDrate!F:F&amp;TDrate!H:H, TDrate!D:D), "N/A")</f>
        <v>6.7000000000000002E-3</v>
      </c>
    </row>
    <row r="512" spans="1:14" x14ac:dyDescent="0.45">
      <c r="A512" s="5">
        <v>2022</v>
      </c>
      <c r="B512" s="6" t="s">
        <v>304</v>
      </c>
      <c r="C512" s="7" t="str">
        <f t="shared" si="14"/>
        <v>Christian McCaffrey</v>
      </c>
      <c r="D512" s="7" t="str">
        <f t="shared" si="15"/>
        <v>SF</v>
      </c>
      <c r="E512" cm="1">
        <f t="array" aca="1" ref="E512" ca="1">IFERROR(_xlfn.XLOOKUP(C512&amp;A512, Inside5!B:B&amp;Inside5!I:I, Inside5!C:C), 0)</f>
        <v>11</v>
      </c>
      <c r="F512" cm="1">
        <f t="array" aca="1" ref="F512" ca="1">IFERROR(_xlfn.XLOOKUP(C512&amp;A512, Inside5!B:B&amp;Inside5!I:I, Inside5!D:D), 0)</f>
        <v>5</v>
      </c>
      <c r="G512" cm="1">
        <f t="array" ref="G512">IFERROR(_xlfn.XLOOKUP(C512&amp;A512, Inside5!B:B&amp;Inside5!I:I, Inside5!E:E), 0)</f>
        <v>0.57899999999999996</v>
      </c>
      <c r="H512" cm="1">
        <f t="array" ref="H512">IFERROR(_xlfn.XLOOKUP(C512&amp;A512, TDrate!F:F&amp;TDrate!H:H, TDrate!C:C), "N/A")</f>
        <v>3.2800000000000003E-2</v>
      </c>
      <c r="I512" cm="1">
        <f t="array" ref="I512">IFERROR(_xlfn.XLOOKUP(C512&amp;A512, TDrate!F:F&amp;TDrate!H:H, TDrate!E:E), "N/A")</f>
        <v>3.2199999999999999E-2</v>
      </c>
      <c r="J512" cm="1">
        <f t="array" ref="J512">IFERROR(_xlfn.XLOOKUP(C512&amp;A512, Inside5!B:B&amp;Inside5!I:I, Inside5!F:F), 0)</f>
        <v>1</v>
      </c>
      <c r="K512" cm="1">
        <f t="array" ref="K512">IFERROR(_xlfn.XLOOKUP(C512&amp;A512, Inside5!B:B&amp;Inside5!I:I, Inside5!G:G), 0)</f>
        <v>2</v>
      </c>
      <c r="L512" cm="1">
        <f t="array" ref="L512">IFERROR(_xlfn.XLOOKUP(C512&amp;A512, Inside5!B:B&amp;Inside5!I:I, Inside5!H:H), 0)</f>
        <v>1</v>
      </c>
      <c r="M512" cm="1">
        <f t="array" ref="M512">IFERROR(_xlfn.XLOOKUP(C512&amp;A512, TDrate!F:F&amp;TDrate!H:H, TDrate!B:B), "N/A")</f>
        <v>4.6300000000000001E-2</v>
      </c>
      <c r="N512" cm="1">
        <f t="array" ref="N512">IFERROR(_xlfn.XLOOKUP(C512&amp;A512, TDrate!F:F&amp;TDrate!H:H, TDrate!D:D), "N/A")</f>
        <v>3.5700000000000003E-2</v>
      </c>
    </row>
    <row r="513" spans="1:14" x14ac:dyDescent="0.45">
      <c r="A513" s="8">
        <v>2022</v>
      </c>
      <c r="B513" s="9" t="s">
        <v>545</v>
      </c>
      <c r="C513" s="10" t="str">
        <f t="shared" si="14"/>
        <v>Derrick Henry</v>
      </c>
      <c r="D513" s="10" t="str">
        <f t="shared" si="15"/>
        <v>TEN</v>
      </c>
      <c r="E513" cm="1">
        <f t="array" aca="1" ref="E513" ca="1">IFERROR(_xlfn.XLOOKUP(C513&amp;A513, Inside5!B:B&amp;Inside5!I:I, Inside5!C:C), 0)</f>
        <v>15</v>
      </c>
      <c r="F513" cm="1">
        <f t="array" aca="1" ref="F513" ca="1">IFERROR(_xlfn.XLOOKUP(C513&amp;A513, Inside5!B:B&amp;Inside5!I:I, Inside5!D:D), 0)</f>
        <v>10</v>
      </c>
      <c r="G513" cm="1">
        <f t="array" ref="G513">IFERROR(_xlfn.XLOOKUP(C513&amp;A513, Inside5!B:B&amp;Inside5!I:I, Inside5!E:E), 0)</f>
        <v>1</v>
      </c>
      <c r="H513" cm="1">
        <f t="array" ref="H513">IFERROR(_xlfn.XLOOKUP(C513&amp;A513, TDrate!F:F&amp;TDrate!H:H, TDrate!C:C), "N/A")</f>
        <v>3.7199999999999997E-2</v>
      </c>
      <c r="I513" cm="1">
        <f t="array" ref="I513">IFERROR(_xlfn.XLOOKUP(C513&amp;A513, TDrate!F:F&amp;TDrate!H:H, TDrate!E:E), "N/A")</f>
        <v>3.09E-2</v>
      </c>
      <c r="J513" cm="1">
        <f t="array" ref="J513">IFERROR(_xlfn.XLOOKUP(C513&amp;A513, Inside5!B:B&amp;Inside5!I:I, Inside5!F:F), 0)</f>
        <v>1</v>
      </c>
      <c r="K513" cm="1">
        <f t="array" ref="K513">IFERROR(_xlfn.XLOOKUP(C513&amp;A513, Inside5!B:B&amp;Inside5!I:I, Inside5!G:G), 0)</f>
        <v>2</v>
      </c>
      <c r="L513" cm="1">
        <f t="array" ref="L513">IFERROR(_xlfn.XLOOKUP(C513&amp;A513, Inside5!B:B&amp;Inside5!I:I, Inside5!H:H), 0)</f>
        <v>0</v>
      </c>
      <c r="M513" cm="1">
        <f t="array" ref="M513">IFERROR(_xlfn.XLOOKUP(C513&amp;A513, TDrate!F:F&amp;TDrate!H:H, TDrate!B:B), "N/A")</f>
        <v>0</v>
      </c>
      <c r="N513" cm="1">
        <f t="array" ref="N513">IFERROR(_xlfn.XLOOKUP(C513&amp;A513, TDrate!F:F&amp;TDrate!H:H, TDrate!D:D), "N/A")</f>
        <v>2.0799999999999999E-2</v>
      </c>
    </row>
    <row r="514" spans="1:14" x14ac:dyDescent="0.45">
      <c r="A514" s="5">
        <v>2022</v>
      </c>
      <c r="B514" s="6" t="s">
        <v>554</v>
      </c>
      <c r="C514" s="7" t="str">
        <f t="shared" ref="C514:C577" si="16">TRIM(LEFT(B514, LEN(B514) - LEN(TRIM(RIGHT(SUBSTITUTE(TRIM(B514)," ",REPT(" ",100)),100)))))</f>
        <v>Austin Ekeler</v>
      </c>
      <c r="D514" s="7" t="str">
        <f t="shared" ref="D514:D577" si="17">MID(B514, FIND("(", B514) + 1, FIND(")", B514) - FIND("(", B514) - 1)</f>
        <v>LAC</v>
      </c>
      <c r="E514" cm="1">
        <f t="array" aca="1" ref="E514" ca="1">IFERROR(_xlfn.XLOOKUP(C514&amp;A514, Inside5!B:B&amp;Inside5!I:I, Inside5!C:C), 0)</f>
        <v>10</v>
      </c>
      <c r="F514" cm="1">
        <f t="array" aca="1" ref="F514" ca="1">IFERROR(_xlfn.XLOOKUP(C514&amp;A514, Inside5!B:B&amp;Inside5!I:I, Inside5!D:D), 0)</f>
        <v>6</v>
      </c>
      <c r="G514" cm="1">
        <f t="array" ref="G514">IFERROR(_xlfn.XLOOKUP(C514&amp;A514, Inside5!B:B&amp;Inside5!I:I, Inside5!E:E), 0)</f>
        <v>0.58799999999999997</v>
      </c>
      <c r="H514" cm="1">
        <f t="array" ref="H514">IFERROR(_xlfn.XLOOKUP(C514&amp;A514, TDrate!F:F&amp;TDrate!H:H, TDrate!C:C), "N/A")</f>
        <v>6.3399999999999998E-2</v>
      </c>
      <c r="I514" cm="1">
        <f t="array" ref="I514">IFERROR(_xlfn.XLOOKUP(C514&amp;A514, TDrate!F:F&amp;TDrate!H:H, TDrate!E:E), "N/A")</f>
        <v>5.0999999999999997E-2</v>
      </c>
      <c r="J514" cm="1">
        <f t="array" ref="J514">IFERROR(_xlfn.XLOOKUP(C514&amp;A514, Inside5!B:B&amp;Inside5!I:I, Inside5!F:F), 0)</f>
        <v>4</v>
      </c>
      <c r="K514" cm="1">
        <f t="array" ref="K514">IFERROR(_xlfn.XLOOKUP(C514&amp;A514, Inside5!B:B&amp;Inside5!I:I, Inside5!G:G), 0)</f>
        <v>4</v>
      </c>
      <c r="L514" cm="1">
        <f t="array" ref="L514">IFERROR(_xlfn.XLOOKUP(C514&amp;A514, Inside5!B:B&amp;Inside5!I:I, Inside5!H:H), 0)</f>
        <v>3</v>
      </c>
      <c r="M514" cm="1">
        <f t="array" ref="M514">IFERROR(_xlfn.XLOOKUP(C514&amp;A514, TDrate!F:F&amp;TDrate!H:H, TDrate!B:B), "N/A")</f>
        <v>3.9100000000000003E-2</v>
      </c>
      <c r="N514" cm="1">
        <f t="array" ref="N514">IFERROR(_xlfn.XLOOKUP(C514&amp;A514, TDrate!F:F&amp;TDrate!H:H, TDrate!D:D), "N/A")</f>
        <v>4.2099999999999999E-2</v>
      </c>
    </row>
    <row r="515" spans="1:14" x14ac:dyDescent="0.45">
      <c r="A515" s="8">
        <v>2022</v>
      </c>
      <c r="B515" s="9" t="s">
        <v>483</v>
      </c>
      <c r="C515" s="10" t="str">
        <f t="shared" si="16"/>
        <v>Nick Chubb</v>
      </c>
      <c r="D515" s="10" t="str">
        <f t="shared" si="17"/>
        <v>CLE</v>
      </c>
      <c r="E515" cm="1">
        <f t="array" ref="E515">IFERROR(_xlfn.XLOOKUP(C515&amp;A515, Inside5!B:B&amp;Inside5!I:I, Inside5!C:C), 0)</f>
        <v>12</v>
      </c>
      <c r="F515" cm="1">
        <f t="array" ref="F515">IFERROR(_xlfn.XLOOKUP(C515&amp;A515, Inside5!B:B&amp;Inside5!I:I, Inside5!D:D), 0)</f>
        <v>6</v>
      </c>
      <c r="G515" cm="1">
        <f t="array" ref="G515">IFERROR(_xlfn.XLOOKUP(C515&amp;A515, Inside5!B:B&amp;Inside5!I:I, Inside5!E:E), 0)</f>
        <v>0.70599999999999996</v>
      </c>
      <c r="H515" cm="1">
        <f t="array" ref="H515">IFERROR(_xlfn.XLOOKUP(C515&amp;A515, TDrate!F:F&amp;TDrate!H:H, TDrate!C:C), "N/A")</f>
        <v>3.9699999999999999E-2</v>
      </c>
      <c r="I515" cm="1">
        <f t="array" ref="I515">IFERROR(_xlfn.XLOOKUP(C515&amp;A515, TDrate!F:F&amp;TDrate!H:H, TDrate!E:E), "N/A")</f>
        <v>3.3000000000000002E-2</v>
      </c>
      <c r="J515" cm="1">
        <f t="array" ref="J515">IFERROR(_xlfn.XLOOKUP(C515&amp;A515, Inside5!B:B&amp;Inside5!I:I, Inside5!F:F), 0)</f>
        <v>0</v>
      </c>
      <c r="K515" cm="1">
        <f t="array" ref="K515">IFERROR(_xlfn.XLOOKUP(C515&amp;A515, Inside5!B:B&amp;Inside5!I:I, Inside5!G:G), 0)</f>
        <v>0</v>
      </c>
      <c r="L515" cm="1">
        <f t="array" ref="L515">IFERROR(_xlfn.XLOOKUP(C515&amp;A515, Inside5!B:B&amp;Inside5!I:I, Inside5!H:H), 0)</f>
        <v>0</v>
      </c>
      <c r="M515" cm="1">
        <f t="array" ref="M515">IFERROR(_xlfn.XLOOKUP(C515&amp;A515, TDrate!F:F&amp;TDrate!H:H, TDrate!B:B), "N/A")</f>
        <v>2.7E-2</v>
      </c>
      <c r="N515" cm="1">
        <f t="array" ref="N515">IFERROR(_xlfn.XLOOKUP(C515&amp;A515, TDrate!F:F&amp;TDrate!H:H, TDrate!D:D), "N/A")</f>
        <v>2.2200000000000001E-2</v>
      </c>
    </row>
    <row r="516" spans="1:14" x14ac:dyDescent="0.45">
      <c r="A516" s="5">
        <v>2022</v>
      </c>
      <c r="B516" s="6" t="s">
        <v>547</v>
      </c>
      <c r="C516" s="7" t="str">
        <f t="shared" si="16"/>
        <v>Saquon Barkley</v>
      </c>
      <c r="D516" s="7" t="str">
        <f t="shared" si="17"/>
        <v>NYG</v>
      </c>
      <c r="E516" cm="1">
        <f t="array" ref="E516">IFERROR(_xlfn.XLOOKUP(C516&amp;A516, Inside5!B:B&amp;Inside5!I:I, Inside5!C:C), 0)</f>
        <v>15</v>
      </c>
      <c r="F516" cm="1">
        <f t="array" ref="F516">IFERROR(_xlfn.XLOOKUP(C516&amp;A516, Inside5!B:B&amp;Inside5!I:I, Inside5!D:D), 0)</f>
        <v>7</v>
      </c>
      <c r="G516" cm="1">
        <f t="array" ref="G516">IFERROR(_xlfn.XLOOKUP(C516&amp;A516, Inside5!B:B&amp;Inside5!I:I, Inside5!E:E), 0)</f>
        <v>0.88200000000000001</v>
      </c>
      <c r="H516" cm="1">
        <f t="array" ref="H516">IFERROR(_xlfn.XLOOKUP(C516&amp;A516, TDrate!F:F&amp;TDrate!H:H, TDrate!C:C), "N/A")</f>
        <v>3.39E-2</v>
      </c>
      <c r="I516" cm="1">
        <f t="array" ref="I516">IFERROR(_xlfn.XLOOKUP(C516&amp;A516, TDrate!F:F&amp;TDrate!H:H, TDrate!E:E), "N/A")</f>
        <v>3.1600000000000003E-2</v>
      </c>
      <c r="J516" cm="1">
        <f t="array" ref="J516">IFERROR(_xlfn.XLOOKUP(C516&amp;A516, Inside5!B:B&amp;Inside5!I:I, Inside5!F:F), 0)</f>
        <v>0</v>
      </c>
      <c r="K516" cm="1">
        <f t="array" ref="K516">IFERROR(_xlfn.XLOOKUP(C516&amp;A516, Inside5!B:B&amp;Inside5!I:I, Inside5!G:G), 0)</f>
        <v>0</v>
      </c>
      <c r="L516" cm="1">
        <f t="array" ref="L516">IFERROR(_xlfn.XLOOKUP(C516&amp;A516, Inside5!B:B&amp;Inside5!I:I, Inside5!H:H), 0)</f>
        <v>0</v>
      </c>
      <c r="M516" cm="1">
        <f t="array" ref="M516">IFERROR(_xlfn.XLOOKUP(C516&amp;A516, TDrate!F:F&amp;TDrate!H:H, TDrate!B:B), "N/A")</f>
        <v>0</v>
      </c>
      <c r="N516" cm="1">
        <f t="array" ref="N516">IFERROR(_xlfn.XLOOKUP(C516&amp;A516, TDrate!F:F&amp;TDrate!H:H, TDrate!D:D), "N/A")</f>
        <v>4.5999999999999999E-3</v>
      </c>
    </row>
    <row r="517" spans="1:14" x14ac:dyDescent="0.45">
      <c r="A517" s="8">
        <v>2022</v>
      </c>
      <c r="B517" s="9" t="s">
        <v>634</v>
      </c>
      <c r="C517" s="10" t="str">
        <f t="shared" si="16"/>
        <v>Jamaal Williams</v>
      </c>
      <c r="D517" s="10" t="str">
        <f t="shared" si="17"/>
        <v>DET</v>
      </c>
      <c r="E517" cm="1">
        <f t="array" aca="1" ref="E517" ca="1">IFERROR(_xlfn.XLOOKUP(C517&amp;A517, Inside5!B:B&amp;Inside5!I:I, Inside5!C:C), 0)</f>
        <v>29</v>
      </c>
      <c r="F517" cm="1">
        <f t="array" aca="1" ref="F517" ca="1">IFERROR(_xlfn.XLOOKUP(C517&amp;A517, Inside5!B:B&amp;Inside5!I:I, Inside5!D:D), 0)</f>
        <v>12</v>
      </c>
      <c r="G517" cm="1">
        <f t="array" ref="G517">IFERROR(_xlfn.XLOOKUP(C517&amp;A517, Inside5!B:B&amp;Inside5!I:I, Inside5!E:E), 0)</f>
        <v>0.85299999999999998</v>
      </c>
      <c r="H517" cm="1">
        <f t="array" ref="H517">IFERROR(_xlfn.XLOOKUP(C517&amp;A517, TDrate!F:F&amp;TDrate!H:H, TDrate!C:C), "N/A")</f>
        <v>6.4600000000000005E-2</v>
      </c>
      <c r="I517" cm="1">
        <f t="array" ref="I517">IFERROR(_xlfn.XLOOKUP(C517&amp;A517, TDrate!F:F&amp;TDrate!H:H, TDrate!E:E), "N/A")</f>
        <v>6.2899999999999998E-2</v>
      </c>
      <c r="J517" cm="1">
        <f t="array" ref="J517">IFERROR(_xlfn.XLOOKUP(C517&amp;A517, Inside5!B:B&amp;Inside5!I:I, Inside5!F:F), 0)</f>
        <v>0</v>
      </c>
      <c r="K517" cm="1">
        <f t="array" ref="K517">IFERROR(_xlfn.XLOOKUP(C517&amp;A517, Inside5!B:B&amp;Inside5!I:I, Inside5!G:G), 0)</f>
        <v>0</v>
      </c>
      <c r="L517" cm="1">
        <f t="array" ref="L517">IFERROR(_xlfn.XLOOKUP(C517&amp;A517, Inside5!B:B&amp;Inside5!I:I, Inside5!H:H), 0)</f>
        <v>0</v>
      </c>
      <c r="M517" cm="1">
        <f t="array" ref="M517">IFERROR(_xlfn.XLOOKUP(C517&amp;A517, TDrate!F:F&amp;TDrate!H:H, TDrate!B:B), "N/A")</f>
        <v>0</v>
      </c>
      <c r="N517" cm="1">
        <f t="array" ref="N517">IFERROR(_xlfn.XLOOKUP(C517&amp;A517, TDrate!F:F&amp;TDrate!H:H, TDrate!D:D), "N/A")</f>
        <v>1.01E-2</v>
      </c>
    </row>
    <row r="518" spans="1:14" x14ac:dyDescent="0.45">
      <c r="A518" s="5">
        <v>2022</v>
      </c>
      <c r="B518" s="6" t="s">
        <v>549</v>
      </c>
      <c r="C518" s="7" t="str">
        <f t="shared" si="16"/>
        <v>Tony Pollard</v>
      </c>
      <c r="D518" s="7" t="str">
        <f t="shared" si="17"/>
        <v>DAL</v>
      </c>
      <c r="E518" cm="1">
        <f t="array" aca="1" ref="E518" ca="1">IFERROR(_xlfn.XLOOKUP(C518&amp;A518, Inside5!B:B&amp;Inside5!I:I, Inside5!C:C), 0)</f>
        <v>7</v>
      </c>
      <c r="F518" cm="1">
        <f t="array" aca="1" ref="F518" ca="1">IFERROR(_xlfn.XLOOKUP(C518&amp;A518, Inside5!B:B&amp;Inside5!I:I, Inside5!D:D), 0)</f>
        <v>2</v>
      </c>
      <c r="G518" cm="1">
        <f t="array" ref="G518">IFERROR(_xlfn.XLOOKUP(C518&amp;A518, Inside5!B:B&amp;Inside5!I:I, Inside5!E:E), 0)</f>
        <v>0.26900000000000002</v>
      </c>
      <c r="H518" cm="1">
        <f t="array" ref="H518">IFERROR(_xlfn.XLOOKUP(C518&amp;A518, TDrate!F:F&amp;TDrate!H:H, TDrate!C:C), "N/A")</f>
        <v>4.6600000000000003E-2</v>
      </c>
      <c r="I518" cm="1">
        <f t="array" ref="I518">IFERROR(_xlfn.XLOOKUP(C518&amp;A518, TDrate!F:F&amp;TDrate!H:H, TDrate!E:E), "N/A")</f>
        <v>3.5400000000000001E-2</v>
      </c>
      <c r="J518" cm="1">
        <f t="array" ref="J518">IFERROR(_xlfn.XLOOKUP(C518&amp;A518, Inside5!B:B&amp;Inside5!I:I, Inside5!F:F), 0)</f>
        <v>0</v>
      </c>
      <c r="K518" cm="1">
        <f t="array" ref="K518">IFERROR(_xlfn.XLOOKUP(C518&amp;A518, Inside5!B:B&amp;Inside5!I:I, Inside5!G:G), 0)</f>
        <v>0</v>
      </c>
      <c r="L518" cm="1">
        <f t="array" ref="L518">IFERROR(_xlfn.XLOOKUP(C518&amp;A518, Inside5!B:B&amp;Inside5!I:I, Inside5!H:H), 0)</f>
        <v>0</v>
      </c>
      <c r="M518" cm="1">
        <f t="array" ref="M518">IFERROR(_xlfn.XLOOKUP(C518&amp;A518, TDrate!F:F&amp;TDrate!H:H, TDrate!B:B), "N/A")</f>
        <v>5.45E-2</v>
      </c>
      <c r="N518" cm="1">
        <f t="array" ref="N518">IFERROR(_xlfn.XLOOKUP(C518&amp;A518, TDrate!F:F&amp;TDrate!H:H, TDrate!D:D), "N/A")</f>
        <v>4.3900000000000002E-2</v>
      </c>
    </row>
    <row r="519" spans="1:14" x14ac:dyDescent="0.45">
      <c r="A519" s="8">
        <v>2022</v>
      </c>
      <c r="B519" s="9" t="s">
        <v>635</v>
      </c>
      <c r="C519" s="10" t="str">
        <f t="shared" si="16"/>
        <v>Dalvin Cook</v>
      </c>
      <c r="D519" s="10" t="str">
        <f t="shared" si="17"/>
        <v>MIN</v>
      </c>
      <c r="E519" cm="1">
        <f t="array" ref="E519">IFERROR(_xlfn.XLOOKUP(C519&amp;A519, Inside5!B:B&amp;Inside5!I:I, Inside5!C:C), 0)</f>
        <v>16</v>
      </c>
      <c r="F519" cm="1">
        <f t="array" ref="F519">IFERROR(_xlfn.XLOOKUP(C519&amp;A519, Inside5!B:B&amp;Inside5!I:I, Inside5!D:D), 0)</f>
        <v>6</v>
      </c>
      <c r="G519" cm="1">
        <f t="array" ref="G519">IFERROR(_xlfn.XLOOKUP(C519&amp;A519, Inside5!B:B&amp;Inside5!I:I, Inside5!E:E), 0)</f>
        <v>0.8</v>
      </c>
      <c r="H519" cm="1">
        <f t="array" ref="H519">IFERROR(_xlfn.XLOOKUP(C519&amp;A519, TDrate!F:F&amp;TDrate!H:H, TDrate!C:C), "N/A")</f>
        <v>3.0200000000000001E-2</v>
      </c>
      <c r="I519" cm="1">
        <f t="array" ref="I519">IFERROR(_xlfn.XLOOKUP(C519&amp;A519, TDrate!F:F&amp;TDrate!H:H, TDrate!E:E), "N/A")</f>
        <v>3.3000000000000002E-2</v>
      </c>
      <c r="J519" cm="1">
        <f t="array" ref="J519">IFERROR(_xlfn.XLOOKUP(C519&amp;A519, Inside5!B:B&amp;Inside5!I:I, Inside5!F:F), 0)</f>
        <v>0</v>
      </c>
      <c r="K519" cm="1">
        <f t="array" ref="K519">IFERROR(_xlfn.XLOOKUP(C519&amp;A519, Inside5!B:B&amp;Inside5!I:I, Inside5!G:G), 0)</f>
        <v>1</v>
      </c>
      <c r="L519" cm="1">
        <f t="array" ref="L519">IFERROR(_xlfn.XLOOKUP(C519&amp;A519, Inside5!B:B&amp;Inside5!I:I, Inside5!H:H), 0)</f>
        <v>0</v>
      </c>
      <c r="M519" cm="1">
        <f t="array" ref="M519">IFERROR(_xlfn.XLOOKUP(C519&amp;A519, TDrate!F:F&amp;TDrate!H:H, TDrate!B:B), "N/A")</f>
        <v>3.5700000000000003E-2</v>
      </c>
      <c r="N519" cm="1">
        <f t="array" ref="N519">IFERROR(_xlfn.XLOOKUP(C519&amp;A519, TDrate!F:F&amp;TDrate!H:H, TDrate!D:D), "N/A")</f>
        <v>3.7900000000000003E-2</v>
      </c>
    </row>
    <row r="520" spans="1:14" x14ac:dyDescent="0.45">
      <c r="A520" s="5">
        <v>2022</v>
      </c>
      <c r="B520" s="6" t="s">
        <v>636</v>
      </c>
      <c r="C520" s="7" t="str">
        <f t="shared" si="16"/>
        <v>Miles Sanders</v>
      </c>
      <c r="D520" s="7" t="str">
        <f t="shared" si="17"/>
        <v>PHI</v>
      </c>
      <c r="E520" cm="1">
        <f t="array" aca="1" ref="E520" ca="1">IFERROR(_xlfn.XLOOKUP(C520&amp;A520, Inside5!B:B&amp;Inside5!I:I, Inside5!C:C), 0)</f>
        <v>13</v>
      </c>
      <c r="F520" cm="1">
        <f t="array" aca="1" ref="F520" ca="1">IFERROR(_xlfn.XLOOKUP(C520&amp;A520, Inside5!B:B&amp;Inside5!I:I, Inside5!D:D), 0)</f>
        <v>7</v>
      </c>
      <c r="G520" cm="1">
        <f t="array" ref="G520">IFERROR(_xlfn.XLOOKUP(C520&amp;A520, Inside5!B:B&amp;Inside5!I:I, Inside5!E:E), 0)</f>
        <v>0.59099999999999997</v>
      </c>
      <c r="H520" cm="1">
        <f t="array" ref="H520">IFERROR(_xlfn.XLOOKUP(C520&amp;A520, TDrate!F:F&amp;TDrate!H:H, TDrate!C:C), "N/A")</f>
        <v>4.2500000000000003E-2</v>
      </c>
      <c r="I520" cm="1">
        <f t="array" ref="I520">IFERROR(_xlfn.XLOOKUP(C520&amp;A520, TDrate!F:F&amp;TDrate!H:H, TDrate!E:E), "N/A")</f>
        <v>3.8800000000000001E-2</v>
      </c>
      <c r="J520" cm="1">
        <f t="array" ref="J520">IFERROR(_xlfn.XLOOKUP(C520&amp;A520, Inside5!B:B&amp;Inside5!I:I, Inside5!F:F), 0)</f>
        <v>0</v>
      </c>
      <c r="K520" cm="1">
        <f t="array" aca="1" ref="K520" ca="1">IFERROR(_xlfn.XLOOKUP(C520&amp;A520, Inside5!B:B&amp;Inside5!I:I, Inside5!G:G), 0)</f>
        <v>0</v>
      </c>
      <c r="L520" cm="1">
        <f t="array" ref="L520">IFERROR(_xlfn.XLOOKUP(C520&amp;A520, Inside5!B:B&amp;Inside5!I:I, Inside5!H:H), 0)</f>
        <v>0</v>
      </c>
      <c r="M520" cm="1">
        <f t="array" ref="M520">IFERROR(_xlfn.XLOOKUP(C520&amp;A520, TDrate!F:F&amp;TDrate!H:H, TDrate!B:B), "N/A")</f>
        <v>0</v>
      </c>
      <c r="N520" cm="1">
        <f t="array" ref="N520">IFERROR(_xlfn.XLOOKUP(C520&amp;A520, TDrate!F:F&amp;TDrate!H:H, TDrate!D:D), "N/A")</f>
        <v>1.5E-3</v>
      </c>
    </row>
    <row r="521" spans="1:14" x14ac:dyDescent="0.45">
      <c r="A521" s="8">
        <v>2022</v>
      </c>
      <c r="B521" s="9" t="s">
        <v>556</v>
      </c>
      <c r="C521" s="10" t="str">
        <f t="shared" si="16"/>
        <v>Aaron Jones Sr.</v>
      </c>
      <c r="D521" s="10" t="str">
        <f t="shared" si="17"/>
        <v>GB</v>
      </c>
      <c r="E521" cm="1">
        <f t="array" ref="E521">IFERROR(_xlfn.XLOOKUP(C521&amp;A521, Inside5!B:B&amp;Inside5!I:I, Inside5!C:C), 0)</f>
        <v>2</v>
      </c>
      <c r="F521" cm="1">
        <f t="array" ref="F521">IFERROR(_xlfn.XLOOKUP(C521&amp;A521, Inside5!B:B&amp;Inside5!I:I, Inside5!D:D), 0)</f>
        <v>0</v>
      </c>
      <c r="G521" cm="1">
        <f t="array" ref="G521">IFERROR(_xlfn.XLOOKUP(C521&amp;A521, Inside5!B:B&amp;Inside5!I:I, Inside5!E:E), 0)</f>
        <v>0.182</v>
      </c>
      <c r="H521" cm="1">
        <f t="array" ref="H521">IFERROR(_xlfn.XLOOKUP(C521&amp;A521, TDrate!F:F&amp;TDrate!H:H, TDrate!C:C), "N/A")</f>
        <v>9.4000000000000004E-3</v>
      </c>
      <c r="I521" cm="1">
        <f t="array" ref="I521">IFERROR(_xlfn.XLOOKUP(C521&amp;A521, TDrate!F:F&amp;TDrate!H:H, TDrate!E:E), "N/A")</f>
        <v>1.35E-2</v>
      </c>
      <c r="J521" cm="1">
        <f t="array" ref="J521">IFERROR(_xlfn.XLOOKUP(C521&amp;A521, Inside5!B:B&amp;Inside5!I:I, Inside5!F:F), 0)</f>
        <v>2</v>
      </c>
      <c r="K521" cm="1">
        <f t="array" ref="K521">IFERROR(_xlfn.XLOOKUP(C521&amp;A521, Inside5!B:B&amp;Inside5!I:I, Inside5!G:G), 0)</f>
        <v>2</v>
      </c>
      <c r="L521" cm="1">
        <f t="array" ref="L521">IFERROR(_xlfn.XLOOKUP(C521&amp;A521, Inside5!B:B&amp;Inside5!I:I, Inside5!H:H), 0)</f>
        <v>1</v>
      </c>
      <c r="M521" cm="1">
        <f t="array" ref="M521">IFERROR(_xlfn.XLOOKUP(C521&amp;A521, TDrate!F:F&amp;TDrate!H:H, TDrate!B:B), "N/A")</f>
        <v>6.9400000000000003E-2</v>
      </c>
      <c r="N521" cm="1">
        <f t="array" ref="N521">IFERROR(_xlfn.XLOOKUP(C521&amp;A521, TDrate!F:F&amp;TDrate!H:H, TDrate!D:D), "N/A")</f>
        <v>5.2699999999999997E-2</v>
      </c>
    </row>
    <row r="522" spans="1:14" x14ac:dyDescent="0.45">
      <c r="A522" s="5">
        <v>2022</v>
      </c>
      <c r="B522" s="6" t="s">
        <v>471</v>
      </c>
      <c r="C522" s="7" t="str">
        <f t="shared" si="16"/>
        <v>Najee Harris</v>
      </c>
      <c r="D522" s="7" t="str">
        <f t="shared" si="17"/>
        <v>PIT</v>
      </c>
      <c r="E522" cm="1">
        <f t="array" ref="E522">IFERROR(_xlfn.XLOOKUP(C522&amp;A522, Inside5!B:B&amp;Inside5!I:I, Inside5!C:C), 0)</f>
        <v>9</v>
      </c>
      <c r="F522" cm="1">
        <f t="array" ref="F522">IFERROR(_xlfn.XLOOKUP(C522&amp;A522, Inside5!B:B&amp;Inside5!I:I, Inside5!D:D), 0)</f>
        <v>3</v>
      </c>
      <c r="G522" cm="1">
        <f t="array" ref="G522">IFERROR(_xlfn.XLOOKUP(C522&amp;A522, Inside5!B:B&amp;Inside5!I:I, Inside5!E:E), 0)</f>
        <v>0.81799999999999995</v>
      </c>
      <c r="H522" cm="1">
        <f t="array" ref="H522">IFERROR(_xlfn.XLOOKUP(C522&amp;A522, TDrate!F:F&amp;TDrate!H:H, TDrate!C:C), "N/A")</f>
        <v>2.5700000000000001E-2</v>
      </c>
      <c r="I522" cm="1">
        <f t="array" ref="I522">IFERROR(_xlfn.XLOOKUP(C522&amp;A522, TDrate!F:F&amp;TDrate!H:H, TDrate!E:E), "N/A")</f>
        <v>2.7300000000000001E-2</v>
      </c>
      <c r="J522" cm="1">
        <f t="array" ref="J522">IFERROR(_xlfn.XLOOKUP(C522&amp;A522, Inside5!B:B&amp;Inside5!I:I, Inside5!F:F), 0)</f>
        <v>1</v>
      </c>
      <c r="K522" cm="1">
        <f t="array" aca="1" ref="K522" ca="1">IFERROR(_xlfn.XLOOKUP(C522&amp;A522, Inside5!B:B&amp;Inside5!I:I, Inside5!G:G), 0)</f>
        <v>1</v>
      </c>
      <c r="L522" cm="1">
        <f t="array" ref="L522">IFERROR(_xlfn.XLOOKUP(C522&amp;A522, Inside5!B:B&amp;Inside5!I:I, Inside5!H:H), 0)</f>
        <v>1</v>
      </c>
      <c r="M522" cm="1">
        <f t="array" ref="M522">IFERROR(_xlfn.XLOOKUP(C522&amp;A522, TDrate!F:F&amp;TDrate!H:H, TDrate!B:B), "N/A")</f>
        <v>5.6599999999999998E-2</v>
      </c>
      <c r="N522" cm="1">
        <f t="array" ref="N522">IFERROR(_xlfn.XLOOKUP(C522&amp;A522, TDrate!F:F&amp;TDrate!H:H, TDrate!D:D), "N/A")</f>
        <v>4.7100000000000003E-2</v>
      </c>
    </row>
    <row r="523" spans="1:14" x14ac:dyDescent="0.45">
      <c r="A523" s="8">
        <v>2022</v>
      </c>
      <c r="B523" s="9" t="s">
        <v>546</v>
      </c>
      <c r="C523" s="10" t="str">
        <f t="shared" si="16"/>
        <v>Joe Mixon</v>
      </c>
      <c r="D523" s="10" t="str">
        <f t="shared" si="17"/>
        <v>CIN</v>
      </c>
      <c r="E523" cm="1">
        <f t="array" aca="1" ref="E523" ca="1">IFERROR(_xlfn.XLOOKUP(C523&amp;A523, Inside5!B:B&amp;Inside5!I:I, Inside5!C:C), 0)</f>
        <v>16</v>
      </c>
      <c r="F523" cm="1">
        <f t="array" aca="1" ref="F523" ca="1">IFERROR(_xlfn.XLOOKUP(C523&amp;A523, Inside5!B:B&amp;Inside5!I:I, Inside5!D:D), 0)</f>
        <v>5</v>
      </c>
      <c r="G523" cm="1">
        <f t="array" ref="G523">IFERROR(_xlfn.XLOOKUP(C523&amp;A523, Inside5!B:B&amp;Inside5!I:I, Inside5!E:E), 0)</f>
        <v>0.94099999999999995</v>
      </c>
      <c r="H523" cm="1">
        <f t="array" ref="H523">IFERROR(_xlfn.XLOOKUP(C523&amp;A523, TDrate!F:F&amp;TDrate!H:H, TDrate!C:C), "N/A")</f>
        <v>3.3000000000000002E-2</v>
      </c>
      <c r="I523" cm="1">
        <f t="array" ref="I523">IFERROR(_xlfn.XLOOKUP(C523&amp;A523, TDrate!F:F&amp;TDrate!H:H, TDrate!E:E), "N/A")</f>
        <v>3.8800000000000001E-2</v>
      </c>
      <c r="J523" cm="1">
        <f t="array" ref="J523">IFERROR(_xlfn.XLOOKUP(C523&amp;A523, Inside5!B:B&amp;Inside5!I:I, Inside5!F:F), 0)</f>
        <v>1</v>
      </c>
      <c r="K523" cm="1">
        <f t="array" aca="1" ref="K523" ca="1">IFERROR(_xlfn.XLOOKUP(C523&amp;A523, Inside5!B:B&amp;Inside5!I:I, Inside5!G:G), 0)</f>
        <v>3</v>
      </c>
      <c r="L523" cm="1">
        <f t="array" ref="L523">IFERROR(_xlfn.XLOOKUP(C523&amp;A523, Inside5!B:B&amp;Inside5!I:I, Inside5!H:H), 0)</f>
        <v>0</v>
      </c>
      <c r="M523" cm="1">
        <f t="array" ref="M523">IFERROR(_xlfn.XLOOKUP(C523&amp;A523, TDrate!F:F&amp;TDrate!H:H, TDrate!B:B), "N/A")</f>
        <v>2.6700000000000002E-2</v>
      </c>
      <c r="N523" cm="1">
        <f t="array" ref="N523">IFERROR(_xlfn.XLOOKUP(C523&amp;A523, TDrate!F:F&amp;TDrate!H:H, TDrate!D:D), "N/A")</f>
        <v>3.5499999999999997E-2</v>
      </c>
    </row>
    <row r="524" spans="1:14" x14ac:dyDescent="0.45">
      <c r="A524" s="5">
        <v>2022</v>
      </c>
      <c r="B524" s="6" t="s">
        <v>330</v>
      </c>
      <c r="C524" s="7" t="str">
        <f t="shared" si="16"/>
        <v>Rhamondre Stevenson</v>
      </c>
      <c r="D524" s="7" t="str">
        <f t="shared" si="17"/>
        <v>NE</v>
      </c>
      <c r="E524" cm="1">
        <f t="array" ref="E524">IFERROR(_xlfn.XLOOKUP(C524&amp;A524, Inside5!B:B&amp;Inside5!I:I, Inside5!C:C), 0)</f>
        <v>12</v>
      </c>
      <c r="F524" cm="1">
        <f t="array" aca="1" ref="F524" ca="1">IFERROR(_xlfn.XLOOKUP(C524&amp;A524, Inside5!B:B&amp;Inside5!I:I, Inside5!D:D), 0)</f>
        <v>2</v>
      </c>
      <c r="G524" cm="1">
        <f t="array" ref="G524">IFERROR(_xlfn.XLOOKUP(C524&amp;A524, Inside5!B:B&amp;Inside5!I:I, Inside5!E:E), 0)</f>
        <v>0.66700000000000004</v>
      </c>
      <c r="H524" cm="1">
        <f t="array" ref="H524">IFERROR(_xlfn.XLOOKUP(C524&amp;A524, TDrate!F:F&amp;TDrate!H:H, TDrate!C:C), "N/A")</f>
        <v>2.3800000000000002E-2</v>
      </c>
      <c r="I524" cm="1">
        <f t="array" ref="I524">IFERROR(_xlfn.XLOOKUP(C524&amp;A524, TDrate!F:F&amp;TDrate!H:H, TDrate!E:E), "N/A")</f>
        <v>2.87E-2</v>
      </c>
      <c r="J524" cm="1">
        <f t="array" ref="J524">IFERROR(_xlfn.XLOOKUP(C524&amp;A524, Inside5!B:B&amp;Inside5!I:I, Inside5!F:F), 0)</f>
        <v>1</v>
      </c>
      <c r="K524" cm="1">
        <f t="array" aca="1" ref="K524" ca="1">IFERROR(_xlfn.XLOOKUP(C524&amp;A524, Inside5!B:B&amp;Inside5!I:I, Inside5!G:G), 0)</f>
        <v>1</v>
      </c>
      <c r="L524" cm="1">
        <f t="array" ref="L524">IFERROR(_xlfn.XLOOKUP(C524&amp;A524, Inside5!B:B&amp;Inside5!I:I, Inside5!H:H), 0)</f>
        <v>1</v>
      </c>
      <c r="M524" cm="1">
        <f t="array" ref="M524">IFERROR(_xlfn.XLOOKUP(C524&amp;A524, TDrate!F:F&amp;TDrate!H:H, TDrate!B:B), "N/A")</f>
        <v>1.11E-2</v>
      </c>
      <c r="N524" cm="1">
        <f t="array" ref="N524">IFERROR(_xlfn.XLOOKUP(C524&amp;A524, TDrate!F:F&amp;TDrate!H:H, TDrate!D:D), "N/A")</f>
        <v>1.5599999999999999E-2</v>
      </c>
    </row>
    <row r="525" spans="1:14" x14ac:dyDescent="0.45">
      <c r="A525" s="8">
        <v>2022</v>
      </c>
      <c r="B525" s="9" t="s">
        <v>312</v>
      </c>
      <c r="C525" s="10" t="str">
        <f t="shared" si="16"/>
        <v>Kenneth Walker III</v>
      </c>
      <c r="D525" s="10" t="str">
        <f t="shared" si="17"/>
        <v>SEA</v>
      </c>
      <c r="E525" cm="1">
        <f t="array" ref="E525">IFERROR(_xlfn.XLOOKUP(C525&amp;A525, Inside5!B:B&amp;Inside5!I:I, Inside5!C:C), 0)</f>
        <v>6</v>
      </c>
      <c r="F525" cm="1">
        <f t="array" ref="F525">IFERROR(_xlfn.XLOOKUP(C525&amp;A525, Inside5!B:B&amp;Inside5!I:I, Inside5!D:D), 0)</f>
        <v>2</v>
      </c>
      <c r="G525" cm="1">
        <f t="array" ref="G525">IFERROR(_xlfn.XLOOKUP(C525&amp;A525, Inside5!B:B&amp;Inside5!I:I, Inside5!E:E), 0)</f>
        <v>1</v>
      </c>
      <c r="H525" cm="1">
        <f t="array" ref="H525">IFERROR(_xlfn.XLOOKUP(C525&amp;A525, TDrate!F:F&amp;TDrate!H:H, TDrate!C:C), "N/A")</f>
        <v>3.95E-2</v>
      </c>
      <c r="I525" cm="1">
        <f t="array" ref="I525">IFERROR(_xlfn.XLOOKUP(C525&amp;A525, TDrate!F:F&amp;TDrate!H:H, TDrate!E:E), "N/A")</f>
        <v>3.5400000000000001E-2</v>
      </c>
      <c r="J525" cm="1">
        <f t="array" ref="J525">IFERROR(_xlfn.XLOOKUP(C525&amp;A525, Inside5!B:B&amp;Inside5!I:I, Inside5!F:F), 0)</f>
        <v>0</v>
      </c>
      <c r="K525" cm="1">
        <f t="array" ref="K525">IFERROR(_xlfn.XLOOKUP(C525&amp;A525, Inside5!B:B&amp;Inside5!I:I, Inside5!G:G), 0)</f>
        <v>0</v>
      </c>
      <c r="L525" cm="1">
        <f t="array" ref="L525">IFERROR(_xlfn.XLOOKUP(C525&amp;A525, Inside5!B:B&amp;Inside5!I:I, Inside5!H:H), 0)</f>
        <v>0</v>
      </c>
      <c r="M525" cm="1">
        <f t="array" ref="M525">IFERROR(_xlfn.XLOOKUP(C525&amp;A525, TDrate!F:F&amp;TDrate!H:H, TDrate!B:B), "N/A")</f>
        <v>0</v>
      </c>
      <c r="N525" cm="1">
        <f t="array" ref="N525">IFERROR(_xlfn.XLOOKUP(C525&amp;A525, TDrate!F:F&amp;TDrate!H:H, TDrate!D:D), "N/A")</f>
        <v>3.3999999999999998E-3</v>
      </c>
    </row>
    <row r="526" spans="1:14" x14ac:dyDescent="0.45">
      <c r="A526" s="5">
        <v>2022</v>
      </c>
      <c r="B526" s="6" t="s">
        <v>307</v>
      </c>
      <c r="C526" s="7" t="str">
        <f t="shared" si="16"/>
        <v>Travis Etienne Jr.</v>
      </c>
      <c r="D526" s="7" t="str">
        <f t="shared" si="17"/>
        <v>JAC</v>
      </c>
      <c r="E526" cm="1">
        <f t="array" aca="1" ref="E526" ca="1">IFERROR(_xlfn.XLOOKUP(C526&amp;A526, Inside5!B:B&amp;Inside5!I:I, Inside5!C:C), 0)</f>
        <v>13</v>
      </c>
      <c r="F526" cm="1">
        <f t="array" aca="1" ref="F526" ca="1">IFERROR(_xlfn.XLOOKUP(C526&amp;A526, Inside5!B:B&amp;Inside5!I:I, Inside5!D:D), 0)</f>
        <v>3</v>
      </c>
      <c r="G526" cm="1">
        <f t="array" ref="G526">IFERROR(_xlfn.XLOOKUP(C526&amp;A526, Inside5!B:B&amp;Inside5!I:I, Inside5!E:E), 0)</f>
        <v>0.76500000000000001</v>
      </c>
      <c r="H526" cm="1">
        <f t="array" ref="H526">IFERROR(_xlfn.XLOOKUP(C526&amp;A526, TDrate!F:F&amp;TDrate!H:H, TDrate!C:C), "N/A")</f>
        <v>2.2700000000000001E-2</v>
      </c>
      <c r="I526" cm="1">
        <f t="array" ref="I526">IFERROR(_xlfn.XLOOKUP(C526&amp;A526, TDrate!F:F&amp;TDrate!H:H, TDrate!E:E), "N/A")</f>
        <v>2.9600000000000001E-2</v>
      </c>
      <c r="J526" cm="1">
        <f t="array" ref="J526">IFERROR(_xlfn.XLOOKUP(C526&amp;A526, Inside5!B:B&amp;Inside5!I:I, Inside5!F:F), 0)</f>
        <v>0</v>
      </c>
      <c r="K526" cm="1">
        <f t="array" ref="K526">IFERROR(_xlfn.XLOOKUP(C526&amp;A526, Inside5!B:B&amp;Inside5!I:I, Inside5!G:G), 0)</f>
        <v>1</v>
      </c>
      <c r="L526" cm="1">
        <f t="array" ref="L526">IFERROR(_xlfn.XLOOKUP(C526&amp;A526, Inside5!B:B&amp;Inside5!I:I, Inside5!H:H), 0)</f>
        <v>0</v>
      </c>
      <c r="M526" cm="1">
        <f t="array" ref="M526">IFERROR(_xlfn.XLOOKUP(C526&amp;A526, TDrate!F:F&amp;TDrate!H:H, TDrate!B:B), "N/A")</f>
        <v>0</v>
      </c>
      <c r="N526" cm="1">
        <f t="array" ref="N526">IFERROR(_xlfn.XLOOKUP(C526&amp;A526, TDrate!F:F&amp;TDrate!H:H, TDrate!D:D), "N/A")</f>
        <v>1.5299999999999999E-2</v>
      </c>
    </row>
    <row r="527" spans="1:14" x14ac:dyDescent="0.45">
      <c r="A527" s="8">
        <v>2022</v>
      </c>
      <c r="B527" s="9" t="s">
        <v>488</v>
      </c>
      <c r="C527" s="10" t="str">
        <f t="shared" si="16"/>
        <v>Ezekiel Elliott</v>
      </c>
      <c r="D527" s="10" t="str">
        <f t="shared" si="17"/>
        <v>DAL</v>
      </c>
      <c r="E527" cm="1">
        <f t="array" aca="1" ref="E527" ca="1">IFERROR(_xlfn.XLOOKUP(C527&amp;A527, Inside5!B:B&amp;Inside5!I:I, Inside5!C:C), 0)</f>
        <v>19</v>
      </c>
      <c r="F527" cm="1">
        <f t="array" aca="1" ref="F527" ca="1">IFERROR(_xlfn.XLOOKUP(C527&amp;A527, Inside5!B:B&amp;Inside5!I:I, Inside5!D:D), 0)</f>
        <v>9</v>
      </c>
      <c r="G527" cm="1">
        <f t="array" ref="G527">IFERROR(_xlfn.XLOOKUP(C527&amp;A527, Inside5!B:B&amp;Inside5!I:I, Inside5!E:E), 0)</f>
        <v>0.73099999999999998</v>
      </c>
      <c r="H527" cm="1">
        <f t="array" ref="H527">IFERROR(_xlfn.XLOOKUP(C527&amp;A527, TDrate!F:F&amp;TDrate!H:H, TDrate!C:C), "N/A")</f>
        <v>5.1900000000000002E-2</v>
      </c>
      <c r="I527" cm="1">
        <f t="array" ref="I527">IFERROR(_xlfn.XLOOKUP(C527&amp;A527, TDrate!F:F&amp;TDrate!H:H, TDrate!E:E), "N/A")</f>
        <v>4.7199999999999999E-2</v>
      </c>
      <c r="J527" cm="1">
        <f t="array" ref="J527">IFERROR(_xlfn.XLOOKUP(C527&amp;A527, Inside5!B:B&amp;Inside5!I:I, Inside5!F:F), 0)</f>
        <v>0</v>
      </c>
      <c r="K527" cm="1">
        <f t="array" ref="K527">IFERROR(_xlfn.XLOOKUP(C527&amp;A527, Inside5!B:B&amp;Inside5!I:I, Inside5!G:G), 0)</f>
        <v>0</v>
      </c>
      <c r="L527" cm="1">
        <f t="array" ref="L527">IFERROR(_xlfn.XLOOKUP(C527&amp;A527, Inside5!B:B&amp;Inside5!I:I, Inside5!H:H), 0)</f>
        <v>0</v>
      </c>
      <c r="M527" cm="1">
        <f t="array" ref="M527">IFERROR(_xlfn.XLOOKUP(C527&amp;A527, TDrate!F:F&amp;TDrate!H:H, TDrate!B:B), "N/A")</f>
        <v>0</v>
      </c>
      <c r="N527" cm="1">
        <f t="array" ref="N527">IFERROR(_xlfn.XLOOKUP(C527&amp;A527, TDrate!F:F&amp;TDrate!H:H, TDrate!D:D), "N/A")</f>
        <v>8.6999999999999994E-3</v>
      </c>
    </row>
    <row r="528" spans="1:14" x14ac:dyDescent="0.45">
      <c r="A528" s="5">
        <v>2022</v>
      </c>
      <c r="B528" s="6" t="s">
        <v>342</v>
      </c>
      <c r="C528" s="7" t="str">
        <f t="shared" si="16"/>
        <v>Alvin Kamara</v>
      </c>
      <c r="D528" s="7" t="str">
        <f t="shared" si="17"/>
        <v>NO</v>
      </c>
      <c r="E528" cm="1">
        <f t="array" aca="1" ref="E528" ca="1">IFERROR(_xlfn.XLOOKUP(C528&amp;A528, Inside5!B:B&amp;Inside5!I:I, Inside5!C:C), 0)</f>
        <v>4</v>
      </c>
      <c r="F528" cm="1">
        <f t="array" aca="1" ref="F528" ca="1">IFERROR(_xlfn.XLOOKUP(C528&amp;A528, Inside5!B:B&amp;Inside5!I:I, Inside5!D:D), 0)</f>
        <v>2</v>
      </c>
      <c r="G528" cm="1">
        <f t="array" ref="G528">IFERROR(_xlfn.XLOOKUP(C528&amp;A528, Inside5!B:B&amp;Inside5!I:I, Inside5!E:E), 0)</f>
        <v>0.66700000000000004</v>
      </c>
      <c r="H528" cm="1">
        <f t="array" ref="H528">IFERROR(_xlfn.XLOOKUP(C528&amp;A528, TDrate!F:F&amp;TDrate!H:H, TDrate!C:C), "N/A")</f>
        <v>8.9999999999999993E-3</v>
      </c>
      <c r="I528" cm="1">
        <f t="array" ref="I528">IFERROR(_xlfn.XLOOKUP(C528&amp;A528, TDrate!F:F&amp;TDrate!H:H, TDrate!E:E), "N/A")</f>
        <v>1.2500000000000001E-2</v>
      </c>
      <c r="J528" cm="1">
        <f t="array" ref="J528">IFERROR(_xlfn.XLOOKUP(C528&amp;A528, Inside5!B:B&amp;Inside5!I:I, Inside5!F:F), 0)</f>
        <v>0</v>
      </c>
      <c r="K528" cm="1">
        <f t="array" ref="K528">IFERROR(_xlfn.XLOOKUP(C528&amp;A528, Inside5!B:B&amp;Inside5!I:I, Inside5!G:G), 0)</f>
        <v>0</v>
      </c>
      <c r="L528" cm="1">
        <f t="array" ref="L528">IFERROR(_xlfn.XLOOKUP(C528&amp;A528, Inside5!B:B&amp;Inside5!I:I, Inside5!H:H), 0)</f>
        <v>0</v>
      </c>
      <c r="M528" cm="1">
        <f t="array" ref="M528">IFERROR(_xlfn.XLOOKUP(C528&amp;A528, TDrate!F:F&amp;TDrate!H:H, TDrate!B:B), "N/A")</f>
        <v>2.5600000000000001E-2</v>
      </c>
      <c r="N528" cm="1">
        <f t="array" ref="N528">IFERROR(_xlfn.XLOOKUP(C528&amp;A528, TDrate!F:F&amp;TDrate!H:H, TDrate!D:D), "N/A")</f>
        <v>2.2499999999999999E-2</v>
      </c>
    </row>
    <row r="529" spans="1:14" x14ac:dyDescent="0.45">
      <c r="A529" s="8">
        <v>2022</v>
      </c>
      <c r="B529" s="9" t="s">
        <v>379</v>
      </c>
      <c r="C529" s="10" t="str">
        <f t="shared" si="16"/>
        <v>James Conner</v>
      </c>
      <c r="D529" s="10" t="str">
        <f t="shared" si="17"/>
        <v>ARI</v>
      </c>
      <c r="E529" cm="1">
        <f t="array" aca="1" ref="E529" ca="1">IFERROR(_xlfn.XLOOKUP(C529&amp;A529, Inside5!B:B&amp;Inside5!I:I, Inside5!C:C), 0)</f>
        <v>8</v>
      </c>
      <c r="F529" cm="1">
        <f t="array" aca="1" ref="F529" ca="1">IFERROR(_xlfn.XLOOKUP(C529&amp;A529, Inside5!B:B&amp;Inside5!I:I, Inside5!D:D), 0)</f>
        <v>4</v>
      </c>
      <c r="G529" cm="1">
        <f t="array" ref="G529">IFERROR(_xlfn.XLOOKUP(C529&amp;A529, Inside5!B:B&amp;Inside5!I:I, Inside5!E:E), 0)</f>
        <v>0.57099999999999995</v>
      </c>
      <c r="H529" cm="1">
        <f t="array" ref="H529">IFERROR(_xlfn.XLOOKUP(C529&amp;A529, TDrate!F:F&amp;TDrate!H:H, TDrate!C:C), "N/A")</f>
        <v>3.8300000000000001E-2</v>
      </c>
      <c r="I529" cm="1">
        <f t="array" ref="I529">IFERROR(_xlfn.XLOOKUP(C529&amp;A529, TDrate!F:F&amp;TDrate!H:H, TDrate!E:E), "N/A")</f>
        <v>3.32E-2</v>
      </c>
      <c r="J529" cm="1">
        <f t="array" ref="J529">IFERROR(_xlfn.XLOOKUP(C529&amp;A529, Inside5!B:B&amp;Inside5!I:I, Inside5!F:F), 0)</f>
        <v>0</v>
      </c>
      <c r="K529" cm="1">
        <f t="array" ref="K529">IFERROR(_xlfn.XLOOKUP(C529&amp;A529, Inside5!B:B&amp;Inside5!I:I, Inside5!G:G), 0)</f>
        <v>1</v>
      </c>
      <c r="L529" cm="1">
        <f t="array" ref="L529">IFERROR(_xlfn.XLOOKUP(C529&amp;A529, Inside5!B:B&amp;Inside5!I:I, Inside5!H:H), 0)</f>
        <v>0</v>
      </c>
      <c r="M529" cm="1">
        <f t="array" ref="M529">IFERROR(_xlfn.XLOOKUP(C529&amp;A529, TDrate!F:F&amp;TDrate!H:H, TDrate!B:B), "N/A")</f>
        <v>1.72E-2</v>
      </c>
      <c r="N529" cm="1">
        <f t="array" ref="N529">IFERROR(_xlfn.XLOOKUP(C529&amp;A529, TDrate!F:F&amp;TDrate!H:H, TDrate!D:D), "N/A")</f>
        <v>1.8100000000000002E-2</v>
      </c>
    </row>
    <row r="530" spans="1:14" x14ac:dyDescent="0.45">
      <c r="A530" s="5">
        <v>2022</v>
      </c>
      <c r="B530" s="6" t="s">
        <v>637</v>
      </c>
      <c r="C530" s="7" t="str">
        <f t="shared" si="16"/>
        <v>Leonard Fournette</v>
      </c>
      <c r="D530" s="7" t="str">
        <f t="shared" si="17"/>
        <v>TB</v>
      </c>
      <c r="E530" cm="1">
        <f t="array" ref="E530">IFERROR(_xlfn.XLOOKUP(C530&amp;A530, Inside5!B:B&amp;Inside5!I:I, Inside5!C:C), 0)</f>
        <v>11</v>
      </c>
      <c r="F530" cm="1">
        <f t="array" ref="F530">IFERROR(_xlfn.XLOOKUP(C530&amp;A530, Inside5!B:B&amp;Inside5!I:I, Inside5!D:D), 0)</f>
        <v>3</v>
      </c>
      <c r="G530" cm="1">
        <f t="array" ref="G530">IFERROR(_xlfn.XLOOKUP(C530&amp;A530, Inside5!B:B&amp;Inside5!I:I, Inside5!E:E), 0)</f>
        <v>0.78600000000000003</v>
      </c>
      <c r="H530" cm="1">
        <f t="array" ref="H530">IFERROR(_xlfn.XLOOKUP(C530&amp;A530, TDrate!F:F&amp;TDrate!H:H, TDrate!C:C), "N/A")</f>
        <v>1.5900000000000001E-2</v>
      </c>
      <c r="I530" cm="1">
        <f t="array" ref="I530">IFERROR(_xlfn.XLOOKUP(C530&amp;A530, TDrate!F:F&amp;TDrate!H:H, TDrate!E:E), "N/A")</f>
        <v>2.52E-2</v>
      </c>
      <c r="J530" cm="1">
        <f t="array" ref="J530">IFERROR(_xlfn.XLOOKUP(C530&amp;A530, Inside5!B:B&amp;Inside5!I:I, Inside5!F:F), 0)</f>
        <v>3</v>
      </c>
      <c r="K530" cm="1">
        <f t="array" ref="K530">IFERROR(_xlfn.XLOOKUP(C530&amp;A530, Inside5!B:B&amp;Inside5!I:I, Inside5!G:G), 0)</f>
        <v>3</v>
      </c>
      <c r="L530" cm="1">
        <f t="array" ref="L530">IFERROR(_xlfn.XLOOKUP(C530&amp;A530, Inside5!B:B&amp;Inside5!I:I, Inside5!H:H), 0)</f>
        <v>2</v>
      </c>
      <c r="M530" cm="1">
        <f t="array" ref="M530">IFERROR(_xlfn.XLOOKUP(C530&amp;A530, TDrate!F:F&amp;TDrate!H:H, TDrate!B:B), "N/A")</f>
        <v>3.61E-2</v>
      </c>
      <c r="N530" cm="1">
        <f t="array" ref="N530">IFERROR(_xlfn.XLOOKUP(C530&amp;A530, TDrate!F:F&amp;TDrate!H:H, TDrate!D:D), "N/A")</f>
        <v>3.4200000000000001E-2</v>
      </c>
    </row>
    <row r="531" spans="1:14" x14ac:dyDescent="0.45">
      <c r="A531" s="8">
        <v>2022</v>
      </c>
      <c r="B531" s="9" t="s">
        <v>638</v>
      </c>
      <c r="C531" s="10" t="str">
        <f t="shared" si="16"/>
        <v>David Montgomery</v>
      </c>
      <c r="D531" s="10" t="str">
        <f t="shared" si="17"/>
        <v>CHI</v>
      </c>
      <c r="E531" cm="1">
        <f t="array" aca="1" ref="E531" ca="1">IFERROR(_xlfn.XLOOKUP(C531&amp;A531, Inside5!B:B&amp;Inside5!I:I, Inside5!C:C), 0)</f>
        <v>4</v>
      </c>
      <c r="F531" cm="1">
        <f t="array" aca="1" ref="F531" ca="1">IFERROR(_xlfn.XLOOKUP(C531&amp;A531, Inside5!B:B&amp;Inside5!I:I, Inside5!D:D), 0)</f>
        <v>2</v>
      </c>
      <c r="G531" cm="1">
        <f t="array" ref="G531">IFERROR(_xlfn.XLOOKUP(C531&amp;A531, Inside5!B:B&amp;Inside5!I:I, Inside5!E:E), 0)</f>
        <v>0.28599999999999998</v>
      </c>
      <c r="H531" cm="1">
        <f t="array" ref="H531">IFERROR(_xlfn.XLOOKUP(C531&amp;A531, TDrate!F:F&amp;TDrate!H:H, TDrate!C:C), "N/A")</f>
        <v>2.4899999999999999E-2</v>
      </c>
      <c r="I531" cm="1">
        <f t="array" ref="I531">IFERROR(_xlfn.XLOOKUP(C531&amp;A531, TDrate!F:F&amp;TDrate!H:H, TDrate!E:E), "N/A")</f>
        <v>2.3699999999999999E-2</v>
      </c>
      <c r="J531" cm="1">
        <f t="array" ref="J531">IFERROR(_xlfn.XLOOKUP(C531&amp;A531, Inside5!B:B&amp;Inside5!I:I, Inside5!F:F), 0)</f>
        <v>0</v>
      </c>
      <c r="K531" cm="1">
        <f t="array" ref="K531">IFERROR(_xlfn.XLOOKUP(C531&amp;A531, Inside5!B:B&amp;Inside5!I:I, Inside5!G:G), 0)</f>
        <v>0</v>
      </c>
      <c r="L531" cm="1">
        <f t="array" ref="L531">IFERROR(_xlfn.XLOOKUP(C531&amp;A531, Inside5!B:B&amp;Inside5!I:I, Inside5!H:H), 0)</f>
        <v>0</v>
      </c>
      <c r="M531" cm="1">
        <f t="array" ref="M531">IFERROR(_xlfn.XLOOKUP(C531&amp;A531, TDrate!F:F&amp;TDrate!H:H, TDrate!B:B), "N/A")</f>
        <v>2.5000000000000001E-2</v>
      </c>
      <c r="N531" cm="1">
        <f t="array" ref="N531">IFERROR(_xlfn.XLOOKUP(C531&amp;A531, TDrate!F:F&amp;TDrate!H:H, TDrate!D:D), "N/A")</f>
        <v>0.02</v>
      </c>
    </row>
    <row r="532" spans="1:14" x14ac:dyDescent="0.45">
      <c r="A532" s="5">
        <v>2022</v>
      </c>
      <c r="B532" s="6" t="s">
        <v>337</v>
      </c>
      <c r="C532" s="7" t="str">
        <f t="shared" si="16"/>
        <v>Tyler Allgeier</v>
      </c>
      <c r="D532" s="7" t="str">
        <f t="shared" si="17"/>
        <v>ATL</v>
      </c>
      <c r="E532" cm="1">
        <f t="array" ref="E532">IFERROR(_xlfn.XLOOKUP(C532&amp;A532, Inside5!B:B&amp;Inside5!I:I, Inside5!C:C), 0)</f>
        <v>9</v>
      </c>
      <c r="F532" cm="1">
        <f t="array" ref="F532">IFERROR(_xlfn.XLOOKUP(C532&amp;A532, Inside5!B:B&amp;Inside5!I:I, Inside5!D:D), 0)</f>
        <v>3</v>
      </c>
      <c r="G532" cm="1">
        <f t="array" ref="G532">IFERROR(_xlfn.XLOOKUP(C532&amp;A532, Inside5!B:B&amp;Inside5!I:I, Inside5!E:E), 0)</f>
        <v>0.47399999999999998</v>
      </c>
      <c r="H532" cm="1">
        <f t="array" ref="H532">IFERROR(_xlfn.XLOOKUP(C532&amp;A532, TDrate!F:F&amp;TDrate!H:H, TDrate!C:C), "N/A")</f>
        <v>1.43E-2</v>
      </c>
      <c r="I532" cm="1">
        <f t="array" ref="I532">IFERROR(_xlfn.XLOOKUP(C532&amp;A532, TDrate!F:F&amp;TDrate!H:H, TDrate!E:E), "N/A")</f>
        <v>2.29E-2</v>
      </c>
      <c r="J532" cm="1">
        <f t="array" ref="J532">IFERROR(_xlfn.XLOOKUP(C532&amp;A532, Inside5!B:B&amp;Inside5!I:I, Inside5!F:F), 0)</f>
        <v>0</v>
      </c>
      <c r="K532" cm="1">
        <f t="array" ref="K532">IFERROR(_xlfn.XLOOKUP(C532&amp;A532, Inside5!B:B&amp;Inside5!I:I, Inside5!G:G), 0)</f>
        <v>0</v>
      </c>
      <c r="L532" cm="1">
        <f t="array" ref="L532">IFERROR(_xlfn.XLOOKUP(C532&amp;A532, Inside5!B:B&amp;Inside5!I:I, Inside5!H:H), 0)</f>
        <v>0</v>
      </c>
      <c r="M532" cm="1">
        <f t="array" ref="M532">IFERROR(_xlfn.XLOOKUP(C532&amp;A532, TDrate!F:F&amp;TDrate!H:H, TDrate!B:B), "N/A")</f>
        <v>5.8799999999999998E-2</v>
      </c>
      <c r="N532" cm="1">
        <f t="array" ref="N532">IFERROR(_xlfn.XLOOKUP(C532&amp;A532, TDrate!F:F&amp;TDrate!H:H, TDrate!D:D), "N/A")</f>
        <v>3.4799999999999998E-2</v>
      </c>
    </row>
    <row r="533" spans="1:14" x14ac:dyDescent="0.45">
      <c r="A533" s="8">
        <v>2022</v>
      </c>
      <c r="B533" s="9" t="s">
        <v>639</v>
      </c>
      <c r="C533" s="10" t="str">
        <f t="shared" si="16"/>
        <v>D'Andre Swift</v>
      </c>
      <c r="D533" s="10" t="str">
        <f t="shared" si="17"/>
        <v>DET</v>
      </c>
      <c r="E533" cm="1">
        <f t="array" aca="1" ref="E533" ca="1">IFERROR(_xlfn.XLOOKUP(C533&amp;A533, Inside5!B:B&amp;Inside5!I:I, Inside5!C:C), 0)</f>
        <v>4</v>
      </c>
      <c r="F533" cm="1">
        <f t="array" aca="1" ref="F533" ca="1">IFERROR(_xlfn.XLOOKUP(C533&amp;A533, Inside5!B:B&amp;Inside5!I:I, Inside5!D:D), 0)</f>
        <v>2</v>
      </c>
      <c r="G533" cm="1">
        <f t="array" ref="G533">IFERROR(_xlfn.XLOOKUP(C533&amp;A533, Inside5!B:B&amp;Inside5!I:I, Inside5!E:E), 0)</f>
        <v>0.11799999999999999</v>
      </c>
      <c r="H533" cm="1">
        <f t="array" ref="H533">IFERROR(_xlfn.XLOOKUP(C533&amp;A533, TDrate!F:F&amp;TDrate!H:H, TDrate!C:C), "N/A")</f>
        <v>4.9500000000000002E-2</v>
      </c>
      <c r="I533" cm="1">
        <f t="array" ref="I533">IFERROR(_xlfn.XLOOKUP(C533&amp;A533, TDrate!F:F&amp;TDrate!H:H, TDrate!E:E), "N/A")</f>
        <v>4.1599999999999998E-2</v>
      </c>
      <c r="J533" cm="1">
        <f t="array" ref="J533">IFERROR(_xlfn.XLOOKUP(C533&amp;A533, Inside5!B:B&amp;Inside5!I:I, Inside5!F:F), 0)</f>
        <v>0</v>
      </c>
      <c r="K533" cm="1">
        <f t="array" aca="1" ref="K533" ca="1">IFERROR(_xlfn.XLOOKUP(C533&amp;A533, Inside5!B:B&amp;Inside5!I:I, Inside5!G:G), 0)</f>
        <v>1</v>
      </c>
      <c r="L533" cm="1">
        <f t="array" aca="1" ref="L533" ca="1">IFERROR(_xlfn.XLOOKUP(C533&amp;A533, Inside5!B:B&amp;Inside5!I:I, Inside5!H:H), 0)</f>
        <v>0</v>
      </c>
      <c r="M533" cm="1">
        <f t="array" ref="M533">IFERROR(_xlfn.XLOOKUP(C533&amp;A533, TDrate!F:F&amp;TDrate!H:H, TDrate!B:B), "N/A")</f>
        <v>4.2900000000000001E-2</v>
      </c>
      <c r="N533" cm="1">
        <f t="array" ref="N533">IFERROR(_xlfn.XLOOKUP(C533&amp;A533, TDrate!F:F&amp;TDrate!H:H, TDrate!D:D), "N/A")</f>
        <v>3.8100000000000002E-2</v>
      </c>
    </row>
    <row r="534" spans="1:14" x14ac:dyDescent="0.45">
      <c r="A534" s="5">
        <v>2022</v>
      </c>
      <c r="B534" s="6" t="s">
        <v>565</v>
      </c>
      <c r="C534" s="7" t="str">
        <f t="shared" si="16"/>
        <v>Jerick McKinnon</v>
      </c>
      <c r="D534" s="7" t="str">
        <f t="shared" si="17"/>
        <v>KC</v>
      </c>
      <c r="E534" cm="1">
        <f t="array" aca="1" ref="E534" ca="1">IFERROR(_xlfn.XLOOKUP(C534&amp;A534, Inside5!B:B&amp;Inside5!I:I, Inside5!C:C), 0)</f>
        <v>5</v>
      </c>
      <c r="F534" cm="1">
        <f t="array" aca="1" ref="F534" ca="1">IFERROR(_xlfn.XLOOKUP(C534&amp;A534, Inside5!B:B&amp;Inside5!I:I, Inside5!D:D), 0)</f>
        <v>0</v>
      </c>
      <c r="G534" cm="1">
        <f t="array" ref="G534">IFERROR(_xlfn.XLOOKUP(C534&amp;A534, Inside5!B:B&amp;Inside5!I:I, Inside5!E:E), 0)</f>
        <v>0.27800000000000002</v>
      </c>
      <c r="H534" cm="1">
        <f t="array" ref="H534">IFERROR(_xlfn.XLOOKUP(C534&amp;A534, TDrate!F:F&amp;TDrate!H:H, TDrate!C:C), "N/A")</f>
        <v>1.3899999999999999E-2</v>
      </c>
      <c r="I534" cm="1">
        <f t="array" ref="I534">IFERROR(_xlfn.XLOOKUP(C534&amp;A534, TDrate!F:F&amp;TDrate!H:H, TDrate!E:E), "N/A")</f>
        <v>2.9100000000000001E-2</v>
      </c>
      <c r="J534" cm="1">
        <f t="array" ref="J534">IFERROR(_xlfn.XLOOKUP(C534&amp;A534, Inside5!B:B&amp;Inside5!I:I, Inside5!F:F), 0)</f>
        <v>3</v>
      </c>
      <c r="K534" cm="1">
        <f t="array" ref="K534">IFERROR(_xlfn.XLOOKUP(C534&amp;A534, Inside5!B:B&amp;Inside5!I:I, Inside5!G:G), 0)</f>
        <v>3</v>
      </c>
      <c r="L534" cm="1">
        <f t="array" ref="L534">IFERROR(_xlfn.XLOOKUP(C534&amp;A534, Inside5!B:B&amp;Inside5!I:I, Inside5!H:H), 0)</f>
        <v>2</v>
      </c>
      <c r="M534" cm="1">
        <f t="array" ref="M534">IFERROR(_xlfn.XLOOKUP(C534&amp;A534, TDrate!F:F&amp;TDrate!H:H, TDrate!B:B), "N/A")</f>
        <v>0.1268</v>
      </c>
      <c r="N534" cm="1">
        <f t="array" ref="N534">IFERROR(_xlfn.XLOOKUP(C534&amp;A534, TDrate!F:F&amp;TDrate!H:H, TDrate!D:D), "N/A")</f>
        <v>9.6299999999999997E-2</v>
      </c>
    </row>
    <row r="535" spans="1:14" x14ac:dyDescent="0.45">
      <c r="A535" s="8">
        <v>2022</v>
      </c>
      <c r="B535" s="9" t="s">
        <v>640</v>
      </c>
      <c r="C535" s="10" t="str">
        <f t="shared" si="16"/>
        <v>Devin Singletary</v>
      </c>
      <c r="D535" s="10" t="str">
        <f t="shared" si="17"/>
        <v>BUF</v>
      </c>
      <c r="E535" cm="1">
        <f t="array" ref="E535">IFERROR(_xlfn.XLOOKUP(C535&amp;A535, Inside5!B:B&amp;Inside5!I:I, Inside5!C:C), 0)</f>
        <v>9</v>
      </c>
      <c r="F535" cm="1">
        <f t="array" ref="F535">IFERROR(_xlfn.XLOOKUP(C535&amp;A535, Inside5!B:B&amp;Inside5!I:I, Inside5!D:D), 0)</f>
        <v>4</v>
      </c>
      <c r="G535" cm="1">
        <f t="array" ref="G535">IFERROR(_xlfn.XLOOKUP(C535&amp;A535, Inside5!B:B&amp;Inside5!I:I, Inside5!E:E), 0)</f>
        <v>0.81799999999999995</v>
      </c>
      <c r="H535" cm="1">
        <f t="array" ref="H535">IFERROR(_xlfn.XLOOKUP(C535&amp;A535, TDrate!F:F&amp;TDrate!H:H, TDrate!C:C), "N/A")</f>
        <v>2.81E-2</v>
      </c>
      <c r="I535" cm="1">
        <f t="array" ref="I535">IFERROR(_xlfn.XLOOKUP(C535&amp;A535, TDrate!F:F&amp;TDrate!H:H, TDrate!E:E), "N/A")</f>
        <v>3.1699999999999999E-2</v>
      </c>
      <c r="J535" cm="1">
        <f t="array" ref="J535">IFERROR(_xlfn.XLOOKUP(C535&amp;A535, Inside5!B:B&amp;Inside5!I:I, Inside5!F:F), 0)</f>
        <v>1</v>
      </c>
      <c r="K535" cm="1">
        <f t="array" aca="1" ref="K535" ca="1">IFERROR(_xlfn.XLOOKUP(C535&amp;A535, Inside5!B:B&amp;Inside5!I:I, Inside5!G:G), 0)</f>
        <v>2</v>
      </c>
      <c r="L535" cm="1">
        <f t="array" ref="L535">IFERROR(_xlfn.XLOOKUP(C535&amp;A535, Inside5!B:B&amp;Inside5!I:I, Inside5!H:H), 0)</f>
        <v>1</v>
      </c>
      <c r="M535" cm="1">
        <f t="array" ref="M535">IFERROR(_xlfn.XLOOKUP(C535&amp;A535, TDrate!F:F&amp;TDrate!H:H, TDrate!B:B), "N/A")</f>
        <v>1.89E-2</v>
      </c>
      <c r="N535" cm="1">
        <f t="array" ref="N535">IFERROR(_xlfn.XLOOKUP(C535&amp;A535, TDrate!F:F&amp;TDrate!H:H, TDrate!D:D), "N/A")</f>
        <v>2.8199999999999999E-2</v>
      </c>
    </row>
    <row r="536" spans="1:14" x14ac:dyDescent="0.45">
      <c r="A536" s="5">
        <v>2022</v>
      </c>
      <c r="B536" s="6" t="s">
        <v>559</v>
      </c>
      <c r="C536" s="7" t="str">
        <f t="shared" si="16"/>
        <v>AJ Dillon</v>
      </c>
      <c r="D536" s="7" t="str">
        <f t="shared" si="17"/>
        <v>GB</v>
      </c>
      <c r="E536" cm="1">
        <f t="array" ref="E536">IFERROR(_xlfn.XLOOKUP(C536&amp;A536, Inside5!B:B&amp;Inside5!I:I, Inside5!C:C), 0)</f>
        <v>9</v>
      </c>
      <c r="F536" cm="1">
        <f t="array" ref="F536">IFERROR(_xlfn.XLOOKUP(C536&amp;A536, Inside5!B:B&amp;Inside5!I:I, Inside5!D:D), 0)</f>
        <v>4</v>
      </c>
      <c r="G536" cm="1">
        <f t="array" ref="G536">IFERROR(_xlfn.XLOOKUP(C536&amp;A536, Inside5!B:B&amp;Inside5!I:I, Inside5!E:E), 0)</f>
        <v>0.81799999999999995</v>
      </c>
      <c r="H536" cm="1">
        <f t="array" ref="H536">IFERROR(_xlfn.XLOOKUP(C536&amp;A536, TDrate!F:F&amp;TDrate!H:H, TDrate!C:C), "N/A")</f>
        <v>3.7600000000000001E-2</v>
      </c>
      <c r="I536" cm="1">
        <f t="array" ref="I536">IFERROR(_xlfn.XLOOKUP(C536&amp;A536, TDrate!F:F&amp;TDrate!H:H, TDrate!E:E), "N/A")</f>
        <v>3.5299999999999998E-2</v>
      </c>
      <c r="J536" cm="1">
        <f t="array" ref="J536">IFERROR(_xlfn.XLOOKUP(C536&amp;A536, Inside5!B:B&amp;Inside5!I:I, Inside5!F:F), 0)</f>
        <v>0</v>
      </c>
      <c r="K536" cm="1">
        <f t="array" aca="1" ref="K536" ca="1">IFERROR(_xlfn.XLOOKUP(C536&amp;A536, Inside5!B:B&amp;Inside5!I:I, Inside5!G:G), 0)</f>
        <v>0</v>
      </c>
      <c r="L536" cm="1">
        <f t="array" ref="L536">IFERROR(_xlfn.XLOOKUP(C536&amp;A536, Inside5!B:B&amp;Inside5!I:I, Inside5!H:H), 0)</f>
        <v>0</v>
      </c>
      <c r="M536" cm="1">
        <f t="array" ref="M536">IFERROR(_xlfn.XLOOKUP(C536&amp;A536, TDrate!F:F&amp;TDrate!H:H, TDrate!B:B), "N/A")</f>
        <v>0</v>
      </c>
      <c r="N536" cm="1">
        <f t="array" ref="N536">IFERROR(_xlfn.XLOOKUP(C536&amp;A536, TDrate!F:F&amp;TDrate!H:H, TDrate!D:D), "N/A")</f>
        <v>1.43E-2</v>
      </c>
    </row>
    <row r="537" spans="1:14" x14ac:dyDescent="0.45">
      <c r="A537" s="8">
        <v>2022</v>
      </c>
      <c r="B537" s="9" t="s">
        <v>486</v>
      </c>
      <c r="C537" s="10" t="str">
        <f t="shared" si="16"/>
        <v>Raheem Mostert</v>
      </c>
      <c r="D537" s="10" t="str">
        <f t="shared" si="17"/>
        <v>MIA</v>
      </c>
      <c r="E537" cm="1">
        <f t="array" aca="1" ref="E537" ca="1">IFERROR(_xlfn.XLOOKUP(C537&amp;A537, Inside5!B:B&amp;Inside5!I:I, Inside5!C:C), 0)</f>
        <v>5</v>
      </c>
      <c r="F537" cm="1">
        <f t="array" aca="1" ref="F537" ca="1">IFERROR(_xlfn.XLOOKUP(C537&amp;A537, Inside5!B:B&amp;Inside5!I:I, Inside5!D:D), 0)</f>
        <v>1</v>
      </c>
      <c r="G537" cm="1">
        <f t="array" ref="G537">IFERROR(_xlfn.XLOOKUP(C537&amp;A537, Inside5!B:B&amp;Inside5!I:I, Inside5!E:E), 0)</f>
        <v>0.313</v>
      </c>
      <c r="H537" cm="1">
        <f t="array" ref="H537">IFERROR(_xlfn.XLOOKUP(C537&amp;A537, TDrate!F:F&amp;TDrate!H:H, TDrate!C:C), "N/A")</f>
        <v>1.66E-2</v>
      </c>
      <c r="I537" cm="1">
        <f t="array" ref="I537">IFERROR(_xlfn.XLOOKUP(C537&amp;A537, TDrate!F:F&amp;TDrate!H:H, TDrate!E:E), "N/A")</f>
        <v>1.83E-2</v>
      </c>
      <c r="J537" cm="1">
        <f t="array" ref="J537">IFERROR(_xlfn.XLOOKUP(C537&amp;A537, Inside5!B:B&amp;Inside5!I:I, Inside5!F:F), 0)</f>
        <v>1</v>
      </c>
      <c r="K537" cm="1">
        <f t="array" ref="K537">IFERROR(_xlfn.XLOOKUP(C537&amp;A537, Inside5!B:B&amp;Inside5!I:I, Inside5!G:G), 0)</f>
        <v>1</v>
      </c>
      <c r="L537" cm="1">
        <f t="array" ref="L537">IFERROR(_xlfn.XLOOKUP(C537&amp;A537, Inside5!B:B&amp;Inside5!I:I, Inside5!H:H), 0)</f>
        <v>1</v>
      </c>
      <c r="M537" cm="1">
        <f t="array" ref="M537">IFERROR(_xlfn.XLOOKUP(C537&amp;A537, TDrate!F:F&amp;TDrate!H:H, TDrate!B:B), "N/A")</f>
        <v>4.7600000000000003E-2</v>
      </c>
      <c r="N537" cm="1">
        <f t="array" ref="N537">IFERROR(_xlfn.XLOOKUP(C537&amp;A537, TDrate!F:F&amp;TDrate!H:H, TDrate!D:D), "N/A")</f>
        <v>4.6199999999999998E-2</v>
      </c>
    </row>
    <row r="538" spans="1:14" x14ac:dyDescent="0.45">
      <c r="A538" s="5">
        <v>2022</v>
      </c>
      <c r="B538" s="6" t="s">
        <v>453</v>
      </c>
      <c r="C538" s="7" t="str">
        <f t="shared" si="16"/>
        <v>Jeff Wilson Jr.</v>
      </c>
      <c r="D538" s="7" t="str">
        <f t="shared" si="17"/>
        <v>MIA</v>
      </c>
      <c r="E538" cm="1">
        <f t="array" ref="E538">IFERROR(_xlfn.XLOOKUP(C538&amp;A538, Inside5!B:B&amp;Inside5!I:I, Inside5!C:C), 0)</f>
        <v>9</v>
      </c>
      <c r="F538" cm="1">
        <f t="array" ref="F538">IFERROR(_xlfn.XLOOKUP(C538&amp;A538, Inside5!B:B&amp;Inside5!I:I, Inside5!D:D), 0)</f>
        <v>3</v>
      </c>
      <c r="G538" cm="1">
        <f t="array" ref="G538">IFERROR(_xlfn.XLOOKUP(C538&amp;A538, Inside5!B:B&amp;Inside5!I:I, Inside5!E:E), 0)</f>
        <v>0.56299999999999994</v>
      </c>
      <c r="H538" cm="1">
        <f t="array" ref="H538">IFERROR(_xlfn.XLOOKUP(C538&amp;A538, TDrate!F:F&amp;TDrate!H:H, TDrate!C:C), "N/A")</f>
        <v>2.8400000000000002E-2</v>
      </c>
      <c r="I538" cm="1">
        <f t="array" ref="I538">IFERROR(_xlfn.XLOOKUP(C538&amp;A538, TDrate!F:F&amp;TDrate!H:H, TDrate!E:E), "N/A")</f>
        <v>3.0099999999999998E-2</v>
      </c>
      <c r="J538" cm="1">
        <f t="array" ref="J538">IFERROR(_xlfn.XLOOKUP(C538&amp;A538, Inside5!B:B&amp;Inside5!I:I, Inside5!F:F), 0)</f>
        <v>0</v>
      </c>
      <c r="K538" cm="1">
        <f t="array" ref="K538">IFERROR(_xlfn.XLOOKUP(C538&amp;A538, Inside5!B:B&amp;Inside5!I:I, Inside5!G:G), 0)</f>
        <v>0</v>
      </c>
      <c r="L538" cm="1">
        <f t="array" ref="L538">IFERROR(_xlfn.XLOOKUP(C538&amp;A538, Inside5!B:B&amp;Inside5!I:I, Inside5!H:H), 0)</f>
        <v>0</v>
      </c>
      <c r="M538" cm="1">
        <f t="array" ref="M538">IFERROR(_xlfn.XLOOKUP(C538&amp;A538, TDrate!F:F&amp;TDrate!H:H, TDrate!B:B), "N/A")</f>
        <v>2.7E-2</v>
      </c>
      <c r="N538" cm="1">
        <f t="array" ref="N538">IFERROR(_xlfn.XLOOKUP(C538&amp;A538, TDrate!F:F&amp;TDrate!H:H, TDrate!D:D), "N/A")</f>
        <v>2.9100000000000001E-2</v>
      </c>
    </row>
    <row r="539" spans="1:14" x14ac:dyDescent="0.45">
      <c r="A539" s="8">
        <v>2022</v>
      </c>
      <c r="B539" s="9" t="s">
        <v>490</v>
      </c>
      <c r="C539" s="10" t="str">
        <f t="shared" si="16"/>
        <v>Dameon Pierce</v>
      </c>
      <c r="D539" s="10" t="str">
        <f t="shared" si="17"/>
        <v>HOU</v>
      </c>
      <c r="E539" cm="1">
        <f t="array" aca="1" ref="E539" ca="1">IFERROR(_xlfn.XLOOKUP(C539&amp;A539, Inside5!B:B&amp;Inside5!I:I, Inside5!C:C), 0)</f>
        <v>9</v>
      </c>
      <c r="F539" cm="1">
        <f t="array" aca="1" ref="F539" ca="1">IFERROR(_xlfn.XLOOKUP(C539&amp;A539, Inside5!B:B&amp;Inside5!I:I, Inside5!D:D), 0)</f>
        <v>3</v>
      </c>
      <c r="G539" cm="1">
        <f t="array" ref="G539">IFERROR(_xlfn.XLOOKUP(C539&amp;A539, Inside5!B:B&amp;Inside5!I:I, Inside5!E:E), 0)</f>
        <v>0.64300000000000002</v>
      </c>
      <c r="H539" cm="1">
        <f t="array" ref="H539">IFERROR(_xlfn.XLOOKUP(C539&amp;A539, TDrate!F:F&amp;TDrate!H:H, TDrate!C:C), "N/A")</f>
        <v>1.8200000000000001E-2</v>
      </c>
      <c r="I539" cm="1">
        <f t="array" ref="I539">IFERROR(_xlfn.XLOOKUP(C539&amp;A539, TDrate!F:F&amp;TDrate!H:H, TDrate!E:E), "N/A")</f>
        <v>2.23E-2</v>
      </c>
      <c r="J539" cm="1">
        <f t="array" ref="J539">IFERROR(_xlfn.XLOOKUP(C539&amp;A539, Inside5!B:B&amp;Inside5!I:I, Inside5!F:F), 0)</f>
        <v>1</v>
      </c>
      <c r="K539" cm="1">
        <f t="array" aca="1" ref="K539" ca="1">IFERROR(_xlfn.XLOOKUP(C539&amp;A539, Inside5!B:B&amp;Inside5!I:I, Inside5!G:G), 0)</f>
        <v>1</v>
      </c>
      <c r="L539" cm="1">
        <f t="array" ref="L539">IFERROR(_xlfn.XLOOKUP(C539&amp;A539, Inside5!B:B&amp;Inside5!I:I, Inside5!H:H), 0)</f>
        <v>1</v>
      </c>
      <c r="M539" cm="1">
        <f t="array" ref="M539">IFERROR(_xlfn.XLOOKUP(C539&amp;A539, TDrate!F:F&amp;TDrate!H:H, TDrate!B:B), "N/A")</f>
        <v>2.5600000000000001E-2</v>
      </c>
      <c r="N539" cm="1">
        <f t="array" ref="N539">IFERROR(_xlfn.XLOOKUP(C539&amp;A539, TDrate!F:F&amp;TDrate!H:H, TDrate!D:D), "N/A")</f>
        <v>2.2100000000000002E-2</v>
      </c>
    </row>
    <row r="540" spans="1:14" x14ac:dyDescent="0.45">
      <c r="A540" s="5">
        <v>2022</v>
      </c>
      <c r="B540" s="6" t="s">
        <v>571</v>
      </c>
      <c r="C540" s="7" t="str">
        <f t="shared" si="16"/>
        <v>Cordarrelle Patterson</v>
      </c>
      <c r="D540" s="7" t="str">
        <f t="shared" si="17"/>
        <v>ATL</v>
      </c>
      <c r="E540" cm="1">
        <f t="array" aca="1" ref="E540" ca="1">IFERROR(_xlfn.XLOOKUP(C540&amp;A540, Inside5!B:B&amp;Inside5!I:I, Inside5!C:C), 0)</f>
        <v>7</v>
      </c>
      <c r="F540" cm="1">
        <f t="array" aca="1" ref="F540" ca="1">IFERROR(_xlfn.XLOOKUP(C540&amp;A540, Inside5!B:B&amp;Inside5!I:I, Inside5!D:D), 0)</f>
        <v>5</v>
      </c>
      <c r="G540" cm="1">
        <f t="array" ref="G540">IFERROR(_xlfn.XLOOKUP(C540&amp;A540, Inside5!B:B&amp;Inside5!I:I, Inside5!E:E), 0)</f>
        <v>0.36799999999999999</v>
      </c>
      <c r="H540" cm="1">
        <f t="array" ref="H540">IFERROR(_xlfn.XLOOKUP(C540&amp;A540, TDrate!F:F&amp;TDrate!H:H, TDrate!C:C), "N/A")</f>
        <v>5.5599999999999997E-2</v>
      </c>
      <c r="I540" cm="1">
        <f t="array" ref="I540">IFERROR(_xlfn.XLOOKUP(C540&amp;A540, TDrate!F:F&amp;TDrate!H:H, TDrate!E:E), "N/A")</f>
        <v>4.6100000000000002E-2</v>
      </c>
      <c r="J540" cm="1">
        <f t="array" ref="J540">IFERROR(_xlfn.XLOOKUP(C540&amp;A540, Inside5!B:B&amp;Inside5!I:I, Inside5!F:F), 0)</f>
        <v>0</v>
      </c>
      <c r="K540" cm="1">
        <f t="array" ref="K540">IFERROR(_xlfn.XLOOKUP(C540&amp;A540, Inside5!B:B&amp;Inside5!I:I, Inside5!G:G), 0)</f>
        <v>1</v>
      </c>
      <c r="L540" cm="1">
        <f t="array" ref="L540">IFERROR(_xlfn.XLOOKUP(C540&amp;A540, Inside5!B:B&amp;Inside5!I:I, Inside5!H:H), 0)</f>
        <v>0</v>
      </c>
      <c r="M540" cm="1">
        <f t="array" ref="M540">IFERROR(_xlfn.XLOOKUP(C540&amp;A540, TDrate!F:F&amp;TDrate!H:H, TDrate!B:B), "N/A")</f>
        <v>0</v>
      </c>
      <c r="N540" cm="1">
        <f t="array" ref="N540">IFERROR(_xlfn.XLOOKUP(C540&amp;A540, TDrate!F:F&amp;TDrate!H:H, TDrate!D:D), "N/A")</f>
        <v>1.54E-2</v>
      </c>
    </row>
    <row r="541" spans="1:14" x14ac:dyDescent="0.45">
      <c r="A541" s="8">
        <v>2022</v>
      </c>
      <c r="B541" s="9" t="s">
        <v>641</v>
      </c>
      <c r="C541" s="10" t="str">
        <f t="shared" si="16"/>
        <v>Cam Akers</v>
      </c>
      <c r="D541" s="10" t="str">
        <f t="shared" si="17"/>
        <v>LAR</v>
      </c>
      <c r="E541" cm="1">
        <f t="array" ref="E541">IFERROR(_xlfn.XLOOKUP(C541&amp;A541, Inside5!B:B&amp;Inside5!I:I, Inside5!C:C), 0)</f>
        <v>8</v>
      </c>
      <c r="F541" cm="1">
        <f t="array" ref="F541">IFERROR(_xlfn.XLOOKUP(C541&amp;A541, Inside5!B:B&amp;Inside5!I:I, Inside5!D:D), 0)</f>
        <v>5</v>
      </c>
      <c r="G541" cm="1">
        <f t="array" ref="G541">IFERROR(_xlfn.XLOOKUP(C541&amp;A541, Inside5!B:B&amp;Inside5!I:I, Inside5!E:E), 0)</f>
        <v>0.57099999999999995</v>
      </c>
      <c r="H541" cm="1">
        <f t="array" ref="H541">IFERROR(_xlfn.XLOOKUP(C541&amp;A541, TDrate!F:F&amp;TDrate!H:H, TDrate!C:C), "N/A")</f>
        <v>3.7199999999999997E-2</v>
      </c>
      <c r="I541" cm="1">
        <f t="array" ref="I541">IFERROR(_xlfn.XLOOKUP(C541&amp;A541, TDrate!F:F&amp;TDrate!H:H, TDrate!E:E), "N/A")</f>
        <v>3.2399999999999998E-2</v>
      </c>
      <c r="J541" cm="1">
        <f t="array" ref="J541">IFERROR(_xlfn.XLOOKUP(C541&amp;A541, Inside5!B:B&amp;Inside5!I:I, Inside5!F:F), 0)</f>
        <v>1</v>
      </c>
      <c r="K541" cm="1">
        <f t="array" ref="K541">IFERROR(_xlfn.XLOOKUP(C541&amp;A541, Inside5!B:B&amp;Inside5!I:I, Inside5!G:G), 0)</f>
        <v>1</v>
      </c>
      <c r="L541" cm="1">
        <f t="array" ref="L541">IFERROR(_xlfn.XLOOKUP(C541&amp;A541, Inside5!B:B&amp;Inside5!I:I, Inside5!H:H), 0)</f>
        <v>0</v>
      </c>
      <c r="M541" cm="1">
        <f t="array" ref="M541">IFERROR(_xlfn.XLOOKUP(C541&amp;A541, TDrate!F:F&amp;TDrate!H:H, TDrate!B:B), "N/A")</f>
        <v>0</v>
      </c>
      <c r="N541" cm="1">
        <f t="array" ref="N541">IFERROR(_xlfn.XLOOKUP(C541&amp;A541, TDrate!F:F&amp;TDrate!H:H, TDrate!D:D), "N/A")</f>
        <v>2.9499999999999998E-2</v>
      </c>
    </row>
    <row r="542" spans="1:14" x14ac:dyDescent="0.45">
      <c r="A542" s="5">
        <v>2022</v>
      </c>
      <c r="B542" s="6" t="s">
        <v>642</v>
      </c>
      <c r="C542" s="7" t="str">
        <f t="shared" si="16"/>
        <v>Latavius Murray</v>
      </c>
      <c r="D542" s="7" t="str">
        <f t="shared" si="17"/>
        <v>DEN</v>
      </c>
      <c r="E542" cm="1">
        <f t="array" aca="1" ref="E542" ca="1">IFERROR(_xlfn.XLOOKUP(C542&amp;A542, Inside5!B:B&amp;Inside5!I:I, Inside5!C:C), 0)</f>
        <v>5</v>
      </c>
      <c r="F542" cm="1">
        <f t="array" aca="1" ref="F542" ca="1">IFERROR(_xlfn.XLOOKUP(C542&amp;A542, Inside5!B:B&amp;Inside5!I:I, Inside5!D:D), 0)</f>
        <v>4</v>
      </c>
      <c r="G542" cm="1">
        <f t="array" ref="G542">IFERROR(_xlfn.XLOOKUP(C542&amp;A542, Inside5!B:B&amp;Inside5!I:I, Inside5!E:E), 0)</f>
        <v>0.27800000000000002</v>
      </c>
      <c r="H542" cm="1">
        <f t="array" ref="H542">IFERROR(_xlfn.XLOOKUP(C542&amp;A542, TDrate!F:F&amp;TDrate!H:H, TDrate!C:C), "N/A")</f>
        <v>3.5099999999999999E-2</v>
      </c>
      <c r="I542" cm="1">
        <f t="array" ref="I542">IFERROR(_xlfn.XLOOKUP(C542&amp;A542, TDrate!F:F&amp;TDrate!H:H, TDrate!E:E), "N/A")</f>
        <v>2.8899999999999999E-2</v>
      </c>
      <c r="J542" cm="1">
        <f t="array" ref="J542">IFERROR(_xlfn.XLOOKUP(C542&amp;A542, Inside5!B:B&amp;Inside5!I:I, Inside5!F:F), 0)</f>
        <v>0</v>
      </c>
      <c r="K542" cm="1">
        <f t="array" ref="K542">IFERROR(_xlfn.XLOOKUP(C542&amp;A542, Inside5!B:B&amp;Inside5!I:I, Inside5!G:G), 0)</f>
        <v>0</v>
      </c>
      <c r="L542" cm="1">
        <f t="array" ref="L542">IFERROR(_xlfn.XLOOKUP(C542&amp;A542, Inside5!B:B&amp;Inside5!I:I, Inside5!H:H), 0)</f>
        <v>0</v>
      </c>
      <c r="M542" cm="1">
        <f t="array" ref="M542">IFERROR(_xlfn.XLOOKUP(C542&amp;A542, TDrate!F:F&amp;TDrate!H:H, TDrate!B:B), "N/A")</f>
        <v>0</v>
      </c>
      <c r="N542" cm="1">
        <f t="array" ref="N542">IFERROR(_xlfn.XLOOKUP(C542&amp;A542, TDrate!F:F&amp;TDrate!H:H, TDrate!D:D), "N/A")</f>
        <v>2.8E-3</v>
      </c>
    </row>
    <row r="543" spans="1:14" x14ac:dyDescent="0.45">
      <c r="A543" s="8">
        <v>2022</v>
      </c>
      <c r="B543" s="9" t="s">
        <v>643</v>
      </c>
      <c r="C543" s="10" t="str">
        <f t="shared" si="16"/>
        <v>D'Onta Foreman</v>
      </c>
      <c r="D543" s="10" t="str">
        <f t="shared" si="17"/>
        <v>CAR</v>
      </c>
      <c r="E543" cm="1">
        <f t="array" aca="1" ref="E543" ca="1">IFERROR(_xlfn.XLOOKUP(C543&amp;A543, Inside5!B:B&amp;Inside5!I:I, Inside5!C:C), 0)</f>
        <v>10</v>
      </c>
      <c r="F543" cm="1">
        <f t="array" aca="1" ref="F543" ca="1">IFERROR(_xlfn.XLOOKUP(C543&amp;A543, Inside5!B:B&amp;Inside5!I:I, Inside5!D:D), 0)</f>
        <v>3</v>
      </c>
      <c r="G543" cm="1">
        <f t="array" ref="G543">IFERROR(_xlfn.XLOOKUP(C543&amp;A543, Inside5!B:B&amp;Inside5!I:I, Inside5!E:E), 0)</f>
        <v>0.71399999999999997</v>
      </c>
      <c r="H543" cm="1">
        <f t="array" ref="H543">IFERROR(_xlfn.XLOOKUP(C543&amp;A543, TDrate!F:F&amp;TDrate!H:H, TDrate!C:C), "N/A")</f>
        <v>2.46E-2</v>
      </c>
      <c r="I543" cm="1">
        <f t="array" ref="I543">IFERROR(_xlfn.XLOOKUP(C543&amp;A543, TDrate!F:F&amp;TDrate!H:H, TDrate!E:E), "N/A")</f>
        <v>2.8000000000000001E-2</v>
      </c>
      <c r="J543" cm="1">
        <f t="array" ref="J543">IFERROR(_xlfn.XLOOKUP(C543&amp;A543, Inside5!B:B&amp;Inside5!I:I, Inside5!F:F), 0)</f>
        <v>0</v>
      </c>
      <c r="K543" cm="1">
        <f t="array" ref="K543">IFERROR(_xlfn.XLOOKUP(C543&amp;A543, Inside5!B:B&amp;Inside5!I:I, Inside5!G:G), 0)</f>
        <v>0</v>
      </c>
      <c r="L543" cm="1">
        <f t="array" ref="L543">IFERROR(_xlfn.XLOOKUP(C543&amp;A543, Inside5!B:B&amp;Inside5!I:I, Inside5!H:H), 0)</f>
        <v>0</v>
      </c>
      <c r="M543" cm="1">
        <f t="array" ref="M543">IFERROR(_xlfn.XLOOKUP(C543&amp;A543, TDrate!F:F&amp;TDrate!H:H, TDrate!B:B), "N/A")</f>
        <v>0</v>
      </c>
      <c r="N543" cm="1">
        <f t="array" ref="N543">IFERROR(_xlfn.XLOOKUP(C543&amp;A543, TDrate!F:F&amp;TDrate!H:H, TDrate!D:D), "N/A")</f>
        <v>8.0000000000000002E-3</v>
      </c>
    </row>
    <row r="544" spans="1:14" x14ac:dyDescent="0.45">
      <c r="A544" s="5">
        <v>2022</v>
      </c>
      <c r="B544" s="6" t="s">
        <v>343</v>
      </c>
      <c r="C544" s="7" t="str">
        <f t="shared" si="16"/>
        <v>Isiah Pacheco</v>
      </c>
      <c r="D544" s="7" t="str">
        <f t="shared" si="17"/>
        <v>KC</v>
      </c>
      <c r="E544" cm="1">
        <f t="array" aca="1" ref="E544" ca="1">IFERROR(_xlfn.XLOOKUP(C544&amp;A544, Inside5!B:B&amp;Inside5!I:I, Inside5!C:C), 0)</f>
        <v>9</v>
      </c>
      <c r="F544" cm="1">
        <f t="array" ref="F544">IFERROR(_xlfn.XLOOKUP(C544&amp;A544, Inside5!B:B&amp;Inside5!I:I, Inside5!D:D), 0)</f>
        <v>3</v>
      </c>
      <c r="G544" cm="1">
        <f t="array" ref="G544">IFERROR(_xlfn.XLOOKUP(C544&amp;A544, Inside5!B:B&amp;Inside5!I:I, Inside5!E:E), 0)</f>
        <v>0.5</v>
      </c>
      <c r="H544" cm="1">
        <f t="array" ref="H544">IFERROR(_xlfn.XLOOKUP(C544&amp;A544, TDrate!F:F&amp;TDrate!H:H, TDrate!C:C), "N/A")</f>
        <v>2.9399999999999999E-2</v>
      </c>
      <c r="I544" cm="1">
        <f t="array" ref="I544">IFERROR(_xlfn.XLOOKUP(C544&amp;A544, TDrate!F:F&amp;TDrate!H:H, TDrate!E:E), "N/A")</f>
        <v>3.27E-2</v>
      </c>
      <c r="J544" cm="1">
        <f t="array" ref="J544">IFERROR(_xlfn.XLOOKUP(C544&amp;A544, Inside5!B:B&amp;Inside5!I:I, Inside5!F:F), 0)</f>
        <v>0</v>
      </c>
      <c r="K544" cm="1">
        <f t="array" aca="1" ref="K544" ca="1">IFERROR(_xlfn.XLOOKUP(C544&amp;A544, Inside5!B:B&amp;Inside5!I:I, Inside5!G:G), 0)</f>
        <v>0</v>
      </c>
      <c r="L544" cm="1">
        <f t="array" ref="L544">IFERROR(_xlfn.XLOOKUP(C544&amp;A544, Inside5!B:B&amp;Inside5!I:I, Inside5!H:H), 0)</f>
        <v>0</v>
      </c>
      <c r="M544" cm="1">
        <f t="array" ref="M544">IFERROR(_xlfn.XLOOKUP(C544&amp;A544, TDrate!F:F&amp;TDrate!H:H, TDrate!B:B), "N/A")</f>
        <v>0</v>
      </c>
      <c r="N544" cm="1">
        <f t="array" ref="N544">IFERROR(_xlfn.XLOOKUP(C544&amp;A544, TDrate!F:F&amp;TDrate!H:H, TDrate!D:D), "N/A")</f>
        <v>7.4000000000000003E-3</v>
      </c>
    </row>
    <row r="545" spans="1:14" x14ac:dyDescent="0.45">
      <c r="A545" s="8">
        <v>2022</v>
      </c>
      <c r="B545" s="9" t="s">
        <v>562</v>
      </c>
      <c r="C545" s="10" t="str">
        <f t="shared" si="16"/>
        <v>Antonio Gibson</v>
      </c>
      <c r="D545" s="10" t="str">
        <f t="shared" si="17"/>
        <v>WAS</v>
      </c>
      <c r="E545" cm="1">
        <f t="array" ref="E545">IFERROR(_xlfn.XLOOKUP(C545&amp;A545, Inside5!B:B&amp;Inside5!I:I, Inside5!C:C), 0)</f>
        <v>10</v>
      </c>
      <c r="F545" cm="1">
        <f t="array" aca="1" ref="F545" ca="1">IFERROR(_xlfn.XLOOKUP(C545&amp;A545, Inside5!B:B&amp;Inside5!I:I, Inside5!D:D), 0)</f>
        <v>3</v>
      </c>
      <c r="G545" cm="1">
        <f t="array" ref="G545">IFERROR(_xlfn.XLOOKUP(C545&amp;A545, Inside5!B:B&amp;Inside5!I:I, Inside5!E:E), 0)</f>
        <v>0.52600000000000002</v>
      </c>
      <c r="H545" cm="1">
        <f t="array" ref="H545">IFERROR(_xlfn.XLOOKUP(C545&amp;A545, TDrate!F:F&amp;TDrate!H:H, TDrate!C:C), "N/A")</f>
        <v>2.01E-2</v>
      </c>
      <c r="I545" cm="1">
        <f t="array" ref="I545">IFERROR(_xlfn.XLOOKUP(C545&amp;A545, TDrate!F:F&amp;TDrate!H:H, TDrate!E:E), "N/A")</f>
        <v>2.9399999999999999E-2</v>
      </c>
      <c r="J545" cm="1">
        <f t="array" ref="J545">IFERROR(_xlfn.XLOOKUP(C545&amp;A545, Inside5!B:B&amp;Inside5!I:I, Inside5!F:F), 0)</f>
        <v>0</v>
      </c>
      <c r="K545" cm="1">
        <f t="array" ref="K545">IFERROR(_xlfn.XLOOKUP(C545&amp;A545, Inside5!B:B&amp;Inside5!I:I, Inside5!G:G), 0)</f>
        <v>0</v>
      </c>
      <c r="L545" cm="1">
        <f t="array" ref="L545">IFERROR(_xlfn.XLOOKUP(C545&amp;A545, Inside5!B:B&amp;Inside5!I:I, Inside5!H:H), 0)</f>
        <v>0</v>
      </c>
      <c r="M545" cm="1">
        <f t="array" ref="M545">IFERROR(_xlfn.XLOOKUP(C545&amp;A545, TDrate!F:F&amp;TDrate!H:H, TDrate!B:B), "N/A")</f>
        <v>3.4500000000000003E-2</v>
      </c>
      <c r="N545" cm="1">
        <f t="array" ref="N545">IFERROR(_xlfn.XLOOKUP(C545&amp;A545, TDrate!F:F&amp;TDrate!H:H, TDrate!D:D), "N/A")</f>
        <v>2.8899999999999999E-2</v>
      </c>
    </row>
    <row r="546" spans="1:14" x14ac:dyDescent="0.45">
      <c r="A546" s="5">
        <v>2022</v>
      </c>
      <c r="B546" s="6" t="s">
        <v>299</v>
      </c>
      <c r="C546" s="7" t="str">
        <f t="shared" si="16"/>
        <v>Jonathan Taylor</v>
      </c>
      <c r="D546" s="7" t="str">
        <f t="shared" si="17"/>
        <v>IND</v>
      </c>
      <c r="E546" cm="1">
        <f t="array" ref="E546">IFERROR(_xlfn.XLOOKUP(C546&amp;A546, Inside5!B:B&amp;Inside5!I:I, Inside5!C:C), 0)</f>
        <v>9</v>
      </c>
      <c r="F546" cm="1">
        <f t="array" aca="1" ref="F546" ca="1">IFERROR(_xlfn.XLOOKUP(C546&amp;A546, Inside5!B:B&amp;Inside5!I:I, Inside5!D:D), 0)</f>
        <v>3</v>
      </c>
      <c r="G546" cm="1">
        <f t="array" ref="G546">IFERROR(_xlfn.XLOOKUP(C546&amp;A546, Inside5!B:B&amp;Inside5!I:I, Inside5!E:E), 0)</f>
        <v>0.75</v>
      </c>
      <c r="H546" cm="1">
        <f t="array" ref="H546">IFERROR(_xlfn.XLOOKUP(C546&amp;A546, TDrate!F:F&amp;TDrate!H:H, TDrate!C:C), "N/A")</f>
        <v>2.0799999999999999E-2</v>
      </c>
      <c r="I546" cm="1">
        <f t="array" ref="I546">IFERROR(_xlfn.XLOOKUP(C546&amp;A546, TDrate!F:F&amp;TDrate!H:H, TDrate!E:E), "N/A")</f>
        <v>2.5600000000000001E-2</v>
      </c>
      <c r="J546" cm="1">
        <f t="array" ref="J546">IFERROR(_xlfn.XLOOKUP(C546&amp;A546, Inside5!B:B&amp;Inside5!I:I, Inside5!F:F), 0)</f>
        <v>1</v>
      </c>
      <c r="K546" cm="1">
        <f t="array" ref="K546">IFERROR(_xlfn.XLOOKUP(C546&amp;A546, Inside5!B:B&amp;Inside5!I:I, Inside5!G:G), 0)</f>
        <v>1</v>
      </c>
      <c r="L546" cm="1">
        <f t="array" ref="L546">IFERROR(_xlfn.XLOOKUP(C546&amp;A546, Inside5!B:B&amp;Inside5!I:I, Inside5!H:H), 0)</f>
        <v>0</v>
      </c>
      <c r="M546" cm="1">
        <f t="array" ref="M546">IFERROR(_xlfn.XLOOKUP(C546&amp;A546, TDrate!F:F&amp;TDrate!H:H, TDrate!B:B), "N/A")</f>
        <v>0</v>
      </c>
      <c r="N546" cm="1">
        <f t="array" ref="N546">IFERROR(_xlfn.XLOOKUP(C546&amp;A546, TDrate!F:F&amp;TDrate!H:H, TDrate!D:D), "N/A")</f>
        <v>1.0500000000000001E-2</v>
      </c>
    </row>
    <row r="547" spans="1:14" x14ac:dyDescent="0.45">
      <c r="A547" s="8">
        <v>2022</v>
      </c>
      <c r="B547" s="9" t="s">
        <v>560</v>
      </c>
      <c r="C547" s="10" t="str">
        <f t="shared" si="16"/>
        <v>Khalil Herbert</v>
      </c>
      <c r="D547" s="10" t="str">
        <f t="shared" si="17"/>
        <v>CHI</v>
      </c>
      <c r="E547" cm="1">
        <f t="array" aca="1" ref="E547" ca="1">IFERROR(_xlfn.XLOOKUP(C547&amp;A547, Inside5!B:B&amp;Inside5!I:I, Inside5!C:C), 0)</f>
        <v>8</v>
      </c>
      <c r="F547" cm="1">
        <f t="array" ref="F547">IFERROR(_xlfn.XLOOKUP(C547&amp;A547, Inside5!B:B&amp;Inside5!I:I, Inside5!D:D), 0)</f>
        <v>2</v>
      </c>
      <c r="G547" cm="1">
        <f t="array" ref="G547">IFERROR(_xlfn.XLOOKUP(C547&amp;A547, Inside5!B:B&amp;Inside5!I:I, Inside5!E:E), 0)</f>
        <v>0.57099999999999995</v>
      </c>
      <c r="H547" cm="1">
        <f t="array" ref="H547">IFERROR(_xlfn.XLOOKUP(C547&amp;A547, TDrate!F:F&amp;TDrate!H:H, TDrate!C:C), "N/A")</f>
        <v>3.1E-2</v>
      </c>
      <c r="I547" cm="1">
        <f t="array" ref="I547">IFERROR(_xlfn.XLOOKUP(C547&amp;A547, TDrate!F:F&amp;TDrate!H:H, TDrate!E:E), "N/A")</f>
        <v>3.2199999999999999E-2</v>
      </c>
      <c r="J547" cm="1">
        <f t="array" ref="J547">IFERROR(_xlfn.XLOOKUP(C547&amp;A547, Inside5!B:B&amp;Inside5!I:I, Inside5!F:F), 0)</f>
        <v>0</v>
      </c>
      <c r="K547" cm="1">
        <f t="array" ref="K547">IFERROR(_xlfn.XLOOKUP(C547&amp;A547, Inside5!B:B&amp;Inside5!I:I, Inside5!G:G), 0)</f>
        <v>0</v>
      </c>
      <c r="L547" cm="1">
        <f t="array" ref="L547">IFERROR(_xlfn.XLOOKUP(C547&amp;A547, Inside5!B:B&amp;Inside5!I:I, Inside5!H:H), 0)</f>
        <v>0</v>
      </c>
      <c r="M547" cm="1">
        <f t="array" ref="M547">IFERROR(_xlfn.XLOOKUP(C547&amp;A547, TDrate!F:F&amp;TDrate!H:H, TDrate!B:B), "N/A")</f>
        <v>8.3299999999999999E-2</v>
      </c>
      <c r="N547" cm="1">
        <f t="array" ref="N547">IFERROR(_xlfn.XLOOKUP(C547&amp;A547, TDrate!F:F&amp;TDrate!H:H, TDrate!D:D), "N/A")</f>
        <v>4.8899999999999999E-2</v>
      </c>
    </row>
    <row r="548" spans="1:14" x14ac:dyDescent="0.45">
      <c r="A548" s="5">
        <v>2022</v>
      </c>
      <c r="B548" s="6" t="s">
        <v>347</v>
      </c>
      <c r="C548" s="7" t="str">
        <f t="shared" si="16"/>
        <v>Samaje Perine</v>
      </c>
      <c r="D548" s="7" t="str">
        <f t="shared" si="17"/>
        <v>CIN</v>
      </c>
      <c r="E548" cm="1">
        <f t="array" aca="1" ref="E548" ca="1">IFERROR(_xlfn.XLOOKUP(C548&amp;A548, Inside5!B:B&amp;Inside5!I:I, Inside5!C:C), 0)</f>
        <v>1</v>
      </c>
      <c r="F548" cm="1">
        <f t="array" aca="1" ref="F548" ca="1">IFERROR(_xlfn.XLOOKUP(C548&amp;A548, Inside5!B:B&amp;Inside5!I:I, Inside5!D:D), 0)</f>
        <v>0</v>
      </c>
      <c r="G548" cm="1">
        <f t="array" ref="G548">IFERROR(_xlfn.XLOOKUP(C548&amp;A548, Inside5!B:B&amp;Inside5!I:I, Inside5!E:E), 0)</f>
        <v>5.8999999999999997E-2</v>
      </c>
      <c r="H548" cm="1">
        <f t="array" ref="H548">IFERROR(_xlfn.XLOOKUP(C548&amp;A548, TDrate!F:F&amp;TDrate!H:H, TDrate!C:C), "N/A")</f>
        <v>2.1100000000000001E-2</v>
      </c>
      <c r="I548" cm="1">
        <f t="array" ref="I548">IFERROR(_xlfn.XLOOKUP(C548&amp;A548, TDrate!F:F&amp;TDrate!H:H, TDrate!E:E), "N/A")</f>
        <v>2.06E-2</v>
      </c>
      <c r="J548" cm="1">
        <f t="array" ref="J548">IFERROR(_xlfn.XLOOKUP(C548&amp;A548, Inside5!B:B&amp;Inside5!I:I, Inside5!F:F), 0)</f>
        <v>0</v>
      </c>
      <c r="K548" cm="1">
        <f t="array" ref="K548">IFERROR(_xlfn.XLOOKUP(C548&amp;A548, Inside5!B:B&amp;Inside5!I:I, Inside5!G:G), 0)</f>
        <v>1</v>
      </c>
      <c r="L548" cm="1">
        <f t="array" ref="L548">IFERROR(_xlfn.XLOOKUP(C548&amp;A548, Inside5!B:B&amp;Inside5!I:I, Inside5!H:H), 0)</f>
        <v>0</v>
      </c>
      <c r="M548" cm="1">
        <f t="array" ref="M548">IFERROR(_xlfn.XLOOKUP(C548&amp;A548, TDrate!F:F&amp;TDrate!H:H, TDrate!B:B), "N/A")</f>
        <v>7.6899999999999996E-2</v>
      </c>
      <c r="N548" cm="1">
        <f t="array" ref="N548">IFERROR(_xlfn.XLOOKUP(C548&amp;A548, TDrate!F:F&amp;TDrate!H:H, TDrate!D:D), "N/A")</f>
        <v>5.4199999999999998E-2</v>
      </c>
    </row>
    <row r="549" spans="1:14" x14ac:dyDescent="0.45">
      <c r="A549" s="8">
        <v>2022</v>
      </c>
      <c r="B549" s="9" t="s">
        <v>474</v>
      </c>
      <c r="C549" s="10" t="str">
        <f t="shared" si="16"/>
        <v>Brian Robinson Jr.</v>
      </c>
      <c r="D549" s="10" t="str">
        <f t="shared" si="17"/>
        <v>WAS</v>
      </c>
      <c r="E549" cm="1">
        <f t="array" aca="1" ref="E549" ca="1">IFERROR(_xlfn.XLOOKUP(C549&amp;A549, Inside5!B:B&amp;Inside5!I:I, Inside5!C:C), 0)</f>
        <v>9</v>
      </c>
      <c r="F549" cm="1">
        <f t="array" aca="1" ref="F549" ca="1">IFERROR(_xlfn.XLOOKUP(C549&amp;A549, Inside5!B:B&amp;Inside5!I:I, Inside5!D:D), 0)</f>
        <v>2</v>
      </c>
      <c r="G549" cm="1">
        <f t="array" ref="G549">IFERROR(_xlfn.XLOOKUP(C549&amp;A549, Inside5!B:B&amp;Inside5!I:I, Inside5!E:E), 0)</f>
        <v>0.47399999999999998</v>
      </c>
      <c r="H549" cm="1">
        <f t="array" ref="H549">IFERROR(_xlfn.XLOOKUP(C549&amp;A549, TDrate!F:F&amp;TDrate!H:H, TDrate!C:C), "N/A")</f>
        <v>9.7999999999999997E-3</v>
      </c>
      <c r="I549" cm="1">
        <f t="array" ref="I549">IFERROR(_xlfn.XLOOKUP(C549&amp;A549, TDrate!F:F&amp;TDrate!H:H, TDrate!E:E), "N/A")</f>
        <v>1.7999999999999999E-2</v>
      </c>
      <c r="J549" cm="1">
        <f t="array" ref="J549">IFERROR(_xlfn.XLOOKUP(C549&amp;A549, Inside5!B:B&amp;Inside5!I:I, Inside5!F:F), 0)</f>
        <v>0</v>
      </c>
      <c r="K549" cm="1">
        <f t="array" aca="1" ref="K549" ca="1">IFERROR(_xlfn.XLOOKUP(C549&amp;A549, Inside5!B:B&amp;Inside5!I:I, Inside5!G:G), 0)</f>
        <v>0</v>
      </c>
      <c r="L549" cm="1">
        <f t="array" ref="L549">IFERROR(_xlfn.XLOOKUP(C549&amp;A549, Inside5!B:B&amp;Inside5!I:I, Inside5!H:H), 0)</f>
        <v>0</v>
      </c>
      <c r="M549" cm="1">
        <f t="array" ref="M549">IFERROR(_xlfn.XLOOKUP(C549&amp;A549, TDrate!F:F&amp;TDrate!H:H, TDrate!B:B), "N/A")</f>
        <v>8.3299999999999999E-2</v>
      </c>
      <c r="N549" cm="1">
        <f t="array" ref="N549">IFERROR(_xlfn.XLOOKUP(C549&amp;A549, TDrate!F:F&amp;TDrate!H:H, TDrate!D:D), "N/A")</f>
        <v>4.8800000000000003E-2</v>
      </c>
    </row>
    <row r="550" spans="1:14" x14ac:dyDescent="0.45">
      <c r="A550" s="5">
        <v>2022</v>
      </c>
      <c r="B550" s="6" t="s">
        <v>311</v>
      </c>
      <c r="C550" s="7" t="str">
        <f t="shared" si="16"/>
        <v>Breece Hall</v>
      </c>
      <c r="D550" s="7" t="str">
        <f t="shared" si="17"/>
        <v>NYJ</v>
      </c>
      <c r="E550" cm="1">
        <f t="array" aca="1" ref="E550" ca="1">IFERROR(_xlfn.XLOOKUP(C550&amp;A550, Inside5!B:B&amp;Inside5!I:I, Inside5!C:C), 0)</f>
        <v>7</v>
      </c>
      <c r="F550" cm="1">
        <f t="array" aca="1" ref="F550" ca="1">IFERROR(_xlfn.XLOOKUP(C550&amp;A550, Inside5!B:B&amp;Inside5!I:I, Inside5!D:D), 0)</f>
        <v>2</v>
      </c>
      <c r="G550" cm="1">
        <f t="array" ref="G550">IFERROR(_xlfn.XLOOKUP(C550&amp;A550, Inside5!B:B&amp;Inside5!I:I, Inside5!E:E), 0)</f>
        <v>0.36799999999999999</v>
      </c>
      <c r="H550" cm="1">
        <f t="array" ref="H550">IFERROR(_xlfn.XLOOKUP(C550&amp;A550, TDrate!F:F&amp;TDrate!H:H, TDrate!C:C), "N/A")</f>
        <v>0.05</v>
      </c>
      <c r="I550" cm="1">
        <f t="array" ref="I550">IFERROR(_xlfn.XLOOKUP(C550&amp;A550, TDrate!F:F&amp;TDrate!H:H, TDrate!E:E), "N/A")</f>
        <v>4.7500000000000001E-2</v>
      </c>
      <c r="J550" cm="1">
        <f t="array" ref="J550">IFERROR(_xlfn.XLOOKUP(C550&amp;A550, Inside5!B:B&amp;Inside5!I:I, Inside5!F:F), 0)</f>
        <v>0</v>
      </c>
      <c r="K550" cm="1">
        <f t="array" aca="1" ref="K550" ca="1">IFERROR(_xlfn.XLOOKUP(C550&amp;A550, Inside5!B:B&amp;Inside5!I:I, Inside5!G:G), 0)</f>
        <v>0</v>
      </c>
      <c r="L550" cm="1">
        <f t="array" aca="1" ref="L550" ca="1">IFERROR(_xlfn.XLOOKUP(C550&amp;A550, Inside5!B:B&amp;Inside5!I:I, Inside5!H:H), 0)</f>
        <v>0</v>
      </c>
      <c r="M550" cm="1">
        <f t="array" ref="M550">IFERROR(_xlfn.XLOOKUP(C550&amp;A550, TDrate!F:F&amp;TDrate!H:H, TDrate!B:B), "N/A")</f>
        <v>3.1300000000000001E-2</v>
      </c>
      <c r="N550" cm="1">
        <f t="array" ref="N550">IFERROR(_xlfn.XLOOKUP(C550&amp;A550, TDrate!F:F&amp;TDrate!H:H, TDrate!D:D), "N/A")</f>
        <v>3.1099999999999999E-2</v>
      </c>
    </row>
    <row r="551" spans="1:14" x14ac:dyDescent="0.45">
      <c r="A551" s="8">
        <v>2022</v>
      </c>
      <c r="B551" s="9" t="s">
        <v>557</v>
      </c>
      <c r="C551" s="10" t="str">
        <f t="shared" si="16"/>
        <v>Kareem Hunt</v>
      </c>
      <c r="D551" s="10" t="str">
        <f t="shared" si="17"/>
        <v>CLE</v>
      </c>
      <c r="E551" cm="1">
        <f t="array" ref="E551">IFERROR(_xlfn.XLOOKUP(C551&amp;A551, Inside5!B:B&amp;Inside5!I:I, Inside5!C:C), 0)</f>
        <v>5</v>
      </c>
      <c r="F551" cm="1">
        <f t="array" ref="F551">IFERROR(_xlfn.XLOOKUP(C551&amp;A551, Inside5!B:B&amp;Inside5!I:I, Inside5!D:D), 0)</f>
        <v>2</v>
      </c>
      <c r="G551" cm="1">
        <f t="array" ref="G551">IFERROR(_xlfn.XLOOKUP(C551&amp;A551, Inside5!B:B&amp;Inside5!I:I, Inside5!E:E), 0)</f>
        <v>0.29399999999999998</v>
      </c>
      <c r="H551" cm="1">
        <f t="array" ref="H551">IFERROR(_xlfn.XLOOKUP(C551&amp;A551, TDrate!F:F&amp;TDrate!H:H, TDrate!C:C), "N/A")</f>
        <v>2.4400000000000002E-2</v>
      </c>
      <c r="I551" cm="1">
        <f t="array" ref="I551">IFERROR(_xlfn.XLOOKUP(C551&amp;A551, TDrate!F:F&amp;TDrate!H:H, TDrate!E:E), "N/A")</f>
        <v>2.86E-2</v>
      </c>
      <c r="J551" cm="1">
        <f t="array" ref="J551">IFERROR(_xlfn.XLOOKUP(C551&amp;A551, Inside5!B:B&amp;Inside5!I:I, Inside5!F:F), 0)</f>
        <v>1</v>
      </c>
      <c r="K551" cm="1">
        <f t="array" ref="K551">IFERROR(_xlfn.XLOOKUP(C551&amp;A551, Inside5!B:B&amp;Inside5!I:I, Inside5!G:G), 0)</f>
        <v>1</v>
      </c>
      <c r="L551" cm="1">
        <f t="array" ref="L551">IFERROR(_xlfn.XLOOKUP(C551&amp;A551, Inside5!B:B&amp;Inside5!I:I, Inside5!H:H), 0)</f>
        <v>1</v>
      </c>
      <c r="M551" cm="1">
        <f t="array" ref="M551">IFERROR(_xlfn.XLOOKUP(C551&amp;A551, TDrate!F:F&amp;TDrate!H:H, TDrate!B:B), "N/A")</f>
        <v>2.2700000000000001E-2</v>
      </c>
      <c r="N551" cm="1">
        <f t="array" ref="N551">IFERROR(_xlfn.XLOOKUP(C551&amp;A551, TDrate!F:F&amp;TDrate!H:H, TDrate!D:D), "N/A")</f>
        <v>2.8799999999999999E-2</v>
      </c>
    </row>
    <row r="552" spans="1:14" x14ac:dyDescent="0.45">
      <c r="A552" s="5">
        <v>2022</v>
      </c>
      <c r="B552" s="6" t="s">
        <v>332</v>
      </c>
      <c r="C552" s="7" t="str">
        <f t="shared" si="16"/>
        <v>Rachaad White</v>
      </c>
      <c r="D552" s="7" t="str">
        <f t="shared" si="17"/>
        <v>TB</v>
      </c>
      <c r="E552" cm="1">
        <f t="array" ref="E552">IFERROR(_xlfn.XLOOKUP(C552&amp;A552, Inside5!B:B&amp;Inside5!I:I, Inside5!C:C), 0)</f>
        <v>3</v>
      </c>
      <c r="F552" cm="1">
        <f t="array" ref="F552">IFERROR(_xlfn.XLOOKUP(C552&amp;A552, Inside5!B:B&amp;Inside5!I:I, Inside5!D:D), 0)</f>
        <v>1</v>
      </c>
      <c r="G552" cm="1">
        <f t="array" ref="G552">IFERROR(_xlfn.XLOOKUP(C552&amp;A552, Inside5!B:B&amp;Inside5!I:I, Inside5!E:E), 0)</f>
        <v>0.214</v>
      </c>
      <c r="H552" cm="1">
        <f t="array" ref="H552">IFERROR(_xlfn.XLOOKUP(C552&amp;A552, TDrate!F:F&amp;TDrate!H:H, TDrate!C:C), "N/A")</f>
        <v>7.7999999999999996E-3</v>
      </c>
      <c r="I552" cm="1">
        <f t="array" ref="I552">IFERROR(_xlfn.XLOOKUP(C552&amp;A552, TDrate!F:F&amp;TDrate!H:H, TDrate!E:E), "N/A")</f>
        <v>1.2200000000000001E-2</v>
      </c>
      <c r="J552" cm="1">
        <f t="array" ref="J552">IFERROR(_xlfn.XLOOKUP(C552&amp;A552, Inside5!B:B&amp;Inside5!I:I, Inside5!F:F), 0)</f>
        <v>1</v>
      </c>
      <c r="K552" cm="1">
        <f t="array" ref="K552">IFERROR(_xlfn.XLOOKUP(C552&amp;A552, Inside5!B:B&amp;Inside5!I:I, Inside5!G:G), 0)</f>
        <v>1</v>
      </c>
      <c r="L552" cm="1">
        <f t="array" ref="L552">IFERROR(_xlfn.XLOOKUP(C552&amp;A552, Inside5!B:B&amp;Inside5!I:I, Inside5!H:H), 0)</f>
        <v>1</v>
      </c>
      <c r="M552" cm="1">
        <f t="array" ref="M552">IFERROR(_xlfn.XLOOKUP(C552&amp;A552, TDrate!F:F&amp;TDrate!H:H, TDrate!B:B), "N/A")</f>
        <v>3.4500000000000003E-2</v>
      </c>
      <c r="N552" cm="1">
        <f t="array" ref="N552">IFERROR(_xlfn.XLOOKUP(C552&amp;A552, TDrate!F:F&amp;TDrate!H:H, TDrate!D:D), "N/A")</f>
        <v>3.1800000000000002E-2</v>
      </c>
    </row>
    <row r="553" spans="1:14" x14ac:dyDescent="0.45">
      <c r="A553" s="8">
        <v>2022</v>
      </c>
      <c r="B553" s="9" t="s">
        <v>644</v>
      </c>
      <c r="C553" s="10" t="str">
        <f t="shared" si="16"/>
        <v>Kenyan Drake</v>
      </c>
      <c r="D553" s="10" t="str">
        <f t="shared" si="17"/>
        <v>BAL</v>
      </c>
      <c r="E553" cm="1">
        <f t="array" aca="1" ref="E553" ca="1">IFERROR(_xlfn.XLOOKUP(C553&amp;A553, Inside5!B:B&amp;Inside5!I:I, Inside5!C:C), 0)</f>
        <v>3</v>
      </c>
      <c r="F553" cm="1">
        <f t="array" aca="1" ref="F553" ca="1">IFERROR(_xlfn.XLOOKUP(C553&amp;A553, Inside5!B:B&amp;Inside5!I:I, Inside5!D:D), 0)</f>
        <v>2</v>
      </c>
      <c r="G553" cm="1">
        <f t="array" ref="G553">IFERROR(_xlfn.XLOOKUP(C553&amp;A553, Inside5!B:B&amp;Inside5!I:I, Inside5!E:E), 0)</f>
        <v>0.27300000000000002</v>
      </c>
      <c r="H553" cm="1">
        <f t="array" ref="H553">IFERROR(_xlfn.XLOOKUP(C553&amp;A553, TDrate!F:F&amp;TDrate!H:H, TDrate!C:C), "N/A")</f>
        <v>3.6700000000000003E-2</v>
      </c>
      <c r="I553" cm="1">
        <f t="array" ref="I553">IFERROR(_xlfn.XLOOKUP(C553&amp;A553, TDrate!F:F&amp;TDrate!H:H, TDrate!E:E), "N/A")</f>
        <v>3.1699999999999999E-2</v>
      </c>
      <c r="J553" cm="1">
        <f t="array" ref="J553">IFERROR(_xlfn.XLOOKUP(C553&amp;A553, Inside5!B:B&amp;Inside5!I:I, Inside5!F:F), 0)</f>
        <v>1</v>
      </c>
      <c r="K553" cm="1">
        <f t="array" aca="1" ref="K553" ca="1">IFERROR(_xlfn.XLOOKUP(C553&amp;A553, Inside5!B:B&amp;Inside5!I:I, Inside5!G:G), 0)</f>
        <v>1</v>
      </c>
      <c r="L553" cm="1">
        <f t="array" ref="L553">IFERROR(_xlfn.XLOOKUP(C553&amp;A553, Inside5!B:B&amp;Inside5!I:I, Inside5!H:H), 0)</f>
        <v>1</v>
      </c>
      <c r="M553" cm="1">
        <f t="array" ref="M553">IFERROR(_xlfn.XLOOKUP(C553&amp;A553, TDrate!F:F&amp;TDrate!H:H, TDrate!B:B), "N/A")</f>
        <v>3.85E-2</v>
      </c>
      <c r="N553" cm="1">
        <f t="array" ref="N553">IFERROR(_xlfn.XLOOKUP(C553&amp;A553, TDrate!F:F&amp;TDrate!H:H, TDrate!D:D), "N/A")</f>
        <v>4.1000000000000002E-2</v>
      </c>
    </row>
    <row r="554" spans="1:14" x14ac:dyDescent="0.45">
      <c r="A554" s="5">
        <v>2022</v>
      </c>
      <c r="B554" s="6" t="s">
        <v>297</v>
      </c>
      <c r="C554" s="7" t="str">
        <f t="shared" si="16"/>
        <v>James Cook III</v>
      </c>
      <c r="D554" s="7" t="str">
        <f t="shared" si="17"/>
        <v>BUF</v>
      </c>
      <c r="E554" cm="1">
        <f t="array" aca="1" ref="E554" ca="1">IFERROR(_xlfn.XLOOKUP(C554&amp;A554, Inside5!B:B&amp;Inside5!I:I, Inside5!C:C), 0)</f>
        <v>0</v>
      </c>
      <c r="F554" cm="1">
        <f t="array" aca="1" ref="F554" ca="1">IFERROR(_xlfn.XLOOKUP(C554&amp;A554, Inside5!B:B&amp;Inside5!I:I, Inside5!D:D), 0)</f>
        <v>0</v>
      </c>
      <c r="G554" cm="1">
        <f t="array" ref="G554">IFERROR(_xlfn.XLOOKUP(C554&amp;A554, Inside5!B:B&amp;Inside5!I:I, Inside5!E:E), 0)</f>
        <v>0</v>
      </c>
      <c r="H554" cm="1">
        <f t="array" ref="H554">IFERROR(_xlfn.XLOOKUP(C554&amp;A554, TDrate!F:F&amp;TDrate!H:H, TDrate!C:C), "N/A")</f>
        <v>2.1999999999999999E-2</v>
      </c>
      <c r="I554" cm="1">
        <f t="array" ref="I554">IFERROR(_xlfn.XLOOKUP(C554&amp;A554, TDrate!F:F&amp;TDrate!H:H, TDrate!E:E), "N/A")</f>
        <v>1.7999999999999999E-2</v>
      </c>
      <c r="J554" cm="1">
        <f t="array" ref="J554">IFERROR(_xlfn.XLOOKUP(C554&amp;A554, Inside5!B:B&amp;Inside5!I:I, Inside5!F:F), 0)</f>
        <v>1</v>
      </c>
      <c r="K554" cm="1">
        <f t="array" aca="1" ref="K554" ca="1">IFERROR(_xlfn.XLOOKUP(C554&amp;A554, Inside5!B:B&amp;Inside5!I:I, Inside5!G:G), 0)</f>
        <v>1</v>
      </c>
      <c r="L554" cm="1">
        <f t="array" ref="L554">IFERROR(_xlfn.XLOOKUP(C554&amp;A554, Inside5!B:B&amp;Inside5!I:I, Inside5!H:H), 0)</f>
        <v>1</v>
      </c>
      <c r="M554" cm="1">
        <f t="array" ref="M554">IFERROR(_xlfn.XLOOKUP(C554&amp;A554, TDrate!F:F&amp;TDrate!H:H, TDrate!B:B), "N/A")</f>
        <v>3.0300000000000001E-2</v>
      </c>
      <c r="N554" cm="1">
        <f t="array" ref="N554">IFERROR(_xlfn.XLOOKUP(C554&amp;A554, TDrate!F:F&amp;TDrate!H:H, TDrate!D:D), "N/A")</f>
        <v>3.39E-2</v>
      </c>
    </row>
    <row r="555" spans="1:14" x14ac:dyDescent="0.45">
      <c r="A555" s="8">
        <v>2022</v>
      </c>
      <c r="B555" s="9" t="s">
        <v>645</v>
      </c>
      <c r="C555" s="10" t="str">
        <f t="shared" si="16"/>
        <v>Michael Carter</v>
      </c>
      <c r="D555" s="10" t="str">
        <f t="shared" si="17"/>
        <v>NYJ</v>
      </c>
      <c r="E555" cm="1">
        <f t="array" ref="E555">IFERROR(_xlfn.XLOOKUP(C555&amp;A555, Inside5!B:B&amp;Inside5!I:I, Inside5!C:C), 0)</f>
        <v>4</v>
      </c>
      <c r="F555" cm="1">
        <f t="array" ref="F555">IFERROR(_xlfn.XLOOKUP(C555&amp;A555, Inside5!B:B&amp;Inside5!I:I, Inside5!D:D), 0)</f>
        <v>2</v>
      </c>
      <c r="G555" cm="1">
        <f t="array" ref="G555">IFERROR(_xlfn.XLOOKUP(C555&amp;A555, Inside5!B:B&amp;Inside5!I:I, Inside5!E:E), 0)</f>
        <v>0.21099999999999999</v>
      </c>
      <c r="H555" cm="1">
        <f t="array" ref="H555">IFERROR(_xlfn.XLOOKUP(C555&amp;A555, TDrate!F:F&amp;TDrate!H:H, TDrate!C:C), "N/A")</f>
        <v>2.63E-2</v>
      </c>
      <c r="I555" cm="1">
        <f t="array" ref="I555">IFERROR(_xlfn.XLOOKUP(C555&amp;A555, TDrate!F:F&amp;TDrate!H:H, TDrate!E:E), "N/A")</f>
        <v>2.6200000000000001E-2</v>
      </c>
      <c r="J555" cm="1">
        <f t="array" ref="J555">IFERROR(_xlfn.XLOOKUP(C555&amp;A555, Inside5!B:B&amp;Inside5!I:I, Inside5!F:F), 0)</f>
        <v>0</v>
      </c>
      <c r="K555" cm="1">
        <f t="array" aca="1" ref="K555" ca="1">IFERROR(_xlfn.XLOOKUP(C555&amp;A555, Inside5!B:B&amp;Inside5!I:I, Inside5!G:G), 0)</f>
        <v>0</v>
      </c>
      <c r="L555" cm="1">
        <f t="array" ref="L555">IFERROR(_xlfn.XLOOKUP(C555&amp;A555, Inside5!B:B&amp;Inside5!I:I, Inside5!H:H), 0)</f>
        <v>0</v>
      </c>
      <c r="M555" cm="1">
        <f t="array" ref="M555">IFERROR(_xlfn.XLOOKUP(C555&amp;A555, TDrate!F:F&amp;TDrate!H:H, TDrate!B:B), "N/A")</f>
        <v>0</v>
      </c>
      <c r="N555" cm="1">
        <f t="array" ref="N555">IFERROR(_xlfn.XLOOKUP(C555&amp;A555, TDrate!F:F&amp;TDrate!H:H, TDrate!D:D), "N/A")</f>
        <v>1.0699999999999999E-2</v>
      </c>
    </row>
    <row r="556" spans="1:14" x14ac:dyDescent="0.45">
      <c r="A556" s="5">
        <v>2022</v>
      </c>
      <c r="B556" s="6" t="s">
        <v>423</v>
      </c>
      <c r="C556" s="7" t="str">
        <f t="shared" si="16"/>
        <v>Clyde Edwards-Helaire</v>
      </c>
      <c r="D556" s="7" t="str">
        <f t="shared" si="17"/>
        <v>KC</v>
      </c>
      <c r="E556" cm="1">
        <f t="array" aca="1" ref="E556" ca="1">IFERROR(_xlfn.XLOOKUP(C556&amp;A556, Inside5!B:B&amp;Inside5!I:I, Inside5!C:C), 0)</f>
        <v>4</v>
      </c>
      <c r="F556" cm="1">
        <f t="array" aca="1" ref="F556" ca="1">IFERROR(_xlfn.XLOOKUP(C556&amp;A556, Inside5!B:B&amp;Inside5!I:I, Inside5!D:D), 0)</f>
        <v>2</v>
      </c>
      <c r="G556" cm="1">
        <f t="array" ref="G556">IFERROR(_xlfn.XLOOKUP(C556&amp;A556, Inside5!B:B&amp;Inside5!I:I, Inside5!E:E), 0)</f>
        <v>0.222</v>
      </c>
      <c r="H556" cm="1">
        <f t="array" ref="H556">IFERROR(_xlfn.XLOOKUP(C556&amp;A556, TDrate!F:F&amp;TDrate!H:H, TDrate!C:C), "N/A")</f>
        <v>4.2299999999999997E-2</v>
      </c>
      <c r="I556" cm="1">
        <f t="array" ref="I556">IFERROR(_xlfn.XLOOKUP(C556&amp;A556, TDrate!F:F&amp;TDrate!H:H, TDrate!E:E), "N/A")</f>
        <v>3.6600000000000001E-2</v>
      </c>
      <c r="J556" cm="1">
        <f t="array" ref="J556">IFERROR(_xlfn.XLOOKUP(C556&amp;A556, Inside5!B:B&amp;Inside5!I:I, Inside5!F:F), 0)</f>
        <v>4</v>
      </c>
      <c r="K556" cm="1">
        <f t="array" aca="1" ref="K556" ca="1">IFERROR(_xlfn.XLOOKUP(C556&amp;A556, Inside5!B:B&amp;Inside5!I:I, Inside5!G:G), 0)</f>
        <v>4</v>
      </c>
      <c r="L556" cm="1">
        <f t="array" ref="L556">IFERROR(_xlfn.XLOOKUP(C556&amp;A556, Inside5!B:B&amp;Inside5!I:I, Inside5!H:H), 0)</f>
        <v>3</v>
      </c>
      <c r="M556" cm="1">
        <f t="array" ref="M556">IFERROR(_xlfn.XLOOKUP(C556&amp;A556, TDrate!F:F&amp;TDrate!H:H, TDrate!B:B), "N/A")</f>
        <v>0.13039999999999999</v>
      </c>
      <c r="N556" cm="1">
        <f t="array" ref="N556">IFERROR(_xlfn.XLOOKUP(C556&amp;A556, TDrate!F:F&amp;TDrate!H:H, TDrate!D:D), "N/A")</f>
        <v>0.11799999999999999</v>
      </c>
    </row>
    <row r="557" spans="1:14" x14ac:dyDescent="0.45">
      <c r="A557" s="8">
        <v>2022</v>
      </c>
      <c r="B557" s="9" t="s">
        <v>646</v>
      </c>
      <c r="C557" s="10" t="str">
        <f t="shared" si="16"/>
        <v>James Robinson</v>
      </c>
      <c r="D557" s="10" t="str">
        <f t="shared" si="17"/>
        <v>NYJ</v>
      </c>
      <c r="E557" cm="1">
        <f t="array" ref="E557">IFERROR(_xlfn.XLOOKUP(C557&amp;A557, Inside5!B:B&amp;Inside5!I:I, Inside5!C:C), 0)</f>
        <v>5</v>
      </c>
      <c r="F557" cm="1">
        <f t="array" ref="F557">IFERROR(_xlfn.XLOOKUP(C557&amp;A557, Inside5!B:B&amp;Inside5!I:I, Inside5!D:D), 0)</f>
        <v>0</v>
      </c>
      <c r="G557" cm="1">
        <f t="array" ref="G557">IFERROR(_xlfn.XLOOKUP(C557&amp;A557, Inside5!B:B&amp;Inside5!I:I, Inside5!E:E), 0)</f>
        <v>0.26300000000000001</v>
      </c>
      <c r="H557" cm="1">
        <f t="array" ref="H557">IFERROR(_xlfn.XLOOKUP(C557&amp;A557, TDrate!F:F&amp;TDrate!H:H, TDrate!C:C), "N/A")</f>
        <v>2.7300000000000001E-2</v>
      </c>
      <c r="I557" cm="1">
        <f t="array" ref="I557">IFERROR(_xlfn.XLOOKUP(C557&amp;A557, TDrate!F:F&amp;TDrate!H:H, TDrate!E:E), "N/A")</f>
        <v>2.9000000000000001E-2</v>
      </c>
      <c r="J557" cm="1">
        <f t="array" ref="J557">IFERROR(_xlfn.XLOOKUP(C557&amp;A557, Inside5!B:B&amp;Inside5!I:I, Inside5!F:F), 0)</f>
        <v>1</v>
      </c>
      <c r="K557" cm="1">
        <f t="array" ref="K557">IFERROR(_xlfn.XLOOKUP(C557&amp;A557, Inside5!B:B&amp;Inside5!I:I, Inside5!G:G), 0)</f>
        <v>1</v>
      </c>
      <c r="L557" cm="1">
        <f t="array" ref="L557">IFERROR(_xlfn.XLOOKUP(C557&amp;A557, Inside5!B:B&amp;Inside5!I:I, Inside5!H:H), 0)</f>
        <v>1</v>
      </c>
      <c r="M557" cm="1">
        <f t="array" ref="M557">IFERROR(_xlfn.XLOOKUP(C557&amp;A557, TDrate!F:F&amp;TDrate!H:H, TDrate!B:B), "N/A")</f>
        <v>0.1429</v>
      </c>
      <c r="N557" cm="1">
        <f t="array" ref="N557">IFERROR(_xlfn.XLOOKUP(C557&amp;A557, TDrate!F:F&amp;TDrate!H:H, TDrate!D:D), "N/A")</f>
        <v>0.1061</v>
      </c>
    </row>
    <row r="558" spans="1:14" x14ac:dyDescent="0.45">
      <c r="A558" s="5">
        <v>2022</v>
      </c>
      <c r="B558" s="6" t="s">
        <v>586</v>
      </c>
      <c r="C558" s="7" t="str">
        <f t="shared" si="16"/>
        <v>J.K. Dobbins</v>
      </c>
      <c r="D558" s="7" t="str">
        <f t="shared" si="17"/>
        <v>BAL</v>
      </c>
      <c r="E558" cm="1">
        <f t="array" ref="E558">IFERROR(_xlfn.XLOOKUP(C558&amp;A558, Inside5!B:B&amp;Inside5!I:I, Inside5!C:C), 0)</f>
        <v>4</v>
      </c>
      <c r="F558" cm="1">
        <f t="array" ref="F558">IFERROR(_xlfn.XLOOKUP(C558&amp;A558, Inside5!B:B&amp;Inside5!I:I, Inside5!D:D), 0)</f>
        <v>2</v>
      </c>
      <c r="G558" cm="1">
        <f t="array" ref="G558">IFERROR(_xlfn.XLOOKUP(C558&amp;A558, Inside5!B:B&amp;Inside5!I:I, Inside5!E:E), 0)</f>
        <v>0.36399999999999999</v>
      </c>
      <c r="H558" cm="1">
        <f t="array" ref="H558">IFERROR(_xlfn.XLOOKUP(C558&amp;A558, TDrate!F:F&amp;TDrate!H:H, TDrate!C:C), "N/A")</f>
        <v>2.1700000000000001E-2</v>
      </c>
      <c r="I558" cm="1">
        <f t="array" ref="I558">IFERROR(_xlfn.XLOOKUP(C558&amp;A558, TDrate!F:F&amp;TDrate!H:H, TDrate!E:E), "N/A")</f>
        <v>2.47E-2</v>
      </c>
      <c r="J558" cm="1">
        <f t="array" ref="J558">IFERROR(_xlfn.XLOOKUP(C558&amp;A558, Inside5!B:B&amp;Inside5!I:I, Inside5!F:F), 0)</f>
        <v>1</v>
      </c>
      <c r="K558" cm="1">
        <f t="array" ref="K558">IFERROR(_xlfn.XLOOKUP(C558&amp;A558, Inside5!B:B&amp;Inside5!I:I, Inside5!G:G), 0)</f>
        <v>1</v>
      </c>
      <c r="L558" cm="1">
        <f t="array" ref="L558">IFERROR(_xlfn.XLOOKUP(C558&amp;A558, Inside5!B:B&amp;Inside5!I:I, Inside5!H:H), 0)</f>
        <v>1</v>
      </c>
      <c r="M558" cm="1">
        <f t="array" ref="M558">IFERROR(_xlfn.XLOOKUP(C558&amp;A558, TDrate!F:F&amp;TDrate!H:H, TDrate!B:B), "N/A")</f>
        <v>0.125</v>
      </c>
      <c r="N558" cm="1">
        <f t="array" ref="N558">IFERROR(_xlfn.XLOOKUP(C558&amp;A558, TDrate!F:F&amp;TDrate!H:H, TDrate!D:D), "N/A")</f>
        <v>0.114</v>
      </c>
    </row>
    <row r="559" spans="1:14" x14ac:dyDescent="0.45">
      <c r="A559" s="8">
        <v>2022</v>
      </c>
      <c r="B559" s="9" t="s">
        <v>647</v>
      </c>
      <c r="C559" s="10" t="str">
        <f t="shared" si="16"/>
        <v>Damien Harris</v>
      </c>
      <c r="D559" s="10" t="str">
        <f t="shared" si="17"/>
        <v>NE</v>
      </c>
      <c r="E559" cm="1">
        <f t="array" aca="1" ref="E559" ca="1">IFERROR(_xlfn.XLOOKUP(C559&amp;A559, Inside5!B:B&amp;Inside5!I:I, Inside5!C:C), 0)</f>
        <v>4</v>
      </c>
      <c r="F559" cm="1">
        <f t="array" aca="1" ref="F559" ca="1">IFERROR(_xlfn.XLOOKUP(C559&amp;A559, Inside5!B:B&amp;Inside5!I:I, Inside5!D:D), 0)</f>
        <v>3</v>
      </c>
      <c r="G559" cm="1">
        <f t="array" ref="G559">IFERROR(_xlfn.XLOOKUP(C559&amp;A559, Inside5!B:B&amp;Inside5!I:I, Inside5!E:E), 0)</f>
        <v>0.222</v>
      </c>
      <c r="H559" cm="1">
        <f t="array" ref="H559">IFERROR(_xlfn.XLOOKUP(C559&amp;A559, TDrate!F:F&amp;TDrate!H:H, TDrate!C:C), "N/A")</f>
        <v>2.8299999999999999E-2</v>
      </c>
      <c r="I559" cm="1">
        <f t="array" ref="I559">IFERROR(_xlfn.XLOOKUP(C559&amp;A559, TDrate!F:F&amp;TDrate!H:H, TDrate!E:E), "N/A")</f>
        <v>2.6599999999999999E-2</v>
      </c>
      <c r="J559" cm="1">
        <f t="array" ref="J559">IFERROR(_xlfn.XLOOKUP(C559&amp;A559, Inside5!B:B&amp;Inside5!I:I, Inside5!F:F), 0)</f>
        <v>0</v>
      </c>
      <c r="K559" cm="1">
        <f t="array" ref="K559">IFERROR(_xlfn.XLOOKUP(C559&amp;A559, Inside5!B:B&amp;Inside5!I:I, Inside5!G:G), 0)</f>
        <v>1</v>
      </c>
      <c r="L559" cm="1">
        <f t="array" ref="L559">IFERROR(_xlfn.XLOOKUP(C559&amp;A559, Inside5!B:B&amp;Inside5!I:I, Inside5!H:H), 0)</f>
        <v>0</v>
      </c>
      <c r="M559" cm="1">
        <f t="array" ref="M559">IFERROR(_xlfn.XLOOKUP(C559&amp;A559, TDrate!F:F&amp;TDrate!H:H, TDrate!B:B), "N/A")</f>
        <v>0</v>
      </c>
      <c r="N559" cm="1">
        <f t="array" ref="N559">IFERROR(_xlfn.XLOOKUP(C559&amp;A559, TDrate!F:F&amp;TDrate!H:H, TDrate!D:D), "N/A")</f>
        <v>4.02E-2</v>
      </c>
    </row>
    <row r="560" spans="1:14" x14ac:dyDescent="0.45">
      <c r="A560" s="5">
        <v>2022</v>
      </c>
      <c r="B560" s="6" t="s">
        <v>338</v>
      </c>
      <c r="C560" s="7" t="str">
        <f t="shared" si="16"/>
        <v>Chuba Hubbard</v>
      </c>
      <c r="D560" s="7" t="str">
        <f t="shared" si="17"/>
        <v>CAR</v>
      </c>
      <c r="E560" cm="1">
        <f t="array" ref="E560">IFERROR(_xlfn.XLOOKUP(C560&amp;A560, Inside5!B:B&amp;Inside5!I:I, Inside5!C:C), 0)</f>
        <v>1</v>
      </c>
      <c r="F560" cm="1">
        <f t="array" aca="1" ref="F560" ca="1">IFERROR(_xlfn.XLOOKUP(C560&amp;A560, Inside5!B:B&amp;Inside5!I:I, Inside5!D:D), 0)</f>
        <v>1</v>
      </c>
      <c r="G560" cm="1">
        <f t="array" ref="G560">IFERROR(_xlfn.XLOOKUP(C560&amp;A560, Inside5!B:B&amp;Inside5!I:I, Inside5!E:E), 0)</f>
        <v>7.0999999999999994E-2</v>
      </c>
      <c r="H560" cm="1">
        <f t="array" ref="H560">IFERROR(_xlfn.XLOOKUP(C560&amp;A560, TDrate!F:F&amp;TDrate!H:H, TDrate!C:C), "N/A")</f>
        <v>2.1100000000000001E-2</v>
      </c>
      <c r="I560" cm="1">
        <f t="array" ref="I560">IFERROR(_xlfn.XLOOKUP(C560&amp;A560, TDrate!F:F&amp;TDrate!H:H, TDrate!E:E), "N/A")</f>
        <v>2.01E-2</v>
      </c>
      <c r="J560" cm="1">
        <f t="array" ref="J560">IFERROR(_xlfn.XLOOKUP(C560&amp;A560, Inside5!B:B&amp;Inside5!I:I, Inside5!F:F), 0)</f>
        <v>0</v>
      </c>
      <c r="K560" cm="1">
        <f t="array" ref="K560">IFERROR(_xlfn.XLOOKUP(C560&amp;A560, Inside5!B:B&amp;Inside5!I:I, Inside5!G:G), 0)</f>
        <v>0</v>
      </c>
      <c r="L560" cm="1">
        <f t="array" ref="L560">IFERROR(_xlfn.XLOOKUP(C560&amp;A560, Inside5!B:B&amp;Inside5!I:I, Inside5!H:H), 0)</f>
        <v>0</v>
      </c>
      <c r="M560" cm="1">
        <f t="array" ref="M560">IFERROR(_xlfn.XLOOKUP(C560&amp;A560, TDrate!F:F&amp;TDrate!H:H, TDrate!B:B), "N/A")</f>
        <v>0</v>
      </c>
      <c r="N560" cm="1">
        <f t="array" ref="N560">IFERROR(_xlfn.XLOOKUP(C560&amp;A560, TDrate!F:F&amp;TDrate!H:H, TDrate!D:D), "N/A")</f>
        <v>4.5999999999999999E-3</v>
      </c>
    </row>
    <row r="561" spans="1:14" x14ac:dyDescent="0.45">
      <c r="A561" s="8">
        <v>2022</v>
      </c>
      <c r="B561" s="9" t="s">
        <v>558</v>
      </c>
      <c r="C561" s="10" t="str">
        <f t="shared" si="16"/>
        <v>Alexander Mattison</v>
      </c>
      <c r="D561" s="10" t="str">
        <f t="shared" si="17"/>
        <v>MIN</v>
      </c>
      <c r="E561" cm="1">
        <f t="array" aca="1" ref="E561" ca="1">IFERROR(_xlfn.XLOOKUP(C561&amp;A561, Inside5!B:B&amp;Inside5!I:I, Inside5!C:C), 0)</f>
        <v>2</v>
      </c>
      <c r="F561" cm="1">
        <f t="array" ref="F561">IFERROR(_xlfn.XLOOKUP(C561&amp;A561, Inside5!B:B&amp;Inside5!I:I, Inside5!D:D), 0)</f>
        <v>0</v>
      </c>
      <c r="G561" cm="1">
        <f t="array" ref="G561">IFERROR(_xlfn.XLOOKUP(C561&amp;A561, Inside5!B:B&amp;Inside5!I:I, Inside5!E:E), 0)</f>
        <v>0.1</v>
      </c>
      <c r="H561" cm="1">
        <f t="array" ref="H561">IFERROR(_xlfn.XLOOKUP(C561&amp;A561, TDrate!F:F&amp;TDrate!H:H, TDrate!C:C), "N/A")</f>
        <v>6.7599999999999993E-2</v>
      </c>
      <c r="I561" cm="1">
        <f t="array" ref="I561">IFERROR(_xlfn.XLOOKUP(C561&amp;A561, TDrate!F:F&amp;TDrate!H:H, TDrate!E:E), "N/A")</f>
        <v>5.3499999999999999E-2</v>
      </c>
      <c r="J561" cm="1">
        <f t="array" ref="J561">IFERROR(_xlfn.XLOOKUP(C561&amp;A561, Inside5!B:B&amp;Inside5!I:I, Inside5!F:F), 0)</f>
        <v>0</v>
      </c>
      <c r="K561" cm="1">
        <f t="array" aca="1" ref="K561" ca="1">IFERROR(_xlfn.XLOOKUP(C561&amp;A561, Inside5!B:B&amp;Inside5!I:I, Inside5!G:G), 0)</f>
        <v>0</v>
      </c>
      <c r="L561" cm="1">
        <f t="array" ref="L561">IFERROR(_xlfn.XLOOKUP(C561&amp;A561, Inside5!B:B&amp;Inside5!I:I, Inside5!H:H), 0)</f>
        <v>0</v>
      </c>
      <c r="M561" cm="1">
        <f t="array" ref="M561">IFERROR(_xlfn.XLOOKUP(C561&amp;A561, TDrate!F:F&amp;TDrate!H:H, TDrate!B:B), "N/A")</f>
        <v>5.5599999999999997E-2</v>
      </c>
      <c r="N561" cm="1">
        <f t="array" ref="N561">IFERROR(_xlfn.XLOOKUP(C561&amp;A561, TDrate!F:F&amp;TDrate!H:H, TDrate!D:D), "N/A")</f>
        <v>4.5600000000000002E-2</v>
      </c>
    </row>
    <row r="562" spans="1:14" x14ac:dyDescent="0.45">
      <c r="A562" s="5">
        <v>2022</v>
      </c>
      <c r="B562" s="6" t="s">
        <v>315</v>
      </c>
      <c r="C562" s="7" t="str">
        <f t="shared" si="16"/>
        <v>Jaylen Warren</v>
      </c>
      <c r="D562" s="7" t="str">
        <f t="shared" si="17"/>
        <v>PIT</v>
      </c>
      <c r="E562" cm="1">
        <f t="array" aca="1" ref="E562" ca="1">IFERROR(_xlfn.XLOOKUP(C562&amp;A562, Inside5!B:B&amp;Inside5!I:I, Inside5!C:C), 0)</f>
        <v>1</v>
      </c>
      <c r="F562" cm="1">
        <f t="array" aca="1" ref="F562" ca="1">IFERROR(_xlfn.XLOOKUP(C562&amp;A562, Inside5!B:B&amp;Inside5!I:I, Inside5!D:D), 0)</f>
        <v>1</v>
      </c>
      <c r="G562" cm="1">
        <f t="array" ref="G562">IFERROR(_xlfn.XLOOKUP(C562&amp;A562, Inside5!B:B&amp;Inside5!I:I, Inside5!E:E), 0)</f>
        <v>9.0999999999999998E-2</v>
      </c>
      <c r="H562" cm="1">
        <f t="array" ref="H562">IFERROR(_xlfn.XLOOKUP(C562&amp;A562, TDrate!F:F&amp;TDrate!H:H, TDrate!C:C), "N/A")</f>
        <v>1.2999999999999999E-2</v>
      </c>
      <c r="I562" cm="1">
        <f t="array" ref="I562">IFERROR(_xlfn.XLOOKUP(C562&amp;A562, TDrate!F:F&amp;TDrate!H:H, TDrate!E:E), "N/A")</f>
        <v>1.7999999999999999E-2</v>
      </c>
      <c r="J562" cm="1">
        <f t="array" ref="J562">IFERROR(_xlfn.XLOOKUP(C562&amp;A562, Inside5!B:B&amp;Inside5!I:I, Inside5!F:F), 0)</f>
        <v>0</v>
      </c>
      <c r="K562" cm="1">
        <f t="array" ref="K562">IFERROR(_xlfn.XLOOKUP(C562&amp;A562, Inside5!B:B&amp;Inside5!I:I, Inside5!G:G), 0)</f>
        <v>0</v>
      </c>
      <c r="L562" cm="1">
        <f t="array" ref="L562">IFERROR(_xlfn.XLOOKUP(C562&amp;A562, Inside5!B:B&amp;Inside5!I:I, Inside5!H:H), 0)</f>
        <v>0</v>
      </c>
      <c r="M562" cm="1">
        <f t="array" ref="M562">IFERROR(_xlfn.XLOOKUP(C562&amp;A562, TDrate!F:F&amp;TDrate!H:H, TDrate!B:B), "N/A")</f>
        <v>0</v>
      </c>
      <c r="N562" cm="1">
        <f t="array" ref="N562">IFERROR(_xlfn.XLOOKUP(C562&amp;A562, TDrate!F:F&amp;TDrate!H:H, TDrate!D:D), "N/A")</f>
        <v>1.12E-2</v>
      </c>
    </row>
    <row r="563" spans="1:14" x14ac:dyDescent="0.45">
      <c r="A563" s="8">
        <v>2022</v>
      </c>
      <c r="B563" s="9" t="s">
        <v>487</v>
      </c>
      <c r="C563" s="10" t="str">
        <f t="shared" si="16"/>
        <v>Kenny Gainwell</v>
      </c>
      <c r="D563" s="10" t="str">
        <f t="shared" si="17"/>
        <v>PHI</v>
      </c>
      <c r="E563" cm="1">
        <f t="array" aca="1" ref="E563" ca="1">IFERROR(_xlfn.XLOOKUP(C563&amp;A563, Inside5!B:B&amp;Inside5!I:I, Inside5!C:C), 0)</f>
        <v>7</v>
      </c>
      <c r="F563" cm="1">
        <f t="array" aca="1" ref="F563" ca="1">IFERROR(_xlfn.XLOOKUP(C563&amp;A563, Inside5!B:B&amp;Inside5!I:I, Inside5!D:D), 0)</f>
        <v>3</v>
      </c>
      <c r="G563" cm="1">
        <f t="array" ref="G563">IFERROR(_xlfn.XLOOKUP(C563&amp;A563, Inside5!B:B&amp;Inside5!I:I, Inside5!E:E), 0)</f>
        <v>0.318</v>
      </c>
      <c r="H563" cm="1">
        <f t="array" ref="H563">IFERROR(_xlfn.XLOOKUP(C563&amp;A563, TDrate!F:F&amp;TDrate!H:H, TDrate!C:C), "N/A")</f>
        <v>7.5499999999999998E-2</v>
      </c>
      <c r="I563" cm="1">
        <f t="array" ref="I563">IFERROR(_xlfn.XLOOKUP(C563&amp;A563, TDrate!F:F&amp;TDrate!H:H, TDrate!E:E), "N/A")</f>
        <v>7.2999999999999995E-2</v>
      </c>
      <c r="J563" cm="1">
        <f t="array" ref="J563">IFERROR(_xlfn.XLOOKUP(C563&amp;A563, Inside5!B:B&amp;Inside5!I:I, Inside5!F:F), 0)</f>
        <v>0</v>
      </c>
      <c r="K563" cm="1">
        <f t="array" ref="K563">IFERROR(_xlfn.XLOOKUP(C563&amp;A563, Inside5!B:B&amp;Inside5!I:I, Inside5!G:G), 0)</f>
        <v>1</v>
      </c>
      <c r="L563" cm="1">
        <f t="array" ref="L563">IFERROR(_xlfn.XLOOKUP(C563&amp;A563, Inside5!B:B&amp;Inside5!I:I, Inside5!H:H), 0)</f>
        <v>0</v>
      </c>
      <c r="M563" cm="1">
        <f t="array" ref="M563">IFERROR(_xlfn.XLOOKUP(C563&amp;A563, TDrate!F:F&amp;TDrate!H:H, TDrate!B:B), "N/A")</f>
        <v>0</v>
      </c>
      <c r="N563" cm="1">
        <f t="array" ref="N563">IFERROR(_xlfn.XLOOKUP(C563&amp;A563, TDrate!F:F&amp;TDrate!H:H, TDrate!D:D), "N/A")</f>
        <v>2.0400000000000001E-2</v>
      </c>
    </row>
    <row r="564" spans="1:14" x14ac:dyDescent="0.45">
      <c r="A564" s="5">
        <v>2022</v>
      </c>
      <c r="B564" s="6" t="s">
        <v>648</v>
      </c>
      <c r="C564" s="7" t="str">
        <f t="shared" si="16"/>
        <v>Eno Benjamin</v>
      </c>
      <c r="D564" s="7" t="str">
        <f t="shared" si="17"/>
        <v>NO</v>
      </c>
      <c r="E564" cm="1">
        <f t="array" aca="1" ref="E564" ca="1">IFERROR(_xlfn.XLOOKUP(C564&amp;A564, Inside5!B:B&amp;Inside5!I:I, Inside5!C:C), 0)</f>
        <v>3</v>
      </c>
      <c r="F564" cm="1">
        <f t="array" aca="1" ref="F564" ca="1">IFERROR(_xlfn.XLOOKUP(C564&amp;A564, Inside5!B:B&amp;Inside5!I:I, Inside5!D:D), 0)</f>
        <v>1</v>
      </c>
      <c r="G564" cm="1">
        <f t="array" ref="G564">IFERROR(_xlfn.XLOOKUP(C564&amp;A564, Inside5!B:B&amp;Inside5!I:I, Inside5!E:E), 0)</f>
        <v>0.214</v>
      </c>
      <c r="H564" cm="1">
        <f t="array" ref="H564">IFERROR(_xlfn.XLOOKUP(C564&amp;A564, TDrate!F:F&amp;TDrate!H:H, TDrate!C:C), "N/A")</f>
        <v>2.5999999999999999E-2</v>
      </c>
      <c r="I564" cm="1">
        <f t="array" ref="I564">IFERROR(_xlfn.XLOOKUP(C564&amp;A564, TDrate!F:F&amp;TDrate!H:H, TDrate!E:E), "N/A")</f>
        <v>2.69E-2</v>
      </c>
      <c r="J564" cm="1">
        <f t="array" ref="J564">IFERROR(_xlfn.XLOOKUP(C564&amp;A564, Inside5!B:B&amp;Inside5!I:I, Inside5!F:F), 0)</f>
        <v>0</v>
      </c>
      <c r="K564" cm="1">
        <f t="array" ref="K564">IFERROR(_xlfn.XLOOKUP(C564&amp;A564, Inside5!B:B&amp;Inside5!I:I, Inside5!G:G), 0)</f>
        <v>0</v>
      </c>
      <c r="L564" cm="1">
        <f t="array" ref="L564">IFERROR(_xlfn.XLOOKUP(C564&amp;A564, Inside5!B:B&amp;Inside5!I:I, Inside5!H:H), 0)</f>
        <v>0</v>
      </c>
      <c r="M564" cm="1">
        <f t="array" ref="M564">IFERROR(_xlfn.XLOOKUP(C564&amp;A564, TDrate!F:F&amp;TDrate!H:H, TDrate!B:B), "N/A")</f>
        <v>0</v>
      </c>
      <c r="N564" cm="1">
        <f t="array" ref="N564">IFERROR(_xlfn.XLOOKUP(C564&amp;A564, TDrate!F:F&amp;TDrate!H:H, TDrate!D:D), "N/A")</f>
        <v>1.1900000000000001E-2</v>
      </c>
    </row>
    <row r="565" spans="1:14" x14ac:dyDescent="0.45">
      <c r="A565" s="8">
        <v>2022</v>
      </c>
      <c r="B565" s="9" t="s">
        <v>649</v>
      </c>
      <c r="C565" s="10" t="str">
        <f t="shared" si="16"/>
        <v>Melvin Gordon III</v>
      </c>
      <c r="D565" s="10" t="str">
        <f t="shared" si="17"/>
        <v>DEN</v>
      </c>
      <c r="E565" cm="1">
        <f t="array" aca="1" ref="E565" ca="1">IFERROR(_xlfn.XLOOKUP(C565&amp;A565, Inside5!B:B&amp;Inside5!I:I, Inside5!C:C), 0)</f>
        <v>8</v>
      </c>
      <c r="F565" cm="1">
        <f t="array" aca="1" ref="F565" ca="1">IFERROR(_xlfn.XLOOKUP(C565&amp;A565, Inside5!B:B&amp;Inside5!I:I, Inside5!D:D), 0)</f>
        <v>2</v>
      </c>
      <c r="G565" cm="1">
        <f t="array" ref="G565">IFERROR(_xlfn.XLOOKUP(C565&amp;A565, Inside5!B:B&amp;Inside5!I:I, Inside5!E:E), 0)</f>
        <v>0.44400000000000001</v>
      </c>
      <c r="H565" cm="1">
        <f t="array" ref="H565">IFERROR(_xlfn.XLOOKUP(C565&amp;A565, TDrate!F:F&amp;TDrate!H:H, TDrate!C:C), "N/A")</f>
        <v>2.2200000000000001E-2</v>
      </c>
      <c r="I565" cm="1">
        <f t="array" ref="I565">IFERROR(_xlfn.XLOOKUP(C565&amp;A565, TDrate!F:F&amp;TDrate!H:H, TDrate!E:E), "N/A")</f>
        <v>3.32E-2</v>
      </c>
      <c r="J565" cm="1">
        <f t="array" ref="J565">IFERROR(_xlfn.XLOOKUP(C565&amp;A565, Inside5!B:B&amp;Inside5!I:I, Inside5!F:F), 0)</f>
        <v>0</v>
      </c>
      <c r="K565" cm="1">
        <f t="array" ref="K565">IFERROR(_xlfn.XLOOKUP(C565&amp;A565, Inside5!B:B&amp;Inside5!I:I, Inside5!G:G), 0)</f>
        <v>0</v>
      </c>
      <c r="L565" cm="1">
        <f t="array" ref="L565">IFERROR(_xlfn.XLOOKUP(C565&amp;A565, Inside5!B:B&amp;Inside5!I:I, Inside5!H:H), 0)</f>
        <v>0</v>
      </c>
      <c r="M565" cm="1">
        <f t="array" ref="M565">IFERROR(_xlfn.XLOOKUP(C565&amp;A565, TDrate!F:F&amp;TDrate!H:H, TDrate!B:B), "N/A")</f>
        <v>0</v>
      </c>
      <c r="N565" cm="1">
        <f t="array" ref="N565">IFERROR(_xlfn.XLOOKUP(C565&amp;A565, TDrate!F:F&amp;TDrate!H:H, TDrate!D:D), "N/A")</f>
        <v>7.3000000000000001E-3</v>
      </c>
    </row>
    <row r="566" spans="1:14" x14ac:dyDescent="0.45">
      <c r="A566" s="5">
        <v>2022</v>
      </c>
      <c r="B566" s="6" t="s">
        <v>548</v>
      </c>
      <c r="C566" s="7" t="str">
        <f t="shared" si="16"/>
        <v>Gus Edwards</v>
      </c>
      <c r="D566" s="7" t="str">
        <f t="shared" si="17"/>
        <v>BAL</v>
      </c>
      <c r="E566" cm="1">
        <f t="array" ref="E566">IFERROR(_xlfn.XLOOKUP(C566&amp;A566, Inside5!B:B&amp;Inside5!I:I, Inside5!C:C), 0)</f>
        <v>2</v>
      </c>
      <c r="F566" cm="1">
        <f t="array" ref="F566">IFERROR(_xlfn.XLOOKUP(C566&amp;A566, Inside5!B:B&amp;Inside5!I:I, Inside5!D:D), 0)</f>
        <v>2</v>
      </c>
      <c r="G566" cm="1">
        <f t="array" ref="G566">IFERROR(_xlfn.XLOOKUP(C566&amp;A566, Inside5!B:B&amp;Inside5!I:I, Inside5!E:E), 0)</f>
        <v>0.182</v>
      </c>
      <c r="H566" cm="1">
        <f t="array" ref="H566">IFERROR(_xlfn.XLOOKUP(C566&amp;A566, TDrate!F:F&amp;TDrate!H:H, TDrate!C:C), "N/A")</f>
        <v>3.4500000000000003E-2</v>
      </c>
      <c r="I566" cm="1">
        <f t="array" ref="I566">IFERROR(_xlfn.XLOOKUP(C566&amp;A566, TDrate!F:F&amp;TDrate!H:H, TDrate!E:E), "N/A")</f>
        <v>2.9000000000000001E-2</v>
      </c>
      <c r="J566" cm="1">
        <f t="array" ref="J566">IFERROR(_xlfn.XLOOKUP(C566&amp;A566, Inside5!B:B&amp;Inside5!I:I, Inside5!F:F), 0)</f>
        <v>0</v>
      </c>
      <c r="K566" cm="1">
        <f t="array" ref="K566">IFERROR(_xlfn.XLOOKUP(C566&amp;A566, Inside5!B:B&amp;Inside5!I:I, Inside5!G:G), 0)</f>
        <v>0</v>
      </c>
      <c r="L566" cm="1">
        <f t="array" ref="L566">IFERROR(_xlfn.XLOOKUP(C566&amp;A566, Inside5!B:B&amp;Inside5!I:I, Inside5!H:H), 0)</f>
        <v>0</v>
      </c>
      <c r="M566" cm="1">
        <f t="array" ref="M566">IFERROR(_xlfn.XLOOKUP(C566&amp;A566, TDrate!F:F&amp;TDrate!H:H, TDrate!B:B), "N/A")</f>
        <v>0</v>
      </c>
      <c r="N566" cm="1">
        <f t="array" ref="N566">IFERROR(_xlfn.XLOOKUP(C566&amp;A566, TDrate!F:F&amp;TDrate!H:H, TDrate!D:D), "N/A")</f>
        <v>1.55E-2</v>
      </c>
    </row>
    <row r="567" spans="1:14" x14ac:dyDescent="0.45">
      <c r="A567" s="8">
        <v>2022</v>
      </c>
      <c r="B567" s="9" t="s">
        <v>650</v>
      </c>
      <c r="C567" s="10" t="str">
        <f t="shared" si="16"/>
        <v>Chase Edmonds</v>
      </c>
      <c r="D567" s="10" t="str">
        <f t="shared" si="17"/>
        <v>DEN</v>
      </c>
      <c r="E567" cm="1">
        <f t="array" aca="1" ref="E567" ca="1">IFERROR(_xlfn.XLOOKUP(C567&amp;A567, Inside5!B:B&amp;Inside5!I:I, Inside5!C:C), 0)</f>
        <v>2</v>
      </c>
      <c r="F567" cm="1">
        <f t="array" ref="F567">IFERROR(_xlfn.XLOOKUP(C567&amp;A567, Inside5!B:B&amp;Inside5!I:I, Inside5!D:D), 0)</f>
        <v>2</v>
      </c>
      <c r="G567" cm="1">
        <f t="array" ref="G567">IFERROR(_xlfn.XLOOKUP(C567&amp;A567, Inside5!B:B&amp;Inside5!I:I, Inside5!E:E), 0)</f>
        <v>0.111</v>
      </c>
      <c r="H567" cm="1">
        <f t="array" ref="H567">IFERROR(_xlfn.XLOOKUP(C567&amp;A567, TDrate!F:F&amp;TDrate!H:H, TDrate!C:C), "N/A")</f>
        <v>2.9399999999999999E-2</v>
      </c>
      <c r="I567" cm="1">
        <f t="array" ref="I567">IFERROR(_xlfn.XLOOKUP(C567&amp;A567, TDrate!F:F&amp;TDrate!H:H, TDrate!E:E), "N/A")</f>
        <v>2.4500000000000001E-2</v>
      </c>
      <c r="J567" cm="1">
        <f t="array" ref="J567">IFERROR(_xlfn.XLOOKUP(C567&amp;A567, Inside5!B:B&amp;Inside5!I:I, Inside5!F:F), 0)</f>
        <v>0</v>
      </c>
      <c r="K567" cm="1">
        <f t="array" ref="K567">IFERROR(_xlfn.XLOOKUP(C567&amp;A567, Inside5!B:B&amp;Inside5!I:I, Inside5!G:G), 0)</f>
        <v>1</v>
      </c>
      <c r="L567" cm="1">
        <f t="array" ref="L567">IFERROR(_xlfn.XLOOKUP(C567&amp;A567, Inside5!B:B&amp;Inside5!I:I, Inside5!H:H), 0)</f>
        <v>0</v>
      </c>
      <c r="M567" cm="1">
        <f t="array" ref="M567">IFERROR(_xlfn.XLOOKUP(C567&amp;A567, TDrate!F:F&amp;TDrate!H:H, TDrate!B:B), "N/A")</f>
        <v>4.1700000000000001E-2</v>
      </c>
      <c r="N567" cm="1">
        <f t="array" ref="N567">IFERROR(_xlfn.XLOOKUP(C567&amp;A567, TDrate!F:F&amp;TDrate!H:H, TDrate!D:D), "N/A")</f>
        <v>4.07E-2</v>
      </c>
    </row>
    <row r="568" spans="1:14" x14ac:dyDescent="0.45">
      <c r="A568" s="5">
        <v>2022</v>
      </c>
      <c r="B568" s="6" t="s">
        <v>569</v>
      </c>
      <c r="C568" s="7" t="str">
        <f t="shared" si="16"/>
        <v>Darrell Henderson Jr.</v>
      </c>
      <c r="D568" s="7" t="str">
        <f t="shared" si="17"/>
        <v>LAR</v>
      </c>
      <c r="E568" cm="1">
        <f t="array" ref="E568">IFERROR(_xlfn.XLOOKUP(C568&amp;A568, Inside5!B:B&amp;Inside5!I:I, Inside5!C:C), 0)</f>
        <v>3</v>
      </c>
      <c r="F568" cm="1">
        <f t="array" ref="F568">IFERROR(_xlfn.XLOOKUP(C568&amp;A568, Inside5!B:B&amp;Inside5!I:I, Inside5!D:D), 0)</f>
        <v>2</v>
      </c>
      <c r="G568" cm="1">
        <f t="array" ref="G568">IFERROR(_xlfn.XLOOKUP(C568&amp;A568, Inside5!B:B&amp;Inside5!I:I, Inside5!E:E), 0)</f>
        <v>0.214</v>
      </c>
      <c r="H568" cm="1">
        <f t="array" ref="H568">IFERROR(_xlfn.XLOOKUP(C568&amp;A568, TDrate!F:F&amp;TDrate!H:H, TDrate!C:C), "N/A")</f>
        <v>4.2900000000000001E-2</v>
      </c>
      <c r="I568" cm="1">
        <f t="array" ref="I568">IFERROR(_xlfn.XLOOKUP(C568&amp;A568, TDrate!F:F&amp;TDrate!H:H, TDrate!E:E), "N/A")</f>
        <v>3.5700000000000003E-2</v>
      </c>
      <c r="J568" cm="1">
        <f t="array" ref="J568">IFERROR(_xlfn.XLOOKUP(C568&amp;A568, Inside5!B:B&amp;Inside5!I:I, Inside5!F:F), 0)</f>
        <v>0</v>
      </c>
      <c r="K568" cm="1">
        <f t="array" ref="K568">IFERROR(_xlfn.XLOOKUP(C568&amp;A568, Inside5!B:B&amp;Inside5!I:I, Inside5!G:G), 0)</f>
        <v>0</v>
      </c>
      <c r="L568" cm="1">
        <f t="array" ref="L568">IFERROR(_xlfn.XLOOKUP(C568&amp;A568, Inside5!B:B&amp;Inside5!I:I, Inside5!H:H), 0)</f>
        <v>0</v>
      </c>
      <c r="M568" cm="1">
        <f t="array" ref="M568">IFERROR(_xlfn.XLOOKUP(C568&amp;A568, TDrate!F:F&amp;TDrate!H:H, TDrate!B:B), "N/A")</f>
        <v>0</v>
      </c>
      <c r="N568" cm="1">
        <f t="array" ref="N568">IFERROR(_xlfn.XLOOKUP(C568&amp;A568, TDrate!F:F&amp;TDrate!H:H, TDrate!D:D), "N/A")</f>
        <v>7.7000000000000002E-3</v>
      </c>
    </row>
    <row r="569" spans="1:14" x14ac:dyDescent="0.45">
      <c r="A569" s="8">
        <v>2022</v>
      </c>
      <c r="B569" s="9" t="s">
        <v>651</v>
      </c>
      <c r="C569" s="10" t="str">
        <f t="shared" si="16"/>
        <v>Dontrell Hilliard</v>
      </c>
      <c r="D569" s="10" t="str">
        <f t="shared" si="17"/>
        <v>TEN</v>
      </c>
      <c r="E569" cm="1">
        <f t="array" aca="1" ref="E569" ca="1">IFERROR(_xlfn.XLOOKUP(C569&amp;A569, Inside5!B:B&amp;Inside5!I:I, Inside5!C:C), 0)</f>
        <v>0</v>
      </c>
      <c r="F569" cm="1">
        <f t="array" aca="1" ref="F569" ca="1">IFERROR(_xlfn.XLOOKUP(C569&amp;A569, Inside5!B:B&amp;Inside5!I:I, Inside5!D:D), 0)</f>
        <v>0</v>
      </c>
      <c r="G569" cm="1">
        <f t="array" ref="G569">IFERROR(_xlfn.XLOOKUP(C569&amp;A569, Inside5!B:B&amp;Inside5!I:I, Inside5!E:E), 0)</f>
        <v>0</v>
      </c>
      <c r="H569" t="str" cm="1">
        <f t="array" ref="H569">IFERROR(_xlfn.XLOOKUP(C569&amp;A569, TDrate!F:F&amp;TDrate!H:H, TDrate!C:C), "N/A")</f>
        <v>N/A</v>
      </c>
      <c r="I569" t="str" cm="1">
        <f t="array" ref="I569">IFERROR(_xlfn.XLOOKUP(C569&amp;A569, TDrate!F:F&amp;TDrate!H:H, TDrate!E:E), "N/A")</f>
        <v>N/A</v>
      </c>
      <c r="J569" cm="1">
        <f t="array" ref="J569">IFERROR(_xlfn.XLOOKUP(C569&amp;A569, Inside5!B:B&amp;Inside5!I:I, Inside5!F:F), 0)</f>
        <v>0</v>
      </c>
      <c r="K569" cm="1">
        <f t="array" aca="1" ref="K569" ca="1">IFERROR(_xlfn.XLOOKUP(C569&amp;A569, Inside5!B:B&amp;Inside5!I:I, Inside5!G:G), 0)</f>
        <v>0</v>
      </c>
      <c r="L569" cm="1">
        <f t="array" aca="1" ref="L569" ca="1">IFERROR(_xlfn.XLOOKUP(C569&amp;A569, Inside5!B:B&amp;Inside5!I:I, Inside5!H:H), 0)</f>
        <v>0</v>
      </c>
      <c r="M569" t="str" cm="1">
        <f t="array" ref="M569">IFERROR(_xlfn.XLOOKUP(C569&amp;A569, TDrate!F:F&amp;TDrate!H:H, TDrate!B:B), "N/A")</f>
        <v>N/A</v>
      </c>
      <c r="N569" t="str" cm="1">
        <f t="array" ref="N569">IFERROR(_xlfn.XLOOKUP(C569&amp;A569, TDrate!F:F&amp;TDrate!H:H, TDrate!D:D), "N/A")</f>
        <v>N/A</v>
      </c>
    </row>
    <row r="570" spans="1:14" x14ac:dyDescent="0.45">
      <c r="A570" s="5">
        <v>2022</v>
      </c>
      <c r="B570" s="6" t="s">
        <v>652</v>
      </c>
      <c r="C570" s="7" t="str">
        <f t="shared" si="16"/>
        <v>Deon Jackson</v>
      </c>
      <c r="D570" s="7" t="str">
        <f t="shared" si="17"/>
        <v>IND</v>
      </c>
      <c r="E570" cm="1">
        <f t="array" aca="1" ref="E570" ca="1">IFERROR(_xlfn.XLOOKUP(C570&amp;A570, Inside5!B:B&amp;Inside5!I:I, Inside5!C:C), 0)</f>
        <v>1</v>
      </c>
      <c r="F570" cm="1">
        <f t="array" aca="1" ref="F570" ca="1">IFERROR(_xlfn.XLOOKUP(C570&amp;A570, Inside5!B:B&amp;Inside5!I:I, Inside5!D:D), 0)</f>
        <v>1</v>
      </c>
      <c r="G570" cm="1">
        <f t="array" ref="G570">IFERROR(_xlfn.XLOOKUP(C570&amp;A570, Inside5!B:B&amp;Inside5!I:I, Inside5!E:E), 0)</f>
        <v>8.3000000000000004E-2</v>
      </c>
      <c r="H570" cm="1">
        <f t="array" ref="H570">IFERROR(_xlfn.XLOOKUP(C570&amp;A570, TDrate!F:F&amp;TDrate!H:H, TDrate!C:C), "N/A")</f>
        <v>1.47E-2</v>
      </c>
      <c r="I570" cm="1">
        <f t="array" ref="I570">IFERROR(_xlfn.XLOOKUP(C570&amp;A570, TDrate!F:F&amp;TDrate!H:H, TDrate!E:E), "N/A")</f>
        <v>1.5299999999999999E-2</v>
      </c>
      <c r="J570" cm="1">
        <f t="array" ref="J570">IFERROR(_xlfn.XLOOKUP(C570&amp;A570, Inside5!B:B&amp;Inside5!I:I, Inside5!F:F), 0)</f>
        <v>1</v>
      </c>
      <c r="K570" cm="1">
        <f t="array" ref="K570">IFERROR(_xlfn.XLOOKUP(C570&amp;A570, Inside5!B:B&amp;Inside5!I:I, Inside5!G:G), 0)</f>
        <v>1</v>
      </c>
      <c r="L570" cm="1">
        <f t="array" ref="L570">IFERROR(_xlfn.XLOOKUP(C570&amp;A570, Inside5!B:B&amp;Inside5!I:I, Inside5!H:H), 0)</f>
        <v>1</v>
      </c>
      <c r="M570" cm="1">
        <f t="array" ref="M570">IFERROR(_xlfn.XLOOKUP(C570&amp;A570, TDrate!F:F&amp;TDrate!H:H, TDrate!B:B), "N/A")</f>
        <v>2.9399999999999999E-2</v>
      </c>
      <c r="N570" cm="1">
        <f t="array" ref="N570">IFERROR(_xlfn.XLOOKUP(C570&amp;A570, TDrate!F:F&amp;TDrate!H:H, TDrate!D:D), "N/A")</f>
        <v>2.58E-2</v>
      </c>
    </row>
    <row r="571" spans="1:14" x14ac:dyDescent="0.45">
      <c r="A571" s="8">
        <v>2022</v>
      </c>
      <c r="B571" s="9" t="s">
        <v>552</v>
      </c>
      <c r="C571" s="10" t="str">
        <f t="shared" si="16"/>
        <v>Zack Moss</v>
      </c>
      <c r="D571" s="10" t="str">
        <f t="shared" si="17"/>
        <v>IND</v>
      </c>
      <c r="E571" cm="1">
        <f t="array" ref="E571">IFERROR(_xlfn.XLOOKUP(C571&amp;A571, Inside5!B:B&amp;Inside5!I:I, Inside5!C:C), 0)</f>
        <v>2</v>
      </c>
      <c r="F571" cm="1">
        <f t="array" ref="F571">IFERROR(_xlfn.XLOOKUP(C571&amp;A571, Inside5!B:B&amp;Inside5!I:I, Inside5!D:D), 0)</f>
        <v>0</v>
      </c>
      <c r="G571" cm="1">
        <f t="array" ref="G571">IFERROR(_xlfn.XLOOKUP(C571&amp;A571, Inside5!B:B&amp;Inside5!I:I, Inside5!E:E), 0)</f>
        <v>0.182</v>
      </c>
      <c r="H571" cm="1">
        <f t="array" ref="H571">IFERROR(_xlfn.XLOOKUP(C571&amp;A571, TDrate!F:F&amp;TDrate!H:H, TDrate!C:C), "N/A")</f>
        <v>1.0800000000000001E-2</v>
      </c>
      <c r="I571" cm="1">
        <f t="array" ref="I571">IFERROR(_xlfn.XLOOKUP(C571&amp;A571, TDrate!F:F&amp;TDrate!H:H, TDrate!E:E), "N/A")</f>
        <v>1.84E-2</v>
      </c>
      <c r="J571" cm="1">
        <f t="array" ref="J571">IFERROR(_xlfn.XLOOKUP(C571&amp;A571, Inside5!B:B&amp;Inside5!I:I, Inside5!F:F), 0)</f>
        <v>0</v>
      </c>
      <c r="K571" cm="1">
        <f t="array" ref="K571">IFERROR(_xlfn.XLOOKUP(C571&amp;A571, Inside5!B:B&amp;Inside5!I:I, Inside5!G:G), 0)</f>
        <v>0</v>
      </c>
      <c r="L571" cm="1">
        <f t="array" ref="L571">IFERROR(_xlfn.XLOOKUP(C571&amp;A571, Inside5!B:B&amp;Inside5!I:I, Inside5!H:H), 0)</f>
        <v>0</v>
      </c>
      <c r="M571" cm="1">
        <f t="array" ref="M571">IFERROR(_xlfn.XLOOKUP(C571&amp;A571, TDrate!F:F&amp;TDrate!H:H, TDrate!B:B), "N/A")</f>
        <v>0</v>
      </c>
      <c r="N571" cm="1">
        <f t="array" ref="N571">IFERROR(_xlfn.XLOOKUP(C571&amp;A571, TDrate!F:F&amp;TDrate!H:H, TDrate!D:D), "N/A")</f>
        <v>5.0000000000000001E-3</v>
      </c>
    </row>
    <row r="572" spans="1:14" x14ac:dyDescent="0.45">
      <c r="A572" s="5">
        <v>2022</v>
      </c>
      <c r="B572" s="6" t="s">
        <v>653</v>
      </c>
      <c r="C572" s="7" t="str">
        <f t="shared" si="16"/>
        <v>Nyheim Miller-Hines</v>
      </c>
      <c r="D572" s="7" t="str">
        <f t="shared" si="17"/>
        <v>BUF</v>
      </c>
      <c r="E572" cm="1">
        <f t="array" ref="E572">IFERROR(_xlfn.XLOOKUP(C572&amp;A572, Inside5!B:B&amp;Inside5!I:I, Inside5!C:C), 0)</f>
        <v>2</v>
      </c>
      <c r="F572" cm="1">
        <f t="array" ref="F572">IFERROR(_xlfn.XLOOKUP(C572&amp;A572, Inside5!B:B&amp;Inside5!I:I, Inside5!D:D), 0)</f>
        <v>0</v>
      </c>
      <c r="G572" cm="1">
        <f t="array" ref="G572">IFERROR(_xlfn.XLOOKUP(C572&amp;A572, Inside5!B:B&amp;Inside5!I:I, Inside5!E:E), 0)</f>
        <v>0.16700000000000001</v>
      </c>
      <c r="H572" t="str" cm="1">
        <f t="array" ref="H572">IFERROR(_xlfn.XLOOKUP(C572&amp;A572, TDrate!F:F&amp;TDrate!H:H, TDrate!C:C), "N/A")</f>
        <v>N/A</v>
      </c>
      <c r="I572" t="str" cm="1">
        <f t="array" ref="I572">IFERROR(_xlfn.XLOOKUP(C572&amp;A572, TDrate!F:F&amp;TDrate!H:H, TDrate!E:E), "N/A")</f>
        <v>N/A</v>
      </c>
      <c r="J572" cm="1">
        <f t="array" ref="J572">IFERROR(_xlfn.XLOOKUP(C572&amp;A572, Inside5!B:B&amp;Inside5!I:I, Inside5!F:F), 0)</f>
        <v>0</v>
      </c>
      <c r="K572" cm="1">
        <f t="array" aca="1" ref="K572" ca="1">IFERROR(_xlfn.XLOOKUP(C572&amp;A572, Inside5!B:B&amp;Inside5!I:I, Inside5!G:G), 0)</f>
        <v>0</v>
      </c>
      <c r="L572" cm="1">
        <f t="array" ref="L572">IFERROR(_xlfn.XLOOKUP(C572&amp;A572, Inside5!B:B&amp;Inside5!I:I, Inside5!H:H), 0)</f>
        <v>0</v>
      </c>
      <c r="M572" t="str" cm="1">
        <f t="array" ref="M572">IFERROR(_xlfn.XLOOKUP(C572&amp;A572, TDrate!F:F&amp;TDrate!H:H, TDrate!B:B), "N/A")</f>
        <v>N/A</v>
      </c>
      <c r="N572" t="str" cm="1">
        <f t="array" ref="N572">IFERROR(_xlfn.XLOOKUP(C572&amp;A572, TDrate!F:F&amp;TDrate!H:H, TDrate!D:D), "N/A")</f>
        <v>N/A</v>
      </c>
    </row>
    <row r="573" spans="1:14" x14ac:dyDescent="0.45">
      <c r="A573" s="8">
        <v>2022</v>
      </c>
      <c r="B573" s="9" t="s">
        <v>566</v>
      </c>
      <c r="C573" s="10" t="str">
        <f t="shared" si="16"/>
        <v>Joshua Kelley</v>
      </c>
      <c r="D573" s="10" t="str">
        <f t="shared" si="17"/>
        <v>LAC</v>
      </c>
      <c r="E573" cm="1">
        <f t="array" aca="1" ref="E573" ca="1">IFERROR(_xlfn.XLOOKUP(C573&amp;A573, Inside5!B:B&amp;Inside5!I:I, Inside5!C:C), 0)</f>
        <v>4</v>
      </c>
      <c r="F573" cm="1">
        <f t="array" aca="1" ref="F573" ca="1">IFERROR(_xlfn.XLOOKUP(C573&amp;A573, Inside5!B:B&amp;Inside5!I:I, Inside5!D:D), 0)</f>
        <v>2</v>
      </c>
      <c r="G573" cm="1">
        <f t="array" ref="G573">IFERROR(_xlfn.XLOOKUP(C573&amp;A573, Inside5!B:B&amp;Inside5!I:I, Inside5!E:E), 0)</f>
        <v>0.23499999999999999</v>
      </c>
      <c r="H573" cm="1">
        <f t="array" ref="H573">IFERROR(_xlfn.XLOOKUP(C573&amp;A573, TDrate!F:F&amp;TDrate!H:H, TDrate!C:C), "N/A")</f>
        <v>2.9000000000000001E-2</v>
      </c>
      <c r="I573" cm="1">
        <f t="array" ref="I573">IFERROR(_xlfn.XLOOKUP(C573&amp;A573, TDrate!F:F&amp;TDrate!H:H, TDrate!E:E), "N/A")</f>
        <v>3.39E-2</v>
      </c>
      <c r="J573" cm="1">
        <f t="array" ref="J573">IFERROR(_xlfn.XLOOKUP(C573&amp;A573, Inside5!B:B&amp;Inside5!I:I, Inside5!F:F), 0)</f>
        <v>0</v>
      </c>
      <c r="K573" cm="1">
        <f t="array" ref="K573">IFERROR(_xlfn.XLOOKUP(C573&amp;A573, Inside5!B:B&amp;Inside5!I:I, Inside5!G:G), 0)</f>
        <v>0</v>
      </c>
      <c r="L573" cm="1">
        <f t="array" ref="L573">IFERROR(_xlfn.XLOOKUP(C573&amp;A573, Inside5!B:B&amp;Inside5!I:I, Inside5!H:H), 0)</f>
        <v>0</v>
      </c>
      <c r="M573" cm="1">
        <f t="array" ref="M573">IFERROR(_xlfn.XLOOKUP(C573&amp;A573, TDrate!F:F&amp;TDrate!H:H, TDrate!B:B), "N/A")</f>
        <v>0</v>
      </c>
      <c r="N573" cm="1">
        <f t="array" ref="N573">IFERROR(_xlfn.XLOOKUP(C573&amp;A573, TDrate!F:F&amp;TDrate!H:H, TDrate!D:D), "N/A")</f>
        <v>3.7000000000000002E-3</v>
      </c>
    </row>
    <row r="574" spans="1:14" x14ac:dyDescent="0.45">
      <c r="A574" s="5">
        <v>2022</v>
      </c>
      <c r="B574" s="6" t="s">
        <v>622</v>
      </c>
      <c r="C574" s="7" t="str">
        <f t="shared" si="16"/>
        <v>JaMycal Hasty</v>
      </c>
      <c r="D574" s="7" t="str">
        <f t="shared" si="17"/>
        <v>JAC</v>
      </c>
      <c r="E574" cm="1">
        <f t="array" ref="E574">IFERROR(_xlfn.XLOOKUP(C574&amp;A574, Inside5!B:B&amp;Inside5!I:I, Inside5!C:C), 0)</f>
        <v>3</v>
      </c>
      <c r="F574" cm="1">
        <f t="array" ref="F574">IFERROR(_xlfn.XLOOKUP(C574&amp;A574, Inside5!B:B&amp;Inside5!I:I, Inside5!D:D), 0)</f>
        <v>1</v>
      </c>
      <c r="G574" cm="1">
        <f t="array" ref="G574">IFERROR(_xlfn.XLOOKUP(C574&amp;A574, Inside5!B:B&amp;Inside5!I:I, Inside5!E:E), 0)</f>
        <v>0.17599999999999999</v>
      </c>
      <c r="H574" cm="1">
        <f t="array" ref="H574">IFERROR(_xlfn.XLOOKUP(C574&amp;A574, TDrate!F:F&amp;TDrate!H:H, TDrate!C:C), "N/A")</f>
        <v>4.3499999999999997E-2</v>
      </c>
      <c r="I574" cm="1">
        <f t="array" ref="I574">IFERROR(_xlfn.XLOOKUP(C574&amp;A574, TDrate!F:F&amp;TDrate!H:H, TDrate!E:E), "N/A")</f>
        <v>0.04</v>
      </c>
      <c r="J574" cm="1">
        <f t="array" ref="J574">IFERROR(_xlfn.XLOOKUP(C574&amp;A574, Inside5!B:B&amp;Inside5!I:I, Inside5!F:F), 0)</f>
        <v>0</v>
      </c>
      <c r="K574" cm="1">
        <f t="array" ref="K574">IFERROR(_xlfn.XLOOKUP(C574&amp;A574, Inside5!B:B&amp;Inside5!I:I, Inside5!G:G), 0)</f>
        <v>0</v>
      </c>
      <c r="L574" cm="1">
        <f t="array" ref="L574">IFERROR(_xlfn.XLOOKUP(C574&amp;A574, Inside5!B:B&amp;Inside5!I:I, Inside5!H:H), 0)</f>
        <v>0</v>
      </c>
      <c r="M574" cm="1">
        <f t="array" ref="M574">IFERROR(_xlfn.XLOOKUP(C574&amp;A574, TDrate!F:F&amp;TDrate!H:H, TDrate!B:B), "N/A")</f>
        <v>3.6999999999999998E-2</v>
      </c>
      <c r="N574" cm="1">
        <f t="array" ref="N574">IFERROR(_xlfn.XLOOKUP(C574&amp;A574, TDrate!F:F&amp;TDrate!H:H, TDrate!D:D), "N/A")</f>
        <v>2.7300000000000001E-2</v>
      </c>
    </row>
    <row r="575" spans="1:14" x14ac:dyDescent="0.45">
      <c r="A575" s="8">
        <v>2022</v>
      </c>
      <c r="B575" s="9" t="s">
        <v>654</v>
      </c>
      <c r="C575" s="10" t="str">
        <f t="shared" si="16"/>
        <v>Rashaad Penny</v>
      </c>
      <c r="D575" s="10" t="str">
        <f t="shared" si="17"/>
        <v>SEA</v>
      </c>
      <c r="E575" cm="1">
        <f t="array" aca="1" ref="E575" ca="1">IFERROR(_xlfn.XLOOKUP(C575&amp;A575, Inside5!B:B&amp;Inside5!I:I, Inside5!C:C), 0)</f>
        <v>0</v>
      </c>
      <c r="F575" cm="1">
        <f t="array" aca="1" ref="F575" ca="1">IFERROR(_xlfn.XLOOKUP(C575&amp;A575, Inside5!B:B&amp;Inside5!I:I, Inside5!D:D), 0)</f>
        <v>0</v>
      </c>
      <c r="G575" cm="1">
        <f t="array" ref="G575">IFERROR(_xlfn.XLOOKUP(C575&amp;A575, Inside5!B:B&amp;Inside5!I:I, Inside5!E:E), 0)</f>
        <v>0</v>
      </c>
      <c r="H575" cm="1">
        <f t="array" ref="H575">IFERROR(_xlfn.XLOOKUP(C575&amp;A575, TDrate!F:F&amp;TDrate!H:H, TDrate!C:C), "N/A")</f>
        <v>3.5099999999999999E-2</v>
      </c>
      <c r="I575" cm="1">
        <f t="array" ref="I575">IFERROR(_xlfn.XLOOKUP(C575&amp;A575, TDrate!F:F&amp;TDrate!H:H, TDrate!E:E), "N/A")</f>
        <v>2.2200000000000001E-2</v>
      </c>
      <c r="J575" cm="1">
        <f t="array" ref="J575">IFERROR(_xlfn.XLOOKUP(C575&amp;A575, Inside5!B:B&amp;Inside5!I:I, Inside5!F:F), 0)</f>
        <v>0</v>
      </c>
      <c r="K575" cm="1">
        <f t="array" aca="1" ref="K575" ca="1">IFERROR(_xlfn.XLOOKUP(C575&amp;A575, Inside5!B:B&amp;Inside5!I:I, Inside5!G:G), 0)</f>
        <v>0</v>
      </c>
      <c r="L575" cm="1">
        <f t="array" ref="L575">IFERROR(_xlfn.XLOOKUP(C575&amp;A575, Inside5!B:B&amp;Inside5!I:I, Inside5!H:H), 0)</f>
        <v>0</v>
      </c>
      <c r="M575" cm="1">
        <f t="array" ref="M575">IFERROR(_xlfn.XLOOKUP(C575&amp;A575, TDrate!F:F&amp;TDrate!H:H, TDrate!B:B), "N/A")</f>
        <v>0</v>
      </c>
      <c r="N575" cm="1">
        <f t="array" ref="N575">IFERROR(_xlfn.XLOOKUP(C575&amp;A575, TDrate!F:F&amp;TDrate!H:H, TDrate!D:D), "N/A")</f>
        <v>1.23E-2</v>
      </c>
    </row>
    <row r="576" spans="1:14" x14ac:dyDescent="0.45">
      <c r="A576" s="5">
        <v>2022</v>
      </c>
      <c r="B576" s="6" t="s">
        <v>655</v>
      </c>
      <c r="C576" s="7" t="str">
        <f t="shared" si="16"/>
        <v>Bam Knight</v>
      </c>
      <c r="D576" s="7" t="str">
        <f t="shared" si="17"/>
        <v>NYJ</v>
      </c>
      <c r="E576" cm="1">
        <f t="array" aca="1" ref="E576" ca="1">IFERROR(_xlfn.XLOOKUP(C576&amp;A576, Inside5!B:B&amp;Inside5!I:I, Inside5!C:C), 0)</f>
        <v>3</v>
      </c>
      <c r="F576" cm="1">
        <f t="array" aca="1" ref="F576" ca="1">IFERROR(_xlfn.XLOOKUP(C576&amp;A576, Inside5!B:B&amp;Inside5!I:I, Inside5!D:D), 0)</f>
        <v>0</v>
      </c>
      <c r="G576" cm="1">
        <f t="array" ref="G576">IFERROR(_xlfn.XLOOKUP(C576&amp;A576, Inside5!B:B&amp;Inside5!I:I, Inside5!E:E), 0)</f>
        <v>0.158</v>
      </c>
      <c r="H576" cm="1">
        <f t="array" ref="H576">IFERROR(_xlfn.XLOOKUP(C576&amp;A576, TDrate!F:F&amp;TDrate!H:H, TDrate!C:C), "N/A")</f>
        <v>1.18E-2</v>
      </c>
      <c r="I576" cm="1">
        <f t="array" ref="I576">IFERROR(_xlfn.XLOOKUP(C576&amp;A576, TDrate!F:F&amp;TDrate!H:H, TDrate!E:E), "N/A")</f>
        <v>1.7000000000000001E-2</v>
      </c>
      <c r="J576" cm="1">
        <f t="array" ref="J576">IFERROR(_xlfn.XLOOKUP(C576&amp;A576, Inside5!B:B&amp;Inside5!I:I, Inside5!F:F), 0)</f>
        <v>0</v>
      </c>
      <c r="K576" cm="1">
        <f t="array" ref="K576">IFERROR(_xlfn.XLOOKUP(C576&amp;A576, Inside5!B:B&amp;Inside5!I:I, Inside5!G:G), 0)</f>
        <v>0</v>
      </c>
      <c r="L576" cm="1">
        <f t="array" ref="L576">IFERROR(_xlfn.XLOOKUP(C576&amp;A576, Inside5!B:B&amp;Inside5!I:I, Inside5!H:H), 0)</f>
        <v>0</v>
      </c>
      <c r="M576" cm="1">
        <f t="array" ref="M576">IFERROR(_xlfn.XLOOKUP(C576&amp;A576, TDrate!F:F&amp;TDrate!H:H, TDrate!B:B), "N/A")</f>
        <v>0</v>
      </c>
      <c r="N576" cm="1">
        <f t="array" ref="N576">IFERROR(_xlfn.XLOOKUP(C576&amp;A576, TDrate!F:F&amp;TDrate!H:H, TDrate!D:D), "N/A")</f>
        <v>7.7000000000000002E-3</v>
      </c>
    </row>
    <row r="577" spans="1:14" x14ac:dyDescent="0.45">
      <c r="A577" s="8">
        <v>2022</v>
      </c>
      <c r="B577" s="9" t="s">
        <v>656</v>
      </c>
      <c r="C577" s="10" t="str">
        <f t="shared" si="16"/>
        <v>Caleb Huntley</v>
      </c>
      <c r="D577" s="10" t="str">
        <f t="shared" si="17"/>
        <v>ATL</v>
      </c>
      <c r="E577" cm="1">
        <f t="array" ref="E577">IFERROR(_xlfn.XLOOKUP(C577&amp;A577, Inside5!B:B&amp;Inside5!I:I, Inside5!C:C), 0)</f>
        <v>3</v>
      </c>
      <c r="F577" cm="1">
        <f t="array" ref="F577">IFERROR(_xlfn.XLOOKUP(C577&amp;A577, Inside5!B:B&amp;Inside5!I:I, Inside5!D:D), 0)</f>
        <v>1</v>
      </c>
      <c r="G577" cm="1">
        <f t="array" ref="G577">IFERROR(_xlfn.XLOOKUP(C577&amp;A577, Inside5!B:B&amp;Inside5!I:I, Inside5!E:E), 0)</f>
        <v>0.158</v>
      </c>
      <c r="H577" cm="1">
        <f t="array" ref="H577">IFERROR(_xlfn.XLOOKUP(C577&amp;A577, TDrate!F:F&amp;TDrate!H:H, TDrate!C:C), "N/A")</f>
        <v>1.32E-2</v>
      </c>
      <c r="I577" cm="1">
        <f t="array" ref="I577">IFERROR(_xlfn.XLOOKUP(C577&amp;A577, TDrate!F:F&amp;TDrate!H:H, TDrate!E:E), "N/A")</f>
        <v>2.2800000000000001E-2</v>
      </c>
      <c r="J577" cm="1">
        <f t="array" ref="J577">IFERROR(_xlfn.XLOOKUP(C577&amp;A577, Inside5!B:B&amp;Inside5!I:I, Inside5!F:F), 0)</f>
        <v>0</v>
      </c>
      <c r="K577" cm="1">
        <f t="array" ref="K577">IFERROR(_xlfn.XLOOKUP(C577&amp;A577, Inside5!B:B&amp;Inside5!I:I, Inside5!G:G), 0)</f>
        <v>0</v>
      </c>
      <c r="L577" cm="1">
        <f t="array" ref="L577">IFERROR(_xlfn.XLOOKUP(C577&amp;A577, Inside5!B:B&amp;Inside5!I:I, Inside5!H:H), 0)</f>
        <v>0</v>
      </c>
      <c r="M577" cm="1">
        <f t="array" ref="M577">IFERROR(_xlfn.XLOOKUP(C577&amp;A577, TDrate!F:F&amp;TDrate!H:H, TDrate!B:B), "N/A")</f>
        <v>0</v>
      </c>
      <c r="N577" cm="1">
        <f t="array" ref="N577">IFERROR(_xlfn.XLOOKUP(C577&amp;A577, TDrate!F:F&amp;TDrate!H:H, TDrate!D:D), "N/A")</f>
        <v>1.1999999999999999E-3</v>
      </c>
    </row>
    <row r="578" spans="1:14" x14ac:dyDescent="0.45">
      <c r="A578" s="5">
        <v>2022</v>
      </c>
      <c r="B578" s="6" t="s">
        <v>581</v>
      </c>
      <c r="C578" s="7" t="str">
        <f t="shared" ref="C578:C641" si="18">TRIM(LEFT(B578, LEN(B578) - LEN(TRIM(RIGHT(SUBSTITUTE(TRIM(B578)," ",REPT(" ",100)),100)))))</f>
        <v>Boston Scott</v>
      </c>
      <c r="D578" s="7" t="str">
        <f t="shared" ref="D578:D641" si="19">MID(B578, FIND("(", B578) + 1, FIND(")", B578) - FIND("(", B578) - 1)</f>
        <v>PHI</v>
      </c>
      <c r="E578" cm="1">
        <f t="array" aca="1" ref="E578" ca="1">IFERROR(_xlfn.XLOOKUP(C578&amp;A578, Inside5!B:B&amp;Inside5!I:I, Inside5!C:C), 0)</f>
        <v>2</v>
      </c>
      <c r="F578" cm="1">
        <f t="array" aca="1" ref="F578" ca="1">IFERROR(_xlfn.XLOOKUP(C578&amp;A578, Inside5!B:B&amp;Inside5!I:I, Inside5!D:D), 0)</f>
        <v>2</v>
      </c>
      <c r="G578" cm="1">
        <f t="array" ref="G578">IFERROR(_xlfn.XLOOKUP(C578&amp;A578, Inside5!B:B&amp;Inside5!I:I, Inside5!E:E), 0)</f>
        <v>9.0999999999999998E-2</v>
      </c>
      <c r="H578" cm="1">
        <f t="array" ref="H578">IFERROR(_xlfn.XLOOKUP(C578&amp;A578, TDrate!F:F&amp;TDrate!H:H, TDrate!C:C), "N/A")</f>
        <v>5.5599999999999997E-2</v>
      </c>
      <c r="I578" cm="1">
        <f t="array" ref="I578">IFERROR(_xlfn.XLOOKUP(C578&amp;A578, TDrate!F:F&amp;TDrate!H:H, TDrate!E:E), "N/A")</f>
        <v>4.6600000000000003E-2</v>
      </c>
      <c r="J578" cm="1">
        <f t="array" ref="J578">IFERROR(_xlfn.XLOOKUP(C578&amp;A578, Inside5!B:B&amp;Inside5!I:I, Inside5!F:F), 0)</f>
        <v>0</v>
      </c>
      <c r="K578" cm="1">
        <f t="array" ref="K578">IFERROR(_xlfn.XLOOKUP(C578&amp;A578, Inside5!B:B&amp;Inside5!I:I, Inside5!G:G), 0)</f>
        <v>0</v>
      </c>
      <c r="L578" cm="1">
        <f t="array" ref="L578">IFERROR(_xlfn.XLOOKUP(C578&amp;A578, Inside5!B:B&amp;Inside5!I:I, Inside5!H:H), 0)</f>
        <v>0</v>
      </c>
      <c r="M578" cm="1">
        <f t="array" ref="M578">IFERROR(_xlfn.XLOOKUP(C578&amp;A578, TDrate!F:F&amp;TDrate!H:H, TDrate!B:B), "N/A")</f>
        <v>0</v>
      </c>
      <c r="N578" cm="1">
        <f t="array" ref="N578">IFERROR(_xlfn.XLOOKUP(C578&amp;A578, TDrate!F:F&amp;TDrate!H:H, TDrate!D:D), "N/A")</f>
        <v>1.8E-3</v>
      </c>
    </row>
    <row r="579" spans="1:14" x14ac:dyDescent="0.45">
      <c r="A579" s="8">
        <v>2022</v>
      </c>
      <c r="B579" s="9" t="s">
        <v>568</v>
      </c>
      <c r="C579" s="10" t="str">
        <f t="shared" si="18"/>
        <v>Elijah Mitchell</v>
      </c>
      <c r="D579" s="10" t="str">
        <f t="shared" si="19"/>
        <v>SF</v>
      </c>
      <c r="E579" cm="1">
        <f t="array" aca="1" ref="E579" ca="1">IFERROR(_xlfn.XLOOKUP(C579&amp;A579, Inside5!B:B&amp;Inside5!I:I, Inside5!C:C), 0)</f>
        <v>2</v>
      </c>
      <c r="F579" cm="1">
        <f t="array" aca="1" ref="F579" ca="1">IFERROR(_xlfn.XLOOKUP(C579&amp;A579, Inside5!B:B&amp;Inside5!I:I, Inside5!D:D), 0)</f>
        <v>0</v>
      </c>
      <c r="G579" cm="1">
        <f t="array" ref="G579">IFERROR(_xlfn.XLOOKUP(C579&amp;A579, Inside5!B:B&amp;Inside5!I:I, Inside5!E:E), 0)</f>
        <v>0.105</v>
      </c>
      <c r="H579" cm="1">
        <f t="array" ref="H579">IFERROR(_xlfn.XLOOKUP(C579&amp;A579, TDrate!F:F&amp;TDrate!H:H, TDrate!C:C), "N/A")</f>
        <v>4.4400000000000002E-2</v>
      </c>
      <c r="I579" cm="1">
        <f t="array" ref="I579">IFERROR(_xlfn.XLOOKUP(C579&amp;A579, TDrate!F:F&amp;TDrate!H:H, TDrate!E:E), "N/A")</f>
        <v>4.5199999999999997E-2</v>
      </c>
      <c r="J579" cm="1">
        <f t="array" ref="J579">IFERROR(_xlfn.XLOOKUP(C579&amp;A579, Inside5!B:B&amp;Inside5!I:I, Inside5!F:F), 0)</f>
        <v>0</v>
      </c>
      <c r="K579" cm="1">
        <f t="array" aca="1" ref="K579" ca="1">IFERROR(_xlfn.XLOOKUP(C579&amp;A579, Inside5!B:B&amp;Inside5!I:I, Inside5!G:G), 0)</f>
        <v>0</v>
      </c>
      <c r="L579" cm="1">
        <f t="array" ref="L579">IFERROR(_xlfn.XLOOKUP(C579&amp;A579, Inside5!B:B&amp;Inside5!I:I, Inside5!H:H), 0)</f>
        <v>0</v>
      </c>
      <c r="M579" cm="1">
        <f t="array" ref="M579">IFERROR(_xlfn.XLOOKUP(C579&amp;A579, TDrate!F:F&amp;TDrate!H:H, TDrate!B:B), "N/A")</f>
        <v>0</v>
      </c>
      <c r="N579" cm="1">
        <f t="array" ref="N579">IFERROR(_xlfn.XLOOKUP(C579&amp;A579, TDrate!F:F&amp;TDrate!H:H, TDrate!D:D), "N/A")</f>
        <v>3.6200000000000003E-2</v>
      </c>
    </row>
    <row r="580" spans="1:14" x14ac:dyDescent="0.45">
      <c r="A580" s="5">
        <v>2022</v>
      </c>
      <c r="B580" s="6" t="s">
        <v>570</v>
      </c>
      <c r="C580" s="7" t="str">
        <f t="shared" si="18"/>
        <v>Matt Breida</v>
      </c>
      <c r="D580" s="7" t="str">
        <f t="shared" si="19"/>
        <v>NYG</v>
      </c>
      <c r="E580" cm="1">
        <f t="array" aca="1" ref="E580" ca="1">IFERROR(_xlfn.XLOOKUP(C580&amp;A580, Inside5!B:B&amp;Inside5!I:I, Inside5!C:C), 0)</f>
        <v>1</v>
      </c>
      <c r="F580" cm="1">
        <f t="array" ref="F580">IFERROR(_xlfn.XLOOKUP(C580&amp;A580, Inside5!B:B&amp;Inside5!I:I, Inside5!D:D), 0)</f>
        <v>1</v>
      </c>
      <c r="G580" cm="1">
        <f t="array" ref="G580">IFERROR(_xlfn.XLOOKUP(C580&amp;A580, Inside5!B:B&amp;Inside5!I:I, Inside5!E:E), 0)</f>
        <v>5.8999999999999997E-2</v>
      </c>
      <c r="H580" cm="1">
        <f t="array" ref="H580">IFERROR(_xlfn.XLOOKUP(C580&amp;A580, TDrate!F:F&amp;TDrate!H:H, TDrate!C:C), "N/A")</f>
        <v>1.8499999999999999E-2</v>
      </c>
      <c r="I580" cm="1">
        <f t="array" ref="I580">IFERROR(_xlfn.XLOOKUP(C580&amp;A580, TDrate!F:F&amp;TDrate!H:H, TDrate!E:E), "N/A")</f>
        <v>2.1100000000000001E-2</v>
      </c>
      <c r="J580" cm="1">
        <f t="array" ref="J580">IFERROR(_xlfn.XLOOKUP(C580&amp;A580, Inside5!B:B&amp;Inside5!I:I, Inside5!F:F), 0)</f>
        <v>0</v>
      </c>
      <c r="K580" cm="1">
        <f t="array" ref="K580">IFERROR(_xlfn.XLOOKUP(C580&amp;A580, Inside5!B:B&amp;Inside5!I:I, Inside5!G:G), 0)</f>
        <v>0</v>
      </c>
      <c r="L580" cm="1">
        <f t="array" ref="L580">IFERROR(_xlfn.XLOOKUP(C580&amp;A580, Inside5!B:B&amp;Inside5!I:I, Inside5!H:H), 0)</f>
        <v>0</v>
      </c>
      <c r="M580" cm="1">
        <f t="array" ref="M580">IFERROR(_xlfn.XLOOKUP(C580&amp;A580, TDrate!F:F&amp;TDrate!H:H, TDrate!B:B), "N/A")</f>
        <v>0</v>
      </c>
      <c r="N580" cm="1">
        <f t="array" ref="N580">IFERROR(_xlfn.XLOOKUP(C580&amp;A580, TDrate!F:F&amp;TDrate!H:H, TDrate!D:D), "N/A")</f>
        <v>3.2000000000000002E-3</v>
      </c>
    </row>
    <row r="581" spans="1:14" x14ac:dyDescent="0.45">
      <c r="A581" s="8">
        <v>2022</v>
      </c>
      <c r="B581" s="9" t="s">
        <v>657</v>
      </c>
      <c r="C581" s="10" t="str">
        <f t="shared" si="18"/>
        <v>Justin Jackson</v>
      </c>
      <c r="D581" s="10" t="str">
        <f t="shared" si="19"/>
        <v>DET</v>
      </c>
      <c r="E581" cm="1">
        <f t="array" aca="1" ref="E581" ca="1">IFERROR(_xlfn.XLOOKUP(C581&amp;A581, Inside5!B:B&amp;Inside5!I:I, Inside5!C:C), 0)</f>
        <v>1</v>
      </c>
      <c r="F581" cm="1">
        <f t="array" ref="F581">IFERROR(_xlfn.XLOOKUP(C581&amp;A581, Inside5!B:B&amp;Inside5!I:I, Inside5!D:D), 0)</f>
        <v>0</v>
      </c>
      <c r="G581" cm="1">
        <f t="array" ref="G581">IFERROR(_xlfn.XLOOKUP(C581&amp;A581, Inside5!B:B&amp;Inside5!I:I, Inside5!E:E), 0)</f>
        <v>2.9000000000000001E-2</v>
      </c>
      <c r="H581" cm="1">
        <f t="array" ref="H581">IFERROR(_xlfn.XLOOKUP(C581&amp;A581, TDrate!F:F&amp;TDrate!H:H, TDrate!C:C), "N/A")</f>
        <v>2.3800000000000002E-2</v>
      </c>
      <c r="I581" cm="1">
        <f t="array" ref="I581">IFERROR(_xlfn.XLOOKUP(C581&amp;A581, TDrate!F:F&amp;TDrate!H:H, TDrate!E:E), "N/A")</f>
        <v>2.2200000000000001E-2</v>
      </c>
      <c r="J581" cm="1">
        <f t="array" ref="J581">IFERROR(_xlfn.XLOOKUP(C581&amp;A581, Inside5!B:B&amp;Inside5!I:I, Inside5!F:F), 0)</f>
        <v>1</v>
      </c>
      <c r="K581" cm="1">
        <f t="array" aca="1" ref="K581" ca="1">IFERROR(_xlfn.XLOOKUP(C581&amp;A581, Inside5!B:B&amp;Inside5!I:I, Inside5!G:G), 0)</f>
        <v>1</v>
      </c>
      <c r="L581" cm="1">
        <f t="array" ref="L581">IFERROR(_xlfn.XLOOKUP(C581&amp;A581, Inside5!B:B&amp;Inside5!I:I, Inside5!H:H), 0)</f>
        <v>1</v>
      </c>
      <c r="M581" cm="1">
        <f t="array" ref="M581">IFERROR(_xlfn.XLOOKUP(C581&amp;A581, TDrate!F:F&amp;TDrate!H:H, TDrate!B:B), "N/A")</f>
        <v>5.2600000000000001E-2</v>
      </c>
      <c r="N581" cm="1">
        <f t="array" ref="N581">IFERROR(_xlfn.XLOOKUP(C581&amp;A581, TDrate!F:F&amp;TDrate!H:H, TDrate!D:D), "N/A")</f>
        <v>4.8899999999999999E-2</v>
      </c>
    </row>
    <row r="582" spans="1:14" x14ac:dyDescent="0.45">
      <c r="A582" s="5">
        <v>2022</v>
      </c>
      <c r="B582" s="6" t="s">
        <v>469</v>
      </c>
      <c r="C582" s="7" t="str">
        <f t="shared" si="18"/>
        <v>Kyle Juszczyk</v>
      </c>
      <c r="D582" s="7" t="str">
        <f t="shared" si="19"/>
        <v>SF</v>
      </c>
      <c r="E582" cm="1">
        <f t="array" ref="E582">IFERROR(_xlfn.XLOOKUP(C582&amp;A582, Inside5!B:B&amp;Inside5!I:I, Inside5!C:C), 0)</f>
        <v>2</v>
      </c>
      <c r="F582" cm="1">
        <f t="array" aca="1" ref="F582" ca="1">IFERROR(_xlfn.XLOOKUP(C582&amp;A582, Inside5!B:B&amp;Inside5!I:I, Inside5!D:D), 0)</f>
        <v>1</v>
      </c>
      <c r="G582" cm="1">
        <f t="array" ref="G582">IFERROR(_xlfn.XLOOKUP(C582&amp;A582, Inside5!B:B&amp;Inside5!I:I, Inside5!E:E), 0)</f>
        <v>0.105</v>
      </c>
      <c r="H582" t="str" cm="1">
        <f t="array" ref="H582">IFERROR(_xlfn.XLOOKUP(C582&amp;A582, TDrate!F:F&amp;TDrate!H:H, TDrate!C:C), "N/A")</f>
        <v>N/A</v>
      </c>
      <c r="I582" t="str" cm="1">
        <f t="array" ref="I582">IFERROR(_xlfn.XLOOKUP(C582&amp;A582, TDrate!F:F&amp;TDrate!H:H, TDrate!E:E), "N/A")</f>
        <v>N/A</v>
      </c>
      <c r="J582" cm="1">
        <f t="array" ref="J582">IFERROR(_xlfn.XLOOKUP(C582&amp;A582, Inside5!B:B&amp;Inside5!I:I, Inside5!F:F), 0)</f>
        <v>1</v>
      </c>
      <c r="K582" cm="1">
        <f t="array" ref="K582">IFERROR(_xlfn.XLOOKUP(C582&amp;A582, Inside5!B:B&amp;Inside5!I:I, Inside5!G:G), 0)</f>
        <v>1</v>
      </c>
      <c r="L582" cm="1">
        <f t="array" ref="L582">IFERROR(_xlfn.XLOOKUP(C582&amp;A582, Inside5!B:B&amp;Inside5!I:I, Inside5!H:H), 0)</f>
        <v>1</v>
      </c>
      <c r="M582" t="str" cm="1">
        <f t="array" ref="M582">IFERROR(_xlfn.XLOOKUP(C582&amp;A582, TDrate!F:F&amp;TDrate!H:H, TDrate!B:B), "N/A")</f>
        <v>N/A</v>
      </c>
      <c r="N582" t="str" cm="1">
        <f t="array" ref="N582">IFERROR(_xlfn.XLOOKUP(C582&amp;A582, TDrate!F:F&amp;TDrate!H:H, TDrate!D:D), "N/A")</f>
        <v>N/A</v>
      </c>
    </row>
    <row r="583" spans="1:14" x14ac:dyDescent="0.45">
      <c r="A583" s="8">
        <v>2022</v>
      </c>
      <c r="B583" s="9" t="s">
        <v>658</v>
      </c>
      <c r="C583" s="10" t="str">
        <f t="shared" si="18"/>
        <v>Rex Burkhead</v>
      </c>
      <c r="D583" s="10" t="str">
        <f t="shared" si="19"/>
        <v>HOU</v>
      </c>
      <c r="E583" cm="1">
        <f t="array" aca="1" ref="E583" ca="1">IFERROR(_xlfn.XLOOKUP(C583&amp;A583, Inside5!B:B&amp;Inside5!I:I, Inside5!C:C), 0)</f>
        <v>3</v>
      </c>
      <c r="F583" cm="1">
        <f t="array" ref="F583">IFERROR(_xlfn.XLOOKUP(C583&amp;A583, Inside5!B:B&amp;Inside5!I:I, Inside5!D:D), 0)</f>
        <v>0</v>
      </c>
      <c r="G583" cm="1">
        <f t="array" ref="G583">IFERROR(_xlfn.XLOOKUP(C583&amp;A583, Inside5!B:B&amp;Inside5!I:I, Inside5!E:E), 0)</f>
        <v>0.214</v>
      </c>
      <c r="H583" cm="1">
        <f t="array" ref="H583">IFERROR(_xlfn.XLOOKUP(C583&amp;A583, TDrate!F:F&amp;TDrate!H:H, TDrate!C:C), "N/A")</f>
        <v>0</v>
      </c>
      <c r="I583" cm="1">
        <f t="array" ref="I583">IFERROR(_xlfn.XLOOKUP(C583&amp;A583, TDrate!F:F&amp;TDrate!H:H, TDrate!E:E), "N/A")</f>
        <v>2.52E-2</v>
      </c>
      <c r="J583" cm="1">
        <f t="array" ref="J583">IFERROR(_xlfn.XLOOKUP(C583&amp;A583, Inside5!B:B&amp;Inside5!I:I, Inside5!F:F), 0)</f>
        <v>0</v>
      </c>
      <c r="K583" cm="1">
        <f t="array" ref="K583">IFERROR(_xlfn.XLOOKUP(C583&amp;A583, Inside5!B:B&amp;Inside5!I:I, Inside5!G:G), 0)</f>
        <v>0</v>
      </c>
      <c r="L583" cm="1">
        <f t="array" ref="L583">IFERROR(_xlfn.XLOOKUP(C583&amp;A583, Inside5!B:B&amp;Inside5!I:I, Inside5!H:H), 0)</f>
        <v>0</v>
      </c>
      <c r="M583" cm="1">
        <f t="array" ref="M583">IFERROR(_xlfn.XLOOKUP(C583&amp;A583, TDrate!F:F&amp;TDrate!H:H, TDrate!B:B), "N/A")</f>
        <v>1.9599999999999999E-2</v>
      </c>
      <c r="N583" cm="1">
        <f t="array" ref="N583">IFERROR(_xlfn.XLOOKUP(C583&amp;A583, TDrate!F:F&amp;TDrate!H:H, TDrate!D:D), "N/A")</f>
        <v>2.8000000000000001E-2</v>
      </c>
    </row>
    <row r="584" spans="1:14" x14ac:dyDescent="0.45">
      <c r="A584" s="5">
        <v>2022</v>
      </c>
      <c r="B584" s="6" t="s">
        <v>659</v>
      </c>
      <c r="C584" s="7" t="str">
        <f t="shared" si="18"/>
        <v>Mark Ingram II</v>
      </c>
      <c r="D584" s="7" t="str">
        <f t="shared" si="19"/>
        <v>NO</v>
      </c>
      <c r="E584" cm="1">
        <f t="array" aca="1" ref="E584" ca="1">IFERROR(_xlfn.XLOOKUP(C584&amp;A584, Inside5!B:B&amp;Inside5!I:I, Inside5!C:C), 0)</f>
        <v>2</v>
      </c>
      <c r="F584" cm="1">
        <f t="array" aca="1" ref="F584" ca="1">IFERROR(_xlfn.XLOOKUP(C584&amp;A584, Inside5!B:B&amp;Inside5!I:I, Inside5!D:D), 0)</f>
        <v>1</v>
      </c>
      <c r="G584" cm="1">
        <f t="array" ref="G584">IFERROR(_xlfn.XLOOKUP(C584&amp;A584, Inside5!B:B&amp;Inside5!I:I, Inside5!E:E), 0)</f>
        <v>0.33300000000000002</v>
      </c>
      <c r="H584" cm="1">
        <f t="array" ref="H584">IFERROR(_xlfn.XLOOKUP(C584&amp;A584, TDrate!F:F&amp;TDrate!H:H, TDrate!C:C), "N/A")</f>
        <v>1.61E-2</v>
      </c>
      <c r="I584" cm="1">
        <f t="array" ref="I584">IFERROR(_xlfn.XLOOKUP(C584&amp;A584, TDrate!F:F&amp;TDrate!H:H, TDrate!E:E), "N/A")</f>
        <v>1.83E-2</v>
      </c>
      <c r="J584" cm="1">
        <f t="array" ref="J584">IFERROR(_xlfn.XLOOKUP(C584&amp;A584, Inside5!B:B&amp;Inside5!I:I, Inside5!F:F), 0)</f>
        <v>0</v>
      </c>
      <c r="K584" cm="1">
        <f t="array" aca="1" ref="K584" ca="1">IFERROR(_xlfn.XLOOKUP(C584&amp;A584, Inside5!B:B&amp;Inside5!I:I, Inside5!G:G), 0)</f>
        <v>1</v>
      </c>
      <c r="L584" cm="1">
        <f t="array" ref="L584">IFERROR(_xlfn.XLOOKUP(C584&amp;A584, Inside5!B:B&amp;Inside5!I:I, Inside5!H:H), 0)</f>
        <v>0</v>
      </c>
      <c r="M584" cm="1">
        <f t="array" ref="M584">IFERROR(_xlfn.XLOOKUP(C584&amp;A584, TDrate!F:F&amp;TDrate!H:H, TDrate!B:B), "N/A")</f>
        <v>0</v>
      </c>
      <c r="N584" cm="1">
        <f t="array" ref="N584">IFERROR(_xlfn.XLOOKUP(C584&amp;A584, TDrate!F:F&amp;TDrate!H:H, TDrate!D:D), "N/A")</f>
        <v>3.1199999999999999E-2</v>
      </c>
    </row>
    <row r="585" spans="1:14" x14ac:dyDescent="0.45">
      <c r="A585" s="8">
        <v>2022</v>
      </c>
      <c r="B585" s="9" t="s">
        <v>507</v>
      </c>
      <c r="C585" s="10" t="str">
        <f t="shared" si="18"/>
        <v>Raheem Blackshear</v>
      </c>
      <c r="D585" s="10" t="str">
        <f t="shared" si="19"/>
        <v>CAR</v>
      </c>
      <c r="E585" cm="1">
        <f t="array" aca="1" ref="E585" ca="1">IFERROR(_xlfn.XLOOKUP(C585&amp;A585, Inside5!B:B&amp;Inside5!I:I, Inside5!C:C), 0)</f>
        <v>2</v>
      </c>
      <c r="F585" cm="1">
        <f t="array" aca="1" ref="F585" ca="1">IFERROR(_xlfn.XLOOKUP(C585&amp;A585, Inside5!B:B&amp;Inside5!I:I, Inside5!D:D), 0)</f>
        <v>1</v>
      </c>
      <c r="G585" cm="1">
        <f t="array" ref="G585">IFERROR(_xlfn.XLOOKUP(C585&amp;A585, Inside5!B:B&amp;Inside5!I:I, Inside5!E:E), 0)</f>
        <v>0.14299999999999999</v>
      </c>
      <c r="H585" t="str" cm="1">
        <f t="array" ref="H585">IFERROR(_xlfn.XLOOKUP(C585&amp;A585, TDrate!F:F&amp;TDrate!H:H, TDrate!C:C), "N/A")</f>
        <v>N/A</v>
      </c>
      <c r="I585" t="str" cm="1">
        <f t="array" ref="I585">IFERROR(_xlfn.XLOOKUP(C585&amp;A585, TDrate!F:F&amp;TDrate!H:H, TDrate!E:E), "N/A")</f>
        <v>N/A</v>
      </c>
      <c r="J585" cm="1">
        <f t="array" ref="J585">IFERROR(_xlfn.XLOOKUP(C585&amp;A585, Inside5!B:B&amp;Inside5!I:I, Inside5!F:F), 0)</f>
        <v>0</v>
      </c>
      <c r="K585" cm="1">
        <f t="array" aca="1" ref="K585" ca="1">IFERROR(_xlfn.XLOOKUP(C585&amp;A585, Inside5!B:B&amp;Inside5!I:I, Inside5!G:G), 0)</f>
        <v>0</v>
      </c>
      <c r="L585" cm="1">
        <f t="array" ref="L585">IFERROR(_xlfn.XLOOKUP(C585&amp;A585, Inside5!B:B&amp;Inside5!I:I, Inside5!H:H), 0)</f>
        <v>0</v>
      </c>
      <c r="M585" t="str" cm="1">
        <f t="array" ref="M585">IFERROR(_xlfn.XLOOKUP(C585&amp;A585, TDrate!F:F&amp;TDrate!H:H, TDrate!B:B), "N/A")</f>
        <v>N/A</v>
      </c>
      <c r="N585" t="str" cm="1">
        <f t="array" ref="N585">IFERROR(_xlfn.XLOOKUP(C585&amp;A585, TDrate!F:F&amp;TDrate!H:H, TDrate!D:D), "N/A")</f>
        <v>N/A</v>
      </c>
    </row>
    <row r="586" spans="1:14" x14ac:dyDescent="0.45">
      <c r="A586" s="5">
        <v>2022</v>
      </c>
      <c r="B586" s="6" t="s">
        <v>477</v>
      </c>
      <c r="C586" s="7" t="str">
        <f t="shared" si="18"/>
        <v>Jordan Mason</v>
      </c>
      <c r="D586" s="7" t="str">
        <f t="shared" si="19"/>
        <v>SF</v>
      </c>
      <c r="E586" cm="1">
        <f t="array" aca="1" ref="E586" ca="1">IFERROR(_xlfn.XLOOKUP(C586&amp;A586, Inside5!B:B&amp;Inside5!I:I, Inside5!C:C), 0)</f>
        <v>1</v>
      </c>
      <c r="F586" cm="1">
        <f t="array" aca="1" ref="F586" ca="1">IFERROR(_xlfn.XLOOKUP(C586&amp;A586, Inside5!B:B&amp;Inside5!I:I, Inside5!D:D), 0)</f>
        <v>0</v>
      </c>
      <c r="G586" cm="1">
        <f t="array" ref="G586">IFERROR(_xlfn.XLOOKUP(C586&amp;A586, Inside5!B:B&amp;Inside5!I:I, Inside5!E:E), 0)</f>
        <v>5.2999999999999999E-2</v>
      </c>
      <c r="H586" cm="1">
        <f t="array" ref="H586">IFERROR(_xlfn.XLOOKUP(C586&amp;A586, TDrate!F:F&amp;TDrate!H:H, TDrate!C:C), "N/A")</f>
        <v>2.3300000000000001E-2</v>
      </c>
      <c r="I586" cm="1">
        <f t="array" ref="I586">IFERROR(_xlfn.XLOOKUP(C586&amp;A586, TDrate!F:F&amp;TDrate!H:H, TDrate!E:E), "N/A")</f>
        <v>2.4199999999999999E-2</v>
      </c>
      <c r="J586" cm="1">
        <f t="array" ref="J586">IFERROR(_xlfn.XLOOKUP(C586&amp;A586, Inside5!B:B&amp;Inside5!I:I, Inside5!F:F), 0)</f>
        <v>0</v>
      </c>
      <c r="K586" cm="1">
        <f t="array" aca="1" ref="K586" ca="1">IFERROR(_xlfn.XLOOKUP(C586&amp;A586, Inside5!B:B&amp;Inside5!I:I, Inside5!G:G), 0)</f>
        <v>0</v>
      </c>
      <c r="L586" cm="1">
        <f t="array" aca="1" ref="L586" ca="1">IFERROR(_xlfn.XLOOKUP(C586&amp;A586, Inside5!B:B&amp;Inside5!I:I, Inside5!H:H), 0)</f>
        <v>0</v>
      </c>
      <c r="M586" cm="1">
        <f t="array" ref="M586">IFERROR(_xlfn.XLOOKUP(C586&amp;A586, TDrate!F:F&amp;TDrate!H:H, TDrate!B:B), "N/A")</f>
        <v>0</v>
      </c>
      <c r="N586" cm="1">
        <f t="array" ref="N586">IFERROR(_xlfn.XLOOKUP(C586&amp;A586, TDrate!F:F&amp;TDrate!H:H, TDrate!D:D), "N/A")</f>
        <v>0</v>
      </c>
    </row>
    <row r="587" spans="1:14" x14ac:dyDescent="0.45">
      <c r="A587" s="8">
        <v>2022</v>
      </c>
      <c r="B587" s="9" t="s">
        <v>660</v>
      </c>
      <c r="C587" s="10" t="str">
        <f t="shared" si="18"/>
        <v>Ty Johnson</v>
      </c>
      <c r="D587" s="10" t="str">
        <f t="shared" si="19"/>
        <v>NYJ</v>
      </c>
      <c r="E587" cm="1">
        <f t="array" ref="E587">IFERROR(_xlfn.XLOOKUP(C587&amp;A587, Inside5!B:B&amp;Inside5!I:I, Inside5!C:C), 0)</f>
        <v>0</v>
      </c>
      <c r="F587" cm="1">
        <f t="array" ref="F587">IFERROR(_xlfn.XLOOKUP(C587&amp;A587, Inside5!B:B&amp;Inside5!I:I, Inside5!D:D), 0)</f>
        <v>0</v>
      </c>
      <c r="G587" cm="1">
        <f t="array" ref="G587">IFERROR(_xlfn.XLOOKUP(C587&amp;A587, Inside5!B:B&amp;Inside5!I:I, Inside5!E:E), 0)</f>
        <v>0</v>
      </c>
      <c r="H587" cm="1">
        <f t="array" ref="H587">IFERROR(_xlfn.XLOOKUP(C587&amp;A587, TDrate!F:F&amp;TDrate!H:H, TDrate!C:C), "N/A")</f>
        <v>3.3300000000000003E-2</v>
      </c>
      <c r="I587" cm="1">
        <f t="array" ref="I587">IFERROR(_xlfn.XLOOKUP(C587&amp;A587, TDrate!F:F&amp;TDrate!H:H, TDrate!E:E), "N/A")</f>
        <v>2.12E-2</v>
      </c>
      <c r="J587" cm="1">
        <f t="array" ref="J587">IFERROR(_xlfn.XLOOKUP(C587&amp;A587, Inside5!B:B&amp;Inside5!I:I, Inside5!F:F), 0)</f>
        <v>0</v>
      </c>
      <c r="K587" cm="1">
        <f t="array" ref="K587">IFERROR(_xlfn.XLOOKUP(C587&amp;A587, Inside5!B:B&amp;Inside5!I:I, Inside5!G:G), 0)</f>
        <v>0</v>
      </c>
      <c r="L587" cm="1">
        <f t="array" ref="L587">IFERROR(_xlfn.XLOOKUP(C587&amp;A587, Inside5!B:B&amp;Inside5!I:I, Inside5!H:H), 0)</f>
        <v>0</v>
      </c>
      <c r="M587" cm="1">
        <f t="array" ref="M587">IFERROR(_xlfn.XLOOKUP(C587&amp;A587, TDrate!F:F&amp;TDrate!H:H, TDrate!B:B), "N/A")</f>
        <v>0</v>
      </c>
      <c r="N587" cm="1">
        <f t="array" ref="N587">IFERROR(_xlfn.XLOOKUP(C587&amp;A587, TDrate!F:F&amp;TDrate!H:H, TDrate!D:D), "N/A")</f>
        <v>2.8E-3</v>
      </c>
    </row>
    <row r="588" spans="1:14" x14ac:dyDescent="0.45">
      <c r="A588" s="5">
        <v>2022</v>
      </c>
      <c r="B588" s="6" t="s">
        <v>661</v>
      </c>
      <c r="C588" s="7" t="str">
        <f t="shared" si="18"/>
        <v>Marlon Mack</v>
      </c>
      <c r="D588" s="7" t="str">
        <f t="shared" si="19"/>
        <v>DEN</v>
      </c>
      <c r="E588" cm="1">
        <f t="array" ref="E588">IFERROR(_xlfn.XLOOKUP(C588&amp;A588, Inside5!B:B&amp;Inside5!I:I, Inside5!C:C), 0)</f>
        <v>1</v>
      </c>
      <c r="F588" cm="1">
        <f t="array" ref="F588">IFERROR(_xlfn.XLOOKUP(C588&amp;A588, Inside5!B:B&amp;Inside5!I:I, Inside5!D:D), 0)</f>
        <v>1</v>
      </c>
      <c r="G588" cm="1">
        <f t="array" ref="G588">IFERROR(_xlfn.XLOOKUP(C588&amp;A588, Inside5!B:B&amp;Inside5!I:I, Inside5!E:E), 0)</f>
        <v>5.6000000000000001E-2</v>
      </c>
      <c r="H588" t="str" cm="1">
        <f t="array" ref="H588">IFERROR(_xlfn.XLOOKUP(C588&amp;A588, TDrate!F:F&amp;TDrate!H:H, TDrate!C:C), "N/A")</f>
        <v>N/A</v>
      </c>
      <c r="I588" t="str" cm="1">
        <f t="array" ref="I588">IFERROR(_xlfn.XLOOKUP(C588&amp;A588, TDrate!F:F&amp;TDrate!H:H, TDrate!E:E), "N/A")</f>
        <v>N/A</v>
      </c>
      <c r="J588" cm="1">
        <f t="array" ref="J588">IFERROR(_xlfn.XLOOKUP(C588&amp;A588, Inside5!B:B&amp;Inside5!I:I, Inside5!F:F), 0)</f>
        <v>0</v>
      </c>
      <c r="K588" cm="1">
        <f t="array" ref="K588">IFERROR(_xlfn.XLOOKUP(C588&amp;A588, Inside5!B:B&amp;Inside5!I:I, Inside5!G:G), 0)</f>
        <v>0</v>
      </c>
      <c r="L588" cm="1">
        <f t="array" ref="L588">IFERROR(_xlfn.XLOOKUP(C588&amp;A588, Inside5!B:B&amp;Inside5!I:I, Inside5!H:H), 0)</f>
        <v>0</v>
      </c>
      <c r="M588" t="str" cm="1">
        <f t="array" ref="M588">IFERROR(_xlfn.XLOOKUP(C588&amp;A588, TDrate!F:F&amp;TDrate!H:H, TDrate!B:B), "N/A")</f>
        <v>N/A</v>
      </c>
      <c r="N588" t="str" cm="1">
        <f t="array" ref="N588">IFERROR(_xlfn.XLOOKUP(C588&amp;A588, TDrate!F:F&amp;TDrate!H:H, TDrate!D:D), "N/A")</f>
        <v>N/A</v>
      </c>
    </row>
    <row r="589" spans="1:14" x14ac:dyDescent="0.45">
      <c r="A589" s="8">
        <v>2022</v>
      </c>
      <c r="B589" s="9" t="s">
        <v>598</v>
      </c>
      <c r="C589" s="10" t="str">
        <f t="shared" si="18"/>
        <v>DeeJay Dallas</v>
      </c>
      <c r="D589" s="10" t="str">
        <f t="shared" si="19"/>
        <v>SEA</v>
      </c>
      <c r="E589" cm="1">
        <f t="array" aca="1" ref="E589" ca="1">IFERROR(_xlfn.XLOOKUP(C589&amp;A589, Inside5!B:B&amp;Inside5!I:I, Inside5!C:C), 0)</f>
        <v>0</v>
      </c>
      <c r="F589" cm="1">
        <f t="array" aca="1" ref="F589" ca="1">IFERROR(_xlfn.XLOOKUP(C589&amp;A589, Inside5!B:B&amp;Inside5!I:I, Inside5!D:D), 0)</f>
        <v>0</v>
      </c>
      <c r="G589" cm="1">
        <f t="array" ref="G589">IFERROR(_xlfn.XLOOKUP(C589&amp;A589, Inside5!B:B&amp;Inside5!I:I, Inside5!E:E), 0)</f>
        <v>0</v>
      </c>
      <c r="H589" cm="1">
        <f t="array" ref="H589">IFERROR(_xlfn.XLOOKUP(C589&amp;A589, TDrate!F:F&amp;TDrate!H:H, TDrate!C:C), "N/A")</f>
        <v>0</v>
      </c>
      <c r="I589" cm="1">
        <f t="array" ref="I589">IFERROR(_xlfn.XLOOKUP(C589&amp;A589, TDrate!F:F&amp;TDrate!H:H, TDrate!E:E), "N/A")</f>
        <v>4.5999999999999999E-3</v>
      </c>
      <c r="J589" cm="1">
        <f t="array" ref="J589">IFERROR(_xlfn.XLOOKUP(C589&amp;A589, Inside5!B:B&amp;Inside5!I:I, Inside5!F:F), 0)</f>
        <v>0</v>
      </c>
      <c r="K589" cm="1">
        <f t="array" ref="K589">IFERROR(_xlfn.XLOOKUP(C589&amp;A589, Inside5!B:B&amp;Inside5!I:I, Inside5!G:G), 0)</f>
        <v>0</v>
      </c>
      <c r="L589" cm="1">
        <f t="array" ref="L589">IFERROR(_xlfn.XLOOKUP(C589&amp;A589, Inside5!B:B&amp;Inside5!I:I, Inside5!H:H), 0)</f>
        <v>0</v>
      </c>
      <c r="M589" cm="1">
        <f t="array" ref="M589">IFERROR(_xlfn.XLOOKUP(C589&amp;A589, TDrate!F:F&amp;TDrate!H:H, TDrate!B:B), "N/A")</f>
        <v>0</v>
      </c>
      <c r="N589" cm="1">
        <f t="array" ref="N589">IFERROR(_xlfn.XLOOKUP(C589&amp;A589, TDrate!F:F&amp;TDrate!H:H, TDrate!D:D), "N/A")</f>
        <v>1.29E-2</v>
      </c>
    </row>
    <row r="590" spans="1:14" x14ac:dyDescent="0.45">
      <c r="A590" s="5">
        <v>2022</v>
      </c>
      <c r="B590" s="6" t="s">
        <v>382</v>
      </c>
      <c r="C590" s="7" t="str">
        <f t="shared" si="18"/>
        <v>Justice Hill</v>
      </c>
      <c r="D590" s="7" t="str">
        <f t="shared" si="19"/>
        <v>BAL</v>
      </c>
      <c r="E590" cm="1">
        <f t="array" aca="1" ref="E590" ca="1">IFERROR(_xlfn.XLOOKUP(C590&amp;A590, Inside5!B:B&amp;Inside5!I:I, Inside5!C:C), 0)</f>
        <v>0</v>
      </c>
      <c r="F590" cm="1">
        <f t="array" aca="1" ref="F590" ca="1">IFERROR(_xlfn.XLOOKUP(C590&amp;A590, Inside5!B:B&amp;Inside5!I:I, Inside5!D:D), 0)</f>
        <v>0</v>
      </c>
      <c r="G590" cm="1">
        <f t="array" ref="G590">IFERROR(_xlfn.XLOOKUP(C590&amp;A590, Inside5!B:B&amp;Inside5!I:I, Inside5!E:E), 0)</f>
        <v>0</v>
      </c>
      <c r="H590" cm="1">
        <f t="array" ref="H590">IFERROR(_xlfn.XLOOKUP(C590&amp;A590, TDrate!F:F&amp;TDrate!H:H, TDrate!C:C), "N/A")</f>
        <v>0</v>
      </c>
      <c r="I590" cm="1">
        <f t="array" ref="I590">IFERROR(_xlfn.XLOOKUP(C590&amp;A590, TDrate!F:F&amp;TDrate!H:H, TDrate!E:E), "N/A")</f>
        <v>4.5999999999999999E-3</v>
      </c>
      <c r="J590" cm="1">
        <f t="array" ref="J590">IFERROR(_xlfn.XLOOKUP(C590&amp;A590, Inside5!B:B&amp;Inside5!I:I, Inside5!F:F), 0)</f>
        <v>0</v>
      </c>
      <c r="K590" cm="1">
        <f t="array" ref="K590">IFERROR(_xlfn.XLOOKUP(C590&amp;A590, Inside5!B:B&amp;Inside5!I:I, Inside5!G:G), 0)</f>
        <v>0</v>
      </c>
      <c r="L590" cm="1">
        <f t="array" ref="L590">IFERROR(_xlfn.XLOOKUP(C590&amp;A590, Inside5!B:B&amp;Inside5!I:I, Inside5!H:H), 0)</f>
        <v>0</v>
      </c>
      <c r="M590" cm="1">
        <f t="array" ref="M590">IFERROR(_xlfn.XLOOKUP(C590&amp;A590, TDrate!F:F&amp;TDrate!H:H, TDrate!B:B), "N/A")</f>
        <v>0</v>
      </c>
      <c r="N590" cm="1">
        <f t="array" ref="N590">IFERROR(_xlfn.XLOOKUP(C590&amp;A590, TDrate!F:F&amp;TDrate!H:H, TDrate!D:D), "N/A")</f>
        <v>2.5999999999999999E-3</v>
      </c>
    </row>
    <row r="591" spans="1:14" x14ac:dyDescent="0.45">
      <c r="A591" s="8">
        <v>2022</v>
      </c>
      <c r="B591" s="9" t="s">
        <v>479</v>
      </c>
      <c r="C591" s="10" t="str">
        <f t="shared" si="18"/>
        <v>Ameer Abdullah</v>
      </c>
      <c r="D591" s="10" t="str">
        <f t="shared" si="19"/>
        <v>LV</v>
      </c>
      <c r="E591" cm="1">
        <f t="array" ref="E591">IFERROR(_xlfn.XLOOKUP(C591&amp;A591, Inside5!B:B&amp;Inside5!I:I, Inside5!C:C), 0)</f>
        <v>0</v>
      </c>
      <c r="F591" cm="1">
        <f t="array" ref="F591">IFERROR(_xlfn.XLOOKUP(C591&amp;A591, Inside5!B:B&amp;Inside5!I:I, Inside5!D:D), 0)</f>
        <v>0</v>
      </c>
      <c r="G591" cm="1">
        <f t="array" ref="G591">IFERROR(_xlfn.XLOOKUP(C591&amp;A591, Inside5!B:B&amp;Inside5!I:I, Inside5!E:E), 0)</f>
        <v>0</v>
      </c>
      <c r="H591" t="str" cm="1">
        <f t="array" ref="H591">IFERROR(_xlfn.XLOOKUP(C591&amp;A591, TDrate!F:F&amp;TDrate!H:H, TDrate!C:C), "N/A")</f>
        <v>N/A</v>
      </c>
      <c r="I591" t="str" cm="1">
        <f t="array" ref="I591">IFERROR(_xlfn.XLOOKUP(C591&amp;A591, TDrate!F:F&amp;TDrate!H:H, TDrate!E:E), "N/A")</f>
        <v>N/A</v>
      </c>
      <c r="J591" cm="1">
        <f t="array" ref="J591">IFERROR(_xlfn.XLOOKUP(C591&amp;A591, Inside5!B:B&amp;Inside5!I:I, Inside5!F:F), 0)</f>
        <v>0</v>
      </c>
      <c r="K591" cm="1">
        <f t="array" aca="1" ref="K591" ca="1">IFERROR(_xlfn.XLOOKUP(C591&amp;A591, Inside5!B:B&amp;Inside5!I:I, Inside5!G:G), 0)</f>
        <v>0</v>
      </c>
      <c r="L591" cm="1">
        <f t="array" ref="L591">IFERROR(_xlfn.XLOOKUP(C591&amp;A591, Inside5!B:B&amp;Inside5!I:I, Inside5!H:H), 0)</f>
        <v>0</v>
      </c>
      <c r="M591" t="str" cm="1">
        <f t="array" ref="M591">IFERROR(_xlfn.XLOOKUP(C591&amp;A591, TDrate!F:F&amp;TDrate!H:H, TDrate!B:B), "N/A")</f>
        <v>N/A</v>
      </c>
      <c r="N591" t="str" cm="1">
        <f t="array" ref="N591">IFERROR(_xlfn.XLOOKUP(C591&amp;A591, TDrate!F:F&amp;TDrate!H:H, TDrate!D:D), "N/A")</f>
        <v>N/A</v>
      </c>
    </row>
    <row r="592" spans="1:14" x14ac:dyDescent="0.45">
      <c r="A592" s="5">
        <v>2022</v>
      </c>
      <c r="B592" s="6" t="s">
        <v>662</v>
      </c>
      <c r="C592" s="7" t="str">
        <f t="shared" si="18"/>
        <v>J.D. McKissic</v>
      </c>
      <c r="D592" s="7" t="str">
        <f t="shared" si="19"/>
        <v>WAS</v>
      </c>
      <c r="E592" cm="1">
        <f t="array" aca="1" ref="E592" ca="1">IFERROR(_xlfn.XLOOKUP(C592&amp;A592, Inside5!B:B&amp;Inside5!I:I, Inside5!C:C), 0)</f>
        <v>0</v>
      </c>
      <c r="F592" cm="1">
        <f t="array" aca="1" ref="F592" ca="1">IFERROR(_xlfn.XLOOKUP(C592&amp;A592, Inside5!B:B&amp;Inside5!I:I, Inside5!D:D), 0)</f>
        <v>0</v>
      </c>
      <c r="G592" cm="1">
        <f t="array" ref="G592">IFERROR(_xlfn.XLOOKUP(C592&amp;A592, Inside5!B:B&amp;Inside5!I:I, Inside5!E:E), 0)</f>
        <v>0</v>
      </c>
      <c r="H592" t="str" cm="1">
        <f t="array" ref="H592">IFERROR(_xlfn.XLOOKUP(C592&amp;A592, TDrate!F:F&amp;TDrate!H:H, TDrate!C:C), "N/A")</f>
        <v>N/A</v>
      </c>
      <c r="I592" t="str" cm="1">
        <f t="array" ref="I592">IFERROR(_xlfn.XLOOKUP(C592&amp;A592, TDrate!F:F&amp;TDrate!H:H, TDrate!E:E), "N/A")</f>
        <v>N/A</v>
      </c>
      <c r="J592" cm="1">
        <f t="array" ref="J592">IFERROR(_xlfn.XLOOKUP(C592&amp;A592, Inside5!B:B&amp;Inside5!I:I, Inside5!F:F), 0)</f>
        <v>0</v>
      </c>
      <c r="K592" cm="1">
        <f t="array" aca="1" ref="K592" ca="1">IFERROR(_xlfn.XLOOKUP(C592&amp;A592, Inside5!B:B&amp;Inside5!I:I, Inside5!G:G), 0)</f>
        <v>2</v>
      </c>
      <c r="L592" cm="1">
        <f t="array" ref="L592">IFERROR(_xlfn.XLOOKUP(C592&amp;A592, Inside5!B:B&amp;Inside5!I:I, Inside5!H:H), 0)</f>
        <v>0</v>
      </c>
      <c r="M592" t="str" cm="1">
        <f t="array" ref="M592">IFERROR(_xlfn.XLOOKUP(C592&amp;A592, TDrate!F:F&amp;TDrate!H:H, TDrate!B:B), "N/A")</f>
        <v>N/A</v>
      </c>
      <c r="N592" t="str" cm="1">
        <f t="array" ref="N592">IFERROR(_xlfn.XLOOKUP(C592&amp;A592, TDrate!F:F&amp;TDrate!H:H, TDrate!D:D), "N/A")</f>
        <v>N/A</v>
      </c>
    </row>
    <row r="593" spans="1:14" x14ac:dyDescent="0.45">
      <c r="A593" s="8">
        <v>2022</v>
      </c>
      <c r="B593" s="9" t="s">
        <v>413</v>
      </c>
      <c r="C593" s="10" t="str">
        <f t="shared" si="18"/>
        <v>Dare Ogunbowale</v>
      </c>
      <c r="D593" s="10" t="str">
        <f t="shared" si="19"/>
        <v>HOU</v>
      </c>
      <c r="E593" cm="1">
        <f t="array" ref="E593">IFERROR(_xlfn.XLOOKUP(C593&amp;A593, Inside5!B:B&amp;Inside5!I:I, Inside5!C:C), 0)</f>
        <v>2</v>
      </c>
      <c r="F593" cm="1">
        <f t="array" ref="F593">IFERROR(_xlfn.XLOOKUP(C593&amp;A593, Inside5!B:B&amp;Inside5!I:I, Inside5!D:D), 0)</f>
        <v>1</v>
      </c>
      <c r="G593" cm="1">
        <f t="array" ref="G593">IFERROR(_xlfn.XLOOKUP(C593&amp;A593, Inside5!B:B&amp;Inside5!I:I, Inside5!E:E), 0)</f>
        <v>0.14299999999999999</v>
      </c>
      <c r="H593" cm="1">
        <f t="array" ref="H593">IFERROR(_xlfn.XLOOKUP(C593&amp;A593, TDrate!F:F&amp;TDrate!H:H, TDrate!C:C), "N/A")</f>
        <v>2.3800000000000002E-2</v>
      </c>
      <c r="I593" cm="1">
        <f t="array" ref="I593">IFERROR(_xlfn.XLOOKUP(C593&amp;A593, TDrate!F:F&amp;TDrate!H:H, TDrate!E:E), "N/A")</f>
        <v>2.75E-2</v>
      </c>
      <c r="J593" cm="1">
        <f t="array" ref="J593">IFERROR(_xlfn.XLOOKUP(C593&amp;A593, Inside5!B:B&amp;Inside5!I:I, Inside5!F:F), 0)</f>
        <v>0</v>
      </c>
      <c r="K593" cm="1">
        <f t="array" aca="1" ref="K593" ca="1">IFERROR(_xlfn.XLOOKUP(C593&amp;A593, Inside5!B:B&amp;Inside5!I:I, Inside5!G:G), 0)</f>
        <v>0</v>
      </c>
      <c r="L593" cm="1">
        <f t="array" ref="L593">IFERROR(_xlfn.XLOOKUP(C593&amp;A593, Inside5!B:B&amp;Inside5!I:I, Inside5!H:H), 0)</f>
        <v>0</v>
      </c>
      <c r="M593" cm="1">
        <f t="array" ref="M593">IFERROR(_xlfn.XLOOKUP(C593&amp;A593, TDrate!F:F&amp;TDrate!H:H, TDrate!B:B), "N/A")</f>
        <v>0</v>
      </c>
      <c r="N593" cm="1">
        <f t="array" ref="N593">IFERROR(_xlfn.XLOOKUP(C593&amp;A593, TDrate!F:F&amp;TDrate!H:H, TDrate!D:D), "N/A")</f>
        <v>8.6E-3</v>
      </c>
    </row>
    <row r="594" spans="1:14" x14ac:dyDescent="0.45">
      <c r="A594" s="5">
        <v>2022</v>
      </c>
      <c r="B594" s="6" t="s">
        <v>358</v>
      </c>
      <c r="C594" s="7" t="str">
        <f t="shared" si="18"/>
        <v>Malik Davis</v>
      </c>
      <c r="D594" s="7" t="str">
        <f t="shared" si="19"/>
        <v>DAL</v>
      </c>
      <c r="E594" cm="1">
        <f t="array" ref="E594">IFERROR(_xlfn.XLOOKUP(C594&amp;A594, Inside5!B:B&amp;Inside5!I:I, Inside5!C:C), 0)</f>
        <v>0</v>
      </c>
      <c r="F594" cm="1">
        <f t="array" ref="F594">IFERROR(_xlfn.XLOOKUP(C594&amp;A594, Inside5!B:B&amp;Inside5!I:I, Inside5!D:D), 0)</f>
        <v>0</v>
      </c>
      <c r="G594" cm="1">
        <f t="array" ref="G594">IFERROR(_xlfn.XLOOKUP(C594&amp;A594, Inside5!B:B&amp;Inside5!I:I, Inside5!E:E), 0)</f>
        <v>0</v>
      </c>
      <c r="H594" cm="1">
        <f t="array" ref="H594">IFERROR(_xlfn.XLOOKUP(C594&amp;A594, TDrate!F:F&amp;TDrate!H:H, TDrate!C:C), "N/A")</f>
        <v>2.63E-2</v>
      </c>
      <c r="I594" cm="1">
        <f t="array" ref="I594">IFERROR(_xlfn.XLOOKUP(C594&amp;A594, TDrate!F:F&amp;TDrate!H:H, TDrate!E:E), "N/A")</f>
        <v>1.8700000000000001E-2</v>
      </c>
      <c r="J594" cm="1">
        <f t="array" ref="J594">IFERROR(_xlfn.XLOOKUP(C594&amp;A594, Inside5!B:B&amp;Inside5!I:I, Inside5!F:F), 0)</f>
        <v>0</v>
      </c>
      <c r="K594" cm="1">
        <f t="array" ref="K594">IFERROR(_xlfn.XLOOKUP(C594&amp;A594, Inside5!B:B&amp;Inside5!I:I, Inside5!G:G), 0)</f>
        <v>0</v>
      </c>
      <c r="L594" cm="1">
        <f t="array" ref="L594">IFERROR(_xlfn.XLOOKUP(C594&amp;A594, Inside5!B:B&amp;Inside5!I:I, Inside5!H:H), 0)</f>
        <v>0</v>
      </c>
      <c r="M594" cm="1">
        <f t="array" ref="M594">IFERROR(_xlfn.XLOOKUP(C594&amp;A594, TDrate!F:F&amp;TDrate!H:H, TDrate!B:B), "N/A")</f>
        <v>0</v>
      </c>
      <c r="N594" cm="1">
        <f t="array" ref="N594">IFERROR(_xlfn.XLOOKUP(C594&amp;A594, TDrate!F:F&amp;TDrate!H:H, TDrate!D:D), "N/A")</f>
        <v>1.24E-2</v>
      </c>
    </row>
    <row r="595" spans="1:14" x14ac:dyDescent="0.45">
      <c r="A595" s="8">
        <v>2022</v>
      </c>
      <c r="B595" s="9" t="s">
        <v>663</v>
      </c>
      <c r="C595" s="10" t="str">
        <f t="shared" si="18"/>
        <v>Travis Homer</v>
      </c>
      <c r="D595" s="10" t="str">
        <f t="shared" si="19"/>
        <v>SEA</v>
      </c>
      <c r="E595" cm="1">
        <f t="array" aca="1" ref="E595" ca="1">IFERROR(_xlfn.XLOOKUP(C595&amp;A595, Inside5!B:B&amp;Inside5!I:I, Inside5!C:C), 0)</f>
        <v>0</v>
      </c>
      <c r="F595" cm="1">
        <f t="array" aca="1" ref="F595" ca="1">IFERROR(_xlfn.XLOOKUP(C595&amp;A595, Inside5!B:B&amp;Inside5!I:I, Inside5!D:D), 0)</f>
        <v>0</v>
      </c>
      <c r="G595" cm="1">
        <f t="array" ref="G595">IFERROR(_xlfn.XLOOKUP(C595&amp;A595, Inside5!B:B&amp;Inside5!I:I, Inside5!E:E), 0)</f>
        <v>0</v>
      </c>
      <c r="H595" t="str" cm="1">
        <f t="array" ref="H595">IFERROR(_xlfn.XLOOKUP(C595&amp;A595, TDrate!F:F&amp;TDrate!H:H, TDrate!C:C), "N/A")</f>
        <v>N/A</v>
      </c>
      <c r="I595" t="str" cm="1">
        <f t="array" ref="I595">IFERROR(_xlfn.XLOOKUP(C595&amp;A595, TDrate!F:F&amp;TDrate!H:H, TDrate!E:E), "N/A")</f>
        <v>N/A</v>
      </c>
      <c r="J595" cm="1">
        <f t="array" ref="J595">IFERROR(_xlfn.XLOOKUP(C595&amp;A595, Inside5!B:B&amp;Inside5!I:I, Inside5!F:F), 0)</f>
        <v>0</v>
      </c>
      <c r="K595" cm="1">
        <f t="array" ref="K595">IFERROR(_xlfn.XLOOKUP(C595&amp;A595, Inside5!B:B&amp;Inside5!I:I, Inside5!G:G), 0)</f>
        <v>0</v>
      </c>
      <c r="L595" cm="1">
        <f t="array" ref="L595">IFERROR(_xlfn.XLOOKUP(C595&amp;A595, Inside5!B:B&amp;Inside5!I:I, Inside5!H:H), 0)</f>
        <v>0</v>
      </c>
      <c r="M595" t="str" cm="1">
        <f t="array" ref="M595">IFERROR(_xlfn.XLOOKUP(C595&amp;A595, TDrate!F:F&amp;TDrate!H:H, TDrate!B:B), "N/A")</f>
        <v>N/A</v>
      </c>
      <c r="N595" t="str" cm="1">
        <f t="array" ref="N595">IFERROR(_xlfn.XLOOKUP(C595&amp;A595, TDrate!F:F&amp;TDrate!H:H, TDrate!D:D), "N/A")</f>
        <v>N/A</v>
      </c>
    </row>
    <row r="596" spans="1:14" x14ac:dyDescent="0.45">
      <c r="A596" s="5">
        <v>2022</v>
      </c>
      <c r="B596" s="6" t="s">
        <v>476</v>
      </c>
      <c r="C596" s="7" t="str">
        <f t="shared" si="18"/>
        <v>Javonte Williams</v>
      </c>
      <c r="D596" s="7" t="str">
        <f t="shared" si="19"/>
        <v>DEN</v>
      </c>
      <c r="E596" cm="1">
        <f t="array" ref="E596">IFERROR(_xlfn.XLOOKUP(C596&amp;A596, Inside5!B:B&amp;Inside5!I:I, Inside5!C:C), 0)</f>
        <v>2</v>
      </c>
      <c r="F596" cm="1">
        <f t="array" aca="1" ref="F596" ca="1">IFERROR(_xlfn.XLOOKUP(C596&amp;A596, Inside5!B:B&amp;Inside5!I:I, Inside5!D:D), 0)</f>
        <v>0</v>
      </c>
      <c r="G596" cm="1">
        <f t="array" ref="G596">IFERROR(_xlfn.XLOOKUP(C596&amp;A596, Inside5!B:B&amp;Inside5!I:I, Inside5!E:E), 0)</f>
        <v>0.111</v>
      </c>
      <c r="H596" cm="1">
        <f t="array" ref="H596">IFERROR(_xlfn.XLOOKUP(C596&amp;A596, TDrate!F:F&amp;TDrate!H:H, TDrate!C:C), "N/A")</f>
        <v>0</v>
      </c>
      <c r="I596" cm="1">
        <f t="array" ref="I596">IFERROR(_xlfn.XLOOKUP(C596&amp;A596, TDrate!F:F&amp;TDrate!H:H, TDrate!E:E), "N/A")</f>
        <v>1.24E-2</v>
      </c>
      <c r="J596" cm="1">
        <f t="array" ref="J596">IFERROR(_xlfn.XLOOKUP(C596&amp;A596, Inside5!B:B&amp;Inside5!I:I, Inside5!F:F), 0)</f>
        <v>0</v>
      </c>
      <c r="K596" cm="1">
        <f t="array" aca="1" ref="K596" ca="1">IFERROR(_xlfn.XLOOKUP(C596&amp;A596, Inside5!B:B&amp;Inside5!I:I, Inside5!G:G), 0)</f>
        <v>2</v>
      </c>
      <c r="L596" cm="1">
        <f t="array" ref="L596">IFERROR(_xlfn.XLOOKUP(C596&amp;A596, Inside5!B:B&amp;Inside5!I:I, Inside5!H:H), 0)</f>
        <v>0</v>
      </c>
      <c r="M596" cm="1">
        <f t="array" ref="M596">IFERROR(_xlfn.XLOOKUP(C596&amp;A596, TDrate!F:F&amp;TDrate!H:H, TDrate!B:B), "N/A")</f>
        <v>0</v>
      </c>
      <c r="N596" cm="1">
        <f t="array" ref="N596">IFERROR(_xlfn.XLOOKUP(C596&amp;A596, TDrate!F:F&amp;TDrate!H:H, TDrate!D:D), "N/A")</f>
        <v>3.2099999999999997E-2</v>
      </c>
    </row>
    <row r="597" spans="1:14" x14ac:dyDescent="0.45">
      <c r="A597" s="8">
        <v>2022</v>
      </c>
      <c r="B597" s="9" t="s">
        <v>589</v>
      </c>
      <c r="C597" s="10" t="str">
        <f t="shared" si="18"/>
        <v>Gary Brightwell</v>
      </c>
      <c r="D597" s="10" t="str">
        <f t="shared" si="19"/>
        <v>NYG</v>
      </c>
      <c r="E597" cm="1">
        <f t="array" ref="E597">IFERROR(_xlfn.XLOOKUP(C597&amp;A597, Inside5!B:B&amp;Inside5!I:I, Inside5!C:C), 0)</f>
        <v>1</v>
      </c>
      <c r="F597" cm="1">
        <f t="array" ref="F597">IFERROR(_xlfn.XLOOKUP(C597&amp;A597, Inside5!B:B&amp;Inside5!I:I, Inside5!D:D), 0)</f>
        <v>1</v>
      </c>
      <c r="G597" cm="1">
        <f t="array" ref="G597">IFERROR(_xlfn.XLOOKUP(C597&amp;A597, Inside5!B:B&amp;Inside5!I:I, Inside5!E:E), 0)</f>
        <v>5.8999999999999997E-2</v>
      </c>
      <c r="H597" cm="1">
        <f t="array" ref="H597">IFERROR(_xlfn.XLOOKUP(C597&amp;A597, TDrate!F:F&amp;TDrate!H:H, TDrate!C:C), "N/A")</f>
        <v>3.2300000000000002E-2</v>
      </c>
      <c r="I597" cm="1">
        <f t="array" ref="I597">IFERROR(_xlfn.XLOOKUP(C597&amp;A597, TDrate!F:F&amp;TDrate!H:H, TDrate!E:E), "N/A")</f>
        <v>2.9600000000000001E-2</v>
      </c>
      <c r="J597" cm="1">
        <f t="array" ref="J597">IFERROR(_xlfn.XLOOKUP(C597&amp;A597, Inside5!B:B&amp;Inside5!I:I, Inside5!F:F), 0)</f>
        <v>0</v>
      </c>
      <c r="K597" cm="1">
        <f t="array" ref="K597">IFERROR(_xlfn.XLOOKUP(C597&amp;A597, Inside5!B:B&amp;Inside5!I:I, Inside5!G:G), 0)</f>
        <v>0</v>
      </c>
      <c r="L597" cm="1">
        <f t="array" ref="L597">IFERROR(_xlfn.XLOOKUP(C597&amp;A597, Inside5!B:B&amp;Inside5!I:I, Inside5!H:H), 0)</f>
        <v>0</v>
      </c>
      <c r="M597" cm="1">
        <f t="array" ref="M597">IFERROR(_xlfn.XLOOKUP(C597&amp;A597, TDrate!F:F&amp;TDrate!H:H, TDrate!B:B), "N/A")</f>
        <v>0</v>
      </c>
      <c r="N597" cm="1">
        <f t="array" ref="N597">IFERROR(_xlfn.XLOOKUP(C597&amp;A597, TDrate!F:F&amp;TDrate!H:H, TDrate!D:D), "N/A")</f>
        <v>3.1699999999999999E-2</v>
      </c>
    </row>
    <row r="598" spans="1:14" x14ac:dyDescent="0.45">
      <c r="A598" s="5">
        <v>2022</v>
      </c>
      <c r="B598" s="6" t="s">
        <v>427</v>
      </c>
      <c r="C598" s="7" t="str">
        <f t="shared" si="18"/>
        <v>Alec Ingold</v>
      </c>
      <c r="D598" s="7" t="str">
        <f t="shared" si="19"/>
        <v>MIA</v>
      </c>
      <c r="E598" cm="1">
        <f t="array" aca="1" ref="E598" ca="1">IFERROR(_xlfn.XLOOKUP(C598&amp;A598, Inside5!B:B&amp;Inside5!I:I, Inside5!C:C), 0)</f>
        <v>2</v>
      </c>
      <c r="F598" cm="1">
        <f t="array" aca="1" ref="F598" ca="1">IFERROR(_xlfn.XLOOKUP(C598&amp;A598, Inside5!B:B&amp;Inside5!I:I, Inside5!D:D), 0)</f>
        <v>1</v>
      </c>
      <c r="G598" cm="1">
        <f t="array" ref="G598">IFERROR(_xlfn.XLOOKUP(C598&amp;A598, Inside5!B:B&amp;Inside5!I:I, Inside5!E:E), 0)</f>
        <v>0.125</v>
      </c>
      <c r="H598" t="str" cm="1">
        <f t="array" ref="H598">IFERROR(_xlfn.XLOOKUP(C598&amp;A598, TDrate!F:F&amp;TDrate!H:H, TDrate!C:C), "N/A")</f>
        <v>N/A</v>
      </c>
      <c r="I598" t="str" cm="1">
        <f t="array" ref="I598">IFERROR(_xlfn.XLOOKUP(C598&amp;A598, TDrate!F:F&amp;TDrate!H:H, TDrate!E:E), "N/A")</f>
        <v>N/A</v>
      </c>
      <c r="J598" cm="1">
        <f t="array" ref="J598">IFERROR(_xlfn.XLOOKUP(C598&amp;A598, Inside5!B:B&amp;Inside5!I:I, Inside5!F:F), 0)</f>
        <v>0</v>
      </c>
      <c r="K598" cm="1">
        <f t="array" aca="1" ref="K598" ca="1">IFERROR(_xlfn.XLOOKUP(C598&amp;A598, Inside5!B:B&amp;Inside5!I:I, Inside5!G:G), 0)</f>
        <v>0</v>
      </c>
      <c r="L598" cm="1">
        <f t="array" ref="L598">IFERROR(_xlfn.XLOOKUP(C598&amp;A598, Inside5!B:B&amp;Inside5!I:I, Inside5!H:H), 0)</f>
        <v>0</v>
      </c>
      <c r="M598" t="str" cm="1">
        <f t="array" ref="M598">IFERROR(_xlfn.XLOOKUP(C598&amp;A598, TDrate!F:F&amp;TDrate!H:H, TDrate!B:B), "N/A")</f>
        <v>N/A</v>
      </c>
      <c r="N598" t="str" cm="1">
        <f t="array" ref="N598">IFERROR(_xlfn.XLOOKUP(C598&amp;A598, TDrate!F:F&amp;TDrate!H:H, TDrate!D:D), "N/A")</f>
        <v>N/A</v>
      </c>
    </row>
    <row r="599" spans="1:14" x14ac:dyDescent="0.45">
      <c r="A599" s="8">
        <v>2022</v>
      </c>
      <c r="B599" s="9" t="s">
        <v>436</v>
      </c>
      <c r="C599" s="10" t="str">
        <f t="shared" si="18"/>
        <v>Craig Reynolds</v>
      </c>
      <c r="D599" s="10" t="str">
        <f t="shared" si="19"/>
        <v>DET</v>
      </c>
      <c r="E599" cm="1">
        <f t="array" aca="1" ref="E599" ca="1">IFERROR(_xlfn.XLOOKUP(C599&amp;A599, Inside5!B:B&amp;Inside5!I:I, Inside5!C:C), 0)</f>
        <v>0</v>
      </c>
      <c r="F599" cm="1">
        <f t="array" aca="1" ref="F599" ca="1">IFERROR(_xlfn.XLOOKUP(C599&amp;A599, Inside5!B:B&amp;Inside5!I:I, Inside5!D:D), 0)</f>
        <v>0</v>
      </c>
      <c r="G599" cm="1">
        <f t="array" ref="G599">IFERROR(_xlfn.XLOOKUP(C599&amp;A599, Inside5!B:B&amp;Inside5!I:I, Inside5!E:E), 0)</f>
        <v>0</v>
      </c>
      <c r="H599" t="str" cm="1">
        <f t="array" ref="H599">IFERROR(_xlfn.XLOOKUP(C599&amp;A599, TDrate!F:F&amp;TDrate!H:H, TDrate!C:C), "N/A")</f>
        <v>N/A</v>
      </c>
      <c r="I599" t="str" cm="1">
        <f t="array" ref="I599">IFERROR(_xlfn.XLOOKUP(C599&amp;A599, TDrate!F:F&amp;TDrate!H:H, TDrate!E:E), "N/A")</f>
        <v>N/A</v>
      </c>
      <c r="J599" cm="1">
        <f t="array" ref="J599">IFERROR(_xlfn.XLOOKUP(C599&amp;A599, Inside5!B:B&amp;Inside5!I:I, Inside5!F:F), 0)</f>
        <v>0</v>
      </c>
      <c r="K599" cm="1">
        <f t="array" ref="K599">IFERROR(_xlfn.XLOOKUP(C599&amp;A599, Inside5!B:B&amp;Inside5!I:I, Inside5!G:G), 0)</f>
        <v>0</v>
      </c>
      <c r="L599" cm="1">
        <f t="array" ref="L599">IFERROR(_xlfn.XLOOKUP(C599&amp;A599, Inside5!B:B&amp;Inside5!I:I, Inside5!H:H), 0)</f>
        <v>0</v>
      </c>
      <c r="M599" t="str" cm="1">
        <f t="array" ref="M599">IFERROR(_xlfn.XLOOKUP(C599&amp;A599, TDrate!F:F&amp;TDrate!H:H, TDrate!B:B), "N/A")</f>
        <v>N/A</v>
      </c>
      <c r="N599" t="str" cm="1">
        <f t="array" ref="N599">IFERROR(_xlfn.XLOOKUP(C599&amp;A599, TDrate!F:F&amp;TDrate!H:H, TDrate!D:D), "N/A")</f>
        <v>N/A</v>
      </c>
    </row>
    <row r="600" spans="1:14" x14ac:dyDescent="0.45">
      <c r="A600" s="5">
        <v>2022</v>
      </c>
      <c r="B600" s="6" t="s">
        <v>302</v>
      </c>
      <c r="C600" s="7" t="str">
        <f t="shared" si="18"/>
        <v>Kyren Williams</v>
      </c>
      <c r="D600" s="7" t="str">
        <f t="shared" si="19"/>
        <v>LAR</v>
      </c>
      <c r="E600" cm="1">
        <f t="array" aca="1" ref="E600" ca="1">IFERROR(_xlfn.XLOOKUP(C600&amp;A600, Inside5!B:B&amp;Inside5!I:I, Inside5!C:C), 0)</f>
        <v>0</v>
      </c>
      <c r="F600" cm="1">
        <f t="array" aca="1" ref="F600" ca="1">IFERROR(_xlfn.XLOOKUP(C600&amp;A600, Inside5!B:B&amp;Inside5!I:I, Inside5!D:D), 0)</f>
        <v>0</v>
      </c>
      <c r="G600" cm="1">
        <f t="array" ref="G600">IFERROR(_xlfn.XLOOKUP(C600&amp;A600, Inside5!B:B&amp;Inside5!I:I, Inside5!E:E), 0)</f>
        <v>0</v>
      </c>
      <c r="H600" cm="1">
        <f t="array" ref="H600">IFERROR(_xlfn.XLOOKUP(C600&amp;A600, TDrate!F:F&amp;TDrate!H:H, TDrate!C:C), "N/A")</f>
        <v>0</v>
      </c>
      <c r="I600" cm="1">
        <f t="array" ref="I600">IFERROR(_xlfn.XLOOKUP(C600&amp;A600, TDrate!F:F&amp;TDrate!H:H, TDrate!E:E), "N/A")</f>
        <v>2.3E-3</v>
      </c>
      <c r="J600" cm="1">
        <f t="array" ref="J600">IFERROR(_xlfn.XLOOKUP(C600&amp;A600, Inside5!B:B&amp;Inside5!I:I, Inside5!F:F), 0)</f>
        <v>0</v>
      </c>
      <c r="K600" cm="1">
        <f t="array" ref="K600">IFERROR(_xlfn.XLOOKUP(C600&amp;A600, Inside5!B:B&amp;Inside5!I:I, Inside5!G:G), 0)</f>
        <v>0</v>
      </c>
      <c r="L600" cm="1">
        <f t="array" ref="L600">IFERROR(_xlfn.XLOOKUP(C600&amp;A600, Inside5!B:B&amp;Inside5!I:I, Inside5!H:H), 0)</f>
        <v>0</v>
      </c>
      <c r="M600" cm="1">
        <f t="array" ref="M600">IFERROR(_xlfn.XLOOKUP(C600&amp;A600, TDrate!F:F&amp;TDrate!H:H, TDrate!B:B), "N/A")</f>
        <v>0</v>
      </c>
      <c r="N600" cm="1">
        <f t="array" ref="N600">IFERROR(_xlfn.XLOOKUP(C600&amp;A600, TDrate!F:F&amp;TDrate!H:H, TDrate!D:D), "N/A")</f>
        <v>1.09E-2</v>
      </c>
    </row>
    <row r="601" spans="1:14" x14ac:dyDescent="0.45">
      <c r="A601" s="8">
        <v>2022</v>
      </c>
      <c r="B601" s="9" t="s">
        <v>432</v>
      </c>
      <c r="C601" s="10" t="str">
        <f t="shared" si="18"/>
        <v>C.J. Ham</v>
      </c>
      <c r="D601" s="10" t="str">
        <f t="shared" si="19"/>
        <v>MIN</v>
      </c>
      <c r="E601" cm="1">
        <f t="array" aca="1" ref="E601" ca="1">IFERROR(_xlfn.XLOOKUP(C601&amp;A601, Inside5!B:B&amp;Inside5!I:I, Inside5!C:C), 0)</f>
        <v>2</v>
      </c>
      <c r="F601" cm="1">
        <f t="array" aca="1" ref="F601" ca="1">IFERROR(_xlfn.XLOOKUP(C601&amp;A601, Inside5!B:B&amp;Inside5!I:I, Inside5!D:D), 0)</f>
        <v>2</v>
      </c>
      <c r="G601" cm="1">
        <f t="array" ref="G601">IFERROR(_xlfn.XLOOKUP(C601&amp;A601, Inside5!B:B&amp;Inside5!I:I, Inside5!E:E), 0)</f>
        <v>0.1</v>
      </c>
      <c r="H601" t="str" cm="1">
        <f t="array" ref="H601">IFERROR(_xlfn.XLOOKUP(C601&amp;A601, TDrate!F:F&amp;TDrate!H:H, TDrate!C:C), "N/A")</f>
        <v>N/A</v>
      </c>
      <c r="I601" t="str" cm="1">
        <f t="array" ref="I601">IFERROR(_xlfn.XLOOKUP(C601&amp;A601, TDrate!F:F&amp;TDrate!H:H, TDrate!E:E), "N/A")</f>
        <v>N/A</v>
      </c>
      <c r="J601" cm="1">
        <f t="array" ref="J601">IFERROR(_xlfn.XLOOKUP(C601&amp;A601, Inside5!B:B&amp;Inside5!I:I, Inside5!F:F), 0)</f>
        <v>1</v>
      </c>
      <c r="K601" cm="1">
        <f t="array" ref="K601">IFERROR(_xlfn.XLOOKUP(C601&amp;A601, Inside5!B:B&amp;Inside5!I:I, Inside5!G:G), 0)</f>
        <v>1</v>
      </c>
      <c r="L601" cm="1">
        <f t="array" ref="L601">IFERROR(_xlfn.XLOOKUP(C601&amp;A601, Inside5!B:B&amp;Inside5!I:I, Inside5!H:H), 0)</f>
        <v>0</v>
      </c>
      <c r="M601" t="str" cm="1">
        <f t="array" ref="M601">IFERROR(_xlfn.XLOOKUP(C601&amp;A601, TDrate!F:F&amp;TDrate!H:H, TDrate!B:B), "N/A")</f>
        <v>N/A</v>
      </c>
      <c r="N601" t="str" cm="1">
        <f t="array" ref="N601">IFERROR(_xlfn.XLOOKUP(C601&amp;A601, TDrate!F:F&amp;TDrate!H:H, TDrate!D:D), "N/A")</f>
        <v>N/A</v>
      </c>
    </row>
    <row r="602" spans="1:14" x14ac:dyDescent="0.45">
      <c r="A602" s="5">
        <v>2022</v>
      </c>
      <c r="B602" s="6" t="s">
        <v>536</v>
      </c>
      <c r="C602" s="7" t="str">
        <f t="shared" si="18"/>
        <v>Avery Williams</v>
      </c>
      <c r="D602" s="7" t="str">
        <f t="shared" si="19"/>
        <v>ATL</v>
      </c>
      <c r="E602" cm="1">
        <f t="array" ref="E602">IFERROR(_xlfn.XLOOKUP(C602&amp;A602, Inside5!B:B&amp;Inside5!I:I, Inside5!C:C), 0)</f>
        <v>0</v>
      </c>
      <c r="F602" cm="1">
        <f t="array" ref="F602">IFERROR(_xlfn.XLOOKUP(C602&amp;A602, Inside5!B:B&amp;Inside5!I:I, Inside5!D:D), 0)</f>
        <v>0</v>
      </c>
      <c r="G602" cm="1">
        <f t="array" ref="G602">IFERROR(_xlfn.XLOOKUP(C602&amp;A602, Inside5!B:B&amp;Inside5!I:I, Inside5!E:E), 0)</f>
        <v>0</v>
      </c>
      <c r="H602" t="str" cm="1">
        <f t="array" ref="H602">IFERROR(_xlfn.XLOOKUP(C602&amp;A602, TDrate!F:F&amp;TDrate!H:H, TDrate!C:C), "N/A")</f>
        <v>N/A</v>
      </c>
      <c r="I602" t="str" cm="1">
        <f t="array" ref="I602">IFERROR(_xlfn.XLOOKUP(C602&amp;A602, TDrate!F:F&amp;TDrate!H:H, TDrate!E:E), "N/A")</f>
        <v>N/A</v>
      </c>
      <c r="J602" cm="1">
        <f t="array" ref="J602">IFERROR(_xlfn.XLOOKUP(C602&amp;A602, Inside5!B:B&amp;Inside5!I:I, Inside5!F:F), 0)</f>
        <v>0</v>
      </c>
      <c r="K602" cm="1">
        <f t="array" aca="1" ref="K602" ca="1">IFERROR(_xlfn.XLOOKUP(C602&amp;A602, Inside5!B:B&amp;Inside5!I:I, Inside5!G:G), 0)</f>
        <v>0</v>
      </c>
      <c r="L602" cm="1">
        <f t="array" ref="L602">IFERROR(_xlfn.XLOOKUP(C602&amp;A602, Inside5!B:B&amp;Inside5!I:I, Inside5!H:H), 0)</f>
        <v>0</v>
      </c>
      <c r="M602" t="str" cm="1">
        <f t="array" ref="M602">IFERROR(_xlfn.XLOOKUP(C602&amp;A602, TDrate!F:F&amp;TDrate!H:H, TDrate!B:B), "N/A")</f>
        <v>N/A</v>
      </c>
      <c r="N602" t="str" cm="1">
        <f t="array" ref="N602">IFERROR(_xlfn.XLOOKUP(C602&amp;A602, TDrate!F:F&amp;TDrate!H:H, TDrate!D:D), "N/A")</f>
        <v>N/A</v>
      </c>
    </row>
    <row r="603" spans="1:14" x14ac:dyDescent="0.45">
      <c r="A603" s="8">
        <v>2022</v>
      </c>
      <c r="B603" s="9" t="s">
        <v>664</v>
      </c>
      <c r="C603" s="10" t="str">
        <f t="shared" si="18"/>
        <v>Pierre Strong Jr.</v>
      </c>
      <c r="D603" s="10" t="str">
        <f t="shared" si="19"/>
        <v>NE</v>
      </c>
      <c r="E603" cm="1">
        <f t="array" aca="1" ref="E603" ca="1">IFERROR(_xlfn.XLOOKUP(C603&amp;A603, Inside5!B:B&amp;Inside5!I:I, Inside5!C:C), 0)</f>
        <v>1</v>
      </c>
      <c r="F603" cm="1">
        <f t="array" ref="F603">IFERROR(_xlfn.XLOOKUP(C603&amp;A603, Inside5!B:B&amp;Inside5!I:I, Inside5!D:D), 0)</f>
        <v>1</v>
      </c>
      <c r="G603" cm="1">
        <f t="array" ref="G603">IFERROR(_xlfn.XLOOKUP(C603&amp;A603, Inside5!B:B&amp;Inside5!I:I, Inside5!E:E), 0)</f>
        <v>5.6000000000000001E-2</v>
      </c>
      <c r="H603" t="str" cm="1">
        <f t="array" ref="H603">IFERROR(_xlfn.XLOOKUP(C603&amp;A603, TDrate!F:F&amp;TDrate!H:H, TDrate!C:C), "N/A")</f>
        <v>N/A</v>
      </c>
      <c r="I603" t="str" cm="1">
        <f t="array" ref="I603">IFERROR(_xlfn.XLOOKUP(C603&amp;A603, TDrate!F:F&amp;TDrate!H:H, TDrate!E:E), "N/A")</f>
        <v>N/A</v>
      </c>
      <c r="J603" cm="1">
        <f t="array" ref="J603">IFERROR(_xlfn.XLOOKUP(C603&amp;A603, Inside5!B:B&amp;Inside5!I:I, Inside5!F:F), 0)</f>
        <v>0</v>
      </c>
      <c r="K603" cm="1">
        <f t="array" aca="1" ref="K603" ca="1">IFERROR(_xlfn.XLOOKUP(C603&amp;A603, Inside5!B:B&amp;Inside5!I:I, Inside5!G:G), 0)</f>
        <v>0</v>
      </c>
      <c r="L603" cm="1">
        <f t="array" ref="L603">IFERROR(_xlfn.XLOOKUP(C603&amp;A603, Inside5!B:B&amp;Inside5!I:I, Inside5!H:H), 0)</f>
        <v>0</v>
      </c>
      <c r="M603" t="str" cm="1">
        <f t="array" ref="M603">IFERROR(_xlfn.XLOOKUP(C603&amp;A603, TDrate!F:F&amp;TDrate!H:H, TDrate!B:B), "N/A")</f>
        <v>N/A</v>
      </c>
      <c r="N603" t="str" cm="1">
        <f t="array" ref="N603">IFERROR(_xlfn.XLOOKUP(C603&amp;A603, TDrate!F:F&amp;TDrate!H:H, TDrate!D:D), "N/A")</f>
        <v>N/A</v>
      </c>
    </row>
    <row r="604" spans="1:14" x14ac:dyDescent="0.45">
      <c r="A604" s="5">
        <v>2022</v>
      </c>
      <c r="B604" s="6" t="s">
        <v>665</v>
      </c>
      <c r="C604" s="7" t="str">
        <f t="shared" si="18"/>
        <v>Mike Boone</v>
      </c>
      <c r="D604" s="7" t="str">
        <f t="shared" si="19"/>
        <v>DEN</v>
      </c>
      <c r="E604" cm="1">
        <f t="array" ref="E604">IFERROR(_xlfn.XLOOKUP(C604&amp;A604, Inside5!B:B&amp;Inside5!I:I, Inside5!C:C), 0)</f>
        <v>0</v>
      </c>
      <c r="F604" cm="1">
        <f t="array" ref="F604">IFERROR(_xlfn.XLOOKUP(C604&amp;A604, Inside5!B:B&amp;Inside5!I:I, Inside5!D:D), 0)</f>
        <v>0</v>
      </c>
      <c r="G604" cm="1">
        <f t="array" ref="G604">IFERROR(_xlfn.XLOOKUP(C604&amp;A604, Inside5!B:B&amp;Inside5!I:I, Inside5!E:E), 0)</f>
        <v>0</v>
      </c>
      <c r="H604" t="str" cm="1">
        <f t="array" ref="H604">IFERROR(_xlfn.XLOOKUP(C604&amp;A604, TDrate!F:F&amp;TDrate!H:H, TDrate!C:C), "N/A")</f>
        <v>N/A</v>
      </c>
      <c r="I604" t="str" cm="1">
        <f t="array" ref="I604">IFERROR(_xlfn.XLOOKUP(C604&amp;A604, TDrate!F:F&amp;TDrate!H:H, TDrate!E:E), "N/A")</f>
        <v>N/A</v>
      </c>
      <c r="J604" cm="1">
        <f t="array" ref="J604">IFERROR(_xlfn.XLOOKUP(C604&amp;A604, Inside5!B:B&amp;Inside5!I:I, Inside5!F:F), 0)</f>
        <v>0</v>
      </c>
      <c r="K604" cm="1">
        <f t="array" aca="1" ref="K604" ca="1">IFERROR(_xlfn.XLOOKUP(C604&amp;A604, Inside5!B:B&amp;Inside5!I:I, Inside5!G:G), 0)</f>
        <v>0</v>
      </c>
      <c r="L604" cm="1">
        <f t="array" ref="L604">IFERROR(_xlfn.XLOOKUP(C604&amp;A604, Inside5!B:B&amp;Inside5!I:I, Inside5!H:H), 0)</f>
        <v>0</v>
      </c>
      <c r="M604" t="str" cm="1">
        <f t="array" ref="M604">IFERROR(_xlfn.XLOOKUP(C604&amp;A604, TDrate!F:F&amp;TDrate!H:H, TDrate!B:B), "N/A")</f>
        <v>N/A</v>
      </c>
      <c r="N604" t="str" cm="1">
        <f t="array" ref="N604">IFERROR(_xlfn.XLOOKUP(C604&amp;A604, TDrate!F:F&amp;TDrate!H:H, TDrate!D:D), "N/A")</f>
        <v>N/A</v>
      </c>
    </row>
    <row r="605" spans="1:14" x14ac:dyDescent="0.45">
      <c r="A605" s="8">
        <v>2022</v>
      </c>
      <c r="B605" s="9" t="s">
        <v>632</v>
      </c>
      <c r="C605" s="10" t="str">
        <f t="shared" si="18"/>
        <v>Jonathan Williams</v>
      </c>
      <c r="D605" s="10" t="str">
        <f t="shared" si="19"/>
        <v>WAS</v>
      </c>
      <c r="E605" cm="1">
        <f t="array" aca="1" ref="E605" ca="1">IFERROR(_xlfn.XLOOKUP(C605&amp;A605, Inside5!B:B&amp;Inside5!I:I, Inside5!C:C), 0)</f>
        <v>0</v>
      </c>
      <c r="F605" cm="1">
        <f t="array" aca="1" ref="F605" ca="1">IFERROR(_xlfn.XLOOKUP(C605&amp;A605, Inside5!B:B&amp;Inside5!I:I, Inside5!D:D), 0)</f>
        <v>0</v>
      </c>
      <c r="G605" cm="1">
        <f t="array" ref="G605">IFERROR(_xlfn.XLOOKUP(C605&amp;A605, Inside5!B:B&amp;Inside5!I:I, Inside5!E:E), 0)</f>
        <v>0</v>
      </c>
      <c r="H605" cm="1">
        <f t="array" ref="H605">IFERROR(_xlfn.XLOOKUP(C605&amp;A605, TDrate!F:F&amp;TDrate!H:H, TDrate!C:C), "N/A")</f>
        <v>0</v>
      </c>
      <c r="I605" cm="1">
        <f t="array" ref="I605">IFERROR(_xlfn.XLOOKUP(C605&amp;A605, TDrate!F:F&amp;TDrate!H:H, TDrate!E:E), "N/A")</f>
        <v>9.7999999999999997E-3</v>
      </c>
      <c r="J605" cm="1">
        <f t="array" ref="J605">IFERROR(_xlfn.XLOOKUP(C605&amp;A605, Inside5!B:B&amp;Inside5!I:I, Inside5!F:F), 0)</f>
        <v>0</v>
      </c>
      <c r="K605" cm="1">
        <f t="array" ref="K605">IFERROR(_xlfn.XLOOKUP(C605&amp;A605, Inside5!B:B&amp;Inside5!I:I, Inside5!G:G), 0)</f>
        <v>0</v>
      </c>
      <c r="L605" cm="1">
        <f t="array" ref="L605">IFERROR(_xlfn.XLOOKUP(C605&amp;A605, Inside5!B:B&amp;Inside5!I:I, Inside5!H:H), 0)</f>
        <v>0</v>
      </c>
      <c r="M605" cm="1">
        <f t="array" ref="M605">IFERROR(_xlfn.XLOOKUP(C605&amp;A605, TDrate!F:F&amp;TDrate!H:H, TDrate!B:B), "N/A")</f>
        <v>0</v>
      </c>
      <c r="N605" cm="1">
        <f t="array" ref="N605">IFERROR(_xlfn.XLOOKUP(C605&amp;A605, TDrate!F:F&amp;TDrate!H:H, TDrate!D:D), "N/A")</f>
        <v>4.4000000000000003E-3</v>
      </c>
    </row>
    <row r="606" spans="1:14" x14ac:dyDescent="0.45">
      <c r="A606" s="5">
        <v>2022</v>
      </c>
      <c r="B606" s="6" t="s">
        <v>666</v>
      </c>
      <c r="C606" s="7" t="str">
        <f t="shared" si="18"/>
        <v>Tevin Coleman</v>
      </c>
      <c r="D606" s="7" t="str">
        <f t="shared" si="19"/>
        <v>SF</v>
      </c>
      <c r="E606" cm="1">
        <f t="array" aca="1" ref="E606" ca="1">IFERROR(_xlfn.XLOOKUP(C606&amp;A606, Inside5!B:B&amp;Inside5!I:I, Inside5!C:C), 0)</f>
        <v>2</v>
      </c>
      <c r="F606" cm="1">
        <f t="array" aca="1" ref="F606" ca="1">IFERROR(_xlfn.XLOOKUP(C606&amp;A606, Inside5!B:B&amp;Inside5!I:I, Inside5!D:D), 0)</f>
        <v>1</v>
      </c>
      <c r="G606" cm="1">
        <f t="array" ref="G606">IFERROR(_xlfn.XLOOKUP(C606&amp;A606, Inside5!B:B&amp;Inside5!I:I, Inside5!E:E), 0)</f>
        <v>0.105</v>
      </c>
      <c r="H606" t="str" cm="1">
        <f t="array" ref="H606">IFERROR(_xlfn.XLOOKUP(C606&amp;A606, TDrate!F:F&amp;TDrate!H:H, TDrate!C:C), "N/A")</f>
        <v>N/A</v>
      </c>
      <c r="I606" t="str" cm="1">
        <f t="array" ref="I606">IFERROR(_xlfn.XLOOKUP(C606&amp;A606, TDrate!F:F&amp;TDrate!H:H, TDrate!E:E), "N/A")</f>
        <v>N/A</v>
      </c>
      <c r="J606" cm="1">
        <f t="array" ref="J606">IFERROR(_xlfn.XLOOKUP(C606&amp;A606, Inside5!B:B&amp;Inside5!I:I, Inside5!F:F), 0)</f>
        <v>0</v>
      </c>
      <c r="K606" cm="1">
        <f t="array" aca="1" ref="K606" ca="1">IFERROR(_xlfn.XLOOKUP(C606&amp;A606, Inside5!B:B&amp;Inside5!I:I, Inside5!G:G), 0)</f>
        <v>0</v>
      </c>
      <c r="L606" cm="1">
        <f t="array" ref="L606">IFERROR(_xlfn.XLOOKUP(C606&amp;A606, Inside5!B:B&amp;Inside5!I:I, Inside5!H:H), 0)</f>
        <v>0</v>
      </c>
      <c r="M606" t="str" cm="1">
        <f t="array" ref="M606">IFERROR(_xlfn.XLOOKUP(C606&amp;A606, TDrate!F:F&amp;TDrate!H:H, TDrate!B:B), "N/A")</f>
        <v>N/A</v>
      </c>
      <c r="N606" t="str" cm="1">
        <f t="array" ref="N606">IFERROR(_xlfn.XLOOKUP(C606&amp;A606, TDrate!F:F&amp;TDrate!H:H, TDrate!D:D), "N/A")</f>
        <v>N/A</v>
      </c>
    </row>
    <row r="607" spans="1:14" x14ac:dyDescent="0.45">
      <c r="A607" s="8">
        <v>2022</v>
      </c>
      <c r="B607" s="9" t="s">
        <v>582</v>
      </c>
      <c r="C607" s="10" t="str">
        <f t="shared" si="18"/>
        <v>Brandon Bolden</v>
      </c>
      <c r="D607" s="10" t="str">
        <f t="shared" si="19"/>
        <v>LV</v>
      </c>
      <c r="E607" cm="1">
        <f t="array" ref="E607">IFERROR(_xlfn.XLOOKUP(C607&amp;A607, Inside5!B:B&amp;Inside5!I:I, Inside5!C:C), 0)</f>
        <v>2</v>
      </c>
      <c r="F607" cm="1">
        <f t="array" ref="F607">IFERROR(_xlfn.XLOOKUP(C607&amp;A607, Inside5!B:B&amp;Inside5!I:I, Inside5!D:D), 0)</f>
        <v>0</v>
      </c>
      <c r="G607" cm="1">
        <f t="array" ref="G607">IFERROR(_xlfn.XLOOKUP(C607&amp;A607, Inside5!B:B&amp;Inside5!I:I, Inside5!E:E), 0)</f>
        <v>0.154</v>
      </c>
      <c r="H607" t="str" cm="1">
        <f t="array" ref="H607">IFERROR(_xlfn.XLOOKUP(C607&amp;A607, TDrate!F:F&amp;TDrate!H:H, TDrate!C:C), "N/A")</f>
        <v>N/A</v>
      </c>
      <c r="I607" t="str" cm="1">
        <f t="array" ref="I607">IFERROR(_xlfn.XLOOKUP(C607&amp;A607, TDrate!F:F&amp;TDrate!H:H, TDrate!E:E), "N/A")</f>
        <v>N/A</v>
      </c>
      <c r="J607" cm="1">
        <f t="array" ref="J607">IFERROR(_xlfn.XLOOKUP(C607&amp;A607, Inside5!B:B&amp;Inside5!I:I, Inside5!F:F), 0)</f>
        <v>0</v>
      </c>
      <c r="K607" cm="1">
        <f t="array" ref="K607">IFERROR(_xlfn.XLOOKUP(C607&amp;A607, Inside5!B:B&amp;Inside5!I:I, Inside5!G:G), 0)</f>
        <v>0</v>
      </c>
      <c r="L607" cm="1">
        <f t="array" ref="L607">IFERROR(_xlfn.XLOOKUP(C607&amp;A607, Inside5!B:B&amp;Inside5!I:I, Inside5!H:H), 0)</f>
        <v>0</v>
      </c>
      <c r="M607" t="str" cm="1">
        <f t="array" ref="M607">IFERROR(_xlfn.XLOOKUP(C607&amp;A607, TDrate!F:F&amp;TDrate!H:H, TDrate!B:B), "N/A")</f>
        <v>N/A</v>
      </c>
      <c r="N607" t="str" cm="1">
        <f t="array" ref="N607">IFERROR(_xlfn.XLOOKUP(C607&amp;A607, TDrate!F:F&amp;TDrate!H:H, TDrate!D:D), "N/A")</f>
        <v>N/A</v>
      </c>
    </row>
    <row r="608" spans="1:14" x14ac:dyDescent="0.45">
      <c r="A608" s="5">
        <v>2022</v>
      </c>
      <c r="B608" s="6" t="s">
        <v>667</v>
      </c>
      <c r="C608" s="7" t="str">
        <f t="shared" si="18"/>
        <v>Malcolm Brown</v>
      </c>
      <c r="D608" s="7" t="str">
        <f t="shared" si="19"/>
        <v>LAR</v>
      </c>
      <c r="E608" cm="1">
        <f t="array" ref="E608">IFERROR(_xlfn.XLOOKUP(C608&amp;A608, Inside5!B:B&amp;Inside5!I:I, Inside5!C:C), 0)</f>
        <v>3</v>
      </c>
      <c r="F608" cm="1">
        <f t="array" ref="F608">IFERROR(_xlfn.XLOOKUP(C608&amp;A608, Inside5!B:B&amp;Inside5!I:I, Inside5!D:D), 0)</f>
        <v>0</v>
      </c>
      <c r="G608" cm="1">
        <f t="array" ref="G608">IFERROR(_xlfn.XLOOKUP(C608&amp;A608, Inside5!B:B&amp;Inside5!I:I, Inside5!E:E), 0)</f>
        <v>0.214</v>
      </c>
      <c r="H608" t="str" cm="1">
        <f t="array" ref="H608">IFERROR(_xlfn.XLOOKUP(C608&amp;A608, TDrate!F:F&amp;TDrate!H:H, TDrate!C:C), "N/A")</f>
        <v>N/A</v>
      </c>
      <c r="I608" t="str" cm="1">
        <f t="array" ref="I608">IFERROR(_xlfn.XLOOKUP(C608&amp;A608, TDrate!F:F&amp;TDrate!H:H, TDrate!E:E), "N/A")</f>
        <v>N/A</v>
      </c>
      <c r="J608" cm="1">
        <f t="array" ref="J608">IFERROR(_xlfn.XLOOKUP(C608&amp;A608, Inside5!B:B&amp;Inside5!I:I, Inside5!F:F), 0)</f>
        <v>1</v>
      </c>
      <c r="K608" cm="1">
        <f t="array" ref="K608">IFERROR(_xlfn.XLOOKUP(C608&amp;A608, Inside5!B:B&amp;Inside5!I:I, Inside5!G:G), 0)</f>
        <v>1</v>
      </c>
      <c r="L608" cm="1">
        <f t="array" ref="L608">IFERROR(_xlfn.XLOOKUP(C608&amp;A608, Inside5!B:B&amp;Inside5!I:I, Inside5!H:H), 0)</f>
        <v>0</v>
      </c>
      <c r="M608" t="str" cm="1">
        <f t="array" ref="M608">IFERROR(_xlfn.XLOOKUP(C608&amp;A608, TDrate!F:F&amp;TDrate!H:H, TDrate!B:B), "N/A")</f>
        <v>N/A</v>
      </c>
      <c r="N608" t="str" cm="1">
        <f t="array" ref="N608">IFERROR(_xlfn.XLOOKUP(C608&amp;A608, TDrate!F:F&amp;TDrate!H:H, TDrate!D:D), "N/A")</f>
        <v>N/A</v>
      </c>
    </row>
    <row r="609" spans="1:14" x14ac:dyDescent="0.45">
      <c r="A609" s="8">
        <v>2022</v>
      </c>
      <c r="B609" s="9" t="s">
        <v>668</v>
      </c>
      <c r="C609" s="10" t="str">
        <f t="shared" si="18"/>
        <v>Darrel Williams</v>
      </c>
      <c r="D609" s="10" t="str">
        <f t="shared" si="19"/>
        <v>ARI</v>
      </c>
      <c r="E609" cm="1">
        <f t="array" aca="1" ref="E609" ca="1">IFERROR(_xlfn.XLOOKUP(C609&amp;A609, Inside5!B:B&amp;Inside5!I:I, Inside5!C:C), 0)</f>
        <v>1</v>
      </c>
      <c r="F609" cm="1">
        <f t="array" aca="1" ref="F609" ca="1">IFERROR(_xlfn.XLOOKUP(C609&amp;A609, Inside5!B:B&amp;Inside5!I:I, Inside5!D:D), 0)</f>
        <v>1</v>
      </c>
      <c r="G609" cm="1">
        <f t="array" ref="G609">IFERROR(_xlfn.XLOOKUP(C609&amp;A609, Inside5!B:B&amp;Inside5!I:I, Inside5!E:E), 0)</f>
        <v>7.0999999999999994E-2</v>
      </c>
      <c r="H609" t="str" cm="1">
        <f t="array" ref="H609">IFERROR(_xlfn.XLOOKUP(C609&amp;A609, TDrate!F:F&amp;TDrate!H:H, TDrate!C:C), "N/A")</f>
        <v>N/A</v>
      </c>
      <c r="I609" t="str" cm="1">
        <f t="array" ref="I609">IFERROR(_xlfn.XLOOKUP(C609&amp;A609, TDrate!F:F&amp;TDrate!H:H, TDrate!E:E), "N/A")</f>
        <v>N/A</v>
      </c>
      <c r="J609" cm="1">
        <f t="array" ref="J609">IFERROR(_xlfn.XLOOKUP(C609&amp;A609, Inside5!B:B&amp;Inside5!I:I, Inside5!F:F), 0)</f>
        <v>0</v>
      </c>
      <c r="K609" cm="1">
        <f t="array" ref="K609">IFERROR(_xlfn.XLOOKUP(C609&amp;A609, Inside5!B:B&amp;Inside5!I:I, Inside5!G:G), 0)</f>
        <v>0</v>
      </c>
      <c r="L609" cm="1">
        <f t="array" aca="1" ref="L609" ca="1">IFERROR(_xlfn.XLOOKUP(C609&amp;A609, Inside5!B:B&amp;Inside5!I:I, Inside5!H:H), 0)</f>
        <v>0</v>
      </c>
      <c r="M609" t="str" cm="1">
        <f t="array" ref="M609">IFERROR(_xlfn.XLOOKUP(C609&amp;A609, TDrate!F:F&amp;TDrate!H:H, TDrate!B:B), "N/A")</f>
        <v>N/A</v>
      </c>
      <c r="N609" t="str" cm="1">
        <f t="array" ref="N609">IFERROR(_xlfn.XLOOKUP(C609&amp;A609, TDrate!F:F&amp;TDrate!H:H, TDrate!D:D), "N/A")</f>
        <v>N/A</v>
      </c>
    </row>
    <row r="610" spans="1:14" x14ac:dyDescent="0.45">
      <c r="A610" s="5">
        <v>2022</v>
      </c>
      <c r="B610" s="6" t="s">
        <v>617</v>
      </c>
      <c r="C610" s="7" t="str">
        <f t="shared" si="18"/>
        <v>Corey Clement</v>
      </c>
      <c r="D610" s="7" t="str">
        <f t="shared" si="19"/>
        <v>ARI</v>
      </c>
      <c r="E610" cm="1">
        <f t="array" ref="E610">IFERROR(_xlfn.XLOOKUP(C610&amp;A610, Inside5!B:B&amp;Inside5!I:I, Inside5!C:C), 0)</f>
        <v>0</v>
      </c>
      <c r="F610" cm="1">
        <f t="array" ref="F610">IFERROR(_xlfn.XLOOKUP(C610&amp;A610, Inside5!B:B&amp;Inside5!I:I, Inside5!D:D), 0)</f>
        <v>0</v>
      </c>
      <c r="G610" cm="1">
        <f t="array" ref="G610">IFERROR(_xlfn.XLOOKUP(C610&amp;A610, Inside5!B:B&amp;Inside5!I:I, Inside5!E:E), 0)</f>
        <v>0</v>
      </c>
      <c r="H610" t="str" cm="1">
        <f t="array" ref="H610">IFERROR(_xlfn.XLOOKUP(C610&amp;A610, TDrate!F:F&amp;TDrate!H:H, TDrate!C:C), "N/A")</f>
        <v>N/A</v>
      </c>
      <c r="I610" t="str" cm="1">
        <f t="array" ref="I610">IFERROR(_xlfn.XLOOKUP(C610&amp;A610, TDrate!F:F&amp;TDrate!H:H, TDrate!E:E), "N/A")</f>
        <v>N/A</v>
      </c>
      <c r="J610" cm="1">
        <f t="array" ref="J610">IFERROR(_xlfn.XLOOKUP(C610&amp;A610, Inside5!B:B&amp;Inside5!I:I, Inside5!F:F), 0)</f>
        <v>0</v>
      </c>
      <c r="K610" cm="1">
        <f t="array" aca="1" ref="K610" ca="1">IFERROR(_xlfn.XLOOKUP(C610&amp;A610, Inside5!B:B&amp;Inside5!I:I, Inside5!G:G), 0)</f>
        <v>0</v>
      </c>
      <c r="L610" cm="1">
        <f t="array" aca="1" ref="L610" ca="1">IFERROR(_xlfn.XLOOKUP(C610&amp;A610, Inside5!B:B&amp;Inside5!I:I, Inside5!H:H), 0)</f>
        <v>0</v>
      </c>
      <c r="M610" t="str" cm="1">
        <f t="array" ref="M610">IFERROR(_xlfn.XLOOKUP(C610&amp;A610, TDrate!F:F&amp;TDrate!H:H, TDrate!B:B), "N/A")</f>
        <v>N/A</v>
      </c>
      <c r="N610" t="str" cm="1">
        <f t="array" ref="N610">IFERROR(_xlfn.XLOOKUP(C610&amp;A610, TDrate!F:F&amp;TDrate!H:H, TDrate!D:D), "N/A")</f>
        <v>N/A</v>
      </c>
    </row>
    <row r="611" spans="1:14" x14ac:dyDescent="0.45">
      <c r="A611" s="8">
        <v>2022</v>
      </c>
      <c r="B611" s="9" t="s">
        <v>669</v>
      </c>
      <c r="C611" s="10" t="str">
        <f t="shared" si="18"/>
        <v>Benny Snell Jr.</v>
      </c>
      <c r="D611" s="10" t="str">
        <f t="shared" si="19"/>
        <v>PIT</v>
      </c>
      <c r="E611" cm="1">
        <f t="array" aca="1" ref="E611" ca="1">IFERROR(_xlfn.XLOOKUP(C611&amp;A611, Inside5!B:B&amp;Inside5!I:I, Inside5!C:C), 0)</f>
        <v>1</v>
      </c>
      <c r="F611" cm="1">
        <f t="array" aca="1" ref="F611" ca="1">IFERROR(_xlfn.XLOOKUP(C611&amp;A611, Inside5!B:B&amp;Inside5!I:I, Inside5!D:D), 0)</f>
        <v>1</v>
      </c>
      <c r="G611" cm="1">
        <f t="array" ref="G611">IFERROR(_xlfn.XLOOKUP(C611&amp;A611, Inside5!B:B&amp;Inside5!I:I, Inside5!E:E), 0)</f>
        <v>9.0999999999999998E-2</v>
      </c>
      <c r="H611" t="str" cm="1">
        <f t="array" ref="H611">IFERROR(_xlfn.XLOOKUP(C611&amp;A611, TDrate!F:F&amp;TDrate!H:H, TDrate!C:C), "N/A")</f>
        <v>N/A</v>
      </c>
      <c r="I611" t="str" cm="1">
        <f t="array" ref="I611">IFERROR(_xlfn.XLOOKUP(C611&amp;A611, TDrate!F:F&amp;TDrate!H:H, TDrate!E:E), "N/A")</f>
        <v>N/A</v>
      </c>
      <c r="J611" cm="1">
        <f t="array" ref="J611">IFERROR(_xlfn.XLOOKUP(C611&amp;A611, Inside5!B:B&amp;Inside5!I:I, Inside5!F:F), 0)</f>
        <v>0</v>
      </c>
      <c r="K611" cm="1">
        <f t="array" aca="1" ref="K611" ca="1">IFERROR(_xlfn.XLOOKUP(C611&amp;A611, Inside5!B:B&amp;Inside5!I:I, Inside5!G:G), 0)</f>
        <v>0</v>
      </c>
      <c r="L611" cm="1">
        <f t="array" ref="L611">IFERROR(_xlfn.XLOOKUP(C611&amp;A611, Inside5!B:B&amp;Inside5!I:I, Inside5!H:H), 0)</f>
        <v>0</v>
      </c>
      <c r="M611" t="str" cm="1">
        <f t="array" ref="M611">IFERROR(_xlfn.XLOOKUP(C611&amp;A611, TDrate!F:F&amp;TDrate!H:H, TDrate!B:B), "N/A")</f>
        <v>N/A</v>
      </c>
      <c r="N611" t="str" cm="1">
        <f t="array" ref="N611">IFERROR(_xlfn.XLOOKUP(C611&amp;A611, TDrate!F:F&amp;TDrate!H:H, TDrate!D:D), "N/A")</f>
        <v>N/A</v>
      </c>
    </row>
    <row r="612" spans="1:14" x14ac:dyDescent="0.45">
      <c r="A612" s="5">
        <v>2022</v>
      </c>
      <c r="B612" s="6" t="s">
        <v>670</v>
      </c>
      <c r="C612" s="7" t="str">
        <f t="shared" si="18"/>
        <v>Sony Michel</v>
      </c>
      <c r="D612" s="7" t="str">
        <f t="shared" si="19"/>
        <v>LAC</v>
      </c>
      <c r="E612" cm="1">
        <f t="array" ref="E612">IFERROR(_xlfn.XLOOKUP(C612&amp;A612, Inside5!B:B&amp;Inside5!I:I, Inside5!C:C), 0)</f>
        <v>2</v>
      </c>
      <c r="F612" cm="1">
        <f t="array" ref="F612">IFERROR(_xlfn.XLOOKUP(C612&amp;A612, Inside5!B:B&amp;Inside5!I:I, Inside5!D:D), 0)</f>
        <v>0</v>
      </c>
      <c r="G612" cm="1">
        <f t="array" ref="G612">IFERROR(_xlfn.XLOOKUP(C612&amp;A612, Inside5!B:B&amp;Inside5!I:I, Inside5!E:E), 0)</f>
        <v>0.11799999999999999</v>
      </c>
      <c r="H612" cm="1">
        <f t="array" ref="H612">IFERROR(_xlfn.XLOOKUP(C612&amp;A612, TDrate!F:F&amp;TDrate!H:H, TDrate!C:C), "N/A")</f>
        <v>0</v>
      </c>
      <c r="I612" cm="1">
        <f t="array" ref="I612">IFERROR(_xlfn.XLOOKUP(C612&amp;A612, TDrate!F:F&amp;TDrate!H:H, TDrate!E:E), "N/A")</f>
        <v>1.61E-2</v>
      </c>
      <c r="J612" cm="1">
        <f t="array" ref="J612">IFERROR(_xlfn.XLOOKUP(C612&amp;A612, Inside5!B:B&amp;Inside5!I:I, Inside5!F:F), 0)</f>
        <v>0</v>
      </c>
      <c r="K612" cm="1">
        <f t="array" aca="1" ref="K612" ca="1">IFERROR(_xlfn.XLOOKUP(C612&amp;A612, Inside5!B:B&amp;Inside5!I:I, Inside5!G:G), 0)</f>
        <v>0</v>
      </c>
      <c r="L612" cm="1">
        <f t="array" ref="L612">IFERROR(_xlfn.XLOOKUP(C612&amp;A612, Inside5!B:B&amp;Inside5!I:I, Inside5!H:H), 0)</f>
        <v>0</v>
      </c>
      <c r="M612" cm="1">
        <f t="array" ref="M612">IFERROR(_xlfn.XLOOKUP(C612&amp;A612, TDrate!F:F&amp;TDrate!H:H, TDrate!B:B), "N/A")</f>
        <v>0</v>
      </c>
      <c r="N612" cm="1">
        <f t="array" ref="N612">IFERROR(_xlfn.XLOOKUP(C612&amp;A612, TDrate!F:F&amp;TDrate!H:H, TDrate!D:D), "N/A")</f>
        <v>1.2999999999999999E-3</v>
      </c>
    </row>
    <row r="613" spans="1:14" x14ac:dyDescent="0.45">
      <c r="A613" s="8">
        <v>2022</v>
      </c>
      <c r="B613" s="9" t="s">
        <v>671</v>
      </c>
      <c r="C613" s="10" t="str">
        <f t="shared" si="18"/>
        <v>Derek Watt</v>
      </c>
      <c r="D613" s="10" t="str">
        <f t="shared" si="19"/>
        <v>PIT</v>
      </c>
      <c r="E613" cm="1">
        <f t="array" ref="E613">IFERROR(_xlfn.XLOOKUP(C613&amp;A613, Inside5!B:B&amp;Inside5!I:I, Inside5!C:C), 0)</f>
        <v>0</v>
      </c>
      <c r="F613" cm="1">
        <f t="array" ref="F613">IFERROR(_xlfn.XLOOKUP(C613&amp;A613, Inside5!B:B&amp;Inside5!I:I, Inside5!D:D), 0)</f>
        <v>0</v>
      </c>
      <c r="G613" cm="1">
        <f t="array" ref="G613">IFERROR(_xlfn.XLOOKUP(C613&amp;A613, Inside5!B:B&amp;Inside5!I:I, Inside5!E:E), 0)</f>
        <v>0</v>
      </c>
      <c r="H613" t="str" cm="1">
        <f t="array" ref="H613">IFERROR(_xlfn.XLOOKUP(C613&amp;A613, TDrate!F:F&amp;TDrate!H:H, TDrate!C:C), "N/A")</f>
        <v>N/A</v>
      </c>
      <c r="I613" t="str" cm="1">
        <f t="array" ref="I613">IFERROR(_xlfn.XLOOKUP(C613&amp;A613, TDrate!F:F&amp;TDrate!H:H, TDrate!E:E), "N/A")</f>
        <v>N/A</v>
      </c>
      <c r="J613" cm="1">
        <f t="array" ref="J613">IFERROR(_xlfn.XLOOKUP(C613&amp;A613, Inside5!B:B&amp;Inside5!I:I, Inside5!F:F), 0)</f>
        <v>2</v>
      </c>
      <c r="K613" cm="1">
        <f t="array" ref="K613">IFERROR(_xlfn.XLOOKUP(C613&amp;A613, Inside5!B:B&amp;Inside5!I:I, Inside5!G:G), 0)</f>
        <v>2</v>
      </c>
      <c r="L613" cm="1">
        <f t="array" ref="L613">IFERROR(_xlfn.XLOOKUP(C613&amp;A613, Inside5!B:B&amp;Inside5!I:I, Inside5!H:H), 0)</f>
        <v>1</v>
      </c>
      <c r="M613" t="str" cm="1">
        <f t="array" ref="M613">IFERROR(_xlfn.XLOOKUP(C613&amp;A613, TDrate!F:F&amp;TDrate!H:H, TDrate!B:B), "N/A")</f>
        <v>N/A</v>
      </c>
      <c r="N613" t="str" cm="1">
        <f t="array" ref="N613">IFERROR(_xlfn.XLOOKUP(C613&amp;A613, TDrate!F:F&amp;TDrate!H:H, TDrate!D:D), "N/A")</f>
        <v>N/A</v>
      </c>
    </row>
    <row r="614" spans="1:14" x14ac:dyDescent="0.45">
      <c r="A614" s="5">
        <v>2022</v>
      </c>
      <c r="B614" s="6" t="s">
        <v>672</v>
      </c>
      <c r="C614" s="7" t="str">
        <f t="shared" si="18"/>
        <v>Ronald Jones II</v>
      </c>
      <c r="D614" s="7" t="str">
        <f t="shared" si="19"/>
        <v>KC</v>
      </c>
      <c r="E614" cm="1">
        <f t="array" aca="1" ref="E614" ca="1">IFERROR(_xlfn.XLOOKUP(C614&amp;A614, Inside5!B:B&amp;Inside5!I:I, Inside5!C:C), 0)</f>
        <v>0</v>
      </c>
      <c r="F614" cm="1">
        <f t="array" aca="1" ref="F614" ca="1">IFERROR(_xlfn.XLOOKUP(C614&amp;A614, Inside5!B:B&amp;Inside5!I:I, Inside5!D:D), 0)</f>
        <v>0</v>
      </c>
      <c r="G614" cm="1">
        <f t="array" ref="G614">IFERROR(_xlfn.XLOOKUP(C614&amp;A614, Inside5!B:B&amp;Inside5!I:I, Inside5!E:E), 0)</f>
        <v>0</v>
      </c>
      <c r="H614" t="str" cm="1">
        <f t="array" ref="H614">IFERROR(_xlfn.XLOOKUP(C614&amp;A614, TDrate!F:F&amp;TDrate!H:H, TDrate!C:C), "N/A")</f>
        <v>N/A</v>
      </c>
      <c r="I614" t="str" cm="1">
        <f t="array" ref="I614">IFERROR(_xlfn.XLOOKUP(C614&amp;A614, TDrate!F:F&amp;TDrate!H:H, TDrate!E:E), "N/A")</f>
        <v>N/A</v>
      </c>
      <c r="J614" cm="1">
        <f t="array" ref="J614">IFERROR(_xlfn.XLOOKUP(C614&amp;A614, Inside5!B:B&amp;Inside5!I:I, Inside5!F:F), 0)</f>
        <v>0</v>
      </c>
      <c r="K614" cm="1">
        <f t="array" ref="K614">IFERROR(_xlfn.XLOOKUP(C614&amp;A614, Inside5!B:B&amp;Inside5!I:I, Inside5!G:G), 0)</f>
        <v>0</v>
      </c>
      <c r="L614" cm="1">
        <f t="array" ref="L614">IFERROR(_xlfn.XLOOKUP(C614&amp;A614, Inside5!B:B&amp;Inside5!I:I, Inside5!H:H), 0)</f>
        <v>0</v>
      </c>
      <c r="M614" t="str" cm="1">
        <f t="array" ref="M614">IFERROR(_xlfn.XLOOKUP(C614&amp;A614, TDrate!F:F&amp;TDrate!H:H, TDrate!B:B), "N/A")</f>
        <v>N/A</v>
      </c>
      <c r="N614" t="str" cm="1">
        <f t="array" ref="N614">IFERROR(_xlfn.XLOOKUP(C614&amp;A614, TDrate!F:F&amp;TDrate!H:H, TDrate!D:D), "N/A")</f>
        <v>N/A</v>
      </c>
    </row>
    <row r="615" spans="1:14" x14ac:dyDescent="0.45">
      <c r="A615" s="8">
        <v>2022</v>
      </c>
      <c r="B615" s="9" t="s">
        <v>673</v>
      </c>
      <c r="C615" s="10" t="str">
        <f t="shared" si="18"/>
        <v>Hassan Haskins</v>
      </c>
      <c r="D615" s="10" t="str">
        <f t="shared" si="19"/>
        <v>TEN</v>
      </c>
      <c r="E615" cm="1">
        <f t="array" aca="1" ref="E615" ca="1">IFERROR(_xlfn.XLOOKUP(C615&amp;A615, Inside5!B:B&amp;Inside5!I:I, Inside5!C:C), 0)</f>
        <v>0</v>
      </c>
      <c r="F615" cm="1">
        <f t="array" aca="1" ref="F615" ca="1">IFERROR(_xlfn.XLOOKUP(C615&amp;A615, Inside5!B:B&amp;Inside5!I:I, Inside5!D:D), 0)</f>
        <v>0</v>
      </c>
      <c r="G615" cm="1">
        <f t="array" ref="G615">IFERROR(_xlfn.XLOOKUP(C615&amp;A615, Inside5!B:B&amp;Inside5!I:I, Inside5!E:E), 0)</f>
        <v>0</v>
      </c>
      <c r="H615" t="str" cm="1">
        <f t="array" ref="H615">IFERROR(_xlfn.XLOOKUP(C615&amp;A615, TDrate!F:F&amp;TDrate!H:H, TDrate!C:C), "N/A")</f>
        <v>N/A</v>
      </c>
      <c r="I615" t="str" cm="1">
        <f t="array" ref="I615">IFERROR(_xlfn.XLOOKUP(C615&amp;A615, TDrate!F:F&amp;TDrate!H:H, TDrate!E:E), "N/A")</f>
        <v>N/A</v>
      </c>
      <c r="J615" cm="1">
        <f t="array" ref="J615">IFERROR(_xlfn.XLOOKUP(C615&amp;A615, Inside5!B:B&amp;Inside5!I:I, Inside5!F:F), 0)</f>
        <v>0</v>
      </c>
      <c r="K615" cm="1">
        <f t="array" ref="K615">IFERROR(_xlfn.XLOOKUP(C615&amp;A615, Inside5!B:B&amp;Inside5!I:I, Inside5!G:G), 0)</f>
        <v>0</v>
      </c>
      <c r="L615" cm="1">
        <f t="array" ref="L615">IFERROR(_xlfn.XLOOKUP(C615&amp;A615, Inside5!B:B&amp;Inside5!I:I, Inside5!H:H), 0)</f>
        <v>0</v>
      </c>
      <c r="M615" t="str" cm="1">
        <f t="array" ref="M615">IFERROR(_xlfn.XLOOKUP(C615&amp;A615, TDrate!F:F&amp;TDrate!H:H, TDrate!B:B), "N/A")</f>
        <v>N/A</v>
      </c>
      <c r="N615" t="str" cm="1">
        <f t="array" ref="N615">IFERROR(_xlfn.XLOOKUP(C615&amp;A615, TDrate!F:F&amp;TDrate!H:H, TDrate!D:D), "N/A")</f>
        <v>N/A</v>
      </c>
    </row>
    <row r="616" spans="1:14" x14ac:dyDescent="0.45">
      <c r="A616" s="5">
        <v>2022</v>
      </c>
      <c r="B616" s="6" t="s">
        <v>585</v>
      </c>
      <c r="C616" s="7" t="str">
        <f t="shared" si="18"/>
        <v>Keaontay Ingram</v>
      </c>
      <c r="D616" s="7" t="str">
        <f t="shared" si="19"/>
        <v>ARI</v>
      </c>
      <c r="E616" cm="1">
        <f t="array" aca="1" ref="E616" ca="1">IFERROR(_xlfn.XLOOKUP(C616&amp;A616, Inside5!B:B&amp;Inside5!I:I, Inside5!C:C), 0)</f>
        <v>2</v>
      </c>
      <c r="F616" cm="1">
        <f t="array" ref="F616">IFERROR(_xlfn.XLOOKUP(C616&amp;A616, Inside5!B:B&amp;Inside5!I:I, Inside5!D:D), 0)</f>
        <v>1</v>
      </c>
      <c r="G616" cm="1">
        <f t="array" ref="G616">IFERROR(_xlfn.XLOOKUP(C616&amp;A616, Inside5!B:B&amp;Inside5!I:I, Inside5!E:E), 0)</f>
        <v>0.14299999999999999</v>
      </c>
      <c r="H616" cm="1">
        <f t="array" ref="H616">IFERROR(_xlfn.XLOOKUP(C616&amp;A616, TDrate!F:F&amp;TDrate!H:H, TDrate!C:C), "N/A")</f>
        <v>3.6999999999999998E-2</v>
      </c>
      <c r="I616" cm="1">
        <f t="array" ref="I616">IFERROR(_xlfn.XLOOKUP(C616&amp;A616, TDrate!F:F&amp;TDrate!H:H, TDrate!E:E), "N/A")</f>
        <v>4.0599999999999997E-2</v>
      </c>
      <c r="J616" cm="1">
        <f t="array" ref="J616">IFERROR(_xlfn.XLOOKUP(C616&amp;A616, Inside5!B:B&amp;Inside5!I:I, Inside5!F:F), 0)</f>
        <v>0</v>
      </c>
      <c r="K616" cm="1">
        <f t="array" ref="K616">IFERROR(_xlfn.XLOOKUP(C616&amp;A616, Inside5!B:B&amp;Inside5!I:I, Inside5!G:G), 0)</f>
        <v>0</v>
      </c>
      <c r="L616" cm="1">
        <f t="array" ref="L616">IFERROR(_xlfn.XLOOKUP(C616&amp;A616, Inside5!B:B&amp;Inside5!I:I, Inside5!H:H), 0)</f>
        <v>0</v>
      </c>
      <c r="M616" cm="1">
        <f t="array" ref="M616">IFERROR(_xlfn.XLOOKUP(C616&amp;A616, TDrate!F:F&amp;TDrate!H:H, TDrate!B:B), "N/A")</f>
        <v>0</v>
      </c>
      <c r="N616" cm="1">
        <f t="array" ref="N616">IFERROR(_xlfn.XLOOKUP(C616&amp;A616, TDrate!F:F&amp;TDrate!H:H, TDrate!D:D), "N/A")</f>
        <v>6.4999999999999997E-3</v>
      </c>
    </row>
    <row r="617" spans="1:14" x14ac:dyDescent="0.45">
      <c r="A617" s="8">
        <v>2022</v>
      </c>
      <c r="B617" s="9" t="s">
        <v>435</v>
      </c>
      <c r="C617" s="10" t="str">
        <f t="shared" si="18"/>
        <v>Reggie Gilliam</v>
      </c>
      <c r="D617" s="10" t="str">
        <f t="shared" si="19"/>
        <v>BUF</v>
      </c>
      <c r="E617" cm="1">
        <f t="array" ref="E617">IFERROR(_xlfn.XLOOKUP(C617&amp;A617, Inside5!B:B&amp;Inside5!I:I, Inside5!C:C), 0)</f>
        <v>0</v>
      </c>
      <c r="F617" cm="1">
        <f t="array" aca="1" ref="F617" ca="1">IFERROR(_xlfn.XLOOKUP(C617&amp;A617, Inside5!B:B&amp;Inside5!I:I, Inside5!D:D), 0)</f>
        <v>0</v>
      </c>
      <c r="G617" cm="1">
        <f t="array" ref="G617">IFERROR(_xlfn.XLOOKUP(C617&amp;A617, Inside5!B:B&amp;Inside5!I:I, Inside5!E:E), 0)</f>
        <v>0</v>
      </c>
      <c r="H617" t="str" cm="1">
        <f t="array" ref="H617">IFERROR(_xlfn.XLOOKUP(C617&amp;A617, TDrate!F:F&amp;TDrate!H:H, TDrate!C:C), "N/A")</f>
        <v>N/A</v>
      </c>
      <c r="I617" t="str" cm="1">
        <f t="array" ref="I617">IFERROR(_xlfn.XLOOKUP(C617&amp;A617, TDrate!F:F&amp;TDrate!H:H, TDrate!E:E), "N/A")</f>
        <v>N/A</v>
      </c>
      <c r="J617" cm="1">
        <f t="array" ref="J617">IFERROR(_xlfn.XLOOKUP(C617&amp;A617, Inside5!B:B&amp;Inside5!I:I, Inside5!F:F), 0)</f>
        <v>0</v>
      </c>
      <c r="K617" cm="1">
        <f t="array" ref="K617">IFERROR(_xlfn.XLOOKUP(C617&amp;A617, Inside5!B:B&amp;Inside5!I:I, Inside5!G:G), 0)</f>
        <v>0</v>
      </c>
      <c r="L617" cm="1">
        <f t="array" ref="L617">IFERROR(_xlfn.XLOOKUP(C617&amp;A617, Inside5!B:B&amp;Inside5!I:I, Inside5!H:H), 0)</f>
        <v>0</v>
      </c>
      <c r="M617" t="str" cm="1">
        <f t="array" ref="M617">IFERROR(_xlfn.XLOOKUP(C617&amp;A617, TDrate!F:F&amp;TDrate!H:H, TDrate!B:B), "N/A")</f>
        <v>N/A</v>
      </c>
      <c r="N617" t="str" cm="1">
        <f t="array" ref="N617">IFERROR(_xlfn.XLOOKUP(C617&amp;A617, TDrate!F:F&amp;TDrate!H:H, TDrate!D:D), "N/A")</f>
        <v>N/A</v>
      </c>
    </row>
    <row r="618" spans="1:14" x14ac:dyDescent="0.45">
      <c r="A618" s="5">
        <v>2022</v>
      </c>
      <c r="B618" s="6" t="s">
        <v>674</v>
      </c>
      <c r="C618" s="7" t="str">
        <f t="shared" si="18"/>
        <v>Zander Horvath</v>
      </c>
      <c r="D618" s="7" t="str">
        <f t="shared" si="19"/>
        <v>LAC</v>
      </c>
      <c r="E618" cm="1">
        <f t="array" ref="E618">IFERROR(_xlfn.XLOOKUP(C618&amp;A618, Inside5!B:B&amp;Inside5!I:I, Inside5!C:C), 0)</f>
        <v>1</v>
      </c>
      <c r="F618" cm="1">
        <f t="array" ref="F618">IFERROR(_xlfn.XLOOKUP(C618&amp;A618, Inside5!B:B&amp;Inside5!I:I, Inside5!D:D), 0)</f>
        <v>0</v>
      </c>
      <c r="G618" cm="1">
        <f t="array" ref="G618">IFERROR(_xlfn.XLOOKUP(C618&amp;A618, Inside5!B:B&amp;Inside5!I:I, Inside5!E:E), 0)</f>
        <v>5.8999999999999997E-2</v>
      </c>
      <c r="H618" t="str" cm="1">
        <f t="array" ref="H618">IFERROR(_xlfn.XLOOKUP(C618&amp;A618, TDrate!F:F&amp;TDrate!H:H, TDrate!C:C), "N/A")</f>
        <v>N/A</v>
      </c>
      <c r="I618" t="str" cm="1">
        <f t="array" ref="I618">IFERROR(_xlfn.XLOOKUP(C618&amp;A618, TDrate!F:F&amp;TDrate!H:H, TDrate!E:E), "N/A")</f>
        <v>N/A</v>
      </c>
      <c r="J618" cm="1">
        <f t="array" ref="J618">IFERROR(_xlfn.XLOOKUP(C618&amp;A618, Inside5!B:B&amp;Inside5!I:I, Inside5!F:F), 0)</f>
        <v>2</v>
      </c>
      <c r="K618" cm="1">
        <f t="array" ref="K618">IFERROR(_xlfn.XLOOKUP(C618&amp;A618, Inside5!B:B&amp;Inside5!I:I, Inside5!G:G), 0)</f>
        <v>2</v>
      </c>
      <c r="L618" cm="1">
        <f t="array" ref="L618">IFERROR(_xlfn.XLOOKUP(C618&amp;A618, Inside5!B:B&amp;Inside5!I:I, Inside5!H:H), 0)</f>
        <v>2</v>
      </c>
      <c r="M618" t="str" cm="1">
        <f t="array" ref="M618">IFERROR(_xlfn.XLOOKUP(C618&amp;A618, TDrate!F:F&amp;TDrate!H:H, TDrate!B:B), "N/A")</f>
        <v>N/A</v>
      </c>
      <c r="N618" t="str" cm="1">
        <f t="array" ref="N618">IFERROR(_xlfn.XLOOKUP(C618&amp;A618, TDrate!F:F&amp;TDrate!H:H, TDrate!D:D), "N/A")</f>
        <v>N/A</v>
      </c>
    </row>
    <row r="619" spans="1:14" x14ac:dyDescent="0.45">
      <c r="A619" s="8">
        <v>2022</v>
      </c>
      <c r="B619" s="9" t="s">
        <v>572</v>
      </c>
      <c r="C619" s="10" t="str">
        <f t="shared" si="18"/>
        <v>Salvon Ahmed</v>
      </c>
      <c r="D619" s="10" t="str">
        <f t="shared" si="19"/>
        <v>MIA</v>
      </c>
      <c r="E619" cm="1">
        <f t="array" aca="1" ref="E619" ca="1">IFERROR(_xlfn.XLOOKUP(C619&amp;A619, Inside5!B:B&amp;Inside5!I:I, Inside5!C:C), 0)</f>
        <v>0</v>
      </c>
      <c r="F619" cm="1">
        <f t="array" ref="F619">IFERROR(_xlfn.XLOOKUP(C619&amp;A619, Inside5!B:B&amp;Inside5!I:I, Inside5!D:D), 0)</f>
        <v>0</v>
      </c>
      <c r="G619" cm="1">
        <f t="array" ref="G619">IFERROR(_xlfn.XLOOKUP(C619&amp;A619, Inside5!B:B&amp;Inside5!I:I, Inside5!E:E), 0)</f>
        <v>0</v>
      </c>
      <c r="H619" t="str" cm="1">
        <f t="array" ref="H619">IFERROR(_xlfn.XLOOKUP(C619&amp;A619, TDrate!F:F&amp;TDrate!H:H, TDrate!C:C), "N/A")</f>
        <v>N/A</v>
      </c>
      <c r="I619" t="str" cm="1">
        <f t="array" ref="I619">IFERROR(_xlfn.XLOOKUP(C619&amp;A619, TDrate!F:F&amp;TDrate!H:H, TDrate!E:E), "N/A")</f>
        <v>N/A</v>
      </c>
      <c r="J619" cm="1">
        <f t="array" ref="J619">IFERROR(_xlfn.XLOOKUP(C619&amp;A619, Inside5!B:B&amp;Inside5!I:I, Inside5!F:F), 0)</f>
        <v>0</v>
      </c>
      <c r="K619" cm="1">
        <f t="array" ref="K619">IFERROR(_xlfn.XLOOKUP(C619&amp;A619, Inside5!B:B&amp;Inside5!I:I, Inside5!G:G), 0)</f>
        <v>0</v>
      </c>
      <c r="L619" cm="1">
        <f t="array" ref="L619">IFERROR(_xlfn.XLOOKUP(C619&amp;A619, Inside5!B:B&amp;Inside5!I:I, Inside5!H:H), 0)</f>
        <v>0</v>
      </c>
      <c r="M619" t="str" cm="1">
        <f t="array" ref="M619">IFERROR(_xlfn.XLOOKUP(C619&amp;A619, TDrate!F:F&amp;TDrate!H:H, TDrate!B:B), "N/A")</f>
        <v>N/A</v>
      </c>
      <c r="N619" t="str" cm="1">
        <f t="array" ref="N619">IFERROR(_xlfn.XLOOKUP(C619&amp;A619, TDrate!F:F&amp;TDrate!H:H, TDrate!D:D), "N/A")</f>
        <v>N/A</v>
      </c>
    </row>
    <row r="620" spans="1:14" x14ac:dyDescent="0.45">
      <c r="A620" s="5">
        <v>2022</v>
      </c>
      <c r="B620" s="6" t="s">
        <v>675</v>
      </c>
      <c r="C620" s="7" t="str">
        <f t="shared" si="18"/>
        <v>Royce Freeman</v>
      </c>
      <c r="D620" s="7" t="str">
        <f t="shared" si="19"/>
        <v>HOU</v>
      </c>
      <c r="E620" cm="1">
        <f t="array" aca="1" ref="E620" ca="1">IFERROR(_xlfn.XLOOKUP(C620&amp;A620, Inside5!B:B&amp;Inside5!I:I, Inside5!C:C), 0)</f>
        <v>0</v>
      </c>
      <c r="F620" cm="1">
        <f t="array" aca="1" ref="F620" ca="1">IFERROR(_xlfn.XLOOKUP(C620&amp;A620, Inside5!B:B&amp;Inside5!I:I, Inside5!D:D), 0)</f>
        <v>0</v>
      </c>
      <c r="G620" cm="1">
        <f t="array" ref="G620">IFERROR(_xlfn.XLOOKUP(C620&amp;A620, Inside5!B:B&amp;Inside5!I:I, Inside5!E:E), 0)</f>
        <v>0</v>
      </c>
      <c r="H620" cm="1">
        <f t="array" ref="H620">IFERROR(_xlfn.XLOOKUP(C620&amp;A620, TDrate!F:F&amp;TDrate!H:H, TDrate!C:C), "N/A")</f>
        <v>0</v>
      </c>
      <c r="I620" cm="1">
        <f t="array" ref="I620">IFERROR(_xlfn.XLOOKUP(C620&amp;A620, TDrate!F:F&amp;TDrate!H:H, TDrate!E:E), "N/A")</f>
        <v>8.6999999999999994E-3</v>
      </c>
      <c r="J620" cm="1">
        <f t="array" ref="J620">IFERROR(_xlfn.XLOOKUP(C620&amp;A620, Inside5!B:B&amp;Inside5!I:I, Inside5!F:F), 0)</f>
        <v>0</v>
      </c>
      <c r="K620" cm="1">
        <f t="array" ref="K620">IFERROR(_xlfn.XLOOKUP(C620&amp;A620, Inside5!B:B&amp;Inside5!I:I, Inside5!G:G), 0)</f>
        <v>0</v>
      </c>
      <c r="L620" cm="1">
        <f t="array" ref="L620">IFERROR(_xlfn.XLOOKUP(C620&amp;A620, Inside5!B:B&amp;Inside5!I:I, Inside5!H:H), 0)</f>
        <v>0</v>
      </c>
      <c r="M620" cm="1">
        <f t="array" ref="M620">IFERROR(_xlfn.XLOOKUP(C620&amp;A620, TDrate!F:F&amp;TDrate!H:H, TDrate!B:B), "N/A")</f>
        <v>0</v>
      </c>
      <c r="N620" cm="1">
        <f t="array" ref="N620">IFERROR(_xlfn.XLOOKUP(C620&amp;A620, TDrate!F:F&amp;TDrate!H:H, TDrate!D:D), "N/A")</f>
        <v>5.0000000000000001E-3</v>
      </c>
    </row>
    <row r="621" spans="1:14" x14ac:dyDescent="0.45">
      <c r="A621" s="8">
        <v>2022</v>
      </c>
      <c r="B621" s="9" t="s">
        <v>577</v>
      </c>
      <c r="C621" s="10" t="str">
        <f t="shared" si="18"/>
        <v>Kevin Harris</v>
      </c>
      <c r="D621" s="10" t="str">
        <f t="shared" si="19"/>
        <v>NE</v>
      </c>
      <c r="E621" cm="1">
        <f t="array" aca="1" ref="E621" ca="1">IFERROR(_xlfn.XLOOKUP(C621&amp;A621, Inside5!B:B&amp;Inside5!I:I, Inside5!C:C), 0)</f>
        <v>0</v>
      </c>
      <c r="F621" cm="1">
        <f t="array" aca="1" ref="F621" ca="1">IFERROR(_xlfn.XLOOKUP(C621&amp;A621, Inside5!B:B&amp;Inside5!I:I, Inside5!D:D), 0)</f>
        <v>0</v>
      </c>
      <c r="G621" cm="1">
        <f t="array" ref="G621">IFERROR(_xlfn.XLOOKUP(C621&amp;A621, Inside5!B:B&amp;Inside5!I:I, Inside5!E:E), 0)</f>
        <v>0</v>
      </c>
      <c r="H621" t="str" cm="1">
        <f t="array" ref="H621">IFERROR(_xlfn.XLOOKUP(C621&amp;A621, TDrate!F:F&amp;TDrate!H:H, TDrate!C:C), "N/A")</f>
        <v>N/A</v>
      </c>
      <c r="I621" t="str" cm="1">
        <f t="array" ref="I621">IFERROR(_xlfn.XLOOKUP(C621&amp;A621, TDrate!F:F&amp;TDrate!H:H, TDrate!E:E), "N/A")</f>
        <v>N/A</v>
      </c>
      <c r="J621" cm="1">
        <f t="array" ref="J621">IFERROR(_xlfn.XLOOKUP(C621&amp;A621, Inside5!B:B&amp;Inside5!I:I, Inside5!F:F), 0)</f>
        <v>0</v>
      </c>
      <c r="K621" cm="1">
        <f t="array" ref="K621">IFERROR(_xlfn.XLOOKUP(C621&amp;A621, Inside5!B:B&amp;Inside5!I:I, Inside5!G:G), 0)</f>
        <v>0</v>
      </c>
      <c r="L621" cm="1">
        <f t="array" ref="L621">IFERROR(_xlfn.XLOOKUP(C621&amp;A621, Inside5!B:B&amp;Inside5!I:I, Inside5!H:H), 0)</f>
        <v>0</v>
      </c>
      <c r="M621" t="str" cm="1">
        <f t="array" ref="M621">IFERROR(_xlfn.XLOOKUP(C621&amp;A621, TDrate!F:F&amp;TDrate!H:H, TDrate!B:B), "N/A")</f>
        <v>N/A</v>
      </c>
      <c r="N621" t="str" cm="1">
        <f t="array" ref="N621">IFERROR(_xlfn.XLOOKUP(C621&amp;A621, TDrate!F:F&amp;TDrate!H:H, TDrate!D:D), "N/A")</f>
        <v>N/A</v>
      </c>
    </row>
    <row r="622" spans="1:14" x14ac:dyDescent="0.45">
      <c r="A622" s="5">
        <v>2022</v>
      </c>
      <c r="B622" s="6" t="s">
        <v>676</v>
      </c>
      <c r="C622" s="7" t="str">
        <f t="shared" si="18"/>
        <v>Snoop Conner</v>
      </c>
      <c r="D622" s="7" t="str">
        <f t="shared" si="19"/>
        <v>JAC</v>
      </c>
      <c r="E622" cm="1">
        <f t="array" aca="1" ref="E622" ca="1">IFERROR(_xlfn.XLOOKUP(C622&amp;A622, Inside5!B:B&amp;Inside5!I:I, Inside5!C:C), 0)</f>
        <v>1</v>
      </c>
      <c r="F622" cm="1">
        <f t="array" aca="1" ref="F622" ca="1">IFERROR(_xlfn.XLOOKUP(C622&amp;A622, Inside5!B:B&amp;Inside5!I:I, Inside5!D:D), 0)</f>
        <v>1</v>
      </c>
      <c r="G622" cm="1">
        <f t="array" ref="G622">IFERROR(_xlfn.XLOOKUP(C622&amp;A622, Inside5!B:B&amp;Inside5!I:I, Inside5!E:E), 0)</f>
        <v>5.8999999999999997E-2</v>
      </c>
      <c r="H622" t="str" cm="1">
        <f t="array" ref="H622">IFERROR(_xlfn.XLOOKUP(C622&amp;A622, TDrate!F:F&amp;TDrate!H:H, TDrate!C:C), "N/A")</f>
        <v>N/A</v>
      </c>
      <c r="I622" t="str" cm="1">
        <f t="array" ref="I622">IFERROR(_xlfn.XLOOKUP(C622&amp;A622, TDrate!F:F&amp;TDrate!H:H, TDrate!E:E), "N/A")</f>
        <v>N/A</v>
      </c>
      <c r="J622" cm="1">
        <f t="array" ref="J622">IFERROR(_xlfn.XLOOKUP(C622&amp;A622, Inside5!B:B&amp;Inside5!I:I, Inside5!F:F), 0)</f>
        <v>0</v>
      </c>
      <c r="K622" cm="1">
        <f t="array" ref="K622">IFERROR(_xlfn.XLOOKUP(C622&amp;A622, Inside5!B:B&amp;Inside5!I:I, Inside5!G:G), 0)</f>
        <v>0</v>
      </c>
      <c r="L622" cm="1">
        <f t="array" ref="L622">IFERROR(_xlfn.XLOOKUP(C622&amp;A622, Inside5!B:B&amp;Inside5!I:I, Inside5!H:H), 0)</f>
        <v>0</v>
      </c>
      <c r="M622" t="str" cm="1">
        <f t="array" ref="M622">IFERROR(_xlfn.XLOOKUP(C622&amp;A622, TDrate!F:F&amp;TDrate!H:H, TDrate!B:B), "N/A")</f>
        <v>N/A</v>
      </c>
      <c r="N622" t="str" cm="1">
        <f t="array" ref="N622">IFERROR(_xlfn.XLOOKUP(C622&amp;A622, TDrate!F:F&amp;TDrate!H:H, TDrate!D:D), "N/A")</f>
        <v>N/A</v>
      </c>
    </row>
    <row r="623" spans="1:14" x14ac:dyDescent="0.45">
      <c r="A623" s="8">
        <v>2022</v>
      </c>
      <c r="B623" s="9" t="s">
        <v>600</v>
      </c>
      <c r="C623" s="10" t="str">
        <f t="shared" si="18"/>
        <v>Tyrion Davis-Price</v>
      </c>
      <c r="D623" s="10" t="str">
        <f t="shared" si="19"/>
        <v>SF</v>
      </c>
      <c r="E623" cm="1">
        <f t="array" ref="E623">IFERROR(_xlfn.XLOOKUP(C623&amp;A623, Inside5!B:B&amp;Inside5!I:I, Inside5!C:C), 0)</f>
        <v>1</v>
      </c>
      <c r="F623" cm="1">
        <f t="array" ref="F623">IFERROR(_xlfn.XLOOKUP(C623&amp;A623, Inside5!B:B&amp;Inside5!I:I, Inside5!D:D), 0)</f>
        <v>0</v>
      </c>
      <c r="G623" cm="1">
        <f t="array" ref="G623">IFERROR(_xlfn.XLOOKUP(C623&amp;A623, Inside5!B:B&amp;Inside5!I:I, Inside5!E:E), 0)</f>
        <v>5.2999999999999999E-2</v>
      </c>
      <c r="H623" cm="1">
        <f t="array" ref="H623">IFERROR(_xlfn.XLOOKUP(C623&amp;A623, TDrate!F:F&amp;TDrate!H:H, TDrate!C:C), "N/A")</f>
        <v>0</v>
      </c>
      <c r="I623" cm="1">
        <f t="array" ref="I623">IFERROR(_xlfn.XLOOKUP(C623&amp;A623, TDrate!F:F&amp;TDrate!H:H, TDrate!E:E), "N/A")</f>
        <v>1.8100000000000002E-2</v>
      </c>
      <c r="J623" cm="1">
        <f t="array" ref="J623">IFERROR(_xlfn.XLOOKUP(C623&amp;A623, Inside5!B:B&amp;Inside5!I:I, Inside5!F:F), 0)</f>
        <v>0</v>
      </c>
      <c r="K623" cm="1">
        <f t="array" ref="K623">IFERROR(_xlfn.XLOOKUP(C623&amp;A623, Inside5!B:B&amp;Inside5!I:I, Inside5!G:G), 0)</f>
        <v>0</v>
      </c>
      <c r="L623" cm="1">
        <f t="array" ref="L623">IFERROR(_xlfn.XLOOKUP(C623&amp;A623, Inside5!B:B&amp;Inside5!I:I, Inside5!H:H), 0)</f>
        <v>0</v>
      </c>
      <c r="M623" cm="1">
        <f t="array" ref="M623">IFERROR(_xlfn.XLOOKUP(C623&amp;A623, TDrate!F:F&amp;TDrate!H:H, TDrate!B:B), "N/A")</f>
        <v>0</v>
      </c>
      <c r="N623" cm="1">
        <f t="array" ref="N623">IFERROR(_xlfn.XLOOKUP(C623&amp;A623, TDrate!F:F&amp;TDrate!H:H, TDrate!D:D), "N/A")</f>
        <v>1.2999999999999999E-3</v>
      </c>
    </row>
    <row r="624" spans="1:14" x14ac:dyDescent="0.45">
      <c r="A624" s="5">
        <v>2022</v>
      </c>
      <c r="B624" s="6" t="s">
        <v>612</v>
      </c>
      <c r="C624" s="7" t="str">
        <f t="shared" si="18"/>
        <v>Chris Evans</v>
      </c>
      <c r="D624" s="7" t="str">
        <f t="shared" si="19"/>
        <v>CIN</v>
      </c>
      <c r="E624" cm="1">
        <f t="array" ref="E624">IFERROR(_xlfn.XLOOKUP(C624&amp;A624, Inside5!B:B&amp;Inside5!I:I, Inside5!C:C), 0)</f>
        <v>0</v>
      </c>
      <c r="F624" cm="1">
        <f t="array" ref="F624">IFERROR(_xlfn.XLOOKUP(C624&amp;A624, Inside5!B:B&amp;Inside5!I:I, Inside5!D:D), 0)</f>
        <v>0</v>
      </c>
      <c r="G624" cm="1">
        <f t="array" ref="G624">IFERROR(_xlfn.XLOOKUP(C624&amp;A624, Inside5!B:B&amp;Inside5!I:I, Inside5!E:E), 0)</f>
        <v>0</v>
      </c>
      <c r="H624" t="str" cm="1">
        <f t="array" ref="H624">IFERROR(_xlfn.XLOOKUP(C624&amp;A624, TDrate!F:F&amp;TDrate!H:H, TDrate!C:C), "N/A")</f>
        <v>N/A</v>
      </c>
      <c r="I624" t="str" cm="1">
        <f t="array" ref="I624">IFERROR(_xlfn.XLOOKUP(C624&amp;A624, TDrate!F:F&amp;TDrate!H:H, TDrate!E:E), "N/A")</f>
        <v>N/A</v>
      </c>
      <c r="J624" cm="1">
        <f t="array" ref="J624">IFERROR(_xlfn.XLOOKUP(C624&amp;A624, Inside5!B:B&amp;Inside5!I:I, Inside5!F:F), 0)</f>
        <v>0</v>
      </c>
      <c r="K624" cm="1">
        <f t="array" aca="1" ref="K624" ca="1">IFERROR(_xlfn.XLOOKUP(C624&amp;A624, Inside5!B:B&amp;Inside5!I:I, Inside5!G:G), 0)</f>
        <v>0</v>
      </c>
      <c r="L624" cm="1">
        <f t="array" ref="L624">IFERROR(_xlfn.XLOOKUP(C624&amp;A624, Inside5!B:B&amp;Inside5!I:I, Inside5!H:H), 0)</f>
        <v>0</v>
      </c>
      <c r="M624" t="str" cm="1">
        <f t="array" ref="M624">IFERROR(_xlfn.XLOOKUP(C624&amp;A624, TDrate!F:F&amp;TDrate!H:H, TDrate!B:B), "N/A")</f>
        <v>N/A</v>
      </c>
      <c r="N624" t="str" cm="1">
        <f t="array" ref="N624">IFERROR(_xlfn.XLOOKUP(C624&amp;A624, TDrate!F:F&amp;TDrate!H:H, TDrate!D:D), "N/A")</f>
        <v>N/A</v>
      </c>
    </row>
    <row r="625" spans="1:14" x14ac:dyDescent="0.45">
      <c r="A625" s="8">
        <v>2022</v>
      </c>
      <c r="B625" s="9" t="s">
        <v>525</v>
      </c>
      <c r="C625" s="10" t="str">
        <f t="shared" si="18"/>
        <v>Darrynton Evans</v>
      </c>
      <c r="D625" s="10" t="str">
        <f t="shared" si="19"/>
        <v>CHI</v>
      </c>
      <c r="E625" cm="1">
        <f t="array" aca="1" ref="E625" ca="1">IFERROR(_xlfn.XLOOKUP(C625&amp;A625, Inside5!B:B&amp;Inside5!I:I, Inside5!C:C), 0)</f>
        <v>0</v>
      </c>
      <c r="F625" cm="1">
        <f t="array" aca="1" ref="F625" ca="1">IFERROR(_xlfn.XLOOKUP(C625&amp;A625, Inside5!B:B&amp;Inside5!I:I, Inside5!D:D), 0)</f>
        <v>0</v>
      </c>
      <c r="G625" cm="1">
        <f t="array" ref="G625">IFERROR(_xlfn.XLOOKUP(C625&amp;A625, Inside5!B:B&amp;Inside5!I:I, Inside5!E:E), 0)</f>
        <v>0</v>
      </c>
      <c r="H625" t="str" cm="1">
        <f t="array" ref="H625">IFERROR(_xlfn.XLOOKUP(C625&amp;A625, TDrate!F:F&amp;TDrate!H:H, TDrate!C:C), "N/A")</f>
        <v>N/A</v>
      </c>
      <c r="I625" t="str" cm="1">
        <f t="array" ref="I625">IFERROR(_xlfn.XLOOKUP(C625&amp;A625, TDrate!F:F&amp;TDrate!H:H, TDrate!E:E), "N/A")</f>
        <v>N/A</v>
      </c>
      <c r="J625" cm="1">
        <f t="array" ref="J625">IFERROR(_xlfn.XLOOKUP(C625&amp;A625, Inside5!B:B&amp;Inside5!I:I, Inside5!F:F), 0)</f>
        <v>0</v>
      </c>
      <c r="K625" cm="1">
        <f t="array" ref="K625">IFERROR(_xlfn.XLOOKUP(C625&amp;A625, Inside5!B:B&amp;Inside5!I:I, Inside5!G:G), 0)</f>
        <v>0</v>
      </c>
      <c r="L625" cm="1">
        <f t="array" ref="L625">IFERROR(_xlfn.XLOOKUP(C625&amp;A625, Inside5!B:B&amp;Inside5!I:I, Inside5!H:H), 0)</f>
        <v>0</v>
      </c>
      <c r="M625" t="str" cm="1">
        <f t="array" ref="M625">IFERROR(_xlfn.XLOOKUP(C625&amp;A625, TDrate!F:F&amp;TDrate!H:H, TDrate!B:B), "N/A")</f>
        <v>N/A</v>
      </c>
      <c r="N625" t="str" cm="1">
        <f t="array" ref="N625">IFERROR(_xlfn.XLOOKUP(C625&amp;A625, TDrate!F:F&amp;TDrate!H:H, TDrate!D:D), "N/A")</f>
        <v>N/A</v>
      </c>
    </row>
    <row r="626" spans="1:14" x14ac:dyDescent="0.45">
      <c r="A626" s="5">
        <v>2022</v>
      </c>
      <c r="B626" s="6" t="s">
        <v>607</v>
      </c>
      <c r="C626" s="7" t="str">
        <f t="shared" si="18"/>
        <v>Kene Nwangwu</v>
      </c>
      <c r="D626" s="7" t="str">
        <f t="shared" si="19"/>
        <v>MIN</v>
      </c>
      <c r="E626" cm="1">
        <f t="array" aca="1" ref="E626" ca="1">IFERROR(_xlfn.XLOOKUP(C626&amp;A626, Inside5!B:B&amp;Inside5!I:I, Inside5!C:C), 0)</f>
        <v>0</v>
      </c>
      <c r="F626" cm="1">
        <f t="array" aca="1" ref="F626" ca="1">IFERROR(_xlfn.XLOOKUP(C626&amp;A626, Inside5!B:B&amp;Inside5!I:I, Inside5!D:D), 0)</f>
        <v>0</v>
      </c>
      <c r="G626" cm="1">
        <f t="array" ref="G626">IFERROR(_xlfn.XLOOKUP(C626&amp;A626, Inside5!B:B&amp;Inside5!I:I, Inside5!E:E), 0)</f>
        <v>0</v>
      </c>
      <c r="H626" t="str" cm="1">
        <f t="array" ref="H626">IFERROR(_xlfn.XLOOKUP(C626&amp;A626, TDrate!F:F&amp;TDrate!H:H, TDrate!C:C), "N/A")</f>
        <v>N/A</v>
      </c>
      <c r="I626" t="str" cm="1">
        <f t="array" ref="I626">IFERROR(_xlfn.XLOOKUP(C626&amp;A626, TDrate!F:F&amp;TDrate!H:H, TDrate!E:E), "N/A")</f>
        <v>N/A</v>
      </c>
      <c r="J626" cm="1">
        <f t="array" ref="J626">IFERROR(_xlfn.XLOOKUP(C626&amp;A626, Inside5!B:B&amp;Inside5!I:I, Inside5!F:F), 0)</f>
        <v>0</v>
      </c>
      <c r="K626" cm="1">
        <f t="array" ref="K626">IFERROR(_xlfn.XLOOKUP(C626&amp;A626, Inside5!B:B&amp;Inside5!I:I, Inside5!G:G), 0)</f>
        <v>0</v>
      </c>
      <c r="L626" cm="1">
        <f t="array" ref="L626">IFERROR(_xlfn.XLOOKUP(C626&amp;A626, Inside5!B:B&amp;Inside5!I:I, Inside5!H:H), 0)</f>
        <v>0</v>
      </c>
      <c r="M626" t="str" cm="1">
        <f t="array" ref="M626">IFERROR(_xlfn.XLOOKUP(C626&amp;A626, TDrate!F:F&amp;TDrate!H:H, TDrate!B:B), "N/A")</f>
        <v>N/A</v>
      </c>
      <c r="N626" t="str" cm="1">
        <f t="array" ref="N626">IFERROR(_xlfn.XLOOKUP(C626&amp;A626, TDrate!F:F&amp;TDrate!H:H, TDrate!D:D), "N/A")</f>
        <v>N/A</v>
      </c>
    </row>
    <row r="627" spans="1:14" x14ac:dyDescent="0.45">
      <c r="A627" s="8">
        <v>2022</v>
      </c>
      <c r="B627" s="9" t="s">
        <v>437</v>
      </c>
      <c r="C627" s="10" t="str">
        <f t="shared" si="18"/>
        <v>Patrick Ricard</v>
      </c>
      <c r="D627" s="10" t="str">
        <f t="shared" si="19"/>
        <v>BAL</v>
      </c>
      <c r="E627" cm="1">
        <f t="array" ref="E627">IFERROR(_xlfn.XLOOKUP(C627&amp;A627, Inside5!B:B&amp;Inside5!I:I, Inside5!C:C), 0)</f>
        <v>0</v>
      </c>
      <c r="F627" cm="1">
        <f t="array" ref="F627">IFERROR(_xlfn.XLOOKUP(C627&amp;A627, Inside5!B:B&amp;Inside5!I:I, Inside5!D:D), 0)</f>
        <v>0</v>
      </c>
      <c r="G627" cm="1">
        <f t="array" ref="G627">IFERROR(_xlfn.XLOOKUP(C627&amp;A627, Inside5!B:B&amp;Inside5!I:I, Inside5!E:E), 0)</f>
        <v>0</v>
      </c>
      <c r="H627" t="str" cm="1">
        <f t="array" ref="H627">IFERROR(_xlfn.XLOOKUP(C627&amp;A627, TDrate!F:F&amp;TDrate!H:H, TDrate!C:C), "N/A")</f>
        <v>N/A</v>
      </c>
      <c r="I627" t="str" cm="1">
        <f t="array" ref="I627">IFERROR(_xlfn.XLOOKUP(C627&amp;A627, TDrate!F:F&amp;TDrate!H:H, TDrate!E:E), "N/A")</f>
        <v>N/A</v>
      </c>
      <c r="J627" cm="1">
        <f t="array" ref="J627">IFERROR(_xlfn.XLOOKUP(C627&amp;A627, Inside5!B:B&amp;Inside5!I:I, Inside5!F:F), 0)</f>
        <v>0</v>
      </c>
      <c r="K627" cm="1">
        <f t="array" ref="K627">IFERROR(_xlfn.XLOOKUP(C627&amp;A627, Inside5!B:B&amp;Inside5!I:I, Inside5!G:G), 0)</f>
        <v>0</v>
      </c>
      <c r="L627" cm="1">
        <f t="array" ref="L627">IFERROR(_xlfn.XLOOKUP(C627&amp;A627, Inside5!B:B&amp;Inside5!I:I, Inside5!H:H), 0)</f>
        <v>0</v>
      </c>
      <c r="M627" t="str" cm="1">
        <f t="array" ref="M627">IFERROR(_xlfn.XLOOKUP(C627&amp;A627, TDrate!F:F&amp;TDrate!H:H, TDrate!B:B), "N/A")</f>
        <v>N/A</v>
      </c>
      <c r="N627" t="str" cm="1">
        <f t="array" ref="N627">IFERROR(_xlfn.XLOOKUP(C627&amp;A627, TDrate!F:F&amp;TDrate!H:H, TDrate!D:D), "N/A")</f>
        <v>N/A</v>
      </c>
    </row>
    <row r="628" spans="1:14" x14ac:dyDescent="0.45">
      <c r="A628" s="5">
        <v>2022</v>
      </c>
      <c r="B628" s="6" t="s">
        <v>677</v>
      </c>
      <c r="C628" s="7" t="str">
        <f t="shared" si="18"/>
        <v>Phillip Lindsay</v>
      </c>
      <c r="D628" s="7" t="str">
        <f t="shared" si="19"/>
        <v>IND</v>
      </c>
      <c r="E628" cm="1">
        <f t="array" aca="1" ref="E628" ca="1">IFERROR(_xlfn.XLOOKUP(C628&amp;A628, Inside5!B:B&amp;Inside5!I:I, Inside5!C:C), 0)</f>
        <v>0</v>
      </c>
      <c r="F628" cm="1">
        <f t="array" aca="1" ref="F628" ca="1">IFERROR(_xlfn.XLOOKUP(C628&amp;A628, Inside5!B:B&amp;Inside5!I:I, Inside5!D:D), 0)</f>
        <v>0</v>
      </c>
      <c r="G628" cm="1">
        <f t="array" ref="G628">IFERROR(_xlfn.XLOOKUP(C628&amp;A628, Inside5!B:B&amp;Inside5!I:I, Inside5!E:E), 0)</f>
        <v>0</v>
      </c>
      <c r="H628" t="str" cm="1">
        <f t="array" ref="H628">IFERROR(_xlfn.XLOOKUP(C628&amp;A628, TDrate!F:F&amp;TDrate!H:H, TDrate!C:C), "N/A")</f>
        <v>N/A</v>
      </c>
      <c r="I628" t="str" cm="1">
        <f t="array" ref="I628">IFERROR(_xlfn.XLOOKUP(C628&amp;A628, TDrate!F:F&amp;TDrate!H:H, TDrate!E:E), "N/A")</f>
        <v>N/A</v>
      </c>
      <c r="J628" cm="1">
        <f t="array" ref="J628">IFERROR(_xlfn.XLOOKUP(C628&amp;A628, Inside5!B:B&amp;Inside5!I:I, Inside5!F:F), 0)</f>
        <v>0</v>
      </c>
      <c r="K628" cm="1">
        <f t="array" aca="1" ref="K628" ca="1">IFERROR(_xlfn.XLOOKUP(C628&amp;A628, Inside5!B:B&amp;Inside5!I:I, Inside5!G:G), 0)</f>
        <v>0</v>
      </c>
      <c r="L628" cm="1">
        <f t="array" ref="L628">IFERROR(_xlfn.XLOOKUP(C628&amp;A628, Inside5!B:B&amp;Inside5!I:I, Inside5!H:H), 0)</f>
        <v>0</v>
      </c>
      <c r="M628" t="str" cm="1">
        <f t="array" ref="M628">IFERROR(_xlfn.XLOOKUP(C628&amp;A628, TDrate!F:F&amp;TDrate!H:H, TDrate!B:B), "N/A")</f>
        <v>N/A</v>
      </c>
      <c r="N628" t="str" cm="1">
        <f t="array" ref="N628">IFERROR(_xlfn.XLOOKUP(C628&amp;A628, TDrate!F:F&amp;TDrate!H:H, TDrate!D:D), "N/A")</f>
        <v>N/A</v>
      </c>
    </row>
    <row r="629" spans="1:14" x14ac:dyDescent="0.45">
      <c r="A629" s="8">
        <v>2022</v>
      </c>
      <c r="B629" s="9" t="s">
        <v>678</v>
      </c>
      <c r="C629" s="10" t="str">
        <f t="shared" si="18"/>
        <v>Jordan Wilkins</v>
      </c>
      <c r="D629" s="10" t="str">
        <f t="shared" si="19"/>
        <v>IND</v>
      </c>
      <c r="E629" cm="1">
        <f t="array" ref="E629">IFERROR(_xlfn.XLOOKUP(C629&amp;A629, Inside5!B:B&amp;Inside5!I:I, Inside5!C:C), 0)</f>
        <v>0</v>
      </c>
      <c r="F629" cm="1">
        <f t="array" ref="F629">IFERROR(_xlfn.XLOOKUP(C629&amp;A629, Inside5!B:B&amp;Inside5!I:I, Inside5!D:D), 0)</f>
        <v>0</v>
      </c>
      <c r="G629" cm="1">
        <f t="array" ref="G629">IFERROR(_xlfn.XLOOKUP(C629&amp;A629, Inside5!B:B&amp;Inside5!I:I, Inside5!E:E), 0)</f>
        <v>0</v>
      </c>
      <c r="H629" t="str" cm="1">
        <f t="array" ref="H629">IFERROR(_xlfn.XLOOKUP(C629&amp;A629, TDrate!F:F&amp;TDrate!H:H, TDrate!C:C), "N/A")</f>
        <v>N/A</v>
      </c>
      <c r="I629" t="str" cm="1">
        <f t="array" ref="I629">IFERROR(_xlfn.XLOOKUP(C629&amp;A629, TDrate!F:F&amp;TDrate!H:H, TDrate!E:E), "N/A")</f>
        <v>N/A</v>
      </c>
      <c r="J629" cm="1">
        <f t="array" ref="J629">IFERROR(_xlfn.XLOOKUP(C629&amp;A629, Inside5!B:B&amp;Inside5!I:I, Inside5!F:F), 0)</f>
        <v>0</v>
      </c>
      <c r="K629" cm="1">
        <f t="array" ref="K629">IFERROR(_xlfn.XLOOKUP(C629&amp;A629, Inside5!B:B&amp;Inside5!I:I, Inside5!G:G), 0)</f>
        <v>0</v>
      </c>
      <c r="L629" cm="1">
        <f t="array" ref="L629">IFERROR(_xlfn.XLOOKUP(C629&amp;A629, Inside5!B:B&amp;Inside5!I:I, Inside5!H:H), 0)</f>
        <v>0</v>
      </c>
      <c r="M629" t="str" cm="1">
        <f t="array" ref="M629">IFERROR(_xlfn.XLOOKUP(C629&amp;A629, TDrate!F:F&amp;TDrate!H:H, TDrate!B:B), "N/A")</f>
        <v>N/A</v>
      </c>
      <c r="N629" t="str" cm="1">
        <f t="array" ref="N629">IFERROR(_xlfn.XLOOKUP(C629&amp;A629, TDrate!F:F&amp;TDrate!H:H, TDrate!D:D), "N/A")</f>
        <v>N/A</v>
      </c>
    </row>
    <row r="630" spans="1:14" x14ac:dyDescent="0.45">
      <c r="A630" s="5">
        <v>2022</v>
      </c>
      <c r="B630" s="6" t="s">
        <v>417</v>
      </c>
      <c r="C630" s="7" t="str">
        <f t="shared" si="18"/>
        <v>Tyler Badie</v>
      </c>
      <c r="D630" s="7" t="str">
        <f t="shared" si="19"/>
        <v>DEN</v>
      </c>
      <c r="E630" cm="1">
        <f t="array" aca="1" ref="E630" ca="1">IFERROR(_xlfn.XLOOKUP(C630&amp;A630, Inside5!B:B&amp;Inside5!I:I, Inside5!C:C), 0)</f>
        <v>0</v>
      </c>
      <c r="F630" cm="1">
        <f t="array" ref="F630">IFERROR(_xlfn.XLOOKUP(C630&amp;A630, Inside5!B:B&amp;Inside5!I:I, Inside5!D:D), 0)</f>
        <v>0</v>
      </c>
      <c r="G630" cm="1">
        <f t="array" ref="G630">IFERROR(_xlfn.XLOOKUP(C630&amp;A630, Inside5!B:B&amp;Inside5!I:I, Inside5!E:E), 0)</f>
        <v>0</v>
      </c>
      <c r="H630" t="str" cm="1">
        <f t="array" ref="H630">IFERROR(_xlfn.XLOOKUP(C630&amp;A630, TDrate!F:F&amp;TDrate!H:H, TDrate!C:C), "N/A")</f>
        <v>N/A</v>
      </c>
      <c r="I630" t="str" cm="1">
        <f t="array" ref="I630">IFERROR(_xlfn.XLOOKUP(C630&amp;A630, TDrate!F:F&amp;TDrate!H:H, TDrate!E:E), "N/A")</f>
        <v>N/A</v>
      </c>
      <c r="J630" cm="1">
        <f t="array" ref="J630">IFERROR(_xlfn.XLOOKUP(C630&amp;A630, Inside5!B:B&amp;Inside5!I:I, Inside5!F:F), 0)</f>
        <v>0</v>
      </c>
      <c r="K630" cm="1">
        <f t="array" ref="K630">IFERROR(_xlfn.XLOOKUP(C630&amp;A630, Inside5!B:B&amp;Inside5!I:I, Inside5!G:G), 0)</f>
        <v>0</v>
      </c>
      <c r="L630" cm="1">
        <f t="array" ref="L630">IFERROR(_xlfn.XLOOKUP(C630&amp;A630, Inside5!B:B&amp;Inside5!I:I, Inside5!H:H), 0)</f>
        <v>0</v>
      </c>
      <c r="M630" t="str" cm="1">
        <f t="array" ref="M630">IFERROR(_xlfn.XLOOKUP(C630&amp;A630, TDrate!F:F&amp;TDrate!H:H, TDrate!B:B), "N/A")</f>
        <v>N/A</v>
      </c>
      <c r="N630" t="str" cm="1">
        <f t="array" ref="N630">IFERROR(_xlfn.XLOOKUP(C630&amp;A630, TDrate!F:F&amp;TDrate!H:H, TDrate!D:D), "N/A")</f>
        <v>N/A</v>
      </c>
    </row>
    <row r="631" spans="1:14" x14ac:dyDescent="0.45">
      <c r="A631" s="8">
        <v>2022</v>
      </c>
      <c r="B631" s="9" t="s">
        <v>679</v>
      </c>
      <c r="C631" s="10" t="str">
        <f t="shared" si="18"/>
        <v>Jaret Patterson</v>
      </c>
      <c r="D631" s="10" t="str">
        <f t="shared" si="19"/>
        <v>WAS</v>
      </c>
      <c r="E631" cm="1">
        <f t="array" aca="1" ref="E631" ca="1">IFERROR(_xlfn.XLOOKUP(C631&amp;A631, Inside5!B:B&amp;Inside5!I:I, Inside5!C:C), 0)</f>
        <v>0</v>
      </c>
      <c r="F631" cm="1">
        <f t="array" aca="1" ref="F631" ca="1">IFERROR(_xlfn.XLOOKUP(C631&amp;A631, Inside5!B:B&amp;Inside5!I:I, Inside5!D:D), 0)</f>
        <v>0</v>
      </c>
      <c r="G631" cm="1">
        <f t="array" ref="G631">IFERROR(_xlfn.XLOOKUP(C631&amp;A631, Inside5!B:B&amp;Inside5!I:I, Inside5!E:E), 0)</f>
        <v>0</v>
      </c>
      <c r="H631" t="str" cm="1">
        <f t="array" ref="H631">IFERROR(_xlfn.XLOOKUP(C631&amp;A631, TDrate!F:F&amp;TDrate!H:H, TDrate!C:C), "N/A")</f>
        <v>N/A</v>
      </c>
      <c r="I631" t="str" cm="1">
        <f t="array" ref="I631">IFERROR(_xlfn.XLOOKUP(C631&amp;A631, TDrate!F:F&amp;TDrate!H:H, TDrate!E:E), "N/A")</f>
        <v>N/A</v>
      </c>
      <c r="J631" cm="1">
        <f t="array" ref="J631">IFERROR(_xlfn.XLOOKUP(C631&amp;A631, Inside5!B:B&amp;Inside5!I:I, Inside5!F:F), 0)</f>
        <v>0</v>
      </c>
      <c r="K631" cm="1">
        <f t="array" ref="K631">IFERROR(_xlfn.XLOOKUP(C631&amp;A631, Inside5!B:B&amp;Inside5!I:I, Inside5!G:G), 0)</f>
        <v>0</v>
      </c>
      <c r="L631" cm="1">
        <f t="array" ref="L631">IFERROR(_xlfn.XLOOKUP(C631&amp;A631, Inside5!B:B&amp;Inside5!I:I, Inside5!H:H), 0)</f>
        <v>0</v>
      </c>
      <c r="M631" t="str" cm="1">
        <f t="array" ref="M631">IFERROR(_xlfn.XLOOKUP(C631&amp;A631, TDrate!F:F&amp;TDrate!H:H, TDrate!B:B), "N/A")</f>
        <v>N/A</v>
      </c>
      <c r="N631" t="str" cm="1">
        <f t="array" ref="N631">IFERROR(_xlfn.XLOOKUP(C631&amp;A631, TDrate!F:F&amp;TDrate!H:H, TDrate!D:D), "N/A")</f>
        <v>N/A</v>
      </c>
    </row>
    <row r="632" spans="1:14" x14ac:dyDescent="0.45">
      <c r="A632" s="5">
        <v>2022</v>
      </c>
      <c r="B632" s="6" t="s">
        <v>592</v>
      </c>
      <c r="C632" s="7" t="str">
        <f t="shared" si="18"/>
        <v>Ty Montgomery II</v>
      </c>
      <c r="D632" s="7" t="str">
        <f t="shared" si="19"/>
        <v>NE</v>
      </c>
      <c r="E632" cm="1">
        <f t="array" ref="E632">IFERROR(_xlfn.XLOOKUP(C632&amp;A632, Inside5!B:B&amp;Inside5!I:I, Inside5!C:C), 0)</f>
        <v>0</v>
      </c>
      <c r="F632" cm="1">
        <f t="array" aca="1" ref="F632" ca="1">IFERROR(_xlfn.XLOOKUP(C632&amp;A632, Inside5!B:B&amp;Inside5!I:I, Inside5!D:D), 0)</f>
        <v>0</v>
      </c>
      <c r="G632" cm="1">
        <f t="array" ref="G632">IFERROR(_xlfn.XLOOKUP(C632&amp;A632, Inside5!B:B&amp;Inside5!I:I, Inside5!E:E), 0)</f>
        <v>0</v>
      </c>
      <c r="H632" t="str" cm="1">
        <f t="array" ref="H632">IFERROR(_xlfn.XLOOKUP(C632&amp;A632, TDrate!F:F&amp;TDrate!H:H, TDrate!C:C), "N/A")</f>
        <v>N/A</v>
      </c>
      <c r="I632" t="str" cm="1">
        <f t="array" ref="I632">IFERROR(_xlfn.XLOOKUP(C632&amp;A632, TDrate!F:F&amp;TDrate!H:H, TDrate!E:E), "N/A")</f>
        <v>N/A</v>
      </c>
      <c r="J632" cm="1">
        <f t="array" ref="J632">IFERROR(_xlfn.XLOOKUP(C632&amp;A632, Inside5!B:B&amp;Inside5!I:I, Inside5!F:F), 0)</f>
        <v>0</v>
      </c>
      <c r="K632" cm="1">
        <f t="array" aca="1" ref="K632" ca="1">IFERROR(_xlfn.XLOOKUP(C632&amp;A632, Inside5!B:B&amp;Inside5!I:I, Inside5!G:G), 0)</f>
        <v>0</v>
      </c>
      <c r="L632" cm="1">
        <f t="array" ref="L632">IFERROR(_xlfn.XLOOKUP(C632&amp;A632, Inside5!B:B&amp;Inside5!I:I, Inside5!H:H), 0)</f>
        <v>0</v>
      </c>
      <c r="M632" t="str" cm="1">
        <f t="array" ref="M632">IFERROR(_xlfn.XLOOKUP(C632&amp;A632, TDrate!F:F&amp;TDrate!H:H, TDrate!B:B), "N/A")</f>
        <v>N/A</v>
      </c>
      <c r="N632" t="str" cm="1">
        <f t="array" ref="N632">IFERROR(_xlfn.XLOOKUP(C632&amp;A632, TDrate!F:F&amp;TDrate!H:H, TDrate!D:D), "N/A")</f>
        <v>N/A</v>
      </c>
    </row>
    <row r="633" spans="1:14" x14ac:dyDescent="0.45">
      <c r="A633" s="8">
        <v>2022</v>
      </c>
      <c r="B633" s="9" t="s">
        <v>593</v>
      </c>
      <c r="C633" s="10" t="str">
        <f t="shared" si="18"/>
        <v>Ke'Shawn Vaughn</v>
      </c>
      <c r="D633" s="10" t="str">
        <f t="shared" si="19"/>
        <v>TB</v>
      </c>
      <c r="E633" cm="1">
        <f t="array" ref="E633">IFERROR(_xlfn.XLOOKUP(C633&amp;A633, Inside5!B:B&amp;Inside5!I:I, Inside5!C:C), 0)</f>
        <v>0</v>
      </c>
      <c r="F633" cm="1">
        <f t="array" ref="F633">IFERROR(_xlfn.XLOOKUP(C633&amp;A633, Inside5!B:B&amp;Inside5!I:I, Inside5!D:D), 0)</f>
        <v>0</v>
      </c>
      <c r="G633" cm="1">
        <f t="array" ref="G633">IFERROR(_xlfn.XLOOKUP(C633&amp;A633, Inside5!B:B&amp;Inside5!I:I, Inside5!E:E), 0)</f>
        <v>0</v>
      </c>
      <c r="H633" t="str" cm="1">
        <f t="array" ref="H633">IFERROR(_xlfn.XLOOKUP(C633&amp;A633, TDrate!F:F&amp;TDrate!H:H, TDrate!C:C), "N/A")</f>
        <v>N/A</v>
      </c>
      <c r="I633" t="str" cm="1">
        <f t="array" ref="I633">IFERROR(_xlfn.XLOOKUP(C633&amp;A633, TDrate!F:F&amp;TDrate!H:H, TDrate!E:E), "N/A")</f>
        <v>N/A</v>
      </c>
      <c r="J633" cm="1">
        <f t="array" ref="J633">IFERROR(_xlfn.XLOOKUP(C633&amp;A633, Inside5!B:B&amp;Inside5!I:I, Inside5!F:F), 0)</f>
        <v>0</v>
      </c>
      <c r="K633" cm="1">
        <f t="array" ref="K633">IFERROR(_xlfn.XLOOKUP(C633&amp;A633, Inside5!B:B&amp;Inside5!I:I, Inside5!G:G), 0)</f>
        <v>0</v>
      </c>
      <c r="L633" cm="1">
        <f t="array" ref="L633">IFERROR(_xlfn.XLOOKUP(C633&amp;A633, Inside5!B:B&amp;Inside5!I:I, Inside5!H:H), 0)</f>
        <v>0</v>
      </c>
      <c r="M633" t="str" cm="1">
        <f t="array" ref="M633">IFERROR(_xlfn.XLOOKUP(C633&amp;A633, TDrate!F:F&amp;TDrate!H:H, TDrate!B:B), "N/A")</f>
        <v>N/A</v>
      </c>
      <c r="N633" t="str" cm="1">
        <f t="array" ref="N633">IFERROR(_xlfn.XLOOKUP(C633&amp;A633, TDrate!F:F&amp;TDrate!H:H, TDrate!D:D), "N/A")</f>
        <v>N/A</v>
      </c>
    </row>
    <row r="634" spans="1:14" x14ac:dyDescent="0.45">
      <c r="A634" s="5">
        <v>2022</v>
      </c>
      <c r="B634" s="6" t="s">
        <v>411</v>
      </c>
      <c r="C634" s="7" t="str">
        <f t="shared" si="18"/>
        <v>Zamir White</v>
      </c>
      <c r="D634" s="7" t="str">
        <f t="shared" si="19"/>
        <v>LV</v>
      </c>
      <c r="E634" cm="1">
        <f t="array" aca="1" ref="E634" ca="1">IFERROR(_xlfn.XLOOKUP(C634&amp;A634, Inside5!B:B&amp;Inside5!I:I, Inside5!C:C), 0)</f>
        <v>0</v>
      </c>
      <c r="F634" cm="1">
        <f t="array" aca="1" ref="F634" ca="1">IFERROR(_xlfn.XLOOKUP(C634&amp;A634, Inside5!B:B&amp;Inside5!I:I, Inside5!D:D), 0)</f>
        <v>0</v>
      </c>
      <c r="G634" cm="1">
        <f t="array" ref="G634">IFERROR(_xlfn.XLOOKUP(C634&amp;A634, Inside5!B:B&amp;Inside5!I:I, Inside5!E:E), 0)</f>
        <v>0</v>
      </c>
      <c r="H634" t="str" cm="1">
        <f t="array" ref="H634">IFERROR(_xlfn.XLOOKUP(C634&amp;A634, TDrate!F:F&amp;TDrate!H:H, TDrate!C:C), "N/A")</f>
        <v>N/A</v>
      </c>
      <c r="I634" t="str" cm="1">
        <f t="array" ref="I634">IFERROR(_xlfn.XLOOKUP(C634&amp;A634, TDrate!F:F&amp;TDrate!H:H, TDrate!E:E), "N/A")</f>
        <v>N/A</v>
      </c>
      <c r="J634" cm="1">
        <f t="array" ref="J634">IFERROR(_xlfn.XLOOKUP(C634&amp;A634, Inside5!B:B&amp;Inside5!I:I, Inside5!F:F), 0)</f>
        <v>0</v>
      </c>
      <c r="K634" cm="1">
        <f t="array" ref="K634">IFERROR(_xlfn.XLOOKUP(C634&amp;A634, Inside5!B:B&amp;Inside5!I:I, Inside5!G:G), 0)</f>
        <v>0</v>
      </c>
      <c r="L634" cm="1">
        <f t="array" ref="L634">IFERROR(_xlfn.XLOOKUP(C634&amp;A634, Inside5!B:B&amp;Inside5!I:I, Inside5!H:H), 0)</f>
        <v>0</v>
      </c>
      <c r="M634" t="str" cm="1">
        <f t="array" ref="M634">IFERROR(_xlfn.XLOOKUP(C634&amp;A634, TDrate!F:F&amp;TDrate!H:H, TDrate!B:B), "N/A")</f>
        <v>N/A</v>
      </c>
      <c r="N634" t="str" cm="1">
        <f t="array" ref="N634">IFERROR(_xlfn.XLOOKUP(C634&amp;A634, TDrate!F:F&amp;TDrate!H:H, TDrate!D:D), "N/A")</f>
        <v>N/A</v>
      </c>
    </row>
    <row r="635" spans="1:14" x14ac:dyDescent="0.45">
      <c r="A635" s="8">
        <v>2022</v>
      </c>
      <c r="B635" s="9" t="s">
        <v>529</v>
      </c>
      <c r="C635" s="10" t="str">
        <f t="shared" si="18"/>
        <v>Trayveon Williams</v>
      </c>
      <c r="D635" s="10" t="str">
        <f t="shared" si="19"/>
        <v>CIN</v>
      </c>
      <c r="E635" cm="1">
        <f t="array" aca="1" ref="E635" ca="1">IFERROR(_xlfn.XLOOKUP(C635&amp;A635, Inside5!B:B&amp;Inside5!I:I, Inside5!C:C), 0)</f>
        <v>0</v>
      </c>
      <c r="F635" cm="1">
        <f t="array" aca="1" ref="F635" ca="1">IFERROR(_xlfn.XLOOKUP(C635&amp;A635, Inside5!B:B&amp;Inside5!I:I, Inside5!D:D), 0)</f>
        <v>0</v>
      </c>
      <c r="G635" cm="1">
        <f t="array" ref="G635">IFERROR(_xlfn.XLOOKUP(C635&amp;A635, Inside5!B:B&amp;Inside5!I:I, Inside5!E:E), 0)</f>
        <v>0</v>
      </c>
      <c r="H635" t="str" cm="1">
        <f t="array" ref="H635">IFERROR(_xlfn.XLOOKUP(C635&amp;A635, TDrate!F:F&amp;TDrate!H:H, TDrate!C:C), "N/A")</f>
        <v>N/A</v>
      </c>
      <c r="I635" t="str" cm="1">
        <f t="array" ref="I635">IFERROR(_xlfn.XLOOKUP(C635&amp;A635, TDrate!F:F&amp;TDrate!H:H, TDrate!E:E), "N/A")</f>
        <v>N/A</v>
      </c>
      <c r="J635" cm="1">
        <f t="array" ref="J635">IFERROR(_xlfn.XLOOKUP(C635&amp;A635, Inside5!B:B&amp;Inside5!I:I, Inside5!F:F), 0)</f>
        <v>0</v>
      </c>
      <c r="K635" cm="1">
        <f t="array" aca="1" ref="K635" ca="1">IFERROR(_xlfn.XLOOKUP(C635&amp;A635, Inside5!B:B&amp;Inside5!I:I, Inside5!G:G), 0)</f>
        <v>0</v>
      </c>
      <c r="L635" cm="1">
        <f t="array" aca="1" ref="L635" ca="1">IFERROR(_xlfn.XLOOKUP(C635&amp;A635, Inside5!B:B&amp;Inside5!I:I, Inside5!H:H), 0)</f>
        <v>0</v>
      </c>
      <c r="M635" t="str" cm="1">
        <f t="array" ref="M635">IFERROR(_xlfn.XLOOKUP(C635&amp;A635, TDrate!F:F&amp;TDrate!H:H, TDrate!B:B), "N/A")</f>
        <v>N/A</v>
      </c>
      <c r="N635" t="str" cm="1">
        <f t="array" ref="N635">IFERROR(_xlfn.XLOOKUP(C635&amp;A635, TDrate!F:F&amp;TDrate!H:H, TDrate!D:D), "N/A")</f>
        <v>N/A</v>
      </c>
    </row>
    <row r="636" spans="1:14" x14ac:dyDescent="0.45">
      <c r="A636" s="5">
        <v>2022</v>
      </c>
      <c r="B636" s="6" t="s">
        <v>680</v>
      </c>
      <c r="C636" s="7" t="str">
        <f t="shared" si="18"/>
        <v>Myles Gaskin</v>
      </c>
      <c r="D636" s="7" t="str">
        <f t="shared" si="19"/>
        <v>MIA</v>
      </c>
      <c r="E636" cm="1">
        <f t="array" aca="1" ref="E636" ca="1">IFERROR(_xlfn.XLOOKUP(C636&amp;A636, Inside5!B:B&amp;Inside5!I:I, Inside5!C:C), 0)</f>
        <v>0</v>
      </c>
      <c r="F636" cm="1">
        <f t="array" aca="1" ref="F636" ca="1">IFERROR(_xlfn.XLOOKUP(C636&amp;A636, Inside5!B:B&amp;Inside5!I:I, Inside5!D:D), 0)</f>
        <v>0</v>
      </c>
      <c r="G636" cm="1">
        <f t="array" ref="G636">IFERROR(_xlfn.XLOOKUP(C636&amp;A636, Inside5!B:B&amp;Inside5!I:I, Inside5!E:E), 0)</f>
        <v>0</v>
      </c>
      <c r="H636" t="str" cm="1">
        <f t="array" ref="H636">IFERROR(_xlfn.XLOOKUP(C636&amp;A636, TDrate!F:F&amp;TDrate!H:H, TDrate!C:C), "N/A")</f>
        <v>N/A</v>
      </c>
      <c r="I636" t="str" cm="1">
        <f t="array" ref="I636">IFERROR(_xlfn.XLOOKUP(C636&amp;A636, TDrate!F:F&amp;TDrate!H:H, TDrate!E:E), "N/A")</f>
        <v>N/A</v>
      </c>
      <c r="J636" cm="1">
        <f t="array" ref="J636">IFERROR(_xlfn.XLOOKUP(C636&amp;A636, Inside5!B:B&amp;Inside5!I:I, Inside5!F:F), 0)</f>
        <v>0</v>
      </c>
      <c r="K636" cm="1">
        <f t="array" ref="K636">IFERROR(_xlfn.XLOOKUP(C636&amp;A636, Inside5!B:B&amp;Inside5!I:I, Inside5!G:G), 0)</f>
        <v>0</v>
      </c>
      <c r="L636" cm="1">
        <f t="array" ref="L636">IFERROR(_xlfn.XLOOKUP(C636&amp;A636, Inside5!B:B&amp;Inside5!I:I, Inside5!H:H), 0)</f>
        <v>0</v>
      </c>
      <c r="M636" t="str" cm="1">
        <f t="array" ref="M636">IFERROR(_xlfn.XLOOKUP(C636&amp;A636, TDrate!F:F&amp;TDrate!H:H, TDrate!B:B), "N/A")</f>
        <v>N/A</v>
      </c>
      <c r="N636" t="str" cm="1">
        <f t="array" ref="N636">IFERROR(_xlfn.XLOOKUP(C636&amp;A636, TDrate!F:F&amp;TDrate!H:H, TDrate!D:D), "N/A")</f>
        <v>N/A</v>
      </c>
    </row>
    <row r="637" spans="1:14" x14ac:dyDescent="0.45">
      <c r="A637" s="8">
        <v>2022</v>
      </c>
      <c r="B637" s="9" t="s">
        <v>681</v>
      </c>
      <c r="C637" s="10" t="str">
        <f t="shared" si="18"/>
        <v>Tony Jones Jr.</v>
      </c>
      <c r="D637" s="10" t="str">
        <f t="shared" si="19"/>
        <v>SEA</v>
      </c>
      <c r="E637" cm="1">
        <f t="array" aca="1" ref="E637" ca="1">IFERROR(_xlfn.XLOOKUP(C637&amp;A637, Inside5!B:B&amp;Inside5!I:I, Inside5!C:C), 0)</f>
        <v>0</v>
      </c>
      <c r="F637" cm="1">
        <f t="array" aca="1" ref="F637" ca="1">IFERROR(_xlfn.XLOOKUP(C637&amp;A637, Inside5!B:B&amp;Inside5!I:I, Inside5!D:D), 0)</f>
        <v>0</v>
      </c>
      <c r="G637" cm="1">
        <f t="array" ref="G637">IFERROR(_xlfn.XLOOKUP(C637&amp;A637, Inside5!B:B&amp;Inside5!I:I, Inside5!E:E), 0)</f>
        <v>0</v>
      </c>
      <c r="H637" t="str" cm="1">
        <f t="array" ref="H637">IFERROR(_xlfn.XLOOKUP(C637&amp;A637, TDrate!F:F&amp;TDrate!H:H, TDrate!C:C), "N/A")</f>
        <v>N/A</v>
      </c>
      <c r="I637" t="str" cm="1">
        <f t="array" ref="I637">IFERROR(_xlfn.XLOOKUP(C637&amp;A637, TDrate!F:F&amp;TDrate!H:H, TDrate!E:E), "N/A")</f>
        <v>N/A</v>
      </c>
      <c r="J637" cm="1">
        <f t="array" ref="J637">IFERROR(_xlfn.XLOOKUP(C637&amp;A637, Inside5!B:B&amp;Inside5!I:I, Inside5!F:F), 0)</f>
        <v>0</v>
      </c>
      <c r="K637" cm="1">
        <f t="array" ref="K637">IFERROR(_xlfn.XLOOKUP(C637&amp;A637, Inside5!B:B&amp;Inside5!I:I, Inside5!G:G), 0)</f>
        <v>0</v>
      </c>
      <c r="L637" cm="1">
        <f t="array" ref="L637">IFERROR(_xlfn.XLOOKUP(C637&amp;A637, Inside5!B:B&amp;Inside5!I:I, Inside5!H:H), 0)</f>
        <v>0</v>
      </c>
      <c r="M637" t="str" cm="1">
        <f t="array" ref="M637">IFERROR(_xlfn.XLOOKUP(C637&amp;A637, TDrate!F:F&amp;TDrate!H:H, TDrate!B:B), "N/A")</f>
        <v>N/A</v>
      </c>
      <c r="N637" t="str" cm="1">
        <f t="array" ref="N637">IFERROR(_xlfn.XLOOKUP(C637&amp;A637, TDrate!F:F&amp;TDrate!H:H, TDrate!D:D), "N/A")</f>
        <v>N/A</v>
      </c>
    </row>
    <row r="638" spans="1:14" x14ac:dyDescent="0.45">
      <c r="A638" s="5">
        <v>2022</v>
      </c>
      <c r="B638" s="6" t="s">
        <v>580</v>
      </c>
      <c r="C638" s="7" t="str">
        <f t="shared" si="18"/>
        <v>Isaiah Spiller</v>
      </c>
      <c r="D638" s="7" t="str">
        <f t="shared" si="19"/>
        <v>LAC</v>
      </c>
      <c r="E638" cm="1">
        <f t="array" ref="E638">IFERROR(_xlfn.XLOOKUP(C638&amp;A638, Inside5!B:B&amp;Inside5!I:I, Inside5!C:C), 0)</f>
        <v>0</v>
      </c>
      <c r="F638" cm="1">
        <f t="array" ref="F638">IFERROR(_xlfn.XLOOKUP(C638&amp;A638, Inside5!B:B&amp;Inside5!I:I, Inside5!D:D), 0)</f>
        <v>0</v>
      </c>
      <c r="G638" cm="1">
        <f t="array" ref="G638">IFERROR(_xlfn.XLOOKUP(C638&amp;A638, Inside5!B:B&amp;Inside5!I:I, Inside5!E:E), 0)</f>
        <v>0</v>
      </c>
      <c r="H638" t="str" cm="1">
        <f t="array" ref="H638">IFERROR(_xlfn.XLOOKUP(C638&amp;A638, TDrate!F:F&amp;TDrate!H:H, TDrate!C:C), "N/A")</f>
        <v>N/A</v>
      </c>
      <c r="I638" t="str" cm="1">
        <f t="array" ref="I638">IFERROR(_xlfn.XLOOKUP(C638&amp;A638, TDrate!F:F&amp;TDrate!H:H, TDrate!E:E), "N/A")</f>
        <v>N/A</v>
      </c>
      <c r="J638" cm="1">
        <f t="array" ref="J638">IFERROR(_xlfn.XLOOKUP(C638&amp;A638, Inside5!B:B&amp;Inside5!I:I, Inside5!F:F), 0)</f>
        <v>0</v>
      </c>
      <c r="K638" cm="1">
        <f t="array" ref="K638">IFERROR(_xlfn.XLOOKUP(C638&amp;A638, Inside5!B:B&amp;Inside5!I:I, Inside5!G:G), 0)</f>
        <v>0</v>
      </c>
      <c r="L638" cm="1">
        <f t="array" ref="L638">IFERROR(_xlfn.XLOOKUP(C638&amp;A638, Inside5!B:B&amp;Inside5!I:I, Inside5!H:H), 0)</f>
        <v>0</v>
      </c>
      <c r="M638" t="str" cm="1">
        <f t="array" ref="M638">IFERROR(_xlfn.XLOOKUP(C638&amp;A638, TDrate!F:F&amp;TDrate!H:H, TDrate!B:B), "N/A")</f>
        <v>N/A</v>
      </c>
      <c r="N638" t="str" cm="1">
        <f t="array" ref="N638">IFERROR(_xlfn.XLOOKUP(C638&amp;A638, TDrate!F:F&amp;TDrate!H:H, TDrate!D:D), "N/A")</f>
        <v>N/A</v>
      </c>
    </row>
    <row r="639" spans="1:14" x14ac:dyDescent="0.45">
      <c r="A639" s="8">
        <v>2022</v>
      </c>
      <c r="B639" s="9" t="s">
        <v>682</v>
      </c>
      <c r="C639" s="10" t="str">
        <f t="shared" si="18"/>
        <v>Spencer Brown</v>
      </c>
      <c r="D639" s="10" t="str">
        <f t="shared" si="19"/>
        <v>CAR</v>
      </c>
      <c r="E639" cm="1">
        <f t="array" aca="1" ref="E639" ca="1">IFERROR(_xlfn.XLOOKUP(C639&amp;A639, Inside5!B:B&amp;Inside5!I:I, Inside5!C:C), 0)</f>
        <v>1</v>
      </c>
      <c r="F639" cm="1">
        <f t="array" ref="F639">IFERROR(_xlfn.XLOOKUP(C639&amp;A639, Inside5!B:B&amp;Inside5!I:I, Inside5!D:D), 0)</f>
        <v>0</v>
      </c>
      <c r="G639" cm="1">
        <f t="array" ref="G639">IFERROR(_xlfn.XLOOKUP(C639&amp;A639, Inside5!B:B&amp;Inside5!I:I, Inside5!E:E), 0)</f>
        <v>7.0999999999999994E-2</v>
      </c>
      <c r="H639" t="str" cm="1">
        <f t="array" ref="H639">IFERROR(_xlfn.XLOOKUP(C639&amp;A639, TDrate!F:F&amp;TDrate!H:H, TDrate!C:C), "N/A")</f>
        <v>N/A</v>
      </c>
      <c r="I639" t="str" cm="1">
        <f t="array" ref="I639">IFERROR(_xlfn.XLOOKUP(C639&amp;A639, TDrate!F:F&amp;TDrate!H:H, TDrate!E:E), "N/A")</f>
        <v>N/A</v>
      </c>
      <c r="J639" cm="1">
        <f t="array" ref="J639">IFERROR(_xlfn.XLOOKUP(C639&amp;A639, Inside5!B:B&amp;Inside5!I:I, Inside5!F:F), 0)</f>
        <v>0</v>
      </c>
      <c r="K639" cm="1">
        <f t="array" aca="1" ref="K639" ca="1">IFERROR(_xlfn.XLOOKUP(C639&amp;A639, Inside5!B:B&amp;Inside5!I:I, Inside5!G:G), 0)</f>
        <v>0</v>
      </c>
      <c r="L639" cm="1">
        <f t="array" ref="L639">IFERROR(_xlfn.XLOOKUP(C639&amp;A639, Inside5!B:B&amp;Inside5!I:I, Inside5!H:H), 0)</f>
        <v>0</v>
      </c>
      <c r="M639" t="str" cm="1">
        <f t="array" ref="M639">IFERROR(_xlfn.XLOOKUP(C639&amp;A639, TDrate!F:F&amp;TDrate!H:H, TDrate!B:B), "N/A")</f>
        <v>N/A</v>
      </c>
      <c r="N639" t="str" cm="1">
        <f t="array" ref="N639">IFERROR(_xlfn.XLOOKUP(C639&amp;A639, TDrate!F:F&amp;TDrate!H:H, TDrate!D:D), "N/A")</f>
        <v>N/A</v>
      </c>
    </row>
    <row r="640" spans="1:14" x14ac:dyDescent="0.45">
      <c r="A640" s="5">
        <v>2022</v>
      </c>
      <c r="B640" s="6" t="s">
        <v>407</v>
      </c>
      <c r="C640" s="7" t="str">
        <f t="shared" si="18"/>
        <v>Julius Chestnut</v>
      </c>
      <c r="D640" s="7" t="str">
        <f t="shared" si="19"/>
        <v>TEN</v>
      </c>
      <c r="E640" cm="1">
        <f t="array" ref="E640">IFERROR(_xlfn.XLOOKUP(C640&amp;A640, Inside5!B:B&amp;Inside5!I:I, Inside5!C:C), 0)</f>
        <v>0</v>
      </c>
      <c r="F640" cm="1">
        <f t="array" ref="F640">IFERROR(_xlfn.XLOOKUP(C640&amp;A640, Inside5!B:B&amp;Inside5!I:I, Inside5!D:D), 0)</f>
        <v>0</v>
      </c>
      <c r="G640" cm="1">
        <f t="array" ref="G640">IFERROR(_xlfn.XLOOKUP(C640&amp;A640, Inside5!B:B&amp;Inside5!I:I, Inside5!E:E), 0)</f>
        <v>0</v>
      </c>
      <c r="H640" t="str" cm="1">
        <f t="array" ref="H640">IFERROR(_xlfn.XLOOKUP(C640&amp;A640, TDrate!F:F&amp;TDrate!H:H, TDrate!C:C), "N/A")</f>
        <v>N/A</v>
      </c>
      <c r="I640" t="str" cm="1">
        <f t="array" ref="I640">IFERROR(_xlfn.XLOOKUP(C640&amp;A640, TDrate!F:F&amp;TDrate!H:H, TDrate!E:E), "N/A")</f>
        <v>N/A</v>
      </c>
      <c r="J640" cm="1">
        <f t="array" ref="J640">IFERROR(_xlfn.XLOOKUP(C640&amp;A640, Inside5!B:B&amp;Inside5!I:I, Inside5!F:F), 0)</f>
        <v>0</v>
      </c>
      <c r="K640" cm="1">
        <f t="array" ref="K640">IFERROR(_xlfn.XLOOKUP(C640&amp;A640, Inside5!B:B&amp;Inside5!I:I, Inside5!G:G), 0)</f>
        <v>0</v>
      </c>
      <c r="L640" cm="1">
        <f t="array" ref="L640">IFERROR(_xlfn.XLOOKUP(C640&amp;A640, Inside5!B:B&amp;Inside5!I:I, Inside5!H:H), 0)</f>
        <v>0</v>
      </c>
      <c r="M640" t="str" cm="1">
        <f t="array" ref="M640">IFERROR(_xlfn.XLOOKUP(C640&amp;A640, TDrate!F:F&amp;TDrate!H:H, TDrate!B:B), "N/A")</f>
        <v>N/A</v>
      </c>
      <c r="N640" t="str" cm="1">
        <f t="array" ref="N640">IFERROR(_xlfn.XLOOKUP(C640&amp;A640, TDrate!F:F&amp;TDrate!H:H, TDrate!D:D), "N/A")</f>
        <v>N/A</v>
      </c>
    </row>
    <row r="641" spans="1:14" x14ac:dyDescent="0.45">
      <c r="A641" s="8">
        <v>2022</v>
      </c>
      <c r="B641" s="9" t="s">
        <v>683</v>
      </c>
      <c r="C641" s="10" t="str">
        <f t="shared" si="18"/>
        <v>David Johnson</v>
      </c>
      <c r="D641" s="10" t="str">
        <f t="shared" si="19"/>
        <v>NO</v>
      </c>
      <c r="E641" cm="1">
        <f t="array" aca="1" ref="E641" ca="1">IFERROR(_xlfn.XLOOKUP(C641&amp;A641, Inside5!B:B&amp;Inside5!I:I, Inside5!C:C), 0)</f>
        <v>0</v>
      </c>
      <c r="F641" cm="1">
        <f t="array" aca="1" ref="F641" ca="1">IFERROR(_xlfn.XLOOKUP(C641&amp;A641, Inside5!B:B&amp;Inside5!I:I, Inside5!D:D), 0)</f>
        <v>0</v>
      </c>
      <c r="G641" cm="1">
        <f t="array" ref="G641">IFERROR(_xlfn.XLOOKUP(C641&amp;A641, Inside5!B:B&amp;Inside5!I:I, Inside5!E:E), 0)</f>
        <v>0</v>
      </c>
      <c r="H641" t="str" cm="1">
        <f t="array" ref="H641">IFERROR(_xlfn.XLOOKUP(C641&amp;A641, TDrate!F:F&amp;TDrate!H:H, TDrate!C:C), "N/A")</f>
        <v>N/A</v>
      </c>
      <c r="I641" t="str" cm="1">
        <f t="array" ref="I641">IFERROR(_xlfn.XLOOKUP(C641&amp;A641, TDrate!F:F&amp;TDrate!H:H, TDrate!E:E), "N/A")</f>
        <v>N/A</v>
      </c>
      <c r="J641" cm="1">
        <f t="array" ref="J641">IFERROR(_xlfn.XLOOKUP(C641&amp;A641, Inside5!B:B&amp;Inside5!I:I, Inside5!F:F), 0)</f>
        <v>0</v>
      </c>
      <c r="K641" cm="1">
        <f t="array" aca="1" ref="K641" ca="1">IFERROR(_xlfn.XLOOKUP(C641&amp;A641, Inside5!B:B&amp;Inside5!I:I, Inside5!G:G), 0)</f>
        <v>0</v>
      </c>
      <c r="L641" cm="1">
        <f t="array" ref="L641">IFERROR(_xlfn.XLOOKUP(C641&amp;A641, Inside5!B:B&amp;Inside5!I:I, Inside5!H:H), 0)</f>
        <v>0</v>
      </c>
      <c r="M641" t="str" cm="1">
        <f t="array" ref="M641">IFERROR(_xlfn.XLOOKUP(C641&amp;A641, TDrate!F:F&amp;TDrate!H:H, TDrate!B:B), "N/A")</f>
        <v>N/A</v>
      </c>
      <c r="N641" t="str" cm="1">
        <f t="array" ref="N641">IFERROR(_xlfn.XLOOKUP(C641&amp;A641, TDrate!F:F&amp;TDrate!H:H, TDrate!D:D), "N/A")</f>
        <v>N/A</v>
      </c>
    </row>
    <row r="642" spans="1:14" x14ac:dyDescent="0.45">
      <c r="A642" s="5">
        <v>2022</v>
      </c>
      <c r="B642" s="6" t="s">
        <v>402</v>
      </c>
      <c r="C642" s="7" t="str">
        <f t="shared" ref="C642:C705" si="20">TRIM(LEFT(B642, LEN(B642) - LEN(TRIM(RIGHT(SUBSTITUTE(TRIM(B642)," ",REPT(" ",100)),100)))))</f>
        <v>Ronnie Rivers</v>
      </c>
      <c r="D642" s="7" t="str">
        <f t="shared" ref="D642:D705" si="21">MID(B642, FIND("(", B642) + 1, FIND(")", B642) - FIND("(", B642) - 1)</f>
        <v>LAR</v>
      </c>
      <c r="E642" cm="1">
        <f t="array" aca="1" ref="E642" ca="1">IFERROR(_xlfn.XLOOKUP(C642&amp;A642, Inside5!B:B&amp;Inside5!I:I, Inside5!C:C), 0)</f>
        <v>0</v>
      </c>
      <c r="F642" cm="1">
        <f t="array" aca="1" ref="F642" ca="1">IFERROR(_xlfn.XLOOKUP(C642&amp;A642, Inside5!B:B&amp;Inside5!I:I, Inside5!D:D), 0)</f>
        <v>0</v>
      </c>
      <c r="G642" cm="1">
        <f t="array" ref="G642">IFERROR(_xlfn.XLOOKUP(C642&amp;A642, Inside5!B:B&amp;Inside5!I:I, Inside5!E:E), 0)</f>
        <v>0</v>
      </c>
      <c r="H642" t="str" cm="1">
        <f t="array" ref="H642">IFERROR(_xlfn.XLOOKUP(C642&amp;A642, TDrate!F:F&amp;TDrate!H:H, TDrate!C:C), "N/A")</f>
        <v>N/A</v>
      </c>
      <c r="I642" t="str" cm="1">
        <f t="array" ref="I642">IFERROR(_xlfn.XLOOKUP(C642&amp;A642, TDrate!F:F&amp;TDrate!H:H, TDrate!E:E), "N/A")</f>
        <v>N/A</v>
      </c>
      <c r="J642" cm="1">
        <f t="array" ref="J642">IFERROR(_xlfn.XLOOKUP(C642&amp;A642, Inside5!B:B&amp;Inside5!I:I, Inside5!F:F), 0)</f>
        <v>0</v>
      </c>
      <c r="K642" cm="1">
        <f t="array" ref="K642">IFERROR(_xlfn.XLOOKUP(C642&amp;A642, Inside5!B:B&amp;Inside5!I:I, Inside5!G:G), 0)</f>
        <v>0</v>
      </c>
      <c r="L642" cm="1">
        <f t="array" ref="L642">IFERROR(_xlfn.XLOOKUP(C642&amp;A642, Inside5!B:B&amp;Inside5!I:I, Inside5!H:H), 0)</f>
        <v>0</v>
      </c>
      <c r="M642" t="str" cm="1">
        <f t="array" ref="M642">IFERROR(_xlfn.XLOOKUP(C642&amp;A642, TDrate!F:F&amp;TDrate!H:H, TDrate!B:B), "N/A")</f>
        <v>N/A</v>
      </c>
      <c r="N642" t="str" cm="1">
        <f t="array" ref="N642">IFERROR(_xlfn.XLOOKUP(C642&amp;A642, TDrate!F:F&amp;TDrate!H:H, TDrate!D:D), "N/A")</f>
        <v>N/A</v>
      </c>
    </row>
    <row r="643" spans="1:14" x14ac:dyDescent="0.45">
      <c r="A643" s="8">
        <v>2022</v>
      </c>
      <c r="B643" s="9" t="s">
        <v>576</v>
      </c>
      <c r="C643" s="10" t="str">
        <f t="shared" si="20"/>
        <v>Patrick Taylor Jr.</v>
      </c>
      <c r="D643" s="10" t="str">
        <f t="shared" si="21"/>
        <v>GB</v>
      </c>
      <c r="E643" cm="1">
        <f t="array" ref="E643">IFERROR(_xlfn.XLOOKUP(C643&amp;A643, Inside5!B:B&amp;Inside5!I:I, Inside5!C:C), 0)</f>
        <v>0</v>
      </c>
      <c r="F643" cm="1">
        <f t="array" ref="F643">IFERROR(_xlfn.XLOOKUP(C643&amp;A643, Inside5!B:B&amp;Inside5!I:I, Inside5!D:D), 0)</f>
        <v>0</v>
      </c>
      <c r="G643" cm="1">
        <f t="array" ref="G643">IFERROR(_xlfn.XLOOKUP(C643&amp;A643, Inside5!B:B&amp;Inside5!I:I, Inside5!E:E), 0)</f>
        <v>0</v>
      </c>
      <c r="H643" t="str" cm="1">
        <f t="array" ref="H643">IFERROR(_xlfn.XLOOKUP(C643&amp;A643, TDrate!F:F&amp;TDrate!H:H, TDrate!C:C), "N/A")</f>
        <v>N/A</v>
      </c>
      <c r="I643" t="str" cm="1">
        <f t="array" ref="I643">IFERROR(_xlfn.XLOOKUP(C643&amp;A643, TDrate!F:F&amp;TDrate!H:H, TDrate!E:E), "N/A")</f>
        <v>N/A</v>
      </c>
      <c r="J643" cm="1">
        <f t="array" ref="J643">IFERROR(_xlfn.XLOOKUP(C643&amp;A643, Inside5!B:B&amp;Inside5!I:I, Inside5!F:F), 0)</f>
        <v>0</v>
      </c>
      <c r="K643" cm="1">
        <f t="array" ref="K643">IFERROR(_xlfn.XLOOKUP(C643&amp;A643, Inside5!B:B&amp;Inside5!I:I, Inside5!G:G), 0)</f>
        <v>0</v>
      </c>
      <c r="L643" cm="1">
        <f t="array" ref="L643">IFERROR(_xlfn.XLOOKUP(C643&amp;A643, Inside5!B:B&amp;Inside5!I:I, Inside5!H:H), 0)</f>
        <v>0</v>
      </c>
      <c r="M643" t="str" cm="1">
        <f t="array" ref="M643">IFERROR(_xlfn.XLOOKUP(C643&amp;A643, TDrate!F:F&amp;TDrate!H:H, TDrate!B:B), "N/A")</f>
        <v>N/A</v>
      </c>
      <c r="N643" t="str" cm="1">
        <f t="array" ref="N643">IFERROR(_xlfn.XLOOKUP(C643&amp;A643, TDrate!F:F&amp;TDrate!H:H, TDrate!D:D), "N/A")</f>
        <v>N/A</v>
      </c>
    </row>
    <row r="644" spans="1:14" x14ac:dyDescent="0.45">
      <c r="A644" s="5">
        <v>2022</v>
      </c>
      <c r="B644" s="6" t="s">
        <v>684</v>
      </c>
      <c r="C644" s="7" t="str">
        <f t="shared" si="20"/>
        <v>Dwayne Washington</v>
      </c>
      <c r="D644" s="7" t="str">
        <f t="shared" si="21"/>
        <v>NO</v>
      </c>
      <c r="E644" cm="1">
        <f t="array" ref="E644">IFERROR(_xlfn.XLOOKUP(C644&amp;A644, Inside5!B:B&amp;Inside5!I:I, Inside5!C:C), 0)</f>
        <v>0</v>
      </c>
      <c r="F644" cm="1">
        <f t="array" ref="F644">IFERROR(_xlfn.XLOOKUP(C644&amp;A644, Inside5!B:B&amp;Inside5!I:I, Inside5!D:D), 0)</f>
        <v>0</v>
      </c>
      <c r="G644" cm="1">
        <f t="array" ref="G644">IFERROR(_xlfn.XLOOKUP(C644&amp;A644, Inside5!B:B&amp;Inside5!I:I, Inside5!E:E), 0)</f>
        <v>0</v>
      </c>
      <c r="H644" t="str" cm="1">
        <f t="array" ref="H644">IFERROR(_xlfn.XLOOKUP(C644&amp;A644, TDrate!F:F&amp;TDrate!H:H, TDrate!C:C), "N/A")</f>
        <v>N/A</v>
      </c>
      <c r="I644" t="str" cm="1">
        <f t="array" ref="I644">IFERROR(_xlfn.XLOOKUP(C644&amp;A644, TDrate!F:F&amp;TDrate!H:H, TDrate!E:E), "N/A")</f>
        <v>N/A</v>
      </c>
      <c r="J644" cm="1">
        <f t="array" ref="J644">IFERROR(_xlfn.XLOOKUP(C644&amp;A644, Inside5!B:B&amp;Inside5!I:I, Inside5!F:F), 0)</f>
        <v>0</v>
      </c>
      <c r="K644" cm="1">
        <f t="array" ref="K644">IFERROR(_xlfn.XLOOKUP(C644&amp;A644, Inside5!B:B&amp;Inside5!I:I, Inside5!G:G), 0)</f>
        <v>0</v>
      </c>
      <c r="L644" cm="1">
        <f t="array" ref="L644">IFERROR(_xlfn.XLOOKUP(C644&amp;A644, Inside5!B:B&amp;Inside5!I:I, Inside5!H:H), 0)</f>
        <v>0</v>
      </c>
      <c r="M644" t="str" cm="1">
        <f t="array" ref="M644">IFERROR(_xlfn.XLOOKUP(C644&amp;A644, TDrate!F:F&amp;TDrate!H:H, TDrate!B:B), "N/A")</f>
        <v>N/A</v>
      </c>
      <c r="N644" t="str" cm="1">
        <f t="array" ref="N644">IFERROR(_xlfn.XLOOKUP(C644&amp;A644, TDrate!F:F&amp;TDrate!H:H, TDrate!D:D), "N/A")</f>
        <v>N/A</v>
      </c>
    </row>
    <row r="645" spans="1:14" x14ac:dyDescent="0.45">
      <c r="A645" s="8">
        <v>2022</v>
      </c>
      <c r="B645" s="9" t="s">
        <v>685</v>
      </c>
      <c r="C645" s="10" t="str">
        <f t="shared" si="20"/>
        <v>Trestan Ebner</v>
      </c>
      <c r="D645" s="10" t="str">
        <f t="shared" si="21"/>
        <v>CHI</v>
      </c>
      <c r="E645" cm="1">
        <f t="array" aca="1" ref="E645" ca="1">IFERROR(_xlfn.XLOOKUP(C645&amp;A645, Inside5!B:B&amp;Inside5!I:I, Inside5!C:C), 0)</f>
        <v>2</v>
      </c>
      <c r="F645" cm="1">
        <f t="array" aca="1" ref="F645" ca="1">IFERROR(_xlfn.XLOOKUP(C645&amp;A645, Inside5!B:B&amp;Inside5!I:I, Inside5!D:D), 0)</f>
        <v>0</v>
      </c>
      <c r="G645" cm="1">
        <f t="array" ref="G645">IFERROR(_xlfn.XLOOKUP(C645&amp;A645, Inside5!B:B&amp;Inside5!I:I, Inside5!E:E), 0)</f>
        <v>0.14299999999999999</v>
      </c>
      <c r="H645" t="str" cm="1">
        <f t="array" ref="H645">IFERROR(_xlfn.XLOOKUP(C645&amp;A645, TDrate!F:F&amp;TDrate!H:H, TDrate!C:C), "N/A")</f>
        <v>N/A</v>
      </c>
      <c r="I645" t="str" cm="1">
        <f t="array" ref="I645">IFERROR(_xlfn.XLOOKUP(C645&amp;A645, TDrate!F:F&amp;TDrate!H:H, TDrate!E:E), "N/A")</f>
        <v>N/A</v>
      </c>
      <c r="J645" cm="1">
        <f t="array" ref="J645">IFERROR(_xlfn.XLOOKUP(C645&amp;A645, Inside5!B:B&amp;Inside5!I:I, Inside5!F:F), 0)</f>
        <v>0</v>
      </c>
      <c r="K645" cm="1">
        <f t="array" ref="K645">IFERROR(_xlfn.XLOOKUP(C645&amp;A645, Inside5!B:B&amp;Inside5!I:I, Inside5!G:G), 0)</f>
        <v>0</v>
      </c>
      <c r="L645" cm="1">
        <f t="array" ref="L645">IFERROR(_xlfn.XLOOKUP(C645&amp;A645, Inside5!B:B&amp;Inside5!I:I, Inside5!H:H), 0)</f>
        <v>0</v>
      </c>
      <c r="M645" t="str" cm="1">
        <f t="array" ref="M645">IFERROR(_xlfn.XLOOKUP(C645&amp;A645, TDrate!F:F&amp;TDrate!H:H, TDrate!B:B), "N/A")</f>
        <v>N/A</v>
      </c>
      <c r="N645" t="str" cm="1">
        <f t="array" ref="N645">IFERROR(_xlfn.XLOOKUP(C645&amp;A645, TDrate!F:F&amp;TDrate!H:H, TDrate!D:D), "N/A")</f>
        <v>N/A</v>
      </c>
    </row>
    <row r="646" spans="1:14" x14ac:dyDescent="0.45">
      <c r="A646" s="5">
        <v>2022</v>
      </c>
      <c r="B646" s="6" t="s">
        <v>610</v>
      </c>
      <c r="C646" s="7" t="str">
        <f t="shared" si="20"/>
        <v>Anthony McFarland Jr.</v>
      </c>
      <c r="D646" s="7" t="str">
        <f t="shared" si="21"/>
        <v>PIT</v>
      </c>
      <c r="E646" cm="1">
        <f t="array" ref="E646">IFERROR(_xlfn.XLOOKUP(C646&amp;A646, Inside5!B:B&amp;Inside5!I:I, Inside5!C:C), 0)</f>
        <v>0</v>
      </c>
      <c r="F646" cm="1">
        <f t="array" ref="F646">IFERROR(_xlfn.XLOOKUP(C646&amp;A646, Inside5!B:B&amp;Inside5!I:I, Inside5!D:D), 0)</f>
        <v>0</v>
      </c>
      <c r="G646" cm="1">
        <f t="array" ref="G646">IFERROR(_xlfn.XLOOKUP(C646&amp;A646, Inside5!B:B&amp;Inside5!I:I, Inside5!E:E), 0)</f>
        <v>0</v>
      </c>
      <c r="H646" t="str" cm="1">
        <f t="array" ref="H646">IFERROR(_xlfn.XLOOKUP(C646&amp;A646, TDrate!F:F&amp;TDrate!H:H, TDrate!C:C), "N/A")</f>
        <v>N/A</v>
      </c>
      <c r="I646" t="str" cm="1">
        <f t="array" ref="I646">IFERROR(_xlfn.XLOOKUP(C646&amp;A646, TDrate!F:F&amp;TDrate!H:H, TDrate!E:E), "N/A")</f>
        <v>N/A</v>
      </c>
      <c r="J646" cm="1">
        <f t="array" ref="J646">IFERROR(_xlfn.XLOOKUP(C646&amp;A646, Inside5!B:B&amp;Inside5!I:I, Inside5!F:F), 0)</f>
        <v>0</v>
      </c>
      <c r="K646" cm="1">
        <f t="array" ref="K646">IFERROR(_xlfn.XLOOKUP(C646&amp;A646, Inside5!B:B&amp;Inside5!I:I, Inside5!G:G), 0)</f>
        <v>0</v>
      </c>
      <c r="L646" cm="1">
        <f t="array" ref="L646">IFERROR(_xlfn.XLOOKUP(C646&amp;A646, Inside5!B:B&amp;Inside5!I:I, Inside5!H:H), 0)</f>
        <v>0</v>
      </c>
      <c r="M646" t="str" cm="1">
        <f t="array" ref="M646">IFERROR(_xlfn.XLOOKUP(C646&amp;A646, TDrate!F:F&amp;TDrate!H:H, TDrate!B:B), "N/A")</f>
        <v>N/A</v>
      </c>
      <c r="N646" t="str" cm="1">
        <f t="array" ref="N646">IFERROR(_xlfn.XLOOKUP(C646&amp;A646, TDrate!F:F&amp;TDrate!H:H, TDrate!D:D), "N/A")</f>
        <v>N/A</v>
      </c>
    </row>
    <row r="647" spans="1:14" x14ac:dyDescent="0.45">
      <c r="A647" s="8">
        <v>2022</v>
      </c>
      <c r="B647" s="9" t="s">
        <v>686</v>
      </c>
      <c r="C647" s="10" t="str">
        <f t="shared" si="20"/>
        <v>Larry Rountree III</v>
      </c>
      <c r="D647" s="10" t="str">
        <f t="shared" si="21"/>
        <v>LAC</v>
      </c>
      <c r="E647" cm="1">
        <f t="array" aca="1" ref="E647" ca="1">IFERROR(_xlfn.XLOOKUP(C647&amp;A647, Inside5!B:B&amp;Inside5!I:I, Inside5!C:C), 0)</f>
        <v>0</v>
      </c>
      <c r="F647" cm="1">
        <f t="array" aca="1" ref="F647" ca="1">IFERROR(_xlfn.XLOOKUP(C647&amp;A647, Inside5!B:B&amp;Inside5!I:I, Inside5!D:D), 0)</f>
        <v>0</v>
      </c>
      <c r="G647" cm="1">
        <f t="array" ref="G647">IFERROR(_xlfn.XLOOKUP(C647&amp;A647, Inside5!B:B&amp;Inside5!I:I, Inside5!E:E), 0)</f>
        <v>0</v>
      </c>
      <c r="H647" t="str" cm="1">
        <f t="array" ref="H647">IFERROR(_xlfn.XLOOKUP(C647&amp;A647, TDrate!F:F&amp;TDrate!H:H, TDrate!C:C), "N/A")</f>
        <v>N/A</v>
      </c>
      <c r="I647" t="str" cm="1">
        <f t="array" ref="I647">IFERROR(_xlfn.XLOOKUP(C647&amp;A647, TDrate!F:F&amp;TDrate!H:H, TDrate!E:E), "N/A")</f>
        <v>N/A</v>
      </c>
      <c r="J647" cm="1">
        <f t="array" ref="J647">IFERROR(_xlfn.XLOOKUP(C647&amp;A647, Inside5!B:B&amp;Inside5!I:I, Inside5!F:F), 0)</f>
        <v>0</v>
      </c>
      <c r="K647" cm="1">
        <f t="array" aca="1" ref="K647" ca="1">IFERROR(_xlfn.XLOOKUP(C647&amp;A647, Inside5!B:B&amp;Inside5!I:I, Inside5!G:G), 0)</f>
        <v>0</v>
      </c>
      <c r="L647" cm="1">
        <f t="array" ref="L647">IFERROR(_xlfn.XLOOKUP(C647&amp;A647, Inside5!B:B&amp;Inside5!I:I, Inside5!H:H), 0)</f>
        <v>0</v>
      </c>
      <c r="M647" t="str" cm="1">
        <f t="array" ref="M647">IFERROR(_xlfn.XLOOKUP(C647&amp;A647, TDrate!F:F&amp;TDrate!H:H, TDrate!B:B), "N/A")</f>
        <v>N/A</v>
      </c>
      <c r="N647" t="str" cm="1">
        <f t="array" ref="N647">IFERROR(_xlfn.XLOOKUP(C647&amp;A647, TDrate!F:F&amp;TDrate!H:H, TDrate!D:D), "N/A")</f>
        <v>N/A</v>
      </c>
    </row>
    <row r="648" spans="1:14" x14ac:dyDescent="0.45">
      <c r="A648" s="5">
        <v>2022</v>
      </c>
      <c r="B648" s="6" t="s">
        <v>611</v>
      </c>
      <c r="C648" s="7" t="str">
        <f t="shared" si="20"/>
        <v>Jonathan Ward</v>
      </c>
      <c r="D648" s="7" t="str">
        <f t="shared" si="21"/>
        <v>TEN</v>
      </c>
      <c r="E648" cm="1">
        <f t="array" aca="1" ref="E648" ca="1">IFERROR(_xlfn.XLOOKUP(C648&amp;A648, Inside5!B:B&amp;Inside5!I:I, Inside5!C:C), 0)</f>
        <v>0</v>
      </c>
      <c r="F648" cm="1">
        <f t="array" aca="1" ref="F648" ca="1">IFERROR(_xlfn.XLOOKUP(C648&amp;A648, Inside5!B:B&amp;Inside5!I:I, Inside5!D:D), 0)</f>
        <v>0</v>
      </c>
      <c r="G648" cm="1">
        <f t="array" ref="G648">IFERROR(_xlfn.XLOOKUP(C648&amp;A648, Inside5!B:B&amp;Inside5!I:I, Inside5!E:E), 0)</f>
        <v>0</v>
      </c>
      <c r="H648" t="str" cm="1">
        <f t="array" ref="H648">IFERROR(_xlfn.XLOOKUP(C648&amp;A648, TDrate!F:F&amp;TDrate!H:H, TDrate!C:C), "N/A")</f>
        <v>N/A</v>
      </c>
      <c r="I648" t="str" cm="1">
        <f t="array" ref="I648">IFERROR(_xlfn.XLOOKUP(C648&amp;A648, TDrate!F:F&amp;TDrate!H:H, TDrate!E:E), "N/A")</f>
        <v>N/A</v>
      </c>
      <c r="J648" cm="1">
        <f t="array" ref="J648">IFERROR(_xlfn.XLOOKUP(C648&amp;A648, Inside5!B:B&amp;Inside5!I:I, Inside5!F:F), 0)</f>
        <v>0</v>
      </c>
      <c r="K648" cm="1">
        <f t="array" ref="K648">IFERROR(_xlfn.XLOOKUP(C648&amp;A648, Inside5!B:B&amp;Inside5!I:I, Inside5!G:G), 0)</f>
        <v>0</v>
      </c>
      <c r="L648" cm="1">
        <f t="array" ref="L648">IFERROR(_xlfn.XLOOKUP(C648&amp;A648, Inside5!B:B&amp;Inside5!I:I, Inside5!H:H), 0)</f>
        <v>0</v>
      </c>
      <c r="M648" t="str" cm="1">
        <f t="array" ref="M648">IFERROR(_xlfn.XLOOKUP(C648&amp;A648, TDrate!F:F&amp;TDrate!H:H, TDrate!B:B), "N/A")</f>
        <v>N/A</v>
      </c>
      <c r="N648" t="str" cm="1">
        <f t="array" ref="N648">IFERROR(_xlfn.XLOOKUP(C648&amp;A648, TDrate!F:F&amp;TDrate!H:H, TDrate!D:D), "N/A")</f>
        <v>N/A</v>
      </c>
    </row>
    <row r="649" spans="1:14" x14ac:dyDescent="0.45">
      <c r="A649" s="8">
        <v>2022</v>
      </c>
      <c r="B649" s="9" t="s">
        <v>687</v>
      </c>
      <c r="C649" s="10" t="str">
        <f t="shared" si="20"/>
        <v>Giovani Bernard</v>
      </c>
      <c r="D649" s="10" t="str">
        <f t="shared" si="21"/>
        <v>TB</v>
      </c>
      <c r="E649" cm="1">
        <f t="array" ref="E649">IFERROR(_xlfn.XLOOKUP(C649&amp;A649, Inside5!B:B&amp;Inside5!I:I, Inside5!C:C), 0)</f>
        <v>0</v>
      </c>
      <c r="F649" cm="1">
        <f t="array" ref="F649">IFERROR(_xlfn.XLOOKUP(C649&amp;A649, Inside5!B:B&amp;Inside5!I:I, Inside5!D:D), 0)</f>
        <v>0</v>
      </c>
      <c r="G649" cm="1">
        <f t="array" ref="G649">IFERROR(_xlfn.XLOOKUP(C649&amp;A649, Inside5!B:B&amp;Inside5!I:I, Inside5!E:E), 0)</f>
        <v>0</v>
      </c>
      <c r="H649" t="str" cm="1">
        <f t="array" ref="H649">IFERROR(_xlfn.XLOOKUP(C649&amp;A649, TDrate!F:F&amp;TDrate!H:H, TDrate!C:C), "N/A")</f>
        <v>N/A</v>
      </c>
      <c r="I649" t="str" cm="1">
        <f t="array" ref="I649">IFERROR(_xlfn.XLOOKUP(C649&amp;A649, TDrate!F:F&amp;TDrate!H:H, TDrate!E:E), "N/A")</f>
        <v>N/A</v>
      </c>
      <c r="J649" cm="1">
        <f t="array" ref="J649">IFERROR(_xlfn.XLOOKUP(C649&amp;A649, Inside5!B:B&amp;Inside5!I:I, Inside5!F:F), 0)</f>
        <v>0</v>
      </c>
      <c r="K649" cm="1">
        <f t="array" aca="1" ref="K649" ca="1">IFERROR(_xlfn.XLOOKUP(C649&amp;A649, Inside5!B:B&amp;Inside5!I:I, Inside5!G:G), 0)</f>
        <v>0</v>
      </c>
      <c r="L649" cm="1">
        <f t="array" ref="L649">IFERROR(_xlfn.XLOOKUP(C649&amp;A649, Inside5!B:B&amp;Inside5!I:I, Inside5!H:H), 0)</f>
        <v>0</v>
      </c>
      <c r="M649" t="str" cm="1">
        <f t="array" ref="M649">IFERROR(_xlfn.XLOOKUP(C649&amp;A649, TDrate!F:F&amp;TDrate!H:H, TDrate!B:B), "N/A")</f>
        <v>N/A</v>
      </c>
      <c r="N649" t="str" cm="1">
        <f t="array" ref="N649">IFERROR(_xlfn.XLOOKUP(C649&amp;A649, TDrate!F:F&amp;TDrate!H:H, TDrate!D:D), "N/A")</f>
        <v>N/A</v>
      </c>
    </row>
    <row r="650" spans="1:14" x14ac:dyDescent="0.45">
      <c r="A650" s="5">
        <v>2022</v>
      </c>
      <c r="B650" s="6" t="s">
        <v>688</v>
      </c>
      <c r="C650" s="7" t="str">
        <f t="shared" si="20"/>
        <v>D'Ernest Johnson</v>
      </c>
      <c r="D650" s="7" t="str">
        <f t="shared" si="21"/>
        <v>CLE</v>
      </c>
      <c r="E650" cm="1">
        <f t="array" aca="1" ref="E650" ca="1">IFERROR(_xlfn.XLOOKUP(C650&amp;A650, Inside5!B:B&amp;Inside5!I:I, Inside5!C:C), 0)</f>
        <v>0</v>
      </c>
      <c r="F650" cm="1">
        <f t="array" aca="1" ref="F650" ca="1">IFERROR(_xlfn.XLOOKUP(C650&amp;A650, Inside5!B:B&amp;Inside5!I:I, Inside5!D:D), 0)</f>
        <v>0</v>
      </c>
      <c r="G650" cm="1">
        <f t="array" ref="G650">IFERROR(_xlfn.XLOOKUP(C650&amp;A650, Inside5!B:B&amp;Inside5!I:I, Inside5!E:E), 0)</f>
        <v>0</v>
      </c>
      <c r="H650" t="str" cm="1">
        <f t="array" ref="H650">IFERROR(_xlfn.XLOOKUP(C650&amp;A650, TDrate!F:F&amp;TDrate!H:H, TDrate!C:C), "N/A")</f>
        <v>N/A</v>
      </c>
      <c r="I650" t="str" cm="1">
        <f t="array" ref="I650">IFERROR(_xlfn.XLOOKUP(C650&amp;A650, TDrate!F:F&amp;TDrate!H:H, TDrate!E:E), "N/A")</f>
        <v>N/A</v>
      </c>
      <c r="J650" cm="1">
        <f t="array" ref="J650">IFERROR(_xlfn.XLOOKUP(C650&amp;A650, Inside5!B:B&amp;Inside5!I:I, Inside5!F:F), 0)</f>
        <v>0</v>
      </c>
      <c r="K650" cm="1">
        <f t="array" ref="K650">IFERROR(_xlfn.XLOOKUP(C650&amp;A650, Inside5!B:B&amp;Inside5!I:I, Inside5!G:G), 0)</f>
        <v>0</v>
      </c>
      <c r="L650" cm="1">
        <f t="array" ref="L650">IFERROR(_xlfn.XLOOKUP(C650&amp;A650, Inside5!B:B&amp;Inside5!I:I, Inside5!H:H), 0)</f>
        <v>0</v>
      </c>
      <c r="M650" t="str" cm="1">
        <f t="array" ref="M650">IFERROR(_xlfn.XLOOKUP(C650&amp;A650, TDrate!F:F&amp;TDrate!H:H, TDrate!B:B), "N/A")</f>
        <v>N/A</v>
      </c>
      <c r="N650" t="str" cm="1">
        <f t="array" ref="N650">IFERROR(_xlfn.XLOOKUP(C650&amp;A650, TDrate!F:F&amp;TDrate!H:H, TDrate!D:D), "N/A")</f>
        <v>N/A</v>
      </c>
    </row>
    <row r="651" spans="1:14" x14ac:dyDescent="0.45">
      <c r="A651" s="8">
        <v>2022</v>
      </c>
      <c r="B651" s="9" t="s">
        <v>689</v>
      </c>
      <c r="C651" s="10" t="str">
        <f t="shared" si="20"/>
        <v>Mike Davis</v>
      </c>
      <c r="D651" s="10" t="str">
        <f t="shared" si="21"/>
        <v>BAL</v>
      </c>
      <c r="E651" cm="1">
        <f t="array" aca="1" ref="E651" ca="1">IFERROR(_xlfn.XLOOKUP(C651&amp;A651, Inside5!B:B&amp;Inside5!I:I, Inside5!C:C), 0)</f>
        <v>2</v>
      </c>
      <c r="F651" cm="1">
        <f t="array" aca="1" ref="F651" ca="1">IFERROR(_xlfn.XLOOKUP(C651&amp;A651, Inside5!B:B&amp;Inside5!I:I, Inside5!D:D), 0)</f>
        <v>0</v>
      </c>
      <c r="G651" cm="1">
        <f t="array" ref="G651">IFERROR(_xlfn.XLOOKUP(C651&amp;A651, Inside5!B:B&amp;Inside5!I:I, Inside5!E:E), 0)</f>
        <v>0.182</v>
      </c>
      <c r="H651" t="str" cm="1">
        <f t="array" ref="H651">IFERROR(_xlfn.XLOOKUP(C651&amp;A651, TDrate!F:F&amp;TDrate!H:H, TDrate!C:C), "N/A")</f>
        <v>N/A</v>
      </c>
      <c r="I651" t="str" cm="1">
        <f t="array" ref="I651">IFERROR(_xlfn.XLOOKUP(C651&amp;A651, TDrate!F:F&amp;TDrate!H:H, TDrate!E:E), "N/A")</f>
        <v>N/A</v>
      </c>
      <c r="J651" cm="1">
        <f t="array" ref="J651">IFERROR(_xlfn.XLOOKUP(C651&amp;A651, Inside5!B:B&amp;Inside5!I:I, Inside5!F:F), 0)</f>
        <v>0</v>
      </c>
      <c r="K651" cm="1">
        <f t="array" ref="K651">IFERROR(_xlfn.XLOOKUP(C651&amp;A651, Inside5!B:B&amp;Inside5!I:I, Inside5!G:G), 0)</f>
        <v>0</v>
      </c>
      <c r="L651" cm="1">
        <f t="array" ref="L651">IFERROR(_xlfn.XLOOKUP(C651&amp;A651, Inside5!B:B&amp;Inside5!I:I, Inside5!H:H), 0)</f>
        <v>0</v>
      </c>
      <c r="M651" t="str" cm="1">
        <f t="array" ref="M651">IFERROR(_xlfn.XLOOKUP(C651&amp;A651, TDrate!F:F&amp;TDrate!H:H, TDrate!B:B), "N/A")</f>
        <v>N/A</v>
      </c>
      <c r="N651" t="str" cm="1">
        <f t="array" ref="N651">IFERROR(_xlfn.XLOOKUP(C651&amp;A651, TDrate!F:F&amp;TDrate!H:H, TDrate!D:D), "N/A")</f>
        <v>N/A</v>
      </c>
    </row>
    <row r="652" spans="1:14" x14ac:dyDescent="0.45">
      <c r="A652" s="5">
        <v>2022</v>
      </c>
      <c r="B652" s="6" t="s">
        <v>400</v>
      </c>
      <c r="C652" s="7" t="str">
        <f t="shared" si="20"/>
        <v>Ty Chandler</v>
      </c>
      <c r="D652" s="7" t="str">
        <f t="shared" si="21"/>
        <v>MIN</v>
      </c>
      <c r="E652" cm="1">
        <f t="array" ref="E652">IFERROR(_xlfn.XLOOKUP(C652&amp;A652, Inside5!B:B&amp;Inside5!I:I, Inside5!C:C), 0)</f>
        <v>0</v>
      </c>
      <c r="F652" cm="1">
        <f t="array" aca="1" ref="F652" ca="1">IFERROR(_xlfn.XLOOKUP(C652&amp;A652, Inside5!B:B&amp;Inside5!I:I, Inside5!D:D), 0)</f>
        <v>0</v>
      </c>
      <c r="G652" cm="1">
        <f t="array" ref="G652">IFERROR(_xlfn.XLOOKUP(C652&amp;A652, Inside5!B:B&amp;Inside5!I:I, Inside5!E:E), 0)</f>
        <v>0</v>
      </c>
      <c r="H652" t="str" cm="1">
        <f t="array" ref="H652">IFERROR(_xlfn.XLOOKUP(C652&amp;A652, TDrate!F:F&amp;TDrate!H:H, TDrate!C:C), "N/A")</f>
        <v>N/A</v>
      </c>
      <c r="I652" t="str" cm="1">
        <f t="array" ref="I652">IFERROR(_xlfn.XLOOKUP(C652&amp;A652, TDrate!F:F&amp;TDrate!H:H, TDrate!E:E), "N/A")</f>
        <v>N/A</v>
      </c>
      <c r="J652" cm="1">
        <f t="array" ref="J652">IFERROR(_xlfn.XLOOKUP(C652&amp;A652, Inside5!B:B&amp;Inside5!I:I, Inside5!F:F), 0)</f>
        <v>0</v>
      </c>
      <c r="K652" cm="1">
        <f t="array" ref="K652">IFERROR(_xlfn.XLOOKUP(C652&amp;A652, Inside5!B:B&amp;Inside5!I:I, Inside5!G:G), 0)</f>
        <v>0</v>
      </c>
      <c r="L652" cm="1">
        <f t="array" ref="L652">IFERROR(_xlfn.XLOOKUP(C652&amp;A652, Inside5!B:B&amp;Inside5!I:I, Inside5!H:H), 0)</f>
        <v>0</v>
      </c>
      <c r="M652" t="str" cm="1">
        <f t="array" ref="M652">IFERROR(_xlfn.XLOOKUP(C652&amp;A652, TDrate!F:F&amp;TDrate!H:H, TDrate!B:B), "N/A")</f>
        <v>N/A</v>
      </c>
      <c r="N652" t="str" cm="1">
        <f t="array" ref="N652">IFERROR(_xlfn.XLOOKUP(C652&amp;A652, TDrate!F:F&amp;TDrate!H:H, TDrate!D:D), "N/A")</f>
        <v>N/A</v>
      </c>
    </row>
    <row r="653" spans="1:14" x14ac:dyDescent="0.45">
      <c r="A653" s="8">
        <v>2022</v>
      </c>
      <c r="B653" s="9" t="s">
        <v>690</v>
      </c>
      <c r="C653" s="10" t="str">
        <f t="shared" si="20"/>
        <v>Trey Sermon</v>
      </c>
      <c r="D653" s="10" t="str">
        <f t="shared" si="21"/>
        <v>PHI</v>
      </c>
      <c r="E653" cm="1">
        <f t="array" aca="1" ref="E653" ca="1">IFERROR(_xlfn.XLOOKUP(C653&amp;A653, Inside5!B:B&amp;Inside5!I:I, Inside5!C:C), 0)</f>
        <v>0</v>
      </c>
      <c r="F653" cm="1">
        <f t="array" ref="F653">IFERROR(_xlfn.XLOOKUP(C653&amp;A653, Inside5!B:B&amp;Inside5!I:I, Inside5!D:D), 0)</f>
        <v>0</v>
      </c>
      <c r="G653" cm="1">
        <f t="array" ref="G653">IFERROR(_xlfn.XLOOKUP(C653&amp;A653, Inside5!B:B&amp;Inside5!I:I, Inside5!E:E), 0)</f>
        <v>0</v>
      </c>
      <c r="H653" t="str" cm="1">
        <f t="array" ref="H653">IFERROR(_xlfn.XLOOKUP(C653&amp;A653, TDrate!F:F&amp;TDrate!H:H, TDrate!C:C), "N/A")</f>
        <v>N/A</v>
      </c>
      <c r="I653" t="str" cm="1">
        <f t="array" ref="I653">IFERROR(_xlfn.XLOOKUP(C653&amp;A653, TDrate!F:F&amp;TDrate!H:H, TDrate!E:E), "N/A")</f>
        <v>N/A</v>
      </c>
      <c r="J653" cm="1">
        <f t="array" ref="J653">IFERROR(_xlfn.XLOOKUP(C653&amp;A653, Inside5!B:B&amp;Inside5!I:I, Inside5!F:F), 0)</f>
        <v>0</v>
      </c>
      <c r="K653" cm="1">
        <f t="array" ref="K653">IFERROR(_xlfn.XLOOKUP(C653&amp;A653, Inside5!B:B&amp;Inside5!I:I, Inside5!G:G), 0)</f>
        <v>0</v>
      </c>
      <c r="L653" cm="1">
        <f t="array" ref="L653">IFERROR(_xlfn.XLOOKUP(C653&amp;A653, Inside5!B:B&amp;Inside5!I:I, Inside5!H:H), 0)</f>
        <v>0</v>
      </c>
      <c r="M653" t="str" cm="1">
        <f t="array" ref="M653">IFERROR(_xlfn.XLOOKUP(C653&amp;A653, TDrate!F:F&amp;TDrate!H:H, TDrate!B:B), "N/A")</f>
        <v>N/A</v>
      </c>
      <c r="N653" t="str" cm="1">
        <f t="array" ref="N653">IFERROR(_xlfn.XLOOKUP(C653&amp;A653, TDrate!F:F&amp;TDrate!H:H, TDrate!D:D), "N/A")</f>
        <v>N/A</v>
      </c>
    </row>
    <row r="654" spans="1:14" x14ac:dyDescent="0.45">
      <c r="A654" s="5">
        <v>2022</v>
      </c>
      <c r="B654" s="6" t="s">
        <v>541</v>
      </c>
      <c r="C654" s="7" t="str">
        <f t="shared" si="20"/>
        <v>Troy Hairston II</v>
      </c>
      <c r="D654" s="7" t="str">
        <f t="shared" si="21"/>
        <v>HOU</v>
      </c>
      <c r="E654" cm="1">
        <f t="array" ref="E654">IFERROR(_xlfn.XLOOKUP(C654&amp;A654, Inside5!B:B&amp;Inside5!I:I, Inside5!C:C), 0)</f>
        <v>0</v>
      </c>
      <c r="F654" cm="1">
        <f t="array" ref="F654">IFERROR(_xlfn.XLOOKUP(C654&amp;A654, Inside5!B:B&amp;Inside5!I:I, Inside5!D:D), 0)</f>
        <v>0</v>
      </c>
      <c r="G654" cm="1">
        <f t="array" ref="G654">IFERROR(_xlfn.XLOOKUP(C654&amp;A654, Inside5!B:B&amp;Inside5!I:I, Inside5!E:E), 0)</f>
        <v>0</v>
      </c>
      <c r="H654" t="str" cm="1">
        <f t="array" ref="H654">IFERROR(_xlfn.XLOOKUP(C654&amp;A654, TDrate!F:F&amp;TDrate!H:H, TDrate!C:C), "N/A")</f>
        <v>N/A</v>
      </c>
      <c r="I654" t="str" cm="1">
        <f t="array" ref="I654">IFERROR(_xlfn.XLOOKUP(C654&amp;A654, TDrate!F:F&amp;TDrate!H:H, TDrate!E:E), "N/A")</f>
        <v>N/A</v>
      </c>
      <c r="J654" cm="1">
        <f t="array" ref="J654">IFERROR(_xlfn.XLOOKUP(C654&amp;A654, Inside5!B:B&amp;Inside5!I:I, Inside5!F:F), 0)</f>
        <v>0</v>
      </c>
      <c r="K654" cm="1">
        <f t="array" ref="K654">IFERROR(_xlfn.XLOOKUP(C654&amp;A654, Inside5!B:B&amp;Inside5!I:I, Inside5!G:G), 0)</f>
        <v>1</v>
      </c>
      <c r="L654" cm="1">
        <f t="array" ref="L654">IFERROR(_xlfn.XLOOKUP(C654&amp;A654, Inside5!B:B&amp;Inside5!I:I, Inside5!H:H), 0)</f>
        <v>0</v>
      </c>
      <c r="M654" t="str" cm="1">
        <f t="array" ref="M654">IFERROR(_xlfn.XLOOKUP(C654&amp;A654, TDrate!F:F&amp;TDrate!H:H, TDrate!B:B), "N/A")</f>
        <v>N/A</v>
      </c>
      <c r="N654" t="str" cm="1">
        <f t="array" ref="N654">IFERROR(_xlfn.XLOOKUP(C654&amp;A654, TDrate!F:F&amp;TDrate!H:H, TDrate!D:D), "N/A")</f>
        <v>N/A</v>
      </c>
    </row>
    <row r="655" spans="1:14" x14ac:dyDescent="0.45">
      <c r="A655" s="8">
        <v>2022</v>
      </c>
      <c r="B655" s="9" t="s">
        <v>691</v>
      </c>
      <c r="C655" s="10" t="str">
        <f t="shared" si="20"/>
        <v>Michael Burton</v>
      </c>
      <c r="D655" s="10" t="str">
        <f t="shared" si="21"/>
        <v>KC</v>
      </c>
      <c r="E655" cm="1">
        <f t="array" aca="1" ref="E655" ca="1">IFERROR(_xlfn.XLOOKUP(C655&amp;A655, Inside5!B:B&amp;Inside5!I:I, Inside5!C:C), 0)</f>
        <v>0</v>
      </c>
      <c r="F655" cm="1">
        <f t="array" ref="F655">IFERROR(_xlfn.XLOOKUP(C655&amp;A655, Inside5!B:B&amp;Inside5!I:I, Inside5!D:D), 0)</f>
        <v>0</v>
      </c>
      <c r="G655" cm="1">
        <f t="array" ref="G655">IFERROR(_xlfn.XLOOKUP(C655&amp;A655, Inside5!B:B&amp;Inside5!I:I, Inside5!E:E), 0)</f>
        <v>0</v>
      </c>
      <c r="H655" t="str" cm="1">
        <f t="array" ref="H655">IFERROR(_xlfn.XLOOKUP(C655&amp;A655, TDrate!F:F&amp;TDrate!H:H, TDrate!C:C), "N/A")</f>
        <v>N/A</v>
      </c>
      <c r="I655" t="str" cm="1">
        <f t="array" ref="I655">IFERROR(_xlfn.XLOOKUP(C655&amp;A655, TDrate!F:F&amp;TDrate!H:H, TDrate!E:E), "N/A")</f>
        <v>N/A</v>
      </c>
      <c r="J655" cm="1">
        <f t="array" ref="J655">IFERROR(_xlfn.XLOOKUP(C655&amp;A655, Inside5!B:B&amp;Inside5!I:I, Inside5!F:F), 0)</f>
        <v>0</v>
      </c>
      <c r="K655" cm="1">
        <f t="array" ref="K655">IFERROR(_xlfn.XLOOKUP(C655&amp;A655, Inside5!B:B&amp;Inside5!I:I, Inside5!G:G), 0)</f>
        <v>0</v>
      </c>
      <c r="L655" cm="1">
        <f t="array" ref="L655">IFERROR(_xlfn.XLOOKUP(C655&amp;A655, Inside5!B:B&amp;Inside5!I:I, Inside5!H:H), 0)</f>
        <v>0</v>
      </c>
      <c r="M655" t="str" cm="1">
        <f t="array" ref="M655">IFERROR(_xlfn.XLOOKUP(C655&amp;A655, TDrate!F:F&amp;TDrate!H:H, TDrate!B:B), "N/A")</f>
        <v>N/A</v>
      </c>
      <c r="N655" t="str" cm="1">
        <f t="array" ref="N655">IFERROR(_xlfn.XLOOKUP(C655&amp;A655, TDrate!F:F&amp;TDrate!H:H, TDrate!D:D), "N/A")</f>
        <v>N/A</v>
      </c>
    </row>
    <row r="656" spans="1:14" x14ac:dyDescent="0.45">
      <c r="A656" s="5">
        <v>2022</v>
      </c>
      <c r="B656" s="6" t="s">
        <v>538</v>
      </c>
      <c r="C656" s="7" t="str">
        <f t="shared" si="20"/>
        <v>Adam Prentice</v>
      </c>
      <c r="D656" s="7" t="str">
        <f t="shared" si="21"/>
        <v>NO</v>
      </c>
      <c r="E656" cm="1">
        <f t="array" aca="1" ref="E656" ca="1">IFERROR(_xlfn.XLOOKUP(C656&amp;A656, Inside5!B:B&amp;Inside5!I:I, Inside5!C:C), 0)</f>
        <v>0</v>
      </c>
      <c r="F656" cm="1">
        <f t="array" aca="1" ref="F656" ca="1">IFERROR(_xlfn.XLOOKUP(C656&amp;A656, Inside5!B:B&amp;Inside5!I:I, Inside5!D:D), 0)</f>
        <v>0</v>
      </c>
      <c r="G656" cm="1">
        <f t="array" ref="G656">IFERROR(_xlfn.XLOOKUP(C656&amp;A656, Inside5!B:B&amp;Inside5!I:I, Inside5!E:E), 0)</f>
        <v>0</v>
      </c>
      <c r="H656" t="str" cm="1">
        <f t="array" ref="H656">IFERROR(_xlfn.XLOOKUP(C656&amp;A656, TDrate!F:F&amp;TDrate!H:H, TDrate!C:C), "N/A")</f>
        <v>N/A</v>
      </c>
      <c r="I656" t="str" cm="1">
        <f t="array" ref="I656">IFERROR(_xlfn.XLOOKUP(C656&amp;A656, TDrate!F:F&amp;TDrate!H:H, TDrate!E:E), "N/A")</f>
        <v>N/A</v>
      </c>
      <c r="J656" cm="1">
        <f t="array" ref="J656">IFERROR(_xlfn.XLOOKUP(C656&amp;A656, Inside5!B:B&amp;Inside5!I:I, Inside5!F:F), 0)</f>
        <v>0</v>
      </c>
      <c r="K656" cm="1">
        <f t="array" ref="K656">IFERROR(_xlfn.XLOOKUP(C656&amp;A656, Inside5!B:B&amp;Inside5!I:I, Inside5!G:G), 0)</f>
        <v>0</v>
      </c>
      <c r="L656" cm="1">
        <f t="array" ref="L656">IFERROR(_xlfn.XLOOKUP(C656&amp;A656, Inside5!B:B&amp;Inside5!I:I, Inside5!H:H), 0)</f>
        <v>0</v>
      </c>
      <c r="M656" t="str" cm="1">
        <f t="array" ref="M656">IFERROR(_xlfn.XLOOKUP(C656&amp;A656, TDrate!F:F&amp;TDrate!H:H, TDrate!B:B), "N/A")</f>
        <v>N/A</v>
      </c>
      <c r="N656" t="str" cm="1">
        <f t="array" ref="N656">IFERROR(_xlfn.XLOOKUP(C656&amp;A656, TDrate!F:F&amp;TDrate!H:H, TDrate!D:D), "N/A")</f>
        <v>N/A</v>
      </c>
    </row>
    <row r="657" spans="1:14" x14ac:dyDescent="0.45">
      <c r="A657" s="8">
        <v>2022</v>
      </c>
      <c r="B657" s="9" t="s">
        <v>692</v>
      </c>
      <c r="C657" s="10" t="str">
        <f t="shared" si="20"/>
        <v>J.J. Taylor</v>
      </c>
      <c r="D657" s="10" t="str">
        <f t="shared" si="21"/>
        <v>NE</v>
      </c>
      <c r="E657" cm="1">
        <f t="array" aca="1" ref="E657" ca="1">IFERROR(_xlfn.XLOOKUP(C657&amp;A657, Inside5!B:B&amp;Inside5!I:I, Inside5!C:C), 0)</f>
        <v>1</v>
      </c>
      <c r="F657" cm="1">
        <f t="array" aca="1" ref="F657" ca="1">IFERROR(_xlfn.XLOOKUP(C657&amp;A657, Inside5!B:B&amp;Inside5!I:I, Inside5!D:D), 0)</f>
        <v>0</v>
      </c>
      <c r="G657" cm="1">
        <f t="array" ref="G657">IFERROR(_xlfn.XLOOKUP(C657&amp;A657, Inside5!B:B&amp;Inside5!I:I, Inside5!E:E), 0)</f>
        <v>5.6000000000000001E-2</v>
      </c>
      <c r="H657" t="str" cm="1">
        <f t="array" ref="H657">IFERROR(_xlfn.XLOOKUP(C657&amp;A657, TDrate!F:F&amp;TDrate!H:H, TDrate!C:C), "N/A")</f>
        <v>N/A</v>
      </c>
      <c r="I657" t="str" cm="1">
        <f t="array" ref="I657">IFERROR(_xlfn.XLOOKUP(C657&amp;A657, TDrate!F:F&amp;TDrate!H:H, TDrate!E:E), "N/A")</f>
        <v>N/A</v>
      </c>
      <c r="J657" cm="1">
        <f t="array" ref="J657">IFERROR(_xlfn.XLOOKUP(C657&amp;A657, Inside5!B:B&amp;Inside5!I:I, Inside5!F:F), 0)</f>
        <v>0</v>
      </c>
      <c r="K657" cm="1">
        <f t="array" ref="K657">IFERROR(_xlfn.XLOOKUP(C657&amp;A657, Inside5!B:B&amp;Inside5!I:I, Inside5!G:G), 0)</f>
        <v>0</v>
      </c>
      <c r="L657" cm="1">
        <f t="array" ref="L657">IFERROR(_xlfn.XLOOKUP(C657&amp;A657, Inside5!B:B&amp;Inside5!I:I, Inside5!H:H), 0)</f>
        <v>0</v>
      </c>
      <c r="M657" t="str" cm="1">
        <f t="array" ref="M657">IFERROR(_xlfn.XLOOKUP(C657&amp;A657, TDrate!F:F&amp;TDrate!H:H, TDrate!B:B), "N/A")</f>
        <v>N/A</v>
      </c>
      <c r="N657" t="str" cm="1">
        <f t="array" ref="N657">IFERROR(_xlfn.XLOOKUP(C657&amp;A657, TDrate!F:F&amp;TDrate!H:H, TDrate!D:D), "N/A")</f>
        <v>N/A</v>
      </c>
    </row>
    <row r="658" spans="1:14" x14ac:dyDescent="0.45">
      <c r="A658" s="5">
        <v>2022</v>
      </c>
      <c r="B658" s="6" t="s">
        <v>387</v>
      </c>
      <c r="C658" s="7" t="str">
        <f t="shared" si="20"/>
        <v>Jerome Ford</v>
      </c>
      <c r="D658" s="7" t="str">
        <f t="shared" si="21"/>
        <v>CLE</v>
      </c>
      <c r="E658" cm="1">
        <f t="array" aca="1" ref="E658" ca="1">IFERROR(_xlfn.XLOOKUP(C658&amp;A658, Inside5!B:B&amp;Inside5!I:I, Inside5!C:C), 0)</f>
        <v>0</v>
      </c>
      <c r="F658" cm="1">
        <f t="array" aca="1" ref="F658" ca="1">IFERROR(_xlfn.XLOOKUP(C658&amp;A658, Inside5!B:B&amp;Inside5!I:I, Inside5!D:D), 0)</f>
        <v>0</v>
      </c>
      <c r="G658" cm="1">
        <f t="array" ref="G658">IFERROR(_xlfn.XLOOKUP(C658&amp;A658, Inside5!B:B&amp;Inside5!I:I, Inside5!E:E), 0)</f>
        <v>0</v>
      </c>
      <c r="H658" t="str" cm="1">
        <f t="array" ref="H658">IFERROR(_xlfn.XLOOKUP(C658&amp;A658, TDrate!F:F&amp;TDrate!H:H, TDrate!C:C), "N/A")</f>
        <v>N/A</v>
      </c>
      <c r="I658" t="str" cm="1">
        <f t="array" ref="I658">IFERROR(_xlfn.XLOOKUP(C658&amp;A658, TDrate!F:F&amp;TDrate!H:H, TDrate!E:E), "N/A")</f>
        <v>N/A</v>
      </c>
      <c r="J658" cm="1">
        <f t="array" ref="J658">IFERROR(_xlfn.XLOOKUP(C658&amp;A658, Inside5!B:B&amp;Inside5!I:I, Inside5!F:F), 0)</f>
        <v>0</v>
      </c>
      <c r="K658" cm="1">
        <f t="array" ref="K658">IFERROR(_xlfn.XLOOKUP(C658&amp;A658, Inside5!B:B&amp;Inside5!I:I, Inside5!G:G), 0)</f>
        <v>0</v>
      </c>
      <c r="L658" cm="1">
        <f t="array" ref="L658">IFERROR(_xlfn.XLOOKUP(C658&amp;A658, Inside5!B:B&amp;Inside5!I:I, Inside5!H:H), 0)</f>
        <v>0</v>
      </c>
      <c r="M658" t="str" cm="1">
        <f t="array" ref="M658">IFERROR(_xlfn.XLOOKUP(C658&amp;A658, TDrate!F:F&amp;TDrate!H:H, TDrate!B:B), "N/A")</f>
        <v>N/A</v>
      </c>
      <c r="N658" t="str" cm="1">
        <f t="array" ref="N658">IFERROR(_xlfn.XLOOKUP(C658&amp;A658, TDrate!F:F&amp;TDrate!H:H, TDrate!D:D), "N/A")</f>
        <v>N/A</v>
      </c>
    </row>
    <row r="659" spans="1:14" x14ac:dyDescent="0.45">
      <c r="A659" s="8">
        <v>2022</v>
      </c>
      <c r="B659" s="9" t="s">
        <v>596</v>
      </c>
      <c r="C659" s="10" t="str">
        <f t="shared" si="20"/>
        <v>Keith Smith</v>
      </c>
      <c r="D659" s="10" t="str">
        <f t="shared" si="21"/>
        <v>ATL</v>
      </c>
      <c r="E659" cm="1">
        <f t="array" ref="E659">IFERROR(_xlfn.XLOOKUP(C659&amp;A659, Inside5!B:B&amp;Inside5!I:I, Inside5!C:C), 0)</f>
        <v>0</v>
      </c>
      <c r="F659" cm="1">
        <f t="array" ref="F659">IFERROR(_xlfn.XLOOKUP(C659&amp;A659, Inside5!B:B&amp;Inside5!I:I, Inside5!D:D), 0)</f>
        <v>0</v>
      </c>
      <c r="G659" cm="1">
        <f t="array" ref="G659">IFERROR(_xlfn.XLOOKUP(C659&amp;A659, Inside5!B:B&amp;Inside5!I:I, Inside5!E:E), 0)</f>
        <v>0</v>
      </c>
      <c r="H659" t="str" cm="1">
        <f t="array" ref="H659">IFERROR(_xlfn.XLOOKUP(C659&amp;A659, TDrate!F:F&amp;TDrate!H:H, TDrate!C:C), "N/A")</f>
        <v>N/A</v>
      </c>
      <c r="I659" t="str" cm="1">
        <f t="array" ref="I659">IFERROR(_xlfn.XLOOKUP(C659&amp;A659, TDrate!F:F&amp;TDrate!H:H, TDrate!E:E), "N/A")</f>
        <v>N/A</v>
      </c>
      <c r="J659" cm="1">
        <f t="array" ref="J659">IFERROR(_xlfn.XLOOKUP(C659&amp;A659, Inside5!B:B&amp;Inside5!I:I, Inside5!F:F), 0)</f>
        <v>0</v>
      </c>
      <c r="K659" cm="1">
        <f t="array" ref="K659">IFERROR(_xlfn.XLOOKUP(C659&amp;A659, Inside5!B:B&amp;Inside5!I:I, Inside5!G:G), 0)</f>
        <v>1</v>
      </c>
      <c r="L659" cm="1">
        <f t="array" ref="L659">IFERROR(_xlfn.XLOOKUP(C659&amp;A659, Inside5!B:B&amp;Inside5!I:I, Inside5!H:H), 0)</f>
        <v>0</v>
      </c>
      <c r="M659" t="str" cm="1">
        <f t="array" ref="M659">IFERROR(_xlfn.XLOOKUP(C659&amp;A659, TDrate!F:F&amp;TDrate!H:H, TDrate!B:B), "N/A")</f>
        <v>N/A</v>
      </c>
      <c r="N659" t="str" cm="1">
        <f t="array" ref="N659">IFERROR(_xlfn.XLOOKUP(C659&amp;A659, TDrate!F:F&amp;TDrate!H:H, TDrate!D:D), "N/A")</f>
        <v>N/A</v>
      </c>
    </row>
    <row r="660" spans="1:14" x14ac:dyDescent="0.45">
      <c r="A660" s="5">
        <v>2022</v>
      </c>
      <c r="B660" s="6" t="s">
        <v>608</v>
      </c>
      <c r="C660" s="7" t="str">
        <f t="shared" si="20"/>
        <v>Jakob Johnson</v>
      </c>
      <c r="D660" s="7" t="str">
        <f t="shared" si="21"/>
        <v>LV</v>
      </c>
      <c r="E660" cm="1">
        <f t="array" ref="E660">IFERROR(_xlfn.XLOOKUP(C660&amp;A660, Inside5!B:B&amp;Inside5!I:I, Inside5!C:C), 0)</f>
        <v>0</v>
      </c>
      <c r="F660" cm="1">
        <f t="array" ref="F660">IFERROR(_xlfn.XLOOKUP(C660&amp;A660, Inside5!B:B&amp;Inside5!I:I, Inside5!D:D), 0)</f>
        <v>0</v>
      </c>
      <c r="G660" cm="1">
        <f t="array" ref="G660">IFERROR(_xlfn.XLOOKUP(C660&amp;A660, Inside5!B:B&amp;Inside5!I:I, Inside5!E:E), 0)</f>
        <v>0</v>
      </c>
      <c r="H660" t="str" cm="1">
        <f t="array" ref="H660">IFERROR(_xlfn.XLOOKUP(C660&amp;A660, TDrate!F:F&amp;TDrate!H:H, TDrate!C:C), "N/A")</f>
        <v>N/A</v>
      </c>
      <c r="I660" t="str" cm="1">
        <f t="array" ref="I660">IFERROR(_xlfn.XLOOKUP(C660&amp;A660, TDrate!F:F&amp;TDrate!H:H, TDrate!E:E), "N/A")</f>
        <v>N/A</v>
      </c>
      <c r="J660" cm="1">
        <f t="array" ref="J660">IFERROR(_xlfn.XLOOKUP(C660&amp;A660, Inside5!B:B&amp;Inside5!I:I, Inside5!F:F), 0)</f>
        <v>0</v>
      </c>
      <c r="K660" cm="1">
        <f t="array" ref="K660">IFERROR(_xlfn.XLOOKUP(C660&amp;A660, Inside5!B:B&amp;Inside5!I:I, Inside5!G:G), 0)</f>
        <v>0</v>
      </c>
      <c r="L660" cm="1">
        <f t="array" ref="L660">IFERROR(_xlfn.XLOOKUP(C660&amp;A660, Inside5!B:B&amp;Inside5!I:I, Inside5!H:H), 0)</f>
        <v>0</v>
      </c>
      <c r="M660" t="str" cm="1">
        <f t="array" ref="M660">IFERROR(_xlfn.XLOOKUP(C660&amp;A660, TDrate!F:F&amp;TDrate!H:H, TDrate!B:B), "N/A")</f>
        <v>N/A</v>
      </c>
      <c r="N660" t="str" cm="1">
        <f t="array" ref="N660">IFERROR(_xlfn.XLOOKUP(C660&amp;A660, TDrate!F:F&amp;TDrate!H:H, TDrate!D:D), "N/A")</f>
        <v>N/A</v>
      </c>
    </row>
    <row r="661" spans="1:14" x14ac:dyDescent="0.45">
      <c r="A661" s="8">
        <v>2022</v>
      </c>
      <c r="B661" s="9" t="s">
        <v>693</v>
      </c>
      <c r="C661" s="10" t="str">
        <f t="shared" si="20"/>
        <v>Reggie Bonnafon</v>
      </c>
      <c r="D661" s="10" t="str">
        <f t="shared" si="21"/>
        <v>WAS</v>
      </c>
      <c r="E661" cm="1">
        <f t="array" aca="1" ref="E661" ca="1">IFERROR(_xlfn.XLOOKUP(C661&amp;A661, Inside5!B:B&amp;Inside5!I:I, Inside5!C:C), 0)</f>
        <v>0</v>
      </c>
      <c r="F661" cm="1">
        <f t="array" aca="1" ref="F661" ca="1">IFERROR(_xlfn.XLOOKUP(C661&amp;A661, Inside5!B:B&amp;Inside5!I:I, Inside5!D:D), 0)</f>
        <v>0</v>
      </c>
      <c r="G661" cm="1">
        <f t="array" ref="G661">IFERROR(_xlfn.XLOOKUP(C661&amp;A661, Inside5!B:B&amp;Inside5!I:I, Inside5!E:E), 0)</f>
        <v>0</v>
      </c>
      <c r="H661" t="str" cm="1">
        <f t="array" ref="H661">IFERROR(_xlfn.XLOOKUP(C661&amp;A661, TDrate!F:F&amp;TDrate!H:H, TDrate!C:C), "N/A")</f>
        <v>N/A</v>
      </c>
      <c r="I661" t="str" cm="1">
        <f t="array" ref="I661">IFERROR(_xlfn.XLOOKUP(C661&amp;A661, TDrate!F:F&amp;TDrate!H:H, TDrate!E:E), "N/A")</f>
        <v>N/A</v>
      </c>
      <c r="J661" cm="1">
        <f t="array" ref="J661">IFERROR(_xlfn.XLOOKUP(C661&amp;A661, Inside5!B:B&amp;Inside5!I:I, Inside5!F:F), 0)</f>
        <v>0</v>
      </c>
      <c r="K661" cm="1">
        <f t="array" ref="K661">IFERROR(_xlfn.XLOOKUP(C661&amp;A661, Inside5!B:B&amp;Inside5!I:I, Inside5!G:G), 0)</f>
        <v>0</v>
      </c>
      <c r="L661" cm="1">
        <f t="array" ref="L661">IFERROR(_xlfn.XLOOKUP(C661&amp;A661, Inside5!B:B&amp;Inside5!I:I, Inside5!H:H), 0)</f>
        <v>0</v>
      </c>
      <c r="M661" t="str" cm="1">
        <f t="array" ref="M661">IFERROR(_xlfn.XLOOKUP(C661&amp;A661, TDrate!F:F&amp;TDrate!H:H, TDrate!B:B), "N/A")</f>
        <v>N/A</v>
      </c>
      <c r="N661" t="str" cm="1">
        <f t="array" ref="N661">IFERROR(_xlfn.XLOOKUP(C661&amp;A661, TDrate!F:F&amp;TDrate!H:H, TDrate!D:D), "N/A")</f>
        <v>N/A</v>
      </c>
    </row>
    <row r="662" spans="1:14" x14ac:dyDescent="0.45">
      <c r="A662" s="5">
        <v>2022</v>
      </c>
      <c r="B662" s="6" t="s">
        <v>694</v>
      </c>
      <c r="C662" s="7" t="str">
        <f t="shared" si="20"/>
        <v>Godwin Igwebuike</v>
      </c>
      <c r="D662" s="7" t="str">
        <f t="shared" si="21"/>
        <v>SEA</v>
      </c>
      <c r="E662" cm="1">
        <f t="array" aca="1" ref="E662" ca="1">IFERROR(_xlfn.XLOOKUP(C662&amp;A662, Inside5!B:B&amp;Inside5!I:I, Inside5!C:C), 0)</f>
        <v>0</v>
      </c>
      <c r="F662" cm="1">
        <f t="array" aca="1" ref="F662" ca="1">IFERROR(_xlfn.XLOOKUP(C662&amp;A662, Inside5!B:B&amp;Inside5!I:I, Inside5!D:D), 0)</f>
        <v>0</v>
      </c>
      <c r="G662" cm="1">
        <f t="array" ref="G662">IFERROR(_xlfn.XLOOKUP(C662&amp;A662, Inside5!B:B&amp;Inside5!I:I, Inside5!E:E), 0)</f>
        <v>0</v>
      </c>
      <c r="H662" t="str" cm="1">
        <f t="array" ref="H662">IFERROR(_xlfn.XLOOKUP(C662&amp;A662, TDrate!F:F&amp;TDrate!H:H, TDrate!C:C), "N/A")</f>
        <v>N/A</v>
      </c>
      <c r="I662" t="str" cm="1">
        <f t="array" ref="I662">IFERROR(_xlfn.XLOOKUP(C662&amp;A662, TDrate!F:F&amp;TDrate!H:H, TDrate!E:E), "N/A")</f>
        <v>N/A</v>
      </c>
      <c r="J662" cm="1">
        <f t="array" ref="J662">IFERROR(_xlfn.XLOOKUP(C662&amp;A662, Inside5!B:B&amp;Inside5!I:I, Inside5!F:F), 0)</f>
        <v>0</v>
      </c>
      <c r="K662" cm="1">
        <f t="array" aca="1" ref="K662" ca="1">IFERROR(_xlfn.XLOOKUP(C662&amp;A662, Inside5!B:B&amp;Inside5!I:I, Inside5!G:G), 0)</f>
        <v>0</v>
      </c>
      <c r="L662" cm="1">
        <f t="array" ref="L662">IFERROR(_xlfn.XLOOKUP(C662&amp;A662, Inside5!B:B&amp;Inside5!I:I, Inside5!H:H), 0)</f>
        <v>0</v>
      </c>
      <c r="M662" t="str" cm="1">
        <f t="array" ref="M662">IFERROR(_xlfn.XLOOKUP(C662&amp;A662, TDrate!F:F&amp;TDrate!H:H, TDrate!B:B), "N/A")</f>
        <v>N/A</v>
      </c>
      <c r="N662" t="str" cm="1">
        <f t="array" ref="N662">IFERROR(_xlfn.XLOOKUP(C662&amp;A662, TDrate!F:F&amp;TDrate!H:H, TDrate!D:D), "N/A")</f>
        <v>N/A</v>
      </c>
    </row>
    <row r="663" spans="1:14" x14ac:dyDescent="0.45">
      <c r="A663" s="8">
        <v>2022</v>
      </c>
      <c r="B663" s="9" t="s">
        <v>695</v>
      </c>
      <c r="C663" s="10" t="str">
        <f t="shared" si="20"/>
        <v>Devine Ozigbo</v>
      </c>
      <c r="D663" s="10" t="str">
        <f t="shared" si="21"/>
        <v>DEN</v>
      </c>
      <c r="E663" cm="1">
        <f t="array" ref="E663">IFERROR(_xlfn.XLOOKUP(C663&amp;A663, Inside5!B:B&amp;Inside5!I:I, Inside5!C:C), 0)</f>
        <v>0</v>
      </c>
      <c r="F663" cm="1">
        <f t="array" ref="F663">IFERROR(_xlfn.XLOOKUP(C663&amp;A663, Inside5!B:B&amp;Inside5!I:I, Inside5!D:D), 0)</f>
        <v>0</v>
      </c>
      <c r="G663" cm="1">
        <f t="array" ref="G663">IFERROR(_xlfn.XLOOKUP(C663&amp;A663, Inside5!B:B&amp;Inside5!I:I, Inside5!E:E), 0)</f>
        <v>0</v>
      </c>
      <c r="H663" t="str" cm="1">
        <f t="array" ref="H663">IFERROR(_xlfn.XLOOKUP(C663&amp;A663, TDrate!F:F&amp;TDrate!H:H, TDrate!C:C), "N/A")</f>
        <v>N/A</v>
      </c>
      <c r="I663" t="str" cm="1">
        <f t="array" ref="I663">IFERROR(_xlfn.XLOOKUP(C663&amp;A663, TDrate!F:F&amp;TDrate!H:H, TDrate!E:E), "N/A")</f>
        <v>N/A</v>
      </c>
      <c r="J663" cm="1">
        <f t="array" ref="J663">IFERROR(_xlfn.XLOOKUP(C663&amp;A663, Inside5!B:B&amp;Inside5!I:I, Inside5!F:F), 0)</f>
        <v>0</v>
      </c>
      <c r="K663" cm="1">
        <f t="array" aca="1" ref="K663" ca="1">IFERROR(_xlfn.XLOOKUP(C663&amp;A663, Inside5!B:B&amp;Inside5!I:I, Inside5!G:G), 0)</f>
        <v>0</v>
      </c>
      <c r="L663" cm="1">
        <f t="array" ref="L663">IFERROR(_xlfn.XLOOKUP(C663&amp;A663, Inside5!B:B&amp;Inside5!I:I, Inside5!H:H), 0)</f>
        <v>0</v>
      </c>
      <c r="M663" t="str" cm="1">
        <f t="array" ref="M663">IFERROR(_xlfn.XLOOKUP(C663&amp;A663, TDrate!F:F&amp;TDrate!H:H, TDrate!B:B), "N/A")</f>
        <v>N/A</v>
      </c>
      <c r="N663" t="str" cm="1">
        <f t="array" ref="N663">IFERROR(_xlfn.XLOOKUP(C663&amp;A663, TDrate!F:F&amp;TDrate!H:H, TDrate!D:D), "N/A")</f>
        <v>N/A</v>
      </c>
    </row>
    <row r="664" spans="1:14" x14ac:dyDescent="0.45">
      <c r="A664" s="5">
        <v>2022</v>
      </c>
      <c r="B664" s="6" t="s">
        <v>696</v>
      </c>
      <c r="C664" s="7" t="str">
        <f t="shared" si="20"/>
        <v>Kylin Hill</v>
      </c>
      <c r="D664" s="7" t="str">
        <f t="shared" si="21"/>
        <v>GB</v>
      </c>
      <c r="E664" cm="1">
        <f t="array" aca="1" ref="E664" ca="1">IFERROR(_xlfn.XLOOKUP(C664&amp;A664, Inside5!B:B&amp;Inside5!I:I, Inside5!C:C), 0)</f>
        <v>0</v>
      </c>
      <c r="F664" cm="1">
        <f t="array" aca="1" ref="F664" ca="1">IFERROR(_xlfn.XLOOKUP(C664&amp;A664, Inside5!B:B&amp;Inside5!I:I, Inside5!D:D), 0)</f>
        <v>0</v>
      </c>
      <c r="G664" cm="1">
        <f t="array" ref="G664">IFERROR(_xlfn.XLOOKUP(C664&amp;A664, Inside5!B:B&amp;Inside5!I:I, Inside5!E:E), 0)</f>
        <v>0</v>
      </c>
      <c r="H664" t="str" cm="1">
        <f t="array" ref="H664">IFERROR(_xlfn.XLOOKUP(C664&amp;A664, TDrate!F:F&amp;TDrate!H:H, TDrate!C:C), "N/A")</f>
        <v>N/A</v>
      </c>
      <c r="I664" t="str" cm="1">
        <f t="array" ref="I664">IFERROR(_xlfn.XLOOKUP(C664&amp;A664, TDrate!F:F&amp;TDrate!H:H, TDrate!E:E), "N/A")</f>
        <v>N/A</v>
      </c>
      <c r="J664" cm="1">
        <f t="array" ref="J664">IFERROR(_xlfn.XLOOKUP(C664&amp;A664, Inside5!B:B&amp;Inside5!I:I, Inside5!F:F), 0)</f>
        <v>0</v>
      </c>
      <c r="K664" cm="1">
        <f t="array" ref="K664">IFERROR(_xlfn.XLOOKUP(C664&amp;A664, Inside5!B:B&amp;Inside5!I:I, Inside5!G:G), 0)</f>
        <v>0</v>
      </c>
      <c r="L664" cm="1">
        <f t="array" ref="L664">IFERROR(_xlfn.XLOOKUP(C664&amp;A664, Inside5!B:B&amp;Inside5!I:I, Inside5!H:H), 0)</f>
        <v>0</v>
      </c>
      <c r="M664" t="str" cm="1">
        <f t="array" ref="M664">IFERROR(_xlfn.XLOOKUP(C664&amp;A664, TDrate!F:F&amp;TDrate!H:H, TDrate!B:B), "N/A")</f>
        <v>N/A</v>
      </c>
      <c r="N664" t="str" cm="1">
        <f t="array" ref="N664">IFERROR(_xlfn.XLOOKUP(C664&amp;A664, TDrate!F:F&amp;TDrate!H:H, TDrate!D:D), "N/A")</f>
        <v>N/A</v>
      </c>
    </row>
    <row r="665" spans="1:14" x14ac:dyDescent="0.45">
      <c r="A665" s="8">
        <v>2022</v>
      </c>
      <c r="B665" s="9" t="s">
        <v>697</v>
      </c>
      <c r="C665" s="10" t="str">
        <f t="shared" si="20"/>
        <v>Ty'Son Williams</v>
      </c>
      <c r="D665" s="10" t="str">
        <f t="shared" si="21"/>
        <v>ARI</v>
      </c>
      <c r="E665" cm="1">
        <f t="array" ref="E665">IFERROR(_xlfn.XLOOKUP(C665&amp;A665, Inside5!B:B&amp;Inside5!I:I, Inside5!C:C), 0)</f>
        <v>0</v>
      </c>
      <c r="F665" cm="1">
        <f t="array" ref="F665">IFERROR(_xlfn.XLOOKUP(C665&amp;A665, Inside5!B:B&amp;Inside5!I:I, Inside5!D:D), 0)</f>
        <v>0</v>
      </c>
      <c r="G665" cm="1">
        <f t="array" ref="G665">IFERROR(_xlfn.XLOOKUP(C665&amp;A665, Inside5!B:B&amp;Inside5!I:I, Inside5!E:E), 0)</f>
        <v>0</v>
      </c>
      <c r="H665" t="str" cm="1">
        <f t="array" ref="H665">IFERROR(_xlfn.XLOOKUP(C665&amp;A665, TDrate!F:F&amp;TDrate!H:H, TDrate!C:C), "N/A")</f>
        <v>N/A</v>
      </c>
      <c r="I665" t="str" cm="1">
        <f t="array" ref="I665">IFERROR(_xlfn.XLOOKUP(C665&amp;A665, TDrate!F:F&amp;TDrate!H:H, TDrate!E:E), "N/A")</f>
        <v>N/A</v>
      </c>
      <c r="J665" cm="1">
        <f t="array" ref="J665">IFERROR(_xlfn.XLOOKUP(C665&amp;A665, Inside5!B:B&amp;Inside5!I:I, Inside5!F:F), 0)</f>
        <v>0</v>
      </c>
      <c r="K665" cm="1">
        <f t="array" ref="K665">IFERROR(_xlfn.XLOOKUP(C665&amp;A665, Inside5!B:B&amp;Inside5!I:I, Inside5!G:G), 0)</f>
        <v>0</v>
      </c>
      <c r="L665" cm="1">
        <f t="array" ref="L665">IFERROR(_xlfn.XLOOKUP(C665&amp;A665, Inside5!B:B&amp;Inside5!I:I, Inside5!H:H), 0)</f>
        <v>0</v>
      </c>
      <c r="M665" t="str" cm="1">
        <f t="array" ref="M665">IFERROR(_xlfn.XLOOKUP(C665&amp;A665, TDrate!F:F&amp;TDrate!H:H, TDrate!B:B), "N/A")</f>
        <v>N/A</v>
      </c>
      <c r="N665" t="str" cm="1">
        <f t="array" ref="N665">IFERROR(_xlfn.XLOOKUP(C665&amp;A665, TDrate!F:F&amp;TDrate!H:H, TDrate!D:D), "N/A")</f>
        <v>N/A</v>
      </c>
    </row>
    <row r="666" spans="1:14" x14ac:dyDescent="0.45">
      <c r="A666" s="5">
        <v>2022</v>
      </c>
      <c r="B666" s="6" t="s">
        <v>698</v>
      </c>
      <c r="C666" s="7" t="str">
        <f t="shared" si="20"/>
        <v>Duke Johnson Jr.</v>
      </c>
      <c r="D666" s="7" t="str">
        <f t="shared" si="21"/>
        <v>BUF</v>
      </c>
      <c r="E666" cm="1">
        <f t="array" aca="1" ref="E666" ca="1">IFERROR(_xlfn.XLOOKUP(C666&amp;A666, Inside5!B:B&amp;Inside5!I:I, Inside5!C:C), 0)</f>
        <v>0</v>
      </c>
      <c r="F666" cm="1">
        <f t="array" ref="F666">IFERROR(_xlfn.XLOOKUP(C666&amp;A666, Inside5!B:B&amp;Inside5!I:I, Inside5!D:D), 0)</f>
        <v>0</v>
      </c>
      <c r="G666" cm="1">
        <f t="array" ref="G666">IFERROR(_xlfn.XLOOKUP(C666&amp;A666, Inside5!B:B&amp;Inside5!I:I, Inside5!E:E), 0)</f>
        <v>0</v>
      </c>
      <c r="H666" t="str" cm="1">
        <f t="array" ref="H666">IFERROR(_xlfn.XLOOKUP(C666&amp;A666, TDrate!F:F&amp;TDrate!H:H, TDrate!C:C), "N/A")</f>
        <v>N/A</v>
      </c>
      <c r="I666" t="str" cm="1">
        <f t="array" ref="I666">IFERROR(_xlfn.XLOOKUP(C666&amp;A666, TDrate!F:F&amp;TDrate!H:H, TDrate!E:E), "N/A")</f>
        <v>N/A</v>
      </c>
      <c r="J666" cm="1">
        <f t="array" ref="J666">IFERROR(_xlfn.XLOOKUP(C666&amp;A666, Inside5!B:B&amp;Inside5!I:I, Inside5!F:F), 0)</f>
        <v>0</v>
      </c>
      <c r="K666" cm="1">
        <f t="array" ref="K666">IFERROR(_xlfn.XLOOKUP(C666&amp;A666, Inside5!B:B&amp;Inside5!I:I, Inside5!G:G), 0)</f>
        <v>0</v>
      </c>
      <c r="L666" cm="1">
        <f t="array" ref="L666">IFERROR(_xlfn.XLOOKUP(C666&amp;A666, Inside5!B:B&amp;Inside5!I:I, Inside5!H:H), 0)</f>
        <v>0</v>
      </c>
      <c r="M666" t="str" cm="1">
        <f t="array" ref="M666">IFERROR(_xlfn.XLOOKUP(C666&amp;A666, TDrate!F:F&amp;TDrate!H:H, TDrate!B:B), "N/A")</f>
        <v>N/A</v>
      </c>
      <c r="N666" t="str" cm="1">
        <f t="array" ref="N666">IFERROR(_xlfn.XLOOKUP(C666&amp;A666, TDrate!F:F&amp;TDrate!H:H, TDrate!D:D), "N/A")</f>
        <v>N/A</v>
      </c>
    </row>
    <row r="667" spans="1:14" x14ac:dyDescent="0.45">
      <c r="A667" s="8">
        <v>2022</v>
      </c>
      <c r="B667" s="9" t="s">
        <v>699</v>
      </c>
      <c r="C667" s="10" t="str">
        <f t="shared" si="20"/>
        <v>Demetric Felton Jr.</v>
      </c>
      <c r="D667" s="10" t="str">
        <f t="shared" si="21"/>
        <v>CLE</v>
      </c>
      <c r="E667" cm="1">
        <f t="array" ref="E667">IFERROR(_xlfn.XLOOKUP(C667&amp;A667, Inside5!B:B&amp;Inside5!I:I, Inside5!C:C), 0)</f>
        <v>0</v>
      </c>
      <c r="F667" cm="1">
        <f t="array" aca="1" ref="F667" ca="1">IFERROR(_xlfn.XLOOKUP(C667&amp;A667, Inside5!B:B&amp;Inside5!I:I, Inside5!D:D), 0)</f>
        <v>0</v>
      </c>
      <c r="G667" cm="1">
        <f t="array" ref="G667">IFERROR(_xlfn.XLOOKUP(C667&amp;A667, Inside5!B:B&amp;Inside5!I:I, Inside5!E:E), 0)</f>
        <v>0</v>
      </c>
      <c r="H667" t="str" cm="1">
        <f t="array" ref="H667">IFERROR(_xlfn.XLOOKUP(C667&amp;A667, TDrate!F:F&amp;TDrate!H:H, TDrate!C:C), "N/A")</f>
        <v>N/A</v>
      </c>
      <c r="I667" t="str" cm="1">
        <f t="array" ref="I667">IFERROR(_xlfn.XLOOKUP(C667&amp;A667, TDrate!F:F&amp;TDrate!H:H, TDrate!E:E), "N/A")</f>
        <v>N/A</v>
      </c>
      <c r="J667" cm="1">
        <f t="array" ref="J667">IFERROR(_xlfn.XLOOKUP(C667&amp;A667, Inside5!B:B&amp;Inside5!I:I, Inside5!F:F), 0)</f>
        <v>0</v>
      </c>
      <c r="K667" cm="1">
        <f t="array" ref="K667">IFERROR(_xlfn.XLOOKUP(C667&amp;A667, Inside5!B:B&amp;Inside5!I:I, Inside5!G:G), 0)</f>
        <v>0</v>
      </c>
      <c r="L667" cm="1">
        <f t="array" ref="L667">IFERROR(_xlfn.XLOOKUP(C667&amp;A667, Inside5!B:B&amp;Inside5!I:I, Inside5!H:H), 0)</f>
        <v>0</v>
      </c>
      <c r="M667" t="str" cm="1">
        <f t="array" ref="M667">IFERROR(_xlfn.XLOOKUP(C667&amp;A667, TDrate!F:F&amp;TDrate!H:H, TDrate!B:B), "N/A")</f>
        <v>N/A</v>
      </c>
      <c r="N667" t="str" cm="1">
        <f t="array" ref="N667">IFERROR(_xlfn.XLOOKUP(C667&amp;A667, TDrate!F:F&amp;TDrate!H:H, TDrate!D:D), "N/A")</f>
        <v>N/A</v>
      </c>
    </row>
    <row r="668" spans="1:14" x14ac:dyDescent="0.45">
      <c r="A668" s="5">
        <v>2022</v>
      </c>
      <c r="B668" s="6" t="s">
        <v>700</v>
      </c>
      <c r="C668" s="7" t="str">
        <f t="shared" si="20"/>
        <v>Damien Williams</v>
      </c>
      <c r="D668" s="7" t="str">
        <f t="shared" si="21"/>
        <v>ATL</v>
      </c>
      <c r="E668" cm="1">
        <f t="array" ref="E668">IFERROR(_xlfn.XLOOKUP(C668&amp;A668, Inside5!B:B&amp;Inside5!I:I, Inside5!C:C), 0)</f>
        <v>0</v>
      </c>
      <c r="F668" cm="1">
        <f t="array" aca="1" ref="F668" ca="1">IFERROR(_xlfn.XLOOKUP(C668&amp;A668, Inside5!B:B&amp;Inside5!I:I, Inside5!D:D), 0)</f>
        <v>0</v>
      </c>
      <c r="G668" cm="1">
        <f t="array" ref="G668">IFERROR(_xlfn.XLOOKUP(C668&amp;A668, Inside5!B:B&amp;Inside5!I:I, Inside5!E:E), 0)</f>
        <v>0</v>
      </c>
      <c r="H668" t="str" cm="1">
        <f t="array" ref="H668">IFERROR(_xlfn.XLOOKUP(C668&amp;A668, TDrate!F:F&amp;TDrate!H:H, TDrate!C:C), "N/A")</f>
        <v>N/A</v>
      </c>
      <c r="I668" t="str" cm="1">
        <f t="array" ref="I668">IFERROR(_xlfn.XLOOKUP(C668&amp;A668, TDrate!F:F&amp;TDrate!H:H, TDrate!E:E), "N/A")</f>
        <v>N/A</v>
      </c>
      <c r="J668" cm="1">
        <f t="array" ref="J668">IFERROR(_xlfn.XLOOKUP(C668&amp;A668, Inside5!B:B&amp;Inside5!I:I, Inside5!F:F), 0)</f>
        <v>0</v>
      </c>
      <c r="K668" cm="1">
        <f t="array" ref="K668">IFERROR(_xlfn.XLOOKUP(C668&amp;A668, Inside5!B:B&amp;Inside5!I:I, Inside5!G:G), 0)</f>
        <v>0</v>
      </c>
      <c r="L668" cm="1">
        <f t="array" ref="L668">IFERROR(_xlfn.XLOOKUP(C668&amp;A668, Inside5!B:B&amp;Inside5!I:I, Inside5!H:H), 0)</f>
        <v>0</v>
      </c>
      <c r="M668" t="str" cm="1">
        <f t="array" ref="M668">IFERROR(_xlfn.XLOOKUP(C668&amp;A668, TDrate!F:F&amp;TDrate!H:H, TDrate!B:B), "N/A")</f>
        <v>N/A</v>
      </c>
      <c r="N668" t="str" cm="1">
        <f t="array" ref="N668">IFERROR(_xlfn.XLOOKUP(C668&amp;A668, TDrate!F:F&amp;TDrate!H:H, TDrate!D:D), "N/A")</f>
        <v>N/A</v>
      </c>
    </row>
    <row r="669" spans="1:14" x14ac:dyDescent="0.45">
      <c r="A669" s="8">
        <v>2022</v>
      </c>
      <c r="B669" s="9" t="s">
        <v>701</v>
      </c>
      <c r="C669" s="10" t="str">
        <f t="shared" si="20"/>
        <v>Jordan Howard</v>
      </c>
      <c r="D669" s="10" t="str">
        <f t="shared" si="21"/>
        <v>NO</v>
      </c>
      <c r="E669" cm="1">
        <f t="array" ref="E669">IFERROR(_xlfn.XLOOKUP(C669&amp;A669, Inside5!B:B&amp;Inside5!I:I, Inside5!C:C), 0)</f>
        <v>0</v>
      </c>
      <c r="F669" cm="1">
        <f t="array" ref="F669">IFERROR(_xlfn.XLOOKUP(C669&amp;A669, Inside5!B:B&amp;Inside5!I:I, Inside5!D:D), 0)</f>
        <v>0</v>
      </c>
      <c r="G669" cm="1">
        <f t="array" ref="G669">IFERROR(_xlfn.XLOOKUP(C669&amp;A669, Inside5!B:B&amp;Inside5!I:I, Inside5!E:E), 0)</f>
        <v>0</v>
      </c>
      <c r="H669" t="str" cm="1">
        <f t="array" ref="H669">IFERROR(_xlfn.XLOOKUP(C669&amp;A669, TDrate!F:F&amp;TDrate!H:H, TDrate!C:C), "N/A")</f>
        <v>N/A</v>
      </c>
      <c r="I669" t="str" cm="1">
        <f t="array" ref="I669">IFERROR(_xlfn.XLOOKUP(C669&amp;A669, TDrate!F:F&amp;TDrate!H:H, TDrate!E:E), "N/A")</f>
        <v>N/A</v>
      </c>
      <c r="J669" cm="1">
        <f t="array" ref="J669">IFERROR(_xlfn.XLOOKUP(C669&amp;A669, Inside5!B:B&amp;Inside5!I:I, Inside5!F:F), 0)</f>
        <v>0</v>
      </c>
      <c r="K669" cm="1">
        <f t="array" ref="K669">IFERROR(_xlfn.XLOOKUP(C669&amp;A669, Inside5!B:B&amp;Inside5!I:I, Inside5!G:G), 0)</f>
        <v>0</v>
      </c>
      <c r="L669" cm="1">
        <f t="array" ref="L669">IFERROR(_xlfn.XLOOKUP(C669&amp;A669, Inside5!B:B&amp;Inside5!I:I, Inside5!H:H), 0)</f>
        <v>0</v>
      </c>
      <c r="M669" t="str" cm="1">
        <f t="array" ref="M669">IFERROR(_xlfn.XLOOKUP(C669&amp;A669, TDrate!F:F&amp;TDrate!H:H, TDrate!B:B), "N/A")</f>
        <v>N/A</v>
      </c>
      <c r="N669" t="str" cm="1">
        <f t="array" ref="N669">IFERROR(_xlfn.XLOOKUP(C669&amp;A669, TDrate!F:F&amp;TDrate!H:H, TDrate!D:D), "N/A")</f>
        <v>N/A</v>
      </c>
    </row>
    <row r="670" spans="1:14" x14ac:dyDescent="0.45">
      <c r="A670" s="5">
        <v>2022</v>
      </c>
      <c r="B670" s="6" t="s">
        <v>702</v>
      </c>
      <c r="C670" s="7" t="str">
        <f t="shared" si="20"/>
        <v>Kenjon Barner</v>
      </c>
      <c r="D670" s="7" t="str">
        <f t="shared" si="21"/>
        <v>TB</v>
      </c>
      <c r="E670" cm="1">
        <f t="array" aca="1" ref="E670" ca="1">IFERROR(_xlfn.XLOOKUP(C670&amp;A670, Inside5!B:B&amp;Inside5!I:I, Inside5!C:C), 0)</f>
        <v>0</v>
      </c>
      <c r="F670" cm="1">
        <f t="array" aca="1" ref="F670" ca="1">IFERROR(_xlfn.XLOOKUP(C670&amp;A670, Inside5!B:B&amp;Inside5!I:I, Inside5!D:D), 0)</f>
        <v>0</v>
      </c>
      <c r="G670" cm="1">
        <f t="array" ref="G670">IFERROR(_xlfn.XLOOKUP(C670&amp;A670, Inside5!B:B&amp;Inside5!I:I, Inside5!E:E), 0)</f>
        <v>0</v>
      </c>
      <c r="H670" t="str" cm="1">
        <f t="array" ref="H670">IFERROR(_xlfn.XLOOKUP(C670&amp;A670, TDrate!F:F&amp;TDrate!H:H, TDrate!C:C), "N/A")</f>
        <v>N/A</v>
      </c>
      <c r="I670" t="str" cm="1">
        <f t="array" ref="I670">IFERROR(_xlfn.XLOOKUP(C670&amp;A670, TDrate!F:F&amp;TDrate!H:H, TDrate!E:E), "N/A")</f>
        <v>N/A</v>
      </c>
      <c r="J670" cm="1">
        <f t="array" ref="J670">IFERROR(_xlfn.XLOOKUP(C670&amp;A670, Inside5!B:B&amp;Inside5!I:I, Inside5!F:F), 0)</f>
        <v>0</v>
      </c>
      <c r="K670" cm="1">
        <f t="array" aca="1" ref="K670" ca="1">IFERROR(_xlfn.XLOOKUP(C670&amp;A670, Inside5!B:B&amp;Inside5!I:I, Inside5!G:G), 0)</f>
        <v>0</v>
      </c>
      <c r="L670" cm="1">
        <f t="array" aca="1" ref="L670" ca="1">IFERROR(_xlfn.XLOOKUP(C670&amp;A670, Inside5!B:B&amp;Inside5!I:I, Inside5!H:H), 0)</f>
        <v>0</v>
      </c>
      <c r="M670" t="str" cm="1">
        <f t="array" ref="M670">IFERROR(_xlfn.XLOOKUP(C670&amp;A670, TDrate!F:F&amp;TDrate!H:H, TDrate!B:B), "N/A")</f>
        <v>N/A</v>
      </c>
      <c r="N670" t="str" cm="1">
        <f t="array" ref="N670">IFERROR(_xlfn.XLOOKUP(C670&amp;A670, TDrate!F:F&amp;TDrate!H:H, TDrate!D:D), "N/A")</f>
        <v>N/A</v>
      </c>
    </row>
    <row r="671" spans="1:14" x14ac:dyDescent="0.45">
      <c r="A671" s="8">
        <v>2022</v>
      </c>
      <c r="B671" s="9" t="s">
        <v>703</v>
      </c>
      <c r="C671" s="10" t="str">
        <f t="shared" si="20"/>
        <v>J.P. Holtz</v>
      </c>
      <c r="D671" s="10" t="str">
        <f t="shared" si="21"/>
        <v>NO</v>
      </c>
      <c r="E671" cm="1">
        <f t="array" aca="1" ref="E671" ca="1">IFERROR(_xlfn.XLOOKUP(C671&amp;A671, Inside5!B:B&amp;Inside5!I:I, Inside5!C:C), 0)</f>
        <v>0</v>
      </c>
      <c r="F671" cm="1">
        <f t="array" aca="1" ref="F671" ca="1">IFERROR(_xlfn.XLOOKUP(C671&amp;A671, Inside5!B:B&amp;Inside5!I:I, Inside5!D:D), 0)</f>
        <v>0</v>
      </c>
      <c r="G671" cm="1">
        <f t="array" ref="G671">IFERROR(_xlfn.XLOOKUP(C671&amp;A671, Inside5!B:B&amp;Inside5!I:I, Inside5!E:E), 0)</f>
        <v>0</v>
      </c>
      <c r="H671" t="str" cm="1">
        <f t="array" ref="H671">IFERROR(_xlfn.XLOOKUP(C671&amp;A671, TDrate!F:F&amp;TDrate!H:H, TDrate!C:C), "N/A")</f>
        <v>N/A</v>
      </c>
      <c r="I671" t="str" cm="1">
        <f t="array" ref="I671">IFERROR(_xlfn.XLOOKUP(C671&amp;A671, TDrate!F:F&amp;TDrate!H:H, TDrate!E:E), "N/A")</f>
        <v>N/A</v>
      </c>
      <c r="J671" cm="1">
        <f t="array" ref="J671">IFERROR(_xlfn.XLOOKUP(C671&amp;A671, Inside5!B:B&amp;Inside5!I:I, Inside5!F:F), 0)</f>
        <v>0</v>
      </c>
      <c r="K671" cm="1">
        <f t="array" ref="K671">IFERROR(_xlfn.XLOOKUP(C671&amp;A671, Inside5!B:B&amp;Inside5!I:I, Inside5!G:G), 0)</f>
        <v>0</v>
      </c>
      <c r="L671" cm="1">
        <f t="array" ref="L671">IFERROR(_xlfn.XLOOKUP(C671&amp;A671, Inside5!B:B&amp;Inside5!I:I, Inside5!H:H), 0)</f>
        <v>0</v>
      </c>
      <c r="M671" t="str" cm="1">
        <f t="array" ref="M671">IFERROR(_xlfn.XLOOKUP(C671&amp;A671, TDrate!F:F&amp;TDrate!H:H, TDrate!B:B), "N/A")</f>
        <v>N/A</v>
      </c>
      <c r="N671" t="str" cm="1">
        <f t="array" ref="N671">IFERROR(_xlfn.XLOOKUP(C671&amp;A671, TDrate!F:F&amp;TDrate!H:H, TDrate!D:D), "N/A")</f>
        <v>N/A</v>
      </c>
    </row>
    <row r="672" spans="1:14" x14ac:dyDescent="0.45">
      <c r="A672" s="5">
        <v>2022</v>
      </c>
      <c r="B672" s="6" t="s">
        <v>704</v>
      </c>
      <c r="C672" s="7" t="str">
        <f t="shared" si="20"/>
        <v>Brandin Bryant</v>
      </c>
      <c r="D672" s="7" t="str">
        <f t="shared" si="21"/>
        <v>BUF</v>
      </c>
      <c r="E672" cm="1">
        <f t="array" aca="1" ref="E672" ca="1">IFERROR(_xlfn.XLOOKUP(C672&amp;A672, Inside5!B:B&amp;Inside5!I:I, Inside5!C:C), 0)</f>
        <v>0</v>
      </c>
      <c r="F672" cm="1">
        <f t="array" aca="1" ref="F672" ca="1">IFERROR(_xlfn.XLOOKUP(C672&amp;A672, Inside5!B:B&amp;Inside5!I:I, Inside5!D:D), 0)</f>
        <v>0</v>
      </c>
      <c r="G672" cm="1">
        <f t="array" ref="G672">IFERROR(_xlfn.XLOOKUP(C672&amp;A672, Inside5!B:B&amp;Inside5!I:I, Inside5!E:E), 0)</f>
        <v>0</v>
      </c>
      <c r="H672" t="str" cm="1">
        <f t="array" ref="H672">IFERROR(_xlfn.XLOOKUP(C672&amp;A672, TDrate!F:F&amp;TDrate!H:H, TDrate!C:C), "N/A")</f>
        <v>N/A</v>
      </c>
      <c r="I672" t="str" cm="1">
        <f t="array" ref="I672">IFERROR(_xlfn.XLOOKUP(C672&amp;A672, TDrate!F:F&amp;TDrate!H:H, TDrate!E:E), "N/A")</f>
        <v>N/A</v>
      </c>
      <c r="J672" cm="1">
        <f t="array" ref="J672">IFERROR(_xlfn.XLOOKUP(C672&amp;A672, Inside5!B:B&amp;Inside5!I:I, Inside5!F:F), 0)</f>
        <v>0</v>
      </c>
      <c r="K672" cm="1">
        <f t="array" ref="K672">IFERROR(_xlfn.XLOOKUP(C672&amp;A672, Inside5!B:B&amp;Inside5!I:I, Inside5!G:G), 0)</f>
        <v>0</v>
      </c>
      <c r="L672" cm="1">
        <f t="array" ref="L672">IFERROR(_xlfn.XLOOKUP(C672&amp;A672, Inside5!B:B&amp;Inside5!I:I, Inside5!H:H), 0)</f>
        <v>0</v>
      </c>
      <c r="M672" t="str" cm="1">
        <f t="array" ref="M672">IFERROR(_xlfn.XLOOKUP(C672&amp;A672, TDrate!F:F&amp;TDrate!H:H, TDrate!B:B), "N/A")</f>
        <v>N/A</v>
      </c>
      <c r="N672" t="str" cm="1">
        <f t="array" ref="N672">IFERROR(_xlfn.XLOOKUP(C672&amp;A672, TDrate!F:F&amp;TDrate!H:H, TDrate!D:D), "N/A")</f>
        <v>N/A</v>
      </c>
    </row>
    <row r="673" spans="1:14" x14ac:dyDescent="0.45">
      <c r="A673" s="8">
        <v>2022</v>
      </c>
      <c r="B673" s="9" t="s">
        <v>619</v>
      </c>
      <c r="C673" s="10" t="str">
        <f t="shared" si="20"/>
        <v>Jason Cabinda</v>
      </c>
      <c r="D673" s="10" t="str">
        <f t="shared" si="21"/>
        <v>DET</v>
      </c>
      <c r="E673" cm="1">
        <f t="array" ref="E673">IFERROR(_xlfn.XLOOKUP(C673&amp;A673, Inside5!B:B&amp;Inside5!I:I, Inside5!C:C), 0)</f>
        <v>0</v>
      </c>
      <c r="F673" cm="1">
        <f t="array" ref="F673">IFERROR(_xlfn.XLOOKUP(C673&amp;A673, Inside5!B:B&amp;Inside5!I:I, Inside5!D:D), 0)</f>
        <v>0</v>
      </c>
      <c r="G673" cm="1">
        <f t="array" ref="G673">IFERROR(_xlfn.XLOOKUP(C673&amp;A673, Inside5!B:B&amp;Inside5!I:I, Inside5!E:E), 0)</f>
        <v>0</v>
      </c>
      <c r="H673" t="str" cm="1">
        <f t="array" ref="H673">IFERROR(_xlfn.XLOOKUP(C673&amp;A673, TDrate!F:F&amp;TDrate!H:H, TDrate!C:C), "N/A")</f>
        <v>N/A</v>
      </c>
      <c r="I673" t="str" cm="1">
        <f t="array" ref="I673">IFERROR(_xlfn.XLOOKUP(C673&amp;A673, TDrate!F:F&amp;TDrate!H:H, TDrate!E:E), "N/A")</f>
        <v>N/A</v>
      </c>
      <c r="J673" cm="1">
        <f t="array" ref="J673">IFERROR(_xlfn.XLOOKUP(C673&amp;A673, Inside5!B:B&amp;Inside5!I:I, Inside5!F:F), 0)</f>
        <v>0</v>
      </c>
      <c r="K673" cm="1">
        <f t="array" ref="K673">IFERROR(_xlfn.XLOOKUP(C673&amp;A673, Inside5!B:B&amp;Inside5!I:I, Inside5!G:G), 0)</f>
        <v>0</v>
      </c>
      <c r="L673" cm="1">
        <f t="array" ref="L673">IFERROR(_xlfn.XLOOKUP(C673&amp;A673, Inside5!B:B&amp;Inside5!I:I, Inside5!H:H), 0)</f>
        <v>0</v>
      </c>
      <c r="M673" t="str" cm="1">
        <f t="array" ref="M673">IFERROR(_xlfn.XLOOKUP(C673&amp;A673, TDrate!F:F&amp;TDrate!H:H, TDrate!B:B), "N/A")</f>
        <v>N/A</v>
      </c>
      <c r="N673" t="str" cm="1">
        <f t="array" ref="N673">IFERROR(_xlfn.XLOOKUP(C673&amp;A673, TDrate!F:F&amp;TDrate!H:H, TDrate!D:D), "N/A")</f>
        <v>N/A</v>
      </c>
    </row>
    <row r="674" spans="1:14" x14ac:dyDescent="0.45">
      <c r="A674" s="5">
        <v>2022</v>
      </c>
      <c r="B674" s="6" t="s">
        <v>705</v>
      </c>
      <c r="C674" s="7" t="str">
        <f t="shared" si="20"/>
        <v>Trenton Cannon</v>
      </c>
      <c r="D674" s="7" t="str">
        <f t="shared" si="21"/>
        <v>TEN</v>
      </c>
      <c r="E674" cm="1">
        <f t="array" ref="E674">IFERROR(_xlfn.XLOOKUP(C674&amp;A674, Inside5!B:B&amp;Inside5!I:I, Inside5!C:C), 0)</f>
        <v>0</v>
      </c>
      <c r="F674" cm="1">
        <f t="array" ref="F674">IFERROR(_xlfn.XLOOKUP(C674&amp;A674, Inside5!B:B&amp;Inside5!I:I, Inside5!D:D), 0)</f>
        <v>0</v>
      </c>
      <c r="G674" cm="1">
        <f t="array" ref="G674">IFERROR(_xlfn.XLOOKUP(C674&amp;A674, Inside5!B:B&amp;Inside5!I:I, Inside5!E:E), 0)</f>
        <v>0</v>
      </c>
      <c r="H674" t="str" cm="1">
        <f t="array" ref="H674">IFERROR(_xlfn.XLOOKUP(C674&amp;A674, TDrate!F:F&amp;TDrate!H:H, TDrate!C:C), "N/A")</f>
        <v>N/A</v>
      </c>
      <c r="I674" t="str" cm="1">
        <f t="array" ref="I674">IFERROR(_xlfn.XLOOKUP(C674&amp;A674, TDrate!F:F&amp;TDrate!H:H, TDrate!E:E), "N/A")</f>
        <v>N/A</v>
      </c>
      <c r="J674" cm="1">
        <f t="array" ref="J674">IFERROR(_xlfn.XLOOKUP(C674&amp;A674, Inside5!B:B&amp;Inside5!I:I, Inside5!F:F), 0)</f>
        <v>0</v>
      </c>
      <c r="K674" cm="1">
        <f t="array" ref="K674">IFERROR(_xlfn.XLOOKUP(C674&amp;A674, Inside5!B:B&amp;Inside5!I:I, Inside5!G:G), 0)</f>
        <v>0</v>
      </c>
      <c r="L674" cm="1">
        <f t="array" ref="L674">IFERROR(_xlfn.XLOOKUP(C674&amp;A674, Inside5!B:B&amp;Inside5!I:I, Inside5!H:H), 0)</f>
        <v>0</v>
      </c>
      <c r="M674" t="str" cm="1">
        <f t="array" ref="M674">IFERROR(_xlfn.XLOOKUP(C674&amp;A674, TDrate!F:F&amp;TDrate!H:H, TDrate!B:B), "N/A")</f>
        <v>N/A</v>
      </c>
      <c r="N674" t="str" cm="1">
        <f t="array" ref="N674">IFERROR(_xlfn.XLOOKUP(C674&amp;A674, TDrate!F:F&amp;TDrate!H:H, TDrate!D:D), "N/A")</f>
        <v>N/A</v>
      </c>
    </row>
    <row r="675" spans="1:14" x14ac:dyDescent="0.45">
      <c r="A675" s="8">
        <v>2022</v>
      </c>
      <c r="B675" s="9" t="s">
        <v>706</v>
      </c>
      <c r="C675" s="10" t="str">
        <f t="shared" si="20"/>
        <v>Qadree Ollison</v>
      </c>
      <c r="D675" s="10" t="str">
        <f t="shared" si="21"/>
        <v>DAL</v>
      </c>
      <c r="E675" cm="1">
        <f t="array" aca="1" ref="E675" ca="1">IFERROR(_xlfn.XLOOKUP(C675&amp;A675, Inside5!B:B&amp;Inside5!I:I, Inside5!C:C), 0)</f>
        <v>0</v>
      </c>
      <c r="F675" cm="1">
        <f t="array" ref="F675">IFERROR(_xlfn.XLOOKUP(C675&amp;A675, Inside5!B:B&amp;Inside5!I:I, Inside5!D:D), 0)</f>
        <v>0</v>
      </c>
      <c r="G675" cm="1">
        <f t="array" ref="G675">IFERROR(_xlfn.XLOOKUP(C675&amp;A675, Inside5!B:B&amp;Inside5!I:I, Inside5!E:E), 0)</f>
        <v>0</v>
      </c>
      <c r="H675" t="str" cm="1">
        <f t="array" ref="H675">IFERROR(_xlfn.XLOOKUP(C675&amp;A675, TDrate!F:F&amp;TDrate!H:H, TDrate!C:C), "N/A")</f>
        <v>N/A</v>
      </c>
      <c r="I675" t="str" cm="1">
        <f t="array" ref="I675">IFERROR(_xlfn.XLOOKUP(C675&amp;A675, TDrate!F:F&amp;TDrate!H:H, TDrate!E:E), "N/A")</f>
        <v>N/A</v>
      </c>
      <c r="J675" cm="1">
        <f t="array" ref="J675">IFERROR(_xlfn.XLOOKUP(C675&amp;A675, Inside5!B:B&amp;Inside5!I:I, Inside5!F:F), 0)</f>
        <v>0</v>
      </c>
      <c r="K675" cm="1">
        <f t="array" ref="K675">IFERROR(_xlfn.XLOOKUP(C675&amp;A675, Inside5!B:B&amp;Inside5!I:I, Inside5!G:G), 0)</f>
        <v>0</v>
      </c>
      <c r="L675" cm="1">
        <f t="array" ref="L675">IFERROR(_xlfn.XLOOKUP(C675&amp;A675, Inside5!B:B&amp;Inside5!I:I, Inside5!H:H), 0)</f>
        <v>0</v>
      </c>
      <c r="M675" t="str" cm="1">
        <f t="array" ref="M675">IFERROR(_xlfn.XLOOKUP(C675&amp;A675, TDrate!F:F&amp;TDrate!H:H, TDrate!B:B), "N/A")</f>
        <v>N/A</v>
      </c>
      <c r="N675" t="str" cm="1">
        <f t="array" ref="N675">IFERROR(_xlfn.XLOOKUP(C675&amp;A675, TDrate!F:F&amp;TDrate!H:H, TDrate!D:D), "N/A")</f>
        <v>N/A</v>
      </c>
    </row>
    <row r="676" spans="1:14" x14ac:dyDescent="0.45">
      <c r="A676" s="5">
        <v>2022</v>
      </c>
      <c r="B676" s="6" t="s">
        <v>707</v>
      </c>
      <c r="C676" s="7" t="str">
        <f t="shared" si="20"/>
        <v>Cullen Gillaspia</v>
      </c>
      <c r="D676" s="7" t="str">
        <f t="shared" si="21"/>
        <v>SEA</v>
      </c>
      <c r="E676" cm="1">
        <f t="array" ref="E676">IFERROR(_xlfn.XLOOKUP(C676&amp;A676, Inside5!B:B&amp;Inside5!I:I, Inside5!C:C), 0)</f>
        <v>0</v>
      </c>
      <c r="F676" cm="1">
        <f t="array" ref="F676">IFERROR(_xlfn.XLOOKUP(C676&amp;A676, Inside5!B:B&amp;Inside5!I:I, Inside5!D:D), 0)</f>
        <v>0</v>
      </c>
      <c r="G676" cm="1">
        <f t="array" ref="G676">IFERROR(_xlfn.XLOOKUP(C676&amp;A676, Inside5!B:B&amp;Inside5!I:I, Inside5!E:E), 0)</f>
        <v>0</v>
      </c>
      <c r="H676" t="str" cm="1">
        <f t="array" ref="H676">IFERROR(_xlfn.XLOOKUP(C676&amp;A676, TDrate!F:F&amp;TDrate!H:H, TDrate!C:C), "N/A")</f>
        <v>N/A</v>
      </c>
      <c r="I676" t="str" cm="1">
        <f t="array" ref="I676">IFERROR(_xlfn.XLOOKUP(C676&amp;A676, TDrate!F:F&amp;TDrate!H:H, TDrate!E:E), "N/A")</f>
        <v>N/A</v>
      </c>
      <c r="J676" cm="1">
        <f t="array" ref="J676">IFERROR(_xlfn.XLOOKUP(C676&amp;A676, Inside5!B:B&amp;Inside5!I:I, Inside5!F:F), 0)</f>
        <v>0</v>
      </c>
      <c r="K676" cm="1">
        <f t="array" ref="K676">IFERROR(_xlfn.XLOOKUP(C676&amp;A676, Inside5!B:B&amp;Inside5!I:I, Inside5!G:G), 0)</f>
        <v>0</v>
      </c>
      <c r="L676" cm="1">
        <f t="array" ref="L676">IFERROR(_xlfn.XLOOKUP(C676&amp;A676, Inside5!B:B&amp;Inside5!I:I, Inside5!H:H), 0)</f>
        <v>0</v>
      </c>
      <c r="M676" t="str" cm="1">
        <f t="array" ref="M676">IFERROR(_xlfn.XLOOKUP(C676&amp;A676, TDrate!F:F&amp;TDrate!H:H, TDrate!B:B), "N/A")</f>
        <v>N/A</v>
      </c>
      <c r="N676" t="str" cm="1">
        <f t="array" ref="N676">IFERROR(_xlfn.XLOOKUP(C676&amp;A676, TDrate!F:F&amp;TDrate!H:H, TDrate!D:D), "N/A")</f>
        <v>N/A</v>
      </c>
    </row>
    <row r="677" spans="1:14" x14ac:dyDescent="0.45">
      <c r="A677" s="8">
        <v>2022</v>
      </c>
      <c r="B677" s="9" t="s">
        <v>708</v>
      </c>
      <c r="C677" s="10" t="str">
        <f t="shared" si="20"/>
        <v>Andrew Beck</v>
      </c>
      <c r="D677" s="10" t="str">
        <f t="shared" si="21"/>
        <v>DEN</v>
      </c>
      <c r="E677" cm="1">
        <f t="array" aca="1" ref="E677" ca="1">IFERROR(_xlfn.XLOOKUP(C677&amp;A677, Inside5!B:B&amp;Inside5!I:I, Inside5!C:C), 0)</f>
        <v>0</v>
      </c>
      <c r="F677" cm="1">
        <f t="array" aca="1" ref="F677" ca="1">IFERROR(_xlfn.XLOOKUP(C677&amp;A677, Inside5!B:B&amp;Inside5!I:I, Inside5!D:D), 0)</f>
        <v>0</v>
      </c>
      <c r="G677" cm="1">
        <f t="array" ref="G677">IFERROR(_xlfn.XLOOKUP(C677&amp;A677, Inside5!B:B&amp;Inside5!I:I, Inside5!E:E), 0)</f>
        <v>0</v>
      </c>
      <c r="H677" t="str" cm="1">
        <f t="array" ref="H677">IFERROR(_xlfn.XLOOKUP(C677&amp;A677, TDrate!F:F&amp;TDrate!H:H, TDrate!C:C), "N/A")</f>
        <v>N/A</v>
      </c>
      <c r="I677" t="str" cm="1">
        <f t="array" ref="I677">IFERROR(_xlfn.XLOOKUP(C677&amp;A677, TDrate!F:F&amp;TDrate!H:H, TDrate!E:E), "N/A")</f>
        <v>N/A</v>
      </c>
      <c r="J677" cm="1">
        <f t="array" ref="J677">IFERROR(_xlfn.XLOOKUP(C677&amp;A677, Inside5!B:B&amp;Inside5!I:I, Inside5!F:F), 0)</f>
        <v>0</v>
      </c>
      <c r="K677" cm="1">
        <f t="array" aca="1" ref="K677" ca="1">IFERROR(_xlfn.XLOOKUP(C677&amp;A677, Inside5!B:B&amp;Inside5!I:I, Inside5!G:G), 0)</f>
        <v>0</v>
      </c>
      <c r="L677" cm="1">
        <f t="array" aca="1" ref="L677" ca="1">IFERROR(_xlfn.XLOOKUP(C677&amp;A677, Inside5!B:B&amp;Inside5!I:I, Inside5!H:H), 0)</f>
        <v>0</v>
      </c>
      <c r="M677" t="str" cm="1">
        <f t="array" ref="M677">IFERROR(_xlfn.XLOOKUP(C677&amp;A677, TDrate!F:F&amp;TDrate!H:H, TDrate!B:B), "N/A")</f>
        <v>N/A</v>
      </c>
      <c r="N677" t="str" cm="1">
        <f t="array" ref="N677">IFERROR(_xlfn.XLOOKUP(C677&amp;A677, TDrate!F:F&amp;TDrate!H:H, TDrate!D:D), "N/A")</f>
        <v>N/A</v>
      </c>
    </row>
    <row r="678" spans="1:14" x14ac:dyDescent="0.45">
      <c r="A678" s="5">
        <v>2022</v>
      </c>
      <c r="B678" s="6" t="s">
        <v>532</v>
      </c>
      <c r="C678" s="7" t="str">
        <f t="shared" si="20"/>
        <v>Khari Blasingame</v>
      </c>
      <c r="D678" s="7" t="str">
        <f t="shared" si="21"/>
        <v>CHI</v>
      </c>
      <c r="E678" cm="1">
        <f t="array" aca="1" ref="E678" ca="1">IFERROR(_xlfn.XLOOKUP(C678&amp;A678, Inside5!B:B&amp;Inside5!I:I, Inside5!C:C), 0)</f>
        <v>0</v>
      </c>
      <c r="F678" cm="1">
        <f t="array" aca="1" ref="F678" ca="1">IFERROR(_xlfn.XLOOKUP(C678&amp;A678, Inside5!B:B&amp;Inside5!I:I, Inside5!D:D), 0)</f>
        <v>0</v>
      </c>
      <c r="G678" cm="1">
        <f t="array" ref="G678">IFERROR(_xlfn.XLOOKUP(C678&amp;A678, Inside5!B:B&amp;Inside5!I:I, Inside5!E:E), 0)</f>
        <v>0</v>
      </c>
      <c r="H678" t="str" cm="1">
        <f t="array" ref="H678">IFERROR(_xlfn.XLOOKUP(C678&amp;A678, TDrate!F:F&amp;TDrate!H:H, TDrate!C:C), "N/A")</f>
        <v>N/A</v>
      </c>
      <c r="I678" t="str" cm="1">
        <f t="array" ref="I678">IFERROR(_xlfn.XLOOKUP(C678&amp;A678, TDrate!F:F&amp;TDrate!H:H, TDrate!E:E), "N/A")</f>
        <v>N/A</v>
      </c>
      <c r="J678" cm="1">
        <f t="array" ref="J678">IFERROR(_xlfn.XLOOKUP(C678&amp;A678, Inside5!B:B&amp;Inside5!I:I, Inside5!F:F), 0)</f>
        <v>0</v>
      </c>
      <c r="K678" cm="1">
        <f t="array" ref="K678">IFERROR(_xlfn.XLOOKUP(C678&amp;A678, Inside5!B:B&amp;Inside5!I:I, Inside5!G:G), 0)</f>
        <v>0</v>
      </c>
      <c r="L678" cm="1">
        <f t="array" ref="L678">IFERROR(_xlfn.XLOOKUP(C678&amp;A678, Inside5!B:B&amp;Inside5!I:I, Inside5!H:H), 0)</f>
        <v>0</v>
      </c>
      <c r="M678" t="str" cm="1">
        <f t="array" ref="M678">IFERROR(_xlfn.XLOOKUP(C678&amp;A678, TDrate!F:F&amp;TDrate!H:H, TDrate!B:B), "N/A")</f>
        <v>N/A</v>
      </c>
      <c r="N678" t="str" cm="1">
        <f t="array" ref="N678">IFERROR(_xlfn.XLOOKUP(C678&amp;A678, TDrate!F:F&amp;TDrate!H:H, TDrate!D:D), "N/A")</f>
        <v>N/A</v>
      </c>
    </row>
    <row r="679" spans="1:14" x14ac:dyDescent="0.45">
      <c r="A679" s="8">
        <v>2022</v>
      </c>
      <c r="B679" s="9" t="s">
        <v>709</v>
      </c>
      <c r="C679" s="10" t="str">
        <f t="shared" si="20"/>
        <v>La'Mical Perine</v>
      </c>
      <c r="D679" s="10" t="str">
        <f t="shared" si="21"/>
        <v>MIA</v>
      </c>
      <c r="E679" cm="1">
        <f t="array" ref="E679">IFERROR(_xlfn.XLOOKUP(C679&amp;A679, Inside5!B:B&amp;Inside5!I:I, Inside5!C:C), 0)</f>
        <v>0</v>
      </c>
      <c r="F679" cm="1">
        <f t="array" ref="F679">IFERROR(_xlfn.XLOOKUP(C679&amp;A679, Inside5!B:B&amp;Inside5!I:I, Inside5!D:D), 0)</f>
        <v>0</v>
      </c>
      <c r="G679" cm="1">
        <f t="array" ref="G679">IFERROR(_xlfn.XLOOKUP(C679&amp;A679, Inside5!B:B&amp;Inside5!I:I, Inside5!E:E), 0)</f>
        <v>0</v>
      </c>
      <c r="H679" t="str" cm="1">
        <f t="array" ref="H679">IFERROR(_xlfn.XLOOKUP(C679&amp;A679, TDrate!F:F&amp;TDrate!H:H, TDrate!C:C), "N/A")</f>
        <v>N/A</v>
      </c>
      <c r="I679" t="str" cm="1">
        <f t="array" ref="I679">IFERROR(_xlfn.XLOOKUP(C679&amp;A679, TDrate!F:F&amp;TDrate!H:H, TDrate!E:E), "N/A")</f>
        <v>N/A</v>
      </c>
      <c r="J679" cm="1">
        <f t="array" ref="J679">IFERROR(_xlfn.XLOOKUP(C679&amp;A679, Inside5!B:B&amp;Inside5!I:I, Inside5!F:F), 0)</f>
        <v>0</v>
      </c>
      <c r="K679" cm="1">
        <f t="array" ref="K679">IFERROR(_xlfn.XLOOKUP(C679&amp;A679, Inside5!B:B&amp;Inside5!I:I, Inside5!G:G), 0)</f>
        <v>0</v>
      </c>
      <c r="L679" cm="1">
        <f t="array" ref="L679">IFERROR(_xlfn.XLOOKUP(C679&amp;A679, Inside5!B:B&amp;Inside5!I:I, Inside5!H:H), 0)</f>
        <v>0</v>
      </c>
      <c r="M679" t="str" cm="1">
        <f t="array" ref="M679">IFERROR(_xlfn.XLOOKUP(C679&amp;A679, TDrate!F:F&amp;TDrate!H:H, TDrate!B:B), "N/A")</f>
        <v>N/A</v>
      </c>
      <c r="N679" t="str" cm="1">
        <f t="array" ref="N679">IFERROR(_xlfn.XLOOKUP(C679&amp;A679, TDrate!F:F&amp;TDrate!H:H, TDrate!D:D), "N/A")</f>
        <v>N/A</v>
      </c>
    </row>
    <row r="680" spans="1:14" x14ac:dyDescent="0.45">
      <c r="A680" s="5">
        <v>2022</v>
      </c>
      <c r="B680" s="6" t="s">
        <v>473</v>
      </c>
      <c r="C680" s="7" t="str">
        <f t="shared" si="20"/>
        <v>Rico Dowdle</v>
      </c>
      <c r="D680" s="7" t="str">
        <f t="shared" si="21"/>
        <v>DAL</v>
      </c>
      <c r="E680" cm="1">
        <f t="array" ref="E680">IFERROR(_xlfn.XLOOKUP(C680&amp;A680, Inside5!B:B&amp;Inside5!I:I, Inside5!C:C), 0)</f>
        <v>0</v>
      </c>
      <c r="F680" cm="1">
        <f t="array" ref="F680">IFERROR(_xlfn.XLOOKUP(C680&amp;A680, Inside5!B:B&amp;Inside5!I:I, Inside5!D:D), 0)</f>
        <v>0</v>
      </c>
      <c r="G680" cm="1">
        <f t="array" ref="G680">IFERROR(_xlfn.XLOOKUP(C680&amp;A680, Inside5!B:B&amp;Inside5!I:I, Inside5!E:E), 0)</f>
        <v>0</v>
      </c>
      <c r="H680" t="str" cm="1">
        <f t="array" ref="H680">IFERROR(_xlfn.XLOOKUP(C680&amp;A680, TDrate!F:F&amp;TDrate!H:H, TDrate!C:C), "N/A")</f>
        <v>N/A</v>
      </c>
      <c r="I680" t="str" cm="1">
        <f t="array" ref="I680">IFERROR(_xlfn.XLOOKUP(C680&amp;A680, TDrate!F:F&amp;TDrate!H:H, TDrate!E:E), "N/A")</f>
        <v>N/A</v>
      </c>
      <c r="J680" cm="1">
        <f t="array" ref="J680">IFERROR(_xlfn.XLOOKUP(C680&amp;A680, Inside5!B:B&amp;Inside5!I:I, Inside5!F:F), 0)</f>
        <v>0</v>
      </c>
      <c r="K680" cm="1">
        <f t="array" ref="K680">IFERROR(_xlfn.XLOOKUP(C680&amp;A680, Inside5!B:B&amp;Inside5!I:I, Inside5!G:G), 0)</f>
        <v>0</v>
      </c>
      <c r="L680" cm="1">
        <f t="array" ref="L680">IFERROR(_xlfn.XLOOKUP(C680&amp;A680, Inside5!B:B&amp;Inside5!I:I, Inside5!H:H), 0)</f>
        <v>0</v>
      </c>
      <c r="M680" t="str" cm="1">
        <f t="array" ref="M680">IFERROR(_xlfn.XLOOKUP(C680&amp;A680, TDrate!F:F&amp;TDrate!H:H, TDrate!B:B), "N/A")</f>
        <v>N/A</v>
      </c>
      <c r="N680" t="str" cm="1">
        <f t="array" ref="N680">IFERROR(_xlfn.XLOOKUP(C680&amp;A680, TDrate!F:F&amp;TDrate!H:H, TDrate!D:D), "N/A")</f>
        <v>N/A</v>
      </c>
    </row>
    <row r="681" spans="1:14" x14ac:dyDescent="0.45">
      <c r="A681" s="8">
        <v>2022</v>
      </c>
      <c r="B681" s="9" t="s">
        <v>624</v>
      </c>
      <c r="C681" s="10" t="str">
        <f t="shared" si="20"/>
        <v>Kirk Merritt</v>
      </c>
      <c r="D681" s="10" t="str">
        <f t="shared" si="21"/>
        <v>NO</v>
      </c>
      <c r="E681" cm="1">
        <f t="array" aca="1" ref="E681" ca="1">IFERROR(_xlfn.XLOOKUP(C681&amp;A681, Inside5!B:B&amp;Inside5!I:I, Inside5!C:C), 0)</f>
        <v>0</v>
      </c>
      <c r="F681" cm="1">
        <f t="array" aca="1" ref="F681" ca="1">IFERROR(_xlfn.XLOOKUP(C681&amp;A681, Inside5!B:B&amp;Inside5!I:I, Inside5!D:D), 0)</f>
        <v>0</v>
      </c>
      <c r="G681" cm="1">
        <f t="array" ref="G681">IFERROR(_xlfn.XLOOKUP(C681&amp;A681, Inside5!B:B&amp;Inside5!I:I, Inside5!E:E), 0)</f>
        <v>0</v>
      </c>
      <c r="H681" t="str" cm="1">
        <f t="array" ref="H681">IFERROR(_xlfn.XLOOKUP(C681&amp;A681, TDrate!F:F&amp;TDrate!H:H, TDrate!C:C), "N/A")</f>
        <v>N/A</v>
      </c>
      <c r="I681" t="str" cm="1">
        <f t="array" ref="I681">IFERROR(_xlfn.XLOOKUP(C681&amp;A681, TDrate!F:F&amp;TDrate!H:H, TDrate!E:E), "N/A")</f>
        <v>N/A</v>
      </c>
      <c r="J681" cm="1">
        <f t="array" ref="J681">IFERROR(_xlfn.XLOOKUP(C681&amp;A681, Inside5!B:B&amp;Inside5!I:I, Inside5!F:F), 0)</f>
        <v>0</v>
      </c>
      <c r="K681" cm="1">
        <f t="array" aca="1" ref="K681" ca="1">IFERROR(_xlfn.XLOOKUP(C681&amp;A681, Inside5!B:B&amp;Inside5!I:I, Inside5!G:G), 0)</f>
        <v>0</v>
      </c>
      <c r="L681" cm="1">
        <f t="array" ref="L681">IFERROR(_xlfn.XLOOKUP(C681&amp;A681, Inside5!B:B&amp;Inside5!I:I, Inside5!H:H), 0)</f>
        <v>0</v>
      </c>
      <c r="M681" t="str" cm="1">
        <f t="array" ref="M681">IFERROR(_xlfn.XLOOKUP(C681&amp;A681, TDrate!F:F&amp;TDrate!H:H, TDrate!B:B), "N/A")</f>
        <v>N/A</v>
      </c>
      <c r="N681" t="str" cm="1">
        <f t="array" ref="N681">IFERROR(_xlfn.XLOOKUP(C681&amp;A681, TDrate!F:F&amp;TDrate!H:H, TDrate!D:D), "N/A")</f>
        <v>N/A</v>
      </c>
    </row>
    <row r="682" spans="1:14" x14ac:dyDescent="0.45">
      <c r="A682" s="5">
        <v>2022</v>
      </c>
      <c r="B682" s="6" t="s">
        <v>513</v>
      </c>
      <c r="C682" s="7" t="str">
        <f t="shared" si="20"/>
        <v>Jermar Jefferson</v>
      </c>
      <c r="D682" s="7" t="str">
        <f t="shared" si="21"/>
        <v>DET</v>
      </c>
      <c r="E682" cm="1">
        <f t="array" ref="E682">IFERROR(_xlfn.XLOOKUP(C682&amp;A682, Inside5!B:B&amp;Inside5!I:I, Inside5!C:C), 0)</f>
        <v>0</v>
      </c>
      <c r="F682" cm="1">
        <f t="array" ref="F682">IFERROR(_xlfn.XLOOKUP(C682&amp;A682, Inside5!B:B&amp;Inside5!I:I, Inside5!D:D), 0)</f>
        <v>0</v>
      </c>
      <c r="G682" cm="1">
        <f t="array" ref="G682">IFERROR(_xlfn.XLOOKUP(C682&amp;A682, Inside5!B:B&amp;Inside5!I:I, Inside5!E:E), 0)</f>
        <v>0</v>
      </c>
      <c r="H682" t="str" cm="1">
        <f t="array" ref="H682">IFERROR(_xlfn.XLOOKUP(C682&amp;A682, TDrate!F:F&amp;TDrate!H:H, TDrate!C:C), "N/A")</f>
        <v>N/A</v>
      </c>
      <c r="I682" t="str" cm="1">
        <f t="array" ref="I682">IFERROR(_xlfn.XLOOKUP(C682&amp;A682, TDrate!F:F&amp;TDrate!H:H, TDrate!E:E), "N/A")</f>
        <v>N/A</v>
      </c>
      <c r="J682" cm="1">
        <f t="array" ref="J682">IFERROR(_xlfn.XLOOKUP(C682&amp;A682, Inside5!B:B&amp;Inside5!I:I, Inside5!F:F), 0)</f>
        <v>0</v>
      </c>
      <c r="K682" cm="1">
        <f t="array" aca="1" ref="K682" ca="1">IFERROR(_xlfn.XLOOKUP(C682&amp;A682, Inside5!B:B&amp;Inside5!I:I, Inside5!G:G), 0)</f>
        <v>0</v>
      </c>
      <c r="L682" cm="1">
        <f t="array" ref="L682">IFERROR(_xlfn.XLOOKUP(C682&amp;A682, Inside5!B:B&amp;Inside5!I:I, Inside5!H:H), 0)</f>
        <v>0</v>
      </c>
      <c r="M682" t="str" cm="1">
        <f t="array" ref="M682">IFERROR(_xlfn.XLOOKUP(C682&amp;A682, TDrate!F:F&amp;TDrate!H:H, TDrate!B:B), "N/A")</f>
        <v>N/A</v>
      </c>
      <c r="N682" t="str" cm="1">
        <f t="array" ref="N682">IFERROR(_xlfn.XLOOKUP(C682&amp;A682, TDrate!F:F&amp;TDrate!H:H, TDrate!D:D), "N/A")</f>
        <v>N/A</v>
      </c>
    </row>
    <row r="683" spans="1:14" x14ac:dyDescent="0.45">
      <c r="A683" s="8">
        <v>2022</v>
      </c>
      <c r="B683" s="9" t="s">
        <v>710</v>
      </c>
      <c r="C683" s="10" t="str">
        <f t="shared" si="20"/>
        <v>Sandro Platzgummer</v>
      </c>
      <c r="D683" s="10" t="str">
        <f t="shared" si="21"/>
        <v>NYG</v>
      </c>
      <c r="E683" cm="1">
        <f t="array" aca="1" ref="E683" ca="1">IFERROR(_xlfn.XLOOKUP(C683&amp;A683, Inside5!B:B&amp;Inside5!I:I, Inside5!C:C), 0)</f>
        <v>0</v>
      </c>
      <c r="F683" cm="1">
        <f t="array" aca="1" ref="F683" ca="1">IFERROR(_xlfn.XLOOKUP(C683&amp;A683, Inside5!B:B&amp;Inside5!I:I, Inside5!D:D), 0)</f>
        <v>0</v>
      </c>
      <c r="G683" cm="1">
        <f t="array" ref="G683">IFERROR(_xlfn.XLOOKUP(C683&amp;A683, Inside5!B:B&amp;Inside5!I:I, Inside5!E:E), 0)</f>
        <v>0</v>
      </c>
      <c r="H683" t="str" cm="1">
        <f t="array" ref="H683">IFERROR(_xlfn.XLOOKUP(C683&amp;A683, TDrate!F:F&amp;TDrate!H:H, TDrate!C:C), "N/A")</f>
        <v>N/A</v>
      </c>
      <c r="I683" t="str" cm="1">
        <f t="array" ref="I683">IFERROR(_xlfn.XLOOKUP(C683&amp;A683, TDrate!F:F&amp;TDrate!H:H, TDrate!E:E), "N/A")</f>
        <v>N/A</v>
      </c>
      <c r="J683" cm="1">
        <f t="array" ref="J683">IFERROR(_xlfn.XLOOKUP(C683&amp;A683, Inside5!B:B&amp;Inside5!I:I, Inside5!F:F), 0)</f>
        <v>0</v>
      </c>
      <c r="K683" cm="1">
        <f t="array" aca="1" ref="K683" ca="1">IFERROR(_xlfn.XLOOKUP(C683&amp;A683, Inside5!B:B&amp;Inside5!I:I, Inside5!G:G), 0)</f>
        <v>0</v>
      </c>
      <c r="L683" cm="1">
        <f t="array" ref="L683">IFERROR(_xlfn.XLOOKUP(C683&amp;A683, Inside5!B:B&amp;Inside5!I:I, Inside5!H:H), 0)</f>
        <v>0</v>
      </c>
      <c r="M683" t="str" cm="1">
        <f t="array" ref="M683">IFERROR(_xlfn.XLOOKUP(C683&amp;A683, TDrate!F:F&amp;TDrate!H:H, TDrate!B:B), "N/A")</f>
        <v>N/A</v>
      </c>
      <c r="N683" t="str" cm="1">
        <f t="array" ref="N683">IFERROR(_xlfn.XLOOKUP(C683&amp;A683, TDrate!F:F&amp;TDrate!H:H, TDrate!D:D), "N/A")</f>
        <v>N/A</v>
      </c>
    </row>
    <row r="684" spans="1:14" x14ac:dyDescent="0.45">
      <c r="A684" s="5">
        <v>2022</v>
      </c>
      <c r="B684" s="6" t="s">
        <v>606</v>
      </c>
      <c r="C684" s="7" t="str">
        <f t="shared" si="20"/>
        <v>Jashaun Corbin</v>
      </c>
      <c r="D684" s="7" t="str">
        <f t="shared" si="21"/>
        <v>NYG</v>
      </c>
      <c r="E684" cm="1">
        <f t="array" aca="1" ref="E684" ca="1">IFERROR(_xlfn.XLOOKUP(C684&amp;A684, Inside5!B:B&amp;Inside5!I:I, Inside5!C:C), 0)</f>
        <v>0</v>
      </c>
      <c r="F684" cm="1">
        <f t="array" aca="1" ref="F684" ca="1">IFERROR(_xlfn.XLOOKUP(C684&amp;A684, Inside5!B:B&amp;Inside5!I:I, Inside5!D:D), 0)</f>
        <v>0</v>
      </c>
      <c r="G684" cm="1">
        <f t="array" ref="G684">IFERROR(_xlfn.XLOOKUP(C684&amp;A684, Inside5!B:B&amp;Inside5!I:I, Inside5!E:E), 0)</f>
        <v>0</v>
      </c>
      <c r="H684" t="str" cm="1">
        <f t="array" ref="H684">IFERROR(_xlfn.XLOOKUP(C684&amp;A684, TDrate!F:F&amp;TDrate!H:H, TDrate!C:C), "N/A")</f>
        <v>N/A</v>
      </c>
      <c r="I684" t="str" cm="1">
        <f t="array" ref="I684">IFERROR(_xlfn.XLOOKUP(C684&amp;A684, TDrate!F:F&amp;TDrate!H:H, TDrate!E:E), "N/A")</f>
        <v>N/A</v>
      </c>
      <c r="J684" cm="1">
        <f t="array" ref="J684">IFERROR(_xlfn.XLOOKUP(C684&amp;A684, Inside5!B:B&amp;Inside5!I:I, Inside5!F:F), 0)</f>
        <v>0</v>
      </c>
      <c r="K684" cm="1">
        <f t="array" ref="K684">IFERROR(_xlfn.XLOOKUP(C684&amp;A684, Inside5!B:B&amp;Inside5!I:I, Inside5!G:G), 0)</f>
        <v>0</v>
      </c>
      <c r="L684" cm="1">
        <f t="array" ref="L684">IFERROR(_xlfn.XLOOKUP(C684&amp;A684, Inside5!B:B&amp;Inside5!I:I, Inside5!H:H), 0)</f>
        <v>0</v>
      </c>
      <c r="M684" t="str" cm="1">
        <f t="array" ref="M684">IFERROR(_xlfn.XLOOKUP(C684&amp;A684, TDrate!F:F&amp;TDrate!H:H, TDrate!B:B), "N/A")</f>
        <v>N/A</v>
      </c>
      <c r="N684" t="str" cm="1">
        <f t="array" ref="N684">IFERROR(_xlfn.XLOOKUP(C684&amp;A684, TDrate!F:F&amp;TDrate!H:H, TDrate!D:D), "N/A")</f>
        <v>N/A</v>
      </c>
    </row>
    <row r="685" spans="1:14" x14ac:dyDescent="0.45">
      <c r="A685" s="8">
        <v>2022</v>
      </c>
      <c r="B685" s="9" t="s">
        <v>711</v>
      </c>
      <c r="C685" s="10" t="str">
        <f t="shared" si="20"/>
        <v>Jake Funk</v>
      </c>
      <c r="D685" s="10" t="str">
        <f t="shared" si="21"/>
        <v>LAR</v>
      </c>
      <c r="E685" cm="1">
        <f t="array" aca="1" ref="E685" ca="1">IFERROR(_xlfn.XLOOKUP(C685&amp;A685, Inside5!B:B&amp;Inside5!I:I, Inside5!C:C), 0)</f>
        <v>0</v>
      </c>
      <c r="F685" cm="1">
        <f t="array" aca="1" ref="F685" ca="1">IFERROR(_xlfn.XLOOKUP(C685&amp;A685, Inside5!B:B&amp;Inside5!I:I, Inside5!D:D), 0)</f>
        <v>0</v>
      </c>
      <c r="G685" cm="1">
        <f t="array" ref="G685">IFERROR(_xlfn.XLOOKUP(C685&amp;A685, Inside5!B:B&amp;Inside5!I:I, Inside5!E:E), 0)</f>
        <v>0</v>
      </c>
      <c r="H685" t="str" cm="1">
        <f t="array" ref="H685">IFERROR(_xlfn.XLOOKUP(C685&amp;A685, TDrate!F:F&amp;TDrate!H:H, TDrate!C:C), "N/A")</f>
        <v>N/A</v>
      </c>
      <c r="I685" t="str" cm="1">
        <f t="array" ref="I685">IFERROR(_xlfn.XLOOKUP(C685&amp;A685, TDrate!F:F&amp;TDrate!H:H, TDrate!E:E), "N/A")</f>
        <v>N/A</v>
      </c>
      <c r="J685" cm="1">
        <f t="array" ref="J685">IFERROR(_xlfn.XLOOKUP(C685&amp;A685, Inside5!B:B&amp;Inside5!I:I, Inside5!F:F), 0)</f>
        <v>0</v>
      </c>
      <c r="K685" cm="1">
        <f t="array" ref="K685">IFERROR(_xlfn.XLOOKUP(C685&amp;A685, Inside5!B:B&amp;Inside5!I:I, Inside5!G:G), 0)</f>
        <v>0</v>
      </c>
      <c r="L685" cm="1">
        <f t="array" ref="L685">IFERROR(_xlfn.XLOOKUP(C685&amp;A685, Inside5!B:B&amp;Inside5!I:I, Inside5!H:H), 0)</f>
        <v>0</v>
      </c>
      <c r="M685" t="str" cm="1">
        <f t="array" ref="M685">IFERROR(_xlfn.XLOOKUP(C685&amp;A685, TDrate!F:F&amp;TDrate!H:H, TDrate!B:B), "N/A")</f>
        <v>N/A</v>
      </c>
      <c r="N685" t="str" cm="1">
        <f t="array" ref="N685">IFERROR(_xlfn.XLOOKUP(C685&amp;A685, TDrate!F:F&amp;TDrate!H:H, TDrate!D:D), "N/A")</f>
        <v>N/A</v>
      </c>
    </row>
    <row r="686" spans="1:14" x14ac:dyDescent="0.45">
      <c r="A686" s="5">
        <v>2022</v>
      </c>
      <c r="B686" s="6" t="s">
        <v>712</v>
      </c>
      <c r="C686" s="7" t="str">
        <f t="shared" si="20"/>
        <v>Ben Mason</v>
      </c>
      <c r="D686" s="7" t="str">
        <f t="shared" si="21"/>
        <v>BAL</v>
      </c>
      <c r="E686" cm="1">
        <f t="array" aca="1" ref="E686" ca="1">IFERROR(_xlfn.XLOOKUP(C686&amp;A686, Inside5!B:B&amp;Inside5!I:I, Inside5!C:C), 0)</f>
        <v>0</v>
      </c>
      <c r="F686" cm="1">
        <f t="array" aca="1" ref="F686" ca="1">IFERROR(_xlfn.XLOOKUP(C686&amp;A686, Inside5!B:B&amp;Inside5!I:I, Inside5!D:D), 0)</f>
        <v>0</v>
      </c>
      <c r="G686" cm="1">
        <f t="array" ref="G686">IFERROR(_xlfn.XLOOKUP(C686&amp;A686, Inside5!B:B&amp;Inside5!I:I, Inside5!E:E), 0)</f>
        <v>0</v>
      </c>
      <c r="H686" t="str" cm="1">
        <f t="array" ref="H686">IFERROR(_xlfn.XLOOKUP(C686&amp;A686, TDrate!F:F&amp;TDrate!H:H, TDrate!C:C), "N/A")</f>
        <v>N/A</v>
      </c>
      <c r="I686" t="str" cm="1">
        <f t="array" ref="I686">IFERROR(_xlfn.XLOOKUP(C686&amp;A686, TDrate!F:F&amp;TDrate!H:H, TDrate!E:E), "N/A")</f>
        <v>N/A</v>
      </c>
      <c r="J686" cm="1">
        <f t="array" ref="J686">IFERROR(_xlfn.XLOOKUP(C686&amp;A686, Inside5!B:B&amp;Inside5!I:I, Inside5!F:F), 0)</f>
        <v>0</v>
      </c>
      <c r="K686" cm="1">
        <f t="array" ref="K686">IFERROR(_xlfn.XLOOKUP(C686&amp;A686, Inside5!B:B&amp;Inside5!I:I, Inside5!G:G), 0)</f>
        <v>0</v>
      </c>
      <c r="L686" cm="1">
        <f t="array" ref="L686">IFERROR(_xlfn.XLOOKUP(C686&amp;A686, Inside5!B:B&amp;Inside5!I:I, Inside5!H:H), 0)</f>
        <v>0</v>
      </c>
      <c r="M686" t="str" cm="1">
        <f t="array" ref="M686">IFERROR(_xlfn.XLOOKUP(C686&amp;A686, TDrate!F:F&amp;TDrate!H:H, TDrate!B:B), "N/A")</f>
        <v>N/A</v>
      </c>
      <c r="N686" t="str" cm="1">
        <f t="array" ref="N686">IFERROR(_xlfn.XLOOKUP(C686&amp;A686, TDrate!F:F&amp;TDrate!H:H, TDrate!D:D), "N/A")</f>
        <v>N/A</v>
      </c>
    </row>
    <row r="687" spans="1:14" x14ac:dyDescent="0.45">
      <c r="A687" s="8">
        <v>2022</v>
      </c>
      <c r="B687" s="9" t="s">
        <v>713</v>
      </c>
      <c r="C687" s="10" t="str">
        <f t="shared" si="20"/>
        <v>Bryant Koback</v>
      </c>
      <c r="D687" s="10" t="str">
        <f t="shared" si="21"/>
        <v>MIN</v>
      </c>
      <c r="E687" cm="1">
        <f t="array" aca="1" ref="E687" ca="1">IFERROR(_xlfn.XLOOKUP(C687&amp;A687, Inside5!B:B&amp;Inside5!I:I, Inside5!C:C), 0)</f>
        <v>0</v>
      </c>
      <c r="F687" cm="1">
        <f t="array" aca="1" ref="F687" ca="1">IFERROR(_xlfn.XLOOKUP(C687&amp;A687, Inside5!B:B&amp;Inside5!I:I, Inside5!D:D), 0)</f>
        <v>0</v>
      </c>
      <c r="G687" cm="1">
        <f t="array" ref="G687">IFERROR(_xlfn.XLOOKUP(C687&amp;A687, Inside5!B:B&amp;Inside5!I:I, Inside5!E:E), 0)</f>
        <v>0</v>
      </c>
      <c r="H687" t="str" cm="1">
        <f t="array" ref="H687">IFERROR(_xlfn.XLOOKUP(C687&amp;A687, TDrate!F:F&amp;TDrate!H:H, TDrate!C:C), "N/A")</f>
        <v>N/A</v>
      </c>
      <c r="I687" t="str" cm="1">
        <f t="array" ref="I687">IFERROR(_xlfn.XLOOKUP(C687&amp;A687, TDrate!F:F&amp;TDrate!H:H, TDrate!E:E), "N/A")</f>
        <v>N/A</v>
      </c>
      <c r="J687" cm="1">
        <f t="array" ref="J687">IFERROR(_xlfn.XLOOKUP(C687&amp;A687, Inside5!B:B&amp;Inside5!I:I, Inside5!F:F), 0)</f>
        <v>0</v>
      </c>
      <c r="K687" cm="1">
        <f t="array" ref="K687">IFERROR(_xlfn.XLOOKUP(C687&amp;A687, Inside5!B:B&amp;Inside5!I:I, Inside5!G:G), 0)</f>
        <v>0</v>
      </c>
      <c r="L687" cm="1">
        <f t="array" ref="L687">IFERROR(_xlfn.XLOOKUP(C687&amp;A687, Inside5!B:B&amp;Inside5!I:I, Inside5!H:H), 0)</f>
        <v>0</v>
      </c>
      <c r="M687" t="str" cm="1">
        <f t="array" ref="M687">IFERROR(_xlfn.XLOOKUP(C687&amp;A687, TDrate!F:F&amp;TDrate!H:H, TDrate!B:B), "N/A")</f>
        <v>N/A</v>
      </c>
      <c r="N687" t="str" cm="1">
        <f t="array" ref="N687">IFERROR(_xlfn.XLOOKUP(C687&amp;A687, TDrate!F:F&amp;TDrate!H:H, TDrate!D:D), "N/A")</f>
        <v>N/A</v>
      </c>
    </row>
    <row r="688" spans="1:14" x14ac:dyDescent="0.45">
      <c r="A688" s="5">
        <v>2022</v>
      </c>
      <c r="B688" s="6" t="s">
        <v>627</v>
      </c>
      <c r="C688" s="7" t="str">
        <f t="shared" si="20"/>
        <v>Velus Jones Jr.</v>
      </c>
      <c r="D688" s="7" t="str">
        <f t="shared" si="21"/>
        <v>CHI</v>
      </c>
      <c r="E688" cm="1">
        <f t="array" aca="1" ref="E688" ca="1">IFERROR(_xlfn.XLOOKUP(C688&amp;A688, Inside5!B:B&amp;Inside5!I:I, Inside5!C:C), 0)</f>
        <v>0</v>
      </c>
      <c r="F688" cm="1">
        <f t="array" ref="F688">IFERROR(_xlfn.XLOOKUP(C688&amp;A688, Inside5!B:B&amp;Inside5!I:I, Inside5!D:D), 0)</f>
        <v>0</v>
      </c>
      <c r="G688" cm="1">
        <f t="array" ref="G688">IFERROR(_xlfn.XLOOKUP(C688&amp;A688, Inside5!B:B&amp;Inside5!I:I, Inside5!E:E), 0)</f>
        <v>0</v>
      </c>
      <c r="H688" t="str" cm="1">
        <f t="array" ref="H688">IFERROR(_xlfn.XLOOKUP(C688&amp;A688, TDrate!F:F&amp;TDrate!H:H, TDrate!C:C), "N/A")</f>
        <v>N/A</v>
      </c>
      <c r="I688" t="str" cm="1">
        <f t="array" ref="I688">IFERROR(_xlfn.XLOOKUP(C688&amp;A688, TDrate!F:F&amp;TDrate!H:H, TDrate!E:E), "N/A")</f>
        <v>N/A</v>
      </c>
      <c r="J688" cm="1">
        <f t="array" ref="J688">IFERROR(_xlfn.XLOOKUP(C688&amp;A688, Inside5!B:B&amp;Inside5!I:I, Inside5!F:F), 0)</f>
        <v>0</v>
      </c>
      <c r="K688" cm="1">
        <f t="array" ref="K688">IFERROR(_xlfn.XLOOKUP(C688&amp;A688, Inside5!B:B&amp;Inside5!I:I, Inside5!G:G), 0)</f>
        <v>0</v>
      </c>
      <c r="L688" cm="1">
        <f t="array" ref="L688">IFERROR(_xlfn.XLOOKUP(C688&amp;A688, Inside5!B:B&amp;Inside5!I:I, Inside5!H:H), 0)</f>
        <v>0</v>
      </c>
      <c r="M688" t="str" cm="1">
        <f t="array" ref="M688">IFERROR(_xlfn.XLOOKUP(C688&amp;A688, TDrate!F:F&amp;TDrate!H:H, TDrate!B:B), "N/A")</f>
        <v>N/A</v>
      </c>
      <c r="N688" t="str" cm="1">
        <f t="array" ref="N688">IFERROR(_xlfn.XLOOKUP(C688&amp;A688, TDrate!F:F&amp;TDrate!H:H, TDrate!D:D), "N/A")</f>
        <v>N/A</v>
      </c>
    </row>
    <row r="689" spans="1:14" x14ac:dyDescent="0.45">
      <c r="A689" s="8">
        <v>2022</v>
      </c>
      <c r="B689" s="9" t="s">
        <v>405</v>
      </c>
      <c r="C689" s="10" t="str">
        <f t="shared" si="20"/>
        <v>Connor Heyward</v>
      </c>
      <c r="D689" s="10" t="str">
        <f t="shared" si="21"/>
        <v>PIT</v>
      </c>
      <c r="E689" cm="1">
        <f t="array" ref="E689">IFERROR(_xlfn.XLOOKUP(C689&amp;A689, Inside5!B:B&amp;Inside5!I:I, Inside5!C:C), 0)</f>
        <v>0</v>
      </c>
      <c r="F689" cm="1">
        <f t="array" aca="1" ref="F689" ca="1">IFERROR(_xlfn.XLOOKUP(C689&amp;A689, Inside5!B:B&amp;Inside5!I:I, Inside5!D:D), 0)</f>
        <v>0</v>
      </c>
      <c r="G689" cm="1">
        <f t="array" ref="G689">IFERROR(_xlfn.XLOOKUP(C689&amp;A689, Inside5!B:B&amp;Inside5!I:I, Inside5!E:E), 0)</f>
        <v>0</v>
      </c>
      <c r="H689" t="str" cm="1">
        <f t="array" ref="H689">IFERROR(_xlfn.XLOOKUP(C689&amp;A689, TDrate!F:F&amp;TDrate!H:H, TDrate!C:C), "N/A")</f>
        <v>N/A</v>
      </c>
      <c r="I689" t="str" cm="1">
        <f t="array" ref="I689">IFERROR(_xlfn.XLOOKUP(C689&amp;A689, TDrate!F:F&amp;TDrate!H:H, TDrate!E:E), "N/A")</f>
        <v>N/A</v>
      </c>
      <c r="J689" cm="1">
        <f t="array" ref="J689">IFERROR(_xlfn.XLOOKUP(C689&amp;A689, Inside5!B:B&amp;Inside5!I:I, Inside5!F:F), 0)</f>
        <v>0</v>
      </c>
      <c r="K689" cm="1">
        <f t="array" ref="K689">IFERROR(_xlfn.XLOOKUP(C689&amp;A689, Inside5!B:B&amp;Inside5!I:I, Inside5!G:G), 0)</f>
        <v>0</v>
      </c>
      <c r="L689" cm="1">
        <f t="array" ref="L689">IFERROR(_xlfn.XLOOKUP(C689&amp;A689, Inside5!B:B&amp;Inside5!I:I, Inside5!H:H), 0)</f>
        <v>0</v>
      </c>
      <c r="M689" t="str" cm="1">
        <f t="array" ref="M689">IFERROR(_xlfn.XLOOKUP(C689&amp;A689, TDrate!F:F&amp;TDrate!H:H, TDrate!B:B), "N/A")</f>
        <v>N/A</v>
      </c>
      <c r="N689" t="str" cm="1">
        <f t="array" ref="N689">IFERROR(_xlfn.XLOOKUP(C689&amp;A689, TDrate!F:F&amp;TDrate!H:H, TDrate!D:D), "N/A")</f>
        <v>N/A</v>
      </c>
    </row>
    <row r="690" spans="1:14" x14ac:dyDescent="0.45">
      <c r="A690" s="5">
        <v>2022</v>
      </c>
      <c r="B690" s="6" t="s">
        <v>628</v>
      </c>
      <c r="C690" s="7" t="str">
        <f t="shared" si="20"/>
        <v>Brittain Brown</v>
      </c>
      <c r="D690" s="7" t="str">
        <f t="shared" si="21"/>
        <v>LV</v>
      </c>
      <c r="E690" cm="1">
        <f t="array" ref="E690">IFERROR(_xlfn.XLOOKUP(C690&amp;A690, Inside5!B:B&amp;Inside5!I:I, Inside5!C:C), 0)</f>
        <v>0</v>
      </c>
      <c r="F690" cm="1">
        <f t="array" ref="F690">IFERROR(_xlfn.XLOOKUP(C690&amp;A690, Inside5!B:B&amp;Inside5!I:I, Inside5!D:D), 0)</f>
        <v>0</v>
      </c>
      <c r="G690" cm="1">
        <f t="array" ref="G690">IFERROR(_xlfn.XLOOKUP(C690&amp;A690, Inside5!B:B&amp;Inside5!I:I, Inside5!E:E), 0)</f>
        <v>0</v>
      </c>
      <c r="H690" t="str" cm="1">
        <f t="array" ref="H690">IFERROR(_xlfn.XLOOKUP(C690&amp;A690, TDrate!F:F&amp;TDrate!H:H, TDrate!C:C), "N/A")</f>
        <v>N/A</v>
      </c>
      <c r="I690" t="str" cm="1">
        <f t="array" ref="I690">IFERROR(_xlfn.XLOOKUP(C690&amp;A690, TDrate!F:F&amp;TDrate!H:H, TDrate!E:E), "N/A")</f>
        <v>N/A</v>
      </c>
      <c r="J690" cm="1">
        <f t="array" ref="J690">IFERROR(_xlfn.XLOOKUP(C690&amp;A690, Inside5!B:B&amp;Inside5!I:I, Inside5!F:F), 0)</f>
        <v>0</v>
      </c>
      <c r="K690" cm="1">
        <f t="array" ref="K690">IFERROR(_xlfn.XLOOKUP(C690&amp;A690, Inside5!B:B&amp;Inside5!I:I, Inside5!G:G), 0)</f>
        <v>0</v>
      </c>
      <c r="L690" cm="1">
        <f t="array" ref="L690">IFERROR(_xlfn.XLOOKUP(C690&amp;A690, Inside5!B:B&amp;Inside5!I:I, Inside5!H:H), 0)</f>
        <v>0</v>
      </c>
      <c r="M690" t="str" cm="1">
        <f t="array" ref="M690">IFERROR(_xlfn.XLOOKUP(C690&amp;A690, TDrate!F:F&amp;TDrate!H:H, TDrate!B:B), "N/A")</f>
        <v>N/A</v>
      </c>
      <c r="N690" t="str" cm="1">
        <f t="array" ref="N690">IFERROR(_xlfn.XLOOKUP(C690&amp;A690, TDrate!F:F&amp;TDrate!H:H, TDrate!D:D), "N/A")</f>
        <v>N/A</v>
      </c>
    </row>
    <row r="691" spans="1:14" x14ac:dyDescent="0.45">
      <c r="A691" s="8">
        <v>2022</v>
      </c>
      <c r="B691" s="9" t="s">
        <v>714</v>
      </c>
      <c r="C691" s="10" t="str">
        <f t="shared" si="20"/>
        <v>John Lovett</v>
      </c>
      <c r="D691" s="10" t="str">
        <f t="shared" si="21"/>
        <v>CAR</v>
      </c>
      <c r="E691" cm="1">
        <f t="array" aca="1" ref="E691" ca="1">IFERROR(_xlfn.XLOOKUP(C691&amp;A691, Inside5!B:B&amp;Inside5!I:I, Inside5!C:C), 0)</f>
        <v>0</v>
      </c>
      <c r="F691" cm="1">
        <f t="array" aca="1" ref="F691" ca="1">IFERROR(_xlfn.XLOOKUP(C691&amp;A691, Inside5!B:B&amp;Inside5!I:I, Inside5!D:D), 0)</f>
        <v>0</v>
      </c>
      <c r="G691" cm="1">
        <f t="array" ref="G691">IFERROR(_xlfn.XLOOKUP(C691&amp;A691, Inside5!B:B&amp;Inside5!I:I, Inside5!E:E), 0)</f>
        <v>0</v>
      </c>
      <c r="H691" t="str" cm="1">
        <f t="array" ref="H691">IFERROR(_xlfn.XLOOKUP(C691&amp;A691, TDrate!F:F&amp;TDrate!H:H, TDrate!C:C), "N/A")</f>
        <v>N/A</v>
      </c>
      <c r="I691" t="str" cm="1">
        <f t="array" ref="I691">IFERROR(_xlfn.XLOOKUP(C691&amp;A691, TDrate!F:F&amp;TDrate!H:H, TDrate!E:E), "N/A")</f>
        <v>N/A</v>
      </c>
      <c r="J691" cm="1">
        <f t="array" ref="J691">IFERROR(_xlfn.XLOOKUP(C691&amp;A691, Inside5!B:B&amp;Inside5!I:I, Inside5!F:F), 0)</f>
        <v>0</v>
      </c>
      <c r="K691" cm="1">
        <f t="array" ref="K691">IFERROR(_xlfn.XLOOKUP(C691&amp;A691, Inside5!B:B&amp;Inside5!I:I, Inside5!G:G), 0)</f>
        <v>0</v>
      </c>
      <c r="L691" cm="1">
        <f t="array" ref="L691">IFERROR(_xlfn.XLOOKUP(C691&amp;A691, Inside5!B:B&amp;Inside5!I:I, Inside5!H:H), 0)</f>
        <v>0</v>
      </c>
      <c r="M691" t="str" cm="1">
        <f t="array" ref="M691">IFERROR(_xlfn.XLOOKUP(C691&amp;A691, TDrate!F:F&amp;TDrate!H:H, TDrate!B:B), "N/A")</f>
        <v>N/A</v>
      </c>
      <c r="N691" t="str" cm="1">
        <f t="array" ref="N691">IFERROR(_xlfn.XLOOKUP(C691&amp;A691, TDrate!F:F&amp;TDrate!H:H, TDrate!D:D), "N/A")</f>
        <v>N/A</v>
      </c>
    </row>
    <row r="692" spans="1:14" x14ac:dyDescent="0.45">
      <c r="A692" s="5">
        <v>2022</v>
      </c>
      <c r="B692" s="6" t="s">
        <v>715</v>
      </c>
      <c r="C692" s="7" t="str">
        <f t="shared" si="20"/>
        <v>Taiwan Jones</v>
      </c>
      <c r="D692" s="7" t="str">
        <f t="shared" si="21"/>
        <v>BUF</v>
      </c>
      <c r="E692" cm="1">
        <f t="array" ref="E692">IFERROR(_xlfn.XLOOKUP(C692&amp;A692, Inside5!B:B&amp;Inside5!I:I, Inside5!C:C), 0)</f>
        <v>0</v>
      </c>
      <c r="F692" cm="1">
        <f t="array" aca="1" ref="F692" ca="1">IFERROR(_xlfn.XLOOKUP(C692&amp;A692, Inside5!B:B&amp;Inside5!I:I, Inside5!D:D), 0)</f>
        <v>0</v>
      </c>
      <c r="G692" cm="1">
        <f t="array" ref="G692">IFERROR(_xlfn.XLOOKUP(C692&amp;A692, Inside5!B:B&amp;Inside5!I:I, Inside5!E:E), 0)</f>
        <v>0</v>
      </c>
      <c r="H692" t="str" cm="1">
        <f t="array" ref="H692">IFERROR(_xlfn.XLOOKUP(C692&amp;A692, TDrate!F:F&amp;TDrate!H:H, TDrate!C:C), "N/A")</f>
        <v>N/A</v>
      </c>
      <c r="I692" t="str" cm="1">
        <f t="array" ref="I692">IFERROR(_xlfn.XLOOKUP(C692&amp;A692, TDrate!F:F&amp;TDrate!H:H, TDrate!E:E), "N/A")</f>
        <v>N/A</v>
      </c>
      <c r="J692" cm="1">
        <f t="array" ref="J692">IFERROR(_xlfn.XLOOKUP(C692&amp;A692, Inside5!B:B&amp;Inside5!I:I, Inside5!F:F), 0)</f>
        <v>0</v>
      </c>
      <c r="K692" cm="1">
        <f t="array" ref="K692">IFERROR(_xlfn.XLOOKUP(C692&amp;A692, Inside5!B:B&amp;Inside5!I:I, Inside5!G:G), 0)</f>
        <v>0</v>
      </c>
      <c r="L692" cm="1">
        <f t="array" ref="L692">IFERROR(_xlfn.XLOOKUP(C692&amp;A692, Inside5!B:B&amp;Inside5!I:I, Inside5!H:H), 0)</f>
        <v>0</v>
      </c>
      <c r="M692" t="str" cm="1">
        <f t="array" ref="M692">IFERROR(_xlfn.XLOOKUP(C692&amp;A692, TDrate!F:F&amp;TDrate!H:H, TDrate!B:B), "N/A")</f>
        <v>N/A</v>
      </c>
      <c r="N692" t="str" cm="1">
        <f t="array" ref="N692">IFERROR(_xlfn.XLOOKUP(C692&amp;A692, TDrate!F:F&amp;TDrate!H:H, TDrate!D:D), "N/A")</f>
        <v>N/A</v>
      </c>
    </row>
    <row r="693" spans="1:14" x14ac:dyDescent="0.45">
      <c r="A693" s="8">
        <v>2021</v>
      </c>
      <c r="B693" s="9" t="s">
        <v>299</v>
      </c>
      <c r="C693" s="10" t="str">
        <f t="shared" si="20"/>
        <v>Jonathan Taylor</v>
      </c>
      <c r="D693" s="10" t="str">
        <f t="shared" si="21"/>
        <v>IND</v>
      </c>
      <c r="E693" cm="1">
        <f t="array" aca="1" ref="E693" ca="1">IFERROR(_xlfn.XLOOKUP(C693&amp;A693, Inside5!B:B&amp;Inside5!I:I, Inside5!C:C), 0)</f>
        <v>29</v>
      </c>
      <c r="F693" cm="1">
        <f t="array" aca="1" ref="F693" ca="1">IFERROR(_xlfn.XLOOKUP(C693&amp;A693, Inside5!B:B&amp;Inside5!I:I, Inside5!D:D), 0)</f>
        <v>12</v>
      </c>
      <c r="G693" cm="1">
        <f t="array" ref="G693">IFERROR(_xlfn.XLOOKUP(C693&amp;A693, Inside5!B:B&amp;Inside5!I:I, Inside5!E:E), 0)</f>
        <v>0.96699999999999997</v>
      </c>
      <c r="H693" cm="1">
        <f t="array" ref="H693">IFERROR(_xlfn.XLOOKUP(C693&amp;A693, TDrate!F:F&amp;TDrate!H:H, TDrate!C:C), "N/A")</f>
        <v>5.4199999999999998E-2</v>
      </c>
      <c r="I693" cm="1">
        <f t="array" ref="I693">IFERROR(_xlfn.XLOOKUP(C693&amp;A693, TDrate!F:F&amp;TDrate!H:H, TDrate!E:E), "N/A")</f>
        <v>5.2499999999999998E-2</v>
      </c>
      <c r="J693" cm="1">
        <f t="array" ref="J693">IFERROR(_xlfn.XLOOKUP(C693&amp;A693, Inside5!B:B&amp;Inside5!I:I, Inside5!F:F), 0)</f>
        <v>0</v>
      </c>
      <c r="K693" cm="1">
        <f t="array" ref="K693">IFERROR(_xlfn.XLOOKUP(C693&amp;A693, Inside5!B:B&amp;Inside5!I:I, Inside5!G:G), 0)</f>
        <v>0</v>
      </c>
      <c r="L693" cm="1">
        <f t="array" ref="L693">IFERROR(_xlfn.XLOOKUP(C693&amp;A693, Inside5!B:B&amp;Inside5!I:I, Inside5!H:H), 0)</f>
        <v>0</v>
      </c>
      <c r="M693" cm="1">
        <f t="array" ref="M693">IFERROR(_xlfn.XLOOKUP(C693&amp;A693, TDrate!F:F&amp;TDrate!H:H, TDrate!B:B), "N/A")</f>
        <v>3.7699999999999997E-2</v>
      </c>
      <c r="N693" cm="1">
        <f t="array" ref="N693">IFERROR(_xlfn.XLOOKUP(C693&amp;A693, TDrate!F:F&amp;TDrate!H:H, TDrate!D:D), "N/A")</f>
        <v>2.5499999999999998E-2</v>
      </c>
    </row>
    <row r="694" spans="1:14" x14ac:dyDescent="0.45">
      <c r="A694" s="5">
        <v>2021</v>
      </c>
      <c r="B694" s="6" t="s">
        <v>554</v>
      </c>
      <c r="C694" s="7" t="str">
        <f t="shared" si="20"/>
        <v>Austin Ekeler</v>
      </c>
      <c r="D694" s="7" t="str">
        <f t="shared" si="21"/>
        <v>LAC</v>
      </c>
      <c r="E694" cm="1">
        <f t="array" aca="1" ref="E694" ca="1">IFERROR(_xlfn.XLOOKUP(C694&amp;A694, Inside5!B:B&amp;Inside5!I:I, Inside5!C:C), 0)</f>
        <v>16</v>
      </c>
      <c r="F694" cm="1">
        <f t="array" aca="1" ref="F694" ca="1">IFERROR(_xlfn.XLOOKUP(C694&amp;A694, Inside5!B:B&amp;Inside5!I:I, Inside5!D:D), 0)</f>
        <v>9</v>
      </c>
      <c r="G694" cm="1">
        <f t="array" ref="G694">IFERROR(_xlfn.XLOOKUP(C694&amp;A694, Inside5!B:B&amp;Inside5!I:I, Inside5!E:E), 0)</f>
        <v>0.72699999999999998</v>
      </c>
      <c r="H694" cm="1">
        <f t="array" ref="H694">IFERROR(_xlfn.XLOOKUP(C694&amp;A694, TDrate!F:F&amp;TDrate!H:H, TDrate!C:C), "N/A")</f>
        <v>5.8299999999999998E-2</v>
      </c>
      <c r="I694" cm="1">
        <f t="array" ref="I694">IFERROR(_xlfn.XLOOKUP(C694&amp;A694, TDrate!F:F&amp;TDrate!H:H, TDrate!E:E), "N/A")</f>
        <v>5.1799999999999999E-2</v>
      </c>
      <c r="J694" cm="1">
        <f t="array" ref="J694">IFERROR(_xlfn.XLOOKUP(C694&amp;A694, Inside5!B:B&amp;Inside5!I:I, Inside5!F:F), 0)</f>
        <v>1</v>
      </c>
      <c r="K694" cm="1">
        <f t="array" aca="1" ref="K694" ca="1">IFERROR(_xlfn.XLOOKUP(C694&amp;A694, Inside5!B:B&amp;Inside5!I:I, Inside5!G:G), 0)</f>
        <v>1</v>
      </c>
      <c r="L694" cm="1">
        <f t="array" ref="L694">IFERROR(_xlfn.XLOOKUP(C694&amp;A694, Inside5!B:B&amp;Inside5!I:I, Inside5!H:H), 0)</f>
        <v>1</v>
      </c>
      <c r="M694" cm="1">
        <f t="array" ref="M694">IFERROR(_xlfn.XLOOKUP(C694&amp;A694, TDrate!F:F&amp;TDrate!H:H, TDrate!B:B), "N/A")</f>
        <v>8.5099999999999995E-2</v>
      </c>
      <c r="N694" cm="1">
        <f t="array" ref="N694">IFERROR(_xlfn.XLOOKUP(C694&amp;A694, TDrate!F:F&amp;TDrate!H:H, TDrate!D:D), "N/A")</f>
        <v>5.8200000000000002E-2</v>
      </c>
    </row>
    <row r="695" spans="1:14" x14ac:dyDescent="0.45">
      <c r="A695" s="8">
        <v>2021</v>
      </c>
      <c r="B695" s="9" t="s">
        <v>546</v>
      </c>
      <c r="C695" s="10" t="str">
        <f t="shared" si="20"/>
        <v>Joe Mixon</v>
      </c>
      <c r="D695" s="10" t="str">
        <f t="shared" si="21"/>
        <v>CIN</v>
      </c>
      <c r="E695" cm="1">
        <f t="array" ref="E695">IFERROR(_xlfn.XLOOKUP(C695&amp;A695, Inside5!B:B&amp;Inside5!I:I, Inside5!C:C), 0)</f>
        <v>15</v>
      </c>
      <c r="F695" cm="1">
        <f t="array" ref="F695">IFERROR(_xlfn.XLOOKUP(C695&amp;A695, Inside5!B:B&amp;Inside5!I:I, Inside5!D:D), 0)</f>
        <v>7</v>
      </c>
      <c r="G695" cm="1">
        <f t="array" ref="G695">IFERROR(_xlfn.XLOOKUP(C695&amp;A695, Inside5!B:B&amp;Inside5!I:I, Inside5!E:E), 0)</f>
        <v>0.93799999999999994</v>
      </c>
      <c r="H695" cm="1">
        <f t="array" ref="H695">IFERROR(_xlfn.XLOOKUP(C695&amp;A695, TDrate!F:F&amp;TDrate!H:H, TDrate!C:C), "N/A")</f>
        <v>4.4499999999999998E-2</v>
      </c>
      <c r="I695" cm="1">
        <f t="array" ref="I695">IFERROR(_xlfn.XLOOKUP(C695&amp;A695, TDrate!F:F&amp;TDrate!H:H, TDrate!E:E), "N/A")</f>
        <v>3.7999999999999999E-2</v>
      </c>
      <c r="J695" cm="1">
        <f t="array" ref="J695">IFERROR(_xlfn.XLOOKUP(C695&amp;A695, Inside5!B:B&amp;Inside5!I:I, Inside5!F:F), 0)</f>
        <v>1</v>
      </c>
      <c r="K695" cm="1">
        <f t="array" ref="K695">IFERROR(_xlfn.XLOOKUP(C695&amp;A695, Inside5!B:B&amp;Inside5!I:I, Inside5!G:G), 0)</f>
        <v>2</v>
      </c>
      <c r="L695" cm="1">
        <f t="array" ref="L695">IFERROR(_xlfn.XLOOKUP(C695&amp;A695, Inside5!B:B&amp;Inside5!I:I, Inside5!H:H), 0)</f>
        <v>0</v>
      </c>
      <c r="M695" cm="1">
        <f t="array" ref="M695">IFERROR(_xlfn.XLOOKUP(C695&amp;A695, TDrate!F:F&amp;TDrate!H:H, TDrate!B:B), "N/A")</f>
        <v>6.25E-2</v>
      </c>
      <c r="N695" cm="1">
        <f t="array" ref="N695">IFERROR(_xlfn.XLOOKUP(C695&amp;A695, TDrate!F:F&amp;TDrate!H:H, TDrate!D:D), "N/A")</f>
        <v>5.3100000000000001E-2</v>
      </c>
    </row>
    <row r="696" spans="1:14" x14ac:dyDescent="0.45">
      <c r="A696" s="5">
        <v>2021</v>
      </c>
      <c r="B696" s="6" t="s">
        <v>471</v>
      </c>
      <c r="C696" s="7" t="str">
        <f t="shared" si="20"/>
        <v>Najee Harris</v>
      </c>
      <c r="D696" s="7" t="str">
        <f t="shared" si="21"/>
        <v>PIT</v>
      </c>
      <c r="E696" cm="1">
        <f t="array" ref="E696">IFERROR(_xlfn.XLOOKUP(C696&amp;A696, Inside5!B:B&amp;Inside5!I:I, Inside5!C:C), 0)</f>
        <v>11</v>
      </c>
      <c r="F696" cm="1">
        <f t="array" ref="F696">IFERROR(_xlfn.XLOOKUP(C696&amp;A696, Inside5!B:B&amp;Inside5!I:I, Inside5!D:D), 0)</f>
        <v>4</v>
      </c>
      <c r="G696" cm="1">
        <f t="array" ref="G696">IFERROR(_xlfn.XLOOKUP(C696&amp;A696, Inside5!B:B&amp;Inside5!I:I, Inside5!E:E), 0)</f>
        <v>1</v>
      </c>
      <c r="H696" cm="1">
        <f t="array" ref="H696">IFERROR(_xlfn.XLOOKUP(C696&amp;A696, TDrate!F:F&amp;TDrate!H:H, TDrate!C:C), "N/A")</f>
        <v>2.2800000000000001E-2</v>
      </c>
      <c r="I696" cm="1">
        <f t="array" ref="I696">IFERROR(_xlfn.XLOOKUP(C696&amp;A696, TDrate!F:F&amp;TDrate!H:H, TDrate!E:E), "N/A")</f>
        <v>2.2599999999999999E-2</v>
      </c>
      <c r="J696" cm="1">
        <f t="array" ref="J696">IFERROR(_xlfn.XLOOKUP(C696&amp;A696, Inside5!B:B&amp;Inside5!I:I, Inside5!F:F), 0)</f>
        <v>2</v>
      </c>
      <c r="K696" cm="1">
        <f t="array" ref="K696">IFERROR(_xlfn.XLOOKUP(C696&amp;A696, Inside5!B:B&amp;Inside5!I:I, Inside5!G:G), 0)</f>
        <v>3</v>
      </c>
      <c r="L696" cm="1">
        <f t="array" ref="L696">IFERROR(_xlfn.XLOOKUP(C696&amp;A696, Inside5!B:B&amp;Inside5!I:I, Inside5!H:H), 0)</f>
        <v>2</v>
      </c>
      <c r="M696" cm="1">
        <f t="array" ref="M696">IFERROR(_xlfn.XLOOKUP(C696&amp;A696, TDrate!F:F&amp;TDrate!H:H, TDrate!B:B), "N/A")</f>
        <v>3.1899999999999998E-2</v>
      </c>
      <c r="N696" cm="1">
        <f t="array" ref="N696">IFERROR(_xlfn.XLOOKUP(C696&amp;A696, TDrate!F:F&amp;TDrate!H:H, TDrate!D:D), "N/A")</f>
        <v>3.44E-2</v>
      </c>
    </row>
    <row r="697" spans="1:14" x14ac:dyDescent="0.45">
      <c r="A697" s="8">
        <v>2021</v>
      </c>
      <c r="B697" s="9" t="s">
        <v>379</v>
      </c>
      <c r="C697" s="10" t="str">
        <f t="shared" si="20"/>
        <v>James Conner</v>
      </c>
      <c r="D697" s="10" t="str">
        <f t="shared" si="21"/>
        <v>ARI</v>
      </c>
      <c r="E697" cm="1">
        <f t="array" aca="1" ref="E697" ca="1">IFERROR(_xlfn.XLOOKUP(C697&amp;A697, Inside5!B:B&amp;Inside5!I:I, Inside5!C:C), 0)</f>
        <v>16</v>
      </c>
      <c r="F697" cm="1">
        <f t="array" aca="1" ref="F697" ca="1">IFERROR(_xlfn.XLOOKUP(C697&amp;A697, Inside5!B:B&amp;Inside5!I:I, Inside5!D:D), 0)</f>
        <v>9</v>
      </c>
      <c r="G697" cm="1">
        <f t="array" ref="G697">IFERROR(_xlfn.XLOOKUP(C697&amp;A697, Inside5!B:B&amp;Inside5!I:I, Inside5!E:E), 0)</f>
        <v>0.76200000000000001</v>
      </c>
      <c r="H697" cm="1">
        <f t="array" ref="H697">IFERROR(_xlfn.XLOOKUP(C697&amp;A697, TDrate!F:F&amp;TDrate!H:H, TDrate!C:C), "N/A")</f>
        <v>7.4300000000000005E-2</v>
      </c>
      <c r="I697" cm="1">
        <f t="array" ref="I697">IFERROR(_xlfn.XLOOKUP(C697&amp;A697, TDrate!F:F&amp;TDrate!H:H, TDrate!E:E), "N/A")</f>
        <v>6.1499999999999999E-2</v>
      </c>
      <c r="J697" cm="1">
        <f t="array" ref="J697">IFERROR(_xlfn.XLOOKUP(C697&amp;A697, Inside5!B:B&amp;Inside5!I:I, Inside5!F:F), 0)</f>
        <v>0</v>
      </c>
      <c r="K697" cm="1">
        <f t="array" ref="K697">IFERROR(_xlfn.XLOOKUP(C697&amp;A697, Inside5!B:B&amp;Inside5!I:I, Inside5!G:G), 0)</f>
        <v>0</v>
      </c>
      <c r="L697" cm="1">
        <f t="array" ref="L697">IFERROR(_xlfn.XLOOKUP(C697&amp;A697, Inside5!B:B&amp;Inside5!I:I, Inside5!H:H), 0)</f>
        <v>0</v>
      </c>
      <c r="M697" cm="1">
        <f t="array" ref="M697">IFERROR(_xlfn.XLOOKUP(C697&amp;A697, TDrate!F:F&amp;TDrate!H:H, TDrate!B:B), "N/A")</f>
        <v>7.6899999999999996E-2</v>
      </c>
      <c r="N697" cm="1">
        <f t="array" ref="N697">IFERROR(_xlfn.XLOOKUP(C697&amp;A697, TDrate!F:F&amp;TDrate!H:H, TDrate!D:D), "N/A")</f>
        <v>4.6399999999999997E-2</v>
      </c>
    </row>
    <row r="698" spans="1:14" x14ac:dyDescent="0.45">
      <c r="A698" s="5">
        <v>2021</v>
      </c>
      <c r="B698" s="6" t="s">
        <v>488</v>
      </c>
      <c r="C698" s="7" t="str">
        <f t="shared" si="20"/>
        <v>Ezekiel Elliott</v>
      </c>
      <c r="D698" s="7" t="str">
        <f t="shared" si="21"/>
        <v>DAL</v>
      </c>
      <c r="E698" cm="1">
        <f t="array" ref="E698">IFERROR(_xlfn.XLOOKUP(C698&amp;A698, Inside5!B:B&amp;Inside5!I:I, Inside5!C:C), 0)</f>
        <v>14</v>
      </c>
      <c r="F698" cm="1">
        <f t="array" ref="F698">IFERROR(_xlfn.XLOOKUP(C698&amp;A698, Inside5!B:B&amp;Inside5!I:I, Inside5!D:D), 0)</f>
        <v>7</v>
      </c>
      <c r="G698" cm="1">
        <f t="array" ref="G698">IFERROR(_xlfn.XLOOKUP(C698&amp;A698, Inside5!B:B&amp;Inside5!I:I, Inside5!E:E), 0)</f>
        <v>0.875</v>
      </c>
      <c r="H698" cm="1">
        <f t="array" ref="H698">IFERROR(_xlfn.XLOOKUP(C698&amp;A698, TDrate!F:F&amp;TDrate!H:H, TDrate!C:C), "N/A")</f>
        <v>4.2200000000000001E-2</v>
      </c>
      <c r="I698" cm="1">
        <f t="array" ref="I698">IFERROR(_xlfn.XLOOKUP(C698&amp;A698, TDrate!F:F&amp;TDrate!H:H, TDrate!E:E), "N/A")</f>
        <v>3.7699999999999997E-2</v>
      </c>
      <c r="J698" cm="1">
        <f t="array" ref="J698">IFERROR(_xlfn.XLOOKUP(C698&amp;A698, Inside5!B:B&amp;Inside5!I:I, Inside5!F:F), 0)</f>
        <v>4</v>
      </c>
      <c r="K698" cm="1">
        <f t="array" ref="K698">IFERROR(_xlfn.XLOOKUP(C698&amp;A698, Inside5!B:B&amp;Inside5!I:I, Inside5!G:G), 0)</f>
        <v>4</v>
      </c>
      <c r="L698" cm="1">
        <f t="array" ref="L698">IFERROR(_xlfn.XLOOKUP(C698&amp;A698, Inside5!B:B&amp;Inside5!I:I, Inside5!H:H), 0)</f>
        <v>2</v>
      </c>
      <c r="M698" cm="1">
        <f t="array" ref="M698">IFERROR(_xlfn.XLOOKUP(C698&amp;A698, TDrate!F:F&amp;TDrate!H:H, TDrate!B:B), "N/A")</f>
        <v>3.0800000000000001E-2</v>
      </c>
      <c r="N698" cm="1">
        <f t="array" ref="N698">IFERROR(_xlfn.XLOOKUP(C698&amp;A698, TDrate!F:F&amp;TDrate!H:H, TDrate!D:D), "N/A")</f>
        <v>4.1000000000000002E-2</v>
      </c>
    </row>
    <row r="699" spans="1:14" x14ac:dyDescent="0.45">
      <c r="A699" s="8">
        <v>2021</v>
      </c>
      <c r="B699" s="9" t="s">
        <v>483</v>
      </c>
      <c r="C699" s="10" t="str">
        <f t="shared" si="20"/>
        <v>Nick Chubb</v>
      </c>
      <c r="D699" s="10" t="str">
        <f t="shared" si="21"/>
        <v>CLE</v>
      </c>
      <c r="E699" cm="1">
        <f t="array" ref="E699">IFERROR(_xlfn.XLOOKUP(C699&amp;A699, Inside5!B:B&amp;Inside5!I:I, Inside5!C:C), 0)</f>
        <v>11</v>
      </c>
      <c r="F699" cm="1">
        <f t="array" ref="F699">IFERROR(_xlfn.XLOOKUP(C699&amp;A699, Inside5!B:B&amp;Inside5!I:I, Inside5!D:D), 0)</f>
        <v>4</v>
      </c>
      <c r="G699" cm="1">
        <f t="array" ref="G699">IFERROR(_xlfn.XLOOKUP(C699&amp;A699, Inside5!B:B&amp;Inside5!I:I, Inside5!E:E), 0)</f>
        <v>0.61099999999999999</v>
      </c>
      <c r="H699" cm="1">
        <f t="array" ref="H699">IFERROR(_xlfn.XLOOKUP(C699&amp;A699, TDrate!F:F&amp;TDrate!H:H, TDrate!C:C), "N/A")</f>
        <v>3.5099999999999999E-2</v>
      </c>
      <c r="I699" cm="1">
        <f t="array" ref="I699">IFERROR(_xlfn.XLOOKUP(C699&amp;A699, TDrate!F:F&amp;TDrate!H:H, TDrate!E:E), "N/A")</f>
        <v>3.3700000000000001E-2</v>
      </c>
      <c r="J699" cm="1">
        <f t="array" ref="J699">IFERROR(_xlfn.XLOOKUP(C699&amp;A699, Inside5!B:B&amp;Inside5!I:I, Inside5!F:F), 0)</f>
        <v>1</v>
      </c>
      <c r="K699" cm="1">
        <f t="array" ref="K699">IFERROR(_xlfn.XLOOKUP(C699&amp;A699, Inside5!B:B&amp;Inside5!I:I, Inside5!G:G), 0)</f>
        <v>1</v>
      </c>
      <c r="L699" cm="1">
        <f t="array" ref="L699">IFERROR(_xlfn.XLOOKUP(C699&amp;A699, Inside5!B:B&amp;Inside5!I:I, Inside5!H:H), 0)</f>
        <v>1</v>
      </c>
      <c r="M699" cm="1">
        <f t="array" ref="M699">IFERROR(_xlfn.XLOOKUP(C699&amp;A699, TDrate!F:F&amp;TDrate!H:H, TDrate!B:B), "N/A")</f>
        <v>0.04</v>
      </c>
      <c r="N699" cm="1">
        <f t="array" ref="N699">IFERROR(_xlfn.XLOOKUP(C699&amp;A699, TDrate!F:F&amp;TDrate!H:H, TDrate!D:D), "N/A")</f>
        <v>3.2300000000000002E-2</v>
      </c>
    </row>
    <row r="700" spans="1:14" x14ac:dyDescent="0.45">
      <c r="A700" s="5">
        <v>2021</v>
      </c>
      <c r="B700" s="6" t="s">
        <v>647</v>
      </c>
      <c r="C700" s="7" t="str">
        <f t="shared" si="20"/>
        <v>Damien Harris</v>
      </c>
      <c r="D700" s="7" t="str">
        <f t="shared" si="21"/>
        <v>NE</v>
      </c>
      <c r="E700" cm="1">
        <f t="array" aca="1" ref="E700" ca="1">IFERROR(_xlfn.XLOOKUP(C700&amp;A700, Inside5!B:B&amp;Inside5!I:I, Inside5!C:C), 0)</f>
        <v>15</v>
      </c>
      <c r="F700" cm="1">
        <f t="array" aca="1" ref="F700" ca="1">IFERROR(_xlfn.XLOOKUP(C700&amp;A700, Inside5!B:B&amp;Inside5!I:I, Inside5!D:D), 0)</f>
        <v>8</v>
      </c>
      <c r="G700" cm="1">
        <f t="array" ref="G700">IFERROR(_xlfn.XLOOKUP(C700&amp;A700, Inside5!B:B&amp;Inside5!I:I, Inside5!E:E), 0)</f>
        <v>0.57699999999999996</v>
      </c>
      <c r="H700" cm="1">
        <f t="array" ref="H700">IFERROR(_xlfn.XLOOKUP(C700&amp;A700, TDrate!F:F&amp;TDrate!H:H, TDrate!C:C), "N/A")</f>
        <v>7.3899999999999993E-2</v>
      </c>
      <c r="I700" cm="1">
        <f t="array" ref="I700">IFERROR(_xlfn.XLOOKUP(C700&amp;A700, TDrate!F:F&amp;TDrate!H:H, TDrate!E:E), "N/A")</f>
        <v>6.0400000000000002E-2</v>
      </c>
      <c r="J700" cm="1">
        <f t="array" ref="J700">IFERROR(_xlfn.XLOOKUP(C700&amp;A700, Inside5!B:B&amp;Inside5!I:I, Inside5!F:F), 0)</f>
        <v>0</v>
      </c>
      <c r="K700" cm="1">
        <f t="array" ref="K700">IFERROR(_xlfn.XLOOKUP(C700&amp;A700, Inside5!B:B&amp;Inside5!I:I, Inside5!G:G), 0)</f>
        <v>0</v>
      </c>
      <c r="L700" cm="1">
        <f t="array" ref="L700">IFERROR(_xlfn.XLOOKUP(C700&amp;A700, Inside5!B:B&amp;Inside5!I:I, Inside5!H:H), 0)</f>
        <v>0</v>
      </c>
      <c r="M700" cm="1">
        <f t="array" ref="M700">IFERROR(_xlfn.XLOOKUP(C700&amp;A700, TDrate!F:F&amp;TDrate!H:H, TDrate!B:B), "N/A")</f>
        <v>0</v>
      </c>
      <c r="N700" cm="1">
        <f t="array" ref="N700">IFERROR(_xlfn.XLOOKUP(C700&amp;A700, TDrate!F:F&amp;TDrate!H:H, TDrate!D:D), "N/A")</f>
        <v>1.03E-2</v>
      </c>
    </row>
    <row r="701" spans="1:14" x14ac:dyDescent="0.45">
      <c r="A701" s="8">
        <v>2021</v>
      </c>
      <c r="B701" s="9" t="s">
        <v>342</v>
      </c>
      <c r="C701" s="10" t="str">
        <f t="shared" si="20"/>
        <v>Alvin Kamara</v>
      </c>
      <c r="D701" s="10" t="str">
        <f t="shared" si="21"/>
        <v>NO</v>
      </c>
      <c r="E701" cm="1">
        <f t="array" ref="E701">IFERROR(_xlfn.XLOOKUP(C701&amp;A701, Inside5!B:B&amp;Inside5!I:I, Inside5!C:C), 0)</f>
        <v>9</v>
      </c>
      <c r="F701" cm="1">
        <f t="array" ref="F701">IFERROR(_xlfn.XLOOKUP(C701&amp;A701, Inside5!B:B&amp;Inside5!I:I, Inside5!D:D), 0)</f>
        <v>2</v>
      </c>
      <c r="G701" cm="1">
        <f t="array" ref="G701">IFERROR(_xlfn.XLOOKUP(C701&amp;A701, Inside5!B:B&amp;Inside5!I:I, Inside5!E:E), 0)</f>
        <v>0.52900000000000003</v>
      </c>
      <c r="H701" cm="1">
        <f t="array" ref="H701">IFERROR(_xlfn.XLOOKUP(C701&amp;A701, TDrate!F:F&amp;TDrate!H:H, TDrate!C:C), "N/A")</f>
        <v>1.67E-2</v>
      </c>
      <c r="I701" cm="1">
        <f t="array" ref="I701">IFERROR(_xlfn.XLOOKUP(C701&amp;A701, TDrate!F:F&amp;TDrate!H:H, TDrate!E:E), "N/A")</f>
        <v>2.3199999999999998E-2</v>
      </c>
      <c r="J701" cm="1">
        <f t="array" ref="J701">IFERROR(_xlfn.XLOOKUP(C701&amp;A701, Inside5!B:B&amp;Inside5!I:I, Inside5!F:F), 0)</f>
        <v>1</v>
      </c>
      <c r="K701" cm="1">
        <f t="array" ref="K701">IFERROR(_xlfn.XLOOKUP(C701&amp;A701, Inside5!B:B&amp;Inside5!I:I, Inside5!G:G), 0)</f>
        <v>1</v>
      </c>
      <c r="L701" cm="1">
        <f t="array" ref="L701">IFERROR(_xlfn.XLOOKUP(C701&amp;A701, Inside5!B:B&amp;Inside5!I:I, Inside5!H:H), 0)</f>
        <v>1</v>
      </c>
      <c r="M701" cm="1">
        <f t="array" ref="M701">IFERROR(_xlfn.XLOOKUP(C701&amp;A701, TDrate!F:F&amp;TDrate!H:H, TDrate!B:B), "N/A")</f>
        <v>7.46E-2</v>
      </c>
      <c r="N701" cm="1">
        <f t="array" ref="N701">IFERROR(_xlfn.XLOOKUP(C701&amp;A701, TDrate!F:F&amp;TDrate!H:H, TDrate!D:D), "N/A")</f>
        <v>5.6300000000000003E-2</v>
      </c>
    </row>
    <row r="702" spans="1:14" x14ac:dyDescent="0.45">
      <c r="A702" s="5">
        <v>2021</v>
      </c>
      <c r="B702" s="6" t="s">
        <v>562</v>
      </c>
      <c r="C702" s="7" t="str">
        <f t="shared" si="20"/>
        <v>Antonio Gibson</v>
      </c>
      <c r="D702" s="7" t="str">
        <f t="shared" si="21"/>
        <v>WAS</v>
      </c>
      <c r="E702" cm="1">
        <f t="array" aca="1" ref="E702" ca="1">IFERROR(_xlfn.XLOOKUP(C702&amp;A702, Inside5!B:B&amp;Inside5!I:I, Inside5!C:C), 0)</f>
        <v>15</v>
      </c>
      <c r="F702" cm="1">
        <f t="array" ref="F702">IFERROR(_xlfn.XLOOKUP(C702&amp;A702, Inside5!B:B&amp;Inside5!I:I, Inside5!D:D), 0)</f>
        <v>6</v>
      </c>
      <c r="G702" cm="1">
        <f t="array" ref="G702">IFERROR(_xlfn.XLOOKUP(C702&amp;A702, Inside5!B:B&amp;Inside5!I:I, Inside5!E:E), 0)</f>
        <v>0.71399999999999997</v>
      </c>
      <c r="H702" cm="1">
        <f t="array" ref="H702">IFERROR(_xlfn.XLOOKUP(C702&amp;A702, TDrate!F:F&amp;TDrate!H:H, TDrate!C:C), "N/A")</f>
        <v>2.7099999999999999E-2</v>
      </c>
      <c r="I702" cm="1">
        <f t="array" ref="I702">IFERROR(_xlfn.XLOOKUP(C702&amp;A702, TDrate!F:F&amp;TDrate!H:H, TDrate!E:E), "N/A")</f>
        <v>3.2500000000000001E-2</v>
      </c>
      <c r="J702" cm="1">
        <f t="array" ref="J702">IFERROR(_xlfn.XLOOKUP(C702&amp;A702, Inside5!B:B&amp;Inside5!I:I, Inside5!F:F), 0)</f>
        <v>1</v>
      </c>
      <c r="K702" cm="1">
        <f t="array" ref="K702">IFERROR(_xlfn.XLOOKUP(C702&amp;A702, Inside5!B:B&amp;Inside5!I:I, Inside5!G:G), 0)</f>
        <v>2</v>
      </c>
      <c r="L702" cm="1">
        <f t="array" ref="L702">IFERROR(_xlfn.XLOOKUP(C702&amp;A702, Inside5!B:B&amp;Inside5!I:I, Inside5!H:H), 0)</f>
        <v>1</v>
      </c>
      <c r="M702" cm="1">
        <f t="array" ref="M702">IFERROR(_xlfn.XLOOKUP(C702&amp;A702, TDrate!F:F&amp;TDrate!H:H, TDrate!B:B), "N/A")</f>
        <v>5.7700000000000001E-2</v>
      </c>
      <c r="N702" cm="1">
        <f t="array" ref="N702">IFERROR(_xlfn.XLOOKUP(C702&amp;A702, TDrate!F:F&amp;TDrate!H:H, TDrate!D:D), "N/A")</f>
        <v>4.8000000000000001E-2</v>
      </c>
    </row>
    <row r="703" spans="1:14" x14ac:dyDescent="0.45">
      <c r="A703" s="8">
        <v>2021</v>
      </c>
      <c r="B703" s="9" t="s">
        <v>637</v>
      </c>
      <c r="C703" s="10" t="str">
        <f t="shared" si="20"/>
        <v>Leonard Fournette</v>
      </c>
      <c r="D703" s="10" t="str">
        <f t="shared" si="21"/>
        <v>TB</v>
      </c>
      <c r="E703" cm="1">
        <f t="array" ref="E703">IFERROR(_xlfn.XLOOKUP(C703&amp;A703, Inside5!B:B&amp;Inside5!I:I, Inside5!C:C), 0)</f>
        <v>14</v>
      </c>
      <c r="F703" cm="1">
        <f t="array" aca="1" ref="F703" ca="1">IFERROR(_xlfn.XLOOKUP(C703&amp;A703, Inside5!B:B&amp;Inside5!I:I, Inside5!D:D), 0)</f>
        <v>6</v>
      </c>
      <c r="G703" cm="1">
        <f t="array" ref="G703">IFERROR(_xlfn.XLOOKUP(C703&amp;A703, Inside5!B:B&amp;Inside5!I:I, Inside5!E:E), 0)</f>
        <v>0.73699999999999999</v>
      </c>
      <c r="H703" cm="1">
        <f t="array" ref="H703">IFERROR(_xlfn.XLOOKUP(C703&amp;A703, TDrate!F:F&amp;TDrate!H:H, TDrate!C:C), "N/A")</f>
        <v>4.4400000000000002E-2</v>
      </c>
      <c r="I703" cm="1">
        <f t="array" ref="I703">IFERROR(_xlfn.XLOOKUP(C703&amp;A703, TDrate!F:F&amp;TDrate!H:H, TDrate!E:E), "N/A")</f>
        <v>4.4999999999999998E-2</v>
      </c>
      <c r="J703" cm="1">
        <f t="array" ref="J703">IFERROR(_xlfn.XLOOKUP(C703&amp;A703, Inside5!B:B&amp;Inside5!I:I, Inside5!F:F), 0)</f>
        <v>2</v>
      </c>
      <c r="K703" cm="1">
        <f t="array" ref="K703">IFERROR(_xlfn.XLOOKUP(C703&amp;A703, Inside5!B:B&amp;Inside5!I:I, Inside5!G:G), 0)</f>
        <v>3</v>
      </c>
      <c r="L703" cm="1">
        <f t="array" ref="L703">IFERROR(_xlfn.XLOOKUP(C703&amp;A703, Inside5!B:B&amp;Inside5!I:I, Inside5!H:H), 0)</f>
        <v>2</v>
      </c>
      <c r="M703" cm="1">
        <f t="array" ref="M703">IFERROR(_xlfn.XLOOKUP(C703&amp;A703, TDrate!F:F&amp;TDrate!H:H, TDrate!B:B), "N/A")</f>
        <v>2.3800000000000002E-2</v>
      </c>
      <c r="N703" cm="1">
        <f t="array" ref="N703">IFERROR(_xlfn.XLOOKUP(C703&amp;A703, TDrate!F:F&amp;TDrate!H:H, TDrate!D:D), "N/A")</f>
        <v>3.2800000000000003E-2</v>
      </c>
    </row>
    <row r="704" spans="1:14" x14ac:dyDescent="0.45">
      <c r="A704" s="5">
        <v>2021</v>
      </c>
      <c r="B704" s="6" t="s">
        <v>571</v>
      </c>
      <c r="C704" s="7" t="str">
        <f t="shared" si="20"/>
        <v>Cordarrelle Patterson</v>
      </c>
      <c r="D704" s="7" t="str">
        <f t="shared" si="21"/>
        <v>ATL</v>
      </c>
      <c r="E704" cm="1">
        <f t="array" ref="E704">IFERROR(_xlfn.XLOOKUP(C704&amp;A704, Inside5!B:B&amp;Inside5!I:I, Inside5!C:C), 0)</f>
        <v>7</v>
      </c>
      <c r="F704" cm="1">
        <f t="array" ref="F704">IFERROR(_xlfn.XLOOKUP(C704&amp;A704, Inside5!B:B&amp;Inside5!I:I, Inside5!D:D), 0)</f>
        <v>2</v>
      </c>
      <c r="G704" cm="1">
        <f t="array" ref="G704">IFERROR(_xlfn.XLOOKUP(C704&amp;A704, Inside5!B:B&amp;Inside5!I:I, Inside5!E:E), 0)</f>
        <v>0.63600000000000001</v>
      </c>
      <c r="H704" cm="1">
        <f t="array" ref="H704">IFERROR(_xlfn.XLOOKUP(C704&amp;A704, TDrate!F:F&amp;TDrate!H:H, TDrate!C:C), "N/A")</f>
        <v>3.9199999999999999E-2</v>
      </c>
      <c r="I704" cm="1">
        <f t="array" ref="I704">IFERROR(_xlfn.XLOOKUP(C704&amp;A704, TDrate!F:F&amp;TDrate!H:H, TDrate!E:E), "N/A")</f>
        <v>3.5799999999999998E-2</v>
      </c>
      <c r="J704" cm="1">
        <f t="array" ref="J704">IFERROR(_xlfn.XLOOKUP(C704&amp;A704, Inside5!B:B&amp;Inside5!I:I, Inside5!F:F), 0)</f>
        <v>0</v>
      </c>
      <c r="K704" cm="1">
        <f t="array" ref="K704">IFERROR(_xlfn.XLOOKUP(C704&amp;A704, Inside5!B:B&amp;Inside5!I:I, Inside5!G:G), 0)</f>
        <v>1</v>
      </c>
      <c r="L704" cm="1">
        <f t="array" ref="L704">IFERROR(_xlfn.XLOOKUP(C704&amp;A704, Inside5!B:B&amp;Inside5!I:I, Inside5!H:H), 0)</f>
        <v>0</v>
      </c>
      <c r="M704" cm="1">
        <f t="array" ref="M704">IFERROR(_xlfn.XLOOKUP(C704&amp;A704, TDrate!F:F&amp;TDrate!H:H, TDrate!B:B), "N/A")</f>
        <v>7.2499999999999995E-2</v>
      </c>
      <c r="N704" cm="1">
        <f t="array" ref="N704">IFERROR(_xlfn.XLOOKUP(C704&amp;A704, TDrate!F:F&amp;TDrate!H:H, TDrate!D:D), "N/A")</f>
        <v>5.0799999999999998E-2</v>
      </c>
    </row>
    <row r="705" spans="1:14" x14ac:dyDescent="0.45">
      <c r="A705" s="8">
        <v>2021</v>
      </c>
      <c r="B705" s="9" t="s">
        <v>556</v>
      </c>
      <c r="C705" s="10" t="str">
        <f t="shared" si="20"/>
        <v>Aaron Jones Sr.</v>
      </c>
      <c r="D705" s="10" t="str">
        <f t="shared" si="21"/>
        <v>GB</v>
      </c>
      <c r="E705" cm="1">
        <f t="array" ref="E705">IFERROR(_xlfn.XLOOKUP(C705&amp;A705, Inside5!B:B&amp;Inside5!I:I, Inside5!C:C), 0)</f>
        <v>8</v>
      </c>
      <c r="F705" cm="1">
        <f t="array" ref="F705">IFERROR(_xlfn.XLOOKUP(C705&amp;A705, Inside5!B:B&amp;Inside5!I:I, Inside5!D:D), 0)</f>
        <v>4</v>
      </c>
      <c r="G705" cm="1">
        <f t="array" ref="G705">IFERROR(_xlfn.XLOOKUP(C705&amp;A705, Inside5!B:B&amp;Inside5!I:I, Inside5!E:E), 0)</f>
        <v>0.42099999999999999</v>
      </c>
      <c r="H705" cm="1">
        <f t="array" ref="H705">IFERROR(_xlfn.XLOOKUP(C705&amp;A705, TDrate!F:F&amp;TDrate!H:H, TDrate!C:C), "N/A")</f>
        <v>2.3400000000000001E-2</v>
      </c>
      <c r="I705" cm="1">
        <f t="array" ref="I705">IFERROR(_xlfn.XLOOKUP(C705&amp;A705, TDrate!F:F&amp;TDrate!H:H, TDrate!E:E), "N/A")</f>
        <v>2.8000000000000001E-2</v>
      </c>
      <c r="J705" cm="1">
        <f t="array" ref="J705">IFERROR(_xlfn.XLOOKUP(C705&amp;A705, Inside5!B:B&amp;Inside5!I:I, Inside5!F:F), 0)</f>
        <v>2</v>
      </c>
      <c r="K705" cm="1">
        <f t="array" ref="K705">IFERROR(_xlfn.XLOOKUP(C705&amp;A705, Inside5!B:B&amp;Inside5!I:I, Inside5!G:G), 0)</f>
        <v>2</v>
      </c>
      <c r="L705" cm="1">
        <f t="array" ref="L705">IFERROR(_xlfn.XLOOKUP(C705&amp;A705, Inside5!B:B&amp;Inside5!I:I, Inside5!H:H), 0)</f>
        <v>2</v>
      </c>
      <c r="M705" cm="1">
        <f t="array" ref="M705">IFERROR(_xlfn.XLOOKUP(C705&amp;A705, TDrate!F:F&amp;TDrate!H:H, TDrate!B:B), "N/A")</f>
        <v>9.2299999999999993E-2</v>
      </c>
      <c r="N705" cm="1">
        <f t="array" ref="N705">IFERROR(_xlfn.XLOOKUP(C705&amp;A705, TDrate!F:F&amp;TDrate!H:H, TDrate!D:D), "N/A")</f>
        <v>7.0900000000000005E-2</v>
      </c>
    </row>
    <row r="706" spans="1:14" x14ac:dyDescent="0.45">
      <c r="A706" s="5">
        <v>2021</v>
      </c>
      <c r="B706" s="6" t="s">
        <v>545</v>
      </c>
      <c r="C706" s="7" t="str">
        <f t="shared" ref="C706:C769" si="22">TRIM(LEFT(B706, LEN(B706) - LEN(TRIM(RIGHT(SUBSTITUTE(TRIM(B706)," ",REPT(" ",100)),100)))))</f>
        <v>Derrick Henry</v>
      </c>
      <c r="D706" s="7" t="str">
        <f t="shared" ref="D706:D769" si="23">MID(B706, FIND("(", B706) + 1, FIND(")", B706) - FIND("(", B706) - 1)</f>
        <v>TEN</v>
      </c>
      <c r="E706" cm="1">
        <f t="array" aca="1" ref="E706" ca="1">IFERROR(_xlfn.XLOOKUP(C706&amp;A706, Inside5!B:B&amp;Inside5!I:I, Inside5!C:C), 0)</f>
        <v>9</v>
      </c>
      <c r="F706" cm="1">
        <f t="array" aca="1" ref="F706" ca="1">IFERROR(_xlfn.XLOOKUP(C706&amp;A706, Inside5!B:B&amp;Inside5!I:I, Inside5!D:D), 0)</f>
        <v>4</v>
      </c>
      <c r="G706" cm="1">
        <f t="array" ref="G706">IFERROR(_xlfn.XLOOKUP(C706&amp;A706, Inside5!B:B&amp;Inside5!I:I, Inside5!E:E), 0)</f>
        <v>0.52900000000000003</v>
      </c>
      <c r="H706" cm="1">
        <f t="array" ref="H706">IFERROR(_xlfn.XLOOKUP(C706&amp;A706, TDrate!F:F&amp;TDrate!H:H, TDrate!C:C), "N/A")</f>
        <v>4.5699999999999998E-2</v>
      </c>
      <c r="I706" cm="1">
        <f t="array" ref="I706">IFERROR(_xlfn.XLOOKUP(C706&amp;A706, TDrate!F:F&amp;TDrate!H:H, TDrate!E:E), "N/A")</f>
        <v>3.7100000000000001E-2</v>
      </c>
      <c r="J706" cm="1">
        <f t="array" ref="J706">IFERROR(_xlfn.XLOOKUP(C706&amp;A706, Inside5!B:B&amp;Inside5!I:I, Inside5!F:F), 0)</f>
        <v>0</v>
      </c>
      <c r="K706" cm="1">
        <f t="array" ref="K706">IFERROR(_xlfn.XLOOKUP(C706&amp;A706, Inside5!B:B&amp;Inside5!I:I, Inside5!G:G), 0)</f>
        <v>0</v>
      </c>
      <c r="L706" cm="1">
        <f t="array" ref="L706">IFERROR(_xlfn.XLOOKUP(C706&amp;A706, Inside5!B:B&amp;Inside5!I:I, Inside5!H:H), 0)</f>
        <v>0</v>
      </c>
      <c r="M706" cm="1">
        <f t="array" ref="M706">IFERROR(_xlfn.XLOOKUP(C706&amp;A706, TDrate!F:F&amp;TDrate!H:H, TDrate!B:B), "N/A")</f>
        <v>0</v>
      </c>
      <c r="N706" cm="1">
        <f t="array" ref="N706">IFERROR(_xlfn.XLOOKUP(C706&amp;A706, TDrate!F:F&amp;TDrate!H:H, TDrate!D:D), "N/A")</f>
        <v>7.4999999999999997E-3</v>
      </c>
    </row>
    <row r="707" spans="1:14" x14ac:dyDescent="0.45">
      <c r="A707" s="8">
        <v>2021</v>
      </c>
      <c r="B707" s="9" t="s">
        <v>635</v>
      </c>
      <c r="C707" s="10" t="str">
        <f t="shared" si="22"/>
        <v>Dalvin Cook</v>
      </c>
      <c r="D707" s="10" t="str">
        <f t="shared" si="23"/>
        <v>MIN</v>
      </c>
      <c r="E707" cm="1">
        <f t="array" ref="E707">IFERROR(_xlfn.XLOOKUP(C707&amp;A707, Inside5!B:B&amp;Inside5!I:I, Inside5!C:C), 0)</f>
        <v>15</v>
      </c>
      <c r="F707" cm="1">
        <f t="array" ref="F707">IFERROR(_xlfn.XLOOKUP(C707&amp;A707, Inside5!B:B&amp;Inside5!I:I, Inside5!D:D), 0)</f>
        <v>3</v>
      </c>
      <c r="G707" cm="1">
        <f t="array" ref="G707">IFERROR(_xlfn.XLOOKUP(C707&amp;A707, Inside5!B:B&amp;Inside5!I:I, Inside5!E:E), 0)</f>
        <v>0.68200000000000005</v>
      </c>
      <c r="H707" cm="1">
        <f t="array" ref="H707">IFERROR(_xlfn.XLOOKUP(C707&amp;A707, TDrate!F:F&amp;TDrate!H:H, TDrate!C:C), "N/A")</f>
        <v>2.41E-2</v>
      </c>
      <c r="I707" cm="1">
        <f t="array" ref="I707">IFERROR(_xlfn.XLOOKUP(C707&amp;A707, TDrate!F:F&amp;TDrate!H:H, TDrate!E:E), "N/A")</f>
        <v>3.04E-2</v>
      </c>
      <c r="J707" cm="1">
        <f t="array" ref="J707">IFERROR(_xlfn.XLOOKUP(C707&amp;A707, Inside5!B:B&amp;Inside5!I:I, Inside5!F:F), 0)</f>
        <v>0</v>
      </c>
      <c r="K707" cm="1">
        <f t="array" ref="K707">IFERROR(_xlfn.XLOOKUP(C707&amp;A707, Inside5!B:B&amp;Inside5!I:I, Inside5!G:G), 0)</f>
        <v>0</v>
      </c>
      <c r="L707" cm="1">
        <f t="array" ref="L707">IFERROR(_xlfn.XLOOKUP(C707&amp;A707, Inside5!B:B&amp;Inside5!I:I, Inside5!H:H), 0)</f>
        <v>0</v>
      </c>
      <c r="M707" cm="1">
        <f t="array" ref="M707">IFERROR(_xlfn.XLOOKUP(C707&amp;A707, TDrate!F:F&amp;TDrate!H:H, TDrate!B:B), "N/A")</f>
        <v>0</v>
      </c>
      <c r="N707" cm="1">
        <f t="array" ref="N707">IFERROR(_xlfn.XLOOKUP(C707&amp;A707, TDrate!F:F&amp;TDrate!H:H, TDrate!D:D), "N/A")</f>
        <v>5.7000000000000002E-3</v>
      </c>
    </row>
    <row r="708" spans="1:14" x14ac:dyDescent="0.45">
      <c r="A708" s="5">
        <v>2021</v>
      </c>
      <c r="B708" s="6" t="s">
        <v>551</v>
      </c>
      <c r="C708" s="7" t="str">
        <f t="shared" si="22"/>
        <v>Josh Jacobs</v>
      </c>
      <c r="D708" s="7" t="str">
        <f t="shared" si="23"/>
        <v>LV</v>
      </c>
      <c r="E708" cm="1">
        <f t="array" aca="1" ref="E708" ca="1">IFERROR(_xlfn.XLOOKUP(C708&amp;A708, Inside5!B:B&amp;Inside5!I:I, Inside5!C:C), 0)</f>
        <v>9</v>
      </c>
      <c r="F708" cm="1">
        <f t="array" aca="1" ref="F708" ca="1">IFERROR(_xlfn.XLOOKUP(C708&amp;A708, Inside5!B:B&amp;Inside5!I:I, Inside5!D:D), 0)</f>
        <v>6</v>
      </c>
      <c r="G708" cm="1">
        <f t="array" ref="G708">IFERROR(_xlfn.XLOOKUP(C708&amp;A708, Inside5!B:B&amp;Inside5!I:I, Inside5!E:E), 0)</f>
        <v>0.64300000000000002</v>
      </c>
      <c r="H708" cm="1">
        <f t="array" ref="H708">IFERROR(_xlfn.XLOOKUP(C708&amp;A708, TDrate!F:F&amp;TDrate!H:H, TDrate!C:C), "N/A")</f>
        <v>4.1500000000000002E-2</v>
      </c>
      <c r="I708" cm="1">
        <f t="array" ref="I708">IFERROR(_xlfn.XLOOKUP(C708&amp;A708, TDrate!F:F&amp;TDrate!H:H, TDrate!E:E), "N/A")</f>
        <v>3.8699999999999998E-2</v>
      </c>
      <c r="J708" cm="1">
        <f t="array" ref="J708">IFERROR(_xlfn.XLOOKUP(C708&amp;A708, Inside5!B:B&amp;Inside5!I:I, Inside5!F:F), 0)</f>
        <v>0</v>
      </c>
      <c r="K708" cm="1">
        <f t="array" ref="K708">IFERROR(_xlfn.XLOOKUP(C708&amp;A708, Inside5!B:B&amp;Inside5!I:I, Inside5!G:G), 0)</f>
        <v>0</v>
      </c>
      <c r="L708" cm="1">
        <f t="array" ref="L708">IFERROR(_xlfn.XLOOKUP(C708&amp;A708, Inside5!B:B&amp;Inside5!I:I, Inside5!H:H), 0)</f>
        <v>0</v>
      </c>
      <c r="M708" cm="1">
        <f t="array" ref="M708">IFERROR(_xlfn.XLOOKUP(C708&amp;A708, TDrate!F:F&amp;TDrate!H:H, TDrate!B:B), "N/A")</f>
        <v>0</v>
      </c>
      <c r="N708" cm="1">
        <f t="array" ref="N708">IFERROR(_xlfn.XLOOKUP(C708&amp;A708, TDrate!F:F&amp;TDrate!H:H, TDrate!D:D), "N/A")</f>
        <v>1.18E-2</v>
      </c>
    </row>
    <row r="709" spans="1:14" x14ac:dyDescent="0.45">
      <c r="A709" s="8">
        <v>2021</v>
      </c>
      <c r="B709" s="9" t="s">
        <v>649</v>
      </c>
      <c r="C709" s="10" t="str">
        <f t="shared" si="22"/>
        <v>Melvin Gordon III</v>
      </c>
      <c r="D709" s="10" t="str">
        <f t="shared" si="23"/>
        <v>DEN</v>
      </c>
      <c r="E709" cm="1">
        <f t="array" ref="E709">IFERROR(_xlfn.XLOOKUP(C709&amp;A709, Inside5!B:B&amp;Inside5!I:I, Inside5!C:C), 0)</f>
        <v>11</v>
      </c>
      <c r="F709" cm="1">
        <f t="array" ref="F709">IFERROR(_xlfn.XLOOKUP(C709&amp;A709, Inside5!B:B&amp;Inside5!I:I, Inside5!D:D), 0)</f>
        <v>4</v>
      </c>
      <c r="G709" cm="1">
        <f t="array" ref="G709">IFERROR(_xlfn.XLOOKUP(C709&amp;A709, Inside5!B:B&amp;Inside5!I:I, Inside5!E:E), 0)</f>
        <v>0.52400000000000002</v>
      </c>
      <c r="H709" cm="1">
        <f t="array" ref="H709">IFERROR(_xlfn.XLOOKUP(C709&amp;A709, TDrate!F:F&amp;TDrate!H:H, TDrate!C:C), "N/A")</f>
        <v>3.9399999999999998E-2</v>
      </c>
      <c r="I709" cm="1">
        <f t="array" ref="I709">IFERROR(_xlfn.XLOOKUP(C709&amp;A709, TDrate!F:F&amp;TDrate!H:H, TDrate!E:E), "N/A")</f>
        <v>3.7199999999999997E-2</v>
      </c>
      <c r="J709" cm="1">
        <f t="array" ref="J709">IFERROR(_xlfn.XLOOKUP(C709&amp;A709, Inside5!B:B&amp;Inside5!I:I, Inside5!F:F), 0)</f>
        <v>0</v>
      </c>
      <c r="K709" cm="1">
        <f t="array" ref="K709">IFERROR(_xlfn.XLOOKUP(C709&amp;A709, Inside5!B:B&amp;Inside5!I:I, Inside5!G:G), 0)</f>
        <v>0</v>
      </c>
      <c r="L709" cm="1">
        <f t="array" ref="L709">IFERROR(_xlfn.XLOOKUP(C709&amp;A709, Inside5!B:B&amp;Inside5!I:I, Inside5!H:H), 0)</f>
        <v>0</v>
      </c>
      <c r="M709" cm="1">
        <f t="array" ref="M709">IFERROR(_xlfn.XLOOKUP(C709&amp;A709, TDrate!F:F&amp;TDrate!H:H, TDrate!B:B), "N/A")</f>
        <v>5.1299999999999998E-2</v>
      </c>
      <c r="N709" cm="1">
        <f t="array" ref="N709">IFERROR(_xlfn.XLOOKUP(C709&amp;A709, TDrate!F:F&amp;TDrate!H:H, TDrate!D:D), "N/A")</f>
        <v>4.02E-2</v>
      </c>
    </row>
    <row r="710" spans="1:14" x14ac:dyDescent="0.45">
      <c r="A710" s="5">
        <v>2021</v>
      </c>
      <c r="B710" s="6" t="s">
        <v>476</v>
      </c>
      <c r="C710" s="7" t="str">
        <f t="shared" si="22"/>
        <v>Javonte Williams</v>
      </c>
      <c r="D710" s="7" t="str">
        <f t="shared" si="23"/>
        <v>DEN</v>
      </c>
      <c r="E710" cm="1">
        <f t="array" aca="1" ref="E710" ca="1">IFERROR(_xlfn.XLOOKUP(C710&amp;A710, Inside5!B:B&amp;Inside5!I:I, Inside5!C:C), 0)</f>
        <v>10</v>
      </c>
      <c r="F710" cm="1">
        <f t="array" aca="1" ref="F710" ca="1">IFERROR(_xlfn.XLOOKUP(C710&amp;A710, Inside5!B:B&amp;Inside5!I:I, Inside5!D:D), 0)</f>
        <v>3</v>
      </c>
      <c r="G710" cm="1">
        <f t="array" ref="G710">IFERROR(_xlfn.XLOOKUP(C710&amp;A710, Inside5!B:B&amp;Inside5!I:I, Inside5!E:E), 0)</f>
        <v>0.47599999999999998</v>
      </c>
      <c r="H710" cm="1">
        <f t="array" ref="H710">IFERROR(_xlfn.XLOOKUP(C710&amp;A710, TDrate!F:F&amp;TDrate!H:H, TDrate!C:C), "N/A")</f>
        <v>1.9699999999999999E-2</v>
      </c>
      <c r="I710" cm="1">
        <f t="array" ref="I710">IFERROR(_xlfn.XLOOKUP(C710&amp;A710, TDrate!F:F&amp;TDrate!H:H, TDrate!E:E), "N/A")</f>
        <v>2.5999999999999999E-2</v>
      </c>
      <c r="J710" cm="1">
        <f t="array" ref="J710">IFERROR(_xlfn.XLOOKUP(C710&amp;A710, Inside5!B:B&amp;Inside5!I:I, Inside5!F:F), 0)</f>
        <v>0</v>
      </c>
      <c r="K710" cm="1">
        <f t="array" ref="K710">IFERROR(_xlfn.XLOOKUP(C710&amp;A710, Inside5!B:B&amp;Inside5!I:I, Inside5!G:G), 0)</f>
        <v>0</v>
      </c>
      <c r="L710" cm="1">
        <f t="array" ref="L710">IFERROR(_xlfn.XLOOKUP(C710&amp;A710, Inside5!B:B&amp;Inside5!I:I, Inside5!H:H), 0)</f>
        <v>0</v>
      </c>
      <c r="M710" cm="1">
        <f t="array" ref="M710">IFERROR(_xlfn.XLOOKUP(C710&amp;A710, TDrate!F:F&amp;TDrate!H:H, TDrate!B:B), "N/A")</f>
        <v>5.6599999999999998E-2</v>
      </c>
      <c r="N710" cm="1">
        <f t="array" ref="N710">IFERROR(_xlfn.XLOOKUP(C710&amp;A710, TDrate!F:F&amp;TDrate!H:H, TDrate!D:D), "N/A")</f>
        <v>4.24E-2</v>
      </c>
    </row>
    <row r="711" spans="1:14" x14ac:dyDescent="0.45">
      <c r="A711" s="8">
        <v>2021</v>
      </c>
      <c r="B711" s="9" t="s">
        <v>640</v>
      </c>
      <c r="C711" s="10" t="str">
        <f t="shared" si="22"/>
        <v>Devin Singletary</v>
      </c>
      <c r="D711" s="10" t="str">
        <f t="shared" si="23"/>
        <v>BUF</v>
      </c>
      <c r="E711" cm="1">
        <f t="array" aca="1" ref="E711" ca="1">IFERROR(_xlfn.XLOOKUP(C711&amp;A711, Inside5!B:B&amp;Inside5!I:I, Inside5!C:C), 0)</f>
        <v>6</v>
      </c>
      <c r="F711" cm="1">
        <f t="array" ref="F711">IFERROR(_xlfn.XLOOKUP(C711&amp;A711, Inside5!B:B&amp;Inside5!I:I, Inside5!D:D), 0)</f>
        <v>3</v>
      </c>
      <c r="G711" cm="1">
        <f t="array" ref="G711">IFERROR(_xlfn.XLOOKUP(C711&amp;A711, Inside5!B:B&amp;Inside5!I:I, Inside5!E:E), 0)</f>
        <v>0.54500000000000004</v>
      </c>
      <c r="H711" cm="1">
        <f t="array" ref="H711">IFERROR(_xlfn.XLOOKUP(C711&amp;A711, TDrate!F:F&amp;TDrate!H:H, TDrate!C:C), "N/A")</f>
        <v>3.7199999999999997E-2</v>
      </c>
      <c r="I711" cm="1">
        <f t="array" ref="I711">IFERROR(_xlfn.XLOOKUP(C711&amp;A711, TDrate!F:F&amp;TDrate!H:H, TDrate!E:E), "N/A")</f>
        <v>3.44E-2</v>
      </c>
      <c r="J711" cm="1">
        <f t="array" ref="J711">IFERROR(_xlfn.XLOOKUP(C711&amp;A711, Inside5!B:B&amp;Inside5!I:I, Inside5!F:F), 0)</f>
        <v>1</v>
      </c>
      <c r="K711" cm="1">
        <f t="array" aca="1" ref="K711" ca="1">IFERROR(_xlfn.XLOOKUP(C711&amp;A711, Inside5!B:B&amp;Inside5!I:I, Inside5!G:G), 0)</f>
        <v>1</v>
      </c>
      <c r="L711" cm="1">
        <f t="array" aca="1" ref="L711" ca="1">IFERROR(_xlfn.XLOOKUP(C711&amp;A711, Inside5!B:B&amp;Inside5!I:I, Inside5!H:H), 0)</f>
        <v>0</v>
      </c>
      <c r="M711" cm="1">
        <f t="array" ref="M711">IFERROR(_xlfn.XLOOKUP(C711&amp;A711, TDrate!F:F&amp;TDrate!H:H, TDrate!B:B), "N/A")</f>
        <v>0.02</v>
      </c>
      <c r="N711" cm="1">
        <f t="array" ref="N711">IFERROR(_xlfn.XLOOKUP(C711&amp;A711, TDrate!F:F&amp;TDrate!H:H, TDrate!D:D), "N/A")</f>
        <v>2.75E-2</v>
      </c>
    </row>
    <row r="712" spans="1:14" x14ac:dyDescent="0.45">
      <c r="A712" s="5">
        <v>2021</v>
      </c>
      <c r="B712" s="6" t="s">
        <v>638</v>
      </c>
      <c r="C712" s="7" t="str">
        <f t="shared" si="22"/>
        <v>David Montgomery</v>
      </c>
      <c r="D712" s="7" t="str">
        <f t="shared" si="23"/>
        <v>CHI</v>
      </c>
      <c r="E712" cm="1">
        <f t="array" ref="E712">IFERROR(_xlfn.XLOOKUP(C712&amp;A712, Inside5!B:B&amp;Inside5!I:I, Inside5!C:C), 0)</f>
        <v>13</v>
      </c>
      <c r="F712" cm="1">
        <f t="array" ref="F712">IFERROR(_xlfn.XLOOKUP(C712&amp;A712, Inside5!B:B&amp;Inside5!I:I, Inside5!D:D), 0)</f>
        <v>6</v>
      </c>
      <c r="G712" cm="1">
        <f t="array" ref="G712">IFERROR(_xlfn.XLOOKUP(C712&amp;A712, Inside5!B:B&amp;Inside5!I:I, Inside5!E:E), 0)</f>
        <v>0.65</v>
      </c>
      <c r="H712" cm="1">
        <f t="array" ref="H712">IFERROR(_xlfn.XLOOKUP(C712&amp;A712, TDrate!F:F&amp;TDrate!H:H, TDrate!C:C), "N/A")</f>
        <v>3.1099999999999999E-2</v>
      </c>
      <c r="I712" cm="1">
        <f t="array" ref="I712">IFERROR(_xlfn.XLOOKUP(C712&amp;A712, TDrate!F:F&amp;TDrate!H:H, TDrate!E:E), "N/A")</f>
        <v>3.3799999999999997E-2</v>
      </c>
      <c r="J712" cm="1">
        <f t="array" ref="J712">IFERROR(_xlfn.XLOOKUP(C712&amp;A712, Inside5!B:B&amp;Inside5!I:I, Inside5!F:F), 0)</f>
        <v>1</v>
      </c>
      <c r="K712" cm="1">
        <f t="array" ref="K712">IFERROR(_xlfn.XLOOKUP(C712&amp;A712, Inside5!B:B&amp;Inside5!I:I, Inside5!G:G), 0)</f>
        <v>1</v>
      </c>
      <c r="L712" cm="1">
        <f t="array" ref="L712">IFERROR(_xlfn.XLOOKUP(C712&amp;A712, Inside5!B:B&amp;Inside5!I:I, Inside5!H:H), 0)</f>
        <v>0</v>
      </c>
      <c r="M712" cm="1">
        <f t="array" ref="M712">IFERROR(_xlfn.XLOOKUP(C712&amp;A712, TDrate!F:F&amp;TDrate!H:H, TDrate!B:B), "N/A")</f>
        <v>0</v>
      </c>
      <c r="N712" cm="1">
        <f t="array" ref="N712">IFERROR(_xlfn.XLOOKUP(C712&amp;A712, TDrate!F:F&amp;TDrate!H:H, TDrate!D:D), "N/A")</f>
        <v>1.7399999999999999E-2</v>
      </c>
    </row>
    <row r="713" spans="1:14" x14ac:dyDescent="0.45">
      <c r="A713" s="8">
        <v>2021</v>
      </c>
      <c r="B713" s="9" t="s">
        <v>559</v>
      </c>
      <c r="C713" s="10" t="str">
        <f t="shared" si="22"/>
        <v>AJ Dillon</v>
      </c>
      <c r="D713" s="10" t="str">
        <f t="shared" si="23"/>
        <v>GB</v>
      </c>
      <c r="E713" cm="1">
        <f t="array" aca="1" ref="E713" ca="1">IFERROR(_xlfn.XLOOKUP(C713&amp;A713, Inside5!B:B&amp;Inside5!I:I, Inside5!C:C), 0)</f>
        <v>11</v>
      </c>
      <c r="F713" cm="1">
        <f t="array" aca="1" ref="F713" ca="1">IFERROR(_xlfn.XLOOKUP(C713&amp;A713, Inside5!B:B&amp;Inside5!I:I, Inside5!D:D), 0)</f>
        <v>4</v>
      </c>
      <c r="G713" cm="1">
        <f t="array" ref="G713">IFERROR(_xlfn.XLOOKUP(C713&amp;A713, Inside5!B:B&amp;Inside5!I:I, Inside5!E:E), 0)</f>
        <v>0.57899999999999996</v>
      </c>
      <c r="H713" cm="1">
        <f t="array" ref="H713">IFERROR(_xlfn.XLOOKUP(C713&amp;A713, TDrate!F:F&amp;TDrate!H:H, TDrate!C:C), "N/A")</f>
        <v>2.6700000000000002E-2</v>
      </c>
      <c r="I713" cm="1">
        <f t="array" ref="I713">IFERROR(_xlfn.XLOOKUP(C713&amp;A713, TDrate!F:F&amp;TDrate!H:H, TDrate!E:E), "N/A")</f>
        <v>3.2599999999999997E-2</v>
      </c>
      <c r="J713" cm="1">
        <f t="array" ref="J713">IFERROR(_xlfn.XLOOKUP(C713&amp;A713, Inside5!B:B&amp;Inside5!I:I, Inside5!F:F), 0)</f>
        <v>1</v>
      </c>
      <c r="K713" cm="1">
        <f t="array" aca="1" ref="K713" ca="1">IFERROR(_xlfn.XLOOKUP(C713&amp;A713, Inside5!B:B&amp;Inside5!I:I, Inside5!G:G), 0)</f>
        <v>1</v>
      </c>
      <c r="L713" cm="1">
        <f t="array" aca="1" ref="L713" ca="1">IFERROR(_xlfn.XLOOKUP(C713&amp;A713, Inside5!B:B&amp;Inside5!I:I, Inside5!H:H), 0)</f>
        <v>1</v>
      </c>
      <c r="M713" cm="1">
        <f t="array" ref="M713">IFERROR(_xlfn.XLOOKUP(C713&amp;A713, TDrate!F:F&amp;TDrate!H:H, TDrate!B:B), "N/A")</f>
        <v>5.4100000000000002E-2</v>
      </c>
      <c r="N713" cm="1">
        <f t="array" ref="N713">IFERROR(_xlfn.XLOOKUP(C713&amp;A713, TDrate!F:F&amp;TDrate!H:H, TDrate!D:D), "N/A")</f>
        <v>4.1300000000000003E-2</v>
      </c>
    </row>
    <row r="714" spans="1:14" x14ac:dyDescent="0.45">
      <c r="A714" s="5">
        <v>2021</v>
      </c>
      <c r="B714" s="6" t="s">
        <v>716</v>
      </c>
      <c r="C714" s="7" t="str">
        <f t="shared" si="22"/>
        <v>Darrel Williams</v>
      </c>
      <c r="D714" s="7" t="str">
        <f t="shared" si="23"/>
        <v>KC</v>
      </c>
      <c r="E714" cm="1">
        <f t="array" aca="1" ref="E714" ca="1">IFERROR(_xlfn.XLOOKUP(C714&amp;A714, Inside5!B:B&amp;Inside5!I:I, Inside5!C:C), 0)</f>
        <v>14</v>
      </c>
      <c r="F714" cm="1">
        <f t="array" aca="1" ref="F714" ca="1">IFERROR(_xlfn.XLOOKUP(C714&amp;A714, Inside5!B:B&amp;Inside5!I:I, Inside5!D:D), 0)</f>
        <v>6</v>
      </c>
      <c r="G714" cm="1">
        <f t="array" ref="G714">IFERROR(_xlfn.XLOOKUP(C714&amp;A714, Inside5!B:B&amp;Inside5!I:I, Inside5!E:E), 0)</f>
        <v>0.7</v>
      </c>
      <c r="H714" cm="1">
        <f t="array" ref="H714">IFERROR(_xlfn.XLOOKUP(C714&amp;A714, TDrate!F:F&amp;TDrate!H:H, TDrate!C:C), "N/A")</f>
        <v>4.1700000000000001E-2</v>
      </c>
      <c r="I714" cm="1">
        <f t="array" ref="I714">IFERROR(_xlfn.XLOOKUP(C714&amp;A714, TDrate!F:F&amp;TDrate!H:H, TDrate!E:E), "N/A")</f>
        <v>4.6800000000000001E-2</v>
      </c>
      <c r="J714" cm="1">
        <f t="array" ref="J714">IFERROR(_xlfn.XLOOKUP(C714&amp;A714, Inside5!B:B&amp;Inside5!I:I, Inside5!F:F), 0)</f>
        <v>2</v>
      </c>
      <c r="K714" cm="1">
        <f t="array" ref="K714">IFERROR(_xlfn.XLOOKUP(C714&amp;A714, Inside5!B:B&amp;Inside5!I:I, Inside5!G:G), 0)</f>
        <v>2</v>
      </c>
      <c r="L714" cm="1">
        <f t="array" ref="L714">IFERROR(_xlfn.XLOOKUP(C714&amp;A714, Inside5!B:B&amp;Inside5!I:I, Inside5!H:H), 0)</f>
        <v>0</v>
      </c>
      <c r="M714" cm="1">
        <f t="array" ref="M714">IFERROR(_xlfn.XLOOKUP(C714&amp;A714, TDrate!F:F&amp;TDrate!H:H, TDrate!B:B), "N/A")</f>
        <v>3.5099999999999999E-2</v>
      </c>
      <c r="N714" cm="1">
        <f t="array" ref="N714">IFERROR(_xlfn.XLOOKUP(C714&amp;A714, TDrate!F:F&amp;TDrate!H:H, TDrate!D:D), "N/A")</f>
        <v>4.1399999999999999E-2</v>
      </c>
    </row>
    <row r="715" spans="1:14" x14ac:dyDescent="0.45">
      <c r="A715" s="8">
        <v>2021</v>
      </c>
      <c r="B715" s="9" t="s">
        <v>639</v>
      </c>
      <c r="C715" s="10" t="str">
        <f t="shared" si="22"/>
        <v>D'Andre Swift</v>
      </c>
      <c r="D715" s="10" t="str">
        <f t="shared" si="23"/>
        <v>DET</v>
      </c>
      <c r="E715" cm="1">
        <f t="array" ref="E715">IFERROR(_xlfn.XLOOKUP(C715&amp;A715, Inside5!B:B&amp;Inside5!I:I, Inside5!C:C), 0)</f>
        <v>6</v>
      </c>
      <c r="F715" cm="1">
        <f t="array" ref="F715">IFERROR(_xlfn.XLOOKUP(C715&amp;A715, Inside5!B:B&amp;Inside5!I:I, Inside5!D:D), 0)</f>
        <v>2</v>
      </c>
      <c r="G715" cm="1">
        <f t="array" ref="G715">IFERROR(_xlfn.XLOOKUP(C715&amp;A715, Inside5!B:B&amp;Inside5!I:I, Inside5!E:E), 0)</f>
        <v>0.5</v>
      </c>
      <c r="H715" cm="1">
        <f t="array" ref="H715">IFERROR(_xlfn.XLOOKUP(C715&amp;A715, TDrate!F:F&amp;TDrate!H:H, TDrate!C:C), "N/A")</f>
        <v>3.3099999999999997E-2</v>
      </c>
      <c r="I715" cm="1">
        <f t="array" ref="I715">IFERROR(_xlfn.XLOOKUP(C715&amp;A715, TDrate!F:F&amp;TDrate!H:H, TDrate!E:E), "N/A")</f>
        <v>2.9700000000000001E-2</v>
      </c>
      <c r="J715" cm="1">
        <f t="array" ref="J715">IFERROR(_xlfn.XLOOKUP(C715&amp;A715, Inside5!B:B&amp;Inside5!I:I, Inside5!F:F), 0)</f>
        <v>0</v>
      </c>
      <c r="K715" cm="1">
        <f t="array" ref="K715">IFERROR(_xlfn.XLOOKUP(C715&amp;A715, Inside5!B:B&amp;Inside5!I:I, Inside5!G:G), 0)</f>
        <v>1</v>
      </c>
      <c r="L715" cm="1">
        <f t="array" ref="L715">IFERROR(_xlfn.XLOOKUP(C715&amp;A715, Inside5!B:B&amp;Inside5!I:I, Inside5!H:H), 0)</f>
        <v>0</v>
      </c>
      <c r="M715" cm="1">
        <f t="array" ref="M715">IFERROR(_xlfn.XLOOKUP(C715&amp;A715, TDrate!F:F&amp;TDrate!H:H, TDrate!B:B), "N/A")</f>
        <v>2.5600000000000001E-2</v>
      </c>
      <c r="N715" cm="1">
        <f t="array" ref="N715">IFERROR(_xlfn.XLOOKUP(C715&amp;A715, TDrate!F:F&amp;TDrate!H:H, TDrate!D:D), "N/A")</f>
        <v>2.4899999999999999E-2</v>
      </c>
    </row>
    <row r="716" spans="1:14" x14ac:dyDescent="0.45">
      <c r="A716" s="5">
        <v>2021</v>
      </c>
      <c r="B716" s="6" t="s">
        <v>568</v>
      </c>
      <c r="C716" s="7" t="str">
        <f t="shared" si="22"/>
        <v>Elijah Mitchell</v>
      </c>
      <c r="D716" s="7" t="str">
        <f t="shared" si="23"/>
        <v>SF</v>
      </c>
      <c r="E716" cm="1">
        <f t="array" aca="1" ref="E716" ca="1">IFERROR(_xlfn.XLOOKUP(C716&amp;A716, Inside5!B:B&amp;Inside5!I:I, Inside5!C:C), 0)</f>
        <v>5</v>
      </c>
      <c r="F716" cm="1">
        <f t="array" aca="1" ref="F716" ca="1">IFERROR(_xlfn.XLOOKUP(C716&amp;A716, Inside5!B:B&amp;Inside5!I:I, Inside5!D:D), 0)</f>
        <v>3</v>
      </c>
      <c r="G716" cm="1">
        <f t="array" ref="G716">IFERROR(_xlfn.XLOOKUP(C716&amp;A716, Inside5!B:B&amp;Inside5!I:I, Inside5!E:E), 0)</f>
        <v>0.38500000000000001</v>
      </c>
      <c r="H716" cm="1">
        <f t="array" ref="H716">IFERROR(_xlfn.XLOOKUP(C716&amp;A716, TDrate!F:F&amp;TDrate!H:H, TDrate!C:C), "N/A")</f>
        <v>2.4199999999999999E-2</v>
      </c>
      <c r="I716" cm="1">
        <f t="array" ref="I716">IFERROR(_xlfn.XLOOKUP(C716&amp;A716, TDrate!F:F&amp;TDrate!H:H, TDrate!E:E), "N/A")</f>
        <v>2.1899999999999999E-2</v>
      </c>
      <c r="J716" cm="1">
        <f t="array" ref="J716">IFERROR(_xlfn.XLOOKUP(C716&amp;A716, Inside5!B:B&amp;Inside5!I:I, Inside5!F:F), 0)</f>
        <v>0</v>
      </c>
      <c r="K716" cm="1">
        <f t="array" aca="1" ref="K716" ca="1">IFERROR(_xlfn.XLOOKUP(C716&amp;A716, Inside5!B:B&amp;Inside5!I:I, Inside5!G:G), 0)</f>
        <v>0</v>
      </c>
      <c r="L716" cm="1">
        <f t="array" ref="L716">IFERROR(_xlfn.XLOOKUP(C716&amp;A716, Inside5!B:B&amp;Inside5!I:I, Inside5!H:H), 0)</f>
        <v>0</v>
      </c>
      <c r="M716" cm="1">
        <f t="array" ref="M716">IFERROR(_xlfn.XLOOKUP(C716&amp;A716, TDrate!F:F&amp;TDrate!H:H, TDrate!B:B), "N/A")</f>
        <v>0.05</v>
      </c>
      <c r="N716" cm="1">
        <f t="array" ref="N716">IFERROR(_xlfn.XLOOKUP(C716&amp;A716, TDrate!F:F&amp;TDrate!H:H, TDrate!D:D), "N/A")</f>
        <v>3.5200000000000002E-2</v>
      </c>
    </row>
    <row r="717" spans="1:14" x14ac:dyDescent="0.45">
      <c r="A717" s="8">
        <v>2021</v>
      </c>
      <c r="B717" s="9" t="s">
        <v>717</v>
      </c>
      <c r="C717" s="10" t="str">
        <f t="shared" si="22"/>
        <v>James Robinson</v>
      </c>
      <c r="D717" s="10" t="str">
        <f t="shared" si="23"/>
        <v>JAC</v>
      </c>
      <c r="E717" cm="1">
        <f t="array" aca="1" ref="E717" ca="1">IFERROR(_xlfn.XLOOKUP(C717&amp;A717, Inside5!B:B&amp;Inside5!I:I, Inside5!C:C), 0)</f>
        <v>10</v>
      </c>
      <c r="F717" cm="1">
        <f t="array" aca="1" ref="F717" ca="1">IFERROR(_xlfn.XLOOKUP(C717&amp;A717, Inside5!B:B&amp;Inside5!I:I, Inside5!D:D), 0)</f>
        <v>7</v>
      </c>
      <c r="G717" cm="1">
        <f t="array" ref="G717">IFERROR(_xlfn.XLOOKUP(C717&amp;A717, Inside5!B:B&amp;Inside5!I:I, Inside5!E:E), 0)</f>
        <v>0.66700000000000004</v>
      </c>
      <c r="H717" cm="1">
        <f t="array" ref="H717">IFERROR(_xlfn.XLOOKUP(C717&amp;A717, TDrate!F:F&amp;TDrate!H:H, TDrate!C:C), "N/A")</f>
        <v>4.8800000000000003E-2</v>
      </c>
      <c r="I717" cm="1">
        <f t="array" ref="I717">IFERROR(_xlfn.XLOOKUP(C717&amp;A717, TDrate!F:F&amp;TDrate!H:H, TDrate!E:E), "N/A")</f>
        <v>4.2000000000000003E-2</v>
      </c>
      <c r="J717" cm="1">
        <f t="array" ref="J717">IFERROR(_xlfn.XLOOKUP(C717&amp;A717, Inside5!B:B&amp;Inside5!I:I, Inside5!F:F), 0)</f>
        <v>0</v>
      </c>
      <c r="K717" cm="1">
        <f t="array" ref="K717">IFERROR(_xlfn.XLOOKUP(C717&amp;A717, Inside5!B:B&amp;Inside5!I:I, Inside5!G:G), 0)</f>
        <v>0</v>
      </c>
      <c r="L717" cm="1">
        <f t="array" ref="L717">IFERROR(_xlfn.XLOOKUP(C717&amp;A717, Inside5!B:B&amp;Inside5!I:I, Inside5!H:H), 0)</f>
        <v>0</v>
      </c>
      <c r="M717" cm="1">
        <f t="array" ref="M717">IFERROR(_xlfn.XLOOKUP(C717&amp;A717, TDrate!F:F&amp;TDrate!H:H, TDrate!B:B), "N/A")</f>
        <v>0</v>
      </c>
      <c r="N717" cm="1">
        <f t="array" ref="N717">IFERROR(_xlfn.XLOOKUP(C717&amp;A717, TDrate!F:F&amp;TDrate!H:H, TDrate!D:D), "N/A")</f>
        <v>4.7000000000000002E-3</v>
      </c>
    </row>
    <row r="718" spans="1:14" x14ac:dyDescent="0.45">
      <c r="A718" s="5">
        <v>2021</v>
      </c>
      <c r="B718" s="6" t="s">
        <v>569</v>
      </c>
      <c r="C718" s="7" t="str">
        <f t="shared" si="22"/>
        <v>Darrell Henderson Jr.</v>
      </c>
      <c r="D718" s="7" t="str">
        <f t="shared" si="23"/>
        <v>LAR</v>
      </c>
      <c r="E718" cm="1">
        <f t="array" ref="E718">IFERROR(_xlfn.XLOOKUP(C718&amp;A718, Inside5!B:B&amp;Inside5!I:I, Inside5!C:C), 0)</f>
        <v>9</v>
      </c>
      <c r="F718" cm="1">
        <f t="array" ref="F718">IFERROR(_xlfn.XLOOKUP(C718&amp;A718, Inside5!B:B&amp;Inside5!I:I, Inside5!D:D), 0)</f>
        <v>5</v>
      </c>
      <c r="G718" cm="1">
        <f t="array" ref="G718">IFERROR(_xlfn.XLOOKUP(C718&amp;A718, Inside5!B:B&amp;Inside5!I:I, Inside5!E:E), 0)</f>
        <v>0.56299999999999994</v>
      </c>
      <c r="H718" cm="1">
        <f t="array" ref="H718">IFERROR(_xlfn.XLOOKUP(C718&amp;A718, TDrate!F:F&amp;TDrate!H:H, TDrate!C:C), "N/A")</f>
        <v>3.3599999999999998E-2</v>
      </c>
      <c r="I718" cm="1">
        <f t="array" ref="I718">IFERROR(_xlfn.XLOOKUP(C718&amp;A718, TDrate!F:F&amp;TDrate!H:H, TDrate!E:E), "N/A")</f>
        <v>3.4700000000000002E-2</v>
      </c>
      <c r="J718" cm="1">
        <f t="array" ref="J718">IFERROR(_xlfn.XLOOKUP(C718&amp;A718, Inside5!B:B&amp;Inside5!I:I, Inside5!F:F), 0)</f>
        <v>1</v>
      </c>
      <c r="K718" cm="1">
        <f t="array" aca="1" ref="K718" ca="1">IFERROR(_xlfn.XLOOKUP(C718&amp;A718, Inside5!B:B&amp;Inside5!I:I, Inside5!G:G), 0)</f>
        <v>2</v>
      </c>
      <c r="L718" cm="1">
        <f t="array" ref="L718">IFERROR(_xlfn.XLOOKUP(C718&amp;A718, Inside5!B:B&amp;Inside5!I:I, Inside5!H:H), 0)</f>
        <v>1</v>
      </c>
      <c r="M718" cm="1">
        <f t="array" ref="M718">IFERROR(_xlfn.XLOOKUP(C718&amp;A718, TDrate!F:F&amp;TDrate!H:H, TDrate!B:B), "N/A")</f>
        <v>7.4999999999999997E-2</v>
      </c>
      <c r="N718" cm="1">
        <f t="array" ref="N718">IFERROR(_xlfn.XLOOKUP(C718&amp;A718, TDrate!F:F&amp;TDrate!H:H, TDrate!D:D), "N/A")</f>
        <v>6.4500000000000002E-2</v>
      </c>
    </row>
    <row r="719" spans="1:14" x14ac:dyDescent="0.45">
      <c r="A719" s="8">
        <v>2021</v>
      </c>
      <c r="B719" s="9" t="s">
        <v>718</v>
      </c>
      <c r="C719" s="10" t="str">
        <f t="shared" si="22"/>
        <v>Sony Michel</v>
      </c>
      <c r="D719" s="10" t="str">
        <f t="shared" si="23"/>
        <v>LAR</v>
      </c>
      <c r="E719" cm="1">
        <f t="array" aca="1" ref="E719" ca="1">IFERROR(_xlfn.XLOOKUP(C719&amp;A719, Inside5!B:B&amp;Inside5!I:I, Inside5!C:C), 0)</f>
        <v>7</v>
      </c>
      <c r="F719" cm="1">
        <f t="array" aca="1" ref="F719" ca="1">IFERROR(_xlfn.XLOOKUP(C719&amp;A719, Inside5!B:B&amp;Inside5!I:I, Inside5!D:D), 0)</f>
        <v>4</v>
      </c>
      <c r="G719" cm="1">
        <f t="array" ref="G719">IFERROR(_xlfn.XLOOKUP(C719&amp;A719, Inside5!B:B&amp;Inside5!I:I, Inside5!E:E), 0)</f>
        <v>0.438</v>
      </c>
      <c r="H719" cm="1">
        <f t="array" ref="H719">IFERROR(_xlfn.XLOOKUP(C719&amp;A719, TDrate!F:F&amp;TDrate!H:H, TDrate!C:C), "N/A")</f>
        <v>1.9199999999999998E-2</v>
      </c>
      <c r="I719" cm="1">
        <f t="array" ref="I719">IFERROR(_xlfn.XLOOKUP(C719&amp;A719, TDrate!F:F&amp;TDrate!H:H, TDrate!E:E), "N/A")</f>
        <v>2.5000000000000001E-2</v>
      </c>
      <c r="J719" cm="1">
        <f t="array" ref="J719">IFERROR(_xlfn.XLOOKUP(C719&amp;A719, Inside5!B:B&amp;Inside5!I:I, Inside5!F:F), 0)</f>
        <v>1</v>
      </c>
      <c r="K719" cm="1">
        <f t="array" aca="1" ref="K719" ca="1">IFERROR(_xlfn.XLOOKUP(C719&amp;A719, Inside5!B:B&amp;Inside5!I:I, Inside5!G:G), 0)</f>
        <v>1</v>
      </c>
      <c r="L719" cm="1">
        <f t="array" ref="L719">IFERROR(_xlfn.XLOOKUP(C719&amp;A719, Inside5!B:B&amp;Inside5!I:I, Inside5!H:H), 0)</f>
        <v>1</v>
      </c>
      <c r="M719" cm="1">
        <f t="array" ref="M719">IFERROR(_xlfn.XLOOKUP(C719&amp;A719, TDrate!F:F&amp;TDrate!H:H, TDrate!B:B), "N/A")</f>
        <v>3.0300000000000001E-2</v>
      </c>
      <c r="N719" cm="1">
        <f t="array" ref="N719">IFERROR(_xlfn.XLOOKUP(C719&amp;A719, TDrate!F:F&amp;TDrate!H:H, TDrate!D:D), "N/A")</f>
        <v>2.81E-2</v>
      </c>
    </row>
    <row r="720" spans="1:14" x14ac:dyDescent="0.45">
      <c r="A720" s="5">
        <v>2021</v>
      </c>
      <c r="B720" s="6" t="s">
        <v>680</v>
      </c>
      <c r="C720" s="7" t="str">
        <f t="shared" si="22"/>
        <v>Myles Gaskin</v>
      </c>
      <c r="D720" s="7" t="str">
        <f t="shared" si="23"/>
        <v>MIA</v>
      </c>
      <c r="E720" cm="1">
        <f t="array" aca="1" ref="E720" ca="1">IFERROR(_xlfn.XLOOKUP(C720&amp;A720, Inside5!B:B&amp;Inside5!I:I, Inside5!C:C), 0)</f>
        <v>8</v>
      </c>
      <c r="F720" cm="1">
        <f t="array" aca="1" ref="F720" ca="1">IFERROR(_xlfn.XLOOKUP(C720&amp;A720, Inside5!B:B&amp;Inside5!I:I, Inside5!D:D), 0)</f>
        <v>2</v>
      </c>
      <c r="G720" cm="1">
        <f t="array" ref="G720">IFERROR(_xlfn.XLOOKUP(C720&amp;A720, Inside5!B:B&amp;Inside5!I:I, Inside5!E:E), 0)</f>
        <v>0.47099999999999997</v>
      </c>
      <c r="H720" cm="1">
        <f t="array" ref="H720">IFERROR(_xlfn.XLOOKUP(C720&amp;A720, TDrate!F:F&amp;TDrate!H:H, TDrate!C:C), "N/A")</f>
        <v>1.7299999999999999E-2</v>
      </c>
      <c r="I720" cm="1">
        <f t="array" ref="I720">IFERROR(_xlfn.XLOOKUP(C720&amp;A720, TDrate!F:F&amp;TDrate!H:H, TDrate!E:E), "N/A")</f>
        <v>2.53E-2</v>
      </c>
      <c r="J720" cm="1">
        <f t="array" ref="J720">IFERROR(_xlfn.XLOOKUP(C720&amp;A720, Inside5!B:B&amp;Inside5!I:I, Inside5!F:F), 0)</f>
        <v>2</v>
      </c>
      <c r="K720" cm="1">
        <f t="array" ref="K720">IFERROR(_xlfn.XLOOKUP(C720&amp;A720, Inside5!B:B&amp;Inside5!I:I, Inside5!G:G), 0)</f>
        <v>2</v>
      </c>
      <c r="L720" cm="1">
        <f t="array" ref="L720">IFERROR(_xlfn.XLOOKUP(C720&amp;A720, Inside5!B:B&amp;Inside5!I:I, Inside5!H:H), 0)</f>
        <v>2</v>
      </c>
      <c r="M720" cm="1">
        <f t="array" ref="M720">IFERROR(_xlfn.XLOOKUP(C720&amp;A720, TDrate!F:F&amp;TDrate!H:H, TDrate!B:B), "N/A")</f>
        <v>6.3500000000000001E-2</v>
      </c>
      <c r="N720" cm="1">
        <f t="array" ref="N720">IFERROR(_xlfn.XLOOKUP(C720&amp;A720, TDrate!F:F&amp;TDrate!H:H, TDrate!D:D), "N/A")</f>
        <v>5.3100000000000001E-2</v>
      </c>
    </row>
    <row r="721" spans="1:14" x14ac:dyDescent="0.45">
      <c r="A721" s="8">
        <v>2021</v>
      </c>
      <c r="B721" s="9" t="s">
        <v>549</v>
      </c>
      <c r="C721" s="10" t="str">
        <f t="shared" si="22"/>
        <v>Tony Pollard</v>
      </c>
      <c r="D721" s="10" t="str">
        <f t="shared" si="23"/>
        <v>DAL</v>
      </c>
      <c r="E721" cm="1">
        <f t="array" aca="1" ref="E721" ca="1">IFERROR(_xlfn.XLOOKUP(C721&amp;A721, Inside5!B:B&amp;Inside5!I:I, Inside5!C:C), 0)</f>
        <v>2</v>
      </c>
      <c r="F721" cm="1">
        <f t="array" aca="1" ref="F721" ca="1">IFERROR(_xlfn.XLOOKUP(C721&amp;A721, Inside5!B:B&amp;Inside5!I:I, Inside5!D:D), 0)</f>
        <v>1</v>
      </c>
      <c r="G721" cm="1">
        <f t="array" ref="G721">IFERROR(_xlfn.XLOOKUP(C721&amp;A721, Inside5!B:B&amp;Inside5!I:I, Inside5!E:E), 0)</f>
        <v>0.125</v>
      </c>
      <c r="H721" cm="1">
        <f t="array" ref="H721">IFERROR(_xlfn.XLOOKUP(C721&amp;A721, TDrate!F:F&amp;TDrate!H:H, TDrate!C:C), "N/A")</f>
        <v>1.54E-2</v>
      </c>
      <c r="I721" cm="1">
        <f t="array" ref="I721">IFERROR(_xlfn.XLOOKUP(C721&amp;A721, TDrate!F:F&amp;TDrate!H:H, TDrate!E:E), "N/A")</f>
        <v>1.5699999999999999E-2</v>
      </c>
      <c r="J721" cm="1">
        <f t="array" ref="J721">IFERROR(_xlfn.XLOOKUP(C721&amp;A721, Inside5!B:B&amp;Inside5!I:I, Inside5!F:F), 0)</f>
        <v>0</v>
      </c>
      <c r="K721" cm="1">
        <f t="array" ref="K721">IFERROR(_xlfn.XLOOKUP(C721&amp;A721, Inside5!B:B&amp;Inside5!I:I, Inside5!G:G), 0)</f>
        <v>0</v>
      </c>
      <c r="L721" cm="1">
        <f t="array" ref="L721">IFERROR(_xlfn.XLOOKUP(C721&amp;A721, Inside5!B:B&amp;Inside5!I:I, Inside5!H:H), 0)</f>
        <v>0</v>
      </c>
      <c r="M721" cm="1">
        <f t="array" ref="M721">IFERROR(_xlfn.XLOOKUP(C721&amp;A721, TDrate!F:F&amp;TDrate!H:H, TDrate!B:B), "N/A")</f>
        <v>0</v>
      </c>
      <c r="N721" cm="1">
        <f t="array" ref="N721">IFERROR(_xlfn.XLOOKUP(C721&amp;A721, TDrate!F:F&amp;TDrate!H:H, TDrate!D:D), "N/A")</f>
        <v>1.09E-2</v>
      </c>
    </row>
    <row r="722" spans="1:14" x14ac:dyDescent="0.45">
      <c r="A722" s="5">
        <v>2021</v>
      </c>
      <c r="B722" s="6" t="s">
        <v>645</v>
      </c>
      <c r="C722" s="7" t="str">
        <f t="shared" si="22"/>
        <v>Michael Carter</v>
      </c>
      <c r="D722" s="7" t="str">
        <f t="shared" si="23"/>
        <v>NYJ</v>
      </c>
      <c r="E722" cm="1">
        <f t="array" aca="1" ref="E722" ca="1">IFERROR(_xlfn.XLOOKUP(C722&amp;A722, Inside5!B:B&amp;Inside5!I:I, Inside5!C:C), 0)</f>
        <v>9</v>
      </c>
      <c r="F722" cm="1">
        <f t="array" aca="1" ref="F722" ca="1">IFERROR(_xlfn.XLOOKUP(C722&amp;A722, Inside5!B:B&amp;Inside5!I:I, Inside5!D:D), 0)</f>
        <v>3</v>
      </c>
      <c r="G722" cm="1">
        <f t="array" ref="G722">IFERROR(_xlfn.XLOOKUP(C722&amp;A722, Inside5!B:B&amp;Inside5!I:I, Inside5!E:E), 0)</f>
        <v>0.39100000000000001</v>
      </c>
      <c r="H722" cm="1">
        <f t="array" ref="H722">IFERROR(_xlfn.XLOOKUP(C722&amp;A722, TDrate!F:F&amp;TDrate!H:H, TDrate!C:C), "N/A")</f>
        <v>2.7199999999999998E-2</v>
      </c>
      <c r="I722" cm="1">
        <f t="array" ref="I722">IFERROR(_xlfn.XLOOKUP(C722&amp;A722, TDrate!F:F&amp;TDrate!H:H, TDrate!E:E), "N/A")</f>
        <v>3.2099999999999997E-2</v>
      </c>
      <c r="J722" cm="1">
        <f t="array" ref="J722">IFERROR(_xlfn.XLOOKUP(C722&amp;A722, Inside5!B:B&amp;Inside5!I:I, Inside5!F:F), 0)</f>
        <v>1</v>
      </c>
      <c r="K722" cm="1">
        <f t="array" aca="1" ref="K722" ca="1">IFERROR(_xlfn.XLOOKUP(C722&amp;A722, Inside5!B:B&amp;Inside5!I:I, Inside5!G:G), 0)</f>
        <v>1</v>
      </c>
      <c r="L722" cm="1">
        <f t="array" ref="L722">IFERROR(_xlfn.XLOOKUP(C722&amp;A722, Inside5!B:B&amp;Inside5!I:I, Inside5!H:H), 0)</f>
        <v>0</v>
      </c>
      <c r="M722" cm="1">
        <f t="array" ref="M722">IFERROR(_xlfn.XLOOKUP(C722&amp;A722, TDrate!F:F&amp;TDrate!H:H, TDrate!B:B), "N/A")</f>
        <v>0</v>
      </c>
      <c r="N722" cm="1">
        <f t="array" ref="N722">IFERROR(_xlfn.XLOOKUP(C722&amp;A722, TDrate!F:F&amp;TDrate!H:H, TDrate!D:D), "N/A")</f>
        <v>8.0999999999999996E-3</v>
      </c>
    </row>
    <row r="723" spans="1:14" x14ac:dyDescent="0.45">
      <c r="A723" s="8">
        <v>2021</v>
      </c>
      <c r="B723" s="9" t="s">
        <v>654</v>
      </c>
      <c r="C723" s="10" t="str">
        <f t="shared" si="22"/>
        <v>Rashaad Penny</v>
      </c>
      <c r="D723" s="10" t="str">
        <f t="shared" si="23"/>
        <v>SEA</v>
      </c>
      <c r="E723" cm="1">
        <f t="array" aca="1" ref="E723" ca="1">IFERROR(_xlfn.XLOOKUP(C723&amp;A723, Inside5!B:B&amp;Inside5!I:I, Inside5!C:C), 0)</f>
        <v>3</v>
      </c>
      <c r="F723" cm="1">
        <f t="array" aca="1" ref="F723" ca="1">IFERROR(_xlfn.XLOOKUP(C723&amp;A723, Inside5!B:B&amp;Inside5!I:I, Inside5!D:D), 0)</f>
        <v>1</v>
      </c>
      <c r="G723" cm="1">
        <f t="array" ref="G723">IFERROR(_xlfn.XLOOKUP(C723&amp;A723, Inside5!B:B&amp;Inside5!I:I, Inside5!E:E), 0)</f>
        <v>0.17599999999999999</v>
      </c>
      <c r="H723" cm="1">
        <f t="array" ref="H723">IFERROR(_xlfn.XLOOKUP(C723&amp;A723, TDrate!F:F&amp;TDrate!H:H, TDrate!C:C), "N/A")</f>
        <v>5.04E-2</v>
      </c>
      <c r="I723" cm="1">
        <f t="array" ref="I723">IFERROR(_xlfn.XLOOKUP(C723&amp;A723, TDrate!F:F&amp;TDrate!H:H, TDrate!E:E), "N/A")</f>
        <v>3.7699999999999997E-2</v>
      </c>
      <c r="J723" cm="1">
        <f t="array" ref="J723">IFERROR(_xlfn.XLOOKUP(C723&amp;A723, Inside5!B:B&amp;Inside5!I:I, Inside5!F:F), 0)</f>
        <v>0</v>
      </c>
      <c r="K723" cm="1">
        <f t="array" aca="1" ref="K723" ca="1">IFERROR(_xlfn.XLOOKUP(C723&amp;A723, Inside5!B:B&amp;Inside5!I:I, Inside5!G:G), 0)</f>
        <v>0</v>
      </c>
      <c r="L723" cm="1">
        <f t="array" ref="L723">IFERROR(_xlfn.XLOOKUP(C723&amp;A723, Inside5!B:B&amp;Inside5!I:I, Inside5!H:H), 0)</f>
        <v>0</v>
      </c>
      <c r="M723" cm="1">
        <f t="array" ref="M723">IFERROR(_xlfn.XLOOKUP(C723&amp;A723, TDrate!F:F&amp;TDrate!H:H, TDrate!B:B), "N/A")</f>
        <v>0</v>
      </c>
      <c r="N723" cm="1">
        <f t="array" ref="N723">IFERROR(_xlfn.XLOOKUP(C723&amp;A723, TDrate!F:F&amp;TDrate!H:H, TDrate!D:D), "N/A")</f>
        <v>4.4000000000000003E-3</v>
      </c>
    </row>
    <row r="724" spans="1:14" x14ac:dyDescent="0.45">
      <c r="A724" s="5">
        <v>2021</v>
      </c>
      <c r="B724" s="6" t="s">
        <v>719</v>
      </c>
      <c r="C724" s="7" t="str">
        <f t="shared" si="22"/>
        <v>Devonta Freeman</v>
      </c>
      <c r="D724" s="7" t="str">
        <f t="shared" si="23"/>
        <v>BAL</v>
      </c>
      <c r="E724" cm="1">
        <f t="array" aca="1" ref="E724" ca="1">IFERROR(_xlfn.XLOOKUP(C724&amp;A724, Inside5!B:B&amp;Inside5!I:I, Inside5!C:C), 0)</f>
        <v>7</v>
      </c>
      <c r="F724" cm="1">
        <f t="array" ref="F724">IFERROR(_xlfn.XLOOKUP(C724&amp;A724, Inside5!B:B&amp;Inside5!I:I, Inside5!D:D), 0)</f>
        <v>4</v>
      </c>
      <c r="G724" cm="1">
        <f t="array" ref="G724">IFERROR(_xlfn.XLOOKUP(C724&amp;A724, Inside5!B:B&amp;Inside5!I:I, Inside5!E:E), 0)</f>
        <v>0.438</v>
      </c>
      <c r="H724" cm="1">
        <f t="array" ref="H724">IFERROR(_xlfn.XLOOKUP(C724&amp;A724, TDrate!F:F&amp;TDrate!H:H, TDrate!C:C), "N/A")</f>
        <v>3.7600000000000001E-2</v>
      </c>
      <c r="I724" cm="1">
        <f t="array" ref="I724">IFERROR(_xlfn.XLOOKUP(C724&amp;A724, TDrate!F:F&amp;TDrate!H:H, TDrate!E:E), "N/A")</f>
        <v>3.4000000000000002E-2</v>
      </c>
      <c r="J724" cm="1">
        <f t="array" ref="J724">IFERROR(_xlfn.XLOOKUP(C724&amp;A724, Inside5!B:B&amp;Inside5!I:I, Inside5!F:F), 0)</f>
        <v>1</v>
      </c>
      <c r="K724" cm="1">
        <f t="array" aca="1" ref="K724" ca="1">IFERROR(_xlfn.XLOOKUP(C724&amp;A724, Inside5!B:B&amp;Inside5!I:I, Inside5!G:G), 0)</f>
        <v>1</v>
      </c>
      <c r="L724" cm="1">
        <f t="array" ref="L724">IFERROR(_xlfn.XLOOKUP(C724&amp;A724, Inside5!B:B&amp;Inside5!I:I, Inside5!H:H), 0)</f>
        <v>1</v>
      </c>
      <c r="M724" cm="1">
        <f t="array" ref="M724">IFERROR(_xlfn.XLOOKUP(C724&amp;A724, TDrate!F:F&amp;TDrate!H:H, TDrate!B:B), "N/A")</f>
        <v>2.3800000000000002E-2</v>
      </c>
      <c r="N724" cm="1">
        <f t="array" ref="N724">IFERROR(_xlfn.XLOOKUP(C724&amp;A724, TDrate!F:F&amp;TDrate!H:H, TDrate!D:D), "N/A")</f>
        <v>3.1800000000000002E-2</v>
      </c>
    </row>
    <row r="725" spans="1:14" x14ac:dyDescent="0.45">
      <c r="A725" s="8">
        <v>2021</v>
      </c>
      <c r="B725" s="9" t="s">
        <v>338</v>
      </c>
      <c r="C725" s="10" t="str">
        <f t="shared" si="22"/>
        <v>Chuba Hubbard</v>
      </c>
      <c r="D725" s="10" t="str">
        <f t="shared" si="23"/>
        <v>CAR</v>
      </c>
      <c r="E725" cm="1">
        <f t="array" aca="1" ref="E725" ca="1">IFERROR(_xlfn.XLOOKUP(C725&amp;A725, Inside5!B:B&amp;Inside5!I:I, Inside5!C:C), 0)</f>
        <v>5</v>
      </c>
      <c r="F725" cm="1">
        <f t="array" aca="1" ref="F725" ca="1">IFERROR(_xlfn.XLOOKUP(C725&amp;A725, Inside5!B:B&amp;Inside5!I:I, Inside5!D:D), 0)</f>
        <v>2</v>
      </c>
      <c r="G725" cm="1">
        <f t="array" ref="G725">IFERROR(_xlfn.XLOOKUP(C725&amp;A725, Inside5!B:B&amp;Inside5!I:I, Inside5!E:E), 0)</f>
        <v>0.625</v>
      </c>
      <c r="H725" cm="1">
        <f t="array" ref="H725">IFERROR(_xlfn.XLOOKUP(C725&amp;A725, TDrate!F:F&amp;TDrate!H:H, TDrate!C:C), "N/A")</f>
        <v>2.9100000000000001E-2</v>
      </c>
      <c r="I725" cm="1">
        <f t="array" ref="I725">IFERROR(_xlfn.XLOOKUP(C725&amp;A725, TDrate!F:F&amp;TDrate!H:H, TDrate!E:E), "N/A")</f>
        <v>2.5499999999999998E-2</v>
      </c>
      <c r="J725" cm="1">
        <f t="array" ref="J725">IFERROR(_xlfn.XLOOKUP(C725&amp;A725, Inside5!B:B&amp;Inside5!I:I, Inside5!F:F), 0)</f>
        <v>0</v>
      </c>
      <c r="K725" cm="1">
        <f t="array" aca="1" ref="K725" ca="1">IFERROR(_xlfn.XLOOKUP(C725&amp;A725, Inside5!B:B&amp;Inside5!I:I, Inside5!G:G), 0)</f>
        <v>1</v>
      </c>
      <c r="L725" cm="1">
        <f t="array" ref="L725">IFERROR(_xlfn.XLOOKUP(C725&amp;A725, Inside5!B:B&amp;Inside5!I:I, Inside5!H:H), 0)</f>
        <v>0</v>
      </c>
      <c r="M725" cm="1">
        <f t="array" ref="M725">IFERROR(_xlfn.XLOOKUP(C725&amp;A725, TDrate!F:F&amp;TDrate!H:H, TDrate!B:B), "N/A")</f>
        <v>2.7E-2</v>
      </c>
      <c r="N725" cm="1">
        <f t="array" ref="N725">IFERROR(_xlfn.XLOOKUP(C725&amp;A725, TDrate!F:F&amp;TDrate!H:H, TDrate!D:D), "N/A")</f>
        <v>3.09E-2</v>
      </c>
    </row>
    <row r="726" spans="1:14" x14ac:dyDescent="0.45">
      <c r="A726" s="5">
        <v>2021</v>
      </c>
      <c r="B726" s="6" t="s">
        <v>547</v>
      </c>
      <c r="C726" s="7" t="str">
        <f t="shared" si="22"/>
        <v>Saquon Barkley</v>
      </c>
      <c r="D726" s="7" t="str">
        <f t="shared" si="23"/>
        <v>NYG</v>
      </c>
      <c r="E726" cm="1">
        <f t="array" ref="E726">IFERROR(_xlfn.XLOOKUP(C726&amp;A726, Inside5!B:B&amp;Inside5!I:I, Inside5!C:C), 0)</f>
        <v>3</v>
      </c>
      <c r="F726" cm="1">
        <f t="array" ref="F726">IFERROR(_xlfn.XLOOKUP(C726&amp;A726, Inside5!B:B&amp;Inside5!I:I, Inside5!D:D), 0)</f>
        <v>1</v>
      </c>
      <c r="G726" cm="1">
        <f t="array" ref="G726">IFERROR(_xlfn.XLOOKUP(C726&amp;A726, Inside5!B:B&amp;Inside5!I:I, Inside5!E:E), 0)</f>
        <v>0.33300000000000002</v>
      </c>
      <c r="H726" cm="1">
        <f t="array" ref="H726">IFERROR(_xlfn.XLOOKUP(C726&amp;A726, TDrate!F:F&amp;TDrate!H:H, TDrate!C:C), "N/A")</f>
        <v>1.23E-2</v>
      </c>
      <c r="I726" cm="1">
        <f t="array" ref="I726">IFERROR(_xlfn.XLOOKUP(C726&amp;A726, TDrate!F:F&amp;TDrate!H:H, TDrate!E:E), "N/A")</f>
        <v>1.37E-2</v>
      </c>
      <c r="J726" cm="1">
        <f t="array" ref="J726">IFERROR(_xlfn.XLOOKUP(C726&amp;A726, Inside5!B:B&amp;Inside5!I:I, Inside5!F:F), 0)</f>
        <v>0</v>
      </c>
      <c r="K726" cm="1">
        <f t="array" ref="K726">IFERROR(_xlfn.XLOOKUP(C726&amp;A726, Inside5!B:B&amp;Inside5!I:I, Inside5!G:G), 0)</f>
        <v>0</v>
      </c>
      <c r="L726" cm="1">
        <f t="array" ref="L726">IFERROR(_xlfn.XLOOKUP(C726&amp;A726, Inside5!B:B&amp;Inside5!I:I, Inside5!H:H), 0)</f>
        <v>0</v>
      </c>
      <c r="M726" cm="1">
        <f t="array" ref="M726">IFERROR(_xlfn.XLOOKUP(C726&amp;A726, TDrate!F:F&amp;TDrate!H:H, TDrate!B:B), "N/A")</f>
        <v>3.5099999999999999E-2</v>
      </c>
      <c r="N726" cm="1">
        <f t="array" ref="N726">IFERROR(_xlfn.XLOOKUP(C726&amp;A726, TDrate!F:F&amp;TDrate!H:H, TDrate!D:D), "N/A")</f>
        <v>2.46E-2</v>
      </c>
    </row>
    <row r="727" spans="1:14" x14ac:dyDescent="0.45">
      <c r="A727" s="8">
        <v>2021</v>
      </c>
      <c r="B727" s="9" t="s">
        <v>720</v>
      </c>
      <c r="C727" s="10" t="str">
        <f t="shared" si="22"/>
        <v>Devontae Booker</v>
      </c>
      <c r="D727" s="10" t="str">
        <f t="shared" si="23"/>
        <v>NYG</v>
      </c>
      <c r="E727" cm="1">
        <f t="array" aca="1" ref="E727" ca="1">IFERROR(_xlfn.XLOOKUP(C727&amp;A727, Inside5!B:B&amp;Inside5!I:I, Inside5!C:C), 0)</f>
        <v>5</v>
      </c>
      <c r="F727" cm="1">
        <f t="array" aca="1" ref="F727" ca="1">IFERROR(_xlfn.XLOOKUP(C727&amp;A727, Inside5!B:B&amp;Inside5!I:I, Inside5!D:D), 0)</f>
        <v>1</v>
      </c>
      <c r="G727" cm="1">
        <f t="array" ref="G727">IFERROR(_xlfn.XLOOKUP(C727&amp;A727, Inside5!B:B&amp;Inside5!I:I, Inside5!E:E), 0)</f>
        <v>0.55600000000000005</v>
      </c>
      <c r="H727" cm="1">
        <f t="array" ref="H727">IFERROR(_xlfn.XLOOKUP(C727&amp;A727, TDrate!F:F&amp;TDrate!H:H, TDrate!C:C), "N/A")</f>
        <v>1.38E-2</v>
      </c>
      <c r="I727" cm="1">
        <f t="array" ref="I727">IFERROR(_xlfn.XLOOKUP(C727&amp;A727, TDrate!F:F&amp;TDrate!H:H, TDrate!E:E), "N/A")</f>
        <v>1.8200000000000001E-2</v>
      </c>
      <c r="J727" cm="1">
        <f t="array" ref="J727">IFERROR(_xlfn.XLOOKUP(C727&amp;A727, Inside5!B:B&amp;Inside5!I:I, Inside5!F:F), 0)</f>
        <v>1</v>
      </c>
      <c r="K727" cm="1">
        <f t="array" ref="K727">IFERROR(_xlfn.XLOOKUP(C727&amp;A727, Inside5!B:B&amp;Inside5!I:I, Inside5!G:G), 0)</f>
        <v>1</v>
      </c>
      <c r="L727" cm="1">
        <f t="array" ref="L727">IFERROR(_xlfn.XLOOKUP(C727&amp;A727, Inside5!B:B&amp;Inside5!I:I, Inside5!H:H), 0)</f>
        <v>1</v>
      </c>
      <c r="M727" cm="1">
        <f t="array" ref="M727">IFERROR(_xlfn.XLOOKUP(C727&amp;A727, TDrate!F:F&amp;TDrate!H:H, TDrate!B:B), "N/A")</f>
        <v>2.2200000000000001E-2</v>
      </c>
      <c r="N727" cm="1">
        <f t="array" ref="N727">IFERROR(_xlfn.XLOOKUP(C727&amp;A727, TDrate!F:F&amp;TDrate!H:H, TDrate!D:D), "N/A")</f>
        <v>2.0899999999999998E-2</v>
      </c>
    </row>
    <row r="728" spans="1:14" x14ac:dyDescent="0.45">
      <c r="A728" s="5">
        <v>2021</v>
      </c>
      <c r="B728" s="6" t="s">
        <v>330</v>
      </c>
      <c r="C728" s="7" t="str">
        <f t="shared" si="22"/>
        <v>Rhamondre Stevenson</v>
      </c>
      <c r="D728" s="7" t="str">
        <f t="shared" si="23"/>
        <v>NE</v>
      </c>
      <c r="E728" cm="1">
        <f t="array" aca="1" ref="E728" ca="1">IFERROR(_xlfn.XLOOKUP(C728&amp;A728, Inside5!B:B&amp;Inside5!I:I, Inside5!C:C), 0)</f>
        <v>6</v>
      </c>
      <c r="F728" cm="1">
        <f t="array" aca="1" ref="F728" ca="1">IFERROR(_xlfn.XLOOKUP(C728&amp;A728, Inside5!B:B&amp;Inside5!I:I, Inside5!D:D), 0)</f>
        <v>4</v>
      </c>
      <c r="G728" cm="1">
        <f t="array" ref="G728">IFERROR(_xlfn.XLOOKUP(C728&amp;A728, Inside5!B:B&amp;Inside5!I:I, Inside5!E:E), 0)</f>
        <v>0.23100000000000001</v>
      </c>
      <c r="H728" cm="1">
        <f t="array" ref="H728">IFERROR(_xlfn.XLOOKUP(C728&amp;A728, TDrate!F:F&amp;TDrate!H:H, TDrate!C:C), "N/A")</f>
        <v>3.7600000000000001E-2</v>
      </c>
      <c r="I728" cm="1">
        <f t="array" ref="I728">IFERROR(_xlfn.XLOOKUP(C728&amp;A728, TDrate!F:F&amp;TDrate!H:H, TDrate!E:E), "N/A")</f>
        <v>3.44E-2</v>
      </c>
      <c r="J728" cm="1">
        <f t="array" ref="J728">IFERROR(_xlfn.XLOOKUP(C728&amp;A728, Inside5!B:B&amp;Inside5!I:I, Inside5!F:F), 0)</f>
        <v>0</v>
      </c>
      <c r="K728" cm="1">
        <f t="array" ref="K728">IFERROR(_xlfn.XLOOKUP(C728&amp;A728, Inside5!B:B&amp;Inside5!I:I, Inside5!G:G), 0)</f>
        <v>1</v>
      </c>
      <c r="L728" cm="1">
        <f t="array" ref="L728">IFERROR(_xlfn.XLOOKUP(C728&amp;A728, Inside5!B:B&amp;Inside5!I:I, Inside5!H:H), 0)</f>
        <v>0</v>
      </c>
      <c r="M728" cm="1">
        <f t="array" ref="M728">IFERROR(_xlfn.XLOOKUP(C728&amp;A728, TDrate!F:F&amp;TDrate!H:H, TDrate!B:B), "N/A")</f>
        <v>0</v>
      </c>
      <c r="N728" cm="1">
        <f t="array" ref="N728">IFERROR(_xlfn.XLOOKUP(C728&amp;A728, TDrate!F:F&amp;TDrate!H:H, TDrate!D:D), "N/A")</f>
        <v>1.7000000000000001E-2</v>
      </c>
    </row>
    <row r="729" spans="1:14" x14ac:dyDescent="0.45">
      <c r="A729" s="8">
        <v>2021</v>
      </c>
      <c r="B729" s="9" t="s">
        <v>721</v>
      </c>
      <c r="C729" s="10" t="str">
        <f t="shared" si="22"/>
        <v>Chase Edmonds</v>
      </c>
      <c r="D729" s="10" t="str">
        <f t="shared" si="23"/>
        <v>ARI</v>
      </c>
      <c r="E729" cm="1">
        <f t="array" aca="1" ref="E729" ca="1">IFERROR(_xlfn.XLOOKUP(C729&amp;A729, Inside5!B:B&amp;Inside5!I:I, Inside5!C:C), 0)</f>
        <v>5</v>
      </c>
      <c r="F729" cm="1">
        <f t="array" aca="1" ref="F729" ca="1">IFERROR(_xlfn.XLOOKUP(C729&amp;A729, Inside5!B:B&amp;Inside5!I:I, Inside5!D:D), 0)</f>
        <v>1</v>
      </c>
      <c r="G729" cm="1">
        <f t="array" ref="G729">IFERROR(_xlfn.XLOOKUP(C729&amp;A729, Inside5!B:B&amp;Inside5!I:I, Inside5!E:E), 0)</f>
        <v>0.23799999999999999</v>
      </c>
      <c r="H729" cm="1">
        <f t="array" ref="H729">IFERROR(_xlfn.XLOOKUP(C729&amp;A729, TDrate!F:F&amp;TDrate!H:H, TDrate!C:C), "N/A")</f>
        <v>1.72E-2</v>
      </c>
      <c r="I729" cm="1">
        <f t="array" ref="I729">IFERROR(_xlfn.XLOOKUP(C729&amp;A729, TDrate!F:F&amp;TDrate!H:H, TDrate!E:E), "N/A")</f>
        <v>2.41E-2</v>
      </c>
      <c r="J729" cm="1">
        <f t="array" ref="J729">IFERROR(_xlfn.XLOOKUP(C729&amp;A729, Inside5!B:B&amp;Inside5!I:I, Inside5!F:F), 0)</f>
        <v>0</v>
      </c>
      <c r="K729" cm="1">
        <f t="array" ref="K729">IFERROR(_xlfn.XLOOKUP(C729&amp;A729, Inside5!B:B&amp;Inside5!I:I, Inside5!G:G), 0)</f>
        <v>0</v>
      </c>
      <c r="L729" cm="1">
        <f t="array" ref="L729">IFERROR(_xlfn.XLOOKUP(C729&amp;A729, Inside5!B:B&amp;Inside5!I:I, Inside5!H:H), 0)</f>
        <v>0</v>
      </c>
      <c r="M729" cm="1">
        <f t="array" ref="M729">IFERROR(_xlfn.XLOOKUP(C729&amp;A729, TDrate!F:F&amp;TDrate!H:H, TDrate!B:B), "N/A")</f>
        <v>0</v>
      </c>
      <c r="N729" cm="1">
        <f t="array" ref="N729">IFERROR(_xlfn.XLOOKUP(C729&amp;A729, TDrate!F:F&amp;TDrate!H:H, TDrate!D:D), "N/A")</f>
        <v>1.18E-2</v>
      </c>
    </row>
    <row r="730" spans="1:14" x14ac:dyDescent="0.45">
      <c r="A730" s="5">
        <v>2021</v>
      </c>
      <c r="B730" s="6" t="s">
        <v>423</v>
      </c>
      <c r="C730" s="7" t="str">
        <f t="shared" si="22"/>
        <v>Clyde Edwards-Helaire</v>
      </c>
      <c r="D730" s="7" t="str">
        <f t="shared" si="23"/>
        <v>KC</v>
      </c>
      <c r="E730" cm="1">
        <f t="array" aca="1" ref="E730" ca="1">IFERROR(_xlfn.XLOOKUP(C730&amp;A730, Inside5!B:B&amp;Inside5!I:I, Inside5!C:C), 0)</f>
        <v>3</v>
      </c>
      <c r="F730" cm="1">
        <f t="array" aca="1" ref="F730" ca="1">IFERROR(_xlfn.XLOOKUP(C730&amp;A730, Inside5!B:B&amp;Inside5!I:I, Inside5!D:D), 0)</f>
        <v>3</v>
      </c>
      <c r="G730" cm="1">
        <f t="array" ref="G730">IFERROR(_xlfn.XLOOKUP(C730&amp;A730, Inside5!B:B&amp;Inside5!I:I, Inside5!E:E), 0)</f>
        <v>0.15</v>
      </c>
      <c r="H730" cm="1">
        <f t="array" ref="H730">IFERROR(_xlfn.XLOOKUP(C730&amp;A730, TDrate!F:F&amp;TDrate!H:H, TDrate!C:C), "N/A")</f>
        <v>3.3599999999999998E-2</v>
      </c>
      <c r="I730" cm="1">
        <f t="array" ref="I730">IFERROR(_xlfn.XLOOKUP(C730&amp;A730, TDrate!F:F&amp;TDrate!H:H, TDrate!E:E), "N/A")</f>
        <v>2.6800000000000001E-2</v>
      </c>
      <c r="J730" cm="1">
        <f t="array" ref="J730">IFERROR(_xlfn.XLOOKUP(C730&amp;A730, Inside5!B:B&amp;Inside5!I:I, Inside5!F:F), 0)</f>
        <v>1</v>
      </c>
      <c r="K730" cm="1">
        <f t="array" aca="1" ref="K730" ca="1">IFERROR(_xlfn.XLOOKUP(C730&amp;A730, Inside5!B:B&amp;Inside5!I:I, Inside5!G:G), 0)</f>
        <v>1</v>
      </c>
      <c r="L730" cm="1">
        <f t="array" ref="L730">IFERROR(_xlfn.XLOOKUP(C730&amp;A730, Inside5!B:B&amp;Inside5!I:I, Inside5!H:H), 0)</f>
        <v>1</v>
      </c>
      <c r="M730" cm="1">
        <f t="array" ref="M730">IFERROR(_xlfn.XLOOKUP(C730&amp;A730, TDrate!F:F&amp;TDrate!H:H, TDrate!B:B), "N/A")</f>
        <v>8.6999999999999994E-2</v>
      </c>
      <c r="N730" cm="1">
        <f t="array" ref="N730">IFERROR(_xlfn.XLOOKUP(C730&amp;A730, TDrate!F:F&amp;TDrate!H:H, TDrate!D:D), "N/A")</f>
        <v>6.3100000000000003E-2</v>
      </c>
    </row>
    <row r="731" spans="1:14" x14ac:dyDescent="0.45">
      <c r="A731" s="8">
        <v>2021</v>
      </c>
      <c r="B731" s="9" t="s">
        <v>722</v>
      </c>
      <c r="C731" s="10" t="str">
        <f t="shared" si="22"/>
        <v>Mike Davis</v>
      </c>
      <c r="D731" s="10" t="str">
        <f t="shared" si="23"/>
        <v>ATL</v>
      </c>
      <c r="E731" cm="1">
        <f t="array" ref="E731">IFERROR(_xlfn.XLOOKUP(C731&amp;A731, Inside5!B:B&amp;Inside5!I:I, Inside5!C:C), 0)</f>
        <v>4</v>
      </c>
      <c r="F731" cm="1">
        <f t="array" aca="1" ref="F731" ca="1">IFERROR(_xlfn.XLOOKUP(C731&amp;A731, Inside5!B:B&amp;Inside5!I:I, Inside5!D:D), 0)</f>
        <v>2</v>
      </c>
      <c r="G731" cm="1">
        <f t="array" ref="G731">IFERROR(_xlfn.XLOOKUP(C731&amp;A731, Inside5!B:B&amp;Inside5!I:I, Inside5!E:E), 0)</f>
        <v>0.36399999999999999</v>
      </c>
      <c r="H731" cm="1">
        <f t="array" ref="H731">IFERROR(_xlfn.XLOOKUP(C731&amp;A731, TDrate!F:F&amp;TDrate!H:H, TDrate!C:C), "N/A")</f>
        <v>2.1700000000000001E-2</v>
      </c>
      <c r="I731" cm="1">
        <f t="array" ref="I731">IFERROR(_xlfn.XLOOKUP(C731&amp;A731, TDrate!F:F&amp;TDrate!H:H, TDrate!E:E), "N/A")</f>
        <v>2.2800000000000001E-2</v>
      </c>
      <c r="J731" cm="1">
        <f t="array" ref="J731">IFERROR(_xlfn.XLOOKUP(C731&amp;A731, Inside5!B:B&amp;Inside5!I:I, Inside5!F:F), 0)</f>
        <v>0</v>
      </c>
      <c r="K731" cm="1">
        <f t="array" aca="1" ref="K731" ca="1">IFERROR(_xlfn.XLOOKUP(C731&amp;A731, Inside5!B:B&amp;Inside5!I:I, Inside5!G:G), 0)</f>
        <v>2</v>
      </c>
      <c r="L731" cm="1">
        <f t="array" ref="L731">IFERROR(_xlfn.XLOOKUP(C731&amp;A731, Inside5!B:B&amp;Inside5!I:I, Inside5!H:H), 0)</f>
        <v>0</v>
      </c>
      <c r="M731" cm="1">
        <f t="array" ref="M731">IFERROR(_xlfn.XLOOKUP(C731&amp;A731, TDrate!F:F&amp;TDrate!H:H, TDrate!B:B), "N/A")</f>
        <v>1.72E-2</v>
      </c>
      <c r="N731" cm="1">
        <f t="array" ref="N731">IFERROR(_xlfn.XLOOKUP(C731&amp;A731, TDrate!F:F&amp;TDrate!H:H, TDrate!D:D), "N/A")</f>
        <v>2.4199999999999999E-2</v>
      </c>
    </row>
    <row r="732" spans="1:14" x14ac:dyDescent="0.45">
      <c r="A732" s="5">
        <v>2021</v>
      </c>
      <c r="B732" s="6" t="s">
        <v>558</v>
      </c>
      <c r="C732" s="7" t="str">
        <f t="shared" si="22"/>
        <v>Alexander Mattison</v>
      </c>
      <c r="D732" s="7" t="str">
        <f t="shared" si="23"/>
        <v>MIN</v>
      </c>
      <c r="E732" cm="1">
        <f t="array" ref="E732">IFERROR(_xlfn.XLOOKUP(C732&amp;A732, Inside5!B:B&amp;Inside5!I:I, Inside5!C:C), 0)</f>
        <v>4</v>
      </c>
      <c r="F732" cm="1">
        <f t="array" ref="F732">IFERROR(_xlfn.XLOOKUP(C732&amp;A732, Inside5!B:B&amp;Inside5!I:I, Inside5!D:D), 0)</f>
        <v>1</v>
      </c>
      <c r="G732" cm="1">
        <f t="array" ref="G732">IFERROR(_xlfn.XLOOKUP(C732&amp;A732, Inside5!B:B&amp;Inside5!I:I, Inside5!E:E), 0)</f>
        <v>0.182</v>
      </c>
      <c r="H732" cm="1">
        <f t="array" ref="H732">IFERROR(_xlfn.XLOOKUP(C732&amp;A732, TDrate!F:F&amp;TDrate!H:H, TDrate!C:C), "N/A")</f>
        <v>2.24E-2</v>
      </c>
      <c r="I732" cm="1">
        <f t="array" ref="I732">IFERROR(_xlfn.XLOOKUP(C732&amp;A732, TDrate!F:F&amp;TDrate!H:H, TDrate!E:E), "N/A")</f>
        <v>2.5899999999999999E-2</v>
      </c>
      <c r="J732" cm="1">
        <f t="array" ref="J732">IFERROR(_xlfn.XLOOKUP(C732&amp;A732, Inside5!B:B&amp;Inside5!I:I, Inside5!F:F), 0)</f>
        <v>0</v>
      </c>
      <c r="K732" cm="1">
        <f t="array" aca="1" ref="K732" ca="1">IFERROR(_xlfn.XLOOKUP(C732&amp;A732, Inside5!B:B&amp;Inside5!I:I, Inside5!G:G), 0)</f>
        <v>0</v>
      </c>
      <c r="L732" cm="1">
        <f t="array" ref="L732">IFERROR(_xlfn.XLOOKUP(C732&amp;A732, Inside5!B:B&amp;Inside5!I:I, Inside5!H:H), 0)</f>
        <v>0</v>
      </c>
      <c r="M732" cm="1">
        <f t="array" ref="M732">IFERROR(_xlfn.XLOOKUP(C732&amp;A732, TDrate!F:F&amp;TDrate!H:H, TDrate!B:B), "N/A")</f>
        <v>2.5600000000000001E-2</v>
      </c>
      <c r="N732" cm="1">
        <f t="array" ref="N732">IFERROR(_xlfn.XLOOKUP(C732&amp;A732, TDrate!F:F&amp;TDrate!H:H, TDrate!D:D), "N/A")</f>
        <v>3.2300000000000002E-2</v>
      </c>
    </row>
    <row r="733" spans="1:14" x14ac:dyDescent="0.45">
      <c r="A733" s="8">
        <v>2021</v>
      </c>
      <c r="B733" s="9" t="s">
        <v>634</v>
      </c>
      <c r="C733" s="10" t="str">
        <f t="shared" si="22"/>
        <v>Jamaal Williams</v>
      </c>
      <c r="D733" s="10" t="str">
        <f t="shared" si="23"/>
        <v>DET</v>
      </c>
      <c r="E733" cm="1">
        <f t="array" aca="1" ref="E733" ca="1">IFERROR(_xlfn.XLOOKUP(C733&amp;A733, Inside5!B:B&amp;Inside5!I:I, Inside5!C:C), 0)</f>
        <v>5</v>
      </c>
      <c r="F733" cm="1">
        <f t="array" aca="1" ref="F733" ca="1">IFERROR(_xlfn.XLOOKUP(C733&amp;A733, Inside5!B:B&amp;Inside5!I:I, Inside5!D:D), 0)</f>
        <v>3</v>
      </c>
      <c r="G733" cm="1">
        <f t="array" ref="G733">IFERROR(_xlfn.XLOOKUP(C733&amp;A733, Inside5!B:B&amp;Inside5!I:I, Inside5!E:E), 0)</f>
        <v>0.41699999999999998</v>
      </c>
      <c r="H733" cm="1">
        <f t="array" ref="H733">IFERROR(_xlfn.XLOOKUP(C733&amp;A733, TDrate!F:F&amp;TDrate!H:H, TDrate!C:C), "N/A")</f>
        <v>1.9599999999999999E-2</v>
      </c>
      <c r="I733" cm="1">
        <f t="array" ref="I733">IFERROR(_xlfn.XLOOKUP(C733&amp;A733, TDrate!F:F&amp;TDrate!H:H, TDrate!E:E), "N/A")</f>
        <v>2.24E-2</v>
      </c>
      <c r="J733" cm="1">
        <f t="array" ref="J733">IFERROR(_xlfn.XLOOKUP(C733&amp;A733, Inside5!B:B&amp;Inside5!I:I, Inside5!F:F), 0)</f>
        <v>0</v>
      </c>
      <c r="K733" cm="1">
        <f t="array" ref="K733">IFERROR(_xlfn.XLOOKUP(C733&amp;A733, Inside5!B:B&amp;Inside5!I:I, Inside5!G:G), 0)</f>
        <v>0</v>
      </c>
      <c r="L733" cm="1">
        <f t="array" ref="L733">IFERROR(_xlfn.XLOOKUP(C733&amp;A733, Inside5!B:B&amp;Inside5!I:I, Inside5!H:H), 0)</f>
        <v>0</v>
      </c>
      <c r="M733" cm="1">
        <f t="array" ref="M733">IFERROR(_xlfn.XLOOKUP(C733&amp;A733, TDrate!F:F&amp;TDrate!H:H, TDrate!B:B), "N/A")</f>
        <v>0</v>
      </c>
      <c r="N733" cm="1">
        <f t="array" ref="N733">IFERROR(_xlfn.XLOOKUP(C733&amp;A733, TDrate!F:F&amp;TDrate!H:H, TDrate!D:D), "N/A")</f>
        <v>3.5999999999999999E-3</v>
      </c>
    </row>
    <row r="734" spans="1:14" x14ac:dyDescent="0.45">
      <c r="A734" s="5">
        <v>2021</v>
      </c>
      <c r="B734" s="6" t="s">
        <v>723</v>
      </c>
      <c r="C734" s="7" t="str">
        <f t="shared" si="22"/>
        <v>Latavius Murray</v>
      </c>
      <c r="D734" s="7" t="str">
        <f t="shared" si="23"/>
        <v>BAL</v>
      </c>
      <c r="E734" cm="1">
        <f t="array" aca="1" ref="E734" ca="1">IFERROR(_xlfn.XLOOKUP(C734&amp;A734, Inside5!B:B&amp;Inside5!I:I, Inside5!C:C), 0)</f>
        <v>6</v>
      </c>
      <c r="F734" cm="1">
        <f t="array" aca="1" ref="F734" ca="1">IFERROR(_xlfn.XLOOKUP(C734&amp;A734, Inside5!B:B&amp;Inside5!I:I, Inside5!D:D), 0)</f>
        <v>2</v>
      </c>
      <c r="G734" cm="1">
        <f t="array" ref="G734">IFERROR(_xlfn.XLOOKUP(C734&amp;A734, Inside5!B:B&amp;Inside5!I:I, Inside5!E:E), 0)</f>
        <v>0.375</v>
      </c>
      <c r="H734" cm="1">
        <f t="array" ref="H734">IFERROR(_xlfn.XLOOKUP(C734&amp;A734, TDrate!F:F&amp;TDrate!H:H, TDrate!C:C), "N/A")</f>
        <v>5.04E-2</v>
      </c>
      <c r="I734" cm="1">
        <f t="array" ref="I734">IFERROR(_xlfn.XLOOKUP(C734&amp;A734, TDrate!F:F&amp;TDrate!H:H, TDrate!E:E), "N/A")</f>
        <v>4.19E-2</v>
      </c>
      <c r="J734" cm="1">
        <f t="array" ref="J734">IFERROR(_xlfn.XLOOKUP(C734&amp;A734, Inside5!B:B&amp;Inside5!I:I, Inside5!F:F), 0)</f>
        <v>0</v>
      </c>
      <c r="K734" cm="1">
        <f t="array" ref="K734">IFERROR(_xlfn.XLOOKUP(C734&amp;A734, Inside5!B:B&amp;Inside5!I:I, Inside5!G:G), 0)</f>
        <v>1</v>
      </c>
      <c r="L734" cm="1">
        <f t="array" aca="1" ref="L734" ca="1">IFERROR(_xlfn.XLOOKUP(C734&amp;A734, Inside5!B:B&amp;Inside5!I:I, Inside5!H:H), 0)</f>
        <v>0</v>
      </c>
      <c r="M734" cm="1">
        <f t="array" ref="M734">IFERROR(_xlfn.XLOOKUP(C734&amp;A734, TDrate!F:F&amp;TDrate!H:H, TDrate!B:B), "N/A")</f>
        <v>0</v>
      </c>
      <c r="N734" cm="1">
        <f t="array" ref="N734">IFERROR(_xlfn.XLOOKUP(C734&amp;A734, TDrate!F:F&amp;TDrate!H:H, TDrate!D:D), "N/A")</f>
        <v>3.0800000000000001E-2</v>
      </c>
    </row>
    <row r="735" spans="1:14" x14ac:dyDescent="0.45">
      <c r="A735" s="8">
        <v>2021</v>
      </c>
      <c r="B735" s="9" t="s">
        <v>636</v>
      </c>
      <c r="C735" s="10" t="str">
        <f t="shared" si="22"/>
        <v>Miles Sanders</v>
      </c>
      <c r="D735" s="10" t="str">
        <f t="shared" si="23"/>
        <v>PHI</v>
      </c>
      <c r="E735" cm="1">
        <f t="array" ref="E735">IFERROR(_xlfn.XLOOKUP(C735&amp;A735, Inside5!B:B&amp;Inside5!I:I, Inside5!C:C), 0)</f>
        <v>6</v>
      </c>
      <c r="F735" cm="1">
        <f t="array" ref="F735">IFERROR(_xlfn.XLOOKUP(C735&amp;A735, Inside5!B:B&amp;Inside5!I:I, Inside5!D:D), 0)</f>
        <v>0</v>
      </c>
      <c r="G735" cm="1">
        <f t="array" ref="G735">IFERROR(_xlfn.XLOOKUP(C735&amp;A735, Inside5!B:B&amp;Inside5!I:I, Inside5!E:E), 0)</f>
        <v>0.20699999999999999</v>
      </c>
      <c r="H735" cm="1">
        <f t="array" ref="H735">IFERROR(_xlfn.XLOOKUP(C735&amp;A735, TDrate!F:F&amp;TDrate!H:H, TDrate!C:C), "N/A")</f>
        <v>0</v>
      </c>
      <c r="I735" cm="1">
        <f t="array" ref="I735">IFERROR(_xlfn.XLOOKUP(C735&amp;A735, TDrate!F:F&amp;TDrate!H:H, TDrate!E:E), "N/A")</f>
        <v>1.4200000000000001E-2</v>
      </c>
      <c r="J735" cm="1">
        <f t="array" ref="J735">IFERROR(_xlfn.XLOOKUP(C735&amp;A735, Inside5!B:B&amp;Inside5!I:I, Inside5!F:F), 0)</f>
        <v>0</v>
      </c>
      <c r="K735" cm="1">
        <f t="array" ref="K735">IFERROR(_xlfn.XLOOKUP(C735&amp;A735, Inside5!B:B&amp;Inside5!I:I, Inside5!G:G), 0)</f>
        <v>0</v>
      </c>
      <c r="L735" cm="1">
        <f t="array" ref="L735">IFERROR(_xlfn.XLOOKUP(C735&amp;A735, Inside5!B:B&amp;Inside5!I:I, Inside5!H:H), 0)</f>
        <v>0</v>
      </c>
      <c r="M735" cm="1">
        <f t="array" ref="M735">IFERROR(_xlfn.XLOOKUP(C735&amp;A735, TDrate!F:F&amp;TDrate!H:H, TDrate!B:B), "N/A")</f>
        <v>0</v>
      </c>
      <c r="N735" cm="1">
        <f t="array" ref="N735">IFERROR(_xlfn.XLOOKUP(C735&amp;A735, TDrate!F:F&amp;TDrate!H:H, TDrate!D:D), "N/A")</f>
        <v>9.7999999999999997E-3</v>
      </c>
    </row>
    <row r="736" spans="1:14" x14ac:dyDescent="0.45">
      <c r="A736" s="5">
        <v>2021</v>
      </c>
      <c r="B736" s="6" t="s">
        <v>724</v>
      </c>
      <c r="C736" s="7" t="str">
        <f t="shared" si="22"/>
        <v>Christian McCaffrey</v>
      </c>
      <c r="D736" s="7" t="str">
        <f t="shared" si="23"/>
        <v>CAR</v>
      </c>
      <c r="E736" cm="1">
        <f t="array" aca="1" ref="E736" ca="1">IFERROR(_xlfn.XLOOKUP(C736&amp;A736, Inside5!B:B&amp;Inside5!I:I, Inside5!C:C), 0)</f>
        <v>3</v>
      </c>
      <c r="F736" cm="1">
        <f t="array" aca="1" ref="F736" ca="1">IFERROR(_xlfn.XLOOKUP(C736&amp;A736, Inside5!B:B&amp;Inside5!I:I, Inside5!D:D), 0)</f>
        <v>0</v>
      </c>
      <c r="G736" cm="1">
        <f t="array" ref="G736">IFERROR(_xlfn.XLOOKUP(C736&amp;A736, Inside5!B:B&amp;Inside5!I:I, Inside5!E:E), 0)</f>
        <v>0.375</v>
      </c>
      <c r="H736" cm="1">
        <f t="array" ref="H736">IFERROR(_xlfn.XLOOKUP(C736&amp;A736, TDrate!F:F&amp;TDrate!H:H, TDrate!C:C), "N/A")</f>
        <v>1.01E-2</v>
      </c>
      <c r="I736" cm="1">
        <f t="array" ref="I736">IFERROR(_xlfn.XLOOKUP(C736&amp;A736, TDrate!F:F&amp;TDrate!H:H, TDrate!E:E), "N/A")</f>
        <v>1.84E-2</v>
      </c>
      <c r="J736" cm="1">
        <f t="array" ref="J736">IFERROR(_xlfn.XLOOKUP(C736&amp;A736, Inside5!B:B&amp;Inside5!I:I, Inside5!F:F), 0)</f>
        <v>0</v>
      </c>
      <c r="K736" cm="1">
        <f t="array" ref="K736">IFERROR(_xlfn.XLOOKUP(C736&amp;A736, Inside5!B:B&amp;Inside5!I:I, Inside5!G:G), 0)</f>
        <v>0</v>
      </c>
      <c r="L736" cm="1">
        <f t="array" ref="L736">IFERROR(_xlfn.XLOOKUP(C736&amp;A736, Inside5!B:B&amp;Inside5!I:I, Inside5!H:H), 0)</f>
        <v>0</v>
      </c>
      <c r="M736" cm="1">
        <f t="array" ref="M736">IFERROR(_xlfn.XLOOKUP(C736&amp;A736, TDrate!F:F&amp;TDrate!H:H, TDrate!B:B), "N/A")</f>
        <v>2.4400000000000002E-2</v>
      </c>
      <c r="N736" cm="1">
        <f t="array" ref="N736">IFERROR(_xlfn.XLOOKUP(C736&amp;A736, TDrate!F:F&amp;TDrate!H:H, TDrate!D:D), "N/A")</f>
        <v>1.84E-2</v>
      </c>
    </row>
    <row r="737" spans="1:14" x14ac:dyDescent="0.45">
      <c r="A737" s="8">
        <v>2021</v>
      </c>
      <c r="B737" s="9" t="s">
        <v>487</v>
      </c>
      <c r="C737" s="10" t="str">
        <f t="shared" si="22"/>
        <v>Kenny Gainwell</v>
      </c>
      <c r="D737" s="10" t="str">
        <f t="shared" si="23"/>
        <v>PHI</v>
      </c>
      <c r="E737" cm="1">
        <f t="array" ref="E737">IFERROR(_xlfn.XLOOKUP(C737&amp;A737, Inside5!B:B&amp;Inside5!I:I, Inside5!C:C), 0)</f>
        <v>3</v>
      </c>
      <c r="F737" cm="1">
        <f t="array" ref="F737">IFERROR(_xlfn.XLOOKUP(C737&amp;A737, Inside5!B:B&amp;Inside5!I:I, Inside5!D:D), 0)</f>
        <v>1</v>
      </c>
      <c r="G737" cm="1">
        <f t="array" ref="G737">IFERROR(_xlfn.XLOOKUP(C737&amp;A737, Inside5!B:B&amp;Inside5!I:I, Inside5!E:E), 0)</f>
        <v>0.10299999999999999</v>
      </c>
      <c r="H737" cm="1">
        <f t="array" ref="H737">IFERROR(_xlfn.XLOOKUP(C737&amp;A737, TDrate!F:F&amp;TDrate!H:H, TDrate!C:C), "N/A")</f>
        <v>7.3499999999999996E-2</v>
      </c>
      <c r="I737" cm="1">
        <f t="array" ref="I737">IFERROR(_xlfn.XLOOKUP(C737&amp;A737, TDrate!F:F&amp;TDrate!H:H, TDrate!E:E), "N/A")</f>
        <v>5.3499999999999999E-2</v>
      </c>
      <c r="J737" cm="1">
        <f t="array" ref="J737">IFERROR(_xlfn.XLOOKUP(C737&amp;A737, Inside5!B:B&amp;Inside5!I:I, Inside5!F:F), 0)</f>
        <v>0</v>
      </c>
      <c r="K737" cm="1">
        <f t="array" ref="K737">IFERROR(_xlfn.XLOOKUP(C737&amp;A737, Inside5!B:B&amp;Inside5!I:I, Inside5!G:G), 0)</f>
        <v>0</v>
      </c>
      <c r="L737" cm="1">
        <f t="array" ref="L737">IFERROR(_xlfn.XLOOKUP(C737&amp;A737, Inside5!B:B&amp;Inside5!I:I, Inside5!H:H), 0)</f>
        <v>0</v>
      </c>
      <c r="M737" cm="1">
        <f t="array" ref="M737">IFERROR(_xlfn.XLOOKUP(C737&amp;A737, TDrate!F:F&amp;TDrate!H:H, TDrate!B:B), "N/A")</f>
        <v>0.02</v>
      </c>
      <c r="N737" cm="1">
        <f t="array" ref="N737">IFERROR(_xlfn.XLOOKUP(C737&amp;A737, TDrate!F:F&amp;TDrate!H:H, TDrate!D:D), "N/A")</f>
        <v>2.5700000000000001E-2</v>
      </c>
    </row>
    <row r="738" spans="1:14" x14ac:dyDescent="0.45">
      <c r="A738" s="5">
        <v>2021</v>
      </c>
      <c r="B738" s="6" t="s">
        <v>557</v>
      </c>
      <c r="C738" s="7" t="str">
        <f t="shared" si="22"/>
        <v>Kareem Hunt</v>
      </c>
      <c r="D738" s="7" t="str">
        <f t="shared" si="23"/>
        <v>CLE</v>
      </c>
      <c r="E738" cm="1">
        <f t="array" aca="1" ref="E738" ca="1">IFERROR(_xlfn.XLOOKUP(C738&amp;A738, Inside5!B:B&amp;Inside5!I:I, Inside5!C:C), 0)</f>
        <v>4</v>
      </c>
      <c r="F738" cm="1">
        <f t="array" ref="F738">IFERROR(_xlfn.XLOOKUP(C738&amp;A738, Inside5!B:B&amp;Inside5!I:I, Inside5!D:D), 0)</f>
        <v>3</v>
      </c>
      <c r="G738" cm="1">
        <f t="array" ref="G738">IFERROR(_xlfn.XLOOKUP(C738&amp;A738, Inside5!B:B&amp;Inside5!I:I, Inside5!E:E), 0)</f>
        <v>0.222</v>
      </c>
      <c r="H738" cm="1">
        <f t="array" ref="H738">IFERROR(_xlfn.XLOOKUP(C738&amp;A738, TDrate!F:F&amp;TDrate!H:H, TDrate!C:C), "N/A")</f>
        <v>6.4100000000000004E-2</v>
      </c>
      <c r="I738" cm="1">
        <f t="array" ref="I738">IFERROR(_xlfn.XLOOKUP(C738&amp;A738, TDrate!F:F&amp;TDrate!H:H, TDrate!E:E), "N/A")</f>
        <v>4.9399999999999999E-2</v>
      </c>
      <c r="J738" cm="1">
        <f t="array" ref="J738">IFERROR(_xlfn.XLOOKUP(C738&amp;A738, Inside5!B:B&amp;Inside5!I:I, Inside5!F:F), 0)</f>
        <v>0</v>
      </c>
      <c r="K738" cm="1">
        <f t="array" ref="K738">IFERROR(_xlfn.XLOOKUP(C738&amp;A738, Inside5!B:B&amp;Inside5!I:I, Inside5!G:G), 0)</f>
        <v>0</v>
      </c>
      <c r="L738" cm="1">
        <f t="array" ref="L738">IFERROR(_xlfn.XLOOKUP(C738&amp;A738, Inside5!B:B&amp;Inside5!I:I, Inside5!H:H), 0)</f>
        <v>0</v>
      </c>
      <c r="M738" cm="1">
        <f t="array" ref="M738">IFERROR(_xlfn.XLOOKUP(C738&amp;A738, TDrate!F:F&amp;TDrate!H:H, TDrate!B:B), "N/A")</f>
        <v>0</v>
      </c>
      <c r="N738" cm="1">
        <f t="array" ref="N738">IFERROR(_xlfn.XLOOKUP(C738&amp;A738, TDrate!F:F&amp;TDrate!H:H, TDrate!D:D), "N/A")</f>
        <v>1.17E-2</v>
      </c>
    </row>
    <row r="739" spans="1:14" x14ac:dyDescent="0.45">
      <c r="A739" s="8">
        <v>2021</v>
      </c>
      <c r="B739" s="9" t="s">
        <v>581</v>
      </c>
      <c r="C739" s="10" t="str">
        <f t="shared" si="22"/>
        <v>Boston Scott</v>
      </c>
      <c r="D739" s="10" t="str">
        <f t="shared" si="23"/>
        <v>PHI</v>
      </c>
      <c r="E739" cm="1">
        <f t="array" ref="E739">IFERROR(_xlfn.XLOOKUP(C739&amp;A739, Inside5!B:B&amp;Inside5!I:I, Inside5!C:C), 0)</f>
        <v>12</v>
      </c>
      <c r="F739" cm="1">
        <f t="array" aca="1" ref="F739" ca="1">IFERROR(_xlfn.XLOOKUP(C739&amp;A739, Inside5!B:B&amp;Inside5!I:I, Inside5!D:D), 0)</f>
        <v>7</v>
      </c>
      <c r="G739" cm="1">
        <f t="array" ref="G739">IFERROR(_xlfn.XLOOKUP(C739&amp;A739, Inside5!B:B&amp;Inside5!I:I, Inside5!E:E), 0)</f>
        <v>0.41399999999999998</v>
      </c>
      <c r="H739" cm="1">
        <f t="array" ref="H739">IFERROR(_xlfn.XLOOKUP(C739&amp;A739, TDrate!F:F&amp;TDrate!H:H, TDrate!C:C), "N/A")</f>
        <v>8.0500000000000002E-2</v>
      </c>
      <c r="I739" cm="1">
        <f t="array" ref="I739">IFERROR(_xlfn.XLOOKUP(C739&amp;A739, TDrate!F:F&amp;TDrate!H:H, TDrate!E:E), "N/A")</f>
        <v>7.3899999999999993E-2</v>
      </c>
      <c r="J739" cm="1">
        <f t="array" ref="J739">IFERROR(_xlfn.XLOOKUP(C739&amp;A739, Inside5!B:B&amp;Inside5!I:I, Inside5!F:F), 0)</f>
        <v>0</v>
      </c>
      <c r="K739" cm="1">
        <f t="array" ref="K739">IFERROR(_xlfn.XLOOKUP(C739&amp;A739, Inside5!B:B&amp;Inside5!I:I, Inside5!G:G), 0)</f>
        <v>1</v>
      </c>
      <c r="L739" cm="1">
        <f t="array" ref="L739">IFERROR(_xlfn.XLOOKUP(C739&amp;A739, Inside5!B:B&amp;Inside5!I:I, Inside5!H:H), 0)</f>
        <v>0</v>
      </c>
      <c r="M739" cm="1">
        <f t="array" ref="M739">IFERROR(_xlfn.XLOOKUP(C739&amp;A739, TDrate!F:F&amp;TDrate!H:H, TDrate!B:B), "N/A")</f>
        <v>0</v>
      </c>
      <c r="N739" cm="1">
        <f t="array" ref="N739">IFERROR(_xlfn.XLOOKUP(C739&amp;A739, TDrate!F:F&amp;TDrate!H:H, TDrate!D:D), "N/A")</f>
        <v>2.23E-2</v>
      </c>
    </row>
    <row r="740" spans="1:14" x14ac:dyDescent="0.45">
      <c r="A740" s="5">
        <v>2021</v>
      </c>
      <c r="B740" s="6" t="s">
        <v>688</v>
      </c>
      <c r="C740" s="7" t="str">
        <f t="shared" si="22"/>
        <v>D'Ernest Johnson</v>
      </c>
      <c r="D740" s="7" t="str">
        <f t="shared" si="23"/>
        <v>CLE</v>
      </c>
      <c r="E740" cm="1">
        <f t="array" aca="1" ref="E740" ca="1">IFERROR(_xlfn.XLOOKUP(C740&amp;A740, Inside5!B:B&amp;Inside5!I:I, Inside5!C:C), 0)</f>
        <v>1</v>
      </c>
      <c r="F740" cm="1">
        <f t="array" aca="1" ref="F740" ca="1">IFERROR(_xlfn.XLOOKUP(C740&amp;A740, Inside5!B:B&amp;Inside5!I:I, Inside5!D:D), 0)</f>
        <v>1</v>
      </c>
      <c r="G740" cm="1">
        <f t="array" ref="G740">IFERROR(_xlfn.XLOOKUP(C740&amp;A740, Inside5!B:B&amp;Inside5!I:I, Inside5!E:E), 0)</f>
        <v>5.6000000000000001E-2</v>
      </c>
      <c r="H740" cm="1">
        <f t="array" ref="H740">IFERROR(_xlfn.XLOOKUP(C740&amp;A740, TDrate!F:F&amp;TDrate!H:H, TDrate!C:C), "N/A")</f>
        <v>0.03</v>
      </c>
      <c r="I740" cm="1">
        <f t="array" ref="I740">IFERROR(_xlfn.XLOOKUP(C740&amp;A740, TDrate!F:F&amp;TDrate!H:H, TDrate!E:E), "N/A")</f>
        <v>2.6700000000000002E-2</v>
      </c>
      <c r="J740" cm="1">
        <f t="array" ref="J740">IFERROR(_xlfn.XLOOKUP(C740&amp;A740, Inside5!B:B&amp;Inside5!I:I, Inside5!F:F), 0)</f>
        <v>0</v>
      </c>
      <c r="K740" cm="1">
        <f t="array" ref="K740">IFERROR(_xlfn.XLOOKUP(C740&amp;A740, Inside5!B:B&amp;Inside5!I:I, Inside5!G:G), 0)</f>
        <v>0</v>
      </c>
      <c r="L740" cm="1">
        <f t="array" ref="L740">IFERROR(_xlfn.XLOOKUP(C740&amp;A740, Inside5!B:B&amp;Inside5!I:I, Inside5!H:H), 0)</f>
        <v>0</v>
      </c>
      <c r="M740" cm="1">
        <f t="array" ref="M740">IFERROR(_xlfn.XLOOKUP(C740&amp;A740, TDrate!F:F&amp;TDrate!H:H, TDrate!B:B), "N/A")</f>
        <v>0</v>
      </c>
      <c r="N740" cm="1">
        <f t="array" ref="N740">IFERROR(_xlfn.XLOOKUP(C740&amp;A740, TDrate!F:F&amp;TDrate!H:H, TDrate!D:D), "N/A")</f>
        <v>5.1999999999999998E-3</v>
      </c>
    </row>
    <row r="741" spans="1:14" x14ac:dyDescent="0.45">
      <c r="A741" s="8">
        <v>2021</v>
      </c>
      <c r="B741" s="9" t="s">
        <v>662</v>
      </c>
      <c r="C741" s="10" t="str">
        <f t="shared" si="22"/>
        <v>J.D. McKissic</v>
      </c>
      <c r="D741" s="10" t="str">
        <f t="shared" si="23"/>
        <v>WAS</v>
      </c>
      <c r="E741" cm="1">
        <f t="array" ref="E741">IFERROR(_xlfn.XLOOKUP(C741&amp;A741, Inside5!B:B&amp;Inside5!I:I, Inside5!C:C), 0)</f>
        <v>3</v>
      </c>
      <c r="F741" cm="1">
        <f t="array" ref="F741">IFERROR(_xlfn.XLOOKUP(C741&amp;A741, Inside5!B:B&amp;Inside5!I:I, Inside5!D:D), 0)</f>
        <v>1</v>
      </c>
      <c r="G741" cm="1">
        <f t="array" ref="G741">IFERROR(_xlfn.XLOOKUP(C741&amp;A741, Inside5!B:B&amp;Inside5!I:I, Inside5!E:E), 0)</f>
        <v>0.14299999999999999</v>
      </c>
      <c r="H741" cm="1">
        <f t="array" ref="H741">IFERROR(_xlfn.XLOOKUP(C741&amp;A741, TDrate!F:F&amp;TDrate!H:H, TDrate!C:C), "N/A")</f>
        <v>4.1700000000000001E-2</v>
      </c>
      <c r="I741" cm="1">
        <f t="array" ref="I741">IFERROR(_xlfn.XLOOKUP(C741&amp;A741, TDrate!F:F&amp;TDrate!H:H, TDrate!E:E), "N/A")</f>
        <v>3.8399999999999997E-2</v>
      </c>
      <c r="J741" cm="1">
        <f t="array" ref="J741">IFERROR(_xlfn.XLOOKUP(C741&amp;A741, Inside5!B:B&amp;Inside5!I:I, Inside5!F:F), 0)</f>
        <v>1</v>
      </c>
      <c r="K741" cm="1">
        <f t="array" ref="K741">IFERROR(_xlfn.XLOOKUP(C741&amp;A741, Inside5!B:B&amp;Inside5!I:I, Inside5!G:G), 0)</f>
        <v>1</v>
      </c>
      <c r="L741" cm="1">
        <f t="array" ref="L741">IFERROR(_xlfn.XLOOKUP(C741&amp;A741, Inside5!B:B&amp;Inside5!I:I, Inside5!H:H), 0)</f>
        <v>0</v>
      </c>
      <c r="M741" cm="1">
        <f t="array" ref="M741">IFERROR(_xlfn.XLOOKUP(C741&amp;A741, TDrate!F:F&amp;TDrate!H:H, TDrate!B:B), "N/A")</f>
        <v>3.7699999999999997E-2</v>
      </c>
      <c r="N741" cm="1">
        <f t="array" ref="N741">IFERROR(_xlfn.XLOOKUP(C741&amp;A741, TDrate!F:F&amp;TDrate!H:H, TDrate!D:D), "N/A")</f>
        <v>3.04E-2</v>
      </c>
    </row>
    <row r="742" spans="1:14" x14ac:dyDescent="0.45">
      <c r="A742" s="5">
        <v>2021</v>
      </c>
      <c r="B742" s="6" t="s">
        <v>725</v>
      </c>
      <c r="C742" s="7" t="str">
        <f t="shared" si="22"/>
        <v>D'Onta Foreman</v>
      </c>
      <c r="D742" s="7" t="str">
        <f t="shared" si="23"/>
        <v>TEN</v>
      </c>
      <c r="E742" cm="1">
        <f t="array" aca="1" ref="E742" ca="1">IFERROR(_xlfn.XLOOKUP(C742&amp;A742, Inside5!B:B&amp;Inside5!I:I, Inside5!C:C), 0)</f>
        <v>6</v>
      </c>
      <c r="F742" cm="1">
        <f t="array" aca="1" ref="F742" ca="1">IFERROR(_xlfn.XLOOKUP(C742&amp;A742, Inside5!B:B&amp;Inside5!I:I, Inside5!D:D), 0)</f>
        <v>2</v>
      </c>
      <c r="G742" cm="1">
        <f t="array" ref="G742">IFERROR(_xlfn.XLOOKUP(C742&amp;A742, Inside5!B:B&amp;Inside5!I:I, Inside5!E:E), 0)</f>
        <v>0.35299999999999998</v>
      </c>
      <c r="H742" cm="1">
        <f t="array" ref="H742">IFERROR(_xlfn.XLOOKUP(C742&amp;A742, TDrate!F:F&amp;TDrate!H:H, TDrate!C:C), "N/A")</f>
        <v>2.2599999999999999E-2</v>
      </c>
      <c r="I742" cm="1">
        <f t="array" ref="I742">IFERROR(_xlfn.XLOOKUP(C742&amp;A742, TDrate!F:F&amp;TDrate!H:H, TDrate!E:E), "N/A")</f>
        <v>2.64E-2</v>
      </c>
      <c r="J742" cm="1">
        <f t="array" ref="J742">IFERROR(_xlfn.XLOOKUP(C742&amp;A742, Inside5!B:B&amp;Inside5!I:I, Inside5!F:F), 0)</f>
        <v>0</v>
      </c>
      <c r="K742" cm="1">
        <f t="array" ref="K742">IFERROR(_xlfn.XLOOKUP(C742&amp;A742, Inside5!B:B&amp;Inside5!I:I, Inside5!G:G), 0)</f>
        <v>0</v>
      </c>
      <c r="L742" cm="1">
        <f t="array" ref="L742">IFERROR(_xlfn.XLOOKUP(C742&amp;A742, Inside5!B:B&amp;Inside5!I:I, Inside5!H:H), 0)</f>
        <v>0</v>
      </c>
      <c r="M742" cm="1">
        <f t="array" ref="M742">IFERROR(_xlfn.XLOOKUP(C742&amp;A742, TDrate!F:F&amp;TDrate!H:H, TDrate!B:B), "N/A")</f>
        <v>0</v>
      </c>
      <c r="N742" cm="1">
        <f t="array" ref="N742">IFERROR(_xlfn.XLOOKUP(C742&amp;A742, TDrate!F:F&amp;TDrate!H:H, TDrate!D:D), "N/A")</f>
        <v>1.4E-2</v>
      </c>
    </row>
    <row r="743" spans="1:14" x14ac:dyDescent="0.45">
      <c r="A743" s="8">
        <v>2021</v>
      </c>
      <c r="B743" s="9" t="s">
        <v>726</v>
      </c>
      <c r="C743" s="10" t="str">
        <f t="shared" si="22"/>
        <v>Brandon Bolden</v>
      </c>
      <c r="D743" s="10" t="str">
        <f t="shared" si="23"/>
        <v>NE</v>
      </c>
      <c r="E743" cm="1">
        <f t="array" ref="E743">IFERROR(_xlfn.XLOOKUP(C743&amp;A743, Inside5!B:B&amp;Inside5!I:I, Inside5!C:C), 0)</f>
        <v>2</v>
      </c>
      <c r="F743" cm="1">
        <f t="array" ref="F743">IFERROR(_xlfn.XLOOKUP(C743&amp;A743, Inside5!B:B&amp;Inside5!I:I, Inside5!D:D), 0)</f>
        <v>0</v>
      </c>
      <c r="G743" cm="1">
        <f t="array" ref="G743">IFERROR(_xlfn.XLOOKUP(C743&amp;A743, Inside5!B:B&amp;Inside5!I:I, Inside5!E:E), 0)</f>
        <v>7.6999999999999999E-2</v>
      </c>
      <c r="H743" cm="1">
        <f t="array" ref="H743">IFERROR(_xlfn.XLOOKUP(C743&amp;A743, TDrate!F:F&amp;TDrate!H:H, TDrate!C:C), "N/A")</f>
        <v>2.2700000000000001E-2</v>
      </c>
      <c r="I743" cm="1">
        <f t="array" ref="I743">IFERROR(_xlfn.XLOOKUP(C743&amp;A743, TDrate!F:F&amp;TDrate!H:H, TDrate!E:E), "N/A")</f>
        <v>2.7199999999999998E-2</v>
      </c>
      <c r="J743" cm="1">
        <f t="array" ref="J743">IFERROR(_xlfn.XLOOKUP(C743&amp;A743, Inside5!B:B&amp;Inside5!I:I, Inside5!F:F), 0)</f>
        <v>0</v>
      </c>
      <c r="K743" cm="1">
        <f t="array" aca="1" ref="K743" ca="1">IFERROR(_xlfn.XLOOKUP(C743&amp;A743, Inside5!B:B&amp;Inside5!I:I, Inside5!G:G), 0)</f>
        <v>0</v>
      </c>
      <c r="L743" cm="1">
        <f t="array" ref="L743">IFERROR(_xlfn.XLOOKUP(C743&amp;A743, Inside5!B:B&amp;Inside5!I:I, Inside5!H:H), 0)</f>
        <v>0</v>
      </c>
      <c r="M743" cm="1">
        <f t="array" ref="M743">IFERROR(_xlfn.XLOOKUP(C743&amp;A743, TDrate!F:F&amp;TDrate!H:H, TDrate!B:B), "N/A")</f>
        <v>4.0800000000000003E-2</v>
      </c>
      <c r="N743" cm="1">
        <f t="array" ref="N743">IFERROR(_xlfn.XLOOKUP(C743&amp;A743, TDrate!F:F&amp;TDrate!H:H, TDrate!D:D), "N/A")</f>
        <v>3.6299999999999999E-2</v>
      </c>
    </row>
    <row r="744" spans="1:14" x14ac:dyDescent="0.45">
      <c r="A744" s="5">
        <v>2021</v>
      </c>
      <c r="B744" s="6" t="s">
        <v>660</v>
      </c>
      <c r="C744" s="7" t="str">
        <f t="shared" si="22"/>
        <v>Ty Johnson</v>
      </c>
      <c r="D744" s="7" t="str">
        <f t="shared" si="23"/>
        <v>NYJ</v>
      </c>
      <c r="E744" cm="1">
        <f t="array" aca="1" ref="E744" ca="1">IFERROR(_xlfn.XLOOKUP(C744&amp;A744, Inside5!B:B&amp;Inside5!I:I, Inside5!C:C), 0)</f>
        <v>6</v>
      </c>
      <c r="F744" cm="1">
        <f t="array" aca="1" ref="F744" ca="1">IFERROR(_xlfn.XLOOKUP(C744&amp;A744, Inside5!B:B&amp;Inside5!I:I, Inside5!D:D), 0)</f>
        <v>2</v>
      </c>
      <c r="G744" cm="1">
        <f t="array" ref="G744">IFERROR(_xlfn.XLOOKUP(C744&amp;A744, Inside5!B:B&amp;Inside5!I:I, Inside5!E:E), 0)</f>
        <v>0.26100000000000001</v>
      </c>
      <c r="H744" cm="1">
        <f t="array" ref="H744">IFERROR(_xlfn.XLOOKUP(C744&amp;A744, TDrate!F:F&amp;TDrate!H:H, TDrate!C:C), "N/A")</f>
        <v>3.2800000000000003E-2</v>
      </c>
      <c r="I744" cm="1">
        <f t="array" ref="I744">IFERROR(_xlfn.XLOOKUP(C744&amp;A744, TDrate!F:F&amp;TDrate!H:H, TDrate!E:E), "N/A")</f>
        <v>4.1700000000000001E-2</v>
      </c>
      <c r="J744" cm="1">
        <f t="array" ref="J744">IFERROR(_xlfn.XLOOKUP(C744&amp;A744, Inside5!B:B&amp;Inside5!I:I, Inside5!F:F), 0)</f>
        <v>0</v>
      </c>
      <c r="K744" cm="1">
        <f t="array" ref="K744">IFERROR(_xlfn.XLOOKUP(C744&amp;A744, Inside5!B:B&amp;Inside5!I:I, Inside5!G:G), 0)</f>
        <v>0</v>
      </c>
      <c r="L744" cm="1">
        <f t="array" ref="L744">IFERROR(_xlfn.XLOOKUP(C744&amp;A744, Inside5!B:B&amp;Inside5!I:I, Inside5!H:H), 0)</f>
        <v>0</v>
      </c>
      <c r="M744" cm="1">
        <f t="array" ref="M744">IFERROR(_xlfn.XLOOKUP(C744&amp;A744, TDrate!F:F&amp;TDrate!H:H, TDrate!B:B), "N/A")</f>
        <v>3.6400000000000002E-2</v>
      </c>
      <c r="N744" cm="1">
        <f t="array" ref="N744">IFERROR(_xlfn.XLOOKUP(C744&amp;A744, TDrate!F:F&amp;TDrate!H:H, TDrate!D:D), "N/A")</f>
        <v>2.5600000000000001E-2</v>
      </c>
    </row>
    <row r="745" spans="1:14" x14ac:dyDescent="0.45">
      <c r="A745" s="8">
        <v>2021</v>
      </c>
      <c r="B745" s="9" t="s">
        <v>727</v>
      </c>
      <c r="C745" s="10" t="str">
        <f t="shared" si="22"/>
        <v>Zack Moss</v>
      </c>
      <c r="D745" s="10" t="str">
        <f t="shared" si="23"/>
        <v>BUF</v>
      </c>
      <c r="E745" cm="1">
        <f t="array" aca="1" ref="E745" ca="1">IFERROR(_xlfn.XLOOKUP(C745&amp;A745, Inside5!B:B&amp;Inside5!I:I, Inside5!C:C), 0)</f>
        <v>5</v>
      </c>
      <c r="F745" cm="1">
        <f t="array" aca="1" ref="F745" ca="1">IFERROR(_xlfn.XLOOKUP(C745&amp;A745, Inside5!B:B&amp;Inside5!I:I, Inside5!D:D), 0)</f>
        <v>3</v>
      </c>
      <c r="G745" cm="1">
        <f t="array" ref="G745">IFERROR(_xlfn.XLOOKUP(C745&amp;A745, Inside5!B:B&amp;Inside5!I:I, Inside5!E:E), 0)</f>
        <v>0.45500000000000002</v>
      </c>
      <c r="H745" cm="1">
        <f t="array" ref="H745">IFERROR(_xlfn.XLOOKUP(C745&amp;A745, TDrate!F:F&amp;TDrate!H:H, TDrate!C:C), "N/A")</f>
        <v>4.1700000000000001E-2</v>
      </c>
      <c r="I745" cm="1">
        <f t="array" ref="I745">IFERROR(_xlfn.XLOOKUP(C745&amp;A745, TDrate!F:F&amp;TDrate!H:H, TDrate!E:E), "N/A")</f>
        <v>4.2299999999999997E-2</v>
      </c>
      <c r="J745" cm="1">
        <f t="array" ref="J745">IFERROR(_xlfn.XLOOKUP(C745&amp;A745, Inside5!B:B&amp;Inside5!I:I, Inside5!F:F), 0)</f>
        <v>0</v>
      </c>
      <c r="K745" cm="1">
        <f t="array" ref="K745">IFERROR(_xlfn.XLOOKUP(C745&amp;A745, Inside5!B:B&amp;Inside5!I:I, Inside5!G:G), 0)</f>
        <v>1</v>
      </c>
      <c r="L745" cm="1">
        <f t="array" ref="L745">IFERROR(_xlfn.XLOOKUP(C745&amp;A745, Inside5!B:B&amp;Inside5!I:I, Inside5!H:H), 0)</f>
        <v>0</v>
      </c>
      <c r="M745" cm="1">
        <f t="array" ref="M745">IFERROR(_xlfn.XLOOKUP(C745&amp;A745, TDrate!F:F&amp;TDrate!H:H, TDrate!B:B), "N/A")</f>
        <v>3.1300000000000001E-2</v>
      </c>
      <c r="N745" cm="1">
        <f t="array" ref="N745">IFERROR(_xlfn.XLOOKUP(C745&amp;A745, TDrate!F:F&amp;TDrate!H:H, TDrate!D:D), "N/A")</f>
        <v>3.5799999999999998E-2</v>
      </c>
    </row>
    <row r="746" spans="1:14" x14ac:dyDescent="0.45">
      <c r="A746" s="5">
        <v>2021</v>
      </c>
      <c r="B746" s="6" t="s">
        <v>659</v>
      </c>
      <c r="C746" s="7" t="str">
        <f t="shared" si="22"/>
        <v>Mark Ingram II</v>
      </c>
      <c r="D746" s="7" t="str">
        <f t="shared" si="23"/>
        <v>NO</v>
      </c>
      <c r="E746" cm="1">
        <f t="array" ref="E746">IFERROR(_xlfn.XLOOKUP(C746&amp;A746, Inside5!B:B&amp;Inside5!I:I, Inside5!C:C), 0)</f>
        <v>7</v>
      </c>
      <c r="F746" cm="1">
        <f t="array" aca="1" ref="F746" ca="1">IFERROR(_xlfn.XLOOKUP(C746&amp;A746, Inside5!B:B&amp;Inside5!I:I, Inside5!D:D), 0)</f>
        <v>1</v>
      </c>
      <c r="G746" cm="1">
        <f t="array" ref="G746">IFERROR(_xlfn.XLOOKUP(C746&amp;A746, Inside5!B:B&amp;Inside5!I:I, Inside5!E:E), 0)</f>
        <v>0.41199999999999998</v>
      </c>
      <c r="H746" cm="1">
        <f t="array" ref="H746">IFERROR(_xlfn.XLOOKUP(C746&amp;A746, TDrate!F:F&amp;TDrate!H:H, TDrate!C:C), "N/A")</f>
        <v>1.2500000000000001E-2</v>
      </c>
      <c r="I746" cm="1">
        <f t="array" ref="I746">IFERROR(_xlfn.XLOOKUP(C746&amp;A746, TDrate!F:F&amp;TDrate!H:H, TDrate!E:E), "N/A")</f>
        <v>2.0500000000000001E-2</v>
      </c>
      <c r="J746" cm="1">
        <f t="array" ref="J746">IFERROR(_xlfn.XLOOKUP(C746&amp;A746, Inside5!B:B&amp;Inside5!I:I, Inside5!F:F), 0)</f>
        <v>0</v>
      </c>
      <c r="K746" cm="1">
        <f t="array" ref="K746">IFERROR(_xlfn.XLOOKUP(C746&amp;A746, Inside5!B:B&amp;Inside5!I:I, Inside5!G:G), 0)</f>
        <v>0</v>
      </c>
      <c r="L746" cm="1">
        <f t="array" ref="L746">IFERROR(_xlfn.XLOOKUP(C746&amp;A746, Inside5!B:B&amp;Inside5!I:I, Inside5!H:H), 0)</f>
        <v>0</v>
      </c>
      <c r="M746" cm="1">
        <f t="array" ref="M746">IFERROR(_xlfn.XLOOKUP(C746&amp;A746, TDrate!F:F&amp;TDrate!H:H, TDrate!B:B), "N/A")</f>
        <v>0</v>
      </c>
      <c r="N746" cm="1">
        <f t="array" ref="N746">IFERROR(_xlfn.XLOOKUP(C746&amp;A746, TDrate!F:F&amp;TDrate!H:H, TDrate!D:D), "N/A")</f>
        <v>1.3100000000000001E-2</v>
      </c>
    </row>
    <row r="747" spans="1:14" x14ac:dyDescent="0.45">
      <c r="A747" s="8">
        <v>2021</v>
      </c>
      <c r="B747" s="9" t="s">
        <v>658</v>
      </c>
      <c r="C747" s="10" t="str">
        <f t="shared" si="22"/>
        <v>Rex Burkhead</v>
      </c>
      <c r="D747" s="10" t="str">
        <f t="shared" si="23"/>
        <v>HOU</v>
      </c>
      <c r="E747" cm="1">
        <f t="array" aca="1" ref="E747" ca="1">IFERROR(_xlfn.XLOOKUP(C747&amp;A747, Inside5!B:B&amp;Inside5!I:I, Inside5!C:C), 0)</f>
        <v>7</v>
      </c>
      <c r="F747" cm="1">
        <f t="array" ref="F747">IFERROR(_xlfn.XLOOKUP(C747&amp;A747, Inside5!B:B&amp;Inside5!I:I, Inside5!D:D), 0)</f>
        <v>2</v>
      </c>
      <c r="G747" cm="1">
        <f t="array" ref="G747">IFERROR(_xlfn.XLOOKUP(C747&amp;A747, Inside5!B:B&amp;Inside5!I:I, Inside5!E:E), 0)</f>
        <v>0.875</v>
      </c>
      <c r="H747" cm="1">
        <f t="array" ref="H747">IFERROR(_xlfn.XLOOKUP(C747&amp;A747, TDrate!F:F&amp;TDrate!H:H, TDrate!C:C), "N/A")</f>
        <v>2.46E-2</v>
      </c>
      <c r="I747" cm="1">
        <f t="array" ref="I747">IFERROR(_xlfn.XLOOKUP(C747&amp;A747, TDrate!F:F&amp;TDrate!H:H, TDrate!E:E), "N/A")</f>
        <v>3.0499999999999999E-2</v>
      </c>
      <c r="J747" cm="1">
        <f t="array" ref="J747">IFERROR(_xlfn.XLOOKUP(C747&amp;A747, Inside5!B:B&amp;Inside5!I:I, Inside5!F:F), 0)</f>
        <v>0</v>
      </c>
      <c r="K747" cm="1">
        <f t="array" aca="1" ref="K747" ca="1">IFERROR(_xlfn.XLOOKUP(C747&amp;A747, Inside5!B:B&amp;Inside5!I:I, Inside5!G:G), 0)</f>
        <v>0</v>
      </c>
      <c r="L747" cm="1">
        <f t="array" aca="1" ref="L747" ca="1">IFERROR(_xlfn.XLOOKUP(C747&amp;A747, Inside5!B:B&amp;Inside5!I:I, Inside5!H:H), 0)</f>
        <v>0</v>
      </c>
      <c r="M747" cm="1">
        <f t="array" ref="M747">IFERROR(_xlfn.XLOOKUP(C747&amp;A747, TDrate!F:F&amp;TDrate!H:H, TDrate!B:B), "N/A")</f>
        <v>0</v>
      </c>
      <c r="N747" cm="1">
        <f t="array" ref="N747">IFERROR(_xlfn.XLOOKUP(C747&amp;A747, TDrate!F:F&amp;TDrate!H:H, TDrate!D:D), "N/A")</f>
        <v>1.15E-2</v>
      </c>
    </row>
    <row r="748" spans="1:14" x14ac:dyDescent="0.45">
      <c r="A748" s="5">
        <v>2021</v>
      </c>
      <c r="B748" s="6" t="s">
        <v>728</v>
      </c>
      <c r="C748" s="7" t="str">
        <f t="shared" si="22"/>
        <v>Nyheim Miller-Hines</v>
      </c>
      <c r="D748" s="7" t="str">
        <f t="shared" si="23"/>
        <v>IND</v>
      </c>
      <c r="E748" cm="1">
        <f t="array" ref="E748">IFERROR(_xlfn.XLOOKUP(C748&amp;A748, Inside5!B:B&amp;Inside5!I:I, Inside5!C:C), 0)</f>
        <v>0</v>
      </c>
      <c r="F748" cm="1">
        <f t="array" ref="F748">IFERROR(_xlfn.XLOOKUP(C748&amp;A748, Inside5!B:B&amp;Inside5!I:I, Inside5!D:D), 0)</f>
        <v>0</v>
      </c>
      <c r="G748" cm="1">
        <f t="array" ref="G748">IFERROR(_xlfn.XLOOKUP(C748&amp;A748, Inside5!B:B&amp;Inside5!I:I, Inside5!E:E), 0)</f>
        <v>0</v>
      </c>
      <c r="H748" cm="1">
        <f t="array" ref="H748">IFERROR(_xlfn.XLOOKUP(C748&amp;A748, TDrate!F:F&amp;TDrate!H:H, TDrate!C:C), "N/A")</f>
        <v>3.5700000000000003E-2</v>
      </c>
      <c r="I748" cm="1">
        <f t="array" ref="I748">IFERROR(_xlfn.XLOOKUP(C748&amp;A748, TDrate!F:F&amp;TDrate!H:H, TDrate!E:E), "N/A")</f>
        <v>2.41E-2</v>
      </c>
      <c r="J748" cm="1">
        <f t="array" ref="J748">IFERROR(_xlfn.XLOOKUP(C748&amp;A748, Inside5!B:B&amp;Inside5!I:I, Inside5!F:F), 0)</f>
        <v>0</v>
      </c>
      <c r="K748" cm="1">
        <f t="array" aca="1" ref="K748" ca="1">IFERROR(_xlfn.XLOOKUP(C748&amp;A748, Inside5!B:B&amp;Inside5!I:I, Inside5!G:G), 0)</f>
        <v>0</v>
      </c>
      <c r="L748" cm="1">
        <f t="array" aca="1" ref="L748" ca="1">IFERROR(_xlfn.XLOOKUP(C748&amp;A748, Inside5!B:B&amp;Inside5!I:I, Inside5!H:H), 0)</f>
        <v>0</v>
      </c>
      <c r="M748" cm="1">
        <f t="array" ref="M748">IFERROR(_xlfn.XLOOKUP(C748&amp;A748, TDrate!F:F&amp;TDrate!H:H, TDrate!B:B), "N/A")</f>
        <v>1.7500000000000002E-2</v>
      </c>
      <c r="N748" cm="1">
        <f t="array" ref="N748">IFERROR(_xlfn.XLOOKUP(C748&amp;A748, TDrate!F:F&amp;TDrate!H:H, TDrate!D:D), "N/A")</f>
        <v>1.9300000000000001E-2</v>
      </c>
    </row>
    <row r="749" spans="1:14" x14ac:dyDescent="0.45">
      <c r="A749" s="8">
        <v>2021</v>
      </c>
      <c r="B749" s="9" t="s">
        <v>729</v>
      </c>
      <c r="C749" s="10" t="str">
        <f t="shared" si="22"/>
        <v>Kenyan Drake</v>
      </c>
      <c r="D749" s="10" t="str">
        <f t="shared" si="23"/>
        <v>LV</v>
      </c>
      <c r="E749" cm="1">
        <f t="array" aca="1" ref="E749" ca="1">IFERROR(_xlfn.XLOOKUP(C749&amp;A749, Inside5!B:B&amp;Inside5!I:I, Inside5!C:C), 0)</f>
        <v>1</v>
      </c>
      <c r="F749" cm="1">
        <f t="array" aca="1" ref="F749" ca="1">IFERROR(_xlfn.XLOOKUP(C749&amp;A749, Inside5!B:B&amp;Inside5!I:I, Inside5!D:D), 0)</f>
        <v>1</v>
      </c>
      <c r="G749" cm="1">
        <f t="array" ref="G749">IFERROR(_xlfn.XLOOKUP(C749&amp;A749, Inside5!B:B&amp;Inside5!I:I, Inside5!E:E), 0)</f>
        <v>7.0999999999999994E-2</v>
      </c>
      <c r="H749" cm="1">
        <f t="array" ref="H749">IFERROR(_xlfn.XLOOKUP(C749&amp;A749, TDrate!F:F&amp;TDrate!H:H, TDrate!C:C), "N/A")</f>
        <v>3.1699999999999999E-2</v>
      </c>
      <c r="I749" cm="1">
        <f t="array" ref="I749">IFERROR(_xlfn.XLOOKUP(C749&amp;A749, TDrate!F:F&amp;TDrate!H:H, TDrate!E:E), "N/A")</f>
        <v>2.5399999999999999E-2</v>
      </c>
      <c r="J749" cm="1">
        <f t="array" ref="J749">IFERROR(_xlfn.XLOOKUP(C749&amp;A749, Inside5!B:B&amp;Inside5!I:I, Inside5!F:F), 0)</f>
        <v>0</v>
      </c>
      <c r="K749" cm="1">
        <f t="array" ref="K749">IFERROR(_xlfn.XLOOKUP(C749&amp;A749, Inside5!B:B&amp;Inside5!I:I, Inside5!G:G), 0)</f>
        <v>0</v>
      </c>
      <c r="L749" cm="1">
        <f t="array" ref="L749">IFERROR(_xlfn.XLOOKUP(C749&amp;A749, Inside5!B:B&amp;Inside5!I:I, Inside5!H:H), 0)</f>
        <v>0</v>
      </c>
      <c r="M749" cm="1">
        <f t="array" ref="M749">IFERROR(_xlfn.XLOOKUP(C749&amp;A749, TDrate!F:F&amp;TDrate!H:H, TDrate!B:B), "N/A")</f>
        <v>2.5000000000000001E-2</v>
      </c>
      <c r="N749" cm="1">
        <f t="array" ref="N749">IFERROR(_xlfn.XLOOKUP(C749&amp;A749, TDrate!F:F&amp;TDrate!H:H, TDrate!D:D), "N/A")</f>
        <v>2.1399999999999999E-2</v>
      </c>
    </row>
    <row r="750" spans="1:14" x14ac:dyDescent="0.45">
      <c r="A750" s="5">
        <v>2021</v>
      </c>
      <c r="B750" s="6" t="s">
        <v>730</v>
      </c>
      <c r="C750" s="7" t="str">
        <f t="shared" si="22"/>
        <v>Ronald Jones II</v>
      </c>
      <c r="D750" s="7" t="str">
        <f t="shared" si="23"/>
        <v>TB</v>
      </c>
      <c r="E750" cm="1">
        <f t="array" aca="1" ref="E750" ca="1">IFERROR(_xlfn.XLOOKUP(C750&amp;A750, Inside5!B:B&amp;Inside5!I:I, Inside5!C:C), 0)</f>
        <v>5</v>
      </c>
      <c r="F750" cm="1">
        <f t="array" aca="1" ref="F750" ca="1">IFERROR(_xlfn.XLOOKUP(C750&amp;A750, Inside5!B:B&amp;Inside5!I:I, Inside5!D:D), 0)</f>
        <v>1</v>
      </c>
      <c r="G750" cm="1">
        <f t="array" ref="G750">IFERROR(_xlfn.XLOOKUP(C750&amp;A750, Inside5!B:B&amp;Inside5!I:I, Inside5!E:E), 0)</f>
        <v>0.26300000000000001</v>
      </c>
      <c r="H750" cm="1">
        <f t="array" ref="H750">IFERROR(_xlfn.XLOOKUP(C750&amp;A750, TDrate!F:F&amp;TDrate!H:H, TDrate!C:C), "N/A")</f>
        <v>3.9600000000000003E-2</v>
      </c>
      <c r="I750" cm="1">
        <f t="array" ref="I750">IFERROR(_xlfn.XLOOKUP(C750&amp;A750, TDrate!F:F&amp;TDrate!H:H, TDrate!E:E), "N/A")</f>
        <v>3.5099999999999999E-2</v>
      </c>
      <c r="J750" cm="1">
        <f t="array" ref="J750">IFERROR(_xlfn.XLOOKUP(C750&amp;A750, Inside5!B:B&amp;Inside5!I:I, Inside5!F:F), 0)</f>
        <v>0</v>
      </c>
      <c r="K750" cm="1">
        <f t="array" ref="K750">IFERROR(_xlfn.XLOOKUP(C750&amp;A750, Inside5!B:B&amp;Inside5!I:I, Inside5!G:G), 0)</f>
        <v>1</v>
      </c>
      <c r="L750" cm="1">
        <f t="array" ref="L750">IFERROR(_xlfn.XLOOKUP(C750&amp;A750, Inside5!B:B&amp;Inside5!I:I, Inside5!H:H), 0)</f>
        <v>0</v>
      </c>
      <c r="M750" cm="1">
        <f t="array" ref="M750">IFERROR(_xlfn.XLOOKUP(C750&amp;A750, TDrate!F:F&amp;TDrate!H:H, TDrate!B:B), "N/A")</f>
        <v>0</v>
      </c>
      <c r="N750" cm="1">
        <f t="array" ref="N750">IFERROR(_xlfn.XLOOKUP(C750&amp;A750, TDrate!F:F&amp;TDrate!H:H, TDrate!D:D), "N/A")</f>
        <v>1.9099999999999999E-2</v>
      </c>
    </row>
    <row r="751" spans="1:14" x14ac:dyDescent="0.45">
      <c r="A751" s="8">
        <v>2021</v>
      </c>
      <c r="B751" s="9" t="s">
        <v>560</v>
      </c>
      <c r="C751" s="10" t="str">
        <f t="shared" si="22"/>
        <v>Khalil Herbert</v>
      </c>
      <c r="D751" s="10" t="str">
        <f t="shared" si="23"/>
        <v>CHI</v>
      </c>
      <c r="E751" cm="1">
        <f t="array" aca="1" ref="E751" ca="1">IFERROR(_xlfn.XLOOKUP(C751&amp;A751, Inside5!B:B&amp;Inside5!I:I, Inside5!C:C), 0)</f>
        <v>3</v>
      </c>
      <c r="F751" cm="1">
        <f t="array" aca="1" ref="F751" ca="1">IFERROR(_xlfn.XLOOKUP(C751&amp;A751, Inside5!B:B&amp;Inside5!I:I, Inside5!D:D), 0)</f>
        <v>1</v>
      </c>
      <c r="G751" cm="1">
        <f t="array" ref="G751">IFERROR(_xlfn.XLOOKUP(C751&amp;A751, Inside5!B:B&amp;Inside5!I:I, Inside5!E:E), 0)</f>
        <v>0.15</v>
      </c>
      <c r="H751" cm="1">
        <f t="array" ref="H751">IFERROR(_xlfn.XLOOKUP(C751&amp;A751, TDrate!F:F&amp;TDrate!H:H, TDrate!C:C), "N/A")</f>
        <v>1.9400000000000001E-2</v>
      </c>
      <c r="I751" cm="1">
        <f t="array" ref="I751">IFERROR(_xlfn.XLOOKUP(C751&amp;A751, TDrate!F:F&amp;TDrate!H:H, TDrate!E:E), "N/A")</f>
        <v>2.01E-2</v>
      </c>
      <c r="J751" cm="1">
        <f t="array" ref="J751">IFERROR(_xlfn.XLOOKUP(C751&amp;A751, Inside5!B:B&amp;Inside5!I:I, Inside5!F:F), 0)</f>
        <v>0</v>
      </c>
      <c r="K751" cm="1">
        <f t="array" ref="K751">IFERROR(_xlfn.XLOOKUP(C751&amp;A751, Inside5!B:B&amp;Inside5!I:I, Inside5!G:G), 0)</f>
        <v>0</v>
      </c>
      <c r="L751" cm="1">
        <f t="array" ref="L751">IFERROR(_xlfn.XLOOKUP(C751&amp;A751, Inside5!B:B&amp;Inside5!I:I, Inside5!H:H), 0)</f>
        <v>0</v>
      </c>
      <c r="M751" cm="1">
        <f t="array" ref="M751">IFERROR(_xlfn.XLOOKUP(C751&amp;A751, TDrate!F:F&amp;TDrate!H:H, TDrate!B:B), "N/A")</f>
        <v>0</v>
      </c>
      <c r="N751" cm="1">
        <f t="array" ref="N751">IFERROR(_xlfn.XLOOKUP(C751&amp;A751, TDrate!F:F&amp;TDrate!H:H, TDrate!D:D), "N/A")</f>
        <v>1.06E-2</v>
      </c>
    </row>
    <row r="752" spans="1:14" x14ac:dyDescent="0.45">
      <c r="A752" s="5">
        <v>2021</v>
      </c>
      <c r="B752" s="6" t="s">
        <v>731</v>
      </c>
      <c r="C752" s="7" t="str">
        <f t="shared" si="22"/>
        <v>Justin Jackson</v>
      </c>
      <c r="D752" s="7" t="str">
        <f t="shared" si="23"/>
        <v>LAC</v>
      </c>
      <c r="E752" cm="1">
        <f t="array" ref="E752">IFERROR(_xlfn.XLOOKUP(C752&amp;A752, Inside5!B:B&amp;Inside5!I:I, Inside5!C:C), 0)</f>
        <v>2</v>
      </c>
      <c r="F752" cm="1">
        <f t="array" ref="F752">IFERROR(_xlfn.XLOOKUP(C752&amp;A752, Inside5!B:B&amp;Inside5!I:I, Inside5!D:D), 0)</f>
        <v>0</v>
      </c>
      <c r="G752" cm="1">
        <f t="array" ref="G752">IFERROR(_xlfn.XLOOKUP(C752&amp;A752, Inside5!B:B&amp;Inside5!I:I, Inside5!E:E), 0)</f>
        <v>9.0999999999999998E-2</v>
      </c>
      <c r="H752" cm="1">
        <f t="array" ref="H752">IFERROR(_xlfn.XLOOKUP(C752&amp;A752, TDrate!F:F&amp;TDrate!H:H, TDrate!C:C), "N/A")</f>
        <v>2.9399999999999999E-2</v>
      </c>
      <c r="I752" cm="1">
        <f t="array" ref="I752">IFERROR(_xlfn.XLOOKUP(C752&amp;A752, TDrate!F:F&amp;TDrate!H:H, TDrate!E:E), "N/A")</f>
        <v>3.1600000000000003E-2</v>
      </c>
      <c r="J752" cm="1">
        <f t="array" ref="J752">IFERROR(_xlfn.XLOOKUP(C752&amp;A752, Inside5!B:B&amp;Inside5!I:I, Inside5!F:F), 0)</f>
        <v>0</v>
      </c>
      <c r="K752" cm="1">
        <f t="array" ref="K752">IFERROR(_xlfn.XLOOKUP(C752&amp;A752, Inside5!B:B&amp;Inside5!I:I, Inside5!G:G), 0)</f>
        <v>0</v>
      </c>
      <c r="L752" cm="1">
        <f t="array" ref="L752">IFERROR(_xlfn.XLOOKUP(C752&amp;A752, Inside5!B:B&amp;Inside5!I:I, Inside5!H:H), 0)</f>
        <v>0</v>
      </c>
      <c r="M752" cm="1">
        <f t="array" ref="M752">IFERROR(_xlfn.XLOOKUP(C752&amp;A752, TDrate!F:F&amp;TDrate!H:H, TDrate!B:B), "N/A")</f>
        <v>0</v>
      </c>
      <c r="N752" cm="1">
        <f t="array" ref="N752">IFERROR(_xlfn.XLOOKUP(C752&amp;A752, TDrate!F:F&amp;TDrate!H:H, TDrate!D:D), "N/A")</f>
        <v>1.49E-2</v>
      </c>
    </row>
    <row r="753" spans="1:14" x14ac:dyDescent="0.45">
      <c r="A753" s="8">
        <v>2021</v>
      </c>
      <c r="B753" s="9" t="s">
        <v>732</v>
      </c>
      <c r="C753" s="10" t="str">
        <f t="shared" si="22"/>
        <v>Jordan Howard</v>
      </c>
      <c r="D753" s="10" t="str">
        <f t="shared" si="23"/>
        <v>PHI</v>
      </c>
      <c r="E753" cm="1">
        <f t="array" aca="1" ref="E753" ca="1">IFERROR(_xlfn.XLOOKUP(C753&amp;A753, Inside5!B:B&amp;Inside5!I:I, Inside5!C:C), 0)</f>
        <v>8</v>
      </c>
      <c r="F753" cm="1">
        <f t="array" aca="1" ref="F753" ca="1">IFERROR(_xlfn.XLOOKUP(C753&amp;A753, Inside5!B:B&amp;Inside5!I:I, Inside5!D:D), 0)</f>
        <v>3</v>
      </c>
      <c r="G753" cm="1">
        <f t="array" ref="G753">IFERROR(_xlfn.XLOOKUP(C753&amp;A753, Inside5!B:B&amp;Inside5!I:I, Inside5!E:E), 0)</f>
        <v>0.27600000000000002</v>
      </c>
      <c r="H753" cm="1">
        <f t="array" ref="H753">IFERROR(_xlfn.XLOOKUP(C753&amp;A753, TDrate!F:F&amp;TDrate!H:H, TDrate!C:C), "N/A")</f>
        <v>3.49E-2</v>
      </c>
      <c r="I753" cm="1">
        <f t="array" ref="I753">IFERROR(_xlfn.XLOOKUP(C753&amp;A753, TDrate!F:F&amp;TDrate!H:H, TDrate!E:E), "N/A")</f>
        <v>4.4699999999999997E-2</v>
      </c>
      <c r="J753" cm="1">
        <f t="array" ref="J753">IFERROR(_xlfn.XLOOKUP(C753&amp;A753, Inside5!B:B&amp;Inside5!I:I, Inside5!F:F), 0)</f>
        <v>0</v>
      </c>
      <c r="K753" cm="1">
        <f t="array" ref="K753">IFERROR(_xlfn.XLOOKUP(C753&amp;A753, Inside5!B:B&amp;Inside5!I:I, Inside5!G:G), 0)</f>
        <v>0</v>
      </c>
      <c r="L753" cm="1">
        <f t="array" ref="L753">IFERROR(_xlfn.XLOOKUP(C753&amp;A753, Inside5!B:B&amp;Inside5!I:I, Inside5!H:H), 0)</f>
        <v>0</v>
      </c>
      <c r="M753" cm="1">
        <f t="array" ref="M753">IFERROR(_xlfn.XLOOKUP(C753&amp;A753, TDrate!F:F&amp;TDrate!H:H, TDrate!B:B), "N/A")</f>
        <v>0</v>
      </c>
      <c r="N753" cm="1">
        <f t="array" ref="N753">IFERROR(_xlfn.XLOOKUP(C753&amp;A753, TDrate!F:F&amp;TDrate!H:H, TDrate!D:D), "N/A")</f>
        <v>6.0000000000000001E-3</v>
      </c>
    </row>
    <row r="754" spans="1:14" x14ac:dyDescent="0.45">
      <c r="A754" s="5">
        <v>2021</v>
      </c>
      <c r="B754" s="6" t="s">
        <v>733</v>
      </c>
      <c r="C754" s="7" t="str">
        <f t="shared" si="22"/>
        <v>Alex Collins</v>
      </c>
      <c r="D754" s="7" t="str">
        <f t="shared" si="23"/>
        <v>SEA</v>
      </c>
      <c r="E754" cm="1">
        <f t="array" ref="E754">IFERROR(_xlfn.XLOOKUP(C754&amp;A754, Inside5!B:B&amp;Inside5!I:I, Inside5!C:C), 0)</f>
        <v>4</v>
      </c>
      <c r="F754" cm="1">
        <f t="array" ref="F754">IFERROR(_xlfn.XLOOKUP(C754&amp;A754, Inside5!B:B&amp;Inside5!I:I, Inside5!D:D), 0)</f>
        <v>1</v>
      </c>
      <c r="G754" cm="1">
        <f t="array" ref="G754">IFERROR(_xlfn.XLOOKUP(C754&amp;A754, Inside5!B:B&amp;Inside5!I:I, Inside5!E:E), 0)</f>
        <v>0.23499999999999999</v>
      </c>
      <c r="H754" cm="1">
        <f t="array" ref="H754">IFERROR(_xlfn.XLOOKUP(C754&amp;A754, TDrate!F:F&amp;TDrate!H:H, TDrate!C:C), "N/A")</f>
        <v>1.8499999999999999E-2</v>
      </c>
      <c r="I754" cm="1">
        <f t="array" ref="I754">IFERROR(_xlfn.XLOOKUP(C754&amp;A754, TDrate!F:F&amp;TDrate!H:H, TDrate!E:E), "N/A")</f>
        <v>2.1600000000000001E-2</v>
      </c>
      <c r="J754" cm="1">
        <f t="array" ref="J754">IFERROR(_xlfn.XLOOKUP(C754&amp;A754, Inside5!B:B&amp;Inside5!I:I, Inside5!F:F), 0)</f>
        <v>0</v>
      </c>
      <c r="K754" cm="1">
        <f t="array" ref="K754">IFERROR(_xlfn.XLOOKUP(C754&amp;A754, Inside5!B:B&amp;Inside5!I:I, Inside5!G:G), 0)</f>
        <v>0</v>
      </c>
      <c r="L754" cm="1">
        <f t="array" ref="L754">IFERROR(_xlfn.XLOOKUP(C754&amp;A754, Inside5!B:B&amp;Inside5!I:I, Inside5!H:H), 0)</f>
        <v>0</v>
      </c>
      <c r="M754" cm="1">
        <f t="array" ref="M754">IFERROR(_xlfn.XLOOKUP(C754&amp;A754, TDrate!F:F&amp;TDrate!H:H, TDrate!B:B), "N/A")</f>
        <v>0</v>
      </c>
      <c r="N754" cm="1">
        <f t="array" ref="N754">IFERROR(_xlfn.XLOOKUP(C754&amp;A754, TDrate!F:F&amp;TDrate!H:H, TDrate!D:D), "N/A")</f>
        <v>2.8E-3</v>
      </c>
    </row>
    <row r="755" spans="1:14" x14ac:dyDescent="0.45">
      <c r="A755" s="8">
        <v>2021</v>
      </c>
      <c r="B755" s="9" t="s">
        <v>347</v>
      </c>
      <c r="C755" s="10" t="str">
        <f t="shared" si="22"/>
        <v>Samaje Perine</v>
      </c>
      <c r="D755" s="10" t="str">
        <f t="shared" si="23"/>
        <v>CIN</v>
      </c>
      <c r="E755" cm="1">
        <f t="array" aca="1" ref="E755" ca="1">IFERROR(_xlfn.XLOOKUP(C755&amp;A755, Inside5!B:B&amp;Inside5!I:I, Inside5!C:C), 0)</f>
        <v>0</v>
      </c>
      <c r="F755" cm="1">
        <f t="array" aca="1" ref="F755" ca="1">IFERROR(_xlfn.XLOOKUP(C755&amp;A755, Inside5!B:B&amp;Inside5!I:I, Inside5!D:D), 0)</f>
        <v>0</v>
      </c>
      <c r="G755" cm="1">
        <f t="array" ref="G755">IFERROR(_xlfn.XLOOKUP(C755&amp;A755, Inside5!B:B&amp;Inside5!I:I, Inside5!E:E), 0)</f>
        <v>0</v>
      </c>
      <c r="H755" cm="1">
        <f t="array" ref="H755">IFERROR(_xlfn.XLOOKUP(C755&amp;A755, TDrate!F:F&amp;TDrate!H:H, TDrate!C:C), "N/A")</f>
        <v>1.8200000000000001E-2</v>
      </c>
      <c r="I755" cm="1">
        <f t="array" ref="I755">IFERROR(_xlfn.XLOOKUP(C755&amp;A755, TDrate!F:F&amp;TDrate!H:H, TDrate!E:E), "N/A")</f>
        <v>1.23E-2</v>
      </c>
      <c r="J755" cm="1">
        <f t="array" ref="J755">IFERROR(_xlfn.XLOOKUP(C755&amp;A755, Inside5!B:B&amp;Inside5!I:I, Inside5!F:F), 0)</f>
        <v>1</v>
      </c>
      <c r="K755" cm="1">
        <f t="array" ref="K755">IFERROR(_xlfn.XLOOKUP(C755&amp;A755, Inside5!B:B&amp;Inside5!I:I, Inside5!G:G), 0)</f>
        <v>1</v>
      </c>
      <c r="L755" cm="1">
        <f t="array" ref="L755">IFERROR(_xlfn.XLOOKUP(C755&amp;A755, Inside5!B:B&amp;Inside5!I:I, Inside5!H:H), 0)</f>
        <v>1</v>
      </c>
      <c r="M755" cm="1">
        <f t="array" ref="M755">IFERROR(_xlfn.XLOOKUP(C755&amp;A755, TDrate!F:F&amp;TDrate!H:H, TDrate!B:B), "N/A")</f>
        <v>3.2300000000000002E-2</v>
      </c>
      <c r="N755" cm="1">
        <f t="array" ref="N755">IFERROR(_xlfn.XLOOKUP(C755&amp;A755, TDrate!F:F&amp;TDrate!H:H, TDrate!D:D), "N/A")</f>
        <v>3.2599999999999997E-2</v>
      </c>
    </row>
    <row r="756" spans="1:14" x14ac:dyDescent="0.45">
      <c r="A756" s="5">
        <v>2021</v>
      </c>
      <c r="B756" s="6" t="s">
        <v>734</v>
      </c>
      <c r="C756" s="7" t="str">
        <f t="shared" si="22"/>
        <v>Duke Johnson Jr.</v>
      </c>
      <c r="D756" s="7" t="str">
        <f t="shared" si="23"/>
        <v>MIA</v>
      </c>
      <c r="E756" cm="1">
        <f t="array" aca="1" ref="E756" ca="1">IFERROR(_xlfn.XLOOKUP(C756&amp;A756, Inside5!B:B&amp;Inside5!I:I, Inside5!C:C), 0)</f>
        <v>3</v>
      </c>
      <c r="F756" cm="1">
        <f t="array" aca="1" ref="F756" ca="1">IFERROR(_xlfn.XLOOKUP(C756&amp;A756, Inside5!B:B&amp;Inside5!I:I, Inside5!D:D), 0)</f>
        <v>1</v>
      </c>
      <c r="G756" cm="1">
        <f t="array" ref="G756">IFERROR(_xlfn.XLOOKUP(C756&amp;A756, Inside5!B:B&amp;Inside5!I:I, Inside5!E:E), 0)</f>
        <v>0.17599999999999999</v>
      </c>
      <c r="H756" cm="1">
        <f t="array" ref="H756">IFERROR(_xlfn.XLOOKUP(C756&amp;A756, TDrate!F:F&amp;TDrate!H:H, TDrate!C:C), "N/A")</f>
        <v>4.2299999999999997E-2</v>
      </c>
      <c r="I756" cm="1">
        <f t="array" ref="I756">IFERROR(_xlfn.XLOOKUP(C756&amp;A756, TDrate!F:F&amp;TDrate!H:H, TDrate!E:E), "N/A")</f>
        <v>3.73E-2</v>
      </c>
      <c r="J756" cm="1">
        <f t="array" ref="J756">IFERROR(_xlfn.XLOOKUP(C756&amp;A756, Inside5!B:B&amp;Inside5!I:I, Inside5!F:F), 0)</f>
        <v>0</v>
      </c>
      <c r="K756" cm="1">
        <f t="array" ref="K756">IFERROR(_xlfn.XLOOKUP(C756&amp;A756, Inside5!B:B&amp;Inside5!I:I, Inside5!G:G), 0)</f>
        <v>0</v>
      </c>
      <c r="L756" cm="1">
        <f t="array" ref="L756">IFERROR(_xlfn.XLOOKUP(C756&amp;A756, Inside5!B:B&amp;Inside5!I:I, Inside5!H:H), 0)</f>
        <v>0</v>
      </c>
      <c r="M756" cm="1">
        <f t="array" ref="M756">IFERROR(_xlfn.XLOOKUP(C756&amp;A756, TDrate!F:F&amp;TDrate!H:H, TDrate!B:B), "N/A")</f>
        <v>0</v>
      </c>
      <c r="N756" cm="1">
        <f t="array" ref="N756">IFERROR(_xlfn.XLOOKUP(C756&amp;A756, TDrate!F:F&amp;TDrate!H:H, TDrate!D:D), "N/A")</f>
        <v>5.9999999999999995E-4</v>
      </c>
    </row>
    <row r="757" spans="1:14" x14ac:dyDescent="0.45">
      <c r="A757" s="8">
        <v>2021</v>
      </c>
      <c r="B757" s="9" t="s">
        <v>651</v>
      </c>
      <c r="C757" s="10" t="str">
        <f t="shared" si="22"/>
        <v>Dontrell Hilliard</v>
      </c>
      <c r="D757" s="10" t="str">
        <f t="shared" si="23"/>
        <v>TEN</v>
      </c>
      <c r="E757" cm="1">
        <f t="array" aca="1" ref="E757" ca="1">IFERROR(_xlfn.XLOOKUP(C757&amp;A757, Inside5!B:B&amp;Inside5!I:I, Inside5!C:C), 0)</f>
        <v>1</v>
      </c>
      <c r="F757" cm="1">
        <f t="array" aca="1" ref="F757" ca="1">IFERROR(_xlfn.XLOOKUP(C757&amp;A757, Inside5!B:B&amp;Inside5!I:I, Inside5!D:D), 0)</f>
        <v>0</v>
      </c>
      <c r="G757" cm="1">
        <f t="array" ref="G757">IFERROR(_xlfn.XLOOKUP(C757&amp;A757, Inside5!B:B&amp;Inside5!I:I, Inside5!E:E), 0)</f>
        <v>5.8999999999999997E-2</v>
      </c>
      <c r="H757" cm="1">
        <f t="array" ref="H757">IFERROR(_xlfn.XLOOKUP(C757&amp;A757, TDrate!F:F&amp;TDrate!H:H, TDrate!C:C), "N/A")</f>
        <v>3.5700000000000003E-2</v>
      </c>
      <c r="I757" cm="1">
        <f t="array" ref="I757">IFERROR(_xlfn.XLOOKUP(C757&amp;A757, TDrate!F:F&amp;TDrate!H:H, TDrate!E:E), "N/A")</f>
        <v>2.53E-2</v>
      </c>
      <c r="J757" cm="1">
        <f t="array" ref="J757">IFERROR(_xlfn.XLOOKUP(C757&amp;A757, Inside5!B:B&amp;Inside5!I:I, Inside5!F:F), 0)</f>
        <v>0</v>
      </c>
      <c r="K757" cm="1">
        <f t="array" ref="K757">IFERROR(_xlfn.XLOOKUP(C757&amp;A757, Inside5!B:B&amp;Inside5!I:I, Inside5!G:G), 0)</f>
        <v>0</v>
      </c>
      <c r="L757" cm="1">
        <f t="array" ref="L757">IFERROR(_xlfn.XLOOKUP(C757&amp;A757, Inside5!B:B&amp;Inside5!I:I, Inside5!H:H), 0)</f>
        <v>0</v>
      </c>
      <c r="M757" cm="1">
        <f t="array" ref="M757">IFERROR(_xlfn.XLOOKUP(C757&amp;A757, TDrate!F:F&amp;TDrate!H:H, TDrate!B:B), "N/A")</f>
        <v>0</v>
      </c>
      <c r="N757" cm="1">
        <f t="array" ref="N757">IFERROR(_xlfn.XLOOKUP(C757&amp;A757, TDrate!F:F&amp;TDrate!H:H, TDrate!D:D), "N/A")</f>
        <v>1.6899999999999998E-2</v>
      </c>
    </row>
    <row r="758" spans="1:14" x14ac:dyDescent="0.45">
      <c r="A758" s="5">
        <v>2021</v>
      </c>
      <c r="B758" s="6" t="s">
        <v>735</v>
      </c>
      <c r="C758" s="7" t="str">
        <f t="shared" si="22"/>
        <v>Ameer Abdullah</v>
      </c>
      <c r="D758" s="7" t="str">
        <f t="shared" si="23"/>
        <v>CAR</v>
      </c>
      <c r="E758" cm="1">
        <f t="array" ref="E758">IFERROR(_xlfn.XLOOKUP(C758&amp;A758, Inside5!B:B&amp;Inside5!I:I, Inside5!C:C), 0)</f>
        <v>1</v>
      </c>
      <c r="F758" cm="1">
        <f t="array" ref="F758">IFERROR(_xlfn.XLOOKUP(C758&amp;A758, Inside5!B:B&amp;Inside5!I:I, Inside5!D:D), 0)</f>
        <v>0</v>
      </c>
      <c r="G758" cm="1">
        <f t="array" ref="G758">IFERROR(_xlfn.XLOOKUP(C758&amp;A758, Inside5!B:B&amp;Inside5!I:I, Inside5!E:E), 0)</f>
        <v>4.4999999999999998E-2</v>
      </c>
      <c r="H758" cm="1">
        <f t="array" ref="H758">IFERROR(_xlfn.XLOOKUP(C758&amp;A758, TDrate!F:F&amp;TDrate!H:H, TDrate!C:C), "N/A")</f>
        <v>0</v>
      </c>
      <c r="I758" cm="1">
        <f t="array" ref="I758">IFERROR(_xlfn.XLOOKUP(C758&amp;A758, TDrate!F:F&amp;TDrate!H:H, TDrate!E:E), "N/A")</f>
        <v>1.03E-2</v>
      </c>
      <c r="J758" cm="1">
        <f t="array" ref="J758">IFERROR(_xlfn.XLOOKUP(C758&amp;A758, Inside5!B:B&amp;Inside5!I:I, Inside5!F:F), 0)</f>
        <v>0</v>
      </c>
      <c r="K758" cm="1">
        <f t="array" ref="K758">IFERROR(_xlfn.XLOOKUP(C758&amp;A758, Inside5!B:B&amp;Inside5!I:I, Inside5!G:G), 0)</f>
        <v>0</v>
      </c>
      <c r="L758" cm="1">
        <f t="array" ref="L758">IFERROR(_xlfn.XLOOKUP(C758&amp;A758, Inside5!B:B&amp;Inside5!I:I, Inside5!H:H), 0)</f>
        <v>0</v>
      </c>
      <c r="M758" cm="1">
        <f t="array" ref="M758">IFERROR(_xlfn.XLOOKUP(C758&amp;A758, TDrate!F:F&amp;TDrate!H:H, TDrate!B:B), "N/A")</f>
        <v>1.89E-2</v>
      </c>
      <c r="N758" cm="1">
        <f t="array" ref="N758">IFERROR(_xlfn.XLOOKUP(C758&amp;A758, TDrate!F:F&amp;TDrate!H:H, TDrate!D:D), "N/A")</f>
        <v>2.2100000000000002E-2</v>
      </c>
    </row>
    <row r="759" spans="1:14" x14ac:dyDescent="0.45">
      <c r="A759" s="8">
        <v>2021</v>
      </c>
      <c r="B759" s="9" t="s">
        <v>736</v>
      </c>
      <c r="C759" s="10" t="str">
        <f t="shared" si="22"/>
        <v>David Johnson</v>
      </c>
      <c r="D759" s="10" t="str">
        <f t="shared" si="23"/>
        <v>HOU</v>
      </c>
      <c r="E759" cm="1">
        <f t="array" aca="1" ref="E759" ca="1">IFERROR(_xlfn.XLOOKUP(C759&amp;A759, Inside5!B:B&amp;Inside5!I:I, Inside5!C:C), 0)</f>
        <v>0</v>
      </c>
      <c r="F759" cm="1">
        <f t="array" aca="1" ref="F759" ca="1">IFERROR(_xlfn.XLOOKUP(C759&amp;A759, Inside5!B:B&amp;Inside5!I:I, Inside5!D:D), 0)</f>
        <v>0</v>
      </c>
      <c r="G759" cm="1">
        <f t="array" ref="G759">IFERROR(_xlfn.XLOOKUP(C759&amp;A759, Inside5!B:B&amp;Inside5!I:I, Inside5!E:E), 0)</f>
        <v>0</v>
      </c>
      <c r="H759" cm="1">
        <f t="array" ref="H759">IFERROR(_xlfn.XLOOKUP(C759&amp;A759, TDrate!F:F&amp;TDrate!H:H, TDrate!C:C), "N/A")</f>
        <v>0</v>
      </c>
      <c r="I759" cm="1">
        <f t="array" ref="I759">IFERROR(_xlfn.XLOOKUP(C759&amp;A759, TDrate!F:F&amp;TDrate!H:H, TDrate!E:E), "N/A")</f>
        <v>5.3E-3</v>
      </c>
      <c r="J759" cm="1">
        <f t="array" ref="J759">IFERROR(_xlfn.XLOOKUP(C759&amp;A759, Inside5!B:B&amp;Inside5!I:I, Inside5!F:F), 0)</f>
        <v>0</v>
      </c>
      <c r="K759" cm="1">
        <f t="array" ref="K759">IFERROR(_xlfn.XLOOKUP(C759&amp;A759, Inside5!B:B&amp;Inside5!I:I, Inside5!G:G), 0)</f>
        <v>1</v>
      </c>
      <c r="L759" cm="1">
        <f t="array" aca="1" ref="L759" ca="1">IFERROR(_xlfn.XLOOKUP(C759&amp;A759, Inside5!B:B&amp;Inside5!I:I, Inside5!H:H), 0)</f>
        <v>0</v>
      </c>
      <c r="M759" cm="1">
        <f t="array" ref="M759">IFERROR(_xlfn.XLOOKUP(C759&amp;A759, TDrate!F:F&amp;TDrate!H:H, TDrate!B:B), "N/A")</f>
        <v>2.3800000000000002E-2</v>
      </c>
      <c r="N759" cm="1">
        <f t="array" ref="N759">IFERROR(_xlfn.XLOOKUP(C759&amp;A759, TDrate!F:F&amp;TDrate!H:H, TDrate!D:D), "N/A")</f>
        <v>3.2399999999999998E-2</v>
      </c>
    </row>
    <row r="760" spans="1:14" x14ac:dyDescent="0.45">
      <c r="A760" s="5">
        <v>2021</v>
      </c>
      <c r="B760" s="6" t="s">
        <v>737</v>
      </c>
      <c r="C760" s="7" t="str">
        <f t="shared" si="22"/>
        <v>Derrick Gore</v>
      </c>
      <c r="D760" s="7" t="str">
        <f t="shared" si="23"/>
        <v>KC</v>
      </c>
      <c r="E760" cm="1">
        <f t="array" aca="1" ref="E760" ca="1">IFERROR(_xlfn.XLOOKUP(C760&amp;A760, Inside5!B:B&amp;Inside5!I:I, Inside5!C:C), 0)</f>
        <v>2</v>
      </c>
      <c r="F760" cm="1">
        <f t="array" ref="F760">IFERROR(_xlfn.XLOOKUP(C760&amp;A760, Inside5!B:B&amp;Inside5!I:I, Inside5!D:D), 0)</f>
        <v>1</v>
      </c>
      <c r="G760" cm="1">
        <f t="array" ref="G760">IFERROR(_xlfn.XLOOKUP(C760&amp;A760, Inside5!B:B&amp;Inside5!I:I, Inside5!E:E), 0)</f>
        <v>0.1</v>
      </c>
      <c r="H760" cm="1">
        <f t="array" ref="H760">IFERROR(_xlfn.XLOOKUP(C760&amp;A760, TDrate!F:F&amp;TDrate!H:H, TDrate!C:C), "N/A")</f>
        <v>3.9199999999999999E-2</v>
      </c>
      <c r="I760" cm="1">
        <f t="array" ref="I760">IFERROR(_xlfn.XLOOKUP(C760&amp;A760, TDrate!F:F&amp;TDrate!H:H, TDrate!E:E), "N/A")</f>
        <v>3.3000000000000002E-2</v>
      </c>
      <c r="J760" cm="1">
        <f t="array" ref="J760">IFERROR(_xlfn.XLOOKUP(C760&amp;A760, Inside5!B:B&amp;Inside5!I:I, Inside5!F:F), 0)</f>
        <v>0</v>
      </c>
      <c r="K760" cm="1">
        <f t="array" aca="1" ref="K760" ca="1">IFERROR(_xlfn.XLOOKUP(C760&amp;A760, Inside5!B:B&amp;Inside5!I:I, Inside5!G:G), 0)</f>
        <v>0</v>
      </c>
      <c r="L760" cm="1">
        <f t="array" aca="1" ref="L760" ca="1">IFERROR(_xlfn.XLOOKUP(C760&amp;A760, Inside5!B:B&amp;Inside5!I:I, Inside5!H:H), 0)</f>
        <v>0</v>
      </c>
      <c r="M760" cm="1">
        <f t="array" ref="M760">IFERROR(_xlfn.XLOOKUP(C760&amp;A760, TDrate!F:F&amp;TDrate!H:H, TDrate!B:B), "N/A")</f>
        <v>0</v>
      </c>
      <c r="N760" cm="1">
        <f t="array" ref="N760">IFERROR(_xlfn.XLOOKUP(C760&amp;A760, TDrate!F:F&amp;TDrate!H:H, TDrate!D:D), "N/A")</f>
        <v>1.6E-2</v>
      </c>
    </row>
    <row r="761" spans="1:14" x14ac:dyDescent="0.45">
      <c r="A761" s="8">
        <v>2021</v>
      </c>
      <c r="B761" s="9" t="s">
        <v>679</v>
      </c>
      <c r="C761" s="10" t="str">
        <f t="shared" si="22"/>
        <v>Jaret Patterson</v>
      </c>
      <c r="D761" s="10" t="str">
        <f t="shared" si="23"/>
        <v>WAS</v>
      </c>
      <c r="E761" cm="1">
        <f t="array" aca="1" ref="E761" ca="1">IFERROR(_xlfn.XLOOKUP(C761&amp;A761, Inside5!B:B&amp;Inside5!I:I, Inside5!C:C), 0)</f>
        <v>1</v>
      </c>
      <c r="F761" cm="1">
        <f t="array" aca="1" ref="F761" ca="1">IFERROR(_xlfn.XLOOKUP(C761&amp;A761, Inside5!B:B&amp;Inside5!I:I, Inside5!D:D), 0)</f>
        <v>1</v>
      </c>
      <c r="G761" cm="1">
        <f t="array" ref="G761">IFERROR(_xlfn.XLOOKUP(C761&amp;A761, Inside5!B:B&amp;Inside5!I:I, Inside5!E:E), 0)</f>
        <v>4.8000000000000001E-2</v>
      </c>
      <c r="H761" cm="1">
        <f t="array" ref="H761">IFERROR(_xlfn.XLOOKUP(C761&amp;A761, TDrate!F:F&amp;TDrate!H:H, TDrate!C:C), "N/A")</f>
        <v>2.9399999999999999E-2</v>
      </c>
      <c r="I761" cm="1">
        <f t="array" ref="I761">IFERROR(_xlfn.XLOOKUP(C761&amp;A761, TDrate!F:F&amp;TDrate!H:H, TDrate!E:E), "N/A")</f>
        <v>2.23E-2</v>
      </c>
      <c r="J761" cm="1">
        <f t="array" ref="J761">IFERROR(_xlfn.XLOOKUP(C761&amp;A761, Inside5!B:B&amp;Inside5!I:I, Inside5!F:F), 0)</f>
        <v>0</v>
      </c>
      <c r="K761" cm="1">
        <f t="array" aca="1" ref="K761" ca="1">IFERROR(_xlfn.XLOOKUP(C761&amp;A761, Inside5!B:B&amp;Inside5!I:I, Inside5!G:G), 0)</f>
        <v>0</v>
      </c>
      <c r="L761" cm="1">
        <f t="array" ref="L761">IFERROR(_xlfn.XLOOKUP(C761&amp;A761, Inside5!B:B&amp;Inside5!I:I, Inside5!H:H), 0)</f>
        <v>0</v>
      </c>
      <c r="M761" cm="1">
        <f t="array" ref="M761">IFERROR(_xlfn.XLOOKUP(C761&amp;A761, TDrate!F:F&amp;TDrate!H:H, TDrate!B:B), "N/A")</f>
        <v>0</v>
      </c>
      <c r="N761" cm="1">
        <f t="array" ref="N761">IFERROR(_xlfn.XLOOKUP(C761&amp;A761, TDrate!F:F&amp;TDrate!H:H, TDrate!D:D), "N/A")</f>
        <v>5.0000000000000001E-3</v>
      </c>
    </row>
    <row r="762" spans="1:14" x14ac:dyDescent="0.45">
      <c r="A762" s="5">
        <v>2021</v>
      </c>
      <c r="B762" s="6" t="s">
        <v>663</v>
      </c>
      <c r="C762" s="7" t="str">
        <f t="shared" si="22"/>
        <v>Travis Homer</v>
      </c>
      <c r="D762" s="7" t="str">
        <f t="shared" si="23"/>
        <v>SEA</v>
      </c>
      <c r="E762" cm="1">
        <f t="array" ref="E762">IFERROR(_xlfn.XLOOKUP(C762&amp;A762, Inside5!B:B&amp;Inside5!I:I, Inside5!C:C), 0)</f>
        <v>1</v>
      </c>
      <c r="F762" cm="1">
        <f t="array" ref="F762">IFERROR(_xlfn.XLOOKUP(C762&amp;A762, Inside5!B:B&amp;Inside5!I:I, Inside5!D:D), 0)</f>
        <v>0</v>
      </c>
      <c r="G762" cm="1">
        <f t="array" ref="G762">IFERROR(_xlfn.XLOOKUP(C762&amp;A762, Inside5!B:B&amp;Inside5!I:I, Inside5!E:E), 0)</f>
        <v>5.8999999999999997E-2</v>
      </c>
      <c r="H762" t="str" cm="1">
        <f t="array" ref="H762">IFERROR(_xlfn.XLOOKUP(C762&amp;A762, TDrate!F:F&amp;TDrate!H:H, TDrate!C:C), "N/A")</f>
        <v>N/A</v>
      </c>
      <c r="I762" t="str" cm="1">
        <f t="array" ref="I762">IFERROR(_xlfn.XLOOKUP(C762&amp;A762, TDrate!F:F&amp;TDrate!H:H, TDrate!E:E), "N/A")</f>
        <v>N/A</v>
      </c>
      <c r="J762" cm="1">
        <f t="array" ref="J762">IFERROR(_xlfn.XLOOKUP(C762&amp;A762, Inside5!B:B&amp;Inside5!I:I, Inside5!F:F), 0)</f>
        <v>0</v>
      </c>
      <c r="K762" cm="1">
        <f t="array" ref="K762">IFERROR(_xlfn.XLOOKUP(C762&amp;A762, Inside5!B:B&amp;Inside5!I:I, Inside5!G:G), 0)</f>
        <v>0</v>
      </c>
      <c r="L762" cm="1">
        <f t="array" ref="L762">IFERROR(_xlfn.XLOOKUP(C762&amp;A762, Inside5!B:B&amp;Inside5!I:I, Inside5!H:H), 0)</f>
        <v>0</v>
      </c>
      <c r="M762" t="str" cm="1">
        <f t="array" ref="M762">IFERROR(_xlfn.XLOOKUP(C762&amp;A762, TDrate!F:F&amp;TDrate!H:H, TDrate!B:B), "N/A")</f>
        <v>N/A</v>
      </c>
      <c r="N762" t="str" cm="1">
        <f t="array" ref="N762">IFERROR(_xlfn.XLOOKUP(C762&amp;A762, TDrate!F:F&amp;TDrate!H:H, TDrate!D:D), "N/A")</f>
        <v>N/A</v>
      </c>
    </row>
    <row r="763" spans="1:14" x14ac:dyDescent="0.45">
      <c r="A763" s="8">
        <v>2021</v>
      </c>
      <c r="B763" s="9" t="s">
        <v>738</v>
      </c>
      <c r="C763" s="10" t="str">
        <f t="shared" si="22"/>
        <v>Jeremy McNichols</v>
      </c>
      <c r="D763" s="10" t="str">
        <f t="shared" si="23"/>
        <v>TEN</v>
      </c>
      <c r="E763" cm="1">
        <f t="array" aca="1" ref="E763" ca="1">IFERROR(_xlfn.XLOOKUP(C763&amp;A763, Inside5!B:B&amp;Inside5!I:I, Inside5!C:C), 0)</f>
        <v>1</v>
      </c>
      <c r="F763" cm="1">
        <f t="array" aca="1" ref="F763" ca="1">IFERROR(_xlfn.XLOOKUP(C763&amp;A763, Inside5!B:B&amp;Inside5!I:I, Inside5!D:D), 0)</f>
        <v>0</v>
      </c>
      <c r="G763" cm="1">
        <f t="array" ref="G763">IFERROR(_xlfn.XLOOKUP(C763&amp;A763, Inside5!B:B&amp;Inside5!I:I, Inside5!E:E), 0)</f>
        <v>5.8999999999999997E-2</v>
      </c>
      <c r="H763" cm="1">
        <f t="array" ref="H763">IFERROR(_xlfn.XLOOKUP(C763&amp;A763, TDrate!F:F&amp;TDrate!H:H, TDrate!C:C), "N/A")</f>
        <v>0</v>
      </c>
      <c r="I763" cm="1">
        <f t="array" ref="I763">IFERROR(_xlfn.XLOOKUP(C763&amp;A763, TDrate!F:F&amp;TDrate!H:H, TDrate!E:E), "N/A")</f>
        <v>1.09E-2</v>
      </c>
      <c r="J763" cm="1">
        <f t="array" ref="J763">IFERROR(_xlfn.XLOOKUP(C763&amp;A763, Inside5!B:B&amp;Inside5!I:I, Inside5!F:F), 0)</f>
        <v>0</v>
      </c>
      <c r="K763" cm="1">
        <f t="array" ref="K763">IFERROR(_xlfn.XLOOKUP(C763&amp;A763, Inside5!B:B&amp;Inside5!I:I, Inside5!G:G), 0)</f>
        <v>0</v>
      </c>
      <c r="L763" cm="1">
        <f t="array" ref="L763">IFERROR(_xlfn.XLOOKUP(C763&amp;A763, Inside5!B:B&amp;Inside5!I:I, Inside5!H:H), 0)</f>
        <v>0</v>
      </c>
      <c r="M763" cm="1">
        <f t="array" ref="M763">IFERROR(_xlfn.XLOOKUP(C763&amp;A763, TDrate!F:F&amp;TDrate!H:H, TDrate!B:B), "N/A")</f>
        <v>2.63E-2</v>
      </c>
      <c r="N763" cm="1">
        <f t="array" ref="N763">IFERROR(_xlfn.XLOOKUP(C763&amp;A763, TDrate!F:F&amp;TDrate!H:H, TDrate!D:D), "N/A")</f>
        <v>2.7900000000000001E-2</v>
      </c>
    </row>
    <row r="764" spans="1:14" x14ac:dyDescent="0.45">
      <c r="A764" s="5">
        <v>2021</v>
      </c>
      <c r="B764" s="6" t="s">
        <v>739</v>
      </c>
      <c r="C764" s="7" t="str">
        <f t="shared" si="22"/>
        <v>Damien Williams</v>
      </c>
      <c r="D764" s="7" t="str">
        <f t="shared" si="23"/>
        <v>CHI</v>
      </c>
      <c r="E764" cm="1">
        <f t="array" aca="1" ref="E764" ca="1">IFERROR(_xlfn.XLOOKUP(C764&amp;A764, Inside5!B:B&amp;Inside5!I:I, Inside5!C:C), 0)</f>
        <v>4</v>
      </c>
      <c r="F764" cm="1">
        <f t="array" aca="1" ref="F764" ca="1">IFERROR(_xlfn.XLOOKUP(C764&amp;A764, Inside5!B:B&amp;Inside5!I:I, Inside5!D:D), 0)</f>
        <v>2</v>
      </c>
      <c r="G764" cm="1">
        <f t="array" ref="G764">IFERROR(_xlfn.XLOOKUP(C764&amp;A764, Inside5!B:B&amp;Inside5!I:I, Inside5!E:E), 0)</f>
        <v>0.2</v>
      </c>
      <c r="H764" cm="1">
        <f t="array" ref="H764">IFERROR(_xlfn.XLOOKUP(C764&amp;A764, TDrate!F:F&amp;TDrate!H:H, TDrate!C:C), "N/A")</f>
        <v>0.05</v>
      </c>
      <c r="I764" cm="1">
        <f t="array" ref="I764">IFERROR(_xlfn.XLOOKUP(C764&amp;A764, TDrate!F:F&amp;TDrate!H:H, TDrate!E:E), "N/A")</f>
        <v>0.05</v>
      </c>
      <c r="J764" cm="1">
        <f t="array" ref="J764">IFERROR(_xlfn.XLOOKUP(C764&amp;A764, Inside5!B:B&amp;Inside5!I:I, Inside5!F:F), 0)</f>
        <v>0</v>
      </c>
      <c r="K764" cm="1">
        <f t="array" aca="1" ref="K764" ca="1">IFERROR(_xlfn.XLOOKUP(C764&amp;A764, Inside5!B:B&amp;Inside5!I:I, Inside5!G:G), 0)</f>
        <v>0</v>
      </c>
      <c r="L764" cm="1">
        <f t="array" ref="L764">IFERROR(_xlfn.XLOOKUP(C764&amp;A764, Inside5!B:B&amp;Inside5!I:I, Inside5!H:H), 0)</f>
        <v>0</v>
      </c>
      <c r="M764" cm="1">
        <f t="array" ref="M764">IFERROR(_xlfn.XLOOKUP(C764&amp;A764, TDrate!F:F&amp;TDrate!H:H, TDrate!B:B), "N/A")</f>
        <v>4.3499999999999997E-2</v>
      </c>
      <c r="N764" cm="1">
        <f t="array" ref="N764">IFERROR(_xlfn.XLOOKUP(C764&amp;A764, TDrate!F:F&amp;TDrate!H:H, TDrate!D:D), "N/A")</f>
        <v>2.9399999999999999E-2</v>
      </c>
    </row>
    <row r="765" spans="1:14" x14ac:dyDescent="0.45">
      <c r="A765" s="8">
        <v>2021</v>
      </c>
      <c r="B765" s="9" t="s">
        <v>740</v>
      </c>
      <c r="C765" s="10" t="str">
        <f t="shared" si="22"/>
        <v>Jeff Wilson Jr.</v>
      </c>
      <c r="D765" s="10" t="str">
        <f t="shared" si="23"/>
        <v>SF</v>
      </c>
      <c r="E765" cm="1">
        <f t="array" aca="1" ref="E765" ca="1">IFERROR(_xlfn.XLOOKUP(C765&amp;A765, Inside5!B:B&amp;Inside5!I:I, Inside5!C:C), 0)</f>
        <v>4</v>
      </c>
      <c r="F765" cm="1">
        <f t="array" aca="1" ref="F765" ca="1">IFERROR(_xlfn.XLOOKUP(C765&amp;A765, Inside5!B:B&amp;Inside5!I:I, Inside5!D:D), 0)</f>
        <v>2</v>
      </c>
      <c r="G765" cm="1">
        <f t="array" ref="G765">IFERROR(_xlfn.XLOOKUP(C765&amp;A765, Inside5!B:B&amp;Inside5!I:I, Inside5!E:E), 0)</f>
        <v>0.308</v>
      </c>
      <c r="H765" cm="1">
        <f t="array" ref="H765">IFERROR(_xlfn.XLOOKUP(C765&amp;A765, TDrate!F:F&amp;TDrate!H:H, TDrate!C:C), "N/A")</f>
        <v>2.53E-2</v>
      </c>
      <c r="I765" cm="1">
        <f t="array" ref="I765">IFERROR(_xlfn.XLOOKUP(C765&amp;A765, TDrate!F:F&amp;TDrate!H:H, TDrate!E:E), "N/A")</f>
        <v>2.75E-2</v>
      </c>
      <c r="J765" cm="1">
        <f t="array" ref="J765">IFERROR(_xlfn.XLOOKUP(C765&amp;A765, Inside5!B:B&amp;Inside5!I:I, Inside5!F:F), 0)</f>
        <v>0</v>
      </c>
      <c r="K765" cm="1">
        <f t="array" ref="K765">IFERROR(_xlfn.XLOOKUP(C765&amp;A765, Inside5!B:B&amp;Inside5!I:I, Inside5!G:G), 0)</f>
        <v>1</v>
      </c>
      <c r="L765" cm="1">
        <f t="array" ref="L765">IFERROR(_xlfn.XLOOKUP(C765&amp;A765, Inside5!B:B&amp;Inside5!I:I, Inside5!H:H), 0)</f>
        <v>0</v>
      </c>
      <c r="M765" cm="1">
        <f t="array" ref="M765">IFERROR(_xlfn.XLOOKUP(C765&amp;A765, TDrate!F:F&amp;TDrate!H:H, TDrate!B:B), "N/A")</f>
        <v>0</v>
      </c>
      <c r="N765" cm="1">
        <f t="array" ref="N765">IFERROR(_xlfn.XLOOKUP(C765&amp;A765, TDrate!F:F&amp;TDrate!H:H, TDrate!D:D), "N/A")</f>
        <v>4.7300000000000002E-2</v>
      </c>
    </row>
    <row r="766" spans="1:14" x14ac:dyDescent="0.45">
      <c r="A766" s="5">
        <v>2021</v>
      </c>
      <c r="B766" s="6" t="s">
        <v>469</v>
      </c>
      <c r="C766" s="7" t="str">
        <f t="shared" si="22"/>
        <v>Kyle Juszczyk</v>
      </c>
      <c r="D766" s="7" t="str">
        <f t="shared" si="23"/>
        <v>SF</v>
      </c>
      <c r="E766" cm="1">
        <f t="array" aca="1" ref="E766" ca="1">IFERROR(_xlfn.XLOOKUP(C766&amp;A766, Inside5!B:B&amp;Inside5!I:I, Inside5!C:C), 0)</f>
        <v>1</v>
      </c>
      <c r="F766" cm="1">
        <f t="array" aca="1" ref="F766" ca="1">IFERROR(_xlfn.XLOOKUP(C766&amp;A766, Inside5!B:B&amp;Inside5!I:I, Inside5!D:D), 0)</f>
        <v>0</v>
      </c>
      <c r="G766" cm="1">
        <f t="array" ref="G766">IFERROR(_xlfn.XLOOKUP(C766&amp;A766, Inside5!B:B&amp;Inside5!I:I, Inside5!E:E), 0)</f>
        <v>7.6999999999999999E-2</v>
      </c>
      <c r="H766" t="str" cm="1">
        <f t="array" ref="H766">IFERROR(_xlfn.XLOOKUP(C766&amp;A766, TDrate!F:F&amp;TDrate!H:H, TDrate!C:C), "N/A")</f>
        <v>N/A</v>
      </c>
      <c r="I766" t="str" cm="1">
        <f t="array" ref="I766">IFERROR(_xlfn.XLOOKUP(C766&amp;A766, TDrate!F:F&amp;TDrate!H:H, TDrate!E:E), "N/A")</f>
        <v>N/A</v>
      </c>
      <c r="J766" cm="1">
        <f t="array" ref="J766">IFERROR(_xlfn.XLOOKUP(C766&amp;A766, Inside5!B:B&amp;Inside5!I:I, Inside5!F:F), 0)</f>
        <v>0</v>
      </c>
      <c r="K766" cm="1">
        <f t="array" aca="1" ref="K766" ca="1">IFERROR(_xlfn.XLOOKUP(C766&amp;A766, Inside5!B:B&amp;Inside5!I:I, Inside5!G:G), 0)</f>
        <v>0</v>
      </c>
      <c r="L766" cm="1">
        <f t="array" ref="L766">IFERROR(_xlfn.XLOOKUP(C766&amp;A766, Inside5!B:B&amp;Inside5!I:I, Inside5!H:H), 0)</f>
        <v>0</v>
      </c>
      <c r="M766" t="str" cm="1">
        <f t="array" ref="M766">IFERROR(_xlfn.XLOOKUP(C766&amp;A766, TDrate!F:F&amp;TDrate!H:H, TDrate!B:B), "N/A")</f>
        <v>N/A</v>
      </c>
      <c r="N766" t="str" cm="1">
        <f t="array" ref="N766">IFERROR(_xlfn.XLOOKUP(C766&amp;A766, TDrate!F:F&amp;TDrate!H:H, TDrate!D:D), "N/A")</f>
        <v>N/A</v>
      </c>
    </row>
    <row r="767" spans="1:14" x14ac:dyDescent="0.45">
      <c r="A767" s="8">
        <v>2021</v>
      </c>
      <c r="B767" s="9" t="s">
        <v>741</v>
      </c>
      <c r="C767" s="10" t="str">
        <f t="shared" si="22"/>
        <v>Chris Carson</v>
      </c>
      <c r="D767" s="10" t="str">
        <f t="shared" si="23"/>
        <v>SEA</v>
      </c>
      <c r="E767" cm="1">
        <f t="array" ref="E767">IFERROR(_xlfn.XLOOKUP(C767&amp;A767, Inside5!B:B&amp;Inside5!I:I, Inside5!C:C), 0)</f>
        <v>2</v>
      </c>
      <c r="F767" cm="1">
        <f t="array" aca="1" ref="F767" ca="1">IFERROR(_xlfn.XLOOKUP(C767&amp;A767, Inside5!B:B&amp;Inside5!I:I, Inside5!D:D), 0)</f>
        <v>2</v>
      </c>
      <c r="G767" cm="1">
        <f t="array" ref="G767">IFERROR(_xlfn.XLOOKUP(C767&amp;A767, Inside5!B:B&amp;Inside5!I:I, Inside5!E:E), 0)</f>
        <v>0.11799999999999999</v>
      </c>
      <c r="H767" cm="1">
        <f t="array" ref="H767">IFERROR(_xlfn.XLOOKUP(C767&amp;A767, TDrate!F:F&amp;TDrate!H:H, TDrate!C:C), "N/A")</f>
        <v>5.5599999999999997E-2</v>
      </c>
      <c r="I767" cm="1">
        <f t="array" ref="I767">IFERROR(_xlfn.XLOOKUP(C767&amp;A767, TDrate!F:F&amp;TDrate!H:H, TDrate!E:E), "N/A")</f>
        <v>3.9699999999999999E-2</v>
      </c>
      <c r="J767" cm="1">
        <f t="array" ref="J767">IFERROR(_xlfn.XLOOKUP(C767&amp;A767, Inside5!B:B&amp;Inside5!I:I, Inside5!F:F), 0)</f>
        <v>0</v>
      </c>
      <c r="K767" cm="1">
        <f t="array" aca="1" ref="K767" ca="1">IFERROR(_xlfn.XLOOKUP(C767&amp;A767, Inside5!B:B&amp;Inside5!I:I, Inside5!G:G), 0)</f>
        <v>0</v>
      </c>
      <c r="L767" cm="1">
        <f t="array" ref="L767">IFERROR(_xlfn.XLOOKUP(C767&amp;A767, Inside5!B:B&amp;Inside5!I:I, Inside5!H:H), 0)</f>
        <v>0</v>
      </c>
      <c r="M767" cm="1">
        <f t="array" ref="M767">IFERROR(_xlfn.XLOOKUP(C767&amp;A767, TDrate!F:F&amp;TDrate!H:H, TDrate!B:B), "N/A")</f>
        <v>0</v>
      </c>
      <c r="N767" cm="1">
        <f t="array" ref="N767">IFERROR(_xlfn.XLOOKUP(C767&amp;A767, TDrate!F:F&amp;TDrate!H:H, TDrate!D:D), "N/A")</f>
        <v>2.5999999999999999E-3</v>
      </c>
    </row>
    <row r="768" spans="1:14" x14ac:dyDescent="0.45">
      <c r="A768" s="5">
        <v>2021</v>
      </c>
      <c r="B768" s="6" t="s">
        <v>742</v>
      </c>
      <c r="C768" s="7" t="str">
        <f t="shared" si="22"/>
        <v>Phillip Lindsay</v>
      </c>
      <c r="D768" s="7" t="str">
        <f t="shared" si="23"/>
        <v>MIA</v>
      </c>
      <c r="E768" cm="1">
        <f t="array" ref="E768">IFERROR(_xlfn.XLOOKUP(C768&amp;A768, Inside5!B:B&amp;Inside5!I:I, Inside5!C:C), 0)</f>
        <v>2</v>
      </c>
      <c r="F768" cm="1">
        <f t="array" ref="F768">IFERROR(_xlfn.XLOOKUP(C768&amp;A768, Inside5!B:B&amp;Inside5!I:I, Inside5!D:D), 0)</f>
        <v>1</v>
      </c>
      <c r="G768" cm="1">
        <f t="array" ref="G768">IFERROR(_xlfn.XLOOKUP(C768&amp;A768, Inside5!B:B&amp;Inside5!I:I, Inside5!E:E), 0)</f>
        <v>0.11799999999999999</v>
      </c>
      <c r="H768" cm="1">
        <f t="array" ref="H768">IFERROR(_xlfn.XLOOKUP(C768&amp;A768, TDrate!F:F&amp;TDrate!H:H, TDrate!C:C), "N/A")</f>
        <v>1.14E-2</v>
      </c>
      <c r="I768" cm="1">
        <f t="array" ref="I768">IFERROR(_xlfn.XLOOKUP(C768&amp;A768, TDrate!F:F&amp;TDrate!H:H, TDrate!E:E), "N/A")</f>
        <v>1.4200000000000001E-2</v>
      </c>
      <c r="J768" cm="1">
        <f t="array" ref="J768">IFERROR(_xlfn.XLOOKUP(C768&amp;A768, Inside5!B:B&amp;Inside5!I:I, Inside5!F:F), 0)</f>
        <v>0</v>
      </c>
      <c r="K768" cm="1">
        <f t="array" ref="K768">IFERROR(_xlfn.XLOOKUP(C768&amp;A768, Inside5!B:B&amp;Inside5!I:I, Inside5!G:G), 0)</f>
        <v>1</v>
      </c>
      <c r="L768" cm="1">
        <f t="array" ref="L768">IFERROR(_xlfn.XLOOKUP(C768&amp;A768, Inside5!B:B&amp;Inside5!I:I, Inside5!H:H), 0)</f>
        <v>0</v>
      </c>
      <c r="M768" cm="1">
        <f t="array" ref="M768">IFERROR(_xlfn.XLOOKUP(C768&amp;A768, TDrate!F:F&amp;TDrate!H:H, TDrate!B:B), "N/A")</f>
        <v>0.2</v>
      </c>
      <c r="N768" cm="1">
        <f t="array" ref="N768">IFERROR(_xlfn.XLOOKUP(C768&amp;A768, TDrate!F:F&amp;TDrate!H:H, TDrate!D:D), "N/A")</f>
        <v>0.15359999999999999</v>
      </c>
    </row>
    <row r="769" spans="1:14" x14ac:dyDescent="0.45">
      <c r="A769" s="8">
        <v>2021</v>
      </c>
      <c r="B769" s="9" t="s">
        <v>743</v>
      </c>
      <c r="C769" s="10" t="str">
        <f t="shared" si="22"/>
        <v>Tevin Coleman</v>
      </c>
      <c r="D769" s="10" t="str">
        <f t="shared" si="23"/>
        <v>NYJ</v>
      </c>
      <c r="E769" cm="1">
        <f t="array" aca="1" ref="E769" ca="1">IFERROR(_xlfn.XLOOKUP(C769&amp;A769, Inside5!B:B&amp;Inside5!I:I, Inside5!C:C), 0)</f>
        <v>6</v>
      </c>
      <c r="F769" cm="1">
        <f t="array" aca="1" ref="F769" ca="1">IFERROR(_xlfn.XLOOKUP(C769&amp;A769, Inside5!B:B&amp;Inside5!I:I, Inside5!D:D), 0)</f>
        <v>0</v>
      </c>
      <c r="G769" cm="1">
        <f t="array" ref="G769">IFERROR(_xlfn.XLOOKUP(C769&amp;A769, Inside5!B:B&amp;Inside5!I:I, Inside5!E:E), 0)</f>
        <v>0.26100000000000001</v>
      </c>
      <c r="H769" cm="1">
        <f t="array" ref="H769">IFERROR(_xlfn.XLOOKUP(C769&amp;A769, TDrate!F:F&amp;TDrate!H:H, TDrate!C:C), "N/A")</f>
        <v>0</v>
      </c>
      <c r="I769" cm="1">
        <f t="array" ref="I769">IFERROR(_xlfn.XLOOKUP(C769&amp;A769, TDrate!F:F&amp;TDrate!H:H, TDrate!E:E), "N/A")</f>
        <v>1.95E-2</v>
      </c>
      <c r="J769" cm="1">
        <f t="array" ref="J769">IFERROR(_xlfn.XLOOKUP(C769&amp;A769, Inside5!B:B&amp;Inside5!I:I, Inside5!F:F), 0)</f>
        <v>0</v>
      </c>
      <c r="K769" cm="1">
        <f t="array" aca="1" ref="K769" ca="1">IFERROR(_xlfn.XLOOKUP(C769&amp;A769, Inside5!B:B&amp;Inside5!I:I, Inside5!G:G), 0)</f>
        <v>0</v>
      </c>
      <c r="L769" cm="1">
        <f t="array" ref="L769">IFERROR(_xlfn.XLOOKUP(C769&amp;A769, Inside5!B:B&amp;Inside5!I:I, Inside5!H:H), 0)</f>
        <v>0</v>
      </c>
      <c r="M769" cm="1">
        <f t="array" ref="M769">IFERROR(_xlfn.XLOOKUP(C769&amp;A769, TDrate!F:F&amp;TDrate!H:H, TDrate!B:B), "N/A")</f>
        <v>0</v>
      </c>
      <c r="N769" cm="1">
        <f t="array" ref="N769">IFERROR(_xlfn.XLOOKUP(C769&amp;A769, TDrate!F:F&amp;TDrate!H:H, TDrate!D:D), "N/A")</f>
        <v>3.0200000000000001E-2</v>
      </c>
    </row>
    <row r="770" spans="1:14" x14ac:dyDescent="0.45">
      <c r="A770" s="5">
        <v>2021</v>
      </c>
      <c r="B770" s="6" t="s">
        <v>744</v>
      </c>
      <c r="C770" s="7" t="str">
        <f t="shared" ref="C770:C833" si="24">TRIM(LEFT(B770, LEN(B770) - LEN(TRIM(RIGHT(SUBSTITUTE(TRIM(B770)," ",REPT(" ",100)),100)))))</f>
        <v>Peyton Barber</v>
      </c>
      <c r="D770" s="7" t="str">
        <f t="shared" ref="D770:D833" si="25">MID(B770, FIND("(", B770) + 1, FIND(")", B770) - FIND("(", B770) - 1)</f>
        <v>LV</v>
      </c>
      <c r="E770" cm="1">
        <f t="array" aca="1" ref="E770" ca="1">IFERROR(_xlfn.XLOOKUP(C770&amp;A770, Inside5!B:B&amp;Inside5!I:I, Inside5!C:C), 0)</f>
        <v>3</v>
      </c>
      <c r="F770" cm="1">
        <f t="array" aca="1" ref="F770" ca="1">IFERROR(_xlfn.XLOOKUP(C770&amp;A770, Inside5!B:B&amp;Inside5!I:I, Inside5!D:D), 0)</f>
        <v>2</v>
      </c>
      <c r="G770" cm="1">
        <f t="array" ref="G770">IFERROR(_xlfn.XLOOKUP(C770&amp;A770, Inside5!B:B&amp;Inside5!I:I, Inside5!E:E), 0)</f>
        <v>0.214</v>
      </c>
      <c r="H770" cm="1">
        <f t="array" ref="H770">IFERROR(_xlfn.XLOOKUP(C770&amp;A770, TDrate!F:F&amp;TDrate!H:H, TDrate!C:C), "N/A")</f>
        <v>3.6400000000000002E-2</v>
      </c>
      <c r="I770" cm="1">
        <f t="array" ref="I770">IFERROR(_xlfn.XLOOKUP(C770&amp;A770, TDrate!F:F&amp;TDrate!H:H, TDrate!E:E), "N/A")</f>
        <v>3.5499999999999997E-2</v>
      </c>
      <c r="J770" cm="1">
        <f t="array" ref="J770">IFERROR(_xlfn.XLOOKUP(C770&amp;A770, Inside5!B:B&amp;Inside5!I:I, Inside5!F:F), 0)</f>
        <v>0</v>
      </c>
      <c r="K770" cm="1">
        <f t="array" aca="1" ref="K770" ca="1">IFERROR(_xlfn.XLOOKUP(C770&amp;A770, Inside5!B:B&amp;Inside5!I:I, Inside5!G:G), 0)</f>
        <v>0</v>
      </c>
      <c r="L770" cm="1">
        <f t="array" ref="L770">IFERROR(_xlfn.XLOOKUP(C770&amp;A770, Inside5!B:B&amp;Inside5!I:I, Inside5!H:H), 0)</f>
        <v>0</v>
      </c>
      <c r="M770" cm="1">
        <f t="array" ref="M770">IFERROR(_xlfn.XLOOKUP(C770&amp;A770, TDrate!F:F&amp;TDrate!H:H, TDrate!B:B), "N/A")</f>
        <v>0</v>
      </c>
      <c r="N770" cm="1">
        <f t="array" ref="N770">IFERROR(_xlfn.XLOOKUP(C770&amp;A770, TDrate!F:F&amp;TDrate!H:H, TDrate!D:D), "N/A")</f>
        <v>1.2E-2</v>
      </c>
    </row>
    <row r="771" spans="1:14" x14ac:dyDescent="0.45">
      <c r="A771" s="8">
        <v>2021</v>
      </c>
      <c r="B771" s="9" t="s">
        <v>598</v>
      </c>
      <c r="C771" s="10" t="str">
        <f t="shared" si="24"/>
        <v>DeeJay Dallas</v>
      </c>
      <c r="D771" s="10" t="str">
        <f t="shared" si="25"/>
        <v>SEA</v>
      </c>
      <c r="E771" cm="1">
        <f t="array" ref="E771">IFERROR(_xlfn.XLOOKUP(C771&amp;A771, Inside5!B:B&amp;Inside5!I:I, Inside5!C:C), 0)</f>
        <v>2</v>
      </c>
      <c r="F771" cm="1">
        <f t="array" ref="F771">IFERROR(_xlfn.XLOOKUP(C771&amp;A771, Inside5!B:B&amp;Inside5!I:I, Inside5!D:D), 0)</f>
        <v>2</v>
      </c>
      <c r="G771" cm="1">
        <f t="array" ref="G771">IFERROR(_xlfn.XLOOKUP(C771&amp;A771, Inside5!B:B&amp;Inside5!I:I, Inside5!E:E), 0)</f>
        <v>0.11799999999999999</v>
      </c>
      <c r="H771" cm="1">
        <f t="array" ref="H771">IFERROR(_xlfn.XLOOKUP(C771&amp;A771, TDrate!F:F&amp;TDrate!H:H, TDrate!C:C), "N/A")</f>
        <v>6.0600000000000001E-2</v>
      </c>
      <c r="I771" cm="1">
        <f t="array" ref="I771">IFERROR(_xlfn.XLOOKUP(C771&amp;A771, TDrate!F:F&amp;TDrate!H:H, TDrate!E:E), "N/A")</f>
        <v>4.7800000000000002E-2</v>
      </c>
      <c r="J771" cm="1">
        <f t="array" ref="J771">IFERROR(_xlfn.XLOOKUP(C771&amp;A771, Inside5!B:B&amp;Inside5!I:I, Inside5!F:F), 0)</f>
        <v>0</v>
      </c>
      <c r="K771" cm="1">
        <f t="array" ref="K771">IFERROR(_xlfn.XLOOKUP(C771&amp;A771, Inside5!B:B&amp;Inside5!I:I, Inside5!G:G), 0)</f>
        <v>0</v>
      </c>
      <c r="L771" cm="1">
        <f t="array" ref="L771">IFERROR(_xlfn.XLOOKUP(C771&amp;A771, Inside5!B:B&amp;Inside5!I:I, Inside5!H:H), 0)</f>
        <v>0</v>
      </c>
      <c r="M771" cm="1">
        <f t="array" ref="M771">IFERROR(_xlfn.XLOOKUP(C771&amp;A771, TDrate!F:F&amp;TDrate!H:H, TDrate!B:B), "N/A")</f>
        <v>0</v>
      </c>
      <c r="N771" cm="1">
        <f t="array" ref="N771">IFERROR(_xlfn.XLOOKUP(C771&amp;A771, TDrate!F:F&amp;TDrate!H:H, TDrate!D:D), "N/A")</f>
        <v>4.5999999999999999E-3</v>
      </c>
    </row>
    <row r="772" spans="1:14" x14ac:dyDescent="0.45">
      <c r="A772" s="5">
        <v>2021</v>
      </c>
      <c r="B772" s="6" t="s">
        <v>745</v>
      </c>
      <c r="C772" s="7" t="str">
        <f t="shared" si="24"/>
        <v>Dare Ogunbowale</v>
      </c>
      <c r="D772" s="7" t="str">
        <f t="shared" si="25"/>
        <v>JAC</v>
      </c>
      <c r="E772" cm="1">
        <f t="array" aca="1" ref="E772" ca="1">IFERROR(_xlfn.XLOOKUP(C772&amp;A772, Inside5!B:B&amp;Inside5!I:I, Inside5!C:C), 0)</f>
        <v>1</v>
      </c>
      <c r="F772" cm="1">
        <f t="array" aca="1" ref="F772" ca="1">IFERROR(_xlfn.XLOOKUP(C772&amp;A772, Inside5!B:B&amp;Inside5!I:I, Inside5!D:D), 0)</f>
        <v>1</v>
      </c>
      <c r="G772" cm="1">
        <f t="array" ref="G772">IFERROR(_xlfn.XLOOKUP(C772&amp;A772, Inside5!B:B&amp;Inside5!I:I, Inside5!E:E), 0)</f>
        <v>6.7000000000000004E-2</v>
      </c>
      <c r="H772" cm="1">
        <f t="array" ref="H772">IFERROR(_xlfn.XLOOKUP(C772&amp;A772, TDrate!F:F&amp;TDrate!H:H, TDrate!C:C), "N/A")</f>
        <v>2.3300000000000001E-2</v>
      </c>
      <c r="I772" cm="1">
        <f t="array" ref="I772">IFERROR(_xlfn.XLOOKUP(C772&amp;A772, TDrate!F:F&amp;TDrate!H:H, TDrate!E:E), "N/A")</f>
        <v>2.1999999999999999E-2</v>
      </c>
      <c r="J772" cm="1">
        <f t="array" ref="J772">IFERROR(_xlfn.XLOOKUP(C772&amp;A772, Inside5!B:B&amp;Inside5!I:I, Inside5!F:F), 0)</f>
        <v>0</v>
      </c>
      <c r="K772" cm="1">
        <f t="array" ref="K772">IFERROR(_xlfn.XLOOKUP(C772&amp;A772, Inside5!B:B&amp;Inside5!I:I, Inside5!G:G), 0)</f>
        <v>1</v>
      </c>
      <c r="L772" cm="1">
        <f t="array" ref="L772">IFERROR(_xlfn.XLOOKUP(C772&amp;A772, Inside5!B:B&amp;Inside5!I:I, Inside5!H:H), 0)</f>
        <v>0</v>
      </c>
      <c r="M772" cm="1">
        <f t="array" ref="M772">IFERROR(_xlfn.XLOOKUP(C772&amp;A772, TDrate!F:F&amp;TDrate!H:H, TDrate!B:B), "N/A")</f>
        <v>4.7600000000000003E-2</v>
      </c>
      <c r="N772" cm="1">
        <f t="array" ref="N772">IFERROR(_xlfn.XLOOKUP(C772&amp;A772, TDrate!F:F&amp;TDrate!H:H, TDrate!D:D), "N/A")</f>
        <v>4.7E-2</v>
      </c>
    </row>
    <row r="773" spans="1:14" x14ac:dyDescent="0.45">
      <c r="A773" s="8">
        <v>2021</v>
      </c>
      <c r="B773" s="9" t="s">
        <v>687</v>
      </c>
      <c r="C773" s="10" t="str">
        <f t="shared" si="24"/>
        <v>Giovani Bernard</v>
      </c>
      <c r="D773" s="10" t="str">
        <f t="shared" si="25"/>
        <v>TB</v>
      </c>
      <c r="E773" cm="1">
        <f t="array" ref="E773">IFERROR(_xlfn.XLOOKUP(C773&amp;A773, Inside5!B:B&amp;Inside5!I:I, Inside5!C:C), 0)</f>
        <v>0</v>
      </c>
      <c r="F773" cm="1">
        <f t="array" ref="F773">IFERROR(_xlfn.XLOOKUP(C773&amp;A773, Inside5!B:B&amp;Inside5!I:I, Inside5!D:D), 0)</f>
        <v>0</v>
      </c>
      <c r="G773" cm="1">
        <f t="array" ref="G773">IFERROR(_xlfn.XLOOKUP(C773&amp;A773, Inside5!B:B&amp;Inside5!I:I, Inside5!E:E), 0)</f>
        <v>0</v>
      </c>
      <c r="H773" t="str" cm="1">
        <f t="array" ref="H773">IFERROR(_xlfn.XLOOKUP(C773&amp;A773, TDrate!F:F&amp;TDrate!H:H, TDrate!C:C), "N/A")</f>
        <v>N/A</v>
      </c>
      <c r="I773" t="str" cm="1">
        <f t="array" ref="I773">IFERROR(_xlfn.XLOOKUP(C773&amp;A773, TDrate!F:F&amp;TDrate!H:H, TDrate!E:E), "N/A")</f>
        <v>N/A</v>
      </c>
      <c r="J773" cm="1">
        <f t="array" ref="J773">IFERROR(_xlfn.XLOOKUP(C773&amp;A773, Inside5!B:B&amp;Inside5!I:I, Inside5!F:F), 0)</f>
        <v>1</v>
      </c>
      <c r="K773" cm="1">
        <f t="array" ref="K773">IFERROR(_xlfn.XLOOKUP(C773&amp;A773, Inside5!B:B&amp;Inside5!I:I, Inside5!G:G), 0)</f>
        <v>1</v>
      </c>
      <c r="L773" cm="1">
        <f t="array" ref="L773">IFERROR(_xlfn.XLOOKUP(C773&amp;A773, Inside5!B:B&amp;Inside5!I:I, Inside5!H:H), 0)</f>
        <v>0</v>
      </c>
      <c r="M773" t="str" cm="1">
        <f t="array" ref="M773">IFERROR(_xlfn.XLOOKUP(C773&amp;A773, TDrate!F:F&amp;TDrate!H:H, TDrate!B:B), "N/A")</f>
        <v>N/A</v>
      </c>
      <c r="N773" t="str" cm="1">
        <f t="array" ref="N773">IFERROR(_xlfn.XLOOKUP(C773&amp;A773, TDrate!F:F&amp;TDrate!H:H, TDrate!D:D), "N/A")</f>
        <v>N/A</v>
      </c>
    </row>
    <row r="774" spans="1:14" x14ac:dyDescent="0.45">
      <c r="A774" s="5">
        <v>2021</v>
      </c>
      <c r="B774" s="6" t="s">
        <v>746</v>
      </c>
      <c r="C774" s="7" t="str">
        <f t="shared" si="24"/>
        <v>Matt Breida</v>
      </c>
      <c r="D774" s="7" t="str">
        <f t="shared" si="25"/>
        <v>BUF</v>
      </c>
      <c r="E774" cm="1">
        <f t="array" aca="1" ref="E774" ca="1">IFERROR(_xlfn.XLOOKUP(C774&amp;A774, Inside5!B:B&amp;Inside5!I:I, Inside5!C:C), 0)</f>
        <v>0</v>
      </c>
      <c r="F774" cm="1">
        <f t="array" ref="F774">IFERROR(_xlfn.XLOOKUP(C774&amp;A774, Inside5!B:B&amp;Inside5!I:I, Inside5!D:D), 0)</f>
        <v>0</v>
      </c>
      <c r="G774" cm="1">
        <f t="array" ref="G774">IFERROR(_xlfn.XLOOKUP(C774&amp;A774, Inside5!B:B&amp;Inside5!I:I, Inside5!E:E), 0)</f>
        <v>0</v>
      </c>
      <c r="H774" cm="1">
        <f t="array" ref="H774">IFERROR(_xlfn.XLOOKUP(C774&amp;A774, TDrate!F:F&amp;TDrate!H:H, TDrate!C:C), "N/A")</f>
        <v>3.85E-2</v>
      </c>
      <c r="I774" cm="1">
        <f t="array" ref="I774">IFERROR(_xlfn.XLOOKUP(C774&amp;A774, TDrate!F:F&amp;TDrate!H:H, TDrate!E:E), "N/A")</f>
        <v>2.6599999999999999E-2</v>
      </c>
      <c r="J774" cm="1">
        <f t="array" ref="J774">IFERROR(_xlfn.XLOOKUP(C774&amp;A774, Inside5!B:B&amp;Inside5!I:I, Inside5!F:F), 0)</f>
        <v>0</v>
      </c>
      <c r="K774" cm="1">
        <f t="array" ref="K774">IFERROR(_xlfn.XLOOKUP(C774&amp;A774, Inside5!B:B&amp;Inside5!I:I, Inside5!G:G), 0)</f>
        <v>0</v>
      </c>
      <c r="L774" cm="1">
        <f t="array" ref="L774">IFERROR(_xlfn.XLOOKUP(C774&amp;A774, Inside5!B:B&amp;Inside5!I:I, Inside5!H:H), 0)</f>
        <v>0</v>
      </c>
      <c r="M774" cm="1">
        <f t="array" ref="M774">IFERROR(_xlfn.XLOOKUP(C774&amp;A774, TDrate!F:F&amp;TDrate!H:H, TDrate!B:B), "N/A")</f>
        <v>0.22220000000000001</v>
      </c>
      <c r="N774" cm="1">
        <f t="array" ref="N774">IFERROR(_xlfn.XLOOKUP(C774&amp;A774, TDrate!F:F&amp;TDrate!H:H, TDrate!D:D), "N/A")</f>
        <v>0.13339999999999999</v>
      </c>
    </row>
    <row r="775" spans="1:14" x14ac:dyDescent="0.45">
      <c r="A775" s="8">
        <v>2021</v>
      </c>
      <c r="B775" s="9" t="s">
        <v>612</v>
      </c>
      <c r="C775" s="10" t="str">
        <f t="shared" si="24"/>
        <v>Chris Evans</v>
      </c>
      <c r="D775" s="10" t="str">
        <f t="shared" si="25"/>
        <v>CIN</v>
      </c>
      <c r="E775" cm="1">
        <f t="array" ref="E775">IFERROR(_xlfn.XLOOKUP(C775&amp;A775, Inside5!B:B&amp;Inside5!I:I, Inside5!C:C), 0)</f>
        <v>1</v>
      </c>
      <c r="F775" cm="1">
        <f t="array" aca="1" ref="F775" ca="1">IFERROR(_xlfn.XLOOKUP(C775&amp;A775, Inside5!B:B&amp;Inside5!I:I, Inside5!D:D), 0)</f>
        <v>0</v>
      </c>
      <c r="G775" cm="1">
        <f t="array" ref="G775">IFERROR(_xlfn.XLOOKUP(C775&amp;A775, Inside5!B:B&amp;Inside5!I:I, Inside5!E:E), 0)</f>
        <v>6.3E-2</v>
      </c>
      <c r="H775" t="str" cm="1">
        <f t="array" ref="H775">IFERROR(_xlfn.XLOOKUP(C775&amp;A775, TDrate!F:F&amp;TDrate!H:H, TDrate!C:C), "N/A")</f>
        <v>N/A</v>
      </c>
      <c r="I775" t="str" cm="1">
        <f t="array" ref="I775">IFERROR(_xlfn.XLOOKUP(C775&amp;A775, TDrate!F:F&amp;TDrate!H:H, TDrate!E:E), "N/A")</f>
        <v>N/A</v>
      </c>
      <c r="J775" cm="1">
        <f t="array" ref="J775">IFERROR(_xlfn.XLOOKUP(C775&amp;A775, Inside5!B:B&amp;Inside5!I:I, Inside5!F:F), 0)</f>
        <v>0</v>
      </c>
      <c r="K775" cm="1">
        <f t="array" ref="K775">IFERROR(_xlfn.XLOOKUP(C775&amp;A775, Inside5!B:B&amp;Inside5!I:I, Inside5!G:G), 0)</f>
        <v>0</v>
      </c>
      <c r="L775" cm="1">
        <f t="array" ref="L775">IFERROR(_xlfn.XLOOKUP(C775&amp;A775, Inside5!B:B&amp;Inside5!I:I, Inside5!H:H), 0)</f>
        <v>0</v>
      </c>
      <c r="M775" t="str" cm="1">
        <f t="array" ref="M775">IFERROR(_xlfn.XLOOKUP(C775&amp;A775, TDrate!F:F&amp;TDrate!H:H, TDrate!B:B), "N/A")</f>
        <v>N/A</v>
      </c>
      <c r="N775" t="str" cm="1">
        <f t="array" ref="N775">IFERROR(_xlfn.XLOOKUP(C775&amp;A775, TDrate!F:F&amp;TDrate!H:H, TDrate!D:D), "N/A")</f>
        <v>N/A</v>
      </c>
    </row>
    <row r="776" spans="1:14" x14ac:dyDescent="0.45">
      <c r="A776" s="5">
        <v>2021</v>
      </c>
      <c r="B776" s="6" t="s">
        <v>747</v>
      </c>
      <c r="C776" s="7" t="str">
        <f t="shared" si="24"/>
        <v>Carlos Hyde</v>
      </c>
      <c r="D776" s="7" t="str">
        <f t="shared" si="25"/>
        <v>JAC</v>
      </c>
      <c r="E776" cm="1">
        <f t="array" aca="1" ref="E776" ca="1">IFERROR(_xlfn.XLOOKUP(C776&amp;A776, Inside5!B:B&amp;Inside5!I:I, Inside5!C:C), 0)</f>
        <v>4</v>
      </c>
      <c r="F776" cm="1">
        <f t="array" aca="1" ref="F776" ca="1">IFERROR(_xlfn.XLOOKUP(C776&amp;A776, Inside5!B:B&amp;Inside5!I:I, Inside5!D:D), 0)</f>
        <v>1</v>
      </c>
      <c r="G776" cm="1">
        <f t="array" ref="G776">IFERROR(_xlfn.XLOOKUP(C776&amp;A776, Inside5!B:B&amp;Inside5!I:I, Inside5!E:E), 0)</f>
        <v>0.26700000000000002</v>
      </c>
      <c r="H776" cm="1">
        <f t="array" ref="H776">IFERROR(_xlfn.XLOOKUP(C776&amp;A776, TDrate!F:F&amp;TDrate!H:H, TDrate!C:C), "N/A")</f>
        <v>1.3899999999999999E-2</v>
      </c>
      <c r="I776" cm="1">
        <f t="array" ref="I776">IFERROR(_xlfn.XLOOKUP(C776&amp;A776, TDrate!F:F&amp;TDrate!H:H, TDrate!E:E), "N/A")</f>
        <v>2.3400000000000001E-2</v>
      </c>
      <c r="J776" cm="1">
        <f t="array" ref="J776">IFERROR(_xlfn.XLOOKUP(C776&amp;A776, Inside5!B:B&amp;Inside5!I:I, Inside5!F:F), 0)</f>
        <v>0</v>
      </c>
      <c r="K776" cm="1">
        <f t="array" ref="K776">IFERROR(_xlfn.XLOOKUP(C776&amp;A776, Inside5!B:B&amp;Inside5!I:I, Inside5!G:G), 0)</f>
        <v>0</v>
      </c>
      <c r="L776" cm="1">
        <f t="array" ref="L776">IFERROR(_xlfn.XLOOKUP(C776&amp;A776, Inside5!B:B&amp;Inside5!I:I, Inside5!H:H), 0)</f>
        <v>0</v>
      </c>
      <c r="M776" cm="1">
        <f t="array" ref="M776">IFERROR(_xlfn.XLOOKUP(C776&amp;A776, TDrate!F:F&amp;TDrate!H:H, TDrate!B:B), "N/A")</f>
        <v>0</v>
      </c>
      <c r="N776" cm="1">
        <f t="array" ref="N776">IFERROR(_xlfn.XLOOKUP(C776&amp;A776, TDrate!F:F&amp;TDrate!H:H, TDrate!D:D), "N/A")</f>
        <v>4.4999999999999997E-3</v>
      </c>
    </row>
    <row r="777" spans="1:14" x14ac:dyDescent="0.45">
      <c r="A777" s="8">
        <v>2021</v>
      </c>
      <c r="B777" s="9" t="s">
        <v>748</v>
      </c>
      <c r="C777" s="10" t="str">
        <f t="shared" si="24"/>
        <v>Le'Veon Bell</v>
      </c>
      <c r="D777" s="10" t="str">
        <f t="shared" si="25"/>
        <v>TB</v>
      </c>
      <c r="E777" cm="1">
        <f t="array" ref="E777">IFERROR(_xlfn.XLOOKUP(C777&amp;A777, Inside5!B:B&amp;Inside5!I:I, Inside5!C:C), 0)</f>
        <v>2</v>
      </c>
      <c r="F777" cm="1">
        <f t="array" ref="F777">IFERROR(_xlfn.XLOOKUP(C777&amp;A777, Inside5!B:B&amp;Inside5!I:I, Inside5!D:D), 0)</f>
        <v>2</v>
      </c>
      <c r="G777" cm="1">
        <f t="array" ref="G777">IFERROR(_xlfn.XLOOKUP(C777&amp;A777, Inside5!B:B&amp;Inside5!I:I, Inside5!E:E), 0)</f>
        <v>0.125</v>
      </c>
      <c r="H777" cm="1">
        <f t="array" ref="H777">IFERROR(_xlfn.XLOOKUP(C777&amp;A777, TDrate!F:F&amp;TDrate!H:H, TDrate!C:C), "N/A")</f>
        <v>5.1299999999999998E-2</v>
      </c>
      <c r="I777" cm="1">
        <f t="array" ref="I777">IFERROR(_xlfn.XLOOKUP(C777&amp;A777, TDrate!F:F&amp;TDrate!H:H, TDrate!E:E), "N/A")</f>
        <v>4.6600000000000003E-2</v>
      </c>
      <c r="J777" cm="1">
        <f t="array" ref="J777">IFERROR(_xlfn.XLOOKUP(C777&amp;A777, Inside5!B:B&amp;Inside5!I:I, Inside5!F:F), 0)</f>
        <v>0</v>
      </c>
      <c r="K777" cm="1">
        <f t="array" ref="K777">IFERROR(_xlfn.XLOOKUP(C777&amp;A777, Inside5!B:B&amp;Inside5!I:I, Inside5!G:G), 0)</f>
        <v>0</v>
      </c>
      <c r="L777" cm="1">
        <f t="array" ref="L777">IFERROR(_xlfn.XLOOKUP(C777&amp;A777, Inside5!B:B&amp;Inside5!I:I, Inside5!H:H), 0)</f>
        <v>0</v>
      </c>
      <c r="M777" cm="1">
        <f t="array" ref="M777">IFERROR(_xlfn.XLOOKUP(C777&amp;A777, TDrate!F:F&amp;TDrate!H:H, TDrate!B:B), "N/A")</f>
        <v>0.1429</v>
      </c>
      <c r="N777" cm="1">
        <f t="array" ref="N777">IFERROR(_xlfn.XLOOKUP(C777&amp;A777, TDrate!F:F&amp;TDrate!H:H, TDrate!D:D), "N/A")</f>
        <v>0.1115</v>
      </c>
    </row>
    <row r="778" spans="1:14" x14ac:dyDescent="0.45">
      <c r="A778" s="5">
        <v>2021</v>
      </c>
      <c r="B778" s="6" t="s">
        <v>749</v>
      </c>
      <c r="C778" s="7" t="str">
        <f t="shared" si="24"/>
        <v>Ty'Son Williams</v>
      </c>
      <c r="D778" s="7" t="str">
        <f t="shared" si="25"/>
        <v>BAL</v>
      </c>
      <c r="E778" cm="1">
        <f t="array" aca="1" ref="E778" ca="1">IFERROR(_xlfn.XLOOKUP(C778&amp;A778, Inside5!B:B&amp;Inside5!I:I, Inside5!C:C), 0)</f>
        <v>1</v>
      </c>
      <c r="F778" cm="1">
        <f t="array" aca="1" ref="F778" ca="1">IFERROR(_xlfn.XLOOKUP(C778&amp;A778, Inside5!B:B&amp;Inside5!I:I, Inside5!D:D), 0)</f>
        <v>0</v>
      </c>
      <c r="G778" cm="1">
        <f t="array" ref="G778">IFERROR(_xlfn.XLOOKUP(C778&amp;A778, Inside5!B:B&amp;Inside5!I:I, Inside5!E:E), 0)</f>
        <v>6.3E-2</v>
      </c>
      <c r="H778" cm="1">
        <f t="array" ref="H778">IFERROR(_xlfn.XLOOKUP(C778&amp;A778, TDrate!F:F&amp;TDrate!H:H, TDrate!C:C), "N/A")</f>
        <v>2.86E-2</v>
      </c>
      <c r="I778" cm="1">
        <f t="array" ref="I778">IFERROR(_xlfn.XLOOKUP(C778&amp;A778, TDrate!F:F&amp;TDrate!H:H, TDrate!E:E), "N/A")</f>
        <v>2.5399999999999999E-2</v>
      </c>
      <c r="J778" cm="1">
        <f t="array" ref="J778">IFERROR(_xlfn.XLOOKUP(C778&amp;A778, Inside5!B:B&amp;Inside5!I:I, Inside5!F:F), 0)</f>
        <v>0</v>
      </c>
      <c r="K778" cm="1">
        <f t="array" aca="1" ref="K778" ca="1">IFERROR(_xlfn.XLOOKUP(C778&amp;A778, Inside5!B:B&amp;Inside5!I:I, Inside5!G:G), 0)</f>
        <v>0</v>
      </c>
      <c r="L778" cm="1">
        <f t="array" ref="L778">IFERROR(_xlfn.XLOOKUP(C778&amp;A778, Inside5!B:B&amp;Inside5!I:I, Inside5!H:H), 0)</f>
        <v>0</v>
      </c>
      <c r="M778" cm="1">
        <f t="array" ref="M778">IFERROR(_xlfn.XLOOKUP(C778&amp;A778, TDrate!F:F&amp;TDrate!H:H, TDrate!B:B), "N/A")</f>
        <v>0</v>
      </c>
      <c r="N778" cm="1">
        <f t="array" ref="N778">IFERROR(_xlfn.XLOOKUP(C778&amp;A778, TDrate!F:F&amp;TDrate!H:H, TDrate!D:D), "N/A")</f>
        <v>1.8200000000000001E-2</v>
      </c>
    </row>
    <row r="779" spans="1:14" x14ac:dyDescent="0.45">
      <c r="A779" s="8">
        <v>2021</v>
      </c>
      <c r="B779" s="9" t="s">
        <v>593</v>
      </c>
      <c r="C779" s="10" t="str">
        <f t="shared" si="24"/>
        <v>Ke'Shawn Vaughn</v>
      </c>
      <c r="D779" s="10" t="str">
        <f t="shared" si="25"/>
        <v>TB</v>
      </c>
      <c r="E779" cm="1">
        <f t="array" ref="E779">IFERROR(_xlfn.XLOOKUP(C779&amp;A779, Inside5!B:B&amp;Inside5!I:I, Inside5!C:C), 0)</f>
        <v>0</v>
      </c>
      <c r="F779" cm="1">
        <f t="array" ref="F779">IFERROR(_xlfn.XLOOKUP(C779&amp;A779, Inside5!B:B&amp;Inside5!I:I, Inside5!D:D), 0)</f>
        <v>0</v>
      </c>
      <c r="G779" cm="1">
        <f t="array" ref="G779">IFERROR(_xlfn.XLOOKUP(C779&amp;A779, Inside5!B:B&amp;Inside5!I:I, Inside5!E:E), 0)</f>
        <v>0</v>
      </c>
      <c r="H779" cm="1">
        <f t="array" ref="H779">IFERROR(_xlfn.XLOOKUP(C779&amp;A779, TDrate!F:F&amp;TDrate!H:H, TDrate!C:C), "N/A")</f>
        <v>5.5599999999999997E-2</v>
      </c>
      <c r="I779" cm="1">
        <f t="array" ref="I779">IFERROR(_xlfn.XLOOKUP(C779&amp;A779, TDrate!F:F&amp;TDrate!H:H, TDrate!E:E), "N/A")</f>
        <v>4.0800000000000003E-2</v>
      </c>
      <c r="J779" cm="1">
        <f t="array" ref="J779">IFERROR(_xlfn.XLOOKUP(C779&amp;A779, Inside5!B:B&amp;Inside5!I:I, Inside5!F:F), 0)</f>
        <v>0</v>
      </c>
      <c r="K779" cm="1">
        <f t="array" ref="K779">IFERROR(_xlfn.XLOOKUP(C779&amp;A779, Inside5!B:B&amp;Inside5!I:I, Inside5!G:G), 0)</f>
        <v>0</v>
      </c>
      <c r="L779" cm="1">
        <f t="array" ref="L779">IFERROR(_xlfn.XLOOKUP(C779&amp;A779, Inside5!B:B&amp;Inside5!I:I, Inside5!H:H), 0)</f>
        <v>0</v>
      </c>
      <c r="M779" cm="1">
        <f t="array" ref="M779">IFERROR(_xlfn.XLOOKUP(C779&amp;A779, TDrate!F:F&amp;TDrate!H:H, TDrate!B:B), "N/A")</f>
        <v>0</v>
      </c>
      <c r="N779" cm="1">
        <f t="array" ref="N779">IFERROR(_xlfn.XLOOKUP(C779&amp;A779, TDrate!F:F&amp;TDrate!H:H, TDrate!D:D), "N/A")</f>
        <v>2.18E-2</v>
      </c>
    </row>
    <row r="780" spans="1:14" x14ac:dyDescent="0.45">
      <c r="A780" s="5">
        <v>2021</v>
      </c>
      <c r="B780" s="6" t="s">
        <v>699</v>
      </c>
      <c r="C780" s="7" t="str">
        <f t="shared" si="24"/>
        <v>Demetric Felton Jr.</v>
      </c>
      <c r="D780" s="7" t="str">
        <f t="shared" si="25"/>
        <v>CLE</v>
      </c>
      <c r="E780" cm="1">
        <f t="array" aca="1" ref="E780" ca="1">IFERROR(_xlfn.XLOOKUP(C780&amp;A780, Inside5!B:B&amp;Inside5!I:I, Inside5!C:C), 0)</f>
        <v>0</v>
      </c>
      <c r="F780" cm="1">
        <f t="array" aca="1" ref="F780" ca="1">IFERROR(_xlfn.XLOOKUP(C780&amp;A780, Inside5!B:B&amp;Inside5!I:I, Inside5!D:D), 0)</f>
        <v>0</v>
      </c>
      <c r="G780" cm="1">
        <f t="array" ref="G780">IFERROR(_xlfn.XLOOKUP(C780&amp;A780, Inside5!B:B&amp;Inside5!I:I, Inside5!E:E), 0)</f>
        <v>0</v>
      </c>
      <c r="H780" t="str" cm="1">
        <f t="array" ref="H780">IFERROR(_xlfn.XLOOKUP(C780&amp;A780, TDrate!F:F&amp;TDrate!H:H, TDrate!C:C), "N/A")</f>
        <v>N/A</v>
      </c>
      <c r="I780" t="str" cm="1">
        <f t="array" ref="I780">IFERROR(_xlfn.XLOOKUP(C780&amp;A780, TDrate!F:F&amp;TDrate!H:H, TDrate!E:E), "N/A")</f>
        <v>N/A</v>
      </c>
      <c r="J780" cm="1">
        <f t="array" ref="J780">IFERROR(_xlfn.XLOOKUP(C780&amp;A780, Inside5!B:B&amp;Inside5!I:I, Inside5!F:F), 0)</f>
        <v>0</v>
      </c>
      <c r="K780" cm="1">
        <f t="array" ref="K780">IFERROR(_xlfn.XLOOKUP(C780&amp;A780, Inside5!B:B&amp;Inside5!I:I, Inside5!G:G), 0)</f>
        <v>0</v>
      </c>
      <c r="L780" cm="1">
        <f t="array" ref="L780">IFERROR(_xlfn.XLOOKUP(C780&amp;A780, Inside5!B:B&amp;Inside5!I:I, Inside5!H:H), 0)</f>
        <v>0</v>
      </c>
      <c r="M780" t="str" cm="1">
        <f t="array" ref="M780">IFERROR(_xlfn.XLOOKUP(C780&amp;A780, TDrate!F:F&amp;TDrate!H:H, TDrate!B:B), "N/A")</f>
        <v>N/A</v>
      </c>
      <c r="N780" t="str" cm="1">
        <f t="array" ref="N780">IFERROR(_xlfn.XLOOKUP(C780&amp;A780, TDrate!F:F&amp;TDrate!H:H, TDrate!D:D), "N/A")</f>
        <v>N/A</v>
      </c>
    </row>
    <row r="781" spans="1:14" x14ac:dyDescent="0.45">
      <c r="A781" s="8">
        <v>2021</v>
      </c>
      <c r="B781" s="9" t="s">
        <v>436</v>
      </c>
      <c r="C781" s="10" t="str">
        <f t="shared" si="24"/>
        <v>Craig Reynolds</v>
      </c>
      <c r="D781" s="10" t="str">
        <f t="shared" si="25"/>
        <v>DET</v>
      </c>
      <c r="E781" cm="1">
        <f t="array" ref="E781">IFERROR(_xlfn.XLOOKUP(C781&amp;A781, Inside5!B:B&amp;Inside5!I:I, Inside5!C:C), 0)</f>
        <v>1</v>
      </c>
      <c r="F781" cm="1">
        <f t="array" ref="F781">IFERROR(_xlfn.XLOOKUP(C781&amp;A781, Inside5!B:B&amp;Inside5!I:I, Inside5!D:D), 0)</f>
        <v>0</v>
      </c>
      <c r="G781" cm="1">
        <f t="array" ref="G781">IFERROR(_xlfn.XLOOKUP(C781&amp;A781, Inside5!B:B&amp;Inside5!I:I, Inside5!E:E), 0)</f>
        <v>8.3000000000000004E-2</v>
      </c>
      <c r="H781" cm="1">
        <f t="array" ref="H781">IFERROR(_xlfn.XLOOKUP(C781&amp;A781, TDrate!F:F&amp;TDrate!H:H, TDrate!C:C), "N/A")</f>
        <v>0</v>
      </c>
      <c r="I781" cm="1">
        <f t="array" ref="I781">IFERROR(_xlfn.XLOOKUP(C781&amp;A781, TDrate!F:F&amp;TDrate!H:H, TDrate!E:E), "N/A")</f>
        <v>1.12E-2</v>
      </c>
      <c r="J781" cm="1">
        <f t="array" ref="J781">IFERROR(_xlfn.XLOOKUP(C781&amp;A781, Inside5!B:B&amp;Inside5!I:I, Inside5!F:F), 0)</f>
        <v>0</v>
      </c>
      <c r="K781" cm="1">
        <f t="array" ref="K781">IFERROR(_xlfn.XLOOKUP(C781&amp;A781, Inside5!B:B&amp;Inside5!I:I, Inside5!G:G), 0)</f>
        <v>0</v>
      </c>
      <c r="L781" cm="1">
        <f t="array" ref="L781">IFERROR(_xlfn.XLOOKUP(C781&amp;A781, Inside5!B:B&amp;Inside5!I:I, Inside5!H:H), 0)</f>
        <v>0</v>
      </c>
      <c r="M781" cm="1">
        <f t="array" ref="M781">IFERROR(_xlfn.XLOOKUP(C781&amp;A781, TDrate!F:F&amp;TDrate!H:H, TDrate!B:B), "N/A")</f>
        <v>0</v>
      </c>
      <c r="N781" cm="1">
        <f t="array" ref="N781">IFERROR(_xlfn.XLOOKUP(C781&amp;A781, TDrate!F:F&amp;TDrate!H:H, TDrate!D:D), "N/A")</f>
        <v>8.6999999999999994E-3</v>
      </c>
    </row>
    <row r="782" spans="1:14" x14ac:dyDescent="0.45">
      <c r="A782" s="5">
        <v>2021</v>
      </c>
      <c r="B782" s="6" t="s">
        <v>750</v>
      </c>
      <c r="C782" s="7" t="str">
        <f t="shared" si="24"/>
        <v>Elijhaa Penny</v>
      </c>
      <c r="D782" s="7" t="str">
        <f t="shared" si="25"/>
        <v>NYG</v>
      </c>
      <c r="E782" cm="1">
        <f t="array" ref="E782">IFERROR(_xlfn.XLOOKUP(C782&amp;A782, Inside5!B:B&amp;Inside5!I:I, Inside5!C:C), 0)</f>
        <v>1</v>
      </c>
      <c r="F782" cm="1">
        <f t="array" aca="1" ref="F782" ca="1">IFERROR(_xlfn.XLOOKUP(C782&amp;A782, Inside5!B:B&amp;Inside5!I:I, Inside5!D:D), 0)</f>
        <v>1</v>
      </c>
      <c r="G782" cm="1">
        <f t="array" ref="G782">IFERROR(_xlfn.XLOOKUP(C782&amp;A782, Inside5!B:B&amp;Inside5!I:I, Inside5!E:E), 0)</f>
        <v>0.111</v>
      </c>
      <c r="H782" t="str" cm="1">
        <f t="array" ref="H782">IFERROR(_xlfn.XLOOKUP(C782&amp;A782, TDrate!F:F&amp;TDrate!H:H, TDrate!C:C), "N/A")</f>
        <v>N/A</v>
      </c>
      <c r="I782" t="str" cm="1">
        <f t="array" ref="I782">IFERROR(_xlfn.XLOOKUP(C782&amp;A782, TDrate!F:F&amp;TDrate!H:H, TDrate!E:E), "N/A")</f>
        <v>N/A</v>
      </c>
      <c r="J782" cm="1">
        <f t="array" ref="J782">IFERROR(_xlfn.XLOOKUP(C782&amp;A782, Inside5!B:B&amp;Inside5!I:I, Inside5!F:F), 0)</f>
        <v>1</v>
      </c>
      <c r="K782" cm="1">
        <f t="array" aca="1" ref="K782" ca="1">IFERROR(_xlfn.XLOOKUP(C782&amp;A782, Inside5!B:B&amp;Inside5!I:I, Inside5!G:G), 0)</f>
        <v>1</v>
      </c>
      <c r="L782" cm="1">
        <f t="array" ref="L782">IFERROR(_xlfn.XLOOKUP(C782&amp;A782, Inside5!B:B&amp;Inside5!I:I, Inside5!H:H), 0)</f>
        <v>1</v>
      </c>
      <c r="M782" t="str" cm="1">
        <f t="array" ref="M782">IFERROR(_xlfn.XLOOKUP(C782&amp;A782, TDrate!F:F&amp;TDrate!H:H, TDrate!B:B), "N/A")</f>
        <v>N/A</v>
      </c>
      <c r="N782" t="str" cm="1">
        <f t="array" ref="N782">IFERROR(_xlfn.XLOOKUP(C782&amp;A782, TDrate!F:F&amp;TDrate!H:H, TDrate!D:D), "N/A")</f>
        <v>N/A</v>
      </c>
    </row>
    <row r="783" spans="1:14" x14ac:dyDescent="0.45">
      <c r="A783" s="8">
        <v>2021</v>
      </c>
      <c r="B783" s="9" t="s">
        <v>572</v>
      </c>
      <c r="C783" s="10" t="str">
        <f t="shared" si="24"/>
        <v>Salvon Ahmed</v>
      </c>
      <c r="D783" s="10" t="str">
        <f t="shared" si="25"/>
        <v>MIA</v>
      </c>
      <c r="E783" cm="1">
        <f t="array" aca="1" ref="E783" ca="1">IFERROR(_xlfn.XLOOKUP(C783&amp;A783, Inside5!B:B&amp;Inside5!I:I, Inside5!C:C), 0)</f>
        <v>0</v>
      </c>
      <c r="F783" cm="1">
        <f t="array" ref="F783">IFERROR(_xlfn.XLOOKUP(C783&amp;A783, Inside5!B:B&amp;Inside5!I:I, Inside5!D:D), 0)</f>
        <v>0</v>
      </c>
      <c r="G783" cm="1">
        <f t="array" ref="G783">IFERROR(_xlfn.XLOOKUP(C783&amp;A783, Inside5!B:B&amp;Inside5!I:I, Inside5!E:E), 0)</f>
        <v>0</v>
      </c>
      <c r="H783" cm="1">
        <f t="array" ref="H783">IFERROR(_xlfn.XLOOKUP(C783&amp;A783, TDrate!F:F&amp;TDrate!H:H, TDrate!C:C), "N/A")</f>
        <v>0</v>
      </c>
      <c r="I783" cm="1">
        <f t="array" ref="I783">IFERROR(_xlfn.XLOOKUP(C783&amp;A783, TDrate!F:F&amp;TDrate!H:H, TDrate!E:E), "N/A")</f>
        <v>4.1999999999999997E-3</v>
      </c>
      <c r="J783" cm="1">
        <f t="array" ref="J783">IFERROR(_xlfn.XLOOKUP(C783&amp;A783, Inside5!B:B&amp;Inside5!I:I, Inside5!F:F), 0)</f>
        <v>0</v>
      </c>
      <c r="K783" cm="1">
        <f t="array" ref="K783">IFERROR(_xlfn.XLOOKUP(C783&amp;A783, Inside5!B:B&amp;Inside5!I:I, Inside5!G:G), 0)</f>
        <v>0</v>
      </c>
      <c r="L783" cm="1">
        <f t="array" ref="L783">IFERROR(_xlfn.XLOOKUP(C783&amp;A783, Inside5!B:B&amp;Inside5!I:I, Inside5!H:H), 0)</f>
        <v>0</v>
      </c>
      <c r="M783" cm="1">
        <f t="array" ref="M783">IFERROR(_xlfn.XLOOKUP(C783&amp;A783, TDrate!F:F&amp;TDrate!H:H, TDrate!B:B), "N/A")</f>
        <v>0</v>
      </c>
      <c r="N783" cm="1">
        <f t="array" ref="N783">IFERROR(_xlfn.XLOOKUP(C783&amp;A783, TDrate!F:F&amp;TDrate!H:H, TDrate!D:D), "N/A")</f>
        <v>9.4000000000000004E-3</v>
      </c>
    </row>
    <row r="784" spans="1:14" x14ac:dyDescent="0.45">
      <c r="A784" s="5">
        <v>2021</v>
      </c>
      <c r="B784" s="6" t="s">
        <v>751</v>
      </c>
      <c r="C784" s="7" t="str">
        <f t="shared" si="24"/>
        <v>JaMycal Hasty</v>
      </c>
      <c r="D784" s="7" t="str">
        <f t="shared" si="25"/>
        <v>SF</v>
      </c>
      <c r="E784" cm="1">
        <f t="array" ref="E784">IFERROR(_xlfn.XLOOKUP(C784&amp;A784, Inside5!B:B&amp;Inside5!I:I, Inside5!C:C), 0)</f>
        <v>2</v>
      </c>
      <c r="F784" cm="1">
        <f t="array" ref="F784">IFERROR(_xlfn.XLOOKUP(C784&amp;A784, Inside5!B:B&amp;Inside5!I:I, Inside5!D:D), 0)</f>
        <v>1</v>
      </c>
      <c r="G784" cm="1">
        <f t="array" ref="G784">IFERROR(_xlfn.XLOOKUP(C784&amp;A784, Inside5!B:B&amp;Inside5!I:I, Inside5!E:E), 0)</f>
        <v>0.154</v>
      </c>
      <c r="H784" t="str" cm="1">
        <f t="array" ref="H784">IFERROR(_xlfn.XLOOKUP(C784&amp;A784, TDrate!F:F&amp;TDrate!H:H, TDrate!C:C), "N/A")</f>
        <v>N/A</v>
      </c>
      <c r="I784" t="str" cm="1">
        <f t="array" ref="I784">IFERROR(_xlfn.XLOOKUP(C784&amp;A784, TDrate!F:F&amp;TDrate!H:H, TDrate!E:E), "N/A")</f>
        <v>N/A</v>
      </c>
      <c r="J784" cm="1">
        <f t="array" ref="J784">IFERROR(_xlfn.XLOOKUP(C784&amp;A784, Inside5!B:B&amp;Inside5!I:I, Inside5!F:F), 0)</f>
        <v>0</v>
      </c>
      <c r="K784" cm="1">
        <f t="array" ref="K784">IFERROR(_xlfn.XLOOKUP(C784&amp;A784, Inside5!B:B&amp;Inside5!I:I, Inside5!G:G), 0)</f>
        <v>1</v>
      </c>
      <c r="L784" cm="1">
        <f t="array" ref="L784">IFERROR(_xlfn.XLOOKUP(C784&amp;A784, Inside5!B:B&amp;Inside5!I:I, Inside5!H:H), 0)</f>
        <v>0</v>
      </c>
      <c r="M784" t="str" cm="1">
        <f t="array" ref="M784">IFERROR(_xlfn.XLOOKUP(C784&amp;A784, TDrate!F:F&amp;TDrate!H:H, TDrate!B:B), "N/A")</f>
        <v>N/A</v>
      </c>
      <c r="N784" t="str" cm="1">
        <f t="array" ref="N784">IFERROR(_xlfn.XLOOKUP(C784&amp;A784, TDrate!F:F&amp;TDrate!H:H, TDrate!D:D), "N/A")</f>
        <v>N/A</v>
      </c>
    </row>
    <row r="785" spans="1:14" x14ac:dyDescent="0.45">
      <c r="A785" s="8">
        <v>2021</v>
      </c>
      <c r="B785" s="9" t="s">
        <v>752</v>
      </c>
      <c r="C785" s="10" t="str">
        <f t="shared" si="24"/>
        <v>Trey Sermon</v>
      </c>
      <c r="D785" s="10" t="str">
        <f t="shared" si="25"/>
        <v>SF</v>
      </c>
      <c r="E785" cm="1">
        <f t="array" aca="1" ref="E785" ca="1">IFERROR(_xlfn.XLOOKUP(C785&amp;A785, Inside5!B:B&amp;Inside5!I:I, Inside5!C:C), 0)</f>
        <v>1</v>
      </c>
      <c r="F785" cm="1">
        <f t="array" aca="1" ref="F785" ca="1">IFERROR(_xlfn.XLOOKUP(C785&amp;A785, Inside5!B:B&amp;Inside5!I:I, Inside5!D:D), 0)</f>
        <v>1</v>
      </c>
      <c r="G785" cm="1">
        <f t="array" ref="G785">IFERROR(_xlfn.XLOOKUP(C785&amp;A785, Inside5!B:B&amp;Inside5!I:I, Inside5!E:E), 0)</f>
        <v>7.6999999999999999E-2</v>
      </c>
      <c r="H785" cm="1">
        <f t="array" ref="H785">IFERROR(_xlfn.XLOOKUP(C785&amp;A785, TDrate!F:F&amp;TDrate!H:H, TDrate!C:C), "N/A")</f>
        <v>2.4400000000000002E-2</v>
      </c>
      <c r="I785" cm="1">
        <f t="array" ref="I785">IFERROR(_xlfn.XLOOKUP(C785&amp;A785, TDrate!F:F&amp;TDrate!H:H, TDrate!E:E), "N/A")</f>
        <v>1.9099999999999999E-2</v>
      </c>
      <c r="J785" cm="1">
        <f t="array" ref="J785">IFERROR(_xlfn.XLOOKUP(C785&amp;A785, Inside5!B:B&amp;Inside5!I:I, Inside5!F:F), 0)</f>
        <v>0</v>
      </c>
      <c r="K785" cm="1">
        <f t="array" ref="K785">IFERROR(_xlfn.XLOOKUP(C785&amp;A785, Inside5!B:B&amp;Inside5!I:I, Inside5!G:G), 0)</f>
        <v>0</v>
      </c>
      <c r="L785" cm="1">
        <f t="array" ref="L785">IFERROR(_xlfn.XLOOKUP(C785&amp;A785, Inside5!B:B&amp;Inside5!I:I, Inside5!H:H), 0)</f>
        <v>0</v>
      </c>
      <c r="M785" cm="1">
        <f t="array" ref="M785">IFERROR(_xlfn.XLOOKUP(C785&amp;A785, TDrate!F:F&amp;TDrate!H:H, TDrate!B:B), "N/A")</f>
        <v>0</v>
      </c>
      <c r="N785" cm="1">
        <f t="array" ref="N785">IFERROR(_xlfn.XLOOKUP(C785&amp;A785, TDrate!F:F&amp;TDrate!H:H, TDrate!D:D), "N/A")</f>
        <v>7.9000000000000008E-3</v>
      </c>
    </row>
    <row r="786" spans="1:14" x14ac:dyDescent="0.45">
      <c r="A786" s="5">
        <v>2021</v>
      </c>
      <c r="B786" s="6" t="s">
        <v>675</v>
      </c>
      <c r="C786" s="7" t="str">
        <f t="shared" si="24"/>
        <v>Royce Freeman</v>
      </c>
      <c r="D786" s="7" t="str">
        <f t="shared" si="25"/>
        <v>HOU</v>
      </c>
      <c r="E786" cm="1">
        <f t="array" aca="1" ref="E786" ca="1">IFERROR(_xlfn.XLOOKUP(C786&amp;A786, Inside5!B:B&amp;Inside5!I:I, Inside5!C:C), 0)</f>
        <v>1</v>
      </c>
      <c r="F786" cm="1">
        <f t="array" aca="1" ref="F786" ca="1">IFERROR(_xlfn.XLOOKUP(C786&amp;A786, Inside5!B:B&amp;Inside5!I:I, Inside5!D:D), 0)</f>
        <v>0</v>
      </c>
      <c r="G786" cm="1">
        <f t="array" ref="G786">IFERROR(_xlfn.XLOOKUP(C786&amp;A786, Inside5!B:B&amp;Inside5!I:I, Inside5!E:E), 0)</f>
        <v>0.125</v>
      </c>
      <c r="H786" cm="1">
        <f t="array" ref="H786">IFERROR(_xlfn.XLOOKUP(C786&amp;A786, TDrate!F:F&amp;TDrate!H:H, TDrate!C:C), "N/A")</f>
        <v>0</v>
      </c>
      <c r="I786" cm="1">
        <f t="array" ref="I786">IFERROR(_xlfn.XLOOKUP(C786&amp;A786, TDrate!F:F&amp;TDrate!H:H, TDrate!E:E), "N/A")</f>
        <v>7.1999999999999998E-3</v>
      </c>
      <c r="J786" cm="1">
        <f t="array" ref="J786">IFERROR(_xlfn.XLOOKUP(C786&amp;A786, Inside5!B:B&amp;Inside5!I:I, Inside5!F:F), 0)</f>
        <v>0</v>
      </c>
      <c r="K786" cm="1">
        <f t="array" ref="K786">IFERROR(_xlfn.XLOOKUP(C786&amp;A786, Inside5!B:B&amp;Inside5!I:I, Inside5!G:G), 0)</f>
        <v>0</v>
      </c>
      <c r="L786" cm="1">
        <f t="array" ref="L786">IFERROR(_xlfn.XLOOKUP(C786&amp;A786, Inside5!B:B&amp;Inside5!I:I, Inside5!H:H), 0)</f>
        <v>0</v>
      </c>
      <c r="M786" cm="1">
        <f t="array" ref="M786">IFERROR(_xlfn.XLOOKUP(C786&amp;A786, TDrate!F:F&amp;TDrate!H:H, TDrate!B:B), "N/A")</f>
        <v>0</v>
      </c>
      <c r="N786" cm="1">
        <f t="array" ref="N786">IFERROR(_xlfn.XLOOKUP(C786&amp;A786, TDrate!F:F&amp;TDrate!H:H, TDrate!D:D), "N/A")</f>
        <v>2.7000000000000001E-3</v>
      </c>
    </row>
    <row r="787" spans="1:14" x14ac:dyDescent="0.45">
      <c r="A787" s="8">
        <v>2021</v>
      </c>
      <c r="B787" s="9" t="s">
        <v>565</v>
      </c>
      <c r="C787" s="10" t="str">
        <f t="shared" si="24"/>
        <v>Jerick McKinnon</v>
      </c>
      <c r="D787" s="10" t="str">
        <f t="shared" si="25"/>
        <v>KC</v>
      </c>
      <c r="E787" cm="1">
        <f t="array" ref="E787">IFERROR(_xlfn.XLOOKUP(C787&amp;A787, Inside5!B:B&amp;Inside5!I:I, Inside5!C:C), 0)</f>
        <v>0</v>
      </c>
      <c r="F787" cm="1">
        <f t="array" ref="F787">IFERROR(_xlfn.XLOOKUP(C787&amp;A787, Inside5!B:B&amp;Inside5!I:I, Inside5!D:D), 0)</f>
        <v>0</v>
      </c>
      <c r="G787" cm="1">
        <f t="array" ref="G787">IFERROR(_xlfn.XLOOKUP(C787&amp;A787, Inside5!B:B&amp;Inside5!I:I, Inside5!E:E), 0)</f>
        <v>0</v>
      </c>
      <c r="H787" t="str" cm="1">
        <f t="array" ref="H787">IFERROR(_xlfn.XLOOKUP(C787&amp;A787, TDrate!F:F&amp;TDrate!H:H, TDrate!C:C), "N/A")</f>
        <v>N/A</v>
      </c>
      <c r="I787" t="str" cm="1">
        <f t="array" ref="I787">IFERROR(_xlfn.XLOOKUP(C787&amp;A787, TDrate!F:F&amp;TDrate!H:H, TDrate!E:E), "N/A")</f>
        <v>N/A</v>
      </c>
      <c r="J787" cm="1">
        <f t="array" ref="J787">IFERROR(_xlfn.XLOOKUP(C787&amp;A787, Inside5!B:B&amp;Inside5!I:I, Inside5!F:F), 0)</f>
        <v>0</v>
      </c>
      <c r="K787" cm="1">
        <f t="array" ref="K787">IFERROR(_xlfn.XLOOKUP(C787&amp;A787, Inside5!B:B&amp;Inside5!I:I, Inside5!G:G), 0)</f>
        <v>0</v>
      </c>
      <c r="L787" cm="1">
        <f t="array" ref="L787">IFERROR(_xlfn.XLOOKUP(C787&amp;A787, Inside5!B:B&amp;Inside5!I:I, Inside5!H:H), 0)</f>
        <v>0</v>
      </c>
      <c r="M787" t="str" cm="1">
        <f t="array" ref="M787">IFERROR(_xlfn.XLOOKUP(C787&amp;A787, TDrate!F:F&amp;TDrate!H:H, TDrate!B:B), "N/A")</f>
        <v>N/A</v>
      </c>
      <c r="N787" t="str" cm="1">
        <f t="array" ref="N787">IFERROR(_xlfn.XLOOKUP(C787&amp;A787, TDrate!F:F&amp;TDrate!H:H, TDrate!D:D), "N/A")</f>
        <v>N/A</v>
      </c>
    </row>
    <row r="788" spans="1:14" x14ac:dyDescent="0.45">
      <c r="A788" s="5">
        <v>2021</v>
      </c>
      <c r="B788" s="6" t="s">
        <v>753</v>
      </c>
      <c r="C788" s="7" t="str">
        <f t="shared" si="24"/>
        <v>Corey Clement</v>
      </c>
      <c r="D788" s="7" t="str">
        <f t="shared" si="25"/>
        <v>DAL</v>
      </c>
      <c r="E788" cm="1">
        <f t="array" ref="E788">IFERROR(_xlfn.XLOOKUP(C788&amp;A788, Inside5!B:B&amp;Inside5!I:I, Inside5!C:C), 0)</f>
        <v>0</v>
      </c>
      <c r="F788" cm="1">
        <f t="array" ref="F788">IFERROR(_xlfn.XLOOKUP(C788&amp;A788, Inside5!B:B&amp;Inside5!I:I, Inside5!D:D), 0)</f>
        <v>0</v>
      </c>
      <c r="G788" cm="1">
        <f t="array" ref="G788">IFERROR(_xlfn.XLOOKUP(C788&amp;A788, Inside5!B:B&amp;Inside5!I:I, Inside5!E:E), 0)</f>
        <v>0</v>
      </c>
      <c r="H788" cm="1">
        <f t="array" ref="H788">IFERROR(_xlfn.XLOOKUP(C788&amp;A788, TDrate!F:F&amp;TDrate!H:H, TDrate!C:C), "N/A")</f>
        <v>0</v>
      </c>
      <c r="I788" cm="1">
        <f t="array" ref="I788">IFERROR(_xlfn.XLOOKUP(C788&amp;A788, TDrate!F:F&amp;TDrate!H:H, TDrate!E:E), "N/A")</f>
        <v>5.3E-3</v>
      </c>
      <c r="J788" cm="1">
        <f t="array" ref="J788">IFERROR(_xlfn.XLOOKUP(C788&amp;A788, Inside5!B:B&amp;Inside5!I:I, Inside5!F:F), 0)</f>
        <v>0</v>
      </c>
      <c r="K788" cm="1">
        <f t="array" ref="K788">IFERROR(_xlfn.XLOOKUP(C788&amp;A788, Inside5!B:B&amp;Inside5!I:I, Inside5!G:G), 0)</f>
        <v>0</v>
      </c>
      <c r="L788" cm="1">
        <f t="array" ref="L788">IFERROR(_xlfn.XLOOKUP(C788&amp;A788, Inside5!B:B&amp;Inside5!I:I, Inside5!H:H), 0)</f>
        <v>0</v>
      </c>
      <c r="M788" cm="1">
        <f t="array" ref="M788">IFERROR(_xlfn.XLOOKUP(C788&amp;A788, TDrate!F:F&amp;TDrate!H:H, TDrate!B:B), "N/A")</f>
        <v>0.1429</v>
      </c>
      <c r="N788" cm="1">
        <f t="array" ref="N788">IFERROR(_xlfn.XLOOKUP(C788&amp;A788, TDrate!F:F&amp;TDrate!H:H, TDrate!D:D), "N/A")</f>
        <v>0.10539999999999999</v>
      </c>
    </row>
    <row r="789" spans="1:14" x14ac:dyDescent="0.45">
      <c r="A789" s="8">
        <v>2021</v>
      </c>
      <c r="B789" s="9" t="s">
        <v>754</v>
      </c>
      <c r="C789" s="10" t="str">
        <f t="shared" si="24"/>
        <v>Adrian Peterson</v>
      </c>
      <c r="D789" s="10" t="str">
        <f t="shared" si="25"/>
        <v>SEA</v>
      </c>
      <c r="E789" cm="1">
        <f t="array" aca="1" ref="E789" ca="1">IFERROR(_xlfn.XLOOKUP(C789&amp;A789, Inside5!B:B&amp;Inside5!I:I, Inside5!C:C), 0)</f>
        <v>5</v>
      </c>
      <c r="F789" cm="1">
        <f t="array" aca="1" ref="F789" ca="1">IFERROR(_xlfn.XLOOKUP(C789&amp;A789, Inside5!B:B&amp;Inside5!I:I, Inside5!D:D), 0)</f>
        <v>2</v>
      </c>
      <c r="G789" cm="1">
        <f t="array" ref="G789">IFERROR(_xlfn.XLOOKUP(C789&amp;A789, Inside5!B:B&amp;Inside5!I:I, Inside5!E:E), 0)</f>
        <v>0.29399999999999998</v>
      </c>
      <c r="H789" cm="1">
        <f t="array" ref="H789">IFERROR(_xlfn.XLOOKUP(C789&amp;A789, TDrate!F:F&amp;TDrate!H:H, TDrate!C:C), "N/A")</f>
        <v>5.2600000000000001E-2</v>
      </c>
      <c r="I789" cm="1">
        <f t="array" ref="I789">IFERROR(_xlfn.XLOOKUP(C789&amp;A789, TDrate!F:F&amp;TDrate!H:H, TDrate!E:E), "N/A")</f>
        <v>5.8000000000000003E-2</v>
      </c>
      <c r="J789" cm="1">
        <f t="array" ref="J789">IFERROR(_xlfn.XLOOKUP(C789&amp;A789, Inside5!B:B&amp;Inside5!I:I, Inside5!F:F), 0)</f>
        <v>1</v>
      </c>
      <c r="K789" cm="1">
        <f t="array" ref="K789">IFERROR(_xlfn.XLOOKUP(C789&amp;A789, Inside5!B:B&amp;Inside5!I:I, Inside5!G:G), 0)</f>
        <v>1</v>
      </c>
      <c r="L789" cm="1">
        <f t="array" ref="L789">IFERROR(_xlfn.XLOOKUP(C789&amp;A789, Inside5!B:B&amp;Inside5!I:I, Inside5!H:H), 0)</f>
        <v>0</v>
      </c>
      <c r="M789" cm="1">
        <f t="array" ref="M789">IFERROR(_xlfn.XLOOKUP(C789&amp;A789, TDrate!F:F&amp;TDrate!H:H, TDrate!B:B), "N/A")</f>
        <v>0</v>
      </c>
      <c r="N789" cm="1">
        <f t="array" ref="N789">IFERROR(_xlfn.XLOOKUP(C789&amp;A789, TDrate!F:F&amp;TDrate!H:H, TDrate!D:D), "N/A")</f>
        <v>5.8599999999999999E-2</v>
      </c>
    </row>
    <row r="790" spans="1:14" x14ac:dyDescent="0.45">
      <c r="A790" s="5">
        <v>2021</v>
      </c>
      <c r="B790" s="6" t="s">
        <v>755</v>
      </c>
      <c r="C790" s="7" t="str">
        <f t="shared" si="24"/>
        <v>Eno Benjamin</v>
      </c>
      <c r="D790" s="7" t="str">
        <f t="shared" si="25"/>
        <v>ARI</v>
      </c>
      <c r="E790" cm="1">
        <f t="array" ref="E790">IFERROR(_xlfn.XLOOKUP(C790&amp;A790, Inside5!B:B&amp;Inside5!I:I, Inside5!C:C), 0)</f>
        <v>0</v>
      </c>
      <c r="F790" cm="1">
        <f t="array" ref="F790">IFERROR(_xlfn.XLOOKUP(C790&amp;A790, Inside5!B:B&amp;Inside5!I:I, Inside5!D:D), 0)</f>
        <v>0</v>
      </c>
      <c r="G790" cm="1">
        <f t="array" ref="G790">IFERROR(_xlfn.XLOOKUP(C790&amp;A790, Inside5!B:B&amp;Inside5!I:I, Inside5!E:E), 0)</f>
        <v>0</v>
      </c>
      <c r="H790" cm="1">
        <f t="array" ref="H790">IFERROR(_xlfn.XLOOKUP(C790&amp;A790, TDrate!F:F&amp;TDrate!H:H, TDrate!C:C), "N/A")</f>
        <v>2.9399999999999999E-2</v>
      </c>
      <c r="I790" cm="1">
        <f t="array" ref="I790">IFERROR(_xlfn.XLOOKUP(C790&amp;A790, TDrate!F:F&amp;TDrate!H:H, TDrate!E:E), "N/A")</f>
        <v>1.9900000000000001E-2</v>
      </c>
      <c r="J790" cm="1">
        <f t="array" ref="J790">IFERROR(_xlfn.XLOOKUP(C790&amp;A790, Inside5!B:B&amp;Inside5!I:I, Inside5!F:F), 0)</f>
        <v>0</v>
      </c>
      <c r="K790" cm="1">
        <f t="array" ref="K790">IFERROR(_xlfn.XLOOKUP(C790&amp;A790, Inside5!B:B&amp;Inside5!I:I, Inside5!G:G), 0)</f>
        <v>0</v>
      </c>
      <c r="L790" cm="1">
        <f t="array" ref="L790">IFERROR(_xlfn.XLOOKUP(C790&amp;A790, Inside5!B:B&amp;Inside5!I:I, Inside5!H:H), 0)</f>
        <v>0</v>
      </c>
      <c r="M790" cm="1">
        <f t="array" ref="M790">IFERROR(_xlfn.XLOOKUP(C790&amp;A790, TDrate!F:F&amp;TDrate!H:H, TDrate!B:B), "N/A")</f>
        <v>0</v>
      </c>
      <c r="N790" cm="1">
        <f t="array" ref="N790">IFERROR(_xlfn.XLOOKUP(C790&amp;A790, TDrate!F:F&amp;TDrate!H:H, TDrate!D:D), "N/A")</f>
        <v>8.6999999999999994E-3</v>
      </c>
    </row>
    <row r="791" spans="1:14" x14ac:dyDescent="0.45">
      <c r="A791" s="8">
        <v>2021</v>
      </c>
      <c r="B791" s="9" t="s">
        <v>513</v>
      </c>
      <c r="C791" s="10" t="str">
        <f t="shared" si="24"/>
        <v>Jermar Jefferson</v>
      </c>
      <c r="D791" s="10" t="str">
        <f t="shared" si="25"/>
        <v>DET</v>
      </c>
      <c r="E791" cm="1">
        <f t="array" aca="1" ref="E791" ca="1">IFERROR(_xlfn.XLOOKUP(C791&amp;A791, Inside5!B:B&amp;Inside5!I:I, Inside5!C:C), 0)</f>
        <v>0</v>
      </c>
      <c r="F791" cm="1">
        <f t="array" aca="1" ref="F791" ca="1">IFERROR(_xlfn.XLOOKUP(C791&amp;A791, Inside5!B:B&amp;Inside5!I:I, Inside5!D:D), 0)</f>
        <v>0</v>
      </c>
      <c r="G791" cm="1">
        <f t="array" ref="G791">IFERROR(_xlfn.XLOOKUP(C791&amp;A791, Inside5!B:B&amp;Inside5!I:I, Inside5!E:E), 0)</f>
        <v>0</v>
      </c>
      <c r="H791" t="str" cm="1">
        <f t="array" ref="H791">IFERROR(_xlfn.XLOOKUP(C791&amp;A791, TDrate!F:F&amp;TDrate!H:H, TDrate!C:C), "N/A")</f>
        <v>N/A</v>
      </c>
      <c r="I791" t="str" cm="1">
        <f t="array" ref="I791">IFERROR(_xlfn.XLOOKUP(C791&amp;A791, TDrate!F:F&amp;TDrate!H:H, TDrate!E:E), "N/A")</f>
        <v>N/A</v>
      </c>
      <c r="J791" cm="1">
        <f t="array" ref="J791">IFERROR(_xlfn.XLOOKUP(C791&amp;A791, Inside5!B:B&amp;Inside5!I:I, Inside5!F:F), 0)</f>
        <v>0</v>
      </c>
      <c r="K791" cm="1">
        <f t="array" ref="K791">IFERROR(_xlfn.XLOOKUP(C791&amp;A791, Inside5!B:B&amp;Inside5!I:I, Inside5!G:G), 0)</f>
        <v>0</v>
      </c>
      <c r="L791" cm="1">
        <f t="array" ref="L791">IFERROR(_xlfn.XLOOKUP(C791&amp;A791, Inside5!B:B&amp;Inside5!I:I, Inside5!H:H), 0)</f>
        <v>0</v>
      </c>
      <c r="M791" t="str" cm="1">
        <f t="array" ref="M791">IFERROR(_xlfn.XLOOKUP(C791&amp;A791, TDrate!F:F&amp;TDrate!H:H, TDrate!B:B), "N/A")</f>
        <v>N/A</v>
      </c>
      <c r="N791" t="str" cm="1">
        <f t="array" ref="N791">IFERROR(_xlfn.XLOOKUP(C791&amp;A791, TDrate!F:F&amp;TDrate!H:H, TDrate!D:D), "N/A")</f>
        <v>N/A</v>
      </c>
    </row>
    <row r="792" spans="1:14" x14ac:dyDescent="0.45">
      <c r="A792" s="5">
        <v>2021</v>
      </c>
      <c r="B792" s="6" t="s">
        <v>756</v>
      </c>
      <c r="C792" s="7" t="str">
        <f t="shared" si="24"/>
        <v>Godwin Igwebuike</v>
      </c>
      <c r="D792" s="7" t="str">
        <f t="shared" si="25"/>
        <v>DET</v>
      </c>
      <c r="E792" cm="1">
        <f t="array" aca="1" ref="E792" ca="1">IFERROR(_xlfn.XLOOKUP(C792&amp;A792, Inside5!B:B&amp;Inside5!I:I, Inside5!C:C), 0)</f>
        <v>0</v>
      </c>
      <c r="F792" cm="1">
        <f t="array" aca="1" ref="F792" ca="1">IFERROR(_xlfn.XLOOKUP(C792&amp;A792, Inside5!B:B&amp;Inside5!I:I, Inside5!D:D), 0)</f>
        <v>0</v>
      </c>
      <c r="G792" cm="1">
        <f t="array" ref="G792">IFERROR(_xlfn.XLOOKUP(C792&amp;A792, Inside5!B:B&amp;Inside5!I:I, Inside5!E:E), 0)</f>
        <v>0</v>
      </c>
      <c r="H792" t="str" cm="1">
        <f t="array" ref="H792">IFERROR(_xlfn.XLOOKUP(C792&amp;A792, TDrate!F:F&amp;TDrate!H:H, TDrate!C:C), "N/A")</f>
        <v>N/A</v>
      </c>
      <c r="I792" t="str" cm="1">
        <f t="array" ref="I792">IFERROR(_xlfn.XLOOKUP(C792&amp;A792, TDrate!F:F&amp;TDrate!H:H, TDrate!E:E), "N/A")</f>
        <v>N/A</v>
      </c>
      <c r="J792" cm="1">
        <f t="array" ref="J792">IFERROR(_xlfn.XLOOKUP(C792&amp;A792, Inside5!B:B&amp;Inside5!I:I, Inside5!F:F), 0)</f>
        <v>0</v>
      </c>
      <c r="K792" cm="1">
        <f t="array" ref="K792">IFERROR(_xlfn.XLOOKUP(C792&amp;A792, Inside5!B:B&amp;Inside5!I:I, Inside5!G:G), 0)</f>
        <v>0</v>
      </c>
      <c r="L792" cm="1">
        <f t="array" ref="L792">IFERROR(_xlfn.XLOOKUP(C792&amp;A792, Inside5!B:B&amp;Inside5!I:I, Inside5!H:H), 0)</f>
        <v>0</v>
      </c>
      <c r="M792" t="str" cm="1">
        <f t="array" ref="M792">IFERROR(_xlfn.XLOOKUP(C792&amp;A792, TDrate!F:F&amp;TDrate!H:H, TDrate!B:B), "N/A")</f>
        <v>N/A</v>
      </c>
      <c r="N792" t="str" cm="1">
        <f t="array" ref="N792">IFERROR(_xlfn.XLOOKUP(C792&amp;A792, TDrate!F:F&amp;TDrate!H:H, TDrate!D:D), "N/A")</f>
        <v>N/A</v>
      </c>
    </row>
    <row r="793" spans="1:14" x14ac:dyDescent="0.45">
      <c r="A793" s="8">
        <v>2021</v>
      </c>
      <c r="B793" s="9" t="s">
        <v>757</v>
      </c>
      <c r="C793" s="10" t="str">
        <f t="shared" si="24"/>
        <v>Malcolm Brown</v>
      </c>
      <c r="D793" s="10" t="str">
        <f t="shared" si="25"/>
        <v>MIA</v>
      </c>
      <c r="E793" cm="1">
        <f t="array" aca="1" ref="E793" ca="1">IFERROR(_xlfn.XLOOKUP(C793&amp;A793, Inside5!B:B&amp;Inside5!I:I, Inside5!C:C), 0)</f>
        <v>4</v>
      </c>
      <c r="F793" cm="1">
        <f t="array" aca="1" ref="F793" ca="1">IFERROR(_xlfn.XLOOKUP(C793&amp;A793, Inside5!B:B&amp;Inside5!I:I, Inside5!D:D), 0)</f>
        <v>0</v>
      </c>
      <c r="G793" cm="1">
        <f t="array" ref="G793">IFERROR(_xlfn.XLOOKUP(C793&amp;A793, Inside5!B:B&amp;Inside5!I:I, Inside5!E:E), 0)</f>
        <v>0.23499999999999999</v>
      </c>
      <c r="H793" cm="1">
        <f t="array" ref="H793">IFERROR(_xlfn.XLOOKUP(C793&amp;A793, TDrate!F:F&amp;TDrate!H:H, TDrate!C:C), "N/A")</f>
        <v>3.0300000000000001E-2</v>
      </c>
      <c r="I793" cm="1">
        <f t="array" ref="I793">IFERROR(_xlfn.XLOOKUP(C793&amp;A793, TDrate!F:F&amp;TDrate!H:H, TDrate!E:E), "N/A")</f>
        <v>4.5699999999999998E-2</v>
      </c>
      <c r="J793" cm="1">
        <f t="array" ref="J793">IFERROR(_xlfn.XLOOKUP(C793&amp;A793, Inside5!B:B&amp;Inside5!I:I, Inside5!F:F), 0)</f>
        <v>0</v>
      </c>
      <c r="K793" cm="1">
        <f t="array" ref="K793">IFERROR(_xlfn.XLOOKUP(C793&amp;A793, Inside5!B:B&amp;Inside5!I:I, Inside5!G:G), 0)</f>
        <v>0</v>
      </c>
      <c r="L793" cm="1">
        <f t="array" ref="L793">IFERROR(_xlfn.XLOOKUP(C793&amp;A793, Inside5!B:B&amp;Inside5!I:I, Inside5!H:H), 0)</f>
        <v>0</v>
      </c>
      <c r="M793" cm="1">
        <f t="array" ref="M793">IFERROR(_xlfn.XLOOKUP(C793&amp;A793, TDrate!F:F&amp;TDrate!H:H, TDrate!B:B), "N/A")</f>
        <v>0</v>
      </c>
      <c r="N793" cm="1">
        <f t="array" ref="N793">IFERROR(_xlfn.XLOOKUP(C793&amp;A793, TDrate!F:F&amp;TDrate!H:H, TDrate!D:D), "N/A")</f>
        <v>1.55E-2</v>
      </c>
    </row>
    <row r="794" spans="1:14" x14ac:dyDescent="0.45">
      <c r="A794" s="5">
        <v>2021</v>
      </c>
      <c r="B794" s="6" t="s">
        <v>758</v>
      </c>
      <c r="C794" s="7" t="str">
        <f t="shared" si="24"/>
        <v>James White</v>
      </c>
      <c r="D794" s="7" t="str">
        <f t="shared" si="25"/>
        <v>NE</v>
      </c>
      <c r="E794" cm="1">
        <f t="array" ref="E794">IFERROR(_xlfn.XLOOKUP(C794&amp;A794, Inside5!B:B&amp;Inside5!I:I, Inside5!C:C), 0)</f>
        <v>0</v>
      </c>
      <c r="F794" cm="1">
        <f t="array" ref="F794">IFERROR(_xlfn.XLOOKUP(C794&amp;A794, Inside5!B:B&amp;Inside5!I:I, Inside5!D:D), 0)</f>
        <v>0</v>
      </c>
      <c r="G794" cm="1">
        <f t="array" ref="G794">IFERROR(_xlfn.XLOOKUP(C794&amp;A794, Inside5!B:B&amp;Inside5!I:I, Inside5!E:E), 0)</f>
        <v>0</v>
      </c>
      <c r="H794" t="str" cm="1">
        <f t="array" ref="H794">IFERROR(_xlfn.XLOOKUP(C794&amp;A794, TDrate!F:F&amp;TDrate!H:H, TDrate!C:C), "N/A")</f>
        <v>N/A</v>
      </c>
      <c r="I794" t="str" cm="1">
        <f t="array" ref="I794">IFERROR(_xlfn.XLOOKUP(C794&amp;A794, TDrate!F:F&amp;TDrate!H:H, TDrate!E:E), "N/A")</f>
        <v>N/A</v>
      </c>
      <c r="J794" cm="1">
        <f t="array" ref="J794">IFERROR(_xlfn.XLOOKUP(C794&amp;A794, Inside5!B:B&amp;Inside5!I:I, Inside5!F:F), 0)</f>
        <v>0</v>
      </c>
      <c r="K794" cm="1">
        <f t="array" ref="K794">IFERROR(_xlfn.XLOOKUP(C794&amp;A794, Inside5!B:B&amp;Inside5!I:I, Inside5!G:G), 0)</f>
        <v>0</v>
      </c>
      <c r="L794" cm="1">
        <f t="array" ref="L794">IFERROR(_xlfn.XLOOKUP(C794&amp;A794, Inside5!B:B&amp;Inside5!I:I, Inside5!H:H), 0)</f>
        <v>0</v>
      </c>
      <c r="M794" t="str" cm="1">
        <f t="array" ref="M794">IFERROR(_xlfn.XLOOKUP(C794&amp;A794, TDrate!F:F&amp;TDrate!H:H, TDrate!B:B), "N/A")</f>
        <v>N/A</v>
      </c>
      <c r="N794" t="str" cm="1">
        <f t="array" ref="N794">IFERROR(_xlfn.XLOOKUP(C794&amp;A794, TDrate!F:F&amp;TDrate!H:H, TDrate!D:D), "N/A")</f>
        <v>N/A</v>
      </c>
    </row>
    <row r="795" spans="1:14" x14ac:dyDescent="0.45">
      <c r="A795" s="8">
        <v>2021</v>
      </c>
      <c r="B795" s="9" t="s">
        <v>607</v>
      </c>
      <c r="C795" s="10" t="str">
        <f t="shared" si="24"/>
        <v>Kene Nwangwu</v>
      </c>
      <c r="D795" s="10" t="str">
        <f t="shared" si="25"/>
        <v>MIN</v>
      </c>
      <c r="E795" cm="1">
        <f t="array" aca="1" ref="E795" ca="1">IFERROR(_xlfn.XLOOKUP(C795&amp;A795, Inside5!B:B&amp;Inside5!I:I, Inside5!C:C), 0)</f>
        <v>1</v>
      </c>
      <c r="F795" cm="1">
        <f t="array" aca="1" ref="F795" ca="1">IFERROR(_xlfn.XLOOKUP(C795&amp;A795, Inside5!B:B&amp;Inside5!I:I, Inside5!D:D), 0)</f>
        <v>0</v>
      </c>
      <c r="G795" cm="1">
        <f t="array" ref="G795">IFERROR(_xlfn.XLOOKUP(C795&amp;A795, Inside5!B:B&amp;Inside5!I:I, Inside5!E:E), 0)</f>
        <v>4.4999999999999998E-2</v>
      </c>
      <c r="H795" t="str" cm="1">
        <f t="array" ref="H795">IFERROR(_xlfn.XLOOKUP(C795&amp;A795, TDrate!F:F&amp;TDrate!H:H, TDrate!C:C), "N/A")</f>
        <v>N/A</v>
      </c>
      <c r="I795" t="str" cm="1">
        <f t="array" ref="I795">IFERROR(_xlfn.XLOOKUP(C795&amp;A795, TDrate!F:F&amp;TDrate!H:H, TDrate!E:E), "N/A")</f>
        <v>N/A</v>
      </c>
      <c r="J795" cm="1">
        <f t="array" ref="J795">IFERROR(_xlfn.XLOOKUP(C795&amp;A795, Inside5!B:B&amp;Inside5!I:I, Inside5!F:F), 0)</f>
        <v>0</v>
      </c>
      <c r="K795" cm="1">
        <f t="array" ref="K795">IFERROR(_xlfn.XLOOKUP(C795&amp;A795, Inside5!B:B&amp;Inside5!I:I, Inside5!G:G), 0)</f>
        <v>0</v>
      </c>
      <c r="L795" cm="1">
        <f t="array" ref="L795">IFERROR(_xlfn.XLOOKUP(C795&amp;A795, Inside5!B:B&amp;Inside5!I:I, Inside5!H:H), 0)</f>
        <v>0</v>
      </c>
      <c r="M795" t="str" cm="1">
        <f t="array" ref="M795">IFERROR(_xlfn.XLOOKUP(C795&amp;A795, TDrate!F:F&amp;TDrate!H:H, TDrate!B:B), "N/A")</f>
        <v>N/A</v>
      </c>
      <c r="N795" t="str" cm="1">
        <f t="array" ref="N795">IFERROR(_xlfn.XLOOKUP(C795&amp;A795, TDrate!F:F&amp;TDrate!H:H, TDrate!D:D), "N/A")</f>
        <v>N/A</v>
      </c>
    </row>
    <row r="796" spans="1:14" x14ac:dyDescent="0.45">
      <c r="A796" s="5">
        <v>2021</v>
      </c>
      <c r="B796" s="6" t="s">
        <v>759</v>
      </c>
      <c r="C796" s="7" t="str">
        <f t="shared" si="24"/>
        <v>Tony Jones Jr.</v>
      </c>
      <c r="D796" s="7" t="str">
        <f t="shared" si="25"/>
        <v>NO</v>
      </c>
      <c r="E796" cm="1">
        <f t="array" aca="1" ref="E796" ca="1">IFERROR(_xlfn.XLOOKUP(C796&amp;A796, Inside5!B:B&amp;Inside5!I:I, Inside5!C:C), 0)</f>
        <v>1</v>
      </c>
      <c r="F796" cm="1">
        <f t="array" ref="F796">IFERROR(_xlfn.XLOOKUP(C796&amp;A796, Inside5!B:B&amp;Inside5!I:I, Inside5!D:D), 0)</f>
        <v>0</v>
      </c>
      <c r="G796" cm="1">
        <f t="array" ref="G796">IFERROR(_xlfn.XLOOKUP(C796&amp;A796, Inside5!B:B&amp;Inside5!I:I, Inside5!E:E), 0)</f>
        <v>5.8999999999999997E-2</v>
      </c>
      <c r="H796" cm="1">
        <f t="array" ref="H796">IFERROR(_xlfn.XLOOKUP(C796&amp;A796, TDrate!F:F&amp;TDrate!H:H, TDrate!C:C), "N/A")</f>
        <v>0</v>
      </c>
      <c r="I796" cm="1">
        <f t="array" ref="I796">IFERROR(_xlfn.XLOOKUP(C796&amp;A796, TDrate!F:F&amp;TDrate!H:H, TDrate!E:E), "N/A")</f>
        <v>7.4000000000000003E-3</v>
      </c>
      <c r="J796" cm="1">
        <f t="array" ref="J796">IFERROR(_xlfn.XLOOKUP(C796&amp;A796, Inside5!B:B&amp;Inside5!I:I, Inside5!F:F), 0)</f>
        <v>0</v>
      </c>
      <c r="K796" cm="1">
        <f t="array" aca="1" ref="K796" ca="1">IFERROR(_xlfn.XLOOKUP(C796&amp;A796, Inside5!B:B&amp;Inside5!I:I, Inside5!G:G), 0)</f>
        <v>0</v>
      </c>
      <c r="L796" cm="1">
        <f t="array" ref="L796">IFERROR(_xlfn.XLOOKUP(C796&amp;A796, Inside5!B:B&amp;Inside5!I:I, Inside5!H:H), 0)</f>
        <v>0</v>
      </c>
      <c r="M796" cm="1">
        <f t="array" ref="M796">IFERROR(_xlfn.XLOOKUP(C796&amp;A796, TDrate!F:F&amp;TDrate!H:H, TDrate!B:B), "N/A")</f>
        <v>0</v>
      </c>
      <c r="N796" cm="1">
        <f t="array" ref="N796">IFERROR(_xlfn.XLOOKUP(C796&amp;A796, TDrate!F:F&amp;TDrate!H:H, TDrate!D:D), "N/A")</f>
        <v>2.01E-2</v>
      </c>
    </row>
    <row r="797" spans="1:14" x14ac:dyDescent="0.45">
      <c r="A797" s="8">
        <v>2021</v>
      </c>
      <c r="B797" s="9" t="s">
        <v>760</v>
      </c>
      <c r="C797" s="10" t="str">
        <f t="shared" si="24"/>
        <v>Austin Walter</v>
      </c>
      <c r="D797" s="10" t="str">
        <f t="shared" si="25"/>
        <v>NYJ</v>
      </c>
      <c r="E797" cm="1">
        <f t="array" aca="1" ref="E797" ca="1">IFERROR(_xlfn.XLOOKUP(C797&amp;A797, Inside5!B:B&amp;Inside5!I:I, Inside5!C:C), 0)</f>
        <v>2</v>
      </c>
      <c r="F797" cm="1">
        <f t="array" aca="1" ref="F797" ca="1">IFERROR(_xlfn.XLOOKUP(C797&amp;A797, Inside5!B:B&amp;Inside5!I:I, Inside5!D:D), 0)</f>
        <v>1</v>
      </c>
      <c r="G797" cm="1">
        <f t="array" ref="G797">IFERROR(_xlfn.XLOOKUP(C797&amp;A797, Inside5!B:B&amp;Inside5!I:I, Inside5!E:E), 0)</f>
        <v>8.6999999999999994E-2</v>
      </c>
      <c r="H797" cm="1">
        <f t="array" ref="H797">IFERROR(_xlfn.XLOOKUP(C797&amp;A797, TDrate!F:F&amp;TDrate!H:H, TDrate!C:C), "N/A")</f>
        <v>3.85E-2</v>
      </c>
      <c r="I797" cm="1">
        <f t="array" ref="I797">IFERROR(_xlfn.XLOOKUP(C797&amp;A797, TDrate!F:F&amp;TDrate!H:H, TDrate!E:E), "N/A")</f>
        <v>4.1700000000000001E-2</v>
      </c>
      <c r="J797" cm="1">
        <f t="array" ref="J797">IFERROR(_xlfn.XLOOKUP(C797&amp;A797, Inside5!B:B&amp;Inside5!I:I, Inside5!F:F), 0)</f>
        <v>0</v>
      </c>
      <c r="K797" cm="1">
        <f t="array" ref="K797">IFERROR(_xlfn.XLOOKUP(C797&amp;A797, Inside5!B:B&amp;Inside5!I:I, Inside5!G:G), 0)</f>
        <v>0</v>
      </c>
      <c r="L797" cm="1">
        <f t="array" ref="L797">IFERROR(_xlfn.XLOOKUP(C797&amp;A797, Inside5!B:B&amp;Inside5!I:I, Inside5!H:H), 0)</f>
        <v>0</v>
      </c>
      <c r="M797" cm="1">
        <f t="array" ref="M797">IFERROR(_xlfn.XLOOKUP(C797&amp;A797, TDrate!F:F&amp;TDrate!H:H, TDrate!B:B), "N/A")</f>
        <v>0</v>
      </c>
      <c r="N797" cm="1">
        <f t="array" ref="N797">IFERROR(_xlfn.XLOOKUP(C797&amp;A797, TDrate!F:F&amp;TDrate!H:H, TDrate!D:D), "N/A")</f>
        <v>4.0000000000000002E-4</v>
      </c>
    </row>
    <row r="798" spans="1:14" x14ac:dyDescent="0.45">
      <c r="A798" s="5">
        <v>2021</v>
      </c>
      <c r="B798" s="6" t="s">
        <v>632</v>
      </c>
      <c r="C798" s="7" t="str">
        <f t="shared" si="24"/>
        <v>Jonathan Williams</v>
      </c>
      <c r="D798" s="7" t="str">
        <f t="shared" si="25"/>
        <v>WAS</v>
      </c>
      <c r="E798" cm="1">
        <f t="array" ref="E798">IFERROR(_xlfn.XLOOKUP(C798&amp;A798, Inside5!B:B&amp;Inside5!I:I, Inside5!C:C), 0)</f>
        <v>2</v>
      </c>
      <c r="F798" cm="1">
        <f t="array" ref="F798">IFERROR(_xlfn.XLOOKUP(C798&amp;A798, Inside5!B:B&amp;Inside5!I:I, Inside5!D:D), 0)</f>
        <v>1</v>
      </c>
      <c r="G798" cm="1">
        <f t="array" ref="G798">IFERROR(_xlfn.XLOOKUP(C798&amp;A798, Inside5!B:B&amp;Inside5!I:I, Inside5!E:E), 0)</f>
        <v>9.5000000000000001E-2</v>
      </c>
      <c r="H798" t="str" cm="1">
        <f t="array" ref="H798">IFERROR(_xlfn.XLOOKUP(C798&amp;A798, TDrate!F:F&amp;TDrate!H:H, TDrate!C:C), "N/A")</f>
        <v>N/A</v>
      </c>
      <c r="I798" t="str" cm="1">
        <f t="array" ref="I798">IFERROR(_xlfn.XLOOKUP(C798&amp;A798, TDrate!F:F&amp;TDrate!H:H, TDrate!E:E), "N/A")</f>
        <v>N/A</v>
      </c>
      <c r="J798" cm="1">
        <f t="array" ref="J798">IFERROR(_xlfn.XLOOKUP(C798&amp;A798, Inside5!B:B&amp;Inside5!I:I, Inside5!F:F), 0)</f>
        <v>0</v>
      </c>
      <c r="K798" cm="1">
        <f t="array" ref="K798">IFERROR(_xlfn.XLOOKUP(C798&amp;A798, Inside5!B:B&amp;Inside5!I:I, Inside5!G:G), 0)</f>
        <v>0</v>
      </c>
      <c r="L798" cm="1">
        <f t="array" ref="L798">IFERROR(_xlfn.XLOOKUP(C798&amp;A798, Inside5!B:B&amp;Inside5!I:I, Inside5!H:H), 0)</f>
        <v>0</v>
      </c>
      <c r="M798" t="str" cm="1">
        <f t="array" ref="M798">IFERROR(_xlfn.XLOOKUP(C798&amp;A798, TDrate!F:F&amp;TDrate!H:H, TDrate!B:B), "N/A")</f>
        <v>N/A</v>
      </c>
      <c r="N798" t="str" cm="1">
        <f t="array" ref="N798">IFERROR(_xlfn.XLOOKUP(C798&amp;A798, TDrate!F:F&amp;TDrate!H:H, TDrate!D:D), "N/A")</f>
        <v>N/A</v>
      </c>
    </row>
    <row r="799" spans="1:14" x14ac:dyDescent="0.45">
      <c r="A799" s="8">
        <v>2021</v>
      </c>
      <c r="B799" s="9" t="s">
        <v>432</v>
      </c>
      <c r="C799" s="10" t="str">
        <f t="shared" si="24"/>
        <v>C.J. Ham</v>
      </c>
      <c r="D799" s="10" t="str">
        <f t="shared" si="25"/>
        <v>MIN</v>
      </c>
      <c r="E799" cm="1">
        <f t="array" aca="1" ref="E799" ca="1">IFERROR(_xlfn.XLOOKUP(C799&amp;A799, Inside5!B:B&amp;Inside5!I:I, Inside5!C:C), 0)</f>
        <v>1</v>
      </c>
      <c r="F799" cm="1">
        <f t="array" aca="1" ref="F799" ca="1">IFERROR(_xlfn.XLOOKUP(C799&amp;A799, Inside5!B:B&amp;Inside5!I:I, Inside5!D:D), 0)</f>
        <v>0</v>
      </c>
      <c r="G799" cm="1">
        <f t="array" ref="G799">IFERROR(_xlfn.XLOOKUP(C799&amp;A799, Inside5!B:B&amp;Inside5!I:I, Inside5!E:E), 0)</f>
        <v>4.4999999999999998E-2</v>
      </c>
      <c r="H799" t="str" cm="1">
        <f t="array" ref="H799">IFERROR(_xlfn.XLOOKUP(C799&amp;A799, TDrate!F:F&amp;TDrate!H:H, TDrate!C:C), "N/A")</f>
        <v>N/A</v>
      </c>
      <c r="I799" t="str" cm="1">
        <f t="array" ref="I799">IFERROR(_xlfn.XLOOKUP(C799&amp;A799, TDrate!F:F&amp;TDrate!H:H, TDrate!E:E), "N/A")</f>
        <v>N/A</v>
      </c>
      <c r="J799" cm="1">
        <f t="array" ref="J799">IFERROR(_xlfn.XLOOKUP(C799&amp;A799, Inside5!B:B&amp;Inside5!I:I, Inside5!F:F), 0)</f>
        <v>0</v>
      </c>
      <c r="K799" cm="1">
        <f t="array" ref="K799">IFERROR(_xlfn.XLOOKUP(C799&amp;A799, Inside5!B:B&amp;Inside5!I:I, Inside5!G:G), 0)</f>
        <v>0</v>
      </c>
      <c r="L799" cm="1">
        <f t="array" ref="L799">IFERROR(_xlfn.XLOOKUP(C799&amp;A799, Inside5!B:B&amp;Inside5!I:I, Inside5!H:H), 0)</f>
        <v>0</v>
      </c>
      <c r="M799" t="str" cm="1">
        <f t="array" ref="M799">IFERROR(_xlfn.XLOOKUP(C799&amp;A799, TDrate!F:F&amp;TDrate!H:H, TDrate!B:B), "N/A")</f>
        <v>N/A</v>
      </c>
      <c r="N799" t="str" cm="1">
        <f t="array" ref="N799">IFERROR(_xlfn.XLOOKUP(C799&amp;A799, TDrate!F:F&amp;TDrate!H:H, TDrate!D:D), "N/A")</f>
        <v>N/A</v>
      </c>
    </row>
    <row r="800" spans="1:14" x14ac:dyDescent="0.45">
      <c r="A800" s="5">
        <v>2021</v>
      </c>
      <c r="B800" s="6" t="s">
        <v>761</v>
      </c>
      <c r="C800" s="7" t="str">
        <f t="shared" si="24"/>
        <v>Qadree Ollison</v>
      </c>
      <c r="D800" s="7" t="str">
        <f t="shared" si="25"/>
        <v>ATL</v>
      </c>
      <c r="E800" cm="1">
        <f t="array" aca="1" ref="E800" ca="1">IFERROR(_xlfn.XLOOKUP(C800&amp;A800, Inside5!B:B&amp;Inside5!I:I, Inside5!C:C), 0)</f>
        <v>0</v>
      </c>
      <c r="F800" cm="1">
        <f t="array" aca="1" ref="F800" ca="1">IFERROR(_xlfn.XLOOKUP(C800&amp;A800, Inside5!B:B&amp;Inside5!I:I, Inside5!D:D), 0)</f>
        <v>0</v>
      </c>
      <c r="G800" cm="1">
        <f t="array" ref="G800">IFERROR(_xlfn.XLOOKUP(C800&amp;A800, Inside5!B:B&amp;Inside5!I:I, Inside5!E:E), 0)</f>
        <v>0</v>
      </c>
      <c r="H800" t="str" cm="1">
        <f t="array" ref="H800">IFERROR(_xlfn.XLOOKUP(C800&amp;A800, TDrate!F:F&amp;TDrate!H:H, TDrate!C:C), "N/A")</f>
        <v>N/A</v>
      </c>
      <c r="I800" t="str" cm="1">
        <f t="array" ref="I800">IFERROR(_xlfn.XLOOKUP(C800&amp;A800, TDrate!F:F&amp;TDrate!H:H, TDrate!E:E), "N/A")</f>
        <v>N/A</v>
      </c>
      <c r="J800" cm="1">
        <f t="array" ref="J800">IFERROR(_xlfn.XLOOKUP(C800&amp;A800, Inside5!B:B&amp;Inside5!I:I, Inside5!F:F), 0)</f>
        <v>0</v>
      </c>
      <c r="K800" cm="1">
        <f t="array" aca="1" ref="K800" ca="1">IFERROR(_xlfn.XLOOKUP(C800&amp;A800, Inside5!B:B&amp;Inside5!I:I, Inside5!G:G), 0)</f>
        <v>0</v>
      </c>
      <c r="L800" cm="1">
        <f t="array" ref="L800">IFERROR(_xlfn.XLOOKUP(C800&amp;A800, Inside5!B:B&amp;Inside5!I:I, Inside5!H:H), 0)</f>
        <v>0</v>
      </c>
      <c r="M800" t="str" cm="1">
        <f t="array" ref="M800">IFERROR(_xlfn.XLOOKUP(C800&amp;A800, TDrate!F:F&amp;TDrate!H:H, TDrate!B:B), "N/A")</f>
        <v>N/A</v>
      </c>
      <c r="N800" t="str" cm="1">
        <f t="array" ref="N800">IFERROR(_xlfn.XLOOKUP(C800&amp;A800, TDrate!F:F&amp;TDrate!H:H, TDrate!D:D), "N/A")</f>
        <v>N/A</v>
      </c>
    </row>
    <row r="801" spans="1:14" x14ac:dyDescent="0.45">
      <c r="A801" s="8">
        <v>2021</v>
      </c>
      <c r="B801" s="9" t="s">
        <v>576</v>
      </c>
      <c r="C801" s="10" t="str">
        <f t="shared" si="24"/>
        <v>Patrick Taylor Jr.</v>
      </c>
      <c r="D801" s="10" t="str">
        <f t="shared" si="25"/>
        <v>GB</v>
      </c>
      <c r="E801" cm="1">
        <f t="array" aca="1" ref="E801" ca="1">IFERROR(_xlfn.XLOOKUP(C801&amp;A801, Inside5!B:B&amp;Inside5!I:I, Inside5!C:C), 0)</f>
        <v>0</v>
      </c>
      <c r="F801" cm="1">
        <f t="array" aca="1" ref="F801" ca="1">IFERROR(_xlfn.XLOOKUP(C801&amp;A801, Inside5!B:B&amp;Inside5!I:I, Inside5!D:D), 0)</f>
        <v>0</v>
      </c>
      <c r="G801" cm="1">
        <f t="array" ref="G801">IFERROR(_xlfn.XLOOKUP(C801&amp;A801, Inside5!B:B&amp;Inside5!I:I, Inside5!E:E), 0)</f>
        <v>0</v>
      </c>
      <c r="H801" t="str" cm="1">
        <f t="array" ref="H801">IFERROR(_xlfn.XLOOKUP(C801&amp;A801, TDrate!F:F&amp;TDrate!H:H, TDrate!C:C), "N/A")</f>
        <v>N/A</v>
      </c>
      <c r="I801" t="str" cm="1">
        <f t="array" ref="I801">IFERROR(_xlfn.XLOOKUP(C801&amp;A801, TDrate!F:F&amp;TDrate!H:H, TDrate!E:E), "N/A")</f>
        <v>N/A</v>
      </c>
      <c r="J801" cm="1">
        <f t="array" ref="J801">IFERROR(_xlfn.XLOOKUP(C801&amp;A801, Inside5!B:B&amp;Inside5!I:I, Inside5!F:F), 0)</f>
        <v>0</v>
      </c>
      <c r="K801" cm="1">
        <f t="array" aca="1" ref="K801" ca="1">IFERROR(_xlfn.XLOOKUP(C801&amp;A801, Inside5!B:B&amp;Inside5!I:I, Inside5!G:G), 0)</f>
        <v>0</v>
      </c>
      <c r="L801" cm="1">
        <f t="array" ref="L801">IFERROR(_xlfn.XLOOKUP(C801&amp;A801, Inside5!B:B&amp;Inside5!I:I, Inside5!H:H), 0)</f>
        <v>0</v>
      </c>
      <c r="M801" t="str" cm="1">
        <f t="array" ref="M801">IFERROR(_xlfn.XLOOKUP(C801&amp;A801, TDrate!F:F&amp;TDrate!H:H, TDrate!B:B), "N/A")</f>
        <v>N/A</v>
      </c>
      <c r="N801" t="str" cm="1">
        <f t="array" ref="N801">IFERROR(_xlfn.XLOOKUP(C801&amp;A801, TDrate!F:F&amp;TDrate!H:H, TDrate!D:D), "N/A")</f>
        <v>N/A</v>
      </c>
    </row>
    <row r="802" spans="1:14" x14ac:dyDescent="0.45">
      <c r="A802" s="5">
        <v>2021</v>
      </c>
      <c r="B802" s="6" t="s">
        <v>762</v>
      </c>
      <c r="C802" s="7" t="str">
        <f t="shared" si="24"/>
        <v>Alec Ingold</v>
      </c>
      <c r="D802" s="7" t="str">
        <f t="shared" si="25"/>
        <v>LV</v>
      </c>
      <c r="E802" cm="1">
        <f t="array" ref="E802">IFERROR(_xlfn.XLOOKUP(C802&amp;A802, Inside5!B:B&amp;Inside5!I:I, Inside5!C:C), 0)</f>
        <v>1</v>
      </c>
      <c r="F802" cm="1">
        <f t="array" ref="F802">IFERROR(_xlfn.XLOOKUP(C802&amp;A802, Inside5!B:B&amp;Inside5!I:I, Inside5!D:D), 0)</f>
        <v>0</v>
      </c>
      <c r="G802" cm="1">
        <f t="array" ref="G802">IFERROR(_xlfn.XLOOKUP(C802&amp;A802, Inside5!B:B&amp;Inside5!I:I, Inside5!E:E), 0)</f>
        <v>7.0999999999999994E-2</v>
      </c>
      <c r="H802" t="str" cm="1">
        <f t="array" ref="H802">IFERROR(_xlfn.XLOOKUP(C802&amp;A802, TDrate!F:F&amp;TDrate!H:H, TDrate!C:C), "N/A")</f>
        <v>N/A</v>
      </c>
      <c r="I802" t="str" cm="1">
        <f t="array" ref="I802">IFERROR(_xlfn.XLOOKUP(C802&amp;A802, TDrate!F:F&amp;TDrate!H:H, TDrate!E:E), "N/A")</f>
        <v>N/A</v>
      </c>
      <c r="J802" cm="1">
        <f t="array" ref="J802">IFERROR(_xlfn.XLOOKUP(C802&amp;A802, Inside5!B:B&amp;Inside5!I:I, Inside5!F:F), 0)</f>
        <v>1</v>
      </c>
      <c r="K802" cm="1">
        <f t="array" ref="K802">IFERROR(_xlfn.XLOOKUP(C802&amp;A802, Inside5!B:B&amp;Inside5!I:I, Inside5!G:G), 0)</f>
        <v>1</v>
      </c>
      <c r="L802" cm="1">
        <f t="array" ref="L802">IFERROR(_xlfn.XLOOKUP(C802&amp;A802, Inside5!B:B&amp;Inside5!I:I, Inside5!H:H), 0)</f>
        <v>1</v>
      </c>
      <c r="M802" t="str" cm="1">
        <f t="array" ref="M802">IFERROR(_xlfn.XLOOKUP(C802&amp;A802, TDrate!F:F&amp;TDrate!H:H, TDrate!B:B), "N/A")</f>
        <v>N/A</v>
      </c>
      <c r="N802" t="str" cm="1">
        <f t="array" ref="N802">IFERROR(_xlfn.XLOOKUP(C802&amp;A802, TDrate!F:F&amp;TDrate!H:H, TDrate!D:D), "N/A")</f>
        <v>N/A</v>
      </c>
    </row>
    <row r="803" spans="1:14" x14ac:dyDescent="0.45">
      <c r="A803" s="8">
        <v>2021</v>
      </c>
      <c r="B803" s="9" t="s">
        <v>686</v>
      </c>
      <c r="C803" s="10" t="str">
        <f t="shared" si="24"/>
        <v>Larry Rountree III</v>
      </c>
      <c r="D803" s="10" t="str">
        <f t="shared" si="25"/>
        <v>LAC</v>
      </c>
      <c r="E803" cm="1">
        <f t="array" ref="E803">IFERROR(_xlfn.XLOOKUP(C803&amp;A803, Inside5!B:B&amp;Inside5!I:I, Inside5!C:C), 0)</f>
        <v>2</v>
      </c>
      <c r="F803" cm="1">
        <f t="array" aca="1" ref="F803" ca="1">IFERROR(_xlfn.XLOOKUP(C803&amp;A803, Inside5!B:B&amp;Inside5!I:I, Inside5!D:D), 0)</f>
        <v>1</v>
      </c>
      <c r="G803" cm="1">
        <f t="array" ref="G803">IFERROR(_xlfn.XLOOKUP(C803&amp;A803, Inside5!B:B&amp;Inside5!I:I, Inside5!E:E), 0)</f>
        <v>9.0999999999999998E-2</v>
      </c>
      <c r="H803" cm="1">
        <f t="array" ref="H803">IFERROR(_xlfn.XLOOKUP(C803&amp;A803, TDrate!F:F&amp;TDrate!H:H, TDrate!C:C), "N/A")</f>
        <v>2.7799999999999998E-2</v>
      </c>
      <c r="I803" cm="1">
        <f t="array" ref="I803">IFERROR(_xlfn.XLOOKUP(C803&amp;A803, TDrate!F:F&amp;TDrate!H:H, TDrate!E:E), "N/A")</f>
        <v>3.2399999999999998E-2</v>
      </c>
      <c r="J803" cm="1">
        <f t="array" ref="J803">IFERROR(_xlfn.XLOOKUP(C803&amp;A803, Inside5!B:B&amp;Inside5!I:I, Inside5!F:F), 0)</f>
        <v>0</v>
      </c>
      <c r="K803" cm="1">
        <f t="array" aca="1" ref="K803" ca="1">IFERROR(_xlfn.XLOOKUP(C803&amp;A803, Inside5!B:B&amp;Inside5!I:I, Inside5!G:G), 0)</f>
        <v>0</v>
      </c>
      <c r="L803" cm="1">
        <f t="array" aca="1" ref="L803" ca="1">IFERROR(_xlfn.XLOOKUP(C803&amp;A803, Inside5!B:B&amp;Inside5!I:I, Inside5!H:H), 0)</f>
        <v>0</v>
      </c>
      <c r="M803" cm="1">
        <f t="array" ref="M803">IFERROR(_xlfn.XLOOKUP(C803&amp;A803, TDrate!F:F&amp;TDrate!H:H, TDrate!B:B), "N/A")</f>
        <v>0</v>
      </c>
      <c r="N803" cm="1">
        <f t="array" ref="N803">IFERROR(_xlfn.XLOOKUP(C803&amp;A803, TDrate!F:F&amp;TDrate!H:H, TDrate!D:D), "N/A")</f>
        <v>3.0999999999999999E-3</v>
      </c>
    </row>
    <row r="804" spans="1:14" x14ac:dyDescent="0.45">
      <c r="A804" s="5">
        <v>2021</v>
      </c>
      <c r="B804" s="6" t="s">
        <v>692</v>
      </c>
      <c r="C804" s="7" t="str">
        <f t="shared" si="24"/>
        <v>J.J. Taylor</v>
      </c>
      <c r="D804" s="7" t="str">
        <f t="shared" si="25"/>
        <v>NE</v>
      </c>
      <c r="E804" cm="1">
        <f t="array" ref="E804">IFERROR(_xlfn.XLOOKUP(C804&amp;A804, Inside5!B:B&amp;Inside5!I:I, Inside5!C:C), 0)</f>
        <v>3</v>
      </c>
      <c r="F804" cm="1">
        <f t="array" ref="F804">IFERROR(_xlfn.XLOOKUP(C804&amp;A804, Inside5!B:B&amp;Inside5!I:I, Inside5!D:D), 0)</f>
        <v>2</v>
      </c>
      <c r="G804" cm="1">
        <f t="array" ref="G804">IFERROR(_xlfn.XLOOKUP(C804&amp;A804, Inside5!B:B&amp;Inside5!I:I, Inside5!E:E), 0)</f>
        <v>0.115</v>
      </c>
      <c r="H804" t="str" cm="1">
        <f t="array" ref="H804">IFERROR(_xlfn.XLOOKUP(C804&amp;A804, TDrate!F:F&amp;TDrate!H:H, TDrate!C:C), "N/A")</f>
        <v>N/A</v>
      </c>
      <c r="I804" t="str" cm="1">
        <f t="array" ref="I804">IFERROR(_xlfn.XLOOKUP(C804&amp;A804, TDrate!F:F&amp;TDrate!H:H, TDrate!E:E), "N/A")</f>
        <v>N/A</v>
      </c>
      <c r="J804" cm="1">
        <f t="array" ref="J804">IFERROR(_xlfn.XLOOKUP(C804&amp;A804, Inside5!B:B&amp;Inside5!I:I, Inside5!F:F), 0)</f>
        <v>0</v>
      </c>
      <c r="K804" cm="1">
        <f t="array" aca="1" ref="K804" ca="1">IFERROR(_xlfn.XLOOKUP(C804&amp;A804, Inside5!B:B&amp;Inside5!I:I, Inside5!G:G), 0)</f>
        <v>0</v>
      </c>
      <c r="L804" cm="1">
        <f t="array" ref="L804">IFERROR(_xlfn.XLOOKUP(C804&amp;A804, Inside5!B:B&amp;Inside5!I:I, Inside5!H:H), 0)</f>
        <v>0</v>
      </c>
      <c r="M804" t="str" cm="1">
        <f t="array" ref="M804">IFERROR(_xlfn.XLOOKUP(C804&amp;A804, TDrate!F:F&amp;TDrate!H:H, TDrate!B:B), "N/A")</f>
        <v>N/A</v>
      </c>
      <c r="N804" t="str" cm="1">
        <f t="array" ref="N804">IFERROR(_xlfn.XLOOKUP(C804&amp;A804, TDrate!F:F&amp;TDrate!H:H, TDrate!D:D), "N/A")</f>
        <v>N/A</v>
      </c>
    </row>
    <row r="805" spans="1:14" x14ac:dyDescent="0.45">
      <c r="A805" s="8">
        <v>2021</v>
      </c>
      <c r="B805" s="9" t="s">
        <v>763</v>
      </c>
      <c r="C805" s="10" t="str">
        <f t="shared" si="24"/>
        <v>Ty Montgomery II</v>
      </c>
      <c r="D805" s="10" t="str">
        <f t="shared" si="25"/>
        <v>NO</v>
      </c>
      <c r="E805" cm="1">
        <f t="array" aca="1" ref="E805" ca="1">IFERROR(_xlfn.XLOOKUP(C805&amp;A805, Inside5!B:B&amp;Inside5!I:I, Inside5!C:C), 0)</f>
        <v>0</v>
      </c>
      <c r="F805" cm="1">
        <f t="array" aca="1" ref="F805" ca="1">IFERROR(_xlfn.XLOOKUP(C805&amp;A805, Inside5!B:B&amp;Inside5!I:I, Inside5!D:D), 0)</f>
        <v>0</v>
      </c>
      <c r="G805" cm="1">
        <f t="array" ref="G805">IFERROR(_xlfn.XLOOKUP(C805&amp;A805, Inside5!B:B&amp;Inside5!I:I, Inside5!E:E), 0)</f>
        <v>0</v>
      </c>
      <c r="H805" t="str" cm="1">
        <f t="array" ref="H805">IFERROR(_xlfn.XLOOKUP(C805&amp;A805, TDrate!F:F&amp;TDrate!H:H, TDrate!C:C), "N/A")</f>
        <v>N/A</v>
      </c>
      <c r="I805" t="str" cm="1">
        <f t="array" ref="I805">IFERROR(_xlfn.XLOOKUP(C805&amp;A805, TDrate!F:F&amp;TDrate!H:H, TDrate!E:E), "N/A")</f>
        <v>N/A</v>
      </c>
      <c r="J805" cm="1">
        <f t="array" ref="J805">IFERROR(_xlfn.XLOOKUP(C805&amp;A805, Inside5!B:B&amp;Inside5!I:I, Inside5!F:F), 0)</f>
        <v>1</v>
      </c>
      <c r="K805" cm="1">
        <f t="array" ref="K805">IFERROR(_xlfn.XLOOKUP(C805&amp;A805, Inside5!B:B&amp;Inside5!I:I, Inside5!G:G), 0)</f>
        <v>1</v>
      </c>
      <c r="L805" cm="1">
        <f t="array" ref="L805">IFERROR(_xlfn.XLOOKUP(C805&amp;A805, Inside5!B:B&amp;Inside5!I:I, Inside5!H:H), 0)</f>
        <v>0</v>
      </c>
      <c r="M805" t="str" cm="1">
        <f t="array" ref="M805">IFERROR(_xlfn.XLOOKUP(C805&amp;A805, TDrate!F:F&amp;TDrate!H:H, TDrate!B:B), "N/A")</f>
        <v>N/A</v>
      </c>
      <c r="N805" t="str" cm="1">
        <f t="array" ref="N805">IFERROR(_xlfn.XLOOKUP(C805&amp;A805, TDrate!F:F&amp;TDrate!H:H, TDrate!D:D), "N/A")</f>
        <v>N/A</v>
      </c>
    </row>
    <row r="806" spans="1:14" x14ac:dyDescent="0.45">
      <c r="A806" s="5">
        <v>2021</v>
      </c>
      <c r="B806" s="6" t="s">
        <v>437</v>
      </c>
      <c r="C806" s="7" t="str">
        <f t="shared" si="24"/>
        <v>Patrick Ricard</v>
      </c>
      <c r="D806" s="7" t="str">
        <f t="shared" si="25"/>
        <v>BAL</v>
      </c>
      <c r="E806" cm="1">
        <f t="array" aca="1" ref="E806" ca="1">IFERROR(_xlfn.XLOOKUP(C806&amp;A806, Inside5!B:B&amp;Inside5!I:I, Inside5!C:C), 0)</f>
        <v>0</v>
      </c>
      <c r="F806" cm="1">
        <f t="array" aca="1" ref="F806" ca="1">IFERROR(_xlfn.XLOOKUP(C806&amp;A806, Inside5!B:B&amp;Inside5!I:I, Inside5!D:D), 0)</f>
        <v>0</v>
      </c>
      <c r="G806" cm="1">
        <f t="array" ref="G806">IFERROR(_xlfn.XLOOKUP(C806&amp;A806, Inside5!B:B&amp;Inside5!I:I, Inside5!E:E), 0)</f>
        <v>0</v>
      </c>
      <c r="H806" t="str" cm="1">
        <f t="array" ref="H806">IFERROR(_xlfn.XLOOKUP(C806&amp;A806, TDrate!F:F&amp;TDrate!H:H, TDrate!C:C), "N/A")</f>
        <v>N/A</v>
      </c>
      <c r="I806" t="str" cm="1">
        <f t="array" ref="I806">IFERROR(_xlfn.XLOOKUP(C806&amp;A806, TDrate!F:F&amp;TDrate!H:H, TDrate!E:E), "N/A")</f>
        <v>N/A</v>
      </c>
      <c r="J806" cm="1">
        <f t="array" ref="J806">IFERROR(_xlfn.XLOOKUP(C806&amp;A806, Inside5!B:B&amp;Inside5!I:I, Inside5!F:F), 0)</f>
        <v>1</v>
      </c>
      <c r="K806" cm="1">
        <f t="array" ref="K806">IFERROR(_xlfn.XLOOKUP(C806&amp;A806, Inside5!B:B&amp;Inside5!I:I, Inside5!G:G), 0)</f>
        <v>2</v>
      </c>
      <c r="L806" cm="1">
        <f t="array" ref="L806">IFERROR(_xlfn.XLOOKUP(C806&amp;A806, Inside5!B:B&amp;Inside5!I:I, Inside5!H:H), 0)</f>
        <v>1</v>
      </c>
      <c r="M806" t="str" cm="1">
        <f t="array" ref="M806">IFERROR(_xlfn.XLOOKUP(C806&amp;A806, TDrate!F:F&amp;TDrate!H:H, TDrate!B:B), "N/A")</f>
        <v>N/A</v>
      </c>
      <c r="N806" t="str" cm="1">
        <f t="array" ref="N806">IFERROR(_xlfn.XLOOKUP(C806&amp;A806, TDrate!F:F&amp;TDrate!H:H, TDrate!D:D), "N/A")</f>
        <v>N/A</v>
      </c>
    </row>
    <row r="807" spans="1:14" x14ac:dyDescent="0.45">
      <c r="A807" s="8">
        <v>2021</v>
      </c>
      <c r="B807" s="9" t="s">
        <v>764</v>
      </c>
      <c r="C807" s="10" t="str">
        <f t="shared" si="24"/>
        <v>Wayne Gallman Jr.</v>
      </c>
      <c r="D807" s="10" t="str">
        <f t="shared" si="25"/>
        <v>MIN</v>
      </c>
      <c r="E807" cm="1">
        <f t="array" ref="E807">IFERROR(_xlfn.XLOOKUP(C807&amp;A807, Inside5!B:B&amp;Inside5!I:I, Inside5!C:C), 0)</f>
        <v>0</v>
      </c>
      <c r="F807" cm="1">
        <f t="array" ref="F807">IFERROR(_xlfn.XLOOKUP(C807&amp;A807, Inside5!B:B&amp;Inside5!I:I, Inside5!D:D), 0)</f>
        <v>0</v>
      </c>
      <c r="G807" cm="1">
        <f t="array" ref="G807">IFERROR(_xlfn.XLOOKUP(C807&amp;A807, Inside5!B:B&amp;Inside5!I:I, Inside5!E:E), 0)</f>
        <v>0</v>
      </c>
      <c r="H807" cm="1">
        <f t="array" ref="H807">IFERROR(_xlfn.XLOOKUP(C807&amp;A807, TDrate!F:F&amp;TDrate!H:H, TDrate!C:C), "N/A")</f>
        <v>0</v>
      </c>
      <c r="I807" cm="1">
        <f t="array" ref="I807">IFERROR(_xlfn.XLOOKUP(C807&amp;A807, TDrate!F:F&amp;TDrate!H:H, TDrate!E:E), "N/A")</f>
        <v>2.3999999999999998E-3</v>
      </c>
      <c r="J807" cm="1">
        <f t="array" ref="J807">IFERROR(_xlfn.XLOOKUP(C807&amp;A807, Inside5!B:B&amp;Inside5!I:I, Inside5!F:F), 0)</f>
        <v>0</v>
      </c>
      <c r="K807" cm="1">
        <f t="array" ref="K807">IFERROR(_xlfn.XLOOKUP(C807&amp;A807, Inside5!B:B&amp;Inside5!I:I, Inside5!G:G), 0)</f>
        <v>0</v>
      </c>
      <c r="L807" cm="1">
        <f t="array" ref="L807">IFERROR(_xlfn.XLOOKUP(C807&amp;A807, Inside5!B:B&amp;Inside5!I:I, Inside5!H:H), 0)</f>
        <v>0</v>
      </c>
      <c r="M807" cm="1">
        <f t="array" ref="M807">IFERROR(_xlfn.XLOOKUP(C807&amp;A807, TDrate!F:F&amp;TDrate!H:H, TDrate!B:B), "N/A")</f>
        <v>0</v>
      </c>
      <c r="N807" cm="1">
        <f t="array" ref="N807">IFERROR(_xlfn.XLOOKUP(C807&amp;A807, TDrate!F:F&amp;TDrate!H:H, TDrate!D:D), "N/A")</f>
        <v>3.0000000000000001E-3</v>
      </c>
    </row>
    <row r="808" spans="1:14" x14ac:dyDescent="0.45">
      <c r="A808" s="5">
        <v>2021</v>
      </c>
      <c r="B808" s="6" t="s">
        <v>566</v>
      </c>
      <c r="C808" s="7" t="str">
        <f t="shared" si="24"/>
        <v>Joshua Kelley</v>
      </c>
      <c r="D808" s="7" t="str">
        <f t="shared" si="25"/>
        <v>LAC</v>
      </c>
      <c r="E808" cm="1">
        <f t="array" ref="E808">IFERROR(_xlfn.XLOOKUP(C808&amp;A808, Inside5!B:B&amp;Inside5!I:I, Inside5!C:C), 0)</f>
        <v>2</v>
      </c>
      <c r="F808" cm="1">
        <f t="array" ref="F808">IFERROR(_xlfn.XLOOKUP(C808&amp;A808, Inside5!B:B&amp;Inside5!I:I, Inside5!D:D), 0)</f>
        <v>0</v>
      </c>
      <c r="G808" cm="1">
        <f t="array" ref="G808">IFERROR(_xlfn.XLOOKUP(C808&amp;A808, Inside5!B:B&amp;Inside5!I:I, Inside5!E:E), 0)</f>
        <v>9.0999999999999998E-2</v>
      </c>
      <c r="H808" cm="1">
        <f t="array" ref="H808">IFERROR(_xlfn.XLOOKUP(C808&amp;A808, TDrate!F:F&amp;TDrate!H:H, TDrate!C:C), "N/A")</f>
        <v>0</v>
      </c>
      <c r="I808" cm="1">
        <f t="array" ref="I808">IFERROR(_xlfn.XLOOKUP(C808&amp;A808, TDrate!F:F&amp;TDrate!H:H, TDrate!E:E), "N/A")</f>
        <v>1.7999999999999999E-2</v>
      </c>
      <c r="J808" cm="1">
        <f t="array" ref="J808">IFERROR(_xlfn.XLOOKUP(C808&amp;A808, Inside5!B:B&amp;Inside5!I:I, Inside5!F:F), 0)</f>
        <v>0</v>
      </c>
      <c r="K808" cm="1">
        <f t="array" ref="K808">IFERROR(_xlfn.XLOOKUP(C808&amp;A808, Inside5!B:B&amp;Inside5!I:I, Inside5!G:G), 0)</f>
        <v>0</v>
      </c>
      <c r="L808" cm="1">
        <f t="array" ref="L808">IFERROR(_xlfn.XLOOKUP(C808&amp;A808, Inside5!B:B&amp;Inside5!I:I, Inside5!H:H), 0)</f>
        <v>0</v>
      </c>
      <c r="M808" cm="1">
        <f t="array" ref="M808">IFERROR(_xlfn.XLOOKUP(C808&amp;A808, TDrate!F:F&amp;TDrate!H:H, TDrate!B:B), "N/A")</f>
        <v>0</v>
      </c>
      <c r="N808" cm="1">
        <f t="array" ref="N808">IFERROR(_xlfn.XLOOKUP(C808&amp;A808, TDrate!F:F&amp;TDrate!H:H, TDrate!D:D), "N/A")</f>
        <v>7.4000000000000003E-3</v>
      </c>
    </row>
    <row r="809" spans="1:14" x14ac:dyDescent="0.45">
      <c r="A809" s="8">
        <v>2021</v>
      </c>
      <c r="B809" s="9" t="s">
        <v>691</v>
      </c>
      <c r="C809" s="10" t="str">
        <f t="shared" si="24"/>
        <v>Michael Burton</v>
      </c>
      <c r="D809" s="10" t="str">
        <f t="shared" si="25"/>
        <v>KC</v>
      </c>
      <c r="E809" cm="1">
        <f t="array" ref="E809">IFERROR(_xlfn.XLOOKUP(C809&amp;A809, Inside5!B:B&amp;Inside5!I:I, Inside5!C:C), 0)</f>
        <v>1</v>
      </c>
      <c r="F809" cm="1">
        <f t="array" ref="F809">IFERROR(_xlfn.XLOOKUP(C809&amp;A809, Inside5!B:B&amp;Inside5!I:I, Inside5!D:D), 0)</f>
        <v>0</v>
      </c>
      <c r="G809" cm="1">
        <f t="array" ref="G809">IFERROR(_xlfn.XLOOKUP(C809&amp;A809, Inside5!B:B&amp;Inside5!I:I, Inside5!E:E), 0)</f>
        <v>0.05</v>
      </c>
      <c r="H809" t="str" cm="1">
        <f t="array" ref="H809">IFERROR(_xlfn.XLOOKUP(C809&amp;A809, TDrate!F:F&amp;TDrate!H:H, TDrate!C:C), "N/A")</f>
        <v>N/A</v>
      </c>
      <c r="I809" t="str" cm="1">
        <f t="array" ref="I809">IFERROR(_xlfn.XLOOKUP(C809&amp;A809, TDrate!F:F&amp;TDrate!H:H, TDrate!E:E), "N/A")</f>
        <v>N/A</v>
      </c>
      <c r="J809" cm="1">
        <f t="array" ref="J809">IFERROR(_xlfn.XLOOKUP(C809&amp;A809, Inside5!B:B&amp;Inside5!I:I, Inside5!F:F), 0)</f>
        <v>1</v>
      </c>
      <c r="K809" cm="1">
        <f t="array" aca="1" ref="K809" ca="1">IFERROR(_xlfn.XLOOKUP(C809&amp;A809, Inside5!B:B&amp;Inside5!I:I, Inside5!G:G), 0)</f>
        <v>1</v>
      </c>
      <c r="L809" cm="1">
        <f t="array" ref="L809">IFERROR(_xlfn.XLOOKUP(C809&amp;A809, Inside5!B:B&amp;Inside5!I:I, Inside5!H:H), 0)</f>
        <v>0</v>
      </c>
      <c r="M809" t="str" cm="1">
        <f t="array" ref="M809">IFERROR(_xlfn.XLOOKUP(C809&amp;A809, TDrate!F:F&amp;TDrate!H:H, TDrate!B:B), "N/A")</f>
        <v>N/A</v>
      </c>
      <c r="N809" t="str" cm="1">
        <f t="array" ref="N809">IFERROR(_xlfn.XLOOKUP(C809&amp;A809, TDrate!F:F&amp;TDrate!H:H, TDrate!D:D), "N/A")</f>
        <v>N/A</v>
      </c>
    </row>
    <row r="810" spans="1:14" x14ac:dyDescent="0.45">
      <c r="A810" s="5">
        <v>2021</v>
      </c>
      <c r="B810" s="6" t="s">
        <v>765</v>
      </c>
      <c r="C810" s="7" t="str">
        <f t="shared" si="24"/>
        <v>Jalen Richard</v>
      </c>
      <c r="D810" s="7" t="str">
        <f t="shared" si="25"/>
        <v>LV</v>
      </c>
      <c r="E810" cm="1">
        <f t="array" aca="1" ref="E810" ca="1">IFERROR(_xlfn.XLOOKUP(C810&amp;A810, Inside5!B:B&amp;Inside5!I:I, Inside5!C:C), 0)</f>
        <v>0</v>
      </c>
      <c r="F810" cm="1">
        <f t="array" ref="F810">IFERROR(_xlfn.XLOOKUP(C810&amp;A810, Inside5!B:B&amp;Inside5!I:I, Inside5!D:D), 0)</f>
        <v>0</v>
      </c>
      <c r="G810" cm="1">
        <f t="array" ref="G810">IFERROR(_xlfn.XLOOKUP(C810&amp;A810, Inside5!B:B&amp;Inside5!I:I, Inside5!E:E), 0)</f>
        <v>0</v>
      </c>
      <c r="H810" t="str" cm="1">
        <f t="array" ref="H810">IFERROR(_xlfn.XLOOKUP(C810&amp;A810, TDrate!F:F&amp;TDrate!H:H, TDrate!C:C), "N/A")</f>
        <v>N/A</v>
      </c>
      <c r="I810" t="str" cm="1">
        <f t="array" ref="I810">IFERROR(_xlfn.XLOOKUP(C810&amp;A810, TDrate!F:F&amp;TDrate!H:H, TDrate!E:E), "N/A")</f>
        <v>N/A</v>
      </c>
      <c r="J810" cm="1">
        <f t="array" ref="J810">IFERROR(_xlfn.XLOOKUP(C810&amp;A810, Inside5!B:B&amp;Inside5!I:I, Inside5!F:F), 0)</f>
        <v>0</v>
      </c>
      <c r="K810" cm="1">
        <f t="array" aca="1" ref="K810" ca="1">IFERROR(_xlfn.XLOOKUP(C810&amp;A810, Inside5!B:B&amp;Inside5!I:I, Inside5!G:G), 0)</f>
        <v>0</v>
      </c>
      <c r="L810" cm="1">
        <f t="array" ref="L810">IFERROR(_xlfn.XLOOKUP(C810&amp;A810, Inside5!B:B&amp;Inside5!I:I, Inside5!H:H), 0)</f>
        <v>0</v>
      </c>
      <c r="M810" t="str" cm="1">
        <f t="array" ref="M810">IFERROR(_xlfn.XLOOKUP(C810&amp;A810, TDrate!F:F&amp;TDrate!H:H, TDrate!B:B), "N/A")</f>
        <v>N/A</v>
      </c>
      <c r="N810" t="str" cm="1">
        <f t="array" ref="N810">IFERROR(_xlfn.XLOOKUP(C810&amp;A810, TDrate!F:F&amp;TDrate!H:H, TDrate!D:D), "N/A")</f>
        <v>N/A</v>
      </c>
    </row>
    <row r="811" spans="1:14" x14ac:dyDescent="0.45">
      <c r="A811" s="8">
        <v>2021</v>
      </c>
      <c r="B811" s="9" t="s">
        <v>669</v>
      </c>
      <c r="C811" s="10" t="str">
        <f t="shared" si="24"/>
        <v>Benny Snell Jr.</v>
      </c>
      <c r="D811" s="10" t="str">
        <f t="shared" si="25"/>
        <v>PIT</v>
      </c>
      <c r="E811" cm="1">
        <f t="array" ref="E811">IFERROR(_xlfn.XLOOKUP(C811&amp;A811, Inside5!B:B&amp;Inside5!I:I, Inside5!C:C), 0)</f>
        <v>0</v>
      </c>
      <c r="F811" cm="1">
        <f t="array" aca="1" ref="F811" ca="1">IFERROR(_xlfn.XLOOKUP(C811&amp;A811, Inside5!B:B&amp;Inside5!I:I, Inside5!D:D), 0)</f>
        <v>0</v>
      </c>
      <c r="G811" cm="1">
        <f t="array" ref="G811">IFERROR(_xlfn.XLOOKUP(C811&amp;A811, Inside5!B:B&amp;Inside5!I:I, Inside5!E:E), 0)</f>
        <v>0</v>
      </c>
      <c r="H811" cm="1">
        <f t="array" ref="H811">IFERROR(_xlfn.XLOOKUP(C811&amp;A811, TDrate!F:F&amp;TDrate!H:H, TDrate!C:C), "N/A")</f>
        <v>0</v>
      </c>
      <c r="I811" cm="1">
        <f t="array" ref="I811">IFERROR(_xlfn.XLOOKUP(C811&amp;A811, TDrate!F:F&amp;TDrate!H:H, TDrate!E:E), "N/A")</f>
        <v>4.1999999999999997E-3</v>
      </c>
      <c r="J811" cm="1">
        <f t="array" ref="J811">IFERROR(_xlfn.XLOOKUP(C811&amp;A811, Inside5!B:B&amp;Inside5!I:I, Inside5!F:F), 0)</f>
        <v>0</v>
      </c>
      <c r="K811" cm="1">
        <f t="array" ref="K811">IFERROR(_xlfn.XLOOKUP(C811&amp;A811, Inside5!B:B&amp;Inside5!I:I, Inside5!G:G), 0)</f>
        <v>0</v>
      </c>
      <c r="L811" cm="1">
        <f t="array" ref="L811">IFERROR(_xlfn.XLOOKUP(C811&amp;A811, Inside5!B:B&amp;Inside5!I:I, Inside5!H:H), 0)</f>
        <v>0</v>
      </c>
      <c r="M811" cm="1">
        <f t="array" ref="M811">IFERROR(_xlfn.XLOOKUP(C811&amp;A811, TDrate!F:F&amp;TDrate!H:H, TDrate!B:B), "N/A")</f>
        <v>0</v>
      </c>
      <c r="N811" cm="1">
        <f t="array" ref="N811">IFERROR(_xlfn.XLOOKUP(C811&amp;A811, TDrate!F:F&amp;TDrate!H:H, TDrate!D:D), "N/A")</f>
        <v>2.5999999999999999E-3</v>
      </c>
    </row>
    <row r="812" spans="1:14" x14ac:dyDescent="0.45">
      <c r="A812" s="5">
        <v>2021</v>
      </c>
      <c r="B812" s="6" t="s">
        <v>766</v>
      </c>
      <c r="C812" s="7" t="str">
        <f t="shared" si="24"/>
        <v>Marlon Mack</v>
      </c>
      <c r="D812" s="7" t="str">
        <f t="shared" si="25"/>
        <v>IND</v>
      </c>
      <c r="E812" cm="1">
        <f t="array" aca="1" ref="E812" ca="1">IFERROR(_xlfn.XLOOKUP(C812&amp;A812, Inside5!B:B&amp;Inside5!I:I, Inside5!C:C), 0)</f>
        <v>0</v>
      </c>
      <c r="F812" cm="1">
        <f t="array" aca="1" ref="F812" ca="1">IFERROR(_xlfn.XLOOKUP(C812&amp;A812, Inside5!B:B&amp;Inside5!I:I, Inside5!D:D), 0)</f>
        <v>0</v>
      </c>
      <c r="G812" cm="1">
        <f t="array" ref="G812">IFERROR(_xlfn.XLOOKUP(C812&amp;A812, Inside5!B:B&amp;Inside5!I:I, Inside5!E:E), 0)</f>
        <v>0</v>
      </c>
      <c r="H812" cm="1">
        <f t="array" ref="H812">IFERROR(_xlfn.XLOOKUP(C812&amp;A812, TDrate!F:F&amp;TDrate!H:H, TDrate!C:C), "N/A")</f>
        <v>0</v>
      </c>
      <c r="I812" cm="1">
        <f t="array" ref="I812">IFERROR(_xlfn.XLOOKUP(C812&amp;A812, TDrate!F:F&amp;TDrate!H:H, TDrate!E:E), "N/A")</f>
        <v>4.4000000000000003E-3</v>
      </c>
      <c r="J812" cm="1">
        <f t="array" ref="J812">IFERROR(_xlfn.XLOOKUP(C812&amp;A812, Inside5!B:B&amp;Inside5!I:I, Inside5!F:F), 0)</f>
        <v>0</v>
      </c>
      <c r="K812" cm="1">
        <f t="array" aca="1" ref="K812" ca="1">IFERROR(_xlfn.XLOOKUP(C812&amp;A812, Inside5!B:B&amp;Inside5!I:I, Inside5!G:G), 0)</f>
        <v>0</v>
      </c>
      <c r="L812" cm="1">
        <f t="array" ref="L812">IFERROR(_xlfn.XLOOKUP(C812&amp;A812, Inside5!B:B&amp;Inside5!I:I, Inside5!H:H), 0)</f>
        <v>0</v>
      </c>
      <c r="M812" cm="1">
        <f t="array" ref="M812">IFERROR(_xlfn.XLOOKUP(C812&amp;A812, TDrate!F:F&amp;TDrate!H:H, TDrate!B:B), "N/A")</f>
        <v>0</v>
      </c>
      <c r="N812" cm="1">
        <f t="array" ref="N812">IFERROR(_xlfn.XLOOKUP(C812&amp;A812, TDrate!F:F&amp;TDrate!H:H, TDrate!D:D), "N/A")</f>
        <v>1.1000000000000001E-3</v>
      </c>
    </row>
    <row r="813" spans="1:14" x14ac:dyDescent="0.45">
      <c r="A813" s="8">
        <v>2021</v>
      </c>
      <c r="B813" s="9" t="s">
        <v>767</v>
      </c>
      <c r="C813" s="10" t="str">
        <f t="shared" si="24"/>
        <v>Ryquell Armstead</v>
      </c>
      <c r="D813" s="10" t="str">
        <f t="shared" si="25"/>
        <v>JAC</v>
      </c>
      <c r="E813" cm="1">
        <f t="array" ref="E813">IFERROR(_xlfn.XLOOKUP(C813&amp;A813, Inside5!B:B&amp;Inside5!I:I, Inside5!C:C), 0)</f>
        <v>0</v>
      </c>
      <c r="F813" cm="1">
        <f t="array" ref="F813">IFERROR(_xlfn.XLOOKUP(C813&amp;A813, Inside5!B:B&amp;Inside5!I:I, Inside5!D:D), 0)</f>
        <v>0</v>
      </c>
      <c r="G813" cm="1">
        <f t="array" ref="G813">IFERROR(_xlfn.XLOOKUP(C813&amp;A813, Inside5!B:B&amp;Inside5!I:I, Inside5!E:E), 0)</f>
        <v>0</v>
      </c>
      <c r="H813" t="str" cm="1">
        <f t="array" ref="H813">IFERROR(_xlfn.XLOOKUP(C813&amp;A813, TDrate!F:F&amp;TDrate!H:H, TDrate!C:C), "N/A")</f>
        <v>N/A</v>
      </c>
      <c r="I813" t="str" cm="1">
        <f t="array" ref="I813">IFERROR(_xlfn.XLOOKUP(C813&amp;A813, TDrate!F:F&amp;TDrate!H:H, TDrate!E:E), "N/A")</f>
        <v>N/A</v>
      </c>
      <c r="J813" cm="1">
        <f t="array" ref="J813">IFERROR(_xlfn.XLOOKUP(C813&amp;A813, Inside5!B:B&amp;Inside5!I:I, Inside5!F:F), 0)</f>
        <v>0</v>
      </c>
      <c r="K813" cm="1">
        <f t="array" ref="K813">IFERROR(_xlfn.XLOOKUP(C813&amp;A813, Inside5!B:B&amp;Inside5!I:I, Inside5!G:G), 0)</f>
        <v>0</v>
      </c>
      <c r="L813" cm="1">
        <f t="array" ref="L813">IFERROR(_xlfn.XLOOKUP(C813&amp;A813, Inside5!B:B&amp;Inside5!I:I, Inside5!H:H), 0)</f>
        <v>0</v>
      </c>
      <c r="M813" t="str" cm="1">
        <f t="array" ref="M813">IFERROR(_xlfn.XLOOKUP(C813&amp;A813, TDrate!F:F&amp;TDrate!H:H, TDrate!B:B), "N/A")</f>
        <v>N/A</v>
      </c>
      <c r="N813" t="str" cm="1">
        <f t="array" ref="N813">IFERROR(_xlfn.XLOOKUP(C813&amp;A813, TDrate!F:F&amp;TDrate!H:H, TDrate!D:D), "N/A")</f>
        <v>N/A</v>
      </c>
    </row>
    <row r="814" spans="1:14" x14ac:dyDescent="0.45">
      <c r="A814" s="5">
        <v>2021</v>
      </c>
      <c r="B814" s="6" t="s">
        <v>652</v>
      </c>
      <c r="C814" s="7" t="str">
        <f t="shared" si="24"/>
        <v>Deon Jackson</v>
      </c>
      <c r="D814" s="7" t="str">
        <f t="shared" si="25"/>
        <v>IND</v>
      </c>
      <c r="E814" cm="1">
        <f t="array" aca="1" ref="E814" ca="1">IFERROR(_xlfn.XLOOKUP(C814&amp;A814, Inside5!B:B&amp;Inside5!I:I, Inside5!C:C), 0)</f>
        <v>1</v>
      </c>
      <c r="F814" cm="1">
        <f t="array" aca="1" ref="F814" ca="1">IFERROR(_xlfn.XLOOKUP(C814&amp;A814, Inside5!B:B&amp;Inside5!I:I, Inside5!D:D), 0)</f>
        <v>1</v>
      </c>
      <c r="G814" cm="1">
        <f t="array" ref="G814">IFERROR(_xlfn.XLOOKUP(C814&amp;A814, Inside5!B:B&amp;Inside5!I:I, Inside5!E:E), 0)</f>
        <v>3.3000000000000002E-2</v>
      </c>
      <c r="H814" t="str" cm="1">
        <f t="array" ref="H814">IFERROR(_xlfn.XLOOKUP(C814&amp;A814, TDrate!F:F&amp;TDrate!H:H, TDrate!C:C), "N/A")</f>
        <v>N/A</v>
      </c>
      <c r="I814" t="str" cm="1">
        <f t="array" ref="I814">IFERROR(_xlfn.XLOOKUP(C814&amp;A814, TDrate!F:F&amp;TDrate!H:H, TDrate!E:E), "N/A")</f>
        <v>N/A</v>
      </c>
      <c r="J814" cm="1">
        <f t="array" ref="J814">IFERROR(_xlfn.XLOOKUP(C814&amp;A814, Inside5!B:B&amp;Inside5!I:I, Inside5!F:F), 0)</f>
        <v>0</v>
      </c>
      <c r="K814" cm="1">
        <f t="array" ref="K814">IFERROR(_xlfn.XLOOKUP(C814&amp;A814, Inside5!B:B&amp;Inside5!I:I, Inside5!G:G), 0)</f>
        <v>0</v>
      </c>
      <c r="L814" cm="1">
        <f t="array" ref="L814">IFERROR(_xlfn.XLOOKUP(C814&amp;A814, Inside5!B:B&amp;Inside5!I:I, Inside5!H:H), 0)</f>
        <v>0</v>
      </c>
      <c r="M814" t="str" cm="1">
        <f t="array" ref="M814">IFERROR(_xlfn.XLOOKUP(C814&amp;A814, TDrate!F:F&amp;TDrate!H:H, TDrate!B:B), "N/A")</f>
        <v>N/A</v>
      </c>
      <c r="N814" t="str" cm="1">
        <f t="array" ref="N814">IFERROR(_xlfn.XLOOKUP(C814&amp;A814, TDrate!F:F&amp;TDrate!H:H, TDrate!D:D), "N/A")</f>
        <v>N/A</v>
      </c>
    </row>
    <row r="815" spans="1:14" x14ac:dyDescent="0.45">
      <c r="A815" s="8">
        <v>2021</v>
      </c>
      <c r="B815" s="9" t="s">
        <v>768</v>
      </c>
      <c r="C815" s="10" t="str">
        <f t="shared" si="24"/>
        <v>Andy Janovich</v>
      </c>
      <c r="D815" s="10" t="str">
        <f t="shared" si="25"/>
        <v>CLE</v>
      </c>
      <c r="E815" cm="1">
        <f t="array" ref="E815">IFERROR(_xlfn.XLOOKUP(C815&amp;A815, Inside5!B:B&amp;Inside5!I:I, Inside5!C:C), 0)</f>
        <v>1</v>
      </c>
      <c r="F815" cm="1">
        <f t="array" ref="F815">IFERROR(_xlfn.XLOOKUP(C815&amp;A815, Inside5!B:B&amp;Inside5!I:I, Inside5!D:D), 0)</f>
        <v>1</v>
      </c>
      <c r="G815" cm="1">
        <f t="array" ref="G815">IFERROR(_xlfn.XLOOKUP(C815&amp;A815, Inside5!B:B&amp;Inside5!I:I, Inside5!E:E), 0)</f>
        <v>5.6000000000000001E-2</v>
      </c>
      <c r="H815" t="str" cm="1">
        <f t="array" ref="H815">IFERROR(_xlfn.XLOOKUP(C815&amp;A815, TDrate!F:F&amp;TDrate!H:H, TDrate!C:C), "N/A")</f>
        <v>N/A</v>
      </c>
      <c r="I815" t="str" cm="1">
        <f t="array" ref="I815">IFERROR(_xlfn.XLOOKUP(C815&amp;A815, TDrate!F:F&amp;TDrate!H:H, TDrate!E:E), "N/A")</f>
        <v>N/A</v>
      </c>
      <c r="J815" cm="1">
        <f t="array" ref="J815">IFERROR(_xlfn.XLOOKUP(C815&amp;A815, Inside5!B:B&amp;Inside5!I:I, Inside5!F:F), 0)</f>
        <v>0</v>
      </c>
      <c r="K815" cm="1">
        <f t="array" aca="1" ref="K815" ca="1">IFERROR(_xlfn.XLOOKUP(C815&amp;A815, Inside5!B:B&amp;Inside5!I:I, Inside5!G:G), 0)</f>
        <v>0</v>
      </c>
      <c r="L815" cm="1">
        <f t="array" ref="L815">IFERROR(_xlfn.XLOOKUP(C815&amp;A815, Inside5!B:B&amp;Inside5!I:I, Inside5!H:H), 0)</f>
        <v>0</v>
      </c>
      <c r="M815" t="str" cm="1">
        <f t="array" ref="M815">IFERROR(_xlfn.XLOOKUP(C815&amp;A815, TDrate!F:F&amp;TDrate!H:H, TDrate!B:B), "N/A")</f>
        <v>N/A</v>
      </c>
      <c r="N815" t="str" cm="1">
        <f t="array" ref="N815">IFERROR(_xlfn.XLOOKUP(C815&amp;A815, TDrate!F:F&amp;TDrate!H:H, TDrate!D:D), "N/A")</f>
        <v>N/A</v>
      </c>
    </row>
    <row r="816" spans="1:14" x14ac:dyDescent="0.45">
      <c r="A816" s="5">
        <v>2021</v>
      </c>
      <c r="B816" s="6" t="s">
        <v>769</v>
      </c>
      <c r="C816" s="7" t="str">
        <f t="shared" si="24"/>
        <v>JaQuan Hardy</v>
      </c>
      <c r="D816" s="7" t="str">
        <f t="shared" si="25"/>
        <v>DAL</v>
      </c>
      <c r="E816" cm="1">
        <f t="array" aca="1" ref="E816" ca="1">IFERROR(_xlfn.XLOOKUP(C816&amp;A816, Inside5!B:B&amp;Inside5!I:I, Inside5!C:C), 0)</f>
        <v>0</v>
      </c>
      <c r="F816" cm="1">
        <f t="array" aca="1" ref="F816" ca="1">IFERROR(_xlfn.XLOOKUP(C816&amp;A816, Inside5!B:B&amp;Inside5!I:I, Inside5!D:D), 0)</f>
        <v>0</v>
      </c>
      <c r="G816" cm="1">
        <f t="array" ref="G816">IFERROR(_xlfn.XLOOKUP(C816&amp;A816, Inside5!B:B&amp;Inside5!I:I, Inside5!E:E), 0)</f>
        <v>0</v>
      </c>
      <c r="H816" t="str" cm="1">
        <f t="array" ref="H816">IFERROR(_xlfn.XLOOKUP(C816&amp;A816, TDrate!F:F&amp;TDrate!H:H, TDrate!C:C), "N/A")</f>
        <v>N/A</v>
      </c>
      <c r="I816" t="str" cm="1">
        <f t="array" ref="I816">IFERROR(_xlfn.XLOOKUP(C816&amp;A816, TDrate!F:F&amp;TDrate!H:H, TDrate!E:E), "N/A")</f>
        <v>N/A</v>
      </c>
      <c r="J816" cm="1">
        <f t="array" ref="J816">IFERROR(_xlfn.XLOOKUP(C816&amp;A816, Inside5!B:B&amp;Inside5!I:I, Inside5!F:F), 0)</f>
        <v>0</v>
      </c>
      <c r="K816" cm="1">
        <f t="array" ref="K816">IFERROR(_xlfn.XLOOKUP(C816&amp;A816, Inside5!B:B&amp;Inside5!I:I, Inside5!G:G), 0)</f>
        <v>0</v>
      </c>
      <c r="L816" cm="1">
        <f t="array" ref="L816">IFERROR(_xlfn.XLOOKUP(C816&amp;A816, Inside5!B:B&amp;Inside5!I:I, Inside5!H:H), 0)</f>
        <v>0</v>
      </c>
      <c r="M816" t="str" cm="1">
        <f t="array" ref="M816">IFERROR(_xlfn.XLOOKUP(C816&amp;A816, TDrate!F:F&amp;TDrate!H:H, TDrate!B:B), "N/A")</f>
        <v>N/A</v>
      </c>
      <c r="N816" t="str" cm="1">
        <f t="array" ref="N816">IFERROR(_xlfn.XLOOKUP(C816&amp;A816, TDrate!F:F&amp;TDrate!H:H, TDrate!D:D), "N/A")</f>
        <v>N/A</v>
      </c>
    </row>
    <row r="817" spans="1:14" x14ac:dyDescent="0.45">
      <c r="A817" s="8">
        <v>2021</v>
      </c>
      <c r="B817" s="9" t="s">
        <v>596</v>
      </c>
      <c r="C817" s="10" t="str">
        <f t="shared" si="24"/>
        <v>Keith Smith</v>
      </c>
      <c r="D817" s="10" t="str">
        <f t="shared" si="25"/>
        <v>ATL</v>
      </c>
      <c r="E817" cm="1">
        <f t="array" ref="E817">IFERROR(_xlfn.XLOOKUP(C817&amp;A817, Inside5!B:B&amp;Inside5!I:I, Inside5!C:C), 0)</f>
        <v>0</v>
      </c>
      <c r="F817" cm="1">
        <f t="array" ref="F817">IFERROR(_xlfn.XLOOKUP(C817&amp;A817, Inside5!B:B&amp;Inside5!I:I, Inside5!D:D), 0)</f>
        <v>0</v>
      </c>
      <c r="G817" cm="1">
        <f t="array" ref="G817">IFERROR(_xlfn.XLOOKUP(C817&amp;A817, Inside5!B:B&amp;Inside5!I:I, Inside5!E:E), 0)</f>
        <v>0</v>
      </c>
      <c r="H817" t="str" cm="1">
        <f t="array" ref="H817">IFERROR(_xlfn.XLOOKUP(C817&amp;A817, TDrate!F:F&amp;TDrate!H:H, TDrate!C:C), "N/A")</f>
        <v>N/A</v>
      </c>
      <c r="I817" t="str" cm="1">
        <f t="array" ref="I817">IFERROR(_xlfn.XLOOKUP(C817&amp;A817, TDrate!F:F&amp;TDrate!H:H, TDrate!E:E), "N/A")</f>
        <v>N/A</v>
      </c>
      <c r="J817" cm="1">
        <f t="array" ref="J817">IFERROR(_xlfn.XLOOKUP(C817&amp;A817, Inside5!B:B&amp;Inside5!I:I, Inside5!F:F), 0)</f>
        <v>0</v>
      </c>
      <c r="K817" cm="1">
        <f t="array" ref="K817">IFERROR(_xlfn.XLOOKUP(C817&amp;A817, Inside5!B:B&amp;Inside5!I:I, Inside5!G:G), 0)</f>
        <v>0</v>
      </c>
      <c r="L817" cm="1">
        <f t="array" ref="L817">IFERROR(_xlfn.XLOOKUP(C817&amp;A817, Inside5!B:B&amp;Inside5!I:I, Inside5!H:H), 0)</f>
        <v>0</v>
      </c>
      <c r="M817" t="str" cm="1">
        <f t="array" ref="M817">IFERROR(_xlfn.XLOOKUP(C817&amp;A817, TDrate!F:F&amp;TDrate!H:H, TDrate!B:B), "N/A")</f>
        <v>N/A</v>
      </c>
      <c r="N817" t="str" cm="1">
        <f t="array" ref="N817">IFERROR(_xlfn.XLOOKUP(C817&amp;A817, TDrate!F:F&amp;TDrate!H:H, TDrate!D:D), "N/A")</f>
        <v>N/A</v>
      </c>
    </row>
    <row r="818" spans="1:14" x14ac:dyDescent="0.45">
      <c r="A818" s="5">
        <v>2021</v>
      </c>
      <c r="B818" s="6" t="s">
        <v>604</v>
      </c>
      <c r="C818" s="7" t="str">
        <f t="shared" si="24"/>
        <v>Alex Armah Jr.</v>
      </c>
      <c r="D818" s="7" t="str">
        <f t="shared" si="25"/>
        <v>WAS</v>
      </c>
      <c r="E818" cm="1">
        <f t="array" ref="E818">IFERROR(_xlfn.XLOOKUP(C818&amp;A818, Inside5!B:B&amp;Inside5!I:I, Inside5!C:C), 0)</f>
        <v>0</v>
      </c>
      <c r="F818" cm="1">
        <f t="array" aca="1" ref="F818" ca="1">IFERROR(_xlfn.XLOOKUP(C818&amp;A818, Inside5!B:B&amp;Inside5!I:I, Inside5!D:D), 0)</f>
        <v>0</v>
      </c>
      <c r="G818" cm="1">
        <f t="array" ref="G818">IFERROR(_xlfn.XLOOKUP(C818&amp;A818, Inside5!B:B&amp;Inside5!I:I, Inside5!E:E), 0)</f>
        <v>0</v>
      </c>
      <c r="H818" t="str" cm="1">
        <f t="array" ref="H818">IFERROR(_xlfn.XLOOKUP(C818&amp;A818, TDrate!F:F&amp;TDrate!H:H, TDrate!C:C), "N/A")</f>
        <v>N/A</v>
      </c>
      <c r="I818" t="str" cm="1">
        <f t="array" ref="I818">IFERROR(_xlfn.XLOOKUP(C818&amp;A818, TDrate!F:F&amp;TDrate!H:H, TDrate!E:E), "N/A")</f>
        <v>N/A</v>
      </c>
      <c r="J818" cm="1">
        <f t="array" ref="J818">IFERROR(_xlfn.XLOOKUP(C818&amp;A818, Inside5!B:B&amp;Inside5!I:I, Inside5!F:F), 0)</f>
        <v>1</v>
      </c>
      <c r="K818" cm="1">
        <f t="array" ref="K818">IFERROR(_xlfn.XLOOKUP(C818&amp;A818, Inside5!B:B&amp;Inside5!I:I, Inside5!G:G), 0)</f>
        <v>1</v>
      </c>
      <c r="L818" cm="1">
        <f t="array" ref="L818">IFERROR(_xlfn.XLOOKUP(C818&amp;A818, Inside5!B:B&amp;Inside5!I:I, Inside5!H:H), 0)</f>
        <v>1</v>
      </c>
      <c r="M818" t="str" cm="1">
        <f t="array" ref="M818">IFERROR(_xlfn.XLOOKUP(C818&amp;A818, TDrate!F:F&amp;TDrate!H:H, TDrate!B:B), "N/A")</f>
        <v>N/A</v>
      </c>
      <c r="N818" t="str" cm="1">
        <f t="array" ref="N818">IFERROR(_xlfn.XLOOKUP(C818&amp;A818, TDrate!F:F&amp;TDrate!H:H, TDrate!D:D), "N/A")</f>
        <v>N/A</v>
      </c>
    </row>
    <row r="819" spans="1:14" x14ac:dyDescent="0.45">
      <c r="A819" s="8">
        <v>2021</v>
      </c>
      <c r="B819" s="9" t="s">
        <v>770</v>
      </c>
      <c r="C819" s="10" t="str">
        <f t="shared" si="24"/>
        <v>Johnny Stanton IV</v>
      </c>
      <c r="D819" s="10" t="str">
        <f t="shared" si="25"/>
        <v>CLE</v>
      </c>
      <c r="E819" cm="1">
        <f t="array" aca="1" ref="E819" ca="1">IFERROR(_xlfn.XLOOKUP(C819&amp;A819, Inside5!B:B&amp;Inside5!I:I, Inside5!C:C), 0)</f>
        <v>1</v>
      </c>
      <c r="F819" cm="1">
        <f t="array" aca="1" ref="F819" ca="1">IFERROR(_xlfn.XLOOKUP(C819&amp;A819, Inside5!B:B&amp;Inside5!I:I, Inside5!D:D), 0)</f>
        <v>0</v>
      </c>
      <c r="G819" cm="1">
        <f t="array" ref="G819">IFERROR(_xlfn.XLOOKUP(C819&amp;A819, Inside5!B:B&amp;Inside5!I:I, Inside5!E:E), 0)</f>
        <v>5.6000000000000001E-2</v>
      </c>
      <c r="H819" t="str" cm="1">
        <f t="array" ref="H819">IFERROR(_xlfn.XLOOKUP(C819&amp;A819, TDrate!F:F&amp;TDrate!H:H, TDrate!C:C), "N/A")</f>
        <v>N/A</v>
      </c>
      <c r="I819" t="str" cm="1">
        <f t="array" ref="I819">IFERROR(_xlfn.XLOOKUP(C819&amp;A819, TDrate!F:F&amp;TDrate!H:H, TDrate!E:E), "N/A")</f>
        <v>N/A</v>
      </c>
      <c r="J819" cm="1">
        <f t="array" ref="J819">IFERROR(_xlfn.XLOOKUP(C819&amp;A819, Inside5!B:B&amp;Inside5!I:I, Inside5!F:F), 0)</f>
        <v>1</v>
      </c>
      <c r="K819" cm="1">
        <f t="array" ref="K819">IFERROR(_xlfn.XLOOKUP(C819&amp;A819, Inside5!B:B&amp;Inside5!I:I, Inside5!G:G), 0)</f>
        <v>1</v>
      </c>
      <c r="L819" cm="1">
        <f t="array" ref="L819">IFERROR(_xlfn.XLOOKUP(C819&amp;A819, Inside5!B:B&amp;Inside5!I:I, Inside5!H:H), 0)</f>
        <v>1</v>
      </c>
      <c r="M819" t="str" cm="1">
        <f t="array" ref="M819">IFERROR(_xlfn.XLOOKUP(C819&amp;A819, TDrate!F:F&amp;TDrate!H:H, TDrate!B:B), "N/A")</f>
        <v>N/A</v>
      </c>
      <c r="N819" t="str" cm="1">
        <f t="array" ref="N819">IFERROR(_xlfn.XLOOKUP(C819&amp;A819, TDrate!F:F&amp;TDrate!H:H, TDrate!D:D), "N/A")</f>
        <v>N/A</v>
      </c>
    </row>
    <row r="820" spans="1:14" x14ac:dyDescent="0.45">
      <c r="A820" s="5">
        <v>2021</v>
      </c>
      <c r="B820" s="6" t="s">
        <v>771</v>
      </c>
      <c r="C820" s="7" t="str">
        <f t="shared" si="24"/>
        <v>Jonathan Ward</v>
      </c>
      <c r="D820" s="7" t="str">
        <f t="shared" si="25"/>
        <v>ARI</v>
      </c>
      <c r="E820" cm="1">
        <f t="array" aca="1" ref="E820" ca="1">IFERROR(_xlfn.XLOOKUP(C820&amp;A820, Inside5!B:B&amp;Inside5!I:I, Inside5!C:C), 0)</f>
        <v>0</v>
      </c>
      <c r="F820" cm="1">
        <f t="array" aca="1" ref="F820" ca="1">IFERROR(_xlfn.XLOOKUP(C820&amp;A820, Inside5!B:B&amp;Inside5!I:I, Inside5!D:D), 0)</f>
        <v>0</v>
      </c>
      <c r="G820" cm="1">
        <f t="array" ref="G820">IFERROR(_xlfn.XLOOKUP(C820&amp;A820, Inside5!B:B&amp;Inside5!I:I, Inside5!E:E), 0)</f>
        <v>0</v>
      </c>
      <c r="H820" t="str" cm="1">
        <f t="array" ref="H820">IFERROR(_xlfn.XLOOKUP(C820&amp;A820, TDrate!F:F&amp;TDrate!H:H, TDrate!C:C), "N/A")</f>
        <v>N/A</v>
      </c>
      <c r="I820" t="str" cm="1">
        <f t="array" ref="I820">IFERROR(_xlfn.XLOOKUP(C820&amp;A820, TDrate!F:F&amp;TDrate!H:H, TDrate!E:E), "N/A")</f>
        <v>N/A</v>
      </c>
      <c r="J820" cm="1">
        <f t="array" ref="J820">IFERROR(_xlfn.XLOOKUP(C820&amp;A820, Inside5!B:B&amp;Inside5!I:I, Inside5!F:F), 0)</f>
        <v>0</v>
      </c>
      <c r="K820" cm="1">
        <f t="array" ref="K820">IFERROR(_xlfn.XLOOKUP(C820&amp;A820, Inside5!B:B&amp;Inside5!I:I, Inside5!G:G), 0)</f>
        <v>0</v>
      </c>
      <c r="L820" cm="1">
        <f t="array" ref="L820">IFERROR(_xlfn.XLOOKUP(C820&amp;A820, Inside5!B:B&amp;Inside5!I:I, Inside5!H:H), 0)</f>
        <v>0</v>
      </c>
      <c r="M820" t="str" cm="1">
        <f t="array" ref="M820">IFERROR(_xlfn.XLOOKUP(C820&amp;A820, TDrate!F:F&amp;TDrate!H:H, TDrate!B:B), "N/A")</f>
        <v>N/A</v>
      </c>
      <c r="N820" t="str" cm="1">
        <f t="array" ref="N820">IFERROR(_xlfn.XLOOKUP(C820&amp;A820, TDrate!F:F&amp;TDrate!H:H, TDrate!D:D), "N/A")</f>
        <v>N/A</v>
      </c>
    </row>
    <row r="821" spans="1:14" x14ac:dyDescent="0.45">
      <c r="A821" s="8">
        <v>2021</v>
      </c>
      <c r="B821" s="9" t="s">
        <v>772</v>
      </c>
      <c r="C821" s="10" t="str">
        <f t="shared" si="24"/>
        <v>Ito Smith</v>
      </c>
      <c r="D821" s="10" t="str">
        <f t="shared" si="25"/>
        <v>DAL</v>
      </c>
      <c r="E821" cm="1">
        <f t="array" aca="1" ref="E821" ca="1">IFERROR(_xlfn.XLOOKUP(C821&amp;A821, Inside5!B:B&amp;Inside5!I:I, Inside5!C:C), 0)</f>
        <v>0</v>
      </c>
      <c r="F821" cm="1">
        <f t="array" aca="1" ref="F821" ca="1">IFERROR(_xlfn.XLOOKUP(C821&amp;A821, Inside5!B:B&amp;Inside5!I:I, Inside5!D:D), 0)</f>
        <v>0</v>
      </c>
      <c r="G821" cm="1">
        <f t="array" ref="G821">IFERROR(_xlfn.XLOOKUP(C821&amp;A821, Inside5!B:B&amp;Inside5!I:I, Inside5!E:E), 0)</f>
        <v>0</v>
      </c>
      <c r="H821" t="str" cm="1">
        <f t="array" ref="H821">IFERROR(_xlfn.XLOOKUP(C821&amp;A821, TDrate!F:F&amp;TDrate!H:H, TDrate!C:C), "N/A")</f>
        <v>N/A</v>
      </c>
      <c r="I821" t="str" cm="1">
        <f t="array" ref="I821">IFERROR(_xlfn.XLOOKUP(C821&amp;A821, TDrate!F:F&amp;TDrate!H:H, TDrate!E:E), "N/A")</f>
        <v>N/A</v>
      </c>
      <c r="J821" cm="1">
        <f t="array" ref="J821">IFERROR(_xlfn.XLOOKUP(C821&amp;A821, Inside5!B:B&amp;Inside5!I:I, Inside5!F:F), 0)</f>
        <v>0</v>
      </c>
      <c r="K821" cm="1">
        <f t="array" ref="K821">IFERROR(_xlfn.XLOOKUP(C821&amp;A821, Inside5!B:B&amp;Inside5!I:I, Inside5!G:G), 0)</f>
        <v>0</v>
      </c>
      <c r="L821" cm="1">
        <f t="array" ref="L821">IFERROR(_xlfn.XLOOKUP(C821&amp;A821, Inside5!B:B&amp;Inside5!I:I, Inside5!H:H), 0)</f>
        <v>0</v>
      </c>
      <c r="M821" t="str" cm="1">
        <f t="array" ref="M821">IFERROR(_xlfn.XLOOKUP(C821&amp;A821, TDrate!F:F&amp;TDrate!H:H, TDrate!B:B), "N/A")</f>
        <v>N/A</v>
      </c>
      <c r="N821" t="str" cm="1">
        <f t="array" ref="N821">IFERROR(_xlfn.XLOOKUP(C821&amp;A821, TDrate!F:F&amp;TDrate!H:H, TDrate!D:D), "N/A")</f>
        <v>N/A</v>
      </c>
    </row>
    <row r="822" spans="1:14" x14ac:dyDescent="0.45">
      <c r="A822" s="5">
        <v>2021</v>
      </c>
      <c r="B822" s="6" t="s">
        <v>665</v>
      </c>
      <c r="C822" s="7" t="str">
        <f t="shared" si="24"/>
        <v>Mike Boone</v>
      </c>
      <c r="D822" s="7" t="str">
        <f t="shared" si="25"/>
        <v>DEN</v>
      </c>
      <c r="E822" cm="1">
        <f t="array" aca="1" ref="E822" ca="1">IFERROR(_xlfn.XLOOKUP(C822&amp;A822, Inside5!B:B&amp;Inside5!I:I, Inside5!C:C), 0)</f>
        <v>0</v>
      </c>
      <c r="F822" cm="1">
        <f t="array" aca="1" ref="F822" ca="1">IFERROR(_xlfn.XLOOKUP(C822&amp;A822, Inside5!B:B&amp;Inside5!I:I, Inside5!D:D), 0)</f>
        <v>0</v>
      </c>
      <c r="G822" cm="1">
        <f t="array" ref="G822">IFERROR(_xlfn.XLOOKUP(C822&amp;A822, Inside5!B:B&amp;Inside5!I:I, Inside5!E:E), 0)</f>
        <v>0</v>
      </c>
      <c r="H822" t="str" cm="1">
        <f t="array" ref="H822">IFERROR(_xlfn.XLOOKUP(C822&amp;A822, TDrate!F:F&amp;TDrate!H:H, TDrate!C:C), "N/A")</f>
        <v>N/A</v>
      </c>
      <c r="I822" t="str" cm="1">
        <f t="array" ref="I822">IFERROR(_xlfn.XLOOKUP(C822&amp;A822, TDrate!F:F&amp;TDrate!H:H, TDrate!E:E), "N/A")</f>
        <v>N/A</v>
      </c>
      <c r="J822" cm="1">
        <f t="array" ref="J822">IFERROR(_xlfn.XLOOKUP(C822&amp;A822, Inside5!B:B&amp;Inside5!I:I, Inside5!F:F), 0)</f>
        <v>0</v>
      </c>
      <c r="K822" cm="1">
        <f t="array" ref="K822">IFERROR(_xlfn.XLOOKUP(C822&amp;A822, Inside5!B:B&amp;Inside5!I:I, Inside5!G:G), 0)</f>
        <v>0</v>
      </c>
      <c r="L822" cm="1">
        <f t="array" ref="L822">IFERROR(_xlfn.XLOOKUP(C822&amp;A822, Inside5!B:B&amp;Inside5!I:I, Inside5!H:H), 0)</f>
        <v>0</v>
      </c>
      <c r="M822" t="str" cm="1">
        <f t="array" ref="M822">IFERROR(_xlfn.XLOOKUP(C822&amp;A822, TDrate!F:F&amp;TDrate!H:H, TDrate!B:B), "N/A")</f>
        <v>N/A</v>
      </c>
      <c r="N822" t="str" cm="1">
        <f t="array" ref="N822">IFERROR(_xlfn.XLOOKUP(C822&amp;A822, TDrate!F:F&amp;TDrate!H:H, TDrate!D:D), "N/A")</f>
        <v>N/A</v>
      </c>
    </row>
    <row r="823" spans="1:14" x14ac:dyDescent="0.45">
      <c r="A823" s="8">
        <v>2021</v>
      </c>
      <c r="B823" s="9" t="s">
        <v>529</v>
      </c>
      <c r="C823" s="10" t="str">
        <f t="shared" si="24"/>
        <v>Trayveon Williams</v>
      </c>
      <c r="D823" s="10" t="str">
        <f t="shared" si="25"/>
        <v>CIN</v>
      </c>
      <c r="E823" cm="1">
        <f t="array" ref="E823">IFERROR(_xlfn.XLOOKUP(C823&amp;A823, Inside5!B:B&amp;Inside5!I:I, Inside5!C:C), 0)</f>
        <v>0</v>
      </c>
      <c r="F823" cm="1">
        <f t="array" ref="F823">IFERROR(_xlfn.XLOOKUP(C823&amp;A823, Inside5!B:B&amp;Inside5!I:I, Inside5!D:D), 0)</f>
        <v>0</v>
      </c>
      <c r="G823" cm="1">
        <f t="array" ref="G823">IFERROR(_xlfn.XLOOKUP(C823&amp;A823, Inside5!B:B&amp;Inside5!I:I, Inside5!E:E), 0)</f>
        <v>0</v>
      </c>
      <c r="H823" t="str" cm="1">
        <f t="array" ref="H823">IFERROR(_xlfn.XLOOKUP(C823&amp;A823, TDrate!F:F&amp;TDrate!H:H, TDrate!C:C), "N/A")</f>
        <v>N/A</v>
      </c>
      <c r="I823" t="str" cm="1">
        <f t="array" ref="I823">IFERROR(_xlfn.XLOOKUP(C823&amp;A823, TDrate!F:F&amp;TDrate!H:H, TDrate!E:E), "N/A")</f>
        <v>N/A</v>
      </c>
      <c r="J823" cm="1">
        <f t="array" ref="J823">IFERROR(_xlfn.XLOOKUP(C823&amp;A823, Inside5!B:B&amp;Inside5!I:I, Inside5!F:F), 0)</f>
        <v>0</v>
      </c>
      <c r="K823" cm="1">
        <f t="array" ref="K823">IFERROR(_xlfn.XLOOKUP(C823&amp;A823, Inside5!B:B&amp;Inside5!I:I, Inside5!G:G), 0)</f>
        <v>0</v>
      </c>
      <c r="L823" cm="1">
        <f t="array" ref="L823">IFERROR(_xlfn.XLOOKUP(C823&amp;A823, Inside5!B:B&amp;Inside5!I:I, Inside5!H:H), 0)</f>
        <v>0</v>
      </c>
      <c r="M823" t="str" cm="1">
        <f t="array" ref="M823">IFERROR(_xlfn.XLOOKUP(C823&amp;A823, TDrate!F:F&amp;TDrate!H:H, TDrate!B:B), "N/A")</f>
        <v>N/A</v>
      </c>
      <c r="N823" t="str" cm="1">
        <f t="array" ref="N823">IFERROR(_xlfn.XLOOKUP(C823&amp;A823, TDrate!F:F&amp;TDrate!H:H, TDrate!D:D), "N/A")</f>
        <v>N/A</v>
      </c>
    </row>
    <row r="824" spans="1:14" x14ac:dyDescent="0.45">
      <c r="A824" s="5">
        <v>2021</v>
      </c>
      <c r="B824" s="6" t="s">
        <v>773</v>
      </c>
      <c r="C824" s="7" t="str">
        <f t="shared" si="24"/>
        <v>Jason Huntley</v>
      </c>
      <c r="D824" s="7" t="str">
        <f t="shared" si="25"/>
        <v>PHI</v>
      </c>
      <c r="E824" cm="1">
        <f t="array" ref="E824">IFERROR(_xlfn.XLOOKUP(C824&amp;A824, Inside5!B:B&amp;Inside5!I:I, Inside5!C:C), 0)</f>
        <v>0</v>
      </c>
      <c r="F824" cm="1">
        <f t="array" ref="F824">IFERROR(_xlfn.XLOOKUP(C824&amp;A824, Inside5!B:B&amp;Inside5!I:I, Inside5!D:D), 0)</f>
        <v>0</v>
      </c>
      <c r="G824" cm="1">
        <f t="array" ref="G824">IFERROR(_xlfn.XLOOKUP(C824&amp;A824, Inside5!B:B&amp;Inside5!I:I, Inside5!E:E), 0)</f>
        <v>0</v>
      </c>
      <c r="H824" t="str" cm="1">
        <f t="array" ref="H824">IFERROR(_xlfn.XLOOKUP(C824&amp;A824, TDrate!F:F&amp;TDrate!H:H, TDrate!C:C), "N/A")</f>
        <v>N/A</v>
      </c>
      <c r="I824" t="str" cm="1">
        <f t="array" ref="I824">IFERROR(_xlfn.XLOOKUP(C824&amp;A824, TDrate!F:F&amp;TDrate!H:H, TDrate!E:E), "N/A")</f>
        <v>N/A</v>
      </c>
      <c r="J824" cm="1">
        <f t="array" ref="J824">IFERROR(_xlfn.XLOOKUP(C824&amp;A824, Inside5!B:B&amp;Inside5!I:I, Inside5!F:F), 0)</f>
        <v>0</v>
      </c>
      <c r="K824" cm="1">
        <f t="array" ref="K824">IFERROR(_xlfn.XLOOKUP(C824&amp;A824, Inside5!B:B&amp;Inside5!I:I, Inside5!G:G), 0)</f>
        <v>0</v>
      </c>
      <c r="L824" cm="1">
        <f t="array" ref="L824">IFERROR(_xlfn.XLOOKUP(C824&amp;A824, Inside5!B:B&amp;Inside5!I:I, Inside5!H:H), 0)</f>
        <v>0</v>
      </c>
      <c r="M824" t="str" cm="1">
        <f t="array" ref="M824">IFERROR(_xlfn.XLOOKUP(C824&amp;A824, TDrate!F:F&amp;TDrate!H:H, TDrate!B:B), "N/A")</f>
        <v>N/A</v>
      </c>
      <c r="N824" t="str" cm="1">
        <f t="array" ref="N824">IFERROR(_xlfn.XLOOKUP(C824&amp;A824, TDrate!F:F&amp;TDrate!H:H, TDrate!D:D), "N/A")</f>
        <v>N/A</v>
      </c>
    </row>
    <row r="825" spans="1:14" x14ac:dyDescent="0.45">
      <c r="A825" s="8">
        <v>2021</v>
      </c>
      <c r="B825" s="9" t="s">
        <v>774</v>
      </c>
      <c r="C825" s="10" t="str">
        <f t="shared" si="24"/>
        <v>Rodney Smith</v>
      </c>
      <c r="D825" s="10" t="str">
        <f t="shared" si="25"/>
        <v>CAR</v>
      </c>
      <c r="E825" cm="1">
        <f t="array" ref="E825">IFERROR(_xlfn.XLOOKUP(C825&amp;A825, Inside5!B:B&amp;Inside5!I:I, Inside5!C:C), 0)</f>
        <v>0</v>
      </c>
      <c r="F825" cm="1">
        <f t="array" ref="F825">IFERROR(_xlfn.XLOOKUP(C825&amp;A825, Inside5!B:B&amp;Inside5!I:I, Inside5!D:D), 0)</f>
        <v>0</v>
      </c>
      <c r="G825" cm="1">
        <f t="array" ref="G825">IFERROR(_xlfn.XLOOKUP(C825&amp;A825, Inside5!B:B&amp;Inside5!I:I, Inside5!E:E), 0)</f>
        <v>0</v>
      </c>
      <c r="H825" t="str" cm="1">
        <f t="array" ref="H825">IFERROR(_xlfn.XLOOKUP(C825&amp;A825, TDrate!F:F&amp;TDrate!H:H, TDrate!C:C), "N/A")</f>
        <v>N/A</v>
      </c>
      <c r="I825" t="str" cm="1">
        <f t="array" ref="I825">IFERROR(_xlfn.XLOOKUP(C825&amp;A825, TDrate!F:F&amp;TDrate!H:H, TDrate!E:E), "N/A")</f>
        <v>N/A</v>
      </c>
      <c r="J825" cm="1">
        <f t="array" ref="J825">IFERROR(_xlfn.XLOOKUP(C825&amp;A825, Inside5!B:B&amp;Inside5!I:I, Inside5!F:F), 0)</f>
        <v>0</v>
      </c>
      <c r="K825" cm="1">
        <f t="array" ref="K825">IFERROR(_xlfn.XLOOKUP(C825&amp;A825, Inside5!B:B&amp;Inside5!I:I, Inside5!G:G), 0)</f>
        <v>0</v>
      </c>
      <c r="L825" cm="1">
        <f t="array" ref="L825">IFERROR(_xlfn.XLOOKUP(C825&amp;A825, Inside5!B:B&amp;Inside5!I:I, Inside5!H:H), 0)</f>
        <v>0</v>
      </c>
      <c r="M825" t="str" cm="1">
        <f t="array" ref="M825">IFERROR(_xlfn.XLOOKUP(C825&amp;A825, TDrate!F:F&amp;TDrate!H:H, TDrate!B:B), "N/A")</f>
        <v>N/A</v>
      </c>
      <c r="N825" t="str" cm="1">
        <f t="array" ref="N825">IFERROR(_xlfn.XLOOKUP(C825&amp;A825, TDrate!F:F&amp;TDrate!H:H, TDrate!D:D), "N/A")</f>
        <v>N/A</v>
      </c>
    </row>
    <row r="826" spans="1:14" x14ac:dyDescent="0.45">
      <c r="A826" s="5">
        <v>2021</v>
      </c>
      <c r="B826" s="6" t="s">
        <v>775</v>
      </c>
      <c r="C826" s="7" t="str">
        <f t="shared" si="24"/>
        <v>Wendell Smallwood</v>
      </c>
      <c r="D826" s="7" t="str">
        <f t="shared" si="25"/>
        <v>WAS</v>
      </c>
      <c r="E826" cm="1">
        <f t="array" aca="1" ref="E826" ca="1">IFERROR(_xlfn.XLOOKUP(C826&amp;A826, Inside5!B:B&amp;Inside5!I:I, Inside5!C:C), 0)</f>
        <v>0</v>
      </c>
      <c r="F826" cm="1">
        <f t="array" aca="1" ref="F826" ca="1">IFERROR(_xlfn.XLOOKUP(C826&amp;A826, Inside5!B:B&amp;Inside5!I:I, Inside5!D:D), 0)</f>
        <v>0</v>
      </c>
      <c r="G826" cm="1">
        <f t="array" ref="G826">IFERROR(_xlfn.XLOOKUP(C826&amp;A826, Inside5!B:B&amp;Inside5!I:I, Inside5!E:E), 0)</f>
        <v>0</v>
      </c>
      <c r="H826" t="str" cm="1">
        <f t="array" ref="H826">IFERROR(_xlfn.XLOOKUP(C826&amp;A826, TDrate!F:F&amp;TDrate!H:H, TDrate!C:C), "N/A")</f>
        <v>N/A</v>
      </c>
      <c r="I826" t="str" cm="1">
        <f t="array" ref="I826">IFERROR(_xlfn.XLOOKUP(C826&amp;A826, TDrate!F:F&amp;TDrate!H:H, TDrate!E:E), "N/A")</f>
        <v>N/A</v>
      </c>
      <c r="J826" cm="1">
        <f t="array" ref="J826">IFERROR(_xlfn.XLOOKUP(C826&amp;A826, Inside5!B:B&amp;Inside5!I:I, Inside5!F:F), 0)</f>
        <v>0</v>
      </c>
      <c r="K826" cm="1">
        <f t="array" aca="1" ref="K826" ca="1">IFERROR(_xlfn.XLOOKUP(C826&amp;A826, Inside5!B:B&amp;Inside5!I:I, Inside5!G:G), 0)</f>
        <v>0</v>
      </c>
      <c r="L826" cm="1">
        <f t="array" ref="L826">IFERROR(_xlfn.XLOOKUP(C826&amp;A826, Inside5!B:B&amp;Inside5!I:I, Inside5!H:H), 0)</f>
        <v>0</v>
      </c>
      <c r="M826" t="str" cm="1">
        <f t="array" ref="M826">IFERROR(_xlfn.XLOOKUP(C826&amp;A826, TDrate!F:F&amp;TDrate!H:H, TDrate!B:B), "N/A")</f>
        <v>N/A</v>
      </c>
      <c r="N826" t="str" cm="1">
        <f t="array" ref="N826">IFERROR(_xlfn.XLOOKUP(C826&amp;A826, TDrate!F:F&amp;TDrate!H:H, TDrate!D:D), "N/A")</f>
        <v>N/A</v>
      </c>
    </row>
    <row r="827" spans="1:14" x14ac:dyDescent="0.45">
      <c r="A827" s="8">
        <v>2021</v>
      </c>
      <c r="B827" s="9" t="s">
        <v>776</v>
      </c>
      <c r="C827" s="10" t="str">
        <f t="shared" si="24"/>
        <v>Kalen Ballage</v>
      </c>
      <c r="D827" s="10" t="str">
        <f t="shared" si="25"/>
        <v>PIT</v>
      </c>
      <c r="E827" cm="1">
        <f t="array" aca="1" ref="E827" ca="1">IFERROR(_xlfn.XLOOKUP(C827&amp;A827, Inside5!B:B&amp;Inside5!I:I, Inside5!C:C), 0)</f>
        <v>0</v>
      </c>
      <c r="F827" cm="1">
        <f t="array" aca="1" ref="F827" ca="1">IFERROR(_xlfn.XLOOKUP(C827&amp;A827, Inside5!B:B&amp;Inside5!I:I, Inside5!D:D), 0)</f>
        <v>0</v>
      </c>
      <c r="G827" cm="1">
        <f t="array" ref="G827">IFERROR(_xlfn.XLOOKUP(C827&amp;A827, Inside5!B:B&amp;Inside5!I:I, Inside5!E:E), 0)</f>
        <v>0</v>
      </c>
      <c r="H827" t="str" cm="1">
        <f t="array" ref="H827">IFERROR(_xlfn.XLOOKUP(C827&amp;A827, TDrate!F:F&amp;TDrate!H:H, TDrate!C:C), "N/A")</f>
        <v>N/A</v>
      </c>
      <c r="I827" t="str" cm="1">
        <f t="array" ref="I827">IFERROR(_xlfn.XLOOKUP(C827&amp;A827, TDrate!F:F&amp;TDrate!H:H, TDrate!E:E), "N/A")</f>
        <v>N/A</v>
      </c>
      <c r="J827" cm="1">
        <f t="array" ref="J827">IFERROR(_xlfn.XLOOKUP(C827&amp;A827, Inside5!B:B&amp;Inside5!I:I, Inside5!F:F), 0)</f>
        <v>0</v>
      </c>
      <c r="K827" cm="1">
        <f t="array" aca="1" ref="K827" ca="1">IFERROR(_xlfn.XLOOKUP(C827&amp;A827, Inside5!B:B&amp;Inside5!I:I, Inside5!G:G), 0)</f>
        <v>1</v>
      </c>
      <c r="L827" cm="1">
        <f t="array" ref="L827">IFERROR(_xlfn.XLOOKUP(C827&amp;A827, Inside5!B:B&amp;Inside5!I:I, Inside5!H:H), 0)</f>
        <v>0</v>
      </c>
      <c r="M827" t="str" cm="1">
        <f t="array" ref="M827">IFERROR(_xlfn.XLOOKUP(C827&amp;A827, TDrate!F:F&amp;TDrate!H:H, TDrate!B:B), "N/A")</f>
        <v>N/A</v>
      </c>
      <c r="N827" t="str" cm="1">
        <f t="array" ref="N827">IFERROR(_xlfn.XLOOKUP(C827&amp;A827, TDrate!F:F&amp;TDrate!H:H, TDrate!D:D), "N/A")</f>
        <v>N/A</v>
      </c>
    </row>
    <row r="828" spans="1:14" x14ac:dyDescent="0.45">
      <c r="A828" s="5">
        <v>2021</v>
      </c>
      <c r="B828" s="6" t="s">
        <v>777</v>
      </c>
      <c r="C828" s="7" t="str">
        <f t="shared" si="24"/>
        <v>Jakob Johnson</v>
      </c>
      <c r="D828" s="7" t="str">
        <f t="shared" si="25"/>
        <v>NE</v>
      </c>
      <c r="E828" cm="1">
        <f t="array" aca="1" ref="E828" ca="1">IFERROR(_xlfn.XLOOKUP(C828&amp;A828, Inside5!B:B&amp;Inside5!I:I, Inside5!C:C), 0)</f>
        <v>0</v>
      </c>
      <c r="F828" cm="1">
        <f t="array" aca="1" ref="F828" ca="1">IFERROR(_xlfn.XLOOKUP(C828&amp;A828, Inside5!B:B&amp;Inside5!I:I, Inside5!D:D), 0)</f>
        <v>0</v>
      </c>
      <c r="G828" cm="1">
        <f t="array" ref="G828">IFERROR(_xlfn.XLOOKUP(C828&amp;A828, Inside5!B:B&amp;Inside5!I:I, Inside5!E:E), 0)</f>
        <v>0</v>
      </c>
      <c r="H828" t="str" cm="1">
        <f t="array" ref="H828">IFERROR(_xlfn.XLOOKUP(C828&amp;A828, TDrate!F:F&amp;TDrate!H:H, TDrate!C:C), "N/A")</f>
        <v>N/A</v>
      </c>
      <c r="I828" t="str" cm="1">
        <f t="array" ref="I828">IFERROR(_xlfn.XLOOKUP(C828&amp;A828, TDrate!F:F&amp;TDrate!H:H, TDrate!E:E), "N/A")</f>
        <v>N/A</v>
      </c>
      <c r="J828" cm="1">
        <f t="array" ref="J828">IFERROR(_xlfn.XLOOKUP(C828&amp;A828, Inside5!B:B&amp;Inside5!I:I, Inside5!F:F), 0)</f>
        <v>1</v>
      </c>
      <c r="K828" cm="1">
        <f t="array" aca="1" ref="K828" ca="1">IFERROR(_xlfn.XLOOKUP(C828&amp;A828, Inside5!B:B&amp;Inside5!I:I, Inside5!G:G), 0)</f>
        <v>1</v>
      </c>
      <c r="L828" cm="1">
        <f t="array" ref="L828">IFERROR(_xlfn.XLOOKUP(C828&amp;A828, Inside5!B:B&amp;Inside5!I:I, Inside5!H:H), 0)</f>
        <v>0</v>
      </c>
      <c r="M828" t="str" cm="1">
        <f t="array" ref="M828">IFERROR(_xlfn.XLOOKUP(C828&amp;A828, TDrate!F:F&amp;TDrate!H:H, TDrate!B:B), "N/A")</f>
        <v>N/A</v>
      </c>
      <c r="N828" t="str" cm="1">
        <f t="array" ref="N828">IFERROR(_xlfn.XLOOKUP(C828&amp;A828, TDrate!F:F&amp;TDrate!H:H, TDrate!D:D), "N/A")</f>
        <v>N/A</v>
      </c>
    </row>
    <row r="829" spans="1:14" x14ac:dyDescent="0.45">
      <c r="A829" s="8">
        <v>2021</v>
      </c>
      <c r="B829" s="9" t="s">
        <v>778</v>
      </c>
      <c r="C829" s="10" t="str">
        <f t="shared" si="24"/>
        <v>La'Mical Perine</v>
      </c>
      <c r="D829" s="10" t="str">
        <f t="shared" si="25"/>
        <v>NYJ</v>
      </c>
      <c r="E829" cm="1">
        <f t="array" aca="1" ref="E829" ca="1">IFERROR(_xlfn.XLOOKUP(C829&amp;A829, Inside5!B:B&amp;Inside5!I:I, Inside5!C:C), 0)</f>
        <v>0</v>
      </c>
      <c r="F829" cm="1">
        <f t="array" aca="1" ref="F829" ca="1">IFERROR(_xlfn.XLOOKUP(C829&amp;A829, Inside5!B:B&amp;Inside5!I:I, Inside5!D:D), 0)</f>
        <v>0</v>
      </c>
      <c r="G829" cm="1">
        <f t="array" ref="G829">IFERROR(_xlfn.XLOOKUP(C829&amp;A829, Inside5!B:B&amp;Inside5!I:I, Inside5!E:E), 0)</f>
        <v>0</v>
      </c>
      <c r="H829" t="str" cm="1">
        <f t="array" ref="H829">IFERROR(_xlfn.XLOOKUP(C829&amp;A829, TDrate!F:F&amp;TDrate!H:H, TDrate!C:C), "N/A")</f>
        <v>N/A</v>
      </c>
      <c r="I829" t="str" cm="1">
        <f t="array" ref="I829">IFERROR(_xlfn.XLOOKUP(C829&amp;A829, TDrate!F:F&amp;TDrate!H:H, TDrate!E:E), "N/A")</f>
        <v>N/A</v>
      </c>
      <c r="J829" cm="1">
        <f t="array" ref="J829">IFERROR(_xlfn.XLOOKUP(C829&amp;A829, Inside5!B:B&amp;Inside5!I:I, Inside5!F:F), 0)</f>
        <v>0</v>
      </c>
      <c r="K829" cm="1">
        <f t="array" ref="K829">IFERROR(_xlfn.XLOOKUP(C829&amp;A829, Inside5!B:B&amp;Inside5!I:I, Inside5!G:G), 0)</f>
        <v>0</v>
      </c>
      <c r="L829" cm="1">
        <f t="array" ref="L829">IFERROR(_xlfn.XLOOKUP(C829&amp;A829, Inside5!B:B&amp;Inside5!I:I, Inside5!H:H), 0)</f>
        <v>0</v>
      </c>
      <c r="M829" t="str" cm="1">
        <f t="array" ref="M829">IFERROR(_xlfn.XLOOKUP(C829&amp;A829, TDrate!F:F&amp;TDrate!H:H, TDrate!B:B), "N/A")</f>
        <v>N/A</v>
      </c>
      <c r="N829" t="str" cm="1">
        <f t="array" ref="N829">IFERROR(_xlfn.XLOOKUP(C829&amp;A829, TDrate!F:F&amp;TDrate!H:H, TDrate!D:D), "N/A")</f>
        <v>N/A</v>
      </c>
    </row>
    <row r="830" spans="1:14" x14ac:dyDescent="0.45">
      <c r="A830" s="5">
        <v>2021</v>
      </c>
      <c r="B830" s="6" t="s">
        <v>696</v>
      </c>
      <c r="C830" s="7" t="str">
        <f t="shared" si="24"/>
        <v>Kylin Hill</v>
      </c>
      <c r="D830" s="7" t="str">
        <f t="shared" si="25"/>
        <v>GB</v>
      </c>
      <c r="E830" cm="1">
        <f t="array" ref="E830">IFERROR(_xlfn.XLOOKUP(C830&amp;A830, Inside5!B:B&amp;Inside5!I:I, Inside5!C:C), 0)</f>
        <v>0</v>
      </c>
      <c r="F830" cm="1">
        <f t="array" ref="F830">IFERROR(_xlfn.XLOOKUP(C830&amp;A830, Inside5!B:B&amp;Inside5!I:I, Inside5!D:D), 0)</f>
        <v>0</v>
      </c>
      <c r="G830" cm="1">
        <f t="array" ref="G830">IFERROR(_xlfn.XLOOKUP(C830&amp;A830, Inside5!B:B&amp;Inside5!I:I, Inside5!E:E), 0)</f>
        <v>0</v>
      </c>
      <c r="H830" t="str" cm="1">
        <f t="array" ref="H830">IFERROR(_xlfn.XLOOKUP(C830&amp;A830, TDrate!F:F&amp;TDrate!H:H, TDrate!C:C), "N/A")</f>
        <v>N/A</v>
      </c>
      <c r="I830" t="str" cm="1">
        <f t="array" ref="I830">IFERROR(_xlfn.XLOOKUP(C830&amp;A830, TDrate!F:F&amp;TDrate!H:H, TDrate!E:E), "N/A")</f>
        <v>N/A</v>
      </c>
      <c r="J830" cm="1">
        <f t="array" ref="J830">IFERROR(_xlfn.XLOOKUP(C830&amp;A830, Inside5!B:B&amp;Inside5!I:I, Inside5!F:F), 0)</f>
        <v>0</v>
      </c>
      <c r="K830" cm="1">
        <f t="array" ref="K830">IFERROR(_xlfn.XLOOKUP(C830&amp;A830, Inside5!B:B&amp;Inside5!I:I, Inside5!G:G), 0)</f>
        <v>0</v>
      </c>
      <c r="L830" cm="1">
        <f t="array" ref="L830">IFERROR(_xlfn.XLOOKUP(C830&amp;A830, Inside5!B:B&amp;Inside5!I:I, Inside5!H:H), 0)</f>
        <v>0</v>
      </c>
      <c r="M830" t="str" cm="1">
        <f t="array" ref="M830">IFERROR(_xlfn.XLOOKUP(C830&amp;A830, TDrate!F:F&amp;TDrate!H:H, TDrate!B:B), "N/A")</f>
        <v>N/A</v>
      </c>
      <c r="N830" t="str" cm="1">
        <f t="array" ref="N830">IFERROR(_xlfn.XLOOKUP(C830&amp;A830, TDrate!F:F&amp;TDrate!H:H, TDrate!D:D), "N/A")</f>
        <v>N/A</v>
      </c>
    </row>
    <row r="831" spans="1:14" x14ac:dyDescent="0.45">
      <c r="A831" s="8">
        <v>2021</v>
      </c>
      <c r="B831" s="9" t="s">
        <v>684</v>
      </c>
      <c r="C831" s="10" t="str">
        <f t="shared" si="24"/>
        <v>Dwayne Washington</v>
      </c>
      <c r="D831" s="10" t="str">
        <f t="shared" si="25"/>
        <v>NO</v>
      </c>
      <c r="E831" cm="1">
        <f t="array" aca="1" ref="E831" ca="1">IFERROR(_xlfn.XLOOKUP(C831&amp;A831, Inside5!B:B&amp;Inside5!I:I, Inside5!C:C), 0)</f>
        <v>0</v>
      </c>
      <c r="F831" cm="1">
        <f t="array" ref="F831">IFERROR(_xlfn.XLOOKUP(C831&amp;A831, Inside5!B:B&amp;Inside5!I:I, Inside5!D:D), 0)</f>
        <v>0</v>
      </c>
      <c r="G831" cm="1">
        <f t="array" ref="G831">IFERROR(_xlfn.XLOOKUP(C831&amp;A831, Inside5!B:B&amp;Inside5!I:I, Inside5!E:E), 0)</f>
        <v>0</v>
      </c>
      <c r="H831" t="str" cm="1">
        <f t="array" ref="H831">IFERROR(_xlfn.XLOOKUP(C831&amp;A831, TDrate!F:F&amp;TDrate!H:H, TDrate!C:C), "N/A")</f>
        <v>N/A</v>
      </c>
      <c r="I831" t="str" cm="1">
        <f t="array" ref="I831">IFERROR(_xlfn.XLOOKUP(C831&amp;A831, TDrate!F:F&amp;TDrate!H:H, TDrate!E:E), "N/A")</f>
        <v>N/A</v>
      </c>
      <c r="J831" cm="1">
        <f t="array" ref="J831">IFERROR(_xlfn.XLOOKUP(C831&amp;A831, Inside5!B:B&amp;Inside5!I:I, Inside5!F:F), 0)</f>
        <v>0</v>
      </c>
      <c r="K831" cm="1">
        <f t="array" aca="1" ref="K831" ca="1">IFERROR(_xlfn.XLOOKUP(C831&amp;A831, Inside5!B:B&amp;Inside5!I:I, Inside5!G:G), 0)</f>
        <v>0</v>
      </c>
      <c r="L831" cm="1">
        <f t="array" ref="L831">IFERROR(_xlfn.XLOOKUP(C831&amp;A831, Inside5!B:B&amp;Inside5!I:I, Inside5!H:H), 0)</f>
        <v>0</v>
      </c>
      <c r="M831" t="str" cm="1">
        <f t="array" ref="M831">IFERROR(_xlfn.XLOOKUP(C831&amp;A831, TDrate!F:F&amp;TDrate!H:H, TDrate!B:B), "N/A")</f>
        <v>N/A</v>
      </c>
      <c r="N831" t="str" cm="1">
        <f t="array" ref="N831">IFERROR(_xlfn.XLOOKUP(C831&amp;A831, TDrate!F:F&amp;TDrate!H:H, TDrate!D:D), "N/A")</f>
        <v>N/A</v>
      </c>
    </row>
    <row r="832" spans="1:14" x14ac:dyDescent="0.45">
      <c r="A832" s="5">
        <v>2021</v>
      </c>
      <c r="B832" s="6" t="s">
        <v>435</v>
      </c>
      <c r="C832" s="7" t="str">
        <f t="shared" si="24"/>
        <v>Reggie Gilliam</v>
      </c>
      <c r="D832" s="7" t="str">
        <f t="shared" si="25"/>
        <v>BUF</v>
      </c>
      <c r="E832" cm="1">
        <f t="array" ref="E832">IFERROR(_xlfn.XLOOKUP(C832&amp;A832, Inside5!B:B&amp;Inside5!I:I, Inside5!C:C), 0)</f>
        <v>0</v>
      </c>
      <c r="F832" cm="1">
        <f t="array" aca="1" ref="F832" ca="1">IFERROR(_xlfn.XLOOKUP(C832&amp;A832, Inside5!B:B&amp;Inside5!I:I, Inside5!D:D), 0)</f>
        <v>0</v>
      </c>
      <c r="G832" cm="1">
        <f t="array" ref="G832">IFERROR(_xlfn.XLOOKUP(C832&amp;A832, Inside5!B:B&amp;Inside5!I:I, Inside5!E:E), 0)</f>
        <v>0</v>
      </c>
      <c r="H832" t="str" cm="1">
        <f t="array" ref="H832">IFERROR(_xlfn.XLOOKUP(C832&amp;A832, TDrate!F:F&amp;TDrate!H:H, TDrate!C:C), "N/A")</f>
        <v>N/A</v>
      </c>
      <c r="I832" t="str" cm="1">
        <f t="array" ref="I832">IFERROR(_xlfn.XLOOKUP(C832&amp;A832, TDrate!F:F&amp;TDrate!H:H, TDrate!E:E), "N/A")</f>
        <v>N/A</v>
      </c>
      <c r="J832" cm="1">
        <f t="array" ref="J832">IFERROR(_xlfn.XLOOKUP(C832&amp;A832, Inside5!B:B&amp;Inside5!I:I, Inside5!F:F), 0)</f>
        <v>0</v>
      </c>
      <c r="K832" cm="1">
        <f t="array" ref="K832">IFERROR(_xlfn.XLOOKUP(C832&amp;A832, Inside5!B:B&amp;Inside5!I:I, Inside5!G:G), 0)</f>
        <v>0</v>
      </c>
      <c r="L832" cm="1">
        <f t="array" ref="L832">IFERROR(_xlfn.XLOOKUP(C832&amp;A832, Inside5!B:B&amp;Inside5!I:I, Inside5!H:H), 0)</f>
        <v>0</v>
      </c>
      <c r="M832" t="str" cm="1">
        <f t="array" ref="M832">IFERROR(_xlfn.XLOOKUP(C832&amp;A832, TDrate!F:F&amp;TDrate!H:H, TDrate!B:B), "N/A")</f>
        <v>N/A</v>
      </c>
      <c r="N832" t="str" cm="1">
        <f t="array" ref="N832">IFERROR(_xlfn.XLOOKUP(C832&amp;A832, TDrate!F:F&amp;TDrate!H:H, TDrate!D:D), "N/A")</f>
        <v>N/A</v>
      </c>
    </row>
    <row r="833" spans="1:14" x14ac:dyDescent="0.45">
      <c r="A833" s="8">
        <v>2021</v>
      </c>
      <c r="B833" s="9" t="s">
        <v>779</v>
      </c>
      <c r="C833" s="10" t="str">
        <f t="shared" si="24"/>
        <v>Gabe Nabers</v>
      </c>
      <c r="D833" s="10" t="str">
        <f t="shared" si="25"/>
        <v>LAC</v>
      </c>
      <c r="E833" cm="1">
        <f t="array" aca="1" ref="E833" ca="1">IFERROR(_xlfn.XLOOKUP(C833&amp;A833, Inside5!B:B&amp;Inside5!I:I, Inside5!C:C), 0)</f>
        <v>0</v>
      </c>
      <c r="F833" cm="1">
        <f t="array" aca="1" ref="F833" ca="1">IFERROR(_xlfn.XLOOKUP(C833&amp;A833, Inside5!B:B&amp;Inside5!I:I, Inside5!D:D), 0)</f>
        <v>0</v>
      </c>
      <c r="G833" cm="1">
        <f t="array" ref="G833">IFERROR(_xlfn.XLOOKUP(C833&amp;A833, Inside5!B:B&amp;Inside5!I:I, Inside5!E:E), 0)</f>
        <v>0</v>
      </c>
      <c r="H833" t="str" cm="1">
        <f t="array" ref="H833">IFERROR(_xlfn.XLOOKUP(C833&amp;A833, TDrate!F:F&amp;TDrate!H:H, TDrate!C:C), "N/A")</f>
        <v>N/A</v>
      </c>
      <c r="I833" t="str" cm="1">
        <f t="array" ref="I833">IFERROR(_xlfn.XLOOKUP(C833&amp;A833, TDrate!F:F&amp;TDrate!H:H, TDrate!E:E), "N/A")</f>
        <v>N/A</v>
      </c>
      <c r="J833" cm="1">
        <f t="array" ref="J833">IFERROR(_xlfn.XLOOKUP(C833&amp;A833, Inside5!B:B&amp;Inside5!I:I, Inside5!F:F), 0)</f>
        <v>0</v>
      </c>
      <c r="K833" cm="1">
        <f t="array" ref="K833">IFERROR(_xlfn.XLOOKUP(C833&amp;A833, Inside5!B:B&amp;Inside5!I:I, Inside5!G:G), 0)</f>
        <v>0</v>
      </c>
      <c r="L833" cm="1">
        <f t="array" ref="L833">IFERROR(_xlfn.XLOOKUP(C833&amp;A833, Inside5!B:B&amp;Inside5!I:I, Inside5!H:H), 0)</f>
        <v>0</v>
      </c>
      <c r="M833" t="str" cm="1">
        <f t="array" ref="M833">IFERROR(_xlfn.XLOOKUP(C833&amp;A833, TDrate!F:F&amp;TDrate!H:H, TDrate!B:B), "N/A")</f>
        <v>N/A</v>
      </c>
      <c r="N833" t="str" cm="1">
        <f t="array" ref="N833">IFERROR(_xlfn.XLOOKUP(C833&amp;A833, TDrate!F:F&amp;TDrate!H:H, TDrate!D:D), "N/A")</f>
        <v>N/A</v>
      </c>
    </row>
    <row r="834" spans="1:14" x14ac:dyDescent="0.45">
      <c r="A834" s="5">
        <v>2021</v>
      </c>
      <c r="B834" s="6" t="s">
        <v>780</v>
      </c>
      <c r="C834" s="7" t="str">
        <f t="shared" ref="C834:C897" si="26">TRIM(LEFT(B834, LEN(B834) - LEN(TRIM(RIGHT(SUBSTITUTE(TRIM(B834)," ",REPT(" ",100)),100)))))</f>
        <v>Jaylen Samuels</v>
      </c>
      <c r="D834" s="7" t="str">
        <f t="shared" ref="D834:D897" si="27">MID(B834, FIND("(", B834) + 1, FIND(")", B834) - FIND("(", B834) - 1)</f>
        <v>HOU</v>
      </c>
      <c r="E834" cm="1">
        <f t="array" ref="E834">IFERROR(_xlfn.XLOOKUP(C834&amp;A834, Inside5!B:B&amp;Inside5!I:I, Inside5!C:C), 0)</f>
        <v>0</v>
      </c>
      <c r="F834" cm="1">
        <f t="array" ref="F834">IFERROR(_xlfn.XLOOKUP(C834&amp;A834, Inside5!B:B&amp;Inside5!I:I, Inside5!D:D), 0)</f>
        <v>0</v>
      </c>
      <c r="G834" cm="1">
        <f t="array" ref="G834">IFERROR(_xlfn.XLOOKUP(C834&amp;A834, Inside5!B:B&amp;Inside5!I:I, Inside5!E:E), 0)</f>
        <v>0</v>
      </c>
      <c r="H834" t="str" cm="1">
        <f t="array" ref="H834">IFERROR(_xlfn.XLOOKUP(C834&amp;A834, TDrate!F:F&amp;TDrate!H:H, TDrate!C:C), "N/A")</f>
        <v>N/A</v>
      </c>
      <c r="I834" t="str" cm="1">
        <f t="array" ref="I834">IFERROR(_xlfn.XLOOKUP(C834&amp;A834, TDrate!F:F&amp;TDrate!H:H, TDrate!E:E), "N/A")</f>
        <v>N/A</v>
      </c>
      <c r="J834" cm="1">
        <f t="array" ref="J834">IFERROR(_xlfn.XLOOKUP(C834&amp;A834, Inside5!B:B&amp;Inside5!I:I, Inside5!F:F), 0)</f>
        <v>0</v>
      </c>
      <c r="K834" cm="1">
        <f t="array" ref="K834">IFERROR(_xlfn.XLOOKUP(C834&amp;A834, Inside5!B:B&amp;Inside5!I:I, Inside5!G:G), 0)</f>
        <v>0</v>
      </c>
      <c r="L834" cm="1">
        <f t="array" ref="L834">IFERROR(_xlfn.XLOOKUP(C834&amp;A834, Inside5!B:B&amp;Inside5!I:I, Inside5!H:H), 0)</f>
        <v>0</v>
      </c>
      <c r="M834" t="str" cm="1">
        <f t="array" ref="M834">IFERROR(_xlfn.XLOOKUP(C834&amp;A834, TDrate!F:F&amp;TDrate!H:H, TDrate!B:B), "N/A")</f>
        <v>N/A</v>
      </c>
      <c r="N834" t="str" cm="1">
        <f t="array" ref="N834">IFERROR(_xlfn.XLOOKUP(C834&amp;A834, TDrate!F:F&amp;TDrate!H:H, TDrate!D:D), "N/A")</f>
        <v>N/A</v>
      </c>
    </row>
    <row r="835" spans="1:14" x14ac:dyDescent="0.45">
      <c r="A835" s="8">
        <v>2021</v>
      </c>
      <c r="B835" s="9" t="s">
        <v>781</v>
      </c>
      <c r="C835" s="10" t="str">
        <f t="shared" si="26"/>
        <v>Scottie Phillips</v>
      </c>
      <c r="D835" s="10" t="str">
        <f t="shared" si="27"/>
        <v>HOU</v>
      </c>
      <c r="E835" cm="1">
        <f t="array" aca="1" ref="E835" ca="1">IFERROR(_xlfn.XLOOKUP(C835&amp;A835, Inside5!B:B&amp;Inside5!I:I, Inside5!C:C), 0)</f>
        <v>0</v>
      </c>
      <c r="F835" cm="1">
        <f t="array" aca="1" ref="F835" ca="1">IFERROR(_xlfn.XLOOKUP(C835&amp;A835, Inside5!B:B&amp;Inside5!I:I, Inside5!D:D), 0)</f>
        <v>0</v>
      </c>
      <c r="G835" cm="1">
        <f t="array" ref="G835">IFERROR(_xlfn.XLOOKUP(C835&amp;A835, Inside5!B:B&amp;Inside5!I:I, Inside5!E:E), 0)</f>
        <v>0</v>
      </c>
      <c r="H835" t="str" cm="1">
        <f t="array" ref="H835">IFERROR(_xlfn.XLOOKUP(C835&amp;A835, TDrate!F:F&amp;TDrate!H:H, TDrate!C:C), "N/A")</f>
        <v>N/A</v>
      </c>
      <c r="I835" t="str" cm="1">
        <f t="array" ref="I835">IFERROR(_xlfn.XLOOKUP(C835&amp;A835, TDrate!F:F&amp;TDrate!H:H, TDrate!E:E), "N/A")</f>
        <v>N/A</v>
      </c>
      <c r="J835" cm="1">
        <f t="array" ref="J835">IFERROR(_xlfn.XLOOKUP(C835&amp;A835, Inside5!B:B&amp;Inside5!I:I, Inside5!F:F), 0)</f>
        <v>0</v>
      </c>
      <c r="K835" cm="1">
        <f t="array" ref="K835">IFERROR(_xlfn.XLOOKUP(C835&amp;A835, Inside5!B:B&amp;Inside5!I:I, Inside5!G:G), 0)</f>
        <v>0</v>
      </c>
      <c r="L835" cm="1">
        <f t="array" ref="L835">IFERROR(_xlfn.XLOOKUP(C835&amp;A835, Inside5!B:B&amp;Inside5!I:I, Inside5!H:H), 0)</f>
        <v>0</v>
      </c>
      <c r="M835" t="str" cm="1">
        <f t="array" ref="M835">IFERROR(_xlfn.XLOOKUP(C835&amp;A835, TDrate!F:F&amp;TDrate!H:H, TDrate!B:B), "N/A")</f>
        <v>N/A</v>
      </c>
      <c r="N835" t="str" cm="1">
        <f t="array" ref="N835">IFERROR(_xlfn.XLOOKUP(C835&amp;A835, TDrate!F:F&amp;TDrate!H:H, TDrate!D:D), "N/A")</f>
        <v>N/A</v>
      </c>
    </row>
    <row r="836" spans="1:14" x14ac:dyDescent="0.45">
      <c r="A836" s="5">
        <v>2021</v>
      </c>
      <c r="B836" s="6" t="s">
        <v>782</v>
      </c>
      <c r="C836" s="7" t="str">
        <f t="shared" si="26"/>
        <v>Patrick Laird</v>
      </c>
      <c r="D836" s="7" t="str">
        <f t="shared" si="27"/>
        <v>MIA</v>
      </c>
      <c r="E836" cm="1">
        <f t="array" aca="1" ref="E836" ca="1">IFERROR(_xlfn.XLOOKUP(C836&amp;A836, Inside5!B:B&amp;Inside5!I:I, Inside5!C:C), 0)</f>
        <v>0</v>
      </c>
      <c r="F836" cm="1">
        <f t="array" aca="1" ref="F836" ca="1">IFERROR(_xlfn.XLOOKUP(C836&amp;A836, Inside5!B:B&amp;Inside5!I:I, Inside5!D:D), 0)</f>
        <v>0</v>
      </c>
      <c r="G836" cm="1">
        <f t="array" ref="G836">IFERROR(_xlfn.XLOOKUP(C836&amp;A836, Inside5!B:B&amp;Inside5!I:I, Inside5!E:E), 0)</f>
        <v>0</v>
      </c>
      <c r="H836" t="str" cm="1">
        <f t="array" ref="H836">IFERROR(_xlfn.XLOOKUP(C836&amp;A836, TDrate!F:F&amp;TDrate!H:H, TDrate!C:C), "N/A")</f>
        <v>N/A</v>
      </c>
      <c r="I836" t="str" cm="1">
        <f t="array" ref="I836">IFERROR(_xlfn.XLOOKUP(C836&amp;A836, TDrate!F:F&amp;TDrate!H:H, TDrate!E:E), "N/A")</f>
        <v>N/A</v>
      </c>
      <c r="J836" cm="1">
        <f t="array" ref="J836">IFERROR(_xlfn.XLOOKUP(C836&amp;A836, Inside5!B:B&amp;Inside5!I:I, Inside5!F:F), 0)</f>
        <v>0</v>
      </c>
      <c r="K836" cm="1">
        <f t="array" aca="1" ref="K836" ca="1">IFERROR(_xlfn.XLOOKUP(C836&amp;A836, Inside5!B:B&amp;Inside5!I:I, Inside5!G:G), 0)</f>
        <v>0</v>
      </c>
      <c r="L836" cm="1">
        <f t="array" ref="L836">IFERROR(_xlfn.XLOOKUP(C836&amp;A836, Inside5!B:B&amp;Inside5!I:I, Inside5!H:H), 0)</f>
        <v>0</v>
      </c>
      <c r="M836" t="str" cm="1">
        <f t="array" ref="M836">IFERROR(_xlfn.XLOOKUP(C836&amp;A836, TDrate!F:F&amp;TDrate!H:H, TDrate!B:B), "N/A")</f>
        <v>N/A</v>
      </c>
      <c r="N836" t="str" cm="1">
        <f t="array" ref="N836">IFERROR(_xlfn.XLOOKUP(C836&amp;A836, TDrate!F:F&amp;TDrate!H:H, TDrate!D:D), "N/A")</f>
        <v>N/A</v>
      </c>
    </row>
    <row r="837" spans="1:14" x14ac:dyDescent="0.45">
      <c r="A837" s="8">
        <v>2021</v>
      </c>
      <c r="B837" s="9" t="s">
        <v>538</v>
      </c>
      <c r="C837" s="10" t="str">
        <f t="shared" si="26"/>
        <v>Adam Prentice</v>
      </c>
      <c r="D837" s="10" t="str">
        <f t="shared" si="27"/>
        <v>NO</v>
      </c>
      <c r="E837" cm="1">
        <f t="array" aca="1" ref="E837" ca="1">IFERROR(_xlfn.XLOOKUP(C837&amp;A837, Inside5!B:B&amp;Inside5!I:I, Inside5!C:C), 0)</f>
        <v>0</v>
      </c>
      <c r="F837" cm="1">
        <f t="array" aca="1" ref="F837" ca="1">IFERROR(_xlfn.XLOOKUP(C837&amp;A837, Inside5!B:B&amp;Inside5!I:I, Inside5!D:D), 0)</f>
        <v>0</v>
      </c>
      <c r="G837" cm="1">
        <f t="array" ref="G837">IFERROR(_xlfn.XLOOKUP(C837&amp;A837, Inside5!B:B&amp;Inside5!I:I, Inside5!E:E), 0)</f>
        <v>0</v>
      </c>
      <c r="H837" t="str" cm="1">
        <f t="array" ref="H837">IFERROR(_xlfn.XLOOKUP(C837&amp;A837, TDrate!F:F&amp;TDrate!H:H, TDrate!C:C), "N/A")</f>
        <v>N/A</v>
      </c>
      <c r="I837" t="str" cm="1">
        <f t="array" ref="I837">IFERROR(_xlfn.XLOOKUP(C837&amp;A837, TDrate!F:F&amp;TDrate!H:H, TDrate!E:E), "N/A")</f>
        <v>N/A</v>
      </c>
      <c r="J837" cm="1">
        <f t="array" ref="J837">IFERROR(_xlfn.XLOOKUP(C837&amp;A837, Inside5!B:B&amp;Inside5!I:I, Inside5!F:F), 0)</f>
        <v>0</v>
      </c>
      <c r="K837" cm="1">
        <f t="array" ref="K837">IFERROR(_xlfn.XLOOKUP(C837&amp;A837, Inside5!B:B&amp;Inside5!I:I, Inside5!G:G), 0)</f>
        <v>0</v>
      </c>
      <c r="L837" cm="1">
        <f t="array" ref="L837">IFERROR(_xlfn.XLOOKUP(C837&amp;A837, Inside5!B:B&amp;Inside5!I:I, Inside5!H:H), 0)</f>
        <v>0</v>
      </c>
      <c r="M837" t="str" cm="1">
        <f t="array" ref="M837">IFERROR(_xlfn.XLOOKUP(C837&amp;A837, TDrate!F:F&amp;TDrate!H:H, TDrate!B:B), "N/A")</f>
        <v>N/A</v>
      </c>
      <c r="N837" t="str" cm="1">
        <f t="array" ref="N837">IFERROR(_xlfn.XLOOKUP(C837&amp;A837, TDrate!F:F&amp;TDrate!H:H, TDrate!D:D), "N/A")</f>
        <v>N/A</v>
      </c>
    </row>
    <row r="838" spans="1:14" x14ac:dyDescent="0.45">
      <c r="A838" s="5">
        <v>2021</v>
      </c>
      <c r="B838" s="6" t="s">
        <v>783</v>
      </c>
      <c r="C838" s="7" t="str">
        <f t="shared" si="26"/>
        <v>Raheem Mostert</v>
      </c>
      <c r="D838" s="7" t="str">
        <f t="shared" si="27"/>
        <v>SF</v>
      </c>
      <c r="E838" cm="1">
        <f t="array" ref="E838">IFERROR(_xlfn.XLOOKUP(C838&amp;A838, Inside5!B:B&amp;Inside5!I:I, Inside5!C:C), 0)</f>
        <v>0</v>
      </c>
      <c r="F838" cm="1">
        <f t="array" ref="F838">IFERROR(_xlfn.XLOOKUP(C838&amp;A838, Inside5!B:B&amp;Inside5!I:I, Inside5!D:D), 0)</f>
        <v>0</v>
      </c>
      <c r="G838" cm="1">
        <f t="array" ref="G838">IFERROR(_xlfn.XLOOKUP(C838&amp;A838, Inside5!B:B&amp;Inside5!I:I, Inside5!E:E), 0)</f>
        <v>0</v>
      </c>
      <c r="H838" t="str" cm="1">
        <f t="array" ref="H838">IFERROR(_xlfn.XLOOKUP(C838&amp;A838, TDrate!F:F&amp;TDrate!H:H, TDrate!C:C), "N/A")</f>
        <v>N/A</v>
      </c>
      <c r="I838" t="str" cm="1">
        <f t="array" ref="I838">IFERROR(_xlfn.XLOOKUP(C838&amp;A838, TDrate!F:F&amp;TDrate!H:H, TDrate!E:E), "N/A")</f>
        <v>N/A</v>
      </c>
      <c r="J838" cm="1">
        <f t="array" ref="J838">IFERROR(_xlfn.XLOOKUP(C838&amp;A838, Inside5!B:B&amp;Inside5!I:I, Inside5!F:F), 0)</f>
        <v>0</v>
      </c>
      <c r="K838" cm="1">
        <f t="array" aca="1" ref="K838" ca="1">IFERROR(_xlfn.XLOOKUP(C838&amp;A838, Inside5!B:B&amp;Inside5!I:I, Inside5!G:G), 0)</f>
        <v>0</v>
      </c>
      <c r="L838" cm="1">
        <f t="array" aca="1" ref="L838" ca="1">IFERROR(_xlfn.XLOOKUP(C838&amp;A838, Inside5!B:B&amp;Inside5!I:I, Inside5!H:H), 0)</f>
        <v>0</v>
      </c>
      <c r="M838" t="str" cm="1">
        <f t="array" ref="M838">IFERROR(_xlfn.XLOOKUP(C838&amp;A838, TDrate!F:F&amp;TDrate!H:H, TDrate!B:B), "N/A")</f>
        <v>N/A</v>
      </c>
      <c r="N838" t="str" cm="1">
        <f t="array" ref="N838">IFERROR(_xlfn.XLOOKUP(C838&amp;A838, TDrate!F:F&amp;TDrate!H:H, TDrate!D:D), "N/A")</f>
        <v>N/A</v>
      </c>
    </row>
    <row r="839" spans="1:14" x14ac:dyDescent="0.45">
      <c r="A839" s="8">
        <v>2021</v>
      </c>
      <c r="B839" s="9" t="s">
        <v>588</v>
      </c>
      <c r="C839" s="10" t="str">
        <f t="shared" si="26"/>
        <v>Nick Bawden</v>
      </c>
      <c r="D839" s="10" t="str">
        <f t="shared" si="27"/>
        <v>NYJ</v>
      </c>
      <c r="E839" cm="1">
        <f t="array" ref="E839">IFERROR(_xlfn.XLOOKUP(C839&amp;A839, Inside5!B:B&amp;Inside5!I:I, Inside5!C:C), 0)</f>
        <v>0</v>
      </c>
      <c r="F839" cm="1">
        <f t="array" aca="1" ref="F839" ca="1">IFERROR(_xlfn.XLOOKUP(C839&amp;A839, Inside5!B:B&amp;Inside5!I:I, Inside5!D:D), 0)</f>
        <v>0</v>
      </c>
      <c r="G839" cm="1">
        <f t="array" ref="G839">IFERROR(_xlfn.XLOOKUP(C839&amp;A839, Inside5!B:B&amp;Inside5!I:I, Inside5!E:E), 0)</f>
        <v>0</v>
      </c>
      <c r="H839" t="str" cm="1">
        <f t="array" ref="H839">IFERROR(_xlfn.XLOOKUP(C839&amp;A839, TDrate!F:F&amp;TDrate!H:H, TDrate!C:C), "N/A")</f>
        <v>N/A</v>
      </c>
      <c r="I839" t="str" cm="1">
        <f t="array" ref="I839">IFERROR(_xlfn.XLOOKUP(C839&amp;A839, TDrate!F:F&amp;TDrate!H:H, TDrate!E:E), "N/A")</f>
        <v>N/A</v>
      </c>
      <c r="J839" cm="1">
        <f t="array" ref="J839">IFERROR(_xlfn.XLOOKUP(C839&amp;A839, Inside5!B:B&amp;Inside5!I:I, Inside5!F:F), 0)</f>
        <v>0</v>
      </c>
      <c r="K839" cm="1">
        <f t="array" ref="K839">IFERROR(_xlfn.XLOOKUP(C839&amp;A839, Inside5!B:B&amp;Inside5!I:I, Inside5!G:G), 0)</f>
        <v>0</v>
      </c>
      <c r="L839" cm="1">
        <f t="array" ref="L839">IFERROR(_xlfn.XLOOKUP(C839&amp;A839, Inside5!B:B&amp;Inside5!I:I, Inside5!H:H), 0)</f>
        <v>0</v>
      </c>
      <c r="M839" t="str" cm="1">
        <f t="array" ref="M839">IFERROR(_xlfn.XLOOKUP(C839&amp;A839, TDrate!F:F&amp;TDrate!H:H, TDrate!B:B), "N/A")</f>
        <v>N/A</v>
      </c>
      <c r="N839" t="str" cm="1">
        <f t="array" ref="N839">IFERROR(_xlfn.XLOOKUP(C839&amp;A839, TDrate!F:F&amp;TDrate!H:H, TDrate!D:D), "N/A")</f>
        <v>N/A</v>
      </c>
    </row>
    <row r="840" spans="1:14" x14ac:dyDescent="0.45">
      <c r="A840" s="5">
        <v>2021</v>
      </c>
      <c r="B840" s="6" t="s">
        <v>784</v>
      </c>
      <c r="C840" s="7" t="str">
        <f t="shared" si="26"/>
        <v>Darrynton Evans</v>
      </c>
      <c r="D840" s="7" t="str">
        <f t="shared" si="27"/>
        <v>TEN</v>
      </c>
      <c r="E840" cm="1">
        <f t="array" ref="E840">IFERROR(_xlfn.XLOOKUP(C840&amp;A840, Inside5!B:B&amp;Inside5!I:I, Inside5!C:C), 0)</f>
        <v>0</v>
      </c>
      <c r="F840" cm="1">
        <f t="array" ref="F840">IFERROR(_xlfn.XLOOKUP(C840&amp;A840, Inside5!B:B&amp;Inside5!I:I, Inside5!D:D), 0)</f>
        <v>0</v>
      </c>
      <c r="G840" cm="1">
        <f t="array" ref="G840">IFERROR(_xlfn.XLOOKUP(C840&amp;A840, Inside5!B:B&amp;Inside5!I:I, Inside5!E:E), 0)</f>
        <v>0</v>
      </c>
      <c r="H840" t="str" cm="1">
        <f t="array" ref="H840">IFERROR(_xlfn.XLOOKUP(C840&amp;A840, TDrate!F:F&amp;TDrate!H:H, TDrate!C:C), "N/A")</f>
        <v>N/A</v>
      </c>
      <c r="I840" t="str" cm="1">
        <f t="array" ref="I840">IFERROR(_xlfn.XLOOKUP(C840&amp;A840, TDrate!F:F&amp;TDrate!H:H, TDrate!E:E), "N/A")</f>
        <v>N/A</v>
      </c>
      <c r="J840" cm="1">
        <f t="array" ref="J840">IFERROR(_xlfn.XLOOKUP(C840&amp;A840, Inside5!B:B&amp;Inside5!I:I, Inside5!F:F), 0)</f>
        <v>0</v>
      </c>
      <c r="K840" cm="1">
        <f t="array" ref="K840">IFERROR(_xlfn.XLOOKUP(C840&amp;A840, Inside5!B:B&amp;Inside5!I:I, Inside5!G:G), 0)</f>
        <v>0</v>
      </c>
      <c r="L840" cm="1">
        <f t="array" ref="L840">IFERROR(_xlfn.XLOOKUP(C840&amp;A840, Inside5!B:B&amp;Inside5!I:I, Inside5!H:H), 0)</f>
        <v>0</v>
      </c>
      <c r="M840" t="str" cm="1">
        <f t="array" ref="M840">IFERROR(_xlfn.XLOOKUP(C840&amp;A840, TDrate!F:F&amp;TDrate!H:H, TDrate!B:B), "N/A")</f>
        <v>N/A</v>
      </c>
      <c r="N840" t="str" cm="1">
        <f t="array" ref="N840">IFERROR(_xlfn.XLOOKUP(C840&amp;A840, TDrate!F:F&amp;TDrate!H:H, TDrate!D:D), "N/A")</f>
        <v>N/A</v>
      </c>
    </row>
    <row r="841" spans="1:14" x14ac:dyDescent="0.45">
      <c r="A841" s="8">
        <v>2021</v>
      </c>
      <c r="B841" s="9" t="s">
        <v>671</v>
      </c>
      <c r="C841" s="10" t="str">
        <f t="shared" si="26"/>
        <v>Derek Watt</v>
      </c>
      <c r="D841" s="10" t="str">
        <f t="shared" si="27"/>
        <v>PIT</v>
      </c>
      <c r="E841" cm="1">
        <f t="array" aca="1" ref="E841" ca="1">IFERROR(_xlfn.XLOOKUP(C841&amp;A841, Inside5!B:B&amp;Inside5!I:I, Inside5!C:C), 0)</f>
        <v>0</v>
      </c>
      <c r="F841" cm="1">
        <f t="array" aca="1" ref="F841" ca="1">IFERROR(_xlfn.XLOOKUP(C841&amp;A841, Inside5!B:B&amp;Inside5!I:I, Inside5!D:D), 0)</f>
        <v>0</v>
      </c>
      <c r="G841" cm="1">
        <f t="array" ref="G841">IFERROR(_xlfn.XLOOKUP(C841&amp;A841, Inside5!B:B&amp;Inside5!I:I, Inside5!E:E), 0)</f>
        <v>0</v>
      </c>
      <c r="H841" t="str" cm="1">
        <f t="array" ref="H841">IFERROR(_xlfn.XLOOKUP(C841&amp;A841, TDrate!F:F&amp;TDrate!H:H, TDrate!C:C), "N/A")</f>
        <v>N/A</v>
      </c>
      <c r="I841" t="str" cm="1">
        <f t="array" ref="I841">IFERROR(_xlfn.XLOOKUP(C841&amp;A841, TDrate!F:F&amp;TDrate!H:H, TDrate!E:E), "N/A")</f>
        <v>N/A</v>
      </c>
      <c r="J841" cm="1">
        <f t="array" ref="J841">IFERROR(_xlfn.XLOOKUP(C841&amp;A841, Inside5!B:B&amp;Inside5!I:I, Inside5!F:F), 0)</f>
        <v>0</v>
      </c>
      <c r="K841" cm="1">
        <f t="array" ref="K841">IFERROR(_xlfn.XLOOKUP(C841&amp;A841, Inside5!B:B&amp;Inside5!I:I, Inside5!G:G), 0)</f>
        <v>0</v>
      </c>
      <c r="L841" cm="1">
        <f t="array" ref="L841">IFERROR(_xlfn.XLOOKUP(C841&amp;A841, Inside5!B:B&amp;Inside5!I:I, Inside5!H:H), 0)</f>
        <v>0</v>
      </c>
      <c r="M841" t="str" cm="1">
        <f t="array" ref="M841">IFERROR(_xlfn.XLOOKUP(C841&amp;A841, TDrate!F:F&amp;TDrate!H:H, TDrate!B:B), "N/A")</f>
        <v>N/A</v>
      </c>
      <c r="N841" t="str" cm="1">
        <f t="array" ref="N841">IFERROR(_xlfn.XLOOKUP(C841&amp;A841, TDrate!F:F&amp;TDrate!H:H, TDrate!D:D), "N/A")</f>
        <v>N/A</v>
      </c>
    </row>
    <row r="842" spans="1:14" x14ac:dyDescent="0.45">
      <c r="A842" s="5">
        <v>2021</v>
      </c>
      <c r="B842" s="6" t="s">
        <v>785</v>
      </c>
      <c r="C842" s="7" t="str">
        <f t="shared" si="26"/>
        <v>Reggie Bonnafon</v>
      </c>
      <c r="D842" s="7" t="str">
        <f t="shared" si="27"/>
        <v>CAR</v>
      </c>
      <c r="E842" cm="1">
        <f t="array" aca="1" ref="E842" ca="1">IFERROR(_xlfn.XLOOKUP(C842&amp;A842, Inside5!B:B&amp;Inside5!I:I, Inside5!C:C), 0)</f>
        <v>0</v>
      </c>
      <c r="F842" cm="1">
        <f t="array" aca="1" ref="F842" ca="1">IFERROR(_xlfn.XLOOKUP(C842&amp;A842, Inside5!B:B&amp;Inside5!I:I, Inside5!D:D), 0)</f>
        <v>0</v>
      </c>
      <c r="G842" cm="1">
        <f t="array" ref="G842">IFERROR(_xlfn.XLOOKUP(C842&amp;A842, Inside5!B:B&amp;Inside5!I:I, Inside5!E:E), 0)</f>
        <v>0</v>
      </c>
      <c r="H842" t="str" cm="1">
        <f t="array" ref="H842">IFERROR(_xlfn.XLOOKUP(C842&amp;A842, TDrate!F:F&amp;TDrate!H:H, TDrate!C:C), "N/A")</f>
        <v>N/A</v>
      </c>
      <c r="I842" t="str" cm="1">
        <f t="array" ref="I842">IFERROR(_xlfn.XLOOKUP(C842&amp;A842, TDrate!F:F&amp;TDrate!H:H, TDrate!E:E), "N/A")</f>
        <v>N/A</v>
      </c>
      <c r="J842" cm="1">
        <f t="array" ref="J842">IFERROR(_xlfn.XLOOKUP(C842&amp;A842, Inside5!B:B&amp;Inside5!I:I, Inside5!F:F), 0)</f>
        <v>0</v>
      </c>
      <c r="K842" cm="1">
        <f t="array" ref="K842">IFERROR(_xlfn.XLOOKUP(C842&amp;A842, Inside5!B:B&amp;Inside5!I:I, Inside5!G:G), 0)</f>
        <v>0</v>
      </c>
      <c r="L842" cm="1">
        <f t="array" ref="L842">IFERROR(_xlfn.XLOOKUP(C842&amp;A842, Inside5!B:B&amp;Inside5!I:I, Inside5!H:H), 0)</f>
        <v>0</v>
      </c>
      <c r="M842" t="str" cm="1">
        <f t="array" ref="M842">IFERROR(_xlfn.XLOOKUP(C842&amp;A842, TDrate!F:F&amp;TDrate!H:H, TDrate!B:B), "N/A")</f>
        <v>N/A</v>
      </c>
      <c r="N842" t="str" cm="1">
        <f t="array" ref="N842">IFERROR(_xlfn.XLOOKUP(C842&amp;A842, TDrate!F:F&amp;TDrate!H:H, TDrate!D:D), "N/A")</f>
        <v>N/A</v>
      </c>
    </row>
    <row r="843" spans="1:14" x14ac:dyDescent="0.45">
      <c r="A843" s="8">
        <v>2021</v>
      </c>
      <c r="B843" s="9" t="s">
        <v>786</v>
      </c>
      <c r="C843" s="10" t="str">
        <f t="shared" si="26"/>
        <v>Trey Ragas</v>
      </c>
      <c r="D843" s="10" t="str">
        <f t="shared" si="27"/>
        <v>LV</v>
      </c>
      <c r="E843" cm="1">
        <f t="array" aca="1" ref="E843" ca="1">IFERROR(_xlfn.XLOOKUP(C843&amp;A843, Inside5!B:B&amp;Inside5!I:I, Inside5!C:C), 0)</f>
        <v>0</v>
      </c>
      <c r="F843" cm="1">
        <f t="array" aca="1" ref="F843" ca="1">IFERROR(_xlfn.XLOOKUP(C843&amp;A843, Inside5!B:B&amp;Inside5!I:I, Inside5!D:D), 0)</f>
        <v>0</v>
      </c>
      <c r="G843" cm="1">
        <f t="array" ref="G843">IFERROR(_xlfn.XLOOKUP(C843&amp;A843, Inside5!B:B&amp;Inside5!I:I, Inside5!E:E), 0)</f>
        <v>0</v>
      </c>
      <c r="H843" t="str" cm="1">
        <f t="array" ref="H843">IFERROR(_xlfn.XLOOKUP(C843&amp;A843, TDrate!F:F&amp;TDrate!H:H, TDrate!C:C), "N/A")</f>
        <v>N/A</v>
      </c>
      <c r="I843" t="str" cm="1">
        <f t="array" ref="I843">IFERROR(_xlfn.XLOOKUP(C843&amp;A843, TDrate!F:F&amp;TDrate!H:H, TDrate!E:E), "N/A")</f>
        <v>N/A</v>
      </c>
      <c r="J843" cm="1">
        <f t="array" ref="J843">IFERROR(_xlfn.XLOOKUP(C843&amp;A843, Inside5!B:B&amp;Inside5!I:I, Inside5!F:F), 0)</f>
        <v>0</v>
      </c>
      <c r="K843" cm="1">
        <f t="array" ref="K843">IFERROR(_xlfn.XLOOKUP(C843&amp;A843, Inside5!B:B&amp;Inside5!I:I, Inside5!G:G), 0)</f>
        <v>0</v>
      </c>
      <c r="L843" cm="1">
        <f t="array" aca="1" ref="L843" ca="1">IFERROR(_xlfn.XLOOKUP(C843&amp;A843, Inside5!B:B&amp;Inside5!I:I, Inside5!H:H), 0)</f>
        <v>0</v>
      </c>
      <c r="M843" t="str" cm="1">
        <f t="array" ref="M843">IFERROR(_xlfn.XLOOKUP(C843&amp;A843, TDrate!F:F&amp;TDrate!H:H, TDrate!B:B), "N/A")</f>
        <v>N/A</v>
      </c>
      <c r="N843" t="str" cm="1">
        <f t="array" ref="N843">IFERROR(_xlfn.XLOOKUP(C843&amp;A843, TDrate!F:F&amp;TDrate!H:H, TDrate!D:D), "N/A")</f>
        <v>N/A</v>
      </c>
    </row>
    <row r="844" spans="1:14" x14ac:dyDescent="0.45">
      <c r="A844" s="5">
        <v>2021</v>
      </c>
      <c r="B844" s="6" t="s">
        <v>610</v>
      </c>
      <c r="C844" s="7" t="str">
        <f t="shared" si="26"/>
        <v>Anthony McFarland Jr.</v>
      </c>
      <c r="D844" s="7" t="str">
        <f t="shared" si="27"/>
        <v>PIT</v>
      </c>
      <c r="E844" cm="1">
        <f t="array" ref="E844">IFERROR(_xlfn.XLOOKUP(C844&amp;A844, Inside5!B:B&amp;Inside5!I:I, Inside5!C:C), 0)</f>
        <v>0</v>
      </c>
      <c r="F844" cm="1">
        <f t="array" ref="F844">IFERROR(_xlfn.XLOOKUP(C844&amp;A844, Inside5!B:B&amp;Inside5!I:I, Inside5!D:D), 0)</f>
        <v>0</v>
      </c>
      <c r="G844" cm="1">
        <f t="array" ref="G844">IFERROR(_xlfn.XLOOKUP(C844&amp;A844, Inside5!B:B&amp;Inside5!I:I, Inside5!E:E), 0)</f>
        <v>0</v>
      </c>
      <c r="H844" t="str" cm="1">
        <f t="array" ref="H844">IFERROR(_xlfn.XLOOKUP(C844&amp;A844, TDrate!F:F&amp;TDrate!H:H, TDrate!C:C), "N/A")</f>
        <v>N/A</v>
      </c>
      <c r="I844" t="str" cm="1">
        <f t="array" ref="I844">IFERROR(_xlfn.XLOOKUP(C844&amp;A844, TDrate!F:F&amp;TDrate!H:H, TDrate!E:E), "N/A")</f>
        <v>N/A</v>
      </c>
      <c r="J844" cm="1">
        <f t="array" ref="J844">IFERROR(_xlfn.XLOOKUP(C844&amp;A844, Inside5!B:B&amp;Inside5!I:I, Inside5!F:F), 0)</f>
        <v>0</v>
      </c>
      <c r="K844" cm="1">
        <f t="array" ref="K844">IFERROR(_xlfn.XLOOKUP(C844&amp;A844, Inside5!B:B&amp;Inside5!I:I, Inside5!G:G), 0)</f>
        <v>0</v>
      </c>
      <c r="L844" cm="1">
        <f t="array" ref="L844">IFERROR(_xlfn.XLOOKUP(C844&amp;A844, Inside5!B:B&amp;Inside5!I:I, Inside5!H:H), 0)</f>
        <v>0</v>
      </c>
      <c r="M844" t="str" cm="1">
        <f t="array" ref="M844">IFERROR(_xlfn.XLOOKUP(C844&amp;A844, TDrate!F:F&amp;TDrate!H:H, TDrate!B:B), "N/A")</f>
        <v>N/A</v>
      </c>
      <c r="N844" t="str" cm="1">
        <f t="array" ref="N844">IFERROR(_xlfn.XLOOKUP(C844&amp;A844, TDrate!F:F&amp;TDrate!H:H, TDrate!D:D), "N/A")</f>
        <v>N/A</v>
      </c>
    </row>
    <row r="845" spans="1:14" x14ac:dyDescent="0.45">
      <c r="A845" s="8">
        <v>2021</v>
      </c>
      <c r="B845" s="9" t="s">
        <v>787</v>
      </c>
      <c r="C845" s="10" t="str">
        <f t="shared" si="26"/>
        <v>John Kelly Jr.</v>
      </c>
      <c r="D845" s="10" t="str">
        <f t="shared" si="27"/>
        <v>CLE</v>
      </c>
      <c r="E845" cm="1">
        <f t="array" ref="E845">IFERROR(_xlfn.XLOOKUP(C845&amp;A845, Inside5!B:B&amp;Inside5!I:I, Inside5!C:C), 0)</f>
        <v>0</v>
      </c>
      <c r="F845" cm="1">
        <f t="array" ref="F845">IFERROR(_xlfn.XLOOKUP(C845&amp;A845, Inside5!B:B&amp;Inside5!I:I, Inside5!D:D), 0)</f>
        <v>0</v>
      </c>
      <c r="G845" cm="1">
        <f t="array" ref="G845">IFERROR(_xlfn.XLOOKUP(C845&amp;A845, Inside5!B:B&amp;Inside5!I:I, Inside5!E:E), 0)</f>
        <v>0</v>
      </c>
      <c r="H845" t="str" cm="1">
        <f t="array" ref="H845">IFERROR(_xlfn.XLOOKUP(C845&amp;A845, TDrate!F:F&amp;TDrate!H:H, TDrate!C:C), "N/A")</f>
        <v>N/A</v>
      </c>
      <c r="I845" t="str" cm="1">
        <f t="array" ref="I845">IFERROR(_xlfn.XLOOKUP(C845&amp;A845, TDrate!F:F&amp;TDrate!H:H, TDrate!E:E), "N/A")</f>
        <v>N/A</v>
      </c>
      <c r="J845" cm="1">
        <f t="array" ref="J845">IFERROR(_xlfn.XLOOKUP(C845&amp;A845, Inside5!B:B&amp;Inside5!I:I, Inside5!F:F), 0)</f>
        <v>0</v>
      </c>
      <c r="K845" cm="1">
        <f t="array" ref="K845">IFERROR(_xlfn.XLOOKUP(C845&amp;A845, Inside5!B:B&amp;Inside5!I:I, Inside5!G:G), 0)</f>
        <v>0</v>
      </c>
      <c r="L845" cm="1">
        <f t="array" ref="L845">IFERROR(_xlfn.XLOOKUP(C845&amp;A845, Inside5!B:B&amp;Inside5!I:I, Inside5!H:H), 0)</f>
        <v>0</v>
      </c>
      <c r="M845" t="str" cm="1">
        <f t="array" ref="M845">IFERROR(_xlfn.XLOOKUP(C845&amp;A845, TDrate!F:F&amp;TDrate!H:H, TDrate!B:B), "N/A")</f>
        <v>N/A</v>
      </c>
      <c r="N845" t="str" cm="1">
        <f t="array" ref="N845">IFERROR(_xlfn.XLOOKUP(C845&amp;A845, TDrate!F:F&amp;TDrate!H:H, TDrate!D:D), "N/A")</f>
        <v>N/A</v>
      </c>
    </row>
    <row r="846" spans="1:14" x14ac:dyDescent="0.45">
      <c r="A846" s="5">
        <v>2021</v>
      </c>
      <c r="B846" s="6" t="s">
        <v>641</v>
      </c>
      <c r="C846" s="7" t="str">
        <f t="shared" si="26"/>
        <v>Cam Akers</v>
      </c>
      <c r="D846" s="7" t="str">
        <f t="shared" si="27"/>
        <v>LAR</v>
      </c>
      <c r="E846" cm="1">
        <f t="array" aca="1" ref="E846" ca="1">IFERROR(_xlfn.XLOOKUP(C846&amp;A846, Inside5!B:B&amp;Inside5!I:I, Inside5!C:C), 0)</f>
        <v>0</v>
      </c>
      <c r="F846" cm="1">
        <f t="array" ref="F846">IFERROR(_xlfn.XLOOKUP(C846&amp;A846, Inside5!B:B&amp;Inside5!I:I, Inside5!D:D), 0)</f>
        <v>0</v>
      </c>
      <c r="G846" cm="1">
        <f t="array" ref="G846">IFERROR(_xlfn.XLOOKUP(C846&amp;A846, Inside5!B:B&amp;Inside5!I:I, Inside5!E:E), 0)</f>
        <v>0</v>
      </c>
      <c r="H846" t="str" cm="1">
        <f t="array" ref="H846">IFERROR(_xlfn.XLOOKUP(C846&amp;A846, TDrate!F:F&amp;TDrate!H:H, TDrate!C:C), "N/A")</f>
        <v>N/A</v>
      </c>
      <c r="I846" t="str" cm="1">
        <f t="array" ref="I846">IFERROR(_xlfn.XLOOKUP(C846&amp;A846, TDrate!F:F&amp;TDrate!H:H, TDrate!E:E), "N/A")</f>
        <v>N/A</v>
      </c>
      <c r="J846" cm="1">
        <f t="array" ref="J846">IFERROR(_xlfn.XLOOKUP(C846&amp;A846, Inside5!B:B&amp;Inside5!I:I, Inside5!F:F), 0)</f>
        <v>0</v>
      </c>
      <c r="K846" cm="1">
        <f t="array" ref="K846">IFERROR(_xlfn.XLOOKUP(C846&amp;A846, Inside5!B:B&amp;Inside5!I:I, Inside5!G:G), 0)</f>
        <v>0</v>
      </c>
      <c r="L846" cm="1">
        <f t="array" ref="L846">IFERROR(_xlfn.XLOOKUP(C846&amp;A846, Inside5!B:B&amp;Inside5!I:I, Inside5!H:H), 0)</f>
        <v>0</v>
      </c>
      <c r="M846" t="str" cm="1">
        <f t="array" ref="M846">IFERROR(_xlfn.XLOOKUP(C846&amp;A846, TDrate!F:F&amp;TDrate!H:H, TDrate!B:B), "N/A")</f>
        <v>N/A</v>
      </c>
      <c r="N846" t="str" cm="1">
        <f t="array" ref="N846">IFERROR(_xlfn.XLOOKUP(C846&amp;A846, TDrate!F:F&amp;TDrate!H:H, TDrate!D:D), "N/A")</f>
        <v>N/A</v>
      </c>
    </row>
    <row r="847" spans="1:14" x14ac:dyDescent="0.45">
      <c r="A847" s="8">
        <v>2021</v>
      </c>
      <c r="B847" s="9" t="s">
        <v>788</v>
      </c>
      <c r="C847" s="10" t="str">
        <f t="shared" si="26"/>
        <v>Jacques Patrick</v>
      </c>
      <c r="D847" s="10" t="str">
        <f t="shared" si="27"/>
        <v>SF</v>
      </c>
      <c r="E847" cm="1">
        <f t="array" ref="E847">IFERROR(_xlfn.XLOOKUP(C847&amp;A847, Inside5!B:B&amp;Inside5!I:I, Inside5!C:C), 0)</f>
        <v>0</v>
      </c>
      <c r="F847" cm="1">
        <f t="array" aca="1" ref="F847" ca="1">IFERROR(_xlfn.XLOOKUP(C847&amp;A847, Inside5!B:B&amp;Inside5!I:I, Inside5!D:D), 0)</f>
        <v>0</v>
      </c>
      <c r="G847" cm="1">
        <f t="array" ref="G847">IFERROR(_xlfn.XLOOKUP(C847&amp;A847, Inside5!B:B&amp;Inside5!I:I, Inside5!E:E), 0)</f>
        <v>0</v>
      </c>
      <c r="H847" t="str" cm="1">
        <f t="array" ref="H847">IFERROR(_xlfn.XLOOKUP(C847&amp;A847, TDrate!F:F&amp;TDrate!H:H, TDrate!C:C), "N/A")</f>
        <v>N/A</v>
      </c>
      <c r="I847" t="str" cm="1">
        <f t="array" ref="I847">IFERROR(_xlfn.XLOOKUP(C847&amp;A847, TDrate!F:F&amp;TDrate!H:H, TDrate!E:E), "N/A")</f>
        <v>N/A</v>
      </c>
      <c r="J847" cm="1">
        <f t="array" ref="J847">IFERROR(_xlfn.XLOOKUP(C847&amp;A847, Inside5!B:B&amp;Inside5!I:I, Inside5!F:F), 0)</f>
        <v>0</v>
      </c>
      <c r="K847" cm="1">
        <f t="array" ref="K847">IFERROR(_xlfn.XLOOKUP(C847&amp;A847, Inside5!B:B&amp;Inside5!I:I, Inside5!G:G), 0)</f>
        <v>0</v>
      </c>
      <c r="L847" cm="1">
        <f t="array" ref="L847">IFERROR(_xlfn.XLOOKUP(C847&amp;A847, Inside5!B:B&amp;Inside5!I:I, Inside5!H:H), 0)</f>
        <v>0</v>
      </c>
      <c r="M847" t="str" cm="1">
        <f t="array" ref="M847">IFERROR(_xlfn.XLOOKUP(C847&amp;A847, TDrate!F:F&amp;TDrate!H:H, TDrate!B:B), "N/A")</f>
        <v>N/A</v>
      </c>
      <c r="N847" t="str" cm="1">
        <f t="array" ref="N847">IFERROR(_xlfn.XLOOKUP(C847&amp;A847, TDrate!F:F&amp;TDrate!H:H, TDrate!D:D), "N/A")</f>
        <v>N/A</v>
      </c>
    </row>
    <row r="848" spans="1:14" x14ac:dyDescent="0.45">
      <c r="A848" s="5">
        <v>2021</v>
      </c>
      <c r="B848" s="6" t="s">
        <v>789</v>
      </c>
      <c r="C848" s="7" t="str">
        <f t="shared" si="26"/>
        <v>Buddy Howell</v>
      </c>
      <c r="D848" s="7" t="str">
        <f t="shared" si="27"/>
        <v>LAR</v>
      </c>
      <c r="E848" cm="1">
        <f t="array" aca="1" ref="E848" ca="1">IFERROR(_xlfn.XLOOKUP(C848&amp;A848, Inside5!B:B&amp;Inside5!I:I, Inside5!C:C), 0)</f>
        <v>0</v>
      </c>
      <c r="F848" cm="1">
        <f t="array" aca="1" ref="F848" ca="1">IFERROR(_xlfn.XLOOKUP(C848&amp;A848, Inside5!B:B&amp;Inside5!I:I, Inside5!D:D), 0)</f>
        <v>0</v>
      </c>
      <c r="G848" cm="1">
        <f t="array" ref="G848">IFERROR(_xlfn.XLOOKUP(C848&amp;A848, Inside5!B:B&amp;Inside5!I:I, Inside5!E:E), 0)</f>
        <v>0</v>
      </c>
      <c r="H848" t="str" cm="1">
        <f t="array" ref="H848">IFERROR(_xlfn.XLOOKUP(C848&amp;A848, TDrate!F:F&amp;TDrate!H:H, TDrate!C:C), "N/A")</f>
        <v>N/A</v>
      </c>
      <c r="I848" t="str" cm="1">
        <f t="array" ref="I848">IFERROR(_xlfn.XLOOKUP(C848&amp;A848, TDrate!F:F&amp;TDrate!H:H, TDrate!E:E), "N/A")</f>
        <v>N/A</v>
      </c>
      <c r="J848" cm="1">
        <f t="array" ref="J848">IFERROR(_xlfn.XLOOKUP(C848&amp;A848, Inside5!B:B&amp;Inside5!I:I, Inside5!F:F), 0)</f>
        <v>0</v>
      </c>
      <c r="K848" cm="1">
        <f t="array" ref="K848">IFERROR(_xlfn.XLOOKUP(C848&amp;A848, Inside5!B:B&amp;Inside5!I:I, Inside5!G:G), 0)</f>
        <v>0</v>
      </c>
      <c r="L848" cm="1">
        <f t="array" ref="L848">IFERROR(_xlfn.XLOOKUP(C848&amp;A848, Inside5!B:B&amp;Inside5!I:I, Inside5!H:H), 0)</f>
        <v>0</v>
      </c>
      <c r="M848" t="str" cm="1">
        <f t="array" ref="M848">IFERROR(_xlfn.XLOOKUP(C848&amp;A848, TDrate!F:F&amp;TDrate!H:H, TDrate!B:B), "N/A")</f>
        <v>N/A</v>
      </c>
      <c r="N848" t="str" cm="1">
        <f t="array" ref="N848">IFERROR(_xlfn.XLOOKUP(C848&amp;A848, TDrate!F:F&amp;TDrate!H:H, TDrate!D:D), "N/A")</f>
        <v>N/A</v>
      </c>
    </row>
    <row r="849" spans="1:14" x14ac:dyDescent="0.45">
      <c r="A849" s="8">
        <v>2021</v>
      </c>
      <c r="B849" s="9" t="s">
        <v>790</v>
      </c>
      <c r="C849" s="10" t="str">
        <f t="shared" si="26"/>
        <v>Mekhi Sargent</v>
      </c>
      <c r="D849" s="10" t="str">
        <f t="shared" si="27"/>
        <v>JAC</v>
      </c>
      <c r="E849" cm="1">
        <f t="array" aca="1" ref="E849" ca="1">IFERROR(_xlfn.XLOOKUP(C849&amp;A849, Inside5!B:B&amp;Inside5!I:I, Inside5!C:C), 0)</f>
        <v>0</v>
      </c>
      <c r="F849" cm="1">
        <f t="array" aca="1" ref="F849" ca="1">IFERROR(_xlfn.XLOOKUP(C849&amp;A849, Inside5!B:B&amp;Inside5!I:I, Inside5!D:D), 0)</f>
        <v>0</v>
      </c>
      <c r="G849" cm="1">
        <f t="array" ref="G849">IFERROR(_xlfn.XLOOKUP(C849&amp;A849, Inside5!B:B&amp;Inside5!I:I, Inside5!E:E), 0)</f>
        <v>0</v>
      </c>
      <c r="H849" t="str" cm="1">
        <f t="array" ref="H849">IFERROR(_xlfn.XLOOKUP(C849&amp;A849, TDrate!F:F&amp;TDrate!H:H, TDrate!C:C), "N/A")</f>
        <v>N/A</v>
      </c>
      <c r="I849" t="str" cm="1">
        <f t="array" ref="I849">IFERROR(_xlfn.XLOOKUP(C849&amp;A849, TDrate!F:F&amp;TDrate!H:H, TDrate!E:E), "N/A")</f>
        <v>N/A</v>
      </c>
      <c r="J849" cm="1">
        <f t="array" ref="J849">IFERROR(_xlfn.XLOOKUP(C849&amp;A849, Inside5!B:B&amp;Inside5!I:I, Inside5!F:F), 0)</f>
        <v>0</v>
      </c>
      <c r="K849" cm="1">
        <f t="array" ref="K849">IFERROR(_xlfn.XLOOKUP(C849&amp;A849, Inside5!B:B&amp;Inside5!I:I, Inside5!G:G), 0)</f>
        <v>0</v>
      </c>
      <c r="L849" cm="1">
        <f t="array" ref="L849">IFERROR(_xlfn.XLOOKUP(C849&amp;A849, Inside5!B:B&amp;Inside5!I:I, Inside5!H:H), 0)</f>
        <v>0</v>
      </c>
      <c r="M849" t="str" cm="1">
        <f t="array" ref="M849">IFERROR(_xlfn.XLOOKUP(C849&amp;A849, TDrate!F:F&amp;TDrate!H:H, TDrate!B:B), "N/A")</f>
        <v>N/A</v>
      </c>
      <c r="N849" t="str" cm="1">
        <f t="array" ref="N849">IFERROR(_xlfn.XLOOKUP(C849&amp;A849, TDrate!F:F&amp;TDrate!H:H, TDrate!D:D), "N/A")</f>
        <v>N/A</v>
      </c>
    </row>
    <row r="850" spans="1:14" x14ac:dyDescent="0.45">
      <c r="A850" s="5">
        <v>2021</v>
      </c>
      <c r="B850" s="6" t="s">
        <v>589</v>
      </c>
      <c r="C850" s="7" t="str">
        <f t="shared" si="26"/>
        <v>Gary Brightwell</v>
      </c>
      <c r="D850" s="7" t="str">
        <f t="shared" si="27"/>
        <v>NYG</v>
      </c>
      <c r="E850" cm="1">
        <f t="array" aca="1" ref="E850" ca="1">IFERROR(_xlfn.XLOOKUP(C850&amp;A850, Inside5!B:B&amp;Inside5!I:I, Inside5!C:C), 0)</f>
        <v>0</v>
      </c>
      <c r="F850" cm="1">
        <f t="array" aca="1" ref="F850" ca="1">IFERROR(_xlfn.XLOOKUP(C850&amp;A850, Inside5!B:B&amp;Inside5!I:I, Inside5!D:D), 0)</f>
        <v>0</v>
      </c>
      <c r="G850" cm="1">
        <f t="array" ref="G850">IFERROR(_xlfn.XLOOKUP(C850&amp;A850, Inside5!B:B&amp;Inside5!I:I, Inside5!E:E), 0)</f>
        <v>0</v>
      </c>
      <c r="H850" t="str" cm="1">
        <f t="array" ref="H850">IFERROR(_xlfn.XLOOKUP(C850&amp;A850, TDrate!F:F&amp;TDrate!H:H, TDrate!C:C), "N/A")</f>
        <v>N/A</v>
      </c>
      <c r="I850" t="str" cm="1">
        <f t="array" ref="I850">IFERROR(_xlfn.XLOOKUP(C850&amp;A850, TDrate!F:F&amp;TDrate!H:H, TDrate!E:E), "N/A")</f>
        <v>N/A</v>
      </c>
      <c r="J850" cm="1">
        <f t="array" ref="J850">IFERROR(_xlfn.XLOOKUP(C850&amp;A850, Inside5!B:B&amp;Inside5!I:I, Inside5!F:F), 0)</f>
        <v>0</v>
      </c>
      <c r="K850" cm="1">
        <f t="array" aca="1" ref="K850" ca="1">IFERROR(_xlfn.XLOOKUP(C850&amp;A850, Inside5!B:B&amp;Inside5!I:I, Inside5!G:G), 0)</f>
        <v>0</v>
      </c>
      <c r="L850" cm="1">
        <f t="array" ref="L850">IFERROR(_xlfn.XLOOKUP(C850&amp;A850, Inside5!B:B&amp;Inside5!I:I, Inside5!H:H), 0)</f>
        <v>0</v>
      </c>
      <c r="M850" t="str" cm="1">
        <f t="array" ref="M850">IFERROR(_xlfn.XLOOKUP(C850&amp;A850, TDrate!F:F&amp;TDrate!H:H, TDrate!B:B), "N/A")</f>
        <v>N/A</v>
      </c>
      <c r="N850" t="str" cm="1">
        <f t="array" ref="N850">IFERROR(_xlfn.XLOOKUP(C850&amp;A850, TDrate!F:F&amp;TDrate!H:H, TDrate!D:D), "N/A")</f>
        <v>N/A</v>
      </c>
    </row>
    <row r="851" spans="1:14" x14ac:dyDescent="0.45">
      <c r="A851" s="8">
        <v>2021</v>
      </c>
      <c r="B851" s="9" t="s">
        <v>791</v>
      </c>
      <c r="C851" s="10" t="str">
        <f t="shared" si="26"/>
        <v>Ryan Nall</v>
      </c>
      <c r="D851" s="10" t="str">
        <f t="shared" si="27"/>
        <v>CHI</v>
      </c>
      <c r="E851" cm="1">
        <f t="array" ref="E851">IFERROR(_xlfn.XLOOKUP(C851&amp;A851, Inside5!B:B&amp;Inside5!I:I, Inside5!C:C), 0)</f>
        <v>0</v>
      </c>
      <c r="F851" cm="1">
        <f t="array" ref="F851">IFERROR(_xlfn.XLOOKUP(C851&amp;A851, Inside5!B:B&amp;Inside5!I:I, Inside5!D:D), 0)</f>
        <v>0</v>
      </c>
      <c r="G851" cm="1">
        <f t="array" ref="G851">IFERROR(_xlfn.XLOOKUP(C851&amp;A851, Inside5!B:B&amp;Inside5!I:I, Inside5!E:E), 0)</f>
        <v>0</v>
      </c>
      <c r="H851" t="str" cm="1">
        <f t="array" ref="H851">IFERROR(_xlfn.XLOOKUP(C851&amp;A851, TDrate!F:F&amp;TDrate!H:H, TDrate!C:C), "N/A")</f>
        <v>N/A</v>
      </c>
      <c r="I851" t="str" cm="1">
        <f t="array" ref="I851">IFERROR(_xlfn.XLOOKUP(C851&amp;A851, TDrate!F:F&amp;TDrate!H:H, TDrate!E:E), "N/A")</f>
        <v>N/A</v>
      </c>
      <c r="J851" cm="1">
        <f t="array" ref="J851">IFERROR(_xlfn.XLOOKUP(C851&amp;A851, Inside5!B:B&amp;Inside5!I:I, Inside5!F:F), 0)</f>
        <v>0</v>
      </c>
      <c r="K851" cm="1">
        <f t="array" ref="K851">IFERROR(_xlfn.XLOOKUP(C851&amp;A851, Inside5!B:B&amp;Inside5!I:I, Inside5!G:G), 0)</f>
        <v>0</v>
      </c>
      <c r="L851" cm="1">
        <f t="array" ref="L851">IFERROR(_xlfn.XLOOKUP(C851&amp;A851, Inside5!B:B&amp;Inside5!I:I, Inside5!H:H), 0)</f>
        <v>0</v>
      </c>
      <c r="M851" t="str" cm="1">
        <f t="array" ref="M851">IFERROR(_xlfn.XLOOKUP(C851&amp;A851, TDrate!F:F&amp;TDrate!H:H, TDrate!B:B), "N/A")</f>
        <v>N/A</v>
      </c>
      <c r="N851" t="str" cm="1">
        <f t="array" ref="N851">IFERROR(_xlfn.XLOOKUP(C851&amp;A851, TDrate!F:F&amp;TDrate!H:H, TDrate!D:D), "N/A")</f>
        <v>N/A</v>
      </c>
    </row>
    <row r="852" spans="1:14" x14ac:dyDescent="0.45">
      <c r="A852" s="5">
        <v>2021</v>
      </c>
      <c r="B852" s="6" t="s">
        <v>792</v>
      </c>
      <c r="C852" s="7" t="str">
        <f t="shared" si="26"/>
        <v>Damarea Crockett</v>
      </c>
      <c r="D852" s="7" t="str">
        <f t="shared" si="27"/>
        <v>DEN</v>
      </c>
      <c r="E852" cm="1">
        <f t="array" aca="1" ref="E852" ca="1">IFERROR(_xlfn.XLOOKUP(C852&amp;A852, Inside5!B:B&amp;Inside5!I:I, Inside5!C:C), 0)</f>
        <v>0</v>
      </c>
      <c r="F852" cm="1">
        <f t="array" aca="1" ref="F852" ca="1">IFERROR(_xlfn.XLOOKUP(C852&amp;A852, Inside5!B:B&amp;Inside5!I:I, Inside5!D:D), 0)</f>
        <v>0</v>
      </c>
      <c r="G852" cm="1">
        <f t="array" ref="G852">IFERROR(_xlfn.XLOOKUP(C852&amp;A852, Inside5!B:B&amp;Inside5!I:I, Inside5!E:E), 0)</f>
        <v>0</v>
      </c>
      <c r="H852" t="str" cm="1">
        <f t="array" ref="H852">IFERROR(_xlfn.XLOOKUP(C852&amp;A852, TDrate!F:F&amp;TDrate!H:H, TDrate!C:C), "N/A")</f>
        <v>N/A</v>
      </c>
      <c r="I852" t="str" cm="1">
        <f t="array" ref="I852">IFERROR(_xlfn.XLOOKUP(C852&amp;A852, TDrate!F:F&amp;TDrate!H:H, TDrate!E:E), "N/A")</f>
        <v>N/A</v>
      </c>
      <c r="J852" cm="1">
        <f t="array" ref="J852">IFERROR(_xlfn.XLOOKUP(C852&amp;A852, Inside5!B:B&amp;Inside5!I:I, Inside5!F:F), 0)</f>
        <v>0</v>
      </c>
      <c r="K852" cm="1">
        <f t="array" ref="K852">IFERROR(_xlfn.XLOOKUP(C852&amp;A852, Inside5!B:B&amp;Inside5!I:I, Inside5!G:G), 0)</f>
        <v>0</v>
      </c>
      <c r="L852" cm="1">
        <f t="array" ref="L852">IFERROR(_xlfn.XLOOKUP(C852&amp;A852, Inside5!B:B&amp;Inside5!I:I, Inside5!H:H), 0)</f>
        <v>0</v>
      </c>
      <c r="M852" t="str" cm="1">
        <f t="array" ref="M852">IFERROR(_xlfn.XLOOKUP(C852&amp;A852, TDrate!F:F&amp;TDrate!H:H, TDrate!B:B), "N/A")</f>
        <v>N/A</v>
      </c>
      <c r="N852" t="str" cm="1">
        <f t="array" ref="N852">IFERROR(_xlfn.XLOOKUP(C852&amp;A852, TDrate!F:F&amp;TDrate!H:H, TDrate!D:D), "N/A")</f>
        <v>N/A</v>
      </c>
    </row>
    <row r="853" spans="1:14" x14ac:dyDescent="0.45">
      <c r="A853" s="8">
        <v>2021</v>
      </c>
      <c r="B853" s="9" t="s">
        <v>711</v>
      </c>
      <c r="C853" s="10" t="str">
        <f t="shared" si="26"/>
        <v>Jake Funk</v>
      </c>
      <c r="D853" s="10" t="str">
        <f t="shared" si="27"/>
        <v>LAR</v>
      </c>
      <c r="E853" cm="1">
        <f t="array" ref="E853">IFERROR(_xlfn.XLOOKUP(C853&amp;A853, Inside5!B:B&amp;Inside5!I:I, Inside5!C:C), 0)</f>
        <v>0</v>
      </c>
      <c r="F853" cm="1">
        <f t="array" ref="F853">IFERROR(_xlfn.XLOOKUP(C853&amp;A853, Inside5!B:B&amp;Inside5!I:I, Inside5!D:D), 0)</f>
        <v>0</v>
      </c>
      <c r="G853" cm="1">
        <f t="array" ref="G853">IFERROR(_xlfn.XLOOKUP(C853&amp;A853, Inside5!B:B&amp;Inside5!I:I, Inside5!E:E), 0)</f>
        <v>0</v>
      </c>
      <c r="H853" t="str" cm="1">
        <f t="array" ref="H853">IFERROR(_xlfn.XLOOKUP(C853&amp;A853, TDrate!F:F&amp;TDrate!H:H, TDrate!C:C), "N/A")</f>
        <v>N/A</v>
      </c>
      <c r="I853" t="str" cm="1">
        <f t="array" ref="I853">IFERROR(_xlfn.XLOOKUP(C853&amp;A853, TDrate!F:F&amp;TDrate!H:H, TDrate!E:E), "N/A")</f>
        <v>N/A</v>
      </c>
      <c r="J853" cm="1">
        <f t="array" ref="J853">IFERROR(_xlfn.XLOOKUP(C853&amp;A853, Inside5!B:B&amp;Inside5!I:I, Inside5!F:F), 0)</f>
        <v>0</v>
      </c>
      <c r="K853" cm="1">
        <f t="array" ref="K853">IFERROR(_xlfn.XLOOKUP(C853&amp;A853, Inside5!B:B&amp;Inside5!I:I, Inside5!G:G), 0)</f>
        <v>0</v>
      </c>
      <c r="L853" cm="1">
        <f t="array" ref="L853">IFERROR(_xlfn.XLOOKUP(C853&amp;A853, Inside5!B:B&amp;Inside5!I:I, Inside5!H:H), 0)</f>
        <v>0</v>
      </c>
      <c r="M853" t="str" cm="1">
        <f t="array" ref="M853">IFERROR(_xlfn.XLOOKUP(C853&amp;A853, TDrate!F:F&amp;TDrate!H:H, TDrate!B:B), "N/A")</f>
        <v>N/A</v>
      </c>
      <c r="N853" t="str" cm="1">
        <f t="array" ref="N853">IFERROR(_xlfn.XLOOKUP(C853&amp;A853, TDrate!F:F&amp;TDrate!H:H, TDrate!D:D), "N/A")</f>
        <v>N/A</v>
      </c>
    </row>
    <row r="854" spans="1:14" x14ac:dyDescent="0.45">
      <c r="A854" s="5">
        <v>2021</v>
      </c>
      <c r="B854" s="6" t="s">
        <v>793</v>
      </c>
      <c r="C854" s="7" t="str">
        <f t="shared" si="26"/>
        <v>Devine Ozigbo</v>
      </c>
      <c r="D854" s="7" t="str">
        <f t="shared" si="27"/>
        <v>JAC</v>
      </c>
      <c r="E854" cm="1">
        <f t="array" ref="E854">IFERROR(_xlfn.XLOOKUP(C854&amp;A854, Inside5!B:B&amp;Inside5!I:I, Inside5!C:C), 0)</f>
        <v>0</v>
      </c>
      <c r="F854" cm="1">
        <f t="array" aca="1" ref="F854" ca="1">IFERROR(_xlfn.XLOOKUP(C854&amp;A854, Inside5!B:B&amp;Inside5!I:I, Inside5!D:D), 0)</f>
        <v>0</v>
      </c>
      <c r="G854" cm="1">
        <f t="array" ref="G854">IFERROR(_xlfn.XLOOKUP(C854&amp;A854, Inside5!B:B&amp;Inside5!I:I, Inside5!E:E), 0)</f>
        <v>0</v>
      </c>
      <c r="H854" t="str" cm="1">
        <f t="array" ref="H854">IFERROR(_xlfn.XLOOKUP(C854&amp;A854, TDrate!F:F&amp;TDrate!H:H, TDrate!C:C), "N/A")</f>
        <v>N/A</v>
      </c>
      <c r="I854" t="str" cm="1">
        <f t="array" ref="I854">IFERROR(_xlfn.XLOOKUP(C854&amp;A854, TDrate!F:F&amp;TDrate!H:H, TDrate!E:E), "N/A")</f>
        <v>N/A</v>
      </c>
      <c r="J854" cm="1">
        <f t="array" ref="J854">IFERROR(_xlfn.XLOOKUP(C854&amp;A854, Inside5!B:B&amp;Inside5!I:I, Inside5!F:F), 0)</f>
        <v>0</v>
      </c>
      <c r="K854" cm="1">
        <f t="array" ref="K854">IFERROR(_xlfn.XLOOKUP(C854&amp;A854, Inside5!B:B&amp;Inside5!I:I, Inside5!G:G), 0)</f>
        <v>0</v>
      </c>
      <c r="L854" cm="1">
        <f t="array" ref="L854">IFERROR(_xlfn.XLOOKUP(C854&amp;A854, Inside5!B:B&amp;Inside5!I:I, Inside5!H:H), 0)</f>
        <v>0</v>
      </c>
      <c r="M854" t="str" cm="1">
        <f t="array" ref="M854">IFERROR(_xlfn.XLOOKUP(C854&amp;A854, TDrate!F:F&amp;TDrate!H:H, TDrate!B:B), "N/A")</f>
        <v>N/A</v>
      </c>
      <c r="N854" t="str" cm="1">
        <f t="array" ref="N854">IFERROR(_xlfn.XLOOKUP(C854&amp;A854, TDrate!F:F&amp;TDrate!H:H, TDrate!D:D), "N/A")</f>
        <v>N/A</v>
      </c>
    </row>
    <row r="855" spans="1:14" x14ac:dyDescent="0.45">
      <c r="A855" s="8">
        <v>2021</v>
      </c>
      <c r="B855" s="9" t="s">
        <v>794</v>
      </c>
      <c r="C855" s="10" t="str">
        <f t="shared" si="26"/>
        <v>Nathan Cottrell</v>
      </c>
      <c r="D855" s="10" t="str">
        <f t="shared" si="27"/>
        <v>JAC</v>
      </c>
      <c r="E855" cm="1">
        <f t="array" ref="E855">IFERROR(_xlfn.XLOOKUP(C855&amp;A855, Inside5!B:B&amp;Inside5!I:I, Inside5!C:C), 0)</f>
        <v>0</v>
      </c>
      <c r="F855" cm="1">
        <f t="array" ref="F855">IFERROR(_xlfn.XLOOKUP(C855&amp;A855, Inside5!B:B&amp;Inside5!I:I, Inside5!D:D), 0)</f>
        <v>0</v>
      </c>
      <c r="G855" cm="1">
        <f t="array" ref="G855">IFERROR(_xlfn.XLOOKUP(C855&amp;A855, Inside5!B:B&amp;Inside5!I:I, Inside5!E:E), 0)</f>
        <v>0</v>
      </c>
      <c r="H855" t="str" cm="1">
        <f t="array" ref="H855">IFERROR(_xlfn.XLOOKUP(C855&amp;A855, TDrate!F:F&amp;TDrate!H:H, TDrate!C:C), "N/A")</f>
        <v>N/A</v>
      </c>
      <c r="I855" t="str" cm="1">
        <f t="array" ref="I855">IFERROR(_xlfn.XLOOKUP(C855&amp;A855, TDrate!F:F&amp;TDrate!H:H, TDrate!E:E), "N/A")</f>
        <v>N/A</v>
      </c>
      <c r="J855" cm="1">
        <f t="array" ref="J855">IFERROR(_xlfn.XLOOKUP(C855&amp;A855, Inside5!B:B&amp;Inside5!I:I, Inside5!F:F), 0)</f>
        <v>0</v>
      </c>
      <c r="K855" cm="1">
        <f t="array" ref="K855">IFERROR(_xlfn.XLOOKUP(C855&amp;A855, Inside5!B:B&amp;Inside5!I:I, Inside5!G:G), 0)</f>
        <v>0</v>
      </c>
      <c r="L855" cm="1">
        <f t="array" ref="L855">IFERROR(_xlfn.XLOOKUP(C855&amp;A855, Inside5!B:B&amp;Inside5!I:I, Inside5!H:H), 0)</f>
        <v>0</v>
      </c>
      <c r="M855" t="str" cm="1">
        <f t="array" ref="M855">IFERROR(_xlfn.XLOOKUP(C855&amp;A855, TDrate!F:F&amp;TDrate!H:H, TDrate!B:B), "N/A")</f>
        <v>N/A</v>
      </c>
      <c r="N855" t="str" cm="1">
        <f t="array" ref="N855">IFERROR(_xlfn.XLOOKUP(C855&amp;A855, TDrate!F:F&amp;TDrate!H:H, TDrate!D:D), "N/A")</f>
        <v>N/A</v>
      </c>
    </row>
    <row r="856" spans="1:14" x14ac:dyDescent="0.45">
      <c r="A856" s="5">
        <v>2021</v>
      </c>
      <c r="B856" s="6" t="s">
        <v>715</v>
      </c>
      <c r="C856" s="7" t="str">
        <f t="shared" si="26"/>
        <v>Taiwan Jones</v>
      </c>
      <c r="D856" s="7" t="str">
        <f t="shared" si="27"/>
        <v>BUF</v>
      </c>
      <c r="E856" cm="1">
        <f t="array" aca="1" ref="E856" ca="1">IFERROR(_xlfn.XLOOKUP(C856&amp;A856, Inside5!B:B&amp;Inside5!I:I, Inside5!C:C), 0)</f>
        <v>0</v>
      </c>
      <c r="F856" cm="1">
        <f t="array" aca="1" ref="F856" ca="1">IFERROR(_xlfn.XLOOKUP(C856&amp;A856, Inside5!B:B&amp;Inside5!I:I, Inside5!D:D), 0)</f>
        <v>0</v>
      </c>
      <c r="G856" cm="1">
        <f t="array" ref="G856">IFERROR(_xlfn.XLOOKUP(C856&amp;A856, Inside5!B:B&amp;Inside5!I:I, Inside5!E:E), 0)</f>
        <v>0</v>
      </c>
      <c r="H856" t="str" cm="1">
        <f t="array" ref="H856">IFERROR(_xlfn.XLOOKUP(C856&amp;A856, TDrate!F:F&amp;TDrate!H:H, TDrate!C:C), "N/A")</f>
        <v>N/A</v>
      </c>
      <c r="I856" t="str" cm="1">
        <f t="array" ref="I856">IFERROR(_xlfn.XLOOKUP(C856&amp;A856, TDrate!F:F&amp;TDrate!H:H, TDrate!E:E), "N/A")</f>
        <v>N/A</v>
      </c>
      <c r="J856" cm="1">
        <f t="array" ref="J856">IFERROR(_xlfn.XLOOKUP(C856&amp;A856, Inside5!B:B&amp;Inside5!I:I, Inside5!F:F), 0)</f>
        <v>0</v>
      </c>
      <c r="K856" cm="1">
        <f t="array" ref="K856">IFERROR(_xlfn.XLOOKUP(C856&amp;A856, Inside5!B:B&amp;Inside5!I:I, Inside5!G:G), 0)</f>
        <v>0</v>
      </c>
      <c r="L856" cm="1">
        <f t="array" ref="L856">IFERROR(_xlfn.XLOOKUP(C856&amp;A856, Inside5!B:B&amp;Inside5!I:I, Inside5!H:H), 0)</f>
        <v>0</v>
      </c>
      <c r="M856" t="str" cm="1">
        <f t="array" ref="M856">IFERROR(_xlfn.XLOOKUP(C856&amp;A856, TDrate!F:F&amp;TDrate!H:H, TDrate!B:B), "N/A")</f>
        <v>N/A</v>
      </c>
      <c r="N856" t="str" cm="1">
        <f t="array" ref="N856">IFERROR(_xlfn.XLOOKUP(C856&amp;A856, TDrate!F:F&amp;TDrate!H:H, TDrate!D:D), "N/A")</f>
        <v>N/A</v>
      </c>
    </row>
    <row r="857" spans="1:14" x14ac:dyDescent="0.45">
      <c r="A857" s="8">
        <v>2021</v>
      </c>
      <c r="B857" s="9" t="s">
        <v>702</v>
      </c>
      <c r="C857" s="10" t="str">
        <f t="shared" si="26"/>
        <v>Kenjon Barner</v>
      </c>
      <c r="D857" s="10" t="str">
        <f t="shared" si="27"/>
        <v>TB</v>
      </c>
      <c r="E857" cm="1">
        <f t="array" aca="1" ref="E857" ca="1">IFERROR(_xlfn.XLOOKUP(C857&amp;A857, Inside5!B:B&amp;Inside5!I:I, Inside5!C:C), 0)</f>
        <v>0</v>
      </c>
      <c r="F857" cm="1">
        <f t="array" aca="1" ref="F857" ca="1">IFERROR(_xlfn.XLOOKUP(C857&amp;A857, Inside5!B:B&amp;Inside5!I:I, Inside5!D:D), 0)</f>
        <v>0</v>
      </c>
      <c r="G857" cm="1">
        <f t="array" ref="G857">IFERROR(_xlfn.XLOOKUP(C857&amp;A857, Inside5!B:B&amp;Inside5!I:I, Inside5!E:E), 0)</f>
        <v>0</v>
      </c>
      <c r="H857" t="str" cm="1">
        <f t="array" ref="H857">IFERROR(_xlfn.XLOOKUP(C857&amp;A857, TDrate!F:F&amp;TDrate!H:H, TDrate!C:C), "N/A")</f>
        <v>N/A</v>
      </c>
      <c r="I857" t="str" cm="1">
        <f t="array" ref="I857">IFERROR(_xlfn.XLOOKUP(C857&amp;A857, TDrate!F:F&amp;TDrate!H:H, TDrate!E:E), "N/A")</f>
        <v>N/A</v>
      </c>
      <c r="J857" cm="1">
        <f t="array" ref="J857">IFERROR(_xlfn.XLOOKUP(C857&amp;A857, Inside5!B:B&amp;Inside5!I:I, Inside5!F:F), 0)</f>
        <v>0</v>
      </c>
      <c r="K857" cm="1">
        <f t="array" ref="K857">IFERROR(_xlfn.XLOOKUP(C857&amp;A857, Inside5!B:B&amp;Inside5!I:I, Inside5!G:G), 0)</f>
        <v>0</v>
      </c>
      <c r="L857" cm="1">
        <f t="array" ref="L857">IFERROR(_xlfn.XLOOKUP(C857&amp;A857, Inside5!B:B&amp;Inside5!I:I, Inside5!H:H), 0)</f>
        <v>0</v>
      </c>
      <c r="M857" t="str" cm="1">
        <f t="array" ref="M857">IFERROR(_xlfn.XLOOKUP(C857&amp;A857, TDrate!F:F&amp;TDrate!H:H, TDrate!B:B), "N/A")</f>
        <v>N/A</v>
      </c>
      <c r="N857" t="str" cm="1">
        <f t="array" ref="N857">IFERROR(_xlfn.XLOOKUP(C857&amp;A857, TDrate!F:F&amp;TDrate!H:H, TDrate!D:D), "N/A")</f>
        <v>N/A</v>
      </c>
    </row>
    <row r="858" spans="1:14" x14ac:dyDescent="0.45">
      <c r="A858" s="5">
        <v>2021</v>
      </c>
      <c r="B858" s="6" t="s">
        <v>795</v>
      </c>
      <c r="C858" s="7" t="str">
        <f t="shared" si="26"/>
        <v>J.P. Holtz</v>
      </c>
      <c r="D858" s="7" t="str">
        <f t="shared" si="27"/>
        <v>CHI</v>
      </c>
      <c r="E858" cm="1">
        <f t="array" aca="1" ref="E858" ca="1">IFERROR(_xlfn.XLOOKUP(C858&amp;A858, Inside5!B:B&amp;Inside5!I:I, Inside5!C:C), 0)</f>
        <v>0</v>
      </c>
      <c r="F858" cm="1">
        <f t="array" aca="1" ref="F858" ca="1">IFERROR(_xlfn.XLOOKUP(C858&amp;A858, Inside5!B:B&amp;Inside5!I:I, Inside5!D:D), 0)</f>
        <v>0</v>
      </c>
      <c r="G858" cm="1">
        <f t="array" ref="G858">IFERROR(_xlfn.XLOOKUP(C858&amp;A858, Inside5!B:B&amp;Inside5!I:I, Inside5!E:E), 0)</f>
        <v>0</v>
      </c>
      <c r="H858" t="str" cm="1">
        <f t="array" ref="H858">IFERROR(_xlfn.XLOOKUP(C858&amp;A858, TDrate!F:F&amp;TDrate!H:H, TDrate!C:C), "N/A")</f>
        <v>N/A</v>
      </c>
      <c r="I858" t="str" cm="1">
        <f t="array" ref="I858">IFERROR(_xlfn.XLOOKUP(C858&amp;A858, TDrate!F:F&amp;TDrate!H:H, TDrate!E:E), "N/A")</f>
        <v>N/A</v>
      </c>
      <c r="J858" cm="1">
        <f t="array" ref="J858">IFERROR(_xlfn.XLOOKUP(C858&amp;A858, Inside5!B:B&amp;Inside5!I:I, Inside5!F:F), 0)</f>
        <v>0</v>
      </c>
      <c r="K858" cm="1">
        <f t="array" ref="K858">IFERROR(_xlfn.XLOOKUP(C858&amp;A858, Inside5!B:B&amp;Inside5!I:I, Inside5!G:G), 0)</f>
        <v>0</v>
      </c>
      <c r="L858" cm="1">
        <f t="array" ref="L858">IFERROR(_xlfn.XLOOKUP(C858&amp;A858, Inside5!B:B&amp;Inside5!I:I, Inside5!H:H), 0)</f>
        <v>0</v>
      </c>
      <c r="M858" t="str" cm="1">
        <f t="array" ref="M858">IFERROR(_xlfn.XLOOKUP(C858&amp;A858, TDrate!F:F&amp;TDrate!H:H, TDrate!B:B), "N/A")</f>
        <v>N/A</v>
      </c>
      <c r="N858" t="str" cm="1">
        <f t="array" ref="N858">IFERROR(_xlfn.XLOOKUP(C858&amp;A858, TDrate!F:F&amp;TDrate!H:H, TDrate!D:D), "N/A")</f>
        <v>N/A</v>
      </c>
    </row>
    <row r="859" spans="1:14" x14ac:dyDescent="0.45">
      <c r="A859" s="8">
        <v>2021</v>
      </c>
      <c r="B859" s="9" t="s">
        <v>704</v>
      </c>
      <c r="C859" s="10" t="str">
        <f t="shared" si="26"/>
        <v>Brandin Bryant</v>
      </c>
      <c r="D859" s="10" t="str">
        <f t="shared" si="27"/>
        <v>BUF</v>
      </c>
      <c r="E859" cm="1">
        <f t="array" ref="E859">IFERROR(_xlfn.XLOOKUP(C859&amp;A859, Inside5!B:B&amp;Inside5!I:I, Inside5!C:C), 0)</f>
        <v>0</v>
      </c>
      <c r="F859" cm="1">
        <f t="array" ref="F859">IFERROR(_xlfn.XLOOKUP(C859&amp;A859, Inside5!B:B&amp;Inside5!I:I, Inside5!D:D), 0)</f>
        <v>0</v>
      </c>
      <c r="G859" cm="1">
        <f t="array" ref="G859">IFERROR(_xlfn.XLOOKUP(C859&amp;A859, Inside5!B:B&amp;Inside5!I:I, Inside5!E:E), 0)</f>
        <v>0</v>
      </c>
      <c r="H859" t="str" cm="1">
        <f t="array" ref="H859">IFERROR(_xlfn.XLOOKUP(C859&amp;A859, TDrate!F:F&amp;TDrate!H:H, TDrate!C:C), "N/A")</f>
        <v>N/A</v>
      </c>
      <c r="I859" t="str" cm="1">
        <f t="array" ref="I859">IFERROR(_xlfn.XLOOKUP(C859&amp;A859, TDrate!F:F&amp;TDrate!H:H, TDrate!E:E), "N/A")</f>
        <v>N/A</v>
      </c>
      <c r="J859" cm="1">
        <f t="array" ref="J859">IFERROR(_xlfn.XLOOKUP(C859&amp;A859, Inside5!B:B&amp;Inside5!I:I, Inside5!F:F), 0)</f>
        <v>0</v>
      </c>
      <c r="K859" cm="1">
        <f t="array" aca="1" ref="K859" ca="1">IFERROR(_xlfn.XLOOKUP(C859&amp;A859, Inside5!B:B&amp;Inside5!I:I, Inside5!G:G), 0)</f>
        <v>0</v>
      </c>
      <c r="L859" cm="1">
        <f t="array" ref="L859">IFERROR(_xlfn.XLOOKUP(C859&amp;A859, Inside5!B:B&amp;Inside5!I:I, Inside5!H:H), 0)</f>
        <v>0</v>
      </c>
      <c r="M859" t="str" cm="1">
        <f t="array" ref="M859">IFERROR(_xlfn.XLOOKUP(C859&amp;A859, TDrate!F:F&amp;TDrate!H:H, TDrate!B:B), "N/A")</f>
        <v>N/A</v>
      </c>
      <c r="N859" t="str" cm="1">
        <f t="array" ref="N859">IFERROR(_xlfn.XLOOKUP(C859&amp;A859, TDrate!F:F&amp;TDrate!H:H, TDrate!D:D), "N/A")</f>
        <v>N/A</v>
      </c>
    </row>
    <row r="860" spans="1:14" x14ac:dyDescent="0.45">
      <c r="A860" s="5">
        <v>2021</v>
      </c>
      <c r="B860" s="6" t="s">
        <v>796</v>
      </c>
      <c r="C860" s="7" t="str">
        <f t="shared" si="26"/>
        <v>Brian Hill</v>
      </c>
      <c r="D860" s="7" t="str">
        <f t="shared" si="27"/>
        <v>SF</v>
      </c>
      <c r="E860" cm="1">
        <f t="array" ref="E860">IFERROR(_xlfn.XLOOKUP(C860&amp;A860, Inside5!B:B&amp;Inside5!I:I, Inside5!C:C), 0)</f>
        <v>0</v>
      </c>
      <c r="F860" cm="1">
        <f t="array" ref="F860">IFERROR(_xlfn.XLOOKUP(C860&amp;A860, Inside5!B:B&amp;Inside5!I:I, Inside5!D:D), 0)</f>
        <v>0</v>
      </c>
      <c r="G860" cm="1">
        <f t="array" ref="G860">IFERROR(_xlfn.XLOOKUP(C860&amp;A860, Inside5!B:B&amp;Inside5!I:I, Inside5!E:E), 0)</f>
        <v>0</v>
      </c>
      <c r="H860" t="str" cm="1">
        <f t="array" ref="H860">IFERROR(_xlfn.XLOOKUP(C860&amp;A860, TDrate!F:F&amp;TDrate!H:H, TDrate!C:C), "N/A")</f>
        <v>N/A</v>
      </c>
      <c r="I860" t="str" cm="1">
        <f t="array" ref="I860">IFERROR(_xlfn.XLOOKUP(C860&amp;A860, TDrate!F:F&amp;TDrate!H:H, TDrate!E:E), "N/A")</f>
        <v>N/A</v>
      </c>
      <c r="J860" cm="1">
        <f t="array" ref="J860">IFERROR(_xlfn.XLOOKUP(C860&amp;A860, Inside5!B:B&amp;Inside5!I:I, Inside5!F:F), 0)</f>
        <v>0</v>
      </c>
      <c r="K860" cm="1">
        <f t="array" aca="1" ref="K860" ca="1">IFERROR(_xlfn.XLOOKUP(C860&amp;A860, Inside5!B:B&amp;Inside5!I:I, Inside5!G:G), 0)</f>
        <v>0</v>
      </c>
      <c r="L860" cm="1">
        <f t="array" ref="L860">IFERROR(_xlfn.XLOOKUP(C860&amp;A860, Inside5!B:B&amp;Inside5!I:I, Inside5!H:H), 0)</f>
        <v>0</v>
      </c>
      <c r="M860" t="str" cm="1">
        <f t="array" ref="M860">IFERROR(_xlfn.XLOOKUP(C860&amp;A860, TDrate!F:F&amp;TDrate!H:H, TDrate!B:B), "N/A")</f>
        <v>N/A</v>
      </c>
      <c r="N860" t="str" cm="1">
        <f t="array" ref="N860">IFERROR(_xlfn.XLOOKUP(C860&amp;A860, TDrate!F:F&amp;TDrate!H:H, TDrate!D:D), "N/A")</f>
        <v>N/A</v>
      </c>
    </row>
    <row r="861" spans="1:14" x14ac:dyDescent="0.45">
      <c r="A861" s="8">
        <v>2021</v>
      </c>
      <c r="B861" s="9" t="s">
        <v>797</v>
      </c>
      <c r="C861" s="10" t="str">
        <f t="shared" si="26"/>
        <v>Tarik Cohen</v>
      </c>
      <c r="D861" s="10" t="str">
        <f t="shared" si="27"/>
        <v>CHI</v>
      </c>
      <c r="E861" cm="1">
        <f t="array" ref="E861">IFERROR(_xlfn.XLOOKUP(C861&amp;A861, Inside5!B:B&amp;Inside5!I:I, Inside5!C:C), 0)</f>
        <v>0</v>
      </c>
      <c r="F861" cm="1">
        <f t="array" ref="F861">IFERROR(_xlfn.XLOOKUP(C861&amp;A861, Inside5!B:B&amp;Inside5!I:I, Inside5!D:D), 0)</f>
        <v>0</v>
      </c>
      <c r="G861" cm="1">
        <f t="array" ref="G861">IFERROR(_xlfn.XLOOKUP(C861&amp;A861, Inside5!B:B&amp;Inside5!I:I, Inside5!E:E), 0)</f>
        <v>0</v>
      </c>
      <c r="H861" t="str" cm="1">
        <f t="array" ref="H861">IFERROR(_xlfn.XLOOKUP(C861&amp;A861, TDrate!F:F&amp;TDrate!H:H, TDrate!C:C), "N/A")</f>
        <v>N/A</v>
      </c>
      <c r="I861" t="str" cm="1">
        <f t="array" ref="I861">IFERROR(_xlfn.XLOOKUP(C861&amp;A861, TDrate!F:F&amp;TDrate!H:H, TDrate!E:E), "N/A")</f>
        <v>N/A</v>
      </c>
      <c r="J861" cm="1">
        <f t="array" ref="J861">IFERROR(_xlfn.XLOOKUP(C861&amp;A861, Inside5!B:B&amp;Inside5!I:I, Inside5!F:F), 0)</f>
        <v>0</v>
      </c>
      <c r="K861" cm="1">
        <f t="array" aca="1" ref="K861" ca="1">IFERROR(_xlfn.XLOOKUP(C861&amp;A861, Inside5!B:B&amp;Inside5!I:I, Inside5!G:G), 0)</f>
        <v>0</v>
      </c>
      <c r="L861" cm="1">
        <f t="array" ref="L861">IFERROR(_xlfn.XLOOKUP(C861&amp;A861, Inside5!B:B&amp;Inside5!I:I, Inside5!H:H), 0)</f>
        <v>0</v>
      </c>
      <c r="M861" t="str" cm="1">
        <f t="array" ref="M861">IFERROR(_xlfn.XLOOKUP(C861&amp;A861, TDrate!F:F&amp;TDrate!H:H, TDrate!B:B), "N/A")</f>
        <v>N/A</v>
      </c>
      <c r="N861" t="str" cm="1">
        <f t="array" ref="N861">IFERROR(_xlfn.XLOOKUP(C861&amp;A861, TDrate!F:F&amp;TDrate!H:H, TDrate!D:D), "N/A")</f>
        <v>N/A</v>
      </c>
    </row>
    <row r="862" spans="1:14" x14ac:dyDescent="0.45">
      <c r="A862" s="5">
        <v>2021</v>
      </c>
      <c r="B862" s="6" t="s">
        <v>798</v>
      </c>
      <c r="C862" s="7" t="str">
        <f t="shared" si="26"/>
        <v>Elijah McGuire</v>
      </c>
      <c r="D862" s="7" t="str">
        <f t="shared" si="27"/>
        <v>KC</v>
      </c>
      <c r="E862" cm="1">
        <f t="array" aca="1" ref="E862" ca="1">IFERROR(_xlfn.XLOOKUP(C862&amp;A862, Inside5!B:B&amp;Inside5!I:I, Inside5!C:C), 0)</f>
        <v>0</v>
      </c>
      <c r="F862" cm="1">
        <f t="array" aca="1" ref="F862" ca="1">IFERROR(_xlfn.XLOOKUP(C862&amp;A862, Inside5!B:B&amp;Inside5!I:I, Inside5!D:D), 0)</f>
        <v>0</v>
      </c>
      <c r="G862" cm="1">
        <f t="array" ref="G862">IFERROR(_xlfn.XLOOKUP(C862&amp;A862, Inside5!B:B&amp;Inside5!I:I, Inside5!E:E), 0)</f>
        <v>0</v>
      </c>
      <c r="H862" t="str" cm="1">
        <f t="array" ref="H862">IFERROR(_xlfn.XLOOKUP(C862&amp;A862, TDrate!F:F&amp;TDrate!H:H, TDrate!C:C), "N/A")</f>
        <v>N/A</v>
      </c>
      <c r="I862" t="str" cm="1">
        <f t="array" ref="I862">IFERROR(_xlfn.XLOOKUP(C862&amp;A862, TDrate!F:F&amp;TDrate!H:H, TDrate!E:E), "N/A")</f>
        <v>N/A</v>
      </c>
      <c r="J862" cm="1">
        <f t="array" ref="J862">IFERROR(_xlfn.XLOOKUP(C862&amp;A862, Inside5!B:B&amp;Inside5!I:I, Inside5!F:F), 0)</f>
        <v>0</v>
      </c>
      <c r="K862" cm="1">
        <f t="array" ref="K862">IFERROR(_xlfn.XLOOKUP(C862&amp;A862, Inside5!B:B&amp;Inside5!I:I, Inside5!G:G), 0)</f>
        <v>0</v>
      </c>
      <c r="L862" cm="1">
        <f t="array" ref="L862">IFERROR(_xlfn.XLOOKUP(C862&amp;A862, Inside5!B:B&amp;Inside5!I:I, Inside5!H:H), 0)</f>
        <v>0</v>
      </c>
      <c r="M862" t="str" cm="1">
        <f t="array" ref="M862">IFERROR(_xlfn.XLOOKUP(C862&amp;A862, TDrate!F:F&amp;TDrate!H:H, TDrate!B:B), "N/A")</f>
        <v>N/A</v>
      </c>
      <c r="N862" t="str" cm="1">
        <f t="array" ref="N862">IFERROR(_xlfn.XLOOKUP(C862&amp;A862, TDrate!F:F&amp;TDrate!H:H, TDrate!D:D), "N/A")</f>
        <v>N/A</v>
      </c>
    </row>
    <row r="863" spans="1:14" x14ac:dyDescent="0.45">
      <c r="A863" s="8">
        <v>2021</v>
      </c>
      <c r="B863" s="9" t="s">
        <v>799</v>
      </c>
      <c r="C863" s="10" t="str">
        <f t="shared" si="26"/>
        <v>Cethan Carter</v>
      </c>
      <c r="D863" s="10" t="str">
        <f t="shared" si="27"/>
        <v>MIA</v>
      </c>
      <c r="E863" cm="1">
        <f t="array" aca="1" ref="E863" ca="1">IFERROR(_xlfn.XLOOKUP(C863&amp;A863, Inside5!B:B&amp;Inside5!I:I, Inside5!C:C), 0)</f>
        <v>0</v>
      </c>
      <c r="F863" cm="1">
        <f t="array" aca="1" ref="F863" ca="1">IFERROR(_xlfn.XLOOKUP(C863&amp;A863, Inside5!B:B&amp;Inside5!I:I, Inside5!D:D), 0)</f>
        <v>0</v>
      </c>
      <c r="G863" cm="1">
        <f t="array" ref="G863">IFERROR(_xlfn.XLOOKUP(C863&amp;A863, Inside5!B:B&amp;Inside5!I:I, Inside5!E:E), 0)</f>
        <v>0</v>
      </c>
      <c r="H863" t="str" cm="1">
        <f t="array" ref="H863">IFERROR(_xlfn.XLOOKUP(C863&amp;A863, TDrate!F:F&amp;TDrate!H:H, TDrate!C:C), "N/A")</f>
        <v>N/A</v>
      </c>
      <c r="I863" t="str" cm="1">
        <f t="array" ref="I863">IFERROR(_xlfn.XLOOKUP(C863&amp;A863, TDrate!F:F&amp;TDrate!H:H, TDrate!E:E), "N/A")</f>
        <v>N/A</v>
      </c>
      <c r="J863" cm="1">
        <f t="array" ref="J863">IFERROR(_xlfn.XLOOKUP(C863&amp;A863, Inside5!B:B&amp;Inside5!I:I, Inside5!F:F), 0)</f>
        <v>0</v>
      </c>
      <c r="K863" cm="1">
        <f t="array" aca="1" ref="K863" ca="1">IFERROR(_xlfn.XLOOKUP(C863&amp;A863, Inside5!B:B&amp;Inside5!I:I, Inside5!G:G), 0)</f>
        <v>0</v>
      </c>
      <c r="L863" cm="1">
        <f t="array" aca="1" ref="L863" ca="1">IFERROR(_xlfn.XLOOKUP(C863&amp;A863, Inside5!B:B&amp;Inside5!I:I, Inside5!H:H), 0)</f>
        <v>0</v>
      </c>
      <c r="M863" t="str" cm="1">
        <f t="array" ref="M863">IFERROR(_xlfn.XLOOKUP(C863&amp;A863, TDrate!F:F&amp;TDrate!H:H, TDrate!B:B), "N/A")</f>
        <v>N/A</v>
      </c>
      <c r="N863" t="str" cm="1">
        <f t="array" ref="N863">IFERROR(_xlfn.XLOOKUP(C863&amp;A863, TDrate!F:F&amp;TDrate!H:H, TDrate!D:D), "N/A")</f>
        <v>N/A</v>
      </c>
    </row>
    <row r="864" spans="1:14" x14ac:dyDescent="0.45">
      <c r="A864" s="5">
        <v>2021</v>
      </c>
      <c r="B864" s="6" t="s">
        <v>800</v>
      </c>
      <c r="C864" s="7" t="str">
        <f t="shared" si="26"/>
        <v>Trey Edmunds</v>
      </c>
      <c r="D864" s="7" t="str">
        <f t="shared" si="27"/>
        <v>PIT</v>
      </c>
      <c r="E864" cm="1">
        <f t="array" aca="1" ref="E864" ca="1">IFERROR(_xlfn.XLOOKUP(C864&amp;A864, Inside5!B:B&amp;Inside5!I:I, Inside5!C:C), 0)</f>
        <v>0</v>
      </c>
      <c r="F864" cm="1">
        <f t="array" aca="1" ref="F864" ca="1">IFERROR(_xlfn.XLOOKUP(C864&amp;A864, Inside5!B:B&amp;Inside5!I:I, Inside5!D:D), 0)</f>
        <v>0</v>
      </c>
      <c r="G864" cm="1">
        <f t="array" ref="G864">IFERROR(_xlfn.XLOOKUP(C864&amp;A864, Inside5!B:B&amp;Inside5!I:I, Inside5!E:E), 0)</f>
        <v>0</v>
      </c>
      <c r="H864" t="str" cm="1">
        <f t="array" ref="H864">IFERROR(_xlfn.XLOOKUP(C864&amp;A864, TDrate!F:F&amp;TDrate!H:H, TDrate!C:C), "N/A")</f>
        <v>N/A</v>
      </c>
      <c r="I864" t="str" cm="1">
        <f t="array" ref="I864">IFERROR(_xlfn.XLOOKUP(C864&amp;A864, TDrate!F:F&amp;TDrate!H:H, TDrate!E:E), "N/A")</f>
        <v>N/A</v>
      </c>
      <c r="J864" cm="1">
        <f t="array" ref="J864">IFERROR(_xlfn.XLOOKUP(C864&amp;A864, Inside5!B:B&amp;Inside5!I:I, Inside5!F:F), 0)</f>
        <v>0</v>
      </c>
      <c r="K864" cm="1">
        <f t="array" ref="K864">IFERROR(_xlfn.XLOOKUP(C864&amp;A864, Inside5!B:B&amp;Inside5!I:I, Inside5!G:G), 0)</f>
        <v>0</v>
      </c>
      <c r="L864" cm="1">
        <f t="array" ref="L864">IFERROR(_xlfn.XLOOKUP(C864&amp;A864, Inside5!B:B&amp;Inside5!I:I, Inside5!H:H), 0)</f>
        <v>0</v>
      </c>
      <c r="M864" t="str" cm="1">
        <f t="array" ref="M864">IFERROR(_xlfn.XLOOKUP(C864&amp;A864, TDrate!F:F&amp;TDrate!H:H, TDrate!B:B), "N/A")</f>
        <v>N/A</v>
      </c>
      <c r="N864" t="str" cm="1">
        <f t="array" ref="N864">IFERROR(_xlfn.XLOOKUP(C864&amp;A864, TDrate!F:F&amp;TDrate!H:H, TDrate!D:D), "N/A")</f>
        <v>N/A</v>
      </c>
    </row>
    <row r="865" spans="1:14" x14ac:dyDescent="0.45">
      <c r="A865" s="8">
        <v>2021</v>
      </c>
      <c r="B865" s="9" t="s">
        <v>619</v>
      </c>
      <c r="C865" s="10" t="str">
        <f t="shared" si="26"/>
        <v>Jason Cabinda</v>
      </c>
      <c r="D865" s="10" t="str">
        <f t="shared" si="27"/>
        <v>DET</v>
      </c>
      <c r="E865" cm="1">
        <f t="array" aca="1" ref="E865" ca="1">IFERROR(_xlfn.XLOOKUP(C865&amp;A865, Inside5!B:B&amp;Inside5!I:I, Inside5!C:C), 0)</f>
        <v>0</v>
      </c>
      <c r="F865" cm="1">
        <f t="array" aca="1" ref="F865" ca="1">IFERROR(_xlfn.XLOOKUP(C865&amp;A865, Inside5!B:B&amp;Inside5!I:I, Inside5!D:D), 0)</f>
        <v>0</v>
      </c>
      <c r="G865" cm="1">
        <f t="array" ref="G865">IFERROR(_xlfn.XLOOKUP(C865&amp;A865, Inside5!B:B&amp;Inside5!I:I, Inside5!E:E), 0)</f>
        <v>0</v>
      </c>
      <c r="H865" t="str" cm="1">
        <f t="array" ref="H865">IFERROR(_xlfn.XLOOKUP(C865&amp;A865, TDrate!F:F&amp;TDrate!H:H, TDrate!C:C), "N/A")</f>
        <v>N/A</v>
      </c>
      <c r="I865" t="str" cm="1">
        <f t="array" ref="I865">IFERROR(_xlfn.XLOOKUP(C865&amp;A865, TDrate!F:F&amp;TDrate!H:H, TDrate!E:E), "N/A")</f>
        <v>N/A</v>
      </c>
      <c r="J865" cm="1">
        <f t="array" ref="J865">IFERROR(_xlfn.XLOOKUP(C865&amp;A865, Inside5!B:B&amp;Inside5!I:I, Inside5!F:F), 0)</f>
        <v>0</v>
      </c>
      <c r="K865" cm="1">
        <f t="array" ref="K865">IFERROR(_xlfn.XLOOKUP(C865&amp;A865, Inside5!B:B&amp;Inside5!I:I, Inside5!G:G), 0)</f>
        <v>0</v>
      </c>
      <c r="L865" cm="1">
        <f t="array" ref="L865">IFERROR(_xlfn.XLOOKUP(C865&amp;A865, Inside5!B:B&amp;Inside5!I:I, Inside5!H:H), 0)</f>
        <v>0</v>
      </c>
      <c r="M865" t="str" cm="1">
        <f t="array" ref="M865">IFERROR(_xlfn.XLOOKUP(C865&amp;A865, TDrate!F:F&amp;TDrate!H:H, TDrate!B:B), "N/A")</f>
        <v>N/A</v>
      </c>
      <c r="N865" t="str" cm="1">
        <f t="array" ref="N865">IFERROR(_xlfn.XLOOKUP(C865&amp;A865, TDrate!F:F&amp;TDrate!H:H, TDrate!D:D), "N/A")</f>
        <v>N/A</v>
      </c>
    </row>
    <row r="866" spans="1:14" x14ac:dyDescent="0.45">
      <c r="A866" s="5">
        <v>2021</v>
      </c>
      <c r="B866" s="6" t="s">
        <v>801</v>
      </c>
      <c r="C866" s="7" t="str">
        <f t="shared" si="26"/>
        <v>Jordan Wilkins</v>
      </c>
      <c r="D866" s="7" t="str">
        <f t="shared" si="27"/>
        <v>TEN</v>
      </c>
      <c r="E866" cm="1">
        <f t="array" ref="E866">IFERROR(_xlfn.XLOOKUP(C866&amp;A866, Inside5!B:B&amp;Inside5!I:I, Inside5!C:C), 0)</f>
        <v>0</v>
      </c>
      <c r="F866" cm="1">
        <f t="array" ref="F866">IFERROR(_xlfn.XLOOKUP(C866&amp;A866, Inside5!B:B&amp;Inside5!I:I, Inside5!D:D), 0)</f>
        <v>0</v>
      </c>
      <c r="G866" cm="1">
        <f t="array" ref="G866">IFERROR(_xlfn.XLOOKUP(C866&amp;A866, Inside5!B:B&amp;Inside5!I:I, Inside5!E:E), 0)</f>
        <v>0</v>
      </c>
      <c r="H866" t="str" cm="1">
        <f t="array" ref="H866">IFERROR(_xlfn.XLOOKUP(C866&amp;A866, TDrate!F:F&amp;TDrate!H:H, TDrate!C:C), "N/A")</f>
        <v>N/A</v>
      </c>
      <c r="I866" t="str" cm="1">
        <f t="array" ref="I866">IFERROR(_xlfn.XLOOKUP(C866&amp;A866, TDrate!F:F&amp;TDrate!H:H, TDrate!E:E), "N/A")</f>
        <v>N/A</v>
      </c>
      <c r="J866" cm="1">
        <f t="array" ref="J866">IFERROR(_xlfn.XLOOKUP(C866&amp;A866, Inside5!B:B&amp;Inside5!I:I, Inside5!F:F), 0)</f>
        <v>0</v>
      </c>
      <c r="K866" cm="1">
        <f t="array" ref="K866">IFERROR(_xlfn.XLOOKUP(C866&amp;A866, Inside5!B:B&amp;Inside5!I:I, Inside5!G:G), 0)</f>
        <v>0</v>
      </c>
      <c r="L866" cm="1">
        <f t="array" ref="L866">IFERROR(_xlfn.XLOOKUP(C866&amp;A866, Inside5!B:B&amp;Inside5!I:I, Inside5!H:H), 0)</f>
        <v>0</v>
      </c>
      <c r="M866" t="str" cm="1">
        <f t="array" ref="M866">IFERROR(_xlfn.XLOOKUP(C866&amp;A866, TDrate!F:F&amp;TDrate!H:H, TDrate!B:B), "N/A")</f>
        <v>N/A</v>
      </c>
      <c r="N866" t="str" cm="1">
        <f t="array" ref="N866">IFERROR(_xlfn.XLOOKUP(C866&amp;A866, TDrate!F:F&amp;TDrate!H:H, TDrate!D:D), "N/A")</f>
        <v>N/A</v>
      </c>
    </row>
    <row r="867" spans="1:14" x14ac:dyDescent="0.45">
      <c r="A867" s="8">
        <v>2021</v>
      </c>
      <c r="B867" s="9" t="s">
        <v>802</v>
      </c>
      <c r="C867" s="10" t="str">
        <f t="shared" si="26"/>
        <v>Darwin Thompson</v>
      </c>
      <c r="D867" s="10" t="str">
        <f t="shared" si="27"/>
        <v>TB</v>
      </c>
      <c r="E867" cm="1">
        <f t="array" aca="1" ref="E867" ca="1">IFERROR(_xlfn.XLOOKUP(C867&amp;A867, Inside5!B:B&amp;Inside5!I:I, Inside5!C:C), 0)</f>
        <v>0</v>
      </c>
      <c r="F867" cm="1">
        <f t="array" ref="F867">IFERROR(_xlfn.XLOOKUP(C867&amp;A867, Inside5!B:B&amp;Inside5!I:I, Inside5!D:D), 0)</f>
        <v>0</v>
      </c>
      <c r="G867" cm="1">
        <f t="array" ref="G867">IFERROR(_xlfn.XLOOKUP(C867&amp;A867, Inside5!B:B&amp;Inside5!I:I, Inside5!E:E), 0)</f>
        <v>0</v>
      </c>
      <c r="H867" t="str" cm="1">
        <f t="array" ref="H867">IFERROR(_xlfn.XLOOKUP(C867&amp;A867, TDrate!F:F&amp;TDrate!H:H, TDrate!C:C), "N/A")</f>
        <v>N/A</v>
      </c>
      <c r="I867" t="str" cm="1">
        <f t="array" ref="I867">IFERROR(_xlfn.XLOOKUP(C867&amp;A867, TDrate!F:F&amp;TDrate!H:H, TDrate!E:E), "N/A")</f>
        <v>N/A</v>
      </c>
      <c r="J867" cm="1">
        <f t="array" ref="J867">IFERROR(_xlfn.XLOOKUP(C867&amp;A867, Inside5!B:B&amp;Inside5!I:I, Inside5!F:F), 0)</f>
        <v>0</v>
      </c>
      <c r="K867" cm="1">
        <f t="array" aca="1" ref="K867" ca="1">IFERROR(_xlfn.XLOOKUP(C867&amp;A867, Inside5!B:B&amp;Inside5!I:I, Inside5!G:G), 0)</f>
        <v>0</v>
      </c>
      <c r="L867" cm="1">
        <f t="array" ref="L867">IFERROR(_xlfn.XLOOKUP(C867&amp;A867, Inside5!B:B&amp;Inside5!I:I, Inside5!H:H), 0)</f>
        <v>0</v>
      </c>
      <c r="M867" t="str" cm="1">
        <f t="array" ref="M867">IFERROR(_xlfn.XLOOKUP(C867&amp;A867, TDrate!F:F&amp;TDrate!H:H, TDrate!B:B), "N/A")</f>
        <v>N/A</v>
      </c>
      <c r="N867" t="str" cm="1">
        <f t="array" ref="N867">IFERROR(_xlfn.XLOOKUP(C867&amp;A867, TDrate!F:F&amp;TDrate!H:H, TDrate!D:D), "N/A")</f>
        <v>N/A</v>
      </c>
    </row>
    <row r="868" spans="1:14" x14ac:dyDescent="0.45">
      <c r="A868" s="5">
        <v>2021</v>
      </c>
      <c r="B868" s="6" t="s">
        <v>803</v>
      </c>
      <c r="C868" s="7" t="str">
        <f t="shared" si="26"/>
        <v>Sutton Smith</v>
      </c>
      <c r="D868" s="7" t="str">
        <f t="shared" si="27"/>
        <v>LV</v>
      </c>
      <c r="E868" cm="1">
        <f t="array" ref="E868">IFERROR(_xlfn.XLOOKUP(C868&amp;A868, Inside5!B:B&amp;Inside5!I:I, Inside5!C:C), 0)</f>
        <v>0</v>
      </c>
      <c r="F868" cm="1">
        <f t="array" ref="F868">IFERROR(_xlfn.XLOOKUP(C868&amp;A868, Inside5!B:B&amp;Inside5!I:I, Inside5!D:D), 0)</f>
        <v>0</v>
      </c>
      <c r="G868" cm="1">
        <f t="array" ref="G868">IFERROR(_xlfn.XLOOKUP(C868&amp;A868, Inside5!B:B&amp;Inside5!I:I, Inside5!E:E), 0)</f>
        <v>0</v>
      </c>
      <c r="H868" t="str" cm="1">
        <f t="array" ref="H868">IFERROR(_xlfn.XLOOKUP(C868&amp;A868, TDrate!F:F&amp;TDrate!H:H, TDrate!C:C), "N/A")</f>
        <v>N/A</v>
      </c>
      <c r="I868" t="str" cm="1">
        <f t="array" ref="I868">IFERROR(_xlfn.XLOOKUP(C868&amp;A868, TDrate!F:F&amp;TDrate!H:H, TDrate!E:E), "N/A")</f>
        <v>N/A</v>
      </c>
      <c r="J868" cm="1">
        <f t="array" ref="J868">IFERROR(_xlfn.XLOOKUP(C868&amp;A868, Inside5!B:B&amp;Inside5!I:I, Inside5!F:F), 0)</f>
        <v>0</v>
      </c>
      <c r="K868" cm="1">
        <f t="array" ref="K868">IFERROR(_xlfn.XLOOKUP(C868&amp;A868, Inside5!B:B&amp;Inside5!I:I, Inside5!G:G), 0)</f>
        <v>0</v>
      </c>
      <c r="L868" cm="1">
        <f t="array" ref="L868">IFERROR(_xlfn.XLOOKUP(C868&amp;A868, Inside5!B:B&amp;Inside5!I:I, Inside5!H:H), 0)</f>
        <v>0</v>
      </c>
      <c r="M868" t="str" cm="1">
        <f t="array" ref="M868">IFERROR(_xlfn.XLOOKUP(C868&amp;A868, TDrate!F:F&amp;TDrate!H:H, TDrate!B:B), "N/A")</f>
        <v>N/A</v>
      </c>
      <c r="N868" t="str" cm="1">
        <f t="array" ref="N868">IFERROR(_xlfn.XLOOKUP(C868&amp;A868, TDrate!F:F&amp;TDrate!H:H, TDrate!D:D), "N/A")</f>
        <v>N/A</v>
      </c>
    </row>
    <row r="869" spans="1:14" x14ac:dyDescent="0.45">
      <c r="A869" s="8">
        <v>2021</v>
      </c>
      <c r="B869" s="9" t="s">
        <v>804</v>
      </c>
      <c r="C869" s="10" t="str">
        <f t="shared" si="26"/>
        <v>Cullen Gillaspia</v>
      </c>
      <c r="D869" s="10" t="str">
        <f t="shared" si="27"/>
        <v>NYG</v>
      </c>
      <c r="E869" cm="1">
        <f t="array" aca="1" ref="E869" ca="1">IFERROR(_xlfn.XLOOKUP(C869&amp;A869, Inside5!B:B&amp;Inside5!I:I, Inside5!C:C), 0)</f>
        <v>0</v>
      </c>
      <c r="F869" cm="1">
        <f t="array" aca="1" ref="F869" ca="1">IFERROR(_xlfn.XLOOKUP(C869&amp;A869, Inside5!B:B&amp;Inside5!I:I, Inside5!D:D), 0)</f>
        <v>0</v>
      </c>
      <c r="G869" cm="1">
        <f t="array" ref="G869">IFERROR(_xlfn.XLOOKUP(C869&amp;A869, Inside5!B:B&amp;Inside5!I:I, Inside5!E:E), 0)</f>
        <v>0</v>
      </c>
      <c r="H869" t="str" cm="1">
        <f t="array" ref="H869">IFERROR(_xlfn.XLOOKUP(C869&amp;A869, TDrate!F:F&amp;TDrate!H:H, TDrate!C:C), "N/A")</f>
        <v>N/A</v>
      </c>
      <c r="I869" t="str" cm="1">
        <f t="array" ref="I869">IFERROR(_xlfn.XLOOKUP(C869&amp;A869, TDrate!F:F&amp;TDrate!H:H, TDrate!E:E), "N/A")</f>
        <v>N/A</v>
      </c>
      <c r="J869" cm="1">
        <f t="array" ref="J869">IFERROR(_xlfn.XLOOKUP(C869&amp;A869, Inside5!B:B&amp;Inside5!I:I, Inside5!F:F), 0)</f>
        <v>0</v>
      </c>
      <c r="K869" cm="1">
        <f t="array" ref="K869">IFERROR(_xlfn.XLOOKUP(C869&amp;A869, Inside5!B:B&amp;Inside5!I:I, Inside5!G:G), 0)</f>
        <v>0</v>
      </c>
      <c r="L869" cm="1">
        <f t="array" ref="L869">IFERROR(_xlfn.XLOOKUP(C869&amp;A869, Inside5!B:B&amp;Inside5!I:I, Inside5!H:H), 0)</f>
        <v>0</v>
      </c>
      <c r="M869" t="str" cm="1">
        <f t="array" ref="M869">IFERROR(_xlfn.XLOOKUP(C869&amp;A869, TDrate!F:F&amp;TDrate!H:H, TDrate!B:B), "N/A")</f>
        <v>N/A</v>
      </c>
      <c r="N869" t="str" cm="1">
        <f t="array" ref="N869">IFERROR(_xlfn.XLOOKUP(C869&amp;A869, TDrate!F:F&amp;TDrate!H:H, TDrate!D:D), "N/A")</f>
        <v>N/A</v>
      </c>
    </row>
    <row r="870" spans="1:14" x14ac:dyDescent="0.45">
      <c r="A870" s="5">
        <v>2021</v>
      </c>
      <c r="B870" s="6" t="s">
        <v>708</v>
      </c>
      <c r="C870" s="7" t="str">
        <f t="shared" si="26"/>
        <v>Andrew Beck</v>
      </c>
      <c r="D870" s="7" t="str">
        <f t="shared" si="27"/>
        <v>DEN</v>
      </c>
      <c r="E870" cm="1">
        <f t="array" ref="E870">IFERROR(_xlfn.XLOOKUP(C870&amp;A870, Inside5!B:B&amp;Inside5!I:I, Inside5!C:C), 0)</f>
        <v>0</v>
      </c>
      <c r="F870" cm="1">
        <f t="array" ref="F870">IFERROR(_xlfn.XLOOKUP(C870&amp;A870, Inside5!B:B&amp;Inside5!I:I, Inside5!D:D), 0)</f>
        <v>0</v>
      </c>
      <c r="G870" cm="1">
        <f t="array" ref="G870">IFERROR(_xlfn.XLOOKUP(C870&amp;A870, Inside5!B:B&amp;Inside5!I:I, Inside5!E:E), 0)</f>
        <v>0</v>
      </c>
      <c r="H870" t="str" cm="1">
        <f t="array" ref="H870">IFERROR(_xlfn.XLOOKUP(C870&amp;A870, TDrate!F:F&amp;TDrate!H:H, TDrate!C:C), "N/A")</f>
        <v>N/A</v>
      </c>
      <c r="I870" t="str" cm="1">
        <f t="array" ref="I870">IFERROR(_xlfn.XLOOKUP(C870&amp;A870, TDrate!F:F&amp;TDrate!H:H, TDrate!E:E), "N/A")</f>
        <v>N/A</v>
      </c>
      <c r="J870" cm="1">
        <f t="array" ref="J870">IFERROR(_xlfn.XLOOKUP(C870&amp;A870, Inside5!B:B&amp;Inside5!I:I, Inside5!F:F), 0)</f>
        <v>0</v>
      </c>
      <c r="K870" cm="1">
        <f t="array" ref="K870">IFERROR(_xlfn.XLOOKUP(C870&amp;A870, Inside5!B:B&amp;Inside5!I:I, Inside5!G:G), 0)</f>
        <v>0</v>
      </c>
      <c r="L870" cm="1">
        <f t="array" ref="L870">IFERROR(_xlfn.XLOOKUP(C870&amp;A870, Inside5!B:B&amp;Inside5!I:I, Inside5!H:H), 0)</f>
        <v>0</v>
      </c>
      <c r="M870" t="str" cm="1">
        <f t="array" ref="M870">IFERROR(_xlfn.XLOOKUP(C870&amp;A870, TDrate!F:F&amp;TDrate!H:H, TDrate!B:B), "N/A")</f>
        <v>N/A</v>
      </c>
      <c r="N870" t="str" cm="1">
        <f t="array" ref="N870">IFERROR(_xlfn.XLOOKUP(C870&amp;A870, TDrate!F:F&amp;TDrate!H:H, TDrate!D:D), "N/A")</f>
        <v>N/A</v>
      </c>
    </row>
    <row r="871" spans="1:14" x14ac:dyDescent="0.45">
      <c r="A871" s="8">
        <v>2021</v>
      </c>
      <c r="B871" s="9" t="s">
        <v>586</v>
      </c>
      <c r="C871" s="10" t="str">
        <f t="shared" si="26"/>
        <v>J.K. Dobbins</v>
      </c>
      <c r="D871" s="10" t="str">
        <f t="shared" si="27"/>
        <v>BAL</v>
      </c>
      <c r="E871" cm="1">
        <f t="array" aca="1" ref="E871" ca="1">IFERROR(_xlfn.XLOOKUP(C871&amp;A871, Inside5!B:B&amp;Inside5!I:I, Inside5!C:C), 0)</f>
        <v>0</v>
      </c>
      <c r="F871" cm="1">
        <f t="array" aca="1" ref="F871" ca="1">IFERROR(_xlfn.XLOOKUP(C871&amp;A871, Inside5!B:B&amp;Inside5!I:I, Inside5!D:D), 0)</f>
        <v>0</v>
      </c>
      <c r="G871" cm="1">
        <f t="array" ref="G871">IFERROR(_xlfn.XLOOKUP(C871&amp;A871, Inside5!B:B&amp;Inside5!I:I, Inside5!E:E), 0)</f>
        <v>0</v>
      </c>
      <c r="H871" t="str" cm="1">
        <f t="array" ref="H871">IFERROR(_xlfn.XLOOKUP(C871&amp;A871, TDrate!F:F&amp;TDrate!H:H, TDrate!C:C), "N/A")</f>
        <v>N/A</v>
      </c>
      <c r="I871" t="str" cm="1">
        <f t="array" ref="I871">IFERROR(_xlfn.XLOOKUP(C871&amp;A871, TDrate!F:F&amp;TDrate!H:H, TDrate!E:E), "N/A")</f>
        <v>N/A</v>
      </c>
      <c r="J871" cm="1">
        <f t="array" ref="J871">IFERROR(_xlfn.XLOOKUP(C871&amp;A871, Inside5!B:B&amp;Inside5!I:I, Inside5!F:F), 0)</f>
        <v>0</v>
      </c>
      <c r="K871" cm="1">
        <f t="array" aca="1" ref="K871" ca="1">IFERROR(_xlfn.XLOOKUP(C871&amp;A871, Inside5!B:B&amp;Inside5!I:I, Inside5!G:G), 0)</f>
        <v>0</v>
      </c>
      <c r="L871" cm="1">
        <f t="array" ref="L871">IFERROR(_xlfn.XLOOKUP(C871&amp;A871, Inside5!B:B&amp;Inside5!I:I, Inside5!H:H), 0)</f>
        <v>0</v>
      </c>
      <c r="M871" t="str" cm="1">
        <f t="array" ref="M871">IFERROR(_xlfn.XLOOKUP(C871&amp;A871, TDrate!F:F&amp;TDrate!H:H, TDrate!B:B), "N/A")</f>
        <v>N/A</v>
      </c>
      <c r="N871" t="str" cm="1">
        <f t="array" ref="N871">IFERROR(_xlfn.XLOOKUP(C871&amp;A871, TDrate!F:F&amp;TDrate!H:H, TDrate!D:D), "N/A")</f>
        <v>N/A</v>
      </c>
    </row>
    <row r="872" spans="1:14" x14ac:dyDescent="0.45">
      <c r="A872" s="5">
        <v>2021</v>
      </c>
      <c r="B872" s="6" t="s">
        <v>805</v>
      </c>
      <c r="C872" s="7" t="str">
        <f t="shared" si="26"/>
        <v>LeVante Bellamy</v>
      </c>
      <c r="D872" s="7" t="str">
        <f t="shared" si="27"/>
        <v>DEN</v>
      </c>
      <c r="E872" cm="1">
        <f t="array" aca="1" ref="E872" ca="1">IFERROR(_xlfn.XLOOKUP(C872&amp;A872, Inside5!B:B&amp;Inside5!I:I, Inside5!C:C), 0)</f>
        <v>0</v>
      </c>
      <c r="F872" cm="1">
        <f t="array" aca="1" ref="F872" ca="1">IFERROR(_xlfn.XLOOKUP(C872&amp;A872, Inside5!B:B&amp;Inside5!I:I, Inside5!D:D), 0)</f>
        <v>0</v>
      </c>
      <c r="G872" cm="1">
        <f t="array" ref="G872">IFERROR(_xlfn.XLOOKUP(C872&amp;A872, Inside5!B:B&amp;Inside5!I:I, Inside5!E:E), 0)</f>
        <v>0</v>
      </c>
      <c r="H872" t="str" cm="1">
        <f t="array" ref="H872">IFERROR(_xlfn.XLOOKUP(C872&amp;A872, TDrate!F:F&amp;TDrate!H:H, TDrate!C:C), "N/A")</f>
        <v>N/A</v>
      </c>
      <c r="I872" t="str" cm="1">
        <f t="array" ref="I872">IFERROR(_xlfn.XLOOKUP(C872&amp;A872, TDrate!F:F&amp;TDrate!H:H, TDrate!E:E), "N/A")</f>
        <v>N/A</v>
      </c>
      <c r="J872" cm="1">
        <f t="array" ref="J872">IFERROR(_xlfn.XLOOKUP(C872&amp;A872, Inside5!B:B&amp;Inside5!I:I, Inside5!F:F), 0)</f>
        <v>0</v>
      </c>
      <c r="K872" cm="1">
        <f t="array" ref="K872">IFERROR(_xlfn.XLOOKUP(C872&amp;A872, Inside5!B:B&amp;Inside5!I:I, Inside5!G:G), 0)</f>
        <v>0</v>
      </c>
      <c r="L872" cm="1">
        <f t="array" ref="L872">IFERROR(_xlfn.XLOOKUP(C872&amp;A872, Inside5!B:B&amp;Inside5!I:I, Inside5!H:H), 0)</f>
        <v>0</v>
      </c>
      <c r="M872" t="str" cm="1">
        <f t="array" ref="M872">IFERROR(_xlfn.XLOOKUP(C872&amp;A872, TDrate!F:F&amp;TDrate!H:H, TDrate!B:B), "N/A")</f>
        <v>N/A</v>
      </c>
      <c r="N872" t="str" cm="1">
        <f t="array" ref="N872">IFERROR(_xlfn.XLOOKUP(C872&amp;A872, TDrate!F:F&amp;TDrate!H:H, TDrate!D:D), "N/A")</f>
        <v>N/A</v>
      </c>
    </row>
    <row r="873" spans="1:14" x14ac:dyDescent="0.45">
      <c r="A873" s="8">
        <v>2021</v>
      </c>
      <c r="B873" s="9" t="s">
        <v>806</v>
      </c>
      <c r="C873" s="10" t="str">
        <f t="shared" si="26"/>
        <v>Darius Bradwell</v>
      </c>
      <c r="D873" s="10" t="str">
        <f t="shared" si="27"/>
        <v>LAC</v>
      </c>
      <c r="E873" cm="1">
        <f t="array" aca="1" ref="E873" ca="1">IFERROR(_xlfn.XLOOKUP(C873&amp;A873, Inside5!B:B&amp;Inside5!I:I, Inside5!C:C), 0)</f>
        <v>0</v>
      </c>
      <c r="F873" cm="1">
        <f t="array" aca="1" ref="F873" ca="1">IFERROR(_xlfn.XLOOKUP(C873&amp;A873, Inside5!B:B&amp;Inside5!I:I, Inside5!D:D), 0)</f>
        <v>0</v>
      </c>
      <c r="G873" cm="1">
        <f t="array" ref="G873">IFERROR(_xlfn.XLOOKUP(C873&amp;A873, Inside5!B:B&amp;Inside5!I:I, Inside5!E:E), 0)</f>
        <v>0</v>
      </c>
      <c r="H873" t="str" cm="1">
        <f t="array" ref="H873">IFERROR(_xlfn.XLOOKUP(C873&amp;A873, TDrate!F:F&amp;TDrate!H:H, TDrate!C:C), "N/A")</f>
        <v>N/A</v>
      </c>
      <c r="I873" t="str" cm="1">
        <f t="array" ref="I873">IFERROR(_xlfn.XLOOKUP(C873&amp;A873, TDrate!F:F&amp;TDrate!H:H, TDrate!E:E), "N/A")</f>
        <v>N/A</v>
      </c>
      <c r="J873" cm="1">
        <f t="array" ref="J873">IFERROR(_xlfn.XLOOKUP(C873&amp;A873, Inside5!B:B&amp;Inside5!I:I, Inside5!F:F), 0)</f>
        <v>0</v>
      </c>
      <c r="K873" cm="1">
        <f t="array" ref="K873">IFERROR(_xlfn.XLOOKUP(C873&amp;A873, Inside5!B:B&amp;Inside5!I:I, Inside5!G:G), 0)</f>
        <v>0</v>
      </c>
      <c r="L873" cm="1">
        <f t="array" ref="L873">IFERROR(_xlfn.XLOOKUP(C873&amp;A873, Inside5!B:B&amp;Inside5!I:I, Inside5!H:H), 0)</f>
        <v>0</v>
      </c>
      <c r="M873" t="str" cm="1">
        <f t="array" ref="M873">IFERROR(_xlfn.XLOOKUP(C873&amp;A873, TDrate!F:F&amp;TDrate!H:H, TDrate!B:B), "N/A")</f>
        <v>N/A</v>
      </c>
      <c r="N873" t="str" cm="1">
        <f t="array" ref="N873">IFERROR(_xlfn.XLOOKUP(C873&amp;A873, TDrate!F:F&amp;TDrate!H:H, TDrate!D:D), "N/A")</f>
        <v>N/A</v>
      </c>
    </row>
    <row r="874" spans="1:14" x14ac:dyDescent="0.45">
      <c r="A874" s="5">
        <v>2021</v>
      </c>
      <c r="B874" s="6" t="s">
        <v>807</v>
      </c>
      <c r="C874" s="7" t="str">
        <f t="shared" si="26"/>
        <v>Artavis Pierce</v>
      </c>
      <c r="D874" s="7" t="str">
        <f t="shared" si="27"/>
        <v>CHI</v>
      </c>
      <c r="E874" cm="1">
        <f t="array" aca="1" ref="E874" ca="1">IFERROR(_xlfn.XLOOKUP(C874&amp;A874, Inside5!B:B&amp;Inside5!I:I, Inside5!C:C), 0)</f>
        <v>0</v>
      </c>
      <c r="F874" cm="1">
        <f t="array" aca="1" ref="F874" ca="1">IFERROR(_xlfn.XLOOKUP(C874&amp;A874, Inside5!B:B&amp;Inside5!I:I, Inside5!D:D), 0)</f>
        <v>0</v>
      </c>
      <c r="G874" cm="1">
        <f t="array" ref="G874">IFERROR(_xlfn.XLOOKUP(C874&amp;A874, Inside5!B:B&amp;Inside5!I:I, Inside5!E:E), 0)</f>
        <v>0</v>
      </c>
      <c r="H874" t="str" cm="1">
        <f t="array" ref="H874">IFERROR(_xlfn.XLOOKUP(C874&amp;A874, TDrate!F:F&amp;TDrate!H:H, TDrate!C:C), "N/A")</f>
        <v>N/A</v>
      </c>
      <c r="I874" t="str" cm="1">
        <f t="array" ref="I874">IFERROR(_xlfn.XLOOKUP(C874&amp;A874, TDrate!F:F&amp;TDrate!H:H, TDrate!E:E), "N/A")</f>
        <v>N/A</v>
      </c>
      <c r="J874" cm="1">
        <f t="array" ref="J874">IFERROR(_xlfn.XLOOKUP(C874&amp;A874, Inside5!B:B&amp;Inside5!I:I, Inside5!F:F), 0)</f>
        <v>0</v>
      </c>
      <c r="K874" cm="1">
        <f t="array" ref="K874">IFERROR(_xlfn.XLOOKUP(C874&amp;A874, Inside5!B:B&amp;Inside5!I:I, Inside5!G:G), 0)</f>
        <v>0</v>
      </c>
      <c r="L874" cm="1">
        <f t="array" ref="L874">IFERROR(_xlfn.XLOOKUP(C874&amp;A874, Inside5!B:B&amp;Inside5!I:I, Inside5!H:H), 0)</f>
        <v>0</v>
      </c>
      <c r="M874" t="str" cm="1">
        <f t="array" ref="M874">IFERROR(_xlfn.XLOOKUP(C874&amp;A874, TDrate!F:F&amp;TDrate!H:H, TDrate!B:B), "N/A")</f>
        <v>N/A</v>
      </c>
      <c r="N874" t="str" cm="1">
        <f t="array" ref="N874">IFERROR(_xlfn.XLOOKUP(C874&amp;A874, TDrate!F:F&amp;TDrate!H:H, TDrate!D:D), "N/A")</f>
        <v>N/A</v>
      </c>
    </row>
    <row r="875" spans="1:14" x14ac:dyDescent="0.45">
      <c r="A875" s="8">
        <v>2021</v>
      </c>
      <c r="B875" s="9" t="s">
        <v>808</v>
      </c>
      <c r="C875" s="10" t="str">
        <f t="shared" si="26"/>
        <v>Sewo Olonilua</v>
      </c>
      <c r="D875" s="10" t="str">
        <f t="shared" si="27"/>
        <v>DAL</v>
      </c>
      <c r="E875" cm="1">
        <f t="array" ref="E875">IFERROR(_xlfn.XLOOKUP(C875&amp;A875, Inside5!B:B&amp;Inside5!I:I, Inside5!C:C), 0)</f>
        <v>0</v>
      </c>
      <c r="F875" cm="1">
        <f t="array" aca="1" ref="F875" ca="1">IFERROR(_xlfn.XLOOKUP(C875&amp;A875, Inside5!B:B&amp;Inside5!I:I, Inside5!D:D), 0)</f>
        <v>0</v>
      </c>
      <c r="G875" cm="1">
        <f t="array" ref="G875">IFERROR(_xlfn.XLOOKUP(C875&amp;A875, Inside5!B:B&amp;Inside5!I:I, Inside5!E:E), 0)</f>
        <v>0</v>
      </c>
      <c r="H875" t="str" cm="1">
        <f t="array" ref="H875">IFERROR(_xlfn.XLOOKUP(C875&amp;A875, TDrate!F:F&amp;TDrate!H:H, TDrate!C:C), "N/A")</f>
        <v>N/A</v>
      </c>
      <c r="I875" t="str" cm="1">
        <f t="array" ref="I875">IFERROR(_xlfn.XLOOKUP(C875&amp;A875, TDrate!F:F&amp;TDrate!H:H, TDrate!E:E), "N/A")</f>
        <v>N/A</v>
      </c>
      <c r="J875" cm="1">
        <f t="array" ref="J875">IFERROR(_xlfn.XLOOKUP(C875&amp;A875, Inside5!B:B&amp;Inside5!I:I, Inside5!F:F), 0)</f>
        <v>0</v>
      </c>
      <c r="K875" cm="1">
        <f t="array" ref="K875">IFERROR(_xlfn.XLOOKUP(C875&amp;A875, Inside5!B:B&amp;Inside5!I:I, Inside5!G:G), 0)</f>
        <v>0</v>
      </c>
      <c r="L875" cm="1">
        <f t="array" ref="L875">IFERROR(_xlfn.XLOOKUP(C875&amp;A875, Inside5!B:B&amp;Inside5!I:I, Inside5!H:H), 0)</f>
        <v>0</v>
      </c>
      <c r="M875" t="str" cm="1">
        <f t="array" ref="M875">IFERROR(_xlfn.XLOOKUP(C875&amp;A875, TDrate!F:F&amp;TDrate!H:H, TDrate!B:B), "N/A")</f>
        <v>N/A</v>
      </c>
      <c r="N875" t="str" cm="1">
        <f t="array" ref="N875">IFERROR(_xlfn.XLOOKUP(C875&amp;A875, TDrate!F:F&amp;TDrate!H:H, TDrate!D:D), "N/A")</f>
        <v>N/A</v>
      </c>
    </row>
    <row r="876" spans="1:14" x14ac:dyDescent="0.45">
      <c r="A876" s="5">
        <v>2021</v>
      </c>
      <c r="B876" s="6" t="s">
        <v>809</v>
      </c>
      <c r="C876" s="7" t="str">
        <f t="shared" si="26"/>
        <v>Kirk Merritt</v>
      </c>
      <c r="D876" s="7" t="str">
        <f t="shared" si="27"/>
        <v>MIA</v>
      </c>
      <c r="E876" cm="1">
        <f t="array" ref="E876">IFERROR(_xlfn.XLOOKUP(C876&amp;A876, Inside5!B:B&amp;Inside5!I:I, Inside5!C:C), 0)</f>
        <v>0</v>
      </c>
      <c r="F876" cm="1">
        <f t="array" ref="F876">IFERROR(_xlfn.XLOOKUP(C876&amp;A876, Inside5!B:B&amp;Inside5!I:I, Inside5!D:D), 0)</f>
        <v>0</v>
      </c>
      <c r="G876" cm="1">
        <f t="array" ref="G876">IFERROR(_xlfn.XLOOKUP(C876&amp;A876, Inside5!B:B&amp;Inside5!I:I, Inside5!E:E), 0)</f>
        <v>0</v>
      </c>
      <c r="H876" t="str" cm="1">
        <f t="array" ref="H876">IFERROR(_xlfn.XLOOKUP(C876&amp;A876, TDrate!F:F&amp;TDrate!H:H, TDrate!C:C), "N/A")</f>
        <v>N/A</v>
      </c>
      <c r="I876" t="str" cm="1">
        <f t="array" ref="I876">IFERROR(_xlfn.XLOOKUP(C876&amp;A876, TDrate!F:F&amp;TDrate!H:H, TDrate!E:E), "N/A")</f>
        <v>N/A</v>
      </c>
      <c r="J876" cm="1">
        <f t="array" ref="J876">IFERROR(_xlfn.XLOOKUP(C876&amp;A876, Inside5!B:B&amp;Inside5!I:I, Inside5!F:F), 0)</f>
        <v>0</v>
      </c>
      <c r="K876" cm="1">
        <f t="array" ref="K876">IFERROR(_xlfn.XLOOKUP(C876&amp;A876, Inside5!B:B&amp;Inside5!I:I, Inside5!G:G), 0)</f>
        <v>0</v>
      </c>
      <c r="L876" cm="1">
        <f t="array" ref="L876">IFERROR(_xlfn.XLOOKUP(C876&amp;A876, Inside5!B:B&amp;Inside5!I:I, Inside5!H:H), 0)</f>
        <v>0</v>
      </c>
      <c r="M876" t="str" cm="1">
        <f t="array" ref="M876">IFERROR(_xlfn.XLOOKUP(C876&amp;A876, TDrate!F:F&amp;TDrate!H:H, TDrate!B:B), "N/A")</f>
        <v>N/A</v>
      </c>
      <c r="N876" t="str" cm="1">
        <f t="array" ref="N876">IFERROR(_xlfn.XLOOKUP(C876&amp;A876, TDrate!F:F&amp;TDrate!H:H, TDrate!D:D), "N/A")</f>
        <v>N/A</v>
      </c>
    </row>
    <row r="877" spans="1:14" x14ac:dyDescent="0.45">
      <c r="A877" s="8">
        <v>2021</v>
      </c>
      <c r="B877" s="9" t="s">
        <v>810</v>
      </c>
      <c r="C877" s="10" t="str">
        <f t="shared" si="26"/>
        <v>Pooka Williams Jr.</v>
      </c>
      <c r="D877" s="10" t="str">
        <f t="shared" si="27"/>
        <v>CIN</v>
      </c>
      <c r="E877" cm="1">
        <f t="array" aca="1" ref="E877" ca="1">IFERROR(_xlfn.XLOOKUP(C877&amp;A877, Inside5!B:B&amp;Inside5!I:I, Inside5!C:C), 0)</f>
        <v>0</v>
      </c>
      <c r="F877" cm="1">
        <f t="array" aca="1" ref="F877" ca="1">IFERROR(_xlfn.XLOOKUP(C877&amp;A877, Inside5!B:B&amp;Inside5!I:I, Inside5!D:D), 0)</f>
        <v>0</v>
      </c>
      <c r="G877" cm="1">
        <f t="array" ref="G877">IFERROR(_xlfn.XLOOKUP(C877&amp;A877, Inside5!B:B&amp;Inside5!I:I, Inside5!E:E), 0)</f>
        <v>0</v>
      </c>
      <c r="H877" t="str" cm="1">
        <f t="array" ref="H877">IFERROR(_xlfn.XLOOKUP(C877&amp;A877, TDrate!F:F&amp;TDrate!H:H, TDrate!C:C), "N/A")</f>
        <v>N/A</v>
      </c>
      <c r="I877" t="str" cm="1">
        <f t="array" ref="I877">IFERROR(_xlfn.XLOOKUP(C877&amp;A877, TDrate!F:F&amp;TDrate!H:H, TDrate!E:E), "N/A")</f>
        <v>N/A</v>
      </c>
      <c r="J877" cm="1">
        <f t="array" ref="J877">IFERROR(_xlfn.XLOOKUP(C877&amp;A877, Inside5!B:B&amp;Inside5!I:I, Inside5!F:F), 0)</f>
        <v>0</v>
      </c>
      <c r="K877" cm="1">
        <f t="array" ref="K877">IFERROR(_xlfn.XLOOKUP(C877&amp;A877, Inside5!B:B&amp;Inside5!I:I, Inside5!G:G), 0)</f>
        <v>0</v>
      </c>
      <c r="L877" cm="1">
        <f t="array" ref="L877">IFERROR(_xlfn.XLOOKUP(C877&amp;A877, Inside5!B:B&amp;Inside5!I:I, Inside5!H:H), 0)</f>
        <v>0</v>
      </c>
      <c r="M877" t="str" cm="1">
        <f t="array" ref="M877">IFERROR(_xlfn.XLOOKUP(C877&amp;A877, TDrate!F:F&amp;TDrate!H:H, TDrate!B:B), "N/A")</f>
        <v>N/A</v>
      </c>
      <c r="N877" t="str" cm="1">
        <f t="array" ref="N877">IFERROR(_xlfn.XLOOKUP(C877&amp;A877, TDrate!F:F&amp;TDrate!H:H, TDrate!D:D), "N/A")</f>
        <v>N/A</v>
      </c>
    </row>
    <row r="878" spans="1:14" x14ac:dyDescent="0.45">
      <c r="A878" s="5">
        <v>2021</v>
      </c>
      <c r="B878" s="6" t="s">
        <v>710</v>
      </c>
      <c r="C878" s="7" t="str">
        <f t="shared" si="26"/>
        <v>Sandro Platzgummer</v>
      </c>
      <c r="D878" s="7" t="str">
        <f t="shared" si="27"/>
        <v>NYG</v>
      </c>
      <c r="E878" cm="1">
        <f t="array" aca="1" ref="E878" ca="1">IFERROR(_xlfn.XLOOKUP(C878&amp;A878, Inside5!B:B&amp;Inside5!I:I, Inside5!C:C), 0)</f>
        <v>0</v>
      </c>
      <c r="F878" cm="1">
        <f t="array" aca="1" ref="F878" ca="1">IFERROR(_xlfn.XLOOKUP(C878&amp;A878, Inside5!B:B&amp;Inside5!I:I, Inside5!D:D), 0)</f>
        <v>0</v>
      </c>
      <c r="G878" cm="1">
        <f t="array" ref="G878">IFERROR(_xlfn.XLOOKUP(C878&amp;A878, Inside5!B:B&amp;Inside5!I:I, Inside5!E:E), 0)</f>
        <v>0</v>
      </c>
      <c r="H878" t="str" cm="1">
        <f t="array" ref="H878">IFERROR(_xlfn.XLOOKUP(C878&amp;A878, TDrate!F:F&amp;TDrate!H:H, TDrate!C:C), "N/A")</f>
        <v>N/A</v>
      </c>
      <c r="I878" t="str" cm="1">
        <f t="array" ref="I878">IFERROR(_xlfn.XLOOKUP(C878&amp;A878, TDrate!F:F&amp;TDrate!H:H, TDrate!E:E), "N/A")</f>
        <v>N/A</v>
      </c>
      <c r="J878" cm="1">
        <f t="array" ref="J878">IFERROR(_xlfn.XLOOKUP(C878&amp;A878, Inside5!B:B&amp;Inside5!I:I, Inside5!F:F), 0)</f>
        <v>0</v>
      </c>
      <c r="K878" cm="1">
        <f t="array" ref="K878">IFERROR(_xlfn.XLOOKUP(C878&amp;A878, Inside5!B:B&amp;Inside5!I:I, Inside5!G:G), 0)</f>
        <v>0</v>
      </c>
      <c r="L878" cm="1">
        <f t="array" ref="L878">IFERROR(_xlfn.XLOOKUP(C878&amp;A878, Inside5!B:B&amp;Inside5!I:I, Inside5!H:H), 0)</f>
        <v>0</v>
      </c>
      <c r="M878" t="str" cm="1">
        <f t="array" ref="M878">IFERROR(_xlfn.XLOOKUP(C878&amp;A878, TDrate!F:F&amp;TDrate!H:H, TDrate!B:B), "N/A")</f>
        <v>N/A</v>
      </c>
      <c r="N878" t="str" cm="1">
        <f t="array" ref="N878">IFERROR(_xlfn.XLOOKUP(C878&amp;A878, TDrate!F:F&amp;TDrate!H:H, TDrate!D:D), "N/A")</f>
        <v>N/A</v>
      </c>
    </row>
    <row r="879" spans="1:14" x14ac:dyDescent="0.45">
      <c r="A879" s="8">
        <v>2021</v>
      </c>
      <c r="B879" s="9" t="s">
        <v>682</v>
      </c>
      <c r="C879" s="10" t="str">
        <f t="shared" si="26"/>
        <v>Spencer Brown</v>
      </c>
      <c r="D879" s="10" t="str">
        <f t="shared" si="27"/>
        <v>CAR</v>
      </c>
      <c r="E879" cm="1">
        <f t="array" aca="1" ref="E879" ca="1">IFERROR(_xlfn.XLOOKUP(C879&amp;A879, Inside5!B:B&amp;Inside5!I:I, Inside5!C:C), 0)</f>
        <v>0</v>
      </c>
      <c r="F879" cm="1">
        <f t="array" aca="1" ref="F879" ca="1">IFERROR(_xlfn.XLOOKUP(C879&amp;A879, Inside5!B:B&amp;Inside5!I:I, Inside5!D:D), 0)</f>
        <v>0</v>
      </c>
      <c r="G879" cm="1">
        <f t="array" ref="G879">IFERROR(_xlfn.XLOOKUP(C879&amp;A879, Inside5!B:B&amp;Inside5!I:I, Inside5!E:E), 0)</f>
        <v>0</v>
      </c>
      <c r="H879" t="str" cm="1">
        <f t="array" ref="H879">IFERROR(_xlfn.XLOOKUP(C879&amp;A879, TDrate!F:F&amp;TDrate!H:H, TDrate!C:C), "N/A")</f>
        <v>N/A</v>
      </c>
      <c r="I879" t="str" cm="1">
        <f t="array" ref="I879">IFERROR(_xlfn.XLOOKUP(C879&amp;A879, TDrate!F:F&amp;TDrate!H:H, TDrate!E:E), "N/A")</f>
        <v>N/A</v>
      </c>
      <c r="J879" cm="1">
        <f t="array" ref="J879">IFERROR(_xlfn.XLOOKUP(C879&amp;A879, Inside5!B:B&amp;Inside5!I:I, Inside5!F:F), 0)</f>
        <v>0</v>
      </c>
      <c r="K879" cm="1">
        <f t="array" ref="K879">IFERROR(_xlfn.XLOOKUP(C879&amp;A879, Inside5!B:B&amp;Inside5!I:I, Inside5!G:G), 0)</f>
        <v>0</v>
      </c>
      <c r="L879" cm="1">
        <f t="array" ref="L879">IFERROR(_xlfn.XLOOKUP(C879&amp;A879, Inside5!B:B&amp;Inside5!I:I, Inside5!H:H), 0)</f>
        <v>0</v>
      </c>
      <c r="M879" t="str" cm="1">
        <f t="array" ref="M879">IFERROR(_xlfn.XLOOKUP(C879&amp;A879, TDrate!F:F&amp;TDrate!H:H, TDrate!B:B), "N/A")</f>
        <v>N/A</v>
      </c>
      <c r="N879" t="str" cm="1">
        <f t="array" ref="N879">IFERROR(_xlfn.XLOOKUP(C879&amp;A879, TDrate!F:F&amp;TDrate!H:H, TDrate!D:D), "N/A")</f>
        <v>N/A</v>
      </c>
    </row>
    <row r="880" spans="1:14" x14ac:dyDescent="0.45">
      <c r="A880" s="5">
        <v>2021</v>
      </c>
      <c r="B880" s="6" t="s">
        <v>536</v>
      </c>
      <c r="C880" s="7" t="str">
        <f t="shared" si="26"/>
        <v>Avery Williams</v>
      </c>
      <c r="D880" s="7" t="str">
        <f t="shared" si="27"/>
        <v>ATL</v>
      </c>
      <c r="E880" cm="1">
        <f t="array" aca="1" ref="E880" ca="1">IFERROR(_xlfn.XLOOKUP(C880&amp;A880, Inside5!B:B&amp;Inside5!I:I, Inside5!C:C), 0)</f>
        <v>0</v>
      </c>
      <c r="F880" cm="1">
        <f t="array" aca="1" ref="F880" ca="1">IFERROR(_xlfn.XLOOKUP(C880&amp;A880, Inside5!B:B&amp;Inside5!I:I, Inside5!D:D), 0)</f>
        <v>0</v>
      </c>
      <c r="G880" cm="1">
        <f t="array" ref="G880">IFERROR(_xlfn.XLOOKUP(C880&amp;A880, Inside5!B:B&amp;Inside5!I:I, Inside5!E:E), 0)</f>
        <v>0</v>
      </c>
      <c r="H880" t="str" cm="1">
        <f t="array" ref="H880">IFERROR(_xlfn.XLOOKUP(C880&amp;A880, TDrate!F:F&amp;TDrate!H:H, TDrate!C:C), "N/A")</f>
        <v>N/A</v>
      </c>
      <c r="I880" t="str" cm="1">
        <f t="array" ref="I880">IFERROR(_xlfn.XLOOKUP(C880&amp;A880, TDrate!F:F&amp;TDrate!H:H, TDrate!E:E), "N/A")</f>
        <v>N/A</v>
      </c>
      <c r="J880" cm="1">
        <f t="array" ref="J880">IFERROR(_xlfn.XLOOKUP(C880&amp;A880, Inside5!B:B&amp;Inside5!I:I, Inside5!F:F), 0)</f>
        <v>0</v>
      </c>
      <c r="K880" cm="1">
        <f t="array" ref="K880">IFERROR(_xlfn.XLOOKUP(C880&amp;A880, Inside5!B:B&amp;Inside5!I:I, Inside5!G:G), 0)</f>
        <v>0</v>
      </c>
      <c r="L880" cm="1">
        <f t="array" ref="L880">IFERROR(_xlfn.XLOOKUP(C880&amp;A880, Inside5!B:B&amp;Inside5!I:I, Inside5!H:H), 0)</f>
        <v>0</v>
      </c>
      <c r="M880" t="str" cm="1">
        <f t="array" ref="M880">IFERROR(_xlfn.XLOOKUP(C880&amp;A880, TDrate!F:F&amp;TDrate!H:H, TDrate!B:B), "N/A")</f>
        <v>N/A</v>
      </c>
      <c r="N880" t="str" cm="1">
        <f t="array" ref="N880">IFERROR(_xlfn.XLOOKUP(C880&amp;A880, TDrate!F:F&amp;TDrate!H:H, TDrate!D:D), "N/A")</f>
        <v>N/A</v>
      </c>
    </row>
    <row r="881" spans="1:14" x14ac:dyDescent="0.45">
      <c r="A881" s="8">
        <v>2021</v>
      </c>
      <c r="B881" s="9" t="s">
        <v>811</v>
      </c>
      <c r="C881" s="10" t="str">
        <f t="shared" si="26"/>
        <v>Gerrid Doaks</v>
      </c>
      <c r="D881" s="10" t="str">
        <f t="shared" si="27"/>
        <v>MIA</v>
      </c>
      <c r="E881" cm="1">
        <f t="array" ref="E881">IFERROR(_xlfn.XLOOKUP(C881&amp;A881, Inside5!B:B&amp;Inside5!I:I, Inside5!C:C), 0)</f>
        <v>0</v>
      </c>
      <c r="F881" cm="1">
        <f t="array" ref="F881">IFERROR(_xlfn.XLOOKUP(C881&amp;A881, Inside5!B:B&amp;Inside5!I:I, Inside5!D:D), 0)</f>
        <v>0</v>
      </c>
      <c r="G881" cm="1">
        <f t="array" ref="G881">IFERROR(_xlfn.XLOOKUP(C881&amp;A881, Inside5!B:B&amp;Inside5!I:I, Inside5!E:E), 0)</f>
        <v>0</v>
      </c>
      <c r="H881" t="str" cm="1">
        <f t="array" ref="H881">IFERROR(_xlfn.XLOOKUP(C881&amp;A881, TDrate!F:F&amp;TDrate!H:H, TDrate!C:C), "N/A")</f>
        <v>N/A</v>
      </c>
      <c r="I881" t="str" cm="1">
        <f t="array" ref="I881">IFERROR(_xlfn.XLOOKUP(C881&amp;A881, TDrate!F:F&amp;TDrate!H:H, TDrate!E:E), "N/A")</f>
        <v>N/A</v>
      </c>
      <c r="J881" cm="1">
        <f t="array" ref="J881">IFERROR(_xlfn.XLOOKUP(C881&amp;A881, Inside5!B:B&amp;Inside5!I:I, Inside5!F:F), 0)</f>
        <v>0</v>
      </c>
      <c r="K881" cm="1">
        <f t="array" ref="K881">IFERROR(_xlfn.XLOOKUP(C881&amp;A881, Inside5!B:B&amp;Inside5!I:I, Inside5!G:G), 0)</f>
        <v>0</v>
      </c>
      <c r="L881" cm="1">
        <f t="array" ref="L881">IFERROR(_xlfn.XLOOKUP(C881&amp;A881, Inside5!B:B&amp;Inside5!I:I, Inside5!H:H), 0)</f>
        <v>0</v>
      </c>
      <c r="M881" t="str" cm="1">
        <f t="array" ref="M881">IFERROR(_xlfn.XLOOKUP(C881&amp;A881, TDrate!F:F&amp;TDrate!H:H, TDrate!B:B), "N/A")</f>
        <v>N/A</v>
      </c>
      <c r="N881" t="str" cm="1">
        <f t="array" ref="N881">IFERROR(_xlfn.XLOOKUP(C881&amp;A881, TDrate!F:F&amp;TDrate!H:H, TDrate!D:D), "N/A")</f>
        <v>N/A</v>
      </c>
    </row>
    <row r="882" spans="1:14" x14ac:dyDescent="0.45">
      <c r="A882" s="5">
        <v>2021</v>
      </c>
      <c r="B882" s="6" t="s">
        <v>812</v>
      </c>
      <c r="C882" s="7" t="str">
        <f t="shared" si="26"/>
        <v>Tory Carter</v>
      </c>
      <c r="D882" s="7" t="str">
        <f t="shared" si="27"/>
        <v>TEN</v>
      </c>
      <c r="E882" cm="1">
        <f t="array" ref="E882">IFERROR(_xlfn.XLOOKUP(C882&amp;A882, Inside5!B:B&amp;Inside5!I:I, Inside5!C:C), 0)</f>
        <v>0</v>
      </c>
      <c r="F882" cm="1">
        <f t="array" aca="1" ref="F882" ca="1">IFERROR(_xlfn.XLOOKUP(C882&amp;A882, Inside5!B:B&amp;Inside5!I:I, Inside5!D:D), 0)</f>
        <v>0</v>
      </c>
      <c r="G882" cm="1">
        <f t="array" ref="G882">IFERROR(_xlfn.XLOOKUP(C882&amp;A882, Inside5!B:B&amp;Inside5!I:I, Inside5!E:E), 0)</f>
        <v>0</v>
      </c>
      <c r="H882" t="str" cm="1">
        <f t="array" ref="H882">IFERROR(_xlfn.XLOOKUP(C882&amp;A882, TDrate!F:F&amp;TDrate!H:H, TDrate!C:C), "N/A")</f>
        <v>N/A</v>
      </c>
      <c r="I882" t="str" cm="1">
        <f t="array" ref="I882">IFERROR(_xlfn.XLOOKUP(C882&amp;A882, TDrate!F:F&amp;TDrate!H:H, TDrate!E:E), "N/A")</f>
        <v>N/A</v>
      </c>
      <c r="J882" cm="1">
        <f t="array" ref="J882">IFERROR(_xlfn.XLOOKUP(C882&amp;A882, Inside5!B:B&amp;Inside5!I:I, Inside5!F:F), 0)</f>
        <v>0</v>
      </c>
      <c r="K882" cm="1">
        <f t="array" aca="1" ref="K882" ca="1">IFERROR(_xlfn.XLOOKUP(C882&amp;A882, Inside5!B:B&amp;Inside5!I:I, Inside5!G:G), 0)</f>
        <v>0</v>
      </c>
      <c r="L882" cm="1">
        <f t="array" ref="L882">IFERROR(_xlfn.XLOOKUP(C882&amp;A882, Inside5!B:B&amp;Inside5!I:I, Inside5!H:H), 0)</f>
        <v>0</v>
      </c>
      <c r="M882" t="str" cm="1">
        <f t="array" ref="M882">IFERROR(_xlfn.XLOOKUP(C882&amp;A882, TDrate!F:F&amp;TDrate!H:H, TDrate!B:B), "N/A")</f>
        <v>N/A</v>
      </c>
      <c r="N882" t="str" cm="1">
        <f t="array" ref="N882">IFERROR(_xlfn.XLOOKUP(C882&amp;A882, TDrate!F:F&amp;TDrate!H:H, TDrate!D:D), "N/A")</f>
        <v>N/A</v>
      </c>
    </row>
    <row r="883" spans="1:14" x14ac:dyDescent="0.45">
      <c r="A883" s="8">
        <v>2021</v>
      </c>
      <c r="B883" s="9" t="s">
        <v>813</v>
      </c>
      <c r="C883" s="10" t="str">
        <f t="shared" si="26"/>
        <v>Nick Ralston</v>
      </c>
      <c r="D883" s="10" t="str">
        <f t="shared" si="27"/>
        <v>DAL</v>
      </c>
      <c r="E883" cm="1">
        <f t="array" ref="E883">IFERROR(_xlfn.XLOOKUP(C883&amp;A883, Inside5!B:B&amp;Inside5!I:I, Inside5!C:C), 0)</f>
        <v>0</v>
      </c>
      <c r="F883" cm="1">
        <f t="array" aca="1" ref="F883" ca="1">IFERROR(_xlfn.XLOOKUP(C883&amp;A883, Inside5!B:B&amp;Inside5!I:I, Inside5!D:D), 0)</f>
        <v>0</v>
      </c>
      <c r="G883" cm="1">
        <f t="array" ref="G883">IFERROR(_xlfn.XLOOKUP(C883&amp;A883, Inside5!B:B&amp;Inside5!I:I, Inside5!E:E), 0)</f>
        <v>0</v>
      </c>
      <c r="H883" t="str" cm="1">
        <f t="array" ref="H883">IFERROR(_xlfn.XLOOKUP(C883&amp;A883, TDrate!F:F&amp;TDrate!H:H, TDrate!C:C), "N/A")</f>
        <v>N/A</v>
      </c>
      <c r="I883" t="str" cm="1">
        <f t="array" ref="I883">IFERROR(_xlfn.XLOOKUP(C883&amp;A883, TDrate!F:F&amp;TDrate!H:H, TDrate!E:E), "N/A")</f>
        <v>N/A</v>
      </c>
      <c r="J883" cm="1">
        <f t="array" ref="J883">IFERROR(_xlfn.XLOOKUP(C883&amp;A883, Inside5!B:B&amp;Inside5!I:I, Inside5!F:F), 0)</f>
        <v>0</v>
      </c>
      <c r="K883" cm="1">
        <f t="array" ref="K883">IFERROR(_xlfn.XLOOKUP(C883&amp;A883, Inside5!B:B&amp;Inside5!I:I, Inside5!G:G), 0)</f>
        <v>0</v>
      </c>
      <c r="L883" cm="1">
        <f t="array" ref="L883">IFERROR(_xlfn.XLOOKUP(C883&amp;A883, Inside5!B:B&amp;Inside5!I:I, Inside5!H:H), 0)</f>
        <v>0</v>
      </c>
      <c r="M883" t="str" cm="1">
        <f t="array" ref="M883">IFERROR(_xlfn.XLOOKUP(C883&amp;A883, TDrate!F:F&amp;TDrate!H:H, TDrate!B:B), "N/A")</f>
        <v>N/A</v>
      </c>
      <c r="N883" t="str" cm="1">
        <f t="array" ref="N883">IFERROR(_xlfn.XLOOKUP(C883&amp;A883, TDrate!F:F&amp;TDrate!H:H, TDrate!D:D), "N/A")</f>
        <v>N/A</v>
      </c>
    </row>
    <row r="884" spans="1:14" x14ac:dyDescent="0.45">
      <c r="A884" s="5">
        <v>2021</v>
      </c>
      <c r="B884" s="6" t="s">
        <v>814</v>
      </c>
      <c r="C884" s="7" t="str">
        <f t="shared" si="26"/>
        <v>B.J. Emmons</v>
      </c>
      <c r="D884" s="7" t="str">
        <f t="shared" si="27"/>
        <v>SEA</v>
      </c>
      <c r="E884" cm="1">
        <f t="array" aca="1" ref="E884" ca="1">IFERROR(_xlfn.XLOOKUP(C884&amp;A884, Inside5!B:B&amp;Inside5!I:I, Inside5!C:C), 0)</f>
        <v>0</v>
      </c>
      <c r="F884" cm="1">
        <f t="array" aca="1" ref="F884" ca="1">IFERROR(_xlfn.XLOOKUP(C884&amp;A884, Inside5!B:B&amp;Inside5!I:I, Inside5!D:D), 0)</f>
        <v>0</v>
      </c>
      <c r="G884" cm="1">
        <f t="array" ref="G884">IFERROR(_xlfn.XLOOKUP(C884&amp;A884, Inside5!B:B&amp;Inside5!I:I, Inside5!E:E), 0)</f>
        <v>0</v>
      </c>
      <c r="H884" t="str" cm="1">
        <f t="array" ref="H884">IFERROR(_xlfn.XLOOKUP(C884&amp;A884, TDrate!F:F&amp;TDrate!H:H, TDrate!C:C), "N/A")</f>
        <v>N/A</v>
      </c>
      <c r="I884" t="str" cm="1">
        <f t="array" ref="I884">IFERROR(_xlfn.XLOOKUP(C884&amp;A884, TDrate!F:F&amp;TDrate!H:H, TDrate!E:E), "N/A")</f>
        <v>N/A</v>
      </c>
      <c r="J884" cm="1">
        <f t="array" ref="J884">IFERROR(_xlfn.XLOOKUP(C884&amp;A884, Inside5!B:B&amp;Inside5!I:I, Inside5!F:F), 0)</f>
        <v>0</v>
      </c>
      <c r="K884" cm="1">
        <f t="array" aca="1" ref="K884" ca="1">IFERROR(_xlfn.XLOOKUP(C884&amp;A884, Inside5!B:B&amp;Inside5!I:I, Inside5!G:G), 0)</f>
        <v>0</v>
      </c>
      <c r="L884" cm="1">
        <f t="array" ref="L884">IFERROR(_xlfn.XLOOKUP(C884&amp;A884, Inside5!B:B&amp;Inside5!I:I, Inside5!H:H), 0)</f>
        <v>0</v>
      </c>
      <c r="M884" t="str" cm="1">
        <f t="array" ref="M884">IFERROR(_xlfn.XLOOKUP(C884&amp;A884, TDrate!F:F&amp;TDrate!H:H, TDrate!B:B), "N/A")</f>
        <v>N/A</v>
      </c>
      <c r="N884" t="str" cm="1">
        <f t="array" ref="N884">IFERROR(_xlfn.XLOOKUP(C884&amp;A884, TDrate!F:F&amp;TDrate!H:H, TDrate!D:D), "N/A")</f>
        <v>N/A</v>
      </c>
    </row>
    <row r="885" spans="1:14" x14ac:dyDescent="0.45">
      <c r="A885" s="8">
        <v>2021</v>
      </c>
      <c r="B885" s="9" t="s">
        <v>815</v>
      </c>
      <c r="C885" s="10" t="str">
        <f t="shared" si="26"/>
        <v>Josh Johnson</v>
      </c>
      <c r="D885" s="10" t="str">
        <f t="shared" si="27"/>
        <v>SEA</v>
      </c>
      <c r="E885" cm="1">
        <f t="array" aca="1" ref="E885" ca="1">IFERROR(_xlfn.XLOOKUP(C885&amp;A885, Inside5!B:B&amp;Inside5!I:I, Inside5!C:C), 0)</f>
        <v>0</v>
      </c>
      <c r="F885" cm="1">
        <f t="array" aca="1" ref="F885" ca="1">IFERROR(_xlfn.XLOOKUP(C885&amp;A885, Inside5!B:B&amp;Inside5!I:I, Inside5!D:D), 0)</f>
        <v>0</v>
      </c>
      <c r="G885" cm="1">
        <f t="array" ref="G885">IFERROR(_xlfn.XLOOKUP(C885&amp;A885, Inside5!B:B&amp;Inside5!I:I, Inside5!E:E), 0)</f>
        <v>0</v>
      </c>
      <c r="H885" t="str" cm="1">
        <f t="array" ref="H885">IFERROR(_xlfn.XLOOKUP(C885&amp;A885, TDrate!F:F&amp;TDrate!H:H, TDrate!C:C), "N/A")</f>
        <v>N/A</v>
      </c>
      <c r="I885" t="str" cm="1">
        <f t="array" ref="I885">IFERROR(_xlfn.XLOOKUP(C885&amp;A885, TDrate!F:F&amp;TDrate!H:H, TDrate!E:E), "N/A")</f>
        <v>N/A</v>
      </c>
      <c r="J885" cm="1">
        <f t="array" ref="J885">IFERROR(_xlfn.XLOOKUP(C885&amp;A885, Inside5!B:B&amp;Inside5!I:I, Inside5!F:F), 0)</f>
        <v>0</v>
      </c>
      <c r="K885" cm="1">
        <f t="array" aca="1" ref="K885" ca="1">IFERROR(_xlfn.XLOOKUP(C885&amp;A885, Inside5!B:B&amp;Inside5!I:I, Inside5!G:G), 0)</f>
        <v>0</v>
      </c>
      <c r="L885" cm="1">
        <f t="array" ref="L885">IFERROR(_xlfn.XLOOKUP(C885&amp;A885, Inside5!B:B&amp;Inside5!I:I, Inside5!H:H), 0)</f>
        <v>0</v>
      </c>
      <c r="M885" t="str" cm="1">
        <f t="array" ref="M885">IFERROR(_xlfn.XLOOKUP(C885&amp;A885, TDrate!F:F&amp;TDrate!H:H, TDrate!B:B), "N/A")</f>
        <v>N/A</v>
      </c>
      <c r="N885" t="str" cm="1">
        <f t="array" ref="N885">IFERROR(_xlfn.XLOOKUP(C885&amp;A885, TDrate!F:F&amp;TDrate!H:H, TDrate!D:D), "N/A")</f>
        <v>N/A</v>
      </c>
    </row>
    <row r="886" spans="1:14" x14ac:dyDescent="0.45">
      <c r="A886" s="5">
        <v>2021</v>
      </c>
      <c r="B886" s="6" t="s">
        <v>816</v>
      </c>
      <c r="C886" s="7" t="str">
        <f t="shared" si="26"/>
        <v>Nate McCrary</v>
      </c>
      <c r="D886" s="7" t="str">
        <f t="shared" si="27"/>
        <v>BAL</v>
      </c>
      <c r="E886" cm="1">
        <f t="array" ref="E886">IFERROR(_xlfn.XLOOKUP(C886&amp;A886, Inside5!B:B&amp;Inside5!I:I, Inside5!C:C), 0)</f>
        <v>0</v>
      </c>
      <c r="F886" cm="1">
        <f t="array" aca="1" ref="F886" ca="1">IFERROR(_xlfn.XLOOKUP(C886&amp;A886, Inside5!B:B&amp;Inside5!I:I, Inside5!D:D), 0)</f>
        <v>0</v>
      </c>
      <c r="G886" cm="1">
        <f t="array" ref="G886">IFERROR(_xlfn.XLOOKUP(C886&amp;A886, Inside5!B:B&amp;Inside5!I:I, Inside5!E:E), 0)</f>
        <v>0</v>
      </c>
      <c r="H886" t="str" cm="1">
        <f t="array" ref="H886">IFERROR(_xlfn.XLOOKUP(C886&amp;A886, TDrate!F:F&amp;TDrate!H:H, TDrate!C:C), "N/A")</f>
        <v>N/A</v>
      </c>
      <c r="I886" t="str" cm="1">
        <f t="array" ref="I886">IFERROR(_xlfn.XLOOKUP(C886&amp;A886, TDrate!F:F&amp;TDrate!H:H, TDrate!E:E), "N/A")</f>
        <v>N/A</v>
      </c>
      <c r="J886" cm="1">
        <f t="array" ref="J886">IFERROR(_xlfn.XLOOKUP(C886&amp;A886, Inside5!B:B&amp;Inside5!I:I, Inside5!F:F), 0)</f>
        <v>0</v>
      </c>
      <c r="K886" cm="1">
        <f t="array" ref="K886">IFERROR(_xlfn.XLOOKUP(C886&amp;A886, Inside5!B:B&amp;Inside5!I:I, Inside5!G:G), 0)</f>
        <v>0</v>
      </c>
      <c r="L886" cm="1">
        <f t="array" ref="L886">IFERROR(_xlfn.XLOOKUP(C886&amp;A886, Inside5!B:B&amp;Inside5!I:I, Inside5!H:H), 0)</f>
        <v>0</v>
      </c>
      <c r="M886" t="str" cm="1">
        <f t="array" ref="M886">IFERROR(_xlfn.XLOOKUP(C886&amp;A886, TDrate!F:F&amp;TDrate!H:H, TDrate!B:B), "N/A")</f>
        <v>N/A</v>
      </c>
      <c r="N886" t="str" cm="1">
        <f t="array" ref="N886">IFERROR(_xlfn.XLOOKUP(C886&amp;A886, TDrate!F:F&amp;TDrate!H:H, TDrate!D:D), "N/A")</f>
        <v>N/A</v>
      </c>
    </row>
    <row r="887" spans="1:14" x14ac:dyDescent="0.45">
      <c r="A887" s="8">
        <v>2021</v>
      </c>
      <c r="B887" s="9" t="s">
        <v>817</v>
      </c>
      <c r="C887" s="10" t="str">
        <f t="shared" si="26"/>
        <v>Khari Blasingame</v>
      </c>
      <c r="D887" s="10" t="str">
        <f t="shared" si="27"/>
        <v>TEN</v>
      </c>
      <c r="E887" cm="1">
        <f t="array" ref="E887">IFERROR(_xlfn.XLOOKUP(C887&amp;A887, Inside5!B:B&amp;Inside5!I:I, Inside5!C:C), 0)</f>
        <v>0</v>
      </c>
      <c r="F887" cm="1">
        <f t="array" ref="F887">IFERROR(_xlfn.XLOOKUP(C887&amp;A887, Inside5!B:B&amp;Inside5!I:I, Inside5!D:D), 0)</f>
        <v>0</v>
      </c>
      <c r="G887" cm="1">
        <f t="array" ref="G887">IFERROR(_xlfn.XLOOKUP(C887&amp;A887, Inside5!B:B&amp;Inside5!I:I, Inside5!E:E), 0)</f>
        <v>0</v>
      </c>
      <c r="H887" t="str" cm="1">
        <f t="array" ref="H887">IFERROR(_xlfn.XLOOKUP(C887&amp;A887, TDrate!F:F&amp;TDrate!H:H, TDrate!C:C), "N/A")</f>
        <v>N/A</v>
      </c>
      <c r="I887" t="str" cm="1">
        <f t="array" ref="I887">IFERROR(_xlfn.XLOOKUP(C887&amp;A887, TDrate!F:F&amp;TDrate!H:H, TDrate!E:E), "N/A")</f>
        <v>N/A</v>
      </c>
      <c r="J887" cm="1">
        <f t="array" ref="J887">IFERROR(_xlfn.XLOOKUP(C887&amp;A887, Inside5!B:B&amp;Inside5!I:I, Inside5!F:F), 0)</f>
        <v>0</v>
      </c>
      <c r="K887" cm="1">
        <f t="array" aca="1" ref="K887" ca="1">IFERROR(_xlfn.XLOOKUP(C887&amp;A887, Inside5!B:B&amp;Inside5!I:I, Inside5!G:G), 0)</f>
        <v>0</v>
      </c>
      <c r="L887" cm="1">
        <f t="array" ref="L887">IFERROR(_xlfn.XLOOKUP(C887&amp;A887, Inside5!B:B&amp;Inside5!I:I, Inside5!H:H), 0)</f>
        <v>0</v>
      </c>
      <c r="M887" t="str" cm="1">
        <f t="array" ref="M887">IFERROR(_xlfn.XLOOKUP(C887&amp;A887, TDrate!F:F&amp;TDrate!H:H, TDrate!B:B), "N/A")</f>
        <v>N/A</v>
      </c>
      <c r="N887" t="str" cm="1">
        <f t="array" ref="N887">IFERROR(_xlfn.XLOOKUP(C887&amp;A887, TDrate!F:F&amp;TDrate!H:H, TDrate!D:D), "N/A")</f>
        <v>N/A</v>
      </c>
    </row>
    <row r="888" spans="1:14" x14ac:dyDescent="0.45">
      <c r="A888" s="5">
        <v>2021</v>
      </c>
      <c r="B888" s="6" t="s">
        <v>818</v>
      </c>
      <c r="C888" s="7" t="str">
        <f t="shared" si="26"/>
        <v>Trenton Cannon</v>
      </c>
      <c r="D888" s="7" t="str">
        <f t="shared" si="27"/>
        <v>SF</v>
      </c>
      <c r="E888" cm="1">
        <f t="array" aca="1" ref="E888" ca="1">IFERROR(_xlfn.XLOOKUP(C888&amp;A888, Inside5!B:B&amp;Inside5!I:I, Inside5!C:C), 0)</f>
        <v>0</v>
      </c>
      <c r="F888" cm="1">
        <f t="array" aca="1" ref="F888" ca="1">IFERROR(_xlfn.XLOOKUP(C888&amp;A888, Inside5!B:B&amp;Inside5!I:I, Inside5!D:D), 0)</f>
        <v>0</v>
      </c>
      <c r="G888" cm="1">
        <f t="array" ref="G888">IFERROR(_xlfn.XLOOKUP(C888&amp;A888, Inside5!B:B&amp;Inside5!I:I, Inside5!E:E), 0)</f>
        <v>0</v>
      </c>
      <c r="H888" t="str" cm="1">
        <f t="array" ref="H888">IFERROR(_xlfn.XLOOKUP(C888&amp;A888, TDrate!F:F&amp;TDrate!H:H, TDrate!C:C), "N/A")</f>
        <v>N/A</v>
      </c>
      <c r="I888" t="str" cm="1">
        <f t="array" ref="I888">IFERROR(_xlfn.XLOOKUP(C888&amp;A888, TDrate!F:F&amp;TDrate!H:H, TDrate!E:E), "N/A")</f>
        <v>N/A</v>
      </c>
      <c r="J888" cm="1">
        <f t="array" ref="J888">IFERROR(_xlfn.XLOOKUP(C888&amp;A888, Inside5!B:B&amp;Inside5!I:I, Inside5!F:F), 0)</f>
        <v>0</v>
      </c>
      <c r="K888" cm="1">
        <f t="array" ref="K888">IFERROR(_xlfn.XLOOKUP(C888&amp;A888, Inside5!B:B&amp;Inside5!I:I, Inside5!G:G), 0)</f>
        <v>0</v>
      </c>
      <c r="L888" cm="1">
        <f t="array" ref="L888">IFERROR(_xlfn.XLOOKUP(C888&amp;A888, Inside5!B:B&amp;Inside5!I:I, Inside5!H:H), 0)</f>
        <v>0</v>
      </c>
      <c r="M888" t="str" cm="1">
        <f t="array" ref="M888">IFERROR(_xlfn.XLOOKUP(C888&amp;A888, TDrate!F:F&amp;TDrate!H:H, TDrate!B:B), "N/A")</f>
        <v>N/A</v>
      </c>
      <c r="N888" t="str" cm="1">
        <f t="array" ref="N888">IFERROR(_xlfn.XLOOKUP(C888&amp;A888, TDrate!F:F&amp;TDrate!H:H, TDrate!D:D), "N/A")</f>
        <v>N/A</v>
      </c>
    </row>
    <row r="889" spans="1:14" x14ac:dyDescent="0.45">
      <c r="A889" s="8">
        <v>2020</v>
      </c>
      <c r="B889" s="9" t="s">
        <v>545</v>
      </c>
      <c r="C889" s="10" t="str">
        <f t="shared" si="26"/>
        <v>Derrick Henry</v>
      </c>
      <c r="D889" s="10" t="str">
        <f t="shared" si="27"/>
        <v>TEN</v>
      </c>
      <c r="E889" cm="1">
        <f t="array" ref="E889">IFERROR(_xlfn.XLOOKUP(C889&amp;A889, Inside5!B:B&amp;Inside5!I:I, Inside5!C:C), 0)</f>
        <v>17</v>
      </c>
      <c r="F889" cm="1">
        <f t="array" ref="F889">IFERROR(_xlfn.XLOOKUP(C889&amp;A889, Inside5!B:B&amp;Inside5!I:I, Inside5!D:D), 0)</f>
        <v>9</v>
      </c>
      <c r="G889" cm="1">
        <f t="array" ref="G889">IFERROR(_xlfn.XLOOKUP(C889&amp;A889, Inside5!B:B&amp;Inside5!I:I, Inside5!E:E), 0)</f>
        <v>0.81</v>
      </c>
      <c r="H889" cm="1">
        <f t="array" ref="H889">IFERROR(_xlfn.XLOOKUP(C889&amp;A889, TDrate!F:F&amp;TDrate!H:H, TDrate!C:C), "N/A")</f>
        <v>4.4999999999999998E-2</v>
      </c>
      <c r="I889" cm="1">
        <f t="array" ref="I889">IFERROR(_xlfn.XLOOKUP(C889&amp;A889, TDrate!F:F&amp;TDrate!H:H, TDrate!E:E), "N/A")</f>
        <v>3.9100000000000003E-2</v>
      </c>
      <c r="J889" cm="1">
        <f t="array" ref="J889">IFERROR(_xlfn.XLOOKUP(C889&amp;A889, Inside5!B:B&amp;Inside5!I:I, Inside5!F:F), 0)</f>
        <v>0</v>
      </c>
      <c r="K889" cm="1">
        <f t="array" ref="K889">IFERROR(_xlfn.XLOOKUP(C889&amp;A889, Inside5!B:B&amp;Inside5!I:I, Inside5!G:G), 0)</f>
        <v>0</v>
      </c>
      <c r="L889" cm="1">
        <f t="array" ref="L889">IFERROR(_xlfn.XLOOKUP(C889&amp;A889, Inside5!B:B&amp;Inside5!I:I, Inside5!H:H), 0)</f>
        <v>0</v>
      </c>
      <c r="M889" cm="1">
        <f t="array" ref="M889">IFERROR(_xlfn.XLOOKUP(C889&amp;A889, TDrate!F:F&amp;TDrate!H:H, TDrate!B:B), "N/A")</f>
        <v>0</v>
      </c>
      <c r="N889" cm="1">
        <f t="array" ref="N889">IFERROR(_xlfn.XLOOKUP(C889&amp;A889, TDrate!F:F&amp;TDrate!H:H, TDrate!D:D), "N/A")</f>
        <v>7.4999999999999997E-3</v>
      </c>
    </row>
    <row r="890" spans="1:14" x14ac:dyDescent="0.45">
      <c r="A890" s="5">
        <v>2020</v>
      </c>
      <c r="B890" s="6" t="s">
        <v>342</v>
      </c>
      <c r="C890" s="7" t="str">
        <f t="shared" si="26"/>
        <v>Alvin Kamara</v>
      </c>
      <c r="D890" s="7" t="str">
        <f t="shared" si="27"/>
        <v>NO</v>
      </c>
      <c r="E890" cm="1">
        <f t="array" ref="E890">IFERROR(_xlfn.XLOOKUP(C890&amp;A890, Inside5!B:B&amp;Inside5!I:I, Inside5!C:C), 0)</f>
        <v>15</v>
      </c>
      <c r="F890" cm="1">
        <f t="array" aca="1" ref="F890" ca="1">IFERROR(_xlfn.XLOOKUP(C890&amp;A890, Inside5!B:B&amp;Inside5!I:I, Inside5!D:D), 0)</f>
        <v>11</v>
      </c>
      <c r="G890" cm="1">
        <f t="array" ref="G890">IFERROR(_xlfn.XLOOKUP(C890&amp;A890, Inside5!B:B&amp;Inside5!I:I, Inside5!E:E), 0)</f>
        <v>0.83299999999999996</v>
      </c>
      <c r="H890" cm="1">
        <f t="array" ref="H890">IFERROR(_xlfn.XLOOKUP(C890&amp;A890, TDrate!F:F&amp;TDrate!H:H, TDrate!C:C), "N/A")</f>
        <v>8.5599999999999996E-2</v>
      </c>
      <c r="I890" cm="1">
        <f t="array" ref="I890">IFERROR(_xlfn.XLOOKUP(C890&amp;A890, TDrate!F:F&amp;TDrate!H:H, TDrate!E:E), "N/A")</f>
        <v>6.7199999999999996E-2</v>
      </c>
      <c r="J890" cm="1">
        <f t="array" ref="J890">IFERROR(_xlfn.XLOOKUP(C890&amp;A890, Inside5!B:B&amp;Inside5!I:I, Inside5!F:F), 0)</f>
        <v>2</v>
      </c>
      <c r="K890" cm="1">
        <f t="array" ref="K890">IFERROR(_xlfn.XLOOKUP(C890&amp;A890, Inside5!B:B&amp;Inside5!I:I, Inside5!G:G), 0)</f>
        <v>2</v>
      </c>
      <c r="L890" cm="1">
        <f t="array" ref="L890">IFERROR(_xlfn.XLOOKUP(C890&amp;A890, Inside5!B:B&amp;Inside5!I:I, Inside5!H:H), 0)</f>
        <v>1</v>
      </c>
      <c r="M890" cm="1">
        <f t="array" ref="M890">IFERROR(_xlfn.XLOOKUP(C890&amp;A890, TDrate!F:F&amp;TDrate!H:H, TDrate!B:B), "N/A")</f>
        <v>4.6699999999999998E-2</v>
      </c>
      <c r="N890" cm="1">
        <f t="array" ref="N890">IFERROR(_xlfn.XLOOKUP(C890&amp;A890, TDrate!F:F&amp;TDrate!H:H, TDrate!D:D), "N/A")</f>
        <v>3.9399999999999998E-2</v>
      </c>
    </row>
    <row r="891" spans="1:14" x14ac:dyDescent="0.45">
      <c r="A891" s="8">
        <v>2020</v>
      </c>
      <c r="B891" s="9" t="s">
        <v>635</v>
      </c>
      <c r="C891" s="10" t="str">
        <f t="shared" si="26"/>
        <v>Dalvin Cook</v>
      </c>
      <c r="D891" s="10" t="str">
        <f t="shared" si="27"/>
        <v>MIN</v>
      </c>
      <c r="E891" cm="1">
        <f t="array" ref="E891">IFERROR(_xlfn.XLOOKUP(C891&amp;A891, Inside5!B:B&amp;Inside5!I:I, Inside5!C:C), 0)</f>
        <v>26</v>
      </c>
      <c r="F891" cm="1">
        <f t="array" ref="F891">IFERROR(_xlfn.XLOOKUP(C891&amp;A891, Inside5!B:B&amp;Inside5!I:I, Inside5!D:D), 0)</f>
        <v>10</v>
      </c>
      <c r="G891" cm="1">
        <f t="array" ref="G891">IFERROR(_xlfn.XLOOKUP(C891&amp;A891, Inside5!B:B&amp;Inside5!I:I, Inside5!E:E), 0)</f>
        <v>0.81299999999999994</v>
      </c>
      <c r="H891" cm="1">
        <f t="array" ref="H891">IFERROR(_xlfn.XLOOKUP(C891&amp;A891, TDrate!F:F&amp;TDrate!H:H, TDrate!C:C), "N/A")</f>
        <v>5.1299999999999998E-2</v>
      </c>
      <c r="I891" cm="1">
        <f t="array" ref="I891">IFERROR(_xlfn.XLOOKUP(C891&amp;A891, TDrate!F:F&amp;TDrate!H:H, TDrate!E:E), "N/A")</f>
        <v>4.8500000000000001E-2</v>
      </c>
      <c r="J891" cm="1">
        <f t="array" ref="J891">IFERROR(_xlfn.XLOOKUP(C891&amp;A891, Inside5!B:B&amp;Inside5!I:I, Inside5!F:F), 0)</f>
        <v>0</v>
      </c>
      <c r="K891" cm="1">
        <f t="array" aca="1" ref="K891" ca="1">IFERROR(_xlfn.XLOOKUP(C891&amp;A891, Inside5!B:B&amp;Inside5!I:I, Inside5!G:G), 0)</f>
        <v>0</v>
      </c>
      <c r="L891" cm="1">
        <f t="array" ref="L891">IFERROR(_xlfn.XLOOKUP(C891&amp;A891, Inside5!B:B&amp;Inside5!I:I, Inside5!H:H), 0)</f>
        <v>0</v>
      </c>
      <c r="M891" cm="1">
        <f t="array" ref="M891">IFERROR(_xlfn.XLOOKUP(C891&amp;A891, TDrate!F:F&amp;TDrate!H:H, TDrate!B:B), "N/A")</f>
        <v>1.8499999999999999E-2</v>
      </c>
      <c r="N891" cm="1">
        <f t="array" ref="N891">IFERROR(_xlfn.XLOOKUP(C891&amp;A891, TDrate!F:F&amp;TDrate!H:H, TDrate!D:D), "N/A")</f>
        <v>1.52E-2</v>
      </c>
    </row>
    <row r="892" spans="1:14" x14ac:dyDescent="0.45">
      <c r="A892" s="5">
        <v>2020</v>
      </c>
      <c r="B892" s="6" t="s">
        <v>299</v>
      </c>
      <c r="C892" s="7" t="str">
        <f t="shared" si="26"/>
        <v>Jonathan Taylor</v>
      </c>
      <c r="D892" s="7" t="str">
        <f t="shared" si="27"/>
        <v>IND</v>
      </c>
      <c r="E892" cm="1">
        <f t="array" ref="E892">IFERROR(_xlfn.XLOOKUP(C892&amp;A892, Inside5!B:B&amp;Inside5!I:I, Inside5!C:C), 0)</f>
        <v>15</v>
      </c>
      <c r="F892" cm="1">
        <f t="array" ref="F892">IFERROR(_xlfn.XLOOKUP(C892&amp;A892, Inside5!B:B&amp;Inside5!I:I, Inside5!D:D), 0)</f>
        <v>7</v>
      </c>
      <c r="G892" cm="1">
        <f t="array" ref="G892">IFERROR(_xlfn.XLOOKUP(C892&amp;A892, Inside5!B:B&amp;Inside5!I:I, Inside5!E:E), 0)</f>
        <v>0.625</v>
      </c>
      <c r="H892" cm="1">
        <f t="array" ref="H892">IFERROR(_xlfn.XLOOKUP(C892&amp;A892, TDrate!F:F&amp;TDrate!H:H, TDrate!C:C), "N/A")</f>
        <v>4.7399999999999998E-2</v>
      </c>
      <c r="I892" cm="1">
        <f t="array" ref="I892">IFERROR(_xlfn.XLOOKUP(C892&amp;A892, TDrate!F:F&amp;TDrate!H:H, TDrate!E:E), "N/A")</f>
        <v>4.4699999999999997E-2</v>
      </c>
      <c r="J892" cm="1">
        <f t="array" ref="J892">IFERROR(_xlfn.XLOOKUP(C892&amp;A892, Inside5!B:B&amp;Inside5!I:I, Inside5!F:F), 0)</f>
        <v>0</v>
      </c>
      <c r="K892" cm="1">
        <f t="array" ref="K892">IFERROR(_xlfn.XLOOKUP(C892&amp;A892, Inside5!B:B&amp;Inside5!I:I, Inside5!G:G), 0)</f>
        <v>1</v>
      </c>
      <c r="L892" cm="1">
        <f t="array" ref="L892">IFERROR(_xlfn.XLOOKUP(C892&amp;A892, Inside5!B:B&amp;Inside5!I:I, Inside5!H:H), 0)</f>
        <v>0</v>
      </c>
      <c r="M892" cm="1">
        <f t="array" ref="M892">IFERROR(_xlfn.XLOOKUP(C892&amp;A892, TDrate!F:F&amp;TDrate!H:H, TDrate!B:B), "N/A")</f>
        <v>2.4400000000000002E-2</v>
      </c>
      <c r="N892" cm="1">
        <f t="array" ref="N892">IFERROR(_xlfn.XLOOKUP(C892&amp;A892, TDrate!F:F&amp;TDrate!H:H, TDrate!D:D), "N/A")</f>
        <v>2.6700000000000002E-2</v>
      </c>
    </row>
    <row r="893" spans="1:14" x14ac:dyDescent="0.45">
      <c r="A893" s="8">
        <v>2020</v>
      </c>
      <c r="B893" s="9" t="s">
        <v>556</v>
      </c>
      <c r="C893" s="10" t="str">
        <f t="shared" si="26"/>
        <v>Aaron Jones Sr.</v>
      </c>
      <c r="D893" s="10" t="str">
        <f t="shared" si="27"/>
        <v>GB</v>
      </c>
      <c r="E893" cm="1">
        <f t="array" aca="1" ref="E893" ca="1">IFERROR(_xlfn.XLOOKUP(C893&amp;A893, Inside5!B:B&amp;Inside5!I:I, Inside5!C:C), 0)</f>
        <v>9</v>
      </c>
      <c r="F893" cm="1">
        <f t="array" aca="1" ref="F893" ca="1">IFERROR(_xlfn.XLOOKUP(C893&amp;A893, Inside5!B:B&amp;Inside5!I:I, Inside5!D:D), 0)</f>
        <v>4</v>
      </c>
      <c r="G893" cm="1">
        <f t="array" ref="G893">IFERROR(_xlfn.XLOOKUP(C893&amp;A893, Inside5!B:B&amp;Inside5!I:I, Inside5!E:E), 0)</f>
        <v>0.56299999999999994</v>
      </c>
      <c r="H893" cm="1">
        <f t="array" ref="H893">IFERROR(_xlfn.XLOOKUP(C893&amp;A893, TDrate!F:F&amp;TDrate!H:H, TDrate!C:C), "N/A")</f>
        <v>4.48E-2</v>
      </c>
      <c r="I893" cm="1">
        <f t="array" ref="I893">IFERROR(_xlfn.XLOOKUP(C893&amp;A893, TDrate!F:F&amp;TDrate!H:H, TDrate!E:E), "N/A")</f>
        <v>3.9600000000000003E-2</v>
      </c>
      <c r="J893" cm="1">
        <f t="array" ref="J893">IFERROR(_xlfn.XLOOKUP(C893&amp;A893, Inside5!B:B&amp;Inside5!I:I, Inside5!F:F), 0)</f>
        <v>1</v>
      </c>
      <c r="K893" cm="1">
        <f t="array" ref="K893">IFERROR(_xlfn.XLOOKUP(C893&amp;A893, Inside5!B:B&amp;Inside5!I:I, Inside5!G:G), 0)</f>
        <v>3</v>
      </c>
      <c r="L893" cm="1">
        <f t="array" ref="L893">IFERROR(_xlfn.XLOOKUP(C893&amp;A893, Inside5!B:B&amp;Inside5!I:I, Inside5!H:H), 0)</f>
        <v>0</v>
      </c>
      <c r="M893" cm="1">
        <f t="array" ref="M893">IFERROR(_xlfn.XLOOKUP(C893&amp;A893, TDrate!F:F&amp;TDrate!H:H, TDrate!B:B), "N/A")</f>
        <v>3.1699999999999999E-2</v>
      </c>
      <c r="N893" cm="1">
        <f t="array" ref="N893">IFERROR(_xlfn.XLOOKUP(C893&amp;A893, TDrate!F:F&amp;TDrate!H:H, TDrate!D:D), "N/A")</f>
        <v>3.85E-2</v>
      </c>
    </row>
    <row r="894" spans="1:14" x14ac:dyDescent="0.45">
      <c r="A894" s="5">
        <v>2020</v>
      </c>
      <c r="B894" s="6" t="s">
        <v>638</v>
      </c>
      <c r="C894" s="7" t="str">
        <f t="shared" si="26"/>
        <v>David Montgomery</v>
      </c>
      <c r="D894" s="7" t="str">
        <f t="shared" si="27"/>
        <v>CHI</v>
      </c>
      <c r="E894" cm="1">
        <f t="array" aca="1" ref="E894" ca="1">IFERROR(_xlfn.XLOOKUP(C894&amp;A894, Inside5!B:B&amp;Inside5!I:I, Inside5!C:C), 0)</f>
        <v>13</v>
      </c>
      <c r="F894" cm="1">
        <f t="array" aca="1" ref="F894" ca="1">IFERROR(_xlfn.XLOOKUP(C894&amp;A894, Inside5!B:B&amp;Inside5!I:I, Inside5!D:D), 0)</f>
        <v>3</v>
      </c>
      <c r="G894" cm="1">
        <f t="array" ref="G894">IFERROR(_xlfn.XLOOKUP(C894&amp;A894, Inside5!B:B&amp;Inside5!I:I, Inside5!E:E), 0)</f>
        <v>0.81299999999999994</v>
      </c>
      <c r="H894" cm="1">
        <f t="array" ref="H894">IFERROR(_xlfn.XLOOKUP(C894&amp;A894, TDrate!F:F&amp;TDrate!H:H, TDrate!C:C), "N/A")</f>
        <v>3.2399999999999998E-2</v>
      </c>
      <c r="I894" cm="1">
        <f t="array" ref="I894">IFERROR(_xlfn.XLOOKUP(C894&amp;A894, TDrate!F:F&amp;TDrate!H:H, TDrate!E:E), "N/A")</f>
        <v>3.4299999999999997E-2</v>
      </c>
      <c r="J894" cm="1">
        <f t="array" ref="J894">IFERROR(_xlfn.XLOOKUP(C894&amp;A894, Inside5!B:B&amp;Inside5!I:I, Inside5!F:F), 0)</f>
        <v>1</v>
      </c>
      <c r="K894" cm="1">
        <f t="array" ref="K894">IFERROR(_xlfn.XLOOKUP(C894&amp;A894, Inside5!B:B&amp;Inside5!I:I, Inside5!G:G), 0)</f>
        <v>2</v>
      </c>
      <c r="L894" cm="1">
        <f t="array" ref="L894">IFERROR(_xlfn.XLOOKUP(C894&amp;A894, Inside5!B:B&amp;Inside5!I:I, Inside5!H:H), 0)</f>
        <v>1</v>
      </c>
      <c r="M894" cm="1">
        <f t="array" ref="M894">IFERROR(_xlfn.XLOOKUP(C894&amp;A894, TDrate!F:F&amp;TDrate!H:H, TDrate!B:B), "N/A")</f>
        <v>2.9399999999999999E-2</v>
      </c>
      <c r="N894" cm="1">
        <f t="array" ref="N894">IFERROR(_xlfn.XLOOKUP(C894&amp;A894, TDrate!F:F&amp;TDrate!H:H, TDrate!D:D), "N/A")</f>
        <v>3.4000000000000002E-2</v>
      </c>
    </row>
    <row r="895" spans="1:14" x14ac:dyDescent="0.45">
      <c r="A895" s="8">
        <v>2020</v>
      </c>
      <c r="B895" s="9" t="s">
        <v>717</v>
      </c>
      <c r="C895" s="10" t="str">
        <f t="shared" si="26"/>
        <v>James Robinson</v>
      </c>
      <c r="D895" s="10" t="str">
        <f t="shared" si="27"/>
        <v>JAC</v>
      </c>
      <c r="E895" cm="1">
        <f t="array" ref="E895">IFERROR(_xlfn.XLOOKUP(C895&amp;A895, Inside5!B:B&amp;Inside5!I:I, Inside5!C:C), 0)</f>
        <v>6</v>
      </c>
      <c r="F895" cm="1">
        <f t="array" ref="F895">IFERROR(_xlfn.XLOOKUP(C895&amp;A895, Inside5!B:B&amp;Inside5!I:I, Inside5!D:D), 0)</f>
        <v>5</v>
      </c>
      <c r="G895" cm="1">
        <f t="array" ref="G895">IFERROR(_xlfn.XLOOKUP(C895&amp;A895, Inside5!B:B&amp;Inside5!I:I, Inside5!E:E), 0)</f>
        <v>0.85699999999999998</v>
      </c>
      <c r="H895" cm="1">
        <f t="array" ref="H895">IFERROR(_xlfn.XLOOKUP(C895&amp;A895, TDrate!F:F&amp;TDrate!H:H, TDrate!C:C), "N/A")</f>
        <v>2.92E-2</v>
      </c>
      <c r="I895" cm="1">
        <f t="array" ref="I895">IFERROR(_xlfn.XLOOKUP(C895&amp;A895, TDrate!F:F&amp;TDrate!H:H, TDrate!E:E), "N/A")</f>
        <v>2.5000000000000001E-2</v>
      </c>
      <c r="J895" cm="1">
        <f t="array" ref="J895">IFERROR(_xlfn.XLOOKUP(C895&amp;A895, Inside5!B:B&amp;Inside5!I:I, Inside5!F:F), 0)</f>
        <v>0</v>
      </c>
      <c r="K895" cm="1">
        <f t="array" ref="K895">IFERROR(_xlfn.XLOOKUP(C895&amp;A895, Inside5!B:B&amp;Inside5!I:I, Inside5!G:G), 0)</f>
        <v>0</v>
      </c>
      <c r="L895" cm="1">
        <f t="array" ref="L895">IFERROR(_xlfn.XLOOKUP(C895&amp;A895, Inside5!B:B&amp;Inside5!I:I, Inside5!H:H), 0)</f>
        <v>0</v>
      </c>
      <c r="M895" cm="1">
        <f t="array" ref="M895">IFERROR(_xlfn.XLOOKUP(C895&amp;A895, TDrate!F:F&amp;TDrate!H:H, TDrate!B:B), "N/A")</f>
        <v>0.05</v>
      </c>
      <c r="N895" cm="1">
        <f t="array" ref="N895">IFERROR(_xlfn.XLOOKUP(C895&amp;A895, TDrate!F:F&amp;TDrate!H:H, TDrate!D:D), "N/A")</f>
        <v>3.6999999999999998E-2</v>
      </c>
    </row>
    <row r="896" spans="1:14" x14ac:dyDescent="0.45">
      <c r="A896" s="5">
        <v>2020</v>
      </c>
      <c r="B896" s="6" t="s">
        <v>551</v>
      </c>
      <c r="C896" s="7" t="str">
        <f t="shared" si="26"/>
        <v>Josh Jacobs</v>
      </c>
      <c r="D896" s="7" t="str">
        <f t="shared" si="27"/>
        <v>LV</v>
      </c>
      <c r="E896" cm="1">
        <f t="array" ref="E896">IFERROR(_xlfn.XLOOKUP(C896&amp;A896, Inside5!B:B&amp;Inside5!I:I, Inside5!C:C), 0)</f>
        <v>20</v>
      </c>
      <c r="F896" cm="1">
        <f t="array" ref="F896">IFERROR(_xlfn.XLOOKUP(C896&amp;A896, Inside5!B:B&amp;Inside5!I:I, Inside5!D:D), 0)</f>
        <v>5</v>
      </c>
      <c r="G896" cm="1">
        <f t="array" ref="G896">IFERROR(_xlfn.XLOOKUP(C896&amp;A896, Inside5!B:B&amp;Inside5!I:I, Inside5!E:E), 0)</f>
        <v>0.95199999999999996</v>
      </c>
      <c r="H896" cm="1">
        <f t="array" ref="H896">IFERROR(_xlfn.XLOOKUP(C896&amp;A896, TDrate!F:F&amp;TDrate!H:H, TDrate!C:C), "N/A")</f>
        <v>4.3999999999999997E-2</v>
      </c>
      <c r="I896" cm="1">
        <f t="array" ref="I896">IFERROR(_xlfn.XLOOKUP(C896&amp;A896, TDrate!F:F&amp;TDrate!H:H, TDrate!E:E), "N/A")</f>
        <v>4.5100000000000001E-2</v>
      </c>
      <c r="J896" cm="1">
        <f t="array" ref="J896">IFERROR(_xlfn.XLOOKUP(C896&amp;A896, Inside5!B:B&amp;Inside5!I:I, Inside5!F:F), 0)</f>
        <v>0</v>
      </c>
      <c r="K896" cm="1">
        <f t="array" ref="K896">IFERROR(_xlfn.XLOOKUP(C896&amp;A896, Inside5!B:B&amp;Inside5!I:I, Inside5!G:G), 0)</f>
        <v>0</v>
      </c>
      <c r="L896" cm="1">
        <f t="array" ref="L896">IFERROR(_xlfn.XLOOKUP(C896&amp;A896, Inside5!B:B&amp;Inside5!I:I, Inside5!H:H), 0)</f>
        <v>0</v>
      </c>
      <c r="M896" cm="1">
        <f t="array" ref="M896">IFERROR(_xlfn.XLOOKUP(C896&amp;A896, TDrate!F:F&amp;TDrate!H:H, TDrate!B:B), "N/A")</f>
        <v>0</v>
      </c>
      <c r="N896" cm="1">
        <f t="array" ref="N896">IFERROR(_xlfn.XLOOKUP(C896&amp;A896, TDrate!F:F&amp;TDrate!H:H, TDrate!D:D), "N/A")</f>
        <v>9.1000000000000004E-3</v>
      </c>
    </row>
    <row r="897" spans="1:14" x14ac:dyDescent="0.45">
      <c r="A897" s="8">
        <v>2020</v>
      </c>
      <c r="B897" s="9" t="s">
        <v>483</v>
      </c>
      <c r="C897" s="10" t="str">
        <f t="shared" si="26"/>
        <v>Nick Chubb</v>
      </c>
      <c r="D897" s="10" t="str">
        <f t="shared" si="27"/>
        <v>CLE</v>
      </c>
      <c r="E897" cm="1">
        <f t="array" ref="E897">IFERROR(_xlfn.XLOOKUP(C897&amp;A897, Inside5!B:B&amp;Inside5!I:I, Inside5!C:C), 0)</f>
        <v>11</v>
      </c>
      <c r="F897" cm="1">
        <f t="array" ref="F897">IFERROR(_xlfn.XLOOKUP(C897&amp;A897, Inside5!B:B&amp;Inside5!I:I, Inside5!D:D), 0)</f>
        <v>5</v>
      </c>
      <c r="G897" cm="1">
        <f t="array" ref="G897">IFERROR(_xlfn.XLOOKUP(C897&amp;A897, Inside5!B:B&amp;Inside5!I:I, Inside5!E:E), 0)</f>
        <v>0.45800000000000002</v>
      </c>
      <c r="H897" cm="1">
        <f t="array" ref="H897">IFERROR(_xlfn.XLOOKUP(C897&amp;A897, TDrate!F:F&amp;TDrate!H:H, TDrate!C:C), "N/A")</f>
        <v>6.3200000000000006E-2</v>
      </c>
      <c r="I897" cm="1">
        <f t="array" ref="I897">IFERROR(_xlfn.XLOOKUP(C897&amp;A897, TDrate!F:F&amp;TDrate!H:H, TDrate!E:E), "N/A")</f>
        <v>5.0999999999999997E-2</v>
      </c>
      <c r="J897" cm="1">
        <f t="array" ref="J897">IFERROR(_xlfn.XLOOKUP(C897&amp;A897, Inside5!B:B&amp;Inside5!I:I, Inside5!F:F), 0)</f>
        <v>0</v>
      </c>
      <c r="K897" cm="1">
        <f t="array" ref="K897">IFERROR(_xlfn.XLOOKUP(C897&amp;A897, Inside5!B:B&amp;Inside5!I:I, Inside5!G:G), 0)</f>
        <v>0</v>
      </c>
      <c r="L897" cm="1">
        <f t="array" ref="L897">IFERROR(_xlfn.XLOOKUP(C897&amp;A897, Inside5!B:B&amp;Inside5!I:I, Inside5!H:H), 0)</f>
        <v>0</v>
      </c>
      <c r="M897" cm="1">
        <f t="array" ref="M897">IFERROR(_xlfn.XLOOKUP(C897&amp;A897, TDrate!F:F&amp;TDrate!H:H, TDrate!B:B), "N/A")</f>
        <v>0</v>
      </c>
      <c r="N897" cm="1">
        <f t="array" ref="N897">IFERROR(_xlfn.XLOOKUP(C897&amp;A897, TDrate!F:F&amp;TDrate!H:H, TDrate!D:D), "N/A")</f>
        <v>1.26E-2</v>
      </c>
    </row>
    <row r="898" spans="1:14" x14ac:dyDescent="0.45">
      <c r="A898" s="5">
        <v>2020</v>
      </c>
      <c r="B898" s="6" t="s">
        <v>557</v>
      </c>
      <c r="C898" s="7" t="str">
        <f t="shared" ref="C898:C961" si="28">TRIM(LEFT(B898, LEN(B898) - LEN(TRIM(RIGHT(SUBSTITUTE(TRIM(B898)," ",REPT(" ",100)),100)))))</f>
        <v>Kareem Hunt</v>
      </c>
      <c r="D898" s="7" t="str">
        <f t="shared" ref="D898:D961" si="29">MID(B898, FIND("(", B898) + 1, FIND(")", B898) - FIND("(", B898) - 1)</f>
        <v>CLE</v>
      </c>
      <c r="E898" cm="1">
        <f t="array" ref="E898">IFERROR(_xlfn.XLOOKUP(C898&amp;A898, Inside5!B:B&amp;Inside5!I:I, Inside5!C:C), 0)</f>
        <v>13</v>
      </c>
      <c r="F898" cm="1">
        <f t="array" ref="F898">IFERROR(_xlfn.XLOOKUP(C898&amp;A898, Inside5!B:B&amp;Inside5!I:I, Inside5!D:D), 0)</f>
        <v>5</v>
      </c>
      <c r="G898" cm="1">
        <f t="array" ref="G898">IFERROR(_xlfn.XLOOKUP(C898&amp;A898, Inside5!B:B&amp;Inside5!I:I, Inside5!E:E), 0)</f>
        <v>0.54200000000000004</v>
      </c>
      <c r="H898" cm="1">
        <f t="array" ref="H898">IFERROR(_xlfn.XLOOKUP(C898&amp;A898, TDrate!F:F&amp;TDrate!H:H, TDrate!C:C), "N/A")</f>
        <v>3.0300000000000001E-2</v>
      </c>
      <c r="I898" cm="1">
        <f t="array" ref="I898">IFERROR(_xlfn.XLOOKUP(C898&amp;A898, TDrate!F:F&amp;TDrate!H:H, TDrate!E:E), "N/A")</f>
        <v>3.4799999999999998E-2</v>
      </c>
      <c r="J898" cm="1">
        <f t="array" ref="J898">IFERROR(_xlfn.XLOOKUP(C898&amp;A898, Inside5!B:B&amp;Inside5!I:I, Inside5!F:F), 0)</f>
        <v>1</v>
      </c>
      <c r="K898" cm="1">
        <f t="array" aca="1" ref="K898" ca="1">IFERROR(_xlfn.XLOOKUP(C898&amp;A898, Inside5!B:B&amp;Inside5!I:I, Inside5!G:G), 0)</f>
        <v>1</v>
      </c>
      <c r="L898" cm="1">
        <f t="array" aca="1" ref="L898" ca="1">IFERROR(_xlfn.XLOOKUP(C898&amp;A898, Inside5!B:B&amp;Inside5!I:I, Inside5!H:H), 0)</f>
        <v>1</v>
      </c>
      <c r="M898" cm="1">
        <f t="array" ref="M898">IFERROR(_xlfn.XLOOKUP(C898&amp;A898, TDrate!F:F&amp;TDrate!H:H, TDrate!B:B), "N/A")</f>
        <v>9.8000000000000004E-2</v>
      </c>
      <c r="N898" cm="1">
        <f t="array" ref="N898">IFERROR(_xlfn.XLOOKUP(C898&amp;A898, TDrate!F:F&amp;TDrate!H:H, TDrate!D:D), "N/A")</f>
        <v>7.0000000000000007E-2</v>
      </c>
    </row>
    <row r="899" spans="1:14" x14ac:dyDescent="0.45">
      <c r="A899" s="8">
        <v>2020</v>
      </c>
      <c r="B899" s="9" t="s">
        <v>488</v>
      </c>
      <c r="C899" s="10" t="str">
        <f t="shared" si="28"/>
        <v>Ezekiel Elliott</v>
      </c>
      <c r="D899" s="10" t="str">
        <f t="shared" si="29"/>
        <v>DAL</v>
      </c>
      <c r="E899" cm="1">
        <f t="array" aca="1" ref="E899" ca="1">IFERROR(_xlfn.XLOOKUP(C899&amp;A899, Inside5!B:B&amp;Inside5!I:I, Inside5!C:C), 0)</f>
        <v>25</v>
      </c>
      <c r="F899" cm="1">
        <f t="array" aca="1" ref="F899" ca="1">IFERROR(_xlfn.XLOOKUP(C899&amp;A899, Inside5!B:B&amp;Inside5!I:I, Inside5!D:D), 0)</f>
        <v>4</v>
      </c>
      <c r="G899" cm="1">
        <f t="array" ref="G899">IFERROR(_xlfn.XLOOKUP(C899&amp;A899, Inside5!B:B&amp;Inside5!I:I, Inside5!E:E), 0)</f>
        <v>0.89300000000000002</v>
      </c>
      <c r="H899" cm="1">
        <f t="array" ref="H899">IFERROR(_xlfn.XLOOKUP(C899&amp;A899, TDrate!F:F&amp;TDrate!H:H, TDrate!C:C), "N/A")</f>
        <v>2.46E-2</v>
      </c>
      <c r="I899" cm="1">
        <f t="array" ref="I899">IFERROR(_xlfn.XLOOKUP(C899&amp;A899, TDrate!F:F&amp;TDrate!H:H, TDrate!E:E), "N/A")</f>
        <v>3.8800000000000001E-2</v>
      </c>
      <c r="J899" cm="1">
        <f t="array" ref="J899">IFERROR(_xlfn.XLOOKUP(C899&amp;A899, Inside5!B:B&amp;Inside5!I:I, Inside5!F:F), 0)</f>
        <v>0</v>
      </c>
      <c r="K899" cm="1">
        <f t="array" aca="1" ref="K899" ca="1">IFERROR(_xlfn.XLOOKUP(C899&amp;A899, Inside5!B:B&amp;Inside5!I:I, Inside5!G:G), 0)</f>
        <v>0</v>
      </c>
      <c r="L899" cm="1">
        <f t="array" ref="L899">IFERROR(_xlfn.XLOOKUP(C899&amp;A899, Inside5!B:B&amp;Inside5!I:I, Inside5!H:H), 0)</f>
        <v>0</v>
      </c>
      <c r="M899" cm="1">
        <f t="array" ref="M899">IFERROR(_xlfn.XLOOKUP(C899&amp;A899, TDrate!F:F&amp;TDrate!H:H, TDrate!B:B), "N/A")</f>
        <v>2.7400000000000001E-2</v>
      </c>
      <c r="N899" cm="1">
        <f t="array" ref="N899">IFERROR(_xlfn.XLOOKUP(C899&amp;A899, TDrate!F:F&amp;TDrate!H:H, TDrate!D:D), "N/A")</f>
        <v>2.2700000000000001E-2</v>
      </c>
    </row>
    <row r="900" spans="1:14" x14ac:dyDescent="0.45">
      <c r="A900" s="5">
        <v>2020</v>
      </c>
      <c r="B900" s="6" t="s">
        <v>819</v>
      </c>
      <c r="C900" s="7" t="str">
        <f t="shared" si="28"/>
        <v>Kenyan Drake</v>
      </c>
      <c r="D900" s="7" t="str">
        <f t="shared" si="29"/>
        <v>ARI</v>
      </c>
      <c r="E900" cm="1">
        <f t="array" aca="1" ref="E900" ca="1">IFERROR(_xlfn.XLOOKUP(C900&amp;A900, Inside5!B:B&amp;Inside5!I:I, Inside5!C:C), 0)</f>
        <v>22</v>
      </c>
      <c r="F900" cm="1">
        <f t="array" aca="1" ref="F900" ca="1">IFERROR(_xlfn.XLOOKUP(C900&amp;A900, Inside5!B:B&amp;Inside5!I:I, Inside5!D:D), 0)</f>
        <v>9</v>
      </c>
      <c r="G900" cm="1">
        <f t="array" ref="G900">IFERROR(_xlfn.XLOOKUP(C900&amp;A900, Inside5!B:B&amp;Inside5!I:I, Inside5!E:E), 0)</f>
        <v>0.95699999999999996</v>
      </c>
      <c r="H900" cm="1">
        <f t="array" ref="H900">IFERROR(_xlfn.XLOOKUP(C900&amp;A900, TDrate!F:F&amp;TDrate!H:H, TDrate!C:C), "N/A")</f>
        <v>4.1799999999999997E-2</v>
      </c>
      <c r="I900" cm="1">
        <f t="array" ref="I900">IFERROR(_xlfn.XLOOKUP(C900&amp;A900, TDrate!F:F&amp;TDrate!H:H, TDrate!E:E), "N/A")</f>
        <v>4.6699999999999998E-2</v>
      </c>
      <c r="J900" cm="1">
        <f t="array" ref="J900">IFERROR(_xlfn.XLOOKUP(C900&amp;A900, Inside5!B:B&amp;Inside5!I:I, Inside5!F:F), 0)</f>
        <v>0</v>
      </c>
      <c r="K900" cm="1">
        <f t="array" ref="K900">IFERROR(_xlfn.XLOOKUP(C900&amp;A900, Inside5!B:B&amp;Inside5!I:I, Inside5!G:G), 0)</f>
        <v>0</v>
      </c>
      <c r="L900" cm="1">
        <f t="array" ref="L900">IFERROR(_xlfn.XLOOKUP(C900&amp;A900, Inside5!B:B&amp;Inside5!I:I, Inside5!H:H), 0)</f>
        <v>0</v>
      </c>
      <c r="M900" cm="1">
        <f t="array" ref="M900">IFERROR(_xlfn.XLOOKUP(C900&amp;A900, TDrate!F:F&amp;TDrate!H:H, TDrate!B:B), "N/A")</f>
        <v>0</v>
      </c>
      <c r="N900" cm="1">
        <f t="array" ref="N900">IFERROR(_xlfn.XLOOKUP(C900&amp;A900, TDrate!F:F&amp;TDrate!H:H, TDrate!D:D), "N/A")</f>
        <v>6.3E-3</v>
      </c>
    </row>
    <row r="901" spans="1:14" x14ac:dyDescent="0.45">
      <c r="A901" s="8">
        <v>2020</v>
      </c>
      <c r="B901" s="9" t="s">
        <v>649</v>
      </c>
      <c r="C901" s="10" t="str">
        <f t="shared" si="28"/>
        <v>Melvin Gordon III</v>
      </c>
      <c r="D901" s="10" t="str">
        <f t="shared" si="29"/>
        <v>DEN</v>
      </c>
      <c r="E901" cm="1">
        <f t="array" aca="1" ref="E901" ca="1">IFERROR(_xlfn.XLOOKUP(C901&amp;A901, Inside5!B:B&amp;Inside5!I:I, Inside5!C:C), 0)</f>
        <v>8</v>
      </c>
      <c r="F901" cm="1">
        <f t="array" aca="1" ref="F901" ca="1">IFERROR(_xlfn.XLOOKUP(C901&amp;A901, Inside5!B:B&amp;Inside5!I:I, Inside5!D:D), 0)</f>
        <v>4</v>
      </c>
      <c r="G901" cm="1">
        <f t="array" ref="G901">IFERROR(_xlfn.XLOOKUP(C901&amp;A901, Inside5!B:B&amp;Inside5!I:I, Inside5!E:E), 0)</f>
        <v>0.66700000000000004</v>
      </c>
      <c r="H901" cm="1">
        <f t="array" ref="H901">IFERROR(_xlfn.XLOOKUP(C901&amp;A901, TDrate!F:F&amp;TDrate!H:H, TDrate!C:C), "N/A")</f>
        <v>4.19E-2</v>
      </c>
      <c r="I901" cm="1">
        <f t="array" ref="I901">IFERROR(_xlfn.XLOOKUP(C901&amp;A901, TDrate!F:F&amp;TDrate!H:H, TDrate!E:E), "N/A")</f>
        <v>3.4200000000000001E-2</v>
      </c>
      <c r="J901" cm="1">
        <f t="array" ref="J901">IFERROR(_xlfn.XLOOKUP(C901&amp;A901, Inside5!B:B&amp;Inside5!I:I, Inside5!F:F), 0)</f>
        <v>0</v>
      </c>
      <c r="K901" cm="1">
        <f t="array" ref="K901">IFERROR(_xlfn.XLOOKUP(C901&amp;A901, Inside5!B:B&amp;Inside5!I:I, Inside5!G:G), 0)</f>
        <v>0</v>
      </c>
      <c r="L901" cm="1">
        <f t="array" ref="L901">IFERROR(_xlfn.XLOOKUP(C901&amp;A901, Inside5!B:B&amp;Inside5!I:I, Inside5!H:H), 0)</f>
        <v>0</v>
      </c>
      <c r="M901" cm="1">
        <f t="array" ref="M901">IFERROR(_xlfn.XLOOKUP(C901&amp;A901, TDrate!F:F&amp;TDrate!H:H, TDrate!B:B), "N/A")</f>
        <v>2.2700000000000001E-2</v>
      </c>
      <c r="N901" cm="1">
        <f t="array" ref="N901">IFERROR(_xlfn.XLOOKUP(C901&amp;A901, TDrate!F:F&amp;TDrate!H:H, TDrate!D:D), "N/A")</f>
        <v>2.2800000000000001E-2</v>
      </c>
    </row>
    <row r="902" spans="1:14" x14ac:dyDescent="0.45">
      <c r="A902" s="5">
        <v>2020</v>
      </c>
      <c r="B902" s="6" t="s">
        <v>562</v>
      </c>
      <c r="C902" s="7" t="str">
        <f t="shared" si="28"/>
        <v>Antonio Gibson</v>
      </c>
      <c r="D902" s="7" t="str">
        <f t="shared" si="29"/>
        <v>WAS</v>
      </c>
      <c r="E902" cm="1">
        <f t="array" ref="E902">IFERROR(_xlfn.XLOOKUP(C902&amp;A902, Inside5!B:B&amp;Inside5!I:I, Inside5!C:C), 0)</f>
        <v>12</v>
      </c>
      <c r="F902" cm="1">
        <f t="array" ref="F902">IFERROR(_xlfn.XLOOKUP(C902&amp;A902, Inside5!B:B&amp;Inside5!I:I, Inside5!D:D), 0)</f>
        <v>7</v>
      </c>
      <c r="G902" cm="1">
        <f t="array" ref="G902">IFERROR(_xlfn.XLOOKUP(C902&amp;A902, Inside5!B:B&amp;Inside5!I:I, Inside5!E:E), 0)</f>
        <v>0.5</v>
      </c>
      <c r="H902" cm="1">
        <f t="array" ref="H902">IFERROR(_xlfn.XLOOKUP(C902&amp;A902, TDrate!F:F&amp;TDrate!H:H, TDrate!C:C), "N/A")</f>
        <v>6.4699999999999994E-2</v>
      </c>
      <c r="I902" cm="1">
        <f t="array" ref="I902">IFERROR(_xlfn.XLOOKUP(C902&amp;A902, TDrate!F:F&amp;TDrate!H:H, TDrate!E:E), "N/A")</f>
        <v>5.2999999999999999E-2</v>
      </c>
      <c r="J902" cm="1">
        <f t="array" ref="J902">IFERROR(_xlfn.XLOOKUP(C902&amp;A902, Inside5!B:B&amp;Inside5!I:I, Inside5!F:F), 0)</f>
        <v>0</v>
      </c>
      <c r="K902" cm="1">
        <f t="array" ref="K902">IFERROR(_xlfn.XLOOKUP(C902&amp;A902, Inside5!B:B&amp;Inside5!I:I, Inside5!G:G), 0)</f>
        <v>0</v>
      </c>
      <c r="L902" cm="1">
        <f t="array" ref="L902">IFERROR(_xlfn.XLOOKUP(C902&amp;A902, Inside5!B:B&amp;Inside5!I:I, Inside5!H:H), 0)</f>
        <v>0</v>
      </c>
      <c r="M902" cm="1">
        <f t="array" ref="M902">IFERROR(_xlfn.XLOOKUP(C902&amp;A902, TDrate!F:F&amp;TDrate!H:H, TDrate!B:B), "N/A")</f>
        <v>0</v>
      </c>
      <c r="N902" cm="1">
        <f t="array" ref="N902">IFERROR(_xlfn.XLOOKUP(C902&amp;A902, TDrate!F:F&amp;TDrate!H:H, TDrate!D:D), "N/A")</f>
        <v>9.4999999999999998E-3</v>
      </c>
    </row>
    <row r="903" spans="1:14" x14ac:dyDescent="0.45">
      <c r="A903" s="8">
        <v>2020</v>
      </c>
      <c r="B903" s="9" t="s">
        <v>730</v>
      </c>
      <c r="C903" s="10" t="str">
        <f t="shared" si="28"/>
        <v>Ronald Jones II</v>
      </c>
      <c r="D903" s="10" t="str">
        <f t="shared" si="29"/>
        <v>TB</v>
      </c>
      <c r="E903" cm="1">
        <f t="array" aca="1" ref="E903" ca="1">IFERROR(_xlfn.XLOOKUP(C903&amp;A903, Inside5!B:B&amp;Inside5!I:I, Inside5!C:C), 0)</f>
        <v>9</v>
      </c>
      <c r="F903" cm="1">
        <f t="array" ref="F903">IFERROR(_xlfn.XLOOKUP(C903&amp;A903, Inside5!B:B&amp;Inside5!I:I, Inside5!D:D), 0)</f>
        <v>4</v>
      </c>
      <c r="G903" cm="1">
        <f t="array" ref="G903">IFERROR(_xlfn.XLOOKUP(C903&amp;A903, Inside5!B:B&amp;Inside5!I:I, Inside5!E:E), 0)</f>
        <v>0.5</v>
      </c>
      <c r="H903" cm="1">
        <f t="array" ref="H903">IFERROR(_xlfn.XLOOKUP(C903&amp;A903, TDrate!F:F&amp;TDrate!H:H, TDrate!C:C), "N/A")</f>
        <v>3.6499999999999998E-2</v>
      </c>
      <c r="I903" cm="1">
        <f t="array" ref="I903">IFERROR(_xlfn.XLOOKUP(C903&amp;A903, TDrate!F:F&amp;TDrate!H:H, TDrate!E:E), "N/A")</f>
        <v>3.5200000000000002E-2</v>
      </c>
      <c r="J903" cm="1">
        <f t="array" ref="J903">IFERROR(_xlfn.XLOOKUP(C903&amp;A903, Inside5!B:B&amp;Inside5!I:I, Inside5!F:F), 0)</f>
        <v>0</v>
      </c>
      <c r="K903" cm="1">
        <f t="array" ref="K903">IFERROR(_xlfn.XLOOKUP(C903&amp;A903, Inside5!B:B&amp;Inside5!I:I, Inside5!G:G), 0)</f>
        <v>1</v>
      </c>
      <c r="L903" cm="1">
        <f t="array" ref="L903">IFERROR(_xlfn.XLOOKUP(C903&amp;A903, Inside5!B:B&amp;Inside5!I:I, Inside5!H:H), 0)</f>
        <v>0</v>
      </c>
      <c r="M903" cm="1">
        <f t="array" ref="M903">IFERROR(_xlfn.XLOOKUP(C903&amp;A903, TDrate!F:F&amp;TDrate!H:H, TDrate!B:B), "N/A")</f>
        <v>2.3800000000000002E-2</v>
      </c>
      <c r="N903" cm="1">
        <f t="array" ref="N903">IFERROR(_xlfn.XLOOKUP(C903&amp;A903, TDrate!F:F&amp;TDrate!H:H, TDrate!D:D), "N/A")</f>
        <v>2.87E-2</v>
      </c>
    </row>
    <row r="904" spans="1:14" x14ac:dyDescent="0.45">
      <c r="A904" s="5">
        <v>2020</v>
      </c>
      <c r="B904" s="6" t="s">
        <v>741</v>
      </c>
      <c r="C904" s="7" t="str">
        <f t="shared" si="28"/>
        <v>Chris Carson</v>
      </c>
      <c r="D904" s="7" t="str">
        <f t="shared" si="29"/>
        <v>SEA</v>
      </c>
      <c r="E904" cm="1">
        <f t="array" aca="1" ref="E904" ca="1">IFERROR(_xlfn.XLOOKUP(C904&amp;A904, Inside5!B:B&amp;Inside5!I:I, Inside5!C:C), 0)</f>
        <v>8</v>
      </c>
      <c r="F904" cm="1">
        <f t="array" aca="1" ref="F904" ca="1">IFERROR(_xlfn.XLOOKUP(C904&amp;A904, Inside5!B:B&amp;Inside5!I:I, Inside5!D:D), 0)</f>
        <v>3</v>
      </c>
      <c r="G904" cm="1">
        <f t="array" ref="G904">IFERROR(_xlfn.XLOOKUP(C904&amp;A904, Inside5!B:B&amp;Inside5!I:I, Inside5!E:E), 0)</f>
        <v>0.4</v>
      </c>
      <c r="H904" cm="1">
        <f t="array" ref="H904">IFERROR(_xlfn.XLOOKUP(C904&amp;A904, TDrate!F:F&amp;TDrate!H:H, TDrate!C:C), "N/A")</f>
        <v>3.5499999999999997E-2</v>
      </c>
      <c r="I904" cm="1">
        <f t="array" ref="I904">IFERROR(_xlfn.XLOOKUP(C904&amp;A904, TDrate!F:F&amp;TDrate!H:H, TDrate!E:E), "N/A")</f>
        <v>3.3500000000000002E-2</v>
      </c>
      <c r="J904" cm="1">
        <f t="array" ref="J904">IFERROR(_xlfn.XLOOKUP(C904&amp;A904, Inside5!B:B&amp;Inside5!I:I, Inside5!F:F), 0)</f>
        <v>1</v>
      </c>
      <c r="K904" cm="1">
        <f t="array" ref="K904">IFERROR(_xlfn.XLOOKUP(C904&amp;A904, Inside5!B:B&amp;Inside5!I:I, Inside5!G:G), 0)</f>
        <v>2</v>
      </c>
      <c r="L904" cm="1">
        <f t="array" ref="L904">IFERROR(_xlfn.XLOOKUP(C904&amp;A904, Inside5!B:B&amp;Inside5!I:I, Inside5!H:H), 0)</f>
        <v>1</v>
      </c>
      <c r="M904" cm="1">
        <f t="array" ref="M904">IFERROR(_xlfn.XLOOKUP(C904&amp;A904, TDrate!F:F&amp;TDrate!H:H, TDrate!B:B), "N/A")</f>
        <v>8.6999999999999994E-2</v>
      </c>
      <c r="N904" cm="1">
        <f t="array" ref="N904">IFERROR(_xlfn.XLOOKUP(C904&amp;A904, TDrate!F:F&amp;TDrate!H:H, TDrate!D:D), "N/A")</f>
        <v>6.25E-2</v>
      </c>
    </row>
    <row r="905" spans="1:14" x14ac:dyDescent="0.45">
      <c r="A905" s="8">
        <v>2020</v>
      </c>
      <c r="B905" s="9" t="s">
        <v>586</v>
      </c>
      <c r="C905" s="10" t="str">
        <f t="shared" si="28"/>
        <v>J.K. Dobbins</v>
      </c>
      <c r="D905" s="10" t="str">
        <f t="shared" si="29"/>
        <v>BAL</v>
      </c>
      <c r="E905" cm="1">
        <f t="array" aca="1" ref="E905" ca="1">IFERROR(_xlfn.XLOOKUP(C905&amp;A905, Inside5!B:B&amp;Inside5!I:I, Inside5!C:C), 0)</f>
        <v>8</v>
      </c>
      <c r="F905" cm="1">
        <f t="array" aca="1" ref="F905" ca="1">IFERROR(_xlfn.XLOOKUP(C905&amp;A905, Inside5!B:B&amp;Inside5!I:I, Inside5!D:D), 0)</f>
        <v>7</v>
      </c>
      <c r="G905" cm="1">
        <f t="array" ref="G905">IFERROR(_xlfn.XLOOKUP(C905&amp;A905, Inside5!B:B&amp;Inside5!I:I, Inside5!E:E), 0)</f>
        <v>0.36399999999999999</v>
      </c>
      <c r="H905" cm="1">
        <f t="array" ref="H905">IFERROR(_xlfn.XLOOKUP(C905&amp;A905, TDrate!F:F&amp;TDrate!H:H, TDrate!C:C), "N/A")</f>
        <v>6.7199999999999996E-2</v>
      </c>
      <c r="I905" cm="1">
        <f t="array" ref="I905">IFERROR(_xlfn.XLOOKUP(C905&amp;A905, TDrate!F:F&amp;TDrate!H:H, TDrate!E:E), "N/A")</f>
        <v>5.3699999999999998E-2</v>
      </c>
      <c r="J905" cm="1">
        <f t="array" ref="J905">IFERROR(_xlfn.XLOOKUP(C905&amp;A905, Inside5!B:B&amp;Inside5!I:I, Inside5!F:F), 0)</f>
        <v>0</v>
      </c>
      <c r="K905" cm="1">
        <f t="array" aca="1" ref="K905" ca="1">IFERROR(_xlfn.XLOOKUP(C905&amp;A905, Inside5!B:B&amp;Inside5!I:I, Inside5!G:G), 0)</f>
        <v>1</v>
      </c>
      <c r="L905" cm="1">
        <f t="array" ref="L905">IFERROR(_xlfn.XLOOKUP(C905&amp;A905, Inside5!B:B&amp;Inside5!I:I, Inside5!H:H), 0)</f>
        <v>0</v>
      </c>
      <c r="M905" cm="1">
        <f t="array" ref="M905">IFERROR(_xlfn.XLOOKUP(C905&amp;A905, TDrate!F:F&amp;TDrate!H:H, TDrate!B:B), "N/A")</f>
        <v>0</v>
      </c>
      <c r="N905" cm="1">
        <f t="array" ref="N905">IFERROR(_xlfn.XLOOKUP(C905&amp;A905, TDrate!F:F&amp;TDrate!H:H, TDrate!D:D), "N/A")</f>
        <v>1.52E-2</v>
      </c>
    </row>
    <row r="906" spans="1:14" x14ac:dyDescent="0.45">
      <c r="A906" s="5">
        <v>2020</v>
      </c>
      <c r="B906" s="6" t="s">
        <v>820</v>
      </c>
      <c r="C906" s="7" t="str">
        <f t="shared" si="28"/>
        <v>Mike Davis</v>
      </c>
      <c r="D906" s="7" t="str">
        <f t="shared" si="29"/>
        <v>CAR</v>
      </c>
      <c r="E906" cm="1">
        <f t="array" ref="E906">IFERROR(_xlfn.XLOOKUP(C906&amp;A906, Inside5!B:B&amp;Inside5!I:I, Inside5!C:C), 0)</f>
        <v>11</v>
      </c>
      <c r="F906" cm="1">
        <f t="array" ref="F906">IFERROR(_xlfn.XLOOKUP(C906&amp;A906, Inside5!B:B&amp;Inside5!I:I, Inside5!D:D), 0)</f>
        <v>5</v>
      </c>
      <c r="G906" cm="1">
        <f t="array" ref="G906">IFERROR(_xlfn.XLOOKUP(C906&amp;A906, Inside5!B:B&amp;Inside5!I:I, Inside5!E:E), 0)</f>
        <v>0.68799999999999994</v>
      </c>
      <c r="H906" cm="1">
        <f t="array" ref="H906">IFERROR(_xlfn.XLOOKUP(C906&amp;A906, TDrate!F:F&amp;TDrate!H:H, TDrate!C:C), "N/A")</f>
        <v>3.6400000000000002E-2</v>
      </c>
      <c r="I906" cm="1">
        <f t="array" ref="I906">IFERROR(_xlfn.XLOOKUP(C906&amp;A906, TDrate!F:F&amp;TDrate!H:H, TDrate!E:E), "N/A")</f>
        <v>0.04</v>
      </c>
      <c r="J906" cm="1">
        <f t="array" ref="J906">IFERROR(_xlfn.XLOOKUP(C906&amp;A906, Inside5!B:B&amp;Inside5!I:I, Inside5!F:F), 0)</f>
        <v>1</v>
      </c>
      <c r="K906" cm="1">
        <f t="array" ref="K906">IFERROR(_xlfn.XLOOKUP(C906&amp;A906, Inside5!B:B&amp;Inside5!I:I, Inside5!G:G), 0)</f>
        <v>1</v>
      </c>
      <c r="L906" cm="1">
        <f t="array" ref="L906">IFERROR(_xlfn.XLOOKUP(C906&amp;A906, Inside5!B:B&amp;Inside5!I:I, Inside5!H:H), 0)</f>
        <v>1</v>
      </c>
      <c r="M906" cm="1">
        <f t="array" ref="M906">IFERROR(_xlfn.XLOOKUP(C906&amp;A906, TDrate!F:F&amp;TDrate!H:H, TDrate!B:B), "N/A")</f>
        <v>2.86E-2</v>
      </c>
      <c r="N906" cm="1">
        <f t="array" ref="N906">IFERROR(_xlfn.XLOOKUP(C906&amp;A906, TDrate!F:F&amp;TDrate!H:H, TDrate!D:D), "N/A")</f>
        <v>3.3000000000000002E-2</v>
      </c>
    </row>
    <row r="907" spans="1:14" x14ac:dyDescent="0.45">
      <c r="A907" s="8">
        <v>2020</v>
      </c>
      <c r="B907" s="9" t="s">
        <v>736</v>
      </c>
      <c r="C907" s="10" t="str">
        <f t="shared" si="28"/>
        <v>David Johnson</v>
      </c>
      <c r="D907" s="10" t="str">
        <f t="shared" si="29"/>
        <v>HOU</v>
      </c>
      <c r="E907" cm="1">
        <f t="array" aca="1" ref="E907" ca="1">IFERROR(_xlfn.XLOOKUP(C907&amp;A907, Inside5!B:B&amp;Inside5!I:I, Inside5!C:C), 0)</f>
        <v>11</v>
      </c>
      <c r="F907" cm="1">
        <f t="array" aca="1" ref="F907" ca="1">IFERROR(_xlfn.XLOOKUP(C907&amp;A907, Inside5!B:B&amp;Inside5!I:I, Inside5!D:D), 0)</f>
        <v>3</v>
      </c>
      <c r="G907" cm="1">
        <f t="array" ref="G907">IFERROR(_xlfn.XLOOKUP(C907&amp;A907, Inside5!B:B&amp;Inside5!I:I, Inside5!E:E), 0)</f>
        <v>0.84599999999999997</v>
      </c>
      <c r="H907" cm="1">
        <f t="array" ref="H907">IFERROR(_xlfn.XLOOKUP(C907&amp;A907, TDrate!F:F&amp;TDrate!H:H, TDrate!C:C), "N/A")</f>
        <v>4.0800000000000003E-2</v>
      </c>
      <c r="I907" cm="1">
        <f t="array" ref="I907">IFERROR(_xlfn.XLOOKUP(C907&amp;A907, TDrate!F:F&amp;TDrate!H:H, TDrate!E:E), "N/A")</f>
        <v>4.0500000000000001E-2</v>
      </c>
      <c r="J907" cm="1">
        <f t="array" ref="J907">IFERROR(_xlfn.XLOOKUP(C907&amp;A907, Inside5!B:B&amp;Inside5!I:I, Inside5!F:F), 0)</f>
        <v>2</v>
      </c>
      <c r="K907" cm="1">
        <f t="array" ref="K907">IFERROR(_xlfn.XLOOKUP(C907&amp;A907, Inside5!B:B&amp;Inside5!I:I, Inside5!G:G), 0)</f>
        <v>2</v>
      </c>
      <c r="L907" cm="1">
        <f t="array" ref="L907">IFERROR(_xlfn.XLOOKUP(C907&amp;A907, Inside5!B:B&amp;Inside5!I:I, Inside5!H:H), 0)</f>
        <v>2</v>
      </c>
      <c r="M907" cm="1">
        <f t="array" ref="M907">IFERROR(_xlfn.XLOOKUP(C907&amp;A907, TDrate!F:F&amp;TDrate!H:H, TDrate!B:B), "N/A")</f>
        <v>4.3499999999999997E-2</v>
      </c>
      <c r="N907" cm="1">
        <f t="array" ref="N907">IFERROR(_xlfn.XLOOKUP(C907&amp;A907, TDrate!F:F&amp;TDrate!H:H, TDrate!D:D), "N/A")</f>
        <v>5.45E-2</v>
      </c>
    </row>
    <row r="908" spans="1:14" x14ac:dyDescent="0.45">
      <c r="A908" s="5">
        <v>2020</v>
      </c>
      <c r="B908" s="6" t="s">
        <v>639</v>
      </c>
      <c r="C908" s="7" t="str">
        <f t="shared" si="28"/>
        <v>D'Andre Swift</v>
      </c>
      <c r="D908" s="7" t="str">
        <f t="shared" si="29"/>
        <v>DET</v>
      </c>
      <c r="E908" cm="1">
        <f t="array" aca="1" ref="E908" ca="1">IFERROR(_xlfn.XLOOKUP(C908&amp;A908, Inside5!B:B&amp;Inside5!I:I, Inside5!C:C), 0)</f>
        <v>9</v>
      </c>
      <c r="F908" cm="1">
        <f t="array" aca="1" ref="F908" ca="1">IFERROR(_xlfn.XLOOKUP(C908&amp;A908, Inside5!B:B&amp;Inside5!I:I, Inside5!D:D), 0)</f>
        <v>5</v>
      </c>
      <c r="G908" cm="1">
        <f t="array" ref="G908">IFERROR(_xlfn.XLOOKUP(C908&amp;A908, Inside5!B:B&amp;Inside5!I:I, Inside5!E:E), 0)</f>
        <v>0.3</v>
      </c>
      <c r="H908" cm="1">
        <f t="array" ref="H908">IFERROR(_xlfn.XLOOKUP(C908&amp;A908, TDrate!F:F&amp;TDrate!H:H, TDrate!C:C), "N/A")</f>
        <v>7.0199999999999999E-2</v>
      </c>
      <c r="I908" cm="1">
        <f t="array" ref="I908">IFERROR(_xlfn.XLOOKUP(C908&amp;A908, TDrate!F:F&amp;TDrate!H:H, TDrate!E:E), "N/A")</f>
        <v>6.0499999999999998E-2</v>
      </c>
      <c r="J908" cm="1">
        <f t="array" ref="J908">IFERROR(_xlfn.XLOOKUP(C908&amp;A908, Inside5!B:B&amp;Inside5!I:I, Inside5!F:F), 0)</f>
        <v>0</v>
      </c>
      <c r="K908" cm="1">
        <f t="array" ref="K908">IFERROR(_xlfn.XLOOKUP(C908&amp;A908, Inside5!B:B&amp;Inside5!I:I, Inside5!G:G), 0)</f>
        <v>0</v>
      </c>
      <c r="L908" cm="1">
        <f t="array" ref="L908">IFERROR(_xlfn.XLOOKUP(C908&amp;A908, Inside5!B:B&amp;Inside5!I:I, Inside5!H:H), 0)</f>
        <v>0</v>
      </c>
      <c r="M908" cm="1">
        <f t="array" ref="M908">IFERROR(_xlfn.XLOOKUP(C908&amp;A908, TDrate!F:F&amp;TDrate!H:H, TDrate!B:B), "N/A")</f>
        <v>3.5099999999999999E-2</v>
      </c>
      <c r="N908" cm="1">
        <f t="array" ref="N908">IFERROR(_xlfn.XLOOKUP(C908&amp;A908, TDrate!F:F&amp;TDrate!H:H, TDrate!D:D), "N/A")</f>
        <v>3.2599999999999997E-2</v>
      </c>
    </row>
    <row r="909" spans="1:14" x14ac:dyDescent="0.45">
      <c r="A909" s="8">
        <v>2020</v>
      </c>
      <c r="B909" s="9" t="s">
        <v>636</v>
      </c>
      <c r="C909" s="10" t="str">
        <f t="shared" si="28"/>
        <v>Miles Sanders</v>
      </c>
      <c r="D909" s="10" t="str">
        <f t="shared" si="29"/>
        <v>PHI</v>
      </c>
      <c r="E909" cm="1">
        <f t="array" aca="1" ref="E909" ca="1">IFERROR(_xlfn.XLOOKUP(C909&amp;A909, Inside5!B:B&amp;Inside5!I:I, Inside5!C:C), 0)</f>
        <v>10</v>
      </c>
      <c r="F909" cm="1">
        <f t="array" aca="1" ref="F909" ca="1">IFERROR(_xlfn.XLOOKUP(C909&amp;A909, Inside5!B:B&amp;Inside5!I:I, Inside5!D:D), 0)</f>
        <v>4</v>
      </c>
      <c r="G909" cm="1">
        <f t="array" ref="G909">IFERROR(_xlfn.XLOOKUP(C909&amp;A909, Inside5!B:B&amp;Inside5!I:I, Inside5!E:E), 0)</f>
        <v>0.47599999999999998</v>
      </c>
      <c r="H909" cm="1">
        <f t="array" ref="H909">IFERROR(_xlfn.XLOOKUP(C909&amp;A909, TDrate!F:F&amp;TDrate!H:H, TDrate!C:C), "N/A")</f>
        <v>3.6600000000000001E-2</v>
      </c>
      <c r="I909" cm="1">
        <f t="array" ref="I909">IFERROR(_xlfn.XLOOKUP(C909&amp;A909, TDrate!F:F&amp;TDrate!H:H, TDrate!E:E), "N/A")</f>
        <v>3.5999999999999997E-2</v>
      </c>
      <c r="J909" cm="1">
        <f t="array" ref="J909">IFERROR(_xlfn.XLOOKUP(C909&amp;A909, Inside5!B:B&amp;Inside5!I:I, Inside5!F:F), 0)</f>
        <v>0</v>
      </c>
      <c r="K909" cm="1">
        <f t="array" aca="1" ref="K909" ca="1">IFERROR(_xlfn.XLOOKUP(C909&amp;A909, Inside5!B:B&amp;Inside5!I:I, Inside5!G:G), 0)</f>
        <v>0</v>
      </c>
      <c r="L909" cm="1">
        <f t="array" ref="L909">IFERROR(_xlfn.XLOOKUP(C909&amp;A909, Inside5!B:B&amp;Inside5!I:I, Inside5!H:H), 0)</f>
        <v>0</v>
      </c>
      <c r="M909" cm="1">
        <f t="array" ref="M909">IFERROR(_xlfn.XLOOKUP(C909&amp;A909, TDrate!F:F&amp;TDrate!H:H, TDrate!B:B), "N/A")</f>
        <v>0</v>
      </c>
      <c r="N909" cm="1">
        <f t="array" ref="N909">IFERROR(_xlfn.XLOOKUP(C909&amp;A909, TDrate!F:F&amp;TDrate!H:H, TDrate!D:D), "N/A")</f>
        <v>4.4999999999999997E-3</v>
      </c>
    </row>
    <row r="910" spans="1:14" x14ac:dyDescent="0.45">
      <c r="A910" s="5">
        <v>2020</v>
      </c>
      <c r="B910" s="6" t="s">
        <v>423</v>
      </c>
      <c r="C910" s="7" t="str">
        <f t="shared" si="28"/>
        <v>Clyde Edwards-Helaire</v>
      </c>
      <c r="D910" s="7" t="str">
        <f t="shared" si="29"/>
        <v>KC</v>
      </c>
      <c r="E910" cm="1">
        <f t="array" aca="1" ref="E910" ca="1">IFERROR(_xlfn.XLOOKUP(C910&amp;A910, Inside5!B:B&amp;Inside5!I:I, Inside5!C:C), 0)</f>
        <v>9</v>
      </c>
      <c r="F910" cm="1">
        <f t="array" aca="1" ref="F910" ca="1">IFERROR(_xlfn.XLOOKUP(C910&amp;A910, Inside5!B:B&amp;Inside5!I:I, Inside5!D:D), 0)</f>
        <v>1</v>
      </c>
      <c r="G910" cm="1">
        <f t="array" ref="G910">IFERROR(_xlfn.XLOOKUP(C910&amp;A910, Inside5!B:B&amp;Inside5!I:I, Inside5!E:E), 0)</f>
        <v>1</v>
      </c>
      <c r="H910" cm="1">
        <f t="array" ref="H910">IFERROR(_xlfn.XLOOKUP(C910&amp;A910, TDrate!F:F&amp;TDrate!H:H, TDrate!C:C), "N/A")</f>
        <v>2.2100000000000002E-2</v>
      </c>
      <c r="I910" cm="1">
        <f t="array" ref="I910">IFERROR(_xlfn.XLOOKUP(C910&amp;A910, TDrate!F:F&amp;TDrate!H:H, TDrate!E:E), "N/A")</f>
        <v>2.6800000000000001E-2</v>
      </c>
      <c r="J910" cm="1">
        <f t="array" ref="J910">IFERROR(_xlfn.XLOOKUP(C910&amp;A910, Inside5!B:B&amp;Inside5!I:I, Inside5!F:F), 0)</f>
        <v>1</v>
      </c>
      <c r="K910" cm="1">
        <f t="array" aca="1" ref="K910" ca="1">IFERROR(_xlfn.XLOOKUP(C910&amp;A910, Inside5!B:B&amp;Inside5!I:I, Inside5!G:G), 0)</f>
        <v>2</v>
      </c>
      <c r="L910" cm="1">
        <f t="array" ref="L910">IFERROR(_xlfn.XLOOKUP(C910&amp;A910, Inside5!B:B&amp;Inside5!I:I, Inside5!H:H), 0)</f>
        <v>1</v>
      </c>
      <c r="M910" cm="1">
        <f t="array" ref="M910">IFERROR(_xlfn.XLOOKUP(C910&amp;A910, TDrate!F:F&amp;TDrate!H:H, TDrate!B:B), "N/A")</f>
        <v>1.8200000000000001E-2</v>
      </c>
      <c r="N910" cm="1">
        <f t="array" ref="N910">IFERROR(_xlfn.XLOOKUP(C910&amp;A910, TDrate!F:F&amp;TDrate!H:H, TDrate!D:D), "N/A")</f>
        <v>2.76E-2</v>
      </c>
    </row>
    <row r="911" spans="1:14" x14ac:dyDescent="0.45">
      <c r="A911" s="8">
        <v>2020</v>
      </c>
      <c r="B911" s="9" t="s">
        <v>821</v>
      </c>
      <c r="C911" s="10" t="str">
        <f t="shared" si="28"/>
        <v>Todd Gurley II</v>
      </c>
      <c r="D911" s="10" t="str">
        <f t="shared" si="29"/>
        <v>ATL</v>
      </c>
      <c r="E911" cm="1">
        <f t="array" aca="1" ref="E911" ca="1">IFERROR(_xlfn.XLOOKUP(C911&amp;A911, Inside5!B:B&amp;Inside5!I:I, Inside5!C:C), 0)</f>
        <v>13</v>
      </c>
      <c r="F911" cm="1">
        <f t="array" ref="F911">IFERROR(_xlfn.XLOOKUP(C911&amp;A911, Inside5!B:B&amp;Inside5!I:I, Inside5!D:D), 0)</f>
        <v>6</v>
      </c>
      <c r="G911" cm="1">
        <f t="array" ref="G911">IFERROR(_xlfn.XLOOKUP(C911&amp;A911, Inside5!B:B&amp;Inside5!I:I, Inside5!E:E), 0)</f>
        <v>0.81299999999999994</v>
      </c>
      <c r="H911" cm="1">
        <f t="array" ref="H911">IFERROR(_xlfn.XLOOKUP(C911&amp;A911, TDrate!F:F&amp;TDrate!H:H, TDrate!C:C), "N/A")</f>
        <v>4.6199999999999998E-2</v>
      </c>
      <c r="I911" cm="1">
        <f t="array" ref="I911">IFERROR(_xlfn.XLOOKUP(C911&amp;A911, TDrate!F:F&amp;TDrate!H:H, TDrate!E:E), "N/A")</f>
        <v>4.8800000000000003E-2</v>
      </c>
      <c r="J911" cm="1">
        <f t="array" ref="J911">IFERROR(_xlfn.XLOOKUP(C911&amp;A911, Inside5!B:B&amp;Inside5!I:I, Inside5!F:F), 0)</f>
        <v>0</v>
      </c>
      <c r="K911" cm="1">
        <f t="array" aca="1" ref="K911" ca="1">IFERROR(_xlfn.XLOOKUP(C911&amp;A911, Inside5!B:B&amp;Inside5!I:I, Inside5!G:G), 0)</f>
        <v>0</v>
      </c>
      <c r="L911" cm="1">
        <f t="array" ref="L911">IFERROR(_xlfn.XLOOKUP(C911&amp;A911, Inside5!B:B&amp;Inside5!I:I, Inside5!H:H), 0)</f>
        <v>0</v>
      </c>
      <c r="M911" cm="1">
        <f t="array" ref="M911">IFERROR(_xlfn.XLOOKUP(C911&amp;A911, TDrate!F:F&amp;TDrate!H:H, TDrate!B:B), "N/A")</f>
        <v>0</v>
      </c>
      <c r="N911" cm="1">
        <f t="array" ref="N911">IFERROR(_xlfn.XLOOKUP(C911&amp;A911, TDrate!F:F&amp;TDrate!H:H, TDrate!D:D), "N/A")</f>
        <v>3.8999999999999998E-3</v>
      </c>
    </row>
    <row r="912" spans="1:14" x14ac:dyDescent="0.45">
      <c r="A912" s="5">
        <v>2020</v>
      </c>
      <c r="B912" s="6" t="s">
        <v>728</v>
      </c>
      <c r="C912" s="7" t="str">
        <f t="shared" si="28"/>
        <v>Nyheim Miller-Hines</v>
      </c>
      <c r="D912" s="7" t="str">
        <f t="shared" si="29"/>
        <v>IND</v>
      </c>
      <c r="E912" cm="1">
        <f t="array" ref="E912">IFERROR(_xlfn.XLOOKUP(C912&amp;A912, Inside5!B:B&amp;Inside5!I:I, Inside5!C:C), 0)</f>
        <v>7</v>
      </c>
      <c r="F912" cm="1">
        <f t="array" ref="F912">IFERROR(_xlfn.XLOOKUP(C912&amp;A912, Inside5!B:B&amp;Inside5!I:I, Inside5!D:D), 0)</f>
        <v>2</v>
      </c>
      <c r="G912" cm="1">
        <f t="array" ref="G912">IFERROR(_xlfn.XLOOKUP(C912&amp;A912, Inside5!B:B&amp;Inside5!I:I, Inside5!E:E), 0)</f>
        <v>0.29199999999999998</v>
      </c>
      <c r="H912" cm="1">
        <f t="array" ref="H912">IFERROR(_xlfn.XLOOKUP(C912&amp;A912, TDrate!F:F&amp;TDrate!H:H, TDrate!C:C), "N/A")</f>
        <v>3.3700000000000001E-2</v>
      </c>
      <c r="I912" cm="1">
        <f t="array" ref="I912">IFERROR(_xlfn.XLOOKUP(C912&amp;A912, TDrate!F:F&amp;TDrate!H:H, TDrate!E:E), "N/A")</f>
        <v>4.2900000000000001E-2</v>
      </c>
      <c r="J912" cm="1">
        <f t="array" ref="J912">IFERROR(_xlfn.XLOOKUP(C912&amp;A912, Inside5!B:B&amp;Inside5!I:I, Inside5!F:F), 0)</f>
        <v>0</v>
      </c>
      <c r="K912" cm="1">
        <f t="array" ref="K912">IFERROR(_xlfn.XLOOKUP(C912&amp;A912, Inside5!B:B&amp;Inside5!I:I, Inside5!G:G), 0)</f>
        <v>0</v>
      </c>
      <c r="L912" cm="1">
        <f t="array" ref="L912">IFERROR(_xlfn.XLOOKUP(C912&amp;A912, Inside5!B:B&amp;Inside5!I:I, Inside5!H:H), 0)</f>
        <v>0</v>
      </c>
      <c r="M912" cm="1">
        <f t="array" ref="M912">IFERROR(_xlfn.XLOOKUP(C912&amp;A912, TDrate!F:F&amp;TDrate!H:H, TDrate!B:B), "N/A")</f>
        <v>5.1900000000000002E-2</v>
      </c>
      <c r="N912" cm="1">
        <f t="array" ref="N912">IFERROR(_xlfn.XLOOKUP(C912&amp;A912, TDrate!F:F&amp;TDrate!H:H, TDrate!D:D), "N/A")</f>
        <v>4.2799999999999998E-2</v>
      </c>
    </row>
    <row r="913" spans="1:14" x14ac:dyDescent="0.45">
      <c r="A913" s="8">
        <v>2020</v>
      </c>
      <c r="B913" s="9" t="s">
        <v>822</v>
      </c>
      <c r="C913" s="10" t="str">
        <f t="shared" si="28"/>
        <v>James Conner</v>
      </c>
      <c r="D913" s="10" t="str">
        <f t="shared" si="29"/>
        <v>PIT</v>
      </c>
      <c r="E913" cm="1">
        <f t="array" aca="1" ref="E913" ca="1">IFERROR(_xlfn.XLOOKUP(C913&amp;A913, Inside5!B:B&amp;Inside5!I:I, Inside5!C:C), 0)</f>
        <v>10</v>
      </c>
      <c r="F913" cm="1">
        <f t="array" aca="1" ref="F913" ca="1">IFERROR(_xlfn.XLOOKUP(C913&amp;A913, Inside5!B:B&amp;Inside5!I:I, Inside5!D:D), 0)</f>
        <v>5</v>
      </c>
      <c r="G913" cm="1">
        <f t="array" ref="G913">IFERROR(_xlfn.XLOOKUP(C913&amp;A913, Inside5!B:B&amp;Inside5!I:I, Inside5!E:E), 0)</f>
        <v>0.4</v>
      </c>
      <c r="H913" cm="1">
        <f t="array" ref="H913">IFERROR(_xlfn.XLOOKUP(C913&amp;A913, TDrate!F:F&amp;TDrate!H:H, TDrate!C:C), "N/A")</f>
        <v>3.5499999999999997E-2</v>
      </c>
      <c r="I913" cm="1">
        <f t="array" ref="I913">IFERROR(_xlfn.XLOOKUP(C913&amp;A913, TDrate!F:F&amp;TDrate!H:H, TDrate!E:E), "N/A")</f>
        <v>3.5200000000000002E-2</v>
      </c>
      <c r="J913" cm="1">
        <f t="array" ref="J913">IFERROR(_xlfn.XLOOKUP(C913&amp;A913, Inside5!B:B&amp;Inside5!I:I, Inside5!F:F), 0)</f>
        <v>0</v>
      </c>
      <c r="K913" cm="1">
        <f t="array" aca="1" ref="K913" ca="1">IFERROR(_xlfn.XLOOKUP(C913&amp;A913, Inside5!B:B&amp;Inside5!I:I, Inside5!G:G), 0)</f>
        <v>1</v>
      </c>
      <c r="L913" cm="1">
        <f t="array" ref="L913">IFERROR(_xlfn.XLOOKUP(C913&amp;A913, Inside5!B:B&amp;Inside5!I:I, Inside5!H:H), 0)</f>
        <v>0</v>
      </c>
      <c r="M913" cm="1">
        <f t="array" ref="M913">IFERROR(_xlfn.XLOOKUP(C913&amp;A913, TDrate!F:F&amp;TDrate!H:H, TDrate!B:B), "N/A")</f>
        <v>0</v>
      </c>
      <c r="N913" cm="1">
        <f t="array" ref="N913">IFERROR(_xlfn.XLOOKUP(C913&amp;A913, TDrate!F:F&amp;TDrate!H:H, TDrate!D:D), "N/A")</f>
        <v>1.9599999999999999E-2</v>
      </c>
    </row>
    <row r="914" spans="1:14" x14ac:dyDescent="0.45">
      <c r="A914" s="5">
        <v>2020</v>
      </c>
      <c r="B914" s="6" t="s">
        <v>740</v>
      </c>
      <c r="C914" s="7" t="str">
        <f t="shared" si="28"/>
        <v>Jeff Wilson Jr.</v>
      </c>
      <c r="D914" s="7" t="str">
        <f t="shared" si="29"/>
        <v>SF</v>
      </c>
      <c r="E914" cm="1">
        <f t="array" aca="1" ref="E914" ca="1">IFERROR(_xlfn.XLOOKUP(C914&amp;A914, Inside5!B:B&amp;Inside5!I:I, Inside5!C:C), 0)</f>
        <v>8</v>
      </c>
      <c r="F914" cm="1">
        <f t="array" aca="1" ref="F914" ca="1">IFERROR(_xlfn.XLOOKUP(C914&amp;A914, Inside5!B:B&amp;Inside5!I:I, Inside5!D:D), 0)</f>
        <v>4</v>
      </c>
      <c r="G914" cm="1">
        <f t="array" ref="G914">IFERROR(_xlfn.XLOOKUP(C914&amp;A914, Inside5!B:B&amp;Inside5!I:I, Inside5!E:E), 0)</f>
        <v>0.33300000000000002</v>
      </c>
      <c r="H914" cm="1">
        <f t="array" ref="H914">IFERROR(_xlfn.XLOOKUP(C914&amp;A914, TDrate!F:F&amp;TDrate!H:H, TDrate!C:C), "N/A")</f>
        <v>5.5599999999999997E-2</v>
      </c>
      <c r="I914" cm="1">
        <f t="array" ref="I914">IFERROR(_xlfn.XLOOKUP(C914&amp;A914, TDrate!F:F&amp;TDrate!H:H, TDrate!E:E), "N/A")</f>
        <v>4.7500000000000001E-2</v>
      </c>
      <c r="J914" cm="1">
        <f t="array" ref="J914">IFERROR(_xlfn.XLOOKUP(C914&amp;A914, Inside5!B:B&amp;Inside5!I:I, Inside5!F:F), 0)</f>
        <v>0</v>
      </c>
      <c r="K914" cm="1">
        <f t="array" ref="K914">IFERROR(_xlfn.XLOOKUP(C914&amp;A914, Inside5!B:B&amp;Inside5!I:I, Inside5!G:G), 0)</f>
        <v>1</v>
      </c>
      <c r="L914" cm="1">
        <f t="array" ref="L914">IFERROR(_xlfn.XLOOKUP(C914&amp;A914, Inside5!B:B&amp;Inside5!I:I, Inside5!H:H), 0)</f>
        <v>0</v>
      </c>
      <c r="M914" cm="1">
        <f t="array" ref="M914">IFERROR(_xlfn.XLOOKUP(C914&amp;A914, TDrate!F:F&amp;TDrate!H:H, TDrate!B:B), "N/A")</f>
        <v>0.1071</v>
      </c>
      <c r="N914" cm="1">
        <f t="array" ref="N914">IFERROR(_xlfn.XLOOKUP(C914&amp;A914, TDrate!F:F&amp;TDrate!H:H, TDrate!D:D), "N/A")</f>
        <v>7.8700000000000006E-2</v>
      </c>
    </row>
    <row r="915" spans="1:14" x14ac:dyDescent="0.45">
      <c r="A915" s="8">
        <v>2020</v>
      </c>
      <c r="B915" s="9" t="s">
        <v>680</v>
      </c>
      <c r="C915" s="10" t="str">
        <f t="shared" si="28"/>
        <v>Myles Gaskin</v>
      </c>
      <c r="D915" s="10" t="str">
        <f t="shared" si="29"/>
        <v>MIA</v>
      </c>
      <c r="E915" cm="1">
        <f t="array" aca="1" ref="E915" ca="1">IFERROR(_xlfn.XLOOKUP(C915&amp;A915, Inside5!B:B&amp;Inside5!I:I, Inside5!C:C), 0)</f>
        <v>10</v>
      </c>
      <c r="F915" cm="1">
        <f t="array" aca="1" ref="F915" ca="1">IFERROR(_xlfn.XLOOKUP(C915&amp;A915, Inside5!B:B&amp;Inside5!I:I, Inside5!D:D), 0)</f>
        <v>2</v>
      </c>
      <c r="G915" cm="1">
        <f t="array" ref="G915">IFERROR(_xlfn.XLOOKUP(C915&amp;A915, Inside5!B:B&amp;Inside5!I:I, Inside5!E:E), 0)</f>
        <v>0.58799999999999997</v>
      </c>
      <c r="H915" cm="1">
        <f t="array" ref="H915">IFERROR(_xlfn.XLOOKUP(C915&amp;A915, TDrate!F:F&amp;TDrate!H:H, TDrate!C:C), "N/A")</f>
        <v>2.1100000000000001E-2</v>
      </c>
      <c r="I915" cm="1">
        <f t="array" ref="I915">IFERROR(_xlfn.XLOOKUP(C915&amp;A915, TDrate!F:F&amp;TDrate!H:H, TDrate!E:E), "N/A")</f>
        <v>3.4700000000000002E-2</v>
      </c>
      <c r="J915" cm="1">
        <f t="array" ref="J915">IFERROR(_xlfn.XLOOKUP(C915&amp;A915, Inside5!B:B&amp;Inside5!I:I, Inside5!F:F), 0)</f>
        <v>1</v>
      </c>
      <c r="K915" cm="1">
        <f t="array" ref="K915">IFERROR(_xlfn.XLOOKUP(C915&amp;A915, Inside5!B:B&amp;Inside5!I:I, Inside5!G:G), 0)</f>
        <v>1</v>
      </c>
      <c r="L915" cm="1">
        <f t="array" ref="L915">IFERROR(_xlfn.XLOOKUP(C915&amp;A915, Inside5!B:B&amp;Inside5!I:I, Inside5!H:H), 0)</f>
        <v>0</v>
      </c>
      <c r="M915" cm="1">
        <f t="array" ref="M915">IFERROR(_xlfn.XLOOKUP(C915&amp;A915, TDrate!F:F&amp;TDrate!H:H, TDrate!B:B), "N/A")</f>
        <v>4.2599999999999999E-2</v>
      </c>
      <c r="N915" cm="1">
        <f t="array" ref="N915">IFERROR(_xlfn.XLOOKUP(C915&amp;A915, TDrate!F:F&amp;TDrate!H:H, TDrate!D:D), "N/A")</f>
        <v>3.8899999999999997E-2</v>
      </c>
    </row>
    <row r="916" spans="1:14" x14ac:dyDescent="0.45">
      <c r="A916" s="5">
        <v>2020</v>
      </c>
      <c r="B916" s="6" t="s">
        <v>548</v>
      </c>
      <c r="C916" s="7" t="str">
        <f t="shared" si="28"/>
        <v>Gus Edwards</v>
      </c>
      <c r="D916" s="7" t="str">
        <f t="shared" si="29"/>
        <v>BAL</v>
      </c>
      <c r="E916" cm="1">
        <f t="array" aca="1" ref="E916" ca="1">IFERROR(_xlfn.XLOOKUP(C916&amp;A916, Inside5!B:B&amp;Inside5!I:I, Inside5!C:C), 0)</f>
        <v>10</v>
      </c>
      <c r="F916" cm="1">
        <f t="array" aca="1" ref="F916" ca="1">IFERROR(_xlfn.XLOOKUP(C916&amp;A916, Inside5!B:B&amp;Inside5!I:I, Inside5!D:D), 0)</f>
        <v>3</v>
      </c>
      <c r="G916" cm="1">
        <f t="array" ref="G916">IFERROR(_xlfn.XLOOKUP(C916&amp;A916, Inside5!B:B&amp;Inside5!I:I, Inside5!E:E), 0)</f>
        <v>0.45500000000000002</v>
      </c>
      <c r="H916" cm="1">
        <f t="array" ref="H916">IFERROR(_xlfn.XLOOKUP(C916&amp;A916, TDrate!F:F&amp;TDrate!H:H, TDrate!C:C), "N/A")</f>
        <v>4.1700000000000001E-2</v>
      </c>
      <c r="I916" cm="1">
        <f t="array" ref="I916">IFERROR(_xlfn.XLOOKUP(C916&amp;A916, TDrate!F:F&amp;TDrate!H:H, TDrate!E:E), "N/A")</f>
        <v>4.1300000000000003E-2</v>
      </c>
      <c r="J916" cm="1">
        <f t="array" ref="J916">IFERROR(_xlfn.XLOOKUP(C916&amp;A916, Inside5!B:B&amp;Inside5!I:I, Inside5!F:F), 0)</f>
        <v>0</v>
      </c>
      <c r="K916" cm="1">
        <f t="array" ref="K916">IFERROR(_xlfn.XLOOKUP(C916&amp;A916, Inside5!B:B&amp;Inside5!I:I, Inside5!G:G), 0)</f>
        <v>0</v>
      </c>
      <c r="L916" cm="1">
        <f t="array" ref="L916">IFERROR(_xlfn.XLOOKUP(C916&amp;A916, Inside5!B:B&amp;Inside5!I:I, Inside5!H:H), 0)</f>
        <v>0</v>
      </c>
      <c r="M916" cm="1">
        <f t="array" ref="M916">IFERROR(_xlfn.XLOOKUP(C916&amp;A916, TDrate!F:F&amp;TDrate!H:H, TDrate!B:B), "N/A")</f>
        <v>0</v>
      </c>
      <c r="N916" cm="1">
        <f t="array" ref="N916">IFERROR(_xlfn.XLOOKUP(C916&amp;A916, TDrate!F:F&amp;TDrate!H:H, TDrate!D:D), "N/A")</f>
        <v>1.17E-2</v>
      </c>
    </row>
    <row r="917" spans="1:14" x14ac:dyDescent="0.45">
      <c r="A917" s="8">
        <v>2020</v>
      </c>
      <c r="B917" s="9" t="s">
        <v>823</v>
      </c>
      <c r="C917" s="10" t="str">
        <f t="shared" si="28"/>
        <v>Wayne Gallman Jr.</v>
      </c>
      <c r="D917" s="10" t="str">
        <f t="shared" si="29"/>
        <v>NYG</v>
      </c>
      <c r="E917" cm="1">
        <f t="array" ref="E917">IFERROR(_xlfn.XLOOKUP(C917&amp;A917, Inside5!B:B&amp;Inside5!I:I, Inside5!C:C), 0)</f>
        <v>10</v>
      </c>
      <c r="F917" cm="1">
        <f t="array" ref="F917">IFERROR(_xlfn.XLOOKUP(C917&amp;A917, Inside5!B:B&amp;Inside5!I:I, Inside5!D:D), 0)</f>
        <v>6</v>
      </c>
      <c r="G917" cm="1">
        <f t="array" ref="G917">IFERROR(_xlfn.XLOOKUP(C917&amp;A917, Inside5!B:B&amp;Inside5!I:I, Inside5!E:E), 0)</f>
        <v>0.58799999999999997</v>
      </c>
      <c r="H917" cm="1">
        <f t="array" ref="H917">IFERROR(_xlfn.XLOOKUP(C917&amp;A917, TDrate!F:F&amp;TDrate!H:H, TDrate!C:C), "N/A")</f>
        <v>4.0800000000000003E-2</v>
      </c>
      <c r="I917" cm="1">
        <f t="array" ref="I917">IFERROR(_xlfn.XLOOKUP(C917&amp;A917, TDrate!F:F&amp;TDrate!H:H, TDrate!E:E), "N/A")</f>
        <v>3.8100000000000002E-2</v>
      </c>
      <c r="J917" cm="1">
        <f t="array" ref="J917">IFERROR(_xlfn.XLOOKUP(C917&amp;A917, Inside5!B:B&amp;Inside5!I:I, Inside5!F:F), 0)</f>
        <v>0</v>
      </c>
      <c r="K917" cm="1">
        <f t="array" aca="1" ref="K917" ca="1">IFERROR(_xlfn.XLOOKUP(C917&amp;A917, Inside5!B:B&amp;Inside5!I:I, Inside5!G:G), 0)</f>
        <v>0</v>
      </c>
      <c r="L917" cm="1">
        <f t="array" ref="L917">IFERROR(_xlfn.XLOOKUP(C917&amp;A917, Inside5!B:B&amp;Inside5!I:I, Inside5!H:H), 0)</f>
        <v>0</v>
      </c>
      <c r="M917" cm="1">
        <f t="array" ref="M917">IFERROR(_xlfn.XLOOKUP(C917&amp;A917, TDrate!F:F&amp;TDrate!H:H, TDrate!B:B), "N/A")</f>
        <v>0</v>
      </c>
      <c r="N917" cm="1">
        <f t="array" ref="N917">IFERROR(_xlfn.XLOOKUP(C917&amp;A917, TDrate!F:F&amp;TDrate!H:H, TDrate!D:D), "N/A")</f>
        <v>9.5999999999999992E-3</v>
      </c>
    </row>
    <row r="918" spans="1:14" x14ac:dyDescent="0.45">
      <c r="A918" s="5">
        <v>2020</v>
      </c>
      <c r="B918" s="6" t="s">
        <v>721</v>
      </c>
      <c r="C918" s="7" t="str">
        <f t="shared" si="28"/>
        <v>Chase Edmonds</v>
      </c>
      <c r="D918" s="7" t="str">
        <f t="shared" si="29"/>
        <v>ARI</v>
      </c>
      <c r="E918" cm="1">
        <f t="array" aca="1" ref="E918" ca="1">IFERROR(_xlfn.XLOOKUP(C918&amp;A918, Inside5!B:B&amp;Inside5!I:I, Inside5!C:C), 0)</f>
        <v>1</v>
      </c>
      <c r="F918" cm="1">
        <f t="array" ref="F918">IFERROR(_xlfn.XLOOKUP(C918&amp;A918, Inside5!B:B&amp;Inside5!I:I, Inside5!D:D), 0)</f>
        <v>0</v>
      </c>
      <c r="G918" cm="1">
        <f t="array" ref="G918">IFERROR(_xlfn.XLOOKUP(C918&amp;A918, Inside5!B:B&amp;Inside5!I:I, Inside5!E:E), 0)</f>
        <v>4.2999999999999997E-2</v>
      </c>
      <c r="H918" cm="1">
        <f t="array" ref="H918">IFERROR(_xlfn.XLOOKUP(C918&amp;A918, TDrate!F:F&amp;TDrate!H:H, TDrate!C:C), "N/A")</f>
        <v>1.03E-2</v>
      </c>
      <c r="I918" cm="1">
        <f t="array" ref="I918">IFERROR(_xlfn.XLOOKUP(C918&amp;A918, TDrate!F:F&amp;TDrate!H:H, TDrate!E:E), "N/A")</f>
        <v>1.37E-2</v>
      </c>
      <c r="J918" cm="1">
        <f t="array" ref="J918">IFERROR(_xlfn.XLOOKUP(C918&amp;A918, Inside5!B:B&amp;Inside5!I:I, Inside5!F:F), 0)</f>
        <v>2</v>
      </c>
      <c r="K918" cm="1">
        <f t="array" ref="K918">IFERROR(_xlfn.XLOOKUP(C918&amp;A918, Inside5!B:B&amp;Inside5!I:I, Inside5!G:G), 0)</f>
        <v>2</v>
      </c>
      <c r="L918" cm="1">
        <f t="array" ref="L918">IFERROR(_xlfn.XLOOKUP(C918&amp;A918, Inside5!B:B&amp;Inside5!I:I, Inside5!H:H), 0)</f>
        <v>2</v>
      </c>
      <c r="M918" cm="1">
        <f t="array" ref="M918">IFERROR(_xlfn.XLOOKUP(C918&amp;A918, TDrate!F:F&amp;TDrate!H:H, TDrate!B:B), "N/A")</f>
        <v>5.8799999999999998E-2</v>
      </c>
      <c r="N918" cm="1">
        <f t="array" ref="N918">IFERROR(_xlfn.XLOOKUP(C918&amp;A918, TDrate!F:F&amp;TDrate!H:H, TDrate!D:D), "N/A")</f>
        <v>4.9500000000000002E-2</v>
      </c>
    </row>
    <row r="919" spans="1:14" x14ac:dyDescent="0.45">
      <c r="A919" s="8">
        <v>2020</v>
      </c>
      <c r="B919" s="9" t="s">
        <v>569</v>
      </c>
      <c r="C919" s="10" t="str">
        <f t="shared" si="28"/>
        <v>Darrell Henderson Jr.</v>
      </c>
      <c r="D919" s="10" t="str">
        <f t="shared" si="29"/>
        <v>LAR</v>
      </c>
      <c r="E919" cm="1">
        <f t="array" ref="E919">IFERROR(_xlfn.XLOOKUP(C919&amp;A919, Inside5!B:B&amp;Inside5!I:I, Inside5!C:C), 0)</f>
        <v>11</v>
      </c>
      <c r="F919" cm="1">
        <f t="array" aca="1" ref="F919" ca="1">IFERROR(_xlfn.XLOOKUP(C919&amp;A919, Inside5!B:B&amp;Inside5!I:I, Inside5!D:D), 0)</f>
        <v>4</v>
      </c>
      <c r="G919" cm="1">
        <f t="array" ref="G919">IFERROR(_xlfn.XLOOKUP(C919&amp;A919, Inside5!B:B&amp;Inside5!I:I, Inside5!E:E), 0)</f>
        <v>0.40699999999999997</v>
      </c>
      <c r="H919" cm="1">
        <f t="array" ref="H919">IFERROR(_xlfn.XLOOKUP(C919&amp;A919, TDrate!F:F&amp;TDrate!H:H, TDrate!C:C), "N/A")</f>
        <v>3.6200000000000003E-2</v>
      </c>
      <c r="I919" cm="1">
        <f t="array" ref="I919">IFERROR(_xlfn.XLOOKUP(C919&amp;A919, TDrate!F:F&amp;TDrate!H:H, TDrate!E:E), "N/A")</f>
        <v>4.2099999999999999E-2</v>
      </c>
      <c r="J919" cm="1">
        <f t="array" ref="J919">IFERROR(_xlfn.XLOOKUP(C919&amp;A919, Inside5!B:B&amp;Inside5!I:I, Inside5!F:F), 0)</f>
        <v>0</v>
      </c>
      <c r="K919" cm="1">
        <f t="array" aca="1" ref="K919" ca="1">IFERROR(_xlfn.XLOOKUP(C919&amp;A919, Inside5!B:B&amp;Inside5!I:I, Inside5!G:G), 0)</f>
        <v>0</v>
      </c>
      <c r="L919" cm="1">
        <f t="array" ref="L919">IFERROR(_xlfn.XLOOKUP(C919&amp;A919, Inside5!B:B&amp;Inside5!I:I, Inside5!H:H), 0)</f>
        <v>0</v>
      </c>
      <c r="M919" cm="1">
        <f t="array" ref="M919">IFERROR(_xlfn.XLOOKUP(C919&amp;A919, TDrate!F:F&amp;TDrate!H:H, TDrate!B:B), "N/A")</f>
        <v>4.1700000000000001E-2</v>
      </c>
      <c r="N919" cm="1">
        <f t="array" ref="N919">IFERROR(_xlfn.XLOOKUP(C919&amp;A919, TDrate!F:F&amp;TDrate!H:H, TDrate!D:D), "N/A")</f>
        <v>3.7600000000000001E-2</v>
      </c>
    </row>
    <row r="920" spans="1:14" x14ac:dyDescent="0.45">
      <c r="A920" s="5">
        <v>2020</v>
      </c>
      <c r="B920" s="6" t="s">
        <v>824</v>
      </c>
      <c r="C920" s="7" t="str">
        <f t="shared" si="28"/>
        <v>Latavius Murray</v>
      </c>
      <c r="D920" s="7" t="str">
        <f t="shared" si="29"/>
        <v>NO</v>
      </c>
      <c r="E920" cm="1">
        <f t="array" aca="1" ref="E920" ca="1">IFERROR(_xlfn.XLOOKUP(C920&amp;A920, Inside5!B:B&amp;Inside5!I:I, Inside5!C:C), 0)</f>
        <v>3</v>
      </c>
      <c r="F920" cm="1">
        <f t="array" aca="1" ref="F920" ca="1">IFERROR(_xlfn.XLOOKUP(C920&amp;A920, Inside5!B:B&amp;Inside5!I:I, Inside5!D:D), 0)</f>
        <v>1</v>
      </c>
      <c r="G920" cm="1">
        <f t="array" ref="G920">IFERROR(_xlfn.XLOOKUP(C920&amp;A920, Inside5!B:B&amp;Inside5!I:I, Inside5!E:E), 0)</f>
        <v>0.16700000000000001</v>
      </c>
      <c r="H920" cm="1">
        <f t="array" ref="H920">IFERROR(_xlfn.XLOOKUP(C920&amp;A920, TDrate!F:F&amp;TDrate!H:H, TDrate!C:C), "N/A")</f>
        <v>2.7400000000000001E-2</v>
      </c>
      <c r="I920" cm="1">
        <f t="array" ref="I920">IFERROR(_xlfn.XLOOKUP(C920&amp;A920, TDrate!F:F&amp;TDrate!H:H, TDrate!E:E), "N/A")</f>
        <v>2.4899999999999999E-2</v>
      </c>
      <c r="J920" cm="1">
        <f t="array" ref="J920">IFERROR(_xlfn.XLOOKUP(C920&amp;A920, Inside5!B:B&amp;Inside5!I:I, Inside5!F:F), 0)</f>
        <v>0</v>
      </c>
      <c r="K920" cm="1">
        <f t="array" ref="K920">IFERROR(_xlfn.XLOOKUP(C920&amp;A920, Inside5!B:B&amp;Inside5!I:I, Inside5!G:G), 0)</f>
        <v>0</v>
      </c>
      <c r="L920" cm="1">
        <f t="array" ref="L920">IFERROR(_xlfn.XLOOKUP(C920&amp;A920, Inside5!B:B&amp;Inside5!I:I, Inside5!H:H), 0)</f>
        <v>0</v>
      </c>
      <c r="M920" cm="1">
        <f t="array" ref="M920">IFERROR(_xlfn.XLOOKUP(C920&amp;A920, TDrate!F:F&amp;TDrate!H:H, TDrate!B:B), "N/A")</f>
        <v>3.85E-2</v>
      </c>
      <c r="N920" cm="1">
        <f t="array" ref="N920">IFERROR(_xlfn.XLOOKUP(C920&amp;A920, TDrate!F:F&amp;TDrate!H:H, TDrate!D:D), "N/A")</f>
        <v>3.4200000000000001E-2</v>
      </c>
    </row>
    <row r="921" spans="1:14" x14ac:dyDescent="0.45">
      <c r="A921" s="8">
        <v>2020</v>
      </c>
      <c r="B921" s="9" t="s">
        <v>825</v>
      </c>
      <c r="C921" s="10" t="str">
        <f t="shared" si="28"/>
        <v>Adrian Peterson</v>
      </c>
      <c r="D921" s="10" t="str">
        <f t="shared" si="29"/>
        <v>DET</v>
      </c>
      <c r="E921" cm="1">
        <f t="array" aca="1" ref="E921" ca="1">IFERROR(_xlfn.XLOOKUP(C921&amp;A921, Inside5!B:B&amp;Inside5!I:I, Inside5!C:C), 0)</f>
        <v>14</v>
      </c>
      <c r="F921" cm="1">
        <f t="array" aca="1" ref="F921" ca="1">IFERROR(_xlfn.XLOOKUP(C921&amp;A921, Inside5!B:B&amp;Inside5!I:I, Inside5!D:D), 0)</f>
        <v>6</v>
      </c>
      <c r="G921" cm="1">
        <f t="array" ref="G921">IFERROR(_xlfn.XLOOKUP(C921&amp;A921, Inside5!B:B&amp;Inside5!I:I, Inside5!E:E), 0)</f>
        <v>0.46700000000000003</v>
      </c>
      <c r="H921" cm="1">
        <f t="array" ref="H921">IFERROR(_xlfn.XLOOKUP(C921&amp;A921, TDrate!F:F&amp;TDrate!H:H, TDrate!C:C), "N/A")</f>
        <v>4.4900000000000002E-2</v>
      </c>
      <c r="I921" cm="1">
        <f t="array" ref="I921">IFERROR(_xlfn.XLOOKUP(C921&amp;A921, TDrate!F:F&amp;TDrate!H:H, TDrate!E:E), "N/A")</f>
        <v>4.8000000000000001E-2</v>
      </c>
      <c r="J921" cm="1">
        <f t="array" ref="J921">IFERROR(_xlfn.XLOOKUP(C921&amp;A921, Inside5!B:B&amp;Inside5!I:I, Inside5!F:F), 0)</f>
        <v>0</v>
      </c>
      <c r="K921" cm="1">
        <f t="array" ref="K921">IFERROR(_xlfn.XLOOKUP(C921&amp;A921, Inside5!B:B&amp;Inside5!I:I, Inside5!G:G), 0)</f>
        <v>0</v>
      </c>
      <c r="L921" cm="1">
        <f t="array" ref="L921">IFERROR(_xlfn.XLOOKUP(C921&amp;A921, Inside5!B:B&amp;Inside5!I:I, Inside5!H:H), 0)</f>
        <v>0</v>
      </c>
      <c r="M921" cm="1">
        <f t="array" ref="M921">IFERROR(_xlfn.XLOOKUP(C921&amp;A921, TDrate!F:F&amp;TDrate!H:H, TDrate!B:B), "N/A")</f>
        <v>0</v>
      </c>
      <c r="N921" cm="1">
        <f t="array" ref="N921">IFERROR(_xlfn.XLOOKUP(C921&amp;A921, TDrate!F:F&amp;TDrate!H:H, TDrate!D:D), "N/A")</f>
        <v>1.03E-2</v>
      </c>
    </row>
    <row r="922" spans="1:14" x14ac:dyDescent="0.45">
      <c r="A922" s="5">
        <v>2020</v>
      </c>
      <c r="B922" s="6" t="s">
        <v>662</v>
      </c>
      <c r="C922" s="7" t="str">
        <f t="shared" si="28"/>
        <v>J.D. McKissic</v>
      </c>
      <c r="D922" s="7" t="str">
        <f t="shared" si="29"/>
        <v>WAS</v>
      </c>
      <c r="E922" cm="1">
        <f t="array" ref="E922">IFERROR(_xlfn.XLOOKUP(C922&amp;A922, Inside5!B:B&amp;Inside5!I:I, Inside5!C:C), 0)</f>
        <v>3</v>
      </c>
      <c r="F922" cm="1">
        <f t="array" aca="1" ref="F922" ca="1">IFERROR(_xlfn.XLOOKUP(C922&amp;A922, Inside5!B:B&amp;Inside5!I:I, Inside5!D:D), 0)</f>
        <v>1</v>
      </c>
      <c r="G922" cm="1">
        <f t="array" ref="G922">IFERROR(_xlfn.XLOOKUP(C922&amp;A922, Inside5!B:B&amp;Inside5!I:I, Inside5!E:E), 0)</f>
        <v>0.125</v>
      </c>
      <c r="H922" cm="1">
        <f t="array" ref="H922">IFERROR(_xlfn.XLOOKUP(C922&amp;A922, TDrate!F:F&amp;TDrate!H:H, TDrate!C:C), "N/A")</f>
        <v>1.18E-2</v>
      </c>
      <c r="I922" cm="1">
        <f t="array" ref="I922">IFERROR(_xlfn.XLOOKUP(C922&amp;A922, TDrate!F:F&amp;TDrate!H:H, TDrate!E:E), "N/A")</f>
        <v>1.8499999999999999E-2</v>
      </c>
      <c r="J922" cm="1">
        <f t="array" ref="J922">IFERROR(_xlfn.XLOOKUP(C922&amp;A922, Inside5!B:B&amp;Inside5!I:I, Inside5!F:F), 0)</f>
        <v>0</v>
      </c>
      <c r="K922" cm="1">
        <f t="array" ref="K922">IFERROR(_xlfn.XLOOKUP(C922&amp;A922, Inside5!B:B&amp;Inside5!I:I, Inside5!G:G), 0)</f>
        <v>0</v>
      </c>
      <c r="L922" cm="1">
        <f t="array" ref="L922">IFERROR(_xlfn.XLOOKUP(C922&amp;A922, Inside5!B:B&amp;Inside5!I:I, Inside5!H:H), 0)</f>
        <v>0</v>
      </c>
      <c r="M922" cm="1">
        <f t="array" ref="M922">IFERROR(_xlfn.XLOOKUP(C922&amp;A922, TDrate!F:F&amp;TDrate!H:H, TDrate!B:B), "N/A")</f>
        <v>1.8200000000000001E-2</v>
      </c>
      <c r="N922" cm="1">
        <f t="array" ref="N922">IFERROR(_xlfn.XLOOKUP(C922&amp;A922, TDrate!F:F&amp;TDrate!H:H, TDrate!D:D), "N/A")</f>
        <v>1.9400000000000001E-2</v>
      </c>
    </row>
    <row r="923" spans="1:14" x14ac:dyDescent="0.45">
      <c r="A923" s="8">
        <v>2020</v>
      </c>
      <c r="B923" s="9" t="s">
        <v>554</v>
      </c>
      <c r="C923" s="10" t="str">
        <f t="shared" si="28"/>
        <v>Austin Ekeler</v>
      </c>
      <c r="D923" s="10" t="str">
        <f t="shared" si="29"/>
        <v>LAC</v>
      </c>
      <c r="E923" cm="1">
        <f t="array" ref="E923">IFERROR(_xlfn.XLOOKUP(C923&amp;A923, Inside5!B:B&amp;Inside5!I:I, Inside5!C:C), 0)</f>
        <v>1</v>
      </c>
      <c r="F923" cm="1">
        <f t="array" ref="F923">IFERROR(_xlfn.XLOOKUP(C923&amp;A923, Inside5!B:B&amp;Inside5!I:I, Inside5!D:D), 0)</f>
        <v>0</v>
      </c>
      <c r="G923" cm="1">
        <f t="array" ref="G923">IFERROR(_xlfn.XLOOKUP(C923&amp;A923, Inside5!B:B&amp;Inside5!I:I, Inside5!E:E), 0)</f>
        <v>7.6999999999999999E-2</v>
      </c>
      <c r="H923" cm="1">
        <f t="array" ref="H923">IFERROR(_xlfn.XLOOKUP(C923&amp;A923, TDrate!F:F&amp;TDrate!H:H, TDrate!C:C), "N/A")</f>
        <v>8.6E-3</v>
      </c>
      <c r="I923" cm="1">
        <f t="array" ref="I923">IFERROR(_xlfn.XLOOKUP(C923&amp;A923, TDrate!F:F&amp;TDrate!H:H, TDrate!E:E), "N/A")</f>
        <v>1.52E-2</v>
      </c>
      <c r="J923" cm="1">
        <f t="array" ref="J923">IFERROR(_xlfn.XLOOKUP(C923&amp;A923, Inside5!B:B&amp;Inside5!I:I, Inside5!F:F), 0)</f>
        <v>0</v>
      </c>
      <c r="K923" cm="1">
        <f t="array" ref="K923">IFERROR(_xlfn.XLOOKUP(C923&amp;A923, Inside5!B:B&amp;Inside5!I:I, Inside5!G:G), 0)</f>
        <v>0</v>
      </c>
      <c r="L923" cm="1">
        <f t="array" ref="L923">IFERROR(_xlfn.XLOOKUP(C923&amp;A923, Inside5!B:B&amp;Inside5!I:I, Inside5!H:H), 0)</f>
        <v>0</v>
      </c>
      <c r="M923" cm="1">
        <f t="array" ref="M923">IFERROR(_xlfn.XLOOKUP(C923&amp;A923, TDrate!F:F&amp;TDrate!H:H, TDrate!B:B), "N/A")</f>
        <v>3.0800000000000001E-2</v>
      </c>
      <c r="N923" cm="1">
        <f t="array" ref="N923">IFERROR(_xlfn.XLOOKUP(C923&amp;A923, TDrate!F:F&amp;TDrate!H:H, TDrate!D:D), "N/A")</f>
        <v>3.27E-2</v>
      </c>
    </row>
    <row r="924" spans="1:14" x14ac:dyDescent="0.45">
      <c r="A924" s="5">
        <v>2020</v>
      </c>
      <c r="B924" s="6" t="s">
        <v>826</v>
      </c>
      <c r="C924" s="7" t="str">
        <f t="shared" si="28"/>
        <v>Giovani Bernard</v>
      </c>
      <c r="D924" s="7" t="str">
        <f t="shared" si="29"/>
        <v>CIN</v>
      </c>
      <c r="E924" cm="1">
        <f t="array" aca="1" ref="E924" ca="1">IFERROR(_xlfn.XLOOKUP(C924&amp;A924, Inside5!B:B&amp;Inside5!I:I, Inside5!C:C), 0)</f>
        <v>6</v>
      </c>
      <c r="F924" cm="1">
        <f t="array" aca="1" ref="F924" ca="1">IFERROR(_xlfn.XLOOKUP(C924&amp;A924, Inside5!B:B&amp;Inside5!I:I, Inside5!D:D), 0)</f>
        <v>2</v>
      </c>
      <c r="G924" cm="1">
        <f t="array" ref="G924">IFERROR(_xlfn.XLOOKUP(C924&amp;A924, Inside5!B:B&amp;Inside5!I:I, Inside5!E:E), 0)</f>
        <v>0.4</v>
      </c>
      <c r="H924" cm="1">
        <f t="array" ref="H924">IFERROR(_xlfn.XLOOKUP(C924&amp;A924, TDrate!F:F&amp;TDrate!H:H, TDrate!C:C), "N/A")</f>
        <v>2.4199999999999999E-2</v>
      </c>
      <c r="I924" cm="1">
        <f t="array" ref="I924">IFERROR(_xlfn.XLOOKUP(C924&amp;A924, TDrate!F:F&amp;TDrate!H:H, TDrate!E:E), "N/A")</f>
        <v>2.7300000000000001E-2</v>
      </c>
      <c r="J924" cm="1">
        <f t="array" ref="J924">IFERROR(_xlfn.XLOOKUP(C924&amp;A924, Inside5!B:B&amp;Inside5!I:I, Inside5!F:F), 0)</f>
        <v>1</v>
      </c>
      <c r="K924" cm="1">
        <f t="array" ref="K924">IFERROR(_xlfn.XLOOKUP(C924&amp;A924, Inside5!B:B&amp;Inside5!I:I, Inside5!G:G), 0)</f>
        <v>1</v>
      </c>
      <c r="L924" cm="1">
        <f t="array" ref="L924">IFERROR(_xlfn.XLOOKUP(C924&amp;A924, Inside5!B:B&amp;Inside5!I:I, Inside5!H:H), 0)</f>
        <v>1</v>
      </c>
      <c r="M924" cm="1">
        <f t="array" ref="M924">IFERROR(_xlfn.XLOOKUP(C924&amp;A924, TDrate!F:F&amp;TDrate!H:H, TDrate!B:B), "N/A")</f>
        <v>5.0799999999999998E-2</v>
      </c>
      <c r="N924" cm="1">
        <f t="array" ref="N924">IFERROR(_xlfn.XLOOKUP(C924&amp;A924, TDrate!F:F&amp;TDrate!H:H, TDrate!D:D), "N/A")</f>
        <v>4.4400000000000002E-2</v>
      </c>
    </row>
    <row r="925" spans="1:14" x14ac:dyDescent="0.45">
      <c r="A925" s="8">
        <v>2020</v>
      </c>
      <c r="B925" s="9" t="s">
        <v>640</v>
      </c>
      <c r="C925" s="10" t="str">
        <f t="shared" si="28"/>
        <v>Devin Singletary</v>
      </c>
      <c r="D925" s="10" t="str">
        <f t="shared" si="29"/>
        <v>BUF</v>
      </c>
      <c r="E925" cm="1">
        <f t="array" ref="E925">IFERROR(_xlfn.XLOOKUP(C925&amp;A925, Inside5!B:B&amp;Inside5!I:I, Inside5!C:C), 0)</f>
        <v>6</v>
      </c>
      <c r="F925" cm="1">
        <f t="array" ref="F925">IFERROR(_xlfn.XLOOKUP(C925&amp;A925, Inside5!B:B&amp;Inside5!I:I, Inside5!D:D), 0)</f>
        <v>1</v>
      </c>
      <c r="G925" cm="1">
        <f t="array" ref="G925">IFERROR(_xlfn.XLOOKUP(C925&amp;A925, Inside5!B:B&amp;Inside5!I:I, Inside5!E:E), 0)</f>
        <v>0.33300000000000002</v>
      </c>
      <c r="H925" cm="1">
        <f t="array" ref="H925">IFERROR(_xlfn.XLOOKUP(C925&amp;A925, TDrate!F:F&amp;TDrate!H:H, TDrate!C:C), "N/A")</f>
        <v>1.2800000000000001E-2</v>
      </c>
      <c r="I925" cm="1">
        <f t="array" ref="I925">IFERROR(_xlfn.XLOOKUP(C925&amp;A925, TDrate!F:F&amp;TDrate!H:H, TDrate!E:E), "N/A")</f>
        <v>1.9099999999999999E-2</v>
      </c>
      <c r="J925" cm="1">
        <f t="array" ref="J925">IFERROR(_xlfn.XLOOKUP(C925&amp;A925, Inside5!B:B&amp;Inside5!I:I, Inside5!F:F), 0)</f>
        <v>0</v>
      </c>
      <c r="K925" cm="1">
        <f t="array" ref="K925">IFERROR(_xlfn.XLOOKUP(C925&amp;A925, Inside5!B:B&amp;Inside5!I:I, Inside5!G:G), 0)</f>
        <v>0</v>
      </c>
      <c r="L925" cm="1">
        <f t="array" ref="L925">IFERROR(_xlfn.XLOOKUP(C925&amp;A925, Inside5!B:B&amp;Inside5!I:I, Inside5!H:H), 0)</f>
        <v>0</v>
      </c>
      <c r="M925" cm="1">
        <f t="array" ref="M925">IFERROR(_xlfn.XLOOKUP(C925&amp;A925, TDrate!F:F&amp;TDrate!H:H, TDrate!B:B), "N/A")</f>
        <v>0</v>
      </c>
      <c r="N925" cm="1">
        <f t="array" ref="N925">IFERROR(_xlfn.XLOOKUP(C925&amp;A925, TDrate!F:F&amp;TDrate!H:H, TDrate!D:D), "N/A")</f>
        <v>1.21E-2</v>
      </c>
    </row>
    <row r="926" spans="1:14" x14ac:dyDescent="0.45">
      <c r="A926" s="5">
        <v>2020</v>
      </c>
      <c r="B926" s="6" t="s">
        <v>827</v>
      </c>
      <c r="C926" s="7" t="str">
        <f t="shared" si="28"/>
        <v>Jamaal Williams</v>
      </c>
      <c r="D926" s="7" t="str">
        <f t="shared" si="29"/>
        <v>GB</v>
      </c>
      <c r="E926" cm="1">
        <f t="array" ref="E926">IFERROR(_xlfn.XLOOKUP(C926&amp;A926, Inside5!B:B&amp;Inside5!I:I, Inside5!C:C), 0)</f>
        <v>6</v>
      </c>
      <c r="F926" cm="1">
        <f t="array" aca="1" ref="F926" ca="1">IFERROR(_xlfn.XLOOKUP(C926&amp;A926, Inside5!B:B&amp;Inside5!I:I, Inside5!D:D), 0)</f>
        <v>1</v>
      </c>
      <c r="G926" cm="1">
        <f t="array" ref="G926">IFERROR(_xlfn.XLOOKUP(C926&amp;A926, Inside5!B:B&amp;Inside5!I:I, Inside5!E:E), 0)</f>
        <v>0.375</v>
      </c>
      <c r="H926" cm="1">
        <f t="array" ref="H926">IFERROR(_xlfn.XLOOKUP(C926&amp;A926, TDrate!F:F&amp;TDrate!H:H, TDrate!C:C), "N/A")</f>
        <v>1.6799999999999999E-2</v>
      </c>
      <c r="I926" cm="1">
        <f t="array" ref="I926">IFERROR(_xlfn.XLOOKUP(C926&amp;A926, TDrate!F:F&amp;TDrate!H:H, TDrate!E:E), "N/A")</f>
        <v>2.6200000000000001E-2</v>
      </c>
      <c r="J926" cm="1">
        <f t="array" ref="J926">IFERROR(_xlfn.XLOOKUP(C926&amp;A926, Inside5!B:B&amp;Inside5!I:I, Inside5!F:F), 0)</f>
        <v>1</v>
      </c>
      <c r="K926" cm="1">
        <f t="array" ref="K926">IFERROR(_xlfn.XLOOKUP(C926&amp;A926, Inside5!B:B&amp;Inside5!I:I, Inside5!G:G), 0)</f>
        <v>1</v>
      </c>
      <c r="L926" cm="1">
        <f t="array" ref="L926">IFERROR(_xlfn.XLOOKUP(C926&amp;A926, Inside5!B:B&amp;Inside5!I:I, Inside5!H:H), 0)</f>
        <v>1</v>
      </c>
      <c r="M926" cm="1">
        <f t="array" ref="M926">IFERROR(_xlfn.XLOOKUP(C926&amp;A926, TDrate!F:F&amp;TDrate!H:H, TDrate!B:B), "N/A")</f>
        <v>2.86E-2</v>
      </c>
      <c r="N926" cm="1">
        <f t="array" ref="N926">IFERROR(_xlfn.XLOOKUP(C926&amp;A926, TDrate!F:F&amp;TDrate!H:H, TDrate!D:D), "N/A")</f>
        <v>3.2000000000000001E-2</v>
      </c>
    </row>
    <row r="927" spans="1:14" x14ac:dyDescent="0.45">
      <c r="A927" s="8">
        <v>2020</v>
      </c>
      <c r="B927" s="9" t="s">
        <v>637</v>
      </c>
      <c r="C927" s="10" t="str">
        <f t="shared" si="28"/>
        <v>Leonard Fournette</v>
      </c>
      <c r="D927" s="10" t="str">
        <f t="shared" si="29"/>
        <v>TB</v>
      </c>
      <c r="E927" cm="1">
        <f t="array" ref="E927">IFERROR(_xlfn.XLOOKUP(C927&amp;A927, Inside5!B:B&amp;Inside5!I:I, Inside5!C:C), 0)</f>
        <v>9</v>
      </c>
      <c r="F927" cm="1">
        <f t="array" ref="F927">IFERROR(_xlfn.XLOOKUP(C927&amp;A927, Inside5!B:B&amp;Inside5!I:I, Inside5!D:D), 0)</f>
        <v>5</v>
      </c>
      <c r="G927" cm="1">
        <f t="array" ref="G927">IFERROR(_xlfn.XLOOKUP(C927&amp;A927, Inside5!B:B&amp;Inside5!I:I, Inside5!E:E), 0)</f>
        <v>0.5</v>
      </c>
      <c r="H927" cm="1">
        <f t="array" ref="H927">IFERROR(_xlfn.XLOOKUP(C927&amp;A927, TDrate!F:F&amp;TDrate!H:H, TDrate!C:C), "N/A")</f>
        <v>6.1899999999999997E-2</v>
      </c>
      <c r="I927" cm="1">
        <f t="array" ref="I927">IFERROR(_xlfn.XLOOKUP(C927&amp;A927, TDrate!F:F&amp;TDrate!H:H, TDrate!E:E), "N/A")</f>
        <v>5.5800000000000002E-2</v>
      </c>
      <c r="J927" cm="1">
        <f t="array" ref="J927">IFERROR(_xlfn.XLOOKUP(C927&amp;A927, Inside5!B:B&amp;Inside5!I:I, Inside5!F:F), 0)</f>
        <v>1</v>
      </c>
      <c r="K927" cm="1">
        <f t="array" ref="K927">IFERROR(_xlfn.XLOOKUP(C927&amp;A927, Inside5!B:B&amp;Inside5!I:I, Inside5!G:G), 0)</f>
        <v>1</v>
      </c>
      <c r="L927" cm="1">
        <f t="array" ref="L927">IFERROR(_xlfn.XLOOKUP(C927&amp;A927, Inside5!B:B&amp;Inside5!I:I, Inside5!H:H), 0)</f>
        <v>0</v>
      </c>
      <c r="M927" cm="1">
        <f t="array" ref="M927">IFERROR(_xlfn.XLOOKUP(C927&amp;A927, TDrate!F:F&amp;TDrate!H:H, TDrate!B:B), "N/A")</f>
        <v>0</v>
      </c>
      <c r="N927" cm="1">
        <f t="array" ref="N927">IFERROR(_xlfn.XLOOKUP(C927&amp;A927, TDrate!F:F&amp;TDrate!H:H, TDrate!D:D), "N/A")</f>
        <v>1.8700000000000001E-2</v>
      </c>
    </row>
    <row r="928" spans="1:14" x14ac:dyDescent="0.45">
      <c r="A928" s="5">
        <v>2020</v>
      </c>
      <c r="B928" s="6" t="s">
        <v>828</v>
      </c>
      <c r="C928" s="7" t="str">
        <f t="shared" si="28"/>
        <v>Jerick McKinnon</v>
      </c>
      <c r="D928" s="7" t="str">
        <f t="shared" si="29"/>
        <v>SF</v>
      </c>
      <c r="E928" cm="1">
        <f t="array" ref="E928">IFERROR(_xlfn.XLOOKUP(C928&amp;A928, Inside5!B:B&amp;Inside5!I:I, Inside5!C:C), 0)</f>
        <v>4</v>
      </c>
      <c r="F928" cm="1">
        <f t="array" ref="F928">IFERROR(_xlfn.XLOOKUP(C928&amp;A928, Inside5!B:B&amp;Inside5!I:I, Inside5!D:D), 0)</f>
        <v>3</v>
      </c>
      <c r="G928" cm="1">
        <f t="array" ref="G928">IFERROR(_xlfn.XLOOKUP(C928&amp;A928, Inside5!B:B&amp;Inside5!I:I, Inside5!E:E), 0)</f>
        <v>0.16700000000000001</v>
      </c>
      <c r="H928" cm="1">
        <f t="array" ref="H928">IFERROR(_xlfn.XLOOKUP(C928&amp;A928, TDrate!F:F&amp;TDrate!H:H, TDrate!C:C), "N/A")</f>
        <v>6.1699999999999998E-2</v>
      </c>
      <c r="I928" cm="1">
        <f t="array" ref="I928">IFERROR(_xlfn.XLOOKUP(C928&amp;A928, TDrate!F:F&amp;TDrate!H:H, TDrate!E:E), "N/A")</f>
        <v>4.7699999999999999E-2</v>
      </c>
      <c r="J928" cm="1">
        <f t="array" ref="J928">IFERROR(_xlfn.XLOOKUP(C928&amp;A928, Inside5!B:B&amp;Inside5!I:I, Inside5!F:F), 0)</f>
        <v>1</v>
      </c>
      <c r="K928" cm="1">
        <f t="array" ref="K928">IFERROR(_xlfn.XLOOKUP(C928&amp;A928, Inside5!B:B&amp;Inside5!I:I, Inside5!G:G), 0)</f>
        <v>1</v>
      </c>
      <c r="L928" cm="1">
        <f t="array" ref="L928">IFERROR(_xlfn.XLOOKUP(C928&amp;A928, Inside5!B:B&amp;Inside5!I:I, Inside5!H:H), 0)</f>
        <v>1</v>
      </c>
      <c r="M928" cm="1">
        <f t="array" ref="M928">IFERROR(_xlfn.XLOOKUP(C928&amp;A928, TDrate!F:F&amp;TDrate!H:H, TDrate!B:B), "N/A")</f>
        <v>2.1700000000000001E-2</v>
      </c>
      <c r="N928" cm="1">
        <f t="array" ref="N928">IFERROR(_xlfn.XLOOKUP(C928&amp;A928, TDrate!F:F&amp;TDrate!H:H, TDrate!D:D), "N/A")</f>
        <v>2.63E-2</v>
      </c>
    </row>
    <row r="929" spans="1:14" x14ac:dyDescent="0.45">
      <c r="A929" s="8">
        <v>2020</v>
      </c>
      <c r="B929" s="9" t="s">
        <v>549</v>
      </c>
      <c r="C929" s="10" t="str">
        <f t="shared" si="28"/>
        <v>Tony Pollard</v>
      </c>
      <c r="D929" s="10" t="str">
        <f t="shared" si="29"/>
        <v>DAL</v>
      </c>
      <c r="E929" cm="1">
        <f t="array" aca="1" ref="E929" ca="1">IFERROR(_xlfn.XLOOKUP(C929&amp;A929, Inside5!B:B&amp;Inside5!I:I, Inside5!C:C), 0)</f>
        <v>3</v>
      </c>
      <c r="F929" cm="1">
        <f t="array" aca="1" ref="F929" ca="1">IFERROR(_xlfn.XLOOKUP(C929&amp;A929, Inside5!B:B&amp;Inside5!I:I, Inside5!D:D), 0)</f>
        <v>2</v>
      </c>
      <c r="G929" cm="1">
        <f t="array" ref="G929">IFERROR(_xlfn.XLOOKUP(C929&amp;A929, Inside5!B:B&amp;Inside5!I:I, Inside5!E:E), 0)</f>
        <v>0.107</v>
      </c>
      <c r="H929" cm="1">
        <f t="array" ref="H929">IFERROR(_xlfn.XLOOKUP(C929&amp;A929, TDrate!F:F&amp;TDrate!H:H, TDrate!C:C), "N/A")</f>
        <v>3.9600000000000003E-2</v>
      </c>
      <c r="I929" cm="1">
        <f t="array" ref="I929">IFERROR(_xlfn.XLOOKUP(C929&amp;A929, TDrate!F:F&amp;TDrate!H:H, TDrate!E:E), "N/A")</f>
        <v>3.0700000000000002E-2</v>
      </c>
      <c r="J929" cm="1">
        <f t="array" ref="J929">IFERROR(_xlfn.XLOOKUP(C929&amp;A929, Inside5!B:B&amp;Inside5!I:I, Inside5!F:F), 0)</f>
        <v>0</v>
      </c>
      <c r="K929" cm="1">
        <f t="array" ref="K929">IFERROR(_xlfn.XLOOKUP(C929&amp;A929, Inside5!B:B&amp;Inside5!I:I, Inside5!G:G), 0)</f>
        <v>0</v>
      </c>
      <c r="L929" cm="1">
        <f t="array" ref="L929">IFERROR(_xlfn.XLOOKUP(C929&amp;A929, Inside5!B:B&amp;Inside5!I:I, Inside5!H:H), 0)</f>
        <v>0</v>
      </c>
      <c r="M929" cm="1">
        <f t="array" ref="M929">IFERROR(_xlfn.XLOOKUP(C929&amp;A929, TDrate!F:F&amp;TDrate!H:H, TDrate!B:B), "N/A")</f>
        <v>2.5000000000000001E-2</v>
      </c>
      <c r="N929" cm="1">
        <f t="array" ref="N929">IFERROR(_xlfn.XLOOKUP(C929&amp;A929, TDrate!F:F&amp;TDrate!H:H, TDrate!D:D), "N/A")</f>
        <v>3.0700000000000002E-2</v>
      </c>
    </row>
    <row r="930" spans="1:14" x14ac:dyDescent="0.45">
      <c r="A930" s="5">
        <v>2020</v>
      </c>
      <c r="B930" s="6" t="s">
        <v>641</v>
      </c>
      <c r="C930" s="7" t="str">
        <f t="shared" si="28"/>
        <v>Cam Akers</v>
      </c>
      <c r="D930" s="7" t="str">
        <f t="shared" si="29"/>
        <v>LAR</v>
      </c>
      <c r="E930" cm="1">
        <f t="array" aca="1" ref="E930" ca="1">IFERROR(_xlfn.XLOOKUP(C930&amp;A930, Inside5!B:B&amp;Inside5!I:I, Inside5!C:C), 0)</f>
        <v>7</v>
      </c>
      <c r="F930" cm="1">
        <f t="array" aca="1" ref="F930" ca="1">IFERROR(_xlfn.XLOOKUP(C930&amp;A930, Inside5!B:B&amp;Inside5!I:I, Inside5!D:D), 0)</f>
        <v>1</v>
      </c>
      <c r="G930" cm="1">
        <f t="array" ref="G930">IFERROR(_xlfn.XLOOKUP(C930&amp;A930, Inside5!B:B&amp;Inside5!I:I, Inside5!E:E), 0)</f>
        <v>0.25900000000000001</v>
      </c>
      <c r="H930" cm="1">
        <f t="array" ref="H930">IFERROR(_xlfn.XLOOKUP(C930&amp;A930, TDrate!F:F&amp;TDrate!H:H, TDrate!C:C), "N/A")</f>
        <v>1.38E-2</v>
      </c>
      <c r="I930" cm="1">
        <f t="array" ref="I930">IFERROR(_xlfn.XLOOKUP(C930&amp;A930, TDrate!F:F&amp;TDrate!H:H, TDrate!E:E), "N/A")</f>
        <v>2.8199999999999999E-2</v>
      </c>
      <c r="J930" cm="1">
        <f t="array" ref="J930">IFERROR(_xlfn.XLOOKUP(C930&amp;A930, Inside5!B:B&amp;Inside5!I:I, Inside5!F:F), 0)</f>
        <v>1</v>
      </c>
      <c r="K930" cm="1">
        <f t="array" ref="K930">IFERROR(_xlfn.XLOOKUP(C930&amp;A930, Inside5!B:B&amp;Inside5!I:I, Inside5!G:G), 0)</f>
        <v>1</v>
      </c>
      <c r="L930" cm="1">
        <f t="array" ref="L930">IFERROR(_xlfn.XLOOKUP(C930&amp;A930, Inside5!B:B&amp;Inside5!I:I, Inside5!H:H), 0)</f>
        <v>1</v>
      </c>
      <c r="M930" cm="1">
        <f t="array" ref="M930">IFERROR(_xlfn.XLOOKUP(C930&amp;A930, TDrate!F:F&amp;TDrate!H:H, TDrate!B:B), "N/A")</f>
        <v>7.1400000000000005E-2</v>
      </c>
      <c r="N930" cm="1">
        <f t="array" ref="N930">IFERROR(_xlfn.XLOOKUP(C930&amp;A930, TDrate!F:F&amp;TDrate!H:H, TDrate!D:D), "N/A")</f>
        <v>7.1300000000000002E-2</v>
      </c>
    </row>
    <row r="931" spans="1:14" x14ac:dyDescent="0.45">
      <c r="A931" s="8">
        <v>2020</v>
      </c>
      <c r="B931" s="9" t="s">
        <v>727</v>
      </c>
      <c r="C931" s="10" t="str">
        <f t="shared" si="28"/>
        <v>Zack Moss</v>
      </c>
      <c r="D931" s="10" t="str">
        <f t="shared" si="29"/>
        <v>BUF</v>
      </c>
      <c r="E931" cm="1">
        <f t="array" ref="E931">IFERROR(_xlfn.XLOOKUP(C931&amp;A931, Inside5!B:B&amp;Inside5!I:I, Inside5!C:C), 0)</f>
        <v>11</v>
      </c>
      <c r="F931" cm="1">
        <f t="array" ref="F931">IFERROR(_xlfn.XLOOKUP(C931&amp;A931, Inside5!B:B&amp;Inside5!I:I, Inside5!D:D), 0)</f>
        <v>3</v>
      </c>
      <c r="G931" cm="1">
        <f t="array" ref="G931">IFERROR(_xlfn.XLOOKUP(C931&amp;A931, Inside5!B:B&amp;Inside5!I:I, Inside5!E:E), 0)</f>
        <v>0.61099999999999999</v>
      </c>
      <c r="H931" cm="1">
        <f t="array" ref="H931">IFERROR(_xlfn.XLOOKUP(C931&amp;A931, TDrate!F:F&amp;TDrate!H:H, TDrate!C:C), "N/A")</f>
        <v>3.5700000000000003E-2</v>
      </c>
      <c r="I931" cm="1">
        <f t="array" ref="I931">IFERROR(_xlfn.XLOOKUP(C931&amp;A931, TDrate!F:F&amp;TDrate!H:H, TDrate!E:E), "N/A")</f>
        <v>4.4999999999999998E-2</v>
      </c>
      <c r="J931" cm="1">
        <f t="array" ref="J931">IFERROR(_xlfn.XLOOKUP(C931&amp;A931, Inside5!B:B&amp;Inside5!I:I, Inside5!F:F), 0)</f>
        <v>1</v>
      </c>
      <c r="K931" cm="1">
        <f t="array" aca="1" ref="K931" ca="1">IFERROR(_xlfn.XLOOKUP(C931&amp;A931, Inside5!B:B&amp;Inside5!I:I, Inside5!G:G), 0)</f>
        <v>2</v>
      </c>
      <c r="L931" cm="1">
        <f t="array" ref="L931">IFERROR(_xlfn.XLOOKUP(C931&amp;A931, Inside5!B:B&amp;Inside5!I:I, Inside5!H:H), 0)</f>
        <v>1</v>
      </c>
      <c r="M931" cm="1">
        <f t="array" ref="M931">IFERROR(_xlfn.XLOOKUP(C931&amp;A931, TDrate!F:F&amp;TDrate!H:H, TDrate!B:B), "N/A")</f>
        <v>5.5599999999999997E-2</v>
      </c>
      <c r="N931" cm="1">
        <f t="array" ref="N931">IFERROR(_xlfn.XLOOKUP(C931&amp;A931, TDrate!F:F&amp;TDrate!H:H, TDrate!D:D), "N/A")</f>
        <v>5.62E-2</v>
      </c>
    </row>
    <row r="932" spans="1:14" x14ac:dyDescent="0.45">
      <c r="A932" s="5">
        <v>2020</v>
      </c>
      <c r="B932" s="6" t="s">
        <v>647</v>
      </c>
      <c r="C932" s="7" t="str">
        <f t="shared" si="28"/>
        <v>Damien Harris</v>
      </c>
      <c r="D932" s="7" t="str">
        <f t="shared" si="29"/>
        <v>NE</v>
      </c>
      <c r="E932" cm="1">
        <f t="array" ref="E932">IFERROR(_xlfn.XLOOKUP(C932&amp;A932, Inside5!B:B&amp;Inside5!I:I, Inside5!C:C), 0)</f>
        <v>3</v>
      </c>
      <c r="F932" cm="1">
        <f t="array" ref="F932">IFERROR(_xlfn.XLOOKUP(C932&amp;A932, Inside5!B:B&amp;Inside5!I:I, Inside5!D:D), 0)</f>
        <v>0</v>
      </c>
      <c r="G932" cm="1">
        <f t="array" ref="G932">IFERROR(_xlfn.XLOOKUP(C932&amp;A932, Inside5!B:B&amp;Inside5!I:I, Inside5!E:E), 0)</f>
        <v>0.3</v>
      </c>
      <c r="H932" cm="1">
        <f t="array" ref="H932">IFERROR(_xlfn.XLOOKUP(C932&amp;A932, TDrate!F:F&amp;TDrate!H:H, TDrate!C:C), "N/A")</f>
        <v>1.46E-2</v>
      </c>
      <c r="I932" cm="1">
        <f t="array" ref="I932">IFERROR(_xlfn.XLOOKUP(C932&amp;A932, TDrate!F:F&amp;TDrate!H:H, TDrate!E:E), "N/A")</f>
        <v>1.8800000000000001E-2</v>
      </c>
      <c r="J932" cm="1">
        <f t="array" ref="J932">IFERROR(_xlfn.XLOOKUP(C932&amp;A932, Inside5!B:B&amp;Inside5!I:I, Inside5!F:F), 0)</f>
        <v>0</v>
      </c>
      <c r="K932" cm="1">
        <f t="array" aca="1" ref="K932" ca="1">IFERROR(_xlfn.XLOOKUP(C932&amp;A932, Inside5!B:B&amp;Inside5!I:I, Inside5!G:G), 0)</f>
        <v>0</v>
      </c>
      <c r="L932" cm="1">
        <f t="array" ref="L932">IFERROR(_xlfn.XLOOKUP(C932&amp;A932, Inside5!B:B&amp;Inside5!I:I, Inside5!H:H), 0)</f>
        <v>0</v>
      </c>
      <c r="M932" cm="1">
        <f t="array" ref="M932">IFERROR(_xlfn.XLOOKUP(C932&amp;A932, TDrate!F:F&amp;TDrate!H:H, TDrate!B:B), "N/A")</f>
        <v>0</v>
      </c>
      <c r="N932" cm="1">
        <f t="array" ref="N932">IFERROR(_xlfn.XLOOKUP(C932&amp;A932, TDrate!F:F&amp;TDrate!H:H, TDrate!D:D), "N/A")</f>
        <v>7.4999999999999997E-3</v>
      </c>
    </row>
    <row r="933" spans="1:14" x14ac:dyDescent="0.45">
      <c r="A933" s="8">
        <v>2020</v>
      </c>
      <c r="B933" s="9" t="s">
        <v>667</v>
      </c>
      <c r="C933" s="10" t="str">
        <f t="shared" si="28"/>
        <v>Malcolm Brown</v>
      </c>
      <c r="D933" s="10" t="str">
        <f t="shared" si="29"/>
        <v>LAR</v>
      </c>
      <c r="E933" cm="1">
        <f t="array" ref="E933">IFERROR(_xlfn.XLOOKUP(C933&amp;A933, Inside5!B:B&amp;Inside5!I:I, Inside5!C:C), 0)</f>
        <v>9</v>
      </c>
      <c r="F933" cm="1">
        <f t="array" ref="F933">IFERROR(_xlfn.XLOOKUP(C933&amp;A933, Inside5!B:B&amp;Inside5!I:I, Inside5!D:D), 0)</f>
        <v>4</v>
      </c>
      <c r="G933" cm="1">
        <f t="array" ref="G933">IFERROR(_xlfn.XLOOKUP(C933&amp;A933, Inside5!B:B&amp;Inside5!I:I, Inside5!E:E), 0)</f>
        <v>0.33300000000000002</v>
      </c>
      <c r="H933" cm="1">
        <f t="array" ref="H933">IFERROR(_xlfn.XLOOKUP(C933&amp;A933, TDrate!F:F&amp;TDrate!H:H, TDrate!C:C), "N/A")</f>
        <v>4.9500000000000002E-2</v>
      </c>
      <c r="I933" cm="1">
        <f t="array" ref="I933">IFERROR(_xlfn.XLOOKUP(C933&amp;A933, TDrate!F:F&amp;TDrate!H:H, TDrate!E:E), "N/A")</f>
        <v>4.8800000000000003E-2</v>
      </c>
      <c r="J933" cm="1">
        <f t="array" ref="J933">IFERROR(_xlfn.XLOOKUP(C933&amp;A933, Inside5!B:B&amp;Inside5!I:I, Inside5!F:F), 0)</f>
        <v>0</v>
      </c>
      <c r="K933" cm="1">
        <f t="array" ref="K933">IFERROR(_xlfn.XLOOKUP(C933&amp;A933, Inside5!B:B&amp;Inside5!I:I, Inside5!G:G), 0)</f>
        <v>0</v>
      </c>
      <c r="L933" cm="1">
        <f t="array" ref="L933">IFERROR(_xlfn.XLOOKUP(C933&amp;A933, Inside5!B:B&amp;Inside5!I:I, Inside5!H:H), 0)</f>
        <v>0</v>
      </c>
      <c r="M933" cm="1">
        <f t="array" ref="M933">IFERROR(_xlfn.XLOOKUP(C933&amp;A933, TDrate!F:F&amp;TDrate!H:H, TDrate!B:B), "N/A")</f>
        <v>0</v>
      </c>
      <c r="N933" cm="1">
        <f t="array" ref="N933">IFERROR(_xlfn.XLOOKUP(C933&amp;A933, TDrate!F:F&amp;TDrate!H:H, TDrate!D:D), "N/A")</f>
        <v>1.2500000000000001E-2</v>
      </c>
    </row>
    <row r="934" spans="1:14" x14ac:dyDescent="0.45">
      <c r="A934" s="5">
        <v>2020</v>
      </c>
      <c r="B934" s="6" t="s">
        <v>829</v>
      </c>
      <c r="C934" s="7" t="str">
        <f t="shared" si="28"/>
        <v>Frank Gore</v>
      </c>
      <c r="D934" s="7" t="str">
        <f t="shared" si="29"/>
        <v>NYJ</v>
      </c>
      <c r="E934" cm="1">
        <f t="array" ref="E934">IFERROR(_xlfn.XLOOKUP(C934&amp;A934, Inside5!B:B&amp;Inside5!I:I, Inside5!C:C), 0)</f>
        <v>5</v>
      </c>
      <c r="F934" cm="1">
        <f t="array" ref="F934">IFERROR(_xlfn.XLOOKUP(C934&amp;A934, Inside5!B:B&amp;Inside5!I:I, Inside5!D:D), 0)</f>
        <v>2</v>
      </c>
      <c r="G934" cm="1">
        <f t="array" ref="G934">IFERROR(_xlfn.XLOOKUP(C934&amp;A934, Inside5!B:B&amp;Inside5!I:I, Inside5!E:E), 0)</f>
        <v>0.41699999999999998</v>
      </c>
      <c r="H934" cm="1">
        <f t="array" ref="H934">IFERROR(_xlfn.XLOOKUP(C934&amp;A934, TDrate!F:F&amp;TDrate!H:H, TDrate!C:C), "N/A")</f>
        <v>1.0699999999999999E-2</v>
      </c>
      <c r="I934" cm="1">
        <f t="array" ref="I934">IFERROR(_xlfn.XLOOKUP(C934&amp;A934, TDrate!F:F&amp;TDrate!H:H, TDrate!E:E), "N/A")</f>
        <v>1.6199999999999999E-2</v>
      </c>
      <c r="J934" cm="1">
        <f t="array" ref="J934">IFERROR(_xlfn.XLOOKUP(C934&amp;A934, Inside5!B:B&amp;Inside5!I:I, Inside5!F:F), 0)</f>
        <v>0</v>
      </c>
      <c r="K934" cm="1">
        <f t="array" aca="1" ref="K934" ca="1">IFERROR(_xlfn.XLOOKUP(C934&amp;A934, Inside5!B:B&amp;Inside5!I:I, Inside5!G:G), 0)</f>
        <v>0</v>
      </c>
      <c r="L934" cm="1">
        <f t="array" ref="L934">IFERROR(_xlfn.XLOOKUP(C934&amp;A934, Inside5!B:B&amp;Inside5!I:I, Inside5!H:H), 0)</f>
        <v>0</v>
      </c>
      <c r="M934" cm="1">
        <f t="array" ref="M934">IFERROR(_xlfn.XLOOKUP(C934&amp;A934, TDrate!F:F&amp;TDrate!H:H, TDrate!B:B), "N/A")</f>
        <v>0</v>
      </c>
      <c r="N934" cm="1">
        <f t="array" ref="N934">IFERROR(_xlfn.XLOOKUP(C934&amp;A934, TDrate!F:F&amp;TDrate!H:H, TDrate!D:D), "N/A")</f>
        <v>7.0000000000000001E-3</v>
      </c>
    </row>
    <row r="935" spans="1:14" x14ac:dyDescent="0.45">
      <c r="A935" s="8">
        <v>2020</v>
      </c>
      <c r="B935" s="9" t="s">
        <v>783</v>
      </c>
      <c r="C935" s="10" t="str">
        <f t="shared" si="28"/>
        <v>Raheem Mostert</v>
      </c>
      <c r="D935" s="10" t="str">
        <f t="shared" si="29"/>
        <v>SF</v>
      </c>
      <c r="E935" cm="1">
        <f t="array" aca="1" ref="E935" ca="1">IFERROR(_xlfn.XLOOKUP(C935&amp;A935, Inside5!B:B&amp;Inside5!I:I, Inside5!C:C), 0)</f>
        <v>6</v>
      </c>
      <c r="F935" cm="1">
        <f t="array" aca="1" ref="F935" ca="1">IFERROR(_xlfn.XLOOKUP(C935&amp;A935, Inside5!B:B&amp;Inside5!I:I, Inside5!D:D), 0)</f>
        <v>0</v>
      </c>
      <c r="G935" cm="1">
        <f t="array" ref="G935">IFERROR(_xlfn.XLOOKUP(C935&amp;A935, Inside5!B:B&amp;Inside5!I:I, Inside5!E:E), 0)</f>
        <v>0.25</v>
      </c>
      <c r="H935" cm="1">
        <f t="array" ref="H935">IFERROR(_xlfn.XLOOKUP(C935&amp;A935, TDrate!F:F&amp;TDrate!H:H, TDrate!C:C), "N/A")</f>
        <v>1.9199999999999998E-2</v>
      </c>
      <c r="I935" cm="1">
        <f t="array" ref="I935">IFERROR(_xlfn.XLOOKUP(C935&amp;A935, TDrate!F:F&amp;TDrate!H:H, TDrate!E:E), "N/A")</f>
        <v>2.5000000000000001E-2</v>
      </c>
      <c r="J935" cm="1">
        <f t="array" ref="J935">IFERROR(_xlfn.XLOOKUP(C935&amp;A935, Inside5!B:B&amp;Inside5!I:I, Inside5!F:F), 0)</f>
        <v>0</v>
      </c>
      <c r="K935" cm="1">
        <f t="array" ref="K935">IFERROR(_xlfn.XLOOKUP(C935&amp;A935, Inside5!B:B&amp;Inside5!I:I, Inside5!G:G), 0)</f>
        <v>0</v>
      </c>
      <c r="L935" cm="1">
        <f t="array" ref="L935">IFERROR(_xlfn.XLOOKUP(C935&amp;A935, Inside5!B:B&amp;Inside5!I:I, Inside5!H:H), 0)</f>
        <v>0</v>
      </c>
      <c r="M935" cm="1">
        <f t="array" ref="M935">IFERROR(_xlfn.XLOOKUP(C935&amp;A935, TDrate!F:F&amp;TDrate!H:H, TDrate!B:B), "N/A")</f>
        <v>5.2600000000000001E-2</v>
      </c>
      <c r="N935" cm="1">
        <f t="array" ref="N935">IFERROR(_xlfn.XLOOKUP(C935&amp;A935, TDrate!F:F&amp;TDrate!H:H, TDrate!D:D), "N/A")</f>
        <v>3.0099999999999998E-2</v>
      </c>
    </row>
    <row r="936" spans="1:14" x14ac:dyDescent="0.45">
      <c r="A936" s="5">
        <v>2020</v>
      </c>
      <c r="B936" s="6" t="s">
        <v>830</v>
      </c>
      <c r="C936" s="7" t="str">
        <f t="shared" si="28"/>
        <v>Rex Burkhead</v>
      </c>
      <c r="D936" s="7" t="str">
        <f t="shared" si="29"/>
        <v>NE</v>
      </c>
      <c r="E936" cm="1">
        <f t="array" aca="1" ref="E936" ca="1">IFERROR(_xlfn.XLOOKUP(C936&amp;A936, Inside5!B:B&amp;Inside5!I:I, Inside5!C:C), 0)</f>
        <v>4</v>
      </c>
      <c r="F936" cm="1">
        <f t="array" aca="1" ref="F936" ca="1">IFERROR(_xlfn.XLOOKUP(C936&amp;A936, Inside5!B:B&amp;Inside5!I:I, Inside5!D:D), 0)</f>
        <v>3</v>
      </c>
      <c r="G936" cm="1">
        <f t="array" ref="G936">IFERROR(_xlfn.XLOOKUP(C936&amp;A936, Inside5!B:B&amp;Inside5!I:I, Inside5!E:E), 0)</f>
        <v>0.4</v>
      </c>
      <c r="H936" cm="1">
        <f t="array" ref="H936">IFERROR(_xlfn.XLOOKUP(C936&amp;A936, TDrate!F:F&amp;TDrate!H:H, TDrate!C:C), "N/A")</f>
        <v>4.48E-2</v>
      </c>
      <c r="I936" cm="1">
        <f t="array" ref="I936">IFERROR(_xlfn.XLOOKUP(C936&amp;A936, TDrate!F:F&amp;TDrate!H:H, TDrate!E:E), "N/A")</f>
        <v>4.2799999999999998E-2</v>
      </c>
      <c r="J936" cm="1">
        <f t="array" ref="J936">IFERROR(_xlfn.XLOOKUP(C936&amp;A936, Inside5!B:B&amp;Inside5!I:I, Inside5!F:F), 0)</f>
        <v>0</v>
      </c>
      <c r="K936" cm="1">
        <f t="array" ref="K936">IFERROR(_xlfn.XLOOKUP(C936&amp;A936, Inside5!B:B&amp;Inside5!I:I, Inside5!G:G), 0)</f>
        <v>0</v>
      </c>
      <c r="L936" cm="1">
        <f t="array" ref="L936">IFERROR(_xlfn.XLOOKUP(C936&amp;A936, Inside5!B:B&amp;Inside5!I:I, Inside5!H:H), 0)</f>
        <v>0</v>
      </c>
      <c r="M936" cm="1">
        <f t="array" ref="M936">IFERROR(_xlfn.XLOOKUP(C936&amp;A936, TDrate!F:F&amp;TDrate!H:H, TDrate!B:B), "N/A")</f>
        <v>9.0899999999999995E-2</v>
      </c>
      <c r="N936" cm="1">
        <f t="array" ref="N936">IFERROR(_xlfn.XLOOKUP(C936&amp;A936, TDrate!F:F&amp;TDrate!H:H, TDrate!D:D), "N/A")</f>
        <v>6.4199999999999993E-2</v>
      </c>
    </row>
    <row r="937" spans="1:14" x14ac:dyDescent="0.45">
      <c r="A937" s="8">
        <v>2020</v>
      </c>
      <c r="B937" s="9" t="s">
        <v>546</v>
      </c>
      <c r="C937" s="10" t="str">
        <f t="shared" si="28"/>
        <v>Joe Mixon</v>
      </c>
      <c r="D937" s="10" t="str">
        <f t="shared" si="29"/>
        <v>CIN</v>
      </c>
      <c r="E937" cm="1">
        <f t="array" aca="1" ref="E937" ca="1">IFERROR(_xlfn.XLOOKUP(C937&amp;A937, Inside5!B:B&amp;Inside5!I:I, Inside5!C:C), 0)</f>
        <v>5</v>
      </c>
      <c r="F937" cm="1">
        <f t="array" ref="F937">IFERROR(_xlfn.XLOOKUP(C937&amp;A937, Inside5!B:B&amp;Inside5!I:I, Inside5!D:D), 0)</f>
        <v>0</v>
      </c>
      <c r="G937" cm="1">
        <f t="array" ref="G937">IFERROR(_xlfn.XLOOKUP(C937&amp;A937, Inside5!B:B&amp;Inside5!I:I, Inside5!E:E), 0)</f>
        <v>0.33300000000000002</v>
      </c>
      <c r="H937" cm="1">
        <f t="array" ref="H937">IFERROR(_xlfn.XLOOKUP(C937&amp;A937, TDrate!F:F&amp;TDrate!H:H, TDrate!C:C), "N/A")</f>
        <v>2.52E-2</v>
      </c>
      <c r="I937" cm="1">
        <f t="array" ref="I937">IFERROR(_xlfn.XLOOKUP(C937&amp;A937, TDrate!F:F&amp;TDrate!H:H, TDrate!E:E), "N/A")</f>
        <v>2.6499999999999999E-2</v>
      </c>
      <c r="J937" cm="1">
        <f t="array" ref="J937">IFERROR(_xlfn.XLOOKUP(C937&amp;A937, Inside5!B:B&amp;Inside5!I:I, Inside5!F:F), 0)</f>
        <v>0</v>
      </c>
      <c r="K937" cm="1">
        <f t="array" aca="1" ref="K937" ca="1">IFERROR(_xlfn.XLOOKUP(C937&amp;A937, Inside5!B:B&amp;Inside5!I:I, Inside5!G:G), 0)</f>
        <v>1</v>
      </c>
      <c r="L937" cm="1">
        <f t="array" ref="L937">IFERROR(_xlfn.XLOOKUP(C937&amp;A937, Inside5!B:B&amp;Inside5!I:I, Inside5!H:H), 0)</f>
        <v>0</v>
      </c>
      <c r="M937" cm="1">
        <f t="array" ref="M937">IFERROR(_xlfn.XLOOKUP(C937&amp;A937, TDrate!F:F&amp;TDrate!H:H, TDrate!B:B), "N/A")</f>
        <v>3.85E-2</v>
      </c>
      <c r="N937" cm="1">
        <f t="array" ref="N937">IFERROR(_xlfn.XLOOKUP(C937&amp;A937, TDrate!F:F&amp;TDrate!H:H, TDrate!D:D), "N/A")</f>
        <v>3.4599999999999999E-2</v>
      </c>
    </row>
    <row r="938" spans="1:14" x14ac:dyDescent="0.45">
      <c r="A938" s="5">
        <v>2020</v>
      </c>
      <c r="B938" s="6" t="s">
        <v>558</v>
      </c>
      <c r="C938" s="7" t="str">
        <f t="shared" si="28"/>
        <v>Alexander Mattison</v>
      </c>
      <c r="D938" s="7" t="str">
        <f t="shared" si="29"/>
        <v>MIN</v>
      </c>
      <c r="E938" cm="1">
        <f t="array" ref="E938">IFERROR(_xlfn.XLOOKUP(C938&amp;A938, Inside5!B:B&amp;Inside5!I:I, Inside5!C:C), 0)</f>
        <v>4</v>
      </c>
      <c r="F938" cm="1">
        <f t="array" ref="F938">IFERROR(_xlfn.XLOOKUP(C938&amp;A938, Inside5!B:B&amp;Inside5!I:I, Inside5!D:D), 0)</f>
        <v>1</v>
      </c>
      <c r="G938" cm="1">
        <f t="array" ref="G938">IFERROR(_xlfn.XLOOKUP(C938&amp;A938, Inside5!B:B&amp;Inside5!I:I, Inside5!E:E), 0)</f>
        <v>0.125</v>
      </c>
      <c r="H938" cm="1">
        <f t="array" ref="H938">IFERROR(_xlfn.XLOOKUP(C938&amp;A938, TDrate!F:F&amp;TDrate!H:H, TDrate!C:C), "N/A")</f>
        <v>2.0799999999999999E-2</v>
      </c>
      <c r="I938" cm="1">
        <f t="array" ref="I938">IFERROR(_xlfn.XLOOKUP(C938&amp;A938, TDrate!F:F&amp;TDrate!H:H, TDrate!E:E), "N/A")</f>
        <v>3.2099999999999997E-2</v>
      </c>
      <c r="J938" cm="1">
        <f t="array" ref="J938">IFERROR(_xlfn.XLOOKUP(C938&amp;A938, Inside5!B:B&amp;Inside5!I:I, Inside5!F:F), 0)</f>
        <v>0</v>
      </c>
      <c r="K938" cm="1">
        <f t="array" aca="1" ref="K938" ca="1">IFERROR(_xlfn.XLOOKUP(C938&amp;A938, Inside5!B:B&amp;Inside5!I:I, Inside5!G:G), 0)</f>
        <v>0</v>
      </c>
      <c r="L938" cm="1">
        <f t="array" ref="L938">IFERROR(_xlfn.XLOOKUP(C938&amp;A938, Inside5!B:B&amp;Inside5!I:I, Inside5!H:H), 0)</f>
        <v>0</v>
      </c>
      <c r="M938" cm="1">
        <f t="array" ref="M938">IFERROR(_xlfn.XLOOKUP(C938&amp;A938, TDrate!F:F&amp;TDrate!H:H, TDrate!B:B), "N/A")</f>
        <v>6.6699999999999995E-2</v>
      </c>
      <c r="N938" cm="1">
        <f t="array" ref="N938">IFERROR(_xlfn.XLOOKUP(C938&amp;A938, TDrate!F:F&amp;TDrate!H:H, TDrate!D:D), "N/A")</f>
        <v>3.6700000000000003E-2</v>
      </c>
    </row>
    <row r="939" spans="1:14" x14ac:dyDescent="0.45">
      <c r="A939" s="8">
        <v>2020</v>
      </c>
      <c r="B939" s="9" t="s">
        <v>724</v>
      </c>
      <c r="C939" s="10" t="str">
        <f t="shared" si="28"/>
        <v>Christian McCaffrey</v>
      </c>
      <c r="D939" s="10" t="str">
        <f t="shared" si="29"/>
        <v>CAR</v>
      </c>
      <c r="E939" cm="1">
        <f t="array" aca="1" ref="E939" ca="1">IFERROR(_xlfn.XLOOKUP(C939&amp;A939, Inside5!B:B&amp;Inside5!I:I, Inside5!C:C), 0)</f>
        <v>4</v>
      </c>
      <c r="F939" cm="1">
        <f t="array" ref="F939">IFERROR(_xlfn.XLOOKUP(C939&amp;A939, Inside5!B:B&amp;Inside5!I:I, Inside5!D:D), 0)</f>
        <v>3</v>
      </c>
      <c r="G939" cm="1">
        <f t="array" ref="G939">IFERROR(_xlfn.XLOOKUP(C939&amp;A939, Inside5!B:B&amp;Inside5!I:I, Inside5!E:E), 0)</f>
        <v>0.25</v>
      </c>
      <c r="H939" cm="1">
        <f t="array" ref="H939">IFERROR(_xlfn.XLOOKUP(C939&amp;A939, TDrate!F:F&amp;TDrate!H:H, TDrate!C:C), "N/A")</f>
        <v>8.4699999999999998E-2</v>
      </c>
      <c r="I939" cm="1">
        <f t="array" ref="I939">IFERROR(_xlfn.XLOOKUP(C939&amp;A939, TDrate!F:F&amp;TDrate!H:H, TDrate!E:E), "N/A")</f>
        <v>6.5100000000000005E-2</v>
      </c>
      <c r="J939" cm="1">
        <f t="array" ref="J939">IFERROR(_xlfn.XLOOKUP(C939&amp;A939, Inside5!B:B&amp;Inside5!I:I, Inside5!F:F), 0)</f>
        <v>0</v>
      </c>
      <c r="K939" cm="1">
        <f t="array" aca="1" ref="K939" ca="1">IFERROR(_xlfn.XLOOKUP(C939&amp;A939, Inside5!B:B&amp;Inside5!I:I, Inside5!G:G), 0)</f>
        <v>0</v>
      </c>
      <c r="L939" cm="1">
        <f t="array" ref="L939">IFERROR(_xlfn.XLOOKUP(C939&amp;A939, Inside5!B:B&amp;Inside5!I:I, Inside5!H:H), 0)</f>
        <v>0</v>
      </c>
      <c r="M939" cm="1">
        <f t="array" ref="M939">IFERROR(_xlfn.XLOOKUP(C939&amp;A939, TDrate!F:F&amp;TDrate!H:H, TDrate!B:B), "N/A")</f>
        <v>5.2600000000000001E-2</v>
      </c>
      <c r="N939" cm="1">
        <f t="array" ref="N939">IFERROR(_xlfn.XLOOKUP(C939&amp;A939, TDrate!F:F&amp;TDrate!H:H, TDrate!D:D), "N/A")</f>
        <v>3.8300000000000001E-2</v>
      </c>
    </row>
    <row r="940" spans="1:14" x14ac:dyDescent="0.45">
      <c r="A940" s="5">
        <v>2020</v>
      </c>
      <c r="B940" s="6" t="s">
        <v>581</v>
      </c>
      <c r="C940" s="7" t="str">
        <f t="shared" si="28"/>
        <v>Boston Scott</v>
      </c>
      <c r="D940" s="7" t="str">
        <f t="shared" si="29"/>
        <v>PHI</v>
      </c>
      <c r="E940" cm="1">
        <f t="array" aca="1" ref="E940" ca="1">IFERROR(_xlfn.XLOOKUP(C940&amp;A940, Inside5!B:B&amp;Inside5!I:I, Inside5!C:C), 0)</f>
        <v>1</v>
      </c>
      <c r="F940" cm="1">
        <f t="array" aca="1" ref="F940" ca="1">IFERROR(_xlfn.XLOOKUP(C940&amp;A940, Inside5!B:B&amp;Inside5!I:I, Inside5!D:D), 0)</f>
        <v>0</v>
      </c>
      <c r="G940" cm="1">
        <f t="array" ref="G940">IFERROR(_xlfn.XLOOKUP(C940&amp;A940, Inside5!B:B&amp;Inside5!I:I, Inside5!E:E), 0)</f>
        <v>4.8000000000000001E-2</v>
      </c>
      <c r="H940" cm="1">
        <f t="array" ref="H940">IFERROR(_xlfn.XLOOKUP(C940&amp;A940, TDrate!F:F&amp;TDrate!H:H, TDrate!C:C), "N/A")</f>
        <v>1.2500000000000001E-2</v>
      </c>
      <c r="I940" cm="1">
        <f t="array" ref="I940">IFERROR(_xlfn.XLOOKUP(C940&amp;A940, TDrate!F:F&amp;TDrate!H:H, TDrate!E:E), "N/A")</f>
        <v>1.6799999999999999E-2</v>
      </c>
      <c r="J940" cm="1">
        <f t="array" ref="J940">IFERROR(_xlfn.XLOOKUP(C940&amp;A940, Inside5!B:B&amp;Inside5!I:I, Inside5!F:F), 0)</f>
        <v>0</v>
      </c>
      <c r="K940" cm="1">
        <f t="array" ref="K940">IFERROR(_xlfn.XLOOKUP(C940&amp;A940, Inside5!B:B&amp;Inside5!I:I, Inside5!G:G), 0)</f>
        <v>1</v>
      </c>
      <c r="L940" cm="1">
        <f t="array" ref="L940">IFERROR(_xlfn.XLOOKUP(C940&amp;A940, Inside5!B:B&amp;Inside5!I:I, Inside5!H:H), 0)</f>
        <v>0</v>
      </c>
      <c r="M940" cm="1">
        <f t="array" ref="M940">IFERROR(_xlfn.XLOOKUP(C940&amp;A940, TDrate!F:F&amp;TDrate!H:H, TDrate!B:B), "N/A")</f>
        <v>2.7799999999999998E-2</v>
      </c>
      <c r="N940" cm="1">
        <f t="array" ref="N940">IFERROR(_xlfn.XLOOKUP(C940&amp;A940, TDrate!F:F&amp;TDrate!H:H, TDrate!D:D), "N/A")</f>
        <v>3.0800000000000001E-2</v>
      </c>
    </row>
    <row r="941" spans="1:14" x14ac:dyDescent="0.45">
      <c r="A941" s="8">
        <v>2020</v>
      </c>
      <c r="B941" s="9" t="s">
        <v>831</v>
      </c>
      <c r="C941" s="10" t="str">
        <f t="shared" si="28"/>
        <v>Brian Hill</v>
      </c>
      <c r="D941" s="10" t="str">
        <f t="shared" si="29"/>
        <v>ATL</v>
      </c>
      <c r="E941" cm="1">
        <f t="array" aca="1" ref="E941" ca="1">IFERROR(_xlfn.XLOOKUP(C941&amp;A941, Inside5!B:B&amp;Inside5!I:I, Inside5!C:C), 0)</f>
        <v>2</v>
      </c>
      <c r="F941" cm="1">
        <f t="array" aca="1" ref="F941" ca="1">IFERROR(_xlfn.XLOOKUP(C941&amp;A941, Inside5!B:B&amp;Inside5!I:I, Inside5!D:D), 0)</f>
        <v>0</v>
      </c>
      <c r="G941" cm="1">
        <f t="array" ref="G941">IFERROR(_xlfn.XLOOKUP(C941&amp;A941, Inside5!B:B&amp;Inside5!I:I, Inside5!E:E), 0)</f>
        <v>0.125</v>
      </c>
      <c r="H941" cm="1">
        <f t="array" ref="H941">IFERROR(_xlfn.XLOOKUP(C941&amp;A941, TDrate!F:F&amp;TDrate!H:H, TDrate!C:C), "N/A")</f>
        <v>0.01</v>
      </c>
      <c r="I941" cm="1">
        <f t="array" ref="I941">IFERROR(_xlfn.XLOOKUP(C941&amp;A941, TDrate!F:F&amp;TDrate!H:H, TDrate!E:E), "N/A")</f>
        <v>1.3299999999999999E-2</v>
      </c>
      <c r="J941" cm="1">
        <f t="array" ref="J941">IFERROR(_xlfn.XLOOKUP(C941&amp;A941, Inside5!B:B&amp;Inside5!I:I, Inside5!F:F), 0)</f>
        <v>0</v>
      </c>
      <c r="K941" cm="1">
        <f t="array" ref="K941">IFERROR(_xlfn.XLOOKUP(C941&amp;A941, Inside5!B:B&amp;Inside5!I:I, Inside5!G:G), 0)</f>
        <v>0</v>
      </c>
      <c r="L941" cm="1">
        <f t="array" ref="L941">IFERROR(_xlfn.XLOOKUP(C941&amp;A941, Inside5!B:B&amp;Inside5!I:I, Inside5!H:H), 0)</f>
        <v>0</v>
      </c>
      <c r="M941" cm="1">
        <f t="array" ref="M941">IFERROR(_xlfn.XLOOKUP(C941&amp;A941, TDrate!F:F&amp;TDrate!H:H, TDrate!B:B), "N/A")</f>
        <v>0</v>
      </c>
      <c r="N941" cm="1">
        <f t="array" ref="N941">IFERROR(_xlfn.XLOOKUP(C941&amp;A941, TDrate!F:F&amp;TDrate!H:H, TDrate!D:D), "N/A")</f>
        <v>8.8000000000000005E-3</v>
      </c>
    </row>
    <row r="942" spans="1:14" x14ac:dyDescent="0.45">
      <c r="A942" s="5">
        <v>2020</v>
      </c>
      <c r="B942" s="6" t="s">
        <v>832</v>
      </c>
      <c r="C942" s="7" t="str">
        <f t="shared" si="28"/>
        <v>Carlos Hyde</v>
      </c>
      <c r="D942" s="7" t="str">
        <f t="shared" si="29"/>
        <v>SEA</v>
      </c>
      <c r="E942" cm="1">
        <f t="array" ref="E942">IFERROR(_xlfn.XLOOKUP(C942&amp;A942, Inside5!B:B&amp;Inside5!I:I, Inside5!C:C), 0)</f>
        <v>5</v>
      </c>
      <c r="F942" cm="1">
        <f t="array" ref="F942">IFERROR(_xlfn.XLOOKUP(C942&amp;A942, Inside5!B:B&amp;Inside5!I:I, Inside5!D:D), 0)</f>
        <v>2</v>
      </c>
      <c r="G942" cm="1">
        <f t="array" ref="G942">IFERROR(_xlfn.XLOOKUP(C942&amp;A942, Inside5!B:B&amp;Inside5!I:I, Inside5!E:E), 0)</f>
        <v>0.25</v>
      </c>
      <c r="H942" cm="1">
        <f t="array" ref="H942">IFERROR(_xlfn.XLOOKUP(C942&amp;A942, TDrate!F:F&amp;TDrate!H:H, TDrate!C:C), "N/A")</f>
        <v>4.9399999999999999E-2</v>
      </c>
      <c r="I942" cm="1">
        <f t="array" ref="I942">IFERROR(_xlfn.XLOOKUP(C942&amp;A942, TDrate!F:F&amp;TDrate!H:H, TDrate!E:E), "N/A")</f>
        <v>4.2599999999999999E-2</v>
      </c>
      <c r="J942" cm="1">
        <f t="array" ref="J942">IFERROR(_xlfn.XLOOKUP(C942&amp;A942, Inside5!B:B&amp;Inside5!I:I, Inside5!F:F), 0)</f>
        <v>0</v>
      </c>
      <c r="K942" cm="1">
        <f t="array" ref="K942">IFERROR(_xlfn.XLOOKUP(C942&amp;A942, Inside5!B:B&amp;Inside5!I:I, Inside5!G:G), 0)</f>
        <v>0</v>
      </c>
      <c r="L942" cm="1">
        <f t="array" ref="L942">IFERROR(_xlfn.XLOOKUP(C942&amp;A942, Inside5!B:B&amp;Inside5!I:I, Inside5!H:H), 0)</f>
        <v>0</v>
      </c>
      <c r="M942" cm="1">
        <f t="array" ref="M942">IFERROR(_xlfn.XLOOKUP(C942&amp;A942, TDrate!F:F&amp;TDrate!H:H, TDrate!B:B), "N/A")</f>
        <v>0</v>
      </c>
      <c r="N942" cm="1">
        <f t="array" ref="N942">IFERROR(_xlfn.XLOOKUP(C942&amp;A942, TDrate!F:F&amp;TDrate!H:H, TDrate!D:D), "N/A")</f>
        <v>7.4999999999999997E-3</v>
      </c>
    </row>
    <row r="943" spans="1:14" x14ac:dyDescent="0.45">
      <c r="A943" s="8">
        <v>2020</v>
      </c>
      <c r="B943" s="9" t="s">
        <v>833</v>
      </c>
      <c r="C943" s="10" t="str">
        <f t="shared" si="28"/>
        <v>Devontae Booker</v>
      </c>
      <c r="D943" s="10" t="str">
        <f t="shared" si="29"/>
        <v>LV</v>
      </c>
      <c r="E943" cm="1">
        <f t="array" ref="E943">IFERROR(_xlfn.XLOOKUP(C943&amp;A943, Inside5!B:B&amp;Inside5!I:I, Inside5!C:C), 0)</f>
        <v>0</v>
      </c>
      <c r="F943" cm="1">
        <f t="array" ref="F943">IFERROR(_xlfn.XLOOKUP(C943&amp;A943, Inside5!B:B&amp;Inside5!I:I, Inside5!D:D), 0)</f>
        <v>0</v>
      </c>
      <c r="G943" cm="1">
        <f t="array" ref="G943">IFERROR(_xlfn.XLOOKUP(C943&amp;A943, Inside5!B:B&amp;Inside5!I:I, Inside5!E:E), 0)</f>
        <v>0</v>
      </c>
      <c r="H943" cm="1">
        <f t="array" ref="H943">IFERROR(_xlfn.XLOOKUP(C943&amp;A943, TDrate!F:F&amp;TDrate!H:H, TDrate!C:C), "N/A")</f>
        <v>3.2300000000000002E-2</v>
      </c>
      <c r="I943" cm="1">
        <f t="array" ref="I943">IFERROR(_xlfn.XLOOKUP(C943&amp;A943, TDrate!F:F&amp;TDrate!H:H, TDrate!E:E), "N/A")</f>
        <v>2.4E-2</v>
      </c>
      <c r="J943" cm="1">
        <f t="array" ref="J943">IFERROR(_xlfn.XLOOKUP(C943&amp;A943, Inside5!B:B&amp;Inside5!I:I, Inside5!F:F), 0)</f>
        <v>1</v>
      </c>
      <c r="K943" cm="1">
        <f t="array" ref="K943">IFERROR(_xlfn.XLOOKUP(C943&amp;A943, Inside5!B:B&amp;Inside5!I:I, Inside5!G:G), 0)</f>
        <v>1</v>
      </c>
      <c r="L943" cm="1">
        <f t="array" ref="L943">IFERROR(_xlfn.XLOOKUP(C943&amp;A943, Inside5!B:B&amp;Inside5!I:I, Inside5!H:H), 0)</f>
        <v>0</v>
      </c>
      <c r="M943" cm="1">
        <f t="array" ref="M943">IFERROR(_xlfn.XLOOKUP(C943&amp;A943, TDrate!F:F&amp;TDrate!H:H, TDrate!B:B), "N/A")</f>
        <v>0</v>
      </c>
      <c r="N943" cm="1">
        <f t="array" ref="N943">IFERROR(_xlfn.XLOOKUP(C943&amp;A943, TDrate!F:F&amp;TDrate!H:H, TDrate!D:D), "N/A")</f>
        <v>2.1499999999999998E-2</v>
      </c>
    </row>
    <row r="944" spans="1:14" x14ac:dyDescent="0.45">
      <c r="A944" s="5">
        <v>2020</v>
      </c>
      <c r="B944" s="6" t="s">
        <v>834</v>
      </c>
      <c r="C944" s="7" t="str">
        <f t="shared" si="28"/>
        <v>Sony Michel</v>
      </c>
      <c r="D944" s="7" t="str">
        <f t="shared" si="29"/>
        <v>NE</v>
      </c>
      <c r="E944" cm="1">
        <f t="array" aca="1" ref="E944" ca="1">IFERROR(_xlfn.XLOOKUP(C944&amp;A944, Inside5!B:B&amp;Inside5!I:I, Inside5!C:C), 0)</f>
        <v>2</v>
      </c>
      <c r="F944" cm="1">
        <f t="array" aca="1" ref="F944" ca="1">IFERROR(_xlfn.XLOOKUP(C944&amp;A944, Inside5!B:B&amp;Inside5!I:I, Inside5!D:D), 0)</f>
        <v>1</v>
      </c>
      <c r="G944" cm="1">
        <f t="array" ref="G944">IFERROR(_xlfn.XLOOKUP(C944&amp;A944, Inside5!B:B&amp;Inside5!I:I, Inside5!E:E), 0)</f>
        <v>0.2</v>
      </c>
      <c r="H944" cm="1">
        <f t="array" ref="H944">IFERROR(_xlfn.XLOOKUP(C944&amp;A944, TDrate!F:F&amp;TDrate!H:H, TDrate!C:C), "N/A")</f>
        <v>1.2699999999999999E-2</v>
      </c>
      <c r="I944" cm="1">
        <f t="array" ref="I944">IFERROR(_xlfn.XLOOKUP(C944&amp;A944, TDrate!F:F&amp;TDrate!H:H, TDrate!E:E), "N/A")</f>
        <v>1.7100000000000001E-2</v>
      </c>
      <c r="J944" cm="1">
        <f t="array" ref="J944">IFERROR(_xlfn.XLOOKUP(C944&amp;A944, Inside5!B:B&amp;Inside5!I:I, Inside5!F:F), 0)</f>
        <v>0</v>
      </c>
      <c r="K944" cm="1">
        <f t="array" ref="K944">IFERROR(_xlfn.XLOOKUP(C944&amp;A944, Inside5!B:B&amp;Inside5!I:I, Inside5!G:G), 0)</f>
        <v>0</v>
      </c>
      <c r="L944" cm="1">
        <f t="array" ref="L944">IFERROR(_xlfn.XLOOKUP(C944&amp;A944, Inside5!B:B&amp;Inside5!I:I, Inside5!H:H), 0)</f>
        <v>0</v>
      </c>
      <c r="M944" cm="1">
        <f t="array" ref="M944">IFERROR(_xlfn.XLOOKUP(C944&amp;A944, TDrate!F:F&amp;TDrate!H:H, TDrate!B:B), "N/A")</f>
        <v>0.1111</v>
      </c>
      <c r="N944" cm="1">
        <f t="array" ref="N944">IFERROR(_xlfn.XLOOKUP(C944&amp;A944, TDrate!F:F&amp;TDrate!H:H, TDrate!D:D), "N/A")</f>
        <v>5.7299999999999997E-2</v>
      </c>
    </row>
    <row r="945" spans="1:14" x14ac:dyDescent="0.45">
      <c r="A945" s="8">
        <v>2020</v>
      </c>
      <c r="B945" s="9" t="s">
        <v>758</v>
      </c>
      <c r="C945" s="10" t="str">
        <f t="shared" si="28"/>
        <v>James White</v>
      </c>
      <c r="D945" s="10" t="str">
        <f t="shared" si="29"/>
        <v>NE</v>
      </c>
      <c r="E945" cm="1">
        <f t="array" aca="1" ref="E945" ca="1">IFERROR(_xlfn.XLOOKUP(C945&amp;A945, Inside5!B:B&amp;Inside5!I:I, Inside5!C:C), 0)</f>
        <v>1</v>
      </c>
      <c r="F945" cm="1">
        <f t="array" aca="1" ref="F945" ca="1">IFERROR(_xlfn.XLOOKUP(C945&amp;A945, Inside5!B:B&amp;Inside5!I:I, Inside5!D:D), 0)</f>
        <v>1</v>
      </c>
      <c r="G945" cm="1">
        <f t="array" ref="G945">IFERROR(_xlfn.XLOOKUP(C945&amp;A945, Inside5!B:B&amp;Inside5!I:I, Inside5!E:E), 0)</f>
        <v>0.1</v>
      </c>
      <c r="H945" cm="1">
        <f t="array" ref="H945">IFERROR(_xlfn.XLOOKUP(C945&amp;A945, TDrate!F:F&amp;TDrate!H:H, TDrate!C:C), "N/A")</f>
        <v>5.7099999999999998E-2</v>
      </c>
      <c r="I945" cm="1">
        <f t="array" ref="I945">IFERROR(_xlfn.XLOOKUP(C945&amp;A945, TDrate!F:F&amp;TDrate!H:H, TDrate!E:E), "N/A")</f>
        <v>4.0599999999999997E-2</v>
      </c>
      <c r="J945" cm="1">
        <f t="array" ref="J945">IFERROR(_xlfn.XLOOKUP(C945&amp;A945, Inside5!B:B&amp;Inside5!I:I, Inside5!F:F), 0)</f>
        <v>0</v>
      </c>
      <c r="K945" cm="1">
        <f t="array" ref="K945">IFERROR(_xlfn.XLOOKUP(C945&amp;A945, Inside5!B:B&amp;Inside5!I:I, Inside5!G:G), 0)</f>
        <v>0</v>
      </c>
      <c r="L945" cm="1">
        <f t="array" ref="L945">IFERROR(_xlfn.XLOOKUP(C945&amp;A945, Inside5!B:B&amp;Inside5!I:I, Inside5!H:H), 0)</f>
        <v>0</v>
      </c>
      <c r="M945" cm="1">
        <f t="array" ref="M945">IFERROR(_xlfn.XLOOKUP(C945&amp;A945, TDrate!F:F&amp;TDrate!H:H, TDrate!B:B), "N/A")</f>
        <v>1.61E-2</v>
      </c>
      <c r="N945" cm="1">
        <f t="array" ref="N945">IFERROR(_xlfn.XLOOKUP(C945&amp;A945, TDrate!F:F&amp;TDrate!H:H, TDrate!D:D), "N/A")</f>
        <v>1.9599999999999999E-2</v>
      </c>
    </row>
    <row r="946" spans="1:14" x14ac:dyDescent="0.45">
      <c r="A946" s="5">
        <v>2020</v>
      </c>
      <c r="B946" s="6" t="s">
        <v>835</v>
      </c>
      <c r="C946" s="7" t="str">
        <f t="shared" si="28"/>
        <v>Kalen Ballage</v>
      </c>
      <c r="D946" s="7" t="str">
        <f t="shared" si="29"/>
        <v>LAC</v>
      </c>
      <c r="E946" cm="1">
        <f t="array" aca="1" ref="E946" ca="1">IFERROR(_xlfn.XLOOKUP(C946&amp;A946, Inside5!B:B&amp;Inside5!I:I, Inside5!C:C), 0)</f>
        <v>5</v>
      </c>
      <c r="F946" cm="1">
        <f t="array" aca="1" ref="F946" ca="1">IFERROR(_xlfn.XLOOKUP(C946&amp;A946, Inside5!B:B&amp;Inside5!I:I, Inside5!D:D), 0)</f>
        <v>2</v>
      </c>
      <c r="G946" cm="1">
        <f t="array" ref="G946">IFERROR(_xlfn.XLOOKUP(C946&amp;A946, Inside5!B:B&amp;Inside5!I:I, Inside5!E:E), 0)</f>
        <v>0.38500000000000001</v>
      </c>
      <c r="H946" cm="1">
        <f t="array" ref="H946">IFERROR(_xlfn.XLOOKUP(C946&amp;A946, TDrate!F:F&amp;TDrate!H:H, TDrate!C:C), "N/A")</f>
        <v>3.3000000000000002E-2</v>
      </c>
      <c r="I946" cm="1">
        <f t="array" ref="I946">IFERROR(_xlfn.XLOOKUP(C946&amp;A946, TDrate!F:F&amp;TDrate!H:H, TDrate!E:E), "N/A")</f>
        <v>4.2299999999999997E-2</v>
      </c>
      <c r="J946" cm="1">
        <f t="array" ref="J946">IFERROR(_xlfn.XLOOKUP(C946&amp;A946, Inside5!B:B&amp;Inside5!I:I, Inside5!F:F), 0)</f>
        <v>0</v>
      </c>
      <c r="K946" cm="1">
        <f t="array" aca="1" ref="K946" ca="1">IFERROR(_xlfn.XLOOKUP(C946&amp;A946, Inside5!B:B&amp;Inside5!I:I, Inside5!G:G), 0)</f>
        <v>0</v>
      </c>
      <c r="L946" cm="1">
        <f t="array" aca="1" ref="L946" ca="1">IFERROR(_xlfn.XLOOKUP(C946&amp;A946, Inside5!B:B&amp;Inside5!I:I, Inside5!H:H), 0)</f>
        <v>0</v>
      </c>
      <c r="M946" cm="1">
        <f t="array" ref="M946">IFERROR(_xlfn.XLOOKUP(C946&amp;A946, TDrate!F:F&amp;TDrate!H:H, TDrate!B:B), "N/A")</f>
        <v>0</v>
      </c>
      <c r="N946" cm="1">
        <f t="array" ref="N946">IFERROR(_xlfn.XLOOKUP(C946&amp;A946, TDrate!F:F&amp;TDrate!H:H, TDrate!D:D), "N/A")</f>
        <v>7.7999999999999996E-3</v>
      </c>
    </row>
    <row r="947" spans="1:14" x14ac:dyDescent="0.45">
      <c r="A947" s="8">
        <v>2020</v>
      </c>
      <c r="B947" s="9" t="s">
        <v>669</v>
      </c>
      <c r="C947" s="10" t="str">
        <f t="shared" si="28"/>
        <v>Benny Snell Jr.</v>
      </c>
      <c r="D947" s="10" t="str">
        <f t="shared" si="29"/>
        <v>PIT</v>
      </c>
      <c r="E947" cm="1">
        <f t="array" ref="E947">IFERROR(_xlfn.XLOOKUP(C947&amp;A947, Inside5!B:B&amp;Inside5!I:I, Inside5!C:C), 0)</f>
        <v>15</v>
      </c>
      <c r="F947" cm="1">
        <f t="array" aca="1" ref="F947" ca="1">IFERROR(_xlfn.XLOOKUP(C947&amp;A947, Inside5!B:B&amp;Inside5!I:I, Inside5!D:D), 0)</f>
        <v>4</v>
      </c>
      <c r="G947" cm="1">
        <f t="array" ref="G947">IFERROR(_xlfn.XLOOKUP(C947&amp;A947, Inside5!B:B&amp;Inside5!I:I, Inside5!E:E), 0)</f>
        <v>0.6</v>
      </c>
      <c r="H947" cm="1">
        <f t="array" ref="H947">IFERROR(_xlfn.XLOOKUP(C947&amp;A947, TDrate!F:F&amp;TDrate!H:H, TDrate!C:C), "N/A")</f>
        <v>3.5999999999999997E-2</v>
      </c>
      <c r="I947" cm="1">
        <f t="array" ref="I947">IFERROR(_xlfn.XLOOKUP(C947&amp;A947, TDrate!F:F&amp;TDrate!H:H, TDrate!E:E), "N/A")</f>
        <v>5.0299999999999997E-2</v>
      </c>
      <c r="J947" cm="1">
        <f t="array" ref="J947">IFERROR(_xlfn.XLOOKUP(C947&amp;A947, Inside5!B:B&amp;Inside5!I:I, Inside5!F:F), 0)</f>
        <v>0</v>
      </c>
      <c r="K947" cm="1">
        <f t="array" aca="1" ref="K947" ca="1">IFERROR(_xlfn.XLOOKUP(C947&amp;A947, Inside5!B:B&amp;Inside5!I:I, Inside5!G:G), 0)</f>
        <v>2</v>
      </c>
      <c r="L947" cm="1">
        <f t="array" aca="1" ref="L947" ca="1">IFERROR(_xlfn.XLOOKUP(C947&amp;A947, Inside5!B:B&amp;Inside5!I:I, Inside5!H:H), 0)</f>
        <v>0</v>
      </c>
      <c r="M947" cm="1">
        <f t="array" ref="M947">IFERROR(_xlfn.XLOOKUP(C947&amp;A947, TDrate!F:F&amp;TDrate!H:H, TDrate!B:B), "N/A")</f>
        <v>0</v>
      </c>
      <c r="N947" cm="1">
        <f t="array" ref="N947">IFERROR(_xlfn.XLOOKUP(C947&amp;A947, TDrate!F:F&amp;TDrate!H:H, TDrate!D:D), "N/A")</f>
        <v>4.1799999999999997E-2</v>
      </c>
    </row>
    <row r="948" spans="1:14" x14ac:dyDescent="0.45">
      <c r="A948" s="5">
        <v>2020</v>
      </c>
      <c r="B948" s="6" t="s">
        <v>469</v>
      </c>
      <c r="C948" s="7" t="str">
        <f t="shared" si="28"/>
        <v>Kyle Juszczyk</v>
      </c>
      <c r="D948" s="7" t="str">
        <f t="shared" si="29"/>
        <v>SF</v>
      </c>
      <c r="E948" cm="1">
        <f t="array" ref="E948">IFERROR(_xlfn.XLOOKUP(C948&amp;A948, Inside5!B:B&amp;Inside5!I:I, Inside5!C:C), 0)</f>
        <v>2</v>
      </c>
      <c r="F948" cm="1">
        <f t="array" ref="F948">IFERROR(_xlfn.XLOOKUP(C948&amp;A948, Inside5!B:B&amp;Inside5!I:I, Inside5!D:D), 0)</f>
        <v>1</v>
      </c>
      <c r="G948" cm="1">
        <f t="array" ref="G948">IFERROR(_xlfn.XLOOKUP(C948&amp;A948, Inside5!B:B&amp;Inside5!I:I, Inside5!E:E), 0)</f>
        <v>8.3000000000000004E-2</v>
      </c>
      <c r="H948" t="str" cm="1">
        <f t="array" ref="H948">IFERROR(_xlfn.XLOOKUP(C948&amp;A948, TDrate!F:F&amp;TDrate!H:H, TDrate!C:C), "N/A")</f>
        <v>N/A</v>
      </c>
      <c r="I948" t="str" cm="1">
        <f t="array" ref="I948">IFERROR(_xlfn.XLOOKUP(C948&amp;A948, TDrate!F:F&amp;TDrate!H:H, TDrate!E:E), "N/A")</f>
        <v>N/A</v>
      </c>
      <c r="J948" cm="1">
        <f t="array" ref="J948">IFERROR(_xlfn.XLOOKUP(C948&amp;A948, Inside5!B:B&amp;Inside5!I:I, Inside5!F:F), 0)</f>
        <v>1</v>
      </c>
      <c r="K948" cm="1">
        <f t="array" ref="K948">IFERROR(_xlfn.XLOOKUP(C948&amp;A948, Inside5!B:B&amp;Inside5!I:I, Inside5!G:G), 0)</f>
        <v>2</v>
      </c>
      <c r="L948" cm="1">
        <f t="array" ref="L948">IFERROR(_xlfn.XLOOKUP(C948&amp;A948, Inside5!B:B&amp;Inside5!I:I, Inside5!H:H), 0)</f>
        <v>1</v>
      </c>
      <c r="M948" t="str" cm="1">
        <f t="array" ref="M948">IFERROR(_xlfn.XLOOKUP(C948&amp;A948, TDrate!F:F&amp;TDrate!H:H, TDrate!B:B), "N/A")</f>
        <v>N/A</v>
      </c>
      <c r="N948" t="str" cm="1">
        <f t="array" ref="N948">IFERROR(_xlfn.XLOOKUP(C948&amp;A948, TDrate!F:F&amp;TDrate!H:H, TDrate!D:D), "N/A")</f>
        <v>N/A</v>
      </c>
    </row>
    <row r="949" spans="1:14" x14ac:dyDescent="0.45">
      <c r="A949" s="8">
        <v>2020</v>
      </c>
      <c r="B949" s="9" t="s">
        <v>836</v>
      </c>
      <c r="C949" s="10" t="str">
        <f t="shared" si="28"/>
        <v>Phillip Lindsay</v>
      </c>
      <c r="D949" s="10" t="str">
        <f t="shared" si="29"/>
        <v>DEN</v>
      </c>
      <c r="E949" cm="1">
        <f t="array" ref="E949">IFERROR(_xlfn.XLOOKUP(C949&amp;A949, Inside5!B:B&amp;Inside5!I:I, Inside5!C:C), 0)</f>
        <v>3</v>
      </c>
      <c r="F949" cm="1">
        <f t="array" ref="F949">IFERROR(_xlfn.XLOOKUP(C949&amp;A949, Inside5!B:B&amp;Inside5!I:I, Inside5!D:D), 0)</f>
        <v>0</v>
      </c>
      <c r="G949" cm="1">
        <f t="array" ref="G949">IFERROR(_xlfn.XLOOKUP(C949&amp;A949, Inside5!B:B&amp;Inside5!I:I, Inside5!E:E), 0)</f>
        <v>0.25</v>
      </c>
      <c r="H949" cm="1">
        <f t="array" ref="H949">IFERROR(_xlfn.XLOOKUP(C949&amp;A949, TDrate!F:F&amp;TDrate!H:H, TDrate!C:C), "N/A")</f>
        <v>8.5000000000000006E-3</v>
      </c>
      <c r="I949" cm="1">
        <f t="array" ref="I949">IFERROR(_xlfn.XLOOKUP(C949&amp;A949, TDrate!F:F&amp;TDrate!H:H, TDrate!E:E), "N/A")</f>
        <v>1.2E-2</v>
      </c>
      <c r="J949" cm="1">
        <f t="array" ref="J949">IFERROR(_xlfn.XLOOKUP(C949&amp;A949, Inside5!B:B&amp;Inside5!I:I, Inside5!F:F), 0)</f>
        <v>0</v>
      </c>
      <c r="K949" cm="1">
        <f t="array" ref="K949">IFERROR(_xlfn.XLOOKUP(C949&amp;A949, Inside5!B:B&amp;Inside5!I:I, Inside5!G:G), 0)</f>
        <v>0</v>
      </c>
      <c r="L949" cm="1">
        <f t="array" ref="L949">IFERROR(_xlfn.XLOOKUP(C949&amp;A949, Inside5!B:B&amp;Inside5!I:I, Inside5!H:H), 0)</f>
        <v>0</v>
      </c>
      <c r="M949" cm="1">
        <f t="array" ref="M949">IFERROR(_xlfn.XLOOKUP(C949&amp;A949, TDrate!F:F&amp;TDrate!H:H, TDrate!B:B), "N/A")</f>
        <v>0</v>
      </c>
      <c r="N949" cm="1">
        <f t="array" ref="N949">IFERROR(_xlfn.XLOOKUP(C949&amp;A949, TDrate!F:F&amp;TDrate!H:H, TDrate!D:D), "N/A")</f>
        <v>8.9999999999999993E-3</v>
      </c>
    </row>
    <row r="950" spans="1:14" x14ac:dyDescent="0.45">
      <c r="A950" s="5">
        <v>2020</v>
      </c>
      <c r="B950" s="6" t="s">
        <v>837</v>
      </c>
      <c r="C950" s="7" t="str">
        <f t="shared" si="28"/>
        <v>Le'Veon Bell</v>
      </c>
      <c r="D950" s="7" t="str">
        <f t="shared" si="29"/>
        <v>KC</v>
      </c>
      <c r="E950" cm="1">
        <f t="array" aca="1" ref="E950" ca="1">IFERROR(_xlfn.XLOOKUP(C950&amp;A950, Inside5!B:B&amp;Inside5!I:I, Inside5!C:C), 0)</f>
        <v>3</v>
      </c>
      <c r="F950" cm="1">
        <f t="array" aca="1" ref="F950" ca="1">IFERROR(_xlfn.XLOOKUP(C950&amp;A950, Inside5!B:B&amp;Inside5!I:I, Inside5!D:D), 0)</f>
        <v>0</v>
      </c>
      <c r="G950" cm="1">
        <f t="array" ref="G950">IFERROR(_xlfn.XLOOKUP(C950&amp;A950, Inside5!B:B&amp;Inside5!I:I, Inside5!E:E), 0)</f>
        <v>0.25</v>
      </c>
      <c r="H950" cm="1">
        <f t="array" ref="H950">IFERROR(_xlfn.XLOOKUP(C950&amp;A950, TDrate!F:F&amp;TDrate!H:H, TDrate!C:C), "N/A")</f>
        <v>2.4400000000000002E-2</v>
      </c>
      <c r="I950" cm="1">
        <f t="array" ref="I950">IFERROR(_xlfn.XLOOKUP(C950&amp;A950, TDrate!F:F&amp;TDrate!H:H, TDrate!E:E), "N/A")</f>
        <v>2.5600000000000001E-2</v>
      </c>
      <c r="J950" cm="1">
        <f t="array" ref="J950">IFERROR(_xlfn.XLOOKUP(C950&amp;A950, Inside5!B:B&amp;Inside5!I:I, Inside5!F:F), 0)</f>
        <v>0</v>
      </c>
      <c r="K950" cm="1">
        <f t="array" ref="K950">IFERROR(_xlfn.XLOOKUP(C950&amp;A950, Inside5!B:B&amp;Inside5!I:I, Inside5!G:G), 0)</f>
        <v>0</v>
      </c>
      <c r="L950" cm="1">
        <f t="array" ref="L950">IFERROR(_xlfn.XLOOKUP(C950&amp;A950, Inside5!B:B&amp;Inside5!I:I, Inside5!H:H), 0)</f>
        <v>0</v>
      </c>
      <c r="M950" cm="1">
        <f t="array" ref="M950">IFERROR(_xlfn.XLOOKUP(C950&amp;A950, TDrate!F:F&amp;TDrate!H:H, TDrate!B:B), "N/A")</f>
        <v>0</v>
      </c>
      <c r="N950" cm="1">
        <f t="array" ref="N950">IFERROR(_xlfn.XLOOKUP(C950&amp;A950, TDrate!F:F&amp;TDrate!H:H, TDrate!D:D), "N/A")</f>
        <v>2.0500000000000001E-2</v>
      </c>
    </row>
    <row r="951" spans="1:14" x14ac:dyDescent="0.45">
      <c r="A951" s="8">
        <v>2020</v>
      </c>
      <c r="B951" s="9" t="s">
        <v>566</v>
      </c>
      <c r="C951" s="10" t="str">
        <f t="shared" si="28"/>
        <v>Joshua Kelley</v>
      </c>
      <c r="D951" s="10" t="str">
        <f t="shared" si="29"/>
        <v>LAC</v>
      </c>
      <c r="E951" cm="1">
        <f t="array" aca="1" ref="E951" ca="1">IFERROR(_xlfn.XLOOKUP(C951&amp;A951, Inside5!B:B&amp;Inside5!I:I, Inside5!C:C), 0)</f>
        <v>7</v>
      </c>
      <c r="F951" cm="1">
        <f t="array" aca="1" ref="F951" ca="1">IFERROR(_xlfn.XLOOKUP(C951&amp;A951, Inside5!B:B&amp;Inside5!I:I, Inside5!D:D), 0)</f>
        <v>2</v>
      </c>
      <c r="G951" cm="1">
        <f t="array" ref="G951">IFERROR(_xlfn.XLOOKUP(C951&amp;A951, Inside5!B:B&amp;Inside5!I:I, Inside5!E:E), 0)</f>
        <v>0.53800000000000003</v>
      </c>
      <c r="H951" cm="1">
        <f t="array" ref="H951">IFERROR(_xlfn.XLOOKUP(C951&amp;A951, TDrate!F:F&amp;TDrate!H:H, TDrate!C:C), "N/A")</f>
        <v>1.7999999999999999E-2</v>
      </c>
      <c r="I951" cm="1">
        <f t="array" ref="I951">IFERROR(_xlfn.XLOOKUP(C951&amp;A951, TDrate!F:F&amp;TDrate!H:H, TDrate!E:E), "N/A")</f>
        <v>2.8799999999999999E-2</v>
      </c>
      <c r="J951" cm="1">
        <f t="array" ref="J951">IFERROR(_xlfn.XLOOKUP(C951&amp;A951, Inside5!B:B&amp;Inside5!I:I, Inside5!F:F), 0)</f>
        <v>0</v>
      </c>
      <c r="K951" cm="1">
        <f t="array" ref="K951">IFERROR(_xlfn.XLOOKUP(C951&amp;A951, Inside5!B:B&amp;Inside5!I:I, Inside5!G:G), 0)</f>
        <v>0</v>
      </c>
      <c r="L951" cm="1">
        <f t="array" ref="L951">IFERROR(_xlfn.XLOOKUP(C951&amp;A951, Inside5!B:B&amp;Inside5!I:I, Inside5!H:H), 0)</f>
        <v>0</v>
      </c>
      <c r="M951" cm="1">
        <f t="array" ref="M951">IFERROR(_xlfn.XLOOKUP(C951&amp;A951, TDrate!F:F&amp;TDrate!H:H, TDrate!B:B), "N/A")</f>
        <v>0</v>
      </c>
      <c r="N951" cm="1">
        <f t="array" ref="N951">IFERROR(_xlfn.XLOOKUP(C951&amp;A951, TDrate!F:F&amp;TDrate!H:H, TDrate!D:D), "N/A")</f>
        <v>1.1299999999999999E-2</v>
      </c>
    </row>
    <row r="952" spans="1:14" x14ac:dyDescent="0.45">
      <c r="A952" s="5">
        <v>2020</v>
      </c>
      <c r="B952" s="6" t="s">
        <v>572</v>
      </c>
      <c r="C952" s="7" t="str">
        <f t="shared" si="28"/>
        <v>Salvon Ahmed</v>
      </c>
      <c r="D952" s="7" t="str">
        <f t="shared" si="29"/>
        <v>MIA</v>
      </c>
      <c r="E952" cm="1">
        <f t="array" aca="1" ref="E952" ca="1">IFERROR(_xlfn.XLOOKUP(C952&amp;A952, Inside5!B:B&amp;Inside5!I:I, Inside5!C:C), 0)</f>
        <v>5</v>
      </c>
      <c r="F952" cm="1">
        <f t="array" aca="1" ref="F952" ca="1">IFERROR(_xlfn.XLOOKUP(C952&amp;A952, Inside5!B:B&amp;Inside5!I:I, Inside5!D:D), 0)</f>
        <v>2</v>
      </c>
      <c r="G952" cm="1">
        <f t="array" ref="G952">IFERROR(_xlfn.XLOOKUP(C952&amp;A952, Inside5!B:B&amp;Inside5!I:I, Inside5!E:E), 0)</f>
        <v>0.29399999999999998</v>
      </c>
      <c r="H952" cm="1">
        <f t="array" ref="H952">IFERROR(_xlfn.XLOOKUP(C952&amp;A952, TDrate!F:F&amp;TDrate!H:H, TDrate!C:C), "N/A")</f>
        <v>0.04</v>
      </c>
      <c r="I952" cm="1">
        <f t="array" ref="I952">IFERROR(_xlfn.XLOOKUP(C952&amp;A952, TDrate!F:F&amp;TDrate!H:H, TDrate!E:E), "N/A")</f>
        <v>4.19E-2</v>
      </c>
      <c r="J952" cm="1">
        <f t="array" ref="J952">IFERROR(_xlfn.XLOOKUP(C952&amp;A952, Inside5!B:B&amp;Inside5!I:I, Inside5!F:F), 0)</f>
        <v>0</v>
      </c>
      <c r="K952" cm="1">
        <f t="array" ref="K952">IFERROR(_xlfn.XLOOKUP(C952&amp;A952, Inside5!B:B&amp;Inside5!I:I, Inside5!G:G), 0)</f>
        <v>0</v>
      </c>
      <c r="L952" cm="1">
        <f t="array" ref="L952">IFERROR(_xlfn.XLOOKUP(C952&amp;A952, Inside5!B:B&amp;Inside5!I:I, Inside5!H:H), 0)</f>
        <v>0</v>
      </c>
      <c r="M952" cm="1">
        <f t="array" ref="M952">IFERROR(_xlfn.XLOOKUP(C952&amp;A952, TDrate!F:F&amp;TDrate!H:H, TDrate!B:B), "N/A")</f>
        <v>0</v>
      </c>
      <c r="N952" cm="1">
        <f t="array" ref="N952">IFERROR(_xlfn.XLOOKUP(C952&amp;A952, TDrate!F:F&amp;TDrate!H:H, TDrate!D:D), "N/A")</f>
        <v>9.4000000000000004E-3</v>
      </c>
    </row>
    <row r="953" spans="1:14" x14ac:dyDescent="0.45">
      <c r="A953" s="8">
        <v>2020</v>
      </c>
      <c r="B953" s="9" t="s">
        <v>838</v>
      </c>
      <c r="C953" s="10" t="str">
        <f t="shared" si="28"/>
        <v>Duke Johnson Jr.</v>
      </c>
      <c r="D953" s="10" t="str">
        <f t="shared" si="29"/>
        <v>HOU</v>
      </c>
      <c r="E953" cm="1">
        <f t="array" ref="E953">IFERROR(_xlfn.XLOOKUP(C953&amp;A953, Inside5!B:B&amp;Inside5!I:I, Inside5!C:C), 0)</f>
        <v>1</v>
      </c>
      <c r="F953" cm="1">
        <f t="array" ref="F953">IFERROR(_xlfn.XLOOKUP(C953&amp;A953, Inside5!B:B&amp;Inside5!I:I, Inside5!D:D), 0)</f>
        <v>1</v>
      </c>
      <c r="G953" cm="1">
        <f t="array" ref="G953">IFERROR(_xlfn.XLOOKUP(C953&amp;A953, Inside5!B:B&amp;Inside5!I:I, Inside5!E:E), 0)</f>
        <v>7.6999999999999999E-2</v>
      </c>
      <c r="H953" cm="1">
        <f t="array" ref="H953">IFERROR(_xlfn.XLOOKUP(C953&amp;A953, TDrate!F:F&amp;TDrate!H:H, TDrate!C:C), "N/A")</f>
        <v>1.2999999999999999E-2</v>
      </c>
      <c r="I953" cm="1">
        <f t="array" ref="I953">IFERROR(_xlfn.XLOOKUP(C953&amp;A953, TDrate!F:F&amp;TDrate!H:H, TDrate!E:E), "N/A")</f>
        <v>1.32E-2</v>
      </c>
      <c r="J953" cm="1">
        <f t="array" ref="J953">IFERROR(_xlfn.XLOOKUP(C953&amp;A953, Inside5!B:B&amp;Inside5!I:I, Inside5!F:F), 0)</f>
        <v>0</v>
      </c>
      <c r="K953" cm="1">
        <f t="array" aca="1" ref="K953" ca="1">IFERROR(_xlfn.XLOOKUP(C953&amp;A953, Inside5!B:B&amp;Inside5!I:I, Inside5!G:G), 0)</f>
        <v>0</v>
      </c>
      <c r="L953" cm="1">
        <f t="array" ref="L953">IFERROR(_xlfn.XLOOKUP(C953&amp;A953, Inside5!B:B&amp;Inside5!I:I, Inside5!H:H), 0)</f>
        <v>0</v>
      </c>
      <c r="M953" cm="1">
        <f t="array" ref="M953">IFERROR(_xlfn.XLOOKUP(C953&amp;A953, TDrate!F:F&amp;TDrate!H:H, TDrate!B:B), "N/A")</f>
        <v>2.86E-2</v>
      </c>
      <c r="N953" cm="1">
        <f t="array" ref="N953">IFERROR(_xlfn.XLOOKUP(C953&amp;A953, TDrate!F:F&amp;TDrate!H:H, TDrate!D:D), "N/A")</f>
        <v>3.6299999999999999E-2</v>
      </c>
    </row>
    <row r="954" spans="1:14" x14ac:dyDescent="0.45">
      <c r="A954" s="5">
        <v>2020</v>
      </c>
      <c r="B954" s="6" t="s">
        <v>347</v>
      </c>
      <c r="C954" s="7" t="str">
        <f t="shared" si="28"/>
        <v>Samaje Perine</v>
      </c>
      <c r="D954" s="7" t="str">
        <f t="shared" si="29"/>
        <v>CIN</v>
      </c>
      <c r="E954" cm="1">
        <f t="array" aca="1" ref="E954" ca="1">IFERROR(_xlfn.XLOOKUP(C954&amp;A954, Inside5!B:B&amp;Inside5!I:I, Inside5!C:C), 0)</f>
        <v>4</v>
      </c>
      <c r="F954" cm="1">
        <f t="array" ref="F954">IFERROR(_xlfn.XLOOKUP(C954&amp;A954, Inside5!B:B&amp;Inside5!I:I, Inside5!D:D), 0)</f>
        <v>2</v>
      </c>
      <c r="G954" cm="1">
        <f t="array" ref="G954">IFERROR(_xlfn.XLOOKUP(C954&amp;A954, Inside5!B:B&amp;Inside5!I:I, Inside5!E:E), 0)</f>
        <v>0.26700000000000002</v>
      </c>
      <c r="H954" cm="1">
        <f t="array" ref="H954">IFERROR(_xlfn.XLOOKUP(C954&amp;A954, TDrate!F:F&amp;TDrate!H:H, TDrate!C:C), "N/A")</f>
        <v>4.7600000000000003E-2</v>
      </c>
      <c r="I954" cm="1">
        <f t="array" ref="I954">IFERROR(_xlfn.XLOOKUP(C954&amp;A954, TDrate!F:F&amp;TDrate!H:H, TDrate!E:E), "N/A")</f>
        <v>4.36E-2</v>
      </c>
      <c r="J954" cm="1">
        <f t="array" ref="J954">IFERROR(_xlfn.XLOOKUP(C954&amp;A954, Inside5!B:B&amp;Inside5!I:I, Inside5!F:F), 0)</f>
        <v>0</v>
      </c>
      <c r="K954" cm="1">
        <f t="array" ref="K954">IFERROR(_xlfn.XLOOKUP(C954&amp;A954, Inside5!B:B&amp;Inside5!I:I, Inside5!G:G), 0)</f>
        <v>0</v>
      </c>
      <c r="L954" cm="1">
        <f t="array" ref="L954">IFERROR(_xlfn.XLOOKUP(C954&amp;A954, Inside5!B:B&amp;Inside5!I:I, Inside5!H:H), 0)</f>
        <v>0</v>
      </c>
      <c r="M954" cm="1">
        <f t="array" ref="M954">IFERROR(_xlfn.XLOOKUP(C954&amp;A954, TDrate!F:F&amp;TDrate!H:H, TDrate!B:B), "N/A")</f>
        <v>0</v>
      </c>
      <c r="N954" cm="1">
        <f t="array" ref="N954">IFERROR(_xlfn.XLOOKUP(C954&amp;A954, TDrate!F:F&amp;TDrate!H:H, TDrate!D:D), "N/A")</f>
        <v>2.1499999999999998E-2</v>
      </c>
    </row>
    <row r="955" spans="1:14" x14ac:dyDescent="0.45">
      <c r="A955" s="8">
        <v>2020</v>
      </c>
      <c r="B955" s="9" t="s">
        <v>839</v>
      </c>
      <c r="C955" s="10" t="str">
        <f t="shared" si="28"/>
        <v>Kerryon Johnson</v>
      </c>
      <c r="D955" s="10" t="str">
        <f t="shared" si="29"/>
        <v>DET</v>
      </c>
      <c r="E955" cm="1">
        <f t="array" aca="1" ref="E955" ca="1">IFERROR(_xlfn.XLOOKUP(C955&amp;A955, Inside5!B:B&amp;Inside5!I:I, Inside5!C:C), 0)</f>
        <v>3</v>
      </c>
      <c r="F955" cm="1">
        <f t="array" aca="1" ref="F955" ca="1">IFERROR(_xlfn.XLOOKUP(C955&amp;A955, Inside5!B:B&amp;Inside5!I:I, Inside5!D:D), 0)</f>
        <v>2</v>
      </c>
      <c r="G955" cm="1">
        <f t="array" ref="G955">IFERROR(_xlfn.XLOOKUP(C955&amp;A955, Inside5!B:B&amp;Inside5!I:I, Inside5!E:E), 0)</f>
        <v>0.1</v>
      </c>
      <c r="H955" cm="1">
        <f t="array" ref="H955">IFERROR(_xlfn.XLOOKUP(C955&amp;A955, TDrate!F:F&amp;TDrate!H:H, TDrate!C:C), "N/A")</f>
        <v>3.85E-2</v>
      </c>
      <c r="I955" cm="1">
        <f t="array" ref="I955">IFERROR(_xlfn.XLOOKUP(C955&amp;A955, TDrate!F:F&amp;TDrate!H:H, TDrate!E:E), "N/A")</f>
        <v>3.7600000000000001E-2</v>
      </c>
      <c r="J955" cm="1">
        <f t="array" ref="J955">IFERROR(_xlfn.XLOOKUP(C955&amp;A955, Inside5!B:B&amp;Inside5!I:I, Inside5!F:F), 0)</f>
        <v>0</v>
      </c>
      <c r="K955" cm="1">
        <f t="array" ref="K955">IFERROR(_xlfn.XLOOKUP(C955&amp;A955, Inside5!B:B&amp;Inside5!I:I, Inside5!G:G), 0)</f>
        <v>0</v>
      </c>
      <c r="L955" cm="1">
        <f t="array" ref="L955">IFERROR(_xlfn.XLOOKUP(C955&amp;A955, Inside5!B:B&amp;Inside5!I:I, Inside5!H:H), 0)</f>
        <v>0</v>
      </c>
      <c r="M955" cm="1">
        <f t="array" ref="M955">IFERROR(_xlfn.XLOOKUP(C955&amp;A955, TDrate!F:F&amp;TDrate!H:H, TDrate!B:B), "N/A")</f>
        <v>3.85E-2</v>
      </c>
      <c r="N955" cm="1">
        <f t="array" ref="N955">IFERROR(_xlfn.XLOOKUP(C955&amp;A955, TDrate!F:F&amp;TDrate!H:H, TDrate!D:D), "N/A")</f>
        <v>3.0200000000000001E-2</v>
      </c>
    </row>
    <row r="956" spans="1:14" x14ac:dyDescent="0.45">
      <c r="A956" s="5">
        <v>2020</v>
      </c>
      <c r="B956" s="6" t="s">
        <v>840</v>
      </c>
      <c r="C956" s="7" t="str">
        <f t="shared" si="28"/>
        <v>Peyton Barber</v>
      </c>
      <c r="D956" s="7" t="str">
        <f t="shared" si="29"/>
        <v>WAS</v>
      </c>
      <c r="E956" cm="1">
        <f t="array" aca="1" ref="E956" ca="1">IFERROR(_xlfn.XLOOKUP(C956&amp;A956, Inside5!B:B&amp;Inside5!I:I, Inside5!C:C), 0)</f>
        <v>9</v>
      </c>
      <c r="F956" cm="1">
        <f t="array" aca="1" ref="F956" ca="1">IFERROR(_xlfn.XLOOKUP(C956&amp;A956, Inside5!B:B&amp;Inside5!I:I, Inside5!D:D), 0)</f>
        <v>4</v>
      </c>
      <c r="G956" cm="1">
        <f t="array" ref="G956">IFERROR(_xlfn.XLOOKUP(C956&amp;A956, Inside5!B:B&amp;Inside5!I:I, Inside5!E:E), 0)</f>
        <v>0.375</v>
      </c>
      <c r="H956" cm="1">
        <f t="array" ref="H956">IFERROR(_xlfn.XLOOKUP(C956&amp;A956, TDrate!F:F&amp;TDrate!H:H, TDrate!C:C), "N/A")</f>
        <v>4.2599999999999999E-2</v>
      </c>
      <c r="I956" cm="1">
        <f t="array" ref="I956">IFERROR(_xlfn.XLOOKUP(C956&amp;A956, TDrate!F:F&amp;TDrate!H:H, TDrate!E:E), "N/A")</f>
        <v>4.5999999999999999E-2</v>
      </c>
      <c r="J956" cm="1">
        <f t="array" ref="J956">IFERROR(_xlfn.XLOOKUP(C956&amp;A956, Inside5!B:B&amp;Inside5!I:I, Inside5!F:F), 0)</f>
        <v>0</v>
      </c>
      <c r="K956" cm="1">
        <f t="array" aca="1" ref="K956" ca="1">IFERROR(_xlfn.XLOOKUP(C956&amp;A956, Inside5!B:B&amp;Inside5!I:I, Inside5!G:G), 0)</f>
        <v>0</v>
      </c>
      <c r="L956" cm="1">
        <f t="array" ref="L956">IFERROR(_xlfn.XLOOKUP(C956&amp;A956, Inside5!B:B&amp;Inside5!I:I, Inside5!H:H), 0)</f>
        <v>0</v>
      </c>
      <c r="M956" cm="1">
        <f t="array" ref="M956">IFERROR(_xlfn.XLOOKUP(C956&amp;A956, TDrate!F:F&amp;TDrate!H:H, TDrate!B:B), "N/A")</f>
        <v>0</v>
      </c>
      <c r="N956" cm="1">
        <f t="array" ref="N956">IFERROR(_xlfn.XLOOKUP(C956&amp;A956, TDrate!F:F&amp;TDrate!H:H, TDrate!D:D), "N/A")</f>
        <v>8.9999999999999998E-4</v>
      </c>
    </row>
    <row r="957" spans="1:14" x14ac:dyDescent="0.45">
      <c r="A957" s="8">
        <v>2020</v>
      </c>
      <c r="B957" s="9" t="s">
        <v>678</v>
      </c>
      <c r="C957" s="10" t="str">
        <f t="shared" si="28"/>
        <v>Jordan Wilkins</v>
      </c>
      <c r="D957" s="10" t="str">
        <f t="shared" si="29"/>
        <v>IND</v>
      </c>
      <c r="E957" cm="1">
        <f t="array" aca="1" ref="E957" ca="1">IFERROR(_xlfn.XLOOKUP(C957&amp;A957, Inside5!B:B&amp;Inside5!I:I, Inside5!C:C), 0)</f>
        <v>2</v>
      </c>
      <c r="F957" cm="1">
        <f t="array" aca="1" ref="F957" ca="1">IFERROR(_xlfn.XLOOKUP(C957&amp;A957, Inside5!B:B&amp;Inside5!I:I, Inside5!D:D), 0)</f>
        <v>1</v>
      </c>
      <c r="G957" cm="1">
        <f t="array" ref="G957">IFERROR(_xlfn.XLOOKUP(C957&amp;A957, Inside5!B:B&amp;Inside5!I:I, Inside5!E:E), 0)</f>
        <v>8.3000000000000004E-2</v>
      </c>
      <c r="H957" cm="1">
        <f t="array" ref="H957">IFERROR(_xlfn.XLOOKUP(C957&amp;A957, TDrate!F:F&amp;TDrate!H:H, TDrate!C:C), "N/A")</f>
        <v>1.1900000000000001E-2</v>
      </c>
      <c r="I957" cm="1">
        <f t="array" ref="I957">IFERROR(_xlfn.XLOOKUP(C957&amp;A957, TDrate!F:F&amp;TDrate!H:H, TDrate!E:E), "N/A")</f>
        <v>1.5100000000000001E-2</v>
      </c>
      <c r="J957" cm="1">
        <f t="array" ref="J957">IFERROR(_xlfn.XLOOKUP(C957&amp;A957, Inside5!B:B&amp;Inside5!I:I, Inside5!F:F), 0)</f>
        <v>0</v>
      </c>
      <c r="K957" cm="1">
        <f t="array" ref="K957">IFERROR(_xlfn.XLOOKUP(C957&amp;A957, Inside5!B:B&amp;Inside5!I:I, Inside5!G:G), 0)</f>
        <v>0</v>
      </c>
      <c r="L957" cm="1">
        <f t="array" ref="L957">IFERROR(_xlfn.XLOOKUP(C957&amp;A957, Inside5!B:B&amp;Inside5!I:I, Inside5!H:H), 0)</f>
        <v>0</v>
      </c>
      <c r="M957" cm="1">
        <f t="array" ref="M957">IFERROR(_xlfn.XLOOKUP(C957&amp;A957, TDrate!F:F&amp;TDrate!H:H, TDrate!B:B), "N/A")</f>
        <v>0</v>
      </c>
      <c r="N957" cm="1">
        <f t="array" ref="N957">IFERROR(_xlfn.XLOOKUP(C957&amp;A957, TDrate!F:F&amp;TDrate!H:H, TDrate!D:D), "N/A")</f>
        <v>1.3299999999999999E-2</v>
      </c>
    </row>
    <row r="958" spans="1:14" x14ac:dyDescent="0.45">
      <c r="A958" s="5">
        <v>2020</v>
      </c>
      <c r="B958" s="6" t="s">
        <v>660</v>
      </c>
      <c r="C958" s="7" t="str">
        <f t="shared" si="28"/>
        <v>Ty Johnson</v>
      </c>
      <c r="D958" s="7" t="str">
        <f t="shared" si="29"/>
        <v>NYJ</v>
      </c>
      <c r="E958" cm="1">
        <f t="array" ref="E958">IFERROR(_xlfn.XLOOKUP(C958&amp;A958, Inside5!B:B&amp;Inside5!I:I, Inside5!C:C), 0)</f>
        <v>4</v>
      </c>
      <c r="F958" cm="1">
        <f t="array" aca="1" ref="F958" ca="1">IFERROR(_xlfn.XLOOKUP(C958&amp;A958, Inside5!B:B&amp;Inside5!I:I, Inside5!D:D), 0)</f>
        <v>1</v>
      </c>
      <c r="G958" cm="1">
        <f t="array" ref="G958">IFERROR(_xlfn.XLOOKUP(C958&amp;A958, Inside5!B:B&amp;Inside5!I:I, Inside5!E:E), 0)</f>
        <v>0.13300000000000001</v>
      </c>
      <c r="H958" cm="1">
        <f t="array" ref="H958">IFERROR(_xlfn.XLOOKUP(C958&amp;A958, TDrate!F:F&amp;TDrate!H:H, TDrate!C:C), "N/A")</f>
        <v>1.8499999999999999E-2</v>
      </c>
      <c r="I958" cm="1">
        <f t="array" ref="I958">IFERROR(_xlfn.XLOOKUP(C958&amp;A958, TDrate!F:F&amp;TDrate!H:H, TDrate!E:E), "N/A")</f>
        <v>2.86E-2</v>
      </c>
      <c r="J958" cm="1">
        <f t="array" ref="J958">IFERROR(_xlfn.XLOOKUP(C958&amp;A958, Inside5!B:B&amp;Inside5!I:I, Inside5!F:F), 0)</f>
        <v>0</v>
      </c>
      <c r="K958" cm="1">
        <f t="array" aca="1" ref="K958" ca="1">IFERROR(_xlfn.XLOOKUP(C958&amp;A958, Inside5!B:B&amp;Inside5!I:I, Inside5!G:G), 0)</f>
        <v>0</v>
      </c>
      <c r="L958" cm="1">
        <f t="array" ref="L958">IFERROR(_xlfn.XLOOKUP(C958&amp;A958, Inside5!B:B&amp;Inside5!I:I, Inside5!H:H), 0)</f>
        <v>0</v>
      </c>
      <c r="M958" cm="1">
        <f t="array" ref="M958">IFERROR(_xlfn.XLOOKUP(C958&amp;A958, TDrate!F:F&amp;TDrate!H:H, TDrate!B:B), "N/A")</f>
        <v>4.7600000000000003E-2</v>
      </c>
      <c r="N958" cm="1">
        <f t="array" ref="N958">IFERROR(_xlfn.XLOOKUP(C958&amp;A958, TDrate!F:F&amp;TDrate!H:H, TDrate!D:D), "N/A")</f>
        <v>2.9499999999999998E-2</v>
      </c>
    </row>
    <row r="959" spans="1:14" x14ac:dyDescent="0.45">
      <c r="A959" s="8">
        <v>2020</v>
      </c>
      <c r="B959" s="9" t="s">
        <v>841</v>
      </c>
      <c r="C959" s="10" t="str">
        <f t="shared" si="28"/>
        <v>Mark Ingram II</v>
      </c>
      <c r="D959" s="10" t="str">
        <f t="shared" si="29"/>
        <v>BAL</v>
      </c>
      <c r="E959" cm="1">
        <f t="array" ref="E959">IFERROR(_xlfn.XLOOKUP(C959&amp;A959, Inside5!B:B&amp;Inside5!I:I, Inside5!C:C), 0)</f>
        <v>2</v>
      </c>
      <c r="F959" cm="1">
        <f t="array" ref="F959">IFERROR(_xlfn.XLOOKUP(C959&amp;A959, Inside5!B:B&amp;Inside5!I:I, Inside5!D:D), 0)</f>
        <v>1</v>
      </c>
      <c r="G959" cm="1">
        <f t="array" ref="G959">IFERROR(_xlfn.XLOOKUP(C959&amp;A959, Inside5!B:B&amp;Inside5!I:I, Inside5!E:E), 0)</f>
        <v>9.0999999999999998E-2</v>
      </c>
      <c r="H959" cm="1">
        <f t="array" ref="H959">IFERROR(_xlfn.XLOOKUP(C959&amp;A959, TDrate!F:F&amp;TDrate!H:H, TDrate!C:C), "N/A")</f>
        <v>2.7799999999999998E-2</v>
      </c>
      <c r="I959" cm="1">
        <f t="array" ref="I959">IFERROR(_xlfn.XLOOKUP(C959&amp;A959, TDrate!F:F&amp;TDrate!H:H, TDrate!E:E), "N/A")</f>
        <v>2.6100000000000002E-2</v>
      </c>
      <c r="J959" cm="1">
        <f t="array" ref="J959">IFERROR(_xlfn.XLOOKUP(C959&amp;A959, Inside5!B:B&amp;Inside5!I:I, Inside5!F:F), 0)</f>
        <v>0</v>
      </c>
      <c r="K959" cm="1">
        <f t="array" aca="1" ref="K959" ca="1">IFERROR(_xlfn.XLOOKUP(C959&amp;A959, Inside5!B:B&amp;Inside5!I:I, Inside5!G:G), 0)</f>
        <v>0</v>
      </c>
      <c r="L959" cm="1">
        <f t="array" aca="1" ref="L959" ca="1">IFERROR(_xlfn.XLOOKUP(C959&amp;A959, Inside5!B:B&amp;Inside5!I:I, Inside5!H:H), 0)</f>
        <v>0</v>
      </c>
      <c r="M959" cm="1">
        <f t="array" ref="M959">IFERROR(_xlfn.XLOOKUP(C959&amp;A959, TDrate!F:F&amp;TDrate!H:H, TDrate!B:B), "N/A")</f>
        <v>0</v>
      </c>
      <c r="N959" cm="1">
        <f t="array" ref="N959">IFERROR(_xlfn.XLOOKUP(C959&amp;A959, TDrate!F:F&amp;TDrate!H:H, TDrate!D:D), "N/A")</f>
        <v>1.1599999999999999E-2</v>
      </c>
    </row>
    <row r="960" spans="1:14" x14ac:dyDescent="0.45">
      <c r="A960" s="5">
        <v>2020</v>
      </c>
      <c r="B960" s="6" t="s">
        <v>731</v>
      </c>
      <c r="C960" s="7" t="str">
        <f t="shared" si="28"/>
        <v>Justin Jackson</v>
      </c>
      <c r="D960" s="7" t="str">
        <f t="shared" si="29"/>
        <v>LAC</v>
      </c>
      <c r="E960" cm="1">
        <f t="array" aca="1" ref="E960" ca="1">IFERROR(_xlfn.XLOOKUP(C960&amp;A960, Inside5!B:B&amp;Inside5!I:I, Inside5!C:C), 0)</f>
        <v>0</v>
      </c>
      <c r="F960" cm="1">
        <f t="array" aca="1" ref="F960" ca="1">IFERROR(_xlfn.XLOOKUP(C960&amp;A960, Inside5!B:B&amp;Inside5!I:I, Inside5!D:D), 0)</f>
        <v>0</v>
      </c>
      <c r="G960" cm="1">
        <f t="array" ref="G960">IFERROR(_xlfn.XLOOKUP(C960&amp;A960, Inside5!B:B&amp;Inside5!I:I, Inside5!E:E), 0)</f>
        <v>0</v>
      </c>
      <c r="H960" cm="1">
        <f t="array" ref="H960">IFERROR(_xlfn.XLOOKUP(C960&amp;A960, TDrate!F:F&amp;TDrate!H:H, TDrate!C:C), "N/A")</f>
        <v>0</v>
      </c>
      <c r="I960" cm="1">
        <f t="array" ref="I960">IFERROR(_xlfn.XLOOKUP(C960&amp;A960, TDrate!F:F&amp;TDrate!H:H, TDrate!E:E), "N/A")</f>
        <v>4.1000000000000003E-3</v>
      </c>
      <c r="J960" cm="1">
        <f t="array" ref="J960">IFERROR(_xlfn.XLOOKUP(C960&amp;A960, Inside5!B:B&amp;Inside5!I:I, Inside5!F:F), 0)</f>
        <v>0</v>
      </c>
      <c r="K960" cm="1">
        <f t="array" aca="1" ref="K960" ca="1">IFERROR(_xlfn.XLOOKUP(C960&amp;A960, Inside5!B:B&amp;Inside5!I:I, Inside5!G:G), 0)</f>
        <v>0</v>
      </c>
      <c r="L960" cm="1">
        <f t="array" ref="L960">IFERROR(_xlfn.XLOOKUP(C960&amp;A960, Inside5!B:B&amp;Inside5!I:I, Inside5!H:H), 0)</f>
        <v>0</v>
      </c>
      <c r="M960" cm="1">
        <f t="array" ref="M960">IFERROR(_xlfn.XLOOKUP(C960&amp;A960, TDrate!F:F&amp;TDrate!H:H, TDrate!B:B), "N/A")</f>
        <v>0</v>
      </c>
      <c r="N960" cm="1">
        <f t="array" ref="N960">IFERROR(_xlfn.XLOOKUP(C960&amp;A960, TDrate!F:F&amp;TDrate!H:H, TDrate!D:D), "N/A")</f>
        <v>2.3E-3</v>
      </c>
    </row>
    <row r="961" spans="1:14" x14ac:dyDescent="0.45">
      <c r="A961" s="8">
        <v>2020</v>
      </c>
      <c r="B961" s="9" t="s">
        <v>778</v>
      </c>
      <c r="C961" s="10" t="str">
        <f t="shared" si="28"/>
        <v>La'Mical Perine</v>
      </c>
      <c r="D961" s="10" t="str">
        <f t="shared" si="29"/>
        <v>NYJ</v>
      </c>
      <c r="E961" cm="1">
        <f t="array" aca="1" ref="E961" ca="1">IFERROR(_xlfn.XLOOKUP(C961&amp;A961, Inside5!B:B&amp;Inside5!I:I, Inside5!C:C), 0)</f>
        <v>2</v>
      </c>
      <c r="F961" cm="1">
        <f t="array" aca="1" ref="F961" ca="1">IFERROR(_xlfn.XLOOKUP(C961&amp;A961, Inside5!B:B&amp;Inside5!I:I, Inside5!D:D), 0)</f>
        <v>2</v>
      </c>
      <c r="G961" cm="1">
        <f t="array" ref="G961">IFERROR(_xlfn.XLOOKUP(C961&amp;A961, Inside5!B:B&amp;Inside5!I:I, Inside5!E:E), 0)</f>
        <v>0.16700000000000001</v>
      </c>
      <c r="H961" cm="1">
        <f t="array" ref="H961">IFERROR(_xlfn.XLOOKUP(C961&amp;A961, TDrate!F:F&amp;TDrate!H:H, TDrate!C:C), "N/A")</f>
        <v>3.1300000000000001E-2</v>
      </c>
      <c r="I961" cm="1">
        <f t="array" ref="I961">IFERROR(_xlfn.XLOOKUP(C961&amp;A961, TDrate!F:F&amp;TDrate!H:H, TDrate!E:E), "N/A")</f>
        <v>2.5499999999999998E-2</v>
      </c>
      <c r="J961" cm="1">
        <f t="array" ref="J961">IFERROR(_xlfn.XLOOKUP(C961&amp;A961, Inside5!B:B&amp;Inside5!I:I, Inside5!F:F), 0)</f>
        <v>0</v>
      </c>
      <c r="K961" cm="1">
        <f t="array" aca="1" ref="K961" ca="1">IFERROR(_xlfn.XLOOKUP(C961&amp;A961, Inside5!B:B&amp;Inside5!I:I, Inside5!G:G), 0)</f>
        <v>0</v>
      </c>
      <c r="L961" cm="1">
        <f t="array" ref="L961">IFERROR(_xlfn.XLOOKUP(C961&amp;A961, Inside5!B:B&amp;Inside5!I:I, Inside5!H:H), 0)</f>
        <v>0</v>
      </c>
      <c r="M961" cm="1">
        <f t="array" ref="M961">IFERROR(_xlfn.XLOOKUP(C961&amp;A961, TDrate!F:F&amp;TDrate!H:H, TDrate!B:B), "N/A")</f>
        <v>0</v>
      </c>
      <c r="N961" cm="1">
        <f t="array" ref="N961">IFERROR(_xlfn.XLOOKUP(C961&amp;A961, TDrate!F:F&amp;TDrate!H:H, TDrate!D:D), "N/A")</f>
        <v>7.1999999999999998E-3</v>
      </c>
    </row>
    <row r="962" spans="1:14" x14ac:dyDescent="0.45">
      <c r="A962" s="5">
        <v>2020</v>
      </c>
      <c r="B962" s="6" t="s">
        <v>842</v>
      </c>
      <c r="C962" s="7" t="str">
        <f t="shared" ref="C962:C1025" si="30">TRIM(LEFT(B962, LEN(B962) - LEN(TRIM(RIGHT(SUBSTITUTE(TRIM(B962)," ",REPT(" ",100)),100)))))</f>
        <v>Ito Smith</v>
      </c>
      <c r="D962" s="7" t="str">
        <f t="shared" ref="D962:D1025" si="31">MID(B962, FIND("(", B962) + 1, FIND(")", B962) - FIND("(", B962) - 1)</f>
        <v>ATL</v>
      </c>
      <c r="E962" cm="1">
        <f t="array" ref="E962">IFERROR(_xlfn.XLOOKUP(C962&amp;A962, Inside5!B:B&amp;Inside5!I:I, Inside5!C:C), 0)</f>
        <v>1</v>
      </c>
      <c r="F962" cm="1">
        <f t="array" aca="1" ref="F962" ca="1">IFERROR(_xlfn.XLOOKUP(C962&amp;A962, Inside5!B:B&amp;Inside5!I:I, Inside5!D:D), 0)</f>
        <v>0</v>
      </c>
      <c r="G962" cm="1">
        <f t="array" ref="G962">IFERROR(_xlfn.XLOOKUP(C962&amp;A962, Inside5!B:B&amp;Inside5!I:I, Inside5!E:E), 0)</f>
        <v>6.3E-2</v>
      </c>
      <c r="H962" cm="1">
        <f t="array" ref="H962">IFERROR(_xlfn.XLOOKUP(C962&amp;A962, TDrate!F:F&amp;TDrate!H:H, TDrate!C:C), "N/A")</f>
        <v>1.5599999999999999E-2</v>
      </c>
      <c r="I962" cm="1">
        <f t="array" ref="I962">IFERROR(_xlfn.XLOOKUP(C962&amp;A962, TDrate!F:F&amp;TDrate!H:H, TDrate!E:E), "N/A")</f>
        <v>1.66E-2</v>
      </c>
      <c r="J962" cm="1">
        <f t="array" ref="J962">IFERROR(_xlfn.XLOOKUP(C962&amp;A962, Inside5!B:B&amp;Inside5!I:I, Inside5!F:F), 0)</f>
        <v>0</v>
      </c>
      <c r="K962" cm="1">
        <f t="array" aca="1" ref="K962" ca="1">IFERROR(_xlfn.XLOOKUP(C962&amp;A962, Inside5!B:B&amp;Inside5!I:I, Inside5!G:G), 0)</f>
        <v>0</v>
      </c>
      <c r="L962" cm="1">
        <f t="array" ref="L962">IFERROR(_xlfn.XLOOKUP(C962&amp;A962, Inside5!B:B&amp;Inside5!I:I, Inside5!H:H), 0)</f>
        <v>0</v>
      </c>
      <c r="M962" cm="1">
        <f t="array" ref="M962">IFERROR(_xlfn.XLOOKUP(C962&amp;A962, TDrate!F:F&amp;TDrate!H:H, TDrate!B:B), "N/A")</f>
        <v>0</v>
      </c>
      <c r="N962" cm="1">
        <f t="array" ref="N962">IFERROR(_xlfn.XLOOKUP(C962&amp;A962, TDrate!F:F&amp;TDrate!H:H, TDrate!D:D), "N/A")</f>
        <v>3.1899999999999998E-2</v>
      </c>
    </row>
    <row r="963" spans="1:14" x14ac:dyDescent="0.45">
      <c r="A963" s="8">
        <v>2020</v>
      </c>
      <c r="B963" s="9" t="s">
        <v>598</v>
      </c>
      <c r="C963" s="10" t="str">
        <f t="shared" si="30"/>
        <v>DeeJay Dallas</v>
      </c>
      <c r="D963" s="10" t="str">
        <f t="shared" si="31"/>
        <v>SEA</v>
      </c>
      <c r="E963" cm="1">
        <f t="array" ref="E963">IFERROR(_xlfn.XLOOKUP(C963&amp;A963, Inside5!B:B&amp;Inside5!I:I, Inside5!C:C), 0)</f>
        <v>5</v>
      </c>
      <c r="F963" cm="1">
        <f t="array" ref="F963">IFERROR(_xlfn.XLOOKUP(C963&amp;A963, Inside5!B:B&amp;Inside5!I:I, Inside5!D:D), 0)</f>
        <v>2</v>
      </c>
      <c r="G963" cm="1">
        <f t="array" ref="G963">IFERROR(_xlfn.XLOOKUP(C963&amp;A963, Inside5!B:B&amp;Inside5!I:I, Inside5!E:E), 0)</f>
        <v>0.25</v>
      </c>
      <c r="H963" cm="1">
        <f t="array" ref="H963">IFERROR(_xlfn.XLOOKUP(C963&amp;A963, TDrate!F:F&amp;TDrate!H:H, TDrate!C:C), "N/A")</f>
        <v>5.8799999999999998E-2</v>
      </c>
      <c r="I963" cm="1">
        <f t="array" ref="I963">IFERROR(_xlfn.XLOOKUP(C963&amp;A963, TDrate!F:F&amp;TDrate!H:H, TDrate!E:E), "N/A")</f>
        <v>6.9800000000000001E-2</v>
      </c>
      <c r="J963" cm="1">
        <f t="array" ref="J963">IFERROR(_xlfn.XLOOKUP(C963&amp;A963, Inside5!B:B&amp;Inside5!I:I, Inside5!F:F), 0)</f>
        <v>1</v>
      </c>
      <c r="K963" cm="1">
        <f t="array" ref="K963">IFERROR(_xlfn.XLOOKUP(C963&amp;A963, Inside5!B:B&amp;Inside5!I:I, Inside5!G:G), 0)</f>
        <v>1</v>
      </c>
      <c r="L963" cm="1">
        <f t="array" ref="L963">IFERROR(_xlfn.XLOOKUP(C963&amp;A963, Inside5!B:B&amp;Inside5!I:I, Inside5!H:H), 0)</f>
        <v>1</v>
      </c>
      <c r="M963" cm="1">
        <f t="array" ref="M963">IFERROR(_xlfn.XLOOKUP(C963&amp;A963, TDrate!F:F&amp;TDrate!H:H, TDrate!B:B), "N/A")</f>
        <v>0.05</v>
      </c>
      <c r="N963" cm="1">
        <f t="array" ref="N963">IFERROR(_xlfn.XLOOKUP(C963&amp;A963, TDrate!F:F&amp;TDrate!H:H, TDrate!D:D), "N/A")</f>
        <v>4.5900000000000003E-2</v>
      </c>
    </row>
    <row r="964" spans="1:14" x14ac:dyDescent="0.45">
      <c r="A964" s="5">
        <v>2020</v>
      </c>
      <c r="B964" s="6" t="s">
        <v>559</v>
      </c>
      <c r="C964" s="7" t="str">
        <f t="shared" si="30"/>
        <v>AJ Dillon</v>
      </c>
      <c r="D964" s="7" t="str">
        <f t="shared" si="31"/>
        <v>GB</v>
      </c>
      <c r="E964" cm="1">
        <f t="array" ref="E964">IFERROR(_xlfn.XLOOKUP(C964&amp;A964, Inside5!B:B&amp;Inside5!I:I, Inside5!C:C), 0)</f>
        <v>0</v>
      </c>
      <c r="F964" cm="1">
        <f t="array" ref="F964">IFERROR(_xlfn.XLOOKUP(C964&amp;A964, Inside5!B:B&amp;Inside5!I:I, Inside5!D:D), 0)</f>
        <v>0</v>
      </c>
      <c r="G964" cm="1">
        <f t="array" ref="G964">IFERROR(_xlfn.XLOOKUP(C964&amp;A964, Inside5!B:B&amp;Inside5!I:I, Inside5!E:E), 0)</f>
        <v>0</v>
      </c>
      <c r="H964" cm="1">
        <f t="array" ref="H964">IFERROR(_xlfn.XLOOKUP(C964&amp;A964, TDrate!F:F&amp;TDrate!H:H, TDrate!C:C), "N/A")</f>
        <v>4.3499999999999997E-2</v>
      </c>
      <c r="I964" cm="1">
        <f t="array" ref="I964">IFERROR(_xlfn.XLOOKUP(C964&amp;A964, TDrate!F:F&amp;TDrate!H:H, TDrate!E:E), "N/A")</f>
        <v>2.7699999999999999E-2</v>
      </c>
      <c r="J964" cm="1">
        <f t="array" ref="J964">IFERROR(_xlfn.XLOOKUP(C964&amp;A964, Inside5!B:B&amp;Inside5!I:I, Inside5!F:F), 0)</f>
        <v>0</v>
      </c>
      <c r="K964" cm="1">
        <f t="array" ref="K964">IFERROR(_xlfn.XLOOKUP(C964&amp;A964, Inside5!B:B&amp;Inside5!I:I, Inside5!G:G), 0)</f>
        <v>0</v>
      </c>
      <c r="L964" cm="1">
        <f t="array" ref="L964">IFERROR(_xlfn.XLOOKUP(C964&amp;A964, Inside5!B:B&amp;Inside5!I:I, Inside5!H:H), 0)</f>
        <v>0</v>
      </c>
      <c r="M964" cm="1">
        <f t="array" ref="M964">IFERROR(_xlfn.XLOOKUP(C964&amp;A964, TDrate!F:F&amp;TDrate!H:H, TDrate!B:B), "N/A")</f>
        <v>0</v>
      </c>
      <c r="N964" cm="1">
        <f t="array" ref="N964">IFERROR(_xlfn.XLOOKUP(C964&amp;A964, TDrate!F:F&amp;TDrate!H:H, TDrate!D:D), "N/A")</f>
        <v>1.52E-2</v>
      </c>
    </row>
    <row r="965" spans="1:14" x14ac:dyDescent="0.45">
      <c r="A965" s="8">
        <v>2020</v>
      </c>
      <c r="B965" s="9" t="s">
        <v>843</v>
      </c>
      <c r="C965" s="10" t="str">
        <f t="shared" si="30"/>
        <v>Dion Lewis</v>
      </c>
      <c r="D965" s="10" t="str">
        <f t="shared" si="31"/>
        <v>NYG</v>
      </c>
      <c r="E965" cm="1">
        <f t="array" aca="1" ref="E965" ca="1">IFERROR(_xlfn.XLOOKUP(C965&amp;A965, Inside5!B:B&amp;Inside5!I:I, Inside5!C:C), 0)</f>
        <v>3</v>
      </c>
      <c r="F965" cm="1">
        <f t="array" aca="1" ref="F965" ca="1">IFERROR(_xlfn.XLOOKUP(C965&amp;A965, Inside5!B:B&amp;Inside5!I:I, Inside5!D:D), 0)</f>
        <v>2</v>
      </c>
      <c r="G965" cm="1">
        <f t="array" ref="G965">IFERROR(_xlfn.XLOOKUP(C965&amp;A965, Inside5!B:B&amp;Inside5!I:I, Inside5!E:E), 0)</f>
        <v>0.17599999999999999</v>
      </c>
      <c r="H965" cm="1">
        <f t="array" ref="H965">IFERROR(_xlfn.XLOOKUP(C965&amp;A965, TDrate!F:F&amp;TDrate!H:H, TDrate!C:C), "N/A")</f>
        <v>6.9000000000000006E-2</v>
      </c>
      <c r="I965" cm="1">
        <f t="array" ref="I965">IFERROR(_xlfn.XLOOKUP(C965&amp;A965, TDrate!F:F&amp;TDrate!H:H, TDrate!E:E), "N/A")</f>
        <v>6.0699999999999997E-2</v>
      </c>
      <c r="J965" cm="1">
        <f t="array" ref="J965">IFERROR(_xlfn.XLOOKUP(C965&amp;A965, Inside5!B:B&amp;Inside5!I:I, Inside5!F:F), 0)</f>
        <v>0</v>
      </c>
      <c r="K965" cm="1">
        <f t="array" ref="K965">IFERROR(_xlfn.XLOOKUP(C965&amp;A965, Inside5!B:B&amp;Inside5!I:I, Inside5!G:G), 0)</f>
        <v>0</v>
      </c>
      <c r="L965" cm="1">
        <f t="array" ref="L965">IFERROR(_xlfn.XLOOKUP(C965&amp;A965, Inside5!B:B&amp;Inside5!I:I, Inside5!H:H), 0)</f>
        <v>0</v>
      </c>
      <c r="M965" cm="1">
        <f t="array" ref="M965">IFERROR(_xlfn.XLOOKUP(C965&amp;A965, TDrate!F:F&amp;TDrate!H:H, TDrate!B:B), "N/A")</f>
        <v>3.3300000000000003E-2</v>
      </c>
      <c r="N965" cm="1">
        <f t="array" ref="N965">IFERROR(_xlfn.XLOOKUP(C965&amp;A965, TDrate!F:F&amp;TDrate!H:H, TDrate!D:D), "N/A")</f>
        <v>3.1699999999999999E-2</v>
      </c>
    </row>
    <row r="966" spans="1:14" x14ac:dyDescent="0.45">
      <c r="A966" s="5">
        <v>2020</v>
      </c>
      <c r="B966" s="6" t="s">
        <v>844</v>
      </c>
      <c r="C966" s="7" t="str">
        <f t="shared" si="30"/>
        <v>Alfred Morris</v>
      </c>
      <c r="D966" s="7" t="str">
        <f t="shared" si="31"/>
        <v>NYG</v>
      </c>
      <c r="E966" cm="1">
        <f t="array" aca="1" ref="E966" ca="1">IFERROR(_xlfn.XLOOKUP(C966&amp;A966, Inside5!B:B&amp;Inside5!I:I, Inside5!C:C), 0)</f>
        <v>1</v>
      </c>
      <c r="F966" cm="1">
        <f t="array" aca="1" ref="F966" ca="1">IFERROR(_xlfn.XLOOKUP(C966&amp;A966, Inside5!B:B&amp;Inside5!I:I, Inside5!D:D), 0)</f>
        <v>1</v>
      </c>
      <c r="G966" cm="1">
        <f t="array" ref="G966">IFERROR(_xlfn.XLOOKUP(C966&amp;A966, Inside5!B:B&amp;Inside5!I:I, Inside5!E:E), 0)</f>
        <v>5.8999999999999997E-2</v>
      </c>
      <c r="H966" cm="1">
        <f t="array" ref="H966">IFERROR(_xlfn.XLOOKUP(C966&amp;A966, TDrate!F:F&amp;TDrate!H:H, TDrate!C:C), "N/A")</f>
        <v>1.8200000000000001E-2</v>
      </c>
      <c r="I966" cm="1">
        <f t="array" ref="I966">IFERROR(_xlfn.XLOOKUP(C966&amp;A966, TDrate!F:F&amp;TDrate!H:H, TDrate!E:E), "N/A")</f>
        <v>1.7100000000000001E-2</v>
      </c>
      <c r="J966" cm="1">
        <f t="array" ref="J966">IFERROR(_xlfn.XLOOKUP(C966&amp;A966, Inside5!B:B&amp;Inside5!I:I, Inside5!F:F), 0)</f>
        <v>0</v>
      </c>
      <c r="K966" cm="1">
        <f t="array" ref="K966">IFERROR(_xlfn.XLOOKUP(C966&amp;A966, Inside5!B:B&amp;Inside5!I:I, Inside5!G:G), 0)</f>
        <v>0</v>
      </c>
      <c r="L966" cm="1">
        <f t="array" ref="L966">IFERROR(_xlfn.XLOOKUP(C966&amp;A966, Inside5!B:B&amp;Inside5!I:I, Inside5!H:H), 0)</f>
        <v>0</v>
      </c>
      <c r="M966" cm="1">
        <f t="array" ref="M966">IFERROR(_xlfn.XLOOKUP(C966&amp;A966, TDrate!F:F&amp;TDrate!H:H, TDrate!B:B), "N/A")</f>
        <v>0.25</v>
      </c>
      <c r="N966" cm="1">
        <f t="array" ref="N966">IFERROR(_xlfn.XLOOKUP(C966&amp;A966, TDrate!F:F&amp;TDrate!H:H, TDrate!D:D), "N/A")</f>
        <v>0.15509999999999999</v>
      </c>
    </row>
    <row r="967" spans="1:14" x14ac:dyDescent="0.45">
      <c r="A967" s="8">
        <v>2020</v>
      </c>
      <c r="B967" s="9" t="s">
        <v>845</v>
      </c>
      <c r="C967" s="10" t="str">
        <f t="shared" si="30"/>
        <v>Cordarrelle Patterson</v>
      </c>
      <c r="D967" s="10" t="str">
        <f t="shared" si="31"/>
        <v>CHI</v>
      </c>
      <c r="E967" cm="1">
        <f t="array" aca="1" ref="E967" ca="1">IFERROR(_xlfn.XLOOKUP(C967&amp;A967, Inside5!B:B&amp;Inside5!I:I, Inside5!C:C), 0)</f>
        <v>2</v>
      </c>
      <c r="F967" cm="1">
        <f t="array" aca="1" ref="F967" ca="1">IFERROR(_xlfn.XLOOKUP(C967&amp;A967, Inside5!B:B&amp;Inside5!I:I, Inside5!D:D), 0)</f>
        <v>1</v>
      </c>
      <c r="G967" cm="1">
        <f t="array" ref="G967">IFERROR(_xlfn.XLOOKUP(C967&amp;A967, Inside5!B:B&amp;Inside5!I:I, Inside5!E:E), 0)</f>
        <v>0.125</v>
      </c>
      <c r="H967" cm="1">
        <f t="array" ref="H967">IFERROR(_xlfn.XLOOKUP(C967&amp;A967, TDrate!F:F&amp;TDrate!H:H, TDrate!C:C), "N/A")</f>
        <v>1.5599999999999999E-2</v>
      </c>
      <c r="I967" cm="1">
        <f t="array" ref="I967">IFERROR(_xlfn.XLOOKUP(C967&amp;A967, TDrate!F:F&amp;TDrate!H:H, TDrate!E:E), "N/A")</f>
        <v>1.9900000000000001E-2</v>
      </c>
      <c r="J967" cm="1">
        <f t="array" ref="J967">IFERROR(_xlfn.XLOOKUP(C967&amp;A967, Inside5!B:B&amp;Inside5!I:I, Inside5!F:F), 0)</f>
        <v>0</v>
      </c>
      <c r="K967" cm="1">
        <f t="array" ref="K967">IFERROR(_xlfn.XLOOKUP(C967&amp;A967, Inside5!B:B&amp;Inside5!I:I, Inside5!G:G), 0)</f>
        <v>0</v>
      </c>
      <c r="L967" cm="1">
        <f t="array" ref="L967">IFERROR(_xlfn.XLOOKUP(C967&amp;A967, Inside5!B:B&amp;Inside5!I:I, Inside5!H:H), 0)</f>
        <v>0</v>
      </c>
      <c r="M967" cm="1">
        <f t="array" ref="M967">IFERROR(_xlfn.XLOOKUP(C967&amp;A967, TDrate!F:F&amp;TDrate!H:H, TDrate!B:B), "N/A")</f>
        <v>0</v>
      </c>
      <c r="N967" cm="1">
        <f t="array" ref="N967">IFERROR(_xlfn.XLOOKUP(C967&amp;A967, TDrate!F:F&amp;TDrate!H:H, TDrate!D:D), "N/A")</f>
        <v>6.8999999999999999E-3</v>
      </c>
    </row>
    <row r="968" spans="1:14" x14ac:dyDescent="0.45">
      <c r="A968" s="5">
        <v>2020</v>
      </c>
      <c r="B968" s="6" t="s">
        <v>716</v>
      </c>
      <c r="C968" s="7" t="str">
        <f t="shared" si="30"/>
        <v>Darrel Williams</v>
      </c>
      <c r="D968" s="7" t="str">
        <f t="shared" si="31"/>
        <v>KC</v>
      </c>
      <c r="E968" cm="1">
        <f t="array" ref="E968">IFERROR(_xlfn.XLOOKUP(C968&amp;A968, Inside5!B:B&amp;Inside5!I:I, Inside5!C:C), 0)</f>
        <v>0</v>
      </c>
      <c r="F968" cm="1">
        <f t="array" ref="F968">IFERROR(_xlfn.XLOOKUP(C968&amp;A968, Inside5!B:B&amp;Inside5!I:I, Inside5!D:D), 0)</f>
        <v>0</v>
      </c>
      <c r="G968" cm="1">
        <f t="array" ref="G968">IFERROR(_xlfn.XLOOKUP(C968&amp;A968, Inside5!B:B&amp;Inside5!I:I, Inside5!E:E), 0)</f>
        <v>0</v>
      </c>
      <c r="H968" cm="1">
        <f t="array" ref="H968">IFERROR(_xlfn.XLOOKUP(C968&amp;A968, TDrate!F:F&amp;TDrate!H:H, TDrate!C:C), "N/A")</f>
        <v>2.5600000000000001E-2</v>
      </c>
      <c r="I968" cm="1">
        <f t="array" ref="I968">IFERROR(_xlfn.XLOOKUP(C968&amp;A968, TDrate!F:F&amp;TDrate!H:H, TDrate!E:E), "N/A")</f>
        <v>1.7600000000000001E-2</v>
      </c>
      <c r="J968" cm="1">
        <f t="array" ref="J968">IFERROR(_xlfn.XLOOKUP(C968&amp;A968, Inside5!B:B&amp;Inside5!I:I, Inside5!F:F), 0)</f>
        <v>0</v>
      </c>
      <c r="K968" cm="1">
        <f t="array" ref="K968">IFERROR(_xlfn.XLOOKUP(C968&amp;A968, Inside5!B:B&amp;Inside5!I:I, Inside5!G:G), 0)</f>
        <v>0</v>
      </c>
      <c r="L968" cm="1">
        <f t="array" ref="L968">IFERROR(_xlfn.XLOOKUP(C968&amp;A968, Inside5!B:B&amp;Inside5!I:I, Inside5!H:H), 0)</f>
        <v>0</v>
      </c>
      <c r="M968" cm="1">
        <f t="array" ref="M968">IFERROR(_xlfn.XLOOKUP(C968&amp;A968, TDrate!F:F&amp;TDrate!H:H, TDrate!B:B), "N/A")</f>
        <v>0</v>
      </c>
      <c r="N968" cm="1">
        <f t="array" ref="N968">IFERROR(_xlfn.XLOOKUP(C968&amp;A968, TDrate!F:F&amp;TDrate!H:H, TDrate!D:D), "N/A")</f>
        <v>1.47E-2</v>
      </c>
    </row>
    <row r="969" spans="1:14" x14ac:dyDescent="0.45">
      <c r="A969" s="8">
        <v>2020</v>
      </c>
      <c r="B969" s="9" t="s">
        <v>846</v>
      </c>
      <c r="C969" s="10" t="str">
        <f t="shared" si="30"/>
        <v>Matt Breida</v>
      </c>
      <c r="D969" s="10" t="str">
        <f t="shared" si="31"/>
        <v>MIA</v>
      </c>
      <c r="E969" cm="1">
        <f t="array" ref="E969">IFERROR(_xlfn.XLOOKUP(C969&amp;A969, Inside5!B:B&amp;Inside5!I:I, Inside5!C:C), 0)</f>
        <v>0</v>
      </c>
      <c r="F969" cm="1">
        <f t="array" ref="F969">IFERROR(_xlfn.XLOOKUP(C969&amp;A969, Inside5!B:B&amp;Inside5!I:I, Inside5!D:D), 0)</f>
        <v>0</v>
      </c>
      <c r="G969" cm="1">
        <f t="array" ref="G969">IFERROR(_xlfn.XLOOKUP(C969&amp;A969, Inside5!B:B&amp;Inside5!I:I, Inside5!E:E), 0)</f>
        <v>0</v>
      </c>
      <c r="H969" cm="1">
        <f t="array" ref="H969">IFERROR(_xlfn.XLOOKUP(C969&amp;A969, TDrate!F:F&amp;TDrate!H:H, TDrate!C:C), "N/A")</f>
        <v>0</v>
      </c>
      <c r="I969" cm="1">
        <f t="array" ref="I969">IFERROR(_xlfn.XLOOKUP(C969&amp;A969, TDrate!F:F&amp;TDrate!H:H, TDrate!E:E), "N/A")</f>
        <v>6.3E-3</v>
      </c>
      <c r="J969" cm="1">
        <f t="array" ref="J969">IFERROR(_xlfn.XLOOKUP(C969&amp;A969, Inside5!B:B&amp;Inside5!I:I, Inside5!F:F), 0)</f>
        <v>0</v>
      </c>
      <c r="K969" cm="1">
        <f t="array" ref="K969">IFERROR(_xlfn.XLOOKUP(C969&amp;A969, Inside5!B:B&amp;Inside5!I:I, Inside5!G:G), 0)</f>
        <v>0</v>
      </c>
      <c r="L969" cm="1">
        <f t="array" aca="1" ref="L969" ca="1">IFERROR(_xlfn.XLOOKUP(C969&amp;A969, Inside5!B:B&amp;Inside5!I:I, Inside5!H:H), 0)</f>
        <v>0</v>
      </c>
      <c r="M969" cm="1">
        <f t="array" ref="M969">IFERROR(_xlfn.XLOOKUP(C969&amp;A969, TDrate!F:F&amp;TDrate!H:H, TDrate!B:B), "N/A")</f>
        <v>0</v>
      </c>
      <c r="N969" cm="1">
        <f t="array" ref="N969">IFERROR(_xlfn.XLOOKUP(C969&amp;A969, TDrate!F:F&amp;TDrate!H:H, TDrate!D:D), "N/A")</f>
        <v>4.7000000000000002E-3</v>
      </c>
    </row>
    <row r="970" spans="1:14" x14ac:dyDescent="0.45">
      <c r="A970" s="5">
        <v>2020</v>
      </c>
      <c r="B970" s="6" t="s">
        <v>765</v>
      </c>
      <c r="C970" s="7" t="str">
        <f t="shared" si="30"/>
        <v>Jalen Richard</v>
      </c>
      <c r="D970" s="7" t="str">
        <f t="shared" si="31"/>
        <v>LV</v>
      </c>
      <c r="E970" cm="1">
        <f t="array" ref="E970">IFERROR(_xlfn.XLOOKUP(C970&amp;A970, Inside5!B:B&amp;Inside5!I:I, Inside5!C:C), 0)</f>
        <v>1</v>
      </c>
      <c r="F970" cm="1">
        <f t="array" ref="F970">IFERROR(_xlfn.XLOOKUP(C970&amp;A970, Inside5!B:B&amp;Inside5!I:I, Inside5!D:D), 0)</f>
        <v>0</v>
      </c>
      <c r="G970" cm="1">
        <f t="array" ref="G970">IFERROR(_xlfn.XLOOKUP(C970&amp;A970, Inside5!B:B&amp;Inside5!I:I, Inside5!E:E), 0)</f>
        <v>4.8000000000000001E-2</v>
      </c>
      <c r="H970" t="str" cm="1">
        <f t="array" ref="H970">IFERROR(_xlfn.XLOOKUP(C970&amp;A970, TDrate!F:F&amp;TDrate!H:H, TDrate!C:C), "N/A")</f>
        <v>N/A</v>
      </c>
      <c r="I970" t="str" cm="1">
        <f t="array" ref="I970">IFERROR(_xlfn.XLOOKUP(C970&amp;A970, TDrate!F:F&amp;TDrate!H:H, TDrate!E:E), "N/A")</f>
        <v>N/A</v>
      </c>
      <c r="J970" cm="1">
        <f t="array" ref="J970">IFERROR(_xlfn.XLOOKUP(C970&amp;A970, Inside5!B:B&amp;Inside5!I:I, Inside5!F:F), 0)</f>
        <v>0</v>
      </c>
      <c r="K970" cm="1">
        <f t="array" ref="K970">IFERROR(_xlfn.XLOOKUP(C970&amp;A970, Inside5!B:B&amp;Inside5!I:I, Inside5!G:G), 0)</f>
        <v>0</v>
      </c>
      <c r="L970" cm="1">
        <f t="array" ref="L970">IFERROR(_xlfn.XLOOKUP(C970&amp;A970, Inside5!B:B&amp;Inside5!I:I, Inside5!H:H), 0)</f>
        <v>0</v>
      </c>
      <c r="M970" t="str" cm="1">
        <f t="array" ref="M970">IFERROR(_xlfn.XLOOKUP(C970&amp;A970, TDrate!F:F&amp;TDrate!H:H, TDrate!B:B), "N/A")</f>
        <v>N/A</v>
      </c>
      <c r="N970" t="str" cm="1">
        <f t="array" ref="N970">IFERROR(_xlfn.XLOOKUP(C970&amp;A970, TDrate!F:F&amp;TDrate!H:H, TDrate!D:D), "N/A")</f>
        <v>N/A</v>
      </c>
    </row>
    <row r="971" spans="1:14" x14ac:dyDescent="0.45">
      <c r="A971" s="8">
        <v>2020</v>
      </c>
      <c r="B971" s="9" t="s">
        <v>738</v>
      </c>
      <c r="C971" s="10" t="str">
        <f t="shared" si="30"/>
        <v>Jeremy McNichols</v>
      </c>
      <c r="D971" s="10" t="str">
        <f t="shared" si="31"/>
        <v>TEN</v>
      </c>
      <c r="E971" cm="1">
        <f t="array" aca="1" ref="E971" ca="1">IFERROR(_xlfn.XLOOKUP(C971&amp;A971, Inside5!B:B&amp;Inside5!I:I, Inside5!C:C), 0)</f>
        <v>1</v>
      </c>
      <c r="F971" cm="1">
        <f t="array" aca="1" ref="F971" ca="1">IFERROR(_xlfn.XLOOKUP(C971&amp;A971, Inside5!B:B&amp;Inside5!I:I, Inside5!D:D), 0)</f>
        <v>1</v>
      </c>
      <c r="G971" cm="1">
        <f t="array" ref="G971">IFERROR(_xlfn.XLOOKUP(C971&amp;A971, Inside5!B:B&amp;Inside5!I:I, Inside5!E:E), 0)</f>
        <v>4.8000000000000001E-2</v>
      </c>
      <c r="H971" cm="1">
        <f t="array" ref="H971">IFERROR(_xlfn.XLOOKUP(C971&amp;A971, TDrate!F:F&amp;TDrate!H:H, TDrate!C:C), "N/A")</f>
        <v>2.1299999999999999E-2</v>
      </c>
      <c r="I971" cm="1">
        <f t="array" ref="I971">IFERROR(_xlfn.XLOOKUP(C971&amp;A971, TDrate!F:F&amp;TDrate!H:H, TDrate!E:E), "N/A")</f>
        <v>2.2499999999999999E-2</v>
      </c>
      <c r="J971" cm="1">
        <f t="array" ref="J971">IFERROR(_xlfn.XLOOKUP(C971&amp;A971, Inside5!B:B&amp;Inside5!I:I, Inside5!F:F), 0)</f>
        <v>0</v>
      </c>
      <c r="K971" cm="1">
        <f t="array" ref="K971">IFERROR(_xlfn.XLOOKUP(C971&amp;A971, Inside5!B:B&amp;Inside5!I:I, Inside5!G:G), 0)</f>
        <v>0</v>
      </c>
      <c r="L971" cm="1">
        <f t="array" ref="L971">IFERROR(_xlfn.XLOOKUP(C971&amp;A971, Inside5!B:B&amp;Inside5!I:I, Inside5!H:H), 0)</f>
        <v>0</v>
      </c>
      <c r="M971" cm="1">
        <f t="array" ref="M971">IFERROR(_xlfn.XLOOKUP(C971&amp;A971, TDrate!F:F&amp;TDrate!H:H, TDrate!B:B), "N/A")</f>
        <v>0</v>
      </c>
      <c r="N971" cm="1">
        <f t="array" ref="N971">IFERROR(_xlfn.XLOOKUP(C971&amp;A971, TDrate!F:F&amp;TDrate!H:H, TDrate!D:D), "N/A")</f>
        <v>2.6700000000000002E-2</v>
      </c>
    </row>
    <row r="972" spans="1:14" x14ac:dyDescent="0.45">
      <c r="A972" s="5">
        <v>2020</v>
      </c>
      <c r="B972" s="6" t="s">
        <v>847</v>
      </c>
      <c r="C972" s="7" t="str">
        <f t="shared" si="30"/>
        <v>Josh Adams</v>
      </c>
      <c r="D972" s="7" t="str">
        <f t="shared" si="31"/>
        <v>NYJ</v>
      </c>
      <c r="E972" cm="1">
        <f t="array" aca="1" ref="E972" ca="1">IFERROR(_xlfn.XLOOKUP(C972&amp;A972, Inside5!B:B&amp;Inside5!I:I, Inside5!C:C), 0)</f>
        <v>2</v>
      </c>
      <c r="F972" cm="1">
        <f t="array" aca="1" ref="F972" ca="1">IFERROR(_xlfn.XLOOKUP(C972&amp;A972, Inside5!B:B&amp;Inside5!I:I, Inside5!D:D), 0)</f>
        <v>1</v>
      </c>
      <c r="G972" cm="1">
        <f t="array" ref="G972">IFERROR(_xlfn.XLOOKUP(C972&amp;A972, Inside5!B:B&amp;Inside5!I:I, Inside5!E:E), 0)</f>
        <v>0.16700000000000001</v>
      </c>
      <c r="H972" cm="1">
        <f t="array" ref="H972">IFERROR(_xlfn.XLOOKUP(C972&amp;A972, TDrate!F:F&amp;TDrate!H:H, TDrate!C:C), "N/A")</f>
        <v>6.9000000000000006E-2</v>
      </c>
      <c r="I972" cm="1">
        <f t="array" ref="I972">IFERROR(_xlfn.XLOOKUP(C972&amp;A972, TDrate!F:F&amp;TDrate!H:H, TDrate!E:E), "N/A")</f>
        <v>6.6299999999999998E-2</v>
      </c>
      <c r="J972" cm="1">
        <f t="array" ref="J972">IFERROR(_xlfn.XLOOKUP(C972&amp;A972, Inside5!B:B&amp;Inside5!I:I, Inside5!F:F), 0)</f>
        <v>0</v>
      </c>
      <c r="K972" cm="1">
        <f t="array" ref="K972">IFERROR(_xlfn.XLOOKUP(C972&amp;A972, Inside5!B:B&amp;Inside5!I:I, Inside5!G:G), 0)</f>
        <v>0</v>
      </c>
      <c r="L972" cm="1">
        <f t="array" ref="L972">IFERROR(_xlfn.XLOOKUP(C972&amp;A972, Inside5!B:B&amp;Inside5!I:I, Inside5!H:H), 0)</f>
        <v>0</v>
      </c>
      <c r="M972" cm="1">
        <f t="array" ref="M972">IFERROR(_xlfn.XLOOKUP(C972&amp;A972, TDrate!F:F&amp;TDrate!H:H, TDrate!B:B), "N/A")</f>
        <v>0</v>
      </c>
      <c r="N972" cm="1">
        <f t="array" ref="N972">IFERROR(_xlfn.XLOOKUP(C972&amp;A972, TDrate!F:F&amp;TDrate!H:H, TDrate!D:D), "N/A")</f>
        <v>1.5E-3</v>
      </c>
    </row>
    <row r="973" spans="1:14" x14ac:dyDescent="0.45">
      <c r="A973" s="8">
        <v>2020</v>
      </c>
      <c r="B973" s="9" t="s">
        <v>732</v>
      </c>
      <c r="C973" s="10" t="str">
        <f t="shared" si="30"/>
        <v>Jordan Howard</v>
      </c>
      <c r="D973" s="10" t="str">
        <f t="shared" si="31"/>
        <v>PHI</v>
      </c>
      <c r="E973" cm="1">
        <f t="array" ref="E973">IFERROR(_xlfn.XLOOKUP(C973&amp;A973, Inside5!B:B&amp;Inside5!I:I, Inside5!C:C), 0)</f>
        <v>9</v>
      </c>
      <c r="F973" cm="1">
        <f t="array" aca="1" ref="F973" ca="1">IFERROR(_xlfn.XLOOKUP(C973&amp;A973, Inside5!B:B&amp;Inside5!I:I, Inside5!D:D), 0)</f>
        <v>4</v>
      </c>
      <c r="G973" cm="1">
        <f t="array" ref="G973">IFERROR(_xlfn.XLOOKUP(C973&amp;A973, Inside5!B:B&amp;Inside5!I:I, Inside5!E:E), 0)</f>
        <v>0.42899999999999999</v>
      </c>
      <c r="H973" cm="1">
        <f t="array" ref="H973">IFERROR(_xlfn.XLOOKUP(C973&amp;A973, TDrate!F:F&amp;TDrate!H:H, TDrate!C:C), "N/A")</f>
        <v>0.1143</v>
      </c>
      <c r="I973" cm="1">
        <f t="array" ref="I973">IFERROR(_xlfn.XLOOKUP(C973&amp;A973, TDrate!F:F&amp;TDrate!H:H, TDrate!E:E), "N/A")</f>
        <v>0.113</v>
      </c>
      <c r="J973" cm="1">
        <f t="array" ref="J973">IFERROR(_xlfn.XLOOKUP(C973&amp;A973, Inside5!B:B&amp;Inside5!I:I, Inside5!F:F), 0)</f>
        <v>0</v>
      </c>
      <c r="K973" cm="1">
        <f t="array" ref="K973">IFERROR(_xlfn.XLOOKUP(C973&amp;A973, Inside5!B:B&amp;Inside5!I:I, Inside5!G:G), 0)</f>
        <v>0</v>
      </c>
      <c r="L973" cm="1">
        <f t="array" ref="L973">IFERROR(_xlfn.XLOOKUP(C973&amp;A973, Inside5!B:B&amp;Inside5!I:I, Inside5!H:H), 0)</f>
        <v>0</v>
      </c>
      <c r="M973" cm="1">
        <f t="array" ref="M973">IFERROR(_xlfn.XLOOKUP(C973&amp;A973, TDrate!F:F&amp;TDrate!H:H, TDrate!B:B), "N/A")</f>
        <v>0</v>
      </c>
      <c r="N973" cm="1">
        <f t="array" ref="N973">IFERROR(_xlfn.XLOOKUP(C973&amp;A973, TDrate!F:F&amp;TDrate!H:H, TDrate!D:D), "N/A")</f>
        <v>2.2000000000000001E-3</v>
      </c>
    </row>
    <row r="974" spans="1:14" x14ac:dyDescent="0.45">
      <c r="A974" s="5">
        <v>2020</v>
      </c>
      <c r="B974" s="6" t="s">
        <v>848</v>
      </c>
      <c r="C974" s="7" t="str">
        <f t="shared" si="30"/>
        <v>Devonta Freeman</v>
      </c>
      <c r="D974" s="7" t="str">
        <f t="shared" si="31"/>
        <v>NYG</v>
      </c>
      <c r="E974" cm="1">
        <f t="array" ref="E974">IFERROR(_xlfn.XLOOKUP(C974&amp;A974, Inside5!B:B&amp;Inside5!I:I, Inside5!C:C), 0)</f>
        <v>1</v>
      </c>
      <c r="F974" cm="1">
        <f t="array" ref="F974">IFERROR(_xlfn.XLOOKUP(C974&amp;A974, Inside5!B:B&amp;Inside5!I:I, Inside5!D:D), 0)</f>
        <v>1</v>
      </c>
      <c r="G974" cm="1">
        <f t="array" ref="G974">IFERROR(_xlfn.XLOOKUP(C974&amp;A974, Inside5!B:B&amp;Inside5!I:I, Inside5!E:E), 0)</f>
        <v>5.8999999999999997E-2</v>
      </c>
      <c r="H974" cm="1">
        <f t="array" ref="H974">IFERROR(_xlfn.XLOOKUP(C974&amp;A974, TDrate!F:F&amp;TDrate!H:H, TDrate!C:C), "N/A")</f>
        <v>1.8499999999999999E-2</v>
      </c>
      <c r="I974" cm="1">
        <f t="array" ref="I974">IFERROR(_xlfn.XLOOKUP(C974&amp;A974, TDrate!F:F&amp;TDrate!H:H, TDrate!E:E), "N/A")</f>
        <v>1.8499999999999999E-2</v>
      </c>
      <c r="J974" cm="1">
        <f t="array" ref="J974">IFERROR(_xlfn.XLOOKUP(C974&amp;A974, Inside5!B:B&amp;Inside5!I:I, Inside5!F:F), 0)</f>
        <v>0</v>
      </c>
      <c r="K974" cm="1">
        <f t="array" ref="K974">IFERROR(_xlfn.XLOOKUP(C974&amp;A974, Inside5!B:B&amp;Inside5!I:I, Inside5!G:G), 0)</f>
        <v>0</v>
      </c>
      <c r="L974" cm="1">
        <f t="array" ref="L974">IFERROR(_xlfn.XLOOKUP(C974&amp;A974, Inside5!B:B&amp;Inside5!I:I, Inside5!H:H), 0)</f>
        <v>0</v>
      </c>
      <c r="M974" cm="1">
        <f t="array" ref="M974">IFERROR(_xlfn.XLOOKUP(C974&amp;A974, TDrate!F:F&amp;TDrate!H:H, TDrate!B:B), "N/A")</f>
        <v>0</v>
      </c>
      <c r="N974" cm="1">
        <f t="array" ref="N974">IFERROR(_xlfn.XLOOKUP(C974&amp;A974, TDrate!F:F&amp;TDrate!H:H, TDrate!D:D), "N/A")</f>
        <v>0.03</v>
      </c>
    </row>
    <row r="975" spans="1:14" x14ac:dyDescent="0.45">
      <c r="A975" s="8">
        <v>2020</v>
      </c>
      <c r="B975" s="9" t="s">
        <v>774</v>
      </c>
      <c r="C975" s="10" t="str">
        <f t="shared" si="30"/>
        <v>Rodney Smith</v>
      </c>
      <c r="D975" s="10" t="str">
        <f t="shared" si="31"/>
        <v>CAR</v>
      </c>
      <c r="E975" cm="1">
        <f t="array" aca="1" ref="E975" ca="1">IFERROR(_xlfn.XLOOKUP(C975&amp;A975, Inside5!B:B&amp;Inside5!I:I, Inside5!C:C), 0)</f>
        <v>0</v>
      </c>
      <c r="F975" cm="1">
        <f t="array" ref="F975">IFERROR(_xlfn.XLOOKUP(C975&amp;A975, Inside5!B:B&amp;Inside5!I:I, Inside5!D:D), 0)</f>
        <v>0</v>
      </c>
      <c r="G975" cm="1">
        <f t="array" ref="G975">IFERROR(_xlfn.XLOOKUP(C975&amp;A975, Inside5!B:B&amp;Inside5!I:I, Inside5!E:E), 0)</f>
        <v>0</v>
      </c>
      <c r="H975" cm="1">
        <f t="array" ref="H975">IFERROR(_xlfn.XLOOKUP(C975&amp;A975, TDrate!F:F&amp;TDrate!H:H, TDrate!C:C), "N/A")</f>
        <v>2.4400000000000002E-2</v>
      </c>
      <c r="I975" cm="1">
        <f t="array" ref="I975">IFERROR(_xlfn.XLOOKUP(C975&amp;A975, TDrate!F:F&amp;TDrate!H:H, TDrate!E:E), "N/A")</f>
        <v>2.3900000000000001E-2</v>
      </c>
      <c r="J975" cm="1">
        <f t="array" ref="J975">IFERROR(_xlfn.XLOOKUP(C975&amp;A975, Inside5!B:B&amp;Inside5!I:I, Inside5!F:F), 0)</f>
        <v>0</v>
      </c>
      <c r="K975" cm="1">
        <f t="array" aca="1" ref="K975" ca="1">IFERROR(_xlfn.XLOOKUP(C975&amp;A975, Inside5!B:B&amp;Inside5!I:I, Inside5!G:G), 0)</f>
        <v>0</v>
      </c>
      <c r="L975" cm="1">
        <f t="array" ref="L975">IFERROR(_xlfn.XLOOKUP(C975&amp;A975, Inside5!B:B&amp;Inside5!I:I, Inside5!H:H), 0)</f>
        <v>0</v>
      </c>
      <c r="M975" cm="1">
        <f t="array" ref="M975">IFERROR(_xlfn.XLOOKUP(C975&amp;A975, TDrate!F:F&amp;TDrate!H:H, TDrate!B:B), "N/A")</f>
        <v>0</v>
      </c>
      <c r="N975" cm="1">
        <f t="array" ref="N975">IFERROR(_xlfn.XLOOKUP(C975&amp;A975, TDrate!F:F&amp;TDrate!H:H, TDrate!D:D), "N/A")</f>
        <v>3.8E-3</v>
      </c>
    </row>
    <row r="976" spans="1:14" x14ac:dyDescent="0.45">
      <c r="A976" s="5">
        <v>2020</v>
      </c>
      <c r="B976" s="6" t="s">
        <v>849</v>
      </c>
      <c r="C976" s="7" t="str">
        <f t="shared" si="30"/>
        <v>Darwin Thompson</v>
      </c>
      <c r="D976" s="7" t="str">
        <f t="shared" si="31"/>
        <v>KC</v>
      </c>
      <c r="E976" cm="1">
        <f t="array" aca="1" ref="E976" ca="1">IFERROR(_xlfn.XLOOKUP(C976&amp;A976, Inside5!B:B&amp;Inside5!I:I, Inside5!C:C), 0)</f>
        <v>0</v>
      </c>
      <c r="F976" cm="1">
        <f t="array" aca="1" ref="F976" ca="1">IFERROR(_xlfn.XLOOKUP(C976&amp;A976, Inside5!B:B&amp;Inside5!I:I, Inside5!D:D), 0)</f>
        <v>0</v>
      </c>
      <c r="G976" cm="1">
        <f t="array" ref="G976">IFERROR(_xlfn.XLOOKUP(C976&amp;A976, Inside5!B:B&amp;Inside5!I:I, Inside5!E:E), 0)</f>
        <v>0</v>
      </c>
      <c r="H976" cm="1">
        <f t="array" ref="H976">IFERROR(_xlfn.XLOOKUP(C976&amp;A976, TDrate!F:F&amp;TDrate!H:H, TDrate!C:C), "N/A")</f>
        <v>3.6999999999999998E-2</v>
      </c>
      <c r="I976" cm="1">
        <f t="array" ref="I976">IFERROR(_xlfn.XLOOKUP(C976&amp;A976, TDrate!F:F&amp;TDrate!H:H, TDrate!E:E), "N/A")</f>
        <v>3.0300000000000001E-2</v>
      </c>
      <c r="J976" cm="1">
        <f t="array" ref="J976">IFERROR(_xlfn.XLOOKUP(C976&amp;A976, Inside5!B:B&amp;Inside5!I:I, Inside5!F:F), 0)</f>
        <v>0</v>
      </c>
      <c r="K976" cm="1">
        <f t="array" aca="1" ref="K976" ca="1">IFERROR(_xlfn.XLOOKUP(C976&amp;A976, Inside5!B:B&amp;Inside5!I:I, Inside5!G:G), 0)</f>
        <v>0</v>
      </c>
      <c r="L976" cm="1">
        <f t="array" ref="L976">IFERROR(_xlfn.XLOOKUP(C976&amp;A976, Inside5!B:B&amp;Inside5!I:I, Inside5!H:H), 0)</f>
        <v>0</v>
      </c>
      <c r="M976" cm="1">
        <f t="array" ref="M976">IFERROR(_xlfn.XLOOKUP(C976&amp;A976, TDrate!F:F&amp;TDrate!H:H, TDrate!B:B), "N/A")</f>
        <v>9.0899999999999995E-2</v>
      </c>
      <c r="N976" cm="1">
        <f t="array" ref="N976">IFERROR(_xlfn.XLOOKUP(C976&amp;A976, TDrate!F:F&amp;TDrate!H:H, TDrate!D:D), "N/A")</f>
        <v>6.2899999999999998E-2</v>
      </c>
    </row>
    <row r="977" spans="1:14" x14ac:dyDescent="0.45">
      <c r="A977" s="8">
        <v>2020</v>
      </c>
      <c r="B977" s="9" t="s">
        <v>850</v>
      </c>
      <c r="C977" s="10" t="str">
        <f t="shared" si="30"/>
        <v>Royce Freeman</v>
      </c>
      <c r="D977" s="10" t="str">
        <f t="shared" si="31"/>
        <v>DEN</v>
      </c>
      <c r="E977" cm="1">
        <f t="array" aca="1" ref="E977" ca="1">IFERROR(_xlfn.XLOOKUP(C977&amp;A977, Inside5!B:B&amp;Inside5!I:I, Inside5!C:C), 0)</f>
        <v>1</v>
      </c>
      <c r="F977" cm="1">
        <f t="array" aca="1" ref="F977" ca="1">IFERROR(_xlfn.XLOOKUP(C977&amp;A977, Inside5!B:B&amp;Inside5!I:I, Inside5!D:D), 0)</f>
        <v>0</v>
      </c>
      <c r="G977" cm="1">
        <f t="array" ref="G977">IFERROR(_xlfn.XLOOKUP(C977&amp;A977, Inside5!B:B&amp;Inside5!I:I, Inside5!E:E), 0)</f>
        <v>8.3000000000000004E-2</v>
      </c>
      <c r="H977" cm="1">
        <f t="array" ref="H977">IFERROR(_xlfn.XLOOKUP(C977&amp;A977, TDrate!F:F&amp;TDrate!H:H, TDrate!C:C), "N/A")</f>
        <v>0</v>
      </c>
      <c r="I977" cm="1">
        <f t="array" ref="I977">IFERROR(_xlfn.XLOOKUP(C977&amp;A977, TDrate!F:F&amp;TDrate!H:H, TDrate!E:E), "N/A")</f>
        <v>9.9000000000000008E-3</v>
      </c>
      <c r="J977" cm="1">
        <f t="array" ref="J977">IFERROR(_xlfn.XLOOKUP(C977&amp;A977, Inside5!B:B&amp;Inside5!I:I, Inside5!F:F), 0)</f>
        <v>0</v>
      </c>
      <c r="K977" cm="1">
        <f t="array" aca="1" ref="K977" ca="1">IFERROR(_xlfn.XLOOKUP(C977&amp;A977, Inside5!B:B&amp;Inside5!I:I, Inside5!G:G), 0)</f>
        <v>0</v>
      </c>
      <c r="L977" cm="1">
        <f t="array" ref="L977">IFERROR(_xlfn.XLOOKUP(C977&amp;A977, Inside5!B:B&amp;Inside5!I:I, Inside5!H:H), 0)</f>
        <v>0</v>
      </c>
      <c r="M977" cm="1">
        <f t="array" ref="M977">IFERROR(_xlfn.XLOOKUP(C977&amp;A977, TDrate!F:F&amp;TDrate!H:H, TDrate!B:B), "N/A")</f>
        <v>0</v>
      </c>
      <c r="N977" cm="1">
        <f t="array" ref="N977">IFERROR(_xlfn.XLOOKUP(C977&amp;A977, TDrate!F:F&amp;TDrate!H:H, TDrate!D:D), "N/A")</f>
        <v>1.3899999999999999E-2</v>
      </c>
    </row>
    <row r="978" spans="1:14" x14ac:dyDescent="0.45">
      <c r="A978" s="5">
        <v>2020</v>
      </c>
      <c r="B978" s="6" t="s">
        <v>751</v>
      </c>
      <c r="C978" s="7" t="str">
        <f t="shared" si="30"/>
        <v>JaMycal Hasty</v>
      </c>
      <c r="D978" s="7" t="str">
        <f t="shared" si="31"/>
        <v>SF</v>
      </c>
      <c r="E978" cm="1">
        <f t="array" ref="E978">IFERROR(_xlfn.XLOOKUP(C978&amp;A978, Inside5!B:B&amp;Inside5!I:I, Inside5!C:C), 0)</f>
        <v>3</v>
      </c>
      <c r="F978" cm="1">
        <f t="array" ref="F978">IFERROR(_xlfn.XLOOKUP(C978&amp;A978, Inside5!B:B&amp;Inside5!I:I, Inside5!D:D), 0)</f>
        <v>1</v>
      </c>
      <c r="G978" cm="1">
        <f t="array" ref="G978">IFERROR(_xlfn.XLOOKUP(C978&amp;A978, Inside5!B:B&amp;Inside5!I:I, Inside5!E:E), 0)</f>
        <v>0.125</v>
      </c>
      <c r="H978" cm="1">
        <f t="array" ref="H978">IFERROR(_xlfn.XLOOKUP(C978&amp;A978, TDrate!F:F&amp;TDrate!H:H, TDrate!C:C), "N/A")</f>
        <v>2.5600000000000001E-2</v>
      </c>
      <c r="I978" cm="1">
        <f t="array" ref="I978">IFERROR(_xlfn.XLOOKUP(C978&amp;A978, TDrate!F:F&amp;TDrate!H:H, TDrate!E:E), "N/A")</f>
        <v>3.2300000000000002E-2</v>
      </c>
      <c r="J978" cm="1">
        <f t="array" ref="J978">IFERROR(_xlfn.XLOOKUP(C978&amp;A978, Inside5!B:B&amp;Inside5!I:I, Inside5!F:F), 0)</f>
        <v>0</v>
      </c>
      <c r="K978" cm="1">
        <f t="array" aca="1" ref="K978" ca="1">IFERROR(_xlfn.XLOOKUP(C978&amp;A978, Inside5!B:B&amp;Inside5!I:I, Inside5!G:G), 0)</f>
        <v>0</v>
      </c>
      <c r="L978" cm="1">
        <f t="array" ref="L978">IFERROR(_xlfn.XLOOKUP(C978&amp;A978, Inside5!B:B&amp;Inside5!I:I, Inside5!H:H), 0)</f>
        <v>0</v>
      </c>
      <c r="M978" cm="1">
        <f t="array" ref="M978">IFERROR(_xlfn.XLOOKUP(C978&amp;A978, TDrate!F:F&amp;TDrate!H:H, TDrate!B:B), "N/A")</f>
        <v>0</v>
      </c>
      <c r="N978" cm="1">
        <f t="array" ref="N978">IFERROR(_xlfn.XLOOKUP(C978&amp;A978, TDrate!F:F&amp;TDrate!H:H, TDrate!D:D), "N/A")</f>
        <v>3.8E-3</v>
      </c>
    </row>
    <row r="979" spans="1:14" x14ac:dyDescent="0.45">
      <c r="A979" s="8">
        <v>2020</v>
      </c>
      <c r="B979" s="9" t="s">
        <v>663</v>
      </c>
      <c r="C979" s="10" t="str">
        <f t="shared" si="30"/>
        <v>Travis Homer</v>
      </c>
      <c r="D979" s="10" t="str">
        <f t="shared" si="31"/>
        <v>SEA</v>
      </c>
      <c r="E979" cm="1">
        <f t="array" ref="E979">IFERROR(_xlfn.XLOOKUP(C979&amp;A979, Inside5!B:B&amp;Inside5!I:I, Inside5!C:C), 0)</f>
        <v>2</v>
      </c>
      <c r="F979" cm="1">
        <f t="array" ref="F979">IFERROR(_xlfn.XLOOKUP(C979&amp;A979, Inside5!B:B&amp;Inside5!I:I, Inside5!D:D), 0)</f>
        <v>0</v>
      </c>
      <c r="G979" cm="1">
        <f t="array" ref="G979">IFERROR(_xlfn.XLOOKUP(C979&amp;A979, Inside5!B:B&amp;Inside5!I:I, Inside5!E:E), 0)</f>
        <v>0.1</v>
      </c>
      <c r="H979" t="str" cm="1">
        <f t="array" ref="H979">IFERROR(_xlfn.XLOOKUP(C979&amp;A979, TDrate!F:F&amp;TDrate!H:H, TDrate!C:C), "N/A")</f>
        <v>N/A</v>
      </c>
      <c r="I979" t="str" cm="1">
        <f t="array" ref="I979">IFERROR(_xlfn.XLOOKUP(C979&amp;A979, TDrate!F:F&amp;TDrate!H:H, TDrate!E:E), "N/A")</f>
        <v>N/A</v>
      </c>
      <c r="J979" cm="1">
        <f t="array" ref="J979">IFERROR(_xlfn.XLOOKUP(C979&amp;A979, Inside5!B:B&amp;Inside5!I:I, Inside5!F:F), 0)</f>
        <v>1</v>
      </c>
      <c r="K979" cm="1">
        <f t="array" aca="1" ref="K979" ca="1">IFERROR(_xlfn.XLOOKUP(C979&amp;A979, Inside5!B:B&amp;Inside5!I:I, Inside5!G:G), 0)</f>
        <v>1</v>
      </c>
      <c r="L979" cm="1">
        <f t="array" ref="L979">IFERROR(_xlfn.XLOOKUP(C979&amp;A979, Inside5!B:B&amp;Inside5!I:I, Inside5!H:H), 0)</f>
        <v>1</v>
      </c>
      <c r="M979" t="str" cm="1">
        <f t="array" ref="M979">IFERROR(_xlfn.XLOOKUP(C979&amp;A979, TDrate!F:F&amp;TDrate!H:H, TDrate!B:B), "N/A")</f>
        <v>N/A</v>
      </c>
      <c r="N979" t="str" cm="1">
        <f t="array" ref="N979">IFERROR(_xlfn.XLOOKUP(C979&amp;A979, TDrate!F:F&amp;TDrate!H:H, TDrate!D:D), "N/A")</f>
        <v>N/A</v>
      </c>
    </row>
    <row r="980" spans="1:14" x14ac:dyDescent="0.45">
      <c r="A980" s="5">
        <v>2020</v>
      </c>
      <c r="B980" s="6" t="s">
        <v>851</v>
      </c>
      <c r="C980" s="7" t="str">
        <f t="shared" si="30"/>
        <v>Chris Thompson</v>
      </c>
      <c r="D980" s="7" t="str">
        <f t="shared" si="31"/>
        <v>JAC</v>
      </c>
      <c r="E980" cm="1">
        <f t="array" aca="1" ref="E980" ca="1">IFERROR(_xlfn.XLOOKUP(C980&amp;A980, Inside5!B:B&amp;Inside5!I:I, Inside5!C:C), 0)</f>
        <v>0</v>
      </c>
      <c r="F980" cm="1">
        <f t="array" aca="1" ref="F980" ca="1">IFERROR(_xlfn.XLOOKUP(C980&amp;A980, Inside5!B:B&amp;Inside5!I:I, Inside5!D:D), 0)</f>
        <v>0</v>
      </c>
      <c r="G980" cm="1">
        <f t="array" ref="G980">IFERROR(_xlfn.XLOOKUP(C980&amp;A980, Inside5!B:B&amp;Inside5!I:I, Inside5!E:E), 0)</f>
        <v>0</v>
      </c>
      <c r="H980" t="str" cm="1">
        <f t="array" ref="H980">IFERROR(_xlfn.XLOOKUP(C980&amp;A980, TDrate!F:F&amp;TDrate!H:H, TDrate!C:C), "N/A")</f>
        <v>N/A</v>
      </c>
      <c r="I980" t="str" cm="1">
        <f t="array" ref="I980">IFERROR(_xlfn.XLOOKUP(C980&amp;A980, TDrate!F:F&amp;TDrate!H:H, TDrate!E:E), "N/A")</f>
        <v>N/A</v>
      </c>
      <c r="J980" cm="1">
        <f t="array" ref="J980">IFERROR(_xlfn.XLOOKUP(C980&amp;A980, Inside5!B:B&amp;Inside5!I:I, Inside5!F:F), 0)</f>
        <v>0</v>
      </c>
      <c r="K980" cm="1">
        <f t="array" ref="K980">IFERROR(_xlfn.XLOOKUP(C980&amp;A980, Inside5!B:B&amp;Inside5!I:I, Inside5!G:G), 0)</f>
        <v>0</v>
      </c>
      <c r="L980" cm="1">
        <f t="array" ref="L980">IFERROR(_xlfn.XLOOKUP(C980&amp;A980, Inside5!B:B&amp;Inside5!I:I, Inside5!H:H), 0)</f>
        <v>0</v>
      </c>
      <c r="M980" t="str" cm="1">
        <f t="array" ref="M980">IFERROR(_xlfn.XLOOKUP(C980&amp;A980, TDrate!F:F&amp;TDrate!H:H, TDrate!B:B), "N/A")</f>
        <v>N/A</v>
      </c>
      <c r="N980" t="str" cm="1">
        <f t="array" ref="N980">IFERROR(_xlfn.XLOOKUP(C980&amp;A980, TDrate!F:F&amp;TDrate!H:H, TDrate!D:D), "N/A")</f>
        <v>N/A</v>
      </c>
    </row>
    <row r="981" spans="1:14" x14ac:dyDescent="0.45">
      <c r="A981" s="8">
        <v>2020</v>
      </c>
      <c r="B981" s="9" t="s">
        <v>852</v>
      </c>
      <c r="C981" s="10" t="str">
        <f t="shared" si="30"/>
        <v>Ameer Abdullah</v>
      </c>
      <c r="D981" s="10" t="str">
        <f t="shared" si="31"/>
        <v>MIN</v>
      </c>
      <c r="E981" cm="1">
        <f t="array" aca="1" ref="E981" ca="1">IFERROR(_xlfn.XLOOKUP(C981&amp;A981, Inside5!B:B&amp;Inside5!I:I, Inside5!C:C), 0)</f>
        <v>0</v>
      </c>
      <c r="F981" cm="1">
        <f t="array" aca="1" ref="F981" ca="1">IFERROR(_xlfn.XLOOKUP(C981&amp;A981, Inside5!B:B&amp;Inside5!I:I, Inside5!D:D), 0)</f>
        <v>0</v>
      </c>
      <c r="G981" cm="1">
        <f t="array" ref="G981">IFERROR(_xlfn.XLOOKUP(C981&amp;A981, Inside5!B:B&amp;Inside5!I:I, Inside5!E:E), 0)</f>
        <v>0</v>
      </c>
      <c r="H981" t="str" cm="1">
        <f t="array" ref="H981">IFERROR(_xlfn.XLOOKUP(C981&amp;A981, TDrate!F:F&amp;TDrate!H:H, TDrate!C:C), "N/A")</f>
        <v>N/A</v>
      </c>
      <c r="I981" t="str" cm="1">
        <f t="array" ref="I981">IFERROR(_xlfn.XLOOKUP(C981&amp;A981, TDrate!F:F&amp;TDrate!H:H, TDrate!E:E), "N/A")</f>
        <v>N/A</v>
      </c>
      <c r="J981" cm="1">
        <f t="array" ref="J981">IFERROR(_xlfn.XLOOKUP(C981&amp;A981, Inside5!B:B&amp;Inside5!I:I, Inside5!F:F), 0)</f>
        <v>0</v>
      </c>
      <c r="K981" cm="1">
        <f t="array" ref="K981">IFERROR(_xlfn.XLOOKUP(C981&amp;A981, Inside5!B:B&amp;Inside5!I:I, Inside5!G:G), 0)</f>
        <v>1</v>
      </c>
      <c r="L981" cm="1">
        <f t="array" ref="L981">IFERROR(_xlfn.XLOOKUP(C981&amp;A981, Inside5!B:B&amp;Inside5!I:I, Inside5!H:H), 0)</f>
        <v>0</v>
      </c>
      <c r="M981" t="str" cm="1">
        <f t="array" ref="M981">IFERROR(_xlfn.XLOOKUP(C981&amp;A981, TDrate!F:F&amp;TDrate!H:H, TDrate!B:B), "N/A")</f>
        <v>N/A</v>
      </c>
      <c r="N981" t="str" cm="1">
        <f t="array" ref="N981">IFERROR(_xlfn.XLOOKUP(C981&amp;A981, TDrate!F:F&amp;TDrate!H:H, TDrate!D:D), "N/A")</f>
        <v>N/A</v>
      </c>
    </row>
    <row r="982" spans="1:14" x14ac:dyDescent="0.45">
      <c r="A982" s="5">
        <v>2020</v>
      </c>
      <c r="B982" s="6" t="s">
        <v>853</v>
      </c>
      <c r="C982" s="7" t="str">
        <f t="shared" si="30"/>
        <v>Antonio Williams</v>
      </c>
      <c r="D982" s="7" t="str">
        <f t="shared" si="31"/>
        <v>BUF</v>
      </c>
      <c r="E982" cm="1">
        <f t="array" aca="1" ref="E982" ca="1">IFERROR(_xlfn.XLOOKUP(C982&amp;A982, Inside5!B:B&amp;Inside5!I:I, Inside5!C:C), 0)</f>
        <v>0</v>
      </c>
      <c r="F982" cm="1">
        <f t="array" aca="1" ref="F982" ca="1">IFERROR(_xlfn.XLOOKUP(C982&amp;A982, Inside5!B:B&amp;Inside5!I:I, Inside5!D:D), 0)</f>
        <v>0</v>
      </c>
      <c r="G982" cm="1">
        <f t="array" ref="G982">IFERROR(_xlfn.XLOOKUP(C982&amp;A982, Inside5!B:B&amp;Inside5!I:I, Inside5!E:E), 0)</f>
        <v>0</v>
      </c>
      <c r="H982" t="str" cm="1">
        <f t="array" ref="H982">IFERROR(_xlfn.XLOOKUP(C982&amp;A982, TDrate!F:F&amp;TDrate!H:H, TDrate!C:C), "N/A")</f>
        <v>N/A</v>
      </c>
      <c r="I982" t="str" cm="1">
        <f t="array" ref="I982">IFERROR(_xlfn.XLOOKUP(C982&amp;A982, TDrate!F:F&amp;TDrate!H:H, TDrate!E:E), "N/A")</f>
        <v>N/A</v>
      </c>
      <c r="J982" cm="1">
        <f t="array" ref="J982">IFERROR(_xlfn.XLOOKUP(C982&amp;A982, Inside5!B:B&amp;Inside5!I:I, Inside5!F:F), 0)</f>
        <v>0</v>
      </c>
      <c r="K982" cm="1">
        <f t="array" aca="1" ref="K982" ca="1">IFERROR(_xlfn.XLOOKUP(C982&amp;A982, Inside5!B:B&amp;Inside5!I:I, Inside5!G:G), 0)</f>
        <v>0</v>
      </c>
      <c r="L982" cm="1">
        <f t="array" ref="L982">IFERROR(_xlfn.XLOOKUP(C982&amp;A982, Inside5!B:B&amp;Inside5!I:I, Inside5!H:H), 0)</f>
        <v>0</v>
      </c>
      <c r="M982" t="str" cm="1">
        <f t="array" ref="M982">IFERROR(_xlfn.XLOOKUP(C982&amp;A982, TDrate!F:F&amp;TDrate!H:H, TDrate!B:B), "N/A")</f>
        <v>N/A</v>
      </c>
      <c r="N982" t="str" cm="1">
        <f t="array" ref="N982">IFERROR(_xlfn.XLOOKUP(C982&amp;A982, TDrate!F:F&amp;TDrate!H:H, TDrate!D:D), "N/A")</f>
        <v>N/A</v>
      </c>
    </row>
    <row r="983" spans="1:14" x14ac:dyDescent="0.45">
      <c r="A983" s="8">
        <v>2020</v>
      </c>
      <c r="B983" s="9" t="s">
        <v>733</v>
      </c>
      <c r="C983" s="10" t="str">
        <f t="shared" si="30"/>
        <v>Alex Collins</v>
      </c>
      <c r="D983" s="10" t="str">
        <f t="shared" si="31"/>
        <v>SEA</v>
      </c>
      <c r="E983" cm="1">
        <f t="array" ref="E983">IFERROR(_xlfn.XLOOKUP(C983&amp;A983, Inside5!B:B&amp;Inside5!I:I, Inside5!C:C), 0)</f>
        <v>0</v>
      </c>
      <c r="F983" cm="1">
        <f t="array" aca="1" ref="F983" ca="1">IFERROR(_xlfn.XLOOKUP(C983&amp;A983, Inside5!B:B&amp;Inside5!I:I, Inside5!D:D), 0)</f>
        <v>0</v>
      </c>
      <c r="G983" cm="1">
        <f t="array" ref="G983">IFERROR(_xlfn.XLOOKUP(C983&amp;A983, Inside5!B:B&amp;Inside5!I:I, Inside5!E:E), 0)</f>
        <v>0</v>
      </c>
      <c r="H983" t="str" cm="1">
        <f t="array" ref="H983">IFERROR(_xlfn.XLOOKUP(C983&amp;A983, TDrate!F:F&amp;TDrate!H:H, TDrate!C:C), "N/A")</f>
        <v>N/A</v>
      </c>
      <c r="I983" t="str" cm="1">
        <f t="array" ref="I983">IFERROR(_xlfn.XLOOKUP(C983&amp;A983, TDrate!F:F&amp;TDrate!H:H, TDrate!E:E), "N/A")</f>
        <v>N/A</v>
      </c>
      <c r="J983" cm="1">
        <f t="array" ref="J983">IFERROR(_xlfn.XLOOKUP(C983&amp;A983, Inside5!B:B&amp;Inside5!I:I, Inside5!F:F), 0)</f>
        <v>0</v>
      </c>
      <c r="K983" cm="1">
        <f t="array" aca="1" ref="K983" ca="1">IFERROR(_xlfn.XLOOKUP(C983&amp;A983, Inside5!B:B&amp;Inside5!I:I, Inside5!G:G), 0)</f>
        <v>0</v>
      </c>
      <c r="L983" cm="1">
        <f t="array" ref="L983">IFERROR(_xlfn.XLOOKUP(C983&amp;A983, Inside5!B:B&amp;Inside5!I:I, Inside5!H:H), 0)</f>
        <v>0</v>
      </c>
      <c r="M983" t="str" cm="1">
        <f t="array" ref="M983">IFERROR(_xlfn.XLOOKUP(C983&amp;A983, TDrate!F:F&amp;TDrate!H:H, TDrate!B:B), "N/A")</f>
        <v>N/A</v>
      </c>
      <c r="N983" t="str" cm="1">
        <f t="array" ref="N983">IFERROR(_xlfn.XLOOKUP(C983&amp;A983, TDrate!F:F&amp;TDrate!H:H, TDrate!D:D), "N/A")</f>
        <v>N/A</v>
      </c>
    </row>
    <row r="984" spans="1:14" x14ac:dyDescent="0.45">
      <c r="A984" s="5">
        <v>2020</v>
      </c>
      <c r="B984" s="6" t="s">
        <v>745</v>
      </c>
      <c r="C984" s="7" t="str">
        <f t="shared" si="30"/>
        <v>Dare Ogunbowale</v>
      </c>
      <c r="D984" s="7" t="str">
        <f t="shared" si="31"/>
        <v>JAC</v>
      </c>
      <c r="E984" cm="1">
        <f t="array" ref="E984">IFERROR(_xlfn.XLOOKUP(C984&amp;A984, Inside5!B:B&amp;Inside5!I:I, Inside5!C:C), 0)</f>
        <v>1</v>
      </c>
      <c r="F984" cm="1">
        <f t="array" ref="F984">IFERROR(_xlfn.XLOOKUP(C984&amp;A984, Inside5!B:B&amp;Inside5!I:I, Inside5!D:D), 0)</f>
        <v>0</v>
      </c>
      <c r="G984" cm="1">
        <f t="array" ref="G984">IFERROR(_xlfn.XLOOKUP(C984&amp;A984, Inside5!B:B&amp;Inside5!I:I, Inside5!E:E), 0)</f>
        <v>0.14299999999999999</v>
      </c>
      <c r="H984" cm="1">
        <f t="array" ref="H984">IFERROR(_xlfn.XLOOKUP(C984&amp;A984, TDrate!F:F&amp;TDrate!H:H, TDrate!C:C), "N/A")</f>
        <v>0</v>
      </c>
      <c r="I984" cm="1">
        <f t="array" ref="I984">IFERROR(_xlfn.XLOOKUP(C984&amp;A984, TDrate!F:F&amp;TDrate!H:H, TDrate!E:E), "N/A")</f>
        <v>9.7000000000000003E-3</v>
      </c>
      <c r="J984" cm="1">
        <f t="array" ref="J984">IFERROR(_xlfn.XLOOKUP(C984&amp;A984, Inside5!B:B&amp;Inside5!I:I, Inside5!F:F), 0)</f>
        <v>0</v>
      </c>
      <c r="K984" cm="1">
        <f t="array" ref="K984">IFERROR(_xlfn.XLOOKUP(C984&amp;A984, Inside5!B:B&amp;Inside5!I:I, Inside5!G:G), 0)</f>
        <v>0</v>
      </c>
      <c r="L984" cm="1">
        <f t="array" ref="L984">IFERROR(_xlfn.XLOOKUP(C984&amp;A984, Inside5!B:B&amp;Inside5!I:I, Inside5!H:H), 0)</f>
        <v>0</v>
      </c>
      <c r="M984" cm="1">
        <f t="array" ref="M984">IFERROR(_xlfn.XLOOKUP(C984&amp;A984, TDrate!F:F&amp;TDrate!H:H, TDrate!B:B), "N/A")</f>
        <v>0</v>
      </c>
      <c r="N984" cm="1">
        <f t="array" ref="N984">IFERROR(_xlfn.XLOOKUP(C984&amp;A984, TDrate!F:F&amp;TDrate!H:H, TDrate!D:D), "N/A")</f>
        <v>3.3E-3</v>
      </c>
    </row>
    <row r="985" spans="1:14" x14ac:dyDescent="0.45">
      <c r="A985" s="8">
        <v>2020</v>
      </c>
      <c r="B985" s="9" t="s">
        <v>593</v>
      </c>
      <c r="C985" s="10" t="str">
        <f t="shared" si="30"/>
        <v>Ke'Shawn Vaughn</v>
      </c>
      <c r="D985" s="10" t="str">
        <f t="shared" si="31"/>
        <v>TB</v>
      </c>
      <c r="E985" cm="1">
        <f t="array" ref="E985">IFERROR(_xlfn.XLOOKUP(C985&amp;A985, Inside5!B:B&amp;Inside5!I:I, Inside5!C:C), 0)</f>
        <v>0</v>
      </c>
      <c r="F985" cm="1">
        <f t="array" ref="F985">IFERROR(_xlfn.XLOOKUP(C985&amp;A985, Inside5!B:B&amp;Inside5!I:I, Inside5!D:D), 0)</f>
        <v>0</v>
      </c>
      <c r="G985" cm="1">
        <f t="array" ref="G985">IFERROR(_xlfn.XLOOKUP(C985&amp;A985, Inside5!B:B&amp;Inside5!I:I, Inside5!E:E), 0)</f>
        <v>0</v>
      </c>
      <c r="H985" cm="1">
        <f t="array" ref="H985">IFERROR(_xlfn.XLOOKUP(C985&amp;A985, TDrate!F:F&amp;TDrate!H:H, TDrate!C:C), "N/A")</f>
        <v>0</v>
      </c>
      <c r="I985" cm="1">
        <f t="array" ref="I985">IFERROR(_xlfn.XLOOKUP(C985&amp;A985, TDrate!F:F&amp;TDrate!H:H, TDrate!E:E), "N/A")</f>
        <v>7.1000000000000004E-3</v>
      </c>
      <c r="J985" cm="1">
        <f t="array" ref="J985">IFERROR(_xlfn.XLOOKUP(C985&amp;A985, Inside5!B:B&amp;Inside5!I:I, Inside5!F:F), 0)</f>
        <v>0</v>
      </c>
      <c r="K985" cm="1">
        <f t="array" ref="K985">IFERROR(_xlfn.XLOOKUP(C985&amp;A985, Inside5!B:B&amp;Inside5!I:I, Inside5!G:G), 0)</f>
        <v>0</v>
      </c>
      <c r="L985" cm="1">
        <f t="array" ref="L985">IFERROR(_xlfn.XLOOKUP(C985&amp;A985, Inside5!B:B&amp;Inside5!I:I, Inside5!H:H), 0)</f>
        <v>0</v>
      </c>
      <c r="M985" cm="1">
        <f t="array" ref="M985">IFERROR(_xlfn.XLOOKUP(C985&amp;A985, TDrate!F:F&amp;TDrate!H:H, TDrate!B:B), "N/A")</f>
        <v>0.1</v>
      </c>
      <c r="N985" cm="1">
        <f t="array" ref="N985">IFERROR(_xlfn.XLOOKUP(C985&amp;A985, TDrate!F:F&amp;TDrate!H:H, TDrate!D:D), "N/A")</f>
        <v>7.5999999999999998E-2</v>
      </c>
    </row>
    <row r="986" spans="1:14" x14ac:dyDescent="0.45">
      <c r="A986" s="5">
        <v>2020</v>
      </c>
      <c r="B986" s="6" t="s">
        <v>688</v>
      </c>
      <c r="C986" s="7" t="str">
        <f t="shared" si="30"/>
        <v>D'Ernest Johnson</v>
      </c>
      <c r="D986" s="7" t="str">
        <f t="shared" si="31"/>
        <v>CLE</v>
      </c>
      <c r="E986" cm="1">
        <f t="array" aca="1" ref="E986" ca="1">IFERROR(_xlfn.XLOOKUP(C986&amp;A986, Inside5!B:B&amp;Inside5!I:I, Inside5!C:C), 0)</f>
        <v>0</v>
      </c>
      <c r="F986" cm="1">
        <f t="array" aca="1" ref="F986" ca="1">IFERROR(_xlfn.XLOOKUP(C986&amp;A986, Inside5!B:B&amp;Inside5!I:I, Inside5!D:D), 0)</f>
        <v>0</v>
      </c>
      <c r="G986" cm="1">
        <f t="array" ref="G986">IFERROR(_xlfn.XLOOKUP(C986&amp;A986, Inside5!B:B&amp;Inside5!I:I, Inside5!E:E), 0)</f>
        <v>0</v>
      </c>
      <c r="H986" cm="1">
        <f t="array" ref="H986">IFERROR(_xlfn.XLOOKUP(C986&amp;A986, TDrate!F:F&amp;TDrate!H:H, TDrate!C:C), "N/A")</f>
        <v>0</v>
      </c>
      <c r="I986" cm="1">
        <f t="array" ref="I986">IFERROR(_xlfn.XLOOKUP(C986&amp;A986, TDrate!F:F&amp;TDrate!H:H, TDrate!E:E), "N/A")</f>
        <v>2.5000000000000001E-3</v>
      </c>
      <c r="J986" cm="1">
        <f t="array" ref="J986">IFERROR(_xlfn.XLOOKUP(C986&amp;A986, Inside5!B:B&amp;Inside5!I:I, Inside5!F:F), 0)</f>
        <v>0</v>
      </c>
      <c r="K986" cm="1">
        <f t="array" ref="K986">IFERROR(_xlfn.XLOOKUP(C986&amp;A986, Inside5!B:B&amp;Inside5!I:I, Inside5!G:G), 0)</f>
        <v>0</v>
      </c>
      <c r="L986" cm="1">
        <f t="array" ref="L986">IFERROR(_xlfn.XLOOKUP(C986&amp;A986, Inside5!B:B&amp;Inside5!I:I, Inside5!H:H), 0)</f>
        <v>0</v>
      </c>
      <c r="M986" cm="1">
        <f t="array" ref="M986">IFERROR(_xlfn.XLOOKUP(C986&amp;A986, TDrate!F:F&amp;TDrate!H:H, TDrate!B:B), "N/A")</f>
        <v>0</v>
      </c>
      <c r="N986" cm="1">
        <f t="array" ref="N986">IFERROR(_xlfn.XLOOKUP(C986&amp;A986, TDrate!F:F&amp;TDrate!H:H, TDrate!D:D), "N/A")</f>
        <v>2.6599999999999999E-2</v>
      </c>
    </row>
    <row r="987" spans="1:14" x14ac:dyDescent="0.45">
      <c r="A987" s="8">
        <v>2020</v>
      </c>
      <c r="B987" s="9" t="s">
        <v>432</v>
      </c>
      <c r="C987" s="10" t="str">
        <f t="shared" si="30"/>
        <v>C.J. Ham</v>
      </c>
      <c r="D987" s="10" t="str">
        <f t="shared" si="31"/>
        <v>MIN</v>
      </c>
      <c r="E987" cm="1">
        <f t="array" aca="1" ref="E987" ca="1">IFERROR(_xlfn.XLOOKUP(C987&amp;A987, Inside5!B:B&amp;Inside5!I:I, Inside5!C:C), 0)</f>
        <v>0</v>
      </c>
      <c r="F987" cm="1">
        <f t="array" aca="1" ref="F987" ca="1">IFERROR(_xlfn.XLOOKUP(C987&amp;A987, Inside5!B:B&amp;Inside5!I:I, Inside5!D:D), 0)</f>
        <v>0</v>
      </c>
      <c r="G987" cm="1">
        <f t="array" ref="G987">IFERROR(_xlfn.XLOOKUP(C987&amp;A987, Inside5!B:B&amp;Inside5!I:I, Inside5!E:E), 0)</f>
        <v>0</v>
      </c>
      <c r="H987" t="str" cm="1">
        <f t="array" ref="H987">IFERROR(_xlfn.XLOOKUP(C987&amp;A987, TDrate!F:F&amp;TDrate!H:H, TDrate!C:C), "N/A")</f>
        <v>N/A</v>
      </c>
      <c r="I987" t="str" cm="1">
        <f t="array" ref="I987">IFERROR(_xlfn.XLOOKUP(C987&amp;A987, TDrate!F:F&amp;TDrate!H:H, TDrate!E:E), "N/A")</f>
        <v>N/A</v>
      </c>
      <c r="J987" cm="1">
        <f t="array" ref="J987">IFERROR(_xlfn.XLOOKUP(C987&amp;A987, Inside5!B:B&amp;Inside5!I:I, Inside5!F:F), 0)</f>
        <v>0</v>
      </c>
      <c r="K987" cm="1">
        <f t="array" ref="K987">IFERROR(_xlfn.XLOOKUP(C987&amp;A987, Inside5!B:B&amp;Inside5!I:I, Inside5!G:G), 0)</f>
        <v>0</v>
      </c>
      <c r="L987" cm="1">
        <f t="array" ref="L987">IFERROR(_xlfn.XLOOKUP(C987&amp;A987, Inside5!B:B&amp;Inside5!I:I, Inside5!H:H), 0)</f>
        <v>0</v>
      </c>
      <c r="M987" t="str" cm="1">
        <f t="array" ref="M987">IFERROR(_xlfn.XLOOKUP(C987&amp;A987, TDrate!F:F&amp;TDrate!H:H, TDrate!B:B), "N/A")</f>
        <v>N/A</v>
      </c>
      <c r="N987" t="str" cm="1">
        <f t="array" ref="N987">IFERROR(_xlfn.XLOOKUP(C987&amp;A987, TDrate!F:F&amp;TDrate!H:H, TDrate!D:D), "N/A")</f>
        <v>N/A</v>
      </c>
    </row>
    <row r="988" spans="1:14" x14ac:dyDescent="0.45">
      <c r="A988" s="5">
        <v>2020</v>
      </c>
      <c r="B988" s="6" t="s">
        <v>762</v>
      </c>
      <c r="C988" s="7" t="str">
        <f t="shared" si="30"/>
        <v>Alec Ingold</v>
      </c>
      <c r="D988" s="7" t="str">
        <f t="shared" si="31"/>
        <v>LV</v>
      </c>
      <c r="E988" cm="1">
        <f t="array" aca="1" ref="E988" ca="1">IFERROR(_xlfn.XLOOKUP(C988&amp;A988, Inside5!B:B&amp;Inside5!I:I, Inside5!C:C), 0)</f>
        <v>0</v>
      </c>
      <c r="F988" cm="1">
        <f t="array" aca="1" ref="F988" ca="1">IFERROR(_xlfn.XLOOKUP(C988&amp;A988, Inside5!B:B&amp;Inside5!I:I, Inside5!D:D), 0)</f>
        <v>0</v>
      </c>
      <c r="G988" cm="1">
        <f t="array" ref="G988">IFERROR(_xlfn.XLOOKUP(C988&amp;A988, Inside5!B:B&amp;Inside5!I:I, Inside5!E:E), 0)</f>
        <v>0</v>
      </c>
      <c r="H988" t="str" cm="1">
        <f t="array" ref="H988">IFERROR(_xlfn.XLOOKUP(C988&amp;A988, TDrate!F:F&amp;TDrate!H:H, TDrate!C:C), "N/A")</f>
        <v>N/A</v>
      </c>
      <c r="I988" t="str" cm="1">
        <f t="array" ref="I988">IFERROR(_xlfn.XLOOKUP(C988&amp;A988, TDrate!F:F&amp;TDrate!H:H, TDrate!E:E), "N/A")</f>
        <v>N/A</v>
      </c>
      <c r="J988" cm="1">
        <f t="array" ref="J988">IFERROR(_xlfn.XLOOKUP(C988&amp;A988, Inside5!B:B&amp;Inside5!I:I, Inside5!F:F), 0)</f>
        <v>1</v>
      </c>
      <c r="K988" cm="1">
        <f t="array" ref="K988">IFERROR(_xlfn.XLOOKUP(C988&amp;A988, Inside5!B:B&amp;Inside5!I:I, Inside5!G:G), 0)</f>
        <v>2</v>
      </c>
      <c r="L988" cm="1">
        <f t="array" ref="L988">IFERROR(_xlfn.XLOOKUP(C988&amp;A988, Inside5!B:B&amp;Inside5!I:I, Inside5!H:H), 0)</f>
        <v>1</v>
      </c>
      <c r="M988" t="str" cm="1">
        <f t="array" ref="M988">IFERROR(_xlfn.XLOOKUP(C988&amp;A988, TDrate!F:F&amp;TDrate!H:H, TDrate!B:B), "N/A")</f>
        <v>N/A</v>
      </c>
      <c r="N988" t="str" cm="1">
        <f t="array" ref="N988">IFERROR(_xlfn.XLOOKUP(C988&amp;A988, TDrate!F:F&amp;TDrate!H:H, TDrate!D:D), "N/A")</f>
        <v>N/A</v>
      </c>
    </row>
    <row r="989" spans="1:14" x14ac:dyDescent="0.45">
      <c r="A989" s="8">
        <v>2020</v>
      </c>
      <c r="B989" s="9" t="s">
        <v>529</v>
      </c>
      <c r="C989" s="10" t="str">
        <f t="shared" si="30"/>
        <v>Trayveon Williams</v>
      </c>
      <c r="D989" s="10" t="str">
        <f t="shared" si="31"/>
        <v>CIN</v>
      </c>
      <c r="E989" cm="1">
        <f t="array" ref="E989">IFERROR(_xlfn.XLOOKUP(C989&amp;A989, Inside5!B:B&amp;Inside5!I:I, Inside5!C:C), 0)</f>
        <v>0</v>
      </c>
      <c r="F989" cm="1">
        <f t="array" ref="F989">IFERROR(_xlfn.XLOOKUP(C989&amp;A989, Inside5!B:B&amp;Inside5!I:I, Inside5!D:D), 0)</f>
        <v>0</v>
      </c>
      <c r="G989" cm="1">
        <f t="array" ref="G989">IFERROR(_xlfn.XLOOKUP(C989&amp;A989, Inside5!B:B&amp;Inside5!I:I, Inside5!E:E), 0)</f>
        <v>0</v>
      </c>
      <c r="H989" cm="1">
        <f t="array" ref="H989">IFERROR(_xlfn.XLOOKUP(C989&amp;A989, TDrate!F:F&amp;TDrate!H:H, TDrate!C:C), "N/A")</f>
        <v>0</v>
      </c>
      <c r="I989" cm="1">
        <f t="array" ref="I989">IFERROR(_xlfn.XLOOKUP(C989&amp;A989, TDrate!F:F&amp;TDrate!H:H, TDrate!E:E), "N/A")</f>
        <v>2.5999999999999999E-3</v>
      </c>
      <c r="J989" cm="1">
        <f t="array" ref="J989">IFERROR(_xlfn.XLOOKUP(C989&amp;A989, Inside5!B:B&amp;Inside5!I:I, Inside5!F:F), 0)</f>
        <v>0</v>
      </c>
      <c r="K989" cm="1">
        <f t="array" ref="K989">IFERROR(_xlfn.XLOOKUP(C989&amp;A989, Inside5!B:B&amp;Inside5!I:I, Inside5!G:G), 0)</f>
        <v>0</v>
      </c>
      <c r="L989" cm="1">
        <f t="array" ref="L989">IFERROR(_xlfn.XLOOKUP(C989&amp;A989, Inside5!B:B&amp;Inside5!I:I, Inside5!H:H), 0)</f>
        <v>0</v>
      </c>
      <c r="M989" cm="1">
        <f t="array" ref="M989">IFERROR(_xlfn.XLOOKUP(C989&amp;A989, TDrate!F:F&amp;TDrate!H:H, TDrate!B:B), "N/A")</f>
        <v>0</v>
      </c>
      <c r="N989" cm="1">
        <f t="array" ref="N989">IFERROR(_xlfn.XLOOKUP(C989&amp;A989, TDrate!F:F&amp;TDrate!H:H, TDrate!D:D), "N/A")</f>
        <v>9.5999999999999992E-3</v>
      </c>
    </row>
    <row r="990" spans="1:14" x14ac:dyDescent="0.45">
      <c r="A990" s="5">
        <v>2020</v>
      </c>
      <c r="B990" s="6" t="s">
        <v>610</v>
      </c>
      <c r="C990" s="7" t="str">
        <f t="shared" si="30"/>
        <v>Anthony McFarland Jr.</v>
      </c>
      <c r="D990" s="7" t="str">
        <f t="shared" si="31"/>
        <v>PIT</v>
      </c>
      <c r="E990" cm="1">
        <f t="array" aca="1" ref="E990" ca="1">IFERROR(_xlfn.XLOOKUP(C990&amp;A990, Inside5!B:B&amp;Inside5!I:I, Inside5!C:C), 0)</f>
        <v>0</v>
      </c>
      <c r="F990" cm="1">
        <f t="array" ref="F990">IFERROR(_xlfn.XLOOKUP(C990&amp;A990, Inside5!B:B&amp;Inside5!I:I, Inside5!D:D), 0)</f>
        <v>0</v>
      </c>
      <c r="G990" cm="1">
        <f t="array" ref="G990">IFERROR(_xlfn.XLOOKUP(C990&amp;A990, Inside5!B:B&amp;Inside5!I:I, Inside5!E:E), 0)</f>
        <v>0</v>
      </c>
      <c r="H990" cm="1">
        <f t="array" ref="H990">IFERROR(_xlfn.XLOOKUP(C990&amp;A990, TDrate!F:F&amp;TDrate!H:H, TDrate!C:C), "N/A")</f>
        <v>0</v>
      </c>
      <c r="I990" cm="1">
        <f t="array" ref="I990">IFERROR(_xlfn.XLOOKUP(C990&amp;A990, TDrate!F:F&amp;TDrate!H:H, TDrate!E:E), "N/A")</f>
        <v>4.1000000000000003E-3</v>
      </c>
      <c r="J990" cm="1">
        <f t="array" ref="J990">IFERROR(_xlfn.XLOOKUP(C990&amp;A990, Inside5!B:B&amp;Inside5!I:I, Inside5!F:F), 0)</f>
        <v>0</v>
      </c>
      <c r="K990" cm="1">
        <f t="array" ref="K990">IFERROR(_xlfn.XLOOKUP(C990&amp;A990, Inside5!B:B&amp;Inside5!I:I, Inside5!G:G), 0)</f>
        <v>0</v>
      </c>
      <c r="L990" cm="1">
        <f t="array" ref="L990">IFERROR(_xlfn.XLOOKUP(C990&amp;A990, Inside5!B:B&amp;Inside5!I:I, Inside5!H:H), 0)</f>
        <v>0</v>
      </c>
      <c r="M990" cm="1">
        <f t="array" ref="M990">IFERROR(_xlfn.XLOOKUP(C990&amp;A990, TDrate!F:F&amp;TDrate!H:H, TDrate!B:B), "N/A")</f>
        <v>0</v>
      </c>
      <c r="N990" cm="1">
        <f t="array" ref="N990">IFERROR(_xlfn.XLOOKUP(C990&amp;A990, TDrate!F:F&amp;TDrate!H:H, TDrate!D:D), "N/A")</f>
        <v>4.4000000000000003E-3</v>
      </c>
    </row>
    <row r="991" spans="1:14" x14ac:dyDescent="0.45">
      <c r="A991" s="8">
        <v>2020</v>
      </c>
      <c r="B991" s="9" t="s">
        <v>725</v>
      </c>
      <c r="C991" s="10" t="str">
        <f t="shared" si="30"/>
        <v>D'Onta Foreman</v>
      </c>
      <c r="D991" s="10" t="str">
        <f t="shared" si="31"/>
        <v>TEN</v>
      </c>
      <c r="E991" cm="1">
        <f t="array" aca="1" ref="E991" ca="1">IFERROR(_xlfn.XLOOKUP(C991&amp;A991, Inside5!B:B&amp;Inside5!I:I, Inside5!C:C), 0)</f>
        <v>0</v>
      </c>
      <c r="F991" cm="1">
        <f t="array" aca="1" ref="F991" ca="1">IFERROR(_xlfn.XLOOKUP(C991&amp;A991, Inside5!B:B&amp;Inside5!I:I, Inside5!D:D), 0)</f>
        <v>0</v>
      </c>
      <c r="G991" cm="1">
        <f t="array" ref="G991">IFERROR(_xlfn.XLOOKUP(C991&amp;A991, Inside5!B:B&amp;Inside5!I:I, Inside5!E:E), 0)</f>
        <v>0</v>
      </c>
      <c r="H991" t="str" cm="1">
        <f t="array" ref="H991">IFERROR(_xlfn.XLOOKUP(C991&amp;A991, TDrate!F:F&amp;TDrate!H:H, TDrate!C:C), "N/A")</f>
        <v>N/A</v>
      </c>
      <c r="I991" t="str" cm="1">
        <f t="array" ref="I991">IFERROR(_xlfn.XLOOKUP(C991&amp;A991, TDrate!F:F&amp;TDrate!H:H, TDrate!E:E), "N/A")</f>
        <v>N/A</v>
      </c>
      <c r="J991" cm="1">
        <f t="array" ref="J991">IFERROR(_xlfn.XLOOKUP(C991&amp;A991, Inside5!B:B&amp;Inside5!I:I, Inside5!F:F), 0)</f>
        <v>1</v>
      </c>
      <c r="K991" cm="1">
        <f t="array" ref="K991">IFERROR(_xlfn.XLOOKUP(C991&amp;A991, Inside5!B:B&amp;Inside5!I:I, Inside5!G:G), 0)</f>
        <v>1</v>
      </c>
      <c r="L991" cm="1">
        <f t="array" ref="L991">IFERROR(_xlfn.XLOOKUP(C991&amp;A991, Inside5!B:B&amp;Inside5!I:I, Inside5!H:H), 0)</f>
        <v>1</v>
      </c>
      <c r="M991" t="str" cm="1">
        <f t="array" ref="M991">IFERROR(_xlfn.XLOOKUP(C991&amp;A991, TDrate!F:F&amp;TDrate!H:H, TDrate!B:B), "N/A")</f>
        <v>N/A</v>
      </c>
      <c r="N991" t="str" cm="1">
        <f t="array" ref="N991">IFERROR(_xlfn.XLOOKUP(C991&amp;A991, TDrate!F:F&amp;TDrate!H:H, TDrate!D:D), "N/A")</f>
        <v>N/A</v>
      </c>
    </row>
    <row r="992" spans="1:14" x14ac:dyDescent="0.45">
      <c r="A992" s="5">
        <v>2020</v>
      </c>
      <c r="B992" s="6" t="s">
        <v>854</v>
      </c>
      <c r="C992" s="7" t="str">
        <f t="shared" si="30"/>
        <v>Corey Clement</v>
      </c>
      <c r="D992" s="7" t="str">
        <f t="shared" si="31"/>
        <v>PHI</v>
      </c>
      <c r="E992" cm="1">
        <f t="array" aca="1" ref="E992" ca="1">IFERROR(_xlfn.XLOOKUP(C992&amp;A992, Inside5!B:B&amp;Inside5!I:I, Inside5!C:C), 0)</f>
        <v>1</v>
      </c>
      <c r="F992" cm="1">
        <f t="array" aca="1" ref="F992" ca="1">IFERROR(_xlfn.XLOOKUP(C992&amp;A992, Inside5!B:B&amp;Inside5!I:I, Inside5!D:D), 0)</f>
        <v>1</v>
      </c>
      <c r="G992" cm="1">
        <f t="array" ref="G992">IFERROR(_xlfn.XLOOKUP(C992&amp;A992, Inside5!B:B&amp;Inside5!I:I, Inside5!E:E), 0)</f>
        <v>4.8000000000000001E-2</v>
      </c>
      <c r="H992" t="str" cm="1">
        <f t="array" ref="H992">IFERROR(_xlfn.XLOOKUP(C992&amp;A992, TDrate!F:F&amp;TDrate!H:H, TDrate!C:C), "N/A")</f>
        <v>N/A</v>
      </c>
      <c r="I992" t="str" cm="1">
        <f t="array" ref="I992">IFERROR(_xlfn.XLOOKUP(C992&amp;A992, TDrate!F:F&amp;TDrate!H:H, TDrate!E:E), "N/A")</f>
        <v>N/A</v>
      </c>
      <c r="J992" cm="1">
        <f t="array" ref="J992">IFERROR(_xlfn.XLOOKUP(C992&amp;A992, Inside5!B:B&amp;Inside5!I:I, Inside5!F:F), 0)</f>
        <v>0</v>
      </c>
      <c r="K992" cm="1">
        <f t="array" aca="1" ref="K992" ca="1">IFERROR(_xlfn.XLOOKUP(C992&amp;A992, Inside5!B:B&amp;Inside5!I:I, Inside5!G:G), 0)</f>
        <v>0</v>
      </c>
      <c r="L992" cm="1">
        <f t="array" ref="L992">IFERROR(_xlfn.XLOOKUP(C992&amp;A992, Inside5!B:B&amp;Inside5!I:I, Inside5!H:H), 0)</f>
        <v>0</v>
      </c>
      <c r="M992" t="str" cm="1">
        <f t="array" ref="M992">IFERROR(_xlfn.XLOOKUP(C992&amp;A992, TDrate!F:F&amp;TDrate!H:H, TDrate!B:B), "N/A")</f>
        <v>N/A</v>
      </c>
      <c r="N992" t="str" cm="1">
        <f t="array" ref="N992">IFERROR(_xlfn.XLOOKUP(C992&amp;A992, TDrate!F:F&amp;TDrate!H:H, TDrate!D:D), "N/A")</f>
        <v>N/A</v>
      </c>
    </row>
    <row r="993" spans="1:14" x14ac:dyDescent="0.45">
      <c r="A993" s="8">
        <v>2020</v>
      </c>
      <c r="B993" s="9" t="s">
        <v>855</v>
      </c>
      <c r="C993" s="10" t="str">
        <f t="shared" si="30"/>
        <v>T.J. Yeldon</v>
      </c>
      <c r="D993" s="10" t="str">
        <f t="shared" si="31"/>
        <v>BUF</v>
      </c>
      <c r="E993" cm="1">
        <f t="array" aca="1" ref="E993" ca="1">IFERROR(_xlfn.XLOOKUP(C993&amp;A993, Inside5!B:B&amp;Inside5!I:I, Inside5!C:C), 0)</f>
        <v>1</v>
      </c>
      <c r="F993" cm="1">
        <f t="array" aca="1" ref="F993" ca="1">IFERROR(_xlfn.XLOOKUP(C993&amp;A993, Inside5!B:B&amp;Inside5!I:I, Inside5!D:D), 0)</f>
        <v>0</v>
      </c>
      <c r="G993" cm="1">
        <f t="array" ref="G993">IFERROR(_xlfn.XLOOKUP(C993&amp;A993, Inside5!B:B&amp;Inside5!I:I, Inside5!E:E), 0)</f>
        <v>5.6000000000000001E-2</v>
      </c>
      <c r="H993" t="str" cm="1">
        <f t="array" ref="H993">IFERROR(_xlfn.XLOOKUP(C993&amp;A993, TDrate!F:F&amp;TDrate!H:H, TDrate!C:C), "N/A")</f>
        <v>N/A</v>
      </c>
      <c r="I993" t="str" cm="1">
        <f t="array" ref="I993">IFERROR(_xlfn.XLOOKUP(C993&amp;A993, TDrate!F:F&amp;TDrate!H:H, TDrate!E:E), "N/A")</f>
        <v>N/A</v>
      </c>
      <c r="J993" cm="1">
        <f t="array" ref="J993">IFERROR(_xlfn.XLOOKUP(C993&amp;A993, Inside5!B:B&amp;Inside5!I:I, Inside5!F:F), 0)</f>
        <v>0</v>
      </c>
      <c r="K993" cm="1">
        <f t="array" aca="1" ref="K993" ca="1">IFERROR(_xlfn.XLOOKUP(C993&amp;A993, Inside5!B:B&amp;Inside5!I:I, Inside5!G:G), 0)</f>
        <v>0</v>
      </c>
      <c r="L993" cm="1">
        <f t="array" ref="L993">IFERROR(_xlfn.XLOOKUP(C993&amp;A993, Inside5!B:B&amp;Inside5!I:I, Inside5!H:H), 0)</f>
        <v>0</v>
      </c>
      <c r="M993" t="str" cm="1">
        <f t="array" ref="M993">IFERROR(_xlfn.XLOOKUP(C993&amp;A993, TDrate!F:F&amp;TDrate!H:H, TDrate!B:B), "N/A")</f>
        <v>N/A</v>
      </c>
      <c r="N993" t="str" cm="1">
        <f t="array" ref="N993">IFERROR(_xlfn.XLOOKUP(C993&amp;A993, TDrate!F:F&amp;TDrate!H:H, TDrate!D:D), "N/A")</f>
        <v>N/A</v>
      </c>
    </row>
    <row r="994" spans="1:14" x14ac:dyDescent="0.45">
      <c r="A994" s="5">
        <v>2020</v>
      </c>
      <c r="B994" s="6" t="s">
        <v>779</v>
      </c>
      <c r="C994" s="7" t="str">
        <f t="shared" si="30"/>
        <v>Gabe Nabers</v>
      </c>
      <c r="D994" s="7" t="str">
        <f t="shared" si="31"/>
        <v>LAC</v>
      </c>
      <c r="E994" cm="1">
        <f t="array" ref="E994">IFERROR(_xlfn.XLOOKUP(C994&amp;A994, Inside5!B:B&amp;Inside5!I:I, Inside5!C:C), 0)</f>
        <v>0</v>
      </c>
      <c r="F994" cm="1">
        <f t="array" aca="1" ref="F994" ca="1">IFERROR(_xlfn.XLOOKUP(C994&amp;A994, Inside5!B:B&amp;Inside5!I:I, Inside5!D:D), 0)</f>
        <v>0</v>
      </c>
      <c r="G994" cm="1">
        <f t="array" ref="G994">IFERROR(_xlfn.XLOOKUP(C994&amp;A994, Inside5!B:B&amp;Inside5!I:I, Inside5!E:E), 0)</f>
        <v>0</v>
      </c>
      <c r="H994" t="str" cm="1">
        <f t="array" ref="H994">IFERROR(_xlfn.XLOOKUP(C994&amp;A994, TDrate!F:F&amp;TDrate!H:H, TDrate!C:C), "N/A")</f>
        <v>N/A</v>
      </c>
      <c r="I994" t="str" cm="1">
        <f t="array" ref="I994">IFERROR(_xlfn.XLOOKUP(C994&amp;A994, TDrate!F:F&amp;TDrate!H:H, TDrate!E:E), "N/A")</f>
        <v>N/A</v>
      </c>
      <c r="J994" cm="1">
        <f t="array" ref="J994">IFERROR(_xlfn.XLOOKUP(C994&amp;A994, Inside5!B:B&amp;Inside5!I:I, Inside5!F:F), 0)</f>
        <v>2</v>
      </c>
      <c r="K994" cm="1">
        <f t="array" ref="K994">IFERROR(_xlfn.XLOOKUP(C994&amp;A994, Inside5!B:B&amp;Inside5!I:I, Inside5!G:G), 0)</f>
        <v>2</v>
      </c>
      <c r="L994" cm="1">
        <f t="array" ref="L994">IFERROR(_xlfn.XLOOKUP(C994&amp;A994, Inside5!B:B&amp;Inside5!I:I, Inside5!H:H), 0)</f>
        <v>2</v>
      </c>
      <c r="M994" t="str" cm="1">
        <f t="array" ref="M994">IFERROR(_xlfn.XLOOKUP(C994&amp;A994, TDrate!F:F&amp;TDrate!H:H, TDrate!B:B), "N/A")</f>
        <v>N/A</v>
      </c>
      <c r="N994" t="str" cm="1">
        <f t="array" ref="N994">IFERROR(_xlfn.XLOOKUP(C994&amp;A994, TDrate!F:F&amp;TDrate!H:H, TDrate!D:D), "N/A")</f>
        <v>N/A</v>
      </c>
    </row>
    <row r="995" spans="1:14" x14ac:dyDescent="0.45">
      <c r="A995" s="8">
        <v>2020</v>
      </c>
      <c r="B995" s="9" t="s">
        <v>856</v>
      </c>
      <c r="C995" s="10" t="str">
        <f t="shared" si="30"/>
        <v>Tyler Ervin</v>
      </c>
      <c r="D995" s="10" t="str">
        <f t="shared" si="31"/>
        <v>GB</v>
      </c>
      <c r="E995" cm="1">
        <f t="array" ref="E995">IFERROR(_xlfn.XLOOKUP(C995&amp;A995, Inside5!B:B&amp;Inside5!I:I, Inside5!C:C), 0)</f>
        <v>1</v>
      </c>
      <c r="F995" cm="1">
        <f t="array" ref="F995">IFERROR(_xlfn.XLOOKUP(C995&amp;A995, Inside5!B:B&amp;Inside5!I:I, Inside5!D:D), 0)</f>
        <v>0</v>
      </c>
      <c r="G995" cm="1">
        <f t="array" ref="G995">IFERROR(_xlfn.XLOOKUP(C995&amp;A995, Inside5!B:B&amp;Inside5!I:I, Inside5!E:E), 0)</f>
        <v>6.3E-2</v>
      </c>
      <c r="H995" t="str" cm="1">
        <f t="array" ref="H995">IFERROR(_xlfn.XLOOKUP(C995&amp;A995, TDrate!F:F&amp;TDrate!H:H, TDrate!C:C), "N/A")</f>
        <v>N/A</v>
      </c>
      <c r="I995" t="str" cm="1">
        <f t="array" ref="I995">IFERROR(_xlfn.XLOOKUP(C995&amp;A995, TDrate!F:F&amp;TDrate!H:H, TDrate!E:E), "N/A")</f>
        <v>N/A</v>
      </c>
      <c r="J995" cm="1">
        <f t="array" ref="J995">IFERROR(_xlfn.XLOOKUP(C995&amp;A995, Inside5!B:B&amp;Inside5!I:I, Inside5!F:F), 0)</f>
        <v>0</v>
      </c>
      <c r="K995" cm="1">
        <f t="array" aca="1" ref="K995" ca="1">IFERROR(_xlfn.XLOOKUP(C995&amp;A995, Inside5!B:B&amp;Inside5!I:I, Inside5!G:G), 0)</f>
        <v>0</v>
      </c>
      <c r="L995" cm="1">
        <f t="array" ref="L995">IFERROR(_xlfn.XLOOKUP(C995&amp;A995, Inside5!B:B&amp;Inside5!I:I, Inside5!H:H), 0)</f>
        <v>0</v>
      </c>
      <c r="M995" t="str" cm="1">
        <f t="array" ref="M995">IFERROR(_xlfn.XLOOKUP(C995&amp;A995, TDrate!F:F&amp;TDrate!H:H, TDrate!B:B), "N/A")</f>
        <v>N/A</v>
      </c>
      <c r="N995" t="str" cm="1">
        <f t="array" ref="N995">IFERROR(_xlfn.XLOOKUP(C995&amp;A995, TDrate!F:F&amp;TDrate!H:H, TDrate!D:D), "N/A")</f>
        <v>N/A</v>
      </c>
    </row>
    <row r="996" spans="1:14" x14ac:dyDescent="0.45">
      <c r="A996" s="5">
        <v>2020</v>
      </c>
      <c r="B996" s="6" t="s">
        <v>785</v>
      </c>
      <c r="C996" s="7" t="str">
        <f t="shared" si="30"/>
        <v>Reggie Bonnafon</v>
      </c>
      <c r="D996" s="7" t="str">
        <f t="shared" si="31"/>
        <v>CAR</v>
      </c>
      <c r="E996" cm="1">
        <f t="array" aca="1" ref="E996" ca="1">IFERROR(_xlfn.XLOOKUP(C996&amp;A996, Inside5!B:B&amp;Inside5!I:I, Inside5!C:C), 0)</f>
        <v>0</v>
      </c>
      <c r="F996" cm="1">
        <f t="array" aca="1" ref="F996" ca="1">IFERROR(_xlfn.XLOOKUP(C996&amp;A996, Inside5!B:B&amp;Inside5!I:I, Inside5!D:D), 0)</f>
        <v>0</v>
      </c>
      <c r="G996" cm="1">
        <f t="array" ref="G996">IFERROR(_xlfn.XLOOKUP(C996&amp;A996, Inside5!B:B&amp;Inside5!I:I, Inside5!E:E), 0)</f>
        <v>0</v>
      </c>
      <c r="H996" t="str" cm="1">
        <f t="array" ref="H996">IFERROR(_xlfn.XLOOKUP(C996&amp;A996, TDrate!F:F&amp;TDrate!H:H, TDrate!C:C), "N/A")</f>
        <v>N/A</v>
      </c>
      <c r="I996" t="str" cm="1">
        <f t="array" ref="I996">IFERROR(_xlfn.XLOOKUP(C996&amp;A996, TDrate!F:F&amp;TDrate!H:H, TDrate!E:E), "N/A")</f>
        <v>N/A</v>
      </c>
      <c r="J996" cm="1">
        <f t="array" ref="J996">IFERROR(_xlfn.XLOOKUP(C996&amp;A996, Inside5!B:B&amp;Inside5!I:I, Inside5!F:F), 0)</f>
        <v>1</v>
      </c>
      <c r="K996" cm="1">
        <f t="array" aca="1" ref="K996" ca="1">IFERROR(_xlfn.XLOOKUP(C996&amp;A996, Inside5!B:B&amp;Inside5!I:I, Inside5!G:G), 0)</f>
        <v>1</v>
      </c>
      <c r="L996" cm="1">
        <f t="array" ref="L996">IFERROR(_xlfn.XLOOKUP(C996&amp;A996, Inside5!B:B&amp;Inside5!I:I, Inside5!H:H), 0)</f>
        <v>1</v>
      </c>
      <c r="M996" t="str" cm="1">
        <f t="array" ref="M996">IFERROR(_xlfn.XLOOKUP(C996&amp;A996, TDrate!F:F&amp;TDrate!H:H, TDrate!B:B), "N/A")</f>
        <v>N/A</v>
      </c>
      <c r="N996" t="str" cm="1">
        <f t="array" ref="N996">IFERROR(_xlfn.XLOOKUP(C996&amp;A996, TDrate!F:F&amp;TDrate!H:H, TDrate!D:D), "N/A")</f>
        <v>N/A</v>
      </c>
    </row>
    <row r="997" spans="1:14" x14ac:dyDescent="0.45">
      <c r="A997" s="8">
        <v>2020</v>
      </c>
      <c r="B997" s="9" t="s">
        <v>784</v>
      </c>
      <c r="C997" s="10" t="str">
        <f t="shared" si="30"/>
        <v>Darrynton Evans</v>
      </c>
      <c r="D997" s="10" t="str">
        <f t="shared" si="31"/>
        <v>TEN</v>
      </c>
      <c r="E997" cm="1">
        <f t="array" aca="1" ref="E997" ca="1">IFERROR(_xlfn.XLOOKUP(C997&amp;A997, Inside5!B:B&amp;Inside5!I:I, Inside5!C:C), 0)</f>
        <v>3</v>
      </c>
      <c r="F997" cm="1">
        <f t="array" aca="1" ref="F997" ca="1">IFERROR(_xlfn.XLOOKUP(C997&amp;A997, Inside5!B:B&amp;Inside5!I:I, Inside5!D:D), 0)</f>
        <v>0</v>
      </c>
      <c r="G997" cm="1">
        <f t="array" ref="G997">IFERROR(_xlfn.XLOOKUP(C997&amp;A997, Inside5!B:B&amp;Inside5!I:I, Inside5!E:E), 0)</f>
        <v>0.14299999999999999</v>
      </c>
      <c r="H997" t="str" cm="1">
        <f t="array" ref="H997">IFERROR(_xlfn.XLOOKUP(C997&amp;A997, TDrate!F:F&amp;TDrate!H:H, TDrate!C:C), "N/A")</f>
        <v>N/A</v>
      </c>
      <c r="I997" t="str" cm="1">
        <f t="array" ref="I997">IFERROR(_xlfn.XLOOKUP(C997&amp;A997, TDrate!F:F&amp;TDrate!H:H, TDrate!E:E), "N/A")</f>
        <v>N/A</v>
      </c>
      <c r="J997" cm="1">
        <f t="array" ref="J997">IFERROR(_xlfn.XLOOKUP(C997&amp;A997, Inside5!B:B&amp;Inside5!I:I, Inside5!F:F), 0)</f>
        <v>1</v>
      </c>
      <c r="K997" cm="1">
        <f t="array" aca="1" ref="K997" ca="1">IFERROR(_xlfn.XLOOKUP(C997&amp;A997, Inside5!B:B&amp;Inside5!I:I, Inside5!G:G), 0)</f>
        <v>1</v>
      </c>
      <c r="L997" cm="1">
        <f t="array" ref="L997">IFERROR(_xlfn.XLOOKUP(C997&amp;A997, Inside5!B:B&amp;Inside5!I:I, Inside5!H:H), 0)</f>
        <v>1</v>
      </c>
      <c r="M997" t="str" cm="1">
        <f t="array" ref="M997">IFERROR(_xlfn.XLOOKUP(C997&amp;A997, TDrate!F:F&amp;TDrate!H:H, TDrate!B:B), "N/A")</f>
        <v>N/A</v>
      </c>
      <c r="N997" t="str" cm="1">
        <f t="array" ref="N997">IFERROR(_xlfn.XLOOKUP(C997&amp;A997, TDrate!F:F&amp;TDrate!H:H, TDrate!D:D), "N/A")</f>
        <v>N/A</v>
      </c>
    </row>
    <row r="998" spans="1:14" x14ac:dyDescent="0.45">
      <c r="A998" s="5">
        <v>2020</v>
      </c>
      <c r="B998" s="6" t="s">
        <v>857</v>
      </c>
      <c r="C998" s="7" t="str">
        <f t="shared" si="30"/>
        <v>LeSean McCoy</v>
      </c>
      <c r="D998" s="7" t="str">
        <f t="shared" si="31"/>
        <v>TB</v>
      </c>
      <c r="E998" cm="1">
        <f t="array" ref="E998">IFERROR(_xlfn.XLOOKUP(C998&amp;A998, Inside5!B:B&amp;Inside5!I:I, Inside5!C:C), 0)</f>
        <v>0</v>
      </c>
      <c r="F998" cm="1">
        <f t="array" aca="1" ref="F998" ca="1">IFERROR(_xlfn.XLOOKUP(C998&amp;A998, Inside5!B:B&amp;Inside5!I:I, Inside5!D:D), 0)</f>
        <v>0</v>
      </c>
      <c r="G998" cm="1">
        <f t="array" ref="G998">IFERROR(_xlfn.XLOOKUP(C998&amp;A998, Inside5!B:B&amp;Inside5!I:I, Inside5!E:E), 0)</f>
        <v>0</v>
      </c>
      <c r="H998" t="str" cm="1">
        <f t="array" ref="H998">IFERROR(_xlfn.XLOOKUP(C998&amp;A998, TDrate!F:F&amp;TDrate!H:H, TDrate!C:C), "N/A")</f>
        <v>N/A</v>
      </c>
      <c r="I998" t="str" cm="1">
        <f t="array" ref="I998">IFERROR(_xlfn.XLOOKUP(C998&amp;A998, TDrate!F:F&amp;TDrate!H:H, TDrate!E:E), "N/A")</f>
        <v>N/A</v>
      </c>
      <c r="J998" cm="1">
        <f t="array" ref="J998">IFERROR(_xlfn.XLOOKUP(C998&amp;A998, Inside5!B:B&amp;Inside5!I:I, Inside5!F:F), 0)</f>
        <v>0</v>
      </c>
      <c r="K998" cm="1">
        <f t="array" aca="1" ref="K998" ca="1">IFERROR(_xlfn.XLOOKUP(C998&amp;A998, Inside5!B:B&amp;Inside5!I:I, Inside5!G:G), 0)</f>
        <v>0</v>
      </c>
      <c r="L998" cm="1">
        <f t="array" ref="L998">IFERROR(_xlfn.XLOOKUP(C998&amp;A998, Inside5!B:B&amp;Inside5!I:I, Inside5!H:H), 0)</f>
        <v>0</v>
      </c>
      <c r="M998" t="str" cm="1">
        <f t="array" ref="M998">IFERROR(_xlfn.XLOOKUP(C998&amp;A998, TDrate!F:F&amp;TDrate!H:H, TDrate!B:B), "N/A")</f>
        <v>N/A</v>
      </c>
      <c r="N998" t="str" cm="1">
        <f t="array" ref="N998">IFERROR(_xlfn.XLOOKUP(C998&amp;A998, TDrate!F:F&amp;TDrate!H:H, TDrate!D:D), "N/A")</f>
        <v>N/A</v>
      </c>
    </row>
    <row r="999" spans="1:14" x14ac:dyDescent="0.45">
      <c r="A999" s="8">
        <v>2020</v>
      </c>
      <c r="B999" s="9" t="s">
        <v>858</v>
      </c>
      <c r="C999" s="10" t="str">
        <f t="shared" si="30"/>
        <v>Mike Boone</v>
      </c>
      <c r="D999" s="10" t="str">
        <f t="shared" si="31"/>
        <v>MIN</v>
      </c>
      <c r="E999" cm="1">
        <f t="array" ref="E999">IFERROR(_xlfn.XLOOKUP(C999&amp;A999, Inside5!B:B&amp;Inside5!I:I, Inside5!C:C), 0)</f>
        <v>2</v>
      </c>
      <c r="F999" cm="1">
        <f t="array" ref="F999">IFERROR(_xlfn.XLOOKUP(C999&amp;A999, Inside5!B:B&amp;Inside5!I:I, Inside5!D:D), 0)</f>
        <v>1</v>
      </c>
      <c r="G999" cm="1">
        <f t="array" ref="G999">IFERROR(_xlfn.XLOOKUP(C999&amp;A999, Inside5!B:B&amp;Inside5!I:I, Inside5!E:E), 0)</f>
        <v>6.3E-2</v>
      </c>
      <c r="H999" t="str" cm="1">
        <f t="array" ref="H999">IFERROR(_xlfn.XLOOKUP(C999&amp;A999, TDrate!F:F&amp;TDrate!H:H, TDrate!C:C), "N/A")</f>
        <v>N/A</v>
      </c>
      <c r="I999" t="str" cm="1">
        <f t="array" ref="I999">IFERROR(_xlfn.XLOOKUP(C999&amp;A999, TDrate!F:F&amp;TDrate!H:H, TDrate!E:E), "N/A")</f>
        <v>N/A</v>
      </c>
      <c r="J999" cm="1">
        <f t="array" ref="J999">IFERROR(_xlfn.XLOOKUP(C999&amp;A999, Inside5!B:B&amp;Inside5!I:I, Inside5!F:F), 0)</f>
        <v>0</v>
      </c>
      <c r="K999" cm="1">
        <f t="array" ref="K999">IFERROR(_xlfn.XLOOKUP(C999&amp;A999, Inside5!B:B&amp;Inside5!I:I, Inside5!G:G), 0)</f>
        <v>0</v>
      </c>
      <c r="L999" cm="1">
        <f t="array" ref="L999">IFERROR(_xlfn.XLOOKUP(C999&amp;A999, Inside5!B:B&amp;Inside5!I:I, Inside5!H:H), 0)</f>
        <v>0</v>
      </c>
      <c r="M999" t="str" cm="1">
        <f t="array" ref="M999">IFERROR(_xlfn.XLOOKUP(C999&amp;A999, TDrate!F:F&amp;TDrate!H:H, TDrate!B:B), "N/A")</f>
        <v>N/A</v>
      </c>
      <c r="N999" t="str" cm="1">
        <f t="array" ref="N999">IFERROR(_xlfn.XLOOKUP(C999&amp;A999, TDrate!F:F&amp;TDrate!H:H, TDrate!D:D), "N/A")</f>
        <v>N/A</v>
      </c>
    </row>
    <row r="1000" spans="1:14" x14ac:dyDescent="0.45">
      <c r="A1000" s="5">
        <v>2020</v>
      </c>
      <c r="B1000" s="6" t="s">
        <v>763</v>
      </c>
      <c r="C1000" s="7" t="str">
        <f t="shared" si="30"/>
        <v>Ty Montgomery II</v>
      </c>
      <c r="D1000" s="7" t="str">
        <f t="shared" si="31"/>
        <v>NO</v>
      </c>
      <c r="E1000" cm="1">
        <f t="array" ref="E1000">IFERROR(_xlfn.XLOOKUP(C1000&amp;A1000, Inside5!B:B&amp;Inside5!I:I, Inside5!C:C), 0)</f>
        <v>0</v>
      </c>
      <c r="F1000" cm="1">
        <f t="array" ref="F1000">IFERROR(_xlfn.XLOOKUP(C1000&amp;A1000, Inside5!B:B&amp;Inside5!I:I, Inside5!D:D), 0)</f>
        <v>0</v>
      </c>
      <c r="G1000" cm="1">
        <f t="array" ref="G1000">IFERROR(_xlfn.XLOOKUP(C1000&amp;A1000, Inside5!B:B&amp;Inside5!I:I, Inside5!E:E), 0)</f>
        <v>0</v>
      </c>
      <c r="H1000" t="str" cm="1">
        <f t="array" ref="H1000">IFERROR(_xlfn.XLOOKUP(C1000&amp;A1000, TDrate!F:F&amp;TDrate!H:H, TDrate!C:C), "N/A")</f>
        <v>N/A</v>
      </c>
      <c r="I1000" t="str" cm="1">
        <f t="array" ref="I1000">IFERROR(_xlfn.XLOOKUP(C1000&amp;A1000, TDrate!F:F&amp;TDrate!H:H, TDrate!E:E), "N/A")</f>
        <v>N/A</v>
      </c>
      <c r="J1000" cm="1">
        <f t="array" ref="J1000">IFERROR(_xlfn.XLOOKUP(C1000&amp;A1000, Inside5!B:B&amp;Inside5!I:I, Inside5!F:F), 0)</f>
        <v>0</v>
      </c>
      <c r="K1000" cm="1">
        <f t="array" ref="K1000">IFERROR(_xlfn.XLOOKUP(C1000&amp;A1000, Inside5!B:B&amp;Inside5!I:I, Inside5!G:G), 0)</f>
        <v>0</v>
      </c>
      <c r="L1000" cm="1">
        <f t="array" ref="L1000">IFERROR(_xlfn.XLOOKUP(C1000&amp;A1000, Inside5!B:B&amp;Inside5!I:I, Inside5!H:H), 0)</f>
        <v>0</v>
      </c>
      <c r="M1000" t="str" cm="1">
        <f t="array" ref="M1000">IFERROR(_xlfn.XLOOKUP(C1000&amp;A1000, TDrate!F:F&amp;TDrate!H:H, TDrate!B:B), "N/A")</f>
        <v>N/A</v>
      </c>
      <c r="N1000" t="str" cm="1">
        <f t="array" ref="N1000">IFERROR(_xlfn.XLOOKUP(C1000&amp;A1000, TDrate!F:F&amp;TDrate!H:H, TDrate!D:D), "N/A")</f>
        <v>N/A</v>
      </c>
    </row>
    <row r="1001" spans="1:14" x14ac:dyDescent="0.45">
      <c r="A1001" s="8">
        <v>2020</v>
      </c>
      <c r="B1001" s="9" t="s">
        <v>791</v>
      </c>
      <c r="C1001" s="10" t="str">
        <f t="shared" si="30"/>
        <v>Ryan Nall</v>
      </c>
      <c r="D1001" s="10" t="str">
        <f t="shared" si="31"/>
        <v>CHI</v>
      </c>
      <c r="E1001" cm="1">
        <f t="array" aca="1" ref="E1001" ca="1">IFERROR(_xlfn.XLOOKUP(C1001&amp;A1001, Inside5!B:B&amp;Inside5!I:I, Inside5!C:C), 0)</f>
        <v>0</v>
      </c>
      <c r="F1001" cm="1">
        <f t="array" aca="1" ref="F1001" ca="1">IFERROR(_xlfn.XLOOKUP(C1001&amp;A1001, Inside5!B:B&amp;Inside5!I:I, Inside5!D:D), 0)</f>
        <v>0</v>
      </c>
      <c r="G1001" cm="1">
        <f t="array" ref="G1001">IFERROR(_xlfn.XLOOKUP(C1001&amp;A1001, Inside5!B:B&amp;Inside5!I:I, Inside5!E:E), 0)</f>
        <v>0</v>
      </c>
      <c r="H1001" t="str" cm="1">
        <f t="array" ref="H1001">IFERROR(_xlfn.XLOOKUP(C1001&amp;A1001, TDrate!F:F&amp;TDrate!H:H, TDrate!C:C), "N/A")</f>
        <v>N/A</v>
      </c>
      <c r="I1001" t="str" cm="1">
        <f t="array" ref="I1001">IFERROR(_xlfn.XLOOKUP(C1001&amp;A1001, TDrate!F:F&amp;TDrate!H:H, TDrate!E:E), "N/A")</f>
        <v>N/A</v>
      </c>
      <c r="J1001" cm="1">
        <f t="array" ref="J1001">IFERROR(_xlfn.XLOOKUP(C1001&amp;A1001, Inside5!B:B&amp;Inside5!I:I, Inside5!F:F), 0)</f>
        <v>0</v>
      </c>
      <c r="K1001" cm="1">
        <f t="array" aca="1" ref="K1001" ca="1">IFERROR(_xlfn.XLOOKUP(C1001&amp;A1001, Inside5!B:B&amp;Inside5!I:I, Inside5!G:G), 0)</f>
        <v>0</v>
      </c>
      <c r="L1001" cm="1">
        <f t="array" ref="L1001">IFERROR(_xlfn.XLOOKUP(C1001&amp;A1001, Inside5!B:B&amp;Inside5!I:I, Inside5!H:H), 0)</f>
        <v>0</v>
      </c>
      <c r="M1001" t="str" cm="1">
        <f t="array" ref="M1001">IFERROR(_xlfn.XLOOKUP(C1001&amp;A1001, TDrate!F:F&amp;TDrate!H:H, TDrate!B:B), "N/A")</f>
        <v>N/A</v>
      </c>
      <c r="N1001" t="str" cm="1">
        <f t="array" ref="N1001">IFERROR(_xlfn.XLOOKUP(C1001&amp;A1001, TDrate!F:F&amp;TDrate!H:H, TDrate!D:D), "N/A")</f>
        <v>N/A</v>
      </c>
    </row>
    <row r="1002" spans="1:14" x14ac:dyDescent="0.45">
      <c r="A1002" s="5">
        <v>2020</v>
      </c>
      <c r="B1002" s="6" t="s">
        <v>859</v>
      </c>
      <c r="C1002" s="7" t="str">
        <f t="shared" si="30"/>
        <v>DeAndre Washington</v>
      </c>
      <c r="D1002" s="7" t="str">
        <f t="shared" si="31"/>
        <v>MIA</v>
      </c>
      <c r="E1002" cm="1">
        <f t="array" aca="1" ref="E1002" ca="1">IFERROR(_xlfn.XLOOKUP(C1002&amp;A1002, Inside5!B:B&amp;Inside5!I:I, Inside5!C:C), 0)</f>
        <v>2</v>
      </c>
      <c r="F1002" cm="1">
        <f t="array" aca="1" ref="F1002" ca="1">IFERROR(_xlfn.XLOOKUP(C1002&amp;A1002, Inside5!B:B&amp;Inside5!I:I, Inside5!D:D), 0)</f>
        <v>0</v>
      </c>
      <c r="G1002" cm="1">
        <f t="array" ref="G1002">IFERROR(_xlfn.XLOOKUP(C1002&amp;A1002, Inside5!B:B&amp;Inside5!I:I, Inside5!E:E), 0)</f>
        <v>0.11799999999999999</v>
      </c>
      <c r="H1002" cm="1">
        <f t="array" ref="H1002">IFERROR(_xlfn.XLOOKUP(C1002&amp;A1002, TDrate!F:F&amp;TDrate!H:H, TDrate!C:C), "N/A")</f>
        <v>0</v>
      </c>
      <c r="I1002" cm="1">
        <f t="array" ref="I1002">IFERROR(_xlfn.XLOOKUP(C1002&amp;A1002, TDrate!F:F&amp;TDrate!H:H, TDrate!E:E), "N/A")</f>
        <v>2.41E-2</v>
      </c>
      <c r="J1002" cm="1">
        <f t="array" ref="J1002">IFERROR(_xlfn.XLOOKUP(C1002&amp;A1002, Inside5!B:B&amp;Inside5!I:I, Inside5!F:F), 0)</f>
        <v>0</v>
      </c>
      <c r="K1002" cm="1">
        <f t="array" ref="K1002">IFERROR(_xlfn.XLOOKUP(C1002&amp;A1002, Inside5!B:B&amp;Inside5!I:I, Inside5!G:G), 0)</f>
        <v>0</v>
      </c>
      <c r="L1002" cm="1">
        <f t="array" ref="L1002">IFERROR(_xlfn.XLOOKUP(C1002&amp;A1002, Inside5!B:B&amp;Inside5!I:I, Inside5!H:H), 0)</f>
        <v>0</v>
      </c>
      <c r="M1002" cm="1">
        <f t="array" ref="M1002">IFERROR(_xlfn.XLOOKUP(C1002&amp;A1002, TDrate!F:F&amp;TDrate!H:H, TDrate!B:B), "N/A")</f>
        <v>0</v>
      </c>
      <c r="N1002" cm="1">
        <f t="array" ref="N1002">IFERROR(_xlfn.XLOOKUP(C1002&amp;A1002, TDrate!F:F&amp;TDrate!H:H, TDrate!D:D), "N/A")</f>
        <v>9.1999999999999998E-3</v>
      </c>
    </row>
    <row r="1003" spans="1:14" x14ac:dyDescent="0.45">
      <c r="A1003" s="8">
        <v>2020</v>
      </c>
      <c r="B1003" s="9" t="s">
        <v>782</v>
      </c>
      <c r="C1003" s="10" t="str">
        <f t="shared" si="30"/>
        <v>Patrick Laird</v>
      </c>
      <c r="D1003" s="10" t="str">
        <f t="shared" si="31"/>
        <v>MIA</v>
      </c>
      <c r="E1003" cm="1">
        <f t="array" aca="1" ref="E1003" ca="1">IFERROR(_xlfn.XLOOKUP(C1003&amp;A1003, Inside5!B:B&amp;Inside5!I:I, Inside5!C:C), 0)</f>
        <v>0</v>
      </c>
      <c r="F1003" cm="1">
        <f t="array" aca="1" ref="F1003" ca="1">IFERROR(_xlfn.XLOOKUP(C1003&amp;A1003, Inside5!B:B&amp;Inside5!I:I, Inside5!D:D), 0)</f>
        <v>0</v>
      </c>
      <c r="G1003" cm="1">
        <f t="array" ref="G1003">IFERROR(_xlfn.XLOOKUP(C1003&amp;A1003, Inside5!B:B&amp;Inside5!I:I, Inside5!E:E), 0)</f>
        <v>0</v>
      </c>
      <c r="H1003" t="str" cm="1">
        <f t="array" ref="H1003">IFERROR(_xlfn.XLOOKUP(C1003&amp;A1003, TDrate!F:F&amp;TDrate!H:H, TDrate!C:C), "N/A")</f>
        <v>N/A</v>
      </c>
      <c r="I1003" t="str" cm="1">
        <f t="array" ref="I1003">IFERROR(_xlfn.XLOOKUP(C1003&amp;A1003, TDrate!F:F&amp;TDrate!H:H, TDrate!E:E), "N/A")</f>
        <v>N/A</v>
      </c>
      <c r="J1003" cm="1">
        <f t="array" ref="J1003">IFERROR(_xlfn.XLOOKUP(C1003&amp;A1003, Inside5!B:B&amp;Inside5!I:I, Inside5!F:F), 0)</f>
        <v>0</v>
      </c>
      <c r="K1003" cm="1">
        <f t="array" ref="K1003">IFERROR(_xlfn.XLOOKUP(C1003&amp;A1003, Inside5!B:B&amp;Inside5!I:I, Inside5!G:G), 0)</f>
        <v>0</v>
      </c>
      <c r="L1003" cm="1">
        <f t="array" ref="L1003">IFERROR(_xlfn.XLOOKUP(C1003&amp;A1003, Inside5!B:B&amp;Inside5!I:I, Inside5!H:H), 0)</f>
        <v>0</v>
      </c>
      <c r="M1003" t="str" cm="1">
        <f t="array" ref="M1003">IFERROR(_xlfn.XLOOKUP(C1003&amp;A1003, TDrate!F:F&amp;TDrate!H:H, TDrate!B:B), "N/A")</f>
        <v>N/A</v>
      </c>
      <c r="N1003" t="str" cm="1">
        <f t="array" ref="N1003">IFERROR(_xlfn.XLOOKUP(C1003&amp;A1003, TDrate!F:F&amp;TDrate!H:H, TDrate!D:D), "N/A")</f>
        <v>N/A</v>
      </c>
    </row>
    <row r="1004" spans="1:14" x14ac:dyDescent="0.45">
      <c r="A1004" s="5">
        <v>2020</v>
      </c>
      <c r="B1004" s="6" t="s">
        <v>860</v>
      </c>
      <c r="C1004" s="7" t="str">
        <f t="shared" si="30"/>
        <v>Troymaine Pope</v>
      </c>
      <c r="D1004" s="7" t="str">
        <f t="shared" si="31"/>
        <v>LAC</v>
      </c>
      <c r="E1004" cm="1">
        <f t="array" ref="E1004">IFERROR(_xlfn.XLOOKUP(C1004&amp;A1004, Inside5!B:B&amp;Inside5!I:I, Inside5!C:C), 0)</f>
        <v>0</v>
      </c>
      <c r="F1004" cm="1">
        <f t="array" ref="F1004">IFERROR(_xlfn.XLOOKUP(C1004&amp;A1004, Inside5!B:B&amp;Inside5!I:I, Inside5!D:D), 0)</f>
        <v>0</v>
      </c>
      <c r="G1004" cm="1">
        <f t="array" ref="G1004">IFERROR(_xlfn.XLOOKUP(C1004&amp;A1004, Inside5!B:B&amp;Inside5!I:I, Inside5!E:E), 0)</f>
        <v>0</v>
      </c>
      <c r="H1004" t="str" cm="1">
        <f t="array" ref="H1004">IFERROR(_xlfn.XLOOKUP(C1004&amp;A1004, TDrate!F:F&amp;TDrate!H:H, TDrate!C:C), "N/A")</f>
        <v>N/A</v>
      </c>
      <c r="I1004" t="str" cm="1">
        <f t="array" ref="I1004">IFERROR(_xlfn.XLOOKUP(C1004&amp;A1004, TDrate!F:F&amp;TDrate!H:H, TDrate!E:E), "N/A")</f>
        <v>N/A</v>
      </c>
      <c r="J1004" cm="1">
        <f t="array" ref="J1004">IFERROR(_xlfn.XLOOKUP(C1004&amp;A1004, Inside5!B:B&amp;Inside5!I:I, Inside5!F:F), 0)</f>
        <v>0</v>
      </c>
      <c r="K1004" cm="1">
        <f t="array" ref="K1004">IFERROR(_xlfn.XLOOKUP(C1004&amp;A1004, Inside5!B:B&amp;Inside5!I:I, Inside5!G:G), 0)</f>
        <v>0</v>
      </c>
      <c r="L1004" cm="1">
        <f t="array" ref="L1004">IFERROR(_xlfn.XLOOKUP(C1004&amp;A1004, Inside5!B:B&amp;Inside5!I:I, Inside5!H:H), 0)</f>
        <v>0</v>
      </c>
      <c r="M1004" t="str" cm="1">
        <f t="array" ref="M1004">IFERROR(_xlfn.XLOOKUP(C1004&amp;A1004, TDrate!F:F&amp;TDrate!H:H, TDrate!B:B), "N/A")</f>
        <v>N/A</v>
      </c>
      <c r="N1004" t="str" cm="1">
        <f t="array" ref="N1004">IFERROR(_xlfn.XLOOKUP(C1004&amp;A1004, TDrate!F:F&amp;TDrate!H:H, TDrate!D:D), "N/A")</f>
        <v>N/A</v>
      </c>
    </row>
    <row r="1005" spans="1:14" x14ac:dyDescent="0.45">
      <c r="A1005" s="8">
        <v>2020</v>
      </c>
      <c r="B1005" s="9" t="s">
        <v>797</v>
      </c>
      <c r="C1005" s="10" t="str">
        <f t="shared" si="30"/>
        <v>Tarik Cohen</v>
      </c>
      <c r="D1005" s="10" t="str">
        <f t="shared" si="31"/>
        <v>CHI</v>
      </c>
      <c r="E1005" cm="1">
        <f t="array" ref="E1005">IFERROR(_xlfn.XLOOKUP(C1005&amp;A1005, Inside5!B:B&amp;Inside5!I:I, Inside5!C:C), 0)</f>
        <v>0</v>
      </c>
      <c r="F1005" cm="1">
        <f t="array" ref="F1005">IFERROR(_xlfn.XLOOKUP(C1005&amp;A1005, Inside5!B:B&amp;Inside5!I:I, Inside5!D:D), 0)</f>
        <v>0</v>
      </c>
      <c r="G1005" cm="1">
        <f t="array" ref="G1005">IFERROR(_xlfn.XLOOKUP(C1005&amp;A1005, Inside5!B:B&amp;Inside5!I:I, Inside5!E:E), 0)</f>
        <v>0</v>
      </c>
      <c r="H1005" t="str" cm="1">
        <f t="array" ref="H1005">IFERROR(_xlfn.XLOOKUP(C1005&amp;A1005, TDrate!F:F&amp;TDrate!H:H, TDrate!C:C), "N/A")</f>
        <v>N/A</v>
      </c>
      <c r="I1005" t="str" cm="1">
        <f t="array" ref="I1005">IFERROR(_xlfn.XLOOKUP(C1005&amp;A1005, TDrate!F:F&amp;TDrate!H:H, TDrate!E:E), "N/A")</f>
        <v>N/A</v>
      </c>
      <c r="J1005" cm="1">
        <f t="array" ref="J1005">IFERROR(_xlfn.XLOOKUP(C1005&amp;A1005, Inside5!B:B&amp;Inside5!I:I, Inside5!F:F), 0)</f>
        <v>0</v>
      </c>
      <c r="K1005" cm="1">
        <f t="array" ref="K1005">IFERROR(_xlfn.XLOOKUP(C1005&amp;A1005, Inside5!B:B&amp;Inside5!I:I, Inside5!G:G), 0)</f>
        <v>0</v>
      </c>
      <c r="L1005" cm="1">
        <f t="array" ref="L1005">IFERROR(_xlfn.XLOOKUP(C1005&amp;A1005, Inside5!B:B&amp;Inside5!I:I, Inside5!H:H), 0)</f>
        <v>0</v>
      </c>
      <c r="M1005" t="str" cm="1">
        <f t="array" ref="M1005">IFERROR(_xlfn.XLOOKUP(C1005&amp;A1005, TDrate!F:F&amp;TDrate!H:H, TDrate!B:B), "N/A")</f>
        <v>N/A</v>
      </c>
      <c r="N1005" t="str" cm="1">
        <f t="array" ref="N1005">IFERROR(_xlfn.XLOOKUP(C1005&amp;A1005, TDrate!F:F&amp;TDrate!H:H, TDrate!D:D), "N/A")</f>
        <v>N/A</v>
      </c>
    </row>
    <row r="1006" spans="1:14" x14ac:dyDescent="0.45">
      <c r="A1006" s="5">
        <v>2020</v>
      </c>
      <c r="B1006" s="6" t="s">
        <v>692</v>
      </c>
      <c r="C1006" s="7" t="str">
        <f t="shared" si="30"/>
        <v>J.J. Taylor</v>
      </c>
      <c r="D1006" s="7" t="str">
        <f t="shared" si="31"/>
        <v>NE</v>
      </c>
      <c r="E1006" cm="1">
        <f t="array" aca="1" ref="E1006" ca="1">IFERROR(_xlfn.XLOOKUP(C1006&amp;A1006, Inside5!B:B&amp;Inside5!I:I, Inside5!C:C), 0)</f>
        <v>0</v>
      </c>
      <c r="F1006" cm="1">
        <f t="array" ref="F1006">IFERROR(_xlfn.XLOOKUP(C1006&amp;A1006, Inside5!B:B&amp;Inside5!I:I, Inside5!D:D), 0)</f>
        <v>0</v>
      </c>
      <c r="G1006" cm="1">
        <f t="array" ref="G1006">IFERROR(_xlfn.XLOOKUP(C1006&amp;A1006, Inside5!B:B&amp;Inside5!I:I, Inside5!E:E), 0)</f>
        <v>0</v>
      </c>
      <c r="H1006" t="str" cm="1">
        <f t="array" ref="H1006">IFERROR(_xlfn.XLOOKUP(C1006&amp;A1006, TDrate!F:F&amp;TDrate!H:H, TDrate!C:C), "N/A")</f>
        <v>N/A</v>
      </c>
      <c r="I1006" t="str" cm="1">
        <f t="array" ref="I1006">IFERROR(_xlfn.XLOOKUP(C1006&amp;A1006, TDrate!F:F&amp;TDrate!H:H, TDrate!E:E), "N/A")</f>
        <v>N/A</v>
      </c>
      <c r="J1006" cm="1">
        <f t="array" ref="J1006">IFERROR(_xlfn.XLOOKUP(C1006&amp;A1006, Inside5!B:B&amp;Inside5!I:I, Inside5!F:F), 0)</f>
        <v>0</v>
      </c>
      <c r="K1006" cm="1">
        <f t="array" ref="K1006">IFERROR(_xlfn.XLOOKUP(C1006&amp;A1006, Inside5!B:B&amp;Inside5!I:I, Inside5!G:G), 0)</f>
        <v>0</v>
      </c>
      <c r="L1006" cm="1">
        <f t="array" ref="L1006">IFERROR(_xlfn.XLOOKUP(C1006&amp;A1006, Inside5!B:B&amp;Inside5!I:I, Inside5!H:H), 0)</f>
        <v>0</v>
      </c>
      <c r="M1006" t="str" cm="1">
        <f t="array" ref="M1006">IFERROR(_xlfn.XLOOKUP(C1006&amp;A1006, TDrate!F:F&amp;TDrate!H:H, TDrate!B:B), "N/A")</f>
        <v>N/A</v>
      </c>
      <c r="N1006" t="str" cm="1">
        <f t="array" ref="N1006">IFERROR(_xlfn.XLOOKUP(C1006&amp;A1006, TDrate!F:F&amp;TDrate!H:H, TDrate!D:D), "N/A")</f>
        <v>N/A</v>
      </c>
    </row>
    <row r="1007" spans="1:14" x14ac:dyDescent="0.45">
      <c r="A1007" s="8">
        <v>2020</v>
      </c>
      <c r="B1007" s="9" t="s">
        <v>777</v>
      </c>
      <c r="C1007" s="10" t="str">
        <f t="shared" si="30"/>
        <v>Jakob Johnson</v>
      </c>
      <c r="D1007" s="10" t="str">
        <f t="shared" si="31"/>
        <v>NE</v>
      </c>
      <c r="E1007" cm="1">
        <f t="array" aca="1" ref="E1007" ca="1">IFERROR(_xlfn.XLOOKUP(C1007&amp;A1007, Inside5!B:B&amp;Inside5!I:I, Inside5!C:C), 0)</f>
        <v>0</v>
      </c>
      <c r="F1007" cm="1">
        <f t="array" aca="1" ref="F1007" ca="1">IFERROR(_xlfn.XLOOKUP(C1007&amp;A1007, Inside5!B:B&amp;Inside5!I:I, Inside5!D:D), 0)</f>
        <v>0</v>
      </c>
      <c r="G1007" cm="1">
        <f t="array" ref="G1007">IFERROR(_xlfn.XLOOKUP(C1007&amp;A1007, Inside5!B:B&amp;Inside5!I:I, Inside5!E:E), 0)</f>
        <v>0</v>
      </c>
      <c r="H1007" t="str" cm="1">
        <f t="array" ref="H1007">IFERROR(_xlfn.XLOOKUP(C1007&amp;A1007, TDrate!F:F&amp;TDrate!H:H, TDrate!C:C), "N/A")</f>
        <v>N/A</v>
      </c>
      <c r="I1007" t="str" cm="1">
        <f t="array" ref="I1007">IFERROR(_xlfn.XLOOKUP(C1007&amp;A1007, TDrate!F:F&amp;TDrate!H:H, TDrate!E:E), "N/A")</f>
        <v>N/A</v>
      </c>
      <c r="J1007" cm="1">
        <f t="array" ref="J1007">IFERROR(_xlfn.XLOOKUP(C1007&amp;A1007, Inside5!B:B&amp;Inside5!I:I, Inside5!F:F), 0)</f>
        <v>1</v>
      </c>
      <c r="K1007" cm="1">
        <f t="array" ref="K1007">IFERROR(_xlfn.XLOOKUP(C1007&amp;A1007, Inside5!B:B&amp;Inside5!I:I, Inside5!G:G), 0)</f>
        <v>1</v>
      </c>
      <c r="L1007" cm="1">
        <f t="array" ref="L1007">IFERROR(_xlfn.XLOOKUP(C1007&amp;A1007, Inside5!B:B&amp;Inside5!I:I, Inside5!H:H), 0)</f>
        <v>1</v>
      </c>
      <c r="M1007" t="str" cm="1">
        <f t="array" ref="M1007">IFERROR(_xlfn.XLOOKUP(C1007&amp;A1007, TDrate!F:F&amp;TDrate!H:H, TDrate!B:B), "N/A")</f>
        <v>N/A</v>
      </c>
      <c r="N1007" t="str" cm="1">
        <f t="array" ref="N1007">IFERROR(_xlfn.XLOOKUP(C1007&amp;A1007, TDrate!F:F&amp;TDrate!H:H, TDrate!D:D), "N/A")</f>
        <v>N/A</v>
      </c>
    </row>
    <row r="1008" spans="1:14" x14ac:dyDescent="0.45">
      <c r="A1008" s="5">
        <v>2020</v>
      </c>
      <c r="B1008" s="6" t="s">
        <v>547</v>
      </c>
      <c r="C1008" s="7" t="str">
        <f t="shared" si="30"/>
        <v>Saquon Barkley</v>
      </c>
      <c r="D1008" s="7" t="str">
        <f t="shared" si="31"/>
        <v>NYG</v>
      </c>
      <c r="E1008" cm="1">
        <f t="array" aca="1" ref="E1008" ca="1">IFERROR(_xlfn.XLOOKUP(C1008&amp;A1008, Inside5!B:B&amp;Inside5!I:I, Inside5!C:C), 0)</f>
        <v>1</v>
      </c>
      <c r="F1008" cm="1">
        <f t="array" aca="1" ref="F1008" ca="1">IFERROR(_xlfn.XLOOKUP(C1008&amp;A1008, Inside5!B:B&amp;Inside5!I:I, Inside5!D:D), 0)</f>
        <v>0</v>
      </c>
      <c r="G1008" cm="1">
        <f t="array" ref="G1008">IFERROR(_xlfn.XLOOKUP(C1008&amp;A1008, Inside5!B:B&amp;Inside5!I:I, Inside5!E:E), 0)</f>
        <v>5.8999999999999997E-2</v>
      </c>
      <c r="H1008" t="str" cm="1">
        <f t="array" ref="H1008">IFERROR(_xlfn.XLOOKUP(C1008&amp;A1008, TDrate!F:F&amp;TDrate!H:H, TDrate!C:C), "N/A")</f>
        <v>N/A</v>
      </c>
      <c r="I1008" t="str" cm="1">
        <f t="array" ref="I1008">IFERROR(_xlfn.XLOOKUP(C1008&amp;A1008, TDrate!F:F&amp;TDrate!H:H, TDrate!E:E), "N/A")</f>
        <v>N/A</v>
      </c>
      <c r="J1008" cm="1">
        <f t="array" ref="J1008">IFERROR(_xlfn.XLOOKUP(C1008&amp;A1008, Inside5!B:B&amp;Inside5!I:I, Inside5!F:F), 0)</f>
        <v>0</v>
      </c>
      <c r="K1008" cm="1">
        <f t="array" ref="K1008">IFERROR(_xlfn.XLOOKUP(C1008&amp;A1008, Inside5!B:B&amp;Inside5!I:I, Inside5!G:G), 0)</f>
        <v>0</v>
      </c>
      <c r="L1008" cm="1">
        <f t="array" ref="L1008">IFERROR(_xlfn.XLOOKUP(C1008&amp;A1008, Inside5!B:B&amp;Inside5!I:I, Inside5!H:H), 0)</f>
        <v>0</v>
      </c>
      <c r="M1008" t="str" cm="1">
        <f t="array" ref="M1008">IFERROR(_xlfn.XLOOKUP(C1008&amp;A1008, TDrate!F:F&amp;TDrate!H:H, TDrate!B:B), "N/A")</f>
        <v>N/A</v>
      </c>
      <c r="N1008" t="str" cm="1">
        <f t="array" ref="N1008">IFERROR(_xlfn.XLOOKUP(C1008&amp;A1008, TDrate!F:F&amp;TDrate!H:H, TDrate!D:D), "N/A")</f>
        <v>N/A</v>
      </c>
    </row>
    <row r="1009" spans="1:14" x14ac:dyDescent="0.45">
      <c r="A1009" s="8">
        <v>2020</v>
      </c>
      <c r="B1009" s="9" t="s">
        <v>807</v>
      </c>
      <c r="C1009" s="10" t="str">
        <f t="shared" si="30"/>
        <v>Artavis Pierce</v>
      </c>
      <c r="D1009" s="10" t="str">
        <f t="shared" si="31"/>
        <v>CHI</v>
      </c>
      <c r="E1009" cm="1">
        <f t="array" ref="E1009">IFERROR(_xlfn.XLOOKUP(C1009&amp;A1009, Inside5!B:B&amp;Inside5!I:I, Inside5!C:C), 0)</f>
        <v>1</v>
      </c>
      <c r="F1009" cm="1">
        <f t="array" aca="1" ref="F1009" ca="1">IFERROR(_xlfn.XLOOKUP(C1009&amp;A1009, Inside5!B:B&amp;Inside5!I:I, Inside5!D:D), 0)</f>
        <v>1</v>
      </c>
      <c r="G1009" cm="1">
        <f t="array" ref="G1009">IFERROR(_xlfn.XLOOKUP(C1009&amp;A1009, Inside5!B:B&amp;Inside5!I:I, Inside5!E:E), 0)</f>
        <v>6.3E-2</v>
      </c>
      <c r="H1009" t="str" cm="1">
        <f t="array" ref="H1009">IFERROR(_xlfn.XLOOKUP(C1009&amp;A1009, TDrate!F:F&amp;TDrate!H:H, TDrate!C:C), "N/A")</f>
        <v>N/A</v>
      </c>
      <c r="I1009" t="str" cm="1">
        <f t="array" ref="I1009">IFERROR(_xlfn.XLOOKUP(C1009&amp;A1009, TDrate!F:F&amp;TDrate!H:H, TDrate!E:E), "N/A")</f>
        <v>N/A</v>
      </c>
      <c r="J1009" cm="1">
        <f t="array" ref="J1009">IFERROR(_xlfn.XLOOKUP(C1009&amp;A1009, Inside5!B:B&amp;Inside5!I:I, Inside5!F:F), 0)</f>
        <v>0</v>
      </c>
      <c r="K1009" cm="1">
        <f t="array" aca="1" ref="K1009" ca="1">IFERROR(_xlfn.XLOOKUP(C1009&amp;A1009, Inside5!B:B&amp;Inside5!I:I, Inside5!G:G), 0)</f>
        <v>0</v>
      </c>
      <c r="L1009" cm="1">
        <f t="array" ref="L1009">IFERROR(_xlfn.XLOOKUP(C1009&amp;A1009, Inside5!B:B&amp;Inside5!I:I, Inside5!H:H), 0)</f>
        <v>0</v>
      </c>
      <c r="M1009" t="str" cm="1">
        <f t="array" ref="M1009">IFERROR(_xlfn.XLOOKUP(C1009&amp;A1009, TDrate!F:F&amp;TDrate!H:H, TDrate!B:B), "N/A")</f>
        <v>N/A</v>
      </c>
      <c r="N1009" t="str" cm="1">
        <f t="array" ref="N1009">IFERROR(_xlfn.XLOOKUP(C1009&amp;A1009, TDrate!F:F&amp;TDrate!H:H, TDrate!D:D), "N/A")</f>
        <v>N/A</v>
      </c>
    </row>
    <row r="1010" spans="1:14" x14ac:dyDescent="0.45">
      <c r="A1010" s="5">
        <v>2020</v>
      </c>
      <c r="B1010" s="6" t="s">
        <v>666</v>
      </c>
      <c r="C1010" s="7" t="str">
        <f t="shared" si="30"/>
        <v>Tevin Coleman</v>
      </c>
      <c r="D1010" s="7" t="str">
        <f t="shared" si="31"/>
        <v>SF</v>
      </c>
      <c r="E1010" cm="1">
        <f t="array" ref="E1010">IFERROR(_xlfn.XLOOKUP(C1010&amp;A1010, Inside5!B:B&amp;Inside5!I:I, Inside5!C:C), 0)</f>
        <v>1</v>
      </c>
      <c r="F1010" cm="1">
        <f t="array" ref="F1010">IFERROR(_xlfn.XLOOKUP(C1010&amp;A1010, Inside5!B:B&amp;Inside5!I:I, Inside5!D:D), 0)</f>
        <v>0</v>
      </c>
      <c r="G1010" cm="1">
        <f t="array" ref="G1010">IFERROR(_xlfn.XLOOKUP(C1010&amp;A1010, Inside5!B:B&amp;Inside5!I:I, Inside5!E:E), 0)</f>
        <v>4.2000000000000003E-2</v>
      </c>
      <c r="H1010" cm="1">
        <f t="array" ref="H1010">IFERROR(_xlfn.XLOOKUP(C1010&amp;A1010, TDrate!F:F&amp;TDrate!H:H, TDrate!C:C), "N/A")</f>
        <v>0</v>
      </c>
      <c r="I1010" cm="1">
        <f t="array" ref="I1010">IFERROR(_xlfn.XLOOKUP(C1010&amp;A1010, TDrate!F:F&amp;TDrate!H:H, TDrate!E:E), "N/A")</f>
        <v>1.2200000000000001E-2</v>
      </c>
      <c r="J1010" cm="1">
        <f t="array" ref="J1010">IFERROR(_xlfn.XLOOKUP(C1010&amp;A1010, Inside5!B:B&amp;Inside5!I:I, Inside5!F:F), 0)</f>
        <v>0</v>
      </c>
      <c r="K1010" cm="1">
        <f t="array" ref="K1010">IFERROR(_xlfn.XLOOKUP(C1010&amp;A1010, Inside5!B:B&amp;Inside5!I:I, Inside5!G:G), 0)</f>
        <v>0</v>
      </c>
      <c r="L1010" cm="1">
        <f t="array" ref="L1010">IFERROR(_xlfn.XLOOKUP(C1010&amp;A1010, Inside5!B:B&amp;Inside5!I:I, Inside5!H:H), 0)</f>
        <v>0</v>
      </c>
      <c r="M1010" cm="1">
        <f t="array" ref="M1010">IFERROR(_xlfn.XLOOKUP(C1010&amp;A1010, TDrate!F:F&amp;TDrate!H:H, TDrate!B:B), "N/A")</f>
        <v>0</v>
      </c>
      <c r="N1010" cm="1">
        <f t="array" ref="N1010">IFERROR(_xlfn.XLOOKUP(C1010&amp;A1010, TDrate!F:F&amp;TDrate!H:H, TDrate!D:D), "N/A")</f>
        <v>1.2800000000000001E-2</v>
      </c>
    </row>
    <row r="1011" spans="1:14" x14ac:dyDescent="0.45">
      <c r="A1011" s="8">
        <v>2020</v>
      </c>
      <c r="B1011" s="9" t="s">
        <v>437</v>
      </c>
      <c r="C1011" s="10" t="str">
        <f t="shared" si="30"/>
        <v>Patrick Ricard</v>
      </c>
      <c r="D1011" s="10" t="str">
        <f t="shared" si="31"/>
        <v>BAL</v>
      </c>
      <c r="E1011" cm="1">
        <f t="array" aca="1" ref="E1011" ca="1">IFERROR(_xlfn.XLOOKUP(C1011&amp;A1011, Inside5!B:B&amp;Inside5!I:I, Inside5!C:C), 0)</f>
        <v>0</v>
      </c>
      <c r="F1011" cm="1">
        <f t="array" ref="F1011">IFERROR(_xlfn.XLOOKUP(C1011&amp;A1011, Inside5!B:B&amp;Inside5!I:I, Inside5!D:D), 0)</f>
        <v>0</v>
      </c>
      <c r="G1011" cm="1">
        <f t="array" ref="G1011">IFERROR(_xlfn.XLOOKUP(C1011&amp;A1011, Inside5!B:B&amp;Inside5!I:I, Inside5!E:E), 0)</f>
        <v>0</v>
      </c>
      <c r="H1011" t="str" cm="1">
        <f t="array" ref="H1011">IFERROR(_xlfn.XLOOKUP(C1011&amp;A1011, TDrate!F:F&amp;TDrate!H:H, TDrate!C:C), "N/A")</f>
        <v>N/A</v>
      </c>
      <c r="I1011" t="str" cm="1">
        <f t="array" ref="I1011">IFERROR(_xlfn.XLOOKUP(C1011&amp;A1011, TDrate!F:F&amp;TDrate!H:H, TDrate!E:E), "N/A")</f>
        <v>N/A</v>
      </c>
      <c r="J1011" cm="1">
        <f t="array" ref="J1011">IFERROR(_xlfn.XLOOKUP(C1011&amp;A1011, Inside5!B:B&amp;Inside5!I:I, Inside5!F:F), 0)</f>
        <v>1</v>
      </c>
      <c r="K1011" cm="1">
        <f t="array" ref="K1011">IFERROR(_xlfn.XLOOKUP(C1011&amp;A1011, Inside5!B:B&amp;Inside5!I:I, Inside5!G:G), 0)</f>
        <v>1</v>
      </c>
      <c r="L1011" cm="1">
        <f t="array" ref="L1011">IFERROR(_xlfn.XLOOKUP(C1011&amp;A1011, Inside5!B:B&amp;Inside5!I:I, Inside5!H:H), 0)</f>
        <v>1</v>
      </c>
      <c r="M1011" t="str" cm="1">
        <f t="array" ref="M1011">IFERROR(_xlfn.XLOOKUP(C1011&amp;A1011, TDrate!F:F&amp;TDrate!H:H, TDrate!B:B), "N/A")</f>
        <v>N/A</v>
      </c>
      <c r="N1011" t="str" cm="1">
        <f t="array" ref="N1011">IFERROR(_xlfn.XLOOKUP(C1011&amp;A1011, TDrate!F:F&amp;TDrate!H:H, TDrate!D:D), "N/A")</f>
        <v>N/A</v>
      </c>
    </row>
    <row r="1012" spans="1:14" x14ac:dyDescent="0.45">
      <c r="A1012" s="5">
        <v>2020</v>
      </c>
      <c r="B1012" s="6" t="s">
        <v>382</v>
      </c>
      <c r="C1012" s="7" t="str">
        <f t="shared" si="30"/>
        <v>Justice Hill</v>
      </c>
      <c r="D1012" s="7" t="str">
        <f t="shared" si="31"/>
        <v>BAL</v>
      </c>
      <c r="E1012" cm="1">
        <f t="array" ref="E1012">IFERROR(_xlfn.XLOOKUP(C1012&amp;A1012, Inside5!B:B&amp;Inside5!I:I, Inside5!C:C), 0)</f>
        <v>2</v>
      </c>
      <c r="F1012" cm="1">
        <f t="array" ref="F1012">IFERROR(_xlfn.XLOOKUP(C1012&amp;A1012, Inside5!B:B&amp;Inside5!I:I, Inside5!D:D), 0)</f>
        <v>0</v>
      </c>
      <c r="G1012" cm="1">
        <f t="array" ref="G1012">IFERROR(_xlfn.XLOOKUP(C1012&amp;A1012, Inside5!B:B&amp;Inside5!I:I, Inside5!E:E), 0)</f>
        <v>9.0999999999999998E-2</v>
      </c>
      <c r="H1012" t="str" cm="1">
        <f t="array" ref="H1012">IFERROR(_xlfn.XLOOKUP(C1012&amp;A1012, TDrate!F:F&amp;TDrate!H:H, TDrate!C:C), "N/A")</f>
        <v>N/A</v>
      </c>
      <c r="I1012" t="str" cm="1">
        <f t="array" ref="I1012">IFERROR(_xlfn.XLOOKUP(C1012&amp;A1012, TDrate!F:F&amp;TDrate!H:H, TDrate!E:E), "N/A")</f>
        <v>N/A</v>
      </c>
      <c r="J1012" cm="1">
        <f t="array" ref="J1012">IFERROR(_xlfn.XLOOKUP(C1012&amp;A1012, Inside5!B:B&amp;Inside5!I:I, Inside5!F:F), 0)</f>
        <v>0</v>
      </c>
      <c r="K1012" cm="1">
        <f t="array" ref="K1012">IFERROR(_xlfn.XLOOKUP(C1012&amp;A1012, Inside5!B:B&amp;Inside5!I:I, Inside5!G:G), 0)</f>
        <v>0</v>
      </c>
      <c r="L1012" cm="1">
        <f t="array" ref="L1012">IFERROR(_xlfn.XLOOKUP(C1012&amp;A1012, Inside5!B:B&amp;Inside5!I:I, Inside5!H:H), 0)</f>
        <v>0</v>
      </c>
      <c r="M1012" t="str" cm="1">
        <f t="array" ref="M1012">IFERROR(_xlfn.XLOOKUP(C1012&amp;A1012, TDrate!F:F&amp;TDrate!H:H, TDrate!B:B), "N/A")</f>
        <v>N/A</v>
      </c>
      <c r="N1012" t="str" cm="1">
        <f t="array" ref="N1012">IFERROR(_xlfn.XLOOKUP(C1012&amp;A1012, TDrate!F:F&amp;TDrate!H:H, TDrate!D:D), "N/A")</f>
        <v>N/A</v>
      </c>
    </row>
    <row r="1013" spans="1:14" x14ac:dyDescent="0.45">
      <c r="A1013" s="8">
        <v>2020</v>
      </c>
      <c r="B1013" s="9" t="s">
        <v>861</v>
      </c>
      <c r="C1013" s="10" t="str">
        <f t="shared" si="30"/>
        <v>C.J. Prosise</v>
      </c>
      <c r="D1013" s="10" t="str">
        <f t="shared" si="31"/>
        <v>HOU</v>
      </c>
      <c r="E1013" cm="1">
        <f t="array" aca="1" ref="E1013" ca="1">IFERROR(_xlfn.XLOOKUP(C1013&amp;A1013, Inside5!B:B&amp;Inside5!I:I, Inside5!C:C), 0)</f>
        <v>1</v>
      </c>
      <c r="F1013" cm="1">
        <f t="array" aca="1" ref="F1013" ca="1">IFERROR(_xlfn.XLOOKUP(C1013&amp;A1013, Inside5!B:B&amp;Inside5!I:I, Inside5!D:D), 0)</f>
        <v>0</v>
      </c>
      <c r="G1013" cm="1">
        <f t="array" ref="G1013">IFERROR(_xlfn.XLOOKUP(C1013&amp;A1013, Inside5!B:B&amp;Inside5!I:I, Inside5!E:E), 0)</f>
        <v>7.6999999999999999E-2</v>
      </c>
      <c r="H1013" t="str" cm="1">
        <f t="array" ref="H1013">IFERROR(_xlfn.XLOOKUP(C1013&amp;A1013, TDrate!F:F&amp;TDrate!H:H, TDrate!C:C), "N/A")</f>
        <v>N/A</v>
      </c>
      <c r="I1013" t="str" cm="1">
        <f t="array" ref="I1013">IFERROR(_xlfn.XLOOKUP(C1013&amp;A1013, TDrate!F:F&amp;TDrate!H:H, TDrate!E:E), "N/A")</f>
        <v>N/A</v>
      </c>
      <c r="J1013" cm="1">
        <f t="array" ref="J1013">IFERROR(_xlfn.XLOOKUP(C1013&amp;A1013, Inside5!B:B&amp;Inside5!I:I, Inside5!F:F), 0)</f>
        <v>1</v>
      </c>
      <c r="K1013" cm="1">
        <f t="array" ref="K1013">IFERROR(_xlfn.XLOOKUP(C1013&amp;A1013, Inside5!B:B&amp;Inside5!I:I, Inside5!G:G), 0)</f>
        <v>1</v>
      </c>
      <c r="L1013" cm="1">
        <f t="array" ref="L1013">IFERROR(_xlfn.XLOOKUP(C1013&amp;A1013, Inside5!B:B&amp;Inside5!I:I, Inside5!H:H), 0)</f>
        <v>1</v>
      </c>
      <c r="M1013" t="str" cm="1">
        <f t="array" ref="M1013">IFERROR(_xlfn.XLOOKUP(C1013&amp;A1013, TDrate!F:F&amp;TDrate!H:H, TDrate!B:B), "N/A")</f>
        <v>N/A</v>
      </c>
      <c r="N1013" t="str" cm="1">
        <f t="array" ref="N1013">IFERROR(_xlfn.XLOOKUP(C1013&amp;A1013, TDrate!F:F&amp;TDrate!H:H, TDrate!D:D), "N/A")</f>
        <v>N/A</v>
      </c>
    </row>
    <row r="1014" spans="1:14" x14ac:dyDescent="0.45">
      <c r="A1014" s="5">
        <v>2020</v>
      </c>
      <c r="B1014" s="6" t="s">
        <v>435</v>
      </c>
      <c r="C1014" s="7" t="str">
        <f t="shared" si="30"/>
        <v>Reggie Gilliam</v>
      </c>
      <c r="D1014" s="7" t="str">
        <f t="shared" si="31"/>
        <v>BUF</v>
      </c>
      <c r="E1014" cm="1">
        <f t="array" ref="E1014">IFERROR(_xlfn.XLOOKUP(C1014&amp;A1014, Inside5!B:B&amp;Inside5!I:I, Inside5!C:C), 0)</f>
        <v>0</v>
      </c>
      <c r="F1014" cm="1">
        <f t="array" ref="F1014">IFERROR(_xlfn.XLOOKUP(C1014&amp;A1014, Inside5!B:B&amp;Inside5!I:I, Inside5!D:D), 0)</f>
        <v>0</v>
      </c>
      <c r="G1014" cm="1">
        <f t="array" ref="G1014">IFERROR(_xlfn.XLOOKUP(C1014&amp;A1014, Inside5!B:B&amp;Inside5!I:I, Inside5!E:E), 0)</f>
        <v>0</v>
      </c>
      <c r="H1014" t="str" cm="1">
        <f t="array" ref="H1014">IFERROR(_xlfn.XLOOKUP(C1014&amp;A1014, TDrate!F:F&amp;TDrate!H:H, TDrate!C:C), "N/A")</f>
        <v>N/A</v>
      </c>
      <c r="I1014" t="str" cm="1">
        <f t="array" ref="I1014">IFERROR(_xlfn.XLOOKUP(C1014&amp;A1014, TDrate!F:F&amp;TDrate!H:H, TDrate!E:E), "N/A")</f>
        <v>N/A</v>
      </c>
      <c r="J1014" cm="1">
        <f t="array" ref="J1014">IFERROR(_xlfn.XLOOKUP(C1014&amp;A1014, Inside5!B:B&amp;Inside5!I:I, Inside5!F:F), 0)</f>
        <v>1</v>
      </c>
      <c r="K1014" cm="1">
        <f t="array" aca="1" ref="K1014" ca="1">IFERROR(_xlfn.XLOOKUP(C1014&amp;A1014, Inside5!B:B&amp;Inside5!I:I, Inside5!G:G), 0)</f>
        <v>1</v>
      </c>
      <c r="L1014" cm="1">
        <f t="array" ref="L1014">IFERROR(_xlfn.XLOOKUP(C1014&amp;A1014, Inside5!B:B&amp;Inside5!I:I, Inside5!H:H), 0)</f>
        <v>1</v>
      </c>
      <c r="M1014" t="str" cm="1">
        <f t="array" ref="M1014">IFERROR(_xlfn.XLOOKUP(C1014&amp;A1014, TDrate!F:F&amp;TDrate!H:H, TDrate!B:B), "N/A")</f>
        <v>N/A</v>
      </c>
      <c r="N1014" t="str" cm="1">
        <f t="array" ref="N1014">IFERROR(_xlfn.XLOOKUP(C1014&amp;A1014, TDrate!F:F&amp;TDrate!H:H, TDrate!D:D), "N/A")</f>
        <v>N/A</v>
      </c>
    </row>
    <row r="1015" spans="1:14" x14ac:dyDescent="0.45">
      <c r="A1015" s="8">
        <v>2020</v>
      </c>
      <c r="B1015" s="9" t="s">
        <v>862</v>
      </c>
      <c r="C1015" s="10" t="str">
        <f t="shared" si="30"/>
        <v>Jaylen Samuels</v>
      </c>
      <c r="D1015" s="10" t="str">
        <f t="shared" si="31"/>
        <v>PIT</v>
      </c>
      <c r="E1015" cm="1">
        <f t="array" ref="E1015">IFERROR(_xlfn.XLOOKUP(C1015&amp;A1015, Inside5!B:B&amp;Inside5!I:I, Inside5!C:C), 0)</f>
        <v>0</v>
      </c>
      <c r="F1015" cm="1">
        <f t="array" ref="F1015">IFERROR(_xlfn.XLOOKUP(C1015&amp;A1015, Inside5!B:B&amp;Inside5!I:I, Inside5!D:D), 0)</f>
        <v>0</v>
      </c>
      <c r="G1015" cm="1">
        <f t="array" ref="G1015">IFERROR(_xlfn.XLOOKUP(C1015&amp;A1015, Inside5!B:B&amp;Inside5!I:I, Inside5!E:E), 0)</f>
        <v>0</v>
      </c>
      <c r="H1015" t="str" cm="1">
        <f t="array" ref="H1015">IFERROR(_xlfn.XLOOKUP(C1015&amp;A1015, TDrate!F:F&amp;TDrate!H:H, TDrate!C:C), "N/A")</f>
        <v>N/A</v>
      </c>
      <c r="I1015" t="str" cm="1">
        <f t="array" ref="I1015">IFERROR(_xlfn.XLOOKUP(C1015&amp;A1015, TDrate!F:F&amp;TDrate!H:H, TDrate!E:E), "N/A")</f>
        <v>N/A</v>
      </c>
      <c r="J1015" cm="1">
        <f t="array" ref="J1015">IFERROR(_xlfn.XLOOKUP(C1015&amp;A1015, Inside5!B:B&amp;Inside5!I:I, Inside5!F:F), 0)</f>
        <v>0</v>
      </c>
      <c r="K1015" cm="1">
        <f t="array" ref="K1015">IFERROR(_xlfn.XLOOKUP(C1015&amp;A1015, Inside5!B:B&amp;Inside5!I:I, Inside5!G:G), 0)</f>
        <v>0</v>
      </c>
      <c r="L1015" cm="1">
        <f t="array" ref="L1015">IFERROR(_xlfn.XLOOKUP(C1015&amp;A1015, Inside5!B:B&amp;Inside5!I:I, Inside5!H:H), 0)</f>
        <v>0</v>
      </c>
      <c r="M1015" t="str" cm="1">
        <f t="array" ref="M1015">IFERROR(_xlfn.XLOOKUP(C1015&amp;A1015, TDrate!F:F&amp;TDrate!H:H, TDrate!B:B), "N/A")</f>
        <v>N/A</v>
      </c>
      <c r="N1015" t="str" cm="1">
        <f t="array" ref="N1015">IFERROR(_xlfn.XLOOKUP(C1015&amp;A1015, TDrate!F:F&amp;TDrate!H:H, TDrate!D:D), "N/A")</f>
        <v>N/A</v>
      </c>
    </row>
    <row r="1016" spans="1:14" x14ac:dyDescent="0.45">
      <c r="A1016" s="5">
        <v>2020</v>
      </c>
      <c r="B1016" s="6" t="s">
        <v>863</v>
      </c>
      <c r="C1016" s="7" t="str">
        <f t="shared" si="30"/>
        <v>Anthony Sherman</v>
      </c>
      <c r="D1016" s="7" t="str">
        <f t="shared" si="31"/>
        <v>KC</v>
      </c>
      <c r="E1016" cm="1">
        <f t="array" aca="1" ref="E1016" ca="1">IFERROR(_xlfn.XLOOKUP(C1016&amp;A1016, Inside5!B:B&amp;Inside5!I:I, Inside5!C:C), 0)</f>
        <v>0</v>
      </c>
      <c r="F1016" cm="1">
        <f t="array" aca="1" ref="F1016" ca="1">IFERROR(_xlfn.XLOOKUP(C1016&amp;A1016, Inside5!B:B&amp;Inside5!I:I, Inside5!D:D), 0)</f>
        <v>0</v>
      </c>
      <c r="G1016" cm="1">
        <f t="array" ref="G1016">IFERROR(_xlfn.XLOOKUP(C1016&amp;A1016, Inside5!B:B&amp;Inside5!I:I, Inside5!E:E), 0)</f>
        <v>0</v>
      </c>
      <c r="H1016" t="str" cm="1">
        <f t="array" ref="H1016">IFERROR(_xlfn.XLOOKUP(C1016&amp;A1016, TDrate!F:F&amp;TDrate!H:H, TDrate!C:C), "N/A")</f>
        <v>N/A</v>
      </c>
      <c r="I1016" t="str" cm="1">
        <f t="array" ref="I1016">IFERROR(_xlfn.XLOOKUP(C1016&amp;A1016, TDrate!F:F&amp;TDrate!H:H, TDrate!E:E), "N/A")</f>
        <v>N/A</v>
      </c>
      <c r="J1016" cm="1">
        <f t="array" ref="J1016">IFERROR(_xlfn.XLOOKUP(C1016&amp;A1016, Inside5!B:B&amp;Inside5!I:I, Inside5!F:F), 0)</f>
        <v>1</v>
      </c>
      <c r="K1016" cm="1">
        <f t="array" ref="K1016">IFERROR(_xlfn.XLOOKUP(C1016&amp;A1016, Inside5!B:B&amp;Inside5!I:I, Inside5!G:G), 0)</f>
        <v>1</v>
      </c>
      <c r="L1016" cm="1">
        <f t="array" ref="L1016">IFERROR(_xlfn.XLOOKUP(C1016&amp;A1016, Inside5!B:B&amp;Inside5!I:I, Inside5!H:H), 0)</f>
        <v>1</v>
      </c>
      <c r="M1016" t="str" cm="1">
        <f t="array" ref="M1016">IFERROR(_xlfn.XLOOKUP(C1016&amp;A1016, TDrate!F:F&amp;TDrate!H:H, TDrate!B:B), "N/A")</f>
        <v>N/A</v>
      </c>
      <c r="N1016" t="str" cm="1">
        <f t="array" ref="N1016">IFERROR(_xlfn.XLOOKUP(C1016&amp;A1016, TDrate!F:F&amp;TDrate!H:H, TDrate!D:D), "N/A")</f>
        <v>N/A</v>
      </c>
    </row>
    <row r="1017" spans="1:14" x14ac:dyDescent="0.45">
      <c r="A1017" s="8">
        <v>2020</v>
      </c>
      <c r="B1017" s="9" t="s">
        <v>771</v>
      </c>
      <c r="C1017" s="10" t="str">
        <f t="shared" si="30"/>
        <v>Jonathan Ward</v>
      </c>
      <c r="D1017" s="10" t="str">
        <f t="shared" si="31"/>
        <v>ARI</v>
      </c>
      <c r="E1017" cm="1">
        <f t="array" aca="1" ref="E1017" ca="1">IFERROR(_xlfn.XLOOKUP(C1017&amp;A1017, Inside5!B:B&amp;Inside5!I:I, Inside5!C:C), 0)</f>
        <v>0</v>
      </c>
      <c r="F1017" cm="1">
        <f t="array" aca="1" ref="F1017" ca="1">IFERROR(_xlfn.XLOOKUP(C1017&amp;A1017, Inside5!B:B&amp;Inside5!I:I, Inside5!D:D), 0)</f>
        <v>0</v>
      </c>
      <c r="G1017" cm="1">
        <f t="array" ref="G1017">IFERROR(_xlfn.XLOOKUP(C1017&amp;A1017, Inside5!B:B&amp;Inside5!I:I, Inside5!E:E), 0)</f>
        <v>0</v>
      </c>
      <c r="H1017" t="str" cm="1">
        <f t="array" ref="H1017">IFERROR(_xlfn.XLOOKUP(C1017&amp;A1017, TDrate!F:F&amp;TDrate!H:H, TDrate!C:C), "N/A")</f>
        <v>N/A</v>
      </c>
      <c r="I1017" t="str" cm="1">
        <f t="array" ref="I1017">IFERROR(_xlfn.XLOOKUP(C1017&amp;A1017, TDrate!F:F&amp;TDrate!H:H, TDrate!E:E), "N/A")</f>
        <v>N/A</v>
      </c>
      <c r="J1017" cm="1">
        <f t="array" ref="J1017">IFERROR(_xlfn.XLOOKUP(C1017&amp;A1017, Inside5!B:B&amp;Inside5!I:I, Inside5!F:F), 0)</f>
        <v>0</v>
      </c>
      <c r="K1017" cm="1">
        <f t="array" ref="K1017">IFERROR(_xlfn.XLOOKUP(C1017&amp;A1017, Inside5!B:B&amp;Inside5!I:I, Inside5!G:G), 0)</f>
        <v>0</v>
      </c>
      <c r="L1017" cm="1">
        <f t="array" ref="L1017">IFERROR(_xlfn.XLOOKUP(C1017&amp;A1017, Inside5!B:B&amp;Inside5!I:I, Inside5!H:H), 0)</f>
        <v>0</v>
      </c>
      <c r="M1017" t="str" cm="1">
        <f t="array" ref="M1017">IFERROR(_xlfn.XLOOKUP(C1017&amp;A1017, TDrate!F:F&amp;TDrate!H:H, TDrate!B:B), "N/A")</f>
        <v>N/A</v>
      </c>
      <c r="N1017" t="str" cm="1">
        <f t="array" ref="N1017">IFERROR(_xlfn.XLOOKUP(C1017&amp;A1017, TDrate!F:F&amp;TDrate!H:H, TDrate!D:D), "N/A")</f>
        <v>N/A</v>
      </c>
    </row>
    <row r="1018" spans="1:14" x14ac:dyDescent="0.45">
      <c r="A1018" s="5">
        <v>2020</v>
      </c>
      <c r="B1018" s="6" t="s">
        <v>864</v>
      </c>
      <c r="C1018" s="7" t="str">
        <f t="shared" si="30"/>
        <v>Buddy Howell</v>
      </c>
      <c r="D1018" s="7" t="str">
        <f t="shared" si="31"/>
        <v>HOU</v>
      </c>
      <c r="E1018" cm="1">
        <f t="array" ref="E1018">IFERROR(_xlfn.XLOOKUP(C1018&amp;A1018, Inside5!B:B&amp;Inside5!I:I, Inside5!C:C), 0)</f>
        <v>0</v>
      </c>
      <c r="F1018" cm="1">
        <f t="array" ref="F1018">IFERROR(_xlfn.XLOOKUP(C1018&amp;A1018, Inside5!B:B&amp;Inside5!I:I, Inside5!D:D), 0)</f>
        <v>0</v>
      </c>
      <c r="G1018" cm="1">
        <f t="array" ref="G1018">IFERROR(_xlfn.XLOOKUP(C1018&amp;A1018, Inside5!B:B&amp;Inside5!I:I, Inside5!E:E), 0)</f>
        <v>0</v>
      </c>
      <c r="H1018" t="str" cm="1">
        <f t="array" ref="H1018">IFERROR(_xlfn.XLOOKUP(C1018&amp;A1018, TDrate!F:F&amp;TDrate!H:H, TDrate!C:C), "N/A")</f>
        <v>N/A</v>
      </c>
      <c r="I1018" t="str" cm="1">
        <f t="array" ref="I1018">IFERROR(_xlfn.XLOOKUP(C1018&amp;A1018, TDrate!F:F&amp;TDrate!H:H, TDrate!E:E), "N/A")</f>
        <v>N/A</v>
      </c>
      <c r="J1018" cm="1">
        <f t="array" ref="J1018">IFERROR(_xlfn.XLOOKUP(C1018&amp;A1018, Inside5!B:B&amp;Inside5!I:I, Inside5!F:F), 0)</f>
        <v>0</v>
      </c>
      <c r="K1018" cm="1">
        <f t="array" ref="K1018">IFERROR(_xlfn.XLOOKUP(C1018&amp;A1018, Inside5!B:B&amp;Inside5!I:I, Inside5!G:G), 0)</f>
        <v>0</v>
      </c>
      <c r="L1018" cm="1">
        <f t="array" ref="L1018">IFERROR(_xlfn.XLOOKUP(C1018&amp;A1018, Inside5!B:B&amp;Inside5!I:I, Inside5!H:H), 0)</f>
        <v>0</v>
      </c>
      <c r="M1018" t="str" cm="1">
        <f t="array" ref="M1018">IFERROR(_xlfn.XLOOKUP(C1018&amp;A1018, TDrate!F:F&amp;TDrate!H:H, TDrate!B:B), "N/A")</f>
        <v>N/A</v>
      </c>
      <c r="N1018" t="str" cm="1">
        <f t="array" ref="N1018">IFERROR(_xlfn.XLOOKUP(C1018&amp;A1018, TDrate!F:F&amp;TDrate!H:H, TDrate!D:D), "N/A")</f>
        <v>N/A</v>
      </c>
    </row>
    <row r="1019" spans="1:14" x14ac:dyDescent="0.45">
      <c r="A1019" s="8">
        <v>2020</v>
      </c>
      <c r="B1019" s="9" t="s">
        <v>596</v>
      </c>
      <c r="C1019" s="10" t="str">
        <f t="shared" si="30"/>
        <v>Keith Smith</v>
      </c>
      <c r="D1019" s="10" t="str">
        <f t="shared" si="31"/>
        <v>ATL</v>
      </c>
      <c r="E1019" cm="1">
        <f t="array" ref="E1019">IFERROR(_xlfn.XLOOKUP(C1019&amp;A1019, Inside5!B:B&amp;Inside5!I:I, Inside5!C:C), 0)</f>
        <v>0</v>
      </c>
      <c r="F1019" cm="1">
        <f t="array" aca="1" ref="F1019" ca="1">IFERROR(_xlfn.XLOOKUP(C1019&amp;A1019, Inside5!B:B&amp;Inside5!I:I, Inside5!D:D), 0)</f>
        <v>0</v>
      </c>
      <c r="G1019" cm="1">
        <f t="array" ref="G1019">IFERROR(_xlfn.XLOOKUP(C1019&amp;A1019, Inside5!B:B&amp;Inside5!I:I, Inside5!E:E), 0)</f>
        <v>0</v>
      </c>
      <c r="H1019" t="str" cm="1">
        <f t="array" ref="H1019">IFERROR(_xlfn.XLOOKUP(C1019&amp;A1019, TDrate!F:F&amp;TDrate!H:H, TDrate!C:C), "N/A")</f>
        <v>N/A</v>
      </c>
      <c r="I1019" t="str" cm="1">
        <f t="array" ref="I1019">IFERROR(_xlfn.XLOOKUP(C1019&amp;A1019, TDrate!F:F&amp;TDrate!H:H, TDrate!E:E), "N/A")</f>
        <v>N/A</v>
      </c>
      <c r="J1019" cm="1">
        <f t="array" ref="J1019">IFERROR(_xlfn.XLOOKUP(C1019&amp;A1019, Inside5!B:B&amp;Inside5!I:I, Inside5!F:F), 0)</f>
        <v>0</v>
      </c>
      <c r="K1019" cm="1">
        <f t="array" aca="1" ref="K1019" ca="1">IFERROR(_xlfn.XLOOKUP(C1019&amp;A1019, Inside5!B:B&amp;Inside5!I:I, Inside5!G:G), 0)</f>
        <v>0</v>
      </c>
      <c r="L1019" cm="1">
        <f t="array" ref="L1019">IFERROR(_xlfn.XLOOKUP(C1019&amp;A1019, Inside5!B:B&amp;Inside5!I:I, Inside5!H:H), 0)</f>
        <v>0</v>
      </c>
      <c r="M1019" t="str" cm="1">
        <f t="array" ref="M1019">IFERROR(_xlfn.XLOOKUP(C1019&amp;A1019, TDrate!F:F&amp;TDrate!H:H, TDrate!B:B), "N/A")</f>
        <v>N/A</v>
      </c>
      <c r="N1019" t="str" cm="1">
        <f t="array" ref="N1019">IFERROR(_xlfn.XLOOKUP(C1019&amp;A1019, TDrate!F:F&amp;TDrate!H:H, TDrate!D:D), "N/A")</f>
        <v>N/A</v>
      </c>
    </row>
    <row r="1020" spans="1:14" x14ac:dyDescent="0.45">
      <c r="A1020" s="5">
        <v>2020</v>
      </c>
      <c r="B1020" s="6" t="s">
        <v>865</v>
      </c>
      <c r="C1020" s="7" t="str">
        <f t="shared" si="30"/>
        <v>Theo Riddick</v>
      </c>
      <c r="D1020" s="7" t="str">
        <f t="shared" si="31"/>
        <v>LV</v>
      </c>
      <c r="E1020" cm="1">
        <f t="array" ref="E1020">IFERROR(_xlfn.XLOOKUP(C1020&amp;A1020, Inside5!B:B&amp;Inside5!I:I, Inside5!C:C), 0)</f>
        <v>0</v>
      </c>
      <c r="F1020" cm="1">
        <f t="array" ref="F1020">IFERROR(_xlfn.XLOOKUP(C1020&amp;A1020, Inside5!B:B&amp;Inside5!I:I, Inside5!D:D), 0)</f>
        <v>0</v>
      </c>
      <c r="G1020" cm="1">
        <f t="array" ref="G1020">IFERROR(_xlfn.XLOOKUP(C1020&amp;A1020, Inside5!B:B&amp;Inside5!I:I, Inside5!E:E), 0)</f>
        <v>0</v>
      </c>
      <c r="H1020" t="str" cm="1">
        <f t="array" ref="H1020">IFERROR(_xlfn.XLOOKUP(C1020&amp;A1020, TDrate!F:F&amp;TDrate!H:H, TDrate!C:C), "N/A")</f>
        <v>N/A</v>
      </c>
      <c r="I1020" t="str" cm="1">
        <f t="array" ref="I1020">IFERROR(_xlfn.XLOOKUP(C1020&amp;A1020, TDrate!F:F&amp;TDrate!H:H, TDrate!E:E), "N/A")</f>
        <v>N/A</v>
      </c>
      <c r="J1020" cm="1">
        <f t="array" ref="J1020">IFERROR(_xlfn.XLOOKUP(C1020&amp;A1020, Inside5!B:B&amp;Inside5!I:I, Inside5!F:F), 0)</f>
        <v>0</v>
      </c>
      <c r="K1020" cm="1">
        <f t="array" aca="1" ref="K1020" ca="1">IFERROR(_xlfn.XLOOKUP(C1020&amp;A1020, Inside5!B:B&amp;Inside5!I:I, Inside5!G:G), 0)</f>
        <v>0</v>
      </c>
      <c r="L1020" cm="1">
        <f t="array" ref="L1020">IFERROR(_xlfn.XLOOKUP(C1020&amp;A1020, Inside5!B:B&amp;Inside5!I:I, Inside5!H:H), 0)</f>
        <v>0</v>
      </c>
      <c r="M1020" t="str" cm="1">
        <f t="array" ref="M1020">IFERROR(_xlfn.XLOOKUP(C1020&amp;A1020, TDrate!F:F&amp;TDrate!H:H, TDrate!B:B), "N/A")</f>
        <v>N/A</v>
      </c>
      <c r="N1020" t="str" cm="1">
        <f t="array" ref="N1020">IFERROR(_xlfn.XLOOKUP(C1020&amp;A1020, TDrate!F:F&amp;TDrate!H:H, TDrate!D:D), "N/A")</f>
        <v>N/A</v>
      </c>
    </row>
    <row r="1021" spans="1:14" x14ac:dyDescent="0.45">
      <c r="A1021" s="8">
        <v>2020</v>
      </c>
      <c r="B1021" s="9" t="s">
        <v>766</v>
      </c>
      <c r="C1021" s="10" t="str">
        <f t="shared" si="30"/>
        <v>Marlon Mack</v>
      </c>
      <c r="D1021" s="10" t="str">
        <f t="shared" si="31"/>
        <v>IND</v>
      </c>
      <c r="E1021" cm="1">
        <f t="array" ref="E1021">IFERROR(_xlfn.XLOOKUP(C1021&amp;A1021, Inside5!B:B&amp;Inside5!I:I, Inside5!C:C), 0)</f>
        <v>0</v>
      </c>
      <c r="F1021" cm="1">
        <f t="array" ref="F1021">IFERROR(_xlfn.XLOOKUP(C1021&amp;A1021, Inside5!B:B&amp;Inside5!I:I, Inside5!D:D), 0)</f>
        <v>0</v>
      </c>
      <c r="G1021" cm="1">
        <f t="array" ref="G1021">IFERROR(_xlfn.XLOOKUP(C1021&amp;A1021, Inside5!B:B&amp;Inside5!I:I, Inside5!E:E), 0)</f>
        <v>0</v>
      </c>
      <c r="H1021" t="str" cm="1">
        <f t="array" ref="H1021">IFERROR(_xlfn.XLOOKUP(C1021&amp;A1021, TDrate!F:F&amp;TDrate!H:H, TDrate!C:C), "N/A")</f>
        <v>N/A</v>
      </c>
      <c r="I1021" t="str" cm="1">
        <f t="array" ref="I1021">IFERROR(_xlfn.XLOOKUP(C1021&amp;A1021, TDrate!F:F&amp;TDrate!H:H, TDrate!E:E), "N/A")</f>
        <v>N/A</v>
      </c>
      <c r="J1021" cm="1">
        <f t="array" ref="J1021">IFERROR(_xlfn.XLOOKUP(C1021&amp;A1021, Inside5!B:B&amp;Inside5!I:I, Inside5!F:F), 0)</f>
        <v>0</v>
      </c>
      <c r="K1021" cm="1">
        <f t="array" aca="1" ref="K1021" ca="1">IFERROR(_xlfn.XLOOKUP(C1021&amp;A1021, Inside5!B:B&amp;Inside5!I:I, Inside5!G:G), 0)</f>
        <v>0</v>
      </c>
      <c r="L1021" cm="1">
        <f t="array" ref="L1021">IFERROR(_xlfn.XLOOKUP(C1021&amp;A1021, Inside5!B:B&amp;Inside5!I:I, Inside5!H:H), 0)</f>
        <v>0</v>
      </c>
      <c r="M1021" t="str" cm="1">
        <f t="array" ref="M1021">IFERROR(_xlfn.XLOOKUP(C1021&amp;A1021, TDrate!F:F&amp;TDrate!H:H, TDrate!B:B), "N/A")</f>
        <v>N/A</v>
      </c>
      <c r="N1021" t="str" cm="1">
        <f t="array" ref="N1021">IFERROR(_xlfn.XLOOKUP(C1021&amp;A1021, TDrate!F:F&amp;TDrate!H:H, TDrate!D:D), "N/A")</f>
        <v>N/A</v>
      </c>
    </row>
    <row r="1022" spans="1:14" x14ac:dyDescent="0.45">
      <c r="A1022" s="5">
        <v>2020</v>
      </c>
      <c r="B1022" s="6" t="s">
        <v>866</v>
      </c>
      <c r="C1022" s="7" t="str">
        <f t="shared" si="30"/>
        <v>Dontrell Hilliard</v>
      </c>
      <c r="D1022" s="7" t="str">
        <f t="shared" si="31"/>
        <v>HOU</v>
      </c>
      <c r="E1022" cm="1">
        <f t="array" aca="1" ref="E1022" ca="1">IFERROR(_xlfn.XLOOKUP(C1022&amp;A1022, Inside5!B:B&amp;Inside5!I:I, Inside5!C:C), 0)</f>
        <v>0</v>
      </c>
      <c r="F1022" cm="1">
        <f t="array" aca="1" ref="F1022" ca="1">IFERROR(_xlfn.XLOOKUP(C1022&amp;A1022, Inside5!B:B&amp;Inside5!I:I, Inside5!D:D), 0)</f>
        <v>0</v>
      </c>
      <c r="G1022" cm="1">
        <f t="array" ref="G1022">IFERROR(_xlfn.XLOOKUP(C1022&amp;A1022, Inside5!B:B&amp;Inside5!I:I, Inside5!E:E), 0)</f>
        <v>0</v>
      </c>
      <c r="H1022" t="str" cm="1">
        <f t="array" ref="H1022">IFERROR(_xlfn.XLOOKUP(C1022&amp;A1022, TDrate!F:F&amp;TDrate!H:H, TDrate!C:C), "N/A")</f>
        <v>N/A</v>
      </c>
      <c r="I1022" t="str" cm="1">
        <f t="array" ref="I1022">IFERROR(_xlfn.XLOOKUP(C1022&amp;A1022, TDrate!F:F&amp;TDrate!H:H, TDrate!E:E), "N/A")</f>
        <v>N/A</v>
      </c>
      <c r="J1022" cm="1">
        <f t="array" ref="J1022">IFERROR(_xlfn.XLOOKUP(C1022&amp;A1022, Inside5!B:B&amp;Inside5!I:I, Inside5!F:F), 0)</f>
        <v>0</v>
      </c>
      <c r="K1022" cm="1">
        <f t="array" aca="1" ref="K1022" ca="1">IFERROR(_xlfn.XLOOKUP(C1022&amp;A1022, Inside5!B:B&amp;Inside5!I:I, Inside5!G:G), 0)</f>
        <v>0</v>
      </c>
      <c r="L1022" cm="1">
        <f t="array" ref="L1022">IFERROR(_xlfn.XLOOKUP(C1022&amp;A1022, Inside5!B:B&amp;Inside5!I:I, Inside5!H:H), 0)</f>
        <v>0</v>
      </c>
      <c r="M1022" t="str" cm="1">
        <f t="array" ref="M1022">IFERROR(_xlfn.XLOOKUP(C1022&amp;A1022, TDrate!F:F&amp;TDrate!H:H, TDrate!B:B), "N/A")</f>
        <v>N/A</v>
      </c>
      <c r="N1022" t="str" cm="1">
        <f t="array" ref="N1022">IFERROR(_xlfn.XLOOKUP(C1022&amp;A1022, TDrate!F:F&amp;TDrate!H:H, TDrate!D:D), "N/A")</f>
        <v>N/A</v>
      </c>
    </row>
    <row r="1023" spans="1:14" x14ac:dyDescent="0.45">
      <c r="A1023" s="8">
        <v>2020</v>
      </c>
      <c r="B1023" s="9" t="s">
        <v>867</v>
      </c>
      <c r="C1023" s="10" t="str">
        <f t="shared" si="30"/>
        <v>Trenton Cannon</v>
      </c>
      <c r="D1023" s="10" t="str">
        <f t="shared" si="31"/>
        <v>CAR</v>
      </c>
      <c r="E1023" cm="1">
        <f t="array" aca="1" ref="E1023" ca="1">IFERROR(_xlfn.XLOOKUP(C1023&amp;A1023, Inside5!B:B&amp;Inside5!I:I, Inside5!C:C), 0)</f>
        <v>0</v>
      </c>
      <c r="F1023" cm="1">
        <f t="array" aca="1" ref="F1023" ca="1">IFERROR(_xlfn.XLOOKUP(C1023&amp;A1023, Inside5!B:B&amp;Inside5!I:I, Inside5!D:D), 0)</f>
        <v>0</v>
      </c>
      <c r="G1023" cm="1">
        <f t="array" ref="G1023">IFERROR(_xlfn.XLOOKUP(C1023&amp;A1023, Inside5!B:B&amp;Inside5!I:I, Inside5!E:E), 0)</f>
        <v>0</v>
      </c>
      <c r="H1023" t="str" cm="1">
        <f t="array" ref="H1023">IFERROR(_xlfn.XLOOKUP(C1023&amp;A1023, TDrate!F:F&amp;TDrate!H:H, TDrate!C:C), "N/A")</f>
        <v>N/A</v>
      </c>
      <c r="I1023" t="str" cm="1">
        <f t="array" ref="I1023">IFERROR(_xlfn.XLOOKUP(C1023&amp;A1023, TDrate!F:F&amp;TDrate!H:H, TDrate!E:E), "N/A")</f>
        <v>N/A</v>
      </c>
      <c r="J1023" cm="1">
        <f t="array" ref="J1023">IFERROR(_xlfn.XLOOKUP(C1023&amp;A1023, Inside5!B:B&amp;Inside5!I:I, Inside5!F:F), 0)</f>
        <v>0</v>
      </c>
      <c r="K1023" cm="1">
        <f t="array" ref="K1023">IFERROR(_xlfn.XLOOKUP(C1023&amp;A1023, Inside5!B:B&amp;Inside5!I:I, Inside5!G:G), 0)</f>
        <v>0</v>
      </c>
      <c r="L1023" cm="1">
        <f t="array" ref="L1023">IFERROR(_xlfn.XLOOKUP(C1023&amp;A1023, Inside5!B:B&amp;Inside5!I:I, Inside5!H:H), 0)</f>
        <v>0</v>
      </c>
      <c r="M1023" t="str" cm="1">
        <f t="array" ref="M1023">IFERROR(_xlfn.XLOOKUP(C1023&amp;A1023, TDrate!F:F&amp;TDrate!H:H, TDrate!B:B), "N/A")</f>
        <v>N/A</v>
      </c>
      <c r="N1023" t="str" cm="1">
        <f t="array" ref="N1023">IFERROR(_xlfn.XLOOKUP(C1023&amp;A1023, TDrate!F:F&amp;TDrate!H:H, TDrate!D:D), "N/A")</f>
        <v>N/A</v>
      </c>
    </row>
    <row r="1024" spans="1:14" x14ac:dyDescent="0.45">
      <c r="A1024" s="5">
        <v>2020</v>
      </c>
      <c r="B1024" s="6" t="s">
        <v>868</v>
      </c>
      <c r="C1024" s="7" t="str">
        <f t="shared" si="30"/>
        <v>Michael Burton</v>
      </c>
      <c r="D1024" s="7" t="str">
        <f t="shared" si="31"/>
        <v>NO</v>
      </c>
      <c r="E1024" cm="1">
        <f t="array" aca="1" ref="E1024" ca="1">IFERROR(_xlfn.XLOOKUP(C1024&amp;A1024, Inside5!B:B&amp;Inside5!I:I, Inside5!C:C), 0)</f>
        <v>0</v>
      </c>
      <c r="F1024" cm="1">
        <f t="array" ref="F1024">IFERROR(_xlfn.XLOOKUP(C1024&amp;A1024, Inside5!B:B&amp;Inside5!I:I, Inside5!D:D), 0)</f>
        <v>0</v>
      </c>
      <c r="G1024" cm="1">
        <f t="array" ref="G1024">IFERROR(_xlfn.XLOOKUP(C1024&amp;A1024, Inside5!B:B&amp;Inside5!I:I, Inside5!E:E), 0)</f>
        <v>0</v>
      </c>
      <c r="H1024" t="str" cm="1">
        <f t="array" ref="H1024">IFERROR(_xlfn.XLOOKUP(C1024&amp;A1024, TDrate!F:F&amp;TDrate!H:H, TDrate!C:C), "N/A")</f>
        <v>N/A</v>
      </c>
      <c r="I1024" t="str" cm="1">
        <f t="array" ref="I1024">IFERROR(_xlfn.XLOOKUP(C1024&amp;A1024, TDrate!F:F&amp;TDrate!H:H, TDrate!E:E), "N/A")</f>
        <v>N/A</v>
      </c>
      <c r="J1024" cm="1">
        <f t="array" ref="J1024">IFERROR(_xlfn.XLOOKUP(C1024&amp;A1024, Inside5!B:B&amp;Inside5!I:I, Inside5!F:F), 0)</f>
        <v>1</v>
      </c>
      <c r="K1024" cm="1">
        <f t="array" ref="K1024">IFERROR(_xlfn.XLOOKUP(C1024&amp;A1024, Inside5!B:B&amp;Inside5!I:I, Inside5!G:G), 0)</f>
        <v>1</v>
      </c>
      <c r="L1024" cm="1">
        <f t="array" ref="L1024">IFERROR(_xlfn.XLOOKUP(C1024&amp;A1024, Inside5!B:B&amp;Inside5!I:I, Inside5!H:H), 0)</f>
        <v>0</v>
      </c>
      <c r="M1024" t="str" cm="1">
        <f t="array" ref="M1024">IFERROR(_xlfn.XLOOKUP(C1024&amp;A1024, TDrate!F:F&amp;TDrate!H:H, TDrate!B:B), "N/A")</f>
        <v>N/A</v>
      </c>
      <c r="N1024" t="str" cm="1">
        <f t="array" ref="N1024">IFERROR(_xlfn.XLOOKUP(C1024&amp;A1024, TDrate!F:F&amp;TDrate!H:H, TDrate!D:D), "N/A")</f>
        <v>N/A</v>
      </c>
    </row>
    <row r="1025" spans="1:14" x14ac:dyDescent="0.45">
      <c r="A1025" s="8">
        <v>2020</v>
      </c>
      <c r="B1025" s="9" t="s">
        <v>793</v>
      </c>
      <c r="C1025" s="10" t="str">
        <f t="shared" si="30"/>
        <v>Devine Ozigbo</v>
      </c>
      <c r="D1025" s="10" t="str">
        <f t="shared" si="31"/>
        <v>JAC</v>
      </c>
      <c r="E1025" cm="1">
        <f t="array" ref="E1025">IFERROR(_xlfn.XLOOKUP(C1025&amp;A1025, Inside5!B:B&amp;Inside5!I:I, Inside5!C:C), 0)</f>
        <v>0</v>
      </c>
      <c r="F1025" cm="1">
        <f t="array" ref="F1025">IFERROR(_xlfn.XLOOKUP(C1025&amp;A1025, Inside5!B:B&amp;Inside5!I:I, Inside5!D:D), 0)</f>
        <v>0</v>
      </c>
      <c r="G1025" cm="1">
        <f t="array" ref="G1025">IFERROR(_xlfn.XLOOKUP(C1025&amp;A1025, Inside5!B:B&amp;Inside5!I:I, Inside5!E:E), 0)</f>
        <v>0</v>
      </c>
      <c r="H1025" t="str" cm="1">
        <f t="array" ref="H1025">IFERROR(_xlfn.XLOOKUP(C1025&amp;A1025, TDrate!F:F&amp;TDrate!H:H, TDrate!C:C), "N/A")</f>
        <v>N/A</v>
      </c>
      <c r="I1025" t="str" cm="1">
        <f t="array" ref="I1025">IFERROR(_xlfn.XLOOKUP(C1025&amp;A1025, TDrate!F:F&amp;TDrate!H:H, TDrate!E:E), "N/A")</f>
        <v>N/A</v>
      </c>
      <c r="J1025" cm="1">
        <f t="array" ref="J1025">IFERROR(_xlfn.XLOOKUP(C1025&amp;A1025, Inside5!B:B&amp;Inside5!I:I, Inside5!F:F), 0)</f>
        <v>0</v>
      </c>
      <c r="K1025" cm="1">
        <f t="array" aca="1" ref="K1025" ca="1">IFERROR(_xlfn.XLOOKUP(C1025&amp;A1025, Inside5!B:B&amp;Inside5!I:I, Inside5!G:G), 0)</f>
        <v>0</v>
      </c>
      <c r="L1025" cm="1">
        <f t="array" ref="L1025">IFERROR(_xlfn.XLOOKUP(C1025&amp;A1025, Inside5!B:B&amp;Inside5!I:I, Inside5!H:H), 0)</f>
        <v>0</v>
      </c>
      <c r="M1025" t="str" cm="1">
        <f t="array" ref="M1025">IFERROR(_xlfn.XLOOKUP(C1025&amp;A1025, TDrate!F:F&amp;TDrate!H:H, TDrate!B:B), "N/A")</f>
        <v>N/A</v>
      </c>
      <c r="N1025" t="str" cm="1">
        <f t="array" ref="N1025">IFERROR(_xlfn.XLOOKUP(C1025&amp;A1025, TDrate!F:F&amp;TDrate!H:H, TDrate!D:D), "N/A")</f>
        <v>N/A</v>
      </c>
    </row>
    <row r="1026" spans="1:14" x14ac:dyDescent="0.45">
      <c r="A1026" s="5">
        <v>2020</v>
      </c>
      <c r="B1026" s="6" t="s">
        <v>817</v>
      </c>
      <c r="C1026" s="7" t="str">
        <f t="shared" ref="C1026:C1089" si="32">TRIM(LEFT(B1026, LEN(B1026) - LEN(TRIM(RIGHT(SUBSTITUTE(TRIM(B1026)," ",REPT(" ",100)),100)))))</f>
        <v>Khari Blasingame</v>
      </c>
      <c r="D1026" s="7" t="str">
        <f t="shared" ref="D1026:D1089" si="33">MID(B1026, FIND("(", B1026) + 1, FIND(")", B1026) - FIND("(", B1026) - 1)</f>
        <v>TEN</v>
      </c>
      <c r="E1026" cm="1">
        <f t="array" aca="1" ref="E1026" ca="1">IFERROR(_xlfn.XLOOKUP(C1026&amp;A1026, Inside5!B:B&amp;Inside5!I:I, Inside5!C:C), 0)</f>
        <v>0</v>
      </c>
      <c r="F1026" cm="1">
        <f t="array" ref="F1026">IFERROR(_xlfn.XLOOKUP(C1026&amp;A1026, Inside5!B:B&amp;Inside5!I:I, Inside5!D:D), 0)</f>
        <v>0</v>
      </c>
      <c r="G1026" cm="1">
        <f t="array" ref="G1026">IFERROR(_xlfn.XLOOKUP(C1026&amp;A1026, Inside5!B:B&amp;Inside5!I:I, Inside5!E:E), 0)</f>
        <v>0</v>
      </c>
      <c r="H1026" t="str" cm="1">
        <f t="array" ref="H1026">IFERROR(_xlfn.XLOOKUP(C1026&amp;A1026, TDrate!F:F&amp;TDrate!H:H, TDrate!C:C), "N/A")</f>
        <v>N/A</v>
      </c>
      <c r="I1026" t="str" cm="1">
        <f t="array" ref="I1026">IFERROR(_xlfn.XLOOKUP(C1026&amp;A1026, TDrate!F:F&amp;TDrate!H:H, TDrate!E:E), "N/A")</f>
        <v>N/A</v>
      </c>
      <c r="J1026" cm="1">
        <f t="array" ref="J1026">IFERROR(_xlfn.XLOOKUP(C1026&amp;A1026, Inside5!B:B&amp;Inside5!I:I, Inside5!F:F), 0)</f>
        <v>0</v>
      </c>
      <c r="K1026" cm="1">
        <f t="array" ref="K1026">IFERROR(_xlfn.XLOOKUP(C1026&amp;A1026, Inside5!B:B&amp;Inside5!I:I, Inside5!G:G), 0)</f>
        <v>0</v>
      </c>
      <c r="L1026" cm="1">
        <f t="array" ref="L1026">IFERROR(_xlfn.XLOOKUP(C1026&amp;A1026, Inside5!B:B&amp;Inside5!I:I, Inside5!H:H), 0)</f>
        <v>0</v>
      </c>
      <c r="M1026" t="str" cm="1">
        <f t="array" ref="M1026">IFERROR(_xlfn.XLOOKUP(C1026&amp;A1026, TDrate!F:F&amp;TDrate!H:H, TDrate!B:B), "N/A")</f>
        <v>N/A</v>
      </c>
      <c r="N1026" t="str" cm="1">
        <f t="array" ref="N1026">IFERROR(_xlfn.XLOOKUP(C1026&amp;A1026, TDrate!F:F&amp;TDrate!H:H, TDrate!D:D), "N/A")</f>
        <v>N/A</v>
      </c>
    </row>
    <row r="1027" spans="1:14" x14ac:dyDescent="0.45">
      <c r="A1027" s="8">
        <v>2020</v>
      </c>
      <c r="B1027" s="9" t="s">
        <v>750</v>
      </c>
      <c r="C1027" s="10" t="str">
        <f t="shared" si="32"/>
        <v>Elijhaa Penny</v>
      </c>
      <c r="D1027" s="10" t="str">
        <f t="shared" si="33"/>
        <v>NYG</v>
      </c>
      <c r="E1027" cm="1">
        <f t="array" aca="1" ref="E1027" ca="1">IFERROR(_xlfn.XLOOKUP(C1027&amp;A1027, Inside5!B:B&amp;Inside5!I:I, Inside5!C:C), 0)</f>
        <v>1</v>
      </c>
      <c r="F1027" cm="1">
        <f t="array" aca="1" ref="F1027" ca="1">IFERROR(_xlfn.XLOOKUP(C1027&amp;A1027, Inside5!B:B&amp;Inside5!I:I, Inside5!D:D), 0)</f>
        <v>0</v>
      </c>
      <c r="G1027" cm="1">
        <f t="array" ref="G1027">IFERROR(_xlfn.XLOOKUP(C1027&amp;A1027, Inside5!B:B&amp;Inside5!I:I, Inside5!E:E), 0)</f>
        <v>5.8999999999999997E-2</v>
      </c>
      <c r="H1027" t="str" cm="1">
        <f t="array" ref="H1027">IFERROR(_xlfn.XLOOKUP(C1027&amp;A1027, TDrate!F:F&amp;TDrate!H:H, TDrate!C:C), "N/A")</f>
        <v>N/A</v>
      </c>
      <c r="I1027" t="str" cm="1">
        <f t="array" ref="I1027">IFERROR(_xlfn.XLOOKUP(C1027&amp;A1027, TDrate!F:F&amp;TDrate!H:H, TDrate!E:E), "N/A")</f>
        <v>N/A</v>
      </c>
      <c r="J1027" cm="1">
        <f t="array" ref="J1027">IFERROR(_xlfn.XLOOKUP(C1027&amp;A1027, Inside5!B:B&amp;Inside5!I:I, Inside5!F:F), 0)</f>
        <v>0</v>
      </c>
      <c r="K1027" cm="1">
        <f t="array" ref="K1027">IFERROR(_xlfn.XLOOKUP(C1027&amp;A1027, Inside5!B:B&amp;Inside5!I:I, Inside5!G:G), 0)</f>
        <v>0</v>
      </c>
      <c r="L1027" cm="1">
        <f t="array" ref="L1027">IFERROR(_xlfn.XLOOKUP(C1027&amp;A1027, Inside5!B:B&amp;Inside5!I:I, Inside5!H:H), 0)</f>
        <v>0</v>
      </c>
      <c r="M1027" t="str" cm="1">
        <f t="array" ref="M1027">IFERROR(_xlfn.XLOOKUP(C1027&amp;A1027, TDrate!F:F&amp;TDrate!H:H, TDrate!B:B), "N/A")</f>
        <v>N/A</v>
      </c>
      <c r="N1027" t="str" cm="1">
        <f t="array" ref="N1027">IFERROR(_xlfn.XLOOKUP(C1027&amp;A1027, TDrate!F:F&amp;TDrate!H:H, TDrate!D:D), "N/A")</f>
        <v>N/A</v>
      </c>
    </row>
    <row r="1028" spans="1:14" x14ac:dyDescent="0.45">
      <c r="A1028" s="5">
        <v>2020</v>
      </c>
      <c r="B1028" s="6" t="s">
        <v>654</v>
      </c>
      <c r="C1028" s="7" t="str">
        <f t="shared" si="32"/>
        <v>Rashaad Penny</v>
      </c>
      <c r="D1028" s="7" t="str">
        <f t="shared" si="33"/>
        <v>SEA</v>
      </c>
      <c r="E1028" cm="1">
        <f t="array" aca="1" ref="E1028" ca="1">IFERROR(_xlfn.XLOOKUP(C1028&amp;A1028, Inside5!B:B&amp;Inside5!I:I, Inside5!C:C), 0)</f>
        <v>0</v>
      </c>
      <c r="F1028" cm="1">
        <f t="array" aca="1" ref="F1028" ca="1">IFERROR(_xlfn.XLOOKUP(C1028&amp;A1028, Inside5!B:B&amp;Inside5!I:I, Inside5!D:D), 0)</f>
        <v>0</v>
      </c>
      <c r="G1028" cm="1">
        <f t="array" ref="G1028">IFERROR(_xlfn.XLOOKUP(C1028&amp;A1028, Inside5!B:B&amp;Inside5!I:I, Inside5!E:E), 0)</f>
        <v>0</v>
      </c>
      <c r="H1028" t="str" cm="1">
        <f t="array" ref="H1028">IFERROR(_xlfn.XLOOKUP(C1028&amp;A1028, TDrate!F:F&amp;TDrate!H:H, TDrate!C:C), "N/A")</f>
        <v>N/A</v>
      </c>
      <c r="I1028" t="str" cm="1">
        <f t="array" ref="I1028">IFERROR(_xlfn.XLOOKUP(C1028&amp;A1028, TDrate!F:F&amp;TDrate!H:H, TDrate!E:E), "N/A")</f>
        <v>N/A</v>
      </c>
      <c r="J1028" cm="1">
        <f t="array" ref="J1028">IFERROR(_xlfn.XLOOKUP(C1028&amp;A1028, Inside5!B:B&amp;Inside5!I:I, Inside5!F:F), 0)</f>
        <v>0</v>
      </c>
      <c r="K1028" cm="1">
        <f t="array" ref="K1028">IFERROR(_xlfn.XLOOKUP(C1028&amp;A1028, Inside5!B:B&amp;Inside5!I:I, Inside5!G:G), 0)</f>
        <v>0</v>
      </c>
      <c r="L1028" cm="1">
        <f t="array" ref="L1028">IFERROR(_xlfn.XLOOKUP(C1028&amp;A1028, Inside5!B:B&amp;Inside5!I:I, Inside5!H:H), 0)</f>
        <v>0</v>
      </c>
      <c r="M1028" t="str" cm="1">
        <f t="array" ref="M1028">IFERROR(_xlfn.XLOOKUP(C1028&amp;A1028, TDrate!F:F&amp;TDrate!H:H, TDrate!B:B), "N/A")</f>
        <v>N/A</v>
      </c>
      <c r="N1028" t="str" cm="1">
        <f t="array" ref="N1028">IFERROR(_xlfn.XLOOKUP(C1028&amp;A1028, TDrate!F:F&amp;TDrate!H:H, TDrate!D:D), "N/A")</f>
        <v>N/A</v>
      </c>
    </row>
    <row r="1029" spans="1:14" x14ac:dyDescent="0.45">
      <c r="A1029" s="8">
        <v>2020</v>
      </c>
      <c r="B1029" s="9" t="s">
        <v>869</v>
      </c>
      <c r="C1029" s="10" t="str">
        <f t="shared" si="32"/>
        <v>Bo Scarbrough</v>
      </c>
      <c r="D1029" s="10" t="str">
        <f t="shared" si="33"/>
        <v>SEA</v>
      </c>
      <c r="E1029" cm="1">
        <f t="array" aca="1" ref="E1029" ca="1">IFERROR(_xlfn.XLOOKUP(C1029&amp;A1029, Inside5!B:B&amp;Inside5!I:I, Inside5!C:C), 0)</f>
        <v>0</v>
      </c>
      <c r="F1029" cm="1">
        <f t="array" aca="1" ref="F1029" ca="1">IFERROR(_xlfn.XLOOKUP(C1029&amp;A1029, Inside5!B:B&amp;Inside5!I:I, Inside5!D:D), 0)</f>
        <v>0</v>
      </c>
      <c r="G1029" cm="1">
        <f t="array" ref="G1029">IFERROR(_xlfn.XLOOKUP(C1029&amp;A1029, Inside5!B:B&amp;Inside5!I:I, Inside5!E:E), 0)</f>
        <v>0</v>
      </c>
      <c r="H1029" t="str" cm="1">
        <f t="array" ref="H1029">IFERROR(_xlfn.XLOOKUP(C1029&amp;A1029, TDrate!F:F&amp;TDrate!H:H, TDrate!C:C), "N/A")</f>
        <v>N/A</v>
      </c>
      <c r="I1029" t="str" cm="1">
        <f t="array" ref="I1029">IFERROR(_xlfn.XLOOKUP(C1029&amp;A1029, TDrate!F:F&amp;TDrate!H:H, TDrate!E:E), "N/A")</f>
        <v>N/A</v>
      </c>
      <c r="J1029" cm="1">
        <f t="array" ref="J1029">IFERROR(_xlfn.XLOOKUP(C1029&amp;A1029, Inside5!B:B&amp;Inside5!I:I, Inside5!F:F), 0)</f>
        <v>0</v>
      </c>
      <c r="K1029" cm="1">
        <f t="array" ref="K1029">IFERROR(_xlfn.XLOOKUP(C1029&amp;A1029, Inside5!B:B&amp;Inside5!I:I, Inside5!G:G), 0)</f>
        <v>0</v>
      </c>
      <c r="L1029" cm="1">
        <f t="array" ref="L1029">IFERROR(_xlfn.XLOOKUP(C1029&amp;A1029, Inside5!B:B&amp;Inside5!I:I, Inside5!H:H), 0)</f>
        <v>0</v>
      </c>
      <c r="M1029" t="str" cm="1">
        <f t="array" ref="M1029">IFERROR(_xlfn.XLOOKUP(C1029&amp;A1029, TDrate!F:F&amp;TDrate!H:H, TDrate!B:B), "N/A")</f>
        <v>N/A</v>
      </c>
      <c r="N1029" t="str" cm="1">
        <f t="array" ref="N1029">IFERROR(_xlfn.XLOOKUP(C1029&amp;A1029, TDrate!F:F&amp;TDrate!H:H, TDrate!D:D), "N/A")</f>
        <v>N/A</v>
      </c>
    </row>
    <row r="1030" spans="1:14" x14ac:dyDescent="0.45">
      <c r="A1030" s="5">
        <v>2020</v>
      </c>
      <c r="B1030" s="6" t="s">
        <v>870</v>
      </c>
      <c r="C1030" s="7" t="str">
        <f t="shared" si="32"/>
        <v>Austin Walter</v>
      </c>
      <c r="D1030" s="7" t="str">
        <f t="shared" si="33"/>
        <v>SF</v>
      </c>
      <c r="E1030" cm="1">
        <f t="array" aca="1" ref="E1030" ca="1">IFERROR(_xlfn.XLOOKUP(C1030&amp;A1030, Inside5!B:B&amp;Inside5!I:I, Inside5!C:C), 0)</f>
        <v>0</v>
      </c>
      <c r="F1030" cm="1">
        <f t="array" aca="1" ref="F1030" ca="1">IFERROR(_xlfn.XLOOKUP(C1030&amp;A1030, Inside5!B:B&amp;Inside5!I:I, Inside5!D:D), 0)</f>
        <v>0</v>
      </c>
      <c r="G1030" cm="1">
        <f t="array" ref="G1030">IFERROR(_xlfn.XLOOKUP(C1030&amp;A1030, Inside5!B:B&amp;Inside5!I:I, Inside5!E:E), 0)</f>
        <v>0</v>
      </c>
      <c r="H1030" t="str" cm="1">
        <f t="array" ref="H1030">IFERROR(_xlfn.XLOOKUP(C1030&amp;A1030, TDrate!F:F&amp;TDrate!H:H, TDrate!C:C), "N/A")</f>
        <v>N/A</v>
      </c>
      <c r="I1030" t="str" cm="1">
        <f t="array" ref="I1030">IFERROR(_xlfn.XLOOKUP(C1030&amp;A1030, TDrate!F:F&amp;TDrate!H:H, TDrate!E:E), "N/A")</f>
        <v>N/A</v>
      </c>
      <c r="J1030" cm="1">
        <f t="array" ref="J1030">IFERROR(_xlfn.XLOOKUP(C1030&amp;A1030, Inside5!B:B&amp;Inside5!I:I, Inside5!F:F), 0)</f>
        <v>0</v>
      </c>
      <c r="K1030" cm="1">
        <f t="array" ref="K1030">IFERROR(_xlfn.XLOOKUP(C1030&amp;A1030, Inside5!B:B&amp;Inside5!I:I, Inside5!G:G), 0)</f>
        <v>0</v>
      </c>
      <c r="L1030" cm="1">
        <f t="array" ref="L1030">IFERROR(_xlfn.XLOOKUP(C1030&amp;A1030, Inside5!B:B&amp;Inside5!I:I, Inside5!H:H), 0)</f>
        <v>0</v>
      </c>
      <c r="M1030" t="str" cm="1">
        <f t="array" ref="M1030">IFERROR(_xlfn.XLOOKUP(C1030&amp;A1030, TDrate!F:F&amp;TDrate!H:H, TDrate!B:B), "N/A")</f>
        <v>N/A</v>
      </c>
      <c r="N1030" t="str" cm="1">
        <f t="array" ref="N1030">IFERROR(_xlfn.XLOOKUP(C1030&amp;A1030, TDrate!F:F&amp;TDrate!H:H, TDrate!D:D), "N/A")</f>
        <v>N/A</v>
      </c>
    </row>
    <row r="1031" spans="1:14" x14ac:dyDescent="0.45">
      <c r="A1031" s="8">
        <v>2020</v>
      </c>
      <c r="B1031" s="9" t="s">
        <v>871</v>
      </c>
      <c r="C1031" s="10" t="str">
        <f t="shared" si="32"/>
        <v>Alex Armah Jr.</v>
      </c>
      <c r="D1031" s="10" t="str">
        <f t="shared" si="33"/>
        <v>CAR</v>
      </c>
      <c r="E1031" cm="1">
        <f t="array" ref="E1031">IFERROR(_xlfn.XLOOKUP(C1031&amp;A1031, Inside5!B:B&amp;Inside5!I:I, Inside5!C:C), 0)</f>
        <v>1</v>
      </c>
      <c r="F1031" cm="1">
        <f t="array" ref="F1031">IFERROR(_xlfn.XLOOKUP(C1031&amp;A1031, Inside5!B:B&amp;Inside5!I:I, Inside5!D:D), 0)</f>
        <v>0</v>
      </c>
      <c r="G1031" cm="1">
        <f t="array" ref="G1031">IFERROR(_xlfn.XLOOKUP(C1031&amp;A1031, Inside5!B:B&amp;Inside5!I:I, Inside5!E:E), 0)</f>
        <v>6.3E-2</v>
      </c>
      <c r="H1031" t="str" cm="1">
        <f t="array" ref="H1031">IFERROR(_xlfn.XLOOKUP(C1031&amp;A1031, TDrate!F:F&amp;TDrate!H:H, TDrate!C:C), "N/A")</f>
        <v>N/A</v>
      </c>
      <c r="I1031" t="str" cm="1">
        <f t="array" ref="I1031">IFERROR(_xlfn.XLOOKUP(C1031&amp;A1031, TDrate!F:F&amp;TDrate!H:H, TDrate!E:E), "N/A")</f>
        <v>N/A</v>
      </c>
      <c r="J1031" cm="1">
        <f t="array" ref="J1031">IFERROR(_xlfn.XLOOKUP(C1031&amp;A1031, Inside5!B:B&amp;Inside5!I:I, Inside5!F:F), 0)</f>
        <v>0</v>
      </c>
      <c r="K1031" cm="1">
        <f t="array" ref="K1031">IFERROR(_xlfn.XLOOKUP(C1031&amp;A1031, Inside5!B:B&amp;Inside5!I:I, Inside5!G:G), 0)</f>
        <v>0</v>
      </c>
      <c r="L1031" cm="1">
        <f t="array" ref="L1031">IFERROR(_xlfn.XLOOKUP(C1031&amp;A1031, Inside5!B:B&amp;Inside5!I:I, Inside5!H:H), 0)</f>
        <v>0</v>
      </c>
      <c r="M1031" t="str" cm="1">
        <f t="array" ref="M1031">IFERROR(_xlfn.XLOOKUP(C1031&amp;A1031, TDrate!F:F&amp;TDrate!H:H, TDrate!B:B), "N/A")</f>
        <v>N/A</v>
      </c>
      <c r="N1031" t="str" cm="1">
        <f t="array" ref="N1031">IFERROR(_xlfn.XLOOKUP(C1031&amp;A1031, TDrate!F:F&amp;TDrate!H:H, TDrate!D:D), "N/A")</f>
        <v>N/A</v>
      </c>
    </row>
    <row r="1032" spans="1:14" x14ac:dyDescent="0.45">
      <c r="A1032" s="5">
        <v>2020</v>
      </c>
      <c r="B1032" s="6" t="s">
        <v>473</v>
      </c>
      <c r="C1032" s="7" t="str">
        <f t="shared" si="32"/>
        <v>Rico Dowdle</v>
      </c>
      <c r="D1032" s="7" t="str">
        <f t="shared" si="33"/>
        <v>DAL</v>
      </c>
      <c r="E1032" cm="1">
        <f t="array" aca="1" ref="E1032" ca="1">IFERROR(_xlfn.XLOOKUP(C1032&amp;A1032, Inside5!B:B&amp;Inside5!I:I, Inside5!C:C), 0)</f>
        <v>0</v>
      </c>
      <c r="F1032" cm="1">
        <f t="array" aca="1" ref="F1032" ca="1">IFERROR(_xlfn.XLOOKUP(C1032&amp;A1032, Inside5!B:B&amp;Inside5!I:I, Inside5!D:D), 0)</f>
        <v>0</v>
      </c>
      <c r="G1032" cm="1">
        <f t="array" ref="G1032">IFERROR(_xlfn.XLOOKUP(C1032&amp;A1032, Inside5!B:B&amp;Inside5!I:I, Inside5!E:E), 0)</f>
        <v>0</v>
      </c>
      <c r="H1032" t="str" cm="1">
        <f t="array" ref="H1032">IFERROR(_xlfn.XLOOKUP(C1032&amp;A1032, TDrate!F:F&amp;TDrate!H:H, TDrate!C:C), "N/A")</f>
        <v>N/A</v>
      </c>
      <c r="I1032" t="str" cm="1">
        <f t="array" ref="I1032">IFERROR(_xlfn.XLOOKUP(C1032&amp;A1032, TDrate!F:F&amp;TDrate!H:H, TDrate!E:E), "N/A")</f>
        <v>N/A</v>
      </c>
      <c r="J1032" cm="1">
        <f t="array" ref="J1032">IFERROR(_xlfn.XLOOKUP(C1032&amp;A1032, Inside5!B:B&amp;Inside5!I:I, Inside5!F:F), 0)</f>
        <v>0</v>
      </c>
      <c r="K1032" cm="1">
        <f t="array" ref="K1032">IFERROR(_xlfn.XLOOKUP(C1032&amp;A1032, Inside5!B:B&amp;Inside5!I:I, Inside5!G:G), 0)</f>
        <v>0</v>
      </c>
      <c r="L1032" cm="1">
        <f t="array" ref="L1032">IFERROR(_xlfn.XLOOKUP(C1032&amp;A1032, Inside5!B:B&amp;Inside5!I:I, Inside5!H:H), 0)</f>
        <v>0</v>
      </c>
      <c r="M1032" t="str" cm="1">
        <f t="array" ref="M1032">IFERROR(_xlfn.XLOOKUP(C1032&amp;A1032, TDrate!F:F&amp;TDrate!H:H, TDrate!B:B), "N/A")</f>
        <v>N/A</v>
      </c>
      <c r="N1032" t="str" cm="1">
        <f t="array" ref="N1032">IFERROR(_xlfn.XLOOKUP(C1032&amp;A1032, TDrate!F:F&amp;TDrate!H:H, TDrate!D:D), "N/A")</f>
        <v>N/A</v>
      </c>
    </row>
    <row r="1033" spans="1:14" x14ac:dyDescent="0.45">
      <c r="A1033" s="8">
        <v>2020</v>
      </c>
      <c r="B1033" s="9" t="s">
        <v>773</v>
      </c>
      <c r="C1033" s="10" t="str">
        <f t="shared" si="32"/>
        <v>Jason Huntley</v>
      </c>
      <c r="D1033" s="10" t="str">
        <f t="shared" si="33"/>
        <v>PHI</v>
      </c>
      <c r="E1033" cm="1">
        <f t="array" aca="1" ref="E1033" ca="1">IFERROR(_xlfn.XLOOKUP(C1033&amp;A1033, Inside5!B:B&amp;Inside5!I:I, Inside5!C:C), 0)</f>
        <v>0</v>
      </c>
      <c r="F1033" cm="1">
        <f t="array" aca="1" ref="F1033" ca="1">IFERROR(_xlfn.XLOOKUP(C1033&amp;A1033, Inside5!B:B&amp;Inside5!I:I, Inside5!D:D), 0)</f>
        <v>0</v>
      </c>
      <c r="G1033" cm="1">
        <f t="array" ref="G1033">IFERROR(_xlfn.XLOOKUP(C1033&amp;A1033, Inside5!B:B&amp;Inside5!I:I, Inside5!E:E), 0)</f>
        <v>0</v>
      </c>
      <c r="H1033" t="str" cm="1">
        <f t="array" ref="H1033">IFERROR(_xlfn.XLOOKUP(C1033&amp;A1033, TDrate!F:F&amp;TDrate!H:H, TDrate!C:C), "N/A")</f>
        <v>N/A</v>
      </c>
      <c r="I1033" t="str" cm="1">
        <f t="array" ref="I1033">IFERROR(_xlfn.XLOOKUP(C1033&amp;A1033, TDrate!F:F&amp;TDrate!H:H, TDrate!E:E), "N/A")</f>
        <v>N/A</v>
      </c>
      <c r="J1033" cm="1">
        <f t="array" ref="J1033">IFERROR(_xlfn.XLOOKUP(C1033&amp;A1033, Inside5!B:B&amp;Inside5!I:I, Inside5!F:F), 0)</f>
        <v>0</v>
      </c>
      <c r="K1033" cm="1">
        <f t="array" ref="K1033">IFERROR(_xlfn.XLOOKUP(C1033&amp;A1033, Inside5!B:B&amp;Inside5!I:I, Inside5!G:G), 0)</f>
        <v>0</v>
      </c>
      <c r="L1033" cm="1">
        <f t="array" ref="L1033">IFERROR(_xlfn.XLOOKUP(C1033&amp;A1033, Inside5!B:B&amp;Inside5!I:I, Inside5!H:H), 0)</f>
        <v>0</v>
      </c>
      <c r="M1033" t="str" cm="1">
        <f t="array" ref="M1033">IFERROR(_xlfn.XLOOKUP(C1033&amp;A1033, TDrate!F:F&amp;TDrate!H:H, TDrate!B:B), "N/A")</f>
        <v>N/A</v>
      </c>
      <c r="N1033" t="str" cm="1">
        <f t="array" ref="N1033">IFERROR(_xlfn.XLOOKUP(C1033&amp;A1033, TDrate!F:F&amp;TDrate!H:H, TDrate!D:D), "N/A")</f>
        <v>N/A</v>
      </c>
    </row>
    <row r="1034" spans="1:14" x14ac:dyDescent="0.45">
      <c r="A1034" s="5">
        <v>2020</v>
      </c>
      <c r="B1034" s="6" t="s">
        <v>768</v>
      </c>
      <c r="C1034" s="7" t="str">
        <f t="shared" si="32"/>
        <v>Andy Janovich</v>
      </c>
      <c r="D1034" s="7" t="str">
        <f t="shared" si="33"/>
        <v>CLE</v>
      </c>
      <c r="E1034" cm="1">
        <f t="array" ref="E1034">IFERROR(_xlfn.XLOOKUP(C1034&amp;A1034, Inside5!B:B&amp;Inside5!I:I, Inside5!C:C), 0)</f>
        <v>0</v>
      </c>
      <c r="F1034" cm="1">
        <f t="array" aca="1" ref="F1034" ca="1">IFERROR(_xlfn.XLOOKUP(C1034&amp;A1034, Inside5!B:B&amp;Inside5!I:I, Inside5!D:D), 0)</f>
        <v>0</v>
      </c>
      <c r="G1034" cm="1">
        <f t="array" ref="G1034">IFERROR(_xlfn.XLOOKUP(C1034&amp;A1034, Inside5!B:B&amp;Inside5!I:I, Inside5!E:E), 0)</f>
        <v>0</v>
      </c>
      <c r="H1034" t="str" cm="1">
        <f t="array" ref="H1034">IFERROR(_xlfn.XLOOKUP(C1034&amp;A1034, TDrate!F:F&amp;TDrate!H:H, TDrate!C:C), "N/A")</f>
        <v>N/A</v>
      </c>
      <c r="I1034" t="str" cm="1">
        <f t="array" ref="I1034">IFERROR(_xlfn.XLOOKUP(C1034&amp;A1034, TDrate!F:F&amp;TDrate!H:H, TDrate!E:E), "N/A")</f>
        <v>N/A</v>
      </c>
      <c r="J1034" cm="1">
        <f t="array" ref="J1034">IFERROR(_xlfn.XLOOKUP(C1034&amp;A1034, Inside5!B:B&amp;Inside5!I:I, Inside5!F:F), 0)</f>
        <v>0</v>
      </c>
      <c r="K1034" cm="1">
        <f t="array" ref="K1034">IFERROR(_xlfn.XLOOKUP(C1034&amp;A1034, Inside5!B:B&amp;Inside5!I:I, Inside5!G:G), 0)</f>
        <v>0</v>
      </c>
      <c r="L1034" cm="1">
        <f t="array" ref="L1034">IFERROR(_xlfn.XLOOKUP(C1034&amp;A1034, Inside5!B:B&amp;Inside5!I:I, Inside5!H:H), 0)</f>
        <v>0</v>
      </c>
      <c r="M1034" t="str" cm="1">
        <f t="array" ref="M1034">IFERROR(_xlfn.XLOOKUP(C1034&amp;A1034, TDrate!F:F&amp;TDrate!H:H, TDrate!B:B), "N/A")</f>
        <v>N/A</v>
      </c>
      <c r="N1034" t="str" cm="1">
        <f t="array" ref="N1034">IFERROR(_xlfn.XLOOKUP(C1034&amp;A1034, TDrate!F:F&amp;TDrate!H:H, TDrate!D:D), "N/A")</f>
        <v>N/A</v>
      </c>
    </row>
    <row r="1035" spans="1:14" x14ac:dyDescent="0.45">
      <c r="A1035" s="8">
        <v>2020</v>
      </c>
      <c r="B1035" s="9" t="s">
        <v>805</v>
      </c>
      <c r="C1035" s="10" t="str">
        <f t="shared" si="32"/>
        <v>LeVante Bellamy</v>
      </c>
      <c r="D1035" s="10" t="str">
        <f t="shared" si="33"/>
        <v>DEN</v>
      </c>
      <c r="E1035" cm="1">
        <f t="array" ref="E1035">IFERROR(_xlfn.XLOOKUP(C1035&amp;A1035, Inside5!B:B&amp;Inside5!I:I, Inside5!C:C), 0)</f>
        <v>0</v>
      </c>
      <c r="F1035" cm="1">
        <f t="array" ref="F1035">IFERROR(_xlfn.XLOOKUP(C1035&amp;A1035, Inside5!B:B&amp;Inside5!I:I, Inside5!D:D), 0)</f>
        <v>0</v>
      </c>
      <c r="G1035" cm="1">
        <f t="array" ref="G1035">IFERROR(_xlfn.XLOOKUP(C1035&amp;A1035, Inside5!B:B&amp;Inside5!I:I, Inside5!E:E), 0)</f>
        <v>0</v>
      </c>
      <c r="H1035" t="str" cm="1">
        <f t="array" ref="H1035">IFERROR(_xlfn.XLOOKUP(C1035&amp;A1035, TDrate!F:F&amp;TDrate!H:H, TDrate!C:C), "N/A")</f>
        <v>N/A</v>
      </c>
      <c r="I1035" t="str" cm="1">
        <f t="array" ref="I1035">IFERROR(_xlfn.XLOOKUP(C1035&amp;A1035, TDrate!F:F&amp;TDrate!H:H, TDrate!E:E), "N/A")</f>
        <v>N/A</v>
      </c>
      <c r="J1035" cm="1">
        <f t="array" ref="J1035">IFERROR(_xlfn.XLOOKUP(C1035&amp;A1035, Inside5!B:B&amp;Inside5!I:I, Inside5!F:F), 0)</f>
        <v>0</v>
      </c>
      <c r="K1035" cm="1">
        <f t="array" aca="1" ref="K1035" ca="1">IFERROR(_xlfn.XLOOKUP(C1035&amp;A1035, Inside5!B:B&amp;Inside5!I:I, Inside5!G:G), 0)</f>
        <v>0</v>
      </c>
      <c r="L1035" cm="1">
        <f t="array" ref="L1035">IFERROR(_xlfn.XLOOKUP(C1035&amp;A1035, Inside5!B:B&amp;Inside5!I:I, Inside5!H:H), 0)</f>
        <v>0</v>
      </c>
      <c r="M1035" t="str" cm="1">
        <f t="array" ref="M1035">IFERROR(_xlfn.XLOOKUP(C1035&amp;A1035, TDrate!F:F&amp;TDrate!H:H, TDrate!B:B), "N/A")</f>
        <v>N/A</v>
      </c>
      <c r="N1035" t="str" cm="1">
        <f t="array" ref="N1035">IFERROR(_xlfn.XLOOKUP(C1035&amp;A1035, TDrate!F:F&amp;TDrate!H:H, TDrate!D:D), "N/A")</f>
        <v>N/A</v>
      </c>
    </row>
    <row r="1036" spans="1:14" x14ac:dyDescent="0.45">
      <c r="A1036" s="5">
        <v>2020</v>
      </c>
      <c r="B1036" s="6" t="s">
        <v>781</v>
      </c>
      <c r="C1036" s="7" t="str">
        <f t="shared" si="32"/>
        <v>Scottie Phillips</v>
      </c>
      <c r="D1036" s="7" t="str">
        <f t="shared" si="33"/>
        <v>HOU</v>
      </c>
      <c r="E1036" cm="1">
        <f t="array" aca="1" ref="E1036" ca="1">IFERROR(_xlfn.XLOOKUP(C1036&amp;A1036, Inside5!B:B&amp;Inside5!I:I, Inside5!C:C), 0)</f>
        <v>0</v>
      </c>
      <c r="F1036" cm="1">
        <f t="array" aca="1" ref="F1036" ca="1">IFERROR(_xlfn.XLOOKUP(C1036&amp;A1036, Inside5!B:B&amp;Inside5!I:I, Inside5!D:D), 0)</f>
        <v>0</v>
      </c>
      <c r="G1036" cm="1">
        <f t="array" ref="G1036">IFERROR(_xlfn.XLOOKUP(C1036&amp;A1036, Inside5!B:B&amp;Inside5!I:I, Inside5!E:E), 0)</f>
        <v>0</v>
      </c>
      <c r="H1036" t="str" cm="1">
        <f t="array" ref="H1036">IFERROR(_xlfn.XLOOKUP(C1036&amp;A1036, TDrate!F:F&amp;TDrate!H:H, TDrate!C:C), "N/A")</f>
        <v>N/A</v>
      </c>
      <c r="I1036" t="str" cm="1">
        <f t="array" ref="I1036">IFERROR(_xlfn.XLOOKUP(C1036&amp;A1036, TDrate!F:F&amp;TDrate!H:H, TDrate!E:E), "N/A")</f>
        <v>N/A</v>
      </c>
      <c r="J1036" cm="1">
        <f t="array" ref="J1036">IFERROR(_xlfn.XLOOKUP(C1036&amp;A1036, Inside5!B:B&amp;Inside5!I:I, Inside5!F:F), 0)</f>
        <v>0</v>
      </c>
      <c r="K1036" cm="1">
        <f t="array" aca="1" ref="K1036" ca="1">IFERROR(_xlfn.XLOOKUP(C1036&amp;A1036, Inside5!B:B&amp;Inside5!I:I, Inside5!G:G), 0)</f>
        <v>0</v>
      </c>
      <c r="L1036" cm="1">
        <f t="array" ref="L1036">IFERROR(_xlfn.XLOOKUP(C1036&amp;A1036, Inside5!B:B&amp;Inside5!I:I, Inside5!H:H), 0)</f>
        <v>0</v>
      </c>
      <c r="M1036" t="str" cm="1">
        <f t="array" ref="M1036">IFERROR(_xlfn.XLOOKUP(C1036&amp;A1036, TDrate!F:F&amp;TDrate!H:H, TDrate!B:B), "N/A")</f>
        <v>N/A</v>
      </c>
      <c r="N1036" t="str" cm="1">
        <f t="array" ref="N1036">IFERROR(_xlfn.XLOOKUP(C1036&amp;A1036, TDrate!F:F&amp;TDrate!H:H, TDrate!D:D), "N/A")</f>
        <v>N/A</v>
      </c>
    </row>
    <row r="1037" spans="1:14" x14ac:dyDescent="0.45">
      <c r="A1037" s="8">
        <v>2020</v>
      </c>
      <c r="B1037" s="9" t="s">
        <v>684</v>
      </c>
      <c r="C1037" s="10" t="str">
        <f t="shared" si="32"/>
        <v>Dwayne Washington</v>
      </c>
      <c r="D1037" s="10" t="str">
        <f t="shared" si="33"/>
        <v>NO</v>
      </c>
      <c r="E1037" cm="1">
        <f t="array" aca="1" ref="E1037" ca="1">IFERROR(_xlfn.XLOOKUP(C1037&amp;A1037, Inside5!B:B&amp;Inside5!I:I, Inside5!C:C), 0)</f>
        <v>0</v>
      </c>
      <c r="F1037" cm="1">
        <f t="array" aca="1" ref="F1037" ca="1">IFERROR(_xlfn.XLOOKUP(C1037&amp;A1037, Inside5!B:B&amp;Inside5!I:I, Inside5!D:D), 0)</f>
        <v>0</v>
      </c>
      <c r="G1037" cm="1">
        <f t="array" ref="G1037">IFERROR(_xlfn.XLOOKUP(C1037&amp;A1037, Inside5!B:B&amp;Inside5!I:I, Inside5!E:E), 0)</f>
        <v>0</v>
      </c>
      <c r="H1037" t="str" cm="1">
        <f t="array" ref="H1037">IFERROR(_xlfn.XLOOKUP(C1037&amp;A1037, TDrate!F:F&amp;TDrate!H:H, TDrate!C:C), "N/A")</f>
        <v>N/A</v>
      </c>
      <c r="I1037" t="str" cm="1">
        <f t="array" ref="I1037">IFERROR(_xlfn.XLOOKUP(C1037&amp;A1037, TDrate!F:F&amp;TDrate!H:H, TDrate!E:E), "N/A")</f>
        <v>N/A</v>
      </c>
      <c r="J1037" cm="1">
        <f t="array" ref="J1037">IFERROR(_xlfn.XLOOKUP(C1037&amp;A1037, Inside5!B:B&amp;Inside5!I:I, Inside5!F:F), 0)</f>
        <v>0</v>
      </c>
      <c r="K1037" cm="1">
        <f t="array" aca="1" ref="K1037" ca="1">IFERROR(_xlfn.XLOOKUP(C1037&amp;A1037, Inside5!B:B&amp;Inside5!I:I, Inside5!G:G), 0)</f>
        <v>0</v>
      </c>
      <c r="L1037" cm="1">
        <f t="array" ref="L1037">IFERROR(_xlfn.XLOOKUP(C1037&amp;A1037, Inside5!B:B&amp;Inside5!I:I, Inside5!H:H), 0)</f>
        <v>0</v>
      </c>
      <c r="M1037" t="str" cm="1">
        <f t="array" ref="M1037">IFERROR(_xlfn.XLOOKUP(C1037&amp;A1037, TDrate!F:F&amp;TDrate!H:H, TDrate!B:B), "N/A")</f>
        <v>N/A</v>
      </c>
      <c r="N1037" t="str" cm="1">
        <f t="array" ref="N1037">IFERROR(_xlfn.XLOOKUP(C1037&amp;A1037, TDrate!F:F&amp;TDrate!H:H, TDrate!D:D), "N/A")</f>
        <v>N/A</v>
      </c>
    </row>
    <row r="1038" spans="1:14" x14ac:dyDescent="0.45">
      <c r="A1038" s="5">
        <v>2020</v>
      </c>
      <c r="B1038" s="6" t="s">
        <v>759</v>
      </c>
      <c r="C1038" s="7" t="str">
        <f t="shared" si="32"/>
        <v>Tony Jones Jr.</v>
      </c>
      <c r="D1038" s="7" t="str">
        <f t="shared" si="33"/>
        <v>NO</v>
      </c>
      <c r="E1038" cm="1">
        <f t="array" aca="1" ref="E1038" ca="1">IFERROR(_xlfn.XLOOKUP(C1038&amp;A1038, Inside5!B:B&amp;Inside5!I:I, Inside5!C:C), 0)</f>
        <v>0</v>
      </c>
      <c r="F1038" cm="1">
        <f t="array" aca="1" ref="F1038" ca="1">IFERROR(_xlfn.XLOOKUP(C1038&amp;A1038, Inside5!B:B&amp;Inside5!I:I, Inside5!D:D), 0)</f>
        <v>0</v>
      </c>
      <c r="G1038" cm="1">
        <f t="array" ref="G1038">IFERROR(_xlfn.XLOOKUP(C1038&amp;A1038, Inside5!B:B&amp;Inside5!I:I, Inside5!E:E), 0)</f>
        <v>0</v>
      </c>
      <c r="H1038" t="str" cm="1">
        <f t="array" ref="H1038">IFERROR(_xlfn.XLOOKUP(C1038&amp;A1038, TDrate!F:F&amp;TDrate!H:H, TDrate!C:C), "N/A")</f>
        <v>N/A</v>
      </c>
      <c r="I1038" t="str" cm="1">
        <f t="array" ref="I1038">IFERROR(_xlfn.XLOOKUP(C1038&amp;A1038, TDrate!F:F&amp;TDrate!H:H, TDrate!E:E), "N/A")</f>
        <v>N/A</v>
      </c>
      <c r="J1038" cm="1">
        <f t="array" ref="J1038">IFERROR(_xlfn.XLOOKUP(C1038&amp;A1038, Inside5!B:B&amp;Inside5!I:I, Inside5!F:F), 0)</f>
        <v>0</v>
      </c>
      <c r="K1038" cm="1">
        <f t="array" ref="K1038">IFERROR(_xlfn.XLOOKUP(C1038&amp;A1038, Inside5!B:B&amp;Inside5!I:I, Inside5!G:G), 0)</f>
        <v>0</v>
      </c>
      <c r="L1038" cm="1">
        <f t="array" ref="L1038">IFERROR(_xlfn.XLOOKUP(C1038&amp;A1038, Inside5!B:B&amp;Inside5!I:I, Inside5!H:H), 0)</f>
        <v>0</v>
      </c>
      <c r="M1038" t="str" cm="1">
        <f t="array" ref="M1038">IFERROR(_xlfn.XLOOKUP(C1038&amp;A1038, TDrate!F:F&amp;TDrate!H:H, TDrate!B:B), "N/A")</f>
        <v>N/A</v>
      </c>
      <c r="N1038" t="str" cm="1">
        <f t="array" ref="N1038">IFERROR(_xlfn.XLOOKUP(C1038&amp;A1038, TDrate!F:F&amp;TDrate!H:H, TDrate!D:D), "N/A")</f>
        <v>N/A</v>
      </c>
    </row>
    <row r="1039" spans="1:14" x14ac:dyDescent="0.45">
      <c r="A1039" s="8">
        <v>2020</v>
      </c>
      <c r="B1039" s="9" t="s">
        <v>872</v>
      </c>
      <c r="C1039" s="10" t="str">
        <f t="shared" si="32"/>
        <v>Senorise Perry</v>
      </c>
      <c r="D1039" s="10" t="str">
        <f t="shared" si="33"/>
        <v>TEN</v>
      </c>
      <c r="E1039" cm="1">
        <f t="array" aca="1" ref="E1039" ca="1">IFERROR(_xlfn.XLOOKUP(C1039&amp;A1039, Inside5!B:B&amp;Inside5!I:I, Inside5!C:C), 0)</f>
        <v>0</v>
      </c>
      <c r="F1039" cm="1">
        <f t="array" aca="1" ref="F1039" ca="1">IFERROR(_xlfn.XLOOKUP(C1039&amp;A1039, Inside5!B:B&amp;Inside5!I:I, Inside5!D:D), 0)</f>
        <v>0</v>
      </c>
      <c r="G1039" cm="1">
        <f t="array" ref="G1039">IFERROR(_xlfn.XLOOKUP(C1039&amp;A1039, Inside5!B:B&amp;Inside5!I:I, Inside5!E:E), 0)</f>
        <v>0</v>
      </c>
      <c r="H1039" t="str" cm="1">
        <f t="array" ref="H1039">IFERROR(_xlfn.XLOOKUP(C1039&amp;A1039, TDrate!F:F&amp;TDrate!H:H, TDrate!C:C), "N/A")</f>
        <v>N/A</v>
      </c>
      <c r="I1039" t="str" cm="1">
        <f t="array" ref="I1039">IFERROR(_xlfn.XLOOKUP(C1039&amp;A1039, TDrate!F:F&amp;TDrate!H:H, TDrate!E:E), "N/A")</f>
        <v>N/A</v>
      </c>
      <c r="J1039" cm="1">
        <f t="array" ref="J1039">IFERROR(_xlfn.XLOOKUP(C1039&amp;A1039, Inside5!B:B&amp;Inside5!I:I, Inside5!F:F), 0)</f>
        <v>0</v>
      </c>
      <c r="K1039" cm="1">
        <f t="array" aca="1" ref="K1039" ca="1">IFERROR(_xlfn.XLOOKUP(C1039&amp;A1039, Inside5!B:B&amp;Inside5!I:I, Inside5!G:G), 0)</f>
        <v>0</v>
      </c>
      <c r="L1039" cm="1">
        <f t="array" ref="L1039">IFERROR(_xlfn.XLOOKUP(C1039&amp;A1039, Inside5!B:B&amp;Inside5!I:I, Inside5!H:H), 0)</f>
        <v>0</v>
      </c>
      <c r="M1039" t="str" cm="1">
        <f t="array" ref="M1039">IFERROR(_xlfn.XLOOKUP(C1039&amp;A1039, TDrate!F:F&amp;TDrate!H:H, TDrate!B:B), "N/A")</f>
        <v>N/A</v>
      </c>
      <c r="N1039" t="str" cm="1">
        <f t="array" ref="N1039">IFERROR(_xlfn.XLOOKUP(C1039&amp;A1039, TDrate!F:F&amp;TDrate!H:H, TDrate!D:D), "N/A")</f>
        <v>N/A</v>
      </c>
    </row>
    <row r="1040" spans="1:14" x14ac:dyDescent="0.45">
      <c r="A1040" s="5">
        <v>2020</v>
      </c>
      <c r="B1040" s="6" t="s">
        <v>873</v>
      </c>
      <c r="C1040" s="7" t="str">
        <f t="shared" si="32"/>
        <v>D.J. Foster</v>
      </c>
      <c r="D1040" s="7" t="str">
        <f t="shared" si="33"/>
        <v>ARI</v>
      </c>
      <c r="E1040" cm="1">
        <f t="array" ref="E1040">IFERROR(_xlfn.XLOOKUP(C1040&amp;A1040, Inside5!B:B&amp;Inside5!I:I, Inside5!C:C), 0)</f>
        <v>0</v>
      </c>
      <c r="F1040" cm="1">
        <f t="array" ref="F1040">IFERROR(_xlfn.XLOOKUP(C1040&amp;A1040, Inside5!B:B&amp;Inside5!I:I, Inside5!D:D), 0)</f>
        <v>0</v>
      </c>
      <c r="G1040" cm="1">
        <f t="array" ref="G1040">IFERROR(_xlfn.XLOOKUP(C1040&amp;A1040, Inside5!B:B&amp;Inside5!I:I, Inside5!E:E), 0)</f>
        <v>0</v>
      </c>
      <c r="H1040" t="str" cm="1">
        <f t="array" ref="H1040">IFERROR(_xlfn.XLOOKUP(C1040&amp;A1040, TDrate!F:F&amp;TDrate!H:H, TDrate!C:C), "N/A")</f>
        <v>N/A</v>
      </c>
      <c r="I1040" t="str" cm="1">
        <f t="array" ref="I1040">IFERROR(_xlfn.XLOOKUP(C1040&amp;A1040, TDrate!F:F&amp;TDrate!H:H, TDrate!E:E), "N/A")</f>
        <v>N/A</v>
      </c>
      <c r="J1040" cm="1">
        <f t="array" ref="J1040">IFERROR(_xlfn.XLOOKUP(C1040&amp;A1040, Inside5!B:B&amp;Inside5!I:I, Inside5!F:F), 0)</f>
        <v>0</v>
      </c>
      <c r="K1040" cm="1">
        <f t="array" aca="1" ref="K1040" ca="1">IFERROR(_xlfn.XLOOKUP(C1040&amp;A1040, Inside5!B:B&amp;Inside5!I:I, Inside5!G:G), 0)</f>
        <v>0</v>
      </c>
      <c r="L1040" cm="1">
        <f t="array" ref="L1040">IFERROR(_xlfn.XLOOKUP(C1040&amp;A1040, Inside5!B:B&amp;Inside5!I:I, Inside5!H:H), 0)</f>
        <v>0</v>
      </c>
      <c r="M1040" t="str" cm="1">
        <f t="array" ref="M1040">IFERROR(_xlfn.XLOOKUP(C1040&amp;A1040, TDrate!F:F&amp;TDrate!H:H, TDrate!B:B), "N/A")</f>
        <v>N/A</v>
      </c>
      <c r="N1040" t="str" cm="1">
        <f t="array" ref="N1040">IFERROR(_xlfn.XLOOKUP(C1040&amp;A1040, TDrate!F:F&amp;TDrate!H:H, TDrate!D:D), "N/A")</f>
        <v>N/A</v>
      </c>
    </row>
    <row r="1041" spans="1:14" x14ac:dyDescent="0.45">
      <c r="A1041" s="8">
        <v>2020</v>
      </c>
      <c r="B1041" s="9" t="s">
        <v>874</v>
      </c>
      <c r="C1041" s="10" t="str">
        <f t="shared" si="32"/>
        <v>Chandler Cox</v>
      </c>
      <c r="D1041" s="10" t="str">
        <f t="shared" si="33"/>
        <v>MIA</v>
      </c>
      <c r="E1041" cm="1">
        <f t="array" ref="E1041">IFERROR(_xlfn.XLOOKUP(C1041&amp;A1041, Inside5!B:B&amp;Inside5!I:I, Inside5!C:C), 0)</f>
        <v>0</v>
      </c>
      <c r="F1041" cm="1">
        <f t="array" ref="F1041">IFERROR(_xlfn.XLOOKUP(C1041&amp;A1041, Inside5!B:B&amp;Inside5!I:I, Inside5!D:D), 0)</f>
        <v>0</v>
      </c>
      <c r="G1041" cm="1">
        <f t="array" ref="G1041">IFERROR(_xlfn.XLOOKUP(C1041&amp;A1041, Inside5!B:B&amp;Inside5!I:I, Inside5!E:E), 0)</f>
        <v>0</v>
      </c>
      <c r="H1041" t="str" cm="1">
        <f t="array" ref="H1041">IFERROR(_xlfn.XLOOKUP(C1041&amp;A1041, TDrate!F:F&amp;TDrate!H:H, TDrate!C:C), "N/A")</f>
        <v>N/A</v>
      </c>
      <c r="I1041" t="str" cm="1">
        <f t="array" ref="I1041">IFERROR(_xlfn.XLOOKUP(C1041&amp;A1041, TDrate!F:F&amp;TDrate!H:H, TDrate!E:E), "N/A")</f>
        <v>N/A</v>
      </c>
      <c r="J1041" cm="1">
        <f t="array" ref="J1041">IFERROR(_xlfn.XLOOKUP(C1041&amp;A1041, Inside5!B:B&amp;Inside5!I:I, Inside5!F:F), 0)</f>
        <v>0</v>
      </c>
      <c r="K1041" cm="1">
        <f t="array" ref="K1041">IFERROR(_xlfn.XLOOKUP(C1041&amp;A1041, Inside5!B:B&amp;Inside5!I:I, Inside5!G:G), 0)</f>
        <v>0</v>
      </c>
      <c r="L1041" cm="1">
        <f t="array" aca="1" ref="L1041" ca="1">IFERROR(_xlfn.XLOOKUP(C1041&amp;A1041, Inside5!B:B&amp;Inside5!I:I, Inside5!H:H), 0)</f>
        <v>0</v>
      </c>
      <c r="M1041" t="str" cm="1">
        <f t="array" ref="M1041">IFERROR(_xlfn.XLOOKUP(C1041&amp;A1041, TDrate!F:F&amp;TDrate!H:H, TDrate!B:B), "N/A")</f>
        <v>N/A</v>
      </c>
      <c r="N1041" t="str" cm="1">
        <f t="array" ref="N1041">IFERROR(_xlfn.XLOOKUP(C1041&amp;A1041, TDrate!F:F&amp;TDrate!H:H, TDrate!D:D), "N/A")</f>
        <v>N/A</v>
      </c>
    </row>
    <row r="1042" spans="1:14" x14ac:dyDescent="0.45">
      <c r="A1042" s="5">
        <v>2020</v>
      </c>
      <c r="B1042" s="6" t="s">
        <v>875</v>
      </c>
      <c r="C1042" s="7" t="str">
        <f t="shared" si="32"/>
        <v>Dexter Williams</v>
      </c>
      <c r="D1042" s="7" t="str">
        <f t="shared" si="33"/>
        <v>GB</v>
      </c>
      <c r="E1042" cm="1">
        <f t="array" aca="1" ref="E1042" ca="1">IFERROR(_xlfn.XLOOKUP(C1042&amp;A1042, Inside5!B:B&amp;Inside5!I:I, Inside5!C:C), 0)</f>
        <v>0</v>
      </c>
      <c r="F1042" cm="1">
        <f t="array" aca="1" ref="F1042" ca="1">IFERROR(_xlfn.XLOOKUP(C1042&amp;A1042, Inside5!B:B&amp;Inside5!I:I, Inside5!D:D), 0)</f>
        <v>0</v>
      </c>
      <c r="G1042" cm="1">
        <f t="array" ref="G1042">IFERROR(_xlfn.XLOOKUP(C1042&amp;A1042, Inside5!B:B&amp;Inside5!I:I, Inside5!E:E), 0)</f>
        <v>0</v>
      </c>
      <c r="H1042" t="str" cm="1">
        <f t="array" ref="H1042">IFERROR(_xlfn.XLOOKUP(C1042&amp;A1042, TDrate!F:F&amp;TDrate!H:H, TDrate!C:C), "N/A")</f>
        <v>N/A</v>
      </c>
      <c r="I1042" t="str" cm="1">
        <f t="array" ref="I1042">IFERROR(_xlfn.XLOOKUP(C1042&amp;A1042, TDrate!F:F&amp;TDrate!H:H, TDrate!E:E), "N/A")</f>
        <v>N/A</v>
      </c>
      <c r="J1042" cm="1">
        <f t="array" ref="J1042">IFERROR(_xlfn.XLOOKUP(C1042&amp;A1042, Inside5!B:B&amp;Inside5!I:I, Inside5!F:F), 0)</f>
        <v>0</v>
      </c>
      <c r="K1042" cm="1">
        <f t="array" aca="1" ref="K1042" ca="1">IFERROR(_xlfn.XLOOKUP(C1042&amp;A1042, Inside5!B:B&amp;Inside5!I:I, Inside5!G:G), 0)</f>
        <v>0</v>
      </c>
      <c r="L1042" cm="1">
        <f t="array" ref="L1042">IFERROR(_xlfn.XLOOKUP(C1042&amp;A1042, Inside5!B:B&amp;Inside5!I:I, Inside5!H:H), 0)</f>
        <v>0</v>
      </c>
      <c r="M1042" t="str" cm="1">
        <f t="array" ref="M1042">IFERROR(_xlfn.XLOOKUP(C1042&amp;A1042, TDrate!F:F&amp;TDrate!H:H, TDrate!B:B), "N/A")</f>
        <v>N/A</v>
      </c>
      <c r="N1042" t="str" cm="1">
        <f t="array" ref="N1042">IFERROR(_xlfn.XLOOKUP(C1042&amp;A1042, TDrate!F:F&amp;TDrate!H:H, TDrate!D:D), "N/A")</f>
        <v>N/A</v>
      </c>
    </row>
    <row r="1043" spans="1:14" x14ac:dyDescent="0.45">
      <c r="A1043" s="8">
        <v>2020</v>
      </c>
      <c r="B1043" s="9" t="s">
        <v>876</v>
      </c>
      <c r="C1043" s="10" t="str">
        <f t="shared" si="32"/>
        <v>Craig Reynolds</v>
      </c>
      <c r="D1043" s="10" t="str">
        <f t="shared" si="33"/>
        <v>JAC</v>
      </c>
      <c r="E1043" cm="1">
        <f t="array" aca="1" ref="E1043" ca="1">IFERROR(_xlfn.XLOOKUP(C1043&amp;A1043, Inside5!B:B&amp;Inside5!I:I, Inside5!C:C), 0)</f>
        <v>0</v>
      </c>
      <c r="F1043" cm="1">
        <f t="array" aca="1" ref="F1043" ca="1">IFERROR(_xlfn.XLOOKUP(C1043&amp;A1043, Inside5!B:B&amp;Inside5!I:I, Inside5!D:D), 0)</f>
        <v>0</v>
      </c>
      <c r="G1043" cm="1">
        <f t="array" ref="G1043">IFERROR(_xlfn.XLOOKUP(C1043&amp;A1043, Inside5!B:B&amp;Inside5!I:I, Inside5!E:E), 0)</f>
        <v>0</v>
      </c>
      <c r="H1043" t="str" cm="1">
        <f t="array" ref="H1043">IFERROR(_xlfn.XLOOKUP(C1043&amp;A1043, TDrate!F:F&amp;TDrate!H:H, TDrate!C:C), "N/A")</f>
        <v>N/A</v>
      </c>
      <c r="I1043" t="str" cm="1">
        <f t="array" ref="I1043">IFERROR(_xlfn.XLOOKUP(C1043&amp;A1043, TDrate!F:F&amp;TDrate!H:H, TDrate!E:E), "N/A")</f>
        <v>N/A</v>
      </c>
      <c r="J1043" cm="1">
        <f t="array" ref="J1043">IFERROR(_xlfn.XLOOKUP(C1043&amp;A1043, Inside5!B:B&amp;Inside5!I:I, Inside5!F:F), 0)</f>
        <v>0</v>
      </c>
      <c r="K1043" cm="1">
        <f t="array" ref="K1043">IFERROR(_xlfn.XLOOKUP(C1043&amp;A1043, Inside5!B:B&amp;Inside5!I:I, Inside5!G:G), 0)</f>
        <v>0</v>
      </c>
      <c r="L1043" cm="1">
        <f t="array" ref="L1043">IFERROR(_xlfn.XLOOKUP(C1043&amp;A1043, Inside5!B:B&amp;Inside5!I:I, Inside5!H:H), 0)</f>
        <v>0</v>
      </c>
      <c r="M1043" t="str" cm="1">
        <f t="array" ref="M1043">IFERROR(_xlfn.XLOOKUP(C1043&amp;A1043, TDrate!F:F&amp;TDrate!H:H, TDrate!B:B), "N/A")</f>
        <v>N/A</v>
      </c>
      <c r="N1043" t="str" cm="1">
        <f t="array" ref="N1043">IFERROR(_xlfn.XLOOKUP(C1043&amp;A1043, TDrate!F:F&amp;TDrate!H:H, TDrate!D:D), "N/A")</f>
        <v>N/A</v>
      </c>
    </row>
    <row r="1044" spans="1:14" x14ac:dyDescent="0.45">
      <c r="A1044" s="5">
        <v>2020</v>
      </c>
      <c r="B1044" s="6" t="s">
        <v>877</v>
      </c>
      <c r="C1044" s="7" t="str">
        <f t="shared" si="32"/>
        <v>Lamar Miller</v>
      </c>
      <c r="D1044" s="7" t="str">
        <f t="shared" si="33"/>
        <v>CHI</v>
      </c>
      <c r="E1044" cm="1">
        <f t="array" aca="1" ref="E1044" ca="1">IFERROR(_xlfn.XLOOKUP(C1044&amp;A1044, Inside5!B:B&amp;Inside5!I:I, Inside5!C:C), 0)</f>
        <v>0</v>
      </c>
      <c r="F1044" cm="1">
        <f t="array" aca="1" ref="F1044" ca="1">IFERROR(_xlfn.XLOOKUP(C1044&amp;A1044, Inside5!B:B&amp;Inside5!I:I, Inside5!D:D), 0)</f>
        <v>0</v>
      </c>
      <c r="G1044" cm="1">
        <f t="array" ref="G1044">IFERROR(_xlfn.XLOOKUP(C1044&amp;A1044, Inside5!B:B&amp;Inside5!I:I, Inside5!E:E), 0)</f>
        <v>0</v>
      </c>
      <c r="H1044" t="str" cm="1">
        <f t="array" ref="H1044">IFERROR(_xlfn.XLOOKUP(C1044&amp;A1044, TDrate!F:F&amp;TDrate!H:H, TDrate!C:C), "N/A")</f>
        <v>N/A</v>
      </c>
      <c r="I1044" t="str" cm="1">
        <f t="array" ref="I1044">IFERROR(_xlfn.XLOOKUP(C1044&amp;A1044, TDrate!F:F&amp;TDrate!H:H, TDrate!E:E), "N/A")</f>
        <v>N/A</v>
      </c>
      <c r="J1044" cm="1">
        <f t="array" ref="J1044">IFERROR(_xlfn.XLOOKUP(C1044&amp;A1044, Inside5!B:B&amp;Inside5!I:I, Inside5!F:F), 0)</f>
        <v>0</v>
      </c>
      <c r="K1044" cm="1">
        <f t="array" ref="K1044">IFERROR(_xlfn.XLOOKUP(C1044&amp;A1044, Inside5!B:B&amp;Inside5!I:I, Inside5!G:G), 0)</f>
        <v>0</v>
      </c>
      <c r="L1044" cm="1">
        <f t="array" ref="L1044">IFERROR(_xlfn.XLOOKUP(C1044&amp;A1044, Inside5!B:B&amp;Inside5!I:I, Inside5!H:H), 0)</f>
        <v>0</v>
      </c>
      <c r="M1044" t="str" cm="1">
        <f t="array" ref="M1044">IFERROR(_xlfn.XLOOKUP(C1044&amp;A1044, TDrate!F:F&amp;TDrate!H:H, TDrate!B:B), "N/A")</f>
        <v>N/A</v>
      </c>
      <c r="N1044" t="str" cm="1">
        <f t="array" ref="N1044">IFERROR(_xlfn.XLOOKUP(C1044&amp;A1044, TDrate!F:F&amp;TDrate!H:H, TDrate!D:D), "N/A")</f>
        <v>N/A</v>
      </c>
    </row>
    <row r="1045" spans="1:14" x14ac:dyDescent="0.45">
      <c r="A1045" s="8">
        <v>2020</v>
      </c>
      <c r="B1045" s="9" t="s">
        <v>878</v>
      </c>
      <c r="C1045" s="10" t="str">
        <f t="shared" si="32"/>
        <v>Jonathan Williams</v>
      </c>
      <c r="D1045" s="10" t="str">
        <f t="shared" si="33"/>
        <v>DET</v>
      </c>
      <c r="E1045" cm="1">
        <f t="array" aca="1" ref="E1045" ca="1">IFERROR(_xlfn.XLOOKUP(C1045&amp;A1045, Inside5!B:B&amp;Inside5!I:I, Inside5!C:C), 0)</f>
        <v>0</v>
      </c>
      <c r="F1045" cm="1">
        <f t="array" aca="1" ref="F1045" ca="1">IFERROR(_xlfn.XLOOKUP(C1045&amp;A1045, Inside5!B:B&amp;Inside5!I:I, Inside5!D:D), 0)</f>
        <v>0</v>
      </c>
      <c r="G1045" cm="1">
        <f t="array" ref="G1045">IFERROR(_xlfn.XLOOKUP(C1045&amp;A1045, Inside5!B:B&amp;Inside5!I:I, Inside5!E:E), 0)</f>
        <v>0</v>
      </c>
      <c r="H1045" t="str" cm="1">
        <f t="array" ref="H1045">IFERROR(_xlfn.XLOOKUP(C1045&amp;A1045, TDrate!F:F&amp;TDrate!H:H, TDrate!C:C), "N/A")</f>
        <v>N/A</v>
      </c>
      <c r="I1045" t="str" cm="1">
        <f t="array" ref="I1045">IFERROR(_xlfn.XLOOKUP(C1045&amp;A1045, TDrate!F:F&amp;TDrate!H:H, TDrate!E:E), "N/A")</f>
        <v>N/A</v>
      </c>
      <c r="J1045" cm="1">
        <f t="array" ref="J1045">IFERROR(_xlfn.XLOOKUP(C1045&amp;A1045, Inside5!B:B&amp;Inside5!I:I, Inside5!F:F), 0)</f>
        <v>0</v>
      </c>
      <c r="K1045" cm="1">
        <f t="array" ref="K1045">IFERROR(_xlfn.XLOOKUP(C1045&amp;A1045, Inside5!B:B&amp;Inside5!I:I, Inside5!G:G), 0)</f>
        <v>0</v>
      </c>
      <c r="L1045" cm="1">
        <f t="array" ref="L1045">IFERROR(_xlfn.XLOOKUP(C1045&amp;A1045, Inside5!B:B&amp;Inside5!I:I, Inside5!H:H), 0)</f>
        <v>0</v>
      </c>
      <c r="M1045" t="str" cm="1">
        <f t="array" ref="M1045">IFERROR(_xlfn.XLOOKUP(C1045&amp;A1045, TDrate!F:F&amp;TDrate!H:H, TDrate!B:B), "N/A")</f>
        <v>N/A</v>
      </c>
      <c r="N1045" t="str" cm="1">
        <f t="array" ref="N1045">IFERROR(_xlfn.XLOOKUP(C1045&amp;A1045, TDrate!F:F&amp;TDrate!H:H, TDrate!D:D), "N/A")</f>
        <v>N/A</v>
      </c>
    </row>
    <row r="1046" spans="1:14" x14ac:dyDescent="0.45">
      <c r="A1046" s="5">
        <v>2020</v>
      </c>
      <c r="B1046" s="6" t="s">
        <v>879</v>
      </c>
      <c r="C1046" s="7" t="str">
        <f t="shared" si="32"/>
        <v>Cullen Gillaspia</v>
      </c>
      <c r="D1046" s="7" t="str">
        <f t="shared" si="33"/>
        <v>HOU</v>
      </c>
      <c r="E1046" cm="1">
        <f t="array" ref="E1046">IFERROR(_xlfn.XLOOKUP(C1046&amp;A1046, Inside5!B:B&amp;Inside5!I:I, Inside5!C:C), 0)</f>
        <v>0</v>
      </c>
      <c r="F1046" cm="1">
        <f t="array" ref="F1046">IFERROR(_xlfn.XLOOKUP(C1046&amp;A1046, Inside5!B:B&amp;Inside5!I:I, Inside5!D:D), 0)</f>
        <v>0</v>
      </c>
      <c r="G1046" cm="1">
        <f t="array" ref="G1046">IFERROR(_xlfn.XLOOKUP(C1046&amp;A1046, Inside5!B:B&amp;Inside5!I:I, Inside5!E:E), 0)</f>
        <v>0</v>
      </c>
      <c r="H1046" t="str" cm="1">
        <f t="array" ref="H1046">IFERROR(_xlfn.XLOOKUP(C1046&amp;A1046, TDrate!F:F&amp;TDrate!H:H, TDrate!C:C), "N/A")</f>
        <v>N/A</v>
      </c>
      <c r="I1046" t="str" cm="1">
        <f t="array" ref="I1046">IFERROR(_xlfn.XLOOKUP(C1046&amp;A1046, TDrate!F:F&amp;TDrate!H:H, TDrate!E:E), "N/A")</f>
        <v>N/A</v>
      </c>
      <c r="J1046" cm="1">
        <f t="array" ref="J1046">IFERROR(_xlfn.XLOOKUP(C1046&amp;A1046, Inside5!B:B&amp;Inside5!I:I, Inside5!F:F), 0)</f>
        <v>0</v>
      </c>
      <c r="K1046" cm="1">
        <f t="array" ref="K1046">IFERROR(_xlfn.XLOOKUP(C1046&amp;A1046, Inside5!B:B&amp;Inside5!I:I, Inside5!G:G), 0)</f>
        <v>0</v>
      </c>
      <c r="L1046" cm="1">
        <f t="array" ref="L1046">IFERROR(_xlfn.XLOOKUP(C1046&amp;A1046, Inside5!B:B&amp;Inside5!I:I, Inside5!H:H), 0)</f>
        <v>0</v>
      </c>
      <c r="M1046" t="str" cm="1">
        <f t="array" ref="M1046">IFERROR(_xlfn.XLOOKUP(C1046&amp;A1046, TDrate!F:F&amp;TDrate!H:H, TDrate!B:B), "N/A")</f>
        <v>N/A</v>
      </c>
      <c r="N1046" t="str" cm="1">
        <f t="array" ref="N1046">IFERROR(_xlfn.XLOOKUP(C1046&amp;A1046, TDrate!F:F&amp;TDrate!H:H, TDrate!D:D), "N/A")</f>
        <v>N/A</v>
      </c>
    </row>
    <row r="1047" spans="1:14" x14ac:dyDescent="0.45">
      <c r="A1047" s="8">
        <v>2020</v>
      </c>
      <c r="B1047" s="9" t="s">
        <v>880</v>
      </c>
      <c r="C1047" s="10" t="str">
        <f t="shared" si="32"/>
        <v>Tony Brooks-James</v>
      </c>
      <c r="D1047" s="10" t="str">
        <f t="shared" si="33"/>
        <v>ATL</v>
      </c>
      <c r="E1047" cm="1">
        <f t="array" aca="1" ref="E1047" ca="1">IFERROR(_xlfn.XLOOKUP(C1047&amp;A1047, Inside5!B:B&amp;Inside5!I:I, Inside5!C:C), 0)</f>
        <v>0</v>
      </c>
      <c r="F1047" cm="1">
        <f t="array" ref="F1047">IFERROR(_xlfn.XLOOKUP(C1047&amp;A1047, Inside5!B:B&amp;Inside5!I:I, Inside5!D:D), 0)</f>
        <v>0</v>
      </c>
      <c r="G1047" cm="1">
        <f t="array" ref="G1047">IFERROR(_xlfn.XLOOKUP(C1047&amp;A1047, Inside5!B:B&amp;Inside5!I:I, Inside5!E:E), 0)</f>
        <v>0</v>
      </c>
      <c r="H1047" t="str" cm="1">
        <f t="array" ref="H1047">IFERROR(_xlfn.XLOOKUP(C1047&amp;A1047, TDrate!F:F&amp;TDrate!H:H, TDrate!C:C), "N/A")</f>
        <v>N/A</v>
      </c>
      <c r="I1047" t="str" cm="1">
        <f t="array" ref="I1047">IFERROR(_xlfn.XLOOKUP(C1047&amp;A1047, TDrate!F:F&amp;TDrate!H:H, TDrate!E:E), "N/A")</f>
        <v>N/A</v>
      </c>
      <c r="J1047" cm="1">
        <f t="array" ref="J1047">IFERROR(_xlfn.XLOOKUP(C1047&amp;A1047, Inside5!B:B&amp;Inside5!I:I, Inside5!F:F), 0)</f>
        <v>0</v>
      </c>
      <c r="K1047" cm="1">
        <f t="array" ref="K1047">IFERROR(_xlfn.XLOOKUP(C1047&amp;A1047, Inside5!B:B&amp;Inside5!I:I, Inside5!G:G), 0)</f>
        <v>0</v>
      </c>
      <c r="L1047" cm="1">
        <f t="array" ref="L1047">IFERROR(_xlfn.XLOOKUP(C1047&amp;A1047, Inside5!B:B&amp;Inside5!I:I, Inside5!H:H), 0)</f>
        <v>0</v>
      </c>
      <c r="M1047" t="str" cm="1">
        <f t="array" ref="M1047">IFERROR(_xlfn.XLOOKUP(C1047&amp;A1047, TDrate!F:F&amp;TDrate!H:H, TDrate!B:B), "N/A")</f>
        <v>N/A</v>
      </c>
      <c r="N1047" t="str" cm="1">
        <f t="array" ref="N1047">IFERROR(_xlfn.XLOOKUP(C1047&amp;A1047, TDrate!F:F&amp;TDrate!H:H, TDrate!D:D), "N/A")</f>
        <v>N/A</v>
      </c>
    </row>
    <row r="1048" spans="1:14" x14ac:dyDescent="0.45">
      <c r="A1048" s="5">
        <v>2020</v>
      </c>
      <c r="B1048" s="6" t="s">
        <v>761</v>
      </c>
      <c r="C1048" s="7" t="str">
        <f t="shared" si="32"/>
        <v>Qadree Ollison</v>
      </c>
      <c r="D1048" s="7" t="str">
        <f t="shared" si="33"/>
        <v>ATL</v>
      </c>
      <c r="E1048" cm="1">
        <f t="array" ref="E1048">IFERROR(_xlfn.XLOOKUP(C1048&amp;A1048, Inside5!B:B&amp;Inside5!I:I, Inside5!C:C), 0)</f>
        <v>0</v>
      </c>
      <c r="F1048" cm="1">
        <f t="array" ref="F1048">IFERROR(_xlfn.XLOOKUP(C1048&amp;A1048, Inside5!B:B&amp;Inside5!I:I, Inside5!D:D), 0)</f>
        <v>0</v>
      </c>
      <c r="G1048" cm="1">
        <f t="array" ref="G1048">IFERROR(_xlfn.XLOOKUP(C1048&amp;A1048, Inside5!B:B&amp;Inside5!I:I, Inside5!E:E), 0)</f>
        <v>0</v>
      </c>
      <c r="H1048" t="str" cm="1">
        <f t="array" ref="H1048">IFERROR(_xlfn.XLOOKUP(C1048&amp;A1048, TDrate!F:F&amp;TDrate!H:H, TDrate!C:C), "N/A")</f>
        <v>N/A</v>
      </c>
      <c r="I1048" t="str" cm="1">
        <f t="array" ref="I1048">IFERROR(_xlfn.XLOOKUP(C1048&amp;A1048, TDrate!F:F&amp;TDrate!H:H, TDrate!E:E), "N/A")</f>
        <v>N/A</v>
      </c>
      <c r="J1048" cm="1">
        <f t="array" ref="J1048">IFERROR(_xlfn.XLOOKUP(C1048&amp;A1048, Inside5!B:B&amp;Inside5!I:I, Inside5!F:F), 0)</f>
        <v>0</v>
      </c>
      <c r="K1048" cm="1">
        <f t="array" ref="K1048">IFERROR(_xlfn.XLOOKUP(C1048&amp;A1048, Inside5!B:B&amp;Inside5!I:I, Inside5!G:G), 0)</f>
        <v>0</v>
      </c>
      <c r="L1048" cm="1">
        <f t="array" ref="L1048">IFERROR(_xlfn.XLOOKUP(C1048&amp;A1048, Inside5!B:B&amp;Inside5!I:I, Inside5!H:H), 0)</f>
        <v>0</v>
      </c>
      <c r="M1048" t="str" cm="1">
        <f t="array" ref="M1048">IFERROR(_xlfn.XLOOKUP(C1048&amp;A1048, TDrate!F:F&amp;TDrate!H:H, TDrate!B:B), "N/A")</f>
        <v>N/A</v>
      </c>
      <c r="N1048" t="str" cm="1">
        <f t="array" ref="N1048">IFERROR(_xlfn.XLOOKUP(C1048&amp;A1048, TDrate!F:F&amp;TDrate!H:H, TDrate!D:D), "N/A")</f>
        <v>N/A</v>
      </c>
    </row>
    <row r="1049" spans="1:14" x14ac:dyDescent="0.45">
      <c r="A1049" s="8">
        <v>2020</v>
      </c>
      <c r="B1049" s="9" t="s">
        <v>715</v>
      </c>
      <c r="C1049" s="10" t="str">
        <f t="shared" si="32"/>
        <v>Taiwan Jones</v>
      </c>
      <c r="D1049" s="10" t="str">
        <f t="shared" si="33"/>
        <v>BUF</v>
      </c>
      <c r="E1049" cm="1">
        <f t="array" aca="1" ref="E1049" ca="1">IFERROR(_xlfn.XLOOKUP(C1049&amp;A1049, Inside5!B:B&amp;Inside5!I:I, Inside5!C:C), 0)</f>
        <v>0</v>
      </c>
      <c r="F1049" cm="1">
        <f t="array" aca="1" ref="F1049" ca="1">IFERROR(_xlfn.XLOOKUP(C1049&amp;A1049, Inside5!B:B&amp;Inside5!I:I, Inside5!D:D), 0)</f>
        <v>0</v>
      </c>
      <c r="G1049" cm="1">
        <f t="array" ref="G1049">IFERROR(_xlfn.XLOOKUP(C1049&amp;A1049, Inside5!B:B&amp;Inside5!I:I, Inside5!E:E), 0)</f>
        <v>0</v>
      </c>
      <c r="H1049" t="str" cm="1">
        <f t="array" ref="H1049">IFERROR(_xlfn.XLOOKUP(C1049&amp;A1049, TDrate!F:F&amp;TDrate!H:H, TDrate!C:C), "N/A")</f>
        <v>N/A</v>
      </c>
      <c r="I1049" t="str" cm="1">
        <f t="array" ref="I1049">IFERROR(_xlfn.XLOOKUP(C1049&amp;A1049, TDrate!F:F&amp;TDrate!H:H, TDrate!E:E), "N/A")</f>
        <v>N/A</v>
      </c>
      <c r="J1049" cm="1">
        <f t="array" ref="J1049">IFERROR(_xlfn.XLOOKUP(C1049&amp;A1049, Inside5!B:B&amp;Inside5!I:I, Inside5!F:F), 0)</f>
        <v>0</v>
      </c>
      <c r="K1049" cm="1">
        <f t="array" ref="K1049">IFERROR(_xlfn.XLOOKUP(C1049&amp;A1049, Inside5!B:B&amp;Inside5!I:I, Inside5!G:G), 0)</f>
        <v>0</v>
      </c>
      <c r="L1049" cm="1">
        <f t="array" ref="L1049">IFERROR(_xlfn.XLOOKUP(C1049&amp;A1049, Inside5!B:B&amp;Inside5!I:I, Inside5!H:H), 0)</f>
        <v>0</v>
      </c>
      <c r="M1049" t="str" cm="1">
        <f t="array" ref="M1049">IFERROR(_xlfn.XLOOKUP(C1049&amp;A1049, TDrate!F:F&amp;TDrate!H:H, TDrate!B:B), "N/A")</f>
        <v>N/A</v>
      </c>
      <c r="N1049" t="str" cm="1">
        <f t="array" ref="N1049">IFERROR(_xlfn.XLOOKUP(C1049&amp;A1049, TDrate!F:F&amp;TDrate!H:H, TDrate!D:D), "N/A")</f>
        <v>N/A</v>
      </c>
    </row>
    <row r="1050" spans="1:14" x14ac:dyDescent="0.45">
      <c r="A1050" s="5">
        <v>2020</v>
      </c>
      <c r="B1050" s="6" t="s">
        <v>881</v>
      </c>
      <c r="C1050" s="7" t="str">
        <f t="shared" si="32"/>
        <v>Bruce Miller</v>
      </c>
      <c r="D1050" s="7" t="str">
        <f t="shared" si="33"/>
        <v>JAC</v>
      </c>
      <c r="E1050" cm="1">
        <f t="array" ref="E1050">IFERROR(_xlfn.XLOOKUP(C1050&amp;A1050, Inside5!B:B&amp;Inside5!I:I, Inside5!C:C), 0)</f>
        <v>0</v>
      </c>
      <c r="F1050" cm="1">
        <f t="array" ref="F1050">IFERROR(_xlfn.XLOOKUP(C1050&amp;A1050, Inside5!B:B&amp;Inside5!I:I, Inside5!D:D), 0)</f>
        <v>0</v>
      </c>
      <c r="G1050" cm="1">
        <f t="array" ref="G1050">IFERROR(_xlfn.XLOOKUP(C1050&amp;A1050, Inside5!B:B&amp;Inside5!I:I, Inside5!E:E), 0)</f>
        <v>0</v>
      </c>
      <c r="H1050" t="str" cm="1">
        <f t="array" ref="H1050">IFERROR(_xlfn.XLOOKUP(C1050&amp;A1050, TDrate!F:F&amp;TDrate!H:H, TDrate!C:C), "N/A")</f>
        <v>N/A</v>
      </c>
      <c r="I1050" t="str" cm="1">
        <f t="array" ref="I1050">IFERROR(_xlfn.XLOOKUP(C1050&amp;A1050, TDrate!F:F&amp;TDrate!H:H, TDrate!E:E), "N/A")</f>
        <v>N/A</v>
      </c>
      <c r="J1050" cm="1">
        <f t="array" ref="J1050">IFERROR(_xlfn.XLOOKUP(C1050&amp;A1050, Inside5!B:B&amp;Inside5!I:I, Inside5!F:F), 0)</f>
        <v>0</v>
      </c>
      <c r="K1050" cm="1">
        <f t="array" ref="K1050">IFERROR(_xlfn.XLOOKUP(C1050&amp;A1050, Inside5!B:B&amp;Inside5!I:I, Inside5!G:G), 0)</f>
        <v>0</v>
      </c>
      <c r="L1050" cm="1">
        <f t="array" ref="L1050">IFERROR(_xlfn.XLOOKUP(C1050&amp;A1050, Inside5!B:B&amp;Inside5!I:I, Inside5!H:H), 0)</f>
        <v>0</v>
      </c>
      <c r="M1050" t="str" cm="1">
        <f t="array" ref="M1050">IFERROR(_xlfn.XLOOKUP(C1050&amp;A1050, TDrate!F:F&amp;TDrate!H:H, TDrate!B:B), "N/A")</f>
        <v>N/A</v>
      </c>
      <c r="N1050" t="str" cm="1">
        <f t="array" ref="N1050">IFERROR(_xlfn.XLOOKUP(C1050&amp;A1050, TDrate!F:F&amp;TDrate!H:H, TDrate!D:D), "N/A")</f>
        <v>N/A</v>
      </c>
    </row>
    <row r="1051" spans="1:14" x14ac:dyDescent="0.45">
      <c r="A1051" s="8">
        <v>2020</v>
      </c>
      <c r="B1051" s="9" t="s">
        <v>702</v>
      </c>
      <c r="C1051" s="10" t="str">
        <f t="shared" si="32"/>
        <v>Kenjon Barner</v>
      </c>
      <c r="D1051" s="10" t="str">
        <f t="shared" si="33"/>
        <v>TB</v>
      </c>
      <c r="E1051" cm="1">
        <f t="array" aca="1" ref="E1051" ca="1">IFERROR(_xlfn.XLOOKUP(C1051&amp;A1051, Inside5!B:B&amp;Inside5!I:I, Inside5!C:C), 0)</f>
        <v>0</v>
      </c>
      <c r="F1051" cm="1">
        <f t="array" aca="1" ref="F1051" ca="1">IFERROR(_xlfn.XLOOKUP(C1051&amp;A1051, Inside5!B:B&amp;Inside5!I:I, Inside5!D:D), 0)</f>
        <v>0</v>
      </c>
      <c r="G1051" cm="1">
        <f t="array" ref="G1051">IFERROR(_xlfn.XLOOKUP(C1051&amp;A1051, Inside5!B:B&amp;Inside5!I:I, Inside5!E:E), 0)</f>
        <v>0</v>
      </c>
      <c r="H1051" t="str" cm="1">
        <f t="array" ref="H1051">IFERROR(_xlfn.XLOOKUP(C1051&amp;A1051, TDrate!F:F&amp;TDrate!H:H, TDrate!C:C), "N/A")</f>
        <v>N/A</v>
      </c>
      <c r="I1051" t="str" cm="1">
        <f t="array" ref="I1051">IFERROR(_xlfn.XLOOKUP(C1051&amp;A1051, TDrate!F:F&amp;TDrate!H:H, TDrate!E:E), "N/A")</f>
        <v>N/A</v>
      </c>
      <c r="J1051" cm="1">
        <f t="array" ref="J1051">IFERROR(_xlfn.XLOOKUP(C1051&amp;A1051, Inside5!B:B&amp;Inside5!I:I, Inside5!F:F), 0)</f>
        <v>0</v>
      </c>
      <c r="K1051" cm="1">
        <f t="array" ref="K1051">IFERROR(_xlfn.XLOOKUP(C1051&amp;A1051, Inside5!B:B&amp;Inside5!I:I, Inside5!G:G), 0)</f>
        <v>0</v>
      </c>
      <c r="L1051" cm="1">
        <f t="array" ref="L1051">IFERROR(_xlfn.XLOOKUP(C1051&amp;A1051, Inside5!B:B&amp;Inside5!I:I, Inside5!H:H), 0)</f>
        <v>0</v>
      </c>
      <c r="M1051" t="str" cm="1">
        <f t="array" ref="M1051">IFERROR(_xlfn.XLOOKUP(C1051&amp;A1051, TDrate!F:F&amp;TDrate!H:H, TDrate!B:B), "N/A")</f>
        <v>N/A</v>
      </c>
      <c r="N1051" t="str" cm="1">
        <f t="array" ref="N1051">IFERROR(_xlfn.XLOOKUP(C1051&amp;A1051, TDrate!F:F&amp;TDrate!H:H, TDrate!D:D), "N/A")</f>
        <v>N/A</v>
      </c>
    </row>
    <row r="1052" spans="1:14" x14ac:dyDescent="0.45">
      <c r="A1052" s="5">
        <v>2020</v>
      </c>
      <c r="B1052" s="6" t="s">
        <v>882</v>
      </c>
      <c r="C1052" s="7" t="str">
        <f t="shared" si="32"/>
        <v>Wendell Smallwood</v>
      </c>
      <c r="D1052" s="7" t="str">
        <f t="shared" si="33"/>
        <v>PIT</v>
      </c>
      <c r="E1052" cm="1">
        <f t="array" aca="1" ref="E1052" ca="1">IFERROR(_xlfn.XLOOKUP(C1052&amp;A1052, Inside5!B:B&amp;Inside5!I:I, Inside5!C:C), 0)</f>
        <v>0</v>
      </c>
      <c r="F1052" cm="1">
        <f t="array" aca="1" ref="F1052" ca="1">IFERROR(_xlfn.XLOOKUP(C1052&amp;A1052, Inside5!B:B&amp;Inside5!I:I, Inside5!D:D), 0)</f>
        <v>0</v>
      </c>
      <c r="G1052" cm="1">
        <f t="array" ref="G1052">IFERROR(_xlfn.XLOOKUP(C1052&amp;A1052, Inside5!B:B&amp;Inside5!I:I, Inside5!E:E), 0)</f>
        <v>0</v>
      </c>
      <c r="H1052" t="str" cm="1">
        <f t="array" ref="H1052">IFERROR(_xlfn.XLOOKUP(C1052&amp;A1052, TDrate!F:F&amp;TDrate!H:H, TDrate!C:C), "N/A")</f>
        <v>N/A</v>
      </c>
      <c r="I1052" t="str" cm="1">
        <f t="array" ref="I1052">IFERROR(_xlfn.XLOOKUP(C1052&amp;A1052, TDrate!F:F&amp;TDrate!H:H, TDrate!E:E), "N/A")</f>
        <v>N/A</v>
      </c>
      <c r="J1052" cm="1">
        <f t="array" ref="J1052">IFERROR(_xlfn.XLOOKUP(C1052&amp;A1052, Inside5!B:B&amp;Inside5!I:I, Inside5!F:F), 0)</f>
        <v>0</v>
      </c>
      <c r="K1052" cm="1">
        <f t="array" ref="K1052">IFERROR(_xlfn.XLOOKUP(C1052&amp;A1052, Inside5!B:B&amp;Inside5!I:I, Inside5!G:G), 0)</f>
        <v>0</v>
      </c>
      <c r="L1052" cm="1">
        <f t="array" ref="L1052">IFERROR(_xlfn.XLOOKUP(C1052&amp;A1052, Inside5!B:B&amp;Inside5!I:I, Inside5!H:H), 0)</f>
        <v>0</v>
      </c>
      <c r="M1052" t="str" cm="1">
        <f t="array" ref="M1052">IFERROR(_xlfn.XLOOKUP(C1052&amp;A1052, TDrate!F:F&amp;TDrate!H:H, TDrate!B:B), "N/A")</f>
        <v>N/A</v>
      </c>
      <c r="N1052" t="str" cm="1">
        <f t="array" ref="N1052">IFERROR(_xlfn.XLOOKUP(C1052&amp;A1052, TDrate!F:F&amp;TDrate!H:H, TDrate!D:D), "N/A")</f>
        <v>N/A</v>
      </c>
    </row>
    <row r="1053" spans="1:14" x14ac:dyDescent="0.45">
      <c r="A1053" s="8">
        <v>2020</v>
      </c>
      <c r="B1053" s="9" t="s">
        <v>671</v>
      </c>
      <c r="C1053" s="10" t="str">
        <f t="shared" si="32"/>
        <v>Derek Watt</v>
      </c>
      <c r="D1053" s="10" t="str">
        <f t="shared" si="33"/>
        <v>PIT</v>
      </c>
      <c r="E1053" cm="1">
        <f t="array" aca="1" ref="E1053" ca="1">IFERROR(_xlfn.XLOOKUP(C1053&amp;A1053, Inside5!B:B&amp;Inside5!I:I, Inside5!C:C), 0)</f>
        <v>0</v>
      </c>
      <c r="F1053" cm="1">
        <f t="array" aca="1" ref="F1053" ca="1">IFERROR(_xlfn.XLOOKUP(C1053&amp;A1053, Inside5!B:B&amp;Inside5!I:I, Inside5!D:D), 0)</f>
        <v>0</v>
      </c>
      <c r="G1053" cm="1">
        <f t="array" ref="G1053">IFERROR(_xlfn.XLOOKUP(C1053&amp;A1053, Inside5!B:B&amp;Inside5!I:I, Inside5!E:E), 0)</f>
        <v>0</v>
      </c>
      <c r="H1053" t="str" cm="1">
        <f t="array" ref="H1053">IFERROR(_xlfn.XLOOKUP(C1053&amp;A1053, TDrate!F:F&amp;TDrate!H:H, TDrate!C:C), "N/A")</f>
        <v>N/A</v>
      </c>
      <c r="I1053" t="str" cm="1">
        <f t="array" ref="I1053">IFERROR(_xlfn.XLOOKUP(C1053&amp;A1053, TDrate!F:F&amp;TDrate!H:H, TDrate!E:E), "N/A")</f>
        <v>N/A</v>
      </c>
      <c r="J1053" cm="1">
        <f t="array" ref="J1053">IFERROR(_xlfn.XLOOKUP(C1053&amp;A1053, Inside5!B:B&amp;Inside5!I:I, Inside5!F:F), 0)</f>
        <v>0</v>
      </c>
      <c r="K1053" cm="1">
        <f t="array" ref="K1053">IFERROR(_xlfn.XLOOKUP(C1053&amp;A1053, Inside5!B:B&amp;Inside5!I:I, Inside5!G:G), 0)</f>
        <v>0</v>
      </c>
      <c r="L1053" cm="1">
        <f t="array" ref="L1053">IFERROR(_xlfn.XLOOKUP(C1053&amp;A1053, Inside5!B:B&amp;Inside5!I:I, Inside5!H:H), 0)</f>
        <v>0</v>
      </c>
      <c r="M1053" t="str" cm="1">
        <f t="array" ref="M1053">IFERROR(_xlfn.XLOOKUP(C1053&amp;A1053, TDrate!F:F&amp;TDrate!H:H, TDrate!B:B), "N/A")</f>
        <v>N/A</v>
      </c>
      <c r="N1053" t="str" cm="1">
        <f t="array" ref="N1053">IFERROR(_xlfn.XLOOKUP(C1053&amp;A1053, TDrate!F:F&amp;TDrate!H:H, TDrate!D:D), "N/A")</f>
        <v>N/A</v>
      </c>
    </row>
    <row r="1054" spans="1:14" x14ac:dyDescent="0.45">
      <c r="A1054" s="5">
        <v>2020</v>
      </c>
      <c r="B1054" s="6" t="s">
        <v>795</v>
      </c>
      <c r="C1054" s="7" t="str">
        <f t="shared" si="32"/>
        <v>J.P. Holtz</v>
      </c>
      <c r="D1054" s="7" t="str">
        <f t="shared" si="33"/>
        <v>CHI</v>
      </c>
      <c r="E1054" cm="1">
        <f t="array" ref="E1054">IFERROR(_xlfn.XLOOKUP(C1054&amp;A1054, Inside5!B:B&amp;Inside5!I:I, Inside5!C:C), 0)</f>
        <v>0</v>
      </c>
      <c r="F1054" cm="1">
        <f t="array" ref="F1054">IFERROR(_xlfn.XLOOKUP(C1054&amp;A1054, Inside5!B:B&amp;Inside5!I:I, Inside5!D:D), 0)</f>
        <v>0</v>
      </c>
      <c r="G1054" cm="1">
        <f t="array" ref="G1054">IFERROR(_xlfn.XLOOKUP(C1054&amp;A1054, Inside5!B:B&amp;Inside5!I:I, Inside5!E:E), 0)</f>
        <v>0</v>
      </c>
      <c r="H1054" t="str" cm="1">
        <f t="array" ref="H1054">IFERROR(_xlfn.XLOOKUP(C1054&amp;A1054, TDrate!F:F&amp;TDrate!H:H, TDrate!C:C), "N/A")</f>
        <v>N/A</v>
      </c>
      <c r="I1054" t="str" cm="1">
        <f t="array" ref="I1054">IFERROR(_xlfn.XLOOKUP(C1054&amp;A1054, TDrate!F:F&amp;TDrate!H:H, TDrate!E:E), "N/A")</f>
        <v>N/A</v>
      </c>
      <c r="J1054" cm="1">
        <f t="array" ref="J1054">IFERROR(_xlfn.XLOOKUP(C1054&amp;A1054, Inside5!B:B&amp;Inside5!I:I, Inside5!F:F), 0)</f>
        <v>0</v>
      </c>
      <c r="K1054" cm="1">
        <f t="array" ref="K1054">IFERROR(_xlfn.XLOOKUP(C1054&amp;A1054, Inside5!B:B&amp;Inside5!I:I, Inside5!G:G), 0)</f>
        <v>0</v>
      </c>
      <c r="L1054" cm="1">
        <f t="array" ref="L1054">IFERROR(_xlfn.XLOOKUP(C1054&amp;A1054, Inside5!B:B&amp;Inside5!I:I, Inside5!H:H), 0)</f>
        <v>0</v>
      </c>
      <c r="M1054" t="str" cm="1">
        <f t="array" ref="M1054">IFERROR(_xlfn.XLOOKUP(C1054&amp;A1054, TDrate!F:F&amp;TDrate!H:H, TDrate!B:B), "N/A")</f>
        <v>N/A</v>
      </c>
      <c r="N1054" t="str" cm="1">
        <f t="array" ref="N1054">IFERROR(_xlfn.XLOOKUP(C1054&amp;A1054, TDrate!F:F&amp;TDrate!H:H, TDrate!D:D), "N/A")</f>
        <v>N/A</v>
      </c>
    </row>
    <row r="1055" spans="1:14" x14ac:dyDescent="0.45">
      <c r="A1055" s="8">
        <v>2020</v>
      </c>
      <c r="B1055" s="9" t="s">
        <v>704</v>
      </c>
      <c r="C1055" s="10" t="str">
        <f t="shared" si="32"/>
        <v>Brandin Bryant</v>
      </c>
      <c r="D1055" s="10" t="str">
        <f t="shared" si="33"/>
        <v>BUF</v>
      </c>
      <c r="E1055" cm="1">
        <f t="array" ref="E1055">IFERROR(_xlfn.XLOOKUP(C1055&amp;A1055, Inside5!B:B&amp;Inside5!I:I, Inside5!C:C), 0)</f>
        <v>0</v>
      </c>
      <c r="F1055" cm="1">
        <f t="array" aca="1" ref="F1055" ca="1">IFERROR(_xlfn.XLOOKUP(C1055&amp;A1055, Inside5!B:B&amp;Inside5!I:I, Inside5!D:D), 0)</f>
        <v>0</v>
      </c>
      <c r="G1055" cm="1">
        <f t="array" ref="G1055">IFERROR(_xlfn.XLOOKUP(C1055&amp;A1055, Inside5!B:B&amp;Inside5!I:I, Inside5!E:E), 0)</f>
        <v>0</v>
      </c>
      <c r="H1055" t="str" cm="1">
        <f t="array" ref="H1055">IFERROR(_xlfn.XLOOKUP(C1055&amp;A1055, TDrate!F:F&amp;TDrate!H:H, TDrate!C:C), "N/A")</f>
        <v>N/A</v>
      </c>
      <c r="I1055" t="str" cm="1">
        <f t="array" ref="I1055">IFERROR(_xlfn.XLOOKUP(C1055&amp;A1055, TDrate!F:F&amp;TDrate!H:H, TDrate!E:E), "N/A")</f>
        <v>N/A</v>
      </c>
      <c r="J1055" cm="1">
        <f t="array" ref="J1055">IFERROR(_xlfn.XLOOKUP(C1055&amp;A1055, Inside5!B:B&amp;Inside5!I:I, Inside5!F:F), 0)</f>
        <v>0</v>
      </c>
      <c r="K1055" cm="1">
        <f t="array" aca="1" ref="K1055" ca="1">IFERROR(_xlfn.XLOOKUP(C1055&amp;A1055, Inside5!B:B&amp;Inside5!I:I, Inside5!G:G), 0)</f>
        <v>0</v>
      </c>
      <c r="L1055" cm="1">
        <f t="array" ref="L1055">IFERROR(_xlfn.XLOOKUP(C1055&amp;A1055, Inside5!B:B&amp;Inside5!I:I, Inside5!H:H), 0)</f>
        <v>0</v>
      </c>
      <c r="M1055" t="str" cm="1">
        <f t="array" ref="M1055">IFERROR(_xlfn.XLOOKUP(C1055&amp;A1055, TDrate!F:F&amp;TDrate!H:H, TDrate!B:B), "N/A")</f>
        <v>N/A</v>
      </c>
      <c r="N1055" t="str" cm="1">
        <f t="array" ref="N1055">IFERROR(_xlfn.XLOOKUP(C1055&amp;A1055, TDrate!F:F&amp;TDrate!H:H, TDrate!D:D), "N/A")</f>
        <v>N/A</v>
      </c>
    </row>
    <row r="1056" spans="1:14" x14ac:dyDescent="0.45">
      <c r="A1056" s="5">
        <v>2020</v>
      </c>
      <c r="B1056" s="6" t="s">
        <v>883</v>
      </c>
      <c r="C1056" s="7" t="str">
        <f t="shared" si="32"/>
        <v>Cethan Carter</v>
      </c>
      <c r="D1056" s="7" t="str">
        <f t="shared" si="33"/>
        <v>CIN</v>
      </c>
      <c r="E1056" cm="1">
        <f t="array" ref="E1056">IFERROR(_xlfn.XLOOKUP(C1056&amp;A1056, Inside5!B:B&amp;Inside5!I:I, Inside5!C:C), 0)</f>
        <v>0</v>
      </c>
      <c r="F1056" cm="1">
        <f t="array" ref="F1056">IFERROR(_xlfn.XLOOKUP(C1056&amp;A1056, Inside5!B:B&amp;Inside5!I:I, Inside5!D:D), 0)</f>
        <v>0</v>
      </c>
      <c r="G1056" cm="1">
        <f t="array" ref="G1056">IFERROR(_xlfn.XLOOKUP(C1056&amp;A1056, Inside5!B:B&amp;Inside5!I:I, Inside5!E:E), 0)</f>
        <v>0</v>
      </c>
      <c r="H1056" t="str" cm="1">
        <f t="array" ref="H1056">IFERROR(_xlfn.XLOOKUP(C1056&amp;A1056, TDrate!F:F&amp;TDrate!H:H, TDrate!C:C), "N/A")</f>
        <v>N/A</v>
      </c>
      <c r="I1056" t="str" cm="1">
        <f t="array" ref="I1056">IFERROR(_xlfn.XLOOKUP(C1056&amp;A1056, TDrate!F:F&amp;TDrate!H:H, TDrate!E:E), "N/A")</f>
        <v>N/A</v>
      </c>
      <c r="J1056" cm="1">
        <f t="array" ref="J1056">IFERROR(_xlfn.XLOOKUP(C1056&amp;A1056, Inside5!B:B&amp;Inside5!I:I, Inside5!F:F), 0)</f>
        <v>0</v>
      </c>
      <c r="K1056" cm="1">
        <f t="array" aca="1" ref="K1056" ca="1">IFERROR(_xlfn.XLOOKUP(C1056&amp;A1056, Inside5!B:B&amp;Inside5!I:I, Inside5!G:G), 0)</f>
        <v>0</v>
      </c>
      <c r="L1056" cm="1">
        <f t="array" ref="L1056">IFERROR(_xlfn.XLOOKUP(C1056&amp;A1056, Inside5!B:B&amp;Inside5!I:I, Inside5!H:H), 0)</f>
        <v>0</v>
      </c>
      <c r="M1056" t="str" cm="1">
        <f t="array" ref="M1056">IFERROR(_xlfn.XLOOKUP(C1056&amp;A1056, TDrate!F:F&amp;TDrate!H:H, TDrate!B:B), "N/A")</f>
        <v>N/A</v>
      </c>
      <c r="N1056" t="str" cm="1">
        <f t="array" ref="N1056">IFERROR(_xlfn.XLOOKUP(C1056&amp;A1056, TDrate!F:F&amp;TDrate!H:H, TDrate!D:D), "N/A")</f>
        <v>N/A</v>
      </c>
    </row>
    <row r="1057" spans="1:14" x14ac:dyDescent="0.45">
      <c r="A1057" s="8">
        <v>2020</v>
      </c>
      <c r="B1057" s="9" t="s">
        <v>800</v>
      </c>
      <c r="C1057" s="10" t="str">
        <f t="shared" si="32"/>
        <v>Trey Edmunds</v>
      </c>
      <c r="D1057" s="10" t="str">
        <f t="shared" si="33"/>
        <v>PIT</v>
      </c>
      <c r="E1057" cm="1">
        <f t="array" ref="E1057">IFERROR(_xlfn.XLOOKUP(C1057&amp;A1057, Inside5!B:B&amp;Inside5!I:I, Inside5!C:C), 0)</f>
        <v>0</v>
      </c>
      <c r="F1057" cm="1">
        <f t="array" aca="1" ref="F1057" ca="1">IFERROR(_xlfn.XLOOKUP(C1057&amp;A1057, Inside5!B:B&amp;Inside5!I:I, Inside5!D:D), 0)</f>
        <v>0</v>
      </c>
      <c r="G1057" cm="1">
        <f t="array" ref="G1057">IFERROR(_xlfn.XLOOKUP(C1057&amp;A1057, Inside5!B:B&amp;Inside5!I:I, Inside5!E:E), 0)</f>
        <v>0</v>
      </c>
      <c r="H1057" t="str" cm="1">
        <f t="array" ref="H1057">IFERROR(_xlfn.XLOOKUP(C1057&amp;A1057, TDrate!F:F&amp;TDrate!H:H, TDrate!C:C), "N/A")</f>
        <v>N/A</v>
      </c>
      <c r="I1057" t="str" cm="1">
        <f t="array" ref="I1057">IFERROR(_xlfn.XLOOKUP(C1057&amp;A1057, TDrate!F:F&amp;TDrate!H:H, TDrate!E:E), "N/A")</f>
        <v>N/A</v>
      </c>
      <c r="J1057" cm="1">
        <f t="array" ref="J1057">IFERROR(_xlfn.XLOOKUP(C1057&amp;A1057, Inside5!B:B&amp;Inside5!I:I, Inside5!F:F), 0)</f>
        <v>0</v>
      </c>
      <c r="K1057" cm="1">
        <f t="array" aca="1" ref="K1057" ca="1">IFERROR(_xlfn.XLOOKUP(C1057&amp;A1057, Inside5!B:B&amp;Inside5!I:I, Inside5!G:G), 0)</f>
        <v>0</v>
      </c>
      <c r="L1057" cm="1">
        <f t="array" ref="L1057">IFERROR(_xlfn.XLOOKUP(C1057&amp;A1057, Inside5!B:B&amp;Inside5!I:I, Inside5!H:H), 0)</f>
        <v>0</v>
      </c>
      <c r="M1057" t="str" cm="1">
        <f t="array" ref="M1057">IFERROR(_xlfn.XLOOKUP(C1057&amp;A1057, TDrate!F:F&amp;TDrate!H:H, TDrate!B:B), "N/A")</f>
        <v>N/A</v>
      </c>
      <c r="N1057" t="str" cm="1">
        <f t="array" ref="N1057">IFERROR(_xlfn.XLOOKUP(C1057&amp;A1057, TDrate!F:F&amp;TDrate!H:H, TDrate!D:D), "N/A")</f>
        <v>N/A</v>
      </c>
    </row>
    <row r="1058" spans="1:14" x14ac:dyDescent="0.45">
      <c r="A1058" s="5">
        <v>2020</v>
      </c>
      <c r="B1058" s="6" t="s">
        <v>619</v>
      </c>
      <c r="C1058" s="7" t="str">
        <f t="shared" si="32"/>
        <v>Jason Cabinda</v>
      </c>
      <c r="D1058" s="7" t="str">
        <f t="shared" si="33"/>
        <v>DET</v>
      </c>
      <c r="E1058" cm="1">
        <f t="array" aca="1" ref="E1058" ca="1">IFERROR(_xlfn.XLOOKUP(C1058&amp;A1058, Inside5!B:B&amp;Inside5!I:I, Inside5!C:C), 0)</f>
        <v>0</v>
      </c>
      <c r="F1058" cm="1">
        <f t="array" aca="1" ref="F1058" ca="1">IFERROR(_xlfn.XLOOKUP(C1058&amp;A1058, Inside5!B:B&amp;Inside5!I:I, Inside5!D:D), 0)</f>
        <v>0</v>
      </c>
      <c r="G1058" cm="1">
        <f t="array" ref="G1058">IFERROR(_xlfn.XLOOKUP(C1058&amp;A1058, Inside5!B:B&amp;Inside5!I:I, Inside5!E:E), 0)</f>
        <v>0</v>
      </c>
      <c r="H1058" t="str" cm="1">
        <f t="array" ref="H1058">IFERROR(_xlfn.XLOOKUP(C1058&amp;A1058, TDrate!F:F&amp;TDrate!H:H, TDrate!C:C), "N/A")</f>
        <v>N/A</v>
      </c>
      <c r="I1058" t="str" cm="1">
        <f t="array" ref="I1058">IFERROR(_xlfn.XLOOKUP(C1058&amp;A1058, TDrate!F:F&amp;TDrate!H:H, TDrate!E:E), "N/A")</f>
        <v>N/A</v>
      </c>
      <c r="J1058" cm="1">
        <f t="array" ref="J1058">IFERROR(_xlfn.XLOOKUP(C1058&amp;A1058, Inside5!B:B&amp;Inside5!I:I, Inside5!F:F), 0)</f>
        <v>0</v>
      </c>
      <c r="K1058" cm="1">
        <f t="array" aca="1" ref="K1058" ca="1">IFERROR(_xlfn.XLOOKUP(C1058&amp;A1058, Inside5!B:B&amp;Inside5!I:I, Inside5!G:G), 0)</f>
        <v>0</v>
      </c>
      <c r="L1058" cm="1">
        <f t="array" ref="L1058">IFERROR(_xlfn.XLOOKUP(C1058&amp;A1058, Inside5!B:B&amp;Inside5!I:I, Inside5!H:H), 0)</f>
        <v>0</v>
      </c>
      <c r="M1058" t="str" cm="1">
        <f t="array" ref="M1058">IFERROR(_xlfn.XLOOKUP(C1058&amp;A1058, TDrate!F:F&amp;TDrate!H:H, TDrate!B:B), "N/A")</f>
        <v>N/A</v>
      </c>
      <c r="N1058" t="str" cm="1">
        <f t="array" ref="N1058">IFERROR(_xlfn.XLOOKUP(C1058&amp;A1058, TDrate!F:F&amp;TDrate!H:H, TDrate!D:D), "N/A")</f>
        <v>N/A</v>
      </c>
    </row>
    <row r="1059" spans="1:14" x14ac:dyDescent="0.45">
      <c r="A1059" s="8">
        <v>2020</v>
      </c>
      <c r="B1059" s="9" t="s">
        <v>770</v>
      </c>
      <c r="C1059" s="10" t="str">
        <f t="shared" si="32"/>
        <v>Johnny Stanton IV</v>
      </c>
      <c r="D1059" s="10" t="str">
        <f t="shared" si="33"/>
        <v>CLE</v>
      </c>
      <c r="E1059" cm="1">
        <f t="array" aca="1" ref="E1059" ca="1">IFERROR(_xlfn.XLOOKUP(C1059&amp;A1059, Inside5!B:B&amp;Inside5!I:I, Inside5!C:C), 0)</f>
        <v>0</v>
      </c>
      <c r="F1059" cm="1">
        <f t="array" aca="1" ref="F1059" ca="1">IFERROR(_xlfn.XLOOKUP(C1059&amp;A1059, Inside5!B:B&amp;Inside5!I:I, Inside5!D:D), 0)</f>
        <v>0</v>
      </c>
      <c r="G1059" cm="1">
        <f t="array" ref="G1059">IFERROR(_xlfn.XLOOKUP(C1059&amp;A1059, Inside5!B:B&amp;Inside5!I:I, Inside5!E:E), 0)</f>
        <v>0</v>
      </c>
      <c r="H1059" t="str" cm="1">
        <f t="array" ref="H1059">IFERROR(_xlfn.XLOOKUP(C1059&amp;A1059, TDrate!F:F&amp;TDrate!H:H, TDrate!C:C), "N/A")</f>
        <v>N/A</v>
      </c>
      <c r="I1059" t="str" cm="1">
        <f t="array" ref="I1059">IFERROR(_xlfn.XLOOKUP(C1059&amp;A1059, TDrate!F:F&amp;TDrate!H:H, TDrate!E:E), "N/A")</f>
        <v>N/A</v>
      </c>
      <c r="J1059" cm="1">
        <f t="array" ref="J1059">IFERROR(_xlfn.XLOOKUP(C1059&amp;A1059, Inside5!B:B&amp;Inside5!I:I, Inside5!F:F), 0)</f>
        <v>0</v>
      </c>
      <c r="K1059" cm="1">
        <f t="array" ref="K1059">IFERROR(_xlfn.XLOOKUP(C1059&amp;A1059, Inside5!B:B&amp;Inside5!I:I, Inside5!G:G), 0)</f>
        <v>0</v>
      </c>
      <c r="L1059" cm="1">
        <f t="array" ref="L1059">IFERROR(_xlfn.XLOOKUP(C1059&amp;A1059, Inside5!B:B&amp;Inside5!I:I, Inside5!H:H), 0)</f>
        <v>0</v>
      </c>
      <c r="M1059" t="str" cm="1">
        <f t="array" ref="M1059">IFERROR(_xlfn.XLOOKUP(C1059&amp;A1059, TDrate!F:F&amp;TDrate!H:H, TDrate!B:B), "N/A")</f>
        <v>N/A</v>
      </c>
      <c r="N1059" t="str" cm="1">
        <f t="array" ref="N1059">IFERROR(_xlfn.XLOOKUP(C1059&amp;A1059, TDrate!F:F&amp;TDrate!H:H, TDrate!D:D), "N/A")</f>
        <v>N/A</v>
      </c>
    </row>
    <row r="1060" spans="1:14" x14ac:dyDescent="0.45">
      <c r="A1060" s="5">
        <v>2020</v>
      </c>
      <c r="B1060" s="6" t="s">
        <v>884</v>
      </c>
      <c r="C1060" s="7" t="str">
        <f t="shared" si="32"/>
        <v>Elijah Holyfield</v>
      </c>
      <c r="D1060" s="7" t="str">
        <f t="shared" si="33"/>
        <v>PHI</v>
      </c>
      <c r="E1060" cm="1">
        <f t="array" aca="1" ref="E1060" ca="1">IFERROR(_xlfn.XLOOKUP(C1060&amp;A1060, Inside5!B:B&amp;Inside5!I:I, Inside5!C:C), 0)</f>
        <v>0</v>
      </c>
      <c r="F1060" cm="1">
        <f t="array" ref="F1060">IFERROR(_xlfn.XLOOKUP(C1060&amp;A1060, Inside5!B:B&amp;Inside5!I:I, Inside5!D:D), 0)</f>
        <v>0</v>
      </c>
      <c r="G1060" cm="1">
        <f t="array" ref="G1060">IFERROR(_xlfn.XLOOKUP(C1060&amp;A1060, Inside5!B:B&amp;Inside5!I:I, Inside5!E:E), 0)</f>
        <v>0</v>
      </c>
      <c r="H1060" t="str" cm="1">
        <f t="array" ref="H1060">IFERROR(_xlfn.XLOOKUP(C1060&amp;A1060, TDrate!F:F&amp;TDrate!H:H, TDrate!C:C), "N/A")</f>
        <v>N/A</v>
      </c>
      <c r="I1060" t="str" cm="1">
        <f t="array" ref="I1060">IFERROR(_xlfn.XLOOKUP(C1060&amp;A1060, TDrate!F:F&amp;TDrate!H:H, TDrate!E:E), "N/A")</f>
        <v>N/A</v>
      </c>
      <c r="J1060" cm="1">
        <f t="array" ref="J1060">IFERROR(_xlfn.XLOOKUP(C1060&amp;A1060, Inside5!B:B&amp;Inside5!I:I, Inside5!F:F), 0)</f>
        <v>0</v>
      </c>
      <c r="K1060" cm="1">
        <f t="array" aca="1" ref="K1060" ca="1">IFERROR(_xlfn.XLOOKUP(C1060&amp;A1060, Inside5!B:B&amp;Inside5!I:I, Inside5!G:G), 0)</f>
        <v>0</v>
      </c>
      <c r="L1060" cm="1">
        <f t="array" aca="1" ref="L1060" ca="1">IFERROR(_xlfn.XLOOKUP(C1060&amp;A1060, Inside5!B:B&amp;Inside5!I:I, Inside5!H:H), 0)</f>
        <v>0</v>
      </c>
      <c r="M1060" t="str" cm="1">
        <f t="array" ref="M1060">IFERROR(_xlfn.XLOOKUP(C1060&amp;A1060, TDrate!F:F&amp;TDrate!H:H, TDrate!B:B), "N/A")</f>
        <v>N/A</v>
      </c>
      <c r="N1060" t="str" cm="1">
        <f t="array" ref="N1060">IFERROR(_xlfn.XLOOKUP(C1060&amp;A1060, TDrate!F:F&amp;TDrate!H:H, TDrate!D:D), "N/A")</f>
        <v>N/A</v>
      </c>
    </row>
    <row r="1061" spans="1:14" x14ac:dyDescent="0.45">
      <c r="A1061" s="8">
        <v>2020</v>
      </c>
      <c r="B1061" s="9" t="s">
        <v>708</v>
      </c>
      <c r="C1061" s="10" t="str">
        <f t="shared" si="32"/>
        <v>Andrew Beck</v>
      </c>
      <c r="D1061" s="10" t="str">
        <f t="shared" si="33"/>
        <v>DEN</v>
      </c>
      <c r="E1061" cm="1">
        <f t="array" ref="E1061">IFERROR(_xlfn.XLOOKUP(C1061&amp;A1061, Inside5!B:B&amp;Inside5!I:I, Inside5!C:C), 0)</f>
        <v>0</v>
      </c>
      <c r="F1061" cm="1">
        <f t="array" ref="F1061">IFERROR(_xlfn.XLOOKUP(C1061&amp;A1061, Inside5!B:B&amp;Inside5!I:I, Inside5!D:D), 0)</f>
        <v>0</v>
      </c>
      <c r="G1061" cm="1">
        <f t="array" ref="G1061">IFERROR(_xlfn.XLOOKUP(C1061&amp;A1061, Inside5!B:B&amp;Inside5!I:I, Inside5!E:E), 0)</f>
        <v>0</v>
      </c>
      <c r="H1061" t="str" cm="1">
        <f t="array" ref="H1061">IFERROR(_xlfn.XLOOKUP(C1061&amp;A1061, TDrate!F:F&amp;TDrate!H:H, TDrate!C:C), "N/A")</f>
        <v>N/A</v>
      </c>
      <c r="I1061" t="str" cm="1">
        <f t="array" ref="I1061">IFERROR(_xlfn.XLOOKUP(C1061&amp;A1061, TDrate!F:F&amp;TDrate!H:H, TDrate!E:E), "N/A")</f>
        <v>N/A</v>
      </c>
      <c r="J1061" cm="1">
        <f t="array" ref="J1061">IFERROR(_xlfn.XLOOKUP(C1061&amp;A1061, Inside5!B:B&amp;Inside5!I:I, Inside5!F:F), 0)</f>
        <v>0</v>
      </c>
      <c r="K1061" cm="1">
        <f t="array" aca="1" ref="K1061" ca="1">IFERROR(_xlfn.XLOOKUP(C1061&amp;A1061, Inside5!B:B&amp;Inside5!I:I, Inside5!G:G), 0)</f>
        <v>0</v>
      </c>
      <c r="L1061" cm="1">
        <f t="array" ref="L1061">IFERROR(_xlfn.XLOOKUP(C1061&amp;A1061, Inside5!B:B&amp;Inside5!I:I, Inside5!H:H), 0)</f>
        <v>0</v>
      </c>
      <c r="M1061" t="str" cm="1">
        <f t="array" ref="M1061">IFERROR(_xlfn.XLOOKUP(C1061&amp;A1061, TDrate!F:F&amp;TDrate!H:H, TDrate!B:B), "N/A")</f>
        <v>N/A</v>
      </c>
      <c r="N1061" t="str" cm="1">
        <f t="array" ref="N1061">IFERROR(_xlfn.XLOOKUP(C1061&amp;A1061, TDrate!F:F&amp;TDrate!H:H, TDrate!D:D), "N/A")</f>
        <v>N/A</v>
      </c>
    </row>
    <row r="1062" spans="1:14" x14ac:dyDescent="0.45">
      <c r="A1062" s="5">
        <v>2020</v>
      </c>
      <c r="B1062" s="6" t="s">
        <v>885</v>
      </c>
      <c r="C1062" s="7" t="str">
        <f t="shared" si="32"/>
        <v>John Lovett</v>
      </c>
      <c r="D1062" s="7" t="str">
        <f t="shared" si="33"/>
        <v>GB</v>
      </c>
      <c r="E1062" cm="1">
        <f t="array" ref="E1062">IFERROR(_xlfn.XLOOKUP(C1062&amp;A1062, Inside5!B:B&amp;Inside5!I:I, Inside5!C:C), 0)</f>
        <v>0</v>
      </c>
      <c r="F1062" cm="1">
        <f t="array" aca="1" ref="F1062" ca="1">IFERROR(_xlfn.XLOOKUP(C1062&amp;A1062, Inside5!B:B&amp;Inside5!I:I, Inside5!D:D), 0)</f>
        <v>0</v>
      </c>
      <c r="G1062" cm="1">
        <f t="array" ref="G1062">IFERROR(_xlfn.XLOOKUP(C1062&amp;A1062, Inside5!B:B&amp;Inside5!I:I, Inside5!E:E), 0)</f>
        <v>0</v>
      </c>
      <c r="H1062" t="str" cm="1">
        <f t="array" ref="H1062">IFERROR(_xlfn.XLOOKUP(C1062&amp;A1062, TDrate!F:F&amp;TDrate!H:H, TDrate!C:C), "N/A")</f>
        <v>N/A</v>
      </c>
      <c r="I1062" t="str" cm="1">
        <f t="array" ref="I1062">IFERROR(_xlfn.XLOOKUP(C1062&amp;A1062, TDrate!F:F&amp;TDrate!H:H, TDrate!E:E), "N/A")</f>
        <v>N/A</v>
      </c>
      <c r="J1062" cm="1">
        <f t="array" ref="J1062">IFERROR(_xlfn.XLOOKUP(C1062&amp;A1062, Inside5!B:B&amp;Inside5!I:I, Inside5!F:F), 0)</f>
        <v>0</v>
      </c>
      <c r="K1062" cm="1">
        <f t="array" aca="1" ref="K1062" ca="1">IFERROR(_xlfn.XLOOKUP(C1062&amp;A1062, Inside5!B:B&amp;Inside5!I:I, Inside5!G:G), 0)</f>
        <v>0</v>
      </c>
      <c r="L1062" cm="1">
        <f t="array" ref="L1062">IFERROR(_xlfn.XLOOKUP(C1062&amp;A1062, Inside5!B:B&amp;Inside5!I:I, Inside5!H:H), 0)</f>
        <v>0</v>
      </c>
      <c r="M1062" t="str" cm="1">
        <f t="array" ref="M1062">IFERROR(_xlfn.XLOOKUP(C1062&amp;A1062, TDrate!F:F&amp;TDrate!H:H, TDrate!B:B), "N/A")</f>
        <v>N/A</v>
      </c>
      <c r="N1062" t="str" cm="1">
        <f t="array" ref="N1062">IFERROR(_xlfn.XLOOKUP(C1062&amp;A1062, TDrate!F:F&amp;TDrate!H:H, TDrate!D:D), "N/A")</f>
        <v>N/A</v>
      </c>
    </row>
    <row r="1063" spans="1:14" x14ac:dyDescent="0.45">
      <c r="A1063" s="8">
        <v>2020</v>
      </c>
      <c r="B1063" s="9" t="s">
        <v>886</v>
      </c>
      <c r="C1063" s="10" t="str">
        <f t="shared" si="32"/>
        <v>Jeremy Cox</v>
      </c>
      <c r="D1063" s="10" t="str">
        <f t="shared" si="33"/>
        <v>DEN</v>
      </c>
      <c r="E1063" cm="1">
        <f t="array" ref="E1063">IFERROR(_xlfn.XLOOKUP(C1063&amp;A1063, Inside5!B:B&amp;Inside5!I:I, Inside5!C:C), 0)</f>
        <v>0</v>
      </c>
      <c r="F1063" cm="1">
        <f t="array" ref="F1063">IFERROR(_xlfn.XLOOKUP(C1063&amp;A1063, Inside5!B:B&amp;Inside5!I:I, Inside5!D:D), 0)</f>
        <v>0</v>
      </c>
      <c r="G1063" cm="1">
        <f t="array" ref="G1063">IFERROR(_xlfn.XLOOKUP(C1063&amp;A1063, Inside5!B:B&amp;Inside5!I:I, Inside5!E:E), 0)</f>
        <v>0</v>
      </c>
      <c r="H1063" t="str" cm="1">
        <f t="array" ref="H1063">IFERROR(_xlfn.XLOOKUP(C1063&amp;A1063, TDrate!F:F&amp;TDrate!H:H, TDrate!C:C), "N/A")</f>
        <v>N/A</v>
      </c>
      <c r="I1063" t="str" cm="1">
        <f t="array" ref="I1063">IFERROR(_xlfn.XLOOKUP(C1063&amp;A1063, TDrate!F:F&amp;TDrate!H:H, TDrate!E:E), "N/A")</f>
        <v>N/A</v>
      </c>
      <c r="J1063" cm="1">
        <f t="array" ref="J1063">IFERROR(_xlfn.XLOOKUP(C1063&amp;A1063, Inside5!B:B&amp;Inside5!I:I, Inside5!F:F), 0)</f>
        <v>0</v>
      </c>
      <c r="K1063" cm="1">
        <f t="array" ref="K1063">IFERROR(_xlfn.XLOOKUP(C1063&amp;A1063, Inside5!B:B&amp;Inside5!I:I, Inside5!G:G), 0)</f>
        <v>0</v>
      </c>
      <c r="L1063" cm="1">
        <f t="array" ref="L1063">IFERROR(_xlfn.XLOOKUP(C1063&amp;A1063, Inside5!B:B&amp;Inside5!I:I, Inside5!H:H), 0)</f>
        <v>0</v>
      </c>
      <c r="M1063" t="str" cm="1">
        <f t="array" ref="M1063">IFERROR(_xlfn.XLOOKUP(C1063&amp;A1063, TDrate!F:F&amp;TDrate!H:H, TDrate!B:B), "N/A")</f>
        <v>N/A</v>
      </c>
      <c r="N1063" t="str" cm="1">
        <f t="array" ref="N1063">IFERROR(_xlfn.XLOOKUP(C1063&amp;A1063, TDrate!F:F&amp;TDrate!H:H, TDrate!D:D), "N/A")</f>
        <v>N/A</v>
      </c>
    </row>
    <row r="1064" spans="1:14" x14ac:dyDescent="0.45">
      <c r="A1064" s="5">
        <v>2020</v>
      </c>
      <c r="B1064" s="6" t="s">
        <v>887</v>
      </c>
      <c r="C1064" s="7" t="str">
        <f t="shared" si="32"/>
        <v>Michael Warren II</v>
      </c>
      <c r="D1064" s="7" t="str">
        <f t="shared" si="33"/>
        <v>WAS</v>
      </c>
      <c r="E1064" cm="1">
        <f t="array" aca="1" ref="E1064" ca="1">IFERROR(_xlfn.XLOOKUP(C1064&amp;A1064, Inside5!B:B&amp;Inside5!I:I, Inside5!C:C), 0)</f>
        <v>0</v>
      </c>
      <c r="F1064" cm="1">
        <f t="array" aca="1" ref="F1064" ca="1">IFERROR(_xlfn.XLOOKUP(C1064&amp;A1064, Inside5!B:B&amp;Inside5!I:I, Inside5!D:D), 0)</f>
        <v>0</v>
      </c>
      <c r="G1064" cm="1">
        <f t="array" ref="G1064">IFERROR(_xlfn.XLOOKUP(C1064&amp;A1064, Inside5!B:B&amp;Inside5!I:I, Inside5!E:E), 0)</f>
        <v>0</v>
      </c>
      <c r="H1064" t="str" cm="1">
        <f t="array" ref="H1064">IFERROR(_xlfn.XLOOKUP(C1064&amp;A1064, TDrate!F:F&amp;TDrate!H:H, TDrate!C:C), "N/A")</f>
        <v>N/A</v>
      </c>
      <c r="I1064" t="str" cm="1">
        <f t="array" ref="I1064">IFERROR(_xlfn.XLOOKUP(C1064&amp;A1064, TDrate!F:F&amp;TDrate!H:H, TDrate!E:E), "N/A")</f>
        <v>N/A</v>
      </c>
      <c r="J1064" cm="1">
        <f t="array" ref="J1064">IFERROR(_xlfn.XLOOKUP(C1064&amp;A1064, Inside5!B:B&amp;Inside5!I:I, Inside5!F:F), 0)</f>
        <v>0</v>
      </c>
      <c r="K1064" cm="1">
        <f t="array" ref="K1064">IFERROR(_xlfn.XLOOKUP(C1064&amp;A1064, Inside5!B:B&amp;Inside5!I:I, Inside5!G:G), 0)</f>
        <v>0</v>
      </c>
      <c r="L1064" cm="1">
        <f t="array" ref="L1064">IFERROR(_xlfn.XLOOKUP(C1064&amp;A1064, Inside5!B:B&amp;Inside5!I:I, Inside5!H:H), 0)</f>
        <v>0</v>
      </c>
      <c r="M1064" t="str" cm="1">
        <f t="array" ref="M1064">IFERROR(_xlfn.XLOOKUP(C1064&amp;A1064, TDrate!F:F&amp;TDrate!H:H, TDrate!B:B), "N/A")</f>
        <v>N/A</v>
      </c>
      <c r="N1064" t="str" cm="1">
        <f t="array" ref="N1064">IFERROR(_xlfn.XLOOKUP(C1064&amp;A1064, TDrate!F:F&amp;TDrate!H:H, TDrate!D:D), "N/A")</f>
        <v>N/A</v>
      </c>
    </row>
    <row r="1065" spans="1:14" x14ac:dyDescent="0.45">
      <c r="A1065" s="8">
        <v>2020</v>
      </c>
      <c r="B1065" s="9" t="s">
        <v>888</v>
      </c>
      <c r="C1065" s="10" t="str">
        <f t="shared" si="32"/>
        <v>Javon Leake</v>
      </c>
      <c r="D1065" s="10" t="str">
        <f t="shared" si="33"/>
        <v>WAS</v>
      </c>
      <c r="E1065" cm="1">
        <f t="array" aca="1" ref="E1065" ca="1">IFERROR(_xlfn.XLOOKUP(C1065&amp;A1065, Inside5!B:B&amp;Inside5!I:I, Inside5!C:C), 0)</f>
        <v>0</v>
      </c>
      <c r="F1065" cm="1">
        <f t="array" aca="1" ref="F1065" ca="1">IFERROR(_xlfn.XLOOKUP(C1065&amp;A1065, Inside5!B:B&amp;Inside5!I:I, Inside5!D:D), 0)</f>
        <v>0</v>
      </c>
      <c r="G1065" cm="1">
        <f t="array" ref="G1065">IFERROR(_xlfn.XLOOKUP(C1065&amp;A1065, Inside5!B:B&amp;Inside5!I:I, Inside5!E:E), 0)</f>
        <v>0</v>
      </c>
      <c r="H1065" t="str" cm="1">
        <f t="array" ref="H1065">IFERROR(_xlfn.XLOOKUP(C1065&amp;A1065, TDrate!F:F&amp;TDrate!H:H, TDrate!C:C), "N/A")</f>
        <v>N/A</v>
      </c>
      <c r="I1065" t="str" cm="1">
        <f t="array" ref="I1065">IFERROR(_xlfn.XLOOKUP(C1065&amp;A1065, TDrate!F:F&amp;TDrate!H:H, TDrate!E:E), "N/A")</f>
        <v>N/A</v>
      </c>
      <c r="J1065" cm="1">
        <f t="array" ref="J1065">IFERROR(_xlfn.XLOOKUP(C1065&amp;A1065, Inside5!B:B&amp;Inside5!I:I, Inside5!F:F), 0)</f>
        <v>0</v>
      </c>
      <c r="K1065" cm="1">
        <f t="array" ref="K1065">IFERROR(_xlfn.XLOOKUP(C1065&amp;A1065, Inside5!B:B&amp;Inside5!I:I, Inside5!G:G), 0)</f>
        <v>0</v>
      </c>
      <c r="L1065" cm="1">
        <f t="array" ref="L1065">IFERROR(_xlfn.XLOOKUP(C1065&amp;A1065, Inside5!B:B&amp;Inside5!I:I, Inside5!H:H), 0)</f>
        <v>0</v>
      </c>
      <c r="M1065" t="str" cm="1">
        <f t="array" ref="M1065">IFERROR(_xlfn.XLOOKUP(C1065&amp;A1065, TDrate!F:F&amp;TDrate!H:H, TDrate!B:B), "N/A")</f>
        <v>N/A</v>
      </c>
      <c r="N1065" t="str" cm="1">
        <f t="array" ref="N1065">IFERROR(_xlfn.XLOOKUP(C1065&amp;A1065, TDrate!F:F&amp;TDrate!H:H, TDrate!D:D), "N/A")</f>
        <v>N/A</v>
      </c>
    </row>
    <row r="1066" spans="1:14" x14ac:dyDescent="0.45">
      <c r="A1066" s="5">
        <v>2020</v>
      </c>
      <c r="B1066" s="6" t="s">
        <v>806</v>
      </c>
      <c r="C1066" s="7" t="str">
        <f t="shared" si="32"/>
        <v>Darius Bradwell</v>
      </c>
      <c r="D1066" s="7" t="str">
        <f t="shared" si="33"/>
        <v>LAC</v>
      </c>
      <c r="E1066" cm="1">
        <f t="array" aca="1" ref="E1066" ca="1">IFERROR(_xlfn.XLOOKUP(C1066&amp;A1066, Inside5!B:B&amp;Inside5!I:I, Inside5!C:C), 0)</f>
        <v>0</v>
      </c>
      <c r="F1066" cm="1">
        <f t="array" aca="1" ref="F1066" ca="1">IFERROR(_xlfn.XLOOKUP(C1066&amp;A1066, Inside5!B:B&amp;Inside5!I:I, Inside5!D:D), 0)</f>
        <v>0</v>
      </c>
      <c r="G1066" cm="1">
        <f t="array" ref="G1066">IFERROR(_xlfn.XLOOKUP(C1066&amp;A1066, Inside5!B:B&amp;Inside5!I:I, Inside5!E:E), 0)</f>
        <v>0</v>
      </c>
      <c r="H1066" t="str" cm="1">
        <f t="array" ref="H1066">IFERROR(_xlfn.XLOOKUP(C1066&amp;A1066, TDrate!F:F&amp;TDrate!H:H, TDrate!C:C), "N/A")</f>
        <v>N/A</v>
      </c>
      <c r="I1066" t="str" cm="1">
        <f t="array" ref="I1066">IFERROR(_xlfn.XLOOKUP(C1066&amp;A1066, TDrate!F:F&amp;TDrate!H:H, TDrate!E:E), "N/A")</f>
        <v>N/A</v>
      </c>
      <c r="J1066" cm="1">
        <f t="array" ref="J1066">IFERROR(_xlfn.XLOOKUP(C1066&amp;A1066, Inside5!B:B&amp;Inside5!I:I, Inside5!F:F), 0)</f>
        <v>0</v>
      </c>
      <c r="K1066" cm="1">
        <f t="array" ref="K1066">IFERROR(_xlfn.XLOOKUP(C1066&amp;A1066, Inside5!B:B&amp;Inside5!I:I, Inside5!G:G), 0)</f>
        <v>0</v>
      </c>
      <c r="L1066" cm="1">
        <f t="array" ref="L1066">IFERROR(_xlfn.XLOOKUP(C1066&amp;A1066, Inside5!B:B&amp;Inside5!I:I, Inside5!H:H), 0)</f>
        <v>0</v>
      </c>
      <c r="M1066" t="str" cm="1">
        <f t="array" ref="M1066">IFERROR(_xlfn.XLOOKUP(C1066&amp;A1066, TDrate!F:F&amp;TDrate!H:H, TDrate!B:B), "N/A")</f>
        <v>N/A</v>
      </c>
      <c r="N1066" t="str" cm="1">
        <f t="array" ref="N1066">IFERROR(_xlfn.XLOOKUP(C1066&amp;A1066, TDrate!F:F&amp;TDrate!H:H, TDrate!D:D), "N/A")</f>
        <v>N/A</v>
      </c>
    </row>
    <row r="1067" spans="1:14" x14ac:dyDescent="0.45">
      <c r="A1067" s="8">
        <v>2020</v>
      </c>
      <c r="B1067" s="9" t="s">
        <v>889</v>
      </c>
      <c r="C1067" s="10" t="str">
        <f t="shared" si="32"/>
        <v>Xavier Jones</v>
      </c>
      <c r="D1067" s="10" t="str">
        <f t="shared" si="33"/>
        <v>LAR</v>
      </c>
      <c r="E1067" cm="1">
        <f t="array" ref="E1067">IFERROR(_xlfn.XLOOKUP(C1067&amp;A1067, Inside5!B:B&amp;Inside5!I:I, Inside5!C:C), 0)</f>
        <v>0</v>
      </c>
      <c r="F1067" cm="1">
        <f t="array" ref="F1067">IFERROR(_xlfn.XLOOKUP(C1067&amp;A1067, Inside5!B:B&amp;Inside5!I:I, Inside5!D:D), 0)</f>
        <v>0</v>
      </c>
      <c r="G1067" cm="1">
        <f t="array" ref="G1067">IFERROR(_xlfn.XLOOKUP(C1067&amp;A1067, Inside5!B:B&amp;Inside5!I:I, Inside5!E:E), 0)</f>
        <v>0</v>
      </c>
      <c r="H1067" t="str" cm="1">
        <f t="array" ref="H1067">IFERROR(_xlfn.XLOOKUP(C1067&amp;A1067, TDrate!F:F&amp;TDrate!H:H, TDrate!C:C), "N/A")</f>
        <v>N/A</v>
      </c>
      <c r="I1067" t="str" cm="1">
        <f t="array" ref="I1067">IFERROR(_xlfn.XLOOKUP(C1067&amp;A1067, TDrate!F:F&amp;TDrate!H:H, TDrate!E:E), "N/A")</f>
        <v>N/A</v>
      </c>
      <c r="J1067" cm="1">
        <f t="array" ref="J1067">IFERROR(_xlfn.XLOOKUP(C1067&amp;A1067, Inside5!B:B&amp;Inside5!I:I, Inside5!F:F), 0)</f>
        <v>0</v>
      </c>
      <c r="K1067" cm="1">
        <f t="array" ref="K1067">IFERROR(_xlfn.XLOOKUP(C1067&amp;A1067, Inside5!B:B&amp;Inside5!I:I, Inside5!G:G), 0)</f>
        <v>0</v>
      </c>
      <c r="L1067" cm="1">
        <f t="array" ref="L1067">IFERROR(_xlfn.XLOOKUP(C1067&amp;A1067, Inside5!B:B&amp;Inside5!I:I, Inside5!H:H), 0)</f>
        <v>0</v>
      </c>
      <c r="M1067" t="str" cm="1">
        <f t="array" ref="M1067">IFERROR(_xlfn.XLOOKUP(C1067&amp;A1067, TDrate!F:F&amp;TDrate!H:H, TDrate!B:B), "N/A")</f>
        <v>N/A</v>
      </c>
      <c r="N1067" t="str" cm="1">
        <f t="array" ref="N1067">IFERROR(_xlfn.XLOOKUP(C1067&amp;A1067, TDrate!F:F&amp;TDrate!H:H, TDrate!D:D), "N/A")</f>
        <v>N/A</v>
      </c>
    </row>
    <row r="1068" spans="1:14" x14ac:dyDescent="0.45">
      <c r="A1068" s="5">
        <v>2020</v>
      </c>
      <c r="B1068" s="6" t="s">
        <v>890</v>
      </c>
      <c r="C1068" s="7" t="str">
        <f t="shared" si="32"/>
        <v>Raymond Calais</v>
      </c>
      <c r="D1068" s="7" t="str">
        <f t="shared" si="33"/>
        <v>LAR</v>
      </c>
      <c r="E1068" cm="1">
        <f t="array" aca="1" ref="E1068" ca="1">IFERROR(_xlfn.XLOOKUP(C1068&amp;A1068, Inside5!B:B&amp;Inside5!I:I, Inside5!C:C), 0)</f>
        <v>0</v>
      </c>
      <c r="F1068" cm="1">
        <f t="array" aca="1" ref="F1068" ca="1">IFERROR(_xlfn.XLOOKUP(C1068&amp;A1068, Inside5!B:B&amp;Inside5!I:I, Inside5!D:D), 0)</f>
        <v>0</v>
      </c>
      <c r="G1068" cm="1">
        <f t="array" ref="G1068">IFERROR(_xlfn.XLOOKUP(C1068&amp;A1068, Inside5!B:B&amp;Inside5!I:I, Inside5!E:E), 0)</f>
        <v>0</v>
      </c>
      <c r="H1068" t="str" cm="1">
        <f t="array" ref="H1068">IFERROR(_xlfn.XLOOKUP(C1068&amp;A1068, TDrate!F:F&amp;TDrate!H:H, TDrate!C:C), "N/A")</f>
        <v>N/A</v>
      </c>
      <c r="I1068" t="str" cm="1">
        <f t="array" ref="I1068">IFERROR(_xlfn.XLOOKUP(C1068&amp;A1068, TDrate!F:F&amp;TDrate!H:H, TDrate!E:E), "N/A")</f>
        <v>N/A</v>
      </c>
      <c r="J1068" cm="1">
        <f t="array" ref="J1068">IFERROR(_xlfn.XLOOKUP(C1068&amp;A1068, Inside5!B:B&amp;Inside5!I:I, Inside5!F:F), 0)</f>
        <v>0</v>
      </c>
      <c r="K1068" cm="1">
        <f t="array" ref="K1068">IFERROR(_xlfn.XLOOKUP(C1068&amp;A1068, Inside5!B:B&amp;Inside5!I:I, Inside5!G:G), 0)</f>
        <v>0</v>
      </c>
      <c r="L1068" cm="1">
        <f t="array" ref="L1068">IFERROR(_xlfn.XLOOKUP(C1068&amp;A1068, Inside5!B:B&amp;Inside5!I:I, Inside5!H:H), 0)</f>
        <v>0</v>
      </c>
      <c r="M1068" t="str" cm="1">
        <f t="array" ref="M1068">IFERROR(_xlfn.XLOOKUP(C1068&amp;A1068, TDrate!F:F&amp;TDrate!H:H, TDrate!B:B), "N/A")</f>
        <v>N/A</v>
      </c>
      <c r="N1068" t="str" cm="1">
        <f t="array" ref="N1068">IFERROR(_xlfn.XLOOKUP(C1068&amp;A1068, TDrate!F:F&amp;TDrate!H:H, TDrate!D:D), "N/A")</f>
        <v>N/A</v>
      </c>
    </row>
    <row r="1069" spans="1:14" x14ac:dyDescent="0.45">
      <c r="A1069" s="8">
        <v>2020</v>
      </c>
      <c r="B1069" s="9" t="s">
        <v>808</v>
      </c>
      <c r="C1069" s="10" t="str">
        <f t="shared" si="32"/>
        <v>Sewo Olonilua</v>
      </c>
      <c r="D1069" s="10" t="str">
        <f t="shared" si="33"/>
        <v>DAL</v>
      </c>
      <c r="E1069" cm="1">
        <f t="array" ref="E1069">IFERROR(_xlfn.XLOOKUP(C1069&amp;A1069, Inside5!B:B&amp;Inside5!I:I, Inside5!C:C), 0)</f>
        <v>0</v>
      </c>
      <c r="F1069" cm="1">
        <f t="array" ref="F1069">IFERROR(_xlfn.XLOOKUP(C1069&amp;A1069, Inside5!B:B&amp;Inside5!I:I, Inside5!D:D), 0)</f>
        <v>0</v>
      </c>
      <c r="G1069" cm="1">
        <f t="array" ref="G1069">IFERROR(_xlfn.XLOOKUP(C1069&amp;A1069, Inside5!B:B&amp;Inside5!I:I, Inside5!E:E), 0)</f>
        <v>0</v>
      </c>
      <c r="H1069" t="str" cm="1">
        <f t="array" ref="H1069">IFERROR(_xlfn.XLOOKUP(C1069&amp;A1069, TDrate!F:F&amp;TDrate!H:H, TDrate!C:C), "N/A")</f>
        <v>N/A</v>
      </c>
      <c r="I1069" t="str" cm="1">
        <f t="array" ref="I1069">IFERROR(_xlfn.XLOOKUP(C1069&amp;A1069, TDrate!F:F&amp;TDrate!H:H, TDrate!E:E), "N/A")</f>
        <v>N/A</v>
      </c>
      <c r="J1069" cm="1">
        <f t="array" ref="J1069">IFERROR(_xlfn.XLOOKUP(C1069&amp;A1069, Inside5!B:B&amp;Inside5!I:I, Inside5!F:F), 0)</f>
        <v>0</v>
      </c>
      <c r="K1069" cm="1">
        <f t="array" ref="K1069">IFERROR(_xlfn.XLOOKUP(C1069&amp;A1069, Inside5!B:B&amp;Inside5!I:I, Inside5!G:G), 0)</f>
        <v>0</v>
      </c>
      <c r="L1069" cm="1">
        <f t="array" ref="L1069">IFERROR(_xlfn.XLOOKUP(C1069&amp;A1069, Inside5!B:B&amp;Inside5!I:I, Inside5!H:H), 0)</f>
        <v>0</v>
      </c>
      <c r="M1069" t="str" cm="1">
        <f t="array" ref="M1069">IFERROR(_xlfn.XLOOKUP(C1069&amp;A1069, TDrate!F:F&amp;TDrate!H:H, TDrate!B:B), "N/A")</f>
        <v>N/A</v>
      </c>
      <c r="N1069" t="str" cm="1">
        <f t="array" ref="N1069">IFERROR(_xlfn.XLOOKUP(C1069&amp;A1069, TDrate!F:F&amp;TDrate!H:H, TDrate!D:D), "N/A")</f>
        <v>N/A</v>
      </c>
    </row>
    <row r="1070" spans="1:14" x14ac:dyDescent="0.45">
      <c r="A1070" s="5">
        <v>2020</v>
      </c>
      <c r="B1070" s="6" t="s">
        <v>809</v>
      </c>
      <c r="C1070" s="7" t="str">
        <f t="shared" si="32"/>
        <v>Kirk Merritt</v>
      </c>
      <c r="D1070" s="7" t="str">
        <f t="shared" si="33"/>
        <v>MIA</v>
      </c>
      <c r="E1070" cm="1">
        <f t="array" ref="E1070">IFERROR(_xlfn.XLOOKUP(C1070&amp;A1070, Inside5!B:B&amp;Inside5!I:I, Inside5!C:C), 0)</f>
        <v>0</v>
      </c>
      <c r="F1070" cm="1">
        <f t="array" aca="1" ref="F1070" ca="1">IFERROR(_xlfn.XLOOKUP(C1070&amp;A1070, Inside5!B:B&amp;Inside5!I:I, Inside5!D:D), 0)</f>
        <v>0</v>
      </c>
      <c r="G1070" cm="1">
        <f t="array" ref="G1070">IFERROR(_xlfn.XLOOKUP(C1070&amp;A1070, Inside5!B:B&amp;Inside5!I:I, Inside5!E:E), 0)</f>
        <v>0</v>
      </c>
      <c r="H1070" t="str" cm="1">
        <f t="array" ref="H1070">IFERROR(_xlfn.XLOOKUP(C1070&amp;A1070, TDrate!F:F&amp;TDrate!H:H, TDrate!C:C), "N/A")</f>
        <v>N/A</v>
      </c>
      <c r="I1070" t="str" cm="1">
        <f t="array" ref="I1070">IFERROR(_xlfn.XLOOKUP(C1070&amp;A1070, TDrate!F:F&amp;TDrate!H:H, TDrate!E:E), "N/A")</f>
        <v>N/A</v>
      </c>
      <c r="J1070" cm="1">
        <f t="array" ref="J1070">IFERROR(_xlfn.XLOOKUP(C1070&amp;A1070, Inside5!B:B&amp;Inside5!I:I, Inside5!F:F), 0)</f>
        <v>0</v>
      </c>
      <c r="K1070" cm="1">
        <f t="array" aca="1" ref="K1070" ca="1">IFERROR(_xlfn.XLOOKUP(C1070&amp;A1070, Inside5!B:B&amp;Inside5!I:I, Inside5!G:G), 0)</f>
        <v>0</v>
      </c>
      <c r="L1070" cm="1">
        <f t="array" ref="L1070">IFERROR(_xlfn.XLOOKUP(C1070&amp;A1070, Inside5!B:B&amp;Inside5!I:I, Inside5!H:H), 0)</f>
        <v>0</v>
      </c>
      <c r="M1070" t="str" cm="1">
        <f t="array" ref="M1070">IFERROR(_xlfn.XLOOKUP(C1070&amp;A1070, TDrate!F:F&amp;TDrate!H:H, TDrate!B:B), "N/A")</f>
        <v>N/A</v>
      </c>
      <c r="N1070" t="str" cm="1">
        <f t="array" ref="N1070">IFERROR(_xlfn.XLOOKUP(C1070&amp;A1070, TDrate!F:F&amp;TDrate!H:H, TDrate!D:D), "N/A")</f>
        <v>N/A</v>
      </c>
    </row>
    <row r="1071" spans="1:14" x14ac:dyDescent="0.45">
      <c r="A1071" s="8">
        <v>2020</v>
      </c>
      <c r="B1071" s="9" t="s">
        <v>794</v>
      </c>
      <c r="C1071" s="10" t="str">
        <f t="shared" si="32"/>
        <v>Nathan Cottrell</v>
      </c>
      <c r="D1071" s="10" t="str">
        <f t="shared" si="33"/>
        <v>JAC</v>
      </c>
      <c r="E1071" cm="1">
        <f t="array" ref="E1071">IFERROR(_xlfn.XLOOKUP(C1071&amp;A1071, Inside5!B:B&amp;Inside5!I:I, Inside5!C:C), 0)</f>
        <v>0</v>
      </c>
      <c r="F1071" cm="1">
        <f t="array" ref="F1071">IFERROR(_xlfn.XLOOKUP(C1071&amp;A1071, Inside5!B:B&amp;Inside5!I:I, Inside5!D:D), 0)</f>
        <v>0</v>
      </c>
      <c r="G1071" cm="1">
        <f t="array" ref="G1071">IFERROR(_xlfn.XLOOKUP(C1071&amp;A1071, Inside5!B:B&amp;Inside5!I:I, Inside5!E:E), 0)</f>
        <v>0</v>
      </c>
      <c r="H1071" t="str" cm="1">
        <f t="array" ref="H1071">IFERROR(_xlfn.XLOOKUP(C1071&amp;A1071, TDrate!F:F&amp;TDrate!H:H, TDrate!C:C), "N/A")</f>
        <v>N/A</v>
      </c>
      <c r="I1071" t="str" cm="1">
        <f t="array" ref="I1071">IFERROR(_xlfn.XLOOKUP(C1071&amp;A1071, TDrate!F:F&amp;TDrate!H:H, TDrate!E:E), "N/A")</f>
        <v>N/A</v>
      </c>
      <c r="J1071" cm="1">
        <f t="array" ref="J1071">IFERROR(_xlfn.XLOOKUP(C1071&amp;A1071, Inside5!B:B&amp;Inside5!I:I, Inside5!F:F), 0)</f>
        <v>0</v>
      </c>
      <c r="K1071" cm="1">
        <f t="array" ref="K1071">IFERROR(_xlfn.XLOOKUP(C1071&amp;A1071, Inside5!B:B&amp;Inside5!I:I, Inside5!G:G), 0)</f>
        <v>0</v>
      </c>
      <c r="L1071" cm="1">
        <f t="array" ref="L1071">IFERROR(_xlfn.XLOOKUP(C1071&amp;A1071, Inside5!B:B&amp;Inside5!I:I, Inside5!H:H), 0)</f>
        <v>0</v>
      </c>
      <c r="M1071" t="str" cm="1">
        <f t="array" ref="M1071">IFERROR(_xlfn.XLOOKUP(C1071&amp;A1071, TDrate!F:F&amp;TDrate!H:H, TDrate!B:B), "N/A")</f>
        <v>N/A</v>
      </c>
      <c r="N1071" t="str" cm="1">
        <f t="array" ref="N1071">IFERROR(_xlfn.XLOOKUP(C1071&amp;A1071, TDrate!F:F&amp;TDrate!H:H, TDrate!D:D), "N/A")</f>
        <v>N/A</v>
      </c>
    </row>
    <row r="1072" spans="1:14" x14ac:dyDescent="0.45">
      <c r="A1072" s="5">
        <v>2020</v>
      </c>
      <c r="B1072" s="6" t="s">
        <v>891</v>
      </c>
      <c r="C1072" s="7" t="str">
        <f t="shared" si="32"/>
        <v>Jake Bargas</v>
      </c>
      <c r="D1072" s="7" t="str">
        <f t="shared" si="33"/>
        <v>MIN</v>
      </c>
      <c r="E1072" cm="1">
        <f t="array" aca="1" ref="E1072" ca="1">IFERROR(_xlfn.XLOOKUP(C1072&amp;A1072, Inside5!B:B&amp;Inside5!I:I, Inside5!C:C), 0)</f>
        <v>0</v>
      </c>
      <c r="F1072" cm="1">
        <f t="array" aca="1" ref="F1072" ca="1">IFERROR(_xlfn.XLOOKUP(C1072&amp;A1072, Inside5!B:B&amp;Inside5!I:I, Inside5!D:D), 0)</f>
        <v>0</v>
      </c>
      <c r="G1072" cm="1">
        <f t="array" ref="G1072">IFERROR(_xlfn.XLOOKUP(C1072&amp;A1072, Inside5!B:B&amp;Inside5!I:I, Inside5!E:E), 0)</f>
        <v>0</v>
      </c>
      <c r="H1072" t="str" cm="1">
        <f t="array" ref="H1072">IFERROR(_xlfn.XLOOKUP(C1072&amp;A1072, TDrate!F:F&amp;TDrate!H:H, TDrate!C:C), "N/A")</f>
        <v>N/A</v>
      </c>
      <c r="I1072" t="str" cm="1">
        <f t="array" ref="I1072">IFERROR(_xlfn.XLOOKUP(C1072&amp;A1072, TDrate!F:F&amp;TDrate!H:H, TDrate!E:E), "N/A")</f>
        <v>N/A</v>
      </c>
      <c r="J1072" cm="1">
        <f t="array" ref="J1072">IFERROR(_xlfn.XLOOKUP(C1072&amp;A1072, Inside5!B:B&amp;Inside5!I:I, Inside5!F:F), 0)</f>
        <v>0</v>
      </c>
      <c r="K1072" cm="1">
        <f t="array" aca="1" ref="K1072" ca="1">IFERROR(_xlfn.XLOOKUP(C1072&amp;A1072, Inside5!B:B&amp;Inside5!I:I, Inside5!G:G), 0)</f>
        <v>0</v>
      </c>
      <c r="L1072" cm="1">
        <f t="array" ref="L1072">IFERROR(_xlfn.XLOOKUP(C1072&amp;A1072, Inside5!B:B&amp;Inside5!I:I, Inside5!H:H), 0)</f>
        <v>0</v>
      </c>
      <c r="M1072" t="str" cm="1">
        <f t="array" ref="M1072">IFERROR(_xlfn.XLOOKUP(C1072&amp;A1072, TDrate!F:F&amp;TDrate!H:H, TDrate!B:B), "N/A")</f>
        <v>N/A</v>
      </c>
      <c r="N1072" t="str" cm="1">
        <f t="array" ref="N1072">IFERROR(_xlfn.XLOOKUP(C1072&amp;A1072, TDrate!F:F&amp;TDrate!H:H, TDrate!D:D), "N/A")</f>
        <v>N/A</v>
      </c>
    </row>
    <row r="1073" spans="1:14" x14ac:dyDescent="0.45">
      <c r="A1073" s="8">
        <v>2020</v>
      </c>
      <c r="B1073" s="9" t="s">
        <v>892</v>
      </c>
      <c r="C1073" s="10" t="str">
        <f t="shared" si="32"/>
        <v>Adrian Killins Jr.</v>
      </c>
      <c r="D1073" s="10" t="str">
        <f t="shared" si="33"/>
        <v>PHI</v>
      </c>
      <c r="E1073" cm="1">
        <f t="array" aca="1" ref="E1073" ca="1">IFERROR(_xlfn.XLOOKUP(C1073&amp;A1073, Inside5!B:B&amp;Inside5!I:I, Inside5!C:C), 0)</f>
        <v>0</v>
      </c>
      <c r="F1073" cm="1">
        <f t="array" aca="1" ref="F1073" ca="1">IFERROR(_xlfn.XLOOKUP(C1073&amp;A1073, Inside5!B:B&amp;Inside5!I:I, Inside5!D:D), 0)</f>
        <v>0</v>
      </c>
      <c r="G1073" cm="1">
        <f t="array" ref="G1073">IFERROR(_xlfn.XLOOKUP(C1073&amp;A1073, Inside5!B:B&amp;Inside5!I:I, Inside5!E:E), 0)</f>
        <v>0</v>
      </c>
      <c r="H1073" t="str" cm="1">
        <f t="array" ref="H1073">IFERROR(_xlfn.XLOOKUP(C1073&amp;A1073, TDrate!F:F&amp;TDrate!H:H, TDrate!C:C), "N/A")</f>
        <v>N/A</v>
      </c>
      <c r="I1073" t="str" cm="1">
        <f t="array" ref="I1073">IFERROR(_xlfn.XLOOKUP(C1073&amp;A1073, TDrate!F:F&amp;TDrate!H:H, TDrate!E:E), "N/A")</f>
        <v>N/A</v>
      </c>
      <c r="J1073" cm="1">
        <f t="array" ref="J1073">IFERROR(_xlfn.XLOOKUP(C1073&amp;A1073, Inside5!B:B&amp;Inside5!I:I, Inside5!F:F), 0)</f>
        <v>0</v>
      </c>
      <c r="K1073" cm="1">
        <f t="array" ref="K1073">IFERROR(_xlfn.XLOOKUP(C1073&amp;A1073, Inside5!B:B&amp;Inside5!I:I, Inside5!G:G), 0)</f>
        <v>0</v>
      </c>
      <c r="L1073" cm="1">
        <f t="array" ref="L1073">IFERROR(_xlfn.XLOOKUP(C1073&amp;A1073, Inside5!B:B&amp;Inside5!I:I, Inside5!H:H), 0)</f>
        <v>0</v>
      </c>
      <c r="M1073" t="str" cm="1">
        <f t="array" ref="M1073">IFERROR(_xlfn.XLOOKUP(C1073&amp;A1073, TDrate!F:F&amp;TDrate!H:H, TDrate!B:B), "N/A")</f>
        <v>N/A</v>
      </c>
      <c r="N1073" t="str" cm="1">
        <f t="array" ref="N1073">IFERROR(_xlfn.XLOOKUP(C1073&amp;A1073, TDrate!F:F&amp;TDrate!H:H, TDrate!D:D), "N/A")</f>
        <v>N/A</v>
      </c>
    </row>
    <row r="1074" spans="1:14" x14ac:dyDescent="0.45">
      <c r="A1074" s="5">
        <v>2019</v>
      </c>
      <c r="B1074" s="6" t="s">
        <v>724</v>
      </c>
      <c r="C1074" s="7" t="str">
        <f t="shared" si="32"/>
        <v>Christian McCaffrey</v>
      </c>
      <c r="D1074" s="7" t="str">
        <f t="shared" si="33"/>
        <v>CAR</v>
      </c>
      <c r="E1074" cm="1">
        <f t="array" aca="1" ref="E1074" ca="1">IFERROR(_xlfn.XLOOKUP(C1074&amp;A1074, Inside5!B:B&amp;Inside5!I:I, Inside5!C:C), 0)</f>
        <v>19</v>
      </c>
      <c r="F1074" cm="1">
        <f t="array" aca="1" ref="F1074" ca="1">IFERROR(_xlfn.XLOOKUP(C1074&amp;A1074, Inside5!B:B&amp;Inside5!I:I, Inside5!D:D), 0)</f>
        <v>8</v>
      </c>
      <c r="G1074" cm="1">
        <f t="array" ref="G1074">IFERROR(_xlfn.XLOOKUP(C1074&amp;A1074, Inside5!B:B&amp;Inside5!I:I, Inside5!E:E), 0)</f>
        <v>0.90500000000000003</v>
      </c>
      <c r="H1074" cm="1">
        <f t="array" ref="H1074">IFERROR(_xlfn.XLOOKUP(C1074&amp;A1074, TDrate!F:F&amp;TDrate!H:H, TDrate!C:C), "N/A")</f>
        <v>5.2299999999999999E-2</v>
      </c>
      <c r="I1074" cm="1">
        <f t="array" ref="I1074">IFERROR(_xlfn.XLOOKUP(C1074&amp;A1074, TDrate!F:F&amp;TDrate!H:H, TDrate!E:E), "N/A")</f>
        <v>4.65E-2</v>
      </c>
      <c r="J1074" cm="1">
        <f t="array" ref="J1074">IFERROR(_xlfn.XLOOKUP(C1074&amp;A1074, Inside5!B:B&amp;Inside5!I:I, Inside5!F:F), 0)</f>
        <v>1</v>
      </c>
      <c r="K1074" cm="1">
        <f t="array" aca="1" ref="K1074" ca="1">IFERROR(_xlfn.XLOOKUP(C1074&amp;A1074, Inside5!B:B&amp;Inside5!I:I, Inside5!G:G), 0)</f>
        <v>2</v>
      </c>
      <c r="L1074" cm="1">
        <f t="array" ref="L1074">IFERROR(_xlfn.XLOOKUP(C1074&amp;A1074, Inside5!B:B&amp;Inside5!I:I, Inside5!H:H), 0)</f>
        <v>1</v>
      </c>
      <c r="M1074" cm="1">
        <f t="array" ref="M1074">IFERROR(_xlfn.XLOOKUP(C1074&amp;A1074, TDrate!F:F&amp;TDrate!H:H, TDrate!B:B), "N/A")</f>
        <v>2.8199999999999999E-2</v>
      </c>
      <c r="N1074" cm="1">
        <f t="array" ref="N1074">IFERROR(_xlfn.XLOOKUP(C1074&amp;A1074, TDrate!F:F&amp;TDrate!H:H, TDrate!D:D), "N/A")</f>
        <v>2.8899999999999999E-2</v>
      </c>
    </row>
    <row r="1075" spans="1:14" x14ac:dyDescent="0.45">
      <c r="A1075" s="8">
        <v>2019</v>
      </c>
      <c r="B1075" s="9" t="s">
        <v>545</v>
      </c>
      <c r="C1075" s="10" t="str">
        <f t="shared" si="32"/>
        <v>Derrick Henry</v>
      </c>
      <c r="D1075" s="10" t="str">
        <f t="shared" si="33"/>
        <v>TEN</v>
      </c>
      <c r="E1075" cm="1">
        <f t="array" aca="1" ref="E1075" ca="1">IFERROR(_xlfn.XLOOKUP(C1075&amp;A1075, Inside5!B:B&amp;Inside5!I:I, Inside5!C:C), 0)</f>
        <v>8</v>
      </c>
      <c r="F1075" cm="1">
        <f t="array" aca="1" ref="F1075" ca="1">IFERROR(_xlfn.XLOOKUP(C1075&amp;A1075, Inside5!B:B&amp;Inside5!I:I, Inside5!D:D), 0)</f>
        <v>5</v>
      </c>
      <c r="G1075" cm="1">
        <f t="array" ref="G1075">IFERROR(_xlfn.XLOOKUP(C1075&amp;A1075, Inside5!B:B&amp;Inside5!I:I, Inside5!E:E), 0)</f>
        <v>1</v>
      </c>
      <c r="H1075" cm="1">
        <f t="array" ref="H1075">IFERROR(_xlfn.XLOOKUP(C1075&amp;A1075, TDrate!F:F&amp;TDrate!H:H, TDrate!C:C), "N/A")</f>
        <v>5.28E-2</v>
      </c>
      <c r="I1075" cm="1">
        <f t="array" ref="I1075">IFERROR(_xlfn.XLOOKUP(C1075&amp;A1075, TDrate!F:F&amp;TDrate!H:H, TDrate!E:E), "N/A")</f>
        <v>0.04</v>
      </c>
      <c r="J1075" cm="1">
        <f t="array" ref="J1075">IFERROR(_xlfn.XLOOKUP(C1075&amp;A1075, Inside5!B:B&amp;Inside5!I:I, Inside5!F:F), 0)</f>
        <v>0</v>
      </c>
      <c r="K1075" cm="1">
        <f t="array" ref="K1075">IFERROR(_xlfn.XLOOKUP(C1075&amp;A1075, Inside5!B:B&amp;Inside5!I:I, Inside5!G:G), 0)</f>
        <v>0</v>
      </c>
      <c r="L1075" cm="1">
        <f t="array" ref="L1075">IFERROR(_xlfn.XLOOKUP(C1075&amp;A1075, Inside5!B:B&amp;Inside5!I:I, Inside5!H:H), 0)</f>
        <v>0</v>
      </c>
      <c r="M1075" cm="1">
        <f t="array" ref="M1075">IFERROR(_xlfn.XLOOKUP(C1075&amp;A1075, TDrate!F:F&amp;TDrate!H:H, TDrate!B:B), "N/A")</f>
        <v>8.3299999999999999E-2</v>
      </c>
      <c r="N1075" cm="1">
        <f t="array" ref="N1075">IFERROR(_xlfn.XLOOKUP(C1075&amp;A1075, TDrate!F:F&amp;TDrate!H:H, TDrate!D:D), "N/A")</f>
        <v>4.8899999999999999E-2</v>
      </c>
    </row>
    <row r="1076" spans="1:14" x14ac:dyDescent="0.45">
      <c r="A1076" s="5">
        <v>2019</v>
      </c>
      <c r="B1076" s="6" t="s">
        <v>556</v>
      </c>
      <c r="C1076" s="7" t="str">
        <f t="shared" si="32"/>
        <v>Aaron Jones Sr.</v>
      </c>
      <c r="D1076" s="7" t="str">
        <f t="shared" si="33"/>
        <v>GB</v>
      </c>
      <c r="E1076" cm="1">
        <f t="array" ref="E1076">IFERROR(_xlfn.XLOOKUP(C1076&amp;A1076, Inside5!B:B&amp;Inside5!I:I, Inside5!C:C), 0)</f>
        <v>17</v>
      </c>
      <c r="F1076" cm="1">
        <f t="array" ref="F1076">IFERROR(_xlfn.XLOOKUP(C1076&amp;A1076, Inside5!B:B&amp;Inside5!I:I, Inside5!D:D), 0)</f>
        <v>10</v>
      </c>
      <c r="G1076" cm="1">
        <f t="array" ref="G1076">IFERROR(_xlfn.XLOOKUP(C1076&amp;A1076, Inside5!B:B&amp;Inside5!I:I, Inside5!E:E), 0)</f>
        <v>0.89500000000000002</v>
      </c>
      <c r="H1076" cm="1">
        <f t="array" ref="H1076">IFERROR(_xlfn.XLOOKUP(C1076&amp;A1076, TDrate!F:F&amp;TDrate!H:H, TDrate!C:C), "N/A")</f>
        <v>6.7799999999999999E-2</v>
      </c>
      <c r="I1076" cm="1">
        <f t="array" ref="I1076">IFERROR(_xlfn.XLOOKUP(C1076&amp;A1076, TDrate!F:F&amp;TDrate!H:H, TDrate!E:E), "N/A")</f>
        <v>5.2600000000000001E-2</v>
      </c>
      <c r="J1076" cm="1">
        <f t="array" ref="J1076">IFERROR(_xlfn.XLOOKUP(C1076&amp;A1076, Inside5!B:B&amp;Inside5!I:I, Inside5!F:F), 0)</f>
        <v>2</v>
      </c>
      <c r="K1076" cm="1">
        <f t="array" ref="K1076">IFERROR(_xlfn.XLOOKUP(C1076&amp;A1076, Inside5!B:B&amp;Inside5!I:I, Inside5!G:G), 0)</f>
        <v>2</v>
      </c>
      <c r="L1076" cm="1">
        <f t="array" ref="L1076">IFERROR(_xlfn.XLOOKUP(C1076&amp;A1076, Inside5!B:B&amp;Inside5!I:I, Inside5!H:H), 0)</f>
        <v>1</v>
      </c>
      <c r="M1076" cm="1">
        <f t="array" ref="M1076">IFERROR(_xlfn.XLOOKUP(C1076&amp;A1076, TDrate!F:F&amp;TDrate!H:H, TDrate!B:B), "N/A")</f>
        <v>4.41E-2</v>
      </c>
      <c r="N1076" cm="1">
        <f t="array" ref="N1076">IFERROR(_xlfn.XLOOKUP(C1076&amp;A1076, TDrate!F:F&amp;TDrate!H:H, TDrate!D:D), "N/A")</f>
        <v>4.1700000000000001E-2</v>
      </c>
    </row>
    <row r="1077" spans="1:14" x14ac:dyDescent="0.45">
      <c r="A1077" s="8">
        <v>2019</v>
      </c>
      <c r="B1077" s="9" t="s">
        <v>488</v>
      </c>
      <c r="C1077" s="10" t="str">
        <f t="shared" si="32"/>
        <v>Ezekiel Elliott</v>
      </c>
      <c r="D1077" s="10" t="str">
        <f t="shared" si="33"/>
        <v>DAL</v>
      </c>
      <c r="E1077" cm="1">
        <f t="array" ref="E1077">IFERROR(_xlfn.XLOOKUP(C1077&amp;A1077, Inside5!B:B&amp;Inside5!I:I, Inside5!C:C), 0)</f>
        <v>18</v>
      </c>
      <c r="F1077" cm="1">
        <f t="array" ref="F1077">IFERROR(_xlfn.XLOOKUP(C1077&amp;A1077, Inside5!B:B&amp;Inside5!I:I, Inside5!D:D), 0)</f>
        <v>10</v>
      </c>
      <c r="G1077" cm="1">
        <f t="array" ref="G1077">IFERROR(_xlfn.XLOOKUP(C1077&amp;A1077, Inside5!B:B&amp;Inside5!I:I, Inside5!E:E), 0)</f>
        <v>1</v>
      </c>
      <c r="H1077" cm="1">
        <f t="array" ref="H1077">IFERROR(_xlfn.XLOOKUP(C1077&amp;A1077, TDrate!F:F&amp;TDrate!H:H, TDrate!C:C), "N/A")</f>
        <v>3.9899999999999998E-2</v>
      </c>
      <c r="I1077" cm="1">
        <f t="array" ref="I1077">IFERROR(_xlfn.XLOOKUP(C1077&amp;A1077, TDrate!F:F&amp;TDrate!H:H, TDrate!E:E), "N/A")</f>
        <v>3.8899999999999997E-2</v>
      </c>
      <c r="J1077" cm="1">
        <f t="array" ref="J1077">IFERROR(_xlfn.XLOOKUP(C1077&amp;A1077, Inside5!B:B&amp;Inside5!I:I, Inside5!F:F), 0)</f>
        <v>0</v>
      </c>
      <c r="K1077" cm="1">
        <f t="array" ref="K1077">IFERROR(_xlfn.XLOOKUP(C1077&amp;A1077, Inside5!B:B&amp;Inside5!I:I, Inside5!G:G), 0)</f>
        <v>0</v>
      </c>
      <c r="L1077" cm="1">
        <f t="array" ref="L1077">IFERROR(_xlfn.XLOOKUP(C1077&amp;A1077, Inside5!B:B&amp;Inside5!I:I, Inside5!H:H), 0)</f>
        <v>0</v>
      </c>
      <c r="M1077" cm="1">
        <f t="array" ref="M1077">IFERROR(_xlfn.XLOOKUP(C1077&amp;A1077, TDrate!F:F&amp;TDrate!H:H, TDrate!B:B), "N/A")</f>
        <v>2.8199999999999999E-2</v>
      </c>
      <c r="N1077" cm="1">
        <f t="array" ref="N1077">IFERROR(_xlfn.XLOOKUP(C1077&amp;A1077, TDrate!F:F&amp;TDrate!H:H, TDrate!D:D), "N/A")</f>
        <v>2.9899999999999999E-2</v>
      </c>
    </row>
    <row r="1078" spans="1:14" x14ac:dyDescent="0.45">
      <c r="A1078" s="5">
        <v>2019</v>
      </c>
      <c r="B1078" s="6" t="s">
        <v>635</v>
      </c>
      <c r="C1078" s="7" t="str">
        <f t="shared" si="32"/>
        <v>Dalvin Cook</v>
      </c>
      <c r="D1078" s="7" t="str">
        <f t="shared" si="33"/>
        <v>MIN</v>
      </c>
      <c r="E1078" cm="1">
        <f t="array" aca="1" ref="E1078" ca="1">IFERROR(_xlfn.XLOOKUP(C1078&amp;A1078, Inside5!B:B&amp;Inside5!I:I, Inside5!C:C), 0)</f>
        <v>21</v>
      </c>
      <c r="F1078" cm="1">
        <f t="array" ref="F1078">IFERROR(_xlfn.XLOOKUP(C1078&amp;A1078, Inside5!B:B&amp;Inside5!I:I, Inside5!D:D), 0)</f>
        <v>9</v>
      </c>
      <c r="G1078" cm="1">
        <f t="array" ref="G1078">IFERROR(_xlfn.XLOOKUP(C1078&amp;A1078, Inside5!B:B&amp;Inside5!I:I, Inside5!E:E), 0)</f>
        <v>0.77800000000000002</v>
      </c>
      <c r="H1078" cm="1">
        <f t="array" ref="H1078">IFERROR(_xlfn.XLOOKUP(C1078&amp;A1078, TDrate!F:F&amp;TDrate!H:H, TDrate!C:C), "N/A")</f>
        <v>5.1999999999999998E-2</v>
      </c>
      <c r="I1078" cm="1">
        <f t="array" ref="I1078">IFERROR(_xlfn.XLOOKUP(C1078&amp;A1078, TDrate!F:F&amp;TDrate!H:H, TDrate!E:E), "N/A")</f>
        <v>4.8899999999999999E-2</v>
      </c>
      <c r="J1078" cm="1">
        <f t="array" ref="J1078">IFERROR(_xlfn.XLOOKUP(C1078&amp;A1078, Inside5!B:B&amp;Inside5!I:I, Inside5!F:F), 0)</f>
        <v>0</v>
      </c>
      <c r="K1078" cm="1">
        <f t="array" aca="1" ref="K1078" ca="1">IFERROR(_xlfn.XLOOKUP(C1078&amp;A1078, Inside5!B:B&amp;Inside5!I:I, Inside5!G:G), 0)</f>
        <v>0</v>
      </c>
      <c r="L1078" cm="1">
        <f t="array" ref="L1078">IFERROR(_xlfn.XLOOKUP(C1078&amp;A1078, Inside5!B:B&amp;Inside5!I:I, Inside5!H:H), 0)</f>
        <v>0</v>
      </c>
      <c r="M1078" cm="1">
        <f t="array" ref="M1078">IFERROR(_xlfn.XLOOKUP(C1078&amp;A1078, TDrate!F:F&amp;TDrate!H:H, TDrate!B:B), "N/A")</f>
        <v>0</v>
      </c>
      <c r="N1078" cm="1">
        <f t="array" ref="N1078">IFERROR(_xlfn.XLOOKUP(C1078&amp;A1078, TDrate!F:F&amp;TDrate!H:H, TDrate!D:D), "N/A")</f>
        <v>6.6E-3</v>
      </c>
    </row>
    <row r="1079" spans="1:14" x14ac:dyDescent="0.45">
      <c r="A1079" s="8">
        <v>2019</v>
      </c>
      <c r="B1079" s="9" t="s">
        <v>483</v>
      </c>
      <c r="C1079" s="10" t="str">
        <f t="shared" si="32"/>
        <v>Nick Chubb</v>
      </c>
      <c r="D1079" s="10" t="str">
        <f t="shared" si="33"/>
        <v>CLE</v>
      </c>
      <c r="E1079" cm="1">
        <f t="array" aca="1" ref="E1079" ca="1">IFERROR(_xlfn.XLOOKUP(C1079&amp;A1079, Inside5!B:B&amp;Inside5!I:I, Inside5!C:C), 0)</f>
        <v>16</v>
      </c>
      <c r="F1079" cm="1">
        <f t="array" aca="1" ref="F1079" ca="1">IFERROR(_xlfn.XLOOKUP(C1079&amp;A1079, Inside5!B:B&amp;Inside5!I:I, Inside5!D:D), 0)</f>
        <v>3</v>
      </c>
      <c r="G1079" cm="1">
        <f t="array" ref="G1079">IFERROR(_xlfn.XLOOKUP(C1079&amp;A1079, Inside5!B:B&amp;Inside5!I:I, Inside5!E:E), 0)</f>
        <v>0.84199999999999997</v>
      </c>
      <c r="H1079" cm="1">
        <f t="array" ref="H1079">IFERROR(_xlfn.XLOOKUP(C1079&amp;A1079, TDrate!F:F&amp;TDrate!H:H, TDrate!C:C), "N/A")</f>
        <v>2.6800000000000001E-2</v>
      </c>
      <c r="I1079" cm="1">
        <f t="array" ref="I1079">IFERROR(_xlfn.XLOOKUP(C1079&amp;A1079, TDrate!F:F&amp;TDrate!H:H, TDrate!E:E), "N/A")</f>
        <v>3.0800000000000001E-2</v>
      </c>
      <c r="J1079" cm="1">
        <f t="array" ref="J1079">IFERROR(_xlfn.XLOOKUP(C1079&amp;A1079, Inside5!B:B&amp;Inside5!I:I, Inside5!F:F), 0)</f>
        <v>0</v>
      </c>
      <c r="K1079" cm="1">
        <f t="array" aca="1" ref="K1079" ca="1">IFERROR(_xlfn.XLOOKUP(C1079&amp;A1079, Inside5!B:B&amp;Inside5!I:I, Inside5!G:G), 0)</f>
        <v>1</v>
      </c>
      <c r="L1079" cm="1">
        <f t="array" ref="L1079">IFERROR(_xlfn.XLOOKUP(C1079&amp;A1079, Inside5!B:B&amp;Inside5!I:I, Inside5!H:H), 0)</f>
        <v>0</v>
      </c>
      <c r="M1079" cm="1">
        <f t="array" ref="M1079">IFERROR(_xlfn.XLOOKUP(C1079&amp;A1079, TDrate!F:F&amp;TDrate!H:H, TDrate!B:B), "N/A")</f>
        <v>0</v>
      </c>
      <c r="N1079" cm="1">
        <f t="array" ref="N1079">IFERROR(_xlfn.XLOOKUP(C1079&amp;A1079, TDrate!F:F&amp;TDrate!H:H, TDrate!D:D), "N/A")</f>
        <v>1.0500000000000001E-2</v>
      </c>
    </row>
    <row r="1080" spans="1:14" x14ac:dyDescent="0.45">
      <c r="A1080" s="5">
        <v>2019</v>
      </c>
      <c r="B1080" s="6" t="s">
        <v>554</v>
      </c>
      <c r="C1080" s="7" t="str">
        <f t="shared" si="32"/>
        <v>Austin Ekeler</v>
      </c>
      <c r="D1080" s="7" t="str">
        <f t="shared" si="33"/>
        <v>LAC</v>
      </c>
      <c r="E1080" cm="1">
        <f t="array" aca="1" ref="E1080" ca="1">IFERROR(_xlfn.XLOOKUP(C1080&amp;A1080, Inside5!B:B&amp;Inside5!I:I, Inside5!C:C), 0)</f>
        <v>9</v>
      </c>
      <c r="F1080" cm="1">
        <f t="array" aca="1" ref="F1080" ca="1">IFERROR(_xlfn.XLOOKUP(C1080&amp;A1080, Inside5!B:B&amp;Inside5!I:I, Inside5!D:D), 0)</f>
        <v>2</v>
      </c>
      <c r="G1080" cm="1">
        <f t="array" ref="G1080">IFERROR(_xlfn.XLOOKUP(C1080&amp;A1080, Inside5!B:B&amp;Inside5!I:I, Inside5!E:E), 0)</f>
        <v>0.39100000000000001</v>
      </c>
      <c r="H1080" cm="1">
        <f t="array" ref="H1080">IFERROR(_xlfn.XLOOKUP(C1080&amp;A1080, TDrate!F:F&amp;TDrate!H:H, TDrate!C:C), "N/A")</f>
        <v>2.2700000000000001E-2</v>
      </c>
      <c r="I1080" cm="1">
        <f t="array" ref="I1080">IFERROR(_xlfn.XLOOKUP(C1080&amp;A1080, TDrate!F:F&amp;TDrate!H:H, TDrate!E:E), "N/A")</f>
        <v>2.9499999999999998E-2</v>
      </c>
      <c r="J1080" cm="1">
        <f t="array" ref="J1080">IFERROR(_xlfn.XLOOKUP(C1080&amp;A1080, Inside5!B:B&amp;Inside5!I:I, Inside5!F:F), 0)</f>
        <v>3</v>
      </c>
      <c r="K1080" cm="1">
        <f t="array" aca="1" ref="K1080" ca="1">IFERROR(_xlfn.XLOOKUP(C1080&amp;A1080, Inside5!B:B&amp;Inside5!I:I, Inside5!G:G), 0)</f>
        <v>4</v>
      </c>
      <c r="L1080" cm="1">
        <f t="array" ref="L1080">IFERROR(_xlfn.XLOOKUP(C1080&amp;A1080, Inside5!B:B&amp;Inside5!I:I, Inside5!H:H), 0)</f>
        <v>1</v>
      </c>
      <c r="M1080" cm="1">
        <f t="array" ref="M1080">IFERROR(_xlfn.XLOOKUP(C1080&amp;A1080, TDrate!F:F&amp;TDrate!H:H, TDrate!B:B), "N/A")</f>
        <v>7.4099999999999999E-2</v>
      </c>
      <c r="N1080" cm="1">
        <f t="array" ref="N1080">IFERROR(_xlfn.XLOOKUP(C1080&amp;A1080, TDrate!F:F&amp;TDrate!H:H, TDrate!D:D), "N/A")</f>
        <v>5.62E-2</v>
      </c>
    </row>
    <row r="1081" spans="1:14" x14ac:dyDescent="0.45">
      <c r="A1081" s="8">
        <v>2019</v>
      </c>
      <c r="B1081" s="9" t="s">
        <v>841</v>
      </c>
      <c r="C1081" s="10" t="str">
        <f t="shared" si="32"/>
        <v>Mark Ingram II</v>
      </c>
      <c r="D1081" s="10" t="str">
        <f t="shared" si="33"/>
        <v>BAL</v>
      </c>
      <c r="E1081" cm="1">
        <f t="array" aca="1" ref="E1081" ca="1">IFERROR(_xlfn.XLOOKUP(C1081&amp;A1081, Inside5!B:B&amp;Inside5!I:I, Inside5!C:C), 0)</f>
        <v>16</v>
      </c>
      <c r="F1081" cm="1">
        <f t="array" aca="1" ref="F1081" ca="1">IFERROR(_xlfn.XLOOKUP(C1081&amp;A1081, Inside5!B:B&amp;Inside5!I:I, Inside5!D:D), 0)</f>
        <v>8</v>
      </c>
      <c r="G1081" cm="1">
        <f t="array" ref="G1081">IFERROR(_xlfn.XLOOKUP(C1081&amp;A1081, Inside5!B:B&amp;Inside5!I:I, Inside5!E:E), 0)</f>
        <v>0.64</v>
      </c>
      <c r="H1081" cm="1">
        <f t="array" ref="H1081">IFERROR(_xlfn.XLOOKUP(C1081&amp;A1081, TDrate!F:F&amp;TDrate!H:H, TDrate!C:C), "N/A")</f>
        <v>4.9500000000000002E-2</v>
      </c>
      <c r="I1081" cm="1">
        <f t="array" ref="I1081">IFERROR(_xlfn.XLOOKUP(C1081&amp;A1081, TDrate!F:F&amp;TDrate!H:H, TDrate!E:E), "N/A")</f>
        <v>4.7199999999999999E-2</v>
      </c>
      <c r="J1081" cm="1">
        <f t="array" ref="J1081">IFERROR(_xlfn.XLOOKUP(C1081&amp;A1081, Inside5!B:B&amp;Inside5!I:I, Inside5!F:F), 0)</f>
        <v>0</v>
      </c>
      <c r="K1081" cm="1">
        <f t="array" aca="1" ref="K1081" ca="1">IFERROR(_xlfn.XLOOKUP(C1081&amp;A1081, Inside5!B:B&amp;Inside5!I:I, Inside5!G:G), 0)</f>
        <v>0</v>
      </c>
      <c r="L1081" cm="1">
        <f t="array" ref="L1081">IFERROR(_xlfn.XLOOKUP(C1081&amp;A1081, Inside5!B:B&amp;Inside5!I:I, Inside5!H:H), 0)</f>
        <v>0</v>
      </c>
      <c r="M1081" cm="1">
        <f t="array" ref="M1081">IFERROR(_xlfn.XLOOKUP(C1081&amp;A1081, TDrate!F:F&amp;TDrate!H:H, TDrate!B:B), "N/A")</f>
        <v>0.1724</v>
      </c>
      <c r="N1081" cm="1">
        <f t="array" ref="N1081">IFERROR(_xlfn.XLOOKUP(C1081&amp;A1081, TDrate!F:F&amp;TDrate!H:H, TDrate!D:D), "N/A")</f>
        <v>0.10680000000000001</v>
      </c>
    </row>
    <row r="1082" spans="1:14" x14ac:dyDescent="0.45">
      <c r="A1082" s="5">
        <v>2019</v>
      </c>
      <c r="B1082" s="6" t="s">
        <v>741</v>
      </c>
      <c r="C1082" s="7" t="str">
        <f t="shared" si="32"/>
        <v>Chris Carson</v>
      </c>
      <c r="D1082" s="7" t="str">
        <f t="shared" si="33"/>
        <v>SEA</v>
      </c>
      <c r="E1082" cm="1">
        <f t="array" ref="E1082">IFERROR(_xlfn.XLOOKUP(C1082&amp;A1082, Inside5!B:B&amp;Inside5!I:I, Inside5!C:C), 0)</f>
        <v>9</v>
      </c>
      <c r="F1082" cm="1">
        <f t="array" ref="F1082">IFERROR(_xlfn.XLOOKUP(C1082&amp;A1082, Inside5!B:B&amp;Inside5!I:I, Inside5!D:D), 0)</f>
        <v>5</v>
      </c>
      <c r="G1082" cm="1">
        <f t="array" ref="G1082">IFERROR(_xlfn.XLOOKUP(C1082&amp;A1082, Inside5!B:B&amp;Inside5!I:I, Inside5!E:E), 0)</f>
        <v>0.64300000000000002</v>
      </c>
      <c r="H1082" cm="1">
        <f t="array" ref="H1082">IFERROR(_xlfn.XLOOKUP(C1082&amp;A1082, TDrate!F:F&amp;TDrate!H:H, TDrate!C:C), "N/A")</f>
        <v>2.52E-2</v>
      </c>
      <c r="I1082" cm="1">
        <f t="array" ref="I1082">IFERROR(_xlfn.XLOOKUP(C1082&amp;A1082, TDrate!F:F&amp;TDrate!H:H, TDrate!E:E), "N/A")</f>
        <v>2.5100000000000001E-2</v>
      </c>
      <c r="J1082" cm="1">
        <f t="array" ref="J1082">IFERROR(_xlfn.XLOOKUP(C1082&amp;A1082, Inside5!B:B&amp;Inside5!I:I, Inside5!F:F), 0)</f>
        <v>1</v>
      </c>
      <c r="K1082" cm="1">
        <f t="array" ref="K1082">IFERROR(_xlfn.XLOOKUP(C1082&amp;A1082, Inside5!B:B&amp;Inside5!I:I, Inside5!G:G), 0)</f>
        <v>1</v>
      </c>
      <c r="L1082" cm="1">
        <f t="array" ref="L1082">IFERROR(_xlfn.XLOOKUP(C1082&amp;A1082, Inside5!B:B&amp;Inside5!I:I, Inside5!H:H), 0)</f>
        <v>1</v>
      </c>
      <c r="M1082" cm="1">
        <f t="array" ref="M1082">IFERROR(_xlfn.XLOOKUP(C1082&amp;A1082, TDrate!F:F&amp;TDrate!H:H, TDrate!B:B), "N/A")</f>
        <v>4.2599999999999999E-2</v>
      </c>
      <c r="N1082" cm="1">
        <f t="array" ref="N1082">IFERROR(_xlfn.XLOOKUP(C1082&amp;A1082, TDrate!F:F&amp;TDrate!H:H, TDrate!D:D), "N/A")</f>
        <v>3.1600000000000003E-2</v>
      </c>
    </row>
    <row r="1083" spans="1:14" x14ac:dyDescent="0.45">
      <c r="A1083" s="8">
        <v>2019</v>
      </c>
      <c r="B1083" s="9" t="s">
        <v>547</v>
      </c>
      <c r="C1083" s="10" t="str">
        <f t="shared" si="32"/>
        <v>Saquon Barkley</v>
      </c>
      <c r="D1083" s="10" t="str">
        <f t="shared" si="33"/>
        <v>NYG</v>
      </c>
      <c r="E1083" cm="1">
        <f t="array" aca="1" ref="E1083" ca="1">IFERROR(_xlfn.XLOOKUP(C1083&amp;A1083, Inside5!B:B&amp;Inside5!I:I, Inside5!C:C), 0)</f>
        <v>8</v>
      </c>
      <c r="F1083" cm="1">
        <f t="array" ref="F1083">IFERROR(_xlfn.XLOOKUP(C1083&amp;A1083, Inside5!B:B&amp;Inside5!I:I, Inside5!D:D), 0)</f>
        <v>1</v>
      </c>
      <c r="G1083" cm="1">
        <f t="array" ref="G1083">IFERROR(_xlfn.XLOOKUP(C1083&amp;A1083, Inside5!B:B&amp;Inside5!I:I, Inside5!E:E), 0)</f>
        <v>0.57099999999999995</v>
      </c>
      <c r="H1083" cm="1">
        <f t="array" ref="H1083">IFERROR(_xlfn.XLOOKUP(C1083&amp;A1083, TDrate!F:F&amp;TDrate!H:H, TDrate!C:C), "N/A")</f>
        <v>2.76E-2</v>
      </c>
      <c r="I1083" cm="1">
        <f t="array" ref="I1083">IFERROR(_xlfn.XLOOKUP(C1083&amp;A1083, TDrate!F:F&amp;TDrate!H:H, TDrate!E:E), "N/A")</f>
        <v>2.7E-2</v>
      </c>
      <c r="J1083" cm="1">
        <f t="array" ref="J1083">IFERROR(_xlfn.XLOOKUP(C1083&amp;A1083, Inside5!B:B&amp;Inside5!I:I, Inside5!F:F), 0)</f>
        <v>1</v>
      </c>
      <c r="K1083" cm="1">
        <f t="array" ref="K1083">IFERROR(_xlfn.XLOOKUP(C1083&amp;A1083, Inside5!B:B&amp;Inside5!I:I, Inside5!G:G), 0)</f>
        <v>2</v>
      </c>
      <c r="L1083" cm="1">
        <f t="array" aca="1" ref="L1083" ca="1">IFERROR(_xlfn.XLOOKUP(C1083&amp;A1083, Inside5!B:B&amp;Inside5!I:I, Inside5!H:H), 0)</f>
        <v>1</v>
      </c>
      <c r="M1083" cm="1">
        <f t="array" ref="M1083">IFERROR(_xlfn.XLOOKUP(C1083&amp;A1083, TDrate!F:F&amp;TDrate!H:H, TDrate!B:B), "N/A")</f>
        <v>2.7400000000000001E-2</v>
      </c>
      <c r="N1083" cm="1">
        <f t="array" ref="N1083">IFERROR(_xlfn.XLOOKUP(C1083&amp;A1083, TDrate!F:F&amp;TDrate!H:H, TDrate!D:D), "N/A")</f>
        <v>2.8899999999999999E-2</v>
      </c>
    </row>
    <row r="1084" spans="1:14" x14ac:dyDescent="0.45">
      <c r="A1084" s="5">
        <v>2019</v>
      </c>
      <c r="B1084" s="6" t="s">
        <v>546</v>
      </c>
      <c r="C1084" s="7" t="str">
        <f t="shared" si="32"/>
        <v>Joe Mixon</v>
      </c>
      <c r="D1084" s="7" t="str">
        <f t="shared" si="33"/>
        <v>CIN</v>
      </c>
      <c r="E1084" cm="1">
        <f t="array" ref="E1084">IFERROR(_xlfn.XLOOKUP(C1084&amp;A1084, Inside5!B:B&amp;Inside5!I:I, Inside5!C:C), 0)</f>
        <v>15</v>
      </c>
      <c r="F1084" cm="1">
        <f t="array" aca="1" ref="F1084" ca="1">IFERROR(_xlfn.XLOOKUP(C1084&amp;A1084, Inside5!B:B&amp;Inside5!I:I, Inside5!D:D), 0)</f>
        <v>3</v>
      </c>
      <c r="G1084" cm="1">
        <f t="array" ref="G1084">IFERROR(_xlfn.XLOOKUP(C1084&amp;A1084, Inside5!B:B&amp;Inside5!I:I, Inside5!E:E), 0)</f>
        <v>0.93799999999999994</v>
      </c>
      <c r="H1084" cm="1">
        <f t="array" ref="H1084">IFERROR(_xlfn.XLOOKUP(C1084&amp;A1084, TDrate!F:F&amp;TDrate!H:H, TDrate!C:C), "N/A")</f>
        <v>1.7999999999999999E-2</v>
      </c>
      <c r="I1084" cm="1">
        <f t="array" ref="I1084">IFERROR(_xlfn.XLOOKUP(C1084&amp;A1084, TDrate!F:F&amp;TDrate!H:H, TDrate!E:E), "N/A")</f>
        <v>2.6800000000000001E-2</v>
      </c>
      <c r="J1084" cm="1">
        <f t="array" ref="J1084">IFERROR(_xlfn.XLOOKUP(C1084&amp;A1084, Inside5!B:B&amp;Inside5!I:I, Inside5!F:F), 0)</f>
        <v>3</v>
      </c>
      <c r="K1084" cm="1">
        <f t="array" ref="K1084">IFERROR(_xlfn.XLOOKUP(C1084&amp;A1084, Inside5!B:B&amp;Inside5!I:I, Inside5!G:G), 0)</f>
        <v>3</v>
      </c>
      <c r="L1084" cm="1">
        <f t="array" ref="L1084">IFERROR(_xlfn.XLOOKUP(C1084&amp;A1084, Inside5!B:B&amp;Inside5!I:I, Inside5!H:H), 0)</f>
        <v>3</v>
      </c>
      <c r="M1084" cm="1">
        <f t="array" ref="M1084">IFERROR(_xlfn.XLOOKUP(C1084&amp;A1084, TDrate!F:F&amp;TDrate!H:H, TDrate!B:B), "N/A")</f>
        <v>6.6699999999999995E-2</v>
      </c>
      <c r="N1084" cm="1">
        <f t="array" ref="N1084">IFERROR(_xlfn.XLOOKUP(C1084&amp;A1084, TDrate!F:F&amp;TDrate!H:H, TDrate!D:D), "N/A")</f>
        <v>5.6800000000000003E-2</v>
      </c>
    </row>
    <row r="1085" spans="1:14" x14ac:dyDescent="0.45">
      <c r="A1085" s="8">
        <v>2019</v>
      </c>
      <c r="B1085" s="9" t="s">
        <v>893</v>
      </c>
      <c r="C1085" s="10" t="str">
        <f t="shared" si="32"/>
        <v>Todd Gurley II</v>
      </c>
      <c r="D1085" s="10" t="str">
        <f t="shared" si="33"/>
        <v>LAR</v>
      </c>
      <c r="E1085" cm="1">
        <f t="array" aca="1" ref="E1085" ca="1">IFERROR(_xlfn.XLOOKUP(C1085&amp;A1085, Inside5!B:B&amp;Inside5!I:I, Inside5!C:C), 0)</f>
        <v>14</v>
      </c>
      <c r="F1085" cm="1">
        <f t="array" aca="1" ref="F1085" ca="1">IFERROR(_xlfn.XLOOKUP(C1085&amp;A1085, Inside5!B:B&amp;Inside5!I:I, Inside5!D:D), 0)</f>
        <v>8</v>
      </c>
      <c r="G1085" cm="1">
        <f t="array" ref="G1085">IFERROR(_xlfn.XLOOKUP(C1085&amp;A1085, Inside5!B:B&amp;Inside5!I:I, Inside5!E:E), 0)</f>
        <v>0.60899999999999999</v>
      </c>
      <c r="H1085" cm="1">
        <f t="array" ref="H1085">IFERROR(_xlfn.XLOOKUP(C1085&amp;A1085, TDrate!F:F&amp;TDrate!H:H, TDrate!C:C), "N/A")</f>
        <v>5.3800000000000001E-2</v>
      </c>
      <c r="I1085" cm="1">
        <f t="array" ref="I1085">IFERROR(_xlfn.XLOOKUP(C1085&amp;A1085, TDrate!F:F&amp;TDrate!H:H, TDrate!E:E), "N/A")</f>
        <v>4.8800000000000003E-2</v>
      </c>
      <c r="J1085" cm="1">
        <f t="array" ref="J1085">IFERROR(_xlfn.XLOOKUP(C1085&amp;A1085, Inside5!B:B&amp;Inside5!I:I, Inside5!F:F), 0)</f>
        <v>1</v>
      </c>
      <c r="K1085" cm="1">
        <f t="array" aca="1" ref="K1085" ca="1">IFERROR(_xlfn.XLOOKUP(C1085&amp;A1085, Inside5!B:B&amp;Inside5!I:I, Inside5!G:G), 0)</f>
        <v>1</v>
      </c>
      <c r="L1085" cm="1">
        <f t="array" ref="L1085">IFERROR(_xlfn.XLOOKUP(C1085&amp;A1085, Inside5!B:B&amp;Inside5!I:I, Inside5!H:H), 0)</f>
        <v>1</v>
      </c>
      <c r="M1085" cm="1">
        <f t="array" ref="M1085">IFERROR(_xlfn.XLOOKUP(C1085&amp;A1085, TDrate!F:F&amp;TDrate!H:H, TDrate!B:B), "N/A")</f>
        <v>4.0800000000000003E-2</v>
      </c>
      <c r="N1085" cm="1">
        <f t="array" ref="N1085">IFERROR(_xlfn.XLOOKUP(C1085&amp;A1085, TDrate!F:F&amp;TDrate!H:H, TDrate!D:D), "N/A")</f>
        <v>3.2199999999999999E-2</v>
      </c>
    </row>
    <row r="1086" spans="1:14" x14ac:dyDescent="0.45">
      <c r="A1086" s="5">
        <v>2019</v>
      </c>
      <c r="B1086" s="6" t="s">
        <v>894</v>
      </c>
      <c r="C1086" s="7" t="str">
        <f t="shared" si="32"/>
        <v>Leonard Fournette</v>
      </c>
      <c r="D1086" s="7" t="str">
        <f t="shared" si="33"/>
        <v>JAC</v>
      </c>
      <c r="E1086" cm="1">
        <f t="array" ref="E1086">IFERROR(_xlfn.XLOOKUP(C1086&amp;A1086, Inside5!B:B&amp;Inside5!I:I, Inside5!C:C), 0)</f>
        <v>8</v>
      </c>
      <c r="F1086" cm="1">
        <f t="array" ref="F1086">IFERROR(_xlfn.XLOOKUP(C1086&amp;A1086, Inside5!B:B&amp;Inside5!I:I, Inside5!D:D), 0)</f>
        <v>3</v>
      </c>
      <c r="G1086" cm="1">
        <f t="array" ref="G1086">IFERROR(_xlfn.XLOOKUP(C1086&amp;A1086, Inside5!B:B&amp;Inside5!I:I, Inside5!E:E), 0)</f>
        <v>0.88900000000000001</v>
      </c>
      <c r="H1086" cm="1">
        <f t="array" ref="H1086">IFERROR(_xlfn.XLOOKUP(C1086&amp;A1086, TDrate!F:F&amp;TDrate!H:H, TDrate!C:C), "N/A")</f>
        <v>1.1299999999999999E-2</v>
      </c>
      <c r="I1086" cm="1">
        <f t="array" ref="I1086">IFERROR(_xlfn.XLOOKUP(C1086&amp;A1086, TDrate!F:F&amp;TDrate!H:H, TDrate!E:E), "N/A")</f>
        <v>1.89E-2</v>
      </c>
      <c r="J1086" cm="1">
        <f t="array" ref="J1086">IFERROR(_xlfn.XLOOKUP(C1086&amp;A1086, Inside5!B:B&amp;Inside5!I:I, Inside5!F:F), 0)</f>
        <v>0</v>
      </c>
      <c r="K1086" cm="1">
        <f t="array" ref="K1086">IFERROR(_xlfn.XLOOKUP(C1086&amp;A1086, Inside5!B:B&amp;Inside5!I:I, Inside5!G:G), 0)</f>
        <v>1</v>
      </c>
      <c r="L1086" cm="1">
        <f t="array" ref="L1086">IFERROR(_xlfn.XLOOKUP(C1086&amp;A1086, Inside5!B:B&amp;Inside5!I:I, Inside5!H:H), 0)</f>
        <v>0</v>
      </c>
      <c r="M1086" cm="1">
        <f t="array" ref="M1086">IFERROR(_xlfn.XLOOKUP(C1086&amp;A1086, TDrate!F:F&amp;TDrate!H:H, TDrate!B:B), "N/A")</f>
        <v>0</v>
      </c>
      <c r="N1086" cm="1">
        <f t="array" ref="N1086">IFERROR(_xlfn.XLOOKUP(C1086&amp;A1086, TDrate!F:F&amp;TDrate!H:H, TDrate!D:D), "N/A")</f>
        <v>1.2999999999999999E-2</v>
      </c>
    </row>
    <row r="1087" spans="1:14" x14ac:dyDescent="0.45">
      <c r="A1087" s="8">
        <v>2019</v>
      </c>
      <c r="B1087" s="9" t="s">
        <v>895</v>
      </c>
      <c r="C1087" s="10" t="str">
        <f t="shared" si="32"/>
        <v>Josh Jacobs</v>
      </c>
      <c r="D1087" s="10" t="str">
        <f t="shared" si="33"/>
        <v>OAK</v>
      </c>
      <c r="E1087" cm="1">
        <f t="array" aca="1" ref="E1087" ca="1">IFERROR(_xlfn.XLOOKUP(C1087&amp;A1087, Inside5!B:B&amp;Inside5!I:I, Inside5!C:C), 0)</f>
        <v>12</v>
      </c>
      <c r="F1087" cm="1">
        <f t="array" aca="1" ref="F1087" ca="1">IFERROR(_xlfn.XLOOKUP(C1087&amp;A1087, Inside5!B:B&amp;Inside5!I:I, Inside5!D:D), 0)</f>
        <v>5</v>
      </c>
      <c r="G1087" cm="1">
        <f t="array" ref="G1087">IFERROR(_xlfn.XLOOKUP(C1087&amp;A1087, Inside5!B:B&amp;Inside5!I:I, Inside5!E:E), 0)</f>
        <v>0.66700000000000004</v>
      </c>
      <c r="H1087" cm="1">
        <f t="array" ref="H1087">IFERROR(_xlfn.XLOOKUP(C1087&amp;A1087, TDrate!F:F&amp;TDrate!H:H, TDrate!C:C), "N/A")</f>
        <v>2.8899999999999999E-2</v>
      </c>
      <c r="I1087" cm="1">
        <f t="array" ref="I1087">IFERROR(_xlfn.XLOOKUP(C1087&amp;A1087, TDrate!F:F&amp;TDrate!H:H, TDrate!E:E), "N/A")</f>
        <v>3.04E-2</v>
      </c>
      <c r="J1087" cm="1">
        <f t="array" ref="J1087">IFERROR(_xlfn.XLOOKUP(C1087&amp;A1087, Inside5!B:B&amp;Inside5!I:I, Inside5!F:F), 0)</f>
        <v>0</v>
      </c>
      <c r="K1087" cm="1">
        <f t="array" ref="K1087">IFERROR(_xlfn.XLOOKUP(C1087&amp;A1087, Inside5!B:B&amp;Inside5!I:I, Inside5!G:G), 0)</f>
        <v>0</v>
      </c>
      <c r="L1087" cm="1">
        <f t="array" ref="L1087">IFERROR(_xlfn.XLOOKUP(C1087&amp;A1087, Inside5!B:B&amp;Inside5!I:I, Inside5!H:H), 0)</f>
        <v>0</v>
      </c>
      <c r="M1087" cm="1">
        <f t="array" ref="M1087">IFERROR(_xlfn.XLOOKUP(C1087&amp;A1087, TDrate!F:F&amp;TDrate!H:H, TDrate!B:B), "N/A")</f>
        <v>0</v>
      </c>
      <c r="N1087" cm="1">
        <f t="array" ref="N1087">IFERROR(_xlfn.XLOOKUP(C1087&amp;A1087, TDrate!F:F&amp;TDrate!H:H, TDrate!D:D), "N/A")</f>
        <v>1.21E-2</v>
      </c>
    </row>
    <row r="1088" spans="1:14" x14ac:dyDescent="0.45">
      <c r="A1088" s="5">
        <v>2019</v>
      </c>
      <c r="B1088" s="6" t="s">
        <v>636</v>
      </c>
      <c r="C1088" s="7" t="str">
        <f t="shared" si="32"/>
        <v>Miles Sanders</v>
      </c>
      <c r="D1088" s="7" t="str">
        <f t="shared" si="33"/>
        <v>PHI</v>
      </c>
      <c r="E1088" cm="1">
        <f t="array" aca="1" ref="E1088" ca="1">IFERROR(_xlfn.XLOOKUP(C1088&amp;A1088, Inside5!B:B&amp;Inside5!I:I, Inside5!C:C), 0)</f>
        <v>6</v>
      </c>
      <c r="F1088" cm="1">
        <f t="array" aca="1" ref="F1088" ca="1">IFERROR(_xlfn.XLOOKUP(C1088&amp;A1088, Inside5!B:B&amp;Inside5!I:I, Inside5!D:D), 0)</f>
        <v>2</v>
      </c>
      <c r="G1088" cm="1">
        <f t="array" ref="G1088">IFERROR(_xlfn.XLOOKUP(C1088&amp;A1088, Inside5!B:B&amp;Inside5!I:I, Inside5!E:E), 0)</f>
        <v>0.33300000000000002</v>
      </c>
      <c r="H1088" cm="1">
        <f t="array" ref="H1088">IFERROR(_xlfn.XLOOKUP(C1088&amp;A1088, TDrate!F:F&amp;TDrate!H:H, TDrate!C:C), "N/A")</f>
        <v>1.6799999999999999E-2</v>
      </c>
      <c r="I1088" cm="1">
        <f t="array" ref="I1088">IFERROR(_xlfn.XLOOKUP(C1088&amp;A1088, TDrate!F:F&amp;TDrate!H:H, TDrate!E:E), "N/A")</f>
        <v>2.1499999999999998E-2</v>
      </c>
      <c r="J1088" cm="1">
        <f t="array" ref="J1088">IFERROR(_xlfn.XLOOKUP(C1088&amp;A1088, Inside5!B:B&amp;Inside5!I:I, Inside5!F:F), 0)</f>
        <v>0</v>
      </c>
      <c r="K1088" cm="1">
        <f t="array" aca="1" ref="K1088" ca="1">IFERROR(_xlfn.XLOOKUP(C1088&amp;A1088, Inside5!B:B&amp;Inside5!I:I, Inside5!G:G), 0)</f>
        <v>0</v>
      </c>
      <c r="L1088" cm="1">
        <f t="array" ref="L1088">IFERROR(_xlfn.XLOOKUP(C1088&amp;A1088, Inside5!B:B&amp;Inside5!I:I, Inside5!H:H), 0)</f>
        <v>0</v>
      </c>
      <c r="M1088" cm="1">
        <f t="array" ref="M1088">IFERROR(_xlfn.XLOOKUP(C1088&amp;A1088, TDrate!F:F&amp;TDrate!H:H, TDrate!B:B), "N/A")</f>
        <v>4.7600000000000003E-2</v>
      </c>
      <c r="N1088" cm="1">
        <f t="array" ref="N1088">IFERROR(_xlfn.XLOOKUP(C1088&amp;A1088, TDrate!F:F&amp;TDrate!H:H, TDrate!D:D), "N/A")</f>
        <v>4.0300000000000002E-2</v>
      </c>
    </row>
    <row r="1089" spans="1:14" x14ac:dyDescent="0.45">
      <c r="A1089" s="8">
        <v>2019</v>
      </c>
      <c r="B1089" s="9" t="s">
        <v>342</v>
      </c>
      <c r="C1089" s="10" t="str">
        <f t="shared" si="32"/>
        <v>Alvin Kamara</v>
      </c>
      <c r="D1089" s="10" t="str">
        <f t="shared" si="33"/>
        <v>NO</v>
      </c>
      <c r="E1089" cm="1">
        <f t="array" aca="1" ref="E1089" ca="1">IFERROR(_xlfn.XLOOKUP(C1089&amp;A1089, Inside5!B:B&amp;Inside5!I:I, Inside5!C:C), 0)</f>
        <v>7</v>
      </c>
      <c r="F1089" cm="1">
        <f t="array" aca="1" ref="F1089" ca="1">IFERROR(_xlfn.XLOOKUP(C1089&amp;A1089, Inside5!B:B&amp;Inside5!I:I, Inside5!D:D), 0)</f>
        <v>2</v>
      </c>
      <c r="G1089" cm="1">
        <f t="array" ref="G1089">IFERROR(_xlfn.XLOOKUP(C1089&amp;A1089, Inside5!B:B&amp;Inside5!I:I, Inside5!E:E), 0)</f>
        <v>0.58299999999999996</v>
      </c>
      <c r="H1089" cm="1">
        <f t="array" ref="H1089">IFERROR(_xlfn.XLOOKUP(C1089&amp;A1089, TDrate!F:F&amp;TDrate!H:H, TDrate!C:C), "N/A")</f>
        <v>2.92E-2</v>
      </c>
      <c r="I1089" cm="1">
        <f t="array" ref="I1089">IFERROR(_xlfn.XLOOKUP(C1089&amp;A1089, TDrate!F:F&amp;TDrate!H:H, TDrate!E:E), "N/A")</f>
        <v>3.0099999999999998E-2</v>
      </c>
      <c r="J1089" cm="1">
        <f t="array" ref="J1089">IFERROR(_xlfn.XLOOKUP(C1089&amp;A1089, Inside5!B:B&amp;Inside5!I:I, Inside5!F:F), 0)</f>
        <v>0</v>
      </c>
      <c r="K1089" cm="1">
        <f t="array" ref="K1089">IFERROR(_xlfn.XLOOKUP(C1089&amp;A1089, Inside5!B:B&amp;Inside5!I:I, Inside5!G:G), 0)</f>
        <v>0</v>
      </c>
      <c r="L1089" cm="1">
        <f t="array" ref="L1089">IFERROR(_xlfn.XLOOKUP(C1089&amp;A1089, Inside5!B:B&amp;Inside5!I:I, Inside5!H:H), 0)</f>
        <v>0</v>
      </c>
      <c r="M1089" cm="1">
        <f t="array" ref="M1089">IFERROR(_xlfn.XLOOKUP(C1089&amp;A1089, TDrate!F:F&amp;TDrate!H:H, TDrate!B:B), "N/A")</f>
        <v>1.03E-2</v>
      </c>
      <c r="N1089" cm="1">
        <f t="array" ref="N1089">IFERROR(_xlfn.XLOOKUP(C1089&amp;A1089, TDrate!F:F&amp;TDrate!H:H, TDrate!D:D), "N/A")</f>
        <v>2.1600000000000001E-2</v>
      </c>
    </row>
    <row r="1090" spans="1:14" x14ac:dyDescent="0.45">
      <c r="A1090" s="5">
        <v>2019</v>
      </c>
      <c r="B1090" s="6" t="s">
        <v>766</v>
      </c>
      <c r="C1090" s="7" t="str">
        <f t="shared" ref="C1090:C1153" si="34">TRIM(LEFT(B1090, LEN(B1090) - LEN(TRIM(RIGHT(SUBSTITUTE(TRIM(B1090)," ",REPT(" ",100)),100)))))</f>
        <v>Marlon Mack</v>
      </c>
      <c r="D1090" s="7" t="str">
        <f t="shared" ref="D1090:D1153" si="35">MID(B1090, FIND("(", B1090) + 1, FIND(")", B1090) - FIND("(", B1090) - 1)</f>
        <v>IND</v>
      </c>
      <c r="E1090" cm="1">
        <f t="array" aca="1" ref="E1090" ca="1">IFERROR(_xlfn.XLOOKUP(C1090&amp;A1090, Inside5!B:B&amp;Inside5!I:I, Inside5!C:C), 0)</f>
        <v>6</v>
      </c>
      <c r="F1090" cm="1">
        <f t="array" aca="1" ref="F1090" ca="1">IFERROR(_xlfn.XLOOKUP(C1090&amp;A1090, Inside5!B:B&amp;Inside5!I:I, Inside5!D:D), 0)</f>
        <v>3</v>
      </c>
      <c r="G1090" cm="1">
        <f t="array" ref="G1090">IFERROR(_xlfn.XLOOKUP(C1090&amp;A1090, Inside5!B:B&amp;Inside5!I:I, Inside5!E:E), 0)</f>
        <v>0.42899999999999999</v>
      </c>
      <c r="H1090" cm="1">
        <f t="array" ref="H1090">IFERROR(_xlfn.XLOOKUP(C1090&amp;A1090, TDrate!F:F&amp;TDrate!H:H, TDrate!C:C), "N/A")</f>
        <v>3.2399999999999998E-2</v>
      </c>
      <c r="I1090" cm="1">
        <f t="array" ref="I1090">IFERROR(_xlfn.XLOOKUP(C1090&amp;A1090, TDrate!F:F&amp;TDrate!H:H, TDrate!E:E), "N/A")</f>
        <v>2.98E-2</v>
      </c>
      <c r="J1090" cm="1">
        <f t="array" ref="J1090">IFERROR(_xlfn.XLOOKUP(C1090&amp;A1090, Inside5!B:B&amp;Inside5!I:I, Inside5!F:F), 0)</f>
        <v>0</v>
      </c>
      <c r="K1090" cm="1">
        <f t="array" ref="K1090">IFERROR(_xlfn.XLOOKUP(C1090&amp;A1090, Inside5!B:B&amp;Inside5!I:I, Inside5!G:G), 0)</f>
        <v>0</v>
      </c>
      <c r="L1090" cm="1">
        <f t="array" ref="L1090">IFERROR(_xlfn.XLOOKUP(C1090&amp;A1090, Inside5!B:B&amp;Inside5!I:I, Inside5!H:H), 0)</f>
        <v>0</v>
      </c>
      <c r="M1090" cm="1">
        <f t="array" ref="M1090">IFERROR(_xlfn.XLOOKUP(C1090&amp;A1090, TDrate!F:F&amp;TDrate!H:H, TDrate!B:B), "N/A")</f>
        <v>0</v>
      </c>
      <c r="N1090" cm="1">
        <f t="array" ref="N1090">IFERROR(_xlfn.XLOOKUP(C1090&amp;A1090, TDrate!F:F&amp;TDrate!H:H, TDrate!D:D), "N/A")</f>
        <v>3.3999999999999998E-3</v>
      </c>
    </row>
    <row r="1091" spans="1:14" x14ac:dyDescent="0.45">
      <c r="A1091" s="8">
        <v>2019</v>
      </c>
      <c r="B1091" s="9" t="s">
        <v>819</v>
      </c>
      <c r="C1091" s="10" t="str">
        <f t="shared" si="34"/>
        <v>Kenyan Drake</v>
      </c>
      <c r="D1091" s="10" t="str">
        <f t="shared" si="35"/>
        <v>ARI</v>
      </c>
      <c r="E1091" cm="1">
        <f t="array" ref="E1091">IFERROR(_xlfn.XLOOKUP(C1091&amp;A1091, Inside5!B:B&amp;Inside5!I:I, Inside5!C:C), 0)</f>
        <v>6</v>
      </c>
      <c r="F1091" cm="1">
        <f t="array" aca="1" ref="F1091" ca="1">IFERROR(_xlfn.XLOOKUP(C1091&amp;A1091, Inside5!B:B&amp;Inside5!I:I, Inside5!D:D), 0)</f>
        <v>5</v>
      </c>
      <c r="G1091" cm="1">
        <f t="array" ref="G1091">IFERROR(_xlfn.XLOOKUP(C1091&amp;A1091, Inside5!B:B&amp;Inside5!I:I, Inside5!E:E), 0)</f>
        <v>0.33300000000000002</v>
      </c>
      <c r="H1091" cm="1">
        <f t="array" ref="H1091">IFERROR(_xlfn.XLOOKUP(C1091&amp;A1091, TDrate!F:F&amp;TDrate!H:H, TDrate!C:C), "N/A")</f>
        <v>4.7100000000000003E-2</v>
      </c>
      <c r="I1091" cm="1">
        <f t="array" ref="I1091">IFERROR(_xlfn.XLOOKUP(C1091&amp;A1091, TDrate!F:F&amp;TDrate!H:H, TDrate!E:E), "N/A")</f>
        <v>3.7999999999999999E-2</v>
      </c>
      <c r="J1091" cm="1">
        <f t="array" ref="J1091">IFERROR(_xlfn.XLOOKUP(C1091&amp;A1091, Inside5!B:B&amp;Inside5!I:I, Inside5!F:F), 0)</f>
        <v>0</v>
      </c>
      <c r="K1091" cm="1">
        <f t="array" ref="K1091">IFERROR(_xlfn.XLOOKUP(C1091&amp;A1091, Inside5!B:B&amp;Inside5!I:I, Inside5!G:G), 0)</f>
        <v>0</v>
      </c>
      <c r="L1091" cm="1">
        <f t="array" ref="L1091">IFERROR(_xlfn.XLOOKUP(C1091&amp;A1091, Inside5!B:B&amp;Inside5!I:I, Inside5!H:H), 0)</f>
        <v>0</v>
      </c>
      <c r="M1091" cm="1">
        <f t="array" ref="M1091">IFERROR(_xlfn.XLOOKUP(C1091&amp;A1091, TDrate!F:F&amp;TDrate!H:H, TDrate!B:B), "N/A")</f>
        <v>0</v>
      </c>
      <c r="N1091" cm="1">
        <f t="array" ref="N1091">IFERROR(_xlfn.XLOOKUP(C1091&amp;A1091, TDrate!F:F&amp;TDrate!H:H, TDrate!D:D), "N/A")</f>
        <v>9.1999999999999998E-3</v>
      </c>
    </row>
    <row r="1092" spans="1:14" x14ac:dyDescent="0.45">
      <c r="A1092" s="5">
        <v>2019</v>
      </c>
      <c r="B1092" s="6" t="s">
        <v>836</v>
      </c>
      <c r="C1092" s="7" t="str">
        <f t="shared" si="34"/>
        <v>Phillip Lindsay</v>
      </c>
      <c r="D1092" s="7" t="str">
        <f t="shared" si="35"/>
        <v>DEN</v>
      </c>
      <c r="E1092" cm="1">
        <f t="array" ref="E1092">IFERROR(_xlfn.XLOOKUP(C1092&amp;A1092, Inside5!B:B&amp;Inside5!I:I, Inside5!C:C), 0)</f>
        <v>8</v>
      </c>
      <c r="F1092" cm="1">
        <f t="array" ref="F1092">IFERROR(_xlfn.XLOOKUP(C1092&amp;A1092, Inside5!B:B&amp;Inside5!I:I, Inside5!D:D), 0)</f>
        <v>5</v>
      </c>
      <c r="G1092" cm="1">
        <f t="array" ref="G1092">IFERROR(_xlfn.XLOOKUP(C1092&amp;A1092, Inside5!B:B&amp;Inside5!I:I, Inside5!E:E), 0)</f>
        <v>0.57099999999999995</v>
      </c>
      <c r="H1092" cm="1">
        <f t="array" ref="H1092">IFERROR(_xlfn.XLOOKUP(C1092&amp;A1092, TDrate!F:F&amp;TDrate!H:H, TDrate!C:C), "N/A")</f>
        <v>3.1300000000000001E-2</v>
      </c>
      <c r="I1092" cm="1">
        <f t="array" ref="I1092">IFERROR(_xlfn.XLOOKUP(C1092&amp;A1092, TDrate!F:F&amp;TDrate!H:H, TDrate!E:E), "N/A")</f>
        <v>2.76E-2</v>
      </c>
      <c r="J1092" cm="1">
        <f t="array" ref="J1092">IFERROR(_xlfn.XLOOKUP(C1092&amp;A1092, Inside5!B:B&amp;Inside5!I:I, Inside5!F:F), 0)</f>
        <v>1</v>
      </c>
      <c r="K1092" cm="1">
        <f t="array" aca="1" ref="K1092" ca="1">IFERROR(_xlfn.XLOOKUP(C1092&amp;A1092, Inside5!B:B&amp;Inside5!I:I, Inside5!G:G), 0)</f>
        <v>1</v>
      </c>
      <c r="L1092" cm="1">
        <f t="array" ref="L1092">IFERROR(_xlfn.XLOOKUP(C1092&amp;A1092, Inside5!B:B&amp;Inside5!I:I, Inside5!H:H), 0)</f>
        <v>0</v>
      </c>
      <c r="M1092" cm="1">
        <f t="array" ref="M1092">IFERROR(_xlfn.XLOOKUP(C1092&amp;A1092, TDrate!F:F&amp;TDrate!H:H, TDrate!B:B), "N/A")</f>
        <v>0</v>
      </c>
      <c r="N1092" cm="1">
        <f t="array" ref="N1092">IFERROR(_xlfn.XLOOKUP(C1092&amp;A1092, TDrate!F:F&amp;TDrate!H:H, TDrate!D:D), "N/A")</f>
        <v>1.43E-2</v>
      </c>
    </row>
    <row r="1093" spans="1:14" x14ac:dyDescent="0.45">
      <c r="A1093" s="8">
        <v>2019</v>
      </c>
      <c r="B1093" s="9" t="s">
        <v>783</v>
      </c>
      <c r="C1093" s="10" t="str">
        <f t="shared" si="34"/>
        <v>Raheem Mostert</v>
      </c>
      <c r="D1093" s="10" t="str">
        <f t="shared" si="35"/>
        <v>SF</v>
      </c>
      <c r="E1093" cm="1">
        <f t="array" ref="E1093">IFERROR(_xlfn.XLOOKUP(C1093&amp;A1093, Inside5!B:B&amp;Inside5!I:I, Inside5!C:C), 0)</f>
        <v>3</v>
      </c>
      <c r="F1093" cm="1">
        <f t="array" aca="1" ref="F1093" ca="1">IFERROR(_xlfn.XLOOKUP(C1093&amp;A1093, Inside5!B:B&amp;Inside5!I:I, Inside5!D:D), 0)</f>
        <v>1</v>
      </c>
      <c r="G1093" cm="1">
        <f t="array" ref="G1093">IFERROR(_xlfn.XLOOKUP(C1093&amp;A1093, Inside5!B:B&amp;Inside5!I:I, Inside5!E:E), 0)</f>
        <v>0.15</v>
      </c>
      <c r="H1093" cm="1">
        <f t="array" ref="H1093">IFERROR(_xlfn.XLOOKUP(C1093&amp;A1093, TDrate!F:F&amp;TDrate!H:H, TDrate!C:C), "N/A")</f>
        <v>5.8400000000000001E-2</v>
      </c>
      <c r="I1093" cm="1">
        <f t="array" ref="I1093">IFERROR(_xlfn.XLOOKUP(C1093&amp;A1093, TDrate!F:F&amp;TDrate!H:H, TDrate!E:E), "N/A")</f>
        <v>4.1099999999999998E-2</v>
      </c>
      <c r="J1093" cm="1">
        <f t="array" ref="J1093">IFERROR(_xlfn.XLOOKUP(C1093&amp;A1093, Inside5!B:B&amp;Inside5!I:I, Inside5!F:F), 0)</f>
        <v>0</v>
      </c>
      <c r="K1093" cm="1">
        <f t="array" ref="K1093">IFERROR(_xlfn.XLOOKUP(C1093&amp;A1093, Inside5!B:B&amp;Inside5!I:I, Inside5!G:G), 0)</f>
        <v>0</v>
      </c>
      <c r="L1093" cm="1">
        <f t="array" ref="L1093">IFERROR(_xlfn.XLOOKUP(C1093&amp;A1093, Inside5!B:B&amp;Inside5!I:I, Inside5!H:H), 0)</f>
        <v>0</v>
      </c>
      <c r="M1093" cm="1">
        <f t="array" ref="M1093">IFERROR(_xlfn.XLOOKUP(C1093&amp;A1093, TDrate!F:F&amp;TDrate!H:H, TDrate!B:B), "N/A")</f>
        <v>9.0899999999999995E-2</v>
      </c>
      <c r="N1093" cm="1">
        <f t="array" ref="N1093">IFERROR(_xlfn.XLOOKUP(C1093&amp;A1093, TDrate!F:F&amp;TDrate!H:H, TDrate!D:D), "N/A")</f>
        <v>5.7000000000000002E-2</v>
      </c>
    </row>
    <row r="1094" spans="1:14" x14ac:dyDescent="0.45">
      <c r="A1094" s="5">
        <v>2019</v>
      </c>
      <c r="B1094" s="6" t="s">
        <v>896</v>
      </c>
      <c r="C1094" s="7" t="str">
        <f t="shared" si="34"/>
        <v>Le'Veon Bell</v>
      </c>
      <c r="D1094" s="7" t="str">
        <f t="shared" si="35"/>
        <v>NYJ</v>
      </c>
      <c r="E1094" cm="1">
        <f t="array" aca="1" ref="E1094" ca="1">IFERROR(_xlfn.XLOOKUP(C1094&amp;A1094, Inside5!B:B&amp;Inside5!I:I, Inside5!C:C), 0)</f>
        <v>6</v>
      </c>
      <c r="F1094" cm="1">
        <f t="array" aca="1" ref="F1094" ca="1">IFERROR(_xlfn.XLOOKUP(C1094&amp;A1094, Inside5!B:B&amp;Inside5!I:I, Inside5!D:D), 0)</f>
        <v>3</v>
      </c>
      <c r="G1094" cm="1">
        <f t="array" ref="G1094">IFERROR(_xlfn.XLOOKUP(C1094&amp;A1094, Inside5!B:B&amp;Inside5!I:I, Inside5!E:E), 0)</f>
        <v>1</v>
      </c>
      <c r="H1094" cm="1">
        <f t="array" ref="H1094">IFERROR(_xlfn.XLOOKUP(C1094&amp;A1094, TDrate!F:F&amp;TDrate!H:H, TDrate!C:C), "N/A")</f>
        <v>1.2200000000000001E-2</v>
      </c>
      <c r="I1094" cm="1">
        <f t="array" ref="I1094">IFERROR(_xlfn.XLOOKUP(C1094&amp;A1094, TDrate!F:F&amp;TDrate!H:H, TDrate!E:E), "N/A")</f>
        <v>1.4800000000000001E-2</v>
      </c>
      <c r="J1094" cm="1">
        <f t="array" ref="J1094">IFERROR(_xlfn.XLOOKUP(C1094&amp;A1094, Inside5!B:B&amp;Inside5!I:I, Inside5!F:F), 0)</f>
        <v>1</v>
      </c>
      <c r="K1094" cm="1">
        <f t="array" aca="1" ref="K1094" ca="1">IFERROR(_xlfn.XLOOKUP(C1094&amp;A1094, Inside5!B:B&amp;Inside5!I:I, Inside5!G:G), 0)</f>
        <v>1</v>
      </c>
      <c r="L1094" cm="1">
        <f t="array" ref="L1094">IFERROR(_xlfn.XLOOKUP(C1094&amp;A1094, Inside5!B:B&amp;Inside5!I:I, Inside5!H:H), 0)</f>
        <v>0</v>
      </c>
      <c r="M1094" cm="1">
        <f t="array" ref="M1094">IFERROR(_xlfn.XLOOKUP(C1094&amp;A1094, TDrate!F:F&amp;TDrate!H:H, TDrate!B:B), "N/A")</f>
        <v>1.2800000000000001E-2</v>
      </c>
      <c r="N1094" cm="1">
        <f t="array" ref="N1094">IFERROR(_xlfn.XLOOKUP(C1094&amp;A1094, TDrate!F:F&amp;TDrate!H:H, TDrate!D:D), "N/A")</f>
        <v>2.07E-2</v>
      </c>
    </row>
    <row r="1095" spans="1:14" x14ac:dyDescent="0.45">
      <c r="A1095" s="8">
        <v>2019</v>
      </c>
      <c r="B1095" s="9" t="s">
        <v>638</v>
      </c>
      <c r="C1095" s="10" t="str">
        <f t="shared" si="34"/>
        <v>David Montgomery</v>
      </c>
      <c r="D1095" s="10" t="str">
        <f t="shared" si="35"/>
        <v>CHI</v>
      </c>
      <c r="E1095" cm="1">
        <f t="array" aca="1" ref="E1095" ca="1">IFERROR(_xlfn.XLOOKUP(C1095&amp;A1095, Inside5!B:B&amp;Inside5!I:I, Inside5!C:C), 0)</f>
        <v>17</v>
      </c>
      <c r="F1095" cm="1">
        <f t="array" aca="1" ref="F1095" ca="1">IFERROR(_xlfn.XLOOKUP(C1095&amp;A1095, Inside5!B:B&amp;Inside5!I:I, Inside5!D:D), 0)</f>
        <v>5</v>
      </c>
      <c r="G1095" cm="1">
        <f t="array" ref="G1095">IFERROR(_xlfn.XLOOKUP(C1095&amp;A1095, Inside5!B:B&amp;Inside5!I:I, Inside5!E:E), 0)</f>
        <v>0.94399999999999995</v>
      </c>
      <c r="H1095" cm="1">
        <f t="array" ref="H1095">IFERROR(_xlfn.XLOOKUP(C1095&amp;A1095, TDrate!F:F&amp;TDrate!H:H, TDrate!C:C), "N/A")</f>
        <v>2.4799999999999999E-2</v>
      </c>
      <c r="I1095" cm="1">
        <f t="array" ref="I1095">IFERROR(_xlfn.XLOOKUP(C1095&amp;A1095, TDrate!F:F&amp;TDrate!H:H, TDrate!E:E), "N/A")</f>
        <v>3.1699999999999999E-2</v>
      </c>
      <c r="J1095" cm="1">
        <f t="array" ref="J1095">IFERROR(_xlfn.XLOOKUP(C1095&amp;A1095, Inside5!B:B&amp;Inside5!I:I, Inside5!F:F), 0)</f>
        <v>1</v>
      </c>
      <c r="K1095" cm="1">
        <f t="array" aca="1" ref="K1095" ca="1">IFERROR(_xlfn.XLOOKUP(C1095&amp;A1095, Inside5!B:B&amp;Inside5!I:I, Inside5!G:G), 0)</f>
        <v>1</v>
      </c>
      <c r="L1095" cm="1">
        <f t="array" ref="L1095">IFERROR(_xlfn.XLOOKUP(C1095&amp;A1095, Inside5!B:B&amp;Inside5!I:I, Inside5!H:H), 0)</f>
        <v>1</v>
      </c>
      <c r="M1095" cm="1">
        <f t="array" ref="M1095">IFERROR(_xlfn.XLOOKUP(C1095&amp;A1095, TDrate!F:F&amp;TDrate!H:H, TDrate!B:B), "N/A")</f>
        <v>2.86E-2</v>
      </c>
      <c r="N1095" cm="1">
        <f t="array" ref="N1095">IFERROR(_xlfn.XLOOKUP(C1095&amp;A1095, TDrate!F:F&amp;TDrate!H:H, TDrate!D:D), "N/A")</f>
        <v>2.5899999999999999E-2</v>
      </c>
    </row>
    <row r="1096" spans="1:14" x14ac:dyDescent="0.45">
      <c r="A1096" s="5">
        <v>2019</v>
      </c>
      <c r="B1096" s="6" t="s">
        <v>897</v>
      </c>
      <c r="C1096" s="7" t="str">
        <f t="shared" si="34"/>
        <v>Carlos Hyde</v>
      </c>
      <c r="D1096" s="7" t="str">
        <f t="shared" si="35"/>
        <v>HOU</v>
      </c>
      <c r="E1096" cm="1">
        <f t="array" aca="1" ref="E1096" ca="1">IFERROR(_xlfn.XLOOKUP(C1096&amp;A1096, Inside5!B:B&amp;Inside5!I:I, Inside5!C:C), 0)</f>
        <v>9</v>
      </c>
      <c r="F1096" cm="1">
        <f t="array" aca="1" ref="F1096" ca="1">IFERROR(_xlfn.XLOOKUP(C1096&amp;A1096, Inside5!B:B&amp;Inside5!I:I, Inside5!D:D), 0)</f>
        <v>4</v>
      </c>
      <c r="G1096" cm="1">
        <f t="array" ref="G1096">IFERROR(_xlfn.XLOOKUP(C1096&amp;A1096, Inside5!B:B&amp;Inside5!I:I, Inside5!E:E), 0)</f>
        <v>0.9</v>
      </c>
      <c r="H1096" cm="1">
        <f t="array" ref="H1096">IFERROR(_xlfn.XLOOKUP(C1096&amp;A1096, TDrate!F:F&amp;TDrate!H:H, TDrate!C:C), "N/A")</f>
        <v>2.4500000000000001E-2</v>
      </c>
      <c r="I1096" cm="1">
        <f t="array" ref="I1096">IFERROR(_xlfn.XLOOKUP(C1096&amp;A1096, TDrate!F:F&amp;TDrate!H:H, TDrate!E:E), "N/A")</f>
        <v>2.5100000000000001E-2</v>
      </c>
      <c r="J1096" cm="1">
        <f t="array" ref="J1096">IFERROR(_xlfn.XLOOKUP(C1096&amp;A1096, Inside5!B:B&amp;Inside5!I:I, Inside5!F:F), 0)</f>
        <v>0</v>
      </c>
      <c r="K1096" cm="1">
        <f t="array" aca="1" ref="K1096" ca="1">IFERROR(_xlfn.XLOOKUP(C1096&amp;A1096, Inside5!B:B&amp;Inside5!I:I, Inside5!G:G), 0)</f>
        <v>0</v>
      </c>
      <c r="L1096" cm="1">
        <f t="array" ref="L1096">IFERROR(_xlfn.XLOOKUP(C1096&amp;A1096, Inside5!B:B&amp;Inside5!I:I, Inside5!H:H), 0)</f>
        <v>0</v>
      </c>
      <c r="M1096" cm="1">
        <f t="array" ref="M1096">IFERROR(_xlfn.XLOOKUP(C1096&amp;A1096, TDrate!F:F&amp;TDrate!H:H, TDrate!B:B), "N/A")</f>
        <v>0</v>
      </c>
      <c r="N1096" cm="1">
        <f t="array" ref="N1096">IFERROR(_xlfn.XLOOKUP(C1096&amp;A1096, TDrate!F:F&amp;TDrate!H:H, TDrate!D:D), "N/A")</f>
        <v>1.41E-2</v>
      </c>
    </row>
    <row r="1097" spans="1:14" x14ac:dyDescent="0.45">
      <c r="A1097" s="8">
        <v>2019</v>
      </c>
      <c r="B1097" s="9" t="s">
        <v>834</v>
      </c>
      <c r="C1097" s="10" t="str">
        <f t="shared" si="34"/>
        <v>Sony Michel</v>
      </c>
      <c r="D1097" s="10" t="str">
        <f t="shared" si="35"/>
        <v>NE</v>
      </c>
      <c r="E1097" cm="1">
        <f t="array" ref="E1097">IFERROR(_xlfn.XLOOKUP(C1097&amp;A1097, Inside5!B:B&amp;Inside5!I:I, Inside5!C:C), 0)</f>
        <v>13</v>
      </c>
      <c r="F1097" cm="1">
        <f t="array" ref="F1097">IFERROR(_xlfn.XLOOKUP(C1097&amp;A1097, Inside5!B:B&amp;Inside5!I:I, Inside5!D:D), 0)</f>
        <v>5</v>
      </c>
      <c r="G1097" cm="1">
        <f t="array" ref="G1097">IFERROR(_xlfn.XLOOKUP(C1097&amp;A1097, Inside5!B:B&amp;Inside5!I:I, Inside5!E:E), 0)</f>
        <v>0.52</v>
      </c>
      <c r="H1097" cm="1">
        <f t="array" ref="H1097">IFERROR(_xlfn.XLOOKUP(C1097&amp;A1097, TDrate!F:F&amp;TDrate!H:H, TDrate!C:C), "N/A")</f>
        <v>2.8299999999999999E-2</v>
      </c>
      <c r="I1097" cm="1">
        <f t="array" ref="I1097">IFERROR(_xlfn.XLOOKUP(C1097&amp;A1097, TDrate!F:F&amp;TDrate!H:H, TDrate!E:E), "N/A")</f>
        <v>3.2099999999999997E-2</v>
      </c>
      <c r="J1097" cm="1">
        <f t="array" ref="J1097">IFERROR(_xlfn.XLOOKUP(C1097&amp;A1097, Inside5!B:B&amp;Inside5!I:I, Inside5!F:F), 0)</f>
        <v>0</v>
      </c>
      <c r="K1097" cm="1">
        <f t="array" aca="1" ref="K1097" ca="1">IFERROR(_xlfn.XLOOKUP(C1097&amp;A1097, Inside5!B:B&amp;Inside5!I:I, Inside5!G:G), 0)</f>
        <v>1</v>
      </c>
      <c r="L1097" cm="1">
        <f t="array" ref="L1097">IFERROR(_xlfn.XLOOKUP(C1097&amp;A1097, Inside5!B:B&amp;Inside5!I:I, Inside5!H:H), 0)</f>
        <v>0</v>
      </c>
      <c r="M1097" cm="1">
        <f t="array" ref="M1097">IFERROR(_xlfn.XLOOKUP(C1097&amp;A1097, TDrate!F:F&amp;TDrate!H:H, TDrate!B:B), "N/A")</f>
        <v>0</v>
      </c>
      <c r="N1097" cm="1">
        <f t="array" ref="N1097">IFERROR(_xlfn.XLOOKUP(C1097&amp;A1097, TDrate!F:F&amp;TDrate!H:H, TDrate!D:D), "N/A")</f>
        <v>2.53E-2</v>
      </c>
    </row>
    <row r="1098" spans="1:14" x14ac:dyDescent="0.45">
      <c r="A1098" s="5">
        <v>2019</v>
      </c>
      <c r="B1098" s="6" t="s">
        <v>898</v>
      </c>
      <c r="C1098" s="7" t="str">
        <f t="shared" si="34"/>
        <v>Melvin Gordon III</v>
      </c>
      <c r="D1098" s="7" t="str">
        <f t="shared" si="35"/>
        <v>LAC</v>
      </c>
      <c r="E1098" cm="1">
        <f t="array" aca="1" ref="E1098" ca="1">IFERROR(_xlfn.XLOOKUP(C1098&amp;A1098, Inside5!B:B&amp;Inside5!I:I, Inside5!C:C), 0)</f>
        <v>13</v>
      </c>
      <c r="F1098" cm="1">
        <f t="array" ref="F1098">IFERROR(_xlfn.XLOOKUP(C1098&amp;A1098, Inside5!B:B&amp;Inside5!I:I, Inside5!D:D), 0)</f>
        <v>6</v>
      </c>
      <c r="G1098" cm="1">
        <f t="array" ref="G1098">IFERROR(_xlfn.XLOOKUP(C1098&amp;A1098, Inside5!B:B&amp;Inside5!I:I, Inside5!E:E), 0)</f>
        <v>0.56499999999999995</v>
      </c>
      <c r="H1098" cm="1">
        <f t="array" ref="H1098">IFERROR(_xlfn.XLOOKUP(C1098&amp;A1098, TDrate!F:F&amp;TDrate!H:H, TDrate!C:C), "N/A")</f>
        <v>4.9399999999999999E-2</v>
      </c>
      <c r="I1098" cm="1">
        <f t="array" ref="I1098">IFERROR(_xlfn.XLOOKUP(C1098&amp;A1098, TDrate!F:F&amp;TDrate!H:H, TDrate!E:E), "N/A")</f>
        <v>4.87E-2</v>
      </c>
      <c r="J1098" cm="1">
        <f t="array" ref="J1098">IFERROR(_xlfn.XLOOKUP(C1098&amp;A1098, Inside5!B:B&amp;Inside5!I:I, Inside5!F:F), 0)</f>
        <v>1</v>
      </c>
      <c r="K1098" cm="1">
        <f t="array" aca="1" ref="K1098" ca="1">IFERROR(_xlfn.XLOOKUP(C1098&amp;A1098, Inside5!B:B&amp;Inside5!I:I, Inside5!G:G), 0)</f>
        <v>1</v>
      </c>
      <c r="L1098" cm="1">
        <f t="array" ref="L1098">IFERROR(_xlfn.XLOOKUP(C1098&amp;A1098, Inside5!B:B&amp;Inside5!I:I, Inside5!H:H), 0)</f>
        <v>1</v>
      </c>
      <c r="M1098" cm="1">
        <f t="array" ref="M1098">IFERROR(_xlfn.XLOOKUP(C1098&amp;A1098, TDrate!F:F&amp;TDrate!H:H, TDrate!B:B), "N/A")</f>
        <v>1.8200000000000001E-2</v>
      </c>
      <c r="N1098" cm="1">
        <f t="array" ref="N1098">IFERROR(_xlfn.XLOOKUP(C1098&amp;A1098, TDrate!F:F&amp;TDrate!H:H, TDrate!D:D), "N/A")</f>
        <v>2.41E-2</v>
      </c>
    </row>
    <row r="1099" spans="1:14" x14ac:dyDescent="0.45">
      <c r="A1099" s="8">
        <v>2019</v>
      </c>
      <c r="B1099" s="9" t="s">
        <v>899</v>
      </c>
      <c r="C1099" s="10" t="str">
        <f t="shared" si="34"/>
        <v>Devonta Freeman</v>
      </c>
      <c r="D1099" s="10" t="str">
        <f t="shared" si="35"/>
        <v>ATL</v>
      </c>
      <c r="E1099" cm="1">
        <f t="array" ref="E1099">IFERROR(_xlfn.XLOOKUP(C1099&amp;A1099, Inside5!B:B&amp;Inside5!I:I, Inside5!C:C), 0)</f>
        <v>1</v>
      </c>
      <c r="F1099" cm="1">
        <f t="array" ref="F1099">IFERROR(_xlfn.XLOOKUP(C1099&amp;A1099, Inside5!B:B&amp;Inside5!I:I, Inside5!D:D), 0)</f>
        <v>0</v>
      </c>
      <c r="G1099" cm="1">
        <f t="array" ref="G1099">IFERROR(_xlfn.XLOOKUP(C1099&amp;A1099, Inside5!B:B&amp;Inside5!I:I, Inside5!E:E), 0)</f>
        <v>7.6999999999999999E-2</v>
      </c>
      <c r="H1099" cm="1">
        <f t="array" ref="H1099">IFERROR(_xlfn.XLOOKUP(C1099&amp;A1099, TDrate!F:F&amp;TDrate!H:H, TDrate!C:C), "N/A")</f>
        <v>1.09E-2</v>
      </c>
      <c r="I1099" cm="1">
        <f t="array" ref="I1099">IFERROR(_xlfn.XLOOKUP(C1099&amp;A1099, TDrate!F:F&amp;TDrate!H:H, TDrate!E:E), "N/A")</f>
        <v>1.17E-2</v>
      </c>
      <c r="J1099" cm="1">
        <f t="array" ref="J1099">IFERROR(_xlfn.XLOOKUP(C1099&amp;A1099, Inside5!B:B&amp;Inside5!I:I, Inside5!F:F), 0)</f>
        <v>0</v>
      </c>
      <c r="K1099" cm="1">
        <f t="array" aca="1" ref="K1099" ca="1">IFERROR(_xlfn.XLOOKUP(C1099&amp;A1099, Inside5!B:B&amp;Inside5!I:I, Inside5!G:G), 0)</f>
        <v>1</v>
      </c>
      <c r="L1099" cm="1">
        <f t="array" ref="L1099">IFERROR(_xlfn.XLOOKUP(C1099&amp;A1099, Inside5!B:B&amp;Inside5!I:I, Inside5!H:H), 0)</f>
        <v>0</v>
      </c>
      <c r="M1099" cm="1">
        <f t="array" ref="M1099">IFERROR(_xlfn.XLOOKUP(C1099&amp;A1099, TDrate!F:F&amp;TDrate!H:H, TDrate!B:B), "N/A")</f>
        <v>5.7099999999999998E-2</v>
      </c>
      <c r="N1099" cm="1">
        <f t="array" ref="N1099">IFERROR(_xlfn.XLOOKUP(C1099&amp;A1099, TDrate!F:F&amp;TDrate!H:H, TDrate!D:D), "N/A")</f>
        <v>4.5999999999999999E-2</v>
      </c>
    </row>
    <row r="1100" spans="1:14" x14ac:dyDescent="0.45">
      <c r="A1100" s="5">
        <v>2019</v>
      </c>
      <c r="B1100" s="6" t="s">
        <v>730</v>
      </c>
      <c r="C1100" s="7" t="str">
        <f t="shared" si="34"/>
        <v>Ronald Jones II</v>
      </c>
      <c r="D1100" s="7" t="str">
        <f t="shared" si="35"/>
        <v>TB</v>
      </c>
      <c r="E1100" cm="1">
        <f t="array" aca="1" ref="E1100" ca="1">IFERROR(_xlfn.XLOOKUP(C1100&amp;A1100, Inside5!B:B&amp;Inside5!I:I, Inside5!C:C), 0)</f>
        <v>4</v>
      </c>
      <c r="F1100" cm="1">
        <f t="array" aca="1" ref="F1100" ca="1">IFERROR(_xlfn.XLOOKUP(C1100&amp;A1100, Inside5!B:B&amp;Inside5!I:I, Inside5!D:D), 0)</f>
        <v>4</v>
      </c>
      <c r="G1100" cm="1">
        <f t="array" ref="G1100">IFERROR(_xlfn.XLOOKUP(C1100&amp;A1100, Inside5!B:B&amp;Inside5!I:I, Inside5!E:E), 0)</f>
        <v>0.19</v>
      </c>
      <c r="H1100" cm="1">
        <f t="array" ref="H1100">IFERROR(_xlfn.XLOOKUP(C1100&amp;A1100, TDrate!F:F&amp;TDrate!H:H, TDrate!C:C), "N/A")</f>
        <v>3.49E-2</v>
      </c>
      <c r="I1100" cm="1">
        <f t="array" ref="I1100">IFERROR(_xlfn.XLOOKUP(C1100&amp;A1100, TDrate!F:F&amp;TDrate!H:H, TDrate!E:E), "N/A")</f>
        <v>2.76E-2</v>
      </c>
      <c r="J1100" cm="1">
        <f t="array" ref="J1100">IFERROR(_xlfn.XLOOKUP(C1100&amp;A1100, Inside5!B:B&amp;Inside5!I:I, Inside5!F:F), 0)</f>
        <v>0</v>
      </c>
      <c r="K1100" cm="1">
        <f t="array" ref="K1100">IFERROR(_xlfn.XLOOKUP(C1100&amp;A1100, Inside5!B:B&amp;Inside5!I:I, Inside5!G:G), 0)</f>
        <v>0</v>
      </c>
      <c r="L1100" cm="1">
        <f t="array" ref="L1100">IFERROR(_xlfn.XLOOKUP(C1100&amp;A1100, Inside5!B:B&amp;Inside5!I:I, Inside5!H:H), 0)</f>
        <v>0</v>
      </c>
      <c r="M1100" cm="1">
        <f t="array" ref="M1100">IFERROR(_xlfn.XLOOKUP(C1100&amp;A1100, TDrate!F:F&amp;TDrate!H:H, TDrate!B:B), "N/A")</f>
        <v>0</v>
      </c>
      <c r="N1100" cm="1">
        <f t="array" ref="N1100">IFERROR(_xlfn.XLOOKUP(C1100&amp;A1100, TDrate!F:F&amp;TDrate!H:H, TDrate!D:D), "N/A")</f>
        <v>5.7000000000000002E-3</v>
      </c>
    </row>
    <row r="1101" spans="1:14" x14ac:dyDescent="0.45">
      <c r="A1101" s="8">
        <v>2019</v>
      </c>
      <c r="B1101" s="9" t="s">
        <v>900</v>
      </c>
      <c r="C1101" s="10" t="str">
        <f t="shared" si="34"/>
        <v>Adrian Peterson</v>
      </c>
      <c r="D1101" s="10" t="str">
        <f t="shared" si="35"/>
        <v>WAS</v>
      </c>
      <c r="E1101" cm="1">
        <f t="array" aca="1" ref="E1101" ca="1">IFERROR(_xlfn.XLOOKUP(C1101&amp;A1101, Inside5!B:B&amp;Inside5!I:I, Inside5!C:C), 0)</f>
        <v>7</v>
      </c>
      <c r="F1101" cm="1">
        <f t="array" aca="1" ref="F1101" ca="1">IFERROR(_xlfn.XLOOKUP(C1101&amp;A1101, Inside5!B:B&amp;Inside5!I:I, Inside5!D:D), 0)</f>
        <v>3</v>
      </c>
      <c r="G1101" cm="1">
        <f t="array" ref="G1101">IFERROR(_xlfn.XLOOKUP(C1101&amp;A1101, Inside5!B:B&amp;Inside5!I:I, Inside5!E:E), 0)</f>
        <v>0.58299999999999996</v>
      </c>
      <c r="H1101" cm="1">
        <f t="array" ref="H1101">IFERROR(_xlfn.XLOOKUP(C1101&amp;A1101, TDrate!F:F&amp;TDrate!H:H, TDrate!C:C), "N/A")</f>
        <v>2.3699999999999999E-2</v>
      </c>
      <c r="I1101" cm="1">
        <f t="array" ref="I1101">IFERROR(_xlfn.XLOOKUP(C1101&amp;A1101, TDrate!F:F&amp;TDrate!H:H, TDrate!E:E), "N/A")</f>
        <v>2.3E-2</v>
      </c>
      <c r="J1101" cm="1">
        <f t="array" ref="J1101">IFERROR(_xlfn.XLOOKUP(C1101&amp;A1101, Inside5!B:B&amp;Inside5!I:I, Inside5!F:F), 0)</f>
        <v>0</v>
      </c>
      <c r="K1101" cm="1">
        <f t="array" ref="K1101">IFERROR(_xlfn.XLOOKUP(C1101&amp;A1101, Inside5!B:B&amp;Inside5!I:I, Inside5!G:G), 0)</f>
        <v>0</v>
      </c>
      <c r="L1101" cm="1">
        <f t="array" ref="L1101">IFERROR(_xlfn.XLOOKUP(C1101&amp;A1101, Inside5!B:B&amp;Inside5!I:I, Inside5!H:H), 0)</f>
        <v>0</v>
      </c>
      <c r="M1101" cm="1">
        <f t="array" ref="M1101">IFERROR(_xlfn.XLOOKUP(C1101&amp;A1101, TDrate!F:F&amp;TDrate!H:H, TDrate!B:B), "N/A")</f>
        <v>0</v>
      </c>
      <c r="N1101" cm="1">
        <f t="array" ref="N1101">IFERROR(_xlfn.XLOOKUP(C1101&amp;A1101, TDrate!F:F&amp;TDrate!H:H, TDrate!D:D), "N/A")</f>
        <v>9.7000000000000003E-3</v>
      </c>
    </row>
    <row r="1102" spans="1:14" x14ac:dyDescent="0.45">
      <c r="A1102" s="5">
        <v>2019</v>
      </c>
      <c r="B1102" s="6" t="s">
        <v>758</v>
      </c>
      <c r="C1102" s="7" t="str">
        <f t="shared" si="34"/>
        <v>James White</v>
      </c>
      <c r="D1102" s="7" t="str">
        <f t="shared" si="35"/>
        <v>NE</v>
      </c>
      <c r="E1102" cm="1">
        <f t="array" ref="E1102">IFERROR(_xlfn.XLOOKUP(C1102&amp;A1102, Inside5!B:B&amp;Inside5!I:I, Inside5!C:C), 0)</f>
        <v>5</v>
      </c>
      <c r="F1102" cm="1">
        <f t="array" aca="1" ref="F1102" ca="1">IFERROR(_xlfn.XLOOKUP(C1102&amp;A1102, Inside5!B:B&amp;Inside5!I:I, Inside5!D:D), 0)</f>
        <v>1</v>
      </c>
      <c r="G1102" cm="1">
        <f t="array" ref="G1102">IFERROR(_xlfn.XLOOKUP(C1102&amp;A1102, Inside5!B:B&amp;Inside5!I:I, Inside5!E:E), 0)</f>
        <v>0.2</v>
      </c>
      <c r="H1102" cm="1">
        <f t="array" ref="H1102">IFERROR(_xlfn.XLOOKUP(C1102&amp;A1102, TDrate!F:F&amp;TDrate!H:H, TDrate!C:C), "N/A")</f>
        <v>1.49E-2</v>
      </c>
      <c r="I1102" cm="1">
        <f t="array" ref="I1102">IFERROR(_xlfn.XLOOKUP(C1102&amp;A1102, TDrate!F:F&amp;TDrate!H:H, TDrate!E:E), "N/A")</f>
        <v>2.81E-2</v>
      </c>
      <c r="J1102" cm="1">
        <f t="array" ref="J1102">IFERROR(_xlfn.XLOOKUP(C1102&amp;A1102, Inside5!B:B&amp;Inside5!I:I, Inside5!F:F), 0)</f>
        <v>0</v>
      </c>
      <c r="K1102" cm="1">
        <f t="array" ref="K1102">IFERROR(_xlfn.XLOOKUP(C1102&amp;A1102, Inside5!B:B&amp;Inside5!I:I, Inside5!G:G), 0)</f>
        <v>1</v>
      </c>
      <c r="L1102" cm="1">
        <f t="array" ref="L1102">IFERROR(_xlfn.XLOOKUP(C1102&amp;A1102, Inside5!B:B&amp;Inside5!I:I, Inside5!H:H), 0)</f>
        <v>0</v>
      </c>
      <c r="M1102" cm="1">
        <f t="array" ref="M1102">IFERROR(_xlfn.XLOOKUP(C1102&amp;A1102, TDrate!F:F&amp;TDrate!H:H, TDrate!B:B), "N/A")</f>
        <v>5.2600000000000001E-2</v>
      </c>
      <c r="N1102" cm="1">
        <f t="array" ref="N1102">IFERROR(_xlfn.XLOOKUP(C1102&amp;A1102, TDrate!F:F&amp;TDrate!H:H, TDrate!D:D), "N/A")</f>
        <v>4.7399999999999998E-2</v>
      </c>
    </row>
    <row r="1103" spans="1:14" x14ac:dyDescent="0.45">
      <c r="A1103" s="8">
        <v>2019</v>
      </c>
      <c r="B1103" s="9" t="s">
        <v>824</v>
      </c>
      <c r="C1103" s="10" t="str">
        <f t="shared" si="34"/>
        <v>Latavius Murray</v>
      </c>
      <c r="D1103" s="10" t="str">
        <f t="shared" si="35"/>
        <v>NO</v>
      </c>
      <c r="E1103" cm="1">
        <f t="array" ref="E1103">IFERROR(_xlfn.XLOOKUP(C1103&amp;A1103, Inside5!B:B&amp;Inside5!I:I, Inside5!C:C), 0)</f>
        <v>4</v>
      </c>
      <c r="F1103" cm="1">
        <f t="array" ref="F1103">IFERROR(_xlfn.XLOOKUP(C1103&amp;A1103, Inside5!B:B&amp;Inside5!I:I, Inside5!D:D), 0)</f>
        <v>2</v>
      </c>
      <c r="G1103" cm="1">
        <f t="array" ref="G1103">IFERROR(_xlfn.XLOOKUP(C1103&amp;A1103, Inside5!B:B&amp;Inside5!I:I, Inside5!E:E), 0)</f>
        <v>0.33300000000000002</v>
      </c>
      <c r="H1103" cm="1">
        <f t="array" ref="H1103">IFERROR(_xlfn.XLOOKUP(C1103&amp;A1103, TDrate!F:F&amp;TDrate!H:H, TDrate!C:C), "N/A")</f>
        <v>3.4200000000000001E-2</v>
      </c>
      <c r="I1103" cm="1">
        <f t="array" ref="I1103">IFERROR(_xlfn.XLOOKUP(C1103&amp;A1103, TDrate!F:F&amp;TDrate!H:H, TDrate!E:E), "N/A")</f>
        <v>0.03</v>
      </c>
      <c r="J1103" cm="1">
        <f t="array" ref="J1103">IFERROR(_xlfn.XLOOKUP(C1103&amp;A1103, Inside5!B:B&amp;Inside5!I:I, Inside5!F:F), 0)</f>
        <v>0</v>
      </c>
      <c r="K1103" cm="1">
        <f t="array" ref="K1103">IFERROR(_xlfn.XLOOKUP(C1103&amp;A1103, Inside5!B:B&amp;Inside5!I:I, Inside5!G:G), 0)</f>
        <v>0</v>
      </c>
      <c r="L1103" cm="1">
        <f t="array" ref="L1103">IFERROR(_xlfn.XLOOKUP(C1103&amp;A1103, Inside5!B:B&amp;Inside5!I:I, Inside5!H:H), 0)</f>
        <v>0</v>
      </c>
      <c r="M1103" cm="1">
        <f t="array" ref="M1103">IFERROR(_xlfn.XLOOKUP(C1103&amp;A1103, TDrate!F:F&amp;TDrate!H:H, TDrate!B:B), "N/A")</f>
        <v>2.3300000000000001E-2</v>
      </c>
      <c r="N1103" cm="1">
        <f t="array" ref="N1103">IFERROR(_xlfn.XLOOKUP(C1103&amp;A1103, TDrate!F:F&amp;TDrate!H:H, TDrate!D:D), "N/A")</f>
        <v>2.63E-2</v>
      </c>
    </row>
    <row r="1104" spans="1:14" x14ac:dyDescent="0.45">
      <c r="A1104" s="5">
        <v>2019</v>
      </c>
      <c r="B1104" s="6" t="s">
        <v>640</v>
      </c>
      <c r="C1104" s="7" t="str">
        <f t="shared" si="34"/>
        <v>Devin Singletary</v>
      </c>
      <c r="D1104" s="7" t="str">
        <f t="shared" si="35"/>
        <v>BUF</v>
      </c>
      <c r="E1104" cm="1">
        <f t="array" aca="1" ref="E1104" ca="1">IFERROR(_xlfn.XLOOKUP(C1104&amp;A1104, Inside5!B:B&amp;Inside5!I:I, Inside5!C:C), 0)</f>
        <v>2</v>
      </c>
      <c r="F1104" cm="1">
        <f t="array" aca="1" ref="F1104" ca="1">IFERROR(_xlfn.XLOOKUP(C1104&amp;A1104, Inside5!B:B&amp;Inside5!I:I, Inside5!D:D), 0)</f>
        <v>1</v>
      </c>
      <c r="G1104" cm="1">
        <f t="array" ref="G1104">IFERROR(_xlfn.XLOOKUP(C1104&amp;A1104, Inside5!B:B&amp;Inside5!I:I, Inside5!E:E), 0)</f>
        <v>0.154</v>
      </c>
      <c r="H1104" cm="1">
        <f t="array" ref="H1104">IFERROR(_xlfn.XLOOKUP(C1104&amp;A1104, TDrate!F:F&amp;TDrate!H:H, TDrate!C:C), "N/A")</f>
        <v>1.32E-2</v>
      </c>
      <c r="I1104" cm="1">
        <f t="array" ref="I1104">IFERROR(_xlfn.XLOOKUP(C1104&amp;A1104, TDrate!F:F&amp;TDrate!H:H, TDrate!E:E), "N/A")</f>
        <v>1.4200000000000001E-2</v>
      </c>
      <c r="J1104" cm="1">
        <f t="array" ref="J1104">IFERROR(_xlfn.XLOOKUP(C1104&amp;A1104, Inside5!B:B&amp;Inside5!I:I, Inside5!F:F), 0)</f>
        <v>0</v>
      </c>
      <c r="K1104" cm="1">
        <f t="array" ref="K1104">IFERROR(_xlfn.XLOOKUP(C1104&amp;A1104, Inside5!B:B&amp;Inside5!I:I, Inside5!G:G), 0)</f>
        <v>0</v>
      </c>
      <c r="L1104" cm="1">
        <f t="array" ref="L1104">IFERROR(_xlfn.XLOOKUP(C1104&amp;A1104, Inside5!B:B&amp;Inside5!I:I, Inside5!H:H), 0)</f>
        <v>0</v>
      </c>
      <c r="M1104" cm="1">
        <f t="array" ref="M1104">IFERROR(_xlfn.XLOOKUP(C1104&amp;A1104, TDrate!F:F&amp;TDrate!H:H, TDrate!B:B), "N/A")</f>
        <v>4.8800000000000003E-2</v>
      </c>
      <c r="N1104" cm="1">
        <f t="array" ref="N1104">IFERROR(_xlfn.XLOOKUP(C1104&amp;A1104, TDrate!F:F&amp;TDrate!H:H, TDrate!D:D), "N/A")</f>
        <v>3.8199999999999998E-2</v>
      </c>
    </row>
    <row r="1105" spans="1:14" x14ac:dyDescent="0.45">
      <c r="A1105" s="8">
        <v>2019</v>
      </c>
      <c r="B1105" s="9" t="s">
        <v>666</v>
      </c>
      <c r="C1105" s="10" t="str">
        <f t="shared" si="34"/>
        <v>Tevin Coleman</v>
      </c>
      <c r="D1105" s="10" t="str">
        <f t="shared" si="35"/>
        <v>SF</v>
      </c>
      <c r="E1105" cm="1">
        <f t="array" ref="E1105">IFERROR(_xlfn.XLOOKUP(C1105&amp;A1105, Inside5!B:B&amp;Inside5!I:I, Inside5!C:C), 0)</f>
        <v>9</v>
      </c>
      <c r="F1105" cm="1">
        <f t="array" ref="F1105">IFERROR(_xlfn.XLOOKUP(C1105&amp;A1105, Inside5!B:B&amp;Inside5!I:I, Inside5!D:D), 0)</f>
        <v>3</v>
      </c>
      <c r="G1105" cm="1">
        <f t="array" ref="G1105">IFERROR(_xlfn.XLOOKUP(C1105&amp;A1105, Inside5!B:B&amp;Inside5!I:I, Inside5!E:E), 0)</f>
        <v>0.45</v>
      </c>
      <c r="H1105" cm="1">
        <f t="array" ref="H1105">IFERROR(_xlfn.XLOOKUP(C1105&amp;A1105, TDrate!F:F&amp;TDrate!H:H, TDrate!C:C), "N/A")</f>
        <v>4.3799999999999999E-2</v>
      </c>
      <c r="I1105" cm="1">
        <f t="array" ref="I1105">IFERROR(_xlfn.XLOOKUP(C1105&amp;A1105, TDrate!F:F&amp;TDrate!H:H, TDrate!E:E), "N/A")</f>
        <v>4.1799999999999997E-2</v>
      </c>
      <c r="J1105" cm="1">
        <f t="array" ref="J1105">IFERROR(_xlfn.XLOOKUP(C1105&amp;A1105, Inside5!B:B&amp;Inside5!I:I, Inside5!F:F), 0)</f>
        <v>0</v>
      </c>
      <c r="K1105" cm="1">
        <f t="array" ref="K1105">IFERROR(_xlfn.XLOOKUP(C1105&amp;A1105, Inside5!B:B&amp;Inside5!I:I, Inside5!G:G), 0)</f>
        <v>2</v>
      </c>
      <c r="L1105" cm="1">
        <f t="array" ref="L1105">IFERROR(_xlfn.XLOOKUP(C1105&amp;A1105, Inside5!B:B&amp;Inside5!I:I, Inside5!H:H), 0)</f>
        <v>0</v>
      </c>
      <c r="M1105" cm="1">
        <f t="array" ref="M1105">IFERROR(_xlfn.XLOOKUP(C1105&amp;A1105, TDrate!F:F&amp;TDrate!H:H, TDrate!B:B), "N/A")</f>
        <v>3.3300000000000003E-2</v>
      </c>
      <c r="N1105" cm="1">
        <f t="array" ref="N1105">IFERROR(_xlfn.XLOOKUP(C1105&amp;A1105, TDrate!F:F&amp;TDrate!H:H, TDrate!D:D), "N/A")</f>
        <v>4.9000000000000002E-2</v>
      </c>
    </row>
    <row r="1106" spans="1:14" x14ac:dyDescent="0.45">
      <c r="A1106" s="5">
        <v>2019</v>
      </c>
      <c r="B1106" s="6" t="s">
        <v>822</v>
      </c>
      <c r="C1106" s="7" t="str">
        <f t="shared" si="34"/>
        <v>James Conner</v>
      </c>
      <c r="D1106" s="7" t="str">
        <f t="shared" si="35"/>
        <v>PIT</v>
      </c>
      <c r="E1106" cm="1">
        <f t="array" ref="E1106">IFERROR(_xlfn.XLOOKUP(C1106&amp;A1106, Inside5!B:B&amp;Inside5!I:I, Inside5!C:C), 0)</f>
        <v>5</v>
      </c>
      <c r="F1106" cm="1">
        <f t="array" aca="1" ref="F1106" ca="1">IFERROR(_xlfn.XLOOKUP(C1106&amp;A1106, Inside5!B:B&amp;Inside5!I:I, Inside5!D:D), 0)</f>
        <v>2</v>
      </c>
      <c r="G1106" cm="1">
        <f t="array" ref="G1106">IFERROR(_xlfn.XLOOKUP(C1106&amp;A1106, Inside5!B:B&amp;Inside5!I:I, Inside5!E:E), 0)</f>
        <v>0.45500000000000002</v>
      </c>
      <c r="H1106" cm="1">
        <f t="array" ref="H1106">IFERROR(_xlfn.XLOOKUP(C1106&amp;A1106, TDrate!F:F&amp;TDrate!H:H, TDrate!C:C), "N/A")</f>
        <v>3.4500000000000003E-2</v>
      </c>
      <c r="I1106" cm="1">
        <f t="array" ref="I1106">IFERROR(_xlfn.XLOOKUP(C1106&amp;A1106, TDrate!F:F&amp;TDrate!H:H, TDrate!E:E), "N/A")</f>
        <v>3.0300000000000001E-2</v>
      </c>
      <c r="J1106" cm="1">
        <f t="array" ref="J1106">IFERROR(_xlfn.XLOOKUP(C1106&amp;A1106, Inside5!B:B&amp;Inside5!I:I, Inside5!F:F), 0)</f>
        <v>0</v>
      </c>
      <c r="K1106" cm="1">
        <f t="array" ref="K1106">IFERROR(_xlfn.XLOOKUP(C1106&amp;A1106, Inside5!B:B&amp;Inside5!I:I, Inside5!G:G), 0)</f>
        <v>0</v>
      </c>
      <c r="L1106" cm="1">
        <f t="array" ref="L1106">IFERROR(_xlfn.XLOOKUP(C1106&amp;A1106, Inside5!B:B&amp;Inside5!I:I, Inside5!H:H), 0)</f>
        <v>0</v>
      </c>
      <c r="M1106" cm="1">
        <f t="array" ref="M1106">IFERROR(_xlfn.XLOOKUP(C1106&amp;A1106, TDrate!F:F&amp;TDrate!H:H, TDrate!B:B), "N/A")</f>
        <v>7.8899999999999998E-2</v>
      </c>
      <c r="N1106" cm="1">
        <f t="array" ref="N1106">IFERROR(_xlfn.XLOOKUP(C1106&amp;A1106, TDrate!F:F&amp;TDrate!H:H, TDrate!D:D), "N/A")</f>
        <v>5.1200000000000002E-2</v>
      </c>
    </row>
    <row r="1107" spans="1:14" x14ac:dyDescent="0.45">
      <c r="A1107" s="8">
        <v>2019</v>
      </c>
      <c r="B1107" s="9" t="s">
        <v>901</v>
      </c>
      <c r="C1107" s="10" t="str">
        <f t="shared" si="34"/>
        <v>Damien Williams</v>
      </c>
      <c r="D1107" s="10" t="str">
        <f t="shared" si="35"/>
        <v>KC</v>
      </c>
      <c r="E1107" cm="1">
        <f t="array" ref="E1107">IFERROR(_xlfn.XLOOKUP(C1107&amp;A1107, Inside5!B:B&amp;Inside5!I:I, Inside5!C:C), 0)</f>
        <v>3</v>
      </c>
      <c r="F1107" cm="1">
        <f t="array" ref="F1107">IFERROR(_xlfn.XLOOKUP(C1107&amp;A1107, Inside5!B:B&amp;Inside5!I:I, Inside5!D:D), 0)</f>
        <v>2</v>
      </c>
      <c r="G1107" cm="1">
        <f t="array" ref="G1107">IFERROR(_xlfn.XLOOKUP(C1107&amp;A1107, Inside5!B:B&amp;Inside5!I:I, Inside5!E:E), 0)</f>
        <v>0.17599999999999999</v>
      </c>
      <c r="H1107" cm="1">
        <f t="array" ref="H1107">IFERROR(_xlfn.XLOOKUP(C1107&amp;A1107, TDrate!F:F&amp;TDrate!H:H, TDrate!C:C), "N/A")</f>
        <v>4.4999999999999998E-2</v>
      </c>
      <c r="I1107" cm="1">
        <f t="array" ref="I1107">IFERROR(_xlfn.XLOOKUP(C1107&amp;A1107, TDrate!F:F&amp;TDrate!H:H, TDrate!E:E), "N/A")</f>
        <v>3.4299999999999997E-2</v>
      </c>
      <c r="J1107" cm="1">
        <f t="array" ref="J1107">IFERROR(_xlfn.XLOOKUP(C1107&amp;A1107, Inside5!B:B&amp;Inside5!I:I, Inside5!F:F), 0)</f>
        <v>1</v>
      </c>
      <c r="K1107" cm="1">
        <f t="array" ref="K1107">IFERROR(_xlfn.XLOOKUP(C1107&amp;A1107, Inside5!B:B&amp;Inside5!I:I, Inside5!G:G), 0)</f>
        <v>2</v>
      </c>
      <c r="L1107" cm="1">
        <f t="array" ref="L1107">IFERROR(_xlfn.XLOOKUP(C1107&amp;A1107, Inside5!B:B&amp;Inside5!I:I, Inside5!H:H), 0)</f>
        <v>0</v>
      </c>
      <c r="M1107" cm="1">
        <f t="array" ref="M1107">IFERROR(_xlfn.XLOOKUP(C1107&amp;A1107, TDrate!F:F&amp;TDrate!H:H, TDrate!B:B), "N/A")</f>
        <v>5.4100000000000002E-2</v>
      </c>
      <c r="N1107" cm="1">
        <f t="array" ref="N1107">IFERROR(_xlfn.XLOOKUP(C1107&amp;A1107, TDrate!F:F&amp;TDrate!H:H, TDrate!D:D), "N/A")</f>
        <v>4.8899999999999999E-2</v>
      </c>
    </row>
    <row r="1108" spans="1:14" x14ac:dyDescent="0.45">
      <c r="A1108" s="5">
        <v>2019</v>
      </c>
      <c r="B1108" s="6" t="s">
        <v>838</v>
      </c>
      <c r="C1108" s="7" t="str">
        <f t="shared" si="34"/>
        <v>Duke Johnson Jr.</v>
      </c>
      <c r="D1108" s="7" t="str">
        <f t="shared" si="35"/>
        <v>HOU</v>
      </c>
      <c r="E1108" cm="1">
        <f t="array" aca="1" ref="E1108" ca="1">IFERROR(_xlfn.XLOOKUP(C1108&amp;A1108, Inside5!B:B&amp;Inside5!I:I, Inside5!C:C), 0)</f>
        <v>1</v>
      </c>
      <c r="F1108" cm="1">
        <f t="array" aca="1" ref="F1108" ca="1">IFERROR(_xlfn.XLOOKUP(C1108&amp;A1108, Inside5!B:B&amp;Inside5!I:I, Inside5!D:D), 0)</f>
        <v>1</v>
      </c>
      <c r="G1108" cm="1">
        <f t="array" ref="G1108">IFERROR(_xlfn.XLOOKUP(C1108&amp;A1108, Inside5!B:B&amp;Inside5!I:I, Inside5!E:E), 0)</f>
        <v>0.1</v>
      </c>
      <c r="H1108" cm="1">
        <f t="array" ref="H1108">IFERROR(_xlfn.XLOOKUP(C1108&amp;A1108, TDrate!F:F&amp;TDrate!H:H, TDrate!C:C), "N/A")</f>
        <v>2.41E-2</v>
      </c>
      <c r="I1108" cm="1">
        <f t="array" ref="I1108">IFERROR(_xlfn.XLOOKUP(C1108&amp;A1108, TDrate!F:F&amp;TDrate!H:H, TDrate!E:E), "N/A")</f>
        <v>2.1299999999999999E-2</v>
      </c>
      <c r="J1108" cm="1">
        <f t="array" ref="J1108">IFERROR(_xlfn.XLOOKUP(C1108&amp;A1108, Inside5!B:B&amp;Inside5!I:I, Inside5!F:F), 0)</f>
        <v>0</v>
      </c>
      <c r="K1108" cm="1">
        <f t="array" aca="1" ref="K1108" ca="1">IFERROR(_xlfn.XLOOKUP(C1108&amp;A1108, Inside5!B:B&amp;Inside5!I:I, Inside5!G:G), 0)</f>
        <v>0</v>
      </c>
      <c r="L1108" cm="1">
        <f t="array" ref="L1108">IFERROR(_xlfn.XLOOKUP(C1108&amp;A1108, Inside5!B:B&amp;Inside5!I:I, Inside5!H:H), 0)</f>
        <v>0</v>
      </c>
      <c r="M1108" cm="1">
        <f t="array" ref="M1108">IFERROR(_xlfn.XLOOKUP(C1108&amp;A1108, TDrate!F:F&amp;TDrate!H:H, TDrate!B:B), "N/A")</f>
        <v>4.8399999999999999E-2</v>
      </c>
      <c r="N1108" cm="1">
        <f t="array" ref="N1108">IFERROR(_xlfn.XLOOKUP(C1108&amp;A1108, TDrate!F:F&amp;TDrate!H:H, TDrate!D:D), "N/A")</f>
        <v>4.5600000000000002E-2</v>
      </c>
    </row>
    <row r="1109" spans="1:14" x14ac:dyDescent="0.45">
      <c r="A1109" s="8">
        <v>2019</v>
      </c>
      <c r="B1109" s="9" t="s">
        <v>827</v>
      </c>
      <c r="C1109" s="10" t="str">
        <f t="shared" si="34"/>
        <v>Jamaal Williams</v>
      </c>
      <c r="D1109" s="10" t="str">
        <f t="shared" si="35"/>
        <v>GB</v>
      </c>
      <c r="E1109" cm="1">
        <f t="array" aca="1" ref="E1109" ca="1">IFERROR(_xlfn.XLOOKUP(C1109&amp;A1109, Inside5!B:B&amp;Inside5!I:I, Inside5!C:C), 0)</f>
        <v>2</v>
      </c>
      <c r="F1109" cm="1">
        <f t="array" aca="1" ref="F1109" ca="1">IFERROR(_xlfn.XLOOKUP(C1109&amp;A1109, Inside5!B:B&amp;Inside5!I:I, Inside5!D:D), 0)</f>
        <v>1</v>
      </c>
      <c r="G1109" cm="1">
        <f t="array" ref="G1109">IFERROR(_xlfn.XLOOKUP(C1109&amp;A1109, Inside5!B:B&amp;Inside5!I:I, Inside5!E:E), 0)</f>
        <v>0.105</v>
      </c>
      <c r="H1109" cm="1">
        <f t="array" ref="H1109">IFERROR(_xlfn.XLOOKUP(C1109&amp;A1109, TDrate!F:F&amp;TDrate!H:H, TDrate!C:C), "N/A")</f>
        <v>9.2999999999999992E-3</v>
      </c>
      <c r="I1109" cm="1">
        <f t="array" ref="I1109">IFERROR(_xlfn.XLOOKUP(C1109&amp;A1109, TDrate!F:F&amp;TDrate!H:H, TDrate!E:E), "N/A")</f>
        <v>1.38E-2</v>
      </c>
      <c r="J1109" cm="1">
        <f t="array" ref="J1109">IFERROR(_xlfn.XLOOKUP(C1109&amp;A1109, Inside5!B:B&amp;Inside5!I:I, Inside5!F:F), 0)</f>
        <v>3</v>
      </c>
      <c r="K1109" cm="1">
        <f t="array" ref="K1109">IFERROR(_xlfn.XLOOKUP(C1109&amp;A1109, Inside5!B:B&amp;Inside5!I:I, Inside5!G:G), 0)</f>
        <v>3</v>
      </c>
      <c r="L1109" cm="1">
        <f t="array" ref="L1109">IFERROR(_xlfn.XLOOKUP(C1109&amp;A1109, Inside5!B:B&amp;Inside5!I:I, Inside5!H:H), 0)</f>
        <v>3</v>
      </c>
      <c r="M1109" cm="1">
        <f t="array" ref="M1109">IFERROR(_xlfn.XLOOKUP(C1109&amp;A1109, TDrate!F:F&amp;TDrate!H:H, TDrate!B:B), "N/A")</f>
        <v>0.1111</v>
      </c>
      <c r="N1109" cm="1">
        <f t="array" ref="N1109">IFERROR(_xlfn.XLOOKUP(C1109&amp;A1109, TDrate!F:F&amp;TDrate!H:H, TDrate!D:D), "N/A")</f>
        <v>8.1600000000000006E-2</v>
      </c>
    </row>
    <row r="1110" spans="1:14" x14ac:dyDescent="0.45">
      <c r="A1110" s="5">
        <v>2019</v>
      </c>
      <c r="B1110" s="6" t="s">
        <v>902</v>
      </c>
      <c r="C1110" s="7" t="str">
        <f t="shared" si="34"/>
        <v>David Johnson</v>
      </c>
      <c r="D1110" s="7" t="str">
        <f t="shared" si="35"/>
        <v>ARI</v>
      </c>
      <c r="E1110" cm="1">
        <f t="array" aca="1" ref="E1110" ca="1">IFERROR(_xlfn.XLOOKUP(C1110&amp;A1110, Inside5!B:B&amp;Inside5!I:I, Inside5!C:C), 0)</f>
        <v>6</v>
      </c>
      <c r="F1110" cm="1">
        <f t="array" aca="1" ref="F1110" ca="1">IFERROR(_xlfn.XLOOKUP(C1110&amp;A1110, Inside5!B:B&amp;Inside5!I:I, Inside5!D:D), 0)</f>
        <v>2</v>
      </c>
      <c r="G1110" cm="1">
        <f t="array" ref="G1110">IFERROR(_xlfn.XLOOKUP(C1110&amp;A1110, Inside5!B:B&amp;Inside5!I:I, Inside5!E:E), 0)</f>
        <v>1</v>
      </c>
      <c r="H1110" cm="1">
        <f t="array" ref="H1110">IFERROR(_xlfn.XLOOKUP(C1110&amp;A1110, TDrate!F:F&amp;TDrate!H:H, TDrate!C:C), "N/A")</f>
        <v>2.1299999999999999E-2</v>
      </c>
      <c r="I1110" cm="1">
        <f t="array" ref="I1110">IFERROR(_xlfn.XLOOKUP(C1110&amp;A1110, TDrate!F:F&amp;TDrate!H:H, TDrate!E:E), "N/A")</f>
        <v>2.8299999999999999E-2</v>
      </c>
      <c r="J1110" cm="1">
        <f t="array" ref="J1110">IFERROR(_xlfn.XLOOKUP(C1110&amp;A1110, Inside5!B:B&amp;Inside5!I:I, Inside5!F:F), 0)</f>
        <v>1</v>
      </c>
      <c r="K1110" cm="1">
        <f t="array" ref="K1110">IFERROR(_xlfn.XLOOKUP(C1110&amp;A1110, Inside5!B:B&amp;Inside5!I:I, Inside5!G:G), 0)</f>
        <v>1</v>
      </c>
      <c r="L1110" cm="1">
        <f t="array" ref="L1110">IFERROR(_xlfn.XLOOKUP(C1110&amp;A1110, Inside5!B:B&amp;Inside5!I:I, Inside5!H:H), 0)</f>
        <v>1</v>
      </c>
      <c r="M1110" cm="1">
        <f t="array" ref="M1110">IFERROR(_xlfn.XLOOKUP(C1110&amp;A1110, TDrate!F:F&amp;TDrate!H:H, TDrate!B:B), "N/A")</f>
        <v>8.5099999999999995E-2</v>
      </c>
      <c r="N1110" cm="1">
        <f t="array" ref="N1110">IFERROR(_xlfn.XLOOKUP(C1110&amp;A1110, TDrate!F:F&amp;TDrate!H:H, TDrate!D:D), "N/A")</f>
        <v>5.8900000000000001E-2</v>
      </c>
    </row>
    <row r="1111" spans="1:14" x14ac:dyDescent="0.45">
      <c r="A1111" s="8">
        <v>2019</v>
      </c>
      <c r="B1111" s="9" t="s">
        <v>732</v>
      </c>
      <c r="C1111" s="10" t="str">
        <f t="shared" si="34"/>
        <v>Jordan Howard</v>
      </c>
      <c r="D1111" s="10" t="str">
        <f t="shared" si="35"/>
        <v>PHI</v>
      </c>
      <c r="E1111" cm="1">
        <f t="array" aca="1" ref="E1111" ca="1">IFERROR(_xlfn.XLOOKUP(C1111&amp;A1111, Inside5!B:B&amp;Inside5!I:I, Inside5!C:C), 0)</f>
        <v>10</v>
      </c>
      <c r="F1111" cm="1">
        <f t="array" aca="1" ref="F1111" ca="1">IFERROR(_xlfn.XLOOKUP(C1111&amp;A1111, Inside5!B:B&amp;Inside5!I:I, Inside5!D:D), 0)</f>
        <v>5</v>
      </c>
      <c r="G1111" cm="1">
        <f t="array" ref="G1111">IFERROR(_xlfn.XLOOKUP(C1111&amp;A1111, Inside5!B:B&amp;Inside5!I:I, Inside5!E:E), 0)</f>
        <v>0.55600000000000005</v>
      </c>
      <c r="H1111" cm="1">
        <f t="array" ref="H1111">IFERROR(_xlfn.XLOOKUP(C1111&amp;A1111, TDrate!F:F&amp;TDrate!H:H, TDrate!C:C), "N/A")</f>
        <v>5.04E-2</v>
      </c>
      <c r="I1111" cm="1">
        <f t="array" ref="I1111">IFERROR(_xlfn.XLOOKUP(C1111&amp;A1111, TDrate!F:F&amp;TDrate!H:H, TDrate!E:E), "N/A")</f>
        <v>4.7300000000000002E-2</v>
      </c>
      <c r="J1111" cm="1">
        <f t="array" ref="J1111">IFERROR(_xlfn.XLOOKUP(C1111&amp;A1111, Inside5!B:B&amp;Inside5!I:I, Inside5!F:F), 0)</f>
        <v>0</v>
      </c>
      <c r="K1111" cm="1">
        <f t="array" aca="1" ref="K1111" ca="1">IFERROR(_xlfn.XLOOKUP(C1111&amp;A1111, Inside5!B:B&amp;Inside5!I:I, Inside5!G:G), 0)</f>
        <v>0</v>
      </c>
      <c r="L1111" cm="1">
        <f t="array" ref="L1111">IFERROR(_xlfn.XLOOKUP(C1111&amp;A1111, Inside5!B:B&amp;Inside5!I:I, Inside5!H:H), 0)</f>
        <v>0</v>
      </c>
      <c r="M1111" cm="1">
        <f t="array" ref="M1111">IFERROR(_xlfn.XLOOKUP(C1111&amp;A1111, TDrate!F:F&amp;TDrate!H:H, TDrate!B:B), "N/A")</f>
        <v>7.1400000000000005E-2</v>
      </c>
      <c r="N1111" cm="1">
        <f t="array" ref="N1111">IFERROR(_xlfn.XLOOKUP(C1111&amp;A1111, TDrate!F:F&amp;TDrate!H:H, TDrate!D:D), "N/A")</f>
        <v>4.4600000000000001E-2</v>
      </c>
    </row>
    <row r="1112" spans="1:14" x14ac:dyDescent="0.45">
      <c r="A1112" s="5">
        <v>2019</v>
      </c>
      <c r="B1112" s="6" t="s">
        <v>903</v>
      </c>
      <c r="C1112" s="7" t="str">
        <f t="shared" si="34"/>
        <v>Peyton Barber</v>
      </c>
      <c r="D1112" s="7" t="str">
        <f t="shared" si="35"/>
        <v>TB</v>
      </c>
      <c r="E1112" cm="1">
        <f t="array" ref="E1112">IFERROR(_xlfn.XLOOKUP(C1112&amp;A1112, Inside5!B:B&amp;Inside5!I:I, Inside5!C:C), 0)</f>
        <v>9</v>
      </c>
      <c r="F1112" cm="1">
        <f t="array" ref="F1112">IFERROR(_xlfn.XLOOKUP(C1112&amp;A1112, Inside5!B:B&amp;Inside5!I:I, Inside5!D:D), 0)</f>
        <v>4</v>
      </c>
      <c r="G1112" cm="1">
        <f t="array" ref="G1112">IFERROR(_xlfn.XLOOKUP(C1112&amp;A1112, Inside5!B:B&amp;Inside5!I:I, Inside5!E:E), 0)</f>
        <v>0.42899999999999999</v>
      </c>
      <c r="H1112" cm="1">
        <f t="array" ref="H1112">IFERROR(_xlfn.XLOOKUP(C1112&amp;A1112, TDrate!F:F&amp;TDrate!H:H, TDrate!C:C), "N/A")</f>
        <v>3.9E-2</v>
      </c>
      <c r="I1112" cm="1">
        <f t="array" ref="I1112">IFERROR(_xlfn.XLOOKUP(C1112&amp;A1112, TDrate!F:F&amp;TDrate!H:H, TDrate!E:E), "N/A")</f>
        <v>3.7499999999999999E-2</v>
      </c>
      <c r="J1112" cm="1">
        <f t="array" ref="J1112">IFERROR(_xlfn.XLOOKUP(C1112&amp;A1112, Inside5!B:B&amp;Inside5!I:I, Inside5!F:F), 0)</f>
        <v>0</v>
      </c>
      <c r="K1112" cm="1">
        <f t="array" ref="K1112">IFERROR(_xlfn.XLOOKUP(C1112&amp;A1112, Inside5!B:B&amp;Inside5!I:I, Inside5!G:G), 0)</f>
        <v>0</v>
      </c>
      <c r="L1112" cm="1">
        <f t="array" ref="L1112">IFERROR(_xlfn.XLOOKUP(C1112&amp;A1112, Inside5!B:B&amp;Inside5!I:I, Inside5!H:H), 0)</f>
        <v>0</v>
      </c>
      <c r="M1112" cm="1">
        <f t="array" ref="M1112">IFERROR(_xlfn.XLOOKUP(C1112&amp;A1112, TDrate!F:F&amp;TDrate!H:H, TDrate!B:B), "N/A")</f>
        <v>4.1700000000000001E-2</v>
      </c>
      <c r="N1112" cm="1">
        <f t="array" ref="N1112">IFERROR(_xlfn.XLOOKUP(C1112&amp;A1112, TDrate!F:F&amp;TDrate!H:H, TDrate!D:D), "N/A")</f>
        <v>3.4500000000000003E-2</v>
      </c>
    </row>
    <row r="1113" spans="1:14" x14ac:dyDescent="0.45">
      <c r="A1113" s="8">
        <v>2019</v>
      </c>
      <c r="B1113" s="9" t="s">
        <v>850</v>
      </c>
      <c r="C1113" s="10" t="str">
        <f t="shared" si="34"/>
        <v>Royce Freeman</v>
      </c>
      <c r="D1113" s="10" t="str">
        <f t="shared" si="35"/>
        <v>DEN</v>
      </c>
      <c r="E1113" cm="1">
        <f t="array" ref="E1113">IFERROR(_xlfn.XLOOKUP(C1113&amp;A1113, Inside5!B:B&amp;Inside5!I:I, Inside5!C:C), 0)</f>
        <v>5</v>
      </c>
      <c r="F1113" cm="1">
        <f t="array" ref="F1113">IFERROR(_xlfn.XLOOKUP(C1113&amp;A1113, Inside5!B:B&amp;Inside5!I:I, Inside5!D:D), 0)</f>
        <v>3</v>
      </c>
      <c r="G1113" cm="1">
        <f t="array" ref="G1113">IFERROR(_xlfn.XLOOKUP(C1113&amp;A1113, Inside5!B:B&amp;Inside5!I:I, Inside5!E:E), 0)</f>
        <v>0.35699999999999998</v>
      </c>
      <c r="H1113" cm="1">
        <f t="array" ref="H1113">IFERROR(_xlfn.XLOOKUP(C1113&amp;A1113, TDrate!F:F&amp;TDrate!H:H, TDrate!C:C), "N/A")</f>
        <v>2.2700000000000001E-2</v>
      </c>
      <c r="I1113" cm="1">
        <f t="array" ref="I1113">IFERROR(_xlfn.XLOOKUP(C1113&amp;A1113, TDrate!F:F&amp;TDrate!H:H, TDrate!E:E), "N/A")</f>
        <v>2.6499999999999999E-2</v>
      </c>
      <c r="J1113" cm="1">
        <f t="array" ref="J1113">IFERROR(_xlfn.XLOOKUP(C1113&amp;A1113, Inside5!B:B&amp;Inside5!I:I, Inside5!F:F), 0)</f>
        <v>1</v>
      </c>
      <c r="K1113" cm="1">
        <f t="array" ref="K1113">IFERROR(_xlfn.XLOOKUP(C1113&amp;A1113, Inside5!B:B&amp;Inside5!I:I, Inside5!G:G), 0)</f>
        <v>1</v>
      </c>
      <c r="L1113" cm="1">
        <f t="array" ref="L1113">IFERROR(_xlfn.XLOOKUP(C1113&amp;A1113, Inside5!B:B&amp;Inside5!I:I, Inside5!H:H), 0)</f>
        <v>1</v>
      </c>
      <c r="M1113" cm="1">
        <f t="array" ref="M1113">IFERROR(_xlfn.XLOOKUP(C1113&amp;A1113, TDrate!F:F&amp;TDrate!H:H, TDrate!B:B), "N/A")</f>
        <v>0.02</v>
      </c>
      <c r="N1113" cm="1">
        <f t="array" ref="N1113">IFERROR(_xlfn.XLOOKUP(C1113&amp;A1113, TDrate!F:F&amp;TDrate!H:H, TDrate!D:D), "N/A")</f>
        <v>2.3199999999999998E-2</v>
      </c>
    </row>
    <row r="1114" spans="1:14" x14ac:dyDescent="0.45">
      <c r="A1114" s="5">
        <v>2019</v>
      </c>
      <c r="B1114" s="6" t="s">
        <v>904</v>
      </c>
      <c r="C1114" s="7" t="str">
        <f t="shared" si="34"/>
        <v>LeSean McCoy</v>
      </c>
      <c r="D1114" s="7" t="str">
        <f t="shared" si="35"/>
        <v>KC</v>
      </c>
      <c r="E1114" cm="1">
        <f t="array" ref="E1114">IFERROR(_xlfn.XLOOKUP(C1114&amp;A1114, Inside5!B:B&amp;Inside5!I:I, Inside5!C:C), 0)</f>
        <v>7</v>
      </c>
      <c r="F1114" cm="1">
        <f t="array" ref="F1114">IFERROR(_xlfn.XLOOKUP(C1114&amp;A1114, Inside5!B:B&amp;Inside5!I:I, Inside5!D:D), 0)</f>
        <v>3</v>
      </c>
      <c r="G1114" cm="1">
        <f t="array" ref="G1114">IFERROR(_xlfn.XLOOKUP(C1114&amp;A1114, Inside5!B:B&amp;Inside5!I:I, Inside5!E:E), 0)</f>
        <v>0.41199999999999998</v>
      </c>
      <c r="H1114" cm="1">
        <f t="array" ref="H1114">IFERROR(_xlfn.XLOOKUP(C1114&amp;A1114, TDrate!F:F&amp;TDrate!H:H, TDrate!C:C), "N/A")</f>
        <v>3.9600000000000003E-2</v>
      </c>
      <c r="I1114" cm="1">
        <f t="array" ref="I1114">IFERROR(_xlfn.XLOOKUP(C1114&amp;A1114, TDrate!F:F&amp;TDrate!H:H, TDrate!E:E), "N/A")</f>
        <v>4.0300000000000002E-2</v>
      </c>
      <c r="J1114" cm="1">
        <f t="array" ref="J1114">IFERROR(_xlfn.XLOOKUP(C1114&amp;A1114, Inside5!B:B&amp;Inside5!I:I, Inside5!F:F), 0)</f>
        <v>0</v>
      </c>
      <c r="K1114" cm="1">
        <f t="array" aca="1" ref="K1114" ca="1">IFERROR(_xlfn.XLOOKUP(C1114&amp;A1114, Inside5!B:B&amp;Inside5!I:I, Inside5!G:G), 0)</f>
        <v>0</v>
      </c>
      <c r="L1114" cm="1">
        <f t="array" aca="1" ref="L1114" ca="1">IFERROR(_xlfn.XLOOKUP(C1114&amp;A1114, Inside5!B:B&amp;Inside5!I:I, Inside5!H:H), 0)</f>
        <v>0</v>
      </c>
      <c r="M1114" cm="1">
        <f t="array" ref="M1114">IFERROR(_xlfn.XLOOKUP(C1114&amp;A1114, TDrate!F:F&amp;TDrate!H:H, TDrate!B:B), "N/A")</f>
        <v>2.9399999999999999E-2</v>
      </c>
      <c r="N1114" cm="1">
        <f t="array" ref="N1114">IFERROR(_xlfn.XLOOKUP(C1114&amp;A1114, TDrate!F:F&amp;TDrate!H:H, TDrate!D:D), "N/A")</f>
        <v>3.1699999999999999E-2</v>
      </c>
    </row>
    <row r="1115" spans="1:14" x14ac:dyDescent="0.45">
      <c r="A1115" s="8">
        <v>2019</v>
      </c>
      <c r="B1115" s="9" t="s">
        <v>905</v>
      </c>
      <c r="C1115" s="10" t="str">
        <f t="shared" si="34"/>
        <v>DeAndre Washington</v>
      </c>
      <c r="D1115" s="10" t="str">
        <f t="shared" si="35"/>
        <v>OAK</v>
      </c>
      <c r="E1115" cm="1">
        <f t="array" aca="1" ref="E1115" ca="1">IFERROR(_xlfn.XLOOKUP(C1115&amp;A1115, Inside5!B:B&amp;Inside5!I:I, Inside5!C:C), 0)</f>
        <v>4</v>
      </c>
      <c r="F1115" cm="1">
        <f t="array" aca="1" ref="F1115" ca="1">IFERROR(_xlfn.XLOOKUP(C1115&amp;A1115, Inside5!B:B&amp;Inside5!I:I, Inside5!D:D), 0)</f>
        <v>2</v>
      </c>
      <c r="G1115" cm="1">
        <f t="array" ref="G1115">IFERROR(_xlfn.XLOOKUP(C1115&amp;A1115, Inside5!B:B&amp;Inside5!I:I, Inside5!E:E), 0)</f>
        <v>0.222</v>
      </c>
      <c r="H1115" cm="1">
        <f t="array" ref="H1115">IFERROR(_xlfn.XLOOKUP(C1115&amp;A1115, TDrate!F:F&amp;TDrate!H:H, TDrate!C:C), "N/A")</f>
        <v>2.7799999999999998E-2</v>
      </c>
      <c r="I1115" cm="1">
        <f t="array" ref="I1115">IFERROR(_xlfn.XLOOKUP(C1115&amp;A1115, TDrate!F:F&amp;TDrate!H:H, TDrate!E:E), "N/A")</f>
        <v>2.69E-2</v>
      </c>
      <c r="J1115" cm="1">
        <f t="array" ref="J1115">IFERROR(_xlfn.XLOOKUP(C1115&amp;A1115, Inside5!B:B&amp;Inside5!I:I, Inside5!F:F), 0)</f>
        <v>0</v>
      </c>
      <c r="K1115" cm="1">
        <f t="array" aca="1" ref="K1115" ca="1">IFERROR(_xlfn.XLOOKUP(C1115&amp;A1115, Inside5!B:B&amp;Inside5!I:I, Inside5!G:G), 0)</f>
        <v>0</v>
      </c>
      <c r="L1115" cm="1">
        <f t="array" ref="L1115">IFERROR(_xlfn.XLOOKUP(C1115&amp;A1115, Inside5!B:B&amp;Inside5!I:I, Inside5!H:H), 0)</f>
        <v>0</v>
      </c>
      <c r="M1115" cm="1">
        <f t="array" ref="M1115">IFERROR(_xlfn.XLOOKUP(C1115&amp;A1115, TDrate!F:F&amp;TDrate!H:H, TDrate!B:B), "N/A")</f>
        <v>0</v>
      </c>
      <c r="N1115" cm="1">
        <f t="array" ref="N1115">IFERROR(_xlfn.XLOOKUP(C1115&amp;A1115, TDrate!F:F&amp;TDrate!H:H, TDrate!D:D), "N/A")</f>
        <v>1.0999999999999999E-2</v>
      </c>
    </row>
    <row r="1116" spans="1:14" x14ac:dyDescent="0.45">
      <c r="A1116" s="5">
        <v>2019</v>
      </c>
      <c r="B1116" s="6" t="s">
        <v>548</v>
      </c>
      <c r="C1116" s="7" t="str">
        <f t="shared" si="34"/>
        <v>Gus Edwards</v>
      </c>
      <c r="D1116" s="7" t="str">
        <f t="shared" si="35"/>
        <v>BAL</v>
      </c>
      <c r="E1116" cm="1">
        <f t="array" aca="1" ref="E1116" ca="1">IFERROR(_xlfn.XLOOKUP(C1116&amp;A1116, Inside5!B:B&amp;Inside5!I:I, Inside5!C:C), 0)</f>
        <v>8</v>
      </c>
      <c r="F1116" cm="1">
        <f t="array" aca="1" ref="F1116" ca="1">IFERROR(_xlfn.XLOOKUP(C1116&amp;A1116, Inside5!B:B&amp;Inside5!I:I, Inside5!D:D), 0)</f>
        <v>0</v>
      </c>
      <c r="G1116" cm="1">
        <f t="array" ref="G1116">IFERROR(_xlfn.XLOOKUP(C1116&amp;A1116, Inside5!B:B&amp;Inside5!I:I, Inside5!E:E), 0)</f>
        <v>0.32</v>
      </c>
      <c r="H1116" cm="1">
        <f t="array" ref="H1116">IFERROR(_xlfn.XLOOKUP(C1116&amp;A1116, TDrate!F:F&amp;TDrate!H:H, TDrate!C:C), "N/A")</f>
        <v>1.4999999999999999E-2</v>
      </c>
      <c r="I1116" cm="1">
        <f t="array" ref="I1116">IFERROR(_xlfn.XLOOKUP(C1116&amp;A1116, TDrate!F:F&amp;TDrate!H:H, TDrate!E:E), "N/A")</f>
        <v>2.4799999999999999E-2</v>
      </c>
      <c r="J1116" cm="1">
        <f t="array" ref="J1116">IFERROR(_xlfn.XLOOKUP(C1116&amp;A1116, Inside5!B:B&amp;Inside5!I:I, Inside5!F:F), 0)</f>
        <v>0</v>
      </c>
      <c r="K1116" cm="1">
        <f t="array" aca="1" ref="K1116" ca="1">IFERROR(_xlfn.XLOOKUP(C1116&amp;A1116, Inside5!B:B&amp;Inside5!I:I, Inside5!G:G), 0)</f>
        <v>0</v>
      </c>
      <c r="L1116" cm="1">
        <f t="array" ref="L1116">IFERROR(_xlfn.XLOOKUP(C1116&amp;A1116, Inside5!B:B&amp;Inside5!I:I, Inside5!H:H), 0)</f>
        <v>0</v>
      </c>
      <c r="M1116" cm="1">
        <f t="array" ref="M1116">IFERROR(_xlfn.XLOOKUP(C1116&amp;A1116, TDrate!F:F&amp;TDrate!H:H, TDrate!B:B), "N/A")</f>
        <v>0</v>
      </c>
      <c r="N1116" cm="1">
        <f t="array" ref="N1116">IFERROR(_xlfn.XLOOKUP(C1116&amp;A1116, TDrate!F:F&amp;TDrate!H:H, TDrate!D:D), "N/A")</f>
        <v>1.77E-2</v>
      </c>
    </row>
    <row r="1117" spans="1:14" x14ac:dyDescent="0.45">
      <c r="A1117" s="8">
        <v>2019</v>
      </c>
      <c r="B1117" s="9" t="s">
        <v>797</v>
      </c>
      <c r="C1117" s="10" t="str">
        <f t="shared" si="34"/>
        <v>Tarik Cohen</v>
      </c>
      <c r="D1117" s="10" t="str">
        <f t="shared" si="35"/>
        <v>CHI</v>
      </c>
      <c r="E1117" cm="1">
        <f t="array" aca="1" ref="E1117" ca="1">IFERROR(_xlfn.XLOOKUP(C1117&amp;A1117, Inside5!B:B&amp;Inside5!I:I, Inside5!C:C), 0)</f>
        <v>1</v>
      </c>
      <c r="F1117" cm="1">
        <f t="array" aca="1" ref="F1117" ca="1">IFERROR(_xlfn.XLOOKUP(C1117&amp;A1117, Inside5!B:B&amp;Inside5!I:I, Inside5!D:D), 0)</f>
        <v>0</v>
      </c>
      <c r="G1117" cm="1">
        <f t="array" ref="G1117">IFERROR(_xlfn.XLOOKUP(C1117&amp;A1117, Inside5!B:B&amp;Inside5!I:I, Inside5!E:E), 0)</f>
        <v>5.6000000000000001E-2</v>
      </c>
      <c r="H1117" cm="1">
        <f t="array" ref="H1117">IFERROR(_xlfn.XLOOKUP(C1117&amp;A1117, TDrate!F:F&amp;TDrate!H:H, TDrate!C:C), "N/A")</f>
        <v>0</v>
      </c>
      <c r="I1117" cm="1">
        <f t="array" ref="I1117">IFERROR(_xlfn.XLOOKUP(C1117&amp;A1117, TDrate!F:F&amp;TDrate!H:H, TDrate!E:E), "N/A")</f>
        <v>8.8000000000000005E-3</v>
      </c>
      <c r="J1117" cm="1">
        <f t="array" ref="J1117">IFERROR(_xlfn.XLOOKUP(C1117&amp;A1117, Inside5!B:B&amp;Inside5!I:I, Inside5!F:F), 0)</f>
        <v>0</v>
      </c>
      <c r="K1117" cm="1">
        <f t="array" aca="1" ref="K1117" ca="1">IFERROR(_xlfn.XLOOKUP(C1117&amp;A1117, Inside5!B:B&amp;Inside5!I:I, Inside5!G:G), 0)</f>
        <v>0</v>
      </c>
      <c r="L1117" cm="1">
        <f t="array" ref="L1117">IFERROR(_xlfn.XLOOKUP(C1117&amp;A1117, Inside5!B:B&amp;Inside5!I:I, Inside5!H:H), 0)</f>
        <v>0</v>
      </c>
      <c r="M1117" cm="1">
        <f t="array" ref="M1117">IFERROR(_xlfn.XLOOKUP(C1117&amp;A1117, TDrate!F:F&amp;TDrate!H:H, TDrate!B:B), "N/A")</f>
        <v>2.8799999999999999E-2</v>
      </c>
      <c r="N1117" cm="1">
        <f t="array" ref="N1117">IFERROR(_xlfn.XLOOKUP(C1117&amp;A1117, TDrate!F:F&amp;TDrate!H:H, TDrate!D:D), "N/A")</f>
        <v>2.5100000000000001E-2</v>
      </c>
    </row>
    <row r="1118" spans="1:14" x14ac:dyDescent="0.45">
      <c r="A1118" s="5">
        <v>2019</v>
      </c>
      <c r="B1118" s="6" t="s">
        <v>906</v>
      </c>
      <c r="C1118" s="7" t="str">
        <f t="shared" si="34"/>
        <v>Matt Breida</v>
      </c>
      <c r="D1118" s="7" t="str">
        <f t="shared" si="35"/>
        <v>SF</v>
      </c>
      <c r="E1118" cm="1">
        <f t="array" ref="E1118">IFERROR(_xlfn.XLOOKUP(C1118&amp;A1118, Inside5!B:B&amp;Inside5!I:I, Inside5!C:C), 0)</f>
        <v>1</v>
      </c>
      <c r="F1118" cm="1">
        <f t="array" ref="F1118">IFERROR(_xlfn.XLOOKUP(C1118&amp;A1118, Inside5!B:B&amp;Inside5!I:I, Inside5!D:D), 0)</f>
        <v>0</v>
      </c>
      <c r="G1118" cm="1">
        <f t="array" ref="G1118">IFERROR(_xlfn.XLOOKUP(C1118&amp;A1118, Inside5!B:B&amp;Inside5!I:I, Inside5!E:E), 0)</f>
        <v>0.05</v>
      </c>
      <c r="H1118" cm="1">
        <f t="array" ref="H1118">IFERROR(_xlfn.XLOOKUP(C1118&amp;A1118, TDrate!F:F&amp;TDrate!H:H, TDrate!C:C), "N/A")</f>
        <v>8.0999999999999996E-3</v>
      </c>
      <c r="I1118" cm="1">
        <f t="array" ref="I1118">IFERROR(_xlfn.XLOOKUP(C1118&amp;A1118, TDrate!F:F&amp;TDrate!H:H, TDrate!E:E), "N/A")</f>
        <v>8.8999999999999999E-3</v>
      </c>
      <c r="J1118" cm="1">
        <f t="array" ref="J1118">IFERROR(_xlfn.XLOOKUP(C1118&amp;A1118, Inside5!B:B&amp;Inside5!I:I, Inside5!F:F), 0)</f>
        <v>1</v>
      </c>
      <c r="K1118" cm="1">
        <f t="array" aca="1" ref="K1118" ca="1">IFERROR(_xlfn.XLOOKUP(C1118&amp;A1118, Inside5!B:B&amp;Inside5!I:I, Inside5!G:G), 0)</f>
        <v>1</v>
      </c>
      <c r="L1118" cm="1">
        <f t="array" ref="L1118">IFERROR(_xlfn.XLOOKUP(C1118&amp;A1118, Inside5!B:B&amp;Inside5!I:I, Inside5!H:H), 0)</f>
        <v>1</v>
      </c>
      <c r="M1118" cm="1">
        <f t="array" ref="M1118">IFERROR(_xlfn.XLOOKUP(C1118&amp;A1118, TDrate!F:F&amp;TDrate!H:H, TDrate!B:B), "N/A")</f>
        <v>4.5499999999999999E-2</v>
      </c>
      <c r="N1118" cm="1">
        <f t="array" ref="N1118">IFERROR(_xlfn.XLOOKUP(C1118&amp;A1118, TDrate!F:F&amp;TDrate!H:H, TDrate!D:D), "N/A")</f>
        <v>4.1000000000000002E-2</v>
      </c>
    </row>
    <row r="1119" spans="1:14" x14ac:dyDescent="0.45">
      <c r="A1119" s="8">
        <v>2019</v>
      </c>
      <c r="B1119" s="9" t="s">
        <v>907</v>
      </c>
      <c r="C1119" s="10" t="str">
        <f t="shared" si="34"/>
        <v>Frank Gore</v>
      </c>
      <c r="D1119" s="10" t="str">
        <f t="shared" si="35"/>
        <v>BUF</v>
      </c>
      <c r="E1119" cm="1">
        <f t="array" aca="1" ref="E1119" ca="1">IFERROR(_xlfn.XLOOKUP(C1119&amp;A1119, Inside5!B:B&amp;Inside5!I:I, Inside5!C:C), 0)</f>
        <v>11</v>
      </c>
      <c r="F1119" cm="1">
        <f t="array" ref="F1119">IFERROR(_xlfn.XLOOKUP(C1119&amp;A1119, Inside5!B:B&amp;Inside5!I:I, Inside5!D:D), 0)</f>
        <v>2</v>
      </c>
      <c r="G1119" cm="1">
        <f t="array" ref="G1119">IFERROR(_xlfn.XLOOKUP(C1119&amp;A1119, Inside5!B:B&amp;Inside5!I:I, Inside5!E:E), 0)</f>
        <v>0.84599999999999997</v>
      </c>
      <c r="H1119" cm="1">
        <f t="array" ref="H1119">IFERROR(_xlfn.XLOOKUP(C1119&amp;A1119, TDrate!F:F&amp;TDrate!H:H, TDrate!C:C), "N/A")</f>
        <v>1.2E-2</v>
      </c>
      <c r="I1119" cm="1">
        <f t="array" ref="I1119">IFERROR(_xlfn.XLOOKUP(C1119&amp;A1119, TDrate!F:F&amp;TDrate!H:H, TDrate!E:E), "N/A")</f>
        <v>2.4899999999999999E-2</v>
      </c>
      <c r="J1119" cm="1">
        <f t="array" ref="J1119">IFERROR(_xlfn.XLOOKUP(C1119&amp;A1119, Inside5!B:B&amp;Inside5!I:I, Inside5!F:F), 0)</f>
        <v>0</v>
      </c>
      <c r="K1119" cm="1">
        <f t="array" ref="K1119">IFERROR(_xlfn.XLOOKUP(C1119&amp;A1119, Inside5!B:B&amp;Inside5!I:I, Inside5!G:G), 0)</f>
        <v>0</v>
      </c>
      <c r="L1119" cm="1">
        <f t="array" ref="L1119">IFERROR(_xlfn.XLOOKUP(C1119&amp;A1119, Inside5!B:B&amp;Inside5!I:I, Inside5!H:H), 0)</f>
        <v>0</v>
      </c>
      <c r="M1119" cm="1">
        <f t="array" ref="M1119">IFERROR(_xlfn.XLOOKUP(C1119&amp;A1119, TDrate!F:F&amp;TDrate!H:H, TDrate!B:B), "N/A")</f>
        <v>0</v>
      </c>
      <c r="N1119" cm="1">
        <f t="array" ref="N1119">IFERROR(_xlfn.XLOOKUP(C1119&amp;A1119, TDrate!F:F&amp;TDrate!H:H, TDrate!D:D), "N/A")</f>
        <v>2.5000000000000001E-3</v>
      </c>
    </row>
    <row r="1120" spans="1:14" x14ac:dyDescent="0.45">
      <c r="A1120" s="5">
        <v>2019</v>
      </c>
      <c r="B1120" s="6" t="s">
        <v>839</v>
      </c>
      <c r="C1120" s="7" t="str">
        <f t="shared" si="34"/>
        <v>Kerryon Johnson</v>
      </c>
      <c r="D1120" s="7" t="str">
        <f t="shared" si="35"/>
        <v>DET</v>
      </c>
      <c r="E1120" cm="1">
        <f t="array" ref="E1120">IFERROR(_xlfn.XLOOKUP(C1120&amp;A1120, Inside5!B:B&amp;Inside5!I:I, Inside5!C:C), 0)</f>
        <v>9</v>
      </c>
      <c r="F1120" cm="1">
        <f t="array" ref="F1120">IFERROR(_xlfn.XLOOKUP(C1120&amp;A1120, Inside5!B:B&amp;Inside5!I:I, Inside5!D:D), 0)</f>
        <v>2</v>
      </c>
      <c r="G1120" cm="1">
        <f t="array" ref="G1120">IFERROR(_xlfn.XLOOKUP(C1120&amp;A1120, Inside5!B:B&amp;Inside5!I:I, Inside5!E:E), 0)</f>
        <v>0.6</v>
      </c>
      <c r="H1120" cm="1">
        <f t="array" ref="H1120">IFERROR(_xlfn.XLOOKUP(C1120&amp;A1120, TDrate!F:F&amp;TDrate!H:H, TDrate!C:C), "N/A")</f>
        <v>2.6499999999999999E-2</v>
      </c>
      <c r="I1120" cm="1">
        <f t="array" ref="I1120">IFERROR(_xlfn.XLOOKUP(C1120&amp;A1120, TDrate!F:F&amp;TDrate!H:H, TDrate!E:E), "N/A")</f>
        <v>3.6900000000000002E-2</v>
      </c>
      <c r="J1120" cm="1">
        <f t="array" ref="J1120">IFERROR(_xlfn.XLOOKUP(C1120&amp;A1120, Inside5!B:B&amp;Inside5!I:I, Inside5!F:F), 0)</f>
        <v>0</v>
      </c>
      <c r="K1120" cm="1">
        <f t="array" ref="K1120">IFERROR(_xlfn.XLOOKUP(C1120&amp;A1120, Inside5!B:B&amp;Inside5!I:I, Inside5!G:G), 0)</f>
        <v>0</v>
      </c>
      <c r="L1120" cm="1">
        <f t="array" ref="L1120">IFERROR(_xlfn.XLOOKUP(C1120&amp;A1120, Inside5!B:B&amp;Inside5!I:I, Inside5!H:H), 0)</f>
        <v>0</v>
      </c>
      <c r="M1120" cm="1">
        <f t="array" ref="M1120">IFERROR(_xlfn.XLOOKUP(C1120&amp;A1120, TDrate!F:F&amp;TDrate!H:H, TDrate!B:B), "N/A")</f>
        <v>6.6699999999999995E-2</v>
      </c>
      <c r="N1120" cm="1">
        <f t="array" ref="N1120">IFERROR(_xlfn.XLOOKUP(C1120&amp;A1120, TDrate!F:F&amp;TDrate!H:H, TDrate!D:D), "N/A")</f>
        <v>4.0800000000000003E-2</v>
      </c>
    </row>
    <row r="1121" spans="1:14" x14ac:dyDescent="0.45">
      <c r="A1121" s="8">
        <v>2019</v>
      </c>
      <c r="B1121" s="9" t="s">
        <v>549</v>
      </c>
      <c r="C1121" s="10" t="str">
        <f t="shared" si="34"/>
        <v>Tony Pollard</v>
      </c>
      <c r="D1121" s="10" t="str">
        <f t="shared" si="35"/>
        <v>DAL</v>
      </c>
      <c r="E1121" cm="1">
        <f t="array" aca="1" ref="E1121" ca="1">IFERROR(_xlfn.XLOOKUP(C1121&amp;A1121, Inside5!B:B&amp;Inside5!I:I, Inside5!C:C), 0)</f>
        <v>0</v>
      </c>
      <c r="F1121" cm="1">
        <f t="array" aca="1" ref="F1121" ca="1">IFERROR(_xlfn.XLOOKUP(C1121&amp;A1121, Inside5!B:B&amp;Inside5!I:I, Inside5!D:D), 0)</f>
        <v>0</v>
      </c>
      <c r="G1121" cm="1">
        <f t="array" ref="G1121">IFERROR(_xlfn.XLOOKUP(C1121&amp;A1121, Inside5!B:B&amp;Inside5!I:I, Inside5!E:E), 0)</f>
        <v>0</v>
      </c>
      <c r="H1121" cm="1">
        <f t="array" ref="H1121">IFERROR(_xlfn.XLOOKUP(C1121&amp;A1121, TDrate!F:F&amp;TDrate!H:H, TDrate!C:C), "N/A")</f>
        <v>2.3300000000000001E-2</v>
      </c>
      <c r="I1121" cm="1">
        <f t="array" ref="I1121">IFERROR(_xlfn.XLOOKUP(C1121&amp;A1121, TDrate!F:F&amp;TDrate!H:H, TDrate!E:E), "N/A")</f>
        <v>1.46E-2</v>
      </c>
      <c r="J1121" cm="1">
        <f t="array" ref="J1121">IFERROR(_xlfn.XLOOKUP(C1121&amp;A1121, Inside5!B:B&amp;Inside5!I:I, Inside5!F:F), 0)</f>
        <v>0</v>
      </c>
      <c r="K1121" cm="1">
        <f t="array" aca="1" ref="K1121" ca="1">IFERROR(_xlfn.XLOOKUP(C1121&amp;A1121, Inside5!B:B&amp;Inside5!I:I, Inside5!G:G), 0)</f>
        <v>0</v>
      </c>
      <c r="L1121" cm="1">
        <f t="array" ref="L1121">IFERROR(_xlfn.XLOOKUP(C1121&amp;A1121, Inside5!B:B&amp;Inside5!I:I, Inside5!H:H), 0)</f>
        <v>0</v>
      </c>
      <c r="M1121" cm="1">
        <f t="array" ref="M1121">IFERROR(_xlfn.XLOOKUP(C1121&amp;A1121, TDrate!F:F&amp;TDrate!H:H, TDrate!B:B), "N/A")</f>
        <v>0.05</v>
      </c>
      <c r="N1121" cm="1">
        <f t="array" ref="N1121">IFERROR(_xlfn.XLOOKUP(C1121&amp;A1121, TDrate!F:F&amp;TDrate!H:H, TDrate!D:D), "N/A")</f>
        <v>4.5900000000000003E-2</v>
      </c>
    </row>
    <row r="1122" spans="1:14" x14ac:dyDescent="0.45">
      <c r="A1122" s="5">
        <v>2019</v>
      </c>
      <c r="B1122" s="6" t="s">
        <v>830</v>
      </c>
      <c r="C1122" s="7" t="str">
        <f t="shared" si="34"/>
        <v>Rex Burkhead</v>
      </c>
      <c r="D1122" s="7" t="str">
        <f t="shared" si="35"/>
        <v>NE</v>
      </c>
      <c r="E1122" cm="1">
        <f t="array" aca="1" ref="E1122" ca="1">IFERROR(_xlfn.XLOOKUP(C1122&amp;A1122, Inside5!B:B&amp;Inside5!I:I, Inside5!C:C), 0)</f>
        <v>2</v>
      </c>
      <c r="F1122" cm="1">
        <f t="array" ref="F1122">IFERROR(_xlfn.XLOOKUP(C1122&amp;A1122, Inside5!B:B&amp;Inside5!I:I, Inside5!D:D), 0)</f>
        <v>2</v>
      </c>
      <c r="G1122" cm="1">
        <f t="array" ref="G1122">IFERROR(_xlfn.XLOOKUP(C1122&amp;A1122, Inside5!B:B&amp;Inside5!I:I, Inside5!E:E), 0)</f>
        <v>0.08</v>
      </c>
      <c r="H1122" cm="1">
        <f t="array" ref="H1122">IFERROR(_xlfn.XLOOKUP(C1122&amp;A1122, TDrate!F:F&amp;TDrate!H:H, TDrate!C:C), "N/A")</f>
        <v>4.6199999999999998E-2</v>
      </c>
      <c r="I1122" cm="1">
        <f t="array" ref="I1122">IFERROR(_xlfn.XLOOKUP(C1122&amp;A1122, TDrate!F:F&amp;TDrate!H:H, TDrate!E:E), "N/A")</f>
        <v>3.5799999999999998E-2</v>
      </c>
      <c r="J1122" cm="1">
        <f t="array" ref="J1122">IFERROR(_xlfn.XLOOKUP(C1122&amp;A1122, Inside5!B:B&amp;Inside5!I:I, Inside5!F:F), 0)</f>
        <v>0</v>
      </c>
      <c r="K1122" cm="1">
        <f t="array" aca="1" ref="K1122" ca="1">IFERROR(_xlfn.XLOOKUP(C1122&amp;A1122, Inside5!B:B&amp;Inside5!I:I, Inside5!G:G), 0)</f>
        <v>0</v>
      </c>
      <c r="L1122" cm="1">
        <f t="array" ref="L1122">IFERROR(_xlfn.XLOOKUP(C1122&amp;A1122, Inside5!B:B&amp;Inside5!I:I, Inside5!H:H), 0)</f>
        <v>0</v>
      </c>
      <c r="M1122" cm="1">
        <f t="array" ref="M1122">IFERROR(_xlfn.XLOOKUP(C1122&amp;A1122, TDrate!F:F&amp;TDrate!H:H, TDrate!B:B), "N/A")</f>
        <v>0</v>
      </c>
      <c r="N1122" cm="1">
        <f t="array" ref="N1122">IFERROR(_xlfn.XLOOKUP(C1122&amp;A1122, TDrate!F:F&amp;TDrate!H:H, TDrate!D:D), "N/A")</f>
        <v>1.54E-2</v>
      </c>
    </row>
    <row r="1123" spans="1:14" x14ac:dyDescent="0.45">
      <c r="A1123" s="8">
        <v>2019</v>
      </c>
      <c r="B1123" s="9" t="s">
        <v>728</v>
      </c>
      <c r="C1123" s="10" t="str">
        <f t="shared" si="34"/>
        <v>Nyheim Miller-Hines</v>
      </c>
      <c r="D1123" s="10" t="str">
        <f t="shared" si="35"/>
        <v>IND</v>
      </c>
      <c r="E1123" cm="1">
        <f t="array" aca="1" ref="E1123" ca="1">IFERROR(_xlfn.XLOOKUP(C1123&amp;A1123, Inside5!B:B&amp;Inside5!I:I, Inside5!C:C), 0)</f>
        <v>2</v>
      </c>
      <c r="F1123" cm="1">
        <f t="array" aca="1" ref="F1123" ca="1">IFERROR(_xlfn.XLOOKUP(C1123&amp;A1123, Inside5!B:B&amp;Inside5!I:I, Inside5!D:D), 0)</f>
        <v>1</v>
      </c>
      <c r="G1123" cm="1">
        <f t="array" ref="G1123">IFERROR(_xlfn.XLOOKUP(C1123&amp;A1123, Inside5!B:B&amp;Inside5!I:I, Inside5!E:E), 0)</f>
        <v>0.14299999999999999</v>
      </c>
      <c r="H1123" cm="1">
        <f t="array" ref="H1123">IFERROR(_xlfn.XLOOKUP(C1123&amp;A1123, TDrate!F:F&amp;TDrate!H:H, TDrate!C:C), "N/A")</f>
        <v>3.85E-2</v>
      </c>
      <c r="I1123" cm="1">
        <f t="array" ref="I1123">IFERROR(_xlfn.XLOOKUP(C1123&amp;A1123, TDrate!F:F&amp;TDrate!H:H, TDrate!E:E), "N/A")</f>
        <v>3.7199999999999997E-2</v>
      </c>
      <c r="J1123" cm="1">
        <f t="array" ref="J1123">IFERROR(_xlfn.XLOOKUP(C1123&amp;A1123, Inside5!B:B&amp;Inside5!I:I, Inside5!F:F), 0)</f>
        <v>0</v>
      </c>
      <c r="K1123" cm="1">
        <f t="array" ref="K1123">IFERROR(_xlfn.XLOOKUP(C1123&amp;A1123, Inside5!B:B&amp;Inside5!I:I, Inside5!G:G), 0)</f>
        <v>1</v>
      </c>
      <c r="L1123" cm="1">
        <f t="array" ref="L1123">IFERROR(_xlfn.XLOOKUP(C1123&amp;A1123, Inside5!B:B&amp;Inside5!I:I, Inside5!H:H), 0)</f>
        <v>0</v>
      </c>
      <c r="M1123" cm="1">
        <f t="array" ref="M1123">IFERROR(_xlfn.XLOOKUP(C1123&amp;A1123, TDrate!F:F&amp;TDrate!H:H, TDrate!B:B), "N/A")</f>
        <v>0</v>
      </c>
      <c r="N1123" cm="1">
        <f t="array" ref="N1123">IFERROR(_xlfn.XLOOKUP(C1123&amp;A1123, TDrate!F:F&amp;TDrate!H:H, TDrate!D:D), "N/A")</f>
        <v>1.5800000000000002E-2</v>
      </c>
    </row>
    <row r="1124" spans="1:14" x14ac:dyDescent="0.45">
      <c r="A1124" s="5">
        <v>2019</v>
      </c>
      <c r="B1124" s="6" t="s">
        <v>581</v>
      </c>
      <c r="C1124" s="7" t="str">
        <f t="shared" si="34"/>
        <v>Boston Scott</v>
      </c>
      <c r="D1124" s="7" t="str">
        <f t="shared" si="35"/>
        <v>PHI</v>
      </c>
      <c r="E1124" cm="1">
        <f t="array" aca="1" ref="E1124" ca="1">IFERROR(_xlfn.XLOOKUP(C1124&amp;A1124, Inside5!B:B&amp;Inside5!I:I, Inside5!C:C), 0)</f>
        <v>2</v>
      </c>
      <c r="F1124" cm="1">
        <f t="array" aca="1" ref="F1124" ca="1">IFERROR(_xlfn.XLOOKUP(C1124&amp;A1124, Inside5!B:B&amp;Inside5!I:I, Inside5!D:D), 0)</f>
        <v>2</v>
      </c>
      <c r="G1124" cm="1">
        <f t="array" ref="G1124">IFERROR(_xlfn.XLOOKUP(C1124&amp;A1124, Inside5!B:B&amp;Inside5!I:I, Inside5!E:E), 0)</f>
        <v>0.111</v>
      </c>
      <c r="H1124" cm="1">
        <f t="array" ref="H1124">IFERROR(_xlfn.XLOOKUP(C1124&amp;A1124, TDrate!F:F&amp;TDrate!H:H, TDrate!C:C), "N/A")</f>
        <v>8.2000000000000003E-2</v>
      </c>
      <c r="I1124" cm="1">
        <f t="array" ref="I1124">IFERROR(_xlfn.XLOOKUP(C1124&amp;A1124, TDrate!F:F&amp;TDrate!H:H, TDrate!E:E), "N/A")</f>
        <v>6.1600000000000002E-2</v>
      </c>
      <c r="J1124" cm="1">
        <f t="array" ref="J1124">IFERROR(_xlfn.XLOOKUP(C1124&amp;A1124, Inside5!B:B&amp;Inside5!I:I, Inside5!F:F), 0)</f>
        <v>0</v>
      </c>
      <c r="K1124" cm="1">
        <f t="array" ref="K1124">IFERROR(_xlfn.XLOOKUP(C1124&amp;A1124, Inside5!B:B&amp;Inside5!I:I, Inside5!G:G), 0)</f>
        <v>0</v>
      </c>
      <c r="L1124" cm="1">
        <f t="array" ref="L1124">IFERROR(_xlfn.XLOOKUP(C1124&amp;A1124, Inside5!B:B&amp;Inside5!I:I, Inside5!H:H), 0)</f>
        <v>0</v>
      </c>
      <c r="M1124" cm="1">
        <f t="array" ref="M1124">IFERROR(_xlfn.XLOOKUP(C1124&amp;A1124, TDrate!F:F&amp;TDrate!H:H, TDrate!B:B), "N/A")</f>
        <v>0</v>
      </c>
      <c r="N1124" cm="1">
        <f t="array" ref="N1124">IFERROR(_xlfn.XLOOKUP(C1124&amp;A1124, TDrate!F:F&amp;TDrate!H:H, TDrate!D:D), "N/A")</f>
        <v>4.0000000000000001E-3</v>
      </c>
    </row>
    <row r="1125" spans="1:14" x14ac:dyDescent="0.45">
      <c r="A1125" s="8">
        <v>2019</v>
      </c>
      <c r="B1125" s="9" t="s">
        <v>721</v>
      </c>
      <c r="C1125" s="10" t="str">
        <f t="shared" si="34"/>
        <v>Chase Edmonds</v>
      </c>
      <c r="D1125" s="10" t="str">
        <f t="shared" si="35"/>
        <v>ARI</v>
      </c>
      <c r="E1125" cm="1">
        <f t="array" aca="1" ref="E1125" ca="1">IFERROR(_xlfn.XLOOKUP(C1125&amp;A1125, Inside5!B:B&amp;Inside5!I:I, Inside5!C:C), 0)</f>
        <v>0</v>
      </c>
      <c r="F1125" cm="1">
        <f t="array" aca="1" ref="F1125" ca="1">IFERROR(_xlfn.XLOOKUP(C1125&amp;A1125, Inside5!B:B&amp;Inside5!I:I, Inside5!D:D), 0)</f>
        <v>0</v>
      </c>
      <c r="G1125" cm="1">
        <f t="array" ref="G1125">IFERROR(_xlfn.XLOOKUP(C1125&amp;A1125, Inside5!B:B&amp;Inside5!I:I, Inside5!E:E), 0)</f>
        <v>0</v>
      </c>
      <c r="H1125" cm="1">
        <f t="array" ref="H1125">IFERROR(_xlfn.XLOOKUP(C1125&amp;A1125, TDrate!F:F&amp;TDrate!H:H, TDrate!C:C), "N/A")</f>
        <v>6.6699999999999995E-2</v>
      </c>
      <c r="I1125" cm="1">
        <f t="array" ref="I1125">IFERROR(_xlfn.XLOOKUP(C1125&amp;A1125, TDrate!F:F&amp;TDrate!H:H, TDrate!E:E), "N/A")</f>
        <v>3.85E-2</v>
      </c>
      <c r="J1125" cm="1">
        <f t="array" ref="J1125">IFERROR(_xlfn.XLOOKUP(C1125&amp;A1125, Inside5!B:B&amp;Inside5!I:I, Inside5!F:F), 0)</f>
        <v>1</v>
      </c>
      <c r="K1125" cm="1">
        <f t="array" ref="K1125">IFERROR(_xlfn.XLOOKUP(C1125&amp;A1125, Inside5!B:B&amp;Inside5!I:I, Inside5!G:G), 0)</f>
        <v>1</v>
      </c>
      <c r="L1125" cm="1">
        <f t="array" ref="L1125">IFERROR(_xlfn.XLOOKUP(C1125&amp;A1125, Inside5!B:B&amp;Inside5!I:I, Inside5!H:H), 0)</f>
        <v>1</v>
      </c>
      <c r="M1125" cm="1">
        <f t="array" ref="M1125">IFERROR(_xlfn.XLOOKUP(C1125&amp;A1125, TDrate!F:F&amp;TDrate!H:H, TDrate!B:B), "N/A")</f>
        <v>4.7600000000000003E-2</v>
      </c>
      <c r="N1125" cm="1">
        <f t="array" ref="N1125">IFERROR(_xlfn.XLOOKUP(C1125&amp;A1125, TDrate!F:F&amp;TDrate!H:H, TDrate!D:D), "N/A")</f>
        <v>5.4100000000000002E-2</v>
      </c>
    </row>
    <row r="1126" spans="1:14" x14ac:dyDescent="0.45">
      <c r="A1126" s="5">
        <v>2019</v>
      </c>
      <c r="B1126" s="6" t="s">
        <v>654</v>
      </c>
      <c r="C1126" s="7" t="str">
        <f t="shared" si="34"/>
        <v>Rashaad Penny</v>
      </c>
      <c r="D1126" s="7" t="str">
        <f t="shared" si="35"/>
        <v>SEA</v>
      </c>
      <c r="E1126" cm="1">
        <f t="array" aca="1" ref="E1126" ca="1">IFERROR(_xlfn.XLOOKUP(C1126&amp;A1126, Inside5!B:B&amp;Inside5!I:I, Inside5!C:C), 0)</f>
        <v>3</v>
      </c>
      <c r="F1126" cm="1">
        <f t="array" ref="F1126">IFERROR(_xlfn.XLOOKUP(C1126&amp;A1126, Inside5!B:B&amp;Inside5!I:I, Inside5!D:D), 0)</f>
        <v>1</v>
      </c>
      <c r="G1126" cm="1">
        <f t="array" ref="G1126">IFERROR(_xlfn.XLOOKUP(C1126&amp;A1126, Inside5!B:B&amp;Inside5!I:I, Inside5!E:E), 0)</f>
        <v>0.214</v>
      </c>
      <c r="H1126" cm="1">
        <f t="array" ref="H1126">IFERROR(_xlfn.XLOOKUP(C1126&amp;A1126, TDrate!F:F&amp;TDrate!H:H, TDrate!C:C), "N/A")</f>
        <v>4.6199999999999998E-2</v>
      </c>
      <c r="I1126" cm="1">
        <f t="array" ref="I1126">IFERROR(_xlfn.XLOOKUP(C1126&amp;A1126, TDrate!F:F&amp;TDrate!H:H, TDrate!E:E), "N/A")</f>
        <v>3.7100000000000001E-2</v>
      </c>
      <c r="J1126" cm="1">
        <f t="array" ref="J1126">IFERROR(_xlfn.XLOOKUP(C1126&amp;A1126, Inside5!B:B&amp;Inside5!I:I, Inside5!F:F), 0)</f>
        <v>0</v>
      </c>
      <c r="K1126" cm="1">
        <f t="array" ref="K1126">IFERROR(_xlfn.XLOOKUP(C1126&amp;A1126, Inside5!B:B&amp;Inside5!I:I, Inside5!G:G), 0)</f>
        <v>0</v>
      </c>
      <c r="L1126" cm="1">
        <f t="array" ref="L1126">IFERROR(_xlfn.XLOOKUP(C1126&amp;A1126, Inside5!B:B&amp;Inside5!I:I, Inside5!H:H), 0)</f>
        <v>0</v>
      </c>
      <c r="M1126" cm="1">
        <f t="array" ref="M1126">IFERROR(_xlfn.XLOOKUP(C1126&amp;A1126, TDrate!F:F&amp;TDrate!H:H, TDrate!B:B), "N/A")</f>
        <v>9.0899999999999995E-2</v>
      </c>
      <c r="N1126" cm="1">
        <f t="array" ref="N1126">IFERROR(_xlfn.XLOOKUP(C1126&amp;A1126, TDrate!F:F&amp;TDrate!H:H, TDrate!D:D), "N/A")</f>
        <v>5.9499999999999997E-2</v>
      </c>
    </row>
    <row r="1127" spans="1:14" x14ac:dyDescent="0.45">
      <c r="A1127" s="8">
        <v>2019</v>
      </c>
      <c r="B1127" s="9" t="s">
        <v>557</v>
      </c>
      <c r="C1127" s="10" t="str">
        <f t="shared" si="34"/>
        <v>Kareem Hunt</v>
      </c>
      <c r="D1127" s="10" t="str">
        <f t="shared" si="35"/>
        <v>CLE</v>
      </c>
      <c r="E1127" cm="1">
        <f t="array" ref="E1127">IFERROR(_xlfn.XLOOKUP(C1127&amp;A1127, Inside5!B:B&amp;Inside5!I:I, Inside5!C:C), 0)</f>
        <v>1</v>
      </c>
      <c r="F1127" cm="1">
        <f t="array" aca="1" ref="F1127" ca="1">IFERROR(_xlfn.XLOOKUP(C1127&amp;A1127, Inside5!B:B&amp;Inside5!I:I, Inside5!D:D), 0)</f>
        <v>1</v>
      </c>
      <c r="G1127" cm="1">
        <f t="array" ref="G1127">IFERROR(_xlfn.XLOOKUP(C1127&amp;A1127, Inside5!B:B&amp;Inside5!I:I, Inside5!E:E), 0)</f>
        <v>5.2999999999999999E-2</v>
      </c>
      <c r="H1127" cm="1">
        <f t="array" ref="H1127">IFERROR(_xlfn.XLOOKUP(C1127&amp;A1127, TDrate!F:F&amp;TDrate!H:H, TDrate!C:C), "N/A")</f>
        <v>4.65E-2</v>
      </c>
      <c r="I1127" cm="1">
        <f t="array" ref="I1127">IFERROR(_xlfn.XLOOKUP(C1127&amp;A1127, TDrate!F:F&amp;TDrate!H:H, TDrate!E:E), "N/A")</f>
        <v>3.2899999999999999E-2</v>
      </c>
      <c r="J1127" cm="1">
        <f t="array" ref="J1127">IFERROR(_xlfn.XLOOKUP(C1127&amp;A1127, Inside5!B:B&amp;Inside5!I:I, Inside5!F:F), 0)</f>
        <v>0</v>
      </c>
      <c r="K1127" cm="1">
        <f t="array" aca="1" ref="K1127" ca="1">IFERROR(_xlfn.XLOOKUP(C1127&amp;A1127, Inside5!B:B&amp;Inside5!I:I, Inside5!G:G), 0)</f>
        <v>0</v>
      </c>
      <c r="L1127" cm="1">
        <f t="array" aca="1" ref="L1127" ca="1">IFERROR(_xlfn.XLOOKUP(C1127&amp;A1127, Inside5!B:B&amp;Inside5!I:I, Inside5!H:H), 0)</f>
        <v>0</v>
      </c>
      <c r="M1127" cm="1">
        <f t="array" ref="M1127">IFERROR(_xlfn.XLOOKUP(C1127&amp;A1127, TDrate!F:F&amp;TDrate!H:H, TDrate!B:B), "N/A")</f>
        <v>2.2700000000000001E-2</v>
      </c>
      <c r="N1127" cm="1">
        <f t="array" ref="N1127">IFERROR(_xlfn.XLOOKUP(C1127&amp;A1127, TDrate!F:F&amp;TDrate!H:H, TDrate!D:D), "N/A")</f>
        <v>1.7899999999999999E-2</v>
      </c>
    </row>
    <row r="1128" spans="1:14" x14ac:dyDescent="0.45">
      <c r="A1128" s="5">
        <v>2019</v>
      </c>
      <c r="B1128" s="6" t="s">
        <v>862</v>
      </c>
      <c r="C1128" s="7" t="str">
        <f t="shared" si="34"/>
        <v>Jaylen Samuels</v>
      </c>
      <c r="D1128" s="7" t="str">
        <f t="shared" si="35"/>
        <v>PIT</v>
      </c>
      <c r="E1128" cm="1">
        <f t="array" aca="1" ref="E1128" ca="1">IFERROR(_xlfn.XLOOKUP(C1128&amp;A1128, Inside5!B:B&amp;Inside5!I:I, Inside5!C:C), 0)</f>
        <v>3</v>
      </c>
      <c r="F1128" cm="1">
        <f t="array" aca="1" ref="F1128" ca="1">IFERROR(_xlfn.XLOOKUP(C1128&amp;A1128, Inside5!B:B&amp;Inside5!I:I, Inside5!D:D), 0)</f>
        <v>1</v>
      </c>
      <c r="G1128" cm="1">
        <f t="array" ref="G1128">IFERROR(_xlfn.XLOOKUP(C1128&amp;A1128, Inside5!B:B&amp;Inside5!I:I, Inside5!E:E), 0)</f>
        <v>0.27300000000000002</v>
      </c>
      <c r="H1128" cm="1">
        <f t="array" ref="H1128">IFERROR(_xlfn.XLOOKUP(C1128&amp;A1128, TDrate!F:F&amp;TDrate!H:H, TDrate!C:C), "N/A")</f>
        <v>1.52E-2</v>
      </c>
      <c r="I1128" cm="1">
        <f t="array" ref="I1128">IFERROR(_xlfn.XLOOKUP(C1128&amp;A1128, TDrate!F:F&amp;TDrate!H:H, TDrate!E:E), "N/A")</f>
        <v>2.3099999999999999E-2</v>
      </c>
      <c r="J1128" cm="1">
        <f t="array" ref="J1128">IFERROR(_xlfn.XLOOKUP(C1128&amp;A1128, Inside5!B:B&amp;Inside5!I:I, Inside5!F:F), 0)</f>
        <v>1</v>
      </c>
      <c r="K1128" cm="1">
        <f t="array" ref="K1128">IFERROR(_xlfn.XLOOKUP(C1128&amp;A1128, Inside5!B:B&amp;Inside5!I:I, Inside5!G:G), 0)</f>
        <v>1</v>
      </c>
      <c r="L1128" cm="1">
        <f t="array" ref="L1128">IFERROR(_xlfn.XLOOKUP(C1128&amp;A1128, Inside5!B:B&amp;Inside5!I:I, Inside5!H:H), 0)</f>
        <v>1</v>
      </c>
      <c r="M1128" cm="1">
        <f t="array" ref="M1128">IFERROR(_xlfn.XLOOKUP(C1128&amp;A1128, TDrate!F:F&amp;TDrate!H:H, TDrate!B:B), "N/A")</f>
        <v>1.7500000000000002E-2</v>
      </c>
      <c r="N1128" cm="1">
        <f t="array" ref="N1128">IFERROR(_xlfn.XLOOKUP(C1128&amp;A1128, TDrate!F:F&amp;TDrate!H:H, TDrate!D:D), "N/A")</f>
        <v>2.4199999999999999E-2</v>
      </c>
    </row>
    <row r="1129" spans="1:14" x14ac:dyDescent="0.45">
      <c r="A1129" s="8">
        <v>2019</v>
      </c>
      <c r="B1129" s="9" t="s">
        <v>558</v>
      </c>
      <c r="C1129" s="10" t="str">
        <f t="shared" si="34"/>
        <v>Alexander Mattison</v>
      </c>
      <c r="D1129" s="10" t="str">
        <f t="shared" si="35"/>
        <v>MIN</v>
      </c>
      <c r="E1129" cm="1">
        <f t="array" ref="E1129">IFERROR(_xlfn.XLOOKUP(C1129&amp;A1129, Inside5!B:B&amp;Inside5!I:I, Inside5!C:C), 0)</f>
        <v>3</v>
      </c>
      <c r="F1129" cm="1">
        <f t="array" aca="1" ref="F1129" ca="1">IFERROR(_xlfn.XLOOKUP(C1129&amp;A1129, Inside5!B:B&amp;Inside5!I:I, Inside5!D:D), 0)</f>
        <v>0</v>
      </c>
      <c r="G1129" cm="1">
        <f t="array" ref="G1129">IFERROR(_xlfn.XLOOKUP(C1129&amp;A1129, Inside5!B:B&amp;Inside5!I:I, Inside5!E:E), 0)</f>
        <v>0.111</v>
      </c>
      <c r="H1129" cm="1">
        <f t="array" ref="H1129">IFERROR(_xlfn.XLOOKUP(C1129&amp;A1129, TDrate!F:F&amp;TDrate!H:H, TDrate!C:C), "N/A")</f>
        <v>0.01</v>
      </c>
      <c r="I1129" cm="1">
        <f t="array" ref="I1129">IFERROR(_xlfn.XLOOKUP(C1129&amp;A1129, TDrate!F:F&amp;TDrate!H:H, TDrate!E:E), "N/A")</f>
        <v>2.23E-2</v>
      </c>
      <c r="J1129" cm="1">
        <f t="array" ref="J1129">IFERROR(_xlfn.XLOOKUP(C1129&amp;A1129, Inside5!B:B&amp;Inside5!I:I, Inside5!F:F), 0)</f>
        <v>0</v>
      </c>
      <c r="K1129" cm="1">
        <f t="array" ref="K1129">IFERROR(_xlfn.XLOOKUP(C1129&amp;A1129, Inside5!B:B&amp;Inside5!I:I, Inside5!G:G), 0)</f>
        <v>0</v>
      </c>
      <c r="L1129" cm="1">
        <f t="array" ref="L1129">IFERROR(_xlfn.XLOOKUP(C1129&amp;A1129, Inside5!B:B&amp;Inside5!I:I, Inside5!H:H), 0)</f>
        <v>0</v>
      </c>
      <c r="M1129" cm="1">
        <f t="array" ref="M1129">IFERROR(_xlfn.XLOOKUP(C1129&amp;A1129, TDrate!F:F&amp;TDrate!H:H, TDrate!B:B), "N/A")</f>
        <v>0</v>
      </c>
      <c r="N1129" cm="1">
        <f t="array" ref="N1129">IFERROR(_xlfn.XLOOKUP(C1129&amp;A1129, TDrate!F:F&amp;TDrate!H:H, TDrate!D:D), "N/A")</f>
        <v>5.4999999999999997E-3</v>
      </c>
    </row>
    <row r="1130" spans="1:14" x14ac:dyDescent="0.45">
      <c r="A1130" s="5">
        <v>2019</v>
      </c>
      <c r="B1130" s="6" t="s">
        <v>831</v>
      </c>
      <c r="C1130" s="7" t="str">
        <f t="shared" si="34"/>
        <v>Brian Hill</v>
      </c>
      <c r="D1130" s="7" t="str">
        <f t="shared" si="35"/>
        <v>ATL</v>
      </c>
      <c r="E1130" cm="1">
        <f t="array" aca="1" ref="E1130" ca="1">IFERROR(_xlfn.XLOOKUP(C1130&amp;A1130, Inside5!B:B&amp;Inside5!I:I, Inside5!C:C), 0)</f>
        <v>2</v>
      </c>
      <c r="F1130" cm="1">
        <f t="array" aca="1" ref="F1130" ca="1">IFERROR(_xlfn.XLOOKUP(C1130&amp;A1130, Inside5!B:B&amp;Inside5!I:I, Inside5!D:D), 0)</f>
        <v>1</v>
      </c>
      <c r="G1130" cm="1">
        <f t="array" ref="G1130">IFERROR(_xlfn.XLOOKUP(C1130&amp;A1130, Inside5!B:B&amp;Inside5!I:I, Inside5!E:E), 0)</f>
        <v>0.154</v>
      </c>
      <c r="H1130" cm="1">
        <f t="array" ref="H1130">IFERROR(_xlfn.XLOOKUP(C1130&amp;A1130, TDrate!F:F&amp;TDrate!H:H, TDrate!C:C), "N/A")</f>
        <v>2.5600000000000001E-2</v>
      </c>
      <c r="I1130" cm="1">
        <f t="array" ref="I1130">IFERROR(_xlfn.XLOOKUP(C1130&amp;A1130, TDrate!F:F&amp;TDrate!H:H, TDrate!E:E), "N/A")</f>
        <v>2.3599999999999999E-2</v>
      </c>
      <c r="J1130" cm="1">
        <f t="array" ref="J1130">IFERROR(_xlfn.XLOOKUP(C1130&amp;A1130, Inside5!B:B&amp;Inside5!I:I, Inside5!F:F), 0)</f>
        <v>0</v>
      </c>
      <c r="K1130" cm="1">
        <f t="array" aca="1" ref="K1130" ca="1">IFERROR(_xlfn.XLOOKUP(C1130&amp;A1130, Inside5!B:B&amp;Inside5!I:I, Inside5!G:G), 0)</f>
        <v>0</v>
      </c>
      <c r="L1130" cm="1">
        <f t="array" ref="L1130">IFERROR(_xlfn.XLOOKUP(C1130&amp;A1130, Inside5!B:B&amp;Inside5!I:I, Inside5!H:H), 0)</f>
        <v>0</v>
      </c>
      <c r="M1130" cm="1">
        <f t="array" ref="M1130">IFERROR(_xlfn.XLOOKUP(C1130&amp;A1130, TDrate!F:F&amp;TDrate!H:H, TDrate!B:B), "N/A")</f>
        <v>7.1400000000000005E-2</v>
      </c>
      <c r="N1130" cm="1">
        <f t="array" ref="N1130">IFERROR(_xlfn.XLOOKUP(C1130&amp;A1130, TDrate!F:F&amp;TDrate!H:H, TDrate!D:D), "N/A")</f>
        <v>6.0199999999999997E-2</v>
      </c>
    </row>
    <row r="1131" spans="1:14" x14ac:dyDescent="0.45">
      <c r="A1131" s="8">
        <v>2019</v>
      </c>
      <c r="B1131" s="9" t="s">
        <v>667</v>
      </c>
      <c r="C1131" s="10" t="str">
        <f t="shared" si="34"/>
        <v>Malcolm Brown</v>
      </c>
      <c r="D1131" s="10" t="str">
        <f t="shared" si="35"/>
        <v>LAR</v>
      </c>
      <c r="E1131" cm="1">
        <f t="array" aca="1" ref="E1131" ca="1">IFERROR(_xlfn.XLOOKUP(C1131&amp;A1131, Inside5!B:B&amp;Inside5!I:I, Inside5!C:C), 0)</f>
        <v>7</v>
      </c>
      <c r="F1131" cm="1">
        <f t="array" aca="1" ref="F1131" ca="1">IFERROR(_xlfn.XLOOKUP(C1131&amp;A1131, Inside5!B:B&amp;Inside5!I:I, Inside5!D:D), 0)</f>
        <v>4</v>
      </c>
      <c r="G1131" cm="1">
        <f t="array" ref="G1131">IFERROR(_xlfn.XLOOKUP(C1131&amp;A1131, Inside5!B:B&amp;Inside5!I:I, Inside5!E:E), 0)</f>
        <v>0.30399999999999999</v>
      </c>
      <c r="H1131" cm="1">
        <f t="array" ref="H1131">IFERROR(_xlfn.XLOOKUP(C1131&amp;A1131, TDrate!F:F&amp;TDrate!H:H, TDrate!C:C), "N/A")</f>
        <v>7.2499999999999995E-2</v>
      </c>
      <c r="I1131" cm="1">
        <f t="array" ref="I1131">IFERROR(_xlfn.XLOOKUP(C1131&amp;A1131, TDrate!F:F&amp;TDrate!H:H, TDrate!E:E), "N/A")</f>
        <v>6.54E-2</v>
      </c>
      <c r="J1131" cm="1">
        <f t="array" ref="J1131">IFERROR(_xlfn.XLOOKUP(C1131&amp;A1131, Inside5!B:B&amp;Inside5!I:I, Inside5!F:F), 0)</f>
        <v>0</v>
      </c>
      <c r="K1131" cm="1">
        <f t="array" ref="K1131">IFERROR(_xlfn.XLOOKUP(C1131&amp;A1131, Inside5!B:B&amp;Inside5!I:I, Inside5!G:G), 0)</f>
        <v>0</v>
      </c>
      <c r="L1131" cm="1">
        <f t="array" ref="L1131">IFERROR(_xlfn.XLOOKUP(C1131&amp;A1131, Inside5!B:B&amp;Inside5!I:I, Inside5!H:H), 0)</f>
        <v>0</v>
      </c>
      <c r="M1131" cm="1">
        <f t="array" ref="M1131">IFERROR(_xlfn.XLOOKUP(C1131&amp;A1131, TDrate!F:F&amp;TDrate!H:H, TDrate!B:B), "N/A")</f>
        <v>0</v>
      </c>
      <c r="N1131" cm="1">
        <f t="array" ref="N1131">IFERROR(_xlfn.XLOOKUP(C1131&amp;A1131, TDrate!F:F&amp;TDrate!H:H, TDrate!D:D), "N/A")</f>
        <v>4.3E-3</v>
      </c>
    </row>
    <row r="1132" spans="1:14" x14ac:dyDescent="0.45">
      <c r="A1132" s="5">
        <v>2019</v>
      </c>
      <c r="B1132" s="6" t="s">
        <v>669</v>
      </c>
      <c r="C1132" s="7" t="str">
        <f t="shared" si="34"/>
        <v>Benny Snell Jr.</v>
      </c>
      <c r="D1132" s="7" t="str">
        <f t="shared" si="35"/>
        <v>PIT</v>
      </c>
      <c r="E1132" cm="1">
        <f t="array" aca="1" ref="E1132" ca="1">IFERROR(_xlfn.XLOOKUP(C1132&amp;A1132, Inside5!B:B&amp;Inside5!I:I, Inside5!C:C), 0)</f>
        <v>2</v>
      </c>
      <c r="F1132" cm="1">
        <f t="array" aca="1" ref="F1132" ca="1">IFERROR(_xlfn.XLOOKUP(C1132&amp;A1132, Inside5!B:B&amp;Inside5!I:I, Inside5!D:D), 0)</f>
        <v>1</v>
      </c>
      <c r="G1132" cm="1">
        <f t="array" ref="G1132">IFERROR(_xlfn.XLOOKUP(C1132&amp;A1132, Inside5!B:B&amp;Inside5!I:I, Inside5!E:E), 0)</f>
        <v>0.182</v>
      </c>
      <c r="H1132" cm="1">
        <f t="array" ref="H1132">IFERROR(_xlfn.XLOOKUP(C1132&amp;A1132, TDrate!F:F&amp;TDrate!H:H, TDrate!C:C), "N/A")</f>
        <v>1.8499999999999999E-2</v>
      </c>
      <c r="I1132" cm="1">
        <f t="array" ref="I1132">IFERROR(_xlfn.XLOOKUP(C1132&amp;A1132, TDrate!F:F&amp;TDrate!H:H, TDrate!E:E), "N/A")</f>
        <v>2.3199999999999998E-2</v>
      </c>
      <c r="J1132" cm="1">
        <f t="array" ref="J1132">IFERROR(_xlfn.XLOOKUP(C1132&amp;A1132, Inside5!B:B&amp;Inside5!I:I, Inside5!F:F), 0)</f>
        <v>0</v>
      </c>
      <c r="K1132" cm="1">
        <f t="array" ref="K1132">IFERROR(_xlfn.XLOOKUP(C1132&amp;A1132, Inside5!B:B&amp;Inside5!I:I, Inside5!G:G), 0)</f>
        <v>0</v>
      </c>
      <c r="L1132" cm="1">
        <f t="array" ref="L1132">IFERROR(_xlfn.XLOOKUP(C1132&amp;A1132, Inside5!B:B&amp;Inside5!I:I, Inside5!H:H), 0)</f>
        <v>0</v>
      </c>
      <c r="M1132" cm="1">
        <f t="array" ref="M1132">IFERROR(_xlfn.XLOOKUP(C1132&amp;A1132, TDrate!F:F&amp;TDrate!H:H, TDrate!B:B), "N/A")</f>
        <v>0</v>
      </c>
      <c r="N1132" cm="1">
        <f t="array" ref="N1132">IFERROR(_xlfn.XLOOKUP(C1132&amp;A1132, TDrate!F:F&amp;TDrate!H:H, TDrate!D:D), "N/A")</f>
        <v>7.3000000000000001E-3</v>
      </c>
    </row>
    <row r="1133" spans="1:14" x14ac:dyDescent="0.45">
      <c r="A1133" s="8">
        <v>2019</v>
      </c>
      <c r="B1133" s="9" t="s">
        <v>716</v>
      </c>
      <c r="C1133" s="10" t="str">
        <f t="shared" si="34"/>
        <v>Darrel Williams</v>
      </c>
      <c r="D1133" s="10" t="str">
        <f t="shared" si="35"/>
        <v>KC</v>
      </c>
      <c r="E1133" cm="1">
        <f t="array" ref="E1133">IFERROR(_xlfn.XLOOKUP(C1133&amp;A1133, Inside5!B:B&amp;Inside5!I:I, Inside5!C:C), 0)</f>
        <v>6</v>
      </c>
      <c r="F1133" cm="1">
        <f t="array" ref="F1133">IFERROR(_xlfn.XLOOKUP(C1133&amp;A1133, Inside5!B:B&amp;Inside5!I:I, Inside5!D:D), 0)</f>
        <v>2</v>
      </c>
      <c r="G1133" cm="1">
        <f t="array" ref="G1133">IFERROR(_xlfn.XLOOKUP(C1133&amp;A1133, Inside5!B:B&amp;Inside5!I:I, Inside5!E:E), 0)</f>
        <v>0.35299999999999998</v>
      </c>
      <c r="H1133" cm="1">
        <f t="array" ref="H1133">IFERROR(_xlfn.XLOOKUP(C1133&amp;A1133, TDrate!F:F&amp;TDrate!H:H, TDrate!C:C), "N/A")</f>
        <v>7.3200000000000001E-2</v>
      </c>
      <c r="I1133" cm="1">
        <f t="array" ref="I1133">IFERROR(_xlfn.XLOOKUP(C1133&amp;A1133, TDrate!F:F&amp;TDrate!H:H, TDrate!E:E), "N/A")</f>
        <v>7.1900000000000006E-2</v>
      </c>
      <c r="J1133" cm="1">
        <f t="array" ref="J1133">IFERROR(_xlfn.XLOOKUP(C1133&amp;A1133, Inside5!B:B&amp;Inside5!I:I, Inside5!F:F), 0)</f>
        <v>1</v>
      </c>
      <c r="K1133" cm="1">
        <f t="array" aca="1" ref="K1133" ca="1">IFERROR(_xlfn.XLOOKUP(C1133&amp;A1133, Inside5!B:B&amp;Inside5!I:I, Inside5!G:G), 0)</f>
        <v>1</v>
      </c>
      <c r="L1133" cm="1">
        <f t="array" ref="L1133">IFERROR(_xlfn.XLOOKUP(C1133&amp;A1133, Inside5!B:B&amp;Inside5!I:I, Inside5!H:H), 0)</f>
        <v>1</v>
      </c>
      <c r="M1133" cm="1">
        <f t="array" ref="M1133">IFERROR(_xlfn.XLOOKUP(C1133&amp;A1133, TDrate!F:F&amp;TDrate!H:H, TDrate!B:B), "N/A")</f>
        <v>5.2600000000000001E-2</v>
      </c>
      <c r="N1133" cm="1">
        <f t="array" ref="N1133">IFERROR(_xlfn.XLOOKUP(C1133&amp;A1133, TDrate!F:F&amp;TDrate!H:H, TDrate!D:D), "N/A")</f>
        <v>4.4200000000000003E-2</v>
      </c>
    </row>
    <row r="1134" spans="1:14" x14ac:dyDescent="0.45">
      <c r="A1134" s="5">
        <v>2019</v>
      </c>
      <c r="B1134" s="6" t="s">
        <v>908</v>
      </c>
      <c r="C1134" s="7" t="str">
        <f t="shared" si="34"/>
        <v>Chris Thompson</v>
      </c>
      <c r="D1134" s="7" t="str">
        <f t="shared" si="35"/>
        <v>WAS</v>
      </c>
      <c r="E1134" cm="1">
        <f t="array" ref="E1134">IFERROR(_xlfn.XLOOKUP(C1134&amp;A1134, Inside5!B:B&amp;Inside5!I:I, Inside5!C:C), 0)</f>
        <v>2</v>
      </c>
      <c r="F1134" cm="1">
        <f t="array" aca="1" ref="F1134" ca="1">IFERROR(_xlfn.XLOOKUP(C1134&amp;A1134, Inside5!B:B&amp;Inside5!I:I, Inside5!D:D), 0)</f>
        <v>0</v>
      </c>
      <c r="G1134" cm="1">
        <f t="array" ref="G1134">IFERROR(_xlfn.XLOOKUP(C1134&amp;A1134, Inside5!B:B&amp;Inside5!I:I, Inside5!E:E), 0)</f>
        <v>0.16700000000000001</v>
      </c>
      <c r="H1134" cm="1">
        <f t="array" ref="H1134">IFERROR(_xlfn.XLOOKUP(C1134&amp;A1134, TDrate!F:F&amp;TDrate!H:H, TDrate!C:C), "N/A")</f>
        <v>0</v>
      </c>
      <c r="I1134" cm="1">
        <f t="array" ref="I1134">IFERROR(_xlfn.XLOOKUP(C1134&amp;A1134, TDrate!F:F&amp;TDrate!H:H, TDrate!E:E), "N/A")</f>
        <v>1.67E-2</v>
      </c>
      <c r="J1134" cm="1">
        <f t="array" ref="J1134">IFERROR(_xlfn.XLOOKUP(C1134&amp;A1134, Inside5!B:B&amp;Inside5!I:I, Inside5!F:F), 0)</f>
        <v>0</v>
      </c>
      <c r="K1134" cm="1">
        <f t="array" ref="K1134">IFERROR(_xlfn.XLOOKUP(C1134&amp;A1134, Inside5!B:B&amp;Inside5!I:I, Inside5!G:G), 0)</f>
        <v>1</v>
      </c>
      <c r="L1134" cm="1">
        <f t="array" ref="L1134">IFERROR(_xlfn.XLOOKUP(C1134&amp;A1134, Inside5!B:B&amp;Inside5!I:I, Inside5!H:H), 0)</f>
        <v>0</v>
      </c>
      <c r="M1134" cm="1">
        <f t="array" ref="M1134">IFERROR(_xlfn.XLOOKUP(C1134&amp;A1134, TDrate!F:F&amp;TDrate!H:H, TDrate!B:B), "N/A")</f>
        <v>0</v>
      </c>
      <c r="N1134" cm="1">
        <f t="array" ref="N1134">IFERROR(_xlfn.XLOOKUP(C1134&amp;A1134, TDrate!F:F&amp;TDrate!H:H, TDrate!D:D), "N/A")</f>
        <v>1.18E-2</v>
      </c>
    </row>
    <row r="1135" spans="1:14" x14ac:dyDescent="0.45">
      <c r="A1135" s="8">
        <v>2019</v>
      </c>
      <c r="B1135" s="9" t="s">
        <v>909</v>
      </c>
      <c r="C1135" s="10" t="str">
        <f t="shared" si="34"/>
        <v>Derrius Guice</v>
      </c>
      <c r="D1135" s="10" t="str">
        <f t="shared" si="35"/>
        <v>WAS</v>
      </c>
      <c r="E1135" cm="1">
        <f t="array" ref="E1135">IFERROR(_xlfn.XLOOKUP(C1135&amp;A1135, Inside5!B:B&amp;Inside5!I:I, Inside5!C:C), 0)</f>
        <v>3</v>
      </c>
      <c r="F1135" cm="1">
        <f t="array" ref="F1135">IFERROR(_xlfn.XLOOKUP(C1135&amp;A1135, Inside5!B:B&amp;Inside5!I:I, Inside5!D:D), 0)</f>
        <v>2</v>
      </c>
      <c r="G1135" cm="1">
        <f t="array" ref="G1135">IFERROR(_xlfn.XLOOKUP(C1135&amp;A1135, Inside5!B:B&amp;Inside5!I:I, Inside5!E:E), 0)</f>
        <v>0.25</v>
      </c>
      <c r="H1135" cm="1">
        <f t="array" ref="H1135">IFERROR(_xlfn.XLOOKUP(C1135&amp;A1135, TDrate!F:F&amp;TDrate!H:H, TDrate!C:C), "N/A")</f>
        <v>4.7600000000000003E-2</v>
      </c>
      <c r="I1135" cm="1">
        <f t="array" ref="I1135">IFERROR(_xlfn.XLOOKUP(C1135&amp;A1135, TDrate!F:F&amp;TDrate!H:H, TDrate!E:E), "N/A")</f>
        <v>4.2500000000000003E-2</v>
      </c>
      <c r="J1135" cm="1">
        <f t="array" ref="J1135">IFERROR(_xlfn.XLOOKUP(C1135&amp;A1135, Inside5!B:B&amp;Inside5!I:I, Inside5!F:F), 0)</f>
        <v>0</v>
      </c>
      <c r="K1135" cm="1">
        <f t="array" ref="K1135">IFERROR(_xlfn.XLOOKUP(C1135&amp;A1135, Inside5!B:B&amp;Inside5!I:I, Inside5!G:G), 0)</f>
        <v>0</v>
      </c>
      <c r="L1135" cm="1">
        <f t="array" ref="L1135">IFERROR(_xlfn.XLOOKUP(C1135&amp;A1135, Inside5!B:B&amp;Inside5!I:I, Inside5!H:H), 0)</f>
        <v>0</v>
      </c>
      <c r="M1135" cm="1">
        <f t="array" ref="M1135">IFERROR(_xlfn.XLOOKUP(C1135&amp;A1135, TDrate!F:F&amp;TDrate!H:H, TDrate!B:B), "N/A")</f>
        <v>0.1111</v>
      </c>
      <c r="N1135" cm="1">
        <f t="array" ref="N1135">IFERROR(_xlfn.XLOOKUP(C1135&amp;A1135, TDrate!F:F&amp;TDrate!H:H, TDrate!D:D), "N/A")</f>
        <v>6.6600000000000006E-2</v>
      </c>
    </row>
    <row r="1136" spans="1:14" x14ac:dyDescent="0.45">
      <c r="A1136" s="5">
        <v>2019</v>
      </c>
      <c r="B1136" s="6" t="s">
        <v>910</v>
      </c>
      <c r="C1136" s="7" t="str">
        <f t="shared" si="34"/>
        <v>J.D. McKissic</v>
      </c>
      <c r="D1136" s="7" t="str">
        <f t="shared" si="35"/>
        <v>DET</v>
      </c>
      <c r="E1136" cm="1">
        <f t="array" aca="1" ref="E1136" ca="1">IFERROR(_xlfn.XLOOKUP(C1136&amp;A1136, Inside5!B:B&amp;Inside5!I:I, Inside5!C:C), 0)</f>
        <v>1</v>
      </c>
      <c r="F1136" cm="1">
        <f t="array" aca="1" ref="F1136" ca="1">IFERROR(_xlfn.XLOOKUP(C1136&amp;A1136, Inside5!B:B&amp;Inside5!I:I, Inside5!D:D), 0)</f>
        <v>0</v>
      </c>
      <c r="G1136" cm="1">
        <f t="array" ref="G1136">IFERROR(_xlfn.XLOOKUP(C1136&amp;A1136, Inside5!B:B&amp;Inside5!I:I, Inside5!E:E), 0)</f>
        <v>6.7000000000000004E-2</v>
      </c>
      <c r="H1136" cm="1">
        <f t="array" ref="H1136">IFERROR(_xlfn.XLOOKUP(C1136&amp;A1136, TDrate!F:F&amp;TDrate!H:H, TDrate!C:C), "N/A")</f>
        <v>0</v>
      </c>
      <c r="I1136" cm="1">
        <f t="array" ref="I1136">IFERROR(_xlfn.XLOOKUP(C1136&amp;A1136, TDrate!F:F&amp;TDrate!H:H, TDrate!E:E), "N/A")</f>
        <v>1.12E-2</v>
      </c>
      <c r="J1136" cm="1">
        <f t="array" ref="J1136">IFERROR(_xlfn.XLOOKUP(C1136&amp;A1136, Inside5!B:B&amp;Inside5!I:I, Inside5!F:F), 0)</f>
        <v>0</v>
      </c>
      <c r="K1136" cm="1">
        <f t="array" ref="K1136">IFERROR(_xlfn.XLOOKUP(C1136&amp;A1136, Inside5!B:B&amp;Inside5!I:I, Inside5!G:G), 0)</f>
        <v>1</v>
      </c>
      <c r="L1136" cm="1">
        <f t="array" ref="L1136">IFERROR(_xlfn.XLOOKUP(C1136&amp;A1136, Inside5!B:B&amp;Inside5!I:I, Inside5!H:H), 0)</f>
        <v>0</v>
      </c>
      <c r="M1136" cm="1">
        <f t="array" ref="M1136">IFERROR(_xlfn.XLOOKUP(C1136&amp;A1136, TDrate!F:F&amp;TDrate!H:H, TDrate!B:B), "N/A")</f>
        <v>2.3800000000000002E-2</v>
      </c>
      <c r="N1136" cm="1">
        <f t="array" ref="N1136">IFERROR(_xlfn.XLOOKUP(C1136&amp;A1136, TDrate!F:F&amp;TDrate!H:H, TDrate!D:D), "N/A")</f>
        <v>2.1499999999999998E-2</v>
      </c>
    </row>
    <row r="1137" spans="1:14" x14ac:dyDescent="0.45">
      <c r="A1137" s="8">
        <v>2019</v>
      </c>
      <c r="B1137" s="9" t="s">
        <v>678</v>
      </c>
      <c r="C1137" s="10" t="str">
        <f t="shared" si="34"/>
        <v>Jordan Wilkins</v>
      </c>
      <c r="D1137" s="10" t="str">
        <f t="shared" si="35"/>
        <v>IND</v>
      </c>
      <c r="E1137" cm="1">
        <f t="array" aca="1" ref="E1137" ca="1">IFERROR(_xlfn.XLOOKUP(C1137&amp;A1137, Inside5!B:B&amp;Inside5!I:I, Inside5!C:C), 0)</f>
        <v>5</v>
      </c>
      <c r="F1137" cm="1">
        <f t="array" aca="1" ref="F1137" ca="1">IFERROR(_xlfn.XLOOKUP(C1137&amp;A1137, Inside5!B:B&amp;Inside5!I:I, Inside5!D:D), 0)</f>
        <v>2</v>
      </c>
      <c r="G1137" cm="1">
        <f t="array" ref="G1137">IFERROR(_xlfn.XLOOKUP(C1137&amp;A1137, Inside5!B:B&amp;Inside5!I:I, Inside5!E:E), 0)</f>
        <v>0.35699999999999998</v>
      </c>
      <c r="H1137" cm="1">
        <f t="array" ref="H1137">IFERROR(_xlfn.XLOOKUP(C1137&amp;A1137, TDrate!F:F&amp;TDrate!H:H, TDrate!C:C), "N/A")</f>
        <v>3.9199999999999999E-2</v>
      </c>
      <c r="I1137" cm="1">
        <f t="array" ref="I1137">IFERROR(_xlfn.XLOOKUP(C1137&amp;A1137, TDrate!F:F&amp;TDrate!H:H, TDrate!E:E), "N/A")</f>
        <v>4.5100000000000001E-2</v>
      </c>
      <c r="J1137" cm="1">
        <f t="array" ref="J1137">IFERROR(_xlfn.XLOOKUP(C1137&amp;A1137, Inside5!B:B&amp;Inside5!I:I, Inside5!F:F), 0)</f>
        <v>0</v>
      </c>
      <c r="K1137" cm="1">
        <f t="array" aca="1" ref="K1137" ca="1">IFERROR(_xlfn.XLOOKUP(C1137&amp;A1137, Inside5!B:B&amp;Inside5!I:I, Inside5!G:G), 0)</f>
        <v>0</v>
      </c>
      <c r="L1137" cm="1">
        <f t="array" ref="L1137">IFERROR(_xlfn.XLOOKUP(C1137&amp;A1137, Inside5!B:B&amp;Inside5!I:I, Inside5!H:H), 0)</f>
        <v>0</v>
      </c>
      <c r="M1137" cm="1">
        <f t="array" ref="M1137">IFERROR(_xlfn.XLOOKUP(C1137&amp;A1137, TDrate!F:F&amp;TDrate!H:H, TDrate!B:B), "N/A")</f>
        <v>0</v>
      </c>
      <c r="N1137" cm="1">
        <f t="array" ref="N1137">IFERROR(_xlfn.XLOOKUP(C1137&amp;A1137, TDrate!F:F&amp;TDrate!H:H, TDrate!D:D), "N/A")</f>
        <v>7.7000000000000002E-3</v>
      </c>
    </row>
    <row r="1138" spans="1:14" x14ac:dyDescent="0.45">
      <c r="A1138" s="5">
        <v>2019</v>
      </c>
      <c r="B1138" s="6" t="s">
        <v>858</v>
      </c>
      <c r="C1138" s="7" t="str">
        <f t="shared" si="34"/>
        <v>Mike Boone</v>
      </c>
      <c r="D1138" s="7" t="str">
        <f t="shared" si="35"/>
        <v>MIN</v>
      </c>
      <c r="E1138" cm="1">
        <f t="array" aca="1" ref="E1138" ca="1">IFERROR(_xlfn.XLOOKUP(C1138&amp;A1138, Inside5!B:B&amp;Inside5!I:I, Inside5!C:C), 0)</f>
        <v>1</v>
      </c>
      <c r="F1138" cm="1">
        <f t="array" aca="1" ref="F1138" ca="1">IFERROR(_xlfn.XLOOKUP(C1138&amp;A1138, Inside5!B:B&amp;Inside5!I:I, Inside5!D:D), 0)</f>
        <v>1</v>
      </c>
      <c r="G1138" cm="1">
        <f t="array" ref="G1138">IFERROR(_xlfn.XLOOKUP(C1138&amp;A1138, Inside5!B:B&amp;Inside5!I:I, Inside5!E:E), 0)</f>
        <v>3.6999999999999998E-2</v>
      </c>
      <c r="H1138" cm="1">
        <f t="array" ref="H1138">IFERROR(_xlfn.XLOOKUP(C1138&amp;A1138, TDrate!F:F&amp;TDrate!H:H, TDrate!C:C), "N/A")</f>
        <v>6.1199999999999997E-2</v>
      </c>
      <c r="I1138" cm="1">
        <f t="array" ref="I1138">IFERROR(_xlfn.XLOOKUP(C1138&amp;A1138, TDrate!F:F&amp;TDrate!H:H, TDrate!E:E), "N/A")</f>
        <v>5.3199999999999997E-2</v>
      </c>
      <c r="J1138" cm="1">
        <f t="array" ref="J1138">IFERROR(_xlfn.XLOOKUP(C1138&amp;A1138, Inside5!B:B&amp;Inside5!I:I, Inside5!F:F), 0)</f>
        <v>0</v>
      </c>
      <c r="K1138" cm="1">
        <f t="array" aca="1" ref="K1138" ca="1">IFERROR(_xlfn.XLOOKUP(C1138&amp;A1138, Inside5!B:B&amp;Inside5!I:I, Inside5!G:G), 0)</f>
        <v>0</v>
      </c>
      <c r="L1138" cm="1">
        <f t="array" ref="L1138">IFERROR(_xlfn.XLOOKUP(C1138&amp;A1138, Inside5!B:B&amp;Inside5!I:I, Inside5!H:H), 0)</f>
        <v>0</v>
      </c>
      <c r="M1138" cm="1">
        <f t="array" ref="M1138">IFERROR(_xlfn.XLOOKUP(C1138&amp;A1138, TDrate!F:F&amp;TDrate!H:H, TDrate!B:B), "N/A")</f>
        <v>0</v>
      </c>
      <c r="N1138" cm="1">
        <f t="array" ref="N1138">IFERROR(_xlfn.XLOOKUP(C1138&amp;A1138, TDrate!F:F&amp;TDrate!H:H, TDrate!D:D), "N/A")</f>
        <v>2.01E-2</v>
      </c>
    </row>
    <row r="1139" spans="1:14" x14ac:dyDescent="0.45">
      <c r="A1139" s="8">
        <v>2019</v>
      </c>
      <c r="B1139" s="9" t="s">
        <v>911</v>
      </c>
      <c r="C1139" s="10" t="str">
        <f t="shared" si="34"/>
        <v>Jalen Richard</v>
      </c>
      <c r="D1139" s="10" t="str">
        <f t="shared" si="35"/>
        <v>OAK</v>
      </c>
      <c r="E1139" cm="1">
        <f t="array" ref="E1139">IFERROR(_xlfn.XLOOKUP(C1139&amp;A1139, Inside5!B:B&amp;Inside5!I:I, Inside5!C:C), 0)</f>
        <v>0</v>
      </c>
      <c r="F1139" cm="1">
        <f t="array" ref="F1139">IFERROR(_xlfn.XLOOKUP(C1139&amp;A1139, Inside5!B:B&amp;Inside5!I:I, Inside5!D:D), 0)</f>
        <v>0</v>
      </c>
      <c r="G1139" cm="1">
        <f t="array" ref="G1139">IFERROR(_xlfn.XLOOKUP(C1139&amp;A1139, Inside5!B:B&amp;Inside5!I:I, Inside5!E:E), 0)</f>
        <v>0</v>
      </c>
      <c r="H1139" cm="1">
        <f t="array" ref="H1139">IFERROR(_xlfn.XLOOKUP(C1139&amp;A1139, TDrate!F:F&amp;TDrate!H:H, TDrate!C:C), "N/A")</f>
        <v>0</v>
      </c>
      <c r="I1139" cm="1">
        <f t="array" ref="I1139">IFERROR(_xlfn.XLOOKUP(C1139&amp;A1139, TDrate!F:F&amp;TDrate!H:H, TDrate!E:E), "N/A")</f>
        <v>3.3999999999999998E-3</v>
      </c>
      <c r="J1139" cm="1">
        <f t="array" ref="J1139">IFERROR(_xlfn.XLOOKUP(C1139&amp;A1139, Inside5!B:B&amp;Inside5!I:I, Inside5!F:F), 0)</f>
        <v>0</v>
      </c>
      <c r="K1139" cm="1">
        <f t="array" aca="1" ref="K1139" ca="1">IFERROR(_xlfn.XLOOKUP(C1139&amp;A1139, Inside5!B:B&amp;Inside5!I:I, Inside5!G:G), 0)</f>
        <v>0</v>
      </c>
      <c r="L1139" cm="1">
        <f t="array" ref="L1139">IFERROR(_xlfn.XLOOKUP(C1139&amp;A1139, Inside5!B:B&amp;Inside5!I:I, Inside5!H:H), 0)</f>
        <v>0</v>
      </c>
      <c r="M1139" cm="1">
        <f t="array" ref="M1139">IFERROR(_xlfn.XLOOKUP(C1139&amp;A1139, TDrate!F:F&amp;TDrate!H:H, TDrate!B:B), "N/A")</f>
        <v>0</v>
      </c>
      <c r="N1139" cm="1">
        <f t="array" ref="N1139">IFERROR(_xlfn.XLOOKUP(C1139&amp;A1139, TDrate!F:F&amp;TDrate!H:H, TDrate!D:D), "N/A")</f>
        <v>9.4000000000000004E-3</v>
      </c>
    </row>
    <row r="1140" spans="1:14" x14ac:dyDescent="0.45">
      <c r="A1140" s="5">
        <v>2019</v>
      </c>
      <c r="B1140" s="6" t="s">
        <v>782</v>
      </c>
      <c r="C1140" s="7" t="str">
        <f t="shared" si="34"/>
        <v>Patrick Laird</v>
      </c>
      <c r="D1140" s="7" t="str">
        <f t="shared" si="35"/>
        <v>MIA</v>
      </c>
      <c r="E1140" cm="1">
        <f t="array" ref="E1140">IFERROR(_xlfn.XLOOKUP(C1140&amp;A1140, Inside5!B:B&amp;Inside5!I:I, Inside5!C:C), 0)</f>
        <v>2</v>
      </c>
      <c r="F1140" cm="1">
        <f t="array" ref="F1140">IFERROR(_xlfn.XLOOKUP(C1140&amp;A1140, Inside5!B:B&amp;Inside5!I:I, Inside5!D:D), 0)</f>
        <v>1</v>
      </c>
      <c r="G1140" cm="1">
        <f t="array" ref="G1140">IFERROR(_xlfn.XLOOKUP(C1140&amp;A1140, Inside5!B:B&amp;Inside5!I:I, Inside5!E:E), 0)</f>
        <v>0.111</v>
      </c>
      <c r="H1140" cm="1">
        <f t="array" ref="H1140">IFERROR(_xlfn.XLOOKUP(C1140&amp;A1140, TDrate!F:F&amp;TDrate!H:H, TDrate!C:C), "N/A")</f>
        <v>1.61E-2</v>
      </c>
      <c r="I1140" cm="1">
        <f t="array" ref="I1140">IFERROR(_xlfn.XLOOKUP(C1140&amp;A1140, TDrate!F:F&amp;TDrate!H:H, TDrate!E:E), "N/A")</f>
        <v>2.1399999999999999E-2</v>
      </c>
      <c r="J1140" cm="1">
        <f t="array" ref="J1140">IFERROR(_xlfn.XLOOKUP(C1140&amp;A1140, Inside5!B:B&amp;Inside5!I:I, Inside5!F:F), 0)</f>
        <v>0</v>
      </c>
      <c r="K1140" cm="1">
        <f t="array" ref="K1140">IFERROR(_xlfn.XLOOKUP(C1140&amp;A1140, Inside5!B:B&amp;Inside5!I:I, Inside5!G:G), 0)</f>
        <v>0</v>
      </c>
      <c r="L1140" cm="1">
        <f t="array" ref="L1140">IFERROR(_xlfn.XLOOKUP(C1140&amp;A1140, Inside5!B:B&amp;Inside5!I:I, Inside5!H:H), 0)</f>
        <v>0</v>
      </c>
      <c r="M1140" cm="1">
        <f t="array" ref="M1140">IFERROR(_xlfn.XLOOKUP(C1140&amp;A1140, TDrate!F:F&amp;TDrate!H:H, TDrate!B:B), "N/A")</f>
        <v>0</v>
      </c>
      <c r="N1140" cm="1">
        <f t="array" ref="N1140">IFERROR(_xlfn.XLOOKUP(C1140&amp;A1140, TDrate!F:F&amp;TDrate!H:H, TDrate!D:D), "N/A")</f>
        <v>1.7899999999999999E-2</v>
      </c>
    </row>
    <row r="1141" spans="1:14" x14ac:dyDescent="0.45">
      <c r="A1141" s="8">
        <v>2019</v>
      </c>
      <c r="B1141" s="9" t="s">
        <v>740</v>
      </c>
      <c r="C1141" s="10" t="str">
        <f t="shared" si="34"/>
        <v>Jeff Wilson Jr.</v>
      </c>
      <c r="D1141" s="10" t="str">
        <f t="shared" si="35"/>
        <v>SF</v>
      </c>
      <c r="E1141" cm="1">
        <f t="array" ref="E1141">IFERROR(_xlfn.XLOOKUP(C1141&amp;A1141, Inside5!B:B&amp;Inside5!I:I, Inside5!C:C), 0)</f>
        <v>6</v>
      </c>
      <c r="F1141" cm="1">
        <f t="array" ref="F1141">IFERROR(_xlfn.XLOOKUP(C1141&amp;A1141, Inside5!B:B&amp;Inside5!I:I, Inside5!D:D), 0)</f>
        <v>4</v>
      </c>
      <c r="G1141" cm="1">
        <f t="array" ref="G1141">IFERROR(_xlfn.XLOOKUP(C1141&amp;A1141, Inside5!B:B&amp;Inside5!I:I, Inside5!E:E), 0)</f>
        <v>0.3</v>
      </c>
      <c r="H1141" cm="1">
        <f t="array" ref="H1141">IFERROR(_xlfn.XLOOKUP(C1141&amp;A1141, TDrate!F:F&amp;TDrate!H:H, TDrate!C:C), "N/A")</f>
        <v>0.14810000000000001</v>
      </c>
      <c r="I1141" cm="1">
        <f t="array" ref="I1141">IFERROR(_xlfn.XLOOKUP(C1141&amp;A1141, TDrate!F:F&amp;TDrate!H:H, TDrate!E:E), "N/A")</f>
        <v>0.13539999999999999</v>
      </c>
      <c r="J1141" cm="1">
        <f t="array" ref="J1141">IFERROR(_xlfn.XLOOKUP(C1141&amp;A1141, Inside5!B:B&amp;Inside5!I:I, Inside5!F:F), 0)</f>
        <v>0</v>
      </c>
      <c r="K1141" cm="1">
        <f t="array" aca="1" ref="K1141" ca="1">IFERROR(_xlfn.XLOOKUP(C1141&amp;A1141, Inside5!B:B&amp;Inside5!I:I, Inside5!G:G), 0)</f>
        <v>0</v>
      </c>
      <c r="L1141" cm="1">
        <f t="array" ref="L1141">IFERROR(_xlfn.XLOOKUP(C1141&amp;A1141, Inside5!B:B&amp;Inside5!I:I, Inside5!H:H), 0)</f>
        <v>0</v>
      </c>
      <c r="M1141" cm="1">
        <f t="array" ref="M1141">IFERROR(_xlfn.XLOOKUP(C1141&amp;A1141, TDrate!F:F&amp;TDrate!H:H, TDrate!B:B), "N/A")</f>
        <v>0.2</v>
      </c>
      <c r="N1141" cm="1">
        <f t="array" ref="N1141">IFERROR(_xlfn.XLOOKUP(C1141&amp;A1141, TDrate!F:F&amp;TDrate!H:H, TDrate!D:D), "N/A")</f>
        <v>0.13519999999999999</v>
      </c>
    </row>
    <row r="1142" spans="1:14" x14ac:dyDescent="0.45">
      <c r="A1142" s="5">
        <v>2019</v>
      </c>
      <c r="B1142" s="6" t="s">
        <v>912</v>
      </c>
      <c r="C1142" s="7" t="str">
        <f t="shared" si="34"/>
        <v>Bo Scarbrough</v>
      </c>
      <c r="D1142" s="7" t="str">
        <f t="shared" si="35"/>
        <v>DET</v>
      </c>
      <c r="E1142" cm="1">
        <f t="array" ref="E1142">IFERROR(_xlfn.XLOOKUP(C1142&amp;A1142, Inside5!B:B&amp;Inside5!I:I, Inside5!C:C), 0)</f>
        <v>1</v>
      </c>
      <c r="F1142" cm="1">
        <f t="array" aca="1" ref="F1142" ca="1">IFERROR(_xlfn.XLOOKUP(C1142&amp;A1142, Inside5!B:B&amp;Inside5!I:I, Inside5!D:D), 0)</f>
        <v>1</v>
      </c>
      <c r="G1142" cm="1">
        <f t="array" ref="G1142">IFERROR(_xlfn.XLOOKUP(C1142&amp;A1142, Inside5!B:B&amp;Inside5!I:I, Inside5!E:E), 0)</f>
        <v>6.7000000000000004E-2</v>
      </c>
      <c r="H1142" cm="1">
        <f t="array" ref="H1142">IFERROR(_xlfn.XLOOKUP(C1142&amp;A1142, TDrate!F:F&amp;TDrate!H:H, TDrate!C:C), "N/A")</f>
        <v>1.12E-2</v>
      </c>
      <c r="I1142" cm="1">
        <f t="array" ref="I1142">IFERROR(_xlfn.XLOOKUP(C1142&amp;A1142, TDrate!F:F&amp;TDrate!H:H, TDrate!E:E), "N/A")</f>
        <v>1.2200000000000001E-2</v>
      </c>
      <c r="J1142" cm="1">
        <f t="array" ref="J1142">IFERROR(_xlfn.XLOOKUP(C1142&amp;A1142, Inside5!B:B&amp;Inside5!I:I, Inside5!F:F), 0)</f>
        <v>0</v>
      </c>
      <c r="K1142" cm="1">
        <f t="array" aca="1" ref="K1142" ca="1">IFERROR(_xlfn.XLOOKUP(C1142&amp;A1142, Inside5!B:B&amp;Inside5!I:I, Inside5!G:G), 0)</f>
        <v>0</v>
      </c>
      <c r="L1142" cm="1">
        <f t="array" ref="L1142">IFERROR(_xlfn.XLOOKUP(C1142&amp;A1142, Inside5!B:B&amp;Inside5!I:I, Inside5!H:H), 0)</f>
        <v>0</v>
      </c>
      <c r="M1142" cm="1">
        <f t="array" ref="M1142">IFERROR(_xlfn.XLOOKUP(C1142&amp;A1142, TDrate!F:F&amp;TDrate!H:H, TDrate!B:B), "N/A")</f>
        <v>0</v>
      </c>
      <c r="N1142" cm="1">
        <f t="array" ref="N1142">IFERROR(_xlfn.XLOOKUP(C1142&amp;A1142, TDrate!F:F&amp;TDrate!H:H, TDrate!D:D), "N/A")</f>
        <v>1.6000000000000001E-3</v>
      </c>
    </row>
    <row r="1143" spans="1:14" x14ac:dyDescent="0.45">
      <c r="A1143" s="8">
        <v>2019</v>
      </c>
      <c r="B1143" s="9" t="s">
        <v>726</v>
      </c>
      <c r="C1143" s="10" t="str">
        <f t="shared" si="34"/>
        <v>Brandon Bolden</v>
      </c>
      <c r="D1143" s="10" t="str">
        <f t="shared" si="35"/>
        <v>NE</v>
      </c>
      <c r="E1143" cm="1">
        <f t="array" ref="E1143">IFERROR(_xlfn.XLOOKUP(C1143&amp;A1143, Inside5!B:B&amp;Inside5!I:I, Inside5!C:C), 0)</f>
        <v>4</v>
      </c>
      <c r="F1143" cm="1">
        <f t="array" ref="F1143">IFERROR(_xlfn.XLOOKUP(C1143&amp;A1143, Inside5!B:B&amp;Inside5!I:I, Inside5!D:D), 0)</f>
        <v>2</v>
      </c>
      <c r="G1143" cm="1">
        <f t="array" ref="G1143">IFERROR(_xlfn.XLOOKUP(C1143&amp;A1143, Inside5!B:B&amp;Inside5!I:I, Inside5!E:E), 0)</f>
        <v>0.16</v>
      </c>
      <c r="H1143" t="str" cm="1">
        <f t="array" ref="H1143">IFERROR(_xlfn.XLOOKUP(C1143&amp;A1143, TDrate!F:F&amp;TDrate!H:H, TDrate!C:C), "N/A")</f>
        <v>N/A</v>
      </c>
      <c r="I1143" t="str" cm="1">
        <f t="array" ref="I1143">IFERROR(_xlfn.XLOOKUP(C1143&amp;A1143, TDrate!F:F&amp;TDrate!H:H, TDrate!E:E), "N/A")</f>
        <v>N/A</v>
      </c>
      <c r="J1143" cm="1">
        <f t="array" ref="J1143">IFERROR(_xlfn.XLOOKUP(C1143&amp;A1143, Inside5!B:B&amp;Inside5!I:I, Inside5!F:F), 0)</f>
        <v>0</v>
      </c>
      <c r="K1143" cm="1">
        <f t="array" aca="1" ref="K1143" ca="1">IFERROR(_xlfn.XLOOKUP(C1143&amp;A1143, Inside5!B:B&amp;Inside5!I:I, Inside5!G:G), 0)</f>
        <v>0</v>
      </c>
      <c r="L1143" cm="1">
        <f t="array" ref="L1143">IFERROR(_xlfn.XLOOKUP(C1143&amp;A1143, Inside5!B:B&amp;Inside5!I:I, Inside5!H:H), 0)</f>
        <v>0</v>
      </c>
      <c r="M1143" t="str" cm="1">
        <f t="array" ref="M1143">IFERROR(_xlfn.XLOOKUP(C1143&amp;A1143, TDrate!F:F&amp;TDrate!H:H, TDrate!B:B), "N/A")</f>
        <v>N/A</v>
      </c>
      <c r="N1143" t="str" cm="1">
        <f t="array" ref="N1143">IFERROR(_xlfn.XLOOKUP(C1143&amp;A1143, TDrate!F:F&amp;TDrate!H:H, TDrate!D:D), "N/A")</f>
        <v>N/A</v>
      </c>
    </row>
    <row r="1144" spans="1:14" x14ac:dyDescent="0.45">
      <c r="A1144" s="5">
        <v>2019</v>
      </c>
      <c r="B1144" s="6" t="s">
        <v>382</v>
      </c>
      <c r="C1144" s="7" t="str">
        <f t="shared" si="34"/>
        <v>Justice Hill</v>
      </c>
      <c r="D1144" s="7" t="str">
        <f t="shared" si="35"/>
        <v>BAL</v>
      </c>
      <c r="E1144" cm="1">
        <f t="array" ref="E1144">IFERROR(_xlfn.XLOOKUP(C1144&amp;A1144, Inside5!B:B&amp;Inside5!I:I, Inside5!C:C), 0)</f>
        <v>1</v>
      </c>
      <c r="F1144" cm="1">
        <f t="array" aca="1" ref="F1144" ca="1">IFERROR(_xlfn.XLOOKUP(C1144&amp;A1144, Inside5!B:B&amp;Inside5!I:I, Inside5!D:D), 0)</f>
        <v>0</v>
      </c>
      <c r="G1144" cm="1">
        <f t="array" ref="G1144">IFERROR(_xlfn.XLOOKUP(C1144&amp;A1144, Inside5!B:B&amp;Inside5!I:I, Inside5!E:E), 0)</f>
        <v>0.04</v>
      </c>
      <c r="H1144" cm="1">
        <f t="array" ref="H1144">IFERROR(_xlfn.XLOOKUP(C1144&amp;A1144, TDrate!F:F&amp;TDrate!H:H, TDrate!C:C), "N/A")</f>
        <v>3.4500000000000003E-2</v>
      </c>
      <c r="I1144" cm="1">
        <f t="array" ref="I1144">IFERROR(_xlfn.XLOOKUP(C1144&amp;A1144, TDrate!F:F&amp;TDrate!H:H, TDrate!E:E), "N/A")</f>
        <v>2.7099999999999999E-2</v>
      </c>
      <c r="J1144" cm="1">
        <f t="array" ref="J1144">IFERROR(_xlfn.XLOOKUP(C1144&amp;A1144, Inside5!B:B&amp;Inside5!I:I, Inside5!F:F), 0)</f>
        <v>0</v>
      </c>
      <c r="K1144" cm="1">
        <f t="array" ref="K1144">IFERROR(_xlfn.XLOOKUP(C1144&amp;A1144, Inside5!B:B&amp;Inside5!I:I, Inside5!G:G), 0)</f>
        <v>0</v>
      </c>
      <c r="L1144" cm="1">
        <f t="array" ref="L1144">IFERROR(_xlfn.XLOOKUP(C1144&amp;A1144, Inside5!B:B&amp;Inside5!I:I, Inside5!H:H), 0)</f>
        <v>0</v>
      </c>
      <c r="M1144" cm="1">
        <f t="array" ref="M1144">IFERROR(_xlfn.XLOOKUP(C1144&amp;A1144, TDrate!F:F&amp;TDrate!H:H, TDrate!B:B), "N/A")</f>
        <v>0</v>
      </c>
      <c r="N1144" cm="1">
        <f t="array" ref="N1144">IFERROR(_xlfn.XLOOKUP(C1144&amp;A1144, TDrate!F:F&amp;TDrate!H:H, TDrate!D:D), "N/A")</f>
        <v>1.9099999999999999E-2</v>
      </c>
    </row>
    <row r="1145" spans="1:14" x14ac:dyDescent="0.45">
      <c r="A1145" s="8">
        <v>2019</v>
      </c>
      <c r="B1145" s="9" t="s">
        <v>913</v>
      </c>
      <c r="C1145" s="10" t="str">
        <f t="shared" si="34"/>
        <v>Dion Lewis</v>
      </c>
      <c r="D1145" s="10" t="str">
        <f t="shared" si="35"/>
        <v>TEN</v>
      </c>
      <c r="E1145" cm="1">
        <f t="array" aca="1" ref="E1145" ca="1">IFERROR(_xlfn.XLOOKUP(C1145&amp;A1145, Inside5!B:B&amp;Inside5!I:I, Inside5!C:C), 0)</f>
        <v>0</v>
      </c>
      <c r="F1145" cm="1">
        <f t="array" aca="1" ref="F1145" ca="1">IFERROR(_xlfn.XLOOKUP(C1145&amp;A1145, Inside5!B:B&amp;Inside5!I:I, Inside5!D:D), 0)</f>
        <v>0</v>
      </c>
      <c r="G1145" cm="1">
        <f t="array" ref="G1145">IFERROR(_xlfn.XLOOKUP(C1145&amp;A1145, Inside5!B:B&amp;Inside5!I:I, Inside5!E:E), 0)</f>
        <v>0</v>
      </c>
      <c r="H1145" cm="1">
        <f t="array" ref="H1145">IFERROR(_xlfn.XLOOKUP(C1145&amp;A1145, TDrate!F:F&amp;TDrate!H:H, TDrate!C:C), "N/A")</f>
        <v>0</v>
      </c>
      <c r="I1145" cm="1">
        <f t="array" ref="I1145">IFERROR(_xlfn.XLOOKUP(C1145&amp;A1145, TDrate!F:F&amp;TDrate!H:H, TDrate!E:E), "N/A")</f>
        <v>2.8999999999999998E-3</v>
      </c>
      <c r="J1145" cm="1">
        <f t="array" ref="J1145">IFERROR(_xlfn.XLOOKUP(C1145&amp;A1145, Inside5!B:B&amp;Inside5!I:I, Inside5!F:F), 0)</f>
        <v>0</v>
      </c>
      <c r="K1145" cm="1">
        <f t="array" aca="1" ref="K1145" ca="1">IFERROR(_xlfn.XLOOKUP(C1145&amp;A1145, Inside5!B:B&amp;Inside5!I:I, Inside5!G:G), 0)</f>
        <v>0</v>
      </c>
      <c r="L1145" cm="1">
        <f t="array" ref="L1145">IFERROR(_xlfn.XLOOKUP(C1145&amp;A1145, Inside5!B:B&amp;Inside5!I:I, Inside5!H:H), 0)</f>
        <v>0</v>
      </c>
      <c r="M1145" cm="1">
        <f t="array" ref="M1145">IFERROR(_xlfn.XLOOKUP(C1145&amp;A1145, TDrate!F:F&amp;TDrate!H:H, TDrate!B:B), "N/A")</f>
        <v>3.1300000000000001E-2</v>
      </c>
      <c r="N1145" cm="1">
        <f t="array" ref="N1145">IFERROR(_xlfn.XLOOKUP(C1145&amp;A1145, TDrate!F:F&amp;TDrate!H:H, TDrate!D:D), "N/A")</f>
        <v>2.9700000000000001E-2</v>
      </c>
    </row>
    <row r="1146" spans="1:14" x14ac:dyDescent="0.45">
      <c r="A1146" s="5">
        <v>2019</v>
      </c>
      <c r="B1146" s="6" t="s">
        <v>914</v>
      </c>
      <c r="C1146" s="7" t="str">
        <f t="shared" si="34"/>
        <v>Dare Ogunbowale</v>
      </c>
      <c r="D1146" s="7" t="str">
        <f t="shared" si="35"/>
        <v>TB</v>
      </c>
      <c r="E1146" cm="1">
        <f t="array" ref="E1146">IFERROR(_xlfn.XLOOKUP(C1146&amp;A1146, Inside5!B:B&amp;Inside5!I:I, Inside5!C:C), 0)</f>
        <v>7</v>
      </c>
      <c r="F1146" cm="1">
        <f t="array" ref="F1146">IFERROR(_xlfn.XLOOKUP(C1146&amp;A1146, Inside5!B:B&amp;Inside5!I:I, Inside5!D:D), 0)</f>
        <v>2</v>
      </c>
      <c r="G1146" cm="1">
        <f t="array" ref="G1146">IFERROR(_xlfn.XLOOKUP(C1146&amp;A1146, Inside5!B:B&amp;Inside5!I:I, Inside5!E:E), 0)</f>
        <v>0.33300000000000002</v>
      </c>
      <c r="H1146" t="str" cm="1">
        <f t="array" ref="H1146">IFERROR(_xlfn.XLOOKUP(C1146&amp;A1146, TDrate!F:F&amp;TDrate!H:H, TDrate!C:C), "N/A")</f>
        <v>N/A</v>
      </c>
      <c r="I1146" t="str" cm="1">
        <f t="array" ref="I1146">IFERROR(_xlfn.XLOOKUP(C1146&amp;A1146, TDrate!F:F&amp;TDrate!H:H, TDrate!E:E), "N/A")</f>
        <v>N/A</v>
      </c>
      <c r="J1146" cm="1">
        <f t="array" ref="J1146">IFERROR(_xlfn.XLOOKUP(C1146&amp;A1146, Inside5!B:B&amp;Inside5!I:I, Inside5!F:F), 0)</f>
        <v>0</v>
      </c>
      <c r="K1146" cm="1">
        <f t="array" ref="K1146">IFERROR(_xlfn.XLOOKUP(C1146&amp;A1146, Inside5!B:B&amp;Inside5!I:I, Inside5!G:G), 0)</f>
        <v>2</v>
      </c>
      <c r="L1146" cm="1">
        <f t="array" ref="L1146">IFERROR(_xlfn.XLOOKUP(C1146&amp;A1146, Inside5!B:B&amp;Inside5!I:I, Inside5!H:H), 0)</f>
        <v>0</v>
      </c>
      <c r="M1146" t="str" cm="1">
        <f t="array" ref="M1146">IFERROR(_xlfn.XLOOKUP(C1146&amp;A1146, TDrate!F:F&amp;TDrate!H:H, TDrate!B:B), "N/A")</f>
        <v>N/A</v>
      </c>
      <c r="N1146" t="str" cm="1">
        <f t="array" ref="N1146">IFERROR(_xlfn.XLOOKUP(C1146&amp;A1146, TDrate!F:F&amp;TDrate!H:H, TDrate!D:D), "N/A")</f>
        <v>N/A</v>
      </c>
    </row>
    <row r="1147" spans="1:14" x14ac:dyDescent="0.45">
      <c r="A1147" s="8">
        <v>2019</v>
      </c>
      <c r="B1147" s="9" t="s">
        <v>826</v>
      </c>
      <c r="C1147" s="10" t="str">
        <f t="shared" si="34"/>
        <v>Giovani Bernard</v>
      </c>
      <c r="D1147" s="10" t="str">
        <f t="shared" si="35"/>
        <v>CIN</v>
      </c>
      <c r="E1147" cm="1">
        <f t="array" aca="1" ref="E1147" ca="1">IFERROR(_xlfn.XLOOKUP(C1147&amp;A1147, Inside5!B:B&amp;Inside5!I:I, Inside5!C:C), 0)</f>
        <v>1</v>
      </c>
      <c r="F1147" cm="1">
        <f t="array" aca="1" ref="F1147" ca="1">IFERROR(_xlfn.XLOOKUP(C1147&amp;A1147, Inside5!B:B&amp;Inside5!I:I, Inside5!D:D), 0)</f>
        <v>0</v>
      </c>
      <c r="G1147" cm="1">
        <f t="array" ref="G1147">IFERROR(_xlfn.XLOOKUP(C1147&amp;A1147, Inside5!B:B&amp;Inside5!I:I, Inside5!E:E), 0)</f>
        <v>6.3E-2</v>
      </c>
      <c r="H1147" cm="1">
        <f t="array" ref="H1147">IFERROR(_xlfn.XLOOKUP(C1147&amp;A1147, TDrate!F:F&amp;TDrate!H:H, TDrate!C:C), "N/A")</f>
        <v>0</v>
      </c>
      <c r="I1147" cm="1">
        <f t="array" ref="I1147">IFERROR(_xlfn.XLOOKUP(C1147&amp;A1147, TDrate!F:F&amp;TDrate!H:H, TDrate!E:E), "N/A")</f>
        <v>1.12E-2</v>
      </c>
      <c r="J1147" cm="1">
        <f t="array" ref="J1147">IFERROR(_xlfn.XLOOKUP(C1147&amp;A1147, Inside5!B:B&amp;Inside5!I:I, Inside5!F:F), 0)</f>
        <v>0</v>
      </c>
      <c r="K1147" cm="1">
        <f t="array" ref="K1147">IFERROR(_xlfn.XLOOKUP(C1147&amp;A1147, Inside5!B:B&amp;Inside5!I:I, Inside5!G:G), 0)</f>
        <v>1</v>
      </c>
      <c r="L1147" cm="1">
        <f t="array" ref="L1147">IFERROR(_xlfn.XLOOKUP(C1147&amp;A1147, Inside5!B:B&amp;Inside5!I:I, Inside5!H:H), 0)</f>
        <v>0</v>
      </c>
      <c r="M1147" cm="1">
        <f t="array" ref="M1147">IFERROR(_xlfn.XLOOKUP(C1147&amp;A1147, TDrate!F:F&amp;TDrate!H:H, TDrate!B:B), "N/A")</f>
        <v>0</v>
      </c>
      <c r="N1147" cm="1">
        <f t="array" ref="N1147">IFERROR(_xlfn.XLOOKUP(C1147&amp;A1147, TDrate!F:F&amp;TDrate!H:H, TDrate!D:D), "N/A")</f>
        <v>1.6899999999999998E-2</v>
      </c>
    </row>
    <row r="1148" spans="1:14" x14ac:dyDescent="0.45">
      <c r="A1148" s="5">
        <v>2019</v>
      </c>
      <c r="B1148" s="6" t="s">
        <v>915</v>
      </c>
      <c r="C1148" s="7" t="str">
        <f t="shared" si="34"/>
        <v>Kalen Ballage</v>
      </c>
      <c r="D1148" s="7" t="str">
        <f t="shared" si="35"/>
        <v>MIA</v>
      </c>
      <c r="E1148" cm="1">
        <f t="array" ref="E1148">IFERROR(_xlfn.XLOOKUP(C1148&amp;A1148, Inside5!B:B&amp;Inside5!I:I, Inside5!C:C), 0)</f>
        <v>7</v>
      </c>
      <c r="F1148" cm="1">
        <f t="array" ref="F1148">IFERROR(_xlfn.XLOOKUP(C1148&amp;A1148, Inside5!B:B&amp;Inside5!I:I, Inside5!D:D), 0)</f>
        <v>3</v>
      </c>
      <c r="G1148" cm="1">
        <f t="array" ref="G1148">IFERROR(_xlfn.XLOOKUP(C1148&amp;A1148, Inside5!B:B&amp;Inside5!I:I, Inside5!E:E), 0)</f>
        <v>0.38900000000000001</v>
      </c>
      <c r="H1148" cm="1">
        <f t="array" ref="H1148">IFERROR(_xlfn.XLOOKUP(C1148&amp;A1148, TDrate!F:F&amp;TDrate!H:H, TDrate!C:C), "N/A")</f>
        <v>4.0500000000000001E-2</v>
      </c>
      <c r="I1148" cm="1">
        <f t="array" ref="I1148">IFERROR(_xlfn.XLOOKUP(C1148&amp;A1148, TDrate!F:F&amp;TDrate!H:H, TDrate!E:E), "N/A")</f>
        <v>4.6800000000000001E-2</v>
      </c>
      <c r="J1148" cm="1">
        <f t="array" ref="J1148">IFERROR(_xlfn.XLOOKUP(C1148&amp;A1148, Inside5!B:B&amp;Inside5!I:I, Inside5!F:F), 0)</f>
        <v>0</v>
      </c>
      <c r="K1148" cm="1">
        <f t="array" ref="K1148">IFERROR(_xlfn.XLOOKUP(C1148&amp;A1148, Inside5!B:B&amp;Inside5!I:I, Inside5!G:G), 0)</f>
        <v>0</v>
      </c>
      <c r="L1148" cm="1">
        <f t="array" ref="L1148">IFERROR(_xlfn.XLOOKUP(C1148&amp;A1148, Inside5!B:B&amp;Inside5!I:I, Inside5!H:H), 0)</f>
        <v>0</v>
      </c>
      <c r="M1148" cm="1">
        <f t="array" ref="M1148">IFERROR(_xlfn.XLOOKUP(C1148&amp;A1148, TDrate!F:F&amp;TDrate!H:H, TDrate!B:B), "N/A")</f>
        <v>0</v>
      </c>
      <c r="N1148" cm="1">
        <f t="array" ref="N1148">IFERROR(_xlfn.XLOOKUP(C1148&amp;A1148, TDrate!F:F&amp;TDrate!H:H, TDrate!D:D), "N/A")</f>
        <v>1.47E-2</v>
      </c>
    </row>
    <row r="1149" spans="1:14" x14ac:dyDescent="0.45">
      <c r="A1149" s="8">
        <v>2019</v>
      </c>
      <c r="B1149" s="9" t="s">
        <v>823</v>
      </c>
      <c r="C1149" s="10" t="str">
        <f t="shared" si="34"/>
        <v>Wayne Gallman Jr.</v>
      </c>
      <c r="D1149" s="10" t="str">
        <f t="shared" si="35"/>
        <v>NYG</v>
      </c>
      <c r="E1149" cm="1">
        <f t="array" ref="E1149">IFERROR(_xlfn.XLOOKUP(C1149&amp;A1149, Inside5!B:B&amp;Inside5!I:I, Inside5!C:C), 0)</f>
        <v>4</v>
      </c>
      <c r="F1149" cm="1">
        <f t="array" ref="F1149">IFERROR(_xlfn.XLOOKUP(C1149&amp;A1149, Inside5!B:B&amp;Inside5!I:I, Inside5!D:D), 0)</f>
        <v>2</v>
      </c>
      <c r="G1149" cm="1">
        <f t="array" ref="G1149">IFERROR(_xlfn.XLOOKUP(C1149&amp;A1149, Inside5!B:B&amp;Inside5!I:I, Inside5!E:E), 0)</f>
        <v>0.28599999999999998</v>
      </c>
      <c r="H1149" cm="1">
        <f t="array" ref="H1149">IFERROR(_xlfn.XLOOKUP(C1149&amp;A1149, TDrate!F:F&amp;TDrate!H:H, TDrate!C:C), "N/A")</f>
        <v>6.9000000000000006E-2</v>
      </c>
      <c r="I1149" cm="1">
        <f t="array" ref="I1149">IFERROR(_xlfn.XLOOKUP(C1149&amp;A1149, TDrate!F:F&amp;TDrate!H:H, TDrate!E:E), "N/A")</f>
        <v>6.6100000000000006E-2</v>
      </c>
      <c r="J1149" cm="1">
        <f t="array" ref="J1149">IFERROR(_xlfn.XLOOKUP(C1149&amp;A1149, Inside5!B:B&amp;Inside5!I:I, Inside5!F:F), 0)</f>
        <v>0</v>
      </c>
      <c r="K1149" cm="1">
        <f t="array" ref="K1149">IFERROR(_xlfn.XLOOKUP(C1149&amp;A1149, Inside5!B:B&amp;Inside5!I:I, Inside5!G:G), 0)</f>
        <v>0</v>
      </c>
      <c r="L1149" cm="1">
        <f t="array" ref="L1149">IFERROR(_xlfn.XLOOKUP(C1149&amp;A1149, Inside5!B:B&amp;Inside5!I:I, Inside5!H:H), 0)</f>
        <v>0</v>
      </c>
      <c r="M1149" cm="1">
        <f t="array" ref="M1149">IFERROR(_xlfn.XLOOKUP(C1149&amp;A1149, TDrate!F:F&amp;TDrate!H:H, TDrate!B:B), "N/A")</f>
        <v>6.6699999999999995E-2</v>
      </c>
      <c r="N1149" cm="1">
        <f t="array" ref="N1149">IFERROR(_xlfn.XLOOKUP(C1149&amp;A1149, TDrate!F:F&amp;TDrate!H:H, TDrate!D:D), "N/A")</f>
        <v>5.0599999999999999E-2</v>
      </c>
    </row>
    <row r="1150" spans="1:14" x14ac:dyDescent="0.45">
      <c r="A1150" s="5">
        <v>2019</v>
      </c>
      <c r="B1150" s="6" t="s">
        <v>767</v>
      </c>
      <c r="C1150" s="7" t="str">
        <f t="shared" si="34"/>
        <v>Ryquell Armstead</v>
      </c>
      <c r="D1150" s="7" t="str">
        <f t="shared" si="35"/>
        <v>JAC</v>
      </c>
      <c r="E1150" cm="1">
        <f t="array" aca="1" ref="E1150" ca="1">IFERROR(_xlfn.XLOOKUP(C1150&amp;A1150, Inside5!B:B&amp;Inside5!I:I, Inside5!C:C), 0)</f>
        <v>1</v>
      </c>
      <c r="F1150" cm="1">
        <f t="array" aca="1" ref="F1150" ca="1">IFERROR(_xlfn.XLOOKUP(C1150&amp;A1150, Inside5!B:B&amp;Inside5!I:I, Inside5!D:D), 0)</f>
        <v>0</v>
      </c>
      <c r="G1150" cm="1">
        <f t="array" ref="G1150">IFERROR(_xlfn.XLOOKUP(C1150&amp;A1150, Inside5!B:B&amp;Inside5!I:I, Inside5!E:E), 0)</f>
        <v>0.111</v>
      </c>
      <c r="H1150" cm="1">
        <f t="array" ref="H1150">IFERROR(_xlfn.XLOOKUP(C1150&amp;A1150, TDrate!F:F&amp;TDrate!H:H, TDrate!C:C), "N/A")</f>
        <v>0</v>
      </c>
      <c r="I1150" cm="1">
        <f t="array" ref="I1150">IFERROR(_xlfn.XLOOKUP(C1150&amp;A1150, TDrate!F:F&amp;TDrate!H:H, TDrate!E:E), "N/A")</f>
        <v>1.47E-2</v>
      </c>
      <c r="J1150" cm="1">
        <f t="array" ref="J1150">IFERROR(_xlfn.XLOOKUP(C1150&amp;A1150, Inside5!B:B&amp;Inside5!I:I, Inside5!F:F), 0)</f>
        <v>0</v>
      </c>
      <c r="K1150" cm="1">
        <f t="array" aca="1" ref="K1150" ca="1">IFERROR(_xlfn.XLOOKUP(C1150&amp;A1150, Inside5!B:B&amp;Inside5!I:I, Inside5!G:G), 0)</f>
        <v>0</v>
      </c>
      <c r="L1150" cm="1">
        <f t="array" ref="L1150">IFERROR(_xlfn.XLOOKUP(C1150&amp;A1150, Inside5!B:B&amp;Inside5!I:I, Inside5!H:H), 0)</f>
        <v>0</v>
      </c>
      <c r="M1150" cm="1">
        <f t="array" ref="M1150">IFERROR(_xlfn.XLOOKUP(C1150&amp;A1150, TDrate!F:F&amp;TDrate!H:H, TDrate!B:B), "N/A")</f>
        <v>8.3299999999999999E-2</v>
      </c>
      <c r="N1150" cm="1">
        <f t="array" ref="N1150">IFERROR(_xlfn.XLOOKUP(C1150&amp;A1150, TDrate!F:F&amp;TDrate!H:H, TDrate!D:D), "N/A")</f>
        <v>6.7599999999999993E-2</v>
      </c>
    </row>
    <row r="1151" spans="1:14" x14ac:dyDescent="0.45">
      <c r="A1151" s="8">
        <v>2019</v>
      </c>
      <c r="B1151" s="9" t="s">
        <v>916</v>
      </c>
      <c r="C1151" s="10" t="str">
        <f t="shared" si="34"/>
        <v>Ty Johnson</v>
      </c>
      <c r="D1151" s="10" t="str">
        <f t="shared" si="35"/>
        <v>DET</v>
      </c>
      <c r="E1151" cm="1">
        <f t="array" aca="1" ref="E1151" ca="1">IFERROR(_xlfn.XLOOKUP(C1151&amp;A1151, Inside5!B:B&amp;Inside5!I:I, Inside5!C:C), 0)</f>
        <v>1</v>
      </c>
      <c r="F1151" cm="1">
        <f t="array" aca="1" ref="F1151" ca="1">IFERROR(_xlfn.XLOOKUP(C1151&amp;A1151, Inside5!B:B&amp;Inside5!I:I, Inside5!D:D), 0)</f>
        <v>0</v>
      </c>
      <c r="G1151" cm="1">
        <f t="array" ref="G1151">IFERROR(_xlfn.XLOOKUP(C1151&amp;A1151, Inside5!B:B&amp;Inside5!I:I, Inside5!E:E), 0)</f>
        <v>6.7000000000000004E-2</v>
      </c>
      <c r="H1151" cm="1">
        <f t="array" ref="H1151">IFERROR(_xlfn.XLOOKUP(C1151&amp;A1151, TDrate!F:F&amp;TDrate!H:H, TDrate!C:C), "N/A")</f>
        <v>0</v>
      </c>
      <c r="I1151" cm="1">
        <f t="array" ref="I1151">IFERROR(_xlfn.XLOOKUP(C1151&amp;A1151, TDrate!F:F&amp;TDrate!H:H, TDrate!E:E), "N/A")</f>
        <v>0.01</v>
      </c>
      <c r="J1151" cm="1">
        <f t="array" ref="J1151">IFERROR(_xlfn.XLOOKUP(C1151&amp;A1151, Inside5!B:B&amp;Inside5!I:I, Inside5!F:F), 0)</f>
        <v>0</v>
      </c>
      <c r="K1151" cm="1">
        <f t="array" aca="1" ref="K1151" ca="1">IFERROR(_xlfn.XLOOKUP(C1151&amp;A1151, Inside5!B:B&amp;Inside5!I:I, Inside5!G:G), 0)</f>
        <v>0</v>
      </c>
      <c r="L1151" cm="1">
        <f t="array" ref="L1151">IFERROR(_xlfn.XLOOKUP(C1151&amp;A1151, Inside5!B:B&amp;Inside5!I:I, Inside5!H:H), 0)</f>
        <v>0</v>
      </c>
      <c r="M1151" cm="1">
        <f t="array" ref="M1151">IFERROR(_xlfn.XLOOKUP(C1151&amp;A1151, TDrate!F:F&amp;TDrate!H:H, TDrate!B:B), "N/A")</f>
        <v>0</v>
      </c>
      <c r="N1151" cm="1">
        <f t="array" ref="N1151">IFERROR(_xlfn.XLOOKUP(C1151&amp;A1151, TDrate!F:F&amp;TDrate!H:H, TDrate!D:D), "N/A")</f>
        <v>9.1000000000000004E-3</v>
      </c>
    </row>
    <row r="1152" spans="1:14" x14ac:dyDescent="0.45">
      <c r="A1152" s="5">
        <v>2019</v>
      </c>
      <c r="B1152" s="6" t="s">
        <v>917</v>
      </c>
      <c r="C1152" s="7" t="str">
        <f t="shared" si="34"/>
        <v>Jonathan Williams</v>
      </c>
      <c r="D1152" s="7" t="str">
        <f t="shared" si="35"/>
        <v>IND</v>
      </c>
      <c r="E1152" cm="1">
        <f t="array" aca="1" ref="E1152" ca="1">IFERROR(_xlfn.XLOOKUP(C1152&amp;A1152, Inside5!B:B&amp;Inside5!I:I, Inside5!C:C), 0)</f>
        <v>1</v>
      </c>
      <c r="F1152" cm="1">
        <f t="array" aca="1" ref="F1152" ca="1">IFERROR(_xlfn.XLOOKUP(C1152&amp;A1152, Inside5!B:B&amp;Inside5!I:I, Inside5!D:D), 0)</f>
        <v>0</v>
      </c>
      <c r="G1152" cm="1">
        <f t="array" ref="G1152">IFERROR(_xlfn.XLOOKUP(C1152&amp;A1152, Inside5!B:B&amp;Inside5!I:I, Inside5!E:E), 0)</f>
        <v>7.0999999999999994E-2</v>
      </c>
      <c r="H1152" cm="1">
        <f t="array" ref="H1152">IFERROR(_xlfn.XLOOKUP(C1152&amp;A1152, TDrate!F:F&amp;TDrate!H:H, TDrate!C:C), "N/A")</f>
        <v>2.0400000000000001E-2</v>
      </c>
      <c r="I1152" cm="1">
        <f t="array" ref="I1152">IFERROR(_xlfn.XLOOKUP(C1152&amp;A1152, TDrate!F:F&amp;TDrate!H:H, TDrate!E:E), "N/A")</f>
        <v>2.06E-2</v>
      </c>
      <c r="J1152" cm="1">
        <f t="array" ref="J1152">IFERROR(_xlfn.XLOOKUP(C1152&amp;A1152, Inside5!B:B&amp;Inside5!I:I, Inside5!F:F), 0)</f>
        <v>0</v>
      </c>
      <c r="K1152" cm="1">
        <f t="array" ref="K1152">IFERROR(_xlfn.XLOOKUP(C1152&amp;A1152, Inside5!B:B&amp;Inside5!I:I, Inside5!G:G), 0)</f>
        <v>0</v>
      </c>
      <c r="L1152" cm="1">
        <f t="array" ref="L1152">IFERROR(_xlfn.XLOOKUP(C1152&amp;A1152, Inside5!B:B&amp;Inside5!I:I, Inside5!H:H), 0)</f>
        <v>0</v>
      </c>
      <c r="M1152" cm="1">
        <f t="array" ref="M1152">IFERROR(_xlfn.XLOOKUP(C1152&amp;A1152, TDrate!F:F&amp;TDrate!H:H, TDrate!B:B), "N/A")</f>
        <v>0</v>
      </c>
      <c r="N1152" cm="1">
        <f t="array" ref="N1152">IFERROR(_xlfn.XLOOKUP(C1152&amp;A1152, TDrate!F:F&amp;TDrate!H:H, TDrate!D:D), "N/A")</f>
        <v>1.6999999999999999E-3</v>
      </c>
    </row>
    <row r="1153" spans="1:14" x14ac:dyDescent="0.45">
      <c r="A1153" s="8">
        <v>2019</v>
      </c>
      <c r="B1153" s="9" t="s">
        <v>469</v>
      </c>
      <c r="C1153" s="10" t="str">
        <f t="shared" si="34"/>
        <v>Kyle Juszczyk</v>
      </c>
      <c r="D1153" s="10" t="str">
        <f t="shared" si="35"/>
        <v>SF</v>
      </c>
      <c r="E1153" cm="1">
        <f t="array" aca="1" ref="E1153" ca="1">IFERROR(_xlfn.XLOOKUP(C1153&amp;A1153, Inside5!B:B&amp;Inside5!I:I, Inside5!C:C), 0)</f>
        <v>1</v>
      </c>
      <c r="F1153" cm="1">
        <f t="array" aca="1" ref="F1153" ca="1">IFERROR(_xlfn.XLOOKUP(C1153&amp;A1153, Inside5!B:B&amp;Inside5!I:I, Inside5!D:D), 0)</f>
        <v>0</v>
      </c>
      <c r="G1153" cm="1">
        <f t="array" ref="G1153">IFERROR(_xlfn.XLOOKUP(C1153&amp;A1153, Inside5!B:B&amp;Inside5!I:I, Inside5!E:E), 0)</f>
        <v>0.05</v>
      </c>
      <c r="H1153" t="str" cm="1">
        <f t="array" ref="H1153">IFERROR(_xlfn.XLOOKUP(C1153&amp;A1153, TDrate!F:F&amp;TDrate!H:H, TDrate!C:C), "N/A")</f>
        <v>N/A</v>
      </c>
      <c r="I1153" t="str" cm="1">
        <f t="array" ref="I1153">IFERROR(_xlfn.XLOOKUP(C1153&amp;A1153, TDrate!F:F&amp;TDrate!H:H, TDrate!E:E), "N/A")</f>
        <v>N/A</v>
      </c>
      <c r="J1153" cm="1">
        <f t="array" ref="J1153">IFERROR(_xlfn.XLOOKUP(C1153&amp;A1153, Inside5!B:B&amp;Inside5!I:I, Inside5!F:F), 0)</f>
        <v>2</v>
      </c>
      <c r="K1153" cm="1">
        <f t="array" ref="K1153">IFERROR(_xlfn.XLOOKUP(C1153&amp;A1153, Inside5!B:B&amp;Inside5!I:I, Inside5!G:G), 0)</f>
        <v>2</v>
      </c>
      <c r="L1153" cm="1">
        <f t="array" ref="L1153">IFERROR(_xlfn.XLOOKUP(C1153&amp;A1153, Inside5!B:B&amp;Inside5!I:I, Inside5!H:H), 0)</f>
        <v>1</v>
      </c>
      <c r="M1153" t="str" cm="1">
        <f t="array" ref="M1153">IFERROR(_xlfn.XLOOKUP(C1153&amp;A1153, TDrate!F:F&amp;TDrate!H:H, TDrate!B:B), "N/A")</f>
        <v>N/A</v>
      </c>
      <c r="N1153" t="str" cm="1">
        <f t="array" ref="N1153">IFERROR(_xlfn.XLOOKUP(C1153&amp;A1153, TDrate!F:F&amp;TDrate!H:H, TDrate!D:D), "N/A")</f>
        <v>N/A</v>
      </c>
    </row>
    <row r="1154" spans="1:14" x14ac:dyDescent="0.45">
      <c r="A1154" s="5">
        <v>2019</v>
      </c>
      <c r="B1154" s="6" t="s">
        <v>761</v>
      </c>
      <c r="C1154" s="7" t="str">
        <f t="shared" ref="C1154:C1217" si="36">TRIM(LEFT(B1154, LEN(B1154) - LEN(TRIM(RIGHT(SUBSTITUTE(TRIM(B1154)," ",REPT(" ",100)),100)))))</f>
        <v>Qadree Ollison</v>
      </c>
      <c r="D1154" s="7" t="str">
        <f t="shared" ref="D1154:D1217" si="37">MID(B1154, FIND("(", B1154) + 1, FIND(")", B1154) - FIND("(", B1154) - 1)</f>
        <v>ATL</v>
      </c>
      <c r="E1154" cm="1">
        <f t="array" ref="E1154">IFERROR(_xlfn.XLOOKUP(C1154&amp;A1154, Inside5!B:B&amp;Inside5!I:I, Inside5!C:C), 0)</f>
        <v>6</v>
      </c>
      <c r="F1154" cm="1">
        <f t="array" ref="F1154">IFERROR(_xlfn.XLOOKUP(C1154&amp;A1154, Inside5!B:B&amp;Inside5!I:I, Inside5!D:D), 0)</f>
        <v>4</v>
      </c>
      <c r="G1154" cm="1">
        <f t="array" ref="G1154">IFERROR(_xlfn.XLOOKUP(C1154&amp;A1154, Inside5!B:B&amp;Inside5!I:I, Inside5!E:E), 0)</f>
        <v>0.46200000000000002</v>
      </c>
      <c r="H1154" t="str" cm="1">
        <f t="array" ref="H1154">IFERROR(_xlfn.XLOOKUP(C1154&amp;A1154, TDrate!F:F&amp;TDrate!H:H, TDrate!C:C), "N/A")</f>
        <v>N/A</v>
      </c>
      <c r="I1154" t="str" cm="1">
        <f t="array" ref="I1154">IFERROR(_xlfn.XLOOKUP(C1154&amp;A1154, TDrate!F:F&amp;TDrate!H:H, TDrate!E:E), "N/A")</f>
        <v>N/A</v>
      </c>
      <c r="J1154" cm="1">
        <f t="array" ref="J1154">IFERROR(_xlfn.XLOOKUP(C1154&amp;A1154, Inside5!B:B&amp;Inside5!I:I, Inside5!F:F), 0)</f>
        <v>0</v>
      </c>
      <c r="K1154" cm="1">
        <f t="array" ref="K1154">IFERROR(_xlfn.XLOOKUP(C1154&amp;A1154, Inside5!B:B&amp;Inside5!I:I, Inside5!G:G), 0)</f>
        <v>0</v>
      </c>
      <c r="L1154" cm="1">
        <f t="array" ref="L1154">IFERROR(_xlfn.XLOOKUP(C1154&amp;A1154, Inside5!B:B&amp;Inside5!I:I, Inside5!H:H), 0)</f>
        <v>0</v>
      </c>
      <c r="M1154" t="str" cm="1">
        <f t="array" ref="M1154">IFERROR(_xlfn.XLOOKUP(C1154&amp;A1154, TDrate!F:F&amp;TDrate!H:H, TDrate!B:B), "N/A")</f>
        <v>N/A</v>
      </c>
      <c r="N1154" t="str" cm="1">
        <f t="array" ref="N1154">IFERROR(_xlfn.XLOOKUP(C1154&amp;A1154, TDrate!F:F&amp;TDrate!H:H, TDrate!D:D), "N/A")</f>
        <v>N/A</v>
      </c>
    </row>
    <row r="1155" spans="1:14" x14ac:dyDescent="0.45">
      <c r="A1155" s="8">
        <v>2019</v>
      </c>
      <c r="B1155" s="9" t="s">
        <v>918</v>
      </c>
      <c r="C1155" s="10" t="str">
        <f t="shared" si="36"/>
        <v>Mark Walton</v>
      </c>
      <c r="D1155" s="10" t="str">
        <f t="shared" si="37"/>
        <v>MIA</v>
      </c>
      <c r="E1155" cm="1">
        <f t="array" aca="1" ref="E1155" ca="1">IFERROR(_xlfn.XLOOKUP(C1155&amp;A1155, Inside5!B:B&amp;Inside5!I:I, Inside5!C:C), 0)</f>
        <v>2</v>
      </c>
      <c r="F1155" cm="1">
        <f t="array" ref="F1155">IFERROR(_xlfn.XLOOKUP(C1155&amp;A1155, Inside5!B:B&amp;Inside5!I:I, Inside5!D:D), 0)</f>
        <v>0</v>
      </c>
      <c r="G1155" cm="1">
        <f t="array" ref="G1155">IFERROR(_xlfn.XLOOKUP(C1155&amp;A1155, Inside5!B:B&amp;Inside5!I:I, Inside5!E:E), 0)</f>
        <v>0.111</v>
      </c>
      <c r="H1155" cm="1">
        <f t="array" ref="H1155">IFERROR(_xlfn.XLOOKUP(C1155&amp;A1155, TDrate!F:F&amp;TDrate!H:H, TDrate!C:C), "N/A")</f>
        <v>0</v>
      </c>
      <c r="I1155" cm="1">
        <f t="array" ref="I1155">IFERROR(_xlfn.XLOOKUP(C1155&amp;A1155, TDrate!F:F&amp;TDrate!H:H, TDrate!E:E), "N/A")</f>
        <v>1.03E-2</v>
      </c>
      <c r="J1155" cm="1">
        <f t="array" ref="J1155">IFERROR(_xlfn.XLOOKUP(C1155&amp;A1155, Inside5!B:B&amp;Inside5!I:I, Inside5!F:F), 0)</f>
        <v>0</v>
      </c>
      <c r="K1155" cm="1">
        <f t="array" ref="K1155">IFERROR(_xlfn.XLOOKUP(C1155&amp;A1155, Inside5!B:B&amp;Inside5!I:I, Inside5!G:G), 0)</f>
        <v>0</v>
      </c>
      <c r="L1155" cm="1">
        <f t="array" ref="L1155">IFERROR(_xlfn.XLOOKUP(C1155&amp;A1155, Inside5!B:B&amp;Inside5!I:I, Inside5!H:H), 0)</f>
        <v>0</v>
      </c>
      <c r="M1155" cm="1">
        <f t="array" ref="M1155">IFERROR(_xlfn.XLOOKUP(C1155&amp;A1155, TDrate!F:F&amp;TDrate!H:H, TDrate!B:B), "N/A")</f>
        <v>0</v>
      </c>
      <c r="N1155" cm="1">
        <f t="array" ref="N1155">IFERROR(_xlfn.XLOOKUP(C1155&amp;A1155, TDrate!F:F&amp;TDrate!H:H, TDrate!D:D), "N/A")</f>
        <v>7.4000000000000003E-3</v>
      </c>
    </row>
    <row r="1156" spans="1:14" x14ac:dyDescent="0.45">
      <c r="A1156" s="5">
        <v>2019</v>
      </c>
      <c r="B1156" s="6" t="s">
        <v>919</v>
      </c>
      <c r="C1156" s="7" t="str">
        <f t="shared" si="36"/>
        <v>Bilal Powell</v>
      </c>
      <c r="D1156" s="7" t="str">
        <f t="shared" si="37"/>
        <v>NYJ</v>
      </c>
      <c r="E1156" cm="1">
        <f t="array" ref="E1156">IFERROR(_xlfn.XLOOKUP(C1156&amp;A1156, Inside5!B:B&amp;Inside5!I:I, Inside5!C:C), 0)</f>
        <v>0</v>
      </c>
      <c r="F1156" cm="1">
        <f t="array" ref="F1156">IFERROR(_xlfn.XLOOKUP(C1156&amp;A1156, Inside5!B:B&amp;Inside5!I:I, Inside5!D:D), 0)</f>
        <v>0</v>
      </c>
      <c r="G1156" cm="1">
        <f t="array" ref="G1156">IFERROR(_xlfn.XLOOKUP(C1156&amp;A1156, Inside5!B:B&amp;Inside5!I:I, Inside5!E:E), 0)</f>
        <v>0</v>
      </c>
      <c r="H1156" cm="1">
        <f t="array" ref="H1156">IFERROR(_xlfn.XLOOKUP(C1156&amp;A1156, TDrate!F:F&amp;TDrate!H:H, TDrate!C:C), "N/A")</f>
        <v>0</v>
      </c>
      <c r="I1156" cm="1">
        <f t="array" ref="I1156">IFERROR(_xlfn.XLOOKUP(C1156&amp;A1156, TDrate!F:F&amp;TDrate!H:H, TDrate!E:E), "N/A")</f>
        <v>4.4000000000000003E-3</v>
      </c>
      <c r="J1156" cm="1">
        <f t="array" ref="J1156">IFERROR(_xlfn.XLOOKUP(C1156&amp;A1156, Inside5!B:B&amp;Inside5!I:I, Inside5!F:F), 0)</f>
        <v>0</v>
      </c>
      <c r="K1156" cm="1">
        <f t="array" aca="1" ref="K1156" ca="1">IFERROR(_xlfn.XLOOKUP(C1156&amp;A1156, Inside5!B:B&amp;Inside5!I:I, Inside5!G:G), 0)</f>
        <v>0</v>
      </c>
      <c r="L1156" cm="1">
        <f t="array" ref="L1156">IFERROR(_xlfn.XLOOKUP(C1156&amp;A1156, Inside5!B:B&amp;Inside5!I:I, Inside5!H:H), 0)</f>
        <v>0</v>
      </c>
      <c r="M1156" cm="1">
        <f t="array" ref="M1156">IFERROR(_xlfn.XLOOKUP(C1156&amp;A1156, TDrate!F:F&amp;TDrate!H:H, TDrate!B:B), "N/A")</f>
        <v>0</v>
      </c>
      <c r="N1156" cm="1">
        <f t="array" ref="N1156">IFERROR(_xlfn.XLOOKUP(C1156&amp;A1156, TDrate!F:F&amp;TDrate!H:H, TDrate!D:D), "N/A")</f>
        <v>1.29E-2</v>
      </c>
    </row>
    <row r="1157" spans="1:14" x14ac:dyDescent="0.45">
      <c r="A1157" s="8">
        <v>2019</v>
      </c>
      <c r="B1157" s="9" t="s">
        <v>920</v>
      </c>
      <c r="C1157" s="10" t="str">
        <f t="shared" si="36"/>
        <v>Dontrell Hilliard</v>
      </c>
      <c r="D1157" s="10" t="str">
        <f t="shared" si="37"/>
        <v>CLE</v>
      </c>
      <c r="E1157" cm="1">
        <f t="array" aca="1" ref="E1157" ca="1">IFERROR(_xlfn.XLOOKUP(C1157&amp;A1157, Inside5!B:B&amp;Inside5!I:I, Inside5!C:C), 0)</f>
        <v>2</v>
      </c>
      <c r="F1157" cm="1">
        <f t="array" aca="1" ref="F1157" ca="1">IFERROR(_xlfn.XLOOKUP(C1157&amp;A1157, Inside5!B:B&amp;Inside5!I:I, Inside5!D:D), 0)</f>
        <v>2</v>
      </c>
      <c r="G1157" cm="1">
        <f t="array" ref="G1157">IFERROR(_xlfn.XLOOKUP(C1157&amp;A1157, Inside5!B:B&amp;Inside5!I:I, Inside5!E:E), 0)</f>
        <v>0.105</v>
      </c>
      <c r="H1157" t="str" cm="1">
        <f t="array" ref="H1157">IFERROR(_xlfn.XLOOKUP(C1157&amp;A1157, TDrate!F:F&amp;TDrate!H:H, TDrate!C:C), "N/A")</f>
        <v>N/A</v>
      </c>
      <c r="I1157" t="str" cm="1">
        <f t="array" ref="I1157">IFERROR(_xlfn.XLOOKUP(C1157&amp;A1157, TDrate!F:F&amp;TDrate!H:H, TDrate!E:E), "N/A")</f>
        <v>N/A</v>
      </c>
      <c r="J1157" cm="1">
        <f t="array" ref="J1157">IFERROR(_xlfn.XLOOKUP(C1157&amp;A1157, Inside5!B:B&amp;Inside5!I:I, Inside5!F:F), 0)</f>
        <v>0</v>
      </c>
      <c r="K1157" cm="1">
        <f t="array" ref="K1157">IFERROR(_xlfn.XLOOKUP(C1157&amp;A1157, Inside5!B:B&amp;Inside5!I:I, Inside5!G:G), 0)</f>
        <v>0</v>
      </c>
      <c r="L1157" cm="1">
        <f t="array" ref="L1157">IFERROR(_xlfn.XLOOKUP(C1157&amp;A1157, Inside5!B:B&amp;Inside5!I:I, Inside5!H:H), 0)</f>
        <v>0</v>
      </c>
      <c r="M1157" t="str" cm="1">
        <f t="array" ref="M1157">IFERROR(_xlfn.XLOOKUP(C1157&amp;A1157, TDrate!F:F&amp;TDrate!H:H, TDrate!B:B), "N/A")</f>
        <v>N/A</v>
      </c>
      <c r="N1157" t="str" cm="1">
        <f t="array" ref="N1157">IFERROR(_xlfn.XLOOKUP(C1157&amp;A1157, TDrate!F:F&amp;TDrate!H:H, TDrate!D:D), "N/A")</f>
        <v>N/A</v>
      </c>
    </row>
    <row r="1158" spans="1:14" x14ac:dyDescent="0.45">
      <c r="A1158" s="5">
        <v>2019</v>
      </c>
      <c r="B1158" s="6" t="s">
        <v>842</v>
      </c>
      <c r="C1158" s="7" t="str">
        <f t="shared" si="36"/>
        <v>Ito Smith</v>
      </c>
      <c r="D1158" s="7" t="str">
        <f t="shared" si="37"/>
        <v>ATL</v>
      </c>
      <c r="E1158" cm="1">
        <f t="array" aca="1" ref="E1158" ca="1">IFERROR(_xlfn.XLOOKUP(C1158&amp;A1158, Inside5!B:B&amp;Inside5!I:I, Inside5!C:C), 0)</f>
        <v>4</v>
      </c>
      <c r="F1158" cm="1">
        <f t="array" aca="1" ref="F1158" ca="1">IFERROR(_xlfn.XLOOKUP(C1158&amp;A1158, Inside5!B:B&amp;Inside5!I:I, Inside5!D:D), 0)</f>
        <v>1</v>
      </c>
      <c r="G1158" cm="1">
        <f t="array" ref="G1158">IFERROR(_xlfn.XLOOKUP(C1158&amp;A1158, Inside5!B:B&amp;Inside5!I:I, Inside5!E:E), 0)</f>
        <v>0.308</v>
      </c>
      <c r="H1158" t="str" cm="1">
        <f t="array" ref="H1158">IFERROR(_xlfn.XLOOKUP(C1158&amp;A1158, TDrate!F:F&amp;TDrate!H:H, TDrate!C:C), "N/A")</f>
        <v>N/A</v>
      </c>
      <c r="I1158" t="str" cm="1">
        <f t="array" ref="I1158">IFERROR(_xlfn.XLOOKUP(C1158&amp;A1158, TDrate!F:F&amp;TDrate!H:H, TDrate!E:E), "N/A")</f>
        <v>N/A</v>
      </c>
      <c r="J1158" cm="1">
        <f t="array" ref="J1158">IFERROR(_xlfn.XLOOKUP(C1158&amp;A1158, Inside5!B:B&amp;Inside5!I:I, Inside5!F:F), 0)</f>
        <v>0</v>
      </c>
      <c r="K1158" cm="1">
        <f t="array" ref="K1158">IFERROR(_xlfn.XLOOKUP(C1158&amp;A1158, Inside5!B:B&amp;Inside5!I:I, Inside5!G:G), 0)</f>
        <v>0</v>
      </c>
      <c r="L1158" cm="1">
        <f t="array" ref="L1158">IFERROR(_xlfn.XLOOKUP(C1158&amp;A1158, Inside5!B:B&amp;Inside5!I:I, Inside5!H:H), 0)</f>
        <v>0</v>
      </c>
      <c r="M1158" t="str" cm="1">
        <f t="array" ref="M1158">IFERROR(_xlfn.XLOOKUP(C1158&amp;A1158, TDrate!F:F&amp;TDrate!H:H, TDrate!B:B), "N/A")</f>
        <v>N/A</v>
      </c>
      <c r="N1158" t="str" cm="1">
        <f t="array" ref="N1158">IFERROR(_xlfn.XLOOKUP(C1158&amp;A1158, TDrate!F:F&amp;TDrate!H:H, TDrate!D:D), "N/A")</f>
        <v>N/A</v>
      </c>
    </row>
    <row r="1159" spans="1:14" x14ac:dyDescent="0.45">
      <c r="A1159" s="8">
        <v>2019</v>
      </c>
      <c r="B1159" s="9" t="s">
        <v>845</v>
      </c>
      <c r="C1159" s="10" t="str">
        <f t="shared" si="36"/>
        <v>Cordarrelle Patterson</v>
      </c>
      <c r="D1159" s="10" t="str">
        <f t="shared" si="37"/>
        <v>CHI</v>
      </c>
      <c r="E1159" cm="1">
        <f t="array" aca="1" ref="E1159" ca="1">IFERROR(_xlfn.XLOOKUP(C1159&amp;A1159, Inside5!B:B&amp;Inside5!I:I, Inside5!C:C), 0)</f>
        <v>0</v>
      </c>
      <c r="F1159" cm="1">
        <f t="array" aca="1" ref="F1159" ca="1">IFERROR(_xlfn.XLOOKUP(C1159&amp;A1159, Inside5!B:B&amp;Inside5!I:I, Inside5!D:D), 0)</f>
        <v>0</v>
      </c>
      <c r="G1159" cm="1">
        <f t="array" ref="G1159">IFERROR(_xlfn.XLOOKUP(C1159&amp;A1159, Inside5!B:B&amp;Inside5!I:I, Inside5!E:E), 0)</f>
        <v>0</v>
      </c>
      <c r="H1159" t="str" cm="1">
        <f t="array" ref="H1159">IFERROR(_xlfn.XLOOKUP(C1159&amp;A1159, TDrate!F:F&amp;TDrate!H:H, TDrate!C:C), "N/A")</f>
        <v>N/A</v>
      </c>
      <c r="I1159" t="str" cm="1">
        <f t="array" ref="I1159">IFERROR(_xlfn.XLOOKUP(C1159&amp;A1159, TDrate!F:F&amp;TDrate!H:H, TDrate!E:E), "N/A")</f>
        <v>N/A</v>
      </c>
      <c r="J1159" cm="1">
        <f t="array" ref="J1159">IFERROR(_xlfn.XLOOKUP(C1159&amp;A1159, Inside5!B:B&amp;Inside5!I:I, Inside5!F:F), 0)</f>
        <v>2</v>
      </c>
      <c r="K1159" cm="1">
        <f t="array" aca="1" ref="K1159" ca="1">IFERROR(_xlfn.XLOOKUP(C1159&amp;A1159, Inside5!B:B&amp;Inside5!I:I, Inside5!G:G), 0)</f>
        <v>2</v>
      </c>
      <c r="L1159" cm="1">
        <f t="array" ref="L1159">IFERROR(_xlfn.XLOOKUP(C1159&amp;A1159, Inside5!B:B&amp;Inside5!I:I, Inside5!H:H), 0)</f>
        <v>0</v>
      </c>
      <c r="M1159" t="str" cm="1">
        <f t="array" ref="M1159">IFERROR(_xlfn.XLOOKUP(C1159&amp;A1159, TDrate!F:F&amp;TDrate!H:H, TDrate!B:B), "N/A")</f>
        <v>N/A</v>
      </c>
      <c r="N1159" t="str" cm="1">
        <f t="array" ref="N1159">IFERROR(_xlfn.XLOOKUP(C1159&amp;A1159, TDrate!F:F&amp;TDrate!H:H, TDrate!D:D), "N/A")</f>
        <v>N/A</v>
      </c>
    </row>
    <row r="1160" spans="1:14" x14ac:dyDescent="0.45">
      <c r="A1160" s="5">
        <v>2019</v>
      </c>
      <c r="B1160" s="6" t="s">
        <v>680</v>
      </c>
      <c r="C1160" s="7" t="str">
        <f t="shared" si="36"/>
        <v>Myles Gaskin</v>
      </c>
      <c r="D1160" s="7" t="str">
        <f t="shared" si="37"/>
        <v>MIA</v>
      </c>
      <c r="E1160" cm="1">
        <f t="array" aca="1" ref="E1160" ca="1">IFERROR(_xlfn.XLOOKUP(C1160&amp;A1160, Inside5!B:B&amp;Inside5!I:I, Inside5!C:C), 0)</f>
        <v>1</v>
      </c>
      <c r="F1160" cm="1">
        <f t="array" aca="1" ref="F1160" ca="1">IFERROR(_xlfn.XLOOKUP(C1160&amp;A1160, Inside5!B:B&amp;Inside5!I:I, Inside5!D:D), 0)</f>
        <v>1</v>
      </c>
      <c r="G1160" cm="1">
        <f t="array" ref="G1160">IFERROR(_xlfn.XLOOKUP(C1160&amp;A1160, Inside5!B:B&amp;Inside5!I:I, Inside5!E:E), 0)</f>
        <v>5.6000000000000001E-2</v>
      </c>
      <c r="H1160" cm="1">
        <f t="array" ref="H1160">IFERROR(_xlfn.XLOOKUP(C1160&amp;A1160, TDrate!F:F&amp;TDrate!H:H, TDrate!C:C), "N/A")</f>
        <v>2.7799999999999998E-2</v>
      </c>
      <c r="I1160" cm="1">
        <f t="array" ref="I1160">IFERROR(_xlfn.XLOOKUP(C1160&amp;A1160, TDrate!F:F&amp;TDrate!H:H, TDrate!E:E), "N/A")</f>
        <v>2.58E-2</v>
      </c>
      <c r="J1160" cm="1">
        <f t="array" ref="J1160">IFERROR(_xlfn.XLOOKUP(C1160&amp;A1160, Inside5!B:B&amp;Inside5!I:I, Inside5!F:F), 0)</f>
        <v>1</v>
      </c>
      <c r="K1160" cm="1">
        <f t="array" aca="1" ref="K1160" ca="1">IFERROR(_xlfn.XLOOKUP(C1160&amp;A1160, Inside5!B:B&amp;Inside5!I:I, Inside5!G:G), 0)</f>
        <v>1</v>
      </c>
      <c r="L1160" cm="1">
        <f t="array" ref="L1160">IFERROR(_xlfn.XLOOKUP(C1160&amp;A1160, Inside5!B:B&amp;Inside5!I:I, Inside5!H:H), 0)</f>
        <v>0</v>
      </c>
      <c r="M1160" cm="1">
        <f t="array" ref="M1160">IFERROR(_xlfn.XLOOKUP(C1160&amp;A1160, TDrate!F:F&amp;TDrate!H:H, TDrate!B:B), "N/A")</f>
        <v>0</v>
      </c>
      <c r="N1160" cm="1">
        <f t="array" ref="N1160">IFERROR(_xlfn.XLOOKUP(C1160&amp;A1160, TDrate!F:F&amp;TDrate!H:H, TDrate!D:D), "N/A")</f>
        <v>2.6100000000000002E-2</v>
      </c>
    </row>
    <row r="1161" spans="1:14" x14ac:dyDescent="0.45">
      <c r="A1161" s="8">
        <v>2019</v>
      </c>
      <c r="B1161" s="9" t="s">
        <v>852</v>
      </c>
      <c r="C1161" s="10" t="str">
        <f t="shared" si="36"/>
        <v>Ameer Abdullah</v>
      </c>
      <c r="D1161" s="10" t="str">
        <f t="shared" si="37"/>
        <v>MIN</v>
      </c>
      <c r="E1161" cm="1">
        <f t="array" aca="1" ref="E1161" ca="1">IFERROR(_xlfn.XLOOKUP(C1161&amp;A1161, Inside5!B:B&amp;Inside5!I:I, Inside5!C:C), 0)</f>
        <v>0</v>
      </c>
      <c r="F1161" cm="1">
        <f t="array" aca="1" ref="F1161" ca="1">IFERROR(_xlfn.XLOOKUP(C1161&amp;A1161, Inside5!B:B&amp;Inside5!I:I, Inside5!D:D), 0)</f>
        <v>0</v>
      </c>
      <c r="G1161" cm="1">
        <f t="array" ref="G1161">IFERROR(_xlfn.XLOOKUP(C1161&amp;A1161, Inside5!B:B&amp;Inside5!I:I, Inside5!E:E), 0)</f>
        <v>0</v>
      </c>
      <c r="H1161" t="str" cm="1">
        <f t="array" ref="H1161">IFERROR(_xlfn.XLOOKUP(C1161&amp;A1161, TDrate!F:F&amp;TDrate!H:H, TDrate!C:C), "N/A")</f>
        <v>N/A</v>
      </c>
      <c r="I1161" t="str" cm="1">
        <f t="array" ref="I1161">IFERROR(_xlfn.XLOOKUP(C1161&amp;A1161, TDrate!F:F&amp;TDrate!H:H, TDrate!E:E), "N/A")</f>
        <v>N/A</v>
      </c>
      <c r="J1161" cm="1">
        <f t="array" ref="J1161">IFERROR(_xlfn.XLOOKUP(C1161&amp;A1161, Inside5!B:B&amp;Inside5!I:I, Inside5!F:F), 0)</f>
        <v>0</v>
      </c>
      <c r="K1161" cm="1">
        <f t="array" ref="K1161">IFERROR(_xlfn.XLOOKUP(C1161&amp;A1161, Inside5!B:B&amp;Inside5!I:I, Inside5!G:G), 0)</f>
        <v>0</v>
      </c>
      <c r="L1161" cm="1">
        <f t="array" ref="L1161">IFERROR(_xlfn.XLOOKUP(C1161&amp;A1161, Inside5!B:B&amp;Inside5!I:I, Inside5!H:H), 0)</f>
        <v>0</v>
      </c>
      <c r="M1161" t="str" cm="1">
        <f t="array" ref="M1161">IFERROR(_xlfn.XLOOKUP(C1161&amp;A1161, TDrate!F:F&amp;TDrate!H:H, TDrate!B:B), "N/A")</f>
        <v>N/A</v>
      </c>
      <c r="N1161" t="str" cm="1">
        <f t="array" ref="N1161">IFERROR(_xlfn.XLOOKUP(C1161&amp;A1161, TDrate!F:F&amp;TDrate!H:H, TDrate!D:D), "N/A")</f>
        <v>N/A</v>
      </c>
    </row>
    <row r="1162" spans="1:14" x14ac:dyDescent="0.45">
      <c r="A1162" s="5">
        <v>2019</v>
      </c>
      <c r="B1162" s="6" t="s">
        <v>785</v>
      </c>
      <c r="C1162" s="7" t="str">
        <f t="shared" si="36"/>
        <v>Reggie Bonnafon</v>
      </c>
      <c r="D1162" s="7" t="str">
        <f t="shared" si="37"/>
        <v>CAR</v>
      </c>
      <c r="E1162" cm="1">
        <f t="array" ref="E1162">IFERROR(_xlfn.XLOOKUP(C1162&amp;A1162, Inside5!B:B&amp;Inside5!I:I, Inside5!C:C), 0)</f>
        <v>0</v>
      </c>
      <c r="F1162" cm="1">
        <f t="array" ref="F1162">IFERROR(_xlfn.XLOOKUP(C1162&amp;A1162, Inside5!B:B&amp;Inside5!I:I, Inside5!D:D), 0)</f>
        <v>0</v>
      </c>
      <c r="G1162" cm="1">
        <f t="array" ref="G1162">IFERROR(_xlfn.XLOOKUP(C1162&amp;A1162, Inside5!B:B&amp;Inside5!I:I, Inside5!E:E), 0)</f>
        <v>0</v>
      </c>
      <c r="H1162" t="str" cm="1">
        <f t="array" ref="H1162">IFERROR(_xlfn.XLOOKUP(C1162&amp;A1162, TDrate!F:F&amp;TDrate!H:H, TDrate!C:C), "N/A")</f>
        <v>N/A</v>
      </c>
      <c r="I1162" t="str" cm="1">
        <f t="array" ref="I1162">IFERROR(_xlfn.XLOOKUP(C1162&amp;A1162, TDrate!F:F&amp;TDrate!H:H, TDrate!E:E), "N/A")</f>
        <v>N/A</v>
      </c>
      <c r="J1162" cm="1">
        <f t="array" ref="J1162">IFERROR(_xlfn.XLOOKUP(C1162&amp;A1162, Inside5!B:B&amp;Inside5!I:I, Inside5!F:F), 0)</f>
        <v>0</v>
      </c>
      <c r="K1162" cm="1">
        <f t="array" ref="K1162">IFERROR(_xlfn.XLOOKUP(C1162&amp;A1162, Inside5!B:B&amp;Inside5!I:I, Inside5!G:G), 0)</f>
        <v>0</v>
      </c>
      <c r="L1162" cm="1">
        <f t="array" ref="L1162">IFERROR(_xlfn.XLOOKUP(C1162&amp;A1162, Inside5!B:B&amp;Inside5!I:I, Inside5!H:H), 0)</f>
        <v>0</v>
      </c>
      <c r="M1162" t="str" cm="1">
        <f t="array" ref="M1162">IFERROR(_xlfn.XLOOKUP(C1162&amp;A1162, TDrate!F:F&amp;TDrate!H:H, TDrate!B:B), "N/A")</f>
        <v>N/A</v>
      </c>
      <c r="N1162" t="str" cm="1">
        <f t="array" ref="N1162">IFERROR(_xlfn.XLOOKUP(C1162&amp;A1162, TDrate!F:F&amp;TDrate!H:H, TDrate!D:D), "N/A")</f>
        <v>N/A</v>
      </c>
    </row>
    <row r="1163" spans="1:14" x14ac:dyDescent="0.45">
      <c r="A1163" s="8">
        <v>2019</v>
      </c>
      <c r="B1163" s="9" t="s">
        <v>849</v>
      </c>
      <c r="C1163" s="10" t="str">
        <f t="shared" si="36"/>
        <v>Darwin Thompson</v>
      </c>
      <c r="D1163" s="10" t="str">
        <f t="shared" si="37"/>
        <v>KC</v>
      </c>
      <c r="E1163" cm="1">
        <f t="array" ref="E1163">IFERROR(_xlfn.XLOOKUP(C1163&amp;A1163, Inside5!B:B&amp;Inside5!I:I, Inside5!C:C), 0)</f>
        <v>1</v>
      </c>
      <c r="F1163" cm="1">
        <f t="array" aca="1" ref="F1163" ca="1">IFERROR(_xlfn.XLOOKUP(C1163&amp;A1163, Inside5!B:B&amp;Inside5!I:I, Inside5!D:D), 0)</f>
        <v>1</v>
      </c>
      <c r="G1163" cm="1">
        <f t="array" ref="G1163">IFERROR(_xlfn.XLOOKUP(C1163&amp;A1163, Inside5!B:B&amp;Inside5!I:I, Inside5!E:E), 0)</f>
        <v>5.8999999999999997E-2</v>
      </c>
      <c r="H1163" cm="1">
        <f t="array" ref="H1163">IFERROR(_xlfn.XLOOKUP(C1163&amp;A1163, TDrate!F:F&amp;TDrate!H:H, TDrate!C:C), "N/A")</f>
        <v>2.7E-2</v>
      </c>
      <c r="I1163" cm="1">
        <f t="array" ref="I1163">IFERROR(_xlfn.XLOOKUP(C1163&amp;A1163, TDrate!F:F&amp;TDrate!H:H, TDrate!E:E), "N/A")</f>
        <v>2.7799999999999998E-2</v>
      </c>
      <c r="J1163" cm="1">
        <f t="array" ref="J1163">IFERROR(_xlfn.XLOOKUP(C1163&amp;A1163, Inside5!B:B&amp;Inside5!I:I, Inside5!F:F), 0)</f>
        <v>0</v>
      </c>
      <c r="K1163" cm="1">
        <f t="array" aca="1" ref="K1163" ca="1">IFERROR(_xlfn.XLOOKUP(C1163&amp;A1163, Inside5!B:B&amp;Inside5!I:I, Inside5!G:G), 0)</f>
        <v>0</v>
      </c>
      <c r="L1163" cm="1">
        <f t="array" ref="L1163">IFERROR(_xlfn.XLOOKUP(C1163&amp;A1163, Inside5!B:B&amp;Inside5!I:I, Inside5!H:H), 0)</f>
        <v>0</v>
      </c>
      <c r="M1163" cm="1">
        <f t="array" ref="M1163">IFERROR(_xlfn.XLOOKUP(C1163&amp;A1163, TDrate!F:F&amp;TDrate!H:H, TDrate!B:B), "N/A")</f>
        <v>0</v>
      </c>
      <c r="N1163" cm="1">
        <f t="array" ref="N1163">IFERROR(_xlfn.XLOOKUP(C1163&amp;A1163, TDrate!F:F&amp;TDrate!H:H, TDrate!D:D), "N/A")</f>
        <v>1.0699999999999999E-2</v>
      </c>
    </row>
    <row r="1164" spans="1:14" x14ac:dyDescent="0.45">
      <c r="A1164" s="5">
        <v>2019</v>
      </c>
      <c r="B1164" s="6" t="s">
        <v>731</v>
      </c>
      <c r="C1164" s="7" t="str">
        <f t="shared" si="36"/>
        <v>Justin Jackson</v>
      </c>
      <c r="D1164" s="7" t="str">
        <f t="shared" si="37"/>
        <v>LAC</v>
      </c>
      <c r="E1164" cm="1">
        <f t="array" ref="E1164">IFERROR(_xlfn.XLOOKUP(C1164&amp;A1164, Inside5!B:B&amp;Inside5!I:I, Inside5!C:C), 0)</f>
        <v>0</v>
      </c>
      <c r="F1164" cm="1">
        <f t="array" aca="1" ref="F1164" ca="1">IFERROR(_xlfn.XLOOKUP(C1164&amp;A1164, Inside5!B:B&amp;Inside5!I:I, Inside5!D:D), 0)</f>
        <v>0</v>
      </c>
      <c r="G1164" cm="1">
        <f t="array" ref="G1164">IFERROR(_xlfn.XLOOKUP(C1164&amp;A1164, Inside5!B:B&amp;Inside5!I:I, Inside5!E:E), 0)</f>
        <v>0</v>
      </c>
      <c r="H1164" cm="1">
        <f t="array" ref="H1164">IFERROR(_xlfn.XLOOKUP(C1164&amp;A1164, TDrate!F:F&amp;TDrate!H:H, TDrate!C:C), "N/A")</f>
        <v>0</v>
      </c>
      <c r="I1164" cm="1">
        <f t="array" ref="I1164">IFERROR(_xlfn.XLOOKUP(C1164&amp;A1164, TDrate!F:F&amp;TDrate!H:H, TDrate!E:E), "N/A")</f>
        <v>7.1999999999999998E-3</v>
      </c>
      <c r="J1164" cm="1">
        <f t="array" ref="J1164">IFERROR(_xlfn.XLOOKUP(C1164&amp;A1164, Inside5!B:B&amp;Inside5!I:I, Inside5!F:F), 0)</f>
        <v>0</v>
      </c>
      <c r="K1164" cm="1">
        <f t="array" aca="1" ref="K1164" ca="1">IFERROR(_xlfn.XLOOKUP(C1164&amp;A1164, Inside5!B:B&amp;Inside5!I:I, Inside5!G:G), 0)</f>
        <v>0</v>
      </c>
      <c r="L1164" cm="1">
        <f t="array" ref="L1164">IFERROR(_xlfn.XLOOKUP(C1164&amp;A1164, Inside5!B:B&amp;Inside5!I:I, Inside5!H:H), 0)</f>
        <v>0</v>
      </c>
      <c r="M1164" cm="1">
        <f t="array" ref="M1164">IFERROR(_xlfn.XLOOKUP(C1164&amp;A1164, TDrate!F:F&amp;TDrate!H:H, TDrate!B:B), "N/A")</f>
        <v>0</v>
      </c>
      <c r="N1164" cm="1">
        <f t="array" ref="N1164">IFERROR(_xlfn.XLOOKUP(C1164&amp;A1164, TDrate!F:F&amp;TDrate!H:H, TDrate!D:D), "N/A")</f>
        <v>2.76E-2</v>
      </c>
    </row>
    <row r="1165" spans="1:14" x14ac:dyDescent="0.45">
      <c r="A1165" s="8">
        <v>2019</v>
      </c>
      <c r="B1165" s="9" t="s">
        <v>432</v>
      </c>
      <c r="C1165" s="10" t="str">
        <f t="shared" si="36"/>
        <v>C.J. Ham</v>
      </c>
      <c r="D1165" s="10" t="str">
        <f t="shared" si="37"/>
        <v>MIN</v>
      </c>
      <c r="E1165" cm="1">
        <f t="array" ref="E1165">IFERROR(_xlfn.XLOOKUP(C1165&amp;A1165, Inside5!B:B&amp;Inside5!I:I, Inside5!C:C), 0)</f>
        <v>2</v>
      </c>
      <c r="F1165" cm="1">
        <f t="array" aca="1" ref="F1165" ca="1">IFERROR(_xlfn.XLOOKUP(C1165&amp;A1165, Inside5!B:B&amp;Inside5!I:I, Inside5!D:D), 0)</f>
        <v>0</v>
      </c>
      <c r="G1165" cm="1">
        <f t="array" ref="G1165">IFERROR(_xlfn.XLOOKUP(C1165&amp;A1165, Inside5!B:B&amp;Inside5!I:I, Inside5!E:E), 0)</f>
        <v>7.3999999999999996E-2</v>
      </c>
      <c r="H1165" t="str" cm="1">
        <f t="array" ref="H1165">IFERROR(_xlfn.XLOOKUP(C1165&amp;A1165, TDrate!F:F&amp;TDrate!H:H, TDrate!C:C), "N/A")</f>
        <v>N/A</v>
      </c>
      <c r="I1165" t="str" cm="1">
        <f t="array" ref="I1165">IFERROR(_xlfn.XLOOKUP(C1165&amp;A1165, TDrate!F:F&amp;TDrate!H:H, TDrate!E:E), "N/A")</f>
        <v>N/A</v>
      </c>
      <c r="J1165" cm="1">
        <f t="array" ref="J1165">IFERROR(_xlfn.XLOOKUP(C1165&amp;A1165, Inside5!B:B&amp;Inside5!I:I, Inside5!F:F), 0)</f>
        <v>1</v>
      </c>
      <c r="K1165" cm="1">
        <f t="array" ref="K1165">IFERROR(_xlfn.XLOOKUP(C1165&amp;A1165, Inside5!B:B&amp;Inside5!I:I, Inside5!G:G), 0)</f>
        <v>3</v>
      </c>
      <c r="L1165" cm="1">
        <f t="array" ref="L1165">IFERROR(_xlfn.XLOOKUP(C1165&amp;A1165, Inside5!B:B&amp;Inside5!I:I, Inside5!H:H), 0)</f>
        <v>1</v>
      </c>
      <c r="M1165" t="str" cm="1">
        <f t="array" ref="M1165">IFERROR(_xlfn.XLOOKUP(C1165&amp;A1165, TDrate!F:F&amp;TDrate!H:H, TDrate!B:B), "N/A")</f>
        <v>N/A</v>
      </c>
      <c r="N1165" t="str" cm="1">
        <f t="array" ref="N1165">IFERROR(_xlfn.XLOOKUP(C1165&amp;A1165, TDrate!F:F&amp;TDrate!H:H, TDrate!D:D), "N/A")</f>
        <v>N/A</v>
      </c>
    </row>
    <row r="1166" spans="1:14" x14ac:dyDescent="0.45">
      <c r="A1166" s="5">
        <v>2019</v>
      </c>
      <c r="B1166" s="6" t="s">
        <v>921</v>
      </c>
      <c r="C1166" s="7" t="str">
        <f t="shared" si="36"/>
        <v>Ty Montgomery II</v>
      </c>
      <c r="D1166" s="7" t="str">
        <f t="shared" si="37"/>
        <v>NYJ</v>
      </c>
      <c r="E1166" cm="1">
        <f t="array" aca="1" ref="E1166" ca="1">IFERROR(_xlfn.XLOOKUP(C1166&amp;A1166, Inside5!B:B&amp;Inside5!I:I, Inside5!C:C), 0)</f>
        <v>0</v>
      </c>
      <c r="F1166" cm="1">
        <f t="array" aca="1" ref="F1166" ca="1">IFERROR(_xlfn.XLOOKUP(C1166&amp;A1166, Inside5!B:B&amp;Inside5!I:I, Inside5!D:D), 0)</f>
        <v>0</v>
      </c>
      <c r="G1166" cm="1">
        <f t="array" ref="G1166">IFERROR(_xlfn.XLOOKUP(C1166&amp;A1166, Inside5!B:B&amp;Inside5!I:I, Inside5!E:E), 0)</f>
        <v>0</v>
      </c>
      <c r="H1166" cm="1">
        <f t="array" ref="H1166">IFERROR(_xlfn.XLOOKUP(C1166&amp;A1166, TDrate!F:F&amp;TDrate!H:H, TDrate!C:C), "N/A")</f>
        <v>0</v>
      </c>
      <c r="I1166" cm="1">
        <f t="array" ref="I1166">IFERROR(_xlfn.XLOOKUP(C1166&amp;A1166, TDrate!F:F&amp;TDrate!H:H, TDrate!E:E), "N/A")</f>
        <v>3.2000000000000002E-3</v>
      </c>
      <c r="J1166" cm="1">
        <f t="array" ref="J1166">IFERROR(_xlfn.XLOOKUP(C1166&amp;A1166, Inside5!B:B&amp;Inside5!I:I, Inside5!F:F), 0)</f>
        <v>0</v>
      </c>
      <c r="K1166" cm="1">
        <f t="array" aca="1" ref="K1166" ca="1">IFERROR(_xlfn.XLOOKUP(C1166&amp;A1166, Inside5!B:B&amp;Inside5!I:I, Inside5!G:G), 0)</f>
        <v>0</v>
      </c>
      <c r="L1166" cm="1">
        <f t="array" ref="L1166">IFERROR(_xlfn.XLOOKUP(C1166&amp;A1166, Inside5!B:B&amp;Inside5!I:I, Inside5!H:H), 0)</f>
        <v>0</v>
      </c>
      <c r="M1166" cm="1">
        <f t="array" ref="M1166">IFERROR(_xlfn.XLOOKUP(C1166&amp;A1166, TDrate!F:F&amp;TDrate!H:H, TDrate!B:B), "N/A")</f>
        <v>0</v>
      </c>
      <c r="N1166" cm="1">
        <f t="array" ref="N1166">IFERROR(_xlfn.XLOOKUP(C1166&amp;A1166, TDrate!F:F&amp;TDrate!H:H, TDrate!D:D), "N/A")</f>
        <v>1.34E-2</v>
      </c>
    </row>
    <row r="1167" spans="1:14" x14ac:dyDescent="0.45">
      <c r="A1167" s="8">
        <v>2019</v>
      </c>
      <c r="B1167" s="9" t="s">
        <v>922</v>
      </c>
      <c r="C1167" s="10" t="str">
        <f t="shared" si="36"/>
        <v>C.J. Prosise</v>
      </c>
      <c r="D1167" s="10" t="str">
        <f t="shared" si="37"/>
        <v>SEA</v>
      </c>
      <c r="E1167" cm="1">
        <f t="array" aca="1" ref="E1167" ca="1">IFERROR(_xlfn.XLOOKUP(C1167&amp;A1167, Inside5!B:B&amp;Inside5!I:I, Inside5!C:C), 0)</f>
        <v>2</v>
      </c>
      <c r="F1167" cm="1">
        <f t="array" aca="1" ref="F1167" ca="1">IFERROR(_xlfn.XLOOKUP(C1167&amp;A1167, Inside5!B:B&amp;Inside5!I:I, Inside5!D:D), 0)</f>
        <v>0</v>
      </c>
      <c r="G1167" cm="1">
        <f t="array" ref="G1167">IFERROR(_xlfn.XLOOKUP(C1167&amp;A1167, Inside5!B:B&amp;Inside5!I:I, Inside5!E:E), 0)</f>
        <v>0.14299999999999999</v>
      </c>
      <c r="H1167" t="str" cm="1">
        <f t="array" ref="H1167">IFERROR(_xlfn.XLOOKUP(C1167&amp;A1167, TDrate!F:F&amp;TDrate!H:H, TDrate!C:C), "N/A")</f>
        <v>N/A</v>
      </c>
      <c r="I1167" t="str" cm="1">
        <f t="array" ref="I1167">IFERROR(_xlfn.XLOOKUP(C1167&amp;A1167, TDrate!F:F&amp;TDrate!H:H, TDrate!E:E), "N/A")</f>
        <v>N/A</v>
      </c>
      <c r="J1167" cm="1">
        <f t="array" ref="J1167">IFERROR(_xlfn.XLOOKUP(C1167&amp;A1167, Inside5!B:B&amp;Inside5!I:I, Inside5!F:F), 0)</f>
        <v>0</v>
      </c>
      <c r="K1167" cm="1">
        <f t="array" ref="K1167">IFERROR(_xlfn.XLOOKUP(C1167&amp;A1167, Inside5!B:B&amp;Inside5!I:I, Inside5!G:G), 0)</f>
        <v>0</v>
      </c>
      <c r="L1167" cm="1">
        <f t="array" ref="L1167">IFERROR(_xlfn.XLOOKUP(C1167&amp;A1167, Inside5!B:B&amp;Inside5!I:I, Inside5!H:H), 0)</f>
        <v>0</v>
      </c>
      <c r="M1167" t="str" cm="1">
        <f t="array" ref="M1167">IFERROR(_xlfn.XLOOKUP(C1167&amp;A1167, TDrate!F:F&amp;TDrate!H:H, TDrate!B:B), "N/A")</f>
        <v>N/A</v>
      </c>
      <c r="N1167" t="str" cm="1">
        <f t="array" ref="N1167">IFERROR(_xlfn.XLOOKUP(C1167&amp;A1167, TDrate!F:F&amp;TDrate!H:H, TDrate!D:D), "N/A")</f>
        <v>N/A</v>
      </c>
    </row>
    <row r="1168" spans="1:14" x14ac:dyDescent="0.45">
      <c r="A1168" s="5">
        <v>2019</v>
      </c>
      <c r="B1168" s="6" t="s">
        <v>569</v>
      </c>
      <c r="C1168" s="7" t="str">
        <f t="shared" si="36"/>
        <v>Darrell Henderson Jr.</v>
      </c>
      <c r="D1168" s="7" t="str">
        <f t="shared" si="37"/>
        <v>LAR</v>
      </c>
      <c r="E1168" cm="1">
        <f t="array" aca="1" ref="E1168" ca="1">IFERROR(_xlfn.XLOOKUP(C1168&amp;A1168, Inside5!B:B&amp;Inside5!I:I, Inside5!C:C), 0)</f>
        <v>2</v>
      </c>
      <c r="F1168" cm="1">
        <f t="array" ref="F1168">IFERROR(_xlfn.XLOOKUP(C1168&amp;A1168, Inside5!B:B&amp;Inside5!I:I, Inside5!D:D), 0)</f>
        <v>0</v>
      </c>
      <c r="G1168" cm="1">
        <f t="array" ref="G1168">IFERROR(_xlfn.XLOOKUP(C1168&amp;A1168, Inside5!B:B&amp;Inside5!I:I, Inside5!E:E), 0)</f>
        <v>8.6999999999999994E-2</v>
      </c>
      <c r="H1168" cm="1">
        <f t="array" ref="H1168">IFERROR(_xlfn.XLOOKUP(C1168&amp;A1168, TDrate!F:F&amp;TDrate!H:H, TDrate!C:C), "N/A")</f>
        <v>0</v>
      </c>
      <c r="I1168" cm="1">
        <f t="array" ref="I1168">IFERROR(_xlfn.XLOOKUP(C1168&amp;A1168, TDrate!F:F&amp;TDrate!H:H, TDrate!E:E), "N/A")</f>
        <v>1.2200000000000001E-2</v>
      </c>
      <c r="J1168" cm="1">
        <f t="array" ref="J1168">IFERROR(_xlfn.XLOOKUP(C1168&amp;A1168, Inside5!B:B&amp;Inside5!I:I, Inside5!F:F), 0)</f>
        <v>0</v>
      </c>
      <c r="K1168" cm="1">
        <f t="array" ref="K1168">IFERROR(_xlfn.XLOOKUP(C1168&amp;A1168, Inside5!B:B&amp;Inside5!I:I, Inside5!G:G), 0)</f>
        <v>0</v>
      </c>
      <c r="L1168" cm="1">
        <f t="array" ref="L1168">IFERROR(_xlfn.XLOOKUP(C1168&amp;A1168, Inside5!B:B&amp;Inside5!I:I, Inside5!H:H), 0)</f>
        <v>0</v>
      </c>
      <c r="M1168" cm="1">
        <f t="array" ref="M1168">IFERROR(_xlfn.XLOOKUP(C1168&amp;A1168, TDrate!F:F&amp;TDrate!H:H, TDrate!B:B), "N/A")</f>
        <v>0</v>
      </c>
      <c r="N1168" cm="1">
        <f t="array" ref="N1168">IFERROR(_xlfn.XLOOKUP(C1168&amp;A1168, TDrate!F:F&amp;TDrate!H:H, TDrate!D:D), "N/A")</f>
        <v>4.8999999999999998E-3</v>
      </c>
    </row>
    <row r="1169" spans="1:14" x14ac:dyDescent="0.45">
      <c r="A1169" s="8">
        <v>2019</v>
      </c>
      <c r="B1169" s="9" t="s">
        <v>663</v>
      </c>
      <c r="C1169" s="10" t="str">
        <f t="shared" si="36"/>
        <v>Travis Homer</v>
      </c>
      <c r="D1169" s="10" t="str">
        <f t="shared" si="37"/>
        <v>SEA</v>
      </c>
      <c r="E1169" cm="1">
        <f t="array" ref="E1169">IFERROR(_xlfn.XLOOKUP(C1169&amp;A1169, Inside5!B:B&amp;Inside5!I:I, Inside5!C:C), 0)</f>
        <v>0</v>
      </c>
      <c r="F1169" cm="1">
        <f t="array" ref="F1169">IFERROR(_xlfn.XLOOKUP(C1169&amp;A1169, Inside5!B:B&amp;Inside5!I:I, Inside5!D:D), 0)</f>
        <v>0</v>
      </c>
      <c r="G1169" cm="1">
        <f t="array" ref="G1169">IFERROR(_xlfn.XLOOKUP(C1169&amp;A1169, Inside5!B:B&amp;Inside5!I:I, Inside5!E:E), 0)</f>
        <v>0</v>
      </c>
      <c r="H1169" t="str" cm="1">
        <f t="array" ref="H1169">IFERROR(_xlfn.XLOOKUP(C1169&amp;A1169, TDrate!F:F&amp;TDrate!H:H, TDrate!C:C), "N/A")</f>
        <v>N/A</v>
      </c>
      <c r="I1169" t="str" cm="1">
        <f t="array" ref="I1169">IFERROR(_xlfn.XLOOKUP(C1169&amp;A1169, TDrate!F:F&amp;TDrate!H:H, TDrate!E:E), "N/A")</f>
        <v>N/A</v>
      </c>
      <c r="J1169" cm="1">
        <f t="array" ref="J1169">IFERROR(_xlfn.XLOOKUP(C1169&amp;A1169, Inside5!B:B&amp;Inside5!I:I, Inside5!F:F), 0)</f>
        <v>0</v>
      </c>
      <c r="K1169" cm="1">
        <f t="array" ref="K1169">IFERROR(_xlfn.XLOOKUP(C1169&amp;A1169, Inside5!B:B&amp;Inside5!I:I, Inside5!G:G), 0)</f>
        <v>0</v>
      </c>
      <c r="L1169" cm="1">
        <f t="array" ref="L1169">IFERROR(_xlfn.XLOOKUP(C1169&amp;A1169, Inside5!B:B&amp;Inside5!I:I, Inside5!H:H), 0)</f>
        <v>0</v>
      </c>
      <c r="M1169" t="str" cm="1">
        <f t="array" ref="M1169">IFERROR(_xlfn.XLOOKUP(C1169&amp;A1169, TDrate!F:F&amp;TDrate!H:H, TDrate!B:B), "N/A")</f>
        <v>N/A</v>
      </c>
      <c r="N1169" t="str" cm="1">
        <f t="array" ref="N1169">IFERROR(_xlfn.XLOOKUP(C1169&amp;A1169, TDrate!F:F&amp;TDrate!H:H, TDrate!D:D), "N/A")</f>
        <v>N/A</v>
      </c>
    </row>
    <row r="1170" spans="1:14" x14ac:dyDescent="0.45">
      <c r="A1170" s="5">
        <v>2019</v>
      </c>
      <c r="B1170" s="6" t="s">
        <v>855</v>
      </c>
      <c r="C1170" s="7" t="str">
        <f t="shared" si="36"/>
        <v>T.J. Yeldon</v>
      </c>
      <c r="D1170" s="7" t="str">
        <f t="shared" si="37"/>
        <v>BUF</v>
      </c>
      <c r="E1170" cm="1">
        <f t="array" ref="E1170">IFERROR(_xlfn.XLOOKUP(C1170&amp;A1170, Inside5!B:B&amp;Inside5!I:I, Inside5!C:C), 0)</f>
        <v>0</v>
      </c>
      <c r="F1170" cm="1">
        <f t="array" ref="F1170">IFERROR(_xlfn.XLOOKUP(C1170&amp;A1170, Inside5!B:B&amp;Inside5!I:I, Inside5!D:D), 0)</f>
        <v>0</v>
      </c>
      <c r="G1170" cm="1">
        <f t="array" ref="G1170">IFERROR(_xlfn.XLOOKUP(C1170&amp;A1170, Inside5!B:B&amp;Inside5!I:I, Inside5!E:E), 0)</f>
        <v>0</v>
      </c>
      <c r="H1170" t="str" cm="1">
        <f t="array" ref="H1170">IFERROR(_xlfn.XLOOKUP(C1170&amp;A1170, TDrate!F:F&amp;TDrate!H:H, TDrate!C:C), "N/A")</f>
        <v>N/A</v>
      </c>
      <c r="I1170" t="str" cm="1">
        <f t="array" ref="I1170">IFERROR(_xlfn.XLOOKUP(C1170&amp;A1170, TDrate!F:F&amp;TDrate!H:H, TDrate!E:E), "N/A")</f>
        <v>N/A</v>
      </c>
      <c r="J1170" cm="1">
        <f t="array" ref="J1170">IFERROR(_xlfn.XLOOKUP(C1170&amp;A1170, Inside5!B:B&amp;Inside5!I:I, Inside5!F:F), 0)</f>
        <v>0</v>
      </c>
      <c r="K1170" cm="1">
        <f t="array" ref="K1170">IFERROR(_xlfn.XLOOKUP(C1170&amp;A1170, Inside5!B:B&amp;Inside5!I:I, Inside5!G:G), 0)</f>
        <v>0</v>
      </c>
      <c r="L1170" cm="1">
        <f t="array" ref="L1170">IFERROR(_xlfn.XLOOKUP(C1170&amp;A1170, Inside5!B:B&amp;Inside5!I:I, Inside5!H:H), 0)</f>
        <v>0</v>
      </c>
      <c r="M1170" t="str" cm="1">
        <f t="array" ref="M1170">IFERROR(_xlfn.XLOOKUP(C1170&amp;A1170, TDrate!F:F&amp;TDrate!H:H, TDrate!B:B), "N/A")</f>
        <v>N/A</v>
      </c>
      <c r="N1170" t="str" cm="1">
        <f t="array" ref="N1170">IFERROR(_xlfn.XLOOKUP(C1170&amp;A1170, TDrate!F:F&amp;TDrate!H:H, TDrate!D:D), "N/A")</f>
        <v>N/A</v>
      </c>
    </row>
    <row r="1171" spans="1:14" x14ac:dyDescent="0.45">
      <c r="A1171" s="8">
        <v>2019</v>
      </c>
      <c r="B1171" s="9" t="s">
        <v>775</v>
      </c>
      <c r="C1171" s="10" t="str">
        <f t="shared" si="36"/>
        <v>Wendell Smallwood</v>
      </c>
      <c r="D1171" s="10" t="str">
        <f t="shared" si="37"/>
        <v>WAS</v>
      </c>
      <c r="E1171" cm="1">
        <f t="array" ref="E1171">IFERROR(_xlfn.XLOOKUP(C1171&amp;A1171, Inside5!B:B&amp;Inside5!I:I, Inside5!C:C), 0)</f>
        <v>0</v>
      </c>
      <c r="F1171" cm="1">
        <f t="array" ref="F1171">IFERROR(_xlfn.XLOOKUP(C1171&amp;A1171, Inside5!B:B&amp;Inside5!I:I, Inside5!D:D), 0)</f>
        <v>0</v>
      </c>
      <c r="G1171" cm="1">
        <f t="array" ref="G1171">IFERROR(_xlfn.XLOOKUP(C1171&amp;A1171, Inside5!B:B&amp;Inside5!I:I, Inside5!E:E), 0)</f>
        <v>0</v>
      </c>
      <c r="H1171" t="str" cm="1">
        <f t="array" ref="H1171">IFERROR(_xlfn.XLOOKUP(C1171&amp;A1171, TDrate!F:F&amp;TDrate!H:H, TDrate!C:C), "N/A")</f>
        <v>N/A</v>
      </c>
      <c r="I1171" t="str" cm="1">
        <f t="array" ref="I1171">IFERROR(_xlfn.XLOOKUP(C1171&amp;A1171, TDrate!F:F&amp;TDrate!H:H, TDrate!E:E), "N/A")</f>
        <v>N/A</v>
      </c>
      <c r="J1171" cm="1">
        <f t="array" ref="J1171">IFERROR(_xlfn.XLOOKUP(C1171&amp;A1171, Inside5!B:B&amp;Inside5!I:I, Inside5!F:F), 0)</f>
        <v>0</v>
      </c>
      <c r="K1171" cm="1">
        <f t="array" ref="K1171">IFERROR(_xlfn.XLOOKUP(C1171&amp;A1171, Inside5!B:B&amp;Inside5!I:I, Inside5!G:G), 0)</f>
        <v>0</v>
      </c>
      <c r="L1171" cm="1">
        <f t="array" ref="L1171">IFERROR(_xlfn.XLOOKUP(C1171&amp;A1171, Inside5!B:B&amp;Inside5!I:I, Inside5!H:H), 0)</f>
        <v>0</v>
      </c>
      <c r="M1171" t="str" cm="1">
        <f t="array" ref="M1171">IFERROR(_xlfn.XLOOKUP(C1171&amp;A1171, TDrate!F:F&amp;TDrate!H:H, TDrate!B:B), "N/A")</f>
        <v>N/A</v>
      </c>
      <c r="N1171" t="str" cm="1">
        <f t="array" ref="N1171">IFERROR(_xlfn.XLOOKUP(C1171&amp;A1171, TDrate!F:F&amp;TDrate!H:H, TDrate!D:D), "N/A")</f>
        <v>N/A</v>
      </c>
    </row>
    <row r="1172" spans="1:14" x14ac:dyDescent="0.45">
      <c r="A1172" s="5">
        <v>2019</v>
      </c>
      <c r="B1172" s="6" t="s">
        <v>923</v>
      </c>
      <c r="C1172" s="7" t="str">
        <f t="shared" si="36"/>
        <v>Wes Hills</v>
      </c>
      <c r="D1172" s="7" t="str">
        <f t="shared" si="37"/>
        <v>DET</v>
      </c>
      <c r="E1172" cm="1">
        <f t="array" aca="1" ref="E1172" ca="1">IFERROR(_xlfn.XLOOKUP(C1172&amp;A1172, Inside5!B:B&amp;Inside5!I:I, Inside5!C:C), 0)</f>
        <v>3</v>
      </c>
      <c r="F1172" cm="1">
        <f t="array" aca="1" ref="F1172" ca="1">IFERROR(_xlfn.XLOOKUP(C1172&amp;A1172, Inside5!B:B&amp;Inside5!I:I, Inside5!D:D), 0)</f>
        <v>2</v>
      </c>
      <c r="G1172" cm="1">
        <f t="array" ref="G1172">IFERROR(_xlfn.XLOOKUP(C1172&amp;A1172, Inside5!B:B&amp;Inside5!I:I, Inside5!E:E), 0)</f>
        <v>0.2</v>
      </c>
      <c r="H1172" t="str" cm="1">
        <f t="array" ref="H1172">IFERROR(_xlfn.XLOOKUP(C1172&amp;A1172, TDrate!F:F&amp;TDrate!H:H, TDrate!C:C), "N/A")</f>
        <v>N/A</v>
      </c>
      <c r="I1172" t="str" cm="1">
        <f t="array" ref="I1172">IFERROR(_xlfn.XLOOKUP(C1172&amp;A1172, TDrate!F:F&amp;TDrate!H:H, TDrate!E:E), "N/A")</f>
        <v>N/A</v>
      </c>
      <c r="J1172" cm="1">
        <f t="array" ref="J1172">IFERROR(_xlfn.XLOOKUP(C1172&amp;A1172, Inside5!B:B&amp;Inside5!I:I, Inside5!F:F), 0)</f>
        <v>0</v>
      </c>
      <c r="K1172" cm="1">
        <f t="array" ref="K1172">IFERROR(_xlfn.XLOOKUP(C1172&amp;A1172, Inside5!B:B&amp;Inside5!I:I, Inside5!G:G), 0)</f>
        <v>0</v>
      </c>
      <c r="L1172" cm="1">
        <f t="array" ref="L1172">IFERROR(_xlfn.XLOOKUP(C1172&amp;A1172, Inside5!B:B&amp;Inside5!I:I, Inside5!H:H), 0)</f>
        <v>0</v>
      </c>
      <c r="M1172" t="str" cm="1">
        <f t="array" ref="M1172">IFERROR(_xlfn.XLOOKUP(C1172&amp;A1172, TDrate!F:F&amp;TDrate!H:H, TDrate!B:B), "N/A")</f>
        <v>N/A</v>
      </c>
      <c r="N1172" t="str" cm="1">
        <f t="array" ref="N1172">IFERROR(_xlfn.XLOOKUP(C1172&amp;A1172, TDrate!F:F&amp;TDrate!H:H, TDrate!D:D), "N/A")</f>
        <v>N/A</v>
      </c>
    </row>
    <row r="1173" spans="1:14" x14ac:dyDescent="0.45">
      <c r="A1173" s="8">
        <v>2019</v>
      </c>
      <c r="B1173" s="9" t="s">
        <v>800</v>
      </c>
      <c r="C1173" s="10" t="str">
        <f t="shared" si="36"/>
        <v>Trey Edmunds</v>
      </c>
      <c r="D1173" s="10" t="str">
        <f t="shared" si="37"/>
        <v>PIT</v>
      </c>
      <c r="E1173" cm="1">
        <f t="array" aca="1" ref="E1173" ca="1">IFERROR(_xlfn.XLOOKUP(C1173&amp;A1173, Inside5!B:B&amp;Inside5!I:I, Inside5!C:C), 0)</f>
        <v>1</v>
      </c>
      <c r="F1173" cm="1">
        <f t="array" aca="1" ref="F1173" ca="1">IFERROR(_xlfn.XLOOKUP(C1173&amp;A1173, Inside5!B:B&amp;Inside5!I:I, Inside5!D:D), 0)</f>
        <v>0</v>
      </c>
      <c r="G1173" cm="1">
        <f t="array" ref="G1173">IFERROR(_xlfn.XLOOKUP(C1173&amp;A1173, Inside5!B:B&amp;Inside5!I:I, Inside5!E:E), 0)</f>
        <v>9.0999999999999998E-2</v>
      </c>
      <c r="H1173" t="str" cm="1">
        <f t="array" ref="H1173">IFERROR(_xlfn.XLOOKUP(C1173&amp;A1173, TDrate!F:F&amp;TDrate!H:H, TDrate!C:C), "N/A")</f>
        <v>N/A</v>
      </c>
      <c r="I1173" t="str" cm="1">
        <f t="array" ref="I1173">IFERROR(_xlfn.XLOOKUP(C1173&amp;A1173, TDrate!F:F&amp;TDrate!H:H, TDrate!E:E), "N/A")</f>
        <v>N/A</v>
      </c>
      <c r="J1173" cm="1">
        <f t="array" ref="J1173">IFERROR(_xlfn.XLOOKUP(C1173&amp;A1173, Inside5!B:B&amp;Inside5!I:I, Inside5!F:F), 0)</f>
        <v>0</v>
      </c>
      <c r="K1173" cm="1">
        <f t="array" aca="1" ref="K1173" ca="1">IFERROR(_xlfn.XLOOKUP(C1173&amp;A1173, Inside5!B:B&amp;Inside5!I:I, Inside5!G:G), 0)</f>
        <v>0</v>
      </c>
      <c r="L1173" cm="1">
        <f t="array" ref="L1173">IFERROR(_xlfn.XLOOKUP(C1173&amp;A1173, Inside5!B:B&amp;Inside5!I:I, Inside5!H:H), 0)</f>
        <v>0</v>
      </c>
      <c r="M1173" t="str" cm="1">
        <f t="array" ref="M1173">IFERROR(_xlfn.XLOOKUP(C1173&amp;A1173, TDrate!F:F&amp;TDrate!H:H, TDrate!B:B), "N/A")</f>
        <v>N/A</v>
      </c>
      <c r="N1173" t="str" cm="1">
        <f t="array" ref="N1173">IFERROR(_xlfn.XLOOKUP(C1173&amp;A1173, TDrate!F:F&amp;TDrate!H:H, TDrate!D:D), "N/A")</f>
        <v>N/A</v>
      </c>
    </row>
    <row r="1174" spans="1:14" x14ac:dyDescent="0.45">
      <c r="A1174" s="5">
        <v>2019</v>
      </c>
      <c r="B1174" s="6" t="s">
        <v>924</v>
      </c>
      <c r="C1174" s="7" t="str">
        <f t="shared" si="36"/>
        <v>Kerrith Whyte Jr.</v>
      </c>
      <c r="D1174" s="7" t="str">
        <f t="shared" si="37"/>
        <v>PIT</v>
      </c>
      <c r="E1174" cm="1">
        <f t="array" aca="1" ref="E1174" ca="1">IFERROR(_xlfn.XLOOKUP(C1174&amp;A1174, Inside5!B:B&amp;Inside5!I:I, Inside5!C:C), 0)</f>
        <v>0</v>
      </c>
      <c r="F1174" cm="1">
        <f t="array" aca="1" ref="F1174" ca="1">IFERROR(_xlfn.XLOOKUP(C1174&amp;A1174, Inside5!B:B&amp;Inside5!I:I, Inside5!D:D), 0)</f>
        <v>0</v>
      </c>
      <c r="G1174" cm="1">
        <f t="array" ref="G1174">IFERROR(_xlfn.XLOOKUP(C1174&amp;A1174, Inside5!B:B&amp;Inside5!I:I, Inside5!E:E), 0)</f>
        <v>0</v>
      </c>
      <c r="H1174" t="str" cm="1">
        <f t="array" ref="H1174">IFERROR(_xlfn.XLOOKUP(C1174&amp;A1174, TDrate!F:F&amp;TDrate!H:H, TDrate!C:C), "N/A")</f>
        <v>N/A</v>
      </c>
      <c r="I1174" t="str" cm="1">
        <f t="array" ref="I1174">IFERROR(_xlfn.XLOOKUP(C1174&amp;A1174, TDrate!F:F&amp;TDrate!H:H, TDrate!E:E), "N/A")</f>
        <v>N/A</v>
      </c>
      <c r="J1174" cm="1">
        <f t="array" ref="J1174">IFERROR(_xlfn.XLOOKUP(C1174&amp;A1174, Inside5!B:B&amp;Inside5!I:I, Inside5!F:F), 0)</f>
        <v>0</v>
      </c>
      <c r="K1174" cm="1">
        <f t="array" aca="1" ref="K1174" ca="1">IFERROR(_xlfn.XLOOKUP(C1174&amp;A1174, Inside5!B:B&amp;Inside5!I:I, Inside5!G:G), 0)</f>
        <v>0</v>
      </c>
      <c r="L1174" cm="1">
        <f t="array" ref="L1174">IFERROR(_xlfn.XLOOKUP(C1174&amp;A1174, Inside5!B:B&amp;Inside5!I:I, Inside5!H:H), 0)</f>
        <v>0</v>
      </c>
      <c r="M1174" t="str" cm="1">
        <f t="array" ref="M1174">IFERROR(_xlfn.XLOOKUP(C1174&amp;A1174, TDrate!F:F&amp;TDrate!H:H, TDrate!B:B), "N/A")</f>
        <v>N/A</v>
      </c>
      <c r="N1174" t="str" cm="1">
        <f t="array" ref="N1174">IFERROR(_xlfn.XLOOKUP(C1174&amp;A1174, TDrate!F:F&amp;TDrate!H:H, TDrate!D:D), "N/A")</f>
        <v>N/A</v>
      </c>
    </row>
    <row r="1175" spans="1:14" x14ac:dyDescent="0.45">
      <c r="A1175" s="8">
        <v>2019</v>
      </c>
      <c r="B1175" s="9" t="s">
        <v>925</v>
      </c>
      <c r="C1175" s="10" t="str">
        <f t="shared" si="36"/>
        <v>Alec Ingold</v>
      </c>
      <c r="D1175" s="10" t="str">
        <f t="shared" si="37"/>
        <v>OAK</v>
      </c>
      <c r="E1175" cm="1">
        <f t="array" ref="E1175">IFERROR(_xlfn.XLOOKUP(C1175&amp;A1175, Inside5!B:B&amp;Inside5!I:I, Inside5!C:C), 0)</f>
        <v>2</v>
      </c>
      <c r="F1175" cm="1">
        <f t="array" ref="F1175">IFERROR(_xlfn.XLOOKUP(C1175&amp;A1175, Inside5!B:B&amp;Inside5!I:I, Inside5!D:D), 0)</f>
        <v>0</v>
      </c>
      <c r="G1175" cm="1">
        <f t="array" ref="G1175">IFERROR(_xlfn.XLOOKUP(C1175&amp;A1175, Inside5!B:B&amp;Inside5!I:I, Inside5!E:E), 0)</f>
        <v>0.111</v>
      </c>
      <c r="H1175" t="str" cm="1">
        <f t="array" ref="H1175">IFERROR(_xlfn.XLOOKUP(C1175&amp;A1175, TDrate!F:F&amp;TDrate!H:H, TDrate!C:C), "N/A")</f>
        <v>N/A</v>
      </c>
      <c r="I1175" t="str" cm="1">
        <f t="array" ref="I1175">IFERROR(_xlfn.XLOOKUP(C1175&amp;A1175, TDrate!F:F&amp;TDrate!H:H, TDrate!E:E), "N/A")</f>
        <v>N/A</v>
      </c>
      <c r="J1175" cm="1">
        <f t="array" ref="J1175">IFERROR(_xlfn.XLOOKUP(C1175&amp;A1175, Inside5!B:B&amp;Inside5!I:I, Inside5!F:F), 0)</f>
        <v>0</v>
      </c>
      <c r="K1175" cm="1">
        <f t="array" ref="K1175">IFERROR(_xlfn.XLOOKUP(C1175&amp;A1175, Inside5!B:B&amp;Inside5!I:I, Inside5!G:G), 0)</f>
        <v>0</v>
      </c>
      <c r="L1175" cm="1">
        <f t="array" ref="L1175">IFERROR(_xlfn.XLOOKUP(C1175&amp;A1175, Inside5!B:B&amp;Inside5!I:I, Inside5!H:H), 0)</f>
        <v>0</v>
      </c>
      <c r="M1175" t="str" cm="1">
        <f t="array" ref="M1175">IFERROR(_xlfn.XLOOKUP(C1175&amp;A1175, TDrate!F:F&amp;TDrate!H:H, TDrate!B:B), "N/A")</f>
        <v>N/A</v>
      </c>
      <c r="N1175" t="str" cm="1">
        <f t="array" ref="N1175">IFERROR(_xlfn.XLOOKUP(C1175&amp;A1175, TDrate!F:F&amp;TDrate!H:H, TDrate!D:D), "N/A")</f>
        <v>N/A</v>
      </c>
    </row>
    <row r="1176" spans="1:14" x14ac:dyDescent="0.45">
      <c r="A1176" s="5">
        <v>2019</v>
      </c>
      <c r="B1176" s="6" t="s">
        <v>926</v>
      </c>
      <c r="C1176" s="7" t="str">
        <f t="shared" si="36"/>
        <v>Darren Sproles</v>
      </c>
      <c r="D1176" s="7" t="str">
        <f t="shared" si="37"/>
        <v>PHI</v>
      </c>
      <c r="E1176" cm="1">
        <f t="array" ref="E1176">IFERROR(_xlfn.XLOOKUP(C1176&amp;A1176, Inside5!B:B&amp;Inside5!I:I, Inside5!C:C), 0)</f>
        <v>0</v>
      </c>
      <c r="F1176" cm="1">
        <f t="array" ref="F1176">IFERROR(_xlfn.XLOOKUP(C1176&amp;A1176, Inside5!B:B&amp;Inside5!I:I, Inside5!D:D), 0)</f>
        <v>0</v>
      </c>
      <c r="G1176" cm="1">
        <f t="array" ref="G1176">IFERROR(_xlfn.XLOOKUP(C1176&amp;A1176, Inside5!B:B&amp;Inside5!I:I, Inside5!E:E), 0)</f>
        <v>0</v>
      </c>
      <c r="H1176" t="str" cm="1">
        <f t="array" ref="H1176">IFERROR(_xlfn.XLOOKUP(C1176&amp;A1176, TDrate!F:F&amp;TDrate!H:H, TDrate!C:C), "N/A")</f>
        <v>N/A</v>
      </c>
      <c r="I1176" t="str" cm="1">
        <f t="array" ref="I1176">IFERROR(_xlfn.XLOOKUP(C1176&amp;A1176, TDrate!F:F&amp;TDrate!H:H, TDrate!E:E), "N/A")</f>
        <v>N/A</v>
      </c>
      <c r="J1176" cm="1">
        <f t="array" ref="J1176">IFERROR(_xlfn.XLOOKUP(C1176&amp;A1176, Inside5!B:B&amp;Inside5!I:I, Inside5!F:F), 0)</f>
        <v>0</v>
      </c>
      <c r="K1176" cm="1">
        <f t="array" ref="K1176">IFERROR(_xlfn.XLOOKUP(C1176&amp;A1176, Inside5!B:B&amp;Inside5!I:I, Inside5!G:G), 0)</f>
        <v>0</v>
      </c>
      <c r="L1176" cm="1">
        <f t="array" ref="L1176">IFERROR(_xlfn.XLOOKUP(C1176&amp;A1176, Inside5!B:B&amp;Inside5!I:I, Inside5!H:H), 0)</f>
        <v>0</v>
      </c>
      <c r="M1176" t="str" cm="1">
        <f t="array" ref="M1176">IFERROR(_xlfn.XLOOKUP(C1176&amp;A1176, TDrate!F:F&amp;TDrate!H:H, TDrate!B:B), "N/A")</f>
        <v>N/A</v>
      </c>
      <c r="N1176" t="str" cm="1">
        <f t="array" ref="N1176">IFERROR(_xlfn.XLOOKUP(C1176&amp;A1176, TDrate!F:F&amp;TDrate!H:H, TDrate!D:D), "N/A")</f>
        <v>N/A</v>
      </c>
    </row>
    <row r="1177" spans="1:14" x14ac:dyDescent="0.45">
      <c r="A1177" s="8">
        <v>2019</v>
      </c>
      <c r="B1177" s="9" t="s">
        <v>437</v>
      </c>
      <c r="C1177" s="10" t="str">
        <f t="shared" si="36"/>
        <v>Patrick Ricard</v>
      </c>
      <c r="D1177" s="10" t="str">
        <f t="shared" si="37"/>
        <v>BAL</v>
      </c>
      <c r="E1177" cm="1">
        <f t="array" ref="E1177">IFERROR(_xlfn.XLOOKUP(C1177&amp;A1177, Inside5!B:B&amp;Inside5!I:I, Inside5!C:C), 0)</f>
        <v>0</v>
      </c>
      <c r="F1177" cm="1">
        <f t="array" ref="F1177">IFERROR(_xlfn.XLOOKUP(C1177&amp;A1177, Inside5!B:B&amp;Inside5!I:I, Inside5!D:D), 0)</f>
        <v>0</v>
      </c>
      <c r="G1177" cm="1">
        <f t="array" ref="G1177">IFERROR(_xlfn.XLOOKUP(C1177&amp;A1177, Inside5!B:B&amp;Inside5!I:I, Inside5!E:E), 0)</f>
        <v>0</v>
      </c>
      <c r="H1177" t="str" cm="1">
        <f t="array" ref="H1177">IFERROR(_xlfn.XLOOKUP(C1177&amp;A1177, TDrate!F:F&amp;TDrate!H:H, TDrate!C:C), "N/A")</f>
        <v>N/A</v>
      </c>
      <c r="I1177" t="str" cm="1">
        <f t="array" ref="I1177">IFERROR(_xlfn.XLOOKUP(C1177&amp;A1177, TDrate!F:F&amp;TDrate!H:H, TDrate!E:E), "N/A")</f>
        <v>N/A</v>
      </c>
      <c r="J1177" cm="1">
        <f t="array" ref="J1177">IFERROR(_xlfn.XLOOKUP(C1177&amp;A1177, Inside5!B:B&amp;Inside5!I:I, Inside5!F:F), 0)</f>
        <v>1</v>
      </c>
      <c r="K1177" cm="1">
        <f t="array" aca="1" ref="K1177" ca="1">IFERROR(_xlfn.XLOOKUP(C1177&amp;A1177, Inside5!B:B&amp;Inside5!I:I, Inside5!G:G), 0)</f>
        <v>1</v>
      </c>
      <c r="L1177" cm="1">
        <f t="array" ref="L1177">IFERROR(_xlfn.XLOOKUP(C1177&amp;A1177, Inside5!B:B&amp;Inside5!I:I, Inside5!H:H), 0)</f>
        <v>1</v>
      </c>
      <c r="M1177" t="str" cm="1">
        <f t="array" ref="M1177">IFERROR(_xlfn.XLOOKUP(C1177&amp;A1177, TDrate!F:F&amp;TDrate!H:H, TDrate!B:B), "N/A")</f>
        <v>N/A</v>
      </c>
      <c r="N1177" t="str" cm="1">
        <f t="array" ref="N1177">IFERROR(_xlfn.XLOOKUP(C1177&amp;A1177, TDrate!F:F&amp;TDrate!H:H, TDrate!D:D), "N/A")</f>
        <v>N/A</v>
      </c>
    </row>
    <row r="1178" spans="1:14" x14ac:dyDescent="0.45">
      <c r="A1178" s="5">
        <v>2019</v>
      </c>
      <c r="B1178" s="6" t="s">
        <v>927</v>
      </c>
      <c r="C1178" s="7" t="str">
        <f t="shared" si="36"/>
        <v>Javorius Allen</v>
      </c>
      <c r="D1178" s="7" t="str">
        <f t="shared" si="37"/>
        <v>NYG</v>
      </c>
      <c r="E1178" cm="1">
        <f t="array" ref="E1178">IFERROR(_xlfn.XLOOKUP(C1178&amp;A1178, Inside5!B:B&amp;Inside5!I:I, Inside5!C:C), 0)</f>
        <v>1</v>
      </c>
      <c r="F1178" cm="1">
        <f t="array" aca="1" ref="F1178" ca="1">IFERROR(_xlfn.XLOOKUP(C1178&amp;A1178, Inside5!B:B&amp;Inside5!I:I, Inside5!D:D), 0)</f>
        <v>1</v>
      </c>
      <c r="G1178" cm="1">
        <f t="array" ref="G1178">IFERROR(_xlfn.XLOOKUP(C1178&amp;A1178, Inside5!B:B&amp;Inside5!I:I, Inside5!E:E), 0)</f>
        <v>7.0999999999999994E-2</v>
      </c>
      <c r="H1178" t="str" cm="1">
        <f t="array" ref="H1178">IFERROR(_xlfn.XLOOKUP(C1178&amp;A1178, TDrate!F:F&amp;TDrate!H:H, TDrate!C:C), "N/A")</f>
        <v>N/A</v>
      </c>
      <c r="I1178" t="str" cm="1">
        <f t="array" ref="I1178">IFERROR(_xlfn.XLOOKUP(C1178&amp;A1178, TDrate!F:F&amp;TDrate!H:H, TDrate!E:E), "N/A")</f>
        <v>N/A</v>
      </c>
      <c r="J1178" cm="1">
        <f t="array" ref="J1178">IFERROR(_xlfn.XLOOKUP(C1178&amp;A1178, Inside5!B:B&amp;Inside5!I:I, Inside5!F:F), 0)</f>
        <v>0</v>
      </c>
      <c r="K1178" cm="1">
        <f t="array" ref="K1178">IFERROR(_xlfn.XLOOKUP(C1178&amp;A1178, Inside5!B:B&amp;Inside5!I:I, Inside5!G:G), 0)</f>
        <v>0</v>
      </c>
      <c r="L1178" cm="1">
        <f t="array" aca="1" ref="L1178" ca="1">IFERROR(_xlfn.XLOOKUP(C1178&amp;A1178, Inside5!B:B&amp;Inside5!I:I, Inside5!H:H), 0)</f>
        <v>0</v>
      </c>
      <c r="M1178" t="str" cm="1">
        <f t="array" ref="M1178">IFERROR(_xlfn.XLOOKUP(C1178&amp;A1178, TDrate!F:F&amp;TDrate!H:H, TDrate!B:B), "N/A")</f>
        <v>N/A</v>
      </c>
      <c r="N1178" t="str" cm="1">
        <f t="array" ref="N1178">IFERROR(_xlfn.XLOOKUP(C1178&amp;A1178, TDrate!F:F&amp;TDrate!H:H, TDrate!D:D), "N/A")</f>
        <v>N/A</v>
      </c>
    </row>
    <row r="1179" spans="1:14" x14ac:dyDescent="0.45">
      <c r="A1179" s="8">
        <v>2019</v>
      </c>
      <c r="B1179" s="9" t="s">
        <v>928</v>
      </c>
      <c r="C1179" s="10" t="str">
        <f t="shared" si="36"/>
        <v>Andy Janovich</v>
      </c>
      <c r="D1179" s="10" t="str">
        <f t="shared" si="37"/>
        <v>DEN</v>
      </c>
      <c r="E1179" cm="1">
        <f t="array" ref="E1179">IFERROR(_xlfn.XLOOKUP(C1179&amp;A1179, Inside5!B:B&amp;Inside5!I:I, Inside5!C:C), 0)</f>
        <v>1</v>
      </c>
      <c r="F1179" cm="1">
        <f t="array" ref="F1179">IFERROR(_xlfn.XLOOKUP(C1179&amp;A1179, Inside5!B:B&amp;Inside5!I:I, Inside5!D:D), 0)</f>
        <v>1</v>
      </c>
      <c r="G1179" cm="1">
        <f t="array" ref="G1179">IFERROR(_xlfn.XLOOKUP(C1179&amp;A1179, Inside5!B:B&amp;Inside5!I:I, Inside5!E:E), 0)</f>
        <v>7.0999999999999994E-2</v>
      </c>
      <c r="H1179" t="str" cm="1">
        <f t="array" ref="H1179">IFERROR(_xlfn.XLOOKUP(C1179&amp;A1179, TDrate!F:F&amp;TDrate!H:H, TDrate!C:C), "N/A")</f>
        <v>N/A</v>
      </c>
      <c r="I1179" t="str" cm="1">
        <f t="array" ref="I1179">IFERROR(_xlfn.XLOOKUP(C1179&amp;A1179, TDrate!F:F&amp;TDrate!H:H, TDrate!E:E), "N/A")</f>
        <v>N/A</v>
      </c>
      <c r="J1179" cm="1">
        <f t="array" ref="J1179">IFERROR(_xlfn.XLOOKUP(C1179&amp;A1179, Inside5!B:B&amp;Inside5!I:I, Inside5!F:F), 0)</f>
        <v>0</v>
      </c>
      <c r="K1179" cm="1">
        <f t="array" ref="K1179">IFERROR(_xlfn.XLOOKUP(C1179&amp;A1179, Inside5!B:B&amp;Inside5!I:I, Inside5!G:G), 0)</f>
        <v>0</v>
      </c>
      <c r="L1179" cm="1">
        <f t="array" ref="L1179">IFERROR(_xlfn.XLOOKUP(C1179&amp;A1179, Inside5!B:B&amp;Inside5!I:I, Inside5!H:H), 0)</f>
        <v>0</v>
      </c>
      <c r="M1179" t="str" cm="1">
        <f t="array" ref="M1179">IFERROR(_xlfn.XLOOKUP(C1179&amp;A1179, TDrate!F:F&amp;TDrate!H:H, TDrate!B:B), "N/A")</f>
        <v>N/A</v>
      </c>
      <c r="N1179" t="str" cm="1">
        <f t="array" ref="N1179">IFERROR(_xlfn.XLOOKUP(C1179&amp;A1179, TDrate!F:F&amp;TDrate!H:H, TDrate!D:D), "N/A")</f>
        <v>N/A</v>
      </c>
    </row>
    <row r="1180" spans="1:14" x14ac:dyDescent="0.45">
      <c r="A1180" s="5">
        <v>2019</v>
      </c>
      <c r="B1180" s="6" t="s">
        <v>929</v>
      </c>
      <c r="C1180" s="7" t="str">
        <f t="shared" si="36"/>
        <v>Derek Watt</v>
      </c>
      <c r="D1180" s="7" t="str">
        <f t="shared" si="37"/>
        <v>LAC</v>
      </c>
      <c r="E1180" cm="1">
        <f t="array" aca="1" ref="E1180" ca="1">IFERROR(_xlfn.XLOOKUP(C1180&amp;A1180, Inside5!B:B&amp;Inside5!I:I, Inside5!C:C), 0)</f>
        <v>1</v>
      </c>
      <c r="F1180" cm="1">
        <f t="array" aca="1" ref="F1180" ca="1">IFERROR(_xlfn.XLOOKUP(C1180&amp;A1180, Inside5!B:B&amp;Inside5!I:I, Inside5!D:D), 0)</f>
        <v>1</v>
      </c>
      <c r="G1180" cm="1">
        <f t="array" ref="G1180">IFERROR(_xlfn.XLOOKUP(C1180&amp;A1180, Inside5!B:B&amp;Inside5!I:I, Inside5!E:E), 0)</f>
        <v>4.2999999999999997E-2</v>
      </c>
      <c r="H1180" t="str" cm="1">
        <f t="array" ref="H1180">IFERROR(_xlfn.XLOOKUP(C1180&amp;A1180, TDrate!F:F&amp;TDrate!H:H, TDrate!C:C), "N/A")</f>
        <v>N/A</v>
      </c>
      <c r="I1180" t="str" cm="1">
        <f t="array" ref="I1180">IFERROR(_xlfn.XLOOKUP(C1180&amp;A1180, TDrate!F:F&amp;TDrate!H:H, TDrate!E:E), "N/A")</f>
        <v>N/A</v>
      </c>
      <c r="J1180" cm="1">
        <f t="array" ref="J1180">IFERROR(_xlfn.XLOOKUP(C1180&amp;A1180, Inside5!B:B&amp;Inside5!I:I, Inside5!F:F), 0)</f>
        <v>0</v>
      </c>
      <c r="K1180" cm="1">
        <f t="array" aca="1" ref="K1180" ca="1">IFERROR(_xlfn.XLOOKUP(C1180&amp;A1180, Inside5!B:B&amp;Inside5!I:I, Inside5!G:G), 0)</f>
        <v>1</v>
      </c>
      <c r="L1180" cm="1">
        <f t="array" ref="L1180">IFERROR(_xlfn.XLOOKUP(C1180&amp;A1180, Inside5!B:B&amp;Inside5!I:I, Inside5!H:H), 0)</f>
        <v>0</v>
      </c>
      <c r="M1180" t="str" cm="1">
        <f t="array" ref="M1180">IFERROR(_xlfn.XLOOKUP(C1180&amp;A1180, TDrate!F:F&amp;TDrate!H:H, TDrate!B:B), "N/A")</f>
        <v>N/A</v>
      </c>
      <c r="N1180" t="str" cm="1">
        <f t="array" ref="N1180">IFERROR(_xlfn.XLOOKUP(C1180&amp;A1180, TDrate!F:F&amp;TDrate!H:H, TDrate!D:D), "N/A")</f>
        <v>N/A</v>
      </c>
    </row>
    <row r="1181" spans="1:14" x14ac:dyDescent="0.45">
      <c r="A1181" s="8">
        <v>2019</v>
      </c>
      <c r="B1181" s="9" t="s">
        <v>930</v>
      </c>
      <c r="C1181" s="10" t="str">
        <f t="shared" si="36"/>
        <v>Danny Vitale</v>
      </c>
      <c r="D1181" s="10" t="str">
        <f t="shared" si="37"/>
        <v>GB</v>
      </c>
      <c r="E1181" cm="1">
        <f t="array" aca="1" ref="E1181" ca="1">IFERROR(_xlfn.XLOOKUP(C1181&amp;A1181, Inside5!B:B&amp;Inside5!I:I, Inside5!C:C), 0)</f>
        <v>0</v>
      </c>
      <c r="F1181" cm="1">
        <f t="array" aca="1" ref="F1181" ca="1">IFERROR(_xlfn.XLOOKUP(C1181&amp;A1181, Inside5!B:B&amp;Inside5!I:I, Inside5!D:D), 0)</f>
        <v>0</v>
      </c>
      <c r="G1181" cm="1">
        <f t="array" ref="G1181">IFERROR(_xlfn.XLOOKUP(C1181&amp;A1181, Inside5!B:B&amp;Inside5!I:I, Inside5!E:E), 0)</f>
        <v>0</v>
      </c>
      <c r="H1181" t="str" cm="1">
        <f t="array" ref="H1181">IFERROR(_xlfn.XLOOKUP(C1181&amp;A1181, TDrate!F:F&amp;TDrate!H:H, TDrate!C:C), "N/A")</f>
        <v>N/A</v>
      </c>
      <c r="I1181" t="str" cm="1">
        <f t="array" ref="I1181">IFERROR(_xlfn.XLOOKUP(C1181&amp;A1181, TDrate!F:F&amp;TDrate!H:H, TDrate!E:E), "N/A")</f>
        <v>N/A</v>
      </c>
      <c r="J1181" cm="1">
        <f t="array" ref="J1181">IFERROR(_xlfn.XLOOKUP(C1181&amp;A1181, Inside5!B:B&amp;Inside5!I:I, Inside5!F:F), 0)</f>
        <v>0</v>
      </c>
      <c r="K1181" cm="1">
        <f t="array" aca="1" ref="K1181" ca="1">IFERROR(_xlfn.XLOOKUP(C1181&amp;A1181, Inside5!B:B&amp;Inside5!I:I, Inside5!G:G), 0)</f>
        <v>1</v>
      </c>
      <c r="L1181" cm="1">
        <f t="array" aca="1" ref="L1181" ca="1">IFERROR(_xlfn.XLOOKUP(C1181&amp;A1181, Inside5!B:B&amp;Inside5!I:I, Inside5!H:H), 0)</f>
        <v>0</v>
      </c>
      <c r="M1181" t="str" cm="1">
        <f t="array" ref="M1181">IFERROR(_xlfn.XLOOKUP(C1181&amp;A1181, TDrate!F:F&amp;TDrate!H:H, TDrate!B:B), "N/A")</f>
        <v>N/A</v>
      </c>
      <c r="N1181" t="str" cm="1">
        <f t="array" ref="N1181">IFERROR(_xlfn.XLOOKUP(C1181&amp;A1181, TDrate!F:F&amp;TDrate!H:H, TDrate!D:D), "N/A")</f>
        <v>N/A</v>
      </c>
    </row>
    <row r="1182" spans="1:14" x14ac:dyDescent="0.45">
      <c r="A1182" s="5">
        <v>2019</v>
      </c>
      <c r="B1182" s="6" t="s">
        <v>931</v>
      </c>
      <c r="C1182" s="7" t="str">
        <f t="shared" si="36"/>
        <v>Marshawn Lynch</v>
      </c>
      <c r="D1182" s="7" t="str">
        <f t="shared" si="37"/>
        <v>SEA</v>
      </c>
      <c r="E1182" cm="1">
        <f t="array" aca="1" ref="E1182" ca="1">IFERROR(_xlfn.XLOOKUP(C1182&amp;A1182, Inside5!B:B&amp;Inside5!I:I, Inside5!C:C), 0)</f>
        <v>0</v>
      </c>
      <c r="F1182" cm="1">
        <f t="array" ref="F1182">IFERROR(_xlfn.XLOOKUP(C1182&amp;A1182, Inside5!B:B&amp;Inside5!I:I, Inside5!D:D), 0)</f>
        <v>0</v>
      </c>
      <c r="G1182" cm="1">
        <f t="array" ref="G1182">IFERROR(_xlfn.XLOOKUP(C1182&amp;A1182, Inside5!B:B&amp;Inside5!I:I, Inside5!E:E), 0)</f>
        <v>0</v>
      </c>
      <c r="H1182" t="str" cm="1">
        <f t="array" ref="H1182">IFERROR(_xlfn.XLOOKUP(C1182&amp;A1182, TDrate!F:F&amp;TDrate!H:H, TDrate!C:C), "N/A")</f>
        <v>N/A</v>
      </c>
      <c r="I1182" t="str" cm="1">
        <f t="array" ref="I1182">IFERROR(_xlfn.XLOOKUP(C1182&amp;A1182, TDrate!F:F&amp;TDrate!H:H, TDrate!E:E), "N/A")</f>
        <v>N/A</v>
      </c>
      <c r="J1182" cm="1">
        <f t="array" ref="J1182">IFERROR(_xlfn.XLOOKUP(C1182&amp;A1182, Inside5!B:B&amp;Inside5!I:I, Inside5!F:F), 0)</f>
        <v>0</v>
      </c>
      <c r="K1182" cm="1">
        <f t="array" aca="1" ref="K1182" ca="1">IFERROR(_xlfn.XLOOKUP(C1182&amp;A1182, Inside5!B:B&amp;Inside5!I:I, Inside5!G:G), 0)</f>
        <v>0</v>
      </c>
      <c r="L1182" cm="1">
        <f t="array" ref="L1182">IFERROR(_xlfn.XLOOKUP(C1182&amp;A1182, Inside5!B:B&amp;Inside5!I:I, Inside5!H:H), 0)</f>
        <v>0</v>
      </c>
      <c r="M1182" t="str" cm="1">
        <f t="array" ref="M1182">IFERROR(_xlfn.XLOOKUP(C1182&amp;A1182, TDrate!F:F&amp;TDrate!H:H, TDrate!B:B), "N/A")</f>
        <v>N/A</v>
      </c>
      <c r="N1182" t="str" cm="1">
        <f t="array" ref="N1182">IFERROR(_xlfn.XLOOKUP(C1182&amp;A1182, TDrate!F:F&amp;TDrate!H:H, TDrate!D:D), "N/A")</f>
        <v>N/A</v>
      </c>
    </row>
    <row r="1183" spans="1:14" x14ac:dyDescent="0.45">
      <c r="A1183" s="8">
        <v>2019</v>
      </c>
      <c r="B1183" s="9" t="s">
        <v>688</v>
      </c>
      <c r="C1183" s="10" t="str">
        <f t="shared" si="36"/>
        <v>D'Ernest Johnson</v>
      </c>
      <c r="D1183" s="10" t="str">
        <f t="shared" si="37"/>
        <v>CLE</v>
      </c>
      <c r="E1183" cm="1">
        <f t="array" aca="1" ref="E1183" ca="1">IFERROR(_xlfn.XLOOKUP(C1183&amp;A1183, Inside5!B:B&amp;Inside5!I:I, Inside5!C:C), 0)</f>
        <v>0</v>
      </c>
      <c r="F1183" cm="1">
        <f t="array" aca="1" ref="F1183" ca="1">IFERROR(_xlfn.XLOOKUP(C1183&amp;A1183, Inside5!B:B&amp;Inside5!I:I, Inside5!D:D), 0)</f>
        <v>0</v>
      </c>
      <c r="G1183" cm="1">
        <f t="array" ref="G1183">IFERROR(_xlfn.XLOOKUP(C1183&amp;A1183, Inside5!B:B&amp;Inside5!I:I, Inside5!E:E), 0)</f>
        <v>0</v>
      </c>
      <c r="H1183" t="str" cm="1">
        <f t="array" ref="H1183">IFERROR(_xlfn.XLOOKUP(C1183&amp;A1183, TDrate!F:F&amp;TDrate!H:H, TDrate!C:C), "N/A")</f>
        <v>N/A</v>
      </c>
      <c r="I1183" t="str" cm="1">
        <f t="array" ref="I1183">IFERROR(_xlfn.XLOOKUP(C1183&amp;A1183, TDrate!F:F&amp;TDrate!H:H, TDrate!E:E), "N/A")</f>
        <v>N/A</v>
      </c>
      <c r="J1183" cm="1">
        <f t="array" ref="J1183">IFERROR(_xlfn.XLOOKUP(C1183&amp;A1183, Inside5!B:B&amp;Inside5!I:I, Inside5!F:F), 0)</f>
        <v>0</v>
      </c>
      <c r="K1183" cm="1">
        <f t="array" ref="K1183">IFERROR(_xlfn.XLOOKUP(C1183&amp;A1183, Inside5!B:B&amp;Inside5!I:I, Inside5!G:G), 0)</f>
        <v>0</v>
      </c>
      <c r="L1183" cm="1">
        <f t="array" ref="L1183">IFERROR(_xlfn.XLOOKUP(C1183&amp;A1183, Inside5!B:B&amp;Inside5!I:I, Inside5!H:H), 0)</f>
        <v>0</v>
      </c>
      <c r="M1183" t="str" cm="1">
        <f t="array" ref="M1183">IFERROR(_xlfn.XLOOKUP(C1183&amp;A1183, TDrate!F:F&amp;TDrate!H:H, TDrate!B:B), "N/A")</f>
        <v>N/A</v>
      </c>
      <c r="N1183" t="str" cm="1">
        <f t="array" ref="N1183">IFERROR(_xlfn.XLOOKUP(C1183&amp;A1183, TDrate!F:F&amp;TDrate!H:H, TDrate!D:D), "N/A")</f>
        <v>N/A</v>
      </c>
    </row>
    <row r="1184" spans="1:14" x14ac:dyDescent="0.45">
      <c r="A1184" s="5">
        <v>2019</v>
      </c>
      <c r="B1184" s="6" t="s">
        <v>932</v>
      </c>
      <c r="C1184" s="7" t="str">
        <f t="shared" si="36"/>
        <v>Kenjon Barner</v>
      </c>
      <c r="D1184" s="7" t="str">
        <f t="shared" si="37"/>
        <v>ATL</v>
      </c>
      <c r="E1184" cm="1">
        <f t="array" ref="E1184">IFERROR(_xlfn.XLOOKUP(C1184&amp;A1184, Inside5!B:B&amp;Inside5!I:I, Inside5!C:C), 0)</f>
        <v>0</v>
      </c>
      <c r="F1184" cm="1">
        <f t="array" ref="F1184">IFERROR(_xlfn.XLOOKUP(C1184&amp;A1184, Inside5!B:B&amp;Inside5!I:I, Inside5!D:D), 0)</f>
        <v>0</v>
      </c>
      <c r="G1184" cm="1">
        <f t="array" ref="G1184">IFERROR(_xlfn.XLOOKUP(C1184&amp;A1184, Inside5!B:B&amp;Inside5!I:I, Inside5!E:E), 0)</f>
        <v>0</v>
      </c>
      <c r="H1184" t="str" cm="1">
        <f t="array" ref="H1184">IFERROR(_xlfn.XLOOKUP(C1184&amp;A1184, TDrate!F:F&amp;TDrate!H:H, TDrate!C:C), "N/A")</f>
        <v>N/A</v>
      </c>
      <c r="I1184" t="str" cm="1">
        <f t="array" ref="I1184">IFERROR(_xlfn.XLOOKUP(C1184&amp;A1184, TDrate!F:F&amp;TDrate!H:H, TDrate!E:E), "N/A")</f>
        <v>N/A</v>
      </c>
      <c r="J1184" cm="1">
        <f t="array" ref="J1184">IFERROR(_xlfn.XLOOKUP(C1184&amp;A1184, Inside5!B:B&amp;Inside5!I:I, Inside5!F:F), 0)</f>
        <v>0</v>
      </c>
      <c r="K1184" cm="1">
        <f t="array" ref="K1184">IFERROR(_xlfn.XLOOKUP(C1184&amp;A1184, Inside5!B:B&amp;Inside5!I:I, Inside5!G:G), 0)</f>
        <v>0</v>
      </c>
      <c r="L1184" cm="1">
        <f t="array" ref="L1184">IFERROR(_xlfn.XLOOKUP(C1184&amp;A1184, Inside5!B:B&amp;Inside5!I:I, Inside5!H:H), 0)</f>
        <v>0</v>
      </c>
      <c r="M1184" t="str" cm="1">
        <f t="array" ref="M1184">IFERROR(_xlfn.XLOOKUP(C1184&amp;A1184, TDrate!F:F&amp;TDrate!H:H, TDrate!B:B), "N/A")</f>
        <v>N/A</v>
      </c>
      <c r="N1184" t="str" cm="1">
        <f t="array" ref="N1184">IFERROR(_xlfn.XLOOKUP(C1184&amp;A1184, TDrate!F:F&amp;TDrate!H:H, TDrate!D:D), "N/A")</f>
        <v>N/A</v>
      </c>
    </row>
    <row r="1185" spans="1:14" x14ac:dyDescent="0.45">
      <c r="A1185" s="8">
        <v>2019</v>
      </c>
      <c r="B1185" s="9" t="s">
        <v>871</v>
      </c>
      <c r="C1185" s="10" t="str">
        <f t="shared" si="36"/>
        <v>Alex Armah Jr.</v>
      </c>
      <c r="D1185" s="10" t="str">
        <f t="shared" si="37"/>
        <v>CAR</v>
      </c>
      <c r="E1185" cm="1">
        <f t="array" ref="E1185">IFERROR(_xlfn.XLOOKUP(C1185&amp;A1185, Inside5!B:B&amp;Inside5!I:I, Inside5!C:C), 0)</f>
        <v>2</v>
      </c>
      <c r="F1185" cm="1">
        <f t="array" ref="F1185">IFERROR(_xlfn.XLOOKUP(C1185&amp;A1185, Inside5!B:B&amp;Inside5!I:I, Inside5!D:D), 0)</f>
        <v>1</v>
      </c>
      <c r="G1185" cm="1">
        <f t="array" ref="G1185">IFERROR(_xlfn.XLOOKUP(C1185&amp;A1185, Inside5!B:B&amp;Inside5!I:I, Inside5!E:E), 0)</f>
        <v>9.5000000000000001E-2</v>
      </c>
      <c r="H1185" t="str" cm="1">
        <f t="array" ref="H1185">IFERROR(_xlfn.XLOOKUP(C1185&amp;A1185, TDrate!F:F&amp;TDrate!H:H, TDrate!C:C), "N/A")</f>
        <v>N/A</v>
      </c>
      <c r="I1185" t="str" cm="1">
        <f t="array" ref="I1185">IFERROR(_xlfn.XLOOKUP(C1185&amp;A1185, TDrate!F:F&amp;TDrate!H:H, TDrate!E:E), "N/A")</f>
        <v>N/A</v>
      </c>
      <c r="J1185" cm="1">
        <f t="array" ref="J1185">IFERROR(_xlfn.XLOOKUP(C1185&amp;A1185, Inside5!B:B&amp;Inside5!I:I, Inside5!F:F), 0)</f>
        <v>0</v>
      </c>
      <c r="K1185" cm="1">
        <f t="array" aca="1" ref="K1185" ca="1">IFERROR(_xlfn.XLOOKUP(C1185&amp;A1185, Inside5!B:B&amp;Inside5!I:I, Inside5!G:G), 0)</f>
        <v>0</v>
      </c>
      <c r="L1185" cm="1">
        <f t="array" ref="L1185">IFERROR(_xlfn.XLOOKUP(C1185&amp;A1185, Inside5!B:B&amp;Inside5!I:I, Inside5!H:H), 0)</f>
        <v>0</v>
      </c>
      <c r="M1185" t="str" cm="1">
        <f t="array" ref="M1185">IFERROR(_xlfn.XLOOKUP(C1185&amp;A1185, TDrate!F:F&amp;TDrate!H:H, TDrate!B:B), "N/A")</f>
        <v>N/A</v>
      </c>
      <c r="N1185" t="str" cm="1">
        <f t="array" ref="N1185">IFERROR(_xlfn.XLOOKUP(C1185&amp;A1185, TDrate!F:F&amp;TDrate!H:H, TDrate!D:D), "N/A")</f>
        <v>N/A</v>
      </c>
    </row>
    <row r="1186" spans="1:14" x14ac:dyDescent="0.45">
      <c r="A1186" s="5">
        <v>2019</v>
      </c>
      <c r="B1186" s="6" t="s">
        <v>860</v>
      </c>
      <c r="C1186" s="7" t="str">
        <f t="shared" si="36"/>
        <v>Troymaine Pope</v>
      </c>
      <c r="D1186" s="7" t="str">
        <f t="shared" si="37"/>
        <v>LAC</v>
      </c>
      <c r="E1186" cm="1">
        <f t="array" aca="1" ref="E1186" ca="1">IFERROR(_xlfn.XLOOKUP(C1186&amp;A1186, Inside5!B:B&amp;Inside5!I:I, Inside5!C:C), 0)</f>
        <v>0</v>
      </c>
      <c r="F1186" cm="1">
        <f t="array" aca="1" ref="F1186" ca="1">IFERROR(_xlfn.XLOOKUP(C1186&amp;A1186, Inside5!B:B&amp;Inside5!I:I, Inside5!D:D), 0)</f>
        <v>0</v>
      </c>
      <c r="G1186" cm="1">
        <f t="array" ref="G1186">IFERROR(_xlfn.XLOOKUP(C1186&amp;A1186, Inside5!B:B&amp;Inside5!I:I, Inside5!E:E), 0)</f>
        <v>0</v>
      </c>
      <c r="H1186" t="str" cm="1">
        <f t="array" ref="H1186">IFERROR(_xlfn.XLOOKUP(C1186&amp;A1186, TDrate!F:F&amp;TDrate!H:H, TDrate!C:C), "N/A")</f>
        <v>N/A</v>
      </c>
      <c r="I1186" t="str" cm="1">
        <f t="array" ref="I1186">IFERROR(_xlfn.XLOOKUP(C1186&amp;A1186, TDrate!F:F&amp;TDrate!H:H, TDrate!E:E), "N/A")</f>
        <v>N/A</v>
      </c>
      <c r="J1186" cm="1">
        <f t="array" ref="J1186">IFERROR(_xlfn.XLOOKUP(C1186&amp;A1186, Inside5!B:B&amp;Inside5!I:I, Inside5!F:F), 0)</f>
        <v>0</v>
      </c>
      <c r="K1186" cm="1">
        <f t="array" aca="1" ref="K1186" ca="1">IFERROR(_xlfn.XLOOKUP(C1186&amp;A1186, Inside5!B:B&amp;Inside5!I:I, Inside5!G:G), 0)</f>
        <v>0</v>
      </c>
      <c r="L1186" cm="1">
        <f t="array" ref="L1186">IFERROR(_xlfn.XLOOKUP(C1186&amp;A1186, Inside5!B:B&amp;Inside5!I:I, Inside5!H:H), 0)</f>
        <v>0</v>
      </c>
      <c r="M1186" t="str" cm="1">
        <f t="array" ref="M1186">IFERROR(_xlfn.XLOOKUP(C1186&amp;A1186, TDrate!F:F&amp;TDrate!H:H, TDrate!B:B), "N/A")</f>
        <v>N/A</v>
      </c>
      <c r="N1186" t="str" cm="1">
        <f t="array" ref="N1186">IFERROR(_xlfn.XLOOKUP(C1186&amp;A1186, TDrate!F:F&amp;TDrate!H:H, TDrate!D:D), "N/A")</f>
        <v>N/A</v>
      </c>
    </row>
    <row r="1187" spans="1:14" x14ac:dyDescent="0.45">
      <c r="A1187" s="8">
        <v>2019</v>
      </c>
      <c r="B1187" s="9" t="s">
        <v>933</v>
      </c>
      <c r="C1187" s="10" t="str">
        <f t="shared" si="36"/>
        <v>Spencer Ware</v>
      </c>
      <c r="D1187" s="10" t="str">
        <f t="shared" si="37"/>
        <v>KC</v>
      </c>
      <c r="E1187" cm="1">
        <f t="array" aca="1" ref="E1187" ca="1">IFERROR(_xlfn.XLOOKUP(C1187&amp;A1187, Inside5!B:B&amp;Inside5!I:I, Inside5!C:C), 0)</f>
        <v>0</v>
      </c>
      <c r="F1187" cm="1">
        <f t="array" aca="1" ref="F1187" ca="1">IFERROR(_xlfn.XLOOKUP(C1187&amp;A1187, Inside5!B:B&amp;Inside5!I:I, Inside5!D:D), 0)</f>
        <v>0</v>
      </c>
      <c r="G1187" cm="1">
        <f t="array" ref="G1187">IFERROR(_xlfn.XLOOKUP(C1187&amp;A1187, Inside5!B:B&amp;Inside5!I:I, Inside5!E:E), 0)</f>
        <v>0</v>
      </c>
      <c r="H1187" t="str" cm="1">
        <f t="array" ref="H1187">IFERROR(_xlfn.XLOOKUP(C1187&amp;A1187, TDrate!F:F&amp;TDrate!H:H, TDrate!C:C), "N/A")</f>
        <v>N/A</v>
      </c>
      <c r="I1187" t="str" cm="1">
        <f t="array" ref="I1187">IFERROR(_xlfn.XLOOKUP(C1187&amp;A1187, TDrate!F:F&amp;TDrate!H:H, TDrate!E:E), "N/A")</f>
        <v>N/A</v>
      </c>
      <c r="J1187" cm="1">
        <f t="array" ref="J1187">IFERROR(_xlfn.XLOOKUP(C1187&amp;A1187, Inside5!B:B&amp;Inside5!I:I, Inside5!F:F), 0)</f>
        <v>0</v>
      </c>
      <c r="K1187" cm="1">
        <f t="array" aca="1" ref="K1187" ca="1">IFERROR(_xlfn.XLOOKUP(C1187&amp;A1187, Inside5!B:B&amp;Inside5!I:I, Inside5!G:G), 0)</f>
        <v>0</v>
      </c>
      <c r="L1187" cm="1">
        <f t="array" ref="L1187">IFERROR(_xlfn.XLOOKUP(C1187&amp;A1187, Inside5!B:B&amp;Inside5!I:I, Inside5!H:H), 0)</f>
        <v>0</v>
      </c>
      <c r="M1187" t="str" cm="1">
        <f t="array" ref="M1187">IFERROR(_xlfn.XLOOKUP(C1187&amp;A1187, TDrate!F:F&amp;TDrate!H:H, TDrate!B:B), "N/A")</f>
        <v>N/A</v>
      </c>
      <c r="N1187" t="str" cm="1">
        <f t="array" ref="N1187">IFERROR(_xlfn.XLOOKUP(C1187&amp;A1187, TDrate!F:F&amp;TDrate!H:H, TDrate!D:D), "N/A")</f>
        <v>N/A</v>
      </c>
    </row>
    <row r="1188" spans="1:14" x14ac:dyDescent="0.45">
      <c r="A1188" s="5">
        <v>2019</v>
      </c>
      <c r="B1188" s="6" t="s">
        <v>934</v>
      </c>
      <c r="C1188" s="7" t="str">
        <f t="shared" si="36"/>
        <v>Devontae Booker</v>
      </c>
      <c r="D1188" s="7" t="str">
        <f t="shared" si="37"/>
        <v>DEN</v>
      </c>
      <c r="E1188" cm="1">
        <f t="array" aca="1" ref="E1188" ca="1">IFERROR(_xlfn.XLOOKUP(C1188&amp;A1188, Inside5!B:B&amp;Inside5!I:I, Inside5!C:C), 0)</f>
        <v>0</v>
      </c>
      <c r="F1188" cm="1">
        <f t="array" aca="1" ref="F1188" ca="1">IFERROR(_xlfn.XLOOKUP(C1188&amp;A1188, Inside5!B:B&amp;Inside5!I:I, Inside5!D:D), 0)</f>
        <v>0</v>
      </c>
      <c r="G1188" cm="1">
        <f t="array" ref="G1188">IFERROR(_xlfn.XLOOKUP(C1188&amp;A1188, Inside5!B:B&amp;Inside5!I:I, Inside5!E:E), 0)</f>
        <v>0</v>
      </c>
      <c r="H1188" t="str" cm="1">
        <f t="array" ref="H1188">IFERROR(_xlfn.XLOOKUP(C1188&amp;A1188, TDrate!F:F&amp;TDrate!H:H, TDrate!C:C), "N/A")</f>
        <v>N/A</v>
      </c>
      <c r="I1188" t="str" cm="1">
        <f t="array" ref="I1188">IFERROR(_xlfn.XLOOKUP(C1188&amp;A1188, TDrate!F:F&amp;TDrate!H:H, TDrate!E:E), "N/A")</f>
        <v>N/A</v>
      </c>
      <c r="J1188" cm="1">
        <f t="array" ref="J1188">IFERROR(_xlfn.XLOOKUP(C1188&amp;A1188, Inside5!B:B&amp;Inside5!I:I, Inside5!F:F), 0)</f>
        <v>0</v>
      </c>
      <c r="K1188" cm="1">
        <f t="array" ref="K1188">IFERROR(_xlfn.XLOOKUP(C1188&amp;A1188, Inside5!B:B&amp;Inside5!I:I, Inside5!G:G), 0)</f>
        <v>0</v>
      </c>
      <c r="L1188" cm="1">
        <f t="array" ref="L1188">IFERROR(_xlfn.XLOOKUP(C1188&amp;A1188, Inside5!B:B&amp;Inside5!I:I, Inside5!H:H), 0)</f>
        <v>0</v>
      </c>
      <c r="M1188" t="str" cm="1">
        <f t="array" ref="M1188">IFERROR(_xlfn.XLOOKUP(C1188&amp;A1188, TDrate!F:F&amp;TDrate!H:H, TDrate!B:B), "N/A")</f>
        <v>N/A</v>
      </c>
      <c r="N1188" t="str" cm="1">
        <f t="array" ref="N1188">IFERROR(_xlfn.XLOOKUP(C1188&amp;A1188, TDrate!F:F&amp;TDrate!H:H, TDrate!D:D), "N/A")</f>
        <v>N/A</v>
      </c>
    </row>
    <row r="1189" spans="1:14" x14ac:dyDescent="0.45">
      <c r="A1189" s="8">
        <v>2019</v>
      </c>
      <c r="B1189" s="9" t="s">
        <v>684</v>
      </c>
      <c r="C1189" s="10" t="str">
        <f t="shared" si="36"/>
        <v>Dwayne Washington</v>
      </c>
      <c r="D1189" s="10" t="str">
        <f t="shared" si="37"/>
        <v>NO</v>
      </c>
      <c r="E1189" cm="1">
        <f t="array" aca="1" ref="E1189" ca="1">IFERROR(_xlfn.XLOOKUP(C1189&amp;A1189, Inside5!B:B&amp;Inside5!I:I, Inside5!C:C), 0)</f>
        <v>0</v>
      </c>
      <c r="F1189" cm="1">
        <f t="array" aca="1" ref="F1189" ca="1">IFERROR(_xlfn.XLOOKUP(C1189&amp;A1189, Inside5!B:B&amp;Inside5!I:I, Inside5!D:D), 0)</f>
        <v>0</v>
      </c>
      <c r="G1189" cm="1">
        <f t="array" ref="G1189">IFERROR(_xlfn.XLOOKUP(C1189&amp;A1189, Inside5!B:B&amp;Inside5!I:I, Inside5!E:E), 0)</f>
        <v>0</v>
      </c>
      <c r="H1189" t="str" cm="1">
        <f t="array" ref="H1189">IFERROR(_xlfn.XLOOKUP(C1189&amp;A1189, TDrate!F:F&amp;TDrate!H:H, TDrate!C:C), "N/A")</f>
        <v>N/A</v>
      </c>
      <c r="I1189" t="str" cm="1">
        <f t="array" ref="I1189">IFERROR(_xlfn.XLOOKUP(C1189&amp;A1189, TDrate!F:F&amp;TDrate!H:H, TDrate!E:E), "N/A")</f>
        <v>N/A</v>
      </c>
      <c r="J1189" cm="1">
        <f t="array" ref="J1189">IFERROR(_xlfn.XLOOKUP(C1189&amp;A1189, Inside5!B:B&amp;Inside5!I:I, Inside5!F:F), 0)</f>
        <v>0</v>
      </c>
      <c r="K1189" cm="1">
        <f t="array" ref="K1189">IFERROR(_xlfn.XLOOKUP(C1189&amp;A1189, Inside5!B:B&amp;Inside5!I:I, Inside5!G:G), 0)</f>
        <v>0</v>
      </c>
      <c r="L1189" cm="1">
        <f t="array" ref="L1189">IFERROR(_xlfn.XLOOKUP(C1189&amp;A1189, Inside5!B:B&amp;Inside5!I:I, Inside5!H:H), 0)</f>
        <v>0</v>
      </c>
      <c r="M1189" t="str" cm="1">
        <f t="array" ref="M1189">IFERROR(_xlfn.XLOOKUP(C1189&amp;A1189, TDrate!F:F&amp;TDrate!H:H, TDrate!B:B), "N/A")</f>
        <v>N/A</v>
      </c>
      <c r="N1189" t="str" cm="1">
        <f t="array" ref="N1189">IFERROR(_xlfn.XLOOKUP(C1189&amp;A1189, TDrate!F:F&amp;TDrate!H:H, TDrate!D:D), "N/A")</f>
        <v>N/A</v>
      </c>
    </row>
    <row r="1190" spans="1:14" x14ac:dyDescent="0.45">
      <c r="A1190" s="5">
        <v>2019</v>
      </c>
      <c r="B1190" s="6" t="s">
        <v>935</v>
      </c>
      <c r="C1190" s="7" t="str">
        <f t="shared" si="36"/>
        <v>Tra Carson</v>
      </c>
      <c r="D1190" s="7" t="str">
        <f t="shared" si="37"/>
        <v>DET</v>
      </c>
      <c r="E1190" cm="1">
        <f t="array" ref="E1190">IFERROR(_xlfn.XLOOKUP(C1190&amp;A1190, Inside5!B:B&amp;Inside5!I:I, Inside5!C:C), 0)</f>
        <v>0</v>
      </c>
      <c r="F1190" cm="1">
        <f t="array" ref="F1190">IFERROR(_xlfn.XLOOKUP(C1190&amp;A1190, Inside5!B:B&amp;Inside5!I:I, Inside5!D:D), 0)</f>
        <v>0</v>
      </c>
      <c r="G1190" cm="1">
        <f t="array" ref="G1190">IFERROR(_xlfn.XLOOKUP(C1190&amp;A1190, Inside5!B:B&amp;Inside5!I:I, Inside5!E:E), 0)</f>
        <v>0</v>
      </c>
      <c r="H1190" t="str" cm="1">
        <f t="array" ref="H1190">IFERROR(_xlfn.XLOOKUP(C1190&amp;A1190, TDrate!F:F&amp;TDrate!H:H, TDrate!C:C), "N/A")</f>
        <v>N/A</v>
      </c>
      <c r="I1190" t="str" cm="1">
        <f t="array" ref="I1190">IFERROR(_xlfn.XLOOKUP(C1190&amp;A1190, TDrate!F:F&amp;TDrate!H:H, TDrate!E:E), "N/A")</f>
        <v>N/A</v>
      </c>
      <c r="J1190" cm="1">
        <f t="array" ref="J1190">IFERROR(_xlfn.XLOOKUP(C1190&amp;A1190, Inside5!B:B&amp;Inside5!I:I, Inside5!F:F), 0)</f>
        <v>0</v>
      </c>
      <c r="K1190" cm="1">
        <f t="array" ref="K1190">IFERROR(_xlfn.XLOOKUP(C1190&amp;A1190, Inside5!B:B&amp;Inside5!I:I, Inside5!G:G), 0)</f>
        <v>0</v>
      </c>
      <c r="L1190" cm="1">
        <f t="array" ref="L1190">IFERROR(_xlfn.XLOOKUP(C1190&amp;A1190, Inside5!B:B&amp;Inside5!I:I, Inside5!H:H), 0)</f>
        <v>0</v>
      </c>
      <c r="M1190" t="str" cm="1">
        <f t="array" ref="M1190">IFERROR(_xlfn.XLOOKUP(C1190&amp;A1190, TDrate!F:F&amp;TDrate!H:H, TDrate!B:B), "N/A")</f>
        <v>N/A</v>
      </c>
      <c r="N1190" t="str" cm="1">
        <f t="array" ref="N1190">IFERROR(_xlfn.XLOOKUP(C1190&amp;A1190, TDrate!F:F&amp;TDrate!H:H, TDrate!D:D), "N/A")</f>
        <v>N/A</v>
      </c>
    </row>
    <row r="1191" spans="1:14" x14ac:dyDescent="0.45">
      <c r="A1191" s="8">
        <v>2019</v>
      </c>
      <c r="B1191" s="9" t="s">
        <v>936</v>
      </c>
      <c r="C1191" s="10" t="str">
        <f t="shared" si="36"/>
        <v>Zach Line</v>
      </c>
      <c r="D1191" s="10" t="str">
        <f t="shared" si="37"/>
        <v>NO</v>
      </c>
      <c r="E1191" cm="1">
        <f t="array" aca="1" ref="E1191" ca="1">IFERROR(_xlfn.XLOOKUP(C1191&amp;A1191, Inside5!B:B&amp;Inside5!I:I, Inside5!C:C), 0)</f>
        <v>1</v>
      </c>
      <c r="F1191" cm="1">
        <f t="array" ref="F1191">IFERROR(_xlfn.XLOOKUP(C1191&amp;A1191, Inside5!B:B&amp;Inside5!I:I, Inside5!D:D), 0)</f>
        <v>0</v>
      </c>
      <c r="G1191" cm="1">
        <f t="array" ref="G1191">IFERROR(_xlfn.XLOOKUP(C1191&amp;A1191, Inside5!B:B&amp;Inside5!I:I, Inside5!E:E), 0)</f>
        <v>8.3000000000000004E-2</v>
      </c>
      <c r="H1191" t="str" cm="1">
        <f t="array" ref="H1191">IFERROR(_xlfn.XLOOKUP(C1191&amp;A1191, TDrate!F:F&amp;TDrate!H:H, TDrate!C:C), "N/A")</f>
        <v>N/A</v>
      </c>
      <c r="I1191" t="str" cm="1">
        <f t="array" ref="I1191">IFERROR(_xlfn.XLOOKUP(C1191&amp;A1191, TDrate!F:F&amp;TDrate!H:H, TDrate!E:E), "N/A")</f>
        <v>N/A</v>
      </c>
      <c r="J1191" cm="1">
        <f t="array" ref="J1191">IFERROR(_xlfn.XLOOKUP(C1191&amp;A1191, Inside5!B:B&amp;Inside5!I:I, Inside5!F:F), 0)</f>
        <v>0</v>
      </c>
      <c r="K1191" cm="1">
        <f t="array" ref="K1191">IFERROR(_xlfn.XLOOKUP(C1191&amp;A1191, Inside5!B:B&amp;Inside5!I:I, Inside5!G:G), 0)</f>
        <v>0</v>
      </c>
      <c r="L1191" cm="1">
        <f t="array" ref="L1191">IFERROR(_xlfn.XLOOKUP(C1191&amp;A1191, Inside5!B:B&amp;Inside5!I:I, Inside5!H:H), 0)</f>
        <v>0</v>
      </c>
      <c r="M1191" t="str" cm="1">
        <f t="array" ref="M1191">IFERROR(_xlfn.XLOOKUP(C1191&amp;A1191, TDrate!F:F&amp;TDrate!H:H, TDrate!B:B), "N/A")</f>
        <v>N/A</v>
      </c>
      <c r="N1191" t="str" cm="1">
        <f t="array" ref="N1191">IFERROR(_xlfn.XLOOKUP(C1191&amp;A1191, TDrate!F:F&amp;TDrate!H:H, TDrate!D:D), "N/A")</f>
        <v>N/A</v>
      </c>
    </row>
    <row r="1192" spans="1:14" x14ac:dyDescent="0.45">
      <c r="A1192" s="5">
        <v>2019</v>
      </c>
      <c r="B1192" s="6" t="s">
        <v>817</v>
      </c>
      <c r="C1192" s="7" t="str">
        <f t="shared" si="36"/>
        <v>Khari Blasingame</v>
      </c>
      <c r="D1192" s="7" t="str">
        <f t="shared" si="37"/>
        <v>TEN</v>
      </c>
      <c r="E1192" cm="1">
        <f t="array" ref="E1192">IFERROR(_xlfn.XLOOKUP(C1192&amp;A1192, Inside5!B:B&amp;Inside5!I:I, Inside5!C:C), 0)</f>
        <v>0</v>
      </c>
      <c r="F1192" cm="1">
        <f t="array" ref="F1192">IFERROR(_xlfn.XLOOKUP(C1192&amp;A1192, Inside5!B:B&amp;Inside5!I:I, Inside5!D:D), 0)</f>
        <v>0</v>
      </c>
      <c r="G1192" cm="1">
        <f t="array" ref="G1192">IFERROR(_xlfn.XLOOKUP(C1192&amp;A1192, Inside5!B:B&amp;Inside5!I:I, Inside5!E:E), 0)</f>
        <v>0</v>
      </c>
      <c r="H1192" t="str" cm="1">
        <f t="array" ref="H1192">IFERROR(_xlfn.XLOOKUP(C1192&amp;A1192, TDrate!F:F&amp;TDrate!H:H, TDrate!C:C), "N/A")</f>
        <v>N/A</v>
      </c>
      <c r="I1192" t="str" cm="1">
        <f t="array" ref="I1192">IFERROR(_xlfn.XLOOKUP(C1192&amp;A1192, TDrate!F:F&amp;TDrate!H:H, TDrate!E:E), "N/A")</f>
        <v>N/A</v>
      </c>
      <c r="J1192" cm="1">
        <f t="array" ref="J1192">IFERROR(_xlfn.XLOOKUP(C1192&amp;A1192, Inside5!B:B&amp;Inside5!I:I, Inside5!F:F), 0)</f>
        <v>1</v>
      </c>
      <c r="K1192" cm="1">
        <f t="array" ref="K1192">IFERROR(_xlfn.XLOOKUP(C1192&amp;A1192, Inside5!B:B&amp;Inside5!I:I, Inside5!G:G), 0)</f>
        <v>1</v>
      </c>
      <c r="L1192" cm="1">
        <f t="array" ref="L1192">IFERROR(_xlfn.XLOOKUP(C1192&amp;A1192, Inside5!B:B&amp;Inside5!I:I, Inside5!H:H), 0)</f>
        <v>0</v>
      </c>
      <c r="M1192" t="str" cm="1">
        <f t="array" ref="M1192">IFERROR(_xlfn.XLOOKUP(C1192&amp;A1192, TDrate!F:F&amp;TDrate!H:H, TDrate!B:B), "N/A")</f>
        <v>N/A</v>
      </c>
      <c r="N1192" t="str" cm="1">
        <f t="array" ref="N1192">IFERROR(_xlfn.XLOOKUP(C1192&amp;A1192, TDrate!F:F&amp;TDrate!H:H, TDrate!D:D), "N/A")</f>
        <v>N/A</v>
      </c>
    </row>
    <row r="1193" spans="1:14" x14ac:dyDescent="0.45">
      <c r="A1193" s="8">
        <v>2019</v>
      </c>
      <c r="B1193" s="9" t="s">
        <v>937</v>
      </c>
      <c r="C1193" s="10" t="str">
        <f t="shared" si="36"/>
        <v>Jon Hilliman</v>
      </c>
      <c r="D1193" s="10" t="str">
        <f t="shared" si="37"/>
        <v>NYG</v>
      </c>
      <c r="E1193" cm="1">
        <f t="array" aca="1" ref="E1193" ca="1">IFERROR(_xlfn.XLOOKUP(C1193&amp;A1193, Inside5!B:B&amp;Inside5!I:I, Inside5!C:C), 0)</f>
        <v>1</v>
      </c>
      <c r="F1193" cm="1">
        <f t="array" aca="1" ref="F1193" ca="1">IFERROR(_xlfn.XLOOKUP(C1193&amp;A1193, Inside5!B:B&amp;Inside5!I:I, Inside5!D:D), 0)</f>
        <v>0</v>
      </c>
      <c r="G1193" cm="1">
        <f t="array" ref="G1193">IFERROR(_xlfn.XLOOKUP(C1193&amp;A1193, Inside5!B:B&amp;Inside5!I:I, Inside5!E:E), 0)</f>
        <v>7.0999999999999994E-2</v>
      </c>
      <c r="H1193" cm="1">
        <f t="array" ref="H1193">IFERROR(_xlfn.XLOOKUP(C1193&amp;A1193, TDrate!F:F&amp;TDrate!H:H, TDrate!C:C), "N/A")</f>
        <v>0</v>
      </c>
      <c r="I1193" cm="1">
        <f t="array" ref="I1193">IFERROR(_xlfn.XLOOKUP(C1193&amp;A1193, TDrate!F:F&amp;TDrate!H:H, TDrate!E:E), "N/A")</f>
        <v>1.15E-2</v>
      </c>
      <c r="J1193" cm="1">
        <f t="array" ref="J1193">IFERROR(_xlfn.XLOOKUP(C1193&amp;A1193, Inside5!B:B&amp;Inside5!I:I, Inside5!F:F), 0)</f>
        <v>0</v>
      </c>
      <c r="K1193" cm="1">
        <f t="array" ref="K1193">IFERROR(_xlfn.XLOOKUP(C1193&amp;A1193, Inside5!B:B&amp;Inside5!I:I, Inside5!G:G), 0)</f>
        <v>0</v>
      </c>
      <c r="L1193" cm="1">
        <f t="array" ref="L1193">IFERROR(_xlfn.XLOOKUP(C1193&amp;A1193, Inside5!B:B&amp;Inside5!I:I, Inside5!H:H), 0)</f>
        <v>0</v>
      </c>
      <c r="M1193" cm="1">
        <f t="array" ref="M1193">IFERROR(_xlfn.XLOOKUP(C1193&amp;A1193, TDrate!F:F&amp;TDrate!H:H, TDrate!B:B), "N/A")</f>
        <v>0</v>
      </c>
      <c r="N1193" cm="1">
        <f t="array" ref="N1193">IFERROR(_xlfn.XLOOKUP(C1193&amp;A1193, TDrate!F:F&amp;TDrate!H:H, TDrate!D:D), "N/A")</f>
        <v>3.5999999999999999E-3</v>
      </c>
    </row>
    <row r="1194" spans="1:14" x14ac:dyDescent="0.45">
      <c r="A1194" s="5">
        <v>2019</v>
      </c>
      <c r="B1194" s="6" t="s">
        <v>793</v>
      </c>
      <c r="C1194" s="7" t="str">
        <f t="shared" si="36"/>
        <v>Devine Ozigbo</v>
      </c>
      <c r="D1194" s="7" t="str">
        <f t="shared" si="37"/>
        <v>JAC</v>
      </c>
      <c r="E1194" cm="1">
        <f t="array" aca="1" ref="E1194" ca="1">IFERROR(_xlfn.XLOOKUP(C1194&amp;A1194, Inside5!B:B&amp;Inside5!I:I, Inside5!C:C), 0)</f>
        <v>0</v>
      </c>
      <c r="F1194" cm="1">
        <f t="array" aca="1" ref="F1194" ca="1">IFERROR(_xlfn.XLOOKUP(C1194&amp;A1194, Inside5!B:B&amp;Inside5!I:I, Inside5!D:D), 0)</f>
        <v>0</v>
      </c>
      <c r="G1194" cm="1">
        <f t="array" ref="G1194">IFERROR(_xlfn.XLOOKUP(C1194&amp;A1194, Inside5!B:B&amp;Inside5!I:I, Inside5!E:E), 0)</f>
        <v>0</v>
      </c>
      <c r="H1194" t="str" cm="1">
        <f t="array" ref="H1194">IFERROR(_xlfn.XLOOKUP(C1194&amp;A1194, TDrate!F:F&amp;TDrate!H:H, TDrate!C:C), "N/A")</f>
        <v>N/A</v>
      </c>
      <c r="I1194" t="str" cm="1">
        <f t="array" ref="I1194">IFERROR(_xlfn.XLOOKUP(C1194&amp;A1194, TDrate!F:F&amp;TDrate!H:H, TDrate!E:E), "N/A")</f>
        <v>N/A</v>
      </c>
      <c r="J1194" cm="1">
        <f t="array" ref="J1194">IFERROR(_xlfn.XLOOKUP(C1194&amp;A1194, Inside5!B:B&amp;Inside5!I:I, Inside5!F:F), 0)</f>
        <v>0</v>
      </c>
      <c r="K1194" cm="1">
        <f t="array" ref="K1194">IFERROR(_xlfn.XLOOKUP(C1194&amp;A1194, Inside5!B:B&amp;Inside5!I:I, Inside5!G:G), 0)</f>
        <v>0</v>
      </c>
      <c r="L1194" cm="1">
        <f t="array" ref="L1194">IFERROR(_xlfn.XLOOKUP(C1194&amp;A1194, Inside5!B:B&amp;Inside5!I:I, Inside5!H:H), 0)</f>
        <v>0</v>
      </c>
      <c r="M1194" t="str" cm="1">
        <f t="array" ref="M1194">IFERROR(_xlfn.XLOOKUP(C1194&amp;A1194, TDrate!F:F&amp;TDrate!H:H, TDrate!B:B), "N/A")</f>
        <v>N/A</v>
      </c>
      <c r="N1194" t="str" cm="1">
        <f t="array" ref="N1194">IFERROR(_xlfn.XLOOKUP(C1194&amp;A1194, TDrate!F:F&amp;TDrate!H:H, TDrate!D:D), "N/A")</f>
        <v>N/A</v>
      </c>
    </row>
    <row r="1195" spans="1:14" x14ac:dyDescent="0.45">
      <c r="A1195" s="8">
        <v>2019</v>
      </c>
      <c r="B1195" s="9" t="s">
        <v>938</v>
      </c>
      <c r="C1195" s="10" t="str">
        <f t="shared" si="36"/>
        <v>Taiwan Jones</v>
      </c>
      <c r="D1195" s="10" t="str">
        <f t="shared" si="37"/>
        <v>HOU</v>
      </c>
      <c r="E1195" cm="1">
        <f t="array" aca="1" ref="E1195" ca="1">IFERROR(_xlfn.XLOOKUP(C1195&amp;A1195, Inside5!B:B&amp;Inside5!I:I, Inside5!C:C), 0)</f>
        <v>0</v>
      </c>
      <c r="F1195" cm="1">
        <f t="array" aca="1" ref="F1195" ca="1">IFERROR(_xlfn.XLOOKUP(C1195&amp;A1195, Inside5!B:B&amp;Inside5!I:I, Inside5!D:D), 0)</f>
        <v>0</v>
      </c>
      <c r="G1195" cm="1">
        <f t="array" ref="G1195">IFERROR(_xlfn.XLOOKUP(C1195&amp;A1195, Inside5!B:B&amp;Inside5!I:I, Inside5!E:E), 0)</f>
        <v>0</v>
      </c>
      <c r="H1195" t="str" cm="1">
        <f t="array" ref="H1195">IFERROR(_xlfn.XLOOKUP(C1195&amp;A1195, TDrate!F:F&amp;TDrate!H:H, TDrate!C:C), "N/A")</f>
        <v>N/A</v>
      </c>
      <c r="I1195" t="str" cm="1">
        <f t="array" ref="I1195">IFERROR(_xlfn.XLOOKUP(C1195&amp;A1195, TDrate!F:F&amp;TDrate!H:H, TDrate!E:E), "N/A")</f>
        <v>N/A</v>
      </c>
      <c r="J1195" cm="1">
        <f t="array" ref="J1195">IFERROR(_xlfn.XLOOKUP(C1195&amp;A1195, Inside5!B:B&amp;Inside5!I:I, Inside5!F:F), 0)</f>
        <v>0</v>
      </c>
      <c r="K1195" cm="1">
        <f t="array" ref="K1195">IFERROR(_xlfn.XLOOKUP(C1195&amp;A1195, Inside5!B:B&amp;Inside5!I:I, Inside5!G:G), 0)</f>
        <v>0</v>
      </c>
      <c r="L1195" cm="1">
        <f t="array" ref="L1195">IFERROR(_xlfn.XLOOKUP(C1195&amp;A1195, Inside5!B:B&amp;Inside5!I:I, Inside5!H:H), 0)</f>
        <v>0</v>
      </c>
      <c r="M1195" t="str" cm="1">
        <f t="array" ref="M1195">IFERROR(_xlfn.XLOOKUP(C1195&amp;A1195, TDrate!F:F&amp;TDrate!H:H, TDrate!B:B), "N/A")</f>
        <v>N/A</v>
      </c>
      <c r="N1195" t="str" cm="1">
        <f t="array" ref="N1195">IFERROR(_xlfn.XLOOKUP(C1195&amp;A1195, TDrate!F:F&amp;TDrate!H:H, TDrate!D:D), "N/A")</f>
        <v>N/A</v>
      </c>
    </row>
    <row r="1196" spans="1:14" x14ac:dyDescent="0.45">
      <c r="A1196" s="5">
        <v>2019</v>
      </c>
      <c r="B1196" s="6" t="s">
        <v>820</v>
      </c>
      <c r="C1196" s="7" t="str">
        <f t="shared" si="36"/>
        <v>Mike Davis</v>
      </c>
      <c r="D1196" s="7" t="str">
        <f t="shared" si="37"/>
        <v>CAR</v>
      </c>
      <c r="E1196" cm="1">
        <f t="array" aca="1" ref="E1196" ca="1">IFERROR(_xlfn.XLOOKUP(C1196&amp;A1196, Inside5!B:B&amp;Inside5!I:I, Inside5!C:C), 0)</f>
        <v>0</v>
      </c>
      <c r="F1196" cm="1">
        <f t="array" aca="1" ref="F1196" ca="1">IFERROR(_xlfn.XLOOKUP(C1196&amp;A1196, Inside5!B:B&amp;Inside5!I:I, Inside5!D:D), 0)</f>
        <v>0</v>
      </c>
      <c r="G1196" cm="1">
        <f t="array" ref="G1196">IFERROR(_xlfn.XLOOKUP(C1196&amp;A1196, Inside5!B:B&amp;Inside5!I:I, Inside5!E:E), 0)</f>
        <v>0</v>
      </c>
      <c r="H1196" t="str" cm="1">
        <f t="array" ref="H1196">IFERROR(_xlfn.XLOOKUP(C1196&amp;A1196, TDrate!F:F&amp;TDrate!H:H, TDrate!C:C), "N/A")</f>
        <v>N/A</v>
      </c>
      <c r="I1196" t="str" cm="1">
        <f t="array" ref="I1196">IFERROR(_xlfn.XLOOKUP(C1196&amp;A1196, TDrate!F:F&amp;TDrate!H:H, TDrate!E:E), "N/A")</f>
        <v>N/A</v>
      </c>
      <c r="J1196" cm="1">
        <f t="array" ref="J1196">IFERROR(_xlfn.XLOOKUP(C1196&amp;A1196, Inside5!B:B&amp;Inside5!I:I, Inside5!F:F), 0)</f>
        <v>0</v>
      </c>
      <c r="K1196" cm="1">
        <f t="array" ref="K1196">IFERROR(_xlfn.XLOOKUP(C1196&amp;A1196, Inside5!B:B&amp;Inside5!I:I, Inside5!G:G), 0)</f>
        <v>0</v>
      </c>
      <c r="L1196" cm="1">
        <f t="array" ref="L1196">IFERROR(_xlfn.XLOOKUP(C1196&amp;A1196, Inside5!B:B&amp;Inside5!I:I, Inside5!H:H), 0)</f>
        <v>0</v>
      </c>
      <c r="M1196" t="str" cm="1">
        <f t="array" ref="M1196">IFERROR(_xlfn.XLOOKUP(C1196&amp;A1196, TDrate!F:F&amp;TDrate!H:H, TDrate!B:B), "N/A")</f>
        <v>N/A</v>
      </c>
      <c r="N1196" t="str" cm="1">
        <f t="array" ref="N1196">IFERROR(_xlfn.XLOOKUP(C1196&amp;A1196, TDrate!F:F&amp;TDrate!H:H, TDrate!D:D), "N/A")</f>
        <v>N/A</v>
      </c>
    </row>
    <row r="1197" spans="1:14" x14ac:dyDescent="0.45">
      <c r="A1197" s="8">
        <v>2019</v>
      </c>
      <c r="B1197" s="9" t="s">
        <v>939</v>
      </c>
      <c r="C1197" s="10" t="str">
        <f t="shared" si="36"/>
        <v>Patrick DiMarco</v>
      </c>
      <c r="D1197" s="10" t="str">
        <f t="shared" si="37"/>
        <v>BUF</v>
      </c>
      <c r="E1197" cm="1">
        <f t="array" aca="1" ref="E1197" ca="1">IFERROR(_xlfn.XLOOKUP(C1197&amp;A1197, Inside5!B:B&amp;Inside5!I:I, Inside5!C:C), 0)</f>
        <v>0</v>
      </c>
      <c r="F1197" cm="1">
        <f t="array" aca="1" ref="F1197" ca="1">IFERROR(_xlfn.XLOOKUP(C1197&amp;A1197, Inside5!B:B&amp;Inside5!I:I, Inside5!D:D), 0)</f>
        <v>0</v>
      </c>
      <c r="G1197" cm="1">
        <f t="array" ref="G1197">IFERROR(_xlfn.XLOOKUP(C1197&amp;A1197, Inside5!B:B&amp;Inside5!I:I, Inside5!E:E), 0)</f>
        <v>0</v>
      </c>
      <c r="H1197" t="str" cm="1">
        <f t="array" ref="H1197">IFERROR(_xlfn.XLOOKUP(C1197&amp;A1197, TDrate!F:F&amp;TDrate!H:H, TDrate!C:C), "N/A")</f>
        <v>N/A</v>
      </c>
      <c r="I1197" t="str" cm="1">
        <f t="array" ref="I1197">IFERROR(_xlfn.XLOOKUP(C1197&amp;A1197, TDrate!F:F&amp;TDrate!H:H, TDrate!E:E), "N/A")</f>
        <v>N/A</v>
      </c>
      <c r="J1197" cm="1">
        <f t="array" ref="J1197">IFERROR(_xlfn.XLOOKUP(C1197&amp;A1197, Inside5!B:B&amp;Inside5!I:I, Inside5!F:F), 0)</f>
        <v>0</v>
      </c>
      <c r="K1197" cm="1">
        <f t="array" ref="K1197">IFERROR(_xlfn.XLOOKUP(C1197&amp;A1197, Inside5!B:B&amp;Inside5!I:I, Inside5!G:G), 0)</f>
        <v>0</v>
      </c>
      <c r="L1197" cm="1">
        <f t="array" ref="L1197">IFERROR(_xlfn.XLOOKUP(C1197&amp;A1197, Inside5!B:B&amp;Inside5!I:I, Inside5!H:H), 0)</f>
        <v>0</v>
      </c>
      <c r="M1197" t="str" cm="1">
        <f t="array" ref="M1197">IFERROR(_xlfn.XLOOKUP(C1197&amp;A1197, TDrate!F:F&amp;TDrate!H:H, TDrate!B:B), "N/A")</f>
        <v>N/A</v>
      </c>
      <c r="N1197" t="str" cm="1">
        <f t="array" ref="N1197">IFERROR(_xlfn.XLOOKUP(C1197&amp;A1197, TDrate!F:F&amp;TDrate!H:H, TDrate!D:D), "N/A")</f>
        <v>N/A</v>
      </c>
    </row>
    <row r="1198" spans="1:14" x14ac:dyDescent="0.45">
      <c r="A1198" s="5">
        <v>2019</v>
      </c>
      <c r="B1198" s="6" t="s">
        <v>750</v>
      </c>
      <c r="C1198" s="7" t="str">
        <f t="shared" si="36"/>
        <v>Elijhaa Penny</v>
      </c>
      <c r="D1198" s="7" t="str">
        <f t="shared" si="37"/>
        <v>NYG</v>
      </c>
      <c r="E1198" cm="1">
        <f t="array" ref="E1198">IFERROR(_xlfn.XLOOKUP(C1198&amp;A1198, Inside5!B:B&amp;Inside5!I:I, Inside5!C:C), 0)</f>
        <v>0</v>
      </c>
      <c r="F1198" cm="1">
        <f t="array" ref="F1198">IFERROR(_xlfn.XLOOKUP(C1198&amp;A1198, Inside5!B:B&amp;Inside5!I:I, Inside5!D:D), 0)</f>
        <v>0</v>
      </c>
      <c r="G1198" cm="1">
        <f t="array" ref="G1198">IFERROR(_xlfn.XLOOKUP(C1198&amp;A1198, Inside5!B:B&amp;Inside5!I:I, Inside5!E:E), 0)</f>
        <v>0</v>
      </c>
      <c r="H1198" t="str" cm="1">
        <f t="array" ref="H1198">IFERROR(_xlfn.XLOOKUP(C1198&amp;A1198, TDrate!F:F&amp;TDrate!H:H, TDrate!C:C), "N/A")</f>
        <v>N/A</v>
      </c>
      <c r="I1198" t="str" cm="1">
        <f t="array" ref="I1198">IFERROR(_xlfn.XLOOKUP(C1198&amp;A1198, TDrate!F:F&amp;TDrate!H:H, TDrate!E:E), "N/A")</f>
        <v>N/A</v>
      </c>
      <c r="J1198" cm="1">
        <f t="array" ref="J1198">IFERROR(_xlfn.XLOOKUP(C1198&amp;A1198, Inside5!B:B&amp;Inside5!I:I, Inside5!F:F), 0)</f>
        <v>0</v>
      </c>
      <c r="K1198" cm="1">
        <f t="array" aca="1" ref="K1198" ca="1">IFERROR(_xlfn.XLOOKUP(C1198&amp;A1198, Inside5!B:B&amp;Inside5!I:I, Inside5!G:G), 0)</f>
        <v>0</v>
      </c>
      <c r="L1198" cm="1">
        <f t="array" ref="L1198">IFERROR(_xlfn.XLOOKUP(C1198&amp;A1198, Inside5!B:B&amp;Inside5!I:I, Inside5!H:H), 0)</f>
        <v>0</v>
      </c>
      <c r="M1198" t="str" cm="1">
        <f t="array" ref="M1198">IFERROR(_xlfn.XLOOKUP(C1198&amp;A1198, TDrate!F:F&amp;TDrate!H:H, TDrate!B:B), "N/A")</f>
        <v>N/A</v>
      </c>
      <c r="N1198" t="str" cm="1">
        <f t="array" ref="N1198">IFERROR(_xlfn.XLOOKUP(C1198&amp;A1198, TDrate!F:F&amp;TDrate!H:H, TDrate!D:D), "N/A")</f>
        <v>N/A</v>
      </c>
    </row>
    <row r="1199" spans="1:14" x14ac:dyDescent="0.45">
      <c r="A1199" s="8">
        <v>2019</v>
      </c>
      <c r="B1199" s="9" t="s">
        <v>940</v>
      </c>
      <c r="C1199" s="10" t="str">
        <f t="shared" si="36"/>
        <v>C.J. Anderson</v>
      </c>
      <c r="D1199" s="10" t="str">
        <f t="shared" si="37"/>
        <v>DET</v>
      </c>
      <c r="E1199" cm="1">
        <f t="array" ref="E1199">IFERROR(_xlfn.XLOOKUP(C1199&amp;A1199, Inside5!B:B&amp;Inside5!I:I, Inside5!C:C), 0)</f>
        <v>0</v>
      </c>
      <c r="F1199" cm="1">
        <f t="array" aca="1" ref="F1199" ca="1">IFERROR(_xlfn.XLOOKUP(C1199&amp;A1199, Inside5!B:B&amp;Inside5!I:I, Inside5!D:D), 0)</f>
        <v>0</v>
      </c>
      <c r="G1199" cm="1">
        <f t="array" ref="G1199">IFERROR(_xlfn.XLOOKUP(C1199&amp;A1199, Inside5!B:B&amp;Inside5!I:I, Inside5!E:E), 0)</f>
        <v>0</v>
      </c>
      <c r="H1199" t="str" cm="1">
        <f t="array" ref="H1199">IFERROR(_xlfn.XLOOKUP(C1199&amp;A1199, TDrate!F:F&amp;TDrate!H:H, TDrate!C:C), "N/A")</f>
        <v>N/A</v>
      </c>
      <c r="I1199" t="str" cm="1">
        <f t="array" ref="I1199">IFERROR(_xlfn.XLOOKUP(C1199&amp;A1199, TDrate!F:F&amp;TDrate!H:H, TDrate!E:E), "N/A")</f>
        <v>N/A</v>
      </c>
      <c r="J1199" cm="1">
        <f t="array" ref="J1199">IFERROR(_xlfn.XLOOKUP(C1199&amp;A1199, Inside5!B:B&amp;Inside5!I:I, Inside5!F:F), 0)</f>
        <v>0</v>
      </c>
      <c r="K1199" cm="1">
        <f t="array" ref="K1199">IFERROR(_xlfn.XLOOKUP(C1199&amp;A1199, Inside5!B:B&amp;Inside5!I:I, Inside5!G:G), 0)</f>
        <v>0</v>
      </c>
      <c r="L1199" cm="1">
        <f t="array" ref="L1199">IFERROR(_xlfn.XLOOKUP(C1199&amp;A1199, Inside5!B:B&amp;Inside5!I:I, Inside5!H:H), 0)</f>
        <v>0</v>
      </c>
      <c r="M1199" t="str" cm="1">
        <f t="array" ref="M1199">IFERROR(_xlfn.XLOOKUP(C1199&amp;A1199, TDrate!F:F&amp;TDrate!H:H, TDrate!B:B), "N/A")</f>
        <v>N/A</v>
      </c>
      <c r="N1199" t="str" cm="1">
        <f t="array" ref="N1199">IFERROR(_xlfn.XLOOKUP(C1199&amp;A1199, TDrate!F:F&amp;TDrate!H:H, TDrate!D:D), "N/A")</f>
        <v>N/A</v>
      </c>
    </row>
    <row r="1200" spans="1:14" x14ac:dyDescent="0.45">
      <c r="A1200" s="5">
        <v>2019</v>
      </c>
      <c r="B1200" s="6" t="s">
        <v>941</v>
      </c>
      <c r="C1200" s="7" t="str">
        <f t="shared" si="36"/>
        <v>Paul Perkins</v>
      </c>
      <c r="D1200" s="7" t="str">
        <f t="shared" si="37"/>
        <v>DET</v>
      </c>
      <c r="E1200" cm="1">
        <f t="array" aca="1" ref="E1200" ca="1">IFERROR(_xlfn.XLOOKUP(C1200&amp;A1200, Inside5!B:B&amp;Inside5!I:I, Inside5!C:C), 0)</f>
        <v>0</v>
      </c>
      <c r="F1200" cm="1">
        <f t="array" aca="1" ref="F1200" ca="1">IFERROR(_xlfn.XLOOKUP(C1200&amp;A1200, Inside5!B:B&amp;Inside5!I:I, Inside5!D:D), 0)</f>
        <v>0</v>
      </c>
      <c r="G1200" cm="1">
        <f t="array" ref="G1200">IFERROR(_xlfn.XLOOKUP(C1200&amp;A1200, Inside5!B:B&amp;Inside5!I:I, Inside5!E:E), 0)</f>
        <v>0</v>
      </c>
      <c r="H1200" t="str" cm="1">
        <f t="array" ref="H1200">IFERROR(_xlfn.XLOOKUP(C1200&amp;A1200, TDrate!F:F&amp;TDrate!H:H, TDrate!C:C), "N/A")</f>
        <v>N/A</v>
      </c>
      <c r="I1200" t="str" cm="1">
        <f t="array" ref="I1200">IFERROR(_xlfn.XLOOKUP(C1200&amp;A1200, TDrate!F:F&amp;TDrate!H:H, TDrate!E:E), "N/A")</f>
        <v>N/A</v>
      </c>
      <c r="J1200" cm="1">
        <f t="array" ref="J1200">IFERROR(_xlfn.XLOOKUP(C1200&amp;A1200, Inside5!B:B&amp;Inside5!I:I, Inside5!F:F), 0)</f>
        <v>0</v>
      </c>
      <c r="K1200" cm="1">
        <f t="array" ref="K1200">IFERROR(_xlfn.XLOOKUP(C1200&amp;A1200, Inside5!B:B&amp;Inside5!I:I, Inside5!G:G), 0)</f>
        <v>0</v>
      </c>
      <c r="L1200" cm="1">
        <f t="array" ref="L1200">IFERROR(_xlfn.XLOOKUP(C1200&amp;A1200, Inside5!B:B&amp;Inside5!I:I, Inside5!H:H), 0)</f>
        <v>0</v>
      </c>
      <c r="M1200" t="str" cm="1">
        <f t="array" ref="M1200">IFERROR(_xlfn.XLOOKUP(C1200&amp;A1200, TDrate!F:F&amp;TDrate!H:H, TDrate!B:B), "N/A")</f>
        <v>N/A</v>
      </c>
      <c r="N1200" t="str" cm="1">
        <f t="array" ref="N1200">IFERROR(_xlfn.XLOOKUP(C1200&amp;A1200, TDrate!F:F&amp;TDrate!H:H, TDrate!D:D), "N/A")</f>
        <v>N/A</v>
      </c>
    </row>
    <row r="1201" spans="1:14" x14ac:dyDescent="0.45">
      <c r="A1201" s="8">
        <v>2019</v>
      </c>
      <c r="B1201" s="9" t="s">
        <v>863</v>
      </c>
      <c r="C1201" s="10" t="str">
        <f t="shared" si="36"/>
        <v>Anthony Sherman</v>
      </c>
      <c r="D1201" s="10" t="str">
        <f t="shared" si="37"/>
        <v>KC</v>
      </c>
      <c r="E1201" cm="1">
        <f t="array" ref="E1201">IFERROR(_xlfn.XLOOKUP(C1201&amp;A1201, Inside5!B:B&amp;Inside5!I:I, Inside5!C:C), 0)</f>
        <v>0</v>
      </c>
      <c r="F1201" cm="1">
        <f t="array" aca="1" ref="F1201" ca="1">IFERROR(_xlfn.XLOOKUP(C1201&amp;A1201, Inside5!B:B&amp;Inside5!I:I, Inside5!D:D), 0)</f>
        <v>0</v>
      </c>
      <c r="G1201" cm="1">
        <f t="array" ref="G1201">IFERROR(_xlfn.XLOOKUP(C1201&amp;A1201, Inside5!B:B&amp;Inside5!I:I, Inside5!E:E), 0)</f>
        <v>0</v>
      </c>
      <c r="H1201" t="str" cm="1">
        <f t="array" ref="H1201">IFERROR(_xlfn.XLOOKUP(C1201&amp;A1201, TDrate!F:F&amp;TDrate!H:H, TDrate!C:C), "N/A")</f>
        <v>N/A</v>
      </c>
      <c r="I1201" t="str" cm="1">
        <f t="array" ref="I1201">IFERROR(_xlfn.XLOOKUP(C1201&amp;A1201, TDrate!F:F&amp;TDrate!H:H, TDrate!E:E), "N/A")</f>
        <v>N/A</v>
      </c>
      <c r="J1201" cm="1">
        <f t="array" ref="J1201">IFERROR(_xlfn.XLOOKUP(C1201&amp;A1201, Inside5!B:B&amp;Inside5!I:I, Inside5!F:F), 0)</f>
        <v>0</v>
      </c>
      <c r="K1201" cm="1">
        <f t="array" ref="K1201">IFERROR(_xlfn.XLOOKUP(C1201&amp;A1201, Inside5!B:B&amp;Inside5!I:I, Inside5!G:G), 0)</f>
        <v>0</v>
      </c>
      <c r="L1201" cm="1">
        <f t="array" ref="L1201">IFERROR(_xlfn.XLOOKUP(C1201&amp;A1201, Inside5!B:B&amp;Inside5!I:I, Inside5!H:H), 0)</f>
        <v>0</v>
      </c>
      <c r="M1201" t="str" cm="1">
        <f t="array" ref="M1201">IFERROR(_xlfn.XLOOKUP(C1201&amp;A1201, TDrate!F:F&amp;TDrate!H:H, TDrate!B:B), "N/A")</f>
        <v>N/A</v>
      </c>
      <c r="N1201" t="str" cm="1">
        <f t="array" ref="N1201">IFERROR(_xlfn.XLOOKUP(C1201&amp;A1201, TDrate!F:F&amp;TDrate!H:H, TDrate!D:D), "N/A")</f>
        <v>N/A</v>
      </c>
    </row>
    <row r="1202" spans="1:14" x14ac:dyDescent="0.45">
      <c r="A1202" s="5">
        <v>2019</v>
      </c>
      <c r="B1202" s="6" t="s">
        <v>942</v>
      </c>
      <c r="C1202" s="7" t="str">
        <f t="shared" si="36"/>
        <v>Jay Ajayi</v>
      </c>
      <c r="D1202" s="7" t="str">
        <f t="shared" si="37"/>
        <v>PHI</v>
      </c>
      <c r="E1202" cm="1">
        <f t="array" aca="1" ref="E1202" ca="1">IFERROR(_xlfn.XLOOKUP(C1202&amp;A1202, Inside5!B:B&amp;Inside5!I:I, Inside5!C:C), 0)</f>
        <v>0</v>
      </c>
      <c r="F1202" cm="1">
        <f t="array" aca="1" ref="F1202" ca="1">IFERROR(_xlfn.XLOOKUP(C1202&amp;A1202, Inside5!B:B&amp;Inside5!I:I, Inside5!D:D), 0)</f>
        <v>0</v>
      </c>
      <c r="G1202" cm="1">
        <f t="array" ref="G1202">IFERROR(_xlfn.XLOOKUP(C1202&amp;A1202, Inside5!B:B&amp;Inside5!I:I, Inside5!E:E), 0)</f>
        <v>0</v>
      </c>
      <c r="H1202" t="str" cm="1">
        <f t="array" ref="H1202">IFERROR(_xlfn.XLOOKUP(C1202&amp;A1202, TDrate!F:F&amp;TDrate!H:H, TDrate!C:C), "N/A")</f>
        <v>N/A</v>
      </c>
      <c r="I1202" t="str" cm="1">
        <f t="array" ref="I1202">IFERROR(_xlfn.XLOOKUP(C1202&amp;A1202, TDrate!F:F&amp;TDrate!H:H, TDrate!E:E), "N/A")</f>
        <v>N/A</v>
      </c>
      <c r="J1202" cm="1">
        <f t="array" ref="J1202">IFERROR(_xlfn.XLOOKUP(C1202&amp;A1202, Inside5!B:B&amp;Inside5!I:I, Inside5!F:F), 0)</f>
        <v>0</v>
      </c>
      <c r="K1202" cm="1">
        <f t="array" ref="K1202">IFERROR(_xlfn.XLOOKUP(C1202&amp;A1202, Inside5!B:B&amp;Inside5!I:I, Inside5!G:G), 0)</f>
        <v>0</v>
      </c>
      <c r="L1202" cm="1">
        <f t="array" ref="L1202">IFERROR(_xlfn.XLOOKUP(C1202&amp;A1202, Inside5!B:B&amp;Inside5!I:I, Inside5!H:H), 0)</f>
        <v>0</v>
      </c>
      <c r="M1202" t="str" cm="1">
        <f t="array" ref="M1202">IFERROR(_xlfn.XLOOKUP(C1202&amp;A1202, TDrate!F:F&amp;TDrate!H:H, TDrate!B:B), "N/A")</f>
        <v>N/A</v>
      </c>
      <c r="N1202" t="str" cm="1">
        <f t="array" ref="N1202">IFERROR(_xlfn.XLOOKUP(C1202&amp;A1202, TDrate!F:F&amp;TDrate!H:H, TDrate!D:D), "N/A")</f>
        <v>N/A</v>
      </c>
    </row>
    <row r="1203" spans="1:14" x14ac:dyDescent="0.45">
      <c r="A1203" s="8">
        <v>2019</v>
      </c>
      <c r="B1203" s="9" t="s">
        <v>943</v>
      </c>
      <c r="C1203" s="10" t="str">
        <f t="shared" si="36"/>
        <v>Dalyn Dawkins</v>
      </c>
      <c r="D1203" s="10" t="str">
        <f t="shared" si="37"/>
        <v>TEN</v>
      </c>
      <c r="E1203" cm="1">
        <f t="array" aca="1" ref="E1203" ca="1">IFERROR(_xlfn.XLOOKUP(C1203&amp;A1203, Inside5!B:B&amp;Inside5!I:I, Inside5!C:C), 0)</f>
        <v>0</v>
      </c>
      <c r="F1203" cm="1">
        <f t="array" aca="1" ref="F1203" ca="1">IFERROR(_xlfn.XLOOKUP(C1203&amp;A1203, Inside5!B:B&amp;Inside5!I:I, Inside5!D:D), 0)</f>
        <v>0</v>
      </c>
      <c r="G1203" cm="1">
        <f t="array" ref="G1203">IFERROR(_xlfn.XLOOKUP(C1203&amp;A1203, Inside5!B:B&amp;Inside5!I:I, Inside5!E:E), 0)</f>
        <v>0</v>
      </c>
      <c r="H1203" t="str" cm="1">
        <f t="array" ref="H1203">IFERROR(_xlfn.XLOOKUP(C1203&amp;A1203, TDrate!F:F&amp;TDrate!H:H, TDrate!C:C), "N/A")</f>
        <v>N/A</v>
      </c>
      <c r="I1203" t="str" cm="1">
        <f t="array" ref="I1203">IFERROR(_xlfn.XLOOKUP(C1203&amp;A1203, TDrate!F:F&amp;TDrate!H:H, TDrate!E:E), "N/A")</f>
        <v>N/A</v>
      </c>
      <c r="J1203" cm="1">
        <f t="array" ref="J1203">IFERROR(_xlfn.XLOOKUP(C1203&amp;A1203, Inside5!B:B&amp;Inside5!I:I, Inside5!F:F), 0)</f>
        <v>0</v>
      </c>
      <c r="K1203" cm="1">
        <f t="array" aca="1" ref="K1203" ca="1">IFERROR(_xlfn.XLOOKUP(C1203&amp;A1203, Inside5!B:B&amp;Inside5!I:I, Inside5!G:G), 0)</f>
        <v>0</v>
      </c>
      <c r="L1203" cm="1">
        <f t="array" ref="L1203">IFERROR(_xlfn.XLOOKUP(C1203&amp;A1203, Inside5!B:B&amp;Inside5!I:I, Inside5!H:H), 0)</f>
        <v>0</v>
      </c>
      <c r="M1203" t="str" cm="1">
        <f t="array" ref="M1203">IFERROR(_xlfn.XLOOKUP(C1203&amp;A1203, TDrate!F:F&amp;TDrate!H:H, TDrate!B:B), "N/A")</f>
        <v>N/A</v>
      </c>
      <c r="N1203" t="str" cm="1">
        <f t="array" ref="N1203">IFERROR(_xlfn.XLOOKUP(C1203&amp;A1203, TDrate!F:F&amp;TDrate!H:H, TDrate!D:D), "N/A")</f>
        <v>N/A</v>
      </c>
    </row>
    <row r="1204" spans="1:14" x14ac:dyDescent="0.45">
      <c r="A1204" s="5">
        <v>2019</v>
      </c>
      <c r="B1204" s="6" t="s">
        <v>944</v>
      </c>
      <c r="C1204" s="7" t="str">
        <f t="shared" si="36"/>
        <v>T.J. Logan</v>
      </c>
      <c r="D1204" s="7" t="str">
        <f t="shared" si="37"/>
        <v>TB</v>
      </c>
      <c r="E1204" cm="1">
        <f t="array" aca="1" ref="E1204" ca="1">IFERROR(_xlfn.XLOOKUP(C1204&amp;A1204, Inside5!B:B&amp;Inside5!I:I, Inside5!C:C), 0)</f>
        <v>1</v>
      </c>
      <c r="F1204" cm="1">
        <f t="array" ref="F1204">IFERROR(_xlfn.XLOOKUP(C1204&amp;A1204, Inside5!B:B&amp;Inside5!I:I, Inside5!D:D), 0)</f>
        <v>0</v>
      </c>
      <c r="G1204" cm="1">
        <f t="array" ref="G1204">IFERROR(_xlfn.XLOOKUP(C1204&amp;A1204, Inside5!B:B&amp;Inside5!I:I, Inside5!E:E), 0)</f>
        <v>4.8000000000000001E-2</v>
      </c>
      <c r="H1204" t="str" cm="1">
        <f t="array" ref="H1204">IFERROR(_xlfn.XLOOKUP(C1204&amp;A1204, TDrate!F:F&amp;TDrate!H:H, TDrate!C:C), "N/A")</f>
        <v>N/A</v>
      </c>
      <c r="I1204" t="str" cm="1">
        <f t="array" ref="I1204">IFERROR(_xlfn.XLOOKUP(C1204&amp;A1204, TDrate!F:F&amp;TDrate!H:H, TDrate!E:E), "N/A")</f>
        <v>N/A</v>
      </c>
      <c r="J1204" cm="1">
        <f t="array" ref="J1204">IFERROR(_xlfn.XLOOKUP(C1204&amp;A1204, Inside5!B:B&amp;Inside5!I:I, Inside5!F:F), 0)</f>
        <v>0</v>
      </c>
      <c r="K1204" cm="1">
        <f t="array" ref="K1204">IFERROR(_xlfn.XLOOKUP(C1204&amp;A1204, Inside5!B:B&amp;Inside5!I:I, Inside5!G:G), 0)</f>
        <v>0</v>
      </c>
      <c r="L1204" cm="1">
        <f t="array" ref="L1204">IFERROR(_xlfn.XLOOKUP(C1204&amp;A1204, Inside5!B:B&amp;Inside5!I:I, Inside5!H:H), 0)</f>
        <v>0</v>
      </c>
      <c r="M1204" t="str" cm="1">
        <f t="array" ref="M1204">IFERROR(_xlfn.XLOOKUP(C1204&amp;A1204, TDrate!F:F&amp;TDrate!H:H, TDrate!B:B), "N/A")</f>
        <v>N/A</v>
      </c>
      <c r="N1204" t="str" cm="1">
        <f t="array" ref="N1204">IFERROR(_xlfn.XLOOKUP(C1204&amp;A1204, TDrate!F:F&amp;TDrate!H:H, TDrate!D:D), "N/A")</f>
        <v>N/A</v>
      </c>
    </row>
    <row r="1205" spans="1:14" x14ac:dyDescent="0.45">
      <c r="A1205" s="8">
        <v>2019</v>
      </c>
      <c r="B1205" s="9" t="s">
        <v>596</v>
      </c>
      <c r="C1205" s="10" t="str">
        <f t="shared" si="36"/>
        <v>Keith Smith</v>
      </c>
      <c r="D1205" s="10" t="str">
        <f t="shared" si="37"/>
        <v>ATL</v>
      </c>
      <c r="E1205" cm="1">
        <f t="array" ref="E1205">IFERROR(_xlfn.XLOOKUP(C1205&amp;A1205, Inside5!B:B&amp;Inside5!I:I, Inside5!C:C), 0)</f>
        <v>0</v>
      </c>
      <c r="F1205" cm="1">
        <f t="array" ref="F1205">IFERROR(_xlfn.XLOOKUP(C1205&amp;A1205, Inside5!B:B&amp;Inside5!I:I, Inside5!D:D), 0)</f>
        <v>0</v>
      </c>
      <c r="G1205" cm="1">
        <f t="array" ref="G1205">IFERROR(_xlfn.XLOOKUP(C1205&amp;A1205, Inside5!B:B&amp;Inside5!I:I, Inside5!E:E), 0)</f>
        <v>0</v>
      </c>
      <c r="H1205" t="str" cm="1">
        <f t="array" ref="H1205">IFERROR(_xlfn.XLOOKUP(C1205&amp;A1205, TDrate!F:F&amp;TDrate!H:H, TDrate!C:C), "N/A")</f>
        <v>N/A</v>
      </c>
      <c r="I1205" t="str" cm="1">
        <f t="array" ref="I1205">IFERROR(_xlfn.XLOOKUP(C1205&amp;A1205, TDrate!F:F&amp;TDrate!H:H, TDrate!E:E), "N/A")</f>
        <v>N/A</v>
      </c>
      <c r="J1205" cm="1">
        <f t="array" ref="J1205">IFERROR(_xlfn.XLOOKUP(C1205&amp;A1205, Inside5!B:B&amp;Inside5!I:I, Inside5!F:F), 0)</f>
        <v>0</v>
      </c>
      <c r="K1205" cm="1">
        <f t="array" ref="K1205">IFERROR(_xlfn.XLOOKUP(C1205&amp;A1205, Inside5!B:B&amp;Inside5!I:I, Inside5!G:G), 0)</f>
        <v>0</v>
      </c>
      <c r="L1205" cm="1">
        <f t="array" ref="L1205">IFERROR(_xlfn.XLOOKUP(C1205&amp;A1205, Inside5!B:B&amp;Inside5!I:I, Inside5!H:H), 0)</f>
        <v>0</v>
      </c>
      <c r="M1205" t="str" cm="1">
        <f t="array" ref="M1205">IFERROR(_xlfn.XLOOKUP(C1205&amp;A1205, TDrate!F:F&amp;TDrate!H:H, TDrate!B:B), "N/A")</f>
        <v>N/A</v>
      </c>
      <c r="N1205" t="str" cm="1">
        <f t="array" ref="N1205">IFERROR(_xlfn.XLOOKUP(C1205&amp;A1205, TDrate!F:F&amp;TDrate!H:H, TDrate!D:D), "N/A")</f>
        <v>N/A</v>
      </c>
    </row>
    <row r="1206" spans="1:14" x14ac:dyDescent="0.45">
      <c r="A1206" s="5">
        <v>2019</v>
      </c>
      <c r="B1206" s="6" t="s">
        <v>856</v>
      </c>
      <c r="C1206" s="7" t="str">
        <f t="shared" si="36"/>
        <v>Tyler Ervin</v>
      </c>
      <c r="D1206" s="7" t="str">
        <f t="shared" si="37"/>
        <v>GB</v>
      </c>
      <c r="E1206" cm="1">
        <f t="array" ref="E1206">IFERROR(_xlfn.XLOOKUP(C1206&amp;A1206, Inside5!B:B&amp;Inside5!I:I, Inside5!C:C), 0)</f>
        <v>0</v>
      </c>
      <c r="F1206" cm="1">
        <f t="array" ref="F1206">IFERROR(_xlfn.XLOOKUP(C1206&amp;A1206, Inside5!B:B&amp;Inside5!I:I, Inside5!D:D), 0)</f>
        <v>0</v>
      </c>
      <c r="G1206" cm="1">
        <f t="array" ref="G1206">IFERROR(_xlfn.XLOOKUP(C1206&amp;A1206, Inside5!B:B&amp;Inside5!I:I, Inside5!E:E), 0)</f>
        <v>0</v>
      </c>
      <c r="H1206" t="str" cm="1">
        <f t="array" ref="H1206">IFERROR(_xlfn.XLOOKUP(C1206&amp;A1206, TDrate!F:F&amp;TDrate!H:H, TDrate!C:C), "N/A")</f>
        <v>N/A</v>
      </c>
      <c r="I1206" t="str" cm="1">
        <f t="array" ref="I1206">IFERROR(_xlfn.XLOOKUP(C1206&amp;A1206, TDrate!F:F&amp;TDrate!H:H, TDrate!E:E), "N/A")</f>
        <v>N/A</v>
      </c>
      <c r="J1206" cm="1">
        <f t="array" ref="J1206">IFERROR(_xlfn.XLOOKUP(C1206&amp;A1206, Inside5!B:B&amp;Inside5!I:I, Inside5!F:F), 0)</f>
        <v>0</v>
      </c>
      <c r="K1206" cm="1">
        <f t="array" ref="K1206">IFERROR(_xlfn.XLOOKUP(C1206&amp;A1206, Inside5!B:B&amp;Inside5!I:I, Inside5!G:G), 0)</f>
        <v>0</v>
      </c>
      <c r="L1206" cm="1">
        <f t="array" ref="L1206">IFERROR(_xlfn.XLOOKUP(C1206&amp;A1206, Inside5!B:B&amp;Inside5!I:I, Inside5!H:H), 0)</f>
        <v>0</v>
      </c>
      <c r="M1206" t="str" cm="1">
        <f t="array" ref="M1206">IFERROR(_xlfn.XLOOKUP(C1206&amp;A1206, TDrate!F:F&amp;TDrate!H:H, TDrate!B:B), "N/A")</f>
        <v>N/A</v>
      </c>
      <c r="N1206" t="str" cm="1">
        <f t="array" ref="N1206">IFERROR(_xlfn.XLOOKUP(C1206&amp;A1206, TDrate!F:F&amp;TDrate!H:H, TDrate!D:D), "N/A")</f>
        <v>N/A</v>
      </c>
    </row>
    <row r="1207" spans="1:14" x14ac:dyDescent="0.45">
      <c r="A1207" s="8">
        <v>2019</v>
      </c>
      <c r="B1207" s="9" t="s">
        <v>945</v>
      </c>
      <c r="C1207" s="10" t="str">
        <f t="shared" si="36"/>
        <v>Zach Zenner</v>
      </c>
      <c r="D1207" s="10" t="str">
        <f t="shared" si="37"/>
        <v>MIA</v>
      </c>
      <c r="E1207" cm="1">
        <f t="array" ref="E1207">IFERROR(_xlfn.XLOOKUP(C1207&amp;A1207, Inside5!B:B&amp;Inside5!I:I, Inside5!C:C), 0)</f>
        <v>0</v>
      </c>
      <c r="F1207" cm="1">
        <f t="array" ref="F1207">IFERROR(_xlfn.XLOOKUP(C1207&amp;A1207, Inside5!B:B&amp;Inside5!I:I, Inside5!D:D), 0)</f>
        <v>0</v>
      </c>
      <c r="G1207" cm="1">
        <f t="array" ref="G1207">IFERROR(_xlfn.XLOOKUP(C1207&amp;A1207, Inside5!B:B&amp;Inside5!I:I, Inside5!E:E), 0)</f>
        <v>0</v>
      </c>
      <c r="H1207" t="str" cm="1">
        <f t="array" ref="H1207">IFERROR(_xlfn.XLOOKUP(C1207&amp;A1207, TDrate!F:F&amp;TDrate!H:H, TDrate!C:C), "N/A")</f>
        <v>N/A</v>
      </c>
      <c r="I1207" t="str" cm="1">
        <f t="array" ref="I1207">IFERROR(_xlfn.XLOOKUP(C1207&amp;A1207, TDrate!F:F&amp;TDrate!H:H, TDrate!E:E), "N/A")</f>
        <v>N/A</v>
      </c>
      <c r="J1207" cm="1">
        <f t="array" ref="J1207">IFERROR(_xlfn.XLOOKUP(C1207&amp;A1207, Inside5!B:B&amp;Inside5!I:I, Inside5!F:F), 0)</f>
        <v>0</v>
      </c>
      <c r="K1207" cm="1">
        <f t="array" aca="1" ref="K1207" ca="1">IFERROR(_xlfn.XLOOKUP(C1207&amp;A1207, Inside5!B:B&amp;Inside5!I:I, Inside5!G:G), 0)</f>
        <v>0</v>
      </c>
      <c r="L1207" cm="1">
        <f t="array" ref="L1207">IFERROR(_xlfn.XLOOKUP(C1207&amp;A1207, Inside5!B:B&amp;Inside5!I:I, Inside5!H:H), 0)</f>
        <v>0</v>
      </c>
      <c r="M1207" t="str" cm="1">
        <f t="array" ref="M1207">IFERROR(_xlfn.XLOOKUP(C1207&amp;A1207, TDrate!F:F&amp;TDrate!H:H, TDrate!B:B), "N/A")</f>
        <v>N/A</v>
      </c>
      <c r="N1207" t="str" cm="1">
        <f t="array" ref="N1207">IFERROR(_xlfn.XLOOKUP(C1207&amp;A1207, TDrate!F:F&amp;TDrate!H:H, TDrate!D:D), "N/A")</f>
        <v>N/A</v>
      </c>
    </row>
    <row r="1208" spans="1:14" x14ac:dyDescent="0.45">
      <c r="A1208" s="5">
        <v>2019</v>
      </c>
      <c r="B1208" s="6" t="s">
        <v>946</v>
      </c>
      <c r="C1208" s="7" t="str">
        <f t="shared" si="36"/>
        <v>Nick Bawden</v>
      </c>
      <c r="D1208" s="7" t="str">
        <f t="shared" si="37"/>
        <v>DET</v>
      </c>
      <c r="E1208" cm="1">
        <f t="array" aca="1" ref="E1208" ca="1">IFERROR(_xlfn.XLOOKUP(C1208&amp;A1208, Inside5!B:B&amp;Inside5!I:I, Inside5!C:C), 0)</f>
        <v>0</v>
      </c>
      <c r="F1208" cm="1">
        <f t="array" aca="1" ref="F1208" ca="1">IFERROR(_xlfn.XLOOKUP(C1208&amp;A1208, Inside5!B:B&amp;Inside5!I:I, Inside5!D:D), 0)</f>
        <v>0</v>
      </c>
      <c r="G1208" cm="1">
        <f t="array" ref="G1208">IFERROR(_xlfn.XLOOKUP(C1208&amp;A1208, Inside5!B:B&amp;Inside5!I:I, Inside5!E:E), 0)</f>
        <v>0</v>
      </c>
      <c r="H1208" t="str" cm="1">
        <f t="array" ref="H1208">IFERROR(_xlfn.XLOOKUP(C1208&amp;A1208, TDrate!F:F&amp;TDrate!H:H, TDrate!C:C), "N/A")</f>
        <v>N/A</v>
      </c>
      <c r="I1208" t="str" cm="1">
        <f t="array" ref="I1208">IFERROR(_xlfn.XLOOKUP(C1208&amp;A1208, TDrate!F:F&amp;TDrate!H:H, TDrate!E:E), "N/A")</f>
        <v>N/A</v>
      </c>
      <c r="J1208" cm="1">
        <f t="array" ref="J1208">IFERROR(_xlfn.XLOOKUP(C1208&amp;A1208, Inside5!B:B&amp;Inside5!I:I, Inside5!F:F), 0)</f>
        <v>0</v>
      </c>
      <c r="K1208" cm="1">
        <f t="array" aca="1" ref="K1208" ca="1">IFERROR(_xlfn.XLOOKUP(C1208&amp;A1208, Inside5!B:B&amp;Inside5!I:I, Inside5!G:G), 0)</f>
        <v>0</v>
      </c>
      <c r="L1208" cm="1">
        <f t="array" ref="L1208">IFERROR(_xlfn.XLOOKUP(C1208&amp;A1208, Inside5!B:B&amp;Inside5!I:I, Inside5!H:H), 0)</f>
        <v>0</v>
      </c>
      <c r="M1208" t="str" cm="1">
        <f t="array" ref="M1208">IFERROR(_xlfn.XLOOKUP(C1208&amp;A1208, TDrate!F:F&amp;TDrate!H:H, TDrate!B:B), "N/A")</f>
        <v>N/A</v>
      </c>
      <c r="N1208" t="str" cm="1">
        <f t="array" ref="N1208">IFERROR(_xlfn.XLOOKUP(C1208&amp;A1208, TDrate!F:F&amp;TDrate!H:H, TDrate!D:D), "N/A")</f>
        <v>N/A</v>
      </c>
    </row>
    <row r="1209" spans="1:14" x14ac:dyDescent="0.45">
      <c r="A1209" s="8">
        <v>2019</v>
      </c>
      <c r="B1209" s="9" t="s">
        <v>947</v>
      </c>
      <c r="C1209" s="10" t="str">
        <f t="shared" si="36"/>
        <v>Samaje Perine</v>
      </c>
      <c r="D1209" s="10" t="str">
        <f t="shared" si="37"/>
        <v>MIA</v>
      </c>
      <c r="E1209" cm="1">
        <f t="array" aca="1" ref="E1209" ca="1">IFERROR(_xlfn.XLOOKUP(C1209&amp;A1209, Inside5!B:B&amp;Inside5!I:I, Inside5!C:C), 0)</f>
        <v>0</v>
      </c>
      <c r="F1209" cm="1">
        <f t="array" aca="1" ref="F1209" ca="1">IFERROR(_xlfn.XLOOKUP(C1209&amp;A1209, Inside5!B:B&amp;Inside5!I:I, Inside5!D:D), 0)</f>
        <v>0</v>
      </c>
      <c r="G1209" cm="1">
        <f t="array" ref="G1209">IFERROR(_xlfn.XLOOKUP(C1209&amp;A1209, Inside5!B:B&amp;Inside5!I:I, Inside5!E:E), 0)</f>
        <v>0</v>
      </c>
      <c r="H1209" t="str" cm="1">
        <f t="array" ref="H1209">IFERROR(_xlfn.XLOOKUP(C1209&amp;A1209, TDrate!F:F&amp;TDrate!H:H, TDrate!C:C), "N/A")</f>
        <v>N/A</v>
      </c>
      <c r="I1209" t="str" cm="1">
        <f t="array" ref="I1209">IFERROR(_xlfn.XLOOKUP(C1209&amp;A1209, TDrate!F:F&amp;TDrate!H:H, TDrate!E:E), "N/A")</f>
        <v>N/A</v>
      </c>
      <c r="J1209" cm="1">
        <f t="array" ref="J1209">IFERROR(_xlfn.XLOOKUP(C1209&amp;A1209, Inside5!B:B&amp;Inside5!I:I, Inside5!F:F), 0)</f>
        <v>0</v>
      </c>
      <c r="K1209" cm="1">
        <f t="array" aca="1" ref="K1209" ca="1">IFERROR(_xlfn.XLOOKUP(C1209&amp;A1209, Inside5!B:B&amp;Inside5!I:I, Inside5!G:G), 0)</f>
        <v>0</v>
      </c>
      <c r="L1209" cm="1">
        <f t="array" ref="L1209">IFERROR(_xlfn.XLOOKUP(C1209&amp;A1209, Inside5!B:B&amp;Inside5!I:I, Inside5!H:H), 0)</f>
        <v>0</v>
      </c>
      <c r="M1209" t="str" cm="1">
        <f t="array" ref="M1209">IFERROR(_xlfn.XLOOKUP(C1209&amp;A1209, TDrate!F:F&amp;TDrate!H:H, TDrate!B:B), "N/A")</f>
        <v>N/A</v>
      </c>
      <c r="N1209" t="str" cm="1">
        <f t="array" ref="N1209">IFERROR(_xlfn.XLOOKUP(C1209&amp;A1209, TDrate!F:F&amp;TDrate!H:H, TDrate!D:D), "N/A")</f>
        <v>N/A</v>
      </c>
    </row>
    <row r="1210" spans="1:14" x14ac:dyDescent="0.45">
      <c r="A1210" s="5">
        <v>2019</v>
      </c>
      <c r="B1210" s="6" t="s">
        <v>847</v>
      </c>
      <c r="C1210" s="7" t="str">
        <f t="shared" si="36"/>
        <v>Josh Adams</v>
      </c>
      <c r="D1210" s="7" t="str">
        <f t="shared" si="37"/>
        <v>NYJ</v>
      </c>
      <c r="E1210" cm="1">
        <f t="array" aca="1" ref="E1210" ca="1">IFERROR(_xlfn.XLOOKUP(C1210&amp;A1210, Inside5!B:B&amp;Inside5!I:I, Inside5!C:C), 0)</f>
        <v>0</v>
      </c>
      <c r="F1210" cm="1">
        <f t="array" aca="1" ref="F1210" ca="1">IFERROR(_xlfn.XLOOKUP(C1210&amp;A1210, Inside5!B:B&amp;Inside5!I:I, Inside5!D:D), 0)</f>
        <v>0</v>
      </c>
      <c r="G1210" cm="1">
        <f t="array" ref="G1210">IFERROR(_xlfn.XLOOKUP(C1210&amp;A1210, Inside5!B:B&amp;Inside5!I:I, Inside5!E:E), 0)</f>
        <v>0</v>
      </c>
      <c r="H1210" t="str" cm="1">
        <f t="array" ref="H1210">IFERROR(_xlfn.XLOOKUP(C1210&amp;A1210, TDrate!F:F&amp;TDrate!H:H, TDrate!C:C), "N/A")</f>
        <v>N/A</v>
      </c>
      <c r="I1210" t="str" cm="1">
        <f t="array" ref="I1210">IFERROR(_xlfn.XLOOKUP(C1210&amp;A1210, TDrate!F:F&amp;TDrate!H:H, TDrate!E:E), "N/A")</f>
        <v>N/A</v>
      </c>
      <c r="J1210" cm="1">
        <f t="array" ref="J1210">IFERROR(_xlfn.XLOOKUP(C1210&amp;A1210, Inside5!B:B&amp;Inside5!I:I, Inside5!F:F), 0)</f>
        <v>0</v>
      </c>
      <c r="K1210" cm="1">
        <f t="array" aca="1" ref="K1210" ca="1">IFERROR(_xlfn.XLOOKUP(C1210&amp;A1210, Inside5!B:B&amp;Inside5!I:I, Inside5!G:G), 0)</f>
        <v>0</v>
      </c>
      <c r="L1210" cm="1">
        <f t="array" ref="L1210">IFERROR(_xlfn.XLOOKUP(C1210&amp;A1210, Inside5!B:B&amp;Inside5!I:I, Inside5!H:H), 0)</f>
        <v>0</v>
      </c>
      <c r="M1210" t="str" cm="1">
        <f t="array" ref="M1210">IFERROR(_xlfn.XLOOKUP(C1210&amp;A1210, TDrate!F:F&amp;TDrate!H:H, TDrate!B:B), "N/A")</f>
        <v>N/A</v>
      </c>
      <c r="N1210" t="str" cm="1">
        <f t="array" ref="N1210">IFERROR(_xlfn.XLOOKUP(C1210&amp;A1210, TDrate!F:F&amp;TDrate!H:H, TDrate!D:D), "N/A")</f>
        <v>N/A</v>
      </c>
    </row>
    <row r="1211" spans="1:14" x14ac:dyDescent="0.45">
      <c r="A1211" s="8">
        <v>2019</v>
      </c>
      <c r="B1211" s="9" t="s">
        <v>647</v>
      </c>
      <c r="C1211" s="10" t="str">
        <f t="shared" si="36"/>
        <v>Damien Harris</v>
      </c>
      <c r="D1211" s="10" t="str">
        <f t="shared" si="37"/>
        <v>NE</v>
      </c>
      <c r="E1211" cm="1">
        <f t="array" ref="E1211">IFERROR(_xlfn.XLOOKUP(C1211&amp;A1211, Inside5!B:B&amp;Inside5!I:I, Inside5!C:C), 0)</f>
        <v>0</v>
      </c>
      <c r="F1211" cm="1">
        <f t="array" ref="F1211">IFERROR(_xlfn.XLOOKUP(C1211&amp;A1211, Inside5!B:B&amp;Inside5!I:I, Inside5!D:D), 0)</f>
        <v>0</v>
      </c>
      <c r="G1211" cm="1">
        <f t="array" ref="G1211">IFERROR(_xlfn.XLOOKUP(C1211&amp;A1211, Inside5!B:B&amp;Inside5!I:I, Inside5!E:E), 0)</f>
        <v>0</v>
      </c>
      <c r="H1211" t="str" cm="1">
        <f t="array" ref="H1211">IFERROR(_xlfn.XLOOKUP(C1211&amp;A1211, TDrate!F:F&amp;TDrate!H:H, TDrate!C:C), "N/A")</f>
        <v>N/A</v>
      </c>
      <c r="I1211" t="str" cm="1">
        <f t="array" ref="I1211">IFERROR(_xlfn.XLOOKUP(C1211&amp;A1211, TDrate!F:F&amp;TDrate!H:H, TDrate!E:E), "N/A")</f>
        <v>N/A</v>
      </c>
      <c r="J1211" cm="1">
        <f t="array" ref="J1211">IFERROR(_xlfn.XLOOKUP(C1211&amp;A1211, Inside5!B:B&amp;Inside5!I:I, Inside5!F:F), 0)</f>
        <v>0</v>
      </c>
      <c r="K1211" cm="1">
        <f t="array" ref="K1211">IFERROR(_xlfn.XLOOKUP(C1211&amp;A1211, Inside5!B:B&amp;Inside5!I:I, Inside5!G:G), 0)</f>
        <v>0</v>
      </c>
      <c r="L1211" cm="1">
        <f t="array" ref="L1211">IFERROR(_xlfn.XLOOKUP(C1211&amp;A1211, Inside5!B:B&amp;Inside5!I:I, Inside5!H:H), 0)</f>
        <v>0</v>
      </c>
      <c r="M1211" t="str" cm="1">
        <f t="array" ref="M1211">IFERROR(_xlfn.XLOOKUP(C1211&amp;A1211, TDrate!F:F&amp;TDrate!H:H, TDrate!B:B), "N/A")</f>
        <v>N/A</v>
      </c>
      <c r="N1211" t="str" cm="1">
        <f t="array" ref="N1211">IFERROR(_xlfn.XLOOKUP(C1211&amp;A1211, TDrate!F:F&amp;TDrate!H:H, TDrate!D:D), "N/A")</f>
        <v>N/A</v>
      </c>
    </row>
    <row r="1212" spans="1:14" x14ac:dyDescent="0.45">
      <c r="A1212" s="5">
        <v>2019</v>
      </c>
      <c r="B1212" s="6" t="s">
        <v>875</v>
      </c>
      <c r="C1212" s="7" t="str">
        <f t="shared" si="36"/>
        <v>Dexter Williams</v>
      </c>
      <c r="D1212" s="7" t="str">
        <f t="shared" si="37"/>
        <v>GB</v>
      </c>
      <c r="E1212" cm="1">
        <f t="array" ref="E1212">IFERROR(_xlfn.XLOOKUP(C1212&amp;A1212, Inside5!B:B&amp;Inside5!I:I, Inside5!C:C), 0)</f>
        <v>0</v>
      </c>
      <c r="F1212" cm="1">
        <f t="array" ref="F1212">IFERROR(_xlfn.XLOOKUP(C1212&amp;A1212, Inside5!B:B&amp;Inside5!I:I, Inside5!D:D), 0)</f>
        <v>0</v>
      </c>
      <c r="G1212" cm="1">
        <f t="array" ref="G1212">IFERROR(_xlfn.XLOOKUP(C1212&amp;A1212, Inside5!B:B&amp;Inside5!I:I, Inside5!E:E), 0)</f>
        <v>0</v>
      </c>
      <c r="H1212" t="str" cm="1">
        <f t="array" ref="H1212">IFERROR(_xlfn.XLOOKUP(C1212&amp;A1212, TDrate!F:F&amp;TDrate!H:H, TDrate!C:C), "N/A")</f>
        <v>N/A</v>
      </c>
      <c r="I1212" t="str" cm="1">
        <f t="array" ref="I1212">IFERROR(_xlfn.XLOOKUP(C1212&amp;A1212, TDrate!F:F&amp;TDrate!H:H, TDrate!E:E), "N/A")</f>
        <v>N/A</v>
      </c>
      <c r="J1212" cm="1">
        <f t="array" ref="J1212">IFERROR(_xlfn.XLOOKUP(C1212&amp;A1212, Inside5!B:B&amp;Inside5!I:I, Inside5!F:F), 0)</f>
        <v>0</v>
      </c>
      <c r="K1212" cm="1">
        <f t="array" ref="K1212">IFERROR(_xlfn.XLOOKUP(C1212&amp;A1212, Inside5!B:B&amp;Inside5!I:I, Inside5!G:G), 0)</f>
        <v>0</v>
      </c>
      <c r="L1212" cm="1">
        <f t="array" ref="L1212">IFERROR(_xlfn.XLOOKUP(C1212&amp;A1212, Inside5!B:B&amp;Inside5!I:I, Inside5!H:H), 0)</f>
        <v>0</v>
      </c>
      <c r="M1212" t="str" cm="1">
        <f t="array" ref="M1212">IFERROR(_xlfn.XLOOKUP(C1212&amp;A1212, TDrate!F:F&amp;TDrate!H:H, TDrate!B:B), "N/A")</f>
        <v>N/A</v>
      </c>
      <c r="N1212" t="str" cm="1">
        <f t="array" ref="N1212">IFERROR(_xlfn.XLOOKUP(C1212&amp;A1212, TDrate!F:F&amp;TDrate!H:H, TDrate!D:D), "N/A")</f>
        <v>N/A</v>
      </c>
    </row>
    <row r="1213" spans="1:14" x14ac:dyDescent="0.45">
      <c r="A1213" s="8">
        <v>2019</v>
      </c>
      <c r="B1213" s="9" t="s">
        <v>864</v>
      </c>
      <c r="C1213" s="10" t="str">
        <f t="shared" si="36"/>
        <v>Buddy Howell</v>
      </c>
      <c r="D1213" s="10" t="str">
        <f t="shared" si="37"/>
        <v>HOU</v>
      </c>
      <c r="E1213" cm="1">
        <f t="array" ref="E1213">IFERROR(_xlfn.XLOOKUP(C1213&amp;A1213, Inside5!B:B&amp;Inside5!I:I, Inside5!C:C), 0)</f>
        <v>0</v>
      </c>
      <c r="F1213" cm="1">
        <f t="array" ref="F1213">IFERROR(_xlfn.XLOOKUP(C1213&amp;A1213, Inside5!B:B&amp;Inside5!I:I, Inside5!D:D), 0)</f>
        <v>0</v>
      </c>
      <c r="G1213" cm="1">
        <f t="array" ref="G1213">IFERROR(_xlfn.XLOOKUP(C1213&amp;A1213, Inside5!B:B&amp;Inside5!I:I, Inside5!E:E), 0)</f>
        <v>0</v>
      </c>
      <c r="H1213" t="str" cm="1">
        <f t="array" ref="H1213">IFERROR(_xlfn.XLOOKUP(C1213&amp;A1213, TDrate!F:F&amp;TDrate!H:H, TDrate!C:C), "N/A")</f>
        <v>N/A</v>
      </c>
      <c r="I1213" t="str" cm="1">
        <f t="array" ref="I1213">IFERROR(_xlfn.XLOOKUP(C1213&amp;A1213, TDrate!F:F&amp;TDrate!H:H, TDrate!E:E), "N/A")</f>
        <v>N/A</v>
      </c>
      <c r="J1213" cm="1">
        <f t="array" ref="J1213">IFERROR(_xlfn.XLOOKUP(C1213&amp;A1213, Inside5!B:B&amp;Inside5!I:I, Inside5!F:F), 0)</f>
        <v>0</v>
      </c>
      <c r="K1213" cm="1">
        <f t="array" aca="1" ref="K1213" ca="1">IFERROR(_xlfn.XLOOKUP(C1213&amp;A1213, Inside5!B:B&amp;Inside5!I:I, Inside5!G:G), 0)</f>
        <v>0</v>
      </c>
      <c r="L1213" cm="1">
        <f t="array" ref="L1213">IFERROR(_xlfn.XLOOKUP(C1213&amp;A1213, Inside5!B:B&amp;Inside5!I:I, Inside5!H:H), 0)</f>
        <v>0</v>
      </c>
      <c r="M1213" t="str" cm="1">
        <f t="array" ref="M1213">IFERROR(_xlfn.XLOOKUP(C1213&amp;A1213, TDrate!F:F&amp;TDrate!H:H, TDrate!B:B), "N/A")</f>
        <v>N/A</v>
      </c>
      <c r="N1213" t="str" cm="1">
        <f t="array" ref="N1213">IFERROR(_xlfn.XLOOKUP(C1213&amp;A1213, TDrate!F:F&amp;TDrate!H:H, TDrate!D:D), "N/A")</f>
        <v>N/A</v>
      </c>
    </row>
    <row r="1214" spans="1:14" x14ac:dyDescent="0.45">
      <c r="A1214" s="5">
        <v>2019</v>
      </c>
      <c r="B1214" s="6" t="s">
        <v>948</v>
      </c>
      <c r="C1214" s="7" t="str">
        <f t="shared" si="36"/>
        <v>Josh Ferguson</v>
      </c>
      <c r="D1214" s="7" t="str">
        <f t="shared" si="37"/>
        <v>WAS</v>
      </c>
      <c r="E1214" cm="1">
        <f t="array" ref="E1214">IFERROR(_xlfn.XLOOKUP(C1214&amp;A1214, Inside5!B:B&amp;Inside5!I:I, Inside5!C:C), 0)</f>
        <v>0</v>
      </c>
      <c r="F1214" cm="1">
        <f t="array" aca="1" ref="F1214" ca="1">IFERROR(_xlfn.XLOOKUP(C1214&amp;A1214, Inside5!B:B&amp;Inside5!I:I, Inside5!D:D), 0)</f>
        <v>0</v>
      </c>
      <c r="G1214" cm="1">
        <f t="array" ref="G1214">IFERROR(_xlfn.XLOOKUP(C1214&amp;A1214, Inside5!B:B&amp;Inside5!I:I, Inside5!E:E), 0)</f>
        <v>0</v>
      </c>
      <c r="H1214" t="str" cm="1">
        <f t="array" ref="H1214">IFERROR(_xlfn.XLOOKUP(C1214&amp;A1214, TDrate!F:F&amp;TDrate!H:H, TDrate!C:C), "N/A")</f>
        <v>N/A</v>
      </c>
      <c r="I1214" t="str" cm="1">
        <f t="array" ref="I1214">IFERROR(_xlfn.XLOOKUP(C1214&amp;A1214, TDrate!F:F&amp;TDrate!H:H, TDrate!E:E), "N/A")</f>
        <v>N/A</v>
      </c>
      <c r="J1214" cm="1">
        <f t="array" ref="J1214">IFERROR(_xlfn.XLOOKUP(C1214&amp;A1214, Inside5!B:B&amp;Inside5!I:I, Inside5!F:F), 0)</f>
        <v>0</v>
      </c>
      <c r="K1214" cm="1">
        <f t="array" ref="K1214">IFERROR(_xlfn.XLOOKUP(C1214&amp;A1214, Inside5!B:B&amp;Inside5!I:I, Inside5!G:G), 0)</f>
        <v>0</v>
      </c>
      <c r="L1214" cm="1">
        <f t="array" ref="L1214">IFERROR(_xlfn.XLOOKUP(C1214&amp;A1214, Inside5!B:B&amp;Inside5!I:I, Inside5!H:H), 0)</f>
        <v>0</v>
      </c>
      <c r="M1214" t="str" cm="1">
        <f t="array" ref="M1214">IFERROR(_xlfn.XLOOKUP(C1214&amp;A1214, TDrate!F:F&amp;TDrate!H:H, TDrate!B:B), "N/A")</f>
        <v>N/A</v>
      </c>
      <c r="N1214" t="str" cm="1">
        <f t="array" ref="N1214">IFERROR(_xlfn.XLOOKUP(C1214&amp;A1214, TDrate!F:F&amp;TDrate!H:H, TDrate!D:D), "N/A")</f>
        <v>N/A</v>
      </c>
    </row>
    <row r="1215" spans="1:14" x14ac:dyDescent="0.45">
      <c r="A1215" s="8">
        <v>2019</v>
      </c>
      <c r="B1215" s="9" t="s">
        <v>949</v>
      </c>
      <c r="C1215" s="10" t="str">
        <f t="shared" si="36"/>
        <v>John Kelly Jr.</v>
      </c>
      <c r="D1215" s="10" t="str">
        <f t="shared" si="37"/>
        <v>LAR</v>
      </c>
      <c r="E1215" cm="1">
        <f t="array" ref="E1215">IFERROR(_xlfn.XLOOKUP(C1215&amp;A1215, Inside5!B:B&amp;Inside5!I:I, Inside5!C:C), 0)</f>
        <v>0</v>
      </c>
      <c r="F1215" cm="1">
        <f t="array" ref="F1215">IFERROR(_xlfn.XLOOKUP(C1215&amp;A1215, Inside5!B:B&amp;Inside5!I:I, Inside5!D:D), 0)</f>
        <v>0</v>
      </c>
      <c r="G1215" cm="1">
        <f t="array" ref="G1215">IFERROR(_xlfn.XLOOKUP(C1215&amp;A1215, Inside5!B:B&amp;Inside5!I:I, Inside5!E:E), 0)</f>
        <v>0</v>
      </c>
      <c r="H1215" t="str" cm="1">
        <f t="array" ref="H1215">IFERROR(_xlfn.XLOOKUP(C1215&amp;A1215, TDrate!F:F&amp;TDrate!H:H, TDrate!C:C), "N/A")</f>
        <v>N/A</v>
      </c>
      <c r="I1215" t="str" cm="1">
        <f t="array" ref="I1215">IFERROR(_xlfn.XLOOKUP(C1215&amp;A1215, TDrate!F:F&amp;TDrate!H:H, TDrate!E:E), "N/A")</f>
        <v>N/A</v>
      </c>
      <c r="J1215" cm="1">
        <f t="array" ref="J1215">IFERROR(_xlfn.XLOOKUP(C1215&amp;A1215, Inside5!B:B&amp;Inside5!I:I, Inside5!F:F), 0)</f>
        <v>0</v>
      </c>
      <c r="K1215" cm="1">
        <f t="array" ref="K1215">IFERROR(_xlfn.XLOOKUP(C1215&amp;A1215, Inside5!B:B&amp;Inside5!I:I, Inside5!G:G), 0)</f>
        <v>0</v>
      </c>
      <c r="L1215" cm="1">
        <f t="array" ref="L1215">IFERROR(_xlfn.XLOOKUP(C1215&amp;A1215, Inside5!B:B&amp;Inside5!I:I, Inside5!H:H), 0)</f>
        <v>0</v>
      </c>
      <c r="M1215" t="str" cm="1">
        <f t="array" ref="M1215">IFERROR(_xlfn.XLOOKUP(C1215&amp;A1215, TDrate!F:F&amp;TDrate!H:H, TDrate!B:B), "N/A")</f>
        <v>N/A</v>
      </c>
      <c r="N1215" t="str" cm="1">
        <f t="array" ref="N1215">IFERROR(_xlfn.XLOOKUP(C1215&amp;A1215, TDrate!F:F&amp;TDrate!H:H, TDrate!D:D), "N/A")</f>
        <v>N/A</v>
      </c>
    </row>
    <row r="1216" spans="1:14" x14ac:dyDescent="0.45">
      <c r="A1216" s="5">
        <v>2019</v>
      </c>
      <c r="B1216" s="6" t="s">
        <v>950</v>
      </c>
      <c r="C1216" s="7" t="str">
        <f t="shared" si="36"/>
        <v>Jordan Scarlett</v>
      </c>
      <c r="D1216" s="7" t="str">
        <f t="shared" si="37"/>
        <v>CAR</v>
      </c>
      <c r="E1216" cm="1">
        <f t="array" aca="1" ref="E1216" ca="1">IFERROR(_xlfn.XLOOKUP(C1216&amp;A1216, Inside5!B:B&amp;Inside5!I:I, Inside5!C:C), 0)</f>
        <v>0</v>
      </c>
      <c r="F1216" cm="1">
        <f t="array" aca="1" ref="F1216" ca="1">IFERROR(_xlfn.XLOOKUP(C1216&amp;A1216, Inside5!B:B&amp;Inside5!I:I, Inside5!D:D), 0)</f>
        <v>0</v>
      </c>
      <c r="G1216" cm="1">
        <f t="array" ref="G1216">IFERROR(_xlfn.XLOOKUP(C1216&amp;A1216, Inside5!B:B&amp;Inside5!I:I, Inside5!E:E), 0)</f>
        <v>0</v>
      </c>
      <c r="H1216" t="str" cm="1">
        <f t="array" ref="H1216">IFERROR(_xlfn.XLOOKUP(C1216&amp;A1216, TDrate!F:F&amp;TDrate!H:H, TDrate!C:C), "N/A")</f>
        <v>N/A</v>
      </c>
      <c r="I1216" t="str" cm="1">
        <f t="array" ref="I1216">IFERROR(_xlfn.XLOOKUP(C1216&amp;A1216, TDrate!F:F&amp;TDrate!H:H, TDrate!E:E), "N/A")</f>
        <v>N/A</v>
      </c>
      <c r="J1216" cm="1">
        <f t="array" ref="J1216">IFERROR(_xlfn.XLOOKUP(C1216&amp;A1216, Inside5!B:B&amp;Inside5!I:I, Inside5!F:F), 0)</f>
        <v>0</v>
      </c>
      <c r="K1216" cm="1">
        <f t="array" ref="K1216">IFERROR(_xlfn.XLOOKUP(C1216&amp;A1216, Inside5!B:B&amp;Inside5!I:I, Inside5!G:G), 0)</f>
        <v>0</v>
      </c>
      <c r="L1216" cm="1">
        <f t="array" ref="L1216">IFERROR(_xlfn.XLOOKUP(C1216&amp;A1216, Inside5!B:B&amp;Inside5!I:I, Inside5!H:H), 0)</f>
        <v>0</v>
      </c>
      <c r="M1216" t="str" cm="1">
        <f t="array" ref="M1216">IFERROR(_xlfn.XLOOKUP(C1216&amp;A1216, TDrate!F:F&amp;TDrate!H:H, TDrate!B:B), "N/A")</f>
        <v>N/A</v>
      </c>
      <c r="N1216" t="str" cm="1">
        <f t="array" ref="N1216">IFERROR(_xlfn.XLOOKUP(C1216&amp;A1216, TDrate!F:F&amp;TDrate!H:H, TDrate!D:D), "N/A")</f>
        <v>N/A</v>
      </c>
    </row>
    <row r="1217" spans="1:14" x14ac:dyDescent="0.45">
      <c r="A1217" s="8">
        <v>2019</v>
      </c>
      <c r="B1217" s="9" t="s">
        <v>951</v>
      </c>
      <c r="C1217" s="10" t="str">
        <f t="shared" si="36"/>
        <v>Ricky Ortiz</v>
      </c>
      <c r="D1217" s="10" t="str">
        <f t="shared" si="37"/>
        <v>NO</v>
      </c>
      <c r="E1217" cm="1">
        <f t="array" aca="1" ref="E1217" ca="1">IFERROR(_xlfn.XLOOKUP(C1217&amp;A1217, Inside5!B:B&amp;Inside5!I:I, Inside5!C:C), 0)</f>
        <v>0</v>
      </c>
      <c r="F1217" cm="1">
        <f t="array" aca="1" ref="F1217" ca="1">IFERROR(_xlfn.XLOOKUP(C1217&amp;A1217, Inside5!B:B&amp;Inside5!I:I, Inside5!D:D), 0)</f>
        <v>0</v>
      </c>
      <c r="G1217" cm="1">
        <f t="array" ref="G1217">IFERROR(_xlfn.XLOOKUP(C1217&amp;A1217, Inside5!B:B&amp;Inside5!I:I, Inside5!E:E), 0)</f>
        <v>0</v>
      </c>
      <c r="H1217" t="str" cm="1">
        <f t="array" ref="H1217">IFERROR(_xlfn.XLOOKUP(C1217&amp;A1217, TDrate!F:F&amp;TDrate!H:H, TDrate!C:C), "N/A")</f>
        <v>N/A</v>
      </c>
      <c r="I1217" t="str" cm="1">
        <f t="array" ref="I1217">IFERROR(_xlfn.XLOOKUP(C1217&amp;A1217, TDrate!F:F&amp;TDrate!H:H, TDrate!E:E), "N/A")</f>
        <v>N/A</v>
      </c>
      <c r="J1217" cm="1">
        <f t="array" ref="J1217">IFERROR(_xlfn.XLOOKUP(C1217&amp;A1217, Inside5!B:B&amp;Inside5!I:I, Inside5!F:F), 0)</f>
        <v>0</v>
      </c>
      <c r="K1217" cm="1">
        <f t="array" aca="1" ref="K1217" ca="1">IFERROR(_xlfn.XLOOKUP(C1217&amp;A1217, Inside5!B:B&amp;Inside5!I:I, Inside5!G:G), 0)</f>
        <v>0</v>
      </c>
      <c r="L1217" cm="1">
        <f t="array" ref="L1217">IFERROR(_xlfn.XLOOKUP(C1217&amp;A1217, Inside5!B:B&amp;Inside5!I:I, Inside5!H:H), 0)</f>
        <v>0</v>
      </c>
      <c r="M1217" t="str" cm="1">
        <f t="array" ref="M1217">IFERROR(_xlfn.XLOOKUP(C1217&amp;A1217, TDrate!F:F&amp;TDrate!H:H, TDrate!B:B), "N/A")</f>
        <v>N/A</v>
      </c>
      <c r="N1217" t="str" cm="1">
        <f t="array" ref="N1217">IFERROR(_xlfn.XLOOKUP(C1217&amp;A1217, TDrate!F:F&amp;TDrate!H:H, TDrate!D:D), "N/A")</f>
        <v>N/A</v>
      </c>
    </row>
    <row r="1218" spans="1:14" x14ac:dyDescent="0.45">
      <c r="A1218" s="5">
        <v>2019</v>
      </c>
      <c r="B1218" s="6" t="s">
        <v>791</v>
      </c>
      <c r="C1218" s="7" t="str">
        <f t="shared" ref="C1218:C1281" si="38">TRIM(LEFT(B1218, LEN(B1218) - LEN(TRIM(RIGHT(SUBSTITUTE(TRIM(B1218)," ",REPT(" ",100)),100)))))</f>
        <v>Ryan Nall</v>
      </c>
      <c r="D1218" s="7" t="str">
        <f t="shared" ref="D1218:D1281" si="39">MID(B1218, FIND("(", B1218) + 1, FIND(")", B1218) - FIND("(", B1218) - 1)</f>
        <v>CHI</v>
      </c>
      <c r="E1218" cm="1">
        <f t="array" ref="E1218">IFERROR(_xlfn.XLOOKUP(C1218&amp;A1218, Inside5!B:B&amp;Inside5!I:I, Inside5!C:C), 0)</f>
        <v>0</v>
      </c>
      <c r="F1218" cm="1">
        <f t="array" aca="1" ref="F1218" ca="1">IFERROR(_xlfn.XLOOKUP(C1218&amp;A1218, Inside5!B:B&amp;Inside5!I:I, Inside5!D:D), 0)</f>
        <v>0</v>
      </c>
      <c r="G1218" cm="1">
        <f t="array" ref="G1218">IFERROR(_xlfn.XLOOKUP(C1218&amp;A1218, Inside5!B:B&amp;Inside5!I:I, Inside5!E:E), 0)</f>
        <v>0</v>
      </c>
      <c r="H1218" t="str" cm="1">
        <f t="array" ref="H1218">IFERROR(_xlfn.XLOOKUP(C1218&amp;A1218, TDrate!F:F&amp;TDrate!H:H, TDrate!C:C), "N/A")</f>
        <v>N/A</v>
      </c>
      <c r="I1218" t="str" cm="1">
        <f t="array" ref="I1218">IFERROR(_xlfn.XLOOKUP(C1218&amp;A1218, TDrate!F:F&amp;TDrate!H:H, TDrate!E:E), "N/A")</f>
        <v>N/A</v>
      </c>
      <c r="J1218" cm="1">
        <f t="array" ref="J1218">IFERROR(_xlfn.XLOOKUP(C1218&amp;A1218, Inside5!B:B&amp;Inside5!I:I, Inside5!F:F), 0)</f>
        <v>0</v>
      </c>
      <c r="K1218" cm="1">
        <f t="array" ref="K1218">IFERROR(_xlfn.XLOOKUP(C1218&amp;A1218, Inside5!B:B&amp;Inside5!I:I, Inside5!G:G), 0)</f>
        <v>0</v>
      </c>
      <c r="L1218" cm="1">
        <f t="array" ref="L1218">IFERROR(_xlfn.XLOOKUP(C1218&amp;A1218, Inside5!B:B&amp;Inside5!I:I, Inside5!H:H), 0)</f>
        <v>0</v>
      </c>
      <c r="M1218" t="str" cm="1">
        <f t="array" ref="M1218">IFERROR(_xlfn.XLOOKUP(C1218&amp;A1218, TDrate!F:F&amp;TDrate!H:H, TDrate!B:B), "N/A")</f>
        <v>N/A</v>
      </c>
      <c r="N1218" t="str" cm="1">
        <f t="array" ref="N1218">IFERROR(_xlfn.XLOOKUP(C1218&amp;A1218, TDrate!F:F&amp;TDrate!H:H, TDrate!D:D), "N/A")</f>
        <v>N/A</v>
      </c>
    </row>
    <row r="1219" spans="1:14" x14ac:dyDescent="0.45">
      <c r="A1219" s="8">
        <v>2019</v>
      </c>
      <c r="B1219" s="9" t="s">
        <v>952</v>
      </c>
      <c r="C1219" s="10" t="str">
        <f t="shared" si="38"/>
        <v>Tony Brooks-James</v>
      </c>
      <c r="D1219" s="10" t="str">
        <f t="shared" si="39"/>
        <v>PIT</v>
      </c>
      <c r="E1219" cm="1">
        <f t="array" aca="1" ref="E1219" ca="1">IFERROR(_xlfn.XLOOKUP(C1219&amp;A1219, Inside5!B:B&amp;Inside5!I:I, Inside5!C:C), 0)</f>
        <v>0</v>
      </c>
      <c r="F1219" cm="1">
        <f t="array" aca="1" ref="F1219" ca="1">IFERROR(_xlfn.XLOOKUP(C1219&amp;A1219, Inside5!B:B&amp;Inside5!I:I, Inside5!D:D), 0)</f>
        <v>0</v>
      </c>
      <c r="G1219" cm="1">
        <f t="array" ref="G1219">IFERROR(_xlfn.XLOOKUP(C1219&amp;A1219, Inside5!B:B&amp;Inside5!I:I, Inside5!E:E), 0)</f>
        <v>0</v>
      </c>
      <c r="H1219" t="str" cm="1">
        <f t="array" ref="H1219">IFERROR(_xlfn.XLOOKUP(C1219&amp;A1219, TDrate!F:F&amp;TDrate!H:H, TDrate!C:C), "N/A")</f>
        <v>N/A</v>
      </c>
      <c r="I1219" t="str" cm="1">
        <f t="array" ref="I1219">IFERROR(_xlfn.XLOOKUP(C1219&amp;A1219, TDrate!F:F&amp;TDrate!H:H, TDrate!E:E), "N/A")</f>
        <v>N/A</v>
      </c>
      <c r="J1219" cm="1">
        <f t="array" ref="J1219">IFERROR(_xlfn.XLOOKUP(C1219&amp;A1219, Inside5!B:B&amp;Inside5!I:I, Inside5!F:F), 0)</f>
        <v>0</v>
      </c>
      <c r="K1219" cm="1">
        <f t="array" ref="K1219">IFERROR(_xlfn.XLOOKUP(C1219&amp;A1219, Inside5!B:B&amp;Inside5!I:I, Inside5!G:G), 0)</f>
        <v>0</v>
      </c>
      <c r="L1219" cm="1">
        <f t="array" ref="L1219">IFERROR(_xlfn.XLOOKUP(C1219&amp;A1219, Inside5!B:B&amp;Inside5!I:I, Inside5!H:H), 0)</f>
        <v>0</v>
      </c>
      <c r="M1219" t="str" cm="1">
        <f t="array" ref="M1219">IFERROR(_xlfn.XLOOKUP(C1219&amp;A1219, TDrate!F:F&amp;TDrate!H:H, TDrate!B:B), "N/A")</f>
        <v>N/A</v>
      </c>
      <c r="N1219" t="str" cm="1">
        <f t="array" ref="N1219">IFERROR(_xlfn.XLOOKUP(C1219&amp;A1219, TDrate!F:F&amp;TDrate!H:H, TDrate!D:D), "N/A")</f>
        <v>N/A</v>
      </c>
    </row>
    <row r="1220" spans="1:14" x14ac:dyDescent="0.45">
      <c r="A1220" s="5">
        <v>2019</v>
      </c>
      <c r="B1220" s="6" t="s">
        <v>953</v>
      </c>
      <c r="C1220" s="7" t="str">
        <f t="shared" si="38"/>
        <v>De'Lance Turner</v>
      </c>
      <c r="D1220" s="7" t="str">
        <f t="shared" si="39"/>
        <v>MIA</v>
      </c>
      <c r="E1220" cm="1">
        <f t="array" ref="E1220">IFERROR(_xlfn.XLOOKUP(C1220&amp;A1220, Inside5!B:B&amp;Inside5!I:I, Inside5!C:C), 0)</f>
        <v>0</v>
      </c>
      <c r="F1220" cm="1">
        <f t="array" ref="F1220">IFERROR(_xlfn.XLOOKUP(C1220&amp;A1220, Inside5!B:B&amp;Inside5!I:I, Inside5!D:D), 0)</f>
        <v>0</v>
      </c>
      <c r="G1220" cm="1">
        <f t="array" ref="G1220">IFERROR(_xlfn.XLOOKUP(C1220&amp;A1220, Inside5!B:B&amp;Inside5!I:I, Inside5!E:E), 0)</f>
        <v>0</v>
      </c>
      <c r="H1220" t="str" cm="1">
        <f t="array" ref="H1220">IFERROR(_xlfn.XLOOKUP(C1220&amp;A1220, TDrate!F:F&amp;TDrate!H:H, TDrate!C:C), "N/A")</f>
        <v>N/A</v>
      </c>
      <c r="I1220" t="str" cm="1">
        <f t="array" ref="I1220">IFERROR(_xlfn.XLOOKUP(C1220&amp;A1220, TDrate!F:F&amp;TDrate!H:H, TDrate!E:E), "N/A")</f>
        <v>N/A</v>
      </c>
      <c r="J1220" cm="1">
        <f t="array" ref="J1220">IFERROR(_xlfn.XLOOKUP(C1220&amp;A1220, Inside5!B:B&amp;Inside5!I:I, Inside5!F:F), 0)</f>
        <v>0</v>
      </c>
      <c r="K1220" cm="1">
        <f t="array" ref="K1220">IFERROR(_xlfn.XLOOKUP(C1220&amp;A1220, Inside5!B:B&amp;Inside5!I:I, Inside5!G:G), 0)</f>
        <v>0</v>
      </c>
      <c r="L1220" cm="1">
        <f t="array" ref="L1220">IFERROR(_xlfn.XLOOKUP(C1220&amp;A1220, Inside5!B:B&amp;Inside5!I:I, Inside5!H:H), 0)</f>
        <v>0</v>
      </c>
      <c r="M1220" t="str" cm="1">
        <f t="array" ref="M1220">IFERROR(_xlfn.XLOOKUP(C1220&amp;A1220, TDrate!F:F&amp;TDrate!H:H, TDrate!B:B), "N/A")</f>
        <v>N/A</v>
      </c>
      <c r="N1220" t="str" cm="1">
        <f t="array" ref="N1220">IFERROR(_xlfn.XLOOKUP(C1220&amp;A1220, TDrate!F:F&amp;TDrate!H:H, TDrate!D:D), "N/A")</f>
        <v>N/A</v>
      </c>
    </row>
    <row r="1221" spans="1:14" x14ac:dyDescent="0.45">
      <c r="A1221" s="8">
        <v>2019</v>
      </c>
      <c r="B1221" s="9" t="s">
        <v>777</v>
      </c>
      <c r="C1221" s="10" t="str">
        <f t="shared" si="38"/>
        <v>Jakob Johnson</v>
      </c>
      <c r="D1221" s="10" t="str">
        <f t="shared" si="39"/>
        <v>NE</v>
      </c>
      <c r="E1221" cm="1">
        <f t="array" ref="E1221">IFERROR(_xlfn.XLOOKUP(C1221&amp;A1221, Inside5!B:B&amp;Inside5!I:I, Inside5!C:C), 0)</f>
        <v>0</v>
      </c>
      <c r="F1221" cm="1">
        <f t="array" ref="F1221">IFERROR(_xlfn.XLOOKUP(C1221&amp;A1221, Inside5!B:B&amp;Inside5!I:I, Inside5!D:D), 0)</f>
        <v>0</v>
      </c>
      <c r="G1221" cm="1">
        <f t="array" ref="G1221">IFERROR(_xlfn.XLOOKUP(C1221&amp;A1221, Inside5!B:B&amp;Inside5!I:I, Inside5!E:E), 0)</f>
        <v>0</v>
      </c>
      <c r="H1221" t="str" cm="1">
        <f t="array" ref="H1221">IFERROR(_xlfn.XLOOKUP(C1221&amp;A1221, TDrate!F:F&amp;TDrate!H:H, TDrate!C:C), "N/A")</f>
        <v>N/A</v>
      </c>
      <c r="I1221" t="str" cm="1">
        <f t="array" ref="I1221">IFERROR(_xlfn.XLOOKUP(C1221&amp;A1221, TDrate!F:F&amp;TDrate!H:H, TDrate!E:E), "N/A")</f>
        <v>N/A</v>
      </c>
      <c r="J1221" cm="1">
        <f t="array" ref="J1221">IFERROR(_xlfn.XLOOKUP(C1221&amp;A1221, Inside5!B:B&amp;Inside5!I:I, Inside5!F:F), 0)</f>
        <v>0</v>
      </c>
      <c r="K1221" cm="1">
        <f t="array" ref="K1221">IFERROR(_xlfn.XLOOKUP(C1221&amp;A1221, Inside5!B:B&amp;Inside5!I:I, Inside5!G:G), 0)</f>
        <v>0</v>
      </c>
      <c r="L1221" cm="1">
        <f t="array" ref="L1221">IFERROR(_xlfn.XLOOKUP(C1221&amp;A1221, Inside5!B:B&amp;Inside5!I:I, Inside5!H:H), 0)</f>
        <v>0</v>
      </c>
      <c r="M1221" t="str" cm="1">
        <f t="array" ref="M1221">IFERROR(_xlfn.XLOOKUP(C1221&amp;A1221, TDrate!F:F&amp;TDrate!H:H, TDrate!B:B), "N/A")</f>
        <v>N/A</v>
      </c>
      <c r="N1221" t="str" cm="1">
        <f t="array" ref="N1221">IFERROR(_xlfn.XLOOKUP(C1221&amp;A1221, TDrate!F:F&amp;TDrate!H:H, TDrate!D:D), "N/A")</f>
        <v>N/A</v>
      </c>
    </row>
    <row r="1222" spans="1:14" x14ac:dyDescent="0.45">
      <c r="A1222" s="5">
        <v>2019</v>
      </c>
      <c r="B1222" s="6" t="s">
        <v>954</v>
      </c>
      <c r="C1222" s="7" t="str">
        <f t="shared" si="38"/>
        <v>Alfred Morris</v>
      </c>
      <c r="D1222" s="7" t="str">
        <f t="shared" si="39"/>
        <v>ARI</v>
      </c>
      <c r="E1222" cm="1">
        <f t="array" aca="1" ref="E1222" ca="1">IFERROR(_xlfn.XLOOKUP(C1222&amp;A1222, Inside5!B:B&amp;Inside5!I:I, Inside5!C:C), 0)</f>
        <v>0</v>
      </c>
      <c r="F1222" cm="1">
        <f t="array" aca="1" ref="F1222" ca="1">IFERROR(_xlfn.XLOOKUP(C1222&amp;A1222, Inside5!B:B&amp;Inside5!I:I, Inside5!D:D), 0)</f>
        <v>0</v>
      </c>
      <c r="G1222" cm="1">
        <f t="array" ref="G1222">IFERROR(_xlfn.XLOOKUP(C1222&amp;A1222, Inside5!B:B&amp;Inside5!I:I, Inside5!E:E), 0)</f>
        <v>0</v>
      </c>
      <c r="H1222" t="str" cm="1">
        <f t="array" ref="H1222">IFERROR(_xlfn.XLOOKUP(C1222&amp;A1222, TDrate!F:F&amp;TDrate!H:H, TDrate!C:C), "N/A")</f>
        <v>N/A</v>
      </c>
      <c r="I1222" t="str" cm="1">
        <f t="array" ref="I1222">IFERROR(_xlfn.XLOOKUP(C1222&amp;A1222, TDrate!F:F&amp;TDrate!H:H, TDrate!E:E), "N/A")</f>
        <v>N/A</v>
      </c>
      <c r="J1222" cm="1">
        <f t="array" ref="J1222">IFERROR(_xlfn.XLOOKUP(C1222&amp;A1222, Inside5!B:B&amp;Inside5!I:I, Inside5!F:F), 0)</f>
        <v>0</v>
      </c>
      <c r="K1222" cm="1">
        <f t="array" ref="K1222">IFERROR(_xlfn.XLOOKUP(C1222&amp;A1222, Inside5!B:B&amp;Inside5!I:I, Inside5!G:G), 0)</f>
        <v>0</v>
      </c>
      <c r="L1222" cm="1">
        <f t="array" ref="L1222">IFERROR(_xlfn.XLOOKUP(C1222&amp;A1222, Inside5!B:B&amp;Inside5!I:I, Inside5!H:H), 0)</f>
        <v>0</v>
      </c>
      <c r="M1222" t="str" cm="1">
        <f t="array" ref="M1222">IFERROR(_xlfn.XLOOKUP(C1222&amp;A1222, TDrate!F:F&amp;TDrate!H:H, TDrate!B:B), "N/A")</f>
        <v>N/A</v>
      </c>
      <c r="N1222" t="str" cm="1">
        <f t="array" ref="N1222">IFERROR(_xlfn.XLOOKUP(C1222&amp;A1222, TDrate!F:F&amp;TDrate!H:H, TDrate!D:D), "N/A")</f>
        <v>N/A</v>
      </c>
    </row>
    <row r="1223" spans="1:14" x14ac:dyDescent="0.45">
      <c r="A1223" s="8">
        <v>2019</v>
      </c>
      <c r="B1223" s="9" t="s">
        <v>955</v>
      </c>
      <c r="C1223" s="10" t="str">
        <f t="shared" si="38"/>
        <v>Senorise Perry</v>
      </c>
      <c r="D1223" s="10" t="str">
        <f t="shared" si="39"/>
        <v>BUF</v>
      </c>
      <c r="E1223" cm="1">
        <f t="array" aca="1" ref="E1223" ca="1">IFERROR(_xlfn.XLOOKUP(C1223&amp;A1223, Inside5!B:B&amp;Inside5!I:I, Inside5!C:C), 0)</f>
        <v>0</v>
      </c>
      <c r="F1223" cm="1">
        <f t="array" aca="1" ref="F1223" ca="1">IFERROR(_xlfn.XLOOKUP(C1223&amp;A1223, Inside5!B:B&amp;Inside5!I:I, Inside5!D:D), 0)</f>
        <v>0</v>
      </c>
      <c r="G1223" cm="1">
        <f t="array" ref="G1223">IFERROR(_xlfn.XLOOKUP(C1223&amp;A1223, Inside5!B:B&amp;Inside5!I:I, Inside5!E:E), 0)</f>
        <v>0</v>
      </c>
      <c r="H1223" t="str" cm="1">
        <f t="array" ref="H1223">IFERROR(_xlfn.XLOOKUP(C1223&amp;A1223, TDrate!F:F&amp;TDrate!H:H, TDrate!C:C), "N/A")</f>
        <v>N/A</v>
      </c>
      <c r="I1223" t="str" cm="1">
        <f t="array" ref="I1223">IFERROR(_xlfn.XLOOKUP(C1223&amp;A1223, TDrate!F:F&amp;TDrate!H:H, TDrate!E:E), "N/A")</f>
        <v>N/A</v>
      </c>
      <c r="J1223" cm="1">
        <f t="array" ref="J1223">IFERROR(_xlfn.XLOOKUP(C1223&amp;A1223, Inside5!B:B&amp;Inside5!I:I, Inside5!F:F), 0)</f>
        <v>0</v>
      </c>
      <c r="K1223" cm="1">
        <f t="array" ref="K1223">IFERROR(_xlfn.XLOOKUP(C1223&amp;A1223, Inside5!B:B&amp;Inside5!I:I, Inside5!G:G), 0)</f>
        <v>0</v>
      </c>
      <c r="L1223" cm="1">
        <f t="array" ref="L1223">IFERROR(_xlfn.XLOOKUP(C1223&amp;A1223, Inside5!B:B&amp;Inside5!I:I, Inside5!H:H), 0)</f>
        <v>0</v>
      </c>
      <c r="M1223" t="str" cm="1">
        <f t="array" ref="M1223">IFERROR(_xlfn.XLOOKUP(C1223&amp;A1223, TDrate!F:F&amp;TDrate!H:H, TDrate!B:B), "N/A")</f>
        <v>N/A</v>
      </c>
      <c r="N1223" t="str" cm="1">
        <f t="array" ref="N1223">IFERROR(_xlfn.XLOOKUP(C1223&amp;A1223, TDrate!F:F&amp;TDrate!H:H, TDrate!D:D), "N/A")</f>
        <v>N/A</v>
      </c>
    </row>
    <row r="1224" spans="1:14" x14ac:dyDescent="0.45">
      <c r="A1224" s="5">
        <v>2019</v>
      </c>
      <c r="B1224" s="6" t="s">
        <v>956</v>
      </c>
      <c r="C1224" s="7" t="str">
        <f t="shared" si="38"/>
        <v>Roosevelt Nix</v>
      </c>
      <c r="D1224" s="7" t="str">
        <f t="shared" si="39"/>
        <v>PIT</v>
      </c>
      <c r="E1224" cm="1">
        <f t="array" aca="1" ref="E1224" ca="1">IFERROR(_xlfn.XLOOKUP(C1224&amp;A1224, Inside5!B:B&amp;Inside5!I:I, Inside5!C:C), 0)</f>
        <v>0</v>
      </c>
      <c r="F1224" cm="1">
        <f t="array" aca="1" ref="F1224" ca="1">IFERROR(_xlfn.XLOOKUP(C1224&amp;A1224, Inside5!B:B&amp;Inside5!I:I, Inside5!D:D), 0)</f>
        <v>0</v>
      </c>
      <c r="G1224" cm="1">
        <f t="array" ref="G1224">IFERROR(_xlfn.XLOOKUP(C1224&amp;A1224, Inside5!B:B&amp;Inside5!I:I, Inside5!E:E), 0)</f>
        <v>0</v>
      </c>
      <c r="H1224" t="str" cm="1">
        <f t="array" ref="H1224">IFERROR(_xlfn.XLOOKUP(C1224&amp;A1224, TDrate!F:F&amp;TDrate!H:H, TDrate!C:C), "N/A")</f>
        <v>N/A</v>
      </c>
      <c r="I1224" t="str" cm="1">
        <f t="array" ref="I1224">IFERROR(_xlfn.XLOOKUP(C1224&amp;A1224, TDrate!F:F&amp;TDrate!H:H, TDrate!E:E), "N/A")</f>
        <v>N/A</v>
      </c>
      <c r="J1224" cm="1">
        <f t="array" ref="J1224">IFERROR(_xlfn.XLOOKUP(C1224&amp;A1224, Inside5!B:B&amp;Inside5!I:I, Inside5!F:F), 0)</f>
        <v>0</v>
      </c>
      <c r="K1224" cm="1">
        <f t="array" ref="K1224">IFERROR(_xlfn.XLOOKUP(C1224&amp;A1224, Inside5!B:B&amp;Inside5!I:I, Inside5!G:G), 0)</f>
        <v>0</v>
      </c>
      <c r="L1224" cm="1">
        <f t="array" ref="L1224">IFERROR(_xlfn.XLOOKUP(C1224&amp;A1224, Inside5!B:B&amp;Inside5!I:I, Inside5!H:H), 0)</f>
        <v>0</v>
      </c>
      <c r="M1224" t="str" cm="1">
        <f t="array" ref="M1224">IFERROR(_xlfn.XLOOKUP(C1224&amp;A1224, TDrate!F:F&amp;TDrate!H:H, TDrate!B:B), "N/A")</f>
        <v>N/A</v>
      </c>
      <c r="N1224" t="str" cm="1">
        <f t="array" ref="N1224">IFERROR(_xlfn.XLOOKUP(C1224&amp;A1224, TDrate!F:F&amp;TDrate!H:H, TDrate!D:D), "N/A")</f>
        <v>N/A</v>
      </c>
    </row>
    <row r="1225" spans="1:14" x14ac:dyDescent="0.45">
      <c r="A1225" s="8">
        <v>2019</v>
      </c>
      <c r="B1225" s="9" t="s">
        <v>957</v>
      </c>
      <c r="C1225" s="10" t="str">
        <f t="shared" si="38"/>
        <v>James Develin</v>
      </c>
      <c r="D1225" s="10" t="str">
        <f t="shared" si="39"/>
        <v>NE</v>
      </c>
      <c r="E1225" cm="1">
        <f t="array" aca="1" ref="E1225" ca="1">IFERROR(_xlfn.XLOOKUP(C1225&amp;A1225, Inside5!B:B&amp;Inside5!I:I, Inside5!C:C), 0)</f>
        <v>1</v>
      </c>
      <c r="F1225" cm="1">
        <f t="array" aca="1" ref="F1225" ca="1">IFERROR(_xlfn.XLOOKUP(C1225&amp;A1225, Inside5!B:B&amp;Inside5!I:I, Inside5!D:D), 0)</f>
        <v>0</v>
      </c>
      <c r="G1225" cm="1">
        <f t="array" ref="G1225">IFERROR(_xlfn.XLOOKUP(C1225&amp;A1225, Inside5!B:B&amp;Inside5!I:I, Inside5!E:E), 0)</f>
        <v>0.04</v>
      </c>
      <c r="H1225" t="str" cm="1">
        <f t="array" ref="H1225">IFERROR(_xlfn.XLOOKUP(C1225&amp;A1225, TDrate!F:F&amp;TDrate!H:H, TDrate!C:C), "N/A")</f>
        <v>N/A</v>
      </c>
      <c r="I1225" t="str" cm="1">
        <f t="array" ref="I1225">IFERROR(_xlfn.XLOOKUP(C1225&amp;A1225, TDrate!F:F&amp;TDrate!H:H, TDrate!E:E), "N/A")</f>
        <v>N/A</v>
      </c>
      <c r="J1225" cm="1">
        <f t="array" ref="J1225">IFERROR(_xlfn.XLOOKUP(C1225&amp;A1225, Inside5!B:B&amp;Inside5!I:I, Inside5!F:F), 0)</f>
        <v>0</v>
      </c>
      <c r="K1225" cm="1">
        <f t="array" aca="1" ref="K1225" ca="1">IFERROR(_xlfn.XLOOKUP(C1225&amp;A1225, Inside5!B:B&amp;Inside5!I:I, Inside5!G:G), 0)</f>
        <v>0</v>
      </c>
      <c r="L1225" cm="1">
        <f t="array" ref="L1225">IFERROR(_xlfn.XLOOKUP(C1225&amp;A1225, Inside5!B:B&amp;Inside5!I:I, Inside5!H:H), 0)</f>
        <v>0</v>
      </c>
      <c r="M1225" t="str" cm="1">
        <f t="array" ref="M1225">IFERROR(_xlfn.XLOOKUP(C1225&amp;A1225, TDrate!F:F&amp;TDrate!H:H, TDrate!B:B), "N/A")</f>
        <v>N/A</v>
      </c>
      <c r="N1225" t="str" cm="1">
        <f t="array" ref="N1225">IFERROR(_xlfn.XLOOKUP(C1225&amp;A1225, TDrate!F:F&amp;TDrate!H:H, TDrate!D:D), "N/A")</f>
        <v>N/A</v>
      </c>
    </row>
    <row r="1226" spans="1:14" x14ac:dyDescent="0.45">
      <c r="A1226" s="5">
        <v>2019</v>
      </c>
      <c r="B1226" s="6" t="s">
        <v>958</v>
      </c>
      <c r="C1226" s="7" t="str">
        <f t="shared" si="38"/>
        <v>Jamaal Charles</v>
      </c>
      <c r="D1226" s="7" t="str">
        <f t="shared" si="39"/>
        <v>JAC</v>
      </c>
      <c r="E1226" cm="1">
        <f t="array" ref="E1226">IFERROR(_xlfn.XLOOKUP(C1226&amp;A1226, Inside5!B:B&amp;Inside5!I:I, Inside5!C:C), 0)</f>
        <v>0</v>
      </c>
      <c r="F1226" cm="1">
        <f t="array" ref="F1226">IFERROR(_xlfn.XLOOKUP(C1226&amp;A1226, Inside5!B:B&amp;Inside5!I:I, Inside5!D:D), 0)</f>
        <v>0</v>
      </c>
      <c r="G1226" cm="1">
        <f t="array" ref="G1226">IFERROR(_xlfn.XLOOKUP(C1226&amp;A1226, Inside5!B:B&amp;Inside5!I:I, Inside5!E:E), 0)</f>
        <v>0</v>
      </c>
      <c r="H1226" t="str" cm="1">
        <f t="array" ref="H1226">IFERROR(_xlfn.XLOOKUP(C1226&amp;A1226, TDrate!F:F&amp;TDrate!H:H, TDrate!C:C), "N/A")</f>
        <v>N/A</v>
      </c>
      <c r="I1226" t="str" cm="1">
        <f t="array" ref="I1226">IFERROR(_xlfn.XLOOKUP(C1226&amp;A1226, TDrate!F:F&amp;TDrate!H:H, TDrate!E:E), "N/A")</f>
        <v>N/A</v>
      </c>
      <c r="J1226" cm="1">
        <f t="array" ref="J1226">IFERROR(_xlfn.XLOOKUP(C1226&amp;A1226, Inside5!B:B&amp;Inside5!I:I, Inside5!F:F), 0)</f>
        <v>0</v>
      </c>
      <c r="K1226" cm="1">
        <f t="array" ref="K1226">IFERROR(_xlfn.XLOOKUP(C1226&amp;A1226, Inside5!B:B&amp;Inside5!I:I, Inside5!G:G), 0)</f>
        <v>0</v>
      </c>
      <c r="L1226" cm="1">
        <f t="array" ref="L1226">IFERROR(_xlfn.XLOOKUP(C1226&amp;A1226, Inside5!B:B&amp;Inside5!I:I, Inside5!H:H), 0)</f>
        <v>0</v>
      </c>
      <c r="M1226" t="str" cm="1">
        <f t="array" ref="M1226">IFERROR(_xlfn.XLOOKUP(C1226&amp;A1226, TDrate!F:F&amp;TDrate!H:H, TDrate!B:B), "N/A")</f>
        <v>N/A</v>
      </c>
      <c r="N1226" t="str" cm="1">
        <f t="array" ref="N1226">IFERROR(_xlfn.XLOOKUP(C1226&amp;A1226, TDrate!F:F&amp;TDrate!H:H, TDrate!D:D), "N/A")</f>
        <v>N/A</v>
      </c>
    </row>
    <row r="1227" spans="1:14" x14ac:dyDescent="0.45">
      <c r="A1227" s="8">
        <v>2019</v>
      </c>
      <c r="B1227" s="9" t="s">
        <v>959</v>
      </c>
      <c r="C1227" s="10" t="str">
        <f t="shared" si="38"/>
        <v>Jonathan Stewart</v>
      </c>
      <c r="D1227" s="10" t="str">
        <f t="shared" si="39"/>
        <v>NYG</v>
      </c>
      <c r="E1227" cm="1">
        <f t="array" aca="1" ref="E1227" ca="1">IFERROR(_xlfn.XLOOKUP(C1227&amp;A1227, Inside5!B:B&amp;Inside5!I:I, Inside5!C:C), 0)</f>
        <v>0</v>
      </c>
      <c r="F1227" cm="1">
        <f t="array" ref="F1227">IFERROR(_xlfn.XLOOKUP(C1227&amp;A1227, Inside5!B:B&amp;Inside5!I:I, Inside5!D:D), 0)</f>
        <v>0</v>
      </c>
      <c r="G1227" cm="1">
        <f t="array" ref="G1227">IFERROR(_xlfn.XLOOKUP(C1227&amp;A1227, Inside5!B:B&amp;Inside5!I:I, Inside5!E:E), 0)</f>
        <v>0</v>
      </c>
      <c r="H1227" t="str" cm="1">
        <f t="array" ref="H1227">IFERROR(_xlfn.XLOOKUP(C1227&amp;A1227, TDrate!F:F&amp;TDrate!H:H, TDrate!C:C), "N/A")</f>
        <v>N/A</v>
      </c>
      <c r="I1227" t="str" cm="1">
        <f t="array" ref="I1227">IFERROR(_xlfn.XLOOKUP(C1227&amp;A1227, TDrate!F:F&amp;TDrate!H:H, TDrate!E:E), "N/A")</f>
        <v>N/A</v>
      </c>
      <c r="J1227" cm="1">
        <f t="array" ref="J1227">IFERROR(_xlfn.XLOOKUP(C1227&amp;A1227, Inside5!B:B&amp;Inside5!I:I, Inside5!F:F), 0)</f>
        <v>0</v>
      </c>
      <c r="K1227" cm="1">
        <f t="array" ref="K1227">IFERROR(_xlfn.XLOOKUP(C1227&amp;A1227, Inside5!B:B&amp;Inside5!I:I, Inside5!G:G), 0)</f>
        <v>0</v>
      </c>
      <c r="L1227" cm="1">
        <f t="array" ref="L1227">IFERROR(_xlfn.XLOOKUP(C1227&amp;A1227, Inside5!B:B&amp;Inside5!I:I, Inside5!H:H), 0)</f>
        <v>0</v>
      </c>
      <c r="M1227" t="str" cm="1">
        <f t="array" ref="M1227">IFERROR(_xlfn.XLOOKUP(C1227&amp;A1227, TDrate!F:F&amp;TDrate!H:H, TDrate!B:B), "N/A")</f>
        <v>N/A</v>
      </c>
      <c r="N1227" t="str" cm="1">
        <f t="array" ref="N1227">IFERROR(_xlfn.XLOOKUP(C1227&amp;A1227, TDrate!F:F&amp;TDrate!H:H, TDrate!D:D), "N/A")</f>
        <v>N/A</v>
      </c>
    </row>
    <row r="1228" spans="1:14" x14ac:dyDescent="0.45">
      <c r="A1228" s="5">
        <v>2019</v>
      </c>
      <c r="B1228" s="6" t="s">
        <v>960</v>
      </c>
      <c r="C1228" s="7" t="str">
        <f t="shared" si="38"/>
        <v>LeGarrette Blount</v>
      </c>
      <c r="D1228" s="7" t="str">
        <f t="shared" si="39"/>
        <v>DET</v>
      </c>
      <c r="E1228" cm="1">
        <f t="array" ref="E1228">IFERROR(_xlfn.XLOOKUP(C1228&amp;A1228, Inside5!B:B&amp;Inside5!I:I, Inside5!C:C), 0)</f>
        <v>0</v>
      </c>
      <c r="F1228" cm="1">
        <f t="array" ref="F1228">IFERROR(_xlfn.XLOOKUP(C1228&amp;A1228, Inside5!B:B&amp;Inside5!I:I, Inside5!D:D), 0)</f>
        <v>0</v>
      </c>
      <c r="G1228" cm="1">
        <f t="array" ref="G1228">IFERROR(_xlfn.XLOOKUP(C1228&amp;A1228, Inside5!B:B&amp;Inside5!I:I, Inside5!E:E), 0)</f>
        <v>0</v>
      </c>
      <c r="H1228" t="str" cm="1">
        <f t="array" ref="H1228">IFERROR(_xlfn.XLOOKUP(C1228&amp;A1228, TDrate!F:F&amp;TDrate!H:H, TDrate!C:C), "N/A")</f>
        <v>N/A</v>
      </c>
      <c r="I1228" t="str" cm="1">
        <f t="array" ref="I1228">IFERROR(_xlfn.XLOOKUP(C1228&amp;A1228, TDrate!F:F&amp;TDrate!H:H, TDrate!E:E), "N/A")</f>
        <v>N/A</v>
      </c>
      <c r="J1228" cm="1">
        <f t="array" ref="J1228">IFERROR(_xlfn.XLOOKUP(C1228&amp;A1228, Inside5!B:B&amp;Inside5!I:I, Inside5!F:F), 0)</f>
        <v>0</v>
      </c>
      <c r="K1228" cm="1">
        <f t="array" ref="K1228">IFERROR(_xlfn.XLOOKUP(C1228&amp;A1228, Inside5!B:B&amp;Inside5!I:I, Inside5!G:G), 0)</f>
        <v>0</v>
      </c>
      <c r="L1228" cm="1">
        <f t="array" ref="L1228">IFERROR(_xlfn.XLOOKUP(C1228&amp;A1228, Inside5!B:B&amp;Inside5!I:I, Inside5!H:H), 0)</f>
        <v>0</v>
      </c>
      <c r="M1228" t="str" cm="1">
        <f t="array" ref="M1228">IFERROR(_xlfn.XLOOKUP(C1228&amp;A1228, TDrate!F:F&amp;TDrate!H:H, TDrate!B:B), "N/A")</f>
        <v>N/A</v>
      </c>
      <c r="N1228" t="str" cm="1">
        <f t="array" ref="N1228">IFERROR(_xlfn.XLOOKUP(C1228&amp;A1228, TDrate!F:F&amp;TDrate!H:H, TDrate!D:D), "N/A")</f>
        <v>N/A</v>
      </c>
    </row>
    <row r="1229" spans="1:14" x14ac:dyDescent="0.45">
      <c r="A1229" s="8">
        <v>2019</v>
      </c>
      <c r="B1229" s="9" t="s">
        <v>961</v>
      </c>
      <c r="C1229" s="10" t="str">
        <f t="shared" si="38"/>
        <v>Chris Ivory</v>
      </c>
      <c r="D1229" s="10" t="str">
        <f t="shared" si="39"/>
        <v>BUF</v>
      </c>
      <c r="E1229" cm="1">
        <f t="array" aca="1" ref="E1229" ca="1">IFERROR(_xlfn.XLOOKUP(C1229&amp;A1229, Inside5!B:B&amp;Inside5!I:I, Inside5!C:C), 0)</f>
        <v>0</v>
      </c>
      <c r="F1229" cm="1">
        <f t="array" aca="1" ref="F1229" ca="1">IFERROR(_xlfn.XLOOKUP(C1229&amp;A1229, Inside5!B:B&amp;Inside5!I:I, Inside5!D:D), 0)</f>
        <v>0</v>
      </c>
      <c r="G1229" cm="1">
        <f t="array" ref="G1229">IFERROR(_xlfn.XLOOKUP(C1229&amp;A1229, Inside5!B:B&amp;Inside5!I:I, Inside5!E:E), 0)</f>
        <v>0</v>
      </c>
      <c r="H1229" t="str" cm="1">
        <f t="array" ref="H1229">IFERROR(_xlfn.XLOOKUP(C1229&amp;A1229, TDrate!F:F&amp;TDrate!H:H, TDrate!C:C), "N/A")</f>
        <v>N/A</v>
      </c>
      <c r="I1229" t="str" cm="1">
        <f t="array" ref="I1229">IFERROR(_xlfn.XLOOKUP(C1229&amp;A1229, TDrate!F:F&amp;TDrate!H:H, TDrate!E:E), "N/A")</f>
        <v>N/A</v>
      </c>
      <c r="J1229" cm="1">
        <f t="array" ref="J1229">IFERROR(_xlfn.XLOOKUP(C1229&amp;A1229, Inside5!B:B&amp;Inside5!I:I, Inside5!F:F), 0)</f>
        <v>0</v>
      </c>
      <c r="K1229" cm="1">
        <f t="array" aca="1" ref="K1229" ca="1">IFERROR(_xlfn.XLOOKUP(C1229&amp;A1229, Inside5!B:B&amp;Inside5!I:I, Inside5!G:G), 0)</f>
        <v>0</v>
      </c>
      <c r="L1229" cm="1">
        <f t="array" ref="L1229">IFERROR(_xlfn.XLOOKUP(C1229&amp;A1229, Inside5!B:B&amp;Inside5!I:I, Inside5!H:H), 0)</f>
        <v>0</v>
      </c>
      <c r="M1229" t="str" cm="1">
        <f t="array" ref="M1229">IFERROR(_xlfn.XLOOKUP(C1229&amp;A1229, TDrate!F:F&amp;TDrate!H:H, TDrate!B:B), "N/A")</f>
        <v>N/A</v>
      </c>
      <c r="N1229" t="str" cm="1">
        <f t="array" ref="N1229">IFERROR(_xlfn.XLOOKUP(C1229&amp;A1229, TDrate!F:F&amp;TDrate!H:H, TDrate!D:D), "N/A")</f>
        <v>N/A</v>
      </c>
    </row>
    <row r="1230" spans="1:14" x14ac:dyDescent="0.45">
      <c r="A1230" s="5">
        <v>2019</v>
      </c>
      <c r="B1230" s="6" t="s">
        <v>962</v>
      </c>
      <c r="C1230" s="7" t="str">
        <f t="shared" si="38"/>
        <v>Stevan Ridley</v>
      </c>
      <c r="D1230" s="7" t="str">
        <f t="shared" si="39"/>
        <v>PIT</v>
      </c>
      <c r="E1230" cm="1">
        <f t="array" aca="1" ref="E1230" ca="1">IFERROR(_xlfn.XLOOKUP(C1230&amp;A1230, Inside5!B:B&amp;Inside5!I:I, Inside5!C:C), 0)</f>
        <v>0</v>
      </c>
      <c r="F1230" cm="1">
        <f t="array" aca="1" ref="F1230" ca="1">IFERROR(_xlfn.XLOOKUP(C1230&amp;A1230, Inside5!B:B&amp;Inside5!I:I, Inside5!D:D), 0)</f>
        <v>0</v>
      </c>
      <c r="G1230" cm="1">
        <f t="array" ref="G1230">IFERROR(_xlfn.XLOOKUP(C1230&amp;A1230, Inside5!B:B&amp;Inside5!I:I, Inside5!E:E), 0)</f>
        <v>0</v>
      </c>
      <c r="H1230" t="str" cm="1">
        <f t="array" ref="H1230">IFERROR(_xlfn.XLOOKUP(C1230&amp;A1230, TDrate!F:F&amp;TDrate!H:H, TDrate!C:C), "N/A")</f>
        <v>N/A</v>
      </c>
      <c r="I1230" t="str" cm="1">
        <f t="array" ref="I1230">IFERROR(_xlfn.XLOOKUP(C1230&amp;A1230, TDrate!F:F&amp;TDrate!H:H, TDrate!E:E), "N/A")</f>
        <v>N/A</v>
      </c>
      <c r="J1230" cm="1">
        <f t="array" ref="J1230">IFERROR(_xlfn.XLOOKUP(C1230&amp;A1230, Inside5!B:B&amp;Inside5!I:I, Inside5!F:F), 0)</f>
        <v>0</v>
      </c>
      <c r="K1230" cm="1">
        <f t="array" aca="1" ref="K1230" ca="1">IFERROR(_xlfn.XLOOKUP(C1230&amp;A1230, Inside5!B:B&amp;Inside5!I:I, Inside5!G:G), 0)</f>
        <v>0</v>
      </c>
      <c r="L1230" cm="1">
        <f t="array" ref="L1230">IFERROR(_xlfn.XLOOKUP(C1230&amp;A1230, Inside5!B:B&amp;Inside5!I:I, Inside5!H:H), 0)</f>
        <v>0</v>
      </c>
      <c r="M1230" t="str" cm="1">
        <f t="array" ref="M1230">IFERROR(_xlfn.XLOOKUP(C1230&amp;A1230, TDrate!F:F&amp;TDrate!H:H, TDrate!B:B), "N/A")</f>
        <v>N/A</v>
      </c>
      <c r="N1230" t="str" cm="1">
        <f t="array" ref="N1230">IFERROR(_xlfn.XLOOKUP(C1230&amp;A1230, TDrate!F:F&amp;TDrate!H:H, TDrate!D:D), "N/A")</f>
        <v>N/A</v>
      </c>
    </row>
    <row r="1231" spans="1:14" x14ac:dyDescent="0.45">
      <c r="A1231" s="8">
        <v>2019</v>
      </c>
      <c r="B1231" s="9" t="s">
        <v>963</v>
      </c>
      <c r="C1231" s="10" t="str">
        <f t="shared" si="38"/>
        <v>DuJuan Harris</v>
      </c>
      <c r="D1231" s="10" t="str">
        <f t="shared" si="39"/>
        <v>CIN</v>
      </c>
      <c r="E1231" cm="1">
        <f t="array" aca="1" ref="E1231" ca="1">IFERROR(_xlfn.XLOOKUP(C1231&amp;A1231, Inside5!B:B&amp;Inside5!I:I, Inside5!C:C), 0)</f>
        <v>0</v>
      </c>
      <c r="F1231" cm="1">
        <f t="array" aca="1" ref="F1231" ca="1">IFERROR(_xlfn.XLOOKUP(C1231&amp;A1231, Inside5!B:B&amp;Inside5!I:I, Inside5!D:D), 0)</f>
        <v>0</v>
      </c>
      <c r="G1231" cm="1">
        <f t="array" ref="G1231">IFERROR(_xlfn.XLOOKUP(C1231&amp;A1231, Inside5!B:B&amp;Inside5!I:I, Inside5!E:E), 0)</f>
        <v>0</v>
      </c>
      <c r="H1231" t="str" cm="1">
        <f t="array" ref="H1231">IFERROR(_xlfn.XLOOKUP(C1231&amp;A1231, TDrate!F:F&amp;TDrate!H:H, TDrate!C:C), "N/A")</f>
        <v>N/A</v>
      </c>
      <c r="I1231" t="str" cm="1">
        <f t="array" ref="I1231">IFERROR(_xlfn.XLOOKUP(C1231&amp;A1231, TDrate!F:F&amp;TDrate!H:H, TDrate!E:E), "N/A")</f>
        <v>N/A</v>
      </c>
      <c r="J1231" cm="1">
        <f t="array" ref="J1231">IFERROR(_xlfn.XLOOKUP(C1231&amp;A1231, Inside5!B:B&amp;Inside5!I:I, Inside5!F:F), 0)</f>
        <v>0</v>
      </c>
      <c r="K1231" cm="1">
        <f t="array" aca="1" ref="K1231" ca="1">IFERROR(_xlfn.XLOOKUP(C1231&amp;A1231, Inside5!B:B&amp;Inside5!I:I, Inside5!G:G), 0)</f>
        <v>0</v>
      </c>
      <c r="L1231" cm="1">
        <f t="array" ref="L1231">IFERROR(_xlfn.XLOOKUP(C1231&amp;A1231, Inside5!B:B&amp;Inside5!I:I, Inside5!H:H), 0)</f>
        <v>0</v>
      </c>
      <c r="M1231" t="str" cm="1">
        <f t="array" ref="M1231">IFERROR(_xlfn.XLOOKUP(C1231&amp;A1231, TDrate!F:F&amp;TDrate!H:H, TDrate!B:B), "N/A")</f>
        <v>N/A</v>
      </c>
      <c r="N1231" t="str" cm="1">
        <f t="array" ref="N1231">IFERROR(_xlfn.XLOOKUP(C1231&amp;A1231, TDrate!F:F&amp;TDrate!H:H, TDrate!D:D), "N/A")</f>
        <v>N/A</v>
      </c>
    </row>
    <row r="1232" spans="1:14" x14ac:dyDescent="0.45">
      <c r="A1232" s="5">
        <v>2019</v>
      </c>
      <c r="B1232" s="6" t="s">
        <v>964</v>
      </c>
      <c r="C1232" s="7" t="str">
        <f t="shared" si="38"/>
        <v>Lamar Miller</v>
      </c>
      <c r="D1232" s="7" t="str">
        <f t="shared" si="39"/>
        <v>HOU</v>
      </c>
      <c r="E1232" cm="1">
        <f t="array" aca="1" ref="E1232" ca="1">IFERROR(_xlfn.XLOOKUP(C1232&amp;A1232, Inside5!B:B&amp;Inside5!I:I, Inside5!C:C), 0)</f>
        <v>0</v>
      </c>
      <c r="F1232" cm="1">
        <f t="array" aca="1" ref="F1232" ca="1">IFERROR(_xlfn.XLOOKUP(C1232&amp;A1232, Inside5!B:B&amp;Inside5!I:I, Inside5!D:D), 0)</f>
        <v>0</v>
      </c>
      <c r="G1232" cm="1">
        <f t="array" ref="G1232">IFERROR(_xlfn.XLOOKUP(C1232&amp;A1232, Inside5!B:B&amp;Inside5!I:I, Inside5!E:E), 0)</f>
        <v>0</v>
      </c>
      <c r="H1232" t="str" cm="1">
        <f t="array" ref="H1232">IFERROR(_xlfn.XLOOKUP(C1232&amp;A1232, TDrate!F:F&amp;TDrate!H:H, TDrate!C:C), "N/A")</f>
        <v>N/A</v>
      </c>
      <c r="I1232" t="str" cm="1">
        <f t="array" ref="I1232">IFERROR(_xlfn.XLOOKUP(C1232&amp;A1232, TDrate!F:F&amp;TDrate!H:H, TDrate!E:E), "N/A")</f>
        <v>N/A</v>
      </c>
      <c r="J1232" cm="1">
        <f t="array" ref="J1232">IFERROR(_xlfn.XLOOKUP(C1232&amp;A1232, Inside5!B:B&amp;Inside5!I:I, Inside5!F:F), 0)</f>
        <v>0</v>
      </c>
      <c r="K1232" cm="1">
        <f t="array" aca="1" ref="K1232" ca="1">IFERROR(_xlfn.XLOOKUP(C1232&amp;A1232, Inside5!B:B&amp;Inside5!I:I, Inside5!G:G), 0)</f>
        <v>0</v>
      </c>
      <c r="L1232" cm="1">
        <f t="array" ref="L1232">IFERROR(_xlfn.XLOOKUP(C1232&amp;A1232, Inside5!B:B&amp;Inside5!I:I, Inside5!H:H), 0)</f>
        <v>0</v>
      </c>
      <c r="M1232" t="str" cm="1">
        <f t="array" ref="M1232">IFERROR(_xlfn.XLOOKUP(C1232&amp;A1232, TDrate!F:F&amp;TDrate!H:H, TDrate!B:B), "N/A")</f>
        <v>N/A</v>
      </c>
      <c r="N1232" t="str" cm="1">
        <f t="array" ref="N1232">IFERROR(_xlfn.XLOOKUP(C1232&amp;A1232, TDrate!F:F&amp;TDrate!H:H, TDrate!D:D), "N/A")</f>
        <v>N/A</v>
      </c>
    </row>
    <row r="1233" spans="1:14" x14ac:dyDescent="0.45">
      <c r="A1233" s="8">
        <v>2019</v>
      </c>
      <c r="B1233" s="9" t="s">
        <v>965</v>
      </c>
      <c r="C1233" s="10" t="str">
        <f t="shared" si="38"/>
        <v>Robert Turbin</v>
      </c>
      <c r="D1233" s="10" t="str">
        <f t="shared" si="39"/>
        <v>SEA</v>
      </c>
      <c r="E1233" cm="1">
        <f t="array" aca="1" ref="E1233" ca="1">IFERROR(_xlfn.XLOOKUP(C1233&amp;A1233, Inside5!B:B&amp;Inside5!I:I, Inside5!C:C), 0)</f>
        <v>0</v>
      </c>
      <c r="F1233" cm="1">
        <f t="array" aca="1" ref="F1233" ca="1">IFERROR(_xlfn.XLOOKUP(C1233&amp;A1233, Inside5!B:B&amp;Inside5!I:I, Inside5!D:D), 0)</f>
        <v>0</v>
      </c>
      <c r="G1233" cm="1">
        <f t="array" ref="G1233">IFERROR(_xlfn.XLOOKUP(C1233&amp;A1233, Inside5!B:B&amp;Inside5!I:I, Inside5!E:E), 0)</f>
        <v>0</v>
      </c>
      <c r="H1233" t="str" cm="1">
        <f t="array" ref="H1233">IFERROR(_xlfn.XLOOKUP(C1233&amp;A1233, TDrate!F:F&amp;TDrate!H:H, TDrate!C:C), "N/A")</f>
        <v>N/A</v>
      </c>
      <c r="I1233" t="str" cm="1">
        <f t="array" ref="I1233">IFERROR(_xlfn.XLOOKUP(C1233&amp;A1233, TDrate!F:F&amp;TDrate!H:H, TDrate!E:E), "N/A")</f>
        <v>N/A</v>
      </c>
      <c r="J1233" cm="1">
        <f t="array" ref="J1233">IFERROR(_xlfn.XLOOKUP(C1233&amp;A1233, Inside5!B:B&amp;Inside5!I:I, Inside5!F:F), 0)</f>
        <v>0</v>
      </c>
      <c r="K1233" cm="1">
        <f t="array" aca="1" ref="K1233" ca="1">IFERROR(_xlfn.XLOOKUP(C1233&amp;A1233, Inside5!B:B&amp;Inside5!I:I, Inside5!G:G), 0)</f>
        <v>0</v>
      </c>
      <c r="L1233" cm="1">
        <f t="array" ref="L1233">IFERROR(_xlfn.XLOOKUP(C1233&amp;A1233, Inside5!B:B&amp;Inside5!I:I, Inside5!H:H), 0)</f>
        <v>0</v>
      </c>
      <c r="M1233" t="str" cm="1">
        <f t="array" ref="M1233">IFERROR(_xlfn.XLOOKUP(C1233&amp;A1233, TDrate!F:F&amp;TDrate!H:H, TDrate!B:B), "N/A")</f>
        <v>N/A</v>
      </c>
      <c r="N1233" t="str" cm="1">
        <f t="array" ref="N1233">IFERROR(_xlfn.XLOOKUP(C1233&amp;A1233, TDrate!F:F&amp;TDrate!H:H, TDrate!D:D), "N/A")</f>
        <v>N/A</v>
      </c>
    </row>
    <row r="1234" spans="1:14" x14ac:dyDescent="0.45">
      <c r="A1234" s="5">
        <v>2019</v>
      </c>
      <c r="B1234" s="6" t="s">
        <v>966</v>
      </c>
      <c r="C1234" s="7" t="str">
        <f t="shared" si="38"/>
        <v>Travaris Cadet</v>
      </c>
      <c r="D1234" s="7" t="str">
        <f t="shared" si="39"/>
        <v>CAR</v>
      </c>
      <c r="E1234" cm="1">
        <f t="array" ref="E1234">IFERROR(_xlfn.XLOOKUP(C1234&amp;A1234, Inside5!B:B&amp;Inside5!I:I, Inside5!C:C), 0)</f>
        <v>0</v>
      </c>
      <c r="F1234" cm="1">
        <f t="array" ref="F1234">IFERROR(_xlfn.XLOOKUP(C1234&amp;A1234, Inside5!B:B&amp;Inside5!I:I, Inside5!D:D), 0)</f>
        <v>0</v>
      </c>
      <c r="G1234" cm="1">
        <f t="array" ref="G1234">IFERROR(_xlfn.XLOOKUP(C1234&amp;A1234, Inside5!B:B&amp;Inside5!I:I, Inside5!E:E), 0)</f>
        <v>0</v>
      </c>
      <c r="H1234" t="str" cm="1">
        <f t="array" ref="H1234">IFERROR(_xlfn.XLOOKUP(C1234&amp;A1234, TDrate!F:F&amp;TDrate!H:H, TDrate!C:C), "N/A")</f>
        <v>N/A</v>
      </c>
      <c r="I1234" t="str" cm="1">
        <f t="array" ref="I1234">IFERROR(_xlfn.XLOOKUP(C1234&amp;A1234, TDrate!F:F&amp;TDrate!H:H, TDrate!E:E), "N/A")</f>
        <v>N/A</v>
      </c>
      <c r="J1234" cm="1">
        <f t="array" ref="J1234">IFERROR(_xlfn.XLOOKUP(C1234&amp;A1234, Inside5!B:B&amp;Inside5!I:I, Inside5!F:F), 0)</f>
        <v>0</v>
      </c>
      <c r="K1234" cm="1">
        <f t="array" aca="1" ref="K1234" ca="1">IFERROR(_xlfn.XLOOKUP(C1234&amp;A1234, Inside5!B:B&amp;Inside5!I:I, Inside5!G:G), 0)</f>
        <v>0</v>
      </c>
      <c r="L1234" cm="1">
        <f t="array" ref="L1234">IFERROR(_xlfn.XLOOKUP(C1234&amp;A1234, Inside5!B:B&amp;Inside5!I:I, Inside5!H:H), 0)</f>
        <v>0</v>
      </c>
      <c r="M1234" t="str" cm="1">
        <f t="array" ref="M1234">IFERROR(_xlfn.XLOOKUP(C1234&amp;A1234, TDrate!F:F&amp;TDrate!H:H, TDrate!B:B), "N/A")</f>
        <v>N/A</v>
      </c>
      <c r="N1234" t="str" cm="1">
        <f t="array" ref="N1234">IFERROR(_xlfn.XLOOKUP(C1234&amp;A1234, TDrate!F:F&amp;TDrate!H:H, TDrate!D:D), "N/A")</f>
        <v>N/A</v>
      </c>
    </row>
    <row r="1235" spans="1:14" x14ac:dyDescent="0.45">
      <c r="A1235" s="8">
        <v>2019</v>
      </c>
      <c r="B1235" s="9" t="s">
        <v>967</v>
      </c>
      <c r="C1235" s="10" t="str">
        <f t="shared" si="38"/>
        <v>Jamize Olawale</v>
      </c>
      <c r="D1235" s="10" t="str">
        <f t="shared" si="39"/>
        <v>DAL</v>
      </c>
      <c r="E1235" cm="1">
        <f t="array" aca="1" ref="E1235" ca="1">IFERROR(_xlfn.XLOOKUP(C1235&amp;A1235, Inside5!B:B&amp;Inside5!I:I, Inside5!C:C), 0)</f>
        <v>0</v>
      </c>
      <c r="F1235" cm="1">
        <f t="array" ref="F1235">IFERROR(_xlfn.XLOOKUP(C1235&amp;A1235, Inside5!B:B&amp;Inside5!I:I, Inside5!D:D), 0)</f>
        <v>0</v>
      </c>
      <c r="G1235" cm="1">
        <f t="array" ref="G1235">IFERROR(_xlfn.XLOOKUP(C1235&amp;A1235, Inside5!B:B&amp;Inside5!I:I, Inside5!E:E), 0)</f>
        <v>0</v>
      </c>
      <c r="H1235" t="str" cm="1">
        <f t="array" ref="H1235">IFERROR(_xlfn.XLOOKUP(C1235&amp;A1235, TDrate!F:F&amp;TDrate!H:H, TDrate!C:C), "N/A")</f>
        <v>N/A</v>
      </c>
      <c r="I1235" t="str" cm="1">
        <f t="array" ref="I1235">IFERROR(_xlfn.XLOOKUP(C1235&amp;A1235, TDrate!F:F&amp;TDrate!H:H, TDrate!E:E), "N/A")</f>
        <v>N/A</v>
      </c>
      <c r="J1235" cm="1">
        <f t="array" ref="J1235">IFERROR(_xlfn.XLOOKUP(C1235&amp;A1235, Inside5!B:B&amp;Inside5!I:I, Inside5!F:F), 0)</f>
        <v>0</v>
      </c>
      <c r="K1235" cm="1">
        <f t="array" aca="1" ref="K1235" ca="1">IFERROR(_xlfn.XLOOKUP(C1235&amp;A1235, Inside5!B:B&amp;Inside5!I:I, Inside5!G:G), 0)</f>
        <v>0</v>
      </c>
      <c r="L1235" cm="1">
        <f t="array" ref="L1235">IFERROR(_xlfn.XLOOKUP(C1235&amp;A1235, Inside5!B:B&amp;Inside5!I:I, Inside5!H:H), 0)</f>
        <v>0</v>
      </c>
      <c r="M1235" t="str" cm="1">
        <f t="array" ref="M1235">IFERROR(_xlfn.XLOOKUP(C1235&amp;A1235, TDrate!F:F&amp;TDrate!H:H, TDrate!B:B), "N/A")</f>
        <v>N/A</v>
      </c>
      <c r="N1235" t="str" cm="1">
        <f t="array" ref="N1235">IFERROR(_xlfn.XLOOKUP(C1235&amp;A1235, TDrate!F:F&amp;TDrate!H:H, TDrate!D:D), "N/A")</f>
        <v>N/A</v>
      </c>
    </row>
    <row r="1236" spans="1:14" x14ac:dyDescent="0.45">
      <c r="A1236" s="5">
        <v>2019</v>
      </c>
      <c r="B1236" s="6" t="s">
        <v>968</v>
      </c>
      <c r="C1236" s="7" t="str">
        <f t="shared" si="38"/>
        <v>Mike Gillislee</v>
      </c>
      <c r="D1236" s="7" t="str">
        <f t="shared" si="39"/>
        <v>NO</v>
      </c>
      <c r="E1236" cm="1">
        <f t="array" aca="1" ref="E1236" ca="1">IFERROR(_xlfn.XLOOKUP(C1236&amp;A1236, Inside5!B:B&amp;Inside5!I:I, Inside5!C:C), 0)</f>
        <v>0</v>
      </c>
      <c r="F1236" cm="1">
        <f t="array" aca="1" ref="F1236" ca="1">IFERROR(_xlfn.XLOOKUP(C1236&amp;A1236, Inside5!B:B&amp;Inside5!I:I, Inside5!D:D), 0)</f>
        <v>0</v>
      </c>
      <c r="G1236" cm="1">
        <f t="array" ref="G1236">IFERROR(_xlfn.XLOOKUP(C1236&amp;A1236, Inside5!B:B&amp;Inside5!I:I, Inside5!E:E), 0)</f>
        <v>0</v>
      </c>
      <c r="H1236" t="str" cm="1">
        <f t="array" ref="H1236">IFERROR(_xlfn.XLOOKUP(C1236&amp;A1236, TDrate!F:F&amp;TDrate!H:H, TDrate!C:C), "N/A")</f>
        <v>N/A</v>
      </c>
      <c r="I1236" t="str" cm="1">
        <f t="array" ref="I1236">IFERROR(_xlfn.XLOOKUP(C1236&amp;A1236, TDrate!F:F&amp;TDrate!H:H, TDrate!E:E), "N/A")</f>
        <v>N/A</v>
      </c>
      <c r="J1236" cm="1">
        <f t="array" ref="J1236">IFERROR(_xlfn.XLOOKUP(C1236&amp;A1236, Inside5!B:B&amp;Inside5!I:I, Inside5!F:F), 0)</f>
        <v>0</v>
      </c>
      <c r="K1236" cm="1">
        <f t="array" ref="K1236">IFERROR(_xlfn.XLOOKUP(C1236&amp;A1236, Inside5!B:B&amp;Inside5!I:I, Inside5!G:G), 0)</f>
        <v>0</v>
      </c>
      <c r="L1236" cm="1">
        <f t="array" ref="L1236">IFERROR(_xlfn.XLOOKUP(C1236&amp;A1236, Inside5!B:B&amp;Inside5!I:I, Inside5!H:H), 0)</f>
        <v>0</v>
      </c>
      <c r="M1236" t="str" cm="1">
        <f t="array" ref="M1236">IFERROR(_xlfn.XLOOKUP(C1236&amp;A1236, TDrate!F:F&amp;TDrate!H:H, TDrate!B:B), "N/A")</f>
        <v>N/A</v>
      </c>
      <c r="N1236" t="str" cm="1">
        <f t="array" ref="N1236">IFERROR(_xlfn.XLOOKUP(C1236&amp;A1236, TDrate!F:F&amp;TDrate!H:H, TDrate!D:D), "N/A")</f>
        <v>N/A</v>
      </c>
    </row>
    <row r="1237" spans="1:14" x14ac:dyDescent="0.45">
      <c r="A1237" s="8">
        <v>2019</v>
      </c>
      <c r="B1237" s="9" t="s">
        <v>969</v>
      </c>
      <c r="C1237" s="10" t="str">
        <f t="shared" si="38"/>
        <v>Christine Michael</v>
      </c>
      <c r="D1237" s="10" t="str">
        <f t="shared" si="39"/>
        <v>IND</v>
      </c>
      <c r="E1237" cm="1">
        <f t="array" ref="E1237">IFERROR(_xlfn.XLOOKUP(C1237&amp;A1237, Inside5!B:B&amp;Inside5!I:I, Inside5!C:C), 0)</f>
        <v>0</v>
      </c>
      <c r="F1237" cm="1">
        <f t="array" aca="1" ref="F1237" ca="1">IFERROR(_xlfn.XLOOKUP(C1237&amp;A1237, Inside5!B:B&amp;Inside5!I:I, Inside5!D:D), 0)</f>
        <v>0</v>
      </c>
      <c r="G1237" cm="1">
        <f t="array" ref="G1237">IFERROR(_xlfn.XLOOKUP(C1237&amp;A1237, Inside5!B:B&amp;Inside5!I:I, Inside5!E:E), 0)</f>
        <v>0</v>
      </c>
      <c r="H1237" t="str" cm="1">
        <f t="array" ref="H1237">IFERROR(_xlfn.XLOOKUP(C1237&amp;A1237, TDrate!F:F&amp;TDrate!H:H, TDrate!C:C), "N/A")</f>
        <v>N/A</v>
      </c>
      <c r="I1237" t="str" cm="1">
        <f t="array" ref="I1237">IFERROR(_xlfn.XLOOKUP(C1237&amp;A1237, TDrate!F:F&amp;TDrate!H:H, TDrate!E:E), "N/A")</f>
        <v>N/A</v>
      </c>
      <c r="J1237" cm="1">
        <f t="array" ref="J1237">IFERROR(_xlfn.XLOOKUP(C1237&amp;A1237, Inside5!B:B&amp;Inside5!I:I, Inside5!F:F), 0)</f>
        <v>0</v>
      </c>
      <c r="K1237" cm="1">
        <f t="array" ref="K1237">IFERROR(_xlfn.XLOOKUP(C1237&amp;A1237, Inside5!B:B&amp;Inside5!I:I, Inside5!G:G), 0)</f>
        <v>0</v>
      </c>
      <c r="L1237" cm="1">
        <f t="array" ref="L1237">IFERROR(_xlfn.XLOOKUP(C1237&amp;A1237, Inside5!B:B&amp;Inside5!I:I, Inside5!H:H), 0)</f>
        <v>0</v>
      </c>
      <c r="M1237" t="str" cm="1">
        <f t="array" ref="M1237">IFERROR(_xlfn.XLOOKUP(C1237&amp;A1237, TDrate!F:F&amp;TDrate!H:H, TDrate!B:B), "N/A")</f>
        <v>N/A</v>
      </c>
      <c r="N1237" t="str" cm="1">
        <f t="array" ref="N1237">IFERROR(_xlfn.XLOOKUP(C1237&amp;A1237, TDrate!F:F&amp;TDrate!H:H, TDrate!D:D), "N/A")</f>
        <v>N/A</v>
      </c>
    </row>
    <row r="1238" spans="1:14" x14ac:dyDescent="0.45">
      <c r="A1238" s="5">
        <v>2019</v>
      </c>
      <c r="B1238" s="6" t="s">
        <v>970</v>
      </c>
      <c r="C1238" s="7" t="str">
        <f t="shared" si="38"/>
        <v>Derrick Coleman</v>
      </c>
      <c r="D1238" s="7" t="str">
        <f t="shared" si="39"/>
        <v>ARI</v>
      </c>
      <c r="E1238" cm="1">
        <f t="array" aca="1" ref="E1238" ca="1">IFERROR(_xlfn.XLOOKUP(C1238&amp;A1238, Inside5!B:B&amp;Inside5!I:I, Inside5!C:C), 0)</f>
        <v>0</v>
      </c>
      <c r="F1238" cm="1">
        <f t="array" aca="1" ref="F1238" ca="1">IFERROR(_xlfn.XLOOKUP(C1238&amp;A1238, Inside5!B:B&amp;Inside5!I:I, Inside5!D:D), 0)</f>
        <v>0</v>
      </c>
      <c r="G1238" cm="1">
        <f t="array" ref="G1238">IFERROR(_xlfn.XLOOKUP(C1238&amp;A1238, Inside5!B:B&amp;Inside5!I:I, Inside5!E:E), 0)</f>
        <v>0</v>
      </c>
      <c r="H1238" t="str" cm="1">
        <f t="array" ref="H1238">IFERROR(_xlfn.XLOOKUP(C1238&amp;A1238, TDrate!F:F&amp;TDrate!H:H, TDrate!C:C), "N/A")</f>
        <v>N/A</v>
      </c>
      <c r="I1238" t="str" cm="1">
        <f t="array" ref="I1238">IFERROR(_xlfn.XLOOKUP(C1238&amp;A1238, TDrate!F:F&amp;TDrate!H:H, TDrate!E:E), "N/A")</f>
        <v>N/A</v>
      </c>
      <c r="J1238" cm="1">
        <f t="array" ref="J1238">IFERROR(_xlfn.XLOOKUP(C1238&amp;A1238, Inside5!B:B&amp;Inside5!I:I, Inside5!F:F), 0)</f>
        <v>0</v>
      </c>
      <c r="K1238" cm="1">
        <f t="array" ref="K1238">IFERROR(_xlfn.XLOOKUP(C1238&amp;A1238, Inside5!B:B&amp;Inside5!I:I, Inside5!G:G), 0)</f>
        <v>0</v>
      </c>
      <c r="L1238" cm="1">
        <f t="array" ref="L1238">IFERROR(_xlfn.XLOOKUP(C1238&amp;A1238, Inside5!B:B&amp;Inside5!I:I, Inside5!H:H), 0)</f>
        <v>0</v>
      </c>
      <c r="M1238" t="str" cm="1">
        <f t="array" ref="M1238">IFERROR(_xlfn.XLOOKUP(C1238&amp;A1238, TDrate!F:F&amp;TDrate!H:H, TDrate!B:B), "N/A")</f>
        <v>N/A</v>
      </c>
      <c r="N1238" t="str" cm="1">
        <f t="array" ref="N1238">IFERROR(_xlfn.XLOOKUP(C1238&amp;A1238, TDrate!F:F&amp;TDrate!H:H, TDrate!D:D), "N/A")</f>
        <v>N/A</v>
      </c>
    </row>
    <row r="1239" spans="1:14" x14ac:dyDescent="0.45">
      <c r="A1239" s="8">
        <v>2019</v>
      </c>
      <c r="B1239" s="9" t="s">
        <v>971</v>
      </c>
      <c r="C1239" s="10" t="str">
        <f t="shared" si="38"/>
        <v>Jeremy Hill</v>
      </c>
      <c r="D1239" s="10" t="str">
        <f t="shared" si="39"/>
        <v>NE</v>
      </c>
      <c r="E1239" cm="1">
        <f t="array" aca="1" ref="E1239" ca="1">IFERROR(_xlfn.XLOOKUP(C1239&amp;A1239, Inside5!B:B&amp;Inside5!I:I, Inside5!C:C), 0)</f>
        <v>0</v>
      </c>
      <c r="F1239" cm="1">
        <f t="array" aca="1" ref="F1239" ca="1">IFERROR(_xlfn.XLOOKUP(C1239&amp;A1239, Inside5!B:B&amp;Inside5!I:I, Inside5!D:D), 0)</f>
        <v>0</v>
      </c>
      <c r="G1239" cm="1">
        <f t="array" ref="G1239">IFERROR(_xlfn.XLOOKUP(C1239&amp;A1239, Inside5!B:B&amp;Inside5!I:I, Inside5!E:E), 0)</f>
        <v>0</v>
      </c>
      <c r="H1239" t="str" cm="1">
        <f t="array" ref="H1239">IFERROR(_xlfn.XLOOKUP(C1239&amp;A1239, TDrate!F:F&amp;TDrate!H:H, TDrate!C:C), "N/A")</f>
        <v>N/A</v>
      </c>
      <c r="I1239" t="str" cm="1">
        <f t="array" ref="I1239">IFERROR(_xlfn.XLOOKUP(C1239&amp;A1239, TDrate!F:F&amp;TDrate!H:H, TDrate!E:E), "N/A")</f>
        <v>N/A</v>
      </c>
      <c r="J1239" cm="1">
        <f t="array" ref="J1239">IFERROR(_xlfn.XLOOKUP(C1239&amp;A1239, Inside5!B:B&amp;Inside5!I:I, Inside5!F:F), 0)</f>
        <v>0</v>
      </c>
      <c r="K1239" cm="1">
        <f t="array" ref="K1239">IFERROR(_xlfn.XLOOKUP(C1239&amp;A1239, Inside5!B:B&amp;Inside5!I:I, Inside5!G:G), 0)</f>
        <v>0</v>
      </c>
      <c r="L1239" cm="1">
        <f t="array" ref="L1239">IFERROR(_xlfn.XLOOKUP(C1239&amp;A1239, Inside5!B:B&amp;Inside5!I:I, Inside5!H:H), 0)</f>
        <v>0</v>
      </c>
      <c r="M1239" t="str" cm="1">
        <f t="array" ref="M1239">IFERROR(_xlfn.XLOOKUP(C1239&amp;A1239, TDrate!F:F&amp;TDrate!H:H, TDrate!B:B), "N/A")</f>
        <v>N/A</v>
      </c>
      <c r="N1239" t="str" cm="1">
        <f t="array" ref="N1239">IFERROR(_xlfn.XLOOKUP(C1239&amp;A1239, TDrate!F:F&amp;TDrate!H:H, TDrate!D:D), "N/A")</f>
        <v>N/A</v>
      </c>
    </row>
    <row r="1240" spans="1:14" x14ac:dyDescent="0.45">
      <c r="A1240" s="5">
        <v>2019</v>
      </c>
      <c r="B1240" s="6" t="s">
        <v>972</v>
      </c>
      <c r="C1240" s="7" t="str">
        <f t="shared" si="38"/>
        <v>David Fluellen</v>
      </c>
      <c r="D1240" s="7" t="str">
        <f t="shared" si="39"/>
        <v>TEN</v>
      </c>
      <c r="E1240" cm="1">
        <f t="array" aca="1" ref="E1240" ca="1">IFERROR(_xlfn.XLOOKUP(C1240&amp;A1240, Inside5!B:B&amp;Inside5!I:I, Inside5!C:C), 0)</f>
        <v>0</v>
      </c>
      <c r="F1240" cm="1">
        <f t="array" ref="F1240">IFERROR(_xlfn.XLOOKUP(C1240&amp;A1240, Inside5!B:B&amp;Inside5!I:I, Inside5!D:D), 0)</f>
        <v>0</v>
      </c>
      <c r="G1240" cm="1">
        <f t="array" ref="G1240">IFERROR(_xlfn.XLOOKUP(C1240&amp;A1240, Inside5!B:B&amp;Inside5!I:I, Inside5!E:E), 0)</f>
        <v>0</v>
      </c>
      <c r="H1240" t="str" cm="1">
        <f t="array" ref="H1240">IFERROR(_xlfn.XLOOKUP(C1240&amp;A1240, TDrate!F:F&amp;TDrate!H:H, TDrate!C:C), "N/A")</f>
        <v>N/A</v>
      </c>
      <c r="I1240" t="str" cm="1">
        <f t="array" ref="I1240">IFERROR(_xlfn.XLOOKUP(C1240&amp;A1240, TDrate!F:F&amp;TDrate!H:H, TDrate!E:E), "N/A")</f>
        <v>N/A</v>
      </c>
      <c r="J1240" cm="1">
        <f t="array" ref="J1240">IFERROR(_xlfn.XLOOKUP(C1240&amp;A1240, Inside5!B:B&amp;Inside5!I:I, Inside5!F:F), 0)</f>
        <v>0</v>
      </c>
      <c r="K1240" cm="1">
        <f t="array" ref="K1240">IFERROR(_xlfn.XLOOKUP(C1240&amp;A1240, Inside5!B:B&amp;Inside5!I:I, Inside5!G:G), 0)</f>
        <v>0</v>
      </c>
      <c r="L1240" cm="1">
        <f t="array" ref="L1240">IFERROR(_xlfn.XLOOKUP(C1240&amp;A1240, Inside5!B:B&amp;Inside5!I:I, Inside5!H:H), 0)</f>
        <v>0</v>
      </c>
      <c r="M1240" t="str" cm="1">
        <f t="array" ref="M1240">IFERROR(_xlfn.XLOOKUP(C1240&amp;A1240, TDrate!F:F&amp;TDrate!H:H, TDrate!B:B), "N/A")</f>
        <v>N/A</v>
      </c>
      <c r="N1240" t="str" cm="1">
        <f t="array" ref="N1240">IFERROR(_xlfn.XLOOKUP(C1240&amp;A1240, TDrate!F:F&amp;TDrate!H:H, TDrate!D:D), "N/A")</f>
        <v>N/A</v>
      </c>
    </row>
    <row r="1241" spans="1:14" x14ac:dyDescent="0.45">
      <c r="A1241" s="8">
        <v>2019</v>
      </c>
      <c r="B1241" s="9" t="s">
        <v>973</v>
      </c>
      <c r="C1241" s="10" t="str">
        <f t="shared" si="38"/>
        <v>Cameron Artis-Payne</v>
      </c>
      <c r="D1241" s="10" t="str">
        <f t="shared" si="39"/>
        <v>CAR</v>
      </c>
      <c r="E1241" cm="1">
        <f t="array" ref="E1241">IFERROR(_xlfn.XLOOKUP(C1241&amp;A1241, Inside5!B:B&amp;Inside5!I:I, Inside5!C:C), 0)</f>
        <v>0</v>
      </c>
      <c r="F1241" cm="1">
        <f t="array" ref="F1241">IFERROR(_xlfn.XLOOKUP(C1241&amp;A1241, Inside5!B:B&amp;Inside5!I:I, Inside5!D:D), 0)</f>
        <v>0</v>
      </c>
      <c r="G1241" cm="1">
        <f t="array" ref="G1241">IFERROR(_xlfn.XLOOKUP(C1241&amp;A1241, Inside5!B:B&amp;Inside5!I:I, Inside5!E:E), 0)</f>
        <v>0</v>
      </c>
      <c r="H1241" t="str" cm="1">
        <f t="array" ref="H1241">IFERROR(_xlfn.XLOOKUP(C1241&amp;A1241, TDrate!F:F&amp;TDrate!H:H, TDrate!C:C), "N/A")</f>
        <v>N/A</v>
      </c>
      <c r="I1241" t="str" cm="1">
        <f t="array" ref="I1241">IFERROR(_xlfn.XLOOKUP(C1241&amp;A1241, TDrate!F:F&amp;TDrate!H:H, TDrate!E:E), "N/A")</f>
        <v>N/A</v>
      </c>
      <c r="J1241" cm="1">
        <f t="array" ref="J1241">IFERROR(_xlfn.XLOOKUP(C1241&amp;A1241, Inside5!B:B&amp;Inside5!I:I, Inside5!F:F), 0)</f>
        <v>0</v>
      </c>
      <c r="K1241" cm="1">
        <f t="array" ref="K1241">IFERROR(_xlfn.XLOOKUP(C1241&amp;A1241, Inside5!B:B&amp;Inside5!I:I, Inside5!G:G), 0)</f>
        <v>0</v>
      </c>
      <c r="L1241" cm="1">
        <f t="array" ref="L1241">IFERROR(_xlfn.XLOOKUP(C1241&amp;A1241, Inside5!B:B&amp;Inside5!I:I, Inside5!H:H), 0)</f>
        <v>0</v>
      </c>
      <c r="M1241" t="str" cm="1">
        <f t="array" ref="M1241">IFERROR(_xlfn.XLOOKUP(C1241&amp;A1241, TDrate!F:F&amp;TDrate!H:H, TDrate!B:B), "N/A")</f>
        <v>N/A</v>
      </c>
      <c r="N1241" t="str" cm="1">
        <f t="array" ref="N1241">IFERROR(_xlfn.XLOOKUP(C1241&amp;A1241, TDrate!F:F&amp;TDrate!H:H, TDrate!D:D), "N/A")</f>
        <v>N/A</v>
      </c>
    </row>
    <row r="1242" spans="1:14" x14ac:dyDescent="0.45">
      <c r="A1242" s="5">
        <v>2019</v>
      </c>
      <c r="B1242" s="6" t="s">
        <v>974</v>
      </c>
      <c r="C1242" s="7" t="str">
        <f t="shared" si="38"/>
        <v>Jeremy Langford</v>
      </c>
      <c r="D1242" s="7" t="str">
        <f t="shared" si="39"/>
        <v>ATL</v>
      </c>
      <c r="E1242" cm="1">
        <f t="array" ref="E1242">IFERROR(_xlfn.XLOOKUP(C1242&amp;A1242, Inside5!B:B&amp;Inside5!I:I, Inside5!C:C), 0)</f>
        <v>0</v>
      </c>
      <c r="F1242" cm="1">
        <f t="array" ref="F1242">IFERROR(_xlfn.XLOOKUP(C1242&amp;A1242, Inside5!B:B&amp;Inside5!I:I, Inside5!D:D), 0)</f>
        <v>0</v>
      </c>
      <c r="G1242" cm="1">
        <f t="array" ref="G1242">IFERROR(_xlfn.XLOOKUP(C1242&amp;A1242, Inside5!B:B&amp;Inside5!I:I, Inside5!E:E), 0)</f>
        <v>0</v>
      </c>
      <c r="H1242" t="str" cm="1">
        <f t="array" ref="H1242">IFERROR(_xlfn.XLOOKUP(C1242&amp;A1242, TDrate!F:F&amp;TDrate!H:H, TDrate!C:C), "N/A")</f>
        <v>N/A</v>
      </c>
      <c r="I1242" t="str" cm="1">
        <f t="array" ref="I1242">IFERROR(_xlfn.XLOOKUP(C1242&amp;A1242, TDrate!F:F&amp;TDrate!H:H, TDrate!E:E), "N/A")</f>
        <v>N/A</v>
      </c>
      <c r="J1242" cm="1">
        <f t="array" ref="J1242">IFERROR(_xlfn.XLOOKUP(C1242&amp;A1242, Inside5!B:B&amp;Inside5!I:I, Inside5!F:F), 0)</f>
        <v>0</v>
      </c>
      <c r="K1242" cm="1">
        <f t="array" ref="K1242">IFERROR(_xlfn.XLOOKUP(C1242&amp;A1242, Inside5!B:B&amp;Inside5!I:I, Inside5!G:G), 0)</f>
        <v>0</v>
      </c>
      <c r="L1242" cm="1">
        <f t="array" ref="L1242">IFERROR(_xlfn.XLOOKUP(C1242&amp;A1242, Inside5!B:B&amp;Inside5!I:I, Inside5!H:H), 0)</f>
        <v>0</v>
      </c>
      <c r="M1242" t="str" cm="1">
        <f t="array" ref="M1242">IFERROR(_xlfn.XLOOKUP(C1242&amp;A1242, TDrate!F:F&amp;TDrate!H:H, TDrate!B:B), "N/A")</f>
        <v>N/A</v>
      </c>
      <c r="N1242" t="str" cm="1">
        <f t="array" ref="N1242">IFERROR(_xlfn.XLOOKUP(C1242&amp;A1242, TDrate!F:F&amp;TDrate!H:H, TDrate!D:D), "N/A")</f>
        <v>N/A</v>
      </c>
    </row>
    <row r="1243" spans="1:14" x14ac:dyDescent="0.45">
      <c r="A1243" s="8">
        <v>2019</v>
      </c>
      <c r="B1243" s="9" t="s">
        <v>975</v>
      </c>
      <c r="C1243" s="10" t="str">
        <f t="shared" si="38"/>
        <v>Michael Burton</v>
      </c>
      <c r="D1243" s="10" t="str">
        <f t="shared" si="39"/>
        <v>WAS</v>
      </c>
      <c r="E1243" cm="1">
        <f t="array" ref="E1243">IFERROR(_xlfn.XLOOKUP(C1243&amp;A1243, Inside5!B:B&amp;Inside5!I:I, Inside5!C:C), 0)</f>
        <v>0</v>
      </c>
      <c r="F1243" cm="1">
        <f t="array" ref="F1243">IFERROR(_xlfn.XLOOKUP(C1243&amp;A1243, Inside5!B:B&amp;Inside5!I:I, Inside5!D:D), 0)</f>
        <v>0</v>
      </c>
      <c r="G1243" cm="1">
        <f t="array" ref="G1243">IFERROR(_xlfn.XLOOKUP(C1243&amp;A1243, Inside5!B:B&amp;Inside5!I:I, Inside5!E:E), 0)</f>
        <v>0</v>
      </c>
      <c r="H1243" t="str" cm="1">
        <f t="array" ref="H1243">IFERROR(_xlfn.XLOOKUP(C1243&amp;A1243, TDrate!F:F&amp;TDrate!H:H, TDrate!C:C), "N/A")</f>
        <v>N/A</v>
      </c>
      <c r="I1243" t="str" cm="1">
        <f t="array" ref="I1243">IFERROR(_xlfn.XLOOKUP(C1243&amp;A1243, TDrate!F:F&amp;TDrate!H:H, TDrate!E:E), "N/A")</f>
        <v>N/A</v>
      </c>
      <c r="J1243" cm="1">
        <f t="array" ref="J1243">IFERROR(_xlfn.XLOOKUP(C1243&amp;A1243, Inside5!B:B&amp;Inside5!I:I, Inside5!F:F), 0)</f>
        <v>0</v>
      </c>
      <c r="K1243" cm="1">
        <f t="array" ref="K1243">IFERROR(_xlfn.XLOOKUP(C1243&amp;A1243, Inside5!B:B&amp;Inside5!I:I, Inside5!G:G), 0)</f>
        <v>1</v>
      </c>
      <c r="L1243" cm="1">
        <f t="array" ref="L1243">IFERROR(_xlfn.XLOOKUP(C1243&amp;A1243, Inside5!B:B&amp;Inside5!I:I, Inside5!H:H), 0)</f>
        <v>0</v>
      </c>
      <c r="M1243" t="str" cm="1">
        <f t="array" ref="M1243">IFERROR(_xlfn.XLOOKUP(C1243&amp;A1243, TDrate!F:F&amp;TDrate!H:H, TDrate!B:B), "N/A")</f>
        <v>N/A</v>
      </c>
      <c r="N1243" t="str" cm="1">
        <f t="array" ref="N1243">IFERROR(_xlfn.XLOOKUP(C1243&amp;A1243, TDrate!F:F&amp;TDrate!H:H, TDrate!D:D), "N/A")</f>
        <v>N/A</v>
      </c>
    </row>
    <row r="1244" spans="1:14" x14ac:dyDescent="0.45">
      <c r="A1244" s="5">
        <v>2019</v>
      </c>
      <c r="B1244" s="6" t="s">
        <v>976</v>
      </c>
      <c r="C1244" s="7" t="str">
        <f t="shared" si="38"/>
        <v>Rod Smith</v>
      </c>
      <c r="D1244" s="7" t="str">
        <f t="shared" si="39"/>
        <v>OAK</v>
      </c>
      <c r="E1244" cm="1">
        <f t="array" aca="1" ref="E1244" ca="1">IFERROR(_xlfn.XLOOKUP(C1244&amp;A1244, Inside5!B:B&amp;Inside5!I:I, Inside5!C:C), 0)</f>
        <v>0</v>
      </c>
      <c r="F1244" cm="1">
        <f t="array" aca="1" ref="F1244" ca="1">IFERROR(_xlfn.XLOOKUP(C1244&amp;A1244, Inside5!B:B&amp;Inside5!I:I, Inside5!D:D), 0)</f>
        <v>0</v>
      </c>
      <c r="G1244" cm="1">
        <f t="array" ref="G1244">IFERROR(_xlfn.XLOOKUP(C1244&amp;A1244, Inside5!B:B&amp;Inside5!I:I, Inside5!E:E), 0)</f>
        <v>0</v>
      </c>
      <c r="H1244" t="str" cm="1">
        <f t="array" ref="H1244">IFERROR(_xlfn.XLOOKUP(C1244&amp;A1244, TDrate!F:F&amp;TDrate!H:H, TDrate!C:C), "N/A")</f>
        <v>N/A</v>
      </c>
      <c r="I1244" t="str" cm="1">
        <f t="array" ref="I1244">IFERROR(_xlfn.XLOOKUP(C1244&amp;A1244, TDrate!F:F&amp;TDrate!H:H, TDrate!E:E), "N/A")</f>
        <v>N/A</v>
      </c>
      <c r="J1244" cm="1">
        <f t="array" ref="J1244">IFERROR(_xlfn.XLOOKUP(C1244&amp;A1244, Inside5!B:B&amp;Inside5!I:I, Inside5!F:F), 0)</f>
        <v>0</v>
      </c>
      <c r="K1244" cm="1">
        <f t="array" ref="K1244">IFERROR(_xlfn.XLOOKUP(C1244&amp;A1244, Inside5!B:B&amp;Inside5!I:I, Inside5!G:G), 0)</f>
        <v>0</v>
      </c>
      <c r="L1244" cm="1">
        <f t="array" ref="L1244">IFERROR(_xlfn.XLOOKUP(C1244&amp;A1244, Inside5!B:B&amp;Inside5!I:I, Inside5!H:H), 0)</f>
        <v>0</v>
      </c>
      <c r="M1244" t="str" cm="1">
        <f t="array" ref="M1244">IFERROR(_xlfn.XLOOKUP(C1244&amp;A1244, TDrate!F:F&amp;TDrate!H:H, TDrate!B:B), "N/A")</f>
        <v>N/A</v>
      </c>
      <c r="N1244" t="str" cm="1">
        <f t="array" ref="N1244">IFERROR(_xlfn.XLOOKUP(C1244&amp;A1244, TDrate!F:F&amp;TDrate!H:H, TDrate!D:D), "N/A")</f>
        <v>N/A</v>
      </c>
    </row>
    <row r="1245" spans="1:14" x14ac:dyDescent="0.45">
      <c r="A1245" s="8">
        <v>2019</v>
      </c>
      <c r="B1245" s="9" t="s">
        <v>977</v>
      </c>
      <c r="C1245" s="10" t="str">
        <f t="shared" si="38"/>
        <v>Alex Collins</v>
      </c>
      <c r="D1245" s="10" t="str">
        <f t="shared" si="39"/>
        <v>BAL</v>
      </c>
      <c r="E1245" cm="1">
        <f t="array" aca="1" ref="E1245" ca="1">IFERROR(_xlfn.XLOOKUP(C1245&amp;A1245, Inside5!B:B&amp;Inside5!I:I, Inside5!C:C), 0)</f>
        <v>0</v>
      </c>
      <c r="F1245" cm="1">
        <f t="array" aca="1" ref="F1245" ca="1">IFERROR(_xlfn.XLOOKUP(C1245&amp;A1245, Inside5!B:B&amp;Inside5!I:I, Inside5!D:D), 0)</f>
        <v>0</v>
      </c>
      <c r="G1245" cm="1">
        <f t="array" ref="G1245">IFERROR(_xlfn.XLOOKUP(C1245&amp;A1245, Inside5!B:B&amp;Inside5!I:I, Inside5!E:E), 0)</f>
        <v>0</v>
      </c>
      <c r="H1245" t="str" cm="1">
        <f t="array" ref="H1245">IFERROR(_xlfn.XLOOKUP(C1245&amp;A1245, TDrate!F:F&amp;TDrate!H:H, TDrate!C:C), "N/A")</f>
        <v>N/A</v>
      </c>
      <c r="I1245" t="str" cm="1">
        <f t="array" ref="I1245">IFERROR(_xlfn.XLOOKUP(C1245&amp;A1245, TDrate!F:F&amp;TDrate!H:H, TDrate!E:E), "N/A")</f>
        <v>N/A</v>
      </c>
      <c r="J1245" cm="1">
        <f t="array" ref="J1245">IFERROR(_xlfn.XLOOKUP(C1245&amp;A1245, Inside5!B:B&amp;Inside5!I:I, Inside5!F:F), 0)</f>
        <v>0</v>
      </c>
      <c r="K1245" cm="1">
        <f t="array" ref="K1245">IFERROR(_xlfn.XLOOKUP(C1245&amp;A1245, Inside5!B:B&amp;Inside5!I:I, Inside5!G:G), 0)</f>
        <v>0</v>
      </c>
      <c r="L1245" cm="1">
        <f t="array" ref="L1245">IFERROR(_xlfn.XLOOKUP(C1245&amp;A1245, Inside5!B:B&amp;Inside5!I:I, Inside5!H:H), 0)</f>
        <v>0</v>
      </c>
      <c r="M1245" t="str" cm="1">
        <f t="array" ref="M1245">IFERROR(_xlfn.XLOOKUP(C1245&amp;A1245, TDrate!F:F&amp;TDrate!H:H, TDrate!B:B), "N/A")</f>
        <v>N/A</v>
      </c>
      <c r="N1245" t="str" cm="1">
        <f t="array" ref="N1245">IFERROR(_xlfn.XLOOKUP(C1245&amp;A1245, TDrate!F:F&amp;TDrate!H:H, TDrate!D:D), "N/A")</f>
        <v>N/A</v>
      </c>
    </row>
    <row r="1246" spans="1:14" x14ac:dyDescent="0.45">
      <c r="A1246" s="5">
        <v>2019</v>
      </c>
      <c r="B1246" s="6" t="s">
        <v>978</v>
      </c>
      <c r="C1246" s="7" t="str">
        <f t="shared" si="38"/>
        <v>Kenneth Dixon</v>
      </c>
      <c r="D1246" s="7" t="str">
        <f t="shared" si="39"/>
        <v>BAL</v>
      </c>
      <c r="E1246" cm="1">
        <f t="array" aca="1" ref="E1246" ca="1">IFERROR(_xlfn.XLOOKUP(C1246&amp;A1246, Inside5!B:B&amp;Inside5!I:I, Inside5!C:C), 0)</f>
        <v>0</v>
      </c>
      <c r="F1246" cm="1">
        <f t="array" aca="1" ref="F1246" ca="1">IFERROR(_xlfn.XLOOKUP(C1246&amp;A1246, Inside5!B:B&amp;Inside5!I:I, Inside5!D:D), 0)</f>
        <v>0</v>
      </c>
      <c r="G1246" cm="1">
        <f t="array" ref="G1246">IFERROR(_xlfn.XLOOKUP(C1246&amp;A1246, Inside5!B:B&amp;Inside5!I:I, Inside5!E:E), 0)</f>
        <v>0</v>
      </c>
      <c r="H1246" t="str" cm="1">
        <f t="array" ref="H1246">IFERROR(_xlfn.XLOOKUP(C1246&amp;A1246, TDrate!F:F&amp;TDrate!H:H, TDrate!C:C), "N/A")</f>
        <v>N/A</v>
      </c>
      <c r="I1246" t="str" cm="1">
        <f t="array" ref="I1246">IFERROR(_xlfn.XLOOKUP(C1246&amp;A1246, TDrate!F:F&amp;TDrate!H:H, TDrate!E:E), "N/A")</f>
        <v>N/A</v>
      </c>
      <c r="J1246" cm="1">
        <f t="array" ref="J1246">IFERROR(_xlfn.XLOOKUP(C1246&amp;A1246, Inside5!B:B&amp;Inside5!I:I, Inside5!F:F), 0)</f>
        <v>0</v>
      </c>
      <c r="K1246" cm="1">
        <f t="array" aca="1" ref="K1246" ca="1">IFERROR(_xlfn.XLOOKUP(C1246&amp;A1246, Inside5!B:B&amp;Inside5!I:I, Inside5!G:G), 0)</f>
        <v>0</v>
      </c>
      <c r="L1246" cm="1">
        <f t="array" ref="L1246">IFERROR(_xlfn.XLOOKUP(C1246&amp;A1246, Inside5!B:B&amp;Inside5!I:I, Inside5!H:H), 0)</f>
        <v>0</v>
      </c>
      <c r="M1246" t="str" cm="1">
        <f t="array" ref="M1246">IFERROR(_xlfn.XLOOKUP(C1246&amp;A1246, TDrate!F:F&amp;TDrate!H:H, TDrate!B:B), "N/A")</f>
        <v>N/A</v>
      </c>
      <c r="N1246" t="str" cm="1">
        <f t="array" ref="N1246">IFERROR(_xlfn.XLOOKUP(C1246&amp;A1246, TDrate!F:F&amp;TDrate!H:H, TDrate!D:D), "N/A")</f>
        <v>N/A</v>
      </c>
    </row>
    <row r="1247" spans="1:14" x14ac:dyDescent="0.45">
      <c r="A1247" s="8">
        <v>2019</v>
      </c>
      <c r="B1247" s="9" t="s">
        <v>873</v>
      </c>
      <c r="C1247" s="10" t="str">
        <f t="shared" si="38"/>
        <v>D.J. Foster</v>
      </c>
      <c r="D1247" s="10" t="str">
        <f t="shared" si="39"/>
        <v>ARI</v>
      </c>
      <c r="E1247" cm="1">
        <f t="array" ref="E1247">IFERROR(_xlfn.XLOOKUP(C1247&amp;A1247, Inside5!B:B&amp;Inside5!I:I, Inside5!C:C), 0)</f>
        <v>0</v>
      </c>
      <c r="F1247" cm="1">
        <f t="array" ref="F1247">IFERROR(_xlfn.XLOOKUP(C1247&amp;A1247, Inside5!B:B&amp;Inside5!I:I, Inside5!D:D), 0)</f>
        <v>0</v>
      </c>
      <c r="G1247" cm="1">
        <f t="array" ref="G1247">IFERROR(_xlfn.XLOOKUP(C1247&amp;A1247, Inside5!B:B&amp;Inside5!I:I, Inside5!E:E), 0)</f>
        <v>0</v>
      </c>
      <c r="H1247" t="str" cm="1">
        <f t="array" ref="H1247">IFERROR(_xlfn.XLOOKUP(C1247&amp;A1247, TDrate!F:F&amp;TDrate!H:H, TDrate!C:C), "N/A")</f>
        <v>N/A</v>
      </c>
      <c r="I1247" t="str" cm="1">
        <f t="array" ref="I1247">IFERROR(_xlfn.XLOOKUP(C1247&amp;A1247, TDrate!F:F&amp;TDrate!H:H, TDrate!E:E), "N/A")</f>
        <v>N/A</v>
      </c>
      <c r="J1247" cm="1">
        <f t="array" ref="J1247">IFERROR(_xlfn.XLOOKUP(C1247&amp;A1247, Inside5!B:B&amp;Inside5!I:I, Inside5!F:F), 0)</f>
        <v>0</v>
      </c>
      <c r="K1247" cm="1">
        <f t="array" ref="K1247">IFERROR(_xlfn.XLOOKUP(C1247&amp;A1247, Inside5!B:B&amp;Inside5!I:I, Inside5!G:G), 0)</f>
        <v>0</v>
      </c>
      <c r="L1247" cm="1">
        <f t="array" ref="L1247">IFERROR(_xlfn.XLOOKUP(C1247&amp;A1247, Inside5!B:B&amp;Inside5!I:I, Inside5!H:H), 0)</f>
        <v>0</v>
      </c>
      <c r="M1247" t="str" cm="1">
        <f t="array" ref="M1247">IFERROR(_xlfn.XLOOKUP(C1247&amp;A1247, TDrate!F:F&amp;TDrate!H:H, TDrate!B:B), "N/A")</f>
        <v>N/A</v>
      </c>
      <c r="N1247" t="str" cm="1">
        <f t="array" ref="N1247">IFERROR(_xlfn.XLOOKUP(C1247&amp;A1247, TDrate!F:F&amp;TDrate!H:H, TDrate!D:D), "N/A")</f>
        <v>N/A</v>
      </c>
    </row>
    <row r="1248" spans="1:14" x14ac:dyDescent="0.45">
      <c r="A1248" s="5">
        <v>2019</v>
      </c>
      <c r="B1248" s="6" t="s">
        <v>795</v>
      </c>
      <c r="C1248" s="7" t="str">
        <f t="shared" si="38"/>
        <v>J.P. Holtz</v>
      </c>
      <c r="D1248" s="7" t="str">
        <f t="shared" si="39"/>
        <v>CHI</v>
      </c>
      <c r="E1248" cm="1">
        <f t="array" ref="E1248">IFERROR(_xlfn.XLOOKUP(C1248&amp;A1248, Inside5!B:B&amp;Inside5!I:I, Inside5!C:C), 0)</f>
        <v>0</v>
      </c>
      <c r="F1248" cm="1">
        <f t="array" ref="F1248">IFERROR(_xlfn.XLOOKUP(C1248&amp;A1248, Inside5!B:B&amp;Inside5!I:I, Inside5!D:D), 0)</f>
        <v>0</v>
      </c>
      <c r="G1248" cm="1">
        <f t="array" ref="G1248">IFERROR(_xlfn.XLOOKUP(C1248&amp;A1248, Inside5!B:B&amp;Inside5!I:I, Inside5!E:E), 0)</f>
        <v>0</v>
      </c>
      <c r="H1248" t="str" cm="1">
        <f t="array" ref="H1248">IFERROR(_xlfn.XLOOKUP(C1248&amp;A1248, TDrate!F:F&amp;TDrate!H:H, TDrate!C:C), "N/A")</f>
        <v>N/A</v>
      </c>
      <c r="I1248" t="str" cm="1">
        <f t="array" ref="I1248">IFERROR(_xlfn.XLOOKUP(C1248&amp;A1248, TDrate!F:F&amp;TDrate!H:H, TDrate!E:E), "N/A")</f>
        <v>N/A</v>
      </c>
      <c r="J1248" cm="1">
        <f t="array" ref="J1248">IFERROR(_xlfn.XLOOKUP(C1248&amp;A1248, Inside5!B:B&amp;Inside5!I:I, Inside5!F:F), 0)</f>
        <v>0</v>
      </c>
      <c r="K1248" cm="1">
        <f t="array" ref="K1248">IFERROR(_xlfn.XLOOKUP(C1248&amp;A1248, Inside5!B:B&amp;Inside5!I:I, Inside5!G:G), 0)</f>
        <v>0</v>
      </c>
      <c r="L1248" cm="1">
        <f t="array" ref="L1248">IFERROR(_xlfn.XLOOKUP(C1248&amp;A1248, Inside5!B:B&amp;Inside5!I:I, Inside5!H:H), 0)</f>
        <v>0</v>
      </c>
      <c r="M1248" t="str" cm="1">
        <f t="array" ref="M1248">IFERROR(_xlfn.XLOOKUP(C1248&amp;A1248, TDrate!F:F&amp;TDrate!H:H, TDrate!B:B), "N/A")</f>
        <v>N/A</v>
      </c>
      <c r="N1248" t="str" cm="1">
        <f t="array" ref="N1248">IFERROR(_xlfn.XLOOKUP(C1248&amp;A1248, TDrate!F:F&amp;TDrate!H:H, TDrate!D:D), "N/A")</f>
        <v>N/A</v>
      </c>
    </row>
    <row r="1249" spans="1:14" x14ac:dyDescent="0.45">
      <c r="A1249" s="8">
        <v>2019</v>
      </c>
      <c r="B1249" s="9" t="s">
        <v>979</v>
      </c>
      <c r="C1249" s="10" t="str">
        <f t="shared" si="38"/>
        <v>Brandin Bryant</v>
      </c>
      <c r="D1249" s="10" t="str">
        <f t="shared" si="39"/>
        <v>CLE</v>
      </c>
      <c r="E1249" cm="1">
        <f t="array" ref="E1249">IFERROR(_xlfn.XLOOKUP(C1249&amp;A1249, Inside5!B:B&amp;Inside5!I:I, Inside5!C:C), 0)</f>
        <v>0</v>
      </c>
      <c r="F1249" cm="1">
        <f t="array" ref="F1249">IFERROR(_xlfn.XLOOKUP(C1249&amp;A1249, Inside5!B:B&amp;Inside5!I:I, Inside5!D:D), 0)</f>
        <v>0</v>
      </c>
      <c r="G1249" cm="1">
        <f t="array" ref="G1249">IFERROR(_xlfn.XLOOKUP(C1249&amp;A1249, Inside5!B:B&amp;Inside5!I:I, Inside5!E:E), 0)</f>
        <v>0</v>
      </c>
      <c r="H1249" t="str" cm="1">
        <f t="array" ref="H1249">IFERROR(_xlfn.XLOOKUP(C1249&amp;A1249, TDrate!F:F&amp;TDrate!H:H, TDrate!C:C), "N/A")</f>
        <v>N/A</v>
      </c>
      <c r="I1249" t="str" cm="1">
        <f t="array" ref="I1249">IFERROR(_xlfn.XLOOKUP(C1249&amp;A1249, TDrate!F:F&amp;TDrate!H:H, TDrate!E:E), "N/A")</f>
        <v>N/A</v>
      </c>
      <c r="J1249" cm="1">
        <f t="array" ref="J1249">IFERROR(_xlfn.XLOOKUP(C1249&amp;A1249, Inside5!B:B&amp;Inside5!I:I, Inside5!F:F), 0)</f>
        <v>0</v>
      </c>
      <c r="K1249" cm="1">
        <f t="array" ref="K1249">IFERROR(_xlfn.XLOOKUP(C1249&amp;A1249, Inside5!B:B&amp;Inside5!I:I, Inside5!G:G), 0)</f>
        <v>0</v>
      </c>
      <c r="L1249" cm="1">
        <f t="array" ref="L1249">IFERROR(_xlfn.XLOOKUP(C1249&amp;A1249, Inside5!B:B&amp;Inside5!I:I, Inside5!H:H), 0)</f>
        <v>0</v>
      </c>
      <c r="M1249" t="str" cm="1">
        <f t="array" ref="M1249">IFERROR(_xlfn.XLOOKUP(C1249&amp;A1249, TDrate!F:F&amp;TDrate!H:H, TDrate!B:B), "N/A")</f>
        <v>N/A</v>
      </c>
      <c r="N1249" t="str" cm="1">
        <f t="array" ref="N1249">IFERROR(_xlfn.XLOOKUP(C1249&amp;A1249, TDrate!F:F&amp;TDrate!H:H, TDrate!D:D), "N/A")</f>
        <v>N/A</v>
      </c>
    </row>
    <row r="1250" spans="1:14" x14ac:dyDescent="0.45">
      <c r="A1250" s="5">
        <v>2019</v>
      </c>
      <c r="B1250" s="6" t="s">
        <v>980</v>
      </c>
      <c r="C1250" s="7" t="str">
        <f t="shared" si="38"/>
        <v>Tre Madden</v>
      </c>
      <c r="D1250" s="7" t="str">
        <f t="shared" si="39"/>
        <v>SEA</v>
      </c>
      <c r="E1250" cm="1">
        <f t="array" aca="1" ref="E1250" ca="1">IFERROR(_xlfn.XLOOKUP(C1250&amp;A1250, Inside5!B:B&amp;Inside5!I:I, Inside5!C:C), 0)</f>
        <v>0</v>
      </c>
      <c r="F1250" cm="1">
        <f t="array" ref="F1250">IFERROR(_xlfn.XLOOKUP(C1250&amp;A1250, Inside5!B:B&amp;Inside5!I:I, Inside5!D:D), 0)</f>
        <v>0</v>
      </c>
      <c r="G1250" cm="1">
        <f t="array" ref="G1250">IFERROR(_xlfn.XLOOKUP(C1250&amp;A1250, Inside5!B:B&amp;Inside5!I:I, Inside5!E:E), 0)</f>
        <v>0</v>
      </c>
      <c r="H1250" t="str" cm="1">
        <f t="array" ref="H1250">IFERROR(_xlfn.XLOOKUP(C1250&amp;A1250, TDrate!F:F&amp;TDrate!H:H, TDrate!C:C), "N/A")</f>
        <v>N/A</v>
      </c>
      <c r="I1250" t="str" cm="1">
        <f t="array" ref="I1250">IFERROR(_xlfn.XLOOKUP(C1250&amp;A1250, TDrate!F:F&amp;TDrate!H:H, TDrate!E:E), "N/A")</f>
        <v>N/A</v>
      </c>
      <c r="J1250" cm="1">
        <f t="array" ref="J1250">IFERROR(_xlfn.XLOOKUP(C1250&amp;A1250, Inside5!B:B&amp;Inside5!I:I, Inside5!F:F), 0)</f>
        <v>0</v>
      </c>
      <c r="K1250" cm="1">
        <f t="array" aca="1" ref="K1250" ca="1">IFERROR(_xlfn.XLOOKUP(C1250&amp;A1250, Inside5!B:B&amp;Inside5!I:I, Inside5!G:G), 0)</f>
        <v>0</v>
      </c>
      <c r="L1250" cm="1">
        <f t="array" ref="L1250">IFERROR(_xlfn.XLOOKUP(C1250&amp;A1250, Inside5!B:B&amp;Inside5!I:I, Inside5!H:H), 0)</f>
        <v>0</v>
      </c>
      <c r="M1250" t="str" cm="1">
        <f t="array" ref="M1250">IFERROR(_xlfn.XLOOKUP(C1250&amp;A1250, TDrate!F:F&amp;TDrate!H:H, TDrate!B:B), "N/A")</f>
        <v>N/A</v>
      </c>
      <c r="N1250" t="str" cm="1">
        <f t="array" ref="N1250">IFERROR(_xlfn.XLOOKUP(C1250&amp;A1250, TDrate!F:F&amp;TDrate!H:H, TDrate!D:D), "N/A")</f>
        <v>N/A</v>
      </c>
    </row>
    <row r="1251" spans="1:14" x14ac:dyDescent="0.45">
      <c r="A1251" s="8">
        <v>2019</v>
      </c>
      <c r="B1251" s="9" t="s">
        <v>981</v>
      </c>
      <c r="C1251" s="10" t="str">
        <f t="shared" si="38"/>
        <v>Jeremy McNichols</v>
      </c>
      <c r="D1251" s="10" t="str">
        <f t="shared" si="39"/>
        <v>JAC</v>
      </c>
      <c r="E1251" cm="1">
        <f t="array" ref="E1251">IFERROR(_xlfn.XLOOKUP(C1251&amp;A1251, Inside5!B:B&amp;Inside5!I:I, Inside5!C:C), 0)</f>
        <v>0</v>
      </c>
      <c r="F1251" cm="1">
        <f t="array" ref="F1251">IFERROR(_xlfn.XLOOKUP(C1251&amp;A1251, Inside5!B:B&amp;Inside5!I:I, Inside5!D:D), 0)</f>
        <v>0</v>
      </c>
      <c r="G1251" cm="1">
        <f t="array" ref="G1251">IFERROR(_xlfn.XLOOKUP(C1251&amp;A1251, Inside5!B:B&amp;Inside5!I:I, Inside5!E:E), 0)</f>
        <v>0</v>
      </c>
      <c r="H1251" t="str" cm="1">
        <f t="array" ref="H1251">IFERROR(_xlfn.XLOOKUP(C1251&amp;A1251, TDrate!F:F&amp;TDrate!H:H, TDrate!C:C), "N/A")</f>
        <v>N/A</v>
      </c>
      <c r="I1251" t="str" cm="1">
        <f t="array" ref="I1251">IFERROR(_xlfn.XLOOKUP(C1251&amp;A1251, TDrate!F:F&amp;TDrate!H:H, TDrate!E:E), "N/A")</f>
        <v>N/A</v>
      </c>
      <c r="J1251" cm="1">
        <f t="array" ref="J1251">IFERROR(_xlfn.XLOOKUP(C1251&amp;A1251, Inside5!B:B&amp;Inside5!I:I, Inside5!F:F), 0)</f>
        <v>0</v>
      </c>
      <c r="K1251" cm="1">
        <f t="array" aca="1" ref="K1251" ca="1">IFERROR(_xlfn.XLOOKUP(C1251&amp;A1251, Inside5!B:B&amp;Inside5!I:I, Inside5!G:G), 0)</f>
        <v>0</v>
      </c>
      <c r="L1251" cm="1">
        <f t="array" ref="L1251">IFERROR(_xlfn.XLOOKUP(C1251&amp;A1251, Inside5!B:B&amp;Inside5!I:I, Inside5!H:H), 0)</f>
        <v>0</v>
      </c>
      <c r="M1251" t="str" cm="1">
        <f t="array" ref="M1251">IFERROR(_xlfn.XLOOKUP(C1251&amp;A1251, TDrate!F:F&amp;TDrate!H:H, TDrate!B:B), "N/A")</f>
        <v>N/A</v>
      </c>
      <c r="N1251" t="str" cm="1">
        <f t="array" ref="N1251">IFERROR(_xlfn.XLOOKUP(C1251&amp;A1251, TDrate!F:F&amp;TDrate!H:H, TDrate!D:D), "N/A")</f>
        <v>N/A</v>
      </c>
    </row>
    <row r="1252" spans="1:14" x14ac:dyDescent="0.45">
      <c r="A1252" s="5">
        <v>2019</v>
      </c>
      <c r="B1252" s="6" t="s">
        <v>982</v>
      </c>
      <c r="C1252" s="7" t="str">
        <f t="shared" si="38"/>
        <v>Joe Williams</v>
      </c>
      <c r="D1252" s="7" t="str">
        <f t="shared" si="39"/>
        <v>NO</v>
      </c>
      <c r="E1252" cm="1">
        <f t="array" aca="1" ref="E1252" ca="1">IFERROR(_xlfn.XLOOKUP(C1252&amp;A1252, Inside5!B:B&amp;Inside5!I:I, Inside5!C:C), 0)</f>
        <v>0</v>
      </c>
      <c r="F1252" cm="1">
        <f t="array" aca="1" ref="F1252" ca="1">IFERROR(_xlfn.XLOOKUP(C1252&amp;A1252, Inside5!B:B&amp;Inside5!I:I, Inside5!D:D), 0)</f>
        <v>0</v>
      </c>
      <c r="G1252" cm="1">
        <f t="array" ref="G1252">IFERROR(_xlfn.XLOOKUP(C1252&amp;A1252, Inside5!B:B&amp;Inside5!I:I, Inside5!E:E), 0)</f>
        <v>0</v>
      </c>
      <c r="H1252" t="str" cm="1">
        <f t="array" ref="H1252">IFERROR(_xlfn.XLOOKUP(C1252&amp;A1252, TDrate!F:F&amp;TDrate!H:H, TDrate!C:C), "N/A")</f>
        <v>N/A</v>
      </c>
      <c r="I1252" t="str" cm="1">
        <f t="array" ref="I1252">IFERROR(_xlfn.XLOOKUP(C1252&amp;A1252, TDrate!F:F&amp;TDrate!H:H, TDrate!E:E), "N/A")</f>
        <v>N/A</v>
      </c>
      <c r="J1252" cm="1">
        <f t="array" ref="J1252">IFERROR(_xlfn.XLOOKUP(C1252&amp;A1252, Inside5!B:B&amp;Inside5!I:I, Inside5!F:F), 0)</f>
        <v>0</v>
      </c>
      <c r="K1252" cm="1">
        <f t="array" aca="1" ref="K1252" ca="1">IFERROR(_xlfn.XLOOKUP(C1252&amp;A1252, Inside5!B:B&amp;Inside5!I:I, Inside5!G:G), 0)</f>
        <v>0</v>
      </c>
      <c r="L1252" cm="1">
        <f t="array" ref="L1252">IFERROR(_xlfn.XLOOKUP(C1252&amp;A1252, Inside5!B:B&amp;Inside5!I:I, Inside5!H:H), 0)</f>
        <v>0</v>
      </c>
      <c r="M1252" t="str" cm="1">
        <f t="array" ref="M1252">IFERROR(_xlfn.XLOOKUP(C1252&amp;A1252, TDrate!F:F&amp;TDrate!H:H, TDrate!B:B), "N/A")</f>
        <v>N/A</v>
      </c>
      <c r="N1252" t="str" cm="1">
        <f t="array" ref="N1252">IFERROR(_xlfn.XLOOKUP(C1252&amp;A1252, TDrate!F:F&amp;TDrate!H:H, TDrate!D:D), "N/A")</f>
        <v>N/A</v>
      </c>
    </row>
    <row r="1253" spans="1:14" x14ac:dyDescent="0.45">
      <c r="A1253" s="8">
        <v>2019</v>
      </c>
      <c r="B1253" s="9" t="s">
        <v>883</v>
      </c>
      <c r="C1253" s="10" t="str">
        <f t="shared" si="38"/>
        <v>Cethan Carter</v>
      </c>
      <c r="D1253" s="10" t="str">
        <f t="shared" si="39"/>
        <v>CIN</v>
      </c>
      <c r="E1253" cm="1">
        <f t="array" aca="1" ref="E1253" ca="1">IFERROR(_xlfn.XLOOKUP(C1253&amp;A1253, Inside5!B:B&amp;Inside5!I:I, Inside5!C:C), 0)</f>
        <v>0</v>
      </c>
      <c r="F1253" cm="1">
        <f t="array" aca="1" ref="F1253" ca="1">IFERROR(_xlfn.XLOOKUP(C1253&amp;A1253, Inside5!B:B&amp;Inside5!I:I, Inside5!D:D), 0)</f>
        <v>0</v>
      </c>
      <c r="G1253" cm="1">
        <f t="array" ref="G1253">IFERROR(_xlfn.XLOOKUP(C1253&amp;A1253, Inside5!B:B&amp;Inside5!I:I, Inside5!E:E), 0)</f>
        <v>0</v>
      </c>
      <c r="H1253" t="str" cm="1">
        <f t="array" ref="H1253">IFERROR(_xlfn.XLOOKUP(C1253&amp;A1253, TDrate!F:F&amp;TDrate!H:H, TDrate!C:C), "N/A")</f>
        <v>N/A</v>
      </c>
      <c r="I1253" t="str" cm="1">
        <f t="array" ref="I1253">IFERROR(_xlfn.XLOOKUP(C1253&amp;A1253, TDrate!F:F&amp;TDrate!H:H, TDrate!E:E), "N/A")</f>
        <v>N/A</v>
      </c>
      <c r="J1253" cm="1">
        <f t="array" ref="J1253">IFERROR(_xlfn.XLOOKUP(C1253&amp;A1253, Inside5!B:B&amp;Inside5!I:I, Inside5!F:F), 0)</f>
        <v>0</v>
      </c>
      <c r="K1253" cm="1">
        <f t="array" aca="1" ref="K1253" ca="1">IFERROR(_xlfn.XLOOKUP(C1253&amp;A1253, Inside5!B:B&amp;Inside5!I:I, Inside5!G:G), 0)</f>
        <v>0</v>
      </c>
      <c r="L1253" cm="1">
        <f t="array" ref="L1253">IFERROR(_xlfn.XLOOKUP(C1253&amp;A1253, Inside5!B:B&amp;Inside5!I:I, Inside5!H:H), 0)</f>
        <v>0</v>
      </c>
      <c r="M1253" t="str" cm="1">
        <f t="array" ref="M1253">IFERROR(_xlfn.XLOOKUP(C1253&amp;A1253, TDrate!F:F&amp;TDrate!H:H, TDrate!B:B), "N/A")</f>
        <v>N/A</v>
      </c>
      <c r="N1253" t="str" cm="1">
        <f t="array" ref="N1253">IFERROR(_xlfn.XLOOKUP(C1253&amp;A1253, TDrate!F:F&amp;TDrate!H:H, TDrate!D:D), "N/A")</f>
        <v>N/A</v>
      </c>
    </row>
    <row r="1254" spans="1:14" x14ac:dyDescent="0.45">
      <c r="A1254" s="5">
        <v>2019</v>
      </c>
      <c r="B1254" s="6" t="s">
        <v>983</v>
      </c>
      <c r="C1254" s="7" t="str">
        <f t="shared" si="38"/>
        <v>Justin Davis</v>
      </c>
      <c r="D1254" s="7" t="str">
        <f t="shared" si="39"/>
        <v>LAR</v>
      </c>
      <c r="E1254" cm="1">
        <f t="array" aca="1" ref="E1254" ca="1">IFERROR(_xlfn.XLOOKUP(C1254&amp;A1254, Inside5!B:B&amp;Inside5!I:I, Inside5!C:C), 0)</f>
        <v>0</v>
      </c>
      <c r="F1254" cm="1">
        <f t="array" ref="F1254">IFERROR(_xlfn.XLOOKUP(C1254&amp;A1254, Inside5!B:B&amp;Inside5!I:I, Inside5!D:D), 0)</f>
        <v>0</v>
      </c>
      <c r="G1254" cm="1">
        <f t="array" ref="G1254">IFERROR(_xlfn.XLOOKUP(C1254&amp;A1254, Inside5!B:B&amp;Inside5!I:I, Inside5!E:E), 0)</f>
        <v>0</v>
      </c>
      <c r="H1254" t="str" cm="1">
        <f t="array" ref="H1254">IFERROR(_xlfn.XLOOKUP(C1254&amp;A1254, TDrate!F:F&amp;TDrate!H:H, TDrate!C:C), "N/A")</f>
        <v>N/A</v>
      </c>
      <c r="I1254" t="str" cm="1">
        <f t="array" ref="I1254">IFERROR(_xlfn.XLOOKUP(C1254&amp;A1254, TDrate!F:F&amp;TDrate!H:H, TDrate!E:E), "N/A")</f>
        <v>N/A</v>
      </c>
      <c r="J1254" cm="1">
        <f t="array" ref="J1254">IFERROR(_xlfn.XLOOKUP(C1254&amp;A1254, Inside5!B:B&amp;Inside5!I:I, Inside5!F:F), 0)</f>
        <v>0</v>
      </c>
      <c r="K1254" cm="1">
        <f t="array" aca="1" ref="K1254" ca="1">IFERROR(_xlfn.XLOOKUP(C1254&amp;A1254, Inside5!B:B&amp;Inside5!I:I, Inside5!G:G), 0)</f>
        <v>0</v>
      </c>
      <c r="L1254" cm="1">
        <f t="array" ref="L1254">IFERROR(_xlfn.XLOOKUP(C1254&amp;A1254, Inside5!B:B&amp;Inside5!I:I, Inside5!H:H), 0)</f>
        <v>0</v>
      </c>
      <c r="M1254" t="str" cm="1">
        <f t="array" ref="M1254">IFERROR(_xlfn.XLOOKUP(C1254&amp;A1254, TDrate!F:F&amp;TDrate!H:H, TDrate!B:B), "N/A")</f>
        <v>N/A</v>
      </c>
      <c r="N1254" t="str" cm="1">
        <f t="array" ref="N1254">IFERROR(_xlfn.XLOOKUP(C1254&amp;A1254, TDrate!F:F&amp;TDrate!H:H, TDrate!D:D), "N/A")</f>
        <v>N/A</v>
      </c>
    </row>
    <row r="1255" spans="1:14" x14ac:dyDescent="0.45">
      <c r="A1255" s="8">
        <v>2019</v>
      </c>
      <c r="B1255" s="9" t="s">
        <v>984</v>
      </c>
      <c r="C1255" s="10" t="str">
        <f t="shared" si="38"/>
        <v>Lavon Coleman</v>
      </c>
      <c r="D1255" s="10" t="str">
        <f t="shared" si="39"/>
        <v>GB</v>
      </c>
      <c r="E1255" cm="1">
        <f t="array" aca="1" ref="E1255" ca="1">IFERROR(_xlfn.XLOOKUP(C1255&amp;A1255, Inside5!B:B&amp;Inside5!I:I, Inside5!C:C), 0)</f>
        <v>0</v>
      </c>
      <c r="F1255" cm="1">
        <f t="array" aca="1" ref="F1255" ca="1">IFERROR(_xlfn.XLOOKUP(C1255&amp;A1255, Inside5!B:B&amp;Inside5!I:I, Inside5!D:D), 0)</f>
        <v>0</v>
      </c>
      <c r="G1255" cm="1">
        <f t="array" ref="G1255">IFERROR(_xlfn.XLOOKUP(C1255&amp;A1255, Inside5!B:B&amp;Inside5!I:I, Inside5!E:E), 0)</f>
        <v>0</v>
      </c>
      <c r="H1255" t="str" cm="1">
        <f t="array" ref="H1255">IFERROR(_xlfn.XLOOKUP(C1255&amp;A1255, TDrate!F:F&amp;TDrate!H:H, TDrate!C:C), "N/A")</f>
        <v>N/A</v>
      </c>
      <c r="I1255" t="str" cm="1">
        <f t="array" ref="I1255">IFERROR(_xlfn.XLOOKUP(C1255&amp;A1255, TDrate!F:F&amp;TDrate!H:H, TDrate!E:E), "N/A")</f>
        <v>N/A</v>
      </c>
      <c r="J1255" cm="1">
        <f t="array" ref="J1255">IFERROR(_xlfn.XLOOKUP(C1255&amp;A1255, Inside5!B:B&amp;Inside5!I:I, Inside5!F:F), 0)</f>
        <v>0</v>
      </c>
      <c r="K1255" cm="1">
        <f t="array" ref="K1255">IFERROR(_xlfn.XLOOKUP(C1255&amp;A1255, Inside5!B:B&amp;Inside5!I:I, Inside5!G:G), 0)</f>
        <v>0</v>
      </c>
      <c r="L1255" cm="1">
        <f t="array" ref="L1255">IFERROR(_xlfn.XLOOKUP(C1255&amp;A1255, Inside5!B:B&amp;Inside5!I:I, Inside5!H:H), 0)</f>
        <v>0</v>
      </c>
      <c r="M1255" t="str" cm="1">
        <f t="array" ref="M1255">IFERROR(_xlfn.XLOOKUP(C1255&amp;A1255, TDrate!F:F&amp;TDrate!H:H, TDrate!B:B), "N/A")</f>
        <v>N/A</v>
      </c>
      <c r="N1255" t="str" cm="1">
        <f t="array" ref="N1255">IFERROR(_xlfn.XLOOKUP(C1255&amp;A1255, TDrate!F:F&amp;TDrate!H:H, TDrate!D:D), "N/A")</f>
        <v>N/A</v>
      </c>
    </row>
    <row r="1256" spans="1:14" x14ac:dyDescent="0.45">
      <c r="A1256" s="5">
        <v>2019</v>
      </c>
      <c r="B1256" s="6" t="s">
        <v>619</v>
      </c>
      <c r="C1256" s="7" t="str">
        <f t="shared" si="38"/>
        <v>Jason Cabinda</v>
      </c>
      <c r="D1256" s="7" t="str">
        <f t="shared" si="39"/>
        <v>DET</v>
      </c>
      <c r="E1256" cm="1">
        <f t="array" ref="E1256">IFERROR(_xlfn.XLOOKUP(C1256&amp;A1256, Inside5!B:B&amp;Inside5!I:I, Inside5!C:C), 0)</f>
        <v>0</v>
      </c>
      <c r="F1256" cm="1">
        <f t="array" ref="F1256">IFERROR(_xlfn.XLOOKUP(C1256&amp;A1256, Inside5!B:B&amp;Inside5!I:I, Inside5!D:D), 0)</f>
        <v>0</v>
      </c>
      <c r="G1256" cm="1">
        <f t="array" ref="G1256">IFERROR(_xlfn.XLOOKUP(C1256&amp;A1256, Inside5!B:B&amp;Inside5!I:I, Inside5!E:E), 0)</f>
        <v>0</v>
      </c>
      <c r="H1256" t="str" cm="1">
        <f t="array" ref="H1256">IFERROR(_xlfn.XLOOKUP(C1256&amp;A1256, TDrate!F:F&amp;TDrate!H:H, TDrate!C:C), "N/A")</f>
        <v>N/A</v>
      </c>
      <c r="I1256" t="str" cm="1">
        <f t="array" ref="I1256">IFERROR(_xlfn.XLOOKUP(C1256&amp;A1256, TDrate!F:F&amp;TDrate!H:H, TDrate!E:E), "N/A")</f>
        <v>N/A</v>
      </c>
      <c r="J1256" cm="1">
        <f t="array" ref="J1256">IFERROR(_xlfn.XLOOKUP(C1256&amp;A1256, Inside5!B:B&amp;Inside5!I:I, Inside5!F:F), 0)</f>
        <v>0</v>
      </c>
      <c r="K1256" cm="1">
        <f t="array" ref="K1256">IFERROR(_xlfn.XLOOKUP(C1256&amp;A1256, Inside5!B:B&amp;Inside5!I:I, Inside5!G:G), 0)</f>
        <v>0</v>
      </c>
      <c r="L1256" cm="1">
        <f t="array" ref="L1256">IFERROR(_xlfn.XLOOKUP(C1256&amp;A1256, Inside5!B:B&amp;Inside5!I:I, Inside5!H:H), 0)</f>
        <v>0</v>
      </c>
      <c r="M1256" t="str" cm="1">
        <f t="array" ref="M1256">IFERROR(_xlfn.XLOOKUP(C1256&amp;A1256, TDrate!F:F&amp;TDrate!H:H, TDrate!B:B), "N/A")</f>
        <v>N/A</v>
      </c>
      <c r="N1256" t="str" cm="1">
        <f t="array" ref="N1256">IFERROR(_xlfn.XLOOKUP(C1256&amp;A1256, TDrate!F:F&amp;TDrate!H:H, TDrate!D:D), "N/A")</f>
        <v>N/A</v>
      </c>
    </row>
    <row r="1257" spans="1:14" x14ac:dyDescent="0.45">
      <c r="A1257" s="8">
        <v>2019</v>
      </c>
      <c r="B1257" s="9" t="s">
        <v>985</v>
      </c>
      <c r="C1257" s="10" t="str">
        <f t="shared" si="38"/>
        <v>Trenton Cannon</v>
      </c>
      <c r="D1257" s="10" t="str">
        <f t="shared" si="39"/>
        <v>NYJ</v>
      </c>
      <c r="E1257" cm="1">
        <f t="array" ref="E1257">IFERROR(_xlfn.XLOOKUP(C1257&amp;A1257, Inside5!B:B&amp;Inside5!I:I, Inside5!C:C), 0)</f>
        <v>0</v>
      </c>
      <c r="F1257" cm="1">
        <f t="array" ref="F1257">IFERROR(_xlfn.XLOOKUP(C1257&amp;A1257, Inside5!B:B&amp;Inside5!I:I, Inside5!D:D), 0)</f>
        <v>0</v>
      </c>
      <c r="G1257" cm="1">
        <f t="array" ref="G1257">IFERROR(_xlfn.XLOOKUP(C1257&amp;A1257, Inside5!B:B&amp;Inside5!I:I, Inside5!E:E), 0)</f>
        <v>0</v>
      </c>
      <c r="H1257" t="str" cm="1">
        <f t="array" ref="H1257">IFERROR(_xlfn.XLOOKUP(C1257&amp;A1257, TDrate!F:F&amp;TDrate!H:H, TDrate!C:C), "N/A")</f>
        <v>N/A</v>
      </c>
      <c r="I1257" t="str" cm="1">
        <f t="array" ref="I1257">IFERROR(_xlfn.XLOOKUP(C1257&amp;A1257, TDrate!F:F&amp;TDrate!H:H, TDrate!E:E), "N/A")</f>
        <v>N/A</v>
      </c>
      <c r="J1257" cm="1">
        <f t="array" ref="J1257">IFERROR(_xlfn.XLOOKUP(C1257&amp;A1257, Inside5!B:B&amp;Inside5!I:I, Inside5!F:F), 0)</f>
        <v>0</v>
      </c>
      <c r="K1257" cm="1">
        <f t="array" aca="1" ref="K1257" ca="1">IFERROR(_xlfn.XLOOKUP(C1257&amp;A1257, Inside5!B:B&amp;Inside5!I:I, Inside5!G:G), 0)</f>
        <v>0</v>
      </c>
      <c r="L1257" cm="1">
        <f t="array" ref="L1257">IFERROR(_xlfn.XLOOKUP(C1257&amp;A1257, Inside5!B:B&amp;Inside5!I:I, Inside5!H:H), 0)</f>
        <v>0</v>
      </c>
      <c r="M1257" t="str" cm="1">
        <f t="array" ref="M1257">IFERROR(_xlfn.XLOOKUP(C1257&amp;A1257, TDrate!F:F&amp;TDrate!H:H, TDrate!B:B), "N/A")</f>
        <v>N/A</v>
      </c>
      <c r="N1257" t="str" cm="1">
        <f t="array" ref="N1257">IFERROR(_xlfn.XLOOKUP(C1257&amp;A1257, TDrate!F:F&amp;TDrate!H:H, TDrate!D:D), "N/A")</f>
        <v>N/A</v>
      </c>
    </row>
    <row r="1258" spans="1:14" x14ac:dyDescent="0.45">
      <c r="A1258" s="5">
        <v>2019</v>
      </c>
      <c r="B1258" s="6" t="s">
        <v>986</v>
      </c>
      <c r="C1258" s="7" t="str">
        <f t="shared" si="38"/>
        <v>Detrez Newsome</v>
      </c>
      <c r="D1258" s="7" t="str">
        <f t="shared" si="39"/>
        <v>LAC</v>
      </c>
      <c r="E1258" cm="1">
        <f t="array" aca="1" ref="E1258" ca="1">IFERROR(_xlfn.XLOOKUP(C1258&amp;A1258, Inside5!B:B&amp;Inside5!I:I, Inside5!C:C), 0)</f>
        <v>0</v>
      </c>
      <c r="F1258" cm="1">
        <f t="array" aca="1" ref="F1258" ca="1">IFERROR(_xlfn.XLOOKUP(C1258&amp;A1258, Inside5!B:B&amp;Inside5!I:I, Inside5!D:D), 0)</f>
        <v>0</v>
      </c>
      <c r="G1258" cm="1">
        <f t="array" ref="G1258">IFERROR(_xlfn.XLOOKUP(C1258&amp;A1258, Inside5!B:B&amp;Inside5!I:I, Inside5!E:E), 0)</f>
        <v>0</v>
      </c>
      <c r="H1258" t="str" cm="1">
        <f t="array" ref="H1258">IFERROR(_xlfn.XLOOKUP(C1258&amp;A1258, TDrate!F:F&amp;TDrate!H:H, TDrate!C:C), "N/A")</f>
        <v>N/A</v>
      </c>
      <c r="I1258" t="str" cm="1">
        <f t="array" ref="I1258">IFERROR(_xlfn.XLOOKUP(C1258&amp;A1258, TDrate!F:F&amp;TDrate!H:H, TDrate!E:E), "N/A")</f>
        <v>N/A</v>
      </c>
      <c r="J1258" cm="1">
        <f t="array" ref="J1258">IFERROR(_xlfn.XLOOKUP(C1258&amp;A1258, Inside5!B:B&amp;Inside5!I:I, Inside5!F:F), 0)</f>
        <v>0</v>
      </c>
      <c r="K1258" cm="1">
        <f t="array" ref="K1258">IFERROR(_xlfn.XLOOKUP(C1258&amp;A1258, Inside5!B:B&amp;Inside5!I:I, Inside5!G:G), 0)</f>
        <v>0</v>
      </c>
      <c r="L1258" cm="1">
        <f t="array" ref="L1258">IFERROR(_xlfn.XLOOKUP(C1258&amp;A1258, Inside5!B:B&amp;Inside5!I:I, Inside5!H:H), 0)</f>
        <v>0</v>
      </c>
      <c r="M1258" t="str" cm="1">
        <f t="array" ref="M1258">IFERROR(_xlfn.XLOOKUP(C1258&amp;A1258, TDrate!F:F&amp;TDrate!H:H, TDrate!B:B), "N/A")</f>
        <v>N/A</v>
      </c>
      <c r="N1258" t="str" cm="1">
        <f t="array" ref="N1258">IFERROR(_xlfn.XLOOKUP(C1258&amp;A1258, TDrate!F:F&amp;TDrate!H:H, TDrate!D:D), "N/A")</f>
        <v>N/A</v>
      </c>
    </row>
    <row r="1259" spans="1:14" x14ac:dyDescent="0.45">
      <c r="A1259" s="8">
        <v>2019</v>
      </c>
      <c r="B1259" s="9" t="s">
        <v>987</v>
      </c>
      <c r="C1259" s="10" t="str">
        <f t="shared" si="38"/>
        <v>Jordan Chunn</v>
      </c>
      <c r="D1259" s="10" t="str">
        <f t="shared" si="39"/>
        <v>DAL</v>
      </c>
      <c r="E1259" cm="1">
        <f t="array" aca="1" ref="E1259" ca="1">IFERROR(_xlfn.XLOOKUP(C1259&amp;A1259, Inside5!B:B&amp;Inside5!I:I, Inside5!C:C), 0)</f>
        <v>0</v>
      </c>
      <c r="F1259" cm="1">
        <f t="array" aca="1" ref="F1259" ca="1">IFERROR(_xlfn.XLOOKUP(C1259&amp;A1259, Inside5!B:B&amp;Inside5!I:I, Inside5!D:D), 0)</f>
        <v>0</v>
      </c>
      <c r="G1259" cm="1">
        <f t="array" ref="G1259">IFERROR(_xlfn.XLOOKUP(C1259&amp;A1259, Inside5!B:B&amp;Inside5!I:I, Inside5!E:E), 0)</f>
        <v>0</v>
      </c>
      <c r="H1259" t="str" cm="1">
        <f t="array" ref="H1259">IFERROR(_xlfn.XLOOKUP(C1259&amp;A1259, TDrate!F:F&amp;TDrate!H:H, TDrate!C:C), "N/A")</f>
        <v>N/A</v>
      </c>
      <c r="I1259" t="str" cm="1">
        <f t="array" ref="I1259">IFERROR(_xlfn.XLOOKUP(C1259&amp;A1259, TDrate!F:F&amp;TDrate!H:H, TDrate!E:E), "N/A")</f>
        <v>N/A</v>
      </c>
      <c r="J1259" cm="1">
        <f t="array" ref="J1259">IFERROR(_xlfn.XLOOKUP(C1259&amp;A1259, Inside5!B:B&amp;Inside5!I:I, Inside5!F:F), 0)</f>
        <v>0</v>
      </c>
      <c r="K1259" cm="1">
        <f t="array" ref="K1259">IFERROR(_xlfn.XLOOKUP(C1259&amp;A1259, Inside5!B:B&amp;Inside5!I:I, Inside5!G:G), 0)</f>
        <v>0</v>
      </c>
      <c r="L1259" cm="1">
        <f t="array" ref="L1259">IFERROR(_xlfn.XLOOKUP(C1259&amp;A1259, Inside5!B:B&amp;Inside5!I:I, Inside5!H:H), 0)</f>
        <v>0</v>
      </c>
      <c r="M1259" t="str" cm="1">
        <f t="array" ref="M1259">IFERROR(_xlfn.XLOOKUP(C1259&amp;A1259, TDrate!F:F&amp;TDrate!H:H, TDrate!B:B), "N/A")</f>
        <v>N/A</v>
      </c>
      <c r="N1259" t="str" cm="1">
        <f t="array" ref="N1259">IFERROR(_xlfn.XLOOKUP(C1259&amp;A1259, TDrate!F:F&amp;TDrate!H:H, TDrate!D:D), "N/A")</f>
        <v>N/A</v>
      </c>
    </row>
    <row r="1260" spans="1:14" x14ac:dyDescent="0.45">
      <c r="A1260" s="5">
        <v>2019</v>
      </c>
      <c r="B1260" s="6" t="s">
        <v>988</v>
      </c>
      <c r="C1260" s="7" t="str">
        <f t="shared" si="38"/>
        <v>Donnie Ernsberger</v>
      </c>
      <c r="D1260" s="7" t="str">
        <f t="shared" si="39"/>
        <v>TB</v>
      </c>
      <c r="E1260" cm="1">
        <f t="array" aca="1" ref="E1260" ca="1">IFERROR(_xlfn.XLOOKUP(C1260&amp;A1260, Inside5!B:B&amp;Inside5!I:I, Inside5!C:C), 0)</f>
        <v>0</v>
      </c>
      <c r="F1260" cm="1">
        <f t="array" aca="1" ref="F1260" ca="1">IFERROR(_xlfn.XLOOKUP(C1260&amp;A1260, Inside5!B:B&amp;Inside5!I:I, Inside5!D:D), 0)</f>
        <v>0</v>
      </c>
      <c r="G1260" cm="1">
        <f t="array" ref="G1260">IFERROR(_xlfn.XLOOKUP(C1260&amp;A1260, Inside5!B:B&amp;Inside5!I:I, Inside5!E:E), 0)</f>
        <v>0</v>
      </c>
      <c r="H1260" t="str" cm="1">
        <f t="array" ref="H1260">IFERROR(_xlfn.XLOOKUP(C1260&amp;A1260, TDrate!F:F&amp;TDrate!H:H, TDrate!C:C), "N/A")</f>
        <v>N/A</v>
      </c>
      <c r="I1260" t="str" cm="1">
        <f t="array" ref="I1260">IFERROR(_xlfn.XLOOKUP(C1260&amp;A1260, TDrate!F:F&amp;TDrate!H:H, TDrate!E:E), "N/A")</f>
        <v>N/A</v>
      </c>
      <c r="J1260" cm="1">
        <f t="array" ref="J1260">IFERROR(_xlfn.XLOOKUP(C1260&amp;A1260, Inside5!B:B&amp;Inside5!I:I, Inside5!F:F), 0)</f>
        <v>0</v>
      </c>
      <c r="K1260" cm="1">
        <f t="array" ref="K1260">IFERROR(_xlfn.XLOOKUP(C1260&amp;A1260, Inside5!B:B&amp;Inside5!I:I, Inside5!G:G), 0)</f>
        <v>0</v>
      </c>
      <c r="L1260" cm="1">
        <f t="array" ref="L1260">IFERROR(_xlfn.XLOOKUP(C1260&amp;A1260, Inside5!B:B&amp;Inside5!I:I, Inside5!H:H), 0)</f>
        <v>0</v>
      </c>
      <c r="M1260" t="str" cm="1">
        <f t="array" ref="M1260">IFERROR(_xlfn.XLOOKUP(C1260&amp;A1260, TDrate!F:F&amp;TDrate!H:H, TDrate!B:B), "N/A")</f>
        <v>N/A</v>
      </c>
      <c r="N1260" t="str" cm="1">
        <f t="array" ref="N1260">IFERROR(_xlfn.XLOOKUP(C1260&amp;A1260, TDrate!F:F&amp;TDrate!H:H, TDrate!D:D), "N/A")</f>
        <v>N/A</v>
      </c>
    </row>
    <row r="1261" spans="1:14" x14ac:dyDescent="0.45">
      <c r="A1261" s="8">
        <v>2019</v>
      </c>
      <c r="B1261" s="9" t="s">
        <v>989</v>
      </c>
      <c r="C1261" s="10" t="str">
        <f t="shared" si="38"/>
        <v>Bryce Love</v>
      </c>
      <c r="D1261" s="10" t="str">
        <f t="shared" si="39"/>
        <v>WAS</v>
      </c>
      <c r="E1261" cm="1">
        <f t="array" aca="1" ref="E1261" ca="1">IFERROR(_xlfn.XLOOKUP(C1261&amp;A1261, Inside5!B:B&amp;Inside5!I:I, Inside5!C:C), 0)</f>
        <v>0</v>
      </c>
      <c r="F1261" cm="1">
        <f t="array" aca="1" ref="F1261" ca="1">IFERROR(_xlfn.XLOOKUP(C1261&amp;A1261, Inside5!B:B&amp;Inside5!I:I, Inside5!D:D), 0)</f>
        <v>0</v>
      </c>
      <c r="G1261" cm="1">
        <f t="array" ref="G1261">IFERROR(_xlfn.XLOOKUP(C1261&amp;A1261, Inside5!B:B&amp;Inside5!I:I, Inside5!E:E), 0)</f>
        <v>0</v>
      </c>
      <c r="H1261" t="str" cm="1">
        <f t="array" ref="H1261">IFERROR(_xlfn.XLOOKUP(C1261&amp;A1261, TDrate!F:F&amp;TDrate!H:H, TDrate!C:C), "N/A")</f>
        <v>N/A</v>
      </c>
      <c r="I1261" t="str" cm="1">
        <f t="array" ref="I1261">IFERROR(_xlfn.XLOOKUP(C1261&amp;A1261, TDrate!F:F&amp;TDrate!H:H, TDrate!E:E), "N/A")</f>
        <v>N/A</v>
      </c>
      <c r="J1261" cm="1">
        <f t="array" ref="J1261">IFERROR(_xlfn.XLOOKUP(C1261&amp;A1261, Inside5!B:B&amp;Inside5!I:I, Inside5!F:F), 0)</f>
        <v>0</v>
      </c>
      <c r="K1261" cm="1">
        <f t="array" ref="K1261">IFERROR(_xlfn.XLOOKUP(C1261&amp;A1261, Inside5!B:B&amp;Inside5!I:I, Inside5!G:G), 0)</f>
        <v>0</v>
      </c>
      <c r="L1261" cm="1">
        <f t="array" ref="L1261">IFERROR(_xlfn.XLOOKUP(C1261&amp;A1261, Inside5!B:B&amp;Inside5!I:I, Inside5!H:H), 0)</f>
        <v>0</v>
      </c>
      <c r="M1261" t="str" cm="1">
        <f t="array" ref="M1261">IFERROR(_xlfn.XLOOKUP(C1261&amp;A1261, TDrate!F:F&amp;TDrate!H:H, TDrate!B:B), "N/A")</f>
        <v>N/A</v>
      </c>
      <c r="N1261" t="str" cm="1">
        <f t="array" ref="N1261">IFERROR(_xlfn.XLOOKUP(C1261&amp;A1261, TDrate!F:F&amp;TDrate!H:H, TDrate!D:D), "N/A")</f>
        <v>N/A</v>
      </c>
    </row>
    <row r="1262" spans="1:14" x14ac:dyDescent="0.45">
      <c r="A1262" s="5">
        <v>2019</v>
      </c>
      <c r="B1262" s="6" t="s">
        <v>529</v>
      </c>
      <c r="C1262" s="7" t="str">
        <f t="shared" si="38"/>
        <v>Trayveon Williams</v>
      </c>
      <c r="D1262" s="7" t="str">
        <f t="shared" si="39"/>
        <v>CIN</v>
      </c>
      <c r="E1262" cm="1">
        <f t="array" ref="E1262">IFERROR(_xlfn.XLOOKUP(C1262&amp;A1262, Inside5!B:B&amp;Inside5!I:I, Inside5!C:C), 0)</f>
        <v>0</v>
      </c>
      <c r="F1262" cm="1">
        <f t="array" ref="F1262">IFERROR(_xlfn.XLOOKUP(C1262&amp;A1262, Inside5!B:B&amp;Inside5!I:I, Inside5!D:D), 0)</f>
        <v>0</v>
      </c>
      <c r="G1262" cm="1">
        <f t="array" ref="G1262">IFERROR(_xlfn.XLOOKUP(C1262&amp;A1262, Inside5!B:B&amp;Inside5!I:I, Inside5!E:E), 0)</f>
        <v>0</v>
      </c>
      <c r="H1262" t="str" cm="1">
        <f t="array" ref="H1262">IFERROR(_xlfn.XLOOKUP(C1262&amp;A1262, TDrate!F:F&amp;TDrate!H:H, TDrate!C:C), "N/A")</f>
        <v>N/A</v>
      </c>
      <c r="I1262" t="str" cm="1">
        <f t="array" ref="I1262">IFERROR(_xlfn.XLOOKUP(C1262&amp;A1262, TDrate!F:F&amp;TDrate!H:H, TDrate!E:E), "N/A")</f>
        <v>N/A</v>
      </c>
      <c r="J1262" cm="1">
        <f t="array" ref="J1262">IFERROR(_xlfn.XLOOKUP(C1262&amp;A1262, Inside5!B:B&amp;Inside5!I:I, Inside5!F:F), 0)</f>
        <v>0</v>
      </c>
      <c r="K1262" cm="1">
        <f t="array" ref="K1262">IFERROR(_xlfn.XLOOKUP(C1262&amp;A1262, Inside5!B:B&amp;Inside5!I:I, Inside5!G:G), 0)</f>
        <v>0</v>
      </c>
      <c r="L1262" cm="1">
        <f t="array" ref="L1262">IFERROR(_xlfn.XLOOKUP(C1262&amp;A1262, Inside5!B:B&amp;Inside5!I:I, Inside5!H:H), 0)</f>
        <v>0</v>
      </c>
      <c r="M1262" t="str" cm="1">
        <f t="array" ref="M1262">IFERROR(_xlfn.XLOOKUP(C1262&amp;A1262, TDrate!F:F&amp;TDrate!H:H, TDrate!B:B), "N/A")</f>
        <v>N/A</v>
      </c>
      <c r="N1262" t="str" cm="1">
        <f t="array" ref="N1262">IFERROR(_xlfn.XLOOKUP(C1262&amp;A1262, TDrate!F:F&amp;TDrate!H:H, TDrate!D:D), "N/A")</f>
        <v>N/A</v>
      </c>
    </row>
    <row r="1263" spans="1:14" x14ac:dyDescent="0.45">
      <c r="A1263" s="8">
        <v>2019</v>
      </c>
      <c r="B1263" s="9" t="s">
        <v>874</v>
      </c>
      <c r="C1263" s="10" t="str">
        <f t="shared" si="38"/>
        <v>Chandler Cox</v>
      </c>
      <c r="D1263" s="10" t="str">
        <f t="shared" si="39"/>
        <v>MIA</v>
      </c>
      <c r="E1263" cm="1">
        <f t="array" aca="1" ref="E1263" ca="1">IFERROR(_xlfn.XLOOKUP(C1263&amp;A1263, Inside5!B:B&amp;Inside5!I:I, Inside5!C:C), 0)</f>
        <v>0</v>
      </c>
      <c r="F1263" cm="1">
        <f t="array" ref="F1263">IFERROR(_xlfn.XLOOKUP(C1263&amp;A1263, Inside5!B:B&amp;Inside5!I:I, Inside5!D:D), 0)</f>
        <v>0</v>
      </c>
      <c r="G1263" cm="1">
        <f t="array" ref="G1263">IFERROR(_xlfn.XLOOKUP(C1263&amp;A1263, Inside5!B:B&amp;Inside5!I:I, Inside5!E:E), 0)</f>
        <v>0</v>
      </c>
      <c r="H1263" t="str" cm="1">
        <f t="array" ref="H1263">IFERROR(_xlfn.XLOOKUP(C1263&amp;A1263, TDrate!F:F&amp;TDrate!H:H, TDrate!C:C), "N/A")</f>
        <v>N/A</v>
      </c>
      <c r="I1263" t="str" cm="1">
        <f t="array" ref="I1263">IFERROR(_xlfn.XLOOKUP(C1263&amp;A1263, TDrate!F:F&amp;TDrate!H:H, TDrate!E:E), "N/A")</f>
        <v>N/A</v>
      </c>
      <c r="J1263" cm="1">
        <f t="array" ref="J1263">IFERROR(_xlfn.XLOOKUP(C1263&amp;A1263, Inside5!B:B&amp;Inside5!I:I, Inside5!F:F), 0)</f>
        <v>0</v>
      </c>
      <c r="K1263" cm="1">
        <f t="array" ref="K1263">IFERROR(_xlfn.XLOOKUP(C1263&amp;A1263, Inside5!B:B&amp;Inside5!I:I, Inside5!G:G), 0)</f>
        <v>0</v>
      </c>
      <c r="L1263" cm="1">
        <f t="array" ref="L1263">IFERROR(_xlfn.XLOOKUP(C1263&amp;A1263, Inside5!B:B&amp;Inside5!I:I, Inside5!H:H), 0)</f>
        <v>0</v>
      </c>
      <c r="M1263" t="str" cm="1">
        <f t="array" ref="M1263">IFERROR(_xlfn.XLOOKUP(C1263&amp;A1263, TDrate!F:F&amp;TDrate!H:H, TDrate!B:B), "N/A")</f>
        <v>N/A</v>
      </c>
      <c r="N1263" t="str" cm="1">
        <f t="array" ref="N1263">IFERROR(_xlfn.XLOOKUP(C1263&amp;A1263, TDrate!F:F&amp;TDrate!H:H, TDrate!D:D), "N/A")</f>
        <v>N/A</v>
      </c>
    </row>
    <row r="1264" spans="1:14" x14ac:dyDescent="0.45">
      <c r="A1264" s="5">
        <v>2019</v>
      </c>
      <c r="B1264" s="6" t="s">
        <v>879</v>
      </c>
      <c r="C1264" s="7" t="str">
        <f t="shared" si="38"/>
        <v>Cullen Gillaspia</v>
      </c>
      <c r="D1264" s="7" t="str">
        <f t="shared" si="39"/>
        <v>HOU</v>
      </c>
      <c r="E1264" cm="1">
        <f t="array" aca="1" ref="E1264" ca="1">IFERROR(_xlfn.XLOOKUP(C1264&amp;A1264, Inside5!B:B&amp;Inside5!I:I, Inside5!C:C), 0)</f>
        <v>0</v>
      </c>
      <c r="F1264" cm="1">
        <f t="array" ref="F1264">IFERROR(_xlfn.XLOOKUP(C1264&amp;A1264, Inside5!B:B&amp;Inside5!I:I, Inside5!D:D), 0)</f>
        <v>0</v>
      </c>
      <c r="G1264" cm="1">
        <f t="array" ref="G1264">IFERROR(_xlfn.XLOOKUP(C1264&amp;A1264, Inside5!B:B&amp;Inside5!I:I, Inside5!E:E), 0)</f>
        <v>0</v>
      </c>
      <c r="H1264" t="str" cm="1">
        <f t="array" ref="H1264">IFERROR(_xlfn.XLOOKUP(C1264&amp;A1264, TDrate!F:F&amp;TDrate!H:H, TDrate!C:C), "N/A")</f>
        <v>N/A</v>
      </c>
      <c r="I1264" t="str" cm="1">
        <f t="array" ref="I1264">IFERROR(_xlfn.XLOOKUP(C1264&amp;A1264, TDrate!F:F&amp;TDrate!H:H, TDrate!E:E), "N/A")</f>
        <v>N/A</v>
      </c>
      <c r="J1264" cm="1">
        <f t="array" ref="J1264">IFERROR(_xlfn.XLOOKUP(C1264&amp;A1264, Inside5!B:B&amp;Inside5!I:I, Inside5!F:F), 0)</f>
        <v>0</v>
      </c>
      <c r="K1264" cm="1">
        <f t="array" ref="K1264">IFERROR(_xlfn.XLOOKUP(C1264&amp;A1264, Inside5!B:B&amp;Inside5!I:I, Inside5!G:G), 0)</f>
        <v>0</v>
      </c>
      <c r="L1264" cm="1">
        <f t="array" ref="L1264">IFERROR(_xlfn.XLOOKUP(C1264&amp;A1264, Inside5!B:B&amp;Inside5!I:I, Inside5!H:H), 0)</f>
        <v>0</v>
      </c>
      <c r="M1264" t="str" cm="1">
        <f t="array" ref="M1264">IFERROR(_xlfn.XLOOKUP(C1264&amp;A1264, TDrate!F:F&amp;TDrate!H:H, TDrate!B:B), "N/A")</f>
        <v>N/A</v>
      </c>
      <c r="N1264" t="str" cm="1">
        <f t="array" ref="N1264">IFERROR(_xlfn.XLOOKUP(C1264&amp;A1264, TDrate!F:F&amp;TDrate!H:H, TDrate!D:D), "N/A")</f>
        <v>N/A</v>
      </c>
    </row>
    <row r="1265" spans="1:14" x14ac:dyDescent="0.45">
      <c r="A1265" s="8">
        <v>2019</v>
      </c>
      <c r="B1265" s="9" t="s">
        <v>708</v>
      </c>
      <c r="C1265" s="10" t="str">
        <f t="shared" si="38"/>
        <v>Andrew Beck</v>
      </c>
      <c r="D1265" s="10" t="str">
        <f t="shared" si="39"/>
        <v>DEN</v>
      </c>
      <c r="E1265" cm="1">
        <f t="array" aca="1" ref="E1265" ca="1">IFERROR(_xlfn.XLOOKUP(C1265&amp;A1265, Inside5!B:B&amp;Inside5!I:I, Inside5!C:C), 0)</f>
        <v>0</v>
      </c>
      <c r="F1265" cm="1">
        <f t="array" aca="1" ref="F1265" ca="1">IFERROR(_xlfn.XLOOKUP(C1265&amp;A1265, Inside5!B:B&amp;Inside5!I:I, Inside5!D:D), 0)</f>
        <v>0</v>
      </c>
      <c r="G1265" cm="1">
        <f t="array" ref="G1265">IFERROR(_xlfn.XLOOKUP(C1265&amp;A1265, Inside5!B:B&amp;Inside5!I:I, Inside5!E:E), 0)</f>
        <v>0</v>
      </c>
      <c r="H1265" t="str" cm="1">
        <f t="array" ref="H1265">IFERROR(_xlfn.XLOOKUP(C1265&amp;A1265, TDrate!F:F&amp;TDrate!H:H, TDrate!C:C), "N/A")</f>
        <v>N/A</v>
      </c>
      <c r="I1265" t="str" cm="1">
        <f t="array" ref="I1265">IFERROR(_xlfn.XLOOKUP(C1265&amp;A1265, TDrate!F:F&amp;TDrate!H:H, TDrate!E:E), "N/A")</f>
        <v>N/A</v>
      </c>
      <c r="J1265" cm="1">
        <f t="array" ref="J1265">IFERROR(_xlfn.XLOOKUP(C1265&amp;A1265, Inside5!B:B&amp;Inside5!I:I, Inside5!F:F), 0)</f>
        <v>0</v>
      </c>
      <c r="K1265" cm="1">
        <f t="array" aca="1" ref="K1265" ca="1">IFERROR(_xlfn.XLOOKUP(C1265&amp;A1265, Inside5!B:B&amp;Inside5!I:I, Inside5!G:G), 0)</f>
        <v>0</v>
      </c>
      <c r="L1265" cm="1">
        <f t="array" ref="L1265">IFERROR(_xlfn.XLOOKUP(C1265&amp;A1265, Inside5!B:B&amp;Inside5!I:I, Inside5!H:H), 0)</f>
        <v>0</v>
      </c>
      <c r="M1265" t="str" cm="1">
        <f t="array" ref="M1265">IFERROR(_xlfn.XLOOKUP(C1265&amp;A1265, TDrate!F:F&amp;TDrate!H:H, TDrate!B:B), "N/A")</f>
        <v>N/A</v>
      </c>
      <c r="N1265" t="str" cm="1">
        <f t="array" ref="N1265">IFERROR(_xlfn.XLOOKUP(C1265&amp;A1265, TDrate!F:F&amp;TDrate!H:H, TDrate!D:D), "N/A")</f>
        <v>N/A</v>
      </c>
    </row>
    <row r="1266" spans="1:14" x14ac:dyDescent="0.45">
      <c r="A1266" s="5">
        <v>2019</v>
      </c>
      <c r="B1266" s="6" t="s">
        <v>990</v>
      </c>
      <c r="C1266" s="7" t="str">
        <f t="shared" si="38"/>
        <v>Austin Walter</v>
      </c>
      <c r="D1266" s="7" t="str">
        <f t="shared" si="39"/>
        <v>NYG</v>
      </c>
      <c r="E1266" cm="1">
        <f t="array" aca="1" ref="E1266" ca="1">IFERROR(_xlfn.XLOOKUP(C1266&amp;A1266, Inside5!B:B&amp;Inside5!I:I, Inside5!C:C), 0)</f>
        <v>0</v>
      </c>
      <c r="F1266" cm="1">
        <f t="array" aca="1" ref="F1266" ca="1">IFERROR(_xlfn.XLOOKUP(C1266&amp;A1266, Inside5!B:B&amp;Inside5!I:I, Inside5!D:D), 0)</f>
        <v>0</v>
      </c>
      <c r="G1266" cm="1">
        <f t="array" ref="G1266">IFERROR(_xlfn.XLOOKUP(C1266&amp;A1266, Inside5!B:B&amp;Inside5!I:I, Inside5!E:E), 0)</f>
        <v>0</v>
      </c>
      <c r="H1266" t="str" cm="1">
        <f t="array" ref="H1266">IFERROR(_xlfn.XLOOKUP(C1266&amp;A1266, TDrate!F:F&amp;TDrate!H:H, TDrate!C:C), "N/A")</f>
        <v>N/A</v>
      </c>
      <c r="I1266" t="str" cm="1">
        <f t="array" ref="I1266">IFERROR(_xlfn.XLOOKUP(C1266&amp;A1266, TDrate!F:F&amp;TDrate!H:H, TDrate!E:E), "N/A")</f>
        <v>N/A</v>
      </c>
      <c r="J1266" cm="1">
        <f t="array" ref="J1266">IFERROR(_xlfn.XLOOKUP(C1266&amp;A1266, Inside5!B:B&amp;Inside5!I:I, Inside5!F:F), 0)</f>
        <v>0</v>
      </c>
      <c r="K1266" cm="1">
        <f t="array" aca="1" ref="K1266" ca="1">IFERROR(_xlfn.XLOOKUP(C1266&amp;A1266, Inside5!B:B&amp;Inside5!I:I, Inside5!G:G), 0)</f>
        <v>0</v>
      </c>
      <c r="L1266" cm="1">
        <f t="array" ref="L1266">IFERROR(_xlfn.XLOOKUP(C1266&amp;A1266, Inside5!B:B&amp;Inside5!I:I, Inside5!H:H), 0)</f>
        <v>0</v>
      </c>
      <c r="M1266" t="str" cm="1">
        <f t="array" ref="M1266">IFERROR(_xlfn.XLOOKUP(C1266&amp;A1266, TDrate!F:F&amp;TDrate!H:H, TDrate!B:B), "N/A")</f>
        <v>N/A</v>
      </c>
      <c r="N1266" t="str" cm="1">
        <f t="array" ref="N1266">IFERROR(_xlfn.XLOOKUP(C1266&amp;A1266, TDrate!F:F&amp;TDrate!H:H, TDrate!D:D), "N/A")</f>
        <v>N/A</v>
      </c>
    </row>
    <row r="1267" spans="1:14" x14ac:dyDescent="0.45">
      <c r="A1267" s="8">
        <v>2019</v>
      </c>
      <c r="B1267" s="9" t="s">
        <v>991</v>
      </c>
      <c r="C1267" s="10" t="str">
        <f t="shared" si="38"/>
        <v>Craig Reynolds</v>
      </c>
      <c r="D1267" s="10" t="str">
        <f t="shared" si="39"/>
        <v>WAS</v>
      </c>
      <c r="E1267" cm="1">
        <f t="array" aca="1" ref="E1267" ca="1">IFERROR(_xlfn.XLOOKUP(C1267&amp;A1267, Inside5!B:B&amp;Inside5!I:I, Inside5!C:C), 0)</f>
        <v>0</v>
      </c>
      <c r="F1267" cm="1">
        <f t="array" aca="1" ref="F1267" ca="1">IFERROR(_xlfn.XLOOKUP(C1267&amp;A1267, Inside5!B:B&amp;Inside5!I:I, Inside5!D:D), 0)</f>
        <v>0</v>
      </c>
      <c r="G1267" cm="1">
        <f t="array" ref="G1267">IFERROR(_xlfn.XLOOKUP(C1267&amp;A1267, Inside5!B:B&amp;Inside5!I:I, Inside5!E:E), 0)</f>
        <v>0</v>
      </c>
      <c r="H1267" t="str" cm="1">
        <f t="array" ref="H1267">IFERROR(_xlfn.XLOOKUP(C1267&amp;A1267, TDrate!F:F&amp;TDrate!H:H, TDrate!C:C), "N/A")</f>
        <v>N/A</v>
      </c>
      <c r="I1267" t="str" cm="1">
        <f t="array" ref="I1267">IFERROR(_xlfn.XLOOKUP(C1267&amp;A1267, TDrate!F:F&amp;TDrate!H:H, TDrate!E:E), "N/A")</f>
        <v>N/A</v>
      </c>
      <c r="J1267" cm="1">
        <f t="array" ref="J1267">IFERROR(_xlfn.XLOOKUP(C1267&amp;A1267, Inside5!B:B&amp;Inside5!I:I, Inside5!F:F), 0)</f>
        <v>0</v>
      </c>
      <c r="K1267" cm="1">
        <f t="array" aca="1" ref="K1267" ca="1">IFERROR(_xlfn.XLOOKUP(C1267&amp;A1267, Inside5!B:B&amp;Inside5!I:I, Inside5!G:G), 0)</f>
        <v>0</v>
      </c>
      <c r="L1267" cm="1">
        <f t="array" ref="L1267">IFERROR(_xlfn.XLOOKUP(C1267&amp;A1267, Inside5!B:B&amp;Inside5!I:I, Inside5!H:H), 0)</f>
        <v>0</v>
      </c>
      <c r="M1267" t="str" cm="1">
        <f t="array" ref="M1267">IFERROR(_xlfn.XLOOKUP(C1267&amp;A1267, TDrate!F:F&amp;TDrate!H:H, TDrate!B:B), "N/A")</f>
        <v>N/A</v>
      </c>
      <c r="N1267" t="str" cm="1">
        <f t="array" ref="N1267">IFERROR(_xlfn.XLOOKUP(C1267&amp;A1267, TDrate!F:F&amp;TDrate!H:H, TDrate!D:D), "N/A")</f>
        <v>N/A</v>
      </c>
    </row>
    <row r="1268" spans="1:14" x14ac:dyDescent="0.45">
      <c r="A1268" s="5">
        <v>2019</v>
      </c>
      <c r="B1268" s="6" t="s">
        <v>854</v>
      </c>
      <c r="C1268" s="7" t="str">
        <f t="shared" si="38"/>
        <v>Corey Clement</v>
      </c>
      <c r="D1268" s="7" t="str">
        <f t="shared" si="39"/>
        <v>PHI</v>
      </c>
      <c r="E1268" cm="1">
        <f t="array" aca="1" ref="E1268" ca="1">IFERROR(_xlfn.XLOOKUP(C1268&amp;A1268, Inside5!B:B&amp;Inside5!I:I, Inside5!C:C), 0)</f>
        <v>0</v>
      </c>
      <c r="F1268" cm="1">
        <f t="array" aca="1" ref="F1268" ca="1">IFERROR(_xlfn.XLOOKUP(C1268&amp;A1268, Inside5!B:B&amp;Inside5!I:I, Inside5!D:D), 0)</f>
        <v>0</v>
      </c>
      <c r="G1268" cm="1">
        <f t="array" ref="G1268">IFERROR(_xlfn.XLOOKUP(C1268&amp;A1268, Inside5!B:B&amp;Inside5!I:I, Inside5!E:E), 0)</f>
        <v>0</v>
      </c>
      <c r="H1268" t="str" cm="1">
        <f t="array" ref="H1268">IFERROR(_xlfn.XLOOKUP(C1268&amp;A1268, TDrate!F:F&amp;TDrate!H:H, TDrate!C:C), "N/A")</f>
        <v>N/A</v>
      </c>
      <c r="I1268" t="str" cm="1">
        <f t="array" ref="I1268">IFERROR(_xlfn.XLOOKUP(C1268&amp;A1268, TDrate!F:F&amp;TDrate!H:H, TDrate!E:E), "N/A")</f>
        <v>N/A</v>
      </c>
      <c r="J1268" cm="1">
        <f t="array" ref="J1268">IFERROR(_xlfn.XLOOKUP(C1268&amp;A1268, Inside5!B:B&amp;Inside5!I:I, Inside5!F:F), 0)</f>
        <v>0</v>
      </c>
      <c r="K1268" cm="1">
        <f t="array" aca="1" ref="K1268" ca="1">IFERROR(_xlfn.XLOOKUP(C1268&amp;A1268, Inside5!B:B&amp;Inside5!I:I, Inside5!G:G), 0)</f>
        <v>0</v>
      </c>
      <c r="L1268" cm="1">
        <f t="array" ref="L1268">IFERROR(_xlfn.XLOOKUP(C1268&amp;A1268, Inside5!B:B&amp;Inside5!I:I, Inside5!H:H), 0)</f>
        <v>0</v>
      </c>
      <c r="M1268" t="str" cm="1">
        <f t="array" ref="M1268">IFERROR(_xlfn.XLOOKUP(C1268&amp;A1268, TDrate!F:F&amp;TDrate!H:H, TDrate!B:B), "N/A")</f>
        <v>N/A</v>
      </c>
      <c r="N1268" t="str" cm="1">
        <f t="array" ref="N1268">IFERROR(_xlfn.XLOOKUP(C1268&amp;A1268, TDrate!F:F&amp;TDrate!H:H, TDrate!D:D), "N/A")</f>
        <v>N/A</v>
      </c>
    </row>
    <row r="1269" spans="1:14" x14ac:dyDescent="0.45">
      <c r="A1269" s="8">
        <v>2018</v>
      </c>
      <c r="B1269" s="9" t="s">
        <v>893</v>
      </c>
      <c r="C1269" s="10" t="str">
        <f t="shared" si="38"/>
        <v>Todd Gurley II</v>
      </c>
      <c r="D1269" s="10" t="str">
        <f t="shared" si="39"/>
        <v>LAR</v>
      </c>
      <c r="E1269" cm="1">
        <f t="array" aca="1" ref="E1269" ca="1">IFERROR(_xlfn.XLOOKUP(C1269&amp;A1269, Inside5!B:B&amp;Inside5!I:I, Inside5!C:C), 0)</f>
        <v>22</v>
      </c>
      <c r="F1269" cm="1">
        <f t="array" aca="1" ref="F1269" ca="1">IFERROR(_xlfn.XLOOKUP(C1269&amp;A1269, Inside5!B:B&amp;Inside5!I:I, Inside5!D:D), 0)</f>
        <v>11</v>
      </c>
      <c r="G1269" cm="1">
        <f t="array" ref="G1269">IFERROR(_xlfn.XLOOKUP(C1269&amp;A1269, Inside5!B:B&amp;Inside5!I:I, Inside5!E:E), 0)</f>
        <v>0.91700000000000004</v>
      </c>
      <c r="H1269" cm="1">
        <f t="array" ref="H1269">IFERROR(_xlfn.XLOOKUP(C1269&amp;A1269, TDrate!F:F&amp;TDrate!H:H, TDrate!C:C), "N/A")</f>
        <v>6.6400000000000001E-2</v>
      </c>
      <c r="I1269" cm="1">
        <f t="array" ref="I1269">IFERROR(_xlfn.XLOOKUP(C1269&amp;A1269, TDrate!F:F&amp;TDrate!H:H, TDrate!E:E), "N/A")</f>
        <v>5.8099999999999999E-2</v>
      </c>
      <c r="J1269" cm="1">
        <f t="array" ref="J1269">IFERROR(_xlfn.XLOOKUP(C1269&amp;A1269, Inside5!B:B&amp;Inside5!I:I, Inside5!F:F), 0)</f>
        <v>0</v>
      </c>
      <c r="K1269" cm="1">
        <f t="array" aca="1" ref="K1269" ca="1">IFERROR(_xlfn.XLOOKUP(C1269&amp;A1269, Inside5!B:B&amp;Inside5!I:I, Inside5!G:G), 0)</f>
        <v>2</v>
      </c>
      <c r="L1269" cm="1">
        <f t="array" ref="L1269">IFERROR(_xlfn.XLOOKUP(C1269&amp;A1269, Inside5!B:B&amp;Inside5!I:I, Inside5!H:H), 0)</f>
        <v>0</v>
      </c>
      <c r="M1269" cm="1">
        <f t="array" ref="M1269">IFERROR(_xlfn.XLOOKUP(C1269&amp;A1269, TDrate!F:F&amp;TDrate!H:H, TDrate!B:B), "N/A")</f>
        <v>4.9399999999999999E-2</v>
      </c>
      <c r="N1269" cm="1">
        <f t="array" ref="N1269">IFERROR(_xlfn.XLOOKUP(C1269&amp;A1269, TDrate!F:F&amp;TDrate!H:H, TDrate!D:D), "N/A")</f>
        <v>5.0099999999999999E-2</v>
      </c>
    </row>
    <row r="1270" spans="1:14" x14ac:dyDescent="0.45">
      <c r="A1270" s="5">
        <v>2018</v>
      </c>
      <c r="B1270" s="6" t="s">
        <v>547</v>
      </c>
      <c r="C1270" s="7" t="str">
        <f t="shared" si="38"/>
        <v>Saquon Barkley</v>
      </c>
      <c r="D1270" s="7" t="str">
        <f t="shared" si="39"/>
        <v>NYG</v>
      </c>
      <c r="E1270" cm="1">
        <f t="array" aca="1" ref="E1270" ca="1">IFERROR(_xlfn.XLOOKUP(C1270&amp;A1270, Inside5!B:B&amp;Inside5!I:I, Inside5!C:C), 0)</f>
        <v>16</v>
      </c>
      <c r="F1270" cm="1">
        <f t="array" aca="1" ref="F1270" ca="1">IFERROR(_xlfn.XLOOKUP(C1270&amp;A1270, Inside5!B:B&amp;Inside5!I:I, Inside5!D:D), 0)</f>
        <v>5</v>
      </c>
      <c r="G1270" cm="1">
        <f t="array" ref="G1270">IFERROR(_xlfn.XLOOKUP(C1270&amp;A1270, Inside5!B:B&amp;Inside5!I:I, Inside5!E:E), 0)</f>
        <v>0.94099999999999995</v>
      </c>
      <c r="H1270" cm="1">
        <f t="array" ref="H1270">IFERROR(_xlfn.XLOOKUP(C1270&amp;A1270, TDrate!F:F&amp;TDrate!H:H, TDrate!C:C), "N/A")</f>
        <v>4.2099999999999999E-2</v>
      </c>
      <c r="I1270" cm="1">
        <f t="array" ref="I1270">IFERROR(_xlfn.XLOOKUP(C1270&amp;A1270, TDrate!F:F&amp;TDrate!H:H, TDrate!E:E), "N/A")</f>
        <v>4.1099999999999998E-2</v>
      </c>
      <c r="J1270" cm="1">
        <f t="array" ref="J1270">IFERROR(_xlfn.XLOOKUP(C1270&amp;A1270, Inside5!B:B&amp;Inside5!I:I, Inside5!F:F), 0)</f>
        <v>0</v>
      </c>
      <c r="K1270" cm="1">
        <f t="array" ref="K1270">IFERROR(_xlfn.XLOOKUP(C1270&amp;A1270, Inside5!B:B&amp;Inside5!I:I, Inside5!G:G), 0)</f>
        <v>1</v>
      </c>
      <c r="L1270" cm="1">
        <f t="array" ref="L1270">IFERROR(_xlfn.XLOOKUP(C1270&amp;A1270, Inside5!B:B&amp;Inside5!I:I, Inside5!H:H), 0)</f>
        <v>0</v>
      </c>
      <c r="M1270" cm="1">
        <f t="array" ref="M1270">IFERROR(_xlfn.XLOOKUP(C1270&amp;A1270, TDrate!F:F&amp;TDrate!H:H, TDrate!B:B), "N/A")</f>
        <v>3.3099999999999997E-2</v>
      </c>
      <c r="N1270" cm="1">
        <f t="array" ref="N1270">IFERROR(_xlfn.XLOOKUP(C1270&amp;A1270, TDrate!F:F&amp;TDrate!H:H, TDrate!D:D), "N/A")</f>
        <v>2.98E-2</v>
      </c>
    </row>
    <row r="1271" spans="1:14" x14ac:dyDescent="0.45">
      <c r="A1271" s="8">
        <v>2018</v>
      </c>
      <c r="B1271" s="9" t="s">
        <v>724</v>
      </c>
      <c r="C1271" s="10" t="str">
        <f t="shared" si="38"/>
        <v>Christian McCaffrey</v>
      </c>
      <c r="D1271" s="10" t="str">
        <f t="shared" si="39"/>
        <v>CAR</v>
      </c>
      <c r="E1271" cm="1">
        <f t="array" aca="1" ref="E1271" ca="1">IFERROR(_xlfn.XLOOKUP(C1271&amp;A1271, Inside5!B:B&amp;Inside5!I:I, Inside5!C:C), 0)</f>
        <v>16</v>
      </c>
      <c r="F1271" cm="1">
        <f t="array" ref="F1271">IFERROR(_xlfn.XLOOKUP(C1271&amp;A1271, Inside5!B:B&amp;Inside5!I:I, Inside5!D:D), 0)</f>
        <v>6</v>
      </c>
      <c r="G1271" cm="1">
        <f t="array" ref="G1271">IFERROR(_xlfn.XLOOKUP(C1271&amp;A1271, Inside5!B:B&amp;Inside5!I:I, Inside5!E:E), 0)</f>
        <v>0.76200000000000001</v>
      </c>
      <c r="H1271" cm="1">
        <f t="array" ref="H1271">IFERROR(_xlfn.XLOOKUP(C1271&amp;A1271, TDrate!F:F&amp;TDrate!H:H, TDrate!C:C), "N/A")</f>
        <v>3.2000000000000001E-2</v>
      </c>
      <c r="I1271" cm="1">
        <f t="array" ref="I1271">IFERROR(_xlfn.XLOOKUP(C1271&amp;A1271, TDrate!F:F&amp;TDrate!H:H, TDrate!E:E), "N/A")</f>
        <v>3.7999999999999999E-2</v>
      </c>
      <c r="J1271" cm="1">
        <f t="array" ref="J1271">IFERROR(_xlfn.XLOOKUP(C1271&amp;A1271, Inside5!B:B&amp;Inside5!I:I, Inside5!F:F), 0)</f>
        <v>1</v>
      </c>
      <c r="K1271" cm="1">
        <f t="array" aca="1" ref="K1271" ca="1">IFERROR(_xlfn.XLOOKUP(C1271&amp;A1271, Inside5!B:B&amp;Inside5!I:I, Inside5!G:G), 0)</f>
        <v>1</v>
      </c>
      <c r="L1271" cm="1">
        <f t="array" ref="L1271">IFERROR(_xlfn.XLOOKUP(C1271&amp;A1271, Inside5!B:B&amp;Inside5!I:I, Inside5!H:H), 0)</f>
        <v>1</v>
      </c>
      <c r="M1271" cm="1">
        <f t="array" ref="M1271">IFERROR(_xlfn.XLOOKUP(C1271&amp;A1271, TDrate!F:F&amp;TDrate!H:H, TDrate!B:B), "N/A")</f>
        <v>4.8399999999999999E-2</v>
      </c>
      <c r="N1271" cm="1">
        <f t="array" ref="N1271">IFERROR(_xlfn.XLOOKUP(C1271&amp;A1271, TDrate!F:F&amp;TDrate!H:H, TDrate!D:D), "N/A")</f>
        <v>3.7600000000000001E-2</v>
      </c>
    </row>
    <row r="1272" spans="1:14" x14ac:dyDescent="0.45">
      <c r="A1272" s="5">
        <v>2018</v>
      </c>
      <c r="B1272" s="6" t="s">
        <v>342</v>
      </c>
      <c r="C1272" s="7" t="str">
        <f t="shared" si="38"/>
        <v>Alvin Kamara</v>
      </c>
      <c r="D1272" s="7" t="str">
        <f t="shared" si="39"/>
        <v>NO</v>
      </c>
      <c r="E1272" cm="1">
        <f t="array" aca="1" ref="E1272" ca="1">IFERROR(_xlfn.XLOOKUP(C1272&amp;A1272, Inside5!B:B&amp;Inside5!I:I, Inside5!C:C), 0)</f>
        <v>16</v>
      </c>
      <c r="F1272" cm="1">
        <f t="array" aca="1" ref="F1272" ca="1">IFERROR(_xlfn.XLOOKUP(C1272&amp;A1272, Inside5!B:B&amp;Inside5!I:I, Inside5!D:D), 0)</f>
        <v>9</v>
      </c>
      <c r="G1272" cm="1">
        <f t="array" ref="G1272">IFERROR(_xlfn.XLOOKUP(C1272&amp;A1272, Inside5!B:B&amp;Inside5!I:I, Inside5!E:E), 0)</f>
        <v>0.51600000000000001</v>
      </c>
      <c r="H1272" cm="1">
        <f t="array" ref="H1272">IFERROR(_xlfn.XLOOKUP(C1272&amp;A1272, TDrate!F:F&amp;TDrate!H:H, TDrate!C:C), "N/A")</f>
        <v>7.22E-2</v>
      </c>
      <c r="I1272" cm="1">
        <f t="array" ref="I1272">IFERROR(_xlfn.XLOOKUP(C1272&amp;A1272, TDrate!F:F&amp;TDrate!H:H, TDrate!E:E), "N/A")</f>
        <v>6.25E-2</v>
      </c>
      <c r="J1272" cm="1">
        <f t="array" ref="J1272">IFERROR(_xlfn.XLOOKUP(C1272&amp;A1272, Inside5!B:B&amp;Inside5!I:I, Inside5!F:F), 0)</f>
        <v>3</v>
      </c>
      <c r="K1272" cm="1">
        <f t="array" ref="K1272">IFERROR(_xlfn.XLOOKUP(C1272&amp;A1272, Inside5!B:B&amp;Inside5!I:I, Inside5!G:G), 0)</f>
        <v>3</v>
      </c>
      <c r="L1272" cm="1">
        <f t="array" ref="L1272">IFERROR(_xlfn.XLOOKUP(C1272&amp;A1272, Inside5!B:B&amp;Inside5!I:I, Inside5!H:H), 0)</f>
        <v>1</v>
      </c>
      <c r="M1272" cm="1">
        <f t="array" ref="M1272">IFERROR(_xlfn.XLOOKUP(C1272&amp;A1272, TDrate!F:F&amp;TDrate!H:H, TDrate!B:B), "N/A")</f>
        <v>3.8100000000000002E-2</v>
      </c>
      <c r="N1272" cm="1">
        <f t="array" ref="N1272">IFERROR(_xlfn.XLOOKUP(C1272&amp;A1272, TDrate!F:F&amp;TDrate!H:H, TDrate!D:D), "N/A")</f>
        <v>4.3200000000000002E-2</v>
      </c>
    </row>
    <row r="1273" spans="1:14" x14ac:dyDescent="0.45">
      <c r="A1273" s="8">
        <v>2018</v>
      </c>
      <c r="B1273" s="9" t="s">
        <v>488</v>
      </c>
      <c r="C1273" s="10" t="str">
        <f t="shared" si="38"/>
        <v>Ezekiel Elliott</v>
      </c>
      <c r="D1273" s="10" t="str">
        <f t="shared" si="39"/>
        <v>DAL</v>
      </c>
      <c r="E1273" cm="1">
        <f t="array" ref="E1273">IFERROR(_xlfn.XLOOKUP(C1273&amp;A1273, Inside5!B:B&amp;Inside5!I:I, Inside5!C:C), 0)</f>
        <v>11</v>
      </c>
      <c r="F1273" cm="1">
        <f t="array" aca="1" ref="F1273" ca="1">IFERROR(_xlfn.XLOOKUP(C1273&amp;A1273, Inside5!B:B&amp;Inside5!I:I, Inside5!D:D), 0)</f>
        <v>2</v>
      </c>
      <c r="G1273" cm="1">
        <f t="array" ref="G1273">IFERROR(_xlfn.XLOOKUP(C1273&amp;A1273, Inside5!B:B&amp;Inside5!I:I, Inside5!E:E), 0)</f>
        <v>1</v>
      </c>
      <c r="H1273" cm="1">
        <f t="array" ref="H1273">IFERROR(_xlfn.XLOOKUP(C1273&amp;A1273, TDrate!F:F&amp;TDrate!H:H, TDrate!C:C), "N/A")</f>
        <v>1.9699999999999999E-2</v>
      </c>
      <c r="I1273" cm="1">
        <f t="array" ref="I1273">IFERROR(_xlfn.XLOOKUP(C1273&amp;A1273, TDrate!F:F&amp;TDrate!H:H, TDrate!E:E), "N/A")</f>
        <v>2.24E-2</v>
      </c>
      <c r="J1273" cm="1">
        <f t="array" ref="J1273">IFERROR(_xlfn.XLOOKUP(C1273&amp;A1273, Inside5!B:B&amp;Inside5!I:I, Inside5!F:F), 0)</f>
        <v>0</v>
      </c>
      <c r="K1273" cm="1">
        <f t="array" ref="K1273">IFERROR(_xlfn.XLOOKUP(C1273&amp;A1273, Inside5!B:B&amp;Inside5!I:I, Inside5!G:G), 0)</f>
        <v>0</v>
      </c>
      <c r="L1273" cm="1">
        <f t="array" ref="L1273">IFERROR(_xlfn.XLOOKUP(C1273&amp;A1273, Inside5!B:B&amp;Inside5!I:I, Inside5!H:H), 0)</f>
        <v>0</v>
      </c>
      <c r="M1273" cm="1">
        <f t="array" ref="M1273">IFERROR(_xlfn.XLOOKUP(C1273&amp;A1273, TDrate!F:F&amp;TDrate!H:H, TDrate!B:B), "N/A")</f>
        <v>3.1600000000000003E-2</v>
      </c>
      <c r="N1273" cm="1">
        <f t="array" ref="N1273">IFERROR(_xlfn.XLOOKUP(C1273&amp;A1273, TDrate!F:F&amp;TDrate!H:H, TDrate!D:D), "N/A")</f>
        <v>3.2800000000000003E-2</v>
      </c>
    </row>
    <row r="1274" spans="1:14" x14ac:dyDescent="0.45">
      <c r="A1274" s="5">
        <v>2018</v>
      </c>
      <c r="B1274" s="6" t="s">
        <v>898</v>
      </c>
      <c r="C1274" s="7" t="str">
        <f t="shared" si="38"/>
        <v>Melvin Gordon III</v>
      </c>
      <c r="D1274" s="7" t="str">
        <f t="shared" si="39"/>
        <v>LAC</v>
      </c>
      <c r="E1274" cm="1">
        <f t="array" aca="1" ref="E1274" ca="1">IFERROR(_xlfn.XLOOKUP(C1274&amp;A1274, Inside5!B:B&amp;Inside5!I:I, Inside5!C:C), 0)</f>
        <v>5</v>
      </c>
      <c r="F1274" cm="1">
        <f t="array" aca="1" ref="F1274" ca="1">IFERROR(_xlfn.XLOOKUP(C1274&amp;A1274, Inside5!B:B&amp;Inside5!I:I, Inside5!D:D), 0)</f>
        <v>4</v>
      </c>
      <c r="G1274" cm="1">
        <f t="array" ref="G1274">IFERROR(_xlfn.XLOOKUP(C1274&amp;A1274, Inside5!B:B&amp;Inside5!I:I, Inside5!E:E), 0)</f>
        <v>0.45500000000000002</v>
      </c>
      <c r="H1274" cm="1">
        <f t="array" ref="H1274">IFERROR(_xlfn.XLOOKUP(C1274&amp;A1274, TDrate!F:F&amp;TDrate!H:H, TDrate!C:C), "N/A")</f>
        <v>5.7099999999999998E-2</v>
      </c>
      <c r="I1274" cm="1">
        <f t="array" ref="I1274">IFERROR(_xlfn.XLOOKUP(C1274&amp;A1274, TDrate!F:F&amp;TDrate!H:H, TDrate!E:E), "N/A")</f>
        <v>4.02E-2</v>
      </c>
      <c r="J1274" cm="1">
        <f t="array" ref="J1274">IFERROR(_xlfn.XLOOKUP(C1274&amp;A1274, Inside5!B:B&amp;Inside5!I:I, Inside5!F:F), 0)</f>
        <v>1</v>
      </c>
      <c r="K1274" cm="1">
        <f t="array" ref="K1274">IFERROR(_xlfn.XLOOKUP(C1274&amp;A1274, Inside5!B:B&amp;Inside5!I:I, Inside5!G:G), 0)</f>
        <v>1</v>
      </c>
      <c r="L1274" cm="1">
        <f t="array" ref="L1274">IFERROR(_xlfn.XLOOKUP(C1274&amp;A1274, Inside5!B:B&amp;Inside5!I:I, Inside5!H:H), 0)</f>
        <v>1</v>
      </c>
      <c r="M1274" cm="1">
        <f t="array" ref="M1274">IFERROR(_xlfn.XLOOKUP(C1274&amp;A1274, TDrate!F:F&amp;TDrate!H:H, TDrate!B:B), "N/A")</f>
        <v>6.0600000000000001E-2</v>
      </c>
      <c r="N1274" cm="1">
        <f t="array" ref="N1274">IFERROR(_xlfn.XLOOKUP(C1274&amp;A1274, TDrate!F:F&amp;TDrate!H:H, TDrate!D:D), "N/A")</f>
        <v>5.3400000000000003E-2</v>
      </c>
    </row>
    <row r="1275" spans="1:14" x14ac:dyDescent="0.45">
      <c r="A1275" s="8">
        <v>2018</v>
      </c>
      <c r="B1275" s="9" t="s">
        <v>822</v>
      </c>
      <c r="C1275" s="10" t="str">
        <f t="shared" si="38"/>
        <v>James Conner</v>
      </c>
      <c r="D1275" s="10" t="str">
        <f t="shared" si="39"/>
        <v>PIT</v>
      </c>
      <c r="E1275" cm="1">
        <f t="array" aca="1" ref="E1275" ca="1">IFERROR(_xlfn.XLOOKUP(C1275&amp;A1275, Inside5!B:B&amp;Inside5!I:I, Inside5!C:C), 0)</f>
        <v>17</v>
      </c>
      <c r="F1275" cm="1">
        <f t="array" aca="1" ref="F1275" ca="1">IFERROR(_xlfn.XLOOKUP(C1275&amp;A1275, Inside5!B:B&amp;Inside5!I:I, Inside5!D:D), 0)</f>
        <v>9</v>
      </c>
      <c r="G1275" cm="1">
        <f t="array" ref="G1275">IFERROR(_xlfn.XLOOKUP(C1275&amp;A1275, Inside5!B:B&amp;Inside5!I:I, Inside5!E:E), 0)</f>
        <v>0.81</v>
      </c>
      <c r="H1275" cm="1">
        <f t="array" ref="H1275">IFERROR(_xlfn.XLOOKUP(C1275&amp;A1275, TDrate!F:F&amp;TDrate!H:H, TDrate!C:C), "N/A")</f>
        <v>5.5800000000000002E-2</v>
      </c>
      <c r="I1275" cm="1">
        <f t="array" ref="I1275">IFERROR(_xlfn.XLOOKUP(C1275&amp;A1275, TDrate!F:F&amp;TDrate!H:H, TDrate!E:E), "N/A")</f>
        <v>4.87E-2</v>
      </c>
      <c r="J1275" cm="1">
        <f t="array" ref="J1275">IFERROR(_xlfn.XLOOKUP(C1275&amp;A1275, Inside5!B:B&amp;Inside5!I:I, Inside5!F:F), 0)</f>
        <v>0</v>
      </c>
      <c r="K1275" cm="1">
        <f t="array" ref="K1275">IFERROR(_xlfn.XLOOKUP(C1275&amp;A1275, Inside5!B:B&amp;Inside5!I:I, Inside5!G:G), 0)</f>
        <v>0</v>
      </c>
      <c r="L1275" cm="1">
        <f t="array" ref="L1275">IFERROR(_xlfn.XLOOKUP(C1275&amp;A1275, Inside5!B:B&amp;Inside5!I:I, Inside5!H:H), 0)</f>
        <v>0</v>
      </c>
      <c r="M1275" cm="1">
        <f t="array" ref="M1275">IFERROR(_xlfn.XLOOKUP(C1275&amp;A1275, TDrate!F:F&amp;TDrate!H:H, TDrate!B:B), "N/A")</f>
        <v>1.41E-2</v>
      </c>
      <c r="N1275" cm="1">
        <f t="array" ref="N1275">IFERROR(_xlfn.XLOOKUP(C1275&amp;A1275, TDrate!F:F&amp;TDrate!H:H, TDrate!D:D), "N/A")</f>
        <v>2.0299999999999999E-2</v>
      </c>
    </row>
    <row r="1276" spans="1:14" x14ac:dyDescent="0.45">
      <c r="A1276" s="5">
        <v>2018</v>
      </c>
      <c r="B1276" s="6" t="s">
        <v>329</v>
      </c>
      <c r="C1276" s="7" t="str">
        <f t="shared" si="38"/>
        <v>Kareem Hunt</v>
      </c>
      <c r="D1276" s="7" t="str">
        <f t="shared" si="39"/>
        <v>KC</v>
      </c>
      <c r="E1276" cm="1">
        <f t="array" ref="E1276">IFERROR(_xlfn.XLOOKUP(C1276&amp;A1276, Inside5!B:B&amp;Inside5!I:I, Inside5!C:C), 0)</f>
        <v>11</v>
      </c>
      <c r="F1276" cm="1">
        <f t="array" ref="F1276">IFERROR(_xlfn.XLOOKUP(C1276&amp;A1276, Inside5!B:B&amp;Inside5!I:I, Inside5!D:D), 0)</f>
        <v>6</v>
      </c>
      <c r="G1276" cm="1">
        <f t="array" ref="G1276">IFERROR(_xlfn.XLOOKUP(C1276&amp;A1276, Inside5!B:B&amp;Inside5!I:I, Inside5!E:E), 0)</f>
        <v>0.55000000000000004</v>
      </c>
      <c r="H1276" cm="1">
        <f t="array" ref="H1276">IFERROR(_xlfn.XLOOKUP(C1276&amp;A1276, TDrate!F:F&amp;TDrate!H:H, TDrate!C:C), "N/A")</f>
        <v>3.8699999999999998E-2</v>
      </c>
      <c r="I1276" cm="1">
        <f t="array" ref="I1276">IFERROR(_xlfn.XLOOKUP(C1276&amp;A1276, TDrate!F:F&amp;TDrate!H:H, TDrate!E:E), "N/A")</f>
        <v>3.7999999999999999E-2</v>
      </c>
      <c r="J1276" cm="1">
        <f t="array" ref="J1276">IFERROR(_xlfn.XLOOKUP(C1276&amp;A1276, Inside5!B:B&amp;Inside5!I:I, Inside5!F:F), 0)</f>
        <v>1</v>
      </c>
      <c r="K1276" cm="1">
        <f t="array" ref="K1276">IFERROR(_xlfn.XLOOKUP(C1276&amp;A1276, Inside5!B:B&amp;Inside5!I:I, Inside5!G:G), 0)</f>
        <v>2</v>
      </c>
      <c r="L1276" cm="1">
        <f t="array" ref="L1276">IFERROR(_xlfn.XLOOKUP(C1276&amp;A1276, Inside5!B:B&amp;Inside5!I:I, Inside5!H:H), 0)</f>
        <v>1</v>
      </c>
      <c r="M1276" cm="1">
        <f t="array" ref="M1276">IFERROR(_xlfn.XLOOKUP(C1276&amp;A1276, TDrate!F:F&amp;TDrate!H:H, TDrate!B:B), "N/A")</f>
        <v>0.2</v>
      </c>
      <c r="N1276" cm="1">
        <f t="array" ref="N1276">IFERROR(_xlfn.XLOOKUP(C1276&amp;A1276, TDrate!F:F&amp;TDrate!H:H, TDrate!D:D), "N/A")</f>
        <v>0.13370000000000001</v>
      </c>
    </row>
    <row r="1277" spans="1:14" x14ac:dyDescent="0.45">
      <c r="A1277" s="8">
        <v>2018</v>
      </c>
      <c r="B1277" s="9" t="s">
        <v>546</v>
      </c>
      <c r="C1277" s="10" t="str">
        <f t="shared" si="38"/>
        <v>Joe Mixon</v>
      </c>
      <c r="D1277" s="10" t="str">
        <f t="shared" si="39"/>
        <v>CIN</v>
      </c>
      <c r="E1277" cm="1">
        <f t="array" ref="E1277">IFERROR(_xlfn.XLOOKUP(C1277&amp;A1277, Inside5!B:B&amp;Inside5!I:I, Inside5!C:C), 0)</f>
        <v>13</v>
      </c>
      <c r="F1277" cm="1">
        <f t="array" ref="F1277">IFERROR(_xlfn.XLOOKUP(C1277&amp;A1277, Inside5!B:B&amp;Inside5!I:I, Inside5!D:D), 0)</f>
        <v>6</v>
      </c>
      <c r="G1277" cm="1">
        <f t="array" ref="G1277">IFERROR(_xlfn.XLOOKUP(C1277&amp;A1277, Inside5!B:B&amp;Inside5!I:I, Inside5!E:E), 0)</f>
        <v>0.81299999999999994</v>
      </c>
      <c r="H1277" cm="1">
        <f t="array" ref="H1277">IFERROR(_xlfn.XLOOKUP(C1277&amp;A1277, TDrate!F:F&amp;TDrate!H:H, TDrate!C:C), "N/A")</f>
        <v>3.3799999999999997E-2</v>
      </c>
      <c r="I1277" cm="1">
        <f t="array" ref="I1277">IFERROR(_xlfn.XLOOKUP(C1277&amp;A1277, TDrate!F:F&amp;TDrate!H:H, TDrate!E:E), "N/A")</f>
        <v>3.3099999999999997E-2</v>
      </c>
      <c r="J1277" cm="1">
        <f t="array" ref="J1277">IFERROR(_xlfn.XLOOKUP(C1277&amp;A1277, Inside5!B:B&amp;Inside5!I:I, Inside5!F:F), 0)</f>
        <v>0</v>
      </c>
      <c r="K1277" cm="1">
        <f t="array" ref="K1277">IFERROR(_xlfn.XLOOKUP(C1277&amp;A1277, Inside5!B:B&amp;Inside5!I:I, Inside5!G:G), 0)</f>
        <v>1</v>
      </c>
      <c r="L1277" cm="1">
        <f t="array" ref="L1277">IFERROR(_xlfn.XLOOKUP(C1277&amp;A1277, Inside5!B:B&amp;Inside5!I:I, Inside5!H:H), 0)</f>
        <v>0</v>
      </c>
      <c r="M1277" cm="1">
        <f t="array" ref="M1277">IFERROR(_xlfn.XLOOKUP(C1277&amp;A1277, TDrate!F:F&amp;TDrate!H:H, TDrate!B:B), "N/A")</f>
        <v>1.8200000000000001E-2</v>
      </c>
      <c r="N1277" cm="1">
        <f t="array" ref="N1277">IFERROR(_xlfn.XLOOKUP(C1277&amp;A1277, TDrate!F:F&amp;TDrate!H:H, TDrate!D:D), "N/A")</f>
        <v>2.5700000000000001E-2</v>
      </c>
    </row>
    <row r="1278" spans="1:14" x14ac:dyDescent="0.45">
      <c r="A1278" s="5">
        <v>2018</v>
      </c>
      <c r="B1278" s="6" t="s">
        <v>902</v>
      </c>
      <c r="C1278" s="7" t="str">
        <f t="shared" si="38"/>
        <v>David Johnson</v>
      </c>
      <c r="D1278" s="7" t="str">
        <f t="shared" si="39"/>
        <v>ARI</v>
      </c>
      <c r="E1278" cm="1">
        <f t="array" ref="E1278">IFERROR(_xlfn.XLOOKUP(C1278&amp;A1278, Inside5!B:B&amp;Inside5!I:I, Inside5!C:C), 0)</f>
        <v>9</v>
      </c>
      <c r="F1278" cm="1">
        <f t="array" ref="F1278">IFERROR(_xlfn.XLOOKUP(C1278&amp;A1278, Inside5!B:B&amp;Inside5!I:I, Inside5!D:D), 0)</f>
        <v>6</v>
      </c>
      <c r="G1278" cm="1">
        <f t="array" ref="G1278">IFERROR(_xlfn.XLOOKUP(C1278&amp;A1278, Inside5!B:B&amp;Inside5!I:I, Inside5!E:E), 0)</f>
        <v>1</v>
      </c>
      <c r="H1278" cm="1">
        <f t="array" ref="H1278">IFERROR(_xlfn.XLOOKUP(C1278&amp;A1278, TDrate!F:F&amp;TDrate!H:H, TDrate!C:C), "N/A")</f>
        <v>2.7099999999999999E-2</v>
      </c>
      <c r="I1278" cm="1">
        <f t="array" ref="I1278">IFERROR(_xlfn.XLOOKUP(C1278&amp;A1278, TDrate!F:F&amp;TDrate!H:H, TDrate!E:E), "N/A")</f>
        <v>2.4899999999999999E-2</v>
      </c>
      <c r="J1278" cm="1">
        <f t="array" ref="J1278">IFERROR(_xlfn.XLOOKUP(C1278&amp;A1278, Inside5!B:B&amp;Inside5!I:I, Inside5!F:F), 0)</f>
        <v>0</v>
      </c>
      <c r="K1278" cm="1">
        <f t="array" aca="1" ref="K1278" ca="1">IFERROR(_xlfn.XLOOKUP(C1278&amp;A1278, Inside5!B:B&amp;Inside5!I:I, Inside5!G:G), 0)</f>
        <v>0</v>
      </c>
      <c r="L1278" cm="1">
        <f t="array" ref="L1278">IFERROR(_xlfn.XLOOKUP(C1278&amp;A1278, Inside5!B:B&amp;Inside5!I:I, Inside5!H:H), 0)</f>
        <v>0</v>
      </c>
      <c r="M1278" cm="1">
        <f t="array" ref="M1278">IFERROR(_xlfn.XLOOKUP(C1278&amp;A1278, TDrate!F:F&amp;TDrate!H:H, TDrate!B:B), "N/A")</f>
        <v>3.95E-2</v>
      </c>
      <c r="N1278" cm="1">
        <f t="array" ref="N1278">IFERROR(_xlfn.XLOOKUP(C1278&amp;A1278, TDrate!F:F&amp;TDrate!H:H, TDrate!D:D), "N/A")</f>
        <v>3.6900000000000002E-2</v>
      </c>
    </row>
    <row r="1279" spans="1:14" x14ac:dyDescent="0.45">
      <c r="A1279" s="8">
        <v>2018</v>
      </c>
      <c r="B1279" s="9" t="s">
        <v>758</v>
      </c>
      <c r="C1279" s="10" t="str">
        <f t="shared" si="38"/>
        <v>James White</v>
      </c>
      <c r="D1279" s="10" t="str">
        <f t="shared" si="39"/>
        <v>NE</v>
      </c>
      <c r="E1279" cm="1">
        <f t="array" ref="E1279">IFERROR(_xlfn.XLOOKUP(C1279&amp;A1279, Inside5!B:B&amp;Inside5!I:I, Inside5!C:C), 0)</f>
        <v>9</v>
      </c>
      <c r="F1279" cm="1">
        <f t="array" ref="F1279">IFERROR(_xlfn.XLOOKUP(C1279&amp;A1279, Inside5!B:B&amp;Inside5!I:I, Inside5!D:D), 0)</f>
        <v>2</v>
      </c>
      <c r="G1279" cm="1">
        <f t="array" ref="G1279">IFERROR(_xlfn.XLOOKUP(C1279&amp;A1279, Inside5!B:B&amp;Inside5!I:I, Inside5!E:E), 0)</f>
        <v>0.28999999999999998</v>
      </c>
      <c r="H1279" cm="1">
        <f t="array" ref="H1279">IFERROR(_xlfn.XLOOKUP(C1279&amp;A1279, TDrate!F:F&amp;TDrate!H:H, TDrate!C:C), "N/A")</f>
        <v>5.3199999999999997E-2</v>
      </c>
      <c r="I1279" cm="1">
        <f t="array" ref="I1279">IFERROR(_xlfn.XLOOKUP(C1279&amp;A1279, TDrate!F:F&amp;TDrate!H:H, TDrate!E:E), "N/A")</f>
        <v>5.3100000000000001E-2</v>
      </c>
      <c r="J1279" cm="1">
        <f t="array" ref="J1279">IFERROR(_xlfn.XLOOKUP(C1279&amp;A1279, Inside5!B:B&amp;Inside5!I:I, Inside5!F:F), 0)</f>
        <v>2</v>
      </c>
      <c r="K1279" cm="1">
        <f t="array" ref="K1279">IFERROR(_xlfn.XLOOKUP(C1279&amp;A1279, Inside5!B:B&amp;Inside5!I:I, Inside5!G:G), 0)</f>
        <v>2</v>
      </c>
      <c r="L1279" cm="1">
        <f t="array" ref="L1279">IFERROR(_xlfn.XLOOKUP(C1279&amp;A1279, Inside5!B:B&amp;Inside5!I:I, Inside5!H:H), 0)</f>
        <v>2</v>
      </c>
      <c r="M1279" cm="1">
        <f t="array" ref="M1279">IFERROR(_xlfn.XLOOKUP(C1279&amp;A1279, TDrate!F:F&amp;TDrate!H:H, TDrate!B:B), "N/A")</f>
        <v>5.6899999999999999E-2</v>
      </c>
      <c r="N1279" cm="1">
        <f t="array" ref="N1279">IFERROR(_xlfn.XLOOKUP(C1279&amp;A1279, TDrate!F:F&amp;TDrate!H:H, TDrate!D:D), "N/A")</f>
        <v>4.8500000000000001E-2</v>
      </c>
    </row>
    <row r="1280" spans="1:14" x14ac:dyDescent="0.45">
      <c r="A1280" s="5">
        <v>2018</v>
      </c>
      <c r="B1280" s="6" t="s">
        <v>836</v>
      </c>
      <c r="C1280" s="7" t="str">
        <f t="shared" si="38"/>
        <v>Phillip Lindsay</v>
      </c>
      <c r="D1280" s="7" t="str">
        <f t="shared" si="39"/>
        <v>DEN</v>
      </c>
      <c r="E1280" cm="1">
        <f t="array" aca="1" ref="E1280" ca="1">IFERROR(_xlfn.XLOOKUP(C1280&amp;A1280, Inside5!B:B&amp;Inside5!I:I, Inside5!C:C), 0)</f>
        <v>8</v>
      </c>
      <c r="F1280" cm="1">
        <f t="array" aca="1" ref="F1280" ca="1">IFERROR(_xlfn.XLOOKUP(C1280&amp;A1280, Inside5!B:B&amp;Inside5!I:I, Inside5!D:D), 0)</f>
        <v>5</v>
      </c>
      <c r="G1280" cm="1">
        <f t="array" ref="G1280">IFERROR(_xlfn.XLOOKUP(C1280&amp;A1280, Inside5!B:B&amp;Inside5!I:I, Inside5!E:E), 0)</f>
        <v>0.61499999999999999</v>
      </c>
      <c r="H1280" cm="1">
        <f t="array" ref="H1280">IFERROR(_xlfn.XLOOKUP(C1280&amp;A1280, TDrate!F:F&amp;TDrate!H:H, TDrate!C:C), "N/A")</f>
        <v>4.6899999999999997E-2</v>
      </c>
      <c r="I1280" cm="1">
        <f t="array" ref="I1280">IFERROR(_xlfn.XLOOKUP(C1280&amp;A1280, TDrate!F:F&amp;TDrate!H:H, TDrate!E:E), "N/A")</f>
        <v>3.73E-2</v>
      </c>
      <c r="J1280" cm="1">
        <f t="array" ref="J1280">IFERROR(_xlfn.XLOOKUP(C1280&amp;A1280, Inside5!B:B&amp;Inside5!I:I, Inside5!F:F), 0)</f>
        <v>0</v>
      </c>
      <c r="K1280" cm="1">
        <f t="array" ref="K1280">IFERROR(_xlfn.XLOOKUP(C1280&amp;A1280, Inside5!B:B&amp;Inside5!I:I, Inside5!G:G), 0)</f>
        <v>0</v>
      </c>
      <c r="L1280" cm="1">
        <f t="array" ref="L1280">IFERROR(_xlfn.XLOOKUP(C1280&amp;A1280, Inside5!B:B&amp;Inside5!I:I, Inside5!H:H), 0)</f>
        <v>0</v>
      </c>
      <c r="M1280" cm="1">
        <f t="array" ref="M1280">IFERROR(_xlfn.XLOOKUP(C1280&amp;A1280, TDrate!F:F&amp;TDrate!H:H, TDrate!B:B), "N/A")</f>
        <v>2.1299999999999999E-2</v>
      </c>
      <c r="N1280" cm="1">
        <f t="array" ref="N1280">IFERROR(_xlfn.XLOOKUP(C1280&amp;A1280, TDrate!F:F&amp;TDrate!H:H, TDrate!D:D), "N/A")</f>
        <v>2.3699999999999999E-2</v>
      </c>
    </row>
    <row r="1281" spans="1:14" x14ac:dyDescent="0.45">
      <c r="A1281" s="8">
        <v>2018</v>
      </c>
      <c r="B1281" s="9" t="s">
        <v>545</v>
      </c>
      <c r="C1281" s="10" t="str">
        <f t="shared" si="38"/>
        <v>Derrick Henry</v>
      </c>
      <c r="D1281" s="10" t="str">
        <f t="shared" si="39"/>
        <v>TEN</v>
      </c>
      <c r="E1281" cm="1">
        <f t="array" aca="1" ref="E1281" ca="1">IFERROR(_xlfn.XLOOKUP(C1281&amp;A1281, Inside5!B:B&amp;Inside5!I:I, Inside5!C:C), 0)</f>
        <v>17</v>
      </c>
      <c r="F1281" cm="1">
        <f t="array" ref="F1281">IFERROR(_xlfn.XLOOKUP(C1281&amp;A1281, Inside5!B:B&amp;Inside5!I:I, Inside5!D:D), 0)</f>
        <v>8</v>
      </c>
      <c r="G1281" cm="1">
        <f t="array" ref="G1281">IFERROR(_xlfn.XLOOKUP(C1281&amp;A1281, Inside5!B:B&amp;Inside5!I:I, Inside5!E:E), 0)</f>
        <v>0.77300000000000002</v>
      </c>
      <c r="H1281" cm="1">
        <f t="array" ref="H1281">IFERROR(_xlfn.XLOOKUP(C1281&amp;A1281, TDrate!F:F&amp;TDrate!H:H, TDrate!C:C), "N/A")</f>
        <v>5.5800000000000002E-2</v>
      </c>
      <c r="I1281" cm="1">
        <f t="array" ref="I1281">IFERROR(_xlfn.XLOOKUP(C1281&amp;A1281, TDrate!F:F&amp;TDrate!H:H, TDrate!E:E), "N/A")</f>
        <v>4.9299999999999997E-2</v>
      </c>
      <c r="J1281" cm="1">
        <f t="array" ref="J1281">IFERROR(_xlfn.XLOOKUP(C1281&amp;A1281, Inside5!B:B&amp;Inside5!I:I, Inside5!F:F), 0)</f>
        <v>0</v>
      </c>
      <c r="K1281" cm="1">
        <f t="array" ref="K1281">IFERROR(_xlfn.XLOOKUP(C1281&amp;A1281, Inside5!B:B&amp;Inside5!I:I, Inside5!G:G), 0)</f>
        <v>0</v>
      </c>
      <c r="L1281" cm="1">
        <f t="array" ref="L1281">IFERROR(_xlfn.XLOOKUP(C1281&amp;A1281, Inside5!B:B&amp;Inside5!I:I, Inside5!H:H), 0)</f>
        <v>0</v>
      </c>
      <c r="M1281" cm="1">
        <f t="array" ref="M1281">IFERROR(_xlfn.XLOOKUP(C1281&amp;A1281, TDrate!F:F&amp;TDrate!H:H, TDrate!B:B), "N/A")</f>
        <v>0</v>
      </c>
      <c r="N1281" cm="1">
        <f t="array" ref="N1281">IFERROR(_xlfn.XLOOKUP(C1281&amp;A1281, TDrate!F:F&amp;TDrate!H:H, TDrate!D:D), "N/A")</f>
        <v>9.4999999999999998E-3</v>
      </c>
    </row>
    <row r="1282" spans="1:14" x14ac:dyDescent="0.45">
      <c r="A1282" s="5">
        <v>2018</v>
      </c>
      <c r="B1282" s="6" t="s">
        <v>741</v>
      </c>
      <c r="C1282" s="7" t="str">
        <f t="shared" ref="C1282:C1345" si="40">TRIM(LEFT(B1282, LEN(B1282) - LEN(TRIM(RIGHT(SUBSTITUTE(TRIM(B1282)," ",REPT(" ",100)),100)))))</f>
        <v>Chris Carson</v>
      </c>
      <c r="D1282" s="7" t="str">
        <f t="shared" ref="D1282:D1345" si="41">MID(B1282, FIND("(", B1282) + 1, FIND(")", B1282) - FIND("(", B1282) - 1)</f>
        <v>SEA</v>
      </c>
      <c r="E1282" cm="1">
        <f t="array" ref="E1282">IFERROR(_xlfn.XLOOKUP(C1282&amp;A1282, Inside5!B:B&amp;Inside5!I:I, Inside5!C:C), 0)</f>
        <v>16</v>
      </c>
      <c r="F1282" cm="1">
        <f t="array" ref="F1282">IFERROR(_xlfn.XLOOKUP(C1282&amp;A1282, Inside5!B:B&amp;Inside5!I:I, Inside5!D:D), 0)</f>
        <v>7</v>
      </c>
      <c r="G1282" cm="1">
        <f t="array" ref="G1282">IFERROR(_xlfn.XLOOKUP(C1282&amp;A1282, Inside5!B:B&amp;Inside5!I:I, Inside5!E:E), 0)</f>
        <v>0.8</v>
      </c>
      <c r="H1282" cm="1">
        <f t="array" ref="H1282">IFERROR(_xlfn.XLOOKUP(C1282&amp;A1282, TDrate!F:F&amp;TDrate!H:H, TDrate!C:C), "N/A")</f>
        <v>3.6400000000000002E-2</v>
      </c>
      <c r="I1282" cm="1">
        <f t="array" ref="I1282">IFERROR(_xlfn.XLOOKUP(C1282&amp;A1282, TDrate!F:F&amp;TDrate!H:H, TDrate!E:E), "N/A")</f>
        <v>3.73E-2</v>
      </c>
      <c r="J1282" cm="1">
        <f t="array" ref="J1282">IFERROR(_xlfn.XLOOKUP(C1282&amp;A1282, Inside5!B:B&amp;Inside5!I:I, Inside5!F:F), 0)</f>
        <v>0</v>
      </c>
      <c r="K1282" cm="1">
        <f t="array" ref="K1282">IFERROR(_xlfn.XLOOKUP(C1282&amp;A1282, Inside5!B:B&amp;Inside5!I:I, Inside5!G:G), 0)</f>
        <v>0</v>
      </c>
      <c r="L1282" cm="1">
        <f t="array" ref="L1282">IFERROR(_xlfn.XLOOKUP(C1282&amp;A1282, Inside5!B:B&amp;Inside5!I:I, Inside5!H:H), 0)</f>
        <v>0</v>
      </c>
      <c r="M1282" cm="1">
        <f t="array" ref="M1282">IFERROR(_xlfn.XLOOKUP(C1282&amp;A1282, TDrate!F:F&amp;TDrate!H:H, TDrate!B:B), "N/A")</f>
        <v>0</v>
      </c>
      <c r="N1282" cm="1">
        <f t="array" ref="N1282">IFERROR(_xlfn.XLOOKUP(C1282&amp;A1282, TDrate!F:F&amp;TDrate!H:H, TDrate!D:D), "N/A")</f>
        <v>1.0200000000000001E-2</v>
      </c>
    </row>
    <row r="1283" spans="1:14" x14ac:dyDescent="0.45">
      <c r="A1283" s="8">
        <v>2018</v>
      </c>
      <c r="B1283" s="9" t="s">
        <v>483</v>
      </c>
      <c r="C1283" s="10" t="str">
        <f t="shared" si="40"/>
        <v>Nick Chubb</v>
      </c>
      <c r="D1283" s="10" t="str">
        <f t="shared" si="41"/>
        <v>CLE</v>
      </c>
      <c r="E1283" cm="1">
        <f t="array" ref="E1283">IFERROR(_xlfn.XLOOKUP(C1283&amp;A1283, Inside5!B:B&amp;Inside5!I:I, Inside5!C:C), 0)</f>
        <v>9</v>
      </c>
      <c r="F1283" cm="1">
        <f t="array" ref="F1283">IFERROR(_xlfn.XLOOKUP(C1283&amp;A1283, Inside5!B:B&amp;Inside5!I:I, Inside5!D:D), 0)</f>
        <v>5</v>
      </c>
      <c r="G1283" cm="1">
        <f t="array" ref="G1283">IFERROR(_xlfn.XLOOKUP(C1283&amp;A1283, Inside5!B:B&amp;Inside5!I:I, Inside5!E:E), 0)</f>
        <v>0.45</v>
      </c>
      <c r="H1283" cm="1">
        <f t="array" ref="H1283">IFERROR(_xlfn.XLOOKUP(C1283&amp;A1283, TDrate!F:F&amp;TDrate!H:H, TDrate!C:C), "N/A")</f>
        <v>4.1700000000000001E-2</v>
      </c>
      <c r="I1283" cm="1">
        <f t="array" ref="I1283">IFERROR(_xlfn.XLOOKUP(C1283&amp;A1283, TDrate!F:F&amp;TDrate!H:H, TDrate!E:E), "N/A")</f>
        <v>3.5700000000000003E-2</v>
      </c>
      <c r="J1283" cm="1">
        <f t="array" ref="J1283">IFERROR(_xlfn.XLOOKUP(C1283&amp;A1283, Inside5!B:B&amp;Inside5!I:I, Inside5!F:F), 0)</f>
        <v>0</v>
      </c>
      <c r="K1283" cm="1">
        <f t="array" ref="K1283">IFERROR(_xlfn.XLOOKUP(C1283&amp;A1283, Inside5!B:B&amp;Inside5!I:I, Inside5!G:G), 0)</f>
        <v>0</v>
      </c>
      <c r="L1283" cm="1">
        <f t="array" ref="L1283">IFERROR(_xlfn.XLOOKUP(C1283&amp;A1283, Inside5!B:B&amp;Inside5!I:I, Inside5!H:H), 0)</f>
        <v>0</v>
      </c>
      <c r="M1283" cm="1">
        <f t="array" ref="M1283">IFERROR(_xlfn.XLOOKUP(C1283&amp;A1283, TDrate!F:F&amp;TDrate!H:H, TDrate!B:B), "N/A")</f>
        <v>6.9000000000000006E-2</v>
      </c>
      <c r="N1283" cm="1">
        <f t="array" ref="N1283">IFERROR(_xlfn.XLOOKUP(C1283&amp;A1283, TDrate!F:F&amp;TDrate!H:H, TDrate!D:D), "N/A")</f>
        <v>4.8500000000000001E-2</v>
      </c>
    </row>
    <row r="1284" spans="1:14" x14ac:dyDescent="0.45">
      <c r="A1284" s="5">
        <v>2018</v>
      </c>
      <c r="B1284" s="6" t="s">
        <v>900</v>
      </c>
      <c r="C1284" s="7" t="str">
        <f t="shared" si="40"/>
        <v>Adrian Peterson</v>
      </c>
      <c r="D1284" s="7" t="str">
        <f t="shared" si="41"/>
        <v>WAS</v>
      </c>
      <c r="E1284" cm="1">
        <f t="array" ref="E1284">IFERROR(_xlfn.XLOOKUP(C1284&amp;A1284, Inside5!B:B&amp;Inside5!I:I, Inside5!C:C), 0)</f>
        <v>8</v>
      </c>
      <c r="F1284" cm="1">
        <f t="array" ref="F1284">IFERROR(_xlfn.XLOOKUP(C1284&amp;A1284, Inside5!B:B&amp;Inside5!I:I, Inside5!D:D), 0)</f>
        <v>4</v>
      </c>
      <c r="G1284" cm="1">
        <f t="array" ref="G1284">IFERROR(_xlfn.XLOOKUP(C1284&amp;A1284, Inside5!B:B&amp;Inside5!I:I, Inside5!E:E), 0)</f>
        <v>0.57099999999999995</v>
      </c>
      <c r="H1284" cm="1">
        <f t="array" ref="H1284">IFERROR(_xlfn.XLOOKUP(C1284&amp;A1284, TDrate!F:F&amp;TDrate!H:H, TDrate!C:C), "N/A")</f>
        <v>2.7900000000000001E-2</v>
      </c>
      <c r="I1284" cm="1">
        <f t="array" ref="I1284">IFERROR(_xlfn.XLOOKUP(C1284&amp;A1284, TDrate!F:F&amp;TDrate!H:H, TDrate!E:E), "N/A")</f>
        <v>2.5100000000000001E-2</v>
      </c>
      <c r="J1284" cm="1">
        <f t="array" ref="J1284">IFERROR(_xlfn.XLOOKUP(C1284&amp;A1284, Inside5!B:B&amp;Inside5!I:I, Inside5!F:F), 0)</f>
        <v>0</v>
      </c>
      <c r="K1284" cm="1">
        <f t="array" ref="K1284">IFERROR(_xlfn.XLOOKUP(C1284&amp;A1284, Inside5!B:B&amp;Inside5!I:I, Inside5!G:G), 0)</f>
        <v>0</v>
      </c>
      <c r="L1284" cm="1">
        <f t="array" ref="L1284">IFERROR(_xlfn.XLOOKUP(C1284&amp;A1284, Inside5!B:B&amp;Inside5!I:I, Inside5!H:H), 0)</f>
        <v>0</v>
      </c>
      <c r="M1284" cm="1">
        <f t="array" ref="M1284">IFERROR(_xlfn.XLOOKUP(C1284&amp;A1284, TDrate!F:F&amp;TDrate!H:H, TDrate!B:B), "N/A")</f>
        <v>3.85E-2</v>
      </c>
      <c r="N1284" cm="1">
        <f t="array" ref="N1284">IFERROR(_xlfn.XLOOKUP(C1284&amp;A1284, TDrate!F:F&amp;TDrate!H:H, TDrate!D:D), "N/A")</f>
        <v>3.1399999999999997E-2</v>
      </c>
    </row>
    <row r="1285" spans="1:14" x14ac:dyDescent="0.45">
      <c r="A1285" s="8">
        <v>2018</v>
      </c>
      <c r="B1285" s="9" t="s">
        <v>797</v>
      </c>
      <c r="C1285" s="10" t="str">
        <f t="shared" si="40"/>
        <v>Tarik Cohen</v>
      </c>
      <c r="D1285" s="10" t="str">
        <f t="shared" si="41"/>
        <v>CHI</v>
      </c>
      <c r="E1285" cm="1">
        <f t="array" ref="E1285">IFERROR(_xlfn.XLOOKUP(C1285&amp;A1285, Inside5!B:B&amp;Inside5!I:I, Inside5!C:C), 0)</f>
        <v>1</v>
      </c>
      <c r="F1285" cm="1">
        <f t="array" ref="F1285">IFERROR(_xlfn.XLOOKUP(C1285&amp;A1285, Inside5!B:B&amp;Inside5!I:I, Inside5!D:D), 0)</f>
        <v>1</v>
      </c>
      <c r="G1285" cm="1">
        <f t="array" ref="G1285">IFERROR(_xlfn.XLOOKUP(C1285&amp;A1285, Inside5!B:B&amp;Inside5!I:I, Inside5!E:E), 0)</f>
        <v>8.3000000000000004E-2</v>
      </c>
      <c r="H1285" cm="1">
        <f t="array" ref="H1285">IFERROR(_xlfn.XLOOKUP(C1285&amp;A1285, TDrate!F:F&amp;TDrate!H:H, TDrate!C:C), "N/A")</f>
        <v>3.0300000000000001E-2</v>
      </c>
      <c r="I1285" cm="1">
        <f t="array" ref="I1285">IFERROR(_xlfn.XLOOKUP(C1285&amp;A1285, TDrate!F:F&amp;TDrate!H:H, TDrate!E:E), "N/A")</f>
        <v>2.41E-2</v>
      </c>
      <c r="J1285" cm="1">
        <f t="array" ref="J1285">IFERROR(_xlfn.XLOOKUP(C1285&amp;A1285, Inside5!B:B&amp;Inside5!I:I, Inside5!F:F), 0)</f>
        <v>0</v>
      </c>
      <c r="K1285" cm="1">
        <f t="array" ref="K1285">IFERROR(_xlfn.XLOOKUP(C1285&amp;A1285, Inside5!B:B&amp;Inside5!I:I, Inside5!G:G), 0)</f>
        <v>1</v>
      </c>
      <c r="L1285" cm="1">
        <f t="array" ref="L1285">IFERROR(_xlfn.XLOOKUP(C1285&amp;A1285, Inside5!B:B&amp;Inside5!I:I, Inside5!H:H), 0)</f>
        <v>0</v>
      </c>
      <c r="M1285" cm="1">
        <f t="array" ref="M1285">IFERROR(_xlfn.XLOOKUP(C1285&amp;A1285, TDrate!F:F&amp;TDrate!H:H, TDrate!B:B), "N/A")</f>
        <v>5.4899999999999997E-2</v>
      </c>
      <c r="N1285" cm="1">
        <f t="array" ref="N1285">IFERROR(_xlfn.XLOOKUP(C1285&amp;A1285, TDrate!F:F&amp;TDrate!H:H, TDrate!D:D), "N/A")</f>
        <v>4.5199999999999997E-2</v>
      </c>
    </row>
    <row r="1286" spans="1:14" x14ac:dyDescent="0.45">
      <c r="A1286" s="5">
        <v>2018</v>
      </c>
      <c r="B1286" s="6" t="s">
        <v>992</v>
      </c>
      <c r="C1286" s="7" t="str">
        <f t="shared" si="40"/>
        <v>Tevin Coleman</v>
      </c>
      <c r="D1286" s="7" t="str">
        <f t="shared" si="41"/>
        <v>ATL</v>
      </c>
      <c r="E1286" cm="1">
        <f t="array" ref="E1286">IFERROR(_xlfn.XLOOKUP(C1286&amp;A1286, Inside5!B:B&amp;Inside5!I:I, Inside5!C:C), 0)</f>
        <v>6</v>
      </c>
      <c r="F1286" cm="1">
        <f t="array" aca="1" ref="F1286" ca="1">IFERROR(_xlfn.XLOOKUP(C1286&amp;A1286, Inside5!B:B&amp;Inside5!I:I, Inside5!D:D), 0)</f>
        <v>0</v>
      </c>
      <c r="G1286" cm="1">
        <f t="array" ref="G1286">IFERROR(_xlfn.XLOOKUP(C1286&amp;A1286, Inside5!B:B&amp;Inside5!I:I, Inside5!E:E), 0)</f>
        <v>0.46200000000000002</v>
      </c>
      <c r="H1286" cm="1">
        <f t="array" ref="H1286">IFERROR(_xlfn.XLOOKUP(C1286&amp;A1286, TDrate!F:F&amp;TDrate!H:H, TDrate!C:C), "N/A")</f>
        <v>2.4E-2</v>
      </c>
      <c r="I1286" cm="1">
        <f t="array" ref="I1286">IFERROR(_xlfn.XLOOKUP(C1286&amp;A1286, TDrate!F:F&amp;TDrate!H:H, TDrate!E:E), "N/A")</f>
        <v>2.3300000000000001E-2</v>
      </c>
      <c r="J1286" cm="1">
        <f t="array" ref="J1286">IFERROR(_xlfn.XLOOKUP(C1286&amp;A1286, Inside5!B:B&amp;Inside5!I:I, Inside5!F:F), 0)</f>
        <v>2</v>
      </c>
      <c r="K1286" cm="1">
        <f t="array" ref="K1286">IFERROR(_xlfn.XLOOKUP(C1286&amp;A1286, Inside5!B:B&amp;Inside5!I:I, Inside5!G:G), 0)</f>
        <v>2</v>
      </c>
      <c r="L1286" cm="1">
        <f t="array" ref="L1286">IFERROR(_xlfn.XLOOKUP(C1286&amp;A1286, Inside5!B:B&amp;Inside5!I:I, Inside5!H:H), 0)</f>
        <v>2</v>
      </c>
      <c r="M1286" cm="1">
        <f t="array" ref="M1286">IFERROR(_xlfn.XLOOKUP(C1286&amp;A1286, TDrate!F:F&amp;TDrate!H:H, TDrate!B:B), "N/A")</f>
        <v>0.11360000000000001</v>
      </c>
      <c r="N1286" cm="1">
        <f t="array" ref="N1286">IFERROR(_xlfn.XLOOKUP(C1286&amp;A1286, TDrate!F:F&amp;TDrate!H:H, TDrate!D:D), "N/A")</f>
        <v>8.2400000000000001E-2</v>
      </c>
    </row>
    <row r="1287" spans="1:14" x14ac:dyDescent="0.45">
      <c r="A1287" s="8">
        <v>2018</v>
      </c>
      <c r="B1287" s="9" t="s">
        <v>766</v>
      </c>
      <c r="C1287" s="10" t="str">
        <f t="shared" si="40"/>
        <v>Marlon Mack</v>
      </c>
      <c r="D1287" s="10" t="str">
        <f t="shared" si="41"/>
        <v>IND</v>
      </c>
      <c r="E1287" cm="1">
        <f t="array" aca="1" ref="E1287" ca="1">IFERROR(_xlfn.XLOOKUP(C1287&amp;A1287, Inside5!B:B&amp;Inside5!I:I, Inside5!C:C), 0)</f>
        <v>13</v>
      </c>
      <c r="F1287" cm="1">
        <f t="array" aca="1" ref="F1287" ca="1">IFERROR(_xlfn.XLOOKUP(C1287&amp;A1287, Inside5!B:B&amp;Inside5!I:I, Inside5!D:D), 0)</f>
        <v>6</v>
      </c>
      <c r="G1287" cm="1">
        <f t="array" ref="G1287">IFERROR(_xlfn.XLOOKUP(C1287&amp;A1287, Inside5!B:B&amp;Inside5!I:I, Inside5!E:E), 0)</f>
        <v>0.76500000000000001</v>
      </c>
      <c r="H1287" cm="1">
        <f t="array" ref="H1287">IFERROR(_xlfn.XLOOKUP(C1287&amp;A1287, TDrate!F:F&amp;TDrate!H:H, TDrate!C:C), "N/A")</f>
        <v>4.6199999999999998E-2</v>
      </c>
      <c r="I1287" cm="1">
        <f t="array" ref="I1287">IFERROR(_xlfn.XLOOKUP(C1287&amp;A1287, TDrate!F:F&amp;TDrate!H:H, TDrate!E:E), "N/A")</f>
        <v>4.2700000000000002E-2</v>
      </c>
      <c r="J1287" cm="1">
        <f t="array" ref="J1287">IFERROR(_xlfn.XLOOKUP(C1287&amp;A1287, Inside5!B:B&amp;Inside5!I:I, Inside5!F:F), 0)</f>
        <v>0</v>
      </c>
      <c r="K1287" cm="1">
        <f t="array" ref="K1287">IFERROR(_xlfn.XLOOKUP(C1287&amp;A1287, Inside5!B:B&amp;Inside5!I:I, Inside5!G:G), 0)</f>
        <v>0</v>
      </c>
      <c r="L1287" cm="1">
        <f t="array" ref="L1287">IFERROR(_xlfn.XLOOKUP(C1287&amp;A1287, Inside5!B:B&amp;Inside5!I:I, Inside5!H:H), 0)</f>
        <v>0</v>
      </c>
      <c r="M1287" cm="1">
        <f t="array" ref="M1287">IFERROR(_xlfn.XLOOKUP(C1287&amp;A1287, TDrate!F:F&amp;TDrate!H:H, TDrate!B:B), "N/A")</f>
        <v>3.85E-2</v>
      </c>
      <c r="N1287" cm="1">
        <f t="array" ref="N1287">IFERROR(_xlfn.XLOOKUP(C1287&amp;A1287, TDrate!F:F&amp;TDrate!H:H, TDrate!D:D), "N/A")</f>
        <v>3.2300000000000002E-2</v>
      </c>
    </row>
    <row r="1288" spans="1:14" x14ac:dyDescent="0.45">
      <c r="A1288" s="5">
        <v>2018</v>
      </c>
      <c r="B1288" s="6" t="s">
        <v>993</v>
      </c>
      <c r="C1288" s="7" t="str">
        <f t="shared" si="40"/>
        <v>Jordan Howard</v>
      </c>
      <c r="D1288" s="7" t="str">
        <f t="shared" si="41"/>
        <v>CHI</v>
      </c>
      <c r="E1288" cm="1">
        <f t="array" aca="1" ref="E1288" ca="1">IFERROR(_xlfn.XLOOKUP(C1288&amp;A1288, Inside5!B:B&amp;Inside5!I:I, Inside5!C:C), 0)</f>
        <v>11</v>
      </c>
      <c r="F1288" cm="1">
        <f t="array" ref="F1288">IFERROR(_xlfn.XLOOKUP(C1288&amp;A1288, Inside5!B:B&amp;Inside5!I:I, Inside5!D:D), 0)</f>
        <v>5</v>
      </c>
      <c r="G1288" cm="1">
        <f t="array" ref="G1288">IFERROR(_xlfn.XLOOKUP(C1288&amp;A1288, Inside5!B:B&amp;Inside5!I:I, Inside5!E:E), 0)</f>
        <v>0.91700000000000004</v>
      </c>
      <c r="H1288" cm="1">
        <f t="array" ref="H1288">IFERROR(_xlfn.XLOOKUP(C1288&amp;A1288, TDrate!F:F&amp;TDrate!H:H, TDrate!C:C), "N/A")</f>
        <v>3.5999999999999997E-2</v>
      </c>
      <c r="I1288" cm="1">
        <f t="array" ref="I1288">IFERROR(_xlfn.XLOOKUP(C1288&amp;A1288, TDrate!F:F&amp;TDrate!H:H, TDrate!E:E), "N/A")</f>
        <v>3.2899999999999999E-2</v>
      </c>
      <c r="J1288" cm="1">
        <f t="array" ref="J1288">IFERROR(_xlfn.XLOOKUP(C1288&amp;A1288, Inside5!B:B&amp;Inside5!I:I, Inside5!F:F), 0)</f>
        <v>0</v>
      </c>
      <c r="K1288" cm="1">
        <f t="array" ref="K1288">IFERROR(_xlfn.XLOOKUP(C1288&amp;A1288, Inside5!B:B&amp;Inside5!I:I, Inside5!G:G), 0)</f>
        <v>1</v>
      </c>
      <c r="L1288" cm="1">
        <f t="array" ref="L1288">IFERROR(_xlfn.XLOOKUP(C1288&amp;A1288, Inside5!B:B&amp;Inside5!I:I, Inside5!H:H), 0)</f>
        <v>0</v>
      </c>
      <c r="M1288" cm="1">
        <f t="array" ref="M1288">IFERROR(_xlfn.XLOOKUP(C1288&amp;A1288, TDrate!F:F&amp;TDrate!H:H, TDrate!B:B), "N/A")</f>
        <v>0</v>
      </c>
      <c r="N1288" cm="1">
        <f t="array" ref="N1288">IFERROR(_xlfn.XLOOKUP(C1288&amp;A1288, TDrate!F:F&amp;TDrate!H:H, TDrate!D:D), "N/A")</f>
        <v>2.0299999999999999E-2</v>
      </c>
    </row>
    <row r="1289" spans="1:14" x14ac:dyDescent="0.45">
      <c r="A1289" s="8">
        <v>2018</v>
      </c>
      <c r="B1289" s="9" t="s">
        <v>994</v>
      </c>
      <c r="C1289" s="10" t="str">
        <f t="shared" si="40"/>
        <v>Kenyan Drake</v>
      </c>
      <c r="D1289" s="10" t="str">
        <f t="shared" si="41"/>
        <v>MIA</v>
      </c>
      <c r="E1289" cm="1">
        <f t="array" aca="1" ref="E1289" ca="1">IFERROR(_xlfn.XLOOKUP(C1289&amp;A1289, Inside5!B:B&amp;Inside5!I:I, Inside5!C:C), 0)</f>
        <v>1</v>
      </c>
      <c r="F1289" cm="1">
        <f t="array" aca="1" ref="F1289" ca="1">IFERROR(_xlfn.XLOOKUP(C1289&amp;A1289, Inside5!B:B&amp;Inside5!I:I, Inside5!D:D), 0)</f>
        <v>0</v>
      </c>
      <c r="G1289" cm="1">
        <f t="array" ref="G1289">IFERROR(_xlfn.XLOOKUP(C1289&amp;A1289, Inside5!B:B&amp;Inside5!I:I, Inside5!E:E), 0)</f>
        <v>0.5</v>
      </c>
      <c r="H1289" cm="1">
        <f t="array" ref="H1289">IFERROR(_xlfn.XLOOKUP(C1289&amp;A1289, TDrate!F:F&amp;TDrate!H:H, TDrate!C:C), "N/A")</f>
        <v>3.3300000000000003E-2</v>
      </c>
      <c r="I1289" cm="1">
        <f t="array" ref="I1289">IFERROR(_xlfn.XLOOKUP(C1289&amp;A1289, TDrate!F:F&amp;TDrate!H:H, TDrate!E:E), "N/A")</f>
        <v>2.3199999999999998E-2</v>
      </c>
      <c r="J1289" cm="1">
        <f t="array" ref="J1289">IFERROR(_xlfn.XLOOKUP(C1289&amp;A1289, Inside5!B:B&amp;Inside5!I:I, Inside5!F:F), 0)</f>
        <v>1</v>
      </c>
      <c r="K1289" cm="1">
        <f t="array" ref="K1289">IFERROR(_xlfn.XLOOKUP(C1289&amp;A1289, Inside5!B:B&amp;Inside5!I:I, Inside5!G:G), 0)</f>
        <v>2</v>
      </c>
      <c r="L1289" cm="1">
        <f t="array" ref="L1289">IFERROR(_xlfn.XLOOKUP(C1289&amp;A1289, Inside5!B:B&amp;Inside5!I:I, Inside5!H:H), 0)</f>
        <v>1</v>
      </c>
      <c r="M1289" cm="1">
        <f t="array" ref="M1289">IFERROR(_xlfn.XLOOKUP(C1289&amp;A1289, TDrate!F:F&amp;TDrate!H:H, TDrate!B:B), "N/A")</f>
        <v>6.8500000000000005E-2</v>
      </c>
      <c r="N1289" cm="1">
        <f t="array" ref="N1289">IFERROR(_xlfn.XLOOKUP(C1289&amp;A1289, TDrate!F:F&amp;TDrate!H:H, TDrate!D:D), "N/A")</f>
        <v>4.8500000000000001E-2</v>
      </c>
    </row>
    <row r="1290" spans="1:14" x14ac:dyDescent="0.45">
      <c r="A1290" s="5">
        <v>2018</v>
      </c>
      <c r="B1290" s="6" t="s">
        <v>964</v>
      </c>
      <c r="C1290" s="7" t="str">
        <f t="shared" si="40"/>
        <v>Lamar Miller</v>
      </c>
      <c r="D1290" s="7" t="str">
        <f t="shared" si="41"/>
        <v>HOU</v>
      </c>
      <c r="E1290" cm="1">
        <f t="array" aca="1" ref="E1290" ca="1">IFERROR(_xlfn.XLOOKUP(C1290&amp;A1290, Inside5!B:B&amp;Inside5!I:I, Inside5!C:C), 0)</f>
        <v>7</v>
      </c>
      <c r="F1290" cm="1">
        <f t="array" ref="F1290">IFERROR(_xlfn.XLOOKUP(C1290&amp;A1290, Inside5!B:B&amp;Inside5!I:I, Inside5!D:D), 0)</f>
        <v>3</v>
      </c>
      <c r="G1290" cm="1">
        <f t="array" ref="G1290">IFERROR(_xlfn.XLOOKUP(C1290&amp;A1290, Inside5!B:B&amp;Inside5!I:I, Inside5!E:E), 0)</f>
        <v>0.63600000000000001</v>
      </c>
      <c r="H1290" cm="1">
        <f t="array" ref="H1290">IFERROR(_xlfn.XLOOKUP(C1290&amp;A1290, TDrate!F:F&amp;TDrate!H:H, TDrate!C:C), "N/A")</f>
        <v>2.3800000000000002E-2</v>
      </c>
      <c r="I1290" cm="1">
        <f t="array" ref="I1290">IFERROR(_xlfn.XLOOKUP(C1290&amp;A1290, TDrate!F:F&amp;TDrate!H:H, TDrate!E:E), "N/A")</f>
        <v>2.4500000000000001E-2</v>
      </c>
      <c r="J1290" cm="1">
        <f t="array" ref="J1290">IFERROR(_xlfn.XLOOKUP(C1290&amp;A1290, Inside5!B:B&amp;Inside5!I:I, Inside5!F:F), 0)</f>
        <v>1</v>
      </c>
      <c r="K1290" cm="1">
        <f t="array" aca="1" ref="K1290" ca="1">IFERROR(_xlfn.XLOOKUP(C1290&amp;A1290, Inside5!B:B&amp;Inside5!I:I, Inside5!G:G), 0)</f>
        <v>1</v>
      </c>
      <c r="L1290" cm="1">
        <f t="array" ref="L1290">IFERROR(_xlfn.XLOOKUP(C1290&amp;A1290, Inside5!B:B&amp;Inside5!I:I, Inside5!H:H), 0)</f>
        <v>1</v>
      </c>
      <c r="M1290" cm="1">
        <f t="array" ref="M1290">IFERROR(_xlfn.XLOOKUP(C1290&amp;A1290, TDrate!F:F&amp;TDrate!H:H, TDrate!B:B), "N/A")</f>
        <v>2.86E-2</v>
      </c>
      <c r="N1290" cm="1">
        <f t="array" ref="N1290">IFERROR(_xlfn.XLOOKUP(C1290&amp;A1290, TDrate!F:F&amp;TDrate!H:H, TDrate!D:D), "N/A")</f>
        <v>2.9499999999999998E-2</v>
      </c>
    </row>
    <row r="1291" spans="1:14" x14ac:dyDescent="0.45">
      <c r="A1291" s="8">
        <v>2018</v>
      </c>
      <c r="B1291" s="9" t="s">
        <v>556</v>
      </c>
      <c r="C1291" s="10" t="str">
        <f t="shared" si="40"/>
        <v>Aaron Jones Sr.</v>
      </c>
      <c r="D1291" s="10" t="str">
        <f t="shared" si="41"/>
        <v>GB</v>
      </c>
      <c r="E1291" cm="1">
        <f t="array" aca="1" ref="E1291" ca="1">IFERROR(_xlfn.XLOOKUP(C1291&amp;A1291, Inside5!B:B&amp;Inside5!I:I, Inside5!C:C), 0)</f>
        <v>4</v>
      </c>
      <c r="F1291" cm="1">
        <f t="array" aca="1" ref="F1291" ca="1">IFERROR(_xlfn.XLOOKUP(C1291&amp;A1291, Inside5!B:B&amp;Inside5!I:I, Inside5!D:D), 0)</f>
        <v>2</v>
      </c>
      <c r="G1291" cm="1">
        <f t="array" ref="G1291">IFERROR(_xlfn.XLOOKUP(C1291&amp;A1291, Inside5!B:B&amp;Inside5!I:I, Inside5!E:E), 0)</f>
        <v>0.57099999999999995</v>
      </c>
      <c r="H1291" cm="1">
        <f t="array" ref="H1291">IFERROR(_xlfn.XLOOKUP(C1291&amp;A1291, TDrate!F:F&amp;TDrate!H:H, TDrate!C:C), "N/A")</f>
        <v>6.0199999999999997E-2</v>
      </c>
      <c r="I1291" cm="1">
        <f t="array" ref="I1291">IFERROR(_xlfn.XLOOKUP(C1291&amp;A1291, TDrate!F:F&amp;TDrate!H:H, TDrate!E:E), "N/A")</f>
        <v>4.1399999999999999E-2</v>
      </c>
      <c r="J1291" cm="1">
        <f t="array" ref="J1291">IFERROR(_xlfn.XLOOKUP(C1291&amp;A1291, Inside5!B:B&amp;Inside5!I:I, Inside5!F:F), 0)</f>
        <v>0</v>
      </c>
      <c r="K1291" cm="1">
        <f t="array" aca="1" ref="K1291" ca="1">IFERROR(_xlfn.XLOOKUP(C1291&amp;A1291, Inside5!B:B&amp;Inside5!I:I, Inside5!G:G), 0)</f>
        <v>0</v>
      </c>
      <c r="L1291" cm="1">
        <f t="array" ref="L1291">IFERROR(_xlfn.XLOOKUP(C1291&amp;A1291, Inside5!B:B&amp;Inside5!I:I, Inside5!H:H), 0)</f>
        <v>0</v>
      </c>
      <c r="M1291" cm="1">
        <f t="array" ref="M1291">IFERROR(_xlfn.XLOOKUP(C1291&amp;A1291, TDrate!F:F&amp;TDrate!H:H, TDrate!B:B), "N/A")</f>
        <v>2.86E-2</v>
      </c>
      <c r="N1291" cm="1">
        <f t="array" ref="N1291">IFERROR(_xlfn.XLOOKUP(C1291&amp;A1291, TDrate!F:F&amp;TDrate!H:H, TDrate!D:D), "N/A")</f>
        <v>2.3300000000000001E-2</v>
      </c>
    </row>
    <row r="1292" spans="1:14" x14ac:dyDescent="0.45">
      <c r="A1292" s="5">
        <v>2018</v>
      </c>
      <c r="B1292" s="6" t="s">
        <v>906</v>
      </c>
      <c r="C1292" s="7" t="str">
        <f t="shared" si="40"/>
        <v>Matt Breida</v>
      </c>
      <c r="D1292" s="7" t="str">
        <f t="shared" si="41"/>
        <v>SF</v>
      </c>
      <c r="E1292" cm="1">
        <f t="array" ref="E1292">IFERROR(_xlfn.XLOOKUP(C1292&amp;A1292, Inside5!B:B&amp;Inside5!I:I, Inside5!C:C), 0)</f>
        <v>6</v>
      </c>
      <c r="F1292" cm="1">
        <f t="array" ref="F1292">IFERROR(_xlfn.XLOOKUP(C1292&amp;A1292, Inside5!B:B&amp;Inside5!I:I, Inside5!D:D), 0)</f>
        <v>2</v>
      </c>
      <c r="G1292" cm="1">
        <f t="array" ref="G1292">IFERROR(_xlfn.XLOOKUP(C1292&amp;A1292, Inside5!B:B&amp;Inside5!I:I, Inside5!E:E), 0)</f>
        <v>0.4</v>
      </c>
      <c r="H1292" cm="1">
        <f t="array" ref="H1292">IFERROR(_xlfn.XLOOKUP(C1292&amp;A1292, TDrate!F:F&amp;TDrate!H:H, TDrate!C:C), "N/A")</f>
        <v>1.9599999999999999E-2</v>
      </c>
      <c r="I1292" cm="1">
        <f t="array" ref="I1292">IFERROR(_xlfn.XLOOKUP(C1292&amp;A1292, TDrate!F:F&amp;TDrate!H:H, TDrate!E:E), "N/A")</f>
        <v>2.35E-2</v>
      </c>
      <c r="J1292" cm="1">
        <f t="array" ref="J1292">IFERROR(_xlfn.XLOOKUP(C1292&amp;A1292, Inside5!B:B&amp;Inside5!I:I, Inside5!F:F), 0)</f>
        <v>1</v>
      </c>
      <c r="K1292" cm="1">
        <f t="array" ref="K1292">IFERROR(_xlfn.XLOOKUP(C1292&amp;A1292, Inside5!B:B&amp;Inside5!I:I, Inside5!G:G), 0)</f>
        <v>1</v>
      </c>
      <c r="L1292" cm="1">
        <f t="array" ref="L1292">IFERROR(_xlfn.XLOOKUP(C1292&amp;A1292, Inside5!B:B&amp;Inside5!I:I, Inside5!H:H), 0)</f>
        <v>1</v>
      </c>
      <c r="M1292" cm="1">
        <f t="array" ref="M1292">IFERROR(_xlfn.XLOOKUP(C1292&amp;A1292, TDrate!F:F&amp;TDrate!H:H, TDrate!B:B), "N/A")</f>
        <v>6.4500000000000002E-2</v>
      </c>
      <c r="N1292" cm="1">
        <f t="array" ref="N1292">IFERROR(_xlfn.XLOOKUP(C1292&amp;A1292, TDrate!F:F&amp;TDrate!H:H, TDrate!D:D), "N/A")</f>
        <v>4.6899999999999997E-2</v>
      </c>
    </row>
    <row r="1293" spans="1:14" x14ac:dyDescent="0.45">
      <c r="A1293" s="8">
        <v>2018</v>
      </c>
      <c r="B1293" s="9" t="s">
        <v>834</v>
      </c>
      <c r="C1293" s="10" t="str">
        <f t="shared" si="40"/>
        <v>Sony Michel</v>
      </c>
      <c r="D1293" s="10" t="str">
        <f t="shared" si="41"/>
        <v>NE</v>
      </c>
      <c r="E1293" cm="1">
        <f t="array" ref="E1293">IFERROR(_xlfn.XLOOKUP(C1293&amp;A1293, Inside5!B:B&amp;Inside5!I:I, Inside5!C:C), 0)</f>
        <v>13</v>
      </c>
      <c r="F1293" cm="1">
        <f t="array" ref="F1293">IFERROR(_xlfn.XLOOKUP(C1293&amp;A1293, Inside5!B:B&amp;Inside5!I:I, Inside5!D:D), 0)</f>
        <v>4</v>
      </c>
      <c r="G1293" cm="1">
        <f t="array" ref="G1293">IFERROR(_xlfn.XLOOKUP(C1293&amp;A1293, Inside5!B:B&amp;Inside5!I:I, Inside5!E:E), 0)</f>
        <v>0.41899999999999998</v>
      </c>
      <c r="H1293" cm="1">
        <f t="array" ref="H1293">IFERROR(_xlfn.XLOOKUP(C1293&amp;A1293, TDrate!F:F&amp;TDrate!H:H, TDrate!C:C), "N/A")</f>
        <v>2.87E-2</v>
      </c>
      <c r="I1293" cm="1">
        <f t="array" ref="I1293">IFERROR(_xlfn.XLOOKUP(C1293&amp;A1293, TDrate!F:F&amp;TDrate!H:H, TDrate!E:E), "N/A")</f>
        <v>3.4200000000000001E-2</v>
      </c>
      <c r="J1293" cm="1">
        <f t="array" ref="J1293">IFERROR(_xlfn.XLOOKUP(C1293&amp;A1293, Inside5!B:B&amp;Inside5!I:I, Inside5!F:F), 0)</f>
        <v>0</v>
      </c>
      <c r="K1293" cm="1">
        <f t="array" ref="K1293">IFERROR(_xlfn.XLOOKUP(C1293&amp;A1293, Inside5!B:B&amp;Inside5!I:I, Inside5!G:G), 0)</f>
        <v>0</v>
      </c>
      <c r="L1293" cm="1">
        <f t="array" ref="L1293">IFERROR(_xlfn.XLOOKUP(C1293&amp;A1293, Inside5!B:B&amp;Inside5!I:I, Inside5!H:H), 0)</f>
        <v>0</v>
      </c>
      <c r="M1293" cm="1">
        <f t="array" ref="M1293">IFERROR(_xlfn.XLOOKUP(C1293&amp;A1293, TDrate!F:F&amp;TDrate!H:H, TDrate!B:B), "N/A")</f>
        <v>0</v>
      </c>
      <c r="N1293" cm="1">
        <f t="array" ref="N1293">IFERROR(_xlfn.XLOOKUP(C1293&amp;A1293, TDrate!F:F&amp;TDrate!H:H, TDrate!D:D), "N/A")</f>
        <v>6.7999999999999996E-3</v>
      </c>
    </row>
    <row r="1294" spans="1:14" x14ac:dyDescent="0.45">
      <c r="A1294" s="5">
        <v>2018</v>
      </c>
      <c r="B1294" s="6" t="s">
        <v>903</v>
      </c>
      <c r="C1294" s="7" t="str">
        <f t="shared" si="40"/>
        <v>Peyton Barber</v>
      </c>
      <c r="D1294" s="7" t="str">
        <f t="shared" si="41"/>
        <v>TB</v>
      </c>
      <c r="E1294" cm="1">
        <f t="array" aca="1" ref="E1294" ca="1">IFERROR(_xlfn.XLOOKUP(C1294&amp;A1294, Inside5!B:B&amp;Inside5!I:I, Inside5!C:C), 0)</f>
        <v>14</v>
      </c>
      <c r="F1294" cm="1">
        <f t="array" aca="1" ref="F1294" ca="1">IFERROR(_xlfn.XLOOKUP(C1294&amp;A1294, Inside5!B:B&amp;Inside5!I:I, Inside5!D:D), 0)</f>
        <v>5</v>
      </c>
      <c r="G1294" cm="1">
        <f t="array" ref="G1294">IFERROR(_xlfn.XLOOKUP(C1294&amp;A1294, Inside5!B:B&amp;Inside5!I:I, Inside5!E:E), 0)</f>
        <v>0.82399999999999995</v>
      </c>
      <c r="H1294" cm="1">
        <f t="array" ref="H1294">IFERROR(_xlfn.XLOOKUP(C1294&amp;A1294, TDrate!F:F&amp;TDrate!H:H, TDrate!C:C), "N/A")</f>
        <v>2.1399999999999999E-2</v>
      </c>
      <c r="I1294" cm="1">
        <f t="array" ref="I1294">IFERROR(_xlfn.XLOOKUP(C1294&amp;A1294, TDrate!F:F&amp;TDrate!H:H, TDrate!E:E), "N/A")</f>
        <v>2.8299999999999999E-2</v>
      </c>
      <c r="J1294" cm="1">
        <f t="array" ref="J1294">IFERROR(_xlfn.XLOOKUP(C1294&amp;A1294, Inside5!B:B&amp;Inside5!I:I, Inside5!F:F), 0)</f>
        <v>1</v>
      </c>
      <c r="K1294" cm="1">
        <f t="array" ref="K1294">IFERROR(_xlfn.XLOOKUP(C1294&amp;A1294, Inside5!B:B&amp;Inside5!I:I, Inside5!G:G), 0)</f>
        <v>1</v>
      </c>
      <c r="L1294" cm="1">
        <f t="array" ref="L1294">IFERROR(_xlfn.XLOOKUP(C1294&amp;A1294, Inside5!B:B&amp;Inside5!I:I, Inside5!H:H), 0)</f>
        <v>1</v>
      </c>
      <c r="M1294" cm="1">
        <f t="array" ref="M1294">IFERROR(_xlfn.XLOOKUP(C1294&amp;A1294, TDrate!F:F&amp;TDrate!H:H, TDrate!B:B), "N/A")</f>
        <v>3.4500000000000003E-2</v>
      </c>
      <c r="N1294" cm="1">
        <f t="array" ref="N1294">IFERROR(_xlfn.XLOOKUP(C1294&amp;A1294, TDrate!F:F&amp;TDrate!H:H, TDrate!D:D), "N/A")</f>
        <v>3.5799999999999998E-2</v>
      </c>
    </row>
    <row r="1295" spans="1:14" x14ac:dyDescent="0.45">
      <c r="A1295" s="8">
        <v>2018</v>
      </c>
      <c r="B1295" s="9" t="s">
        <v>554</v>
      </c>
      <c r="C1295" s="10" t="str">
        <f t="shared" si="40"/>
        <v>Austin Ekeler</v>
      </c>
      <c r="D1295" s="10" t="str">
        <f t="shared" si="41"/>
        <v>LAC</v>
      </c>
      <c r="E1295" cm="1">
        <f t="array" aca="1" ref="E1295" ca="1">IFERROR(_xlfn.XLOOKUP(C1295&amp;A1295, Inside5!B:B&amp;Inside5!I:I, Inside5!C:C), 0)</f>
        <v>4</v>
      </c>
      <c r="F1295" cm="1">
        <f t="array" aca="1" ref="F1295" ca="1">IFERROR(_xlfn.XLOOKUP(C1295&amp;A1295, Inside5!B:B&amp;Inside5!I:I, Inside5!D:D), 0)</f>
        <v>2</v>
      </c>
      <c r="G1295" cm="1">
        <f t="array" ref="G1295">IFERROR(_xlfn.XLOOKUP(C1295&amp;A1295, Inside5!B:B&amp;Inside5!I:I, Inside5!E:E), 0)</f>
        <v>0.36399999999999999</v>
      </c>
      <c r="H1295" cm="1">
        <f t="array" ref="H1295">IFERROR(_xlfn.XLOOKUP(C1295&amp;A1295, TDrate!F:F&amp;TDrate!H:H, TDrate!C:C), "N/A")</f>
        <v>2.8299999999999999E-2</v>
      </c>
      <c r="I1295" cm="1">
        <f t="array" ref="I1295">IFERROR(_xlfn.XLOOKUP(C1295&amp;A1295, TDrate!F:F&amp;TDrate!H:H, TDrate!E:E), "N/A")</f>
        <v>2.8199999999999999E-2</v>
      </c>
      <c r="J1295" cm="1">
        <f t="array" ref="J1295">IFERROR(_xlfn.XLOOKUP(C1295&amp;A1295, Inside5!B:B&amp;Inside5!I:I, Inside5!F:F), 0)</f>
        <v>0</v>
      </c>
      <c r="K1295" cm="1">
        <f t="array" aca="1" ref="K1295" ca="1">IFERROR(_xlfn.XLOOKUP(C1295&amp;A1295, Inside5!B:B&amp;Inside5!I:I, Inside5!G:G), 0)</f>
        <v>0</v>
      </c>
      <c r="L1295" cm="1">
        <f t="array" ref="L1295">IFERROR(_xlfn.XLOOKUP(C1295&amp;A1295, Inside5!B:B&amp;Inside5!I:I, Inside5!H:H), 0)</f>
        <v>0</v>
      </c>
      <c r="M1295" cm="1">
        <f t="array" ref="M1295">IFERROR(_xlfn.XLOOKUP(C1295&amp;A1295, TDrate!F:F&amp;TDrate!H:H, TDrate!B:B), "N/A")</f>
        <v>5.6599999999999998E-2</v>
      </c>
      <c r="N1295" cm="1">
        <f t="array" ref="N1295">IFERROR(_xlfn.XLOOKUP(C1295&amp;A1295, TDrate!F:F&amp;TDrate!H:H, TDrate!D:D), "N/A")</f>
        <v>3.7499999999999999E-2</v>
      </c>
    </row>
    <row r="1296" spans="1:14" x14ac:dyDescent="0.45">
      <c r="A1296" s="5">
        <v>2018</v>
      </c>
      <c r="B1296" s="6" t="s">
        <v>659</v>
      </c>
      <c r="C1296" s="7" t="str">
        <f t="shared" si="40"/>
        <v>Mark Ingram II</v>
      </c>
      <c r="D1296" s="7" t="str">
        <f t="shared" si="41"/>
        <v>NO</v>
      </c>
      <c r="E1296" cm="1">
        <f t="array" aca="1" ref="E1296" ca="1">IFERROR(_xlfn.XLOOKUP(C1296&amp;A1296, Inside5!B:B&amp;Inside5!I:I, Inside5!C:C), 0)</f>
        <v>14</v>
      </c>
      <c r="F1296" cm="1">
        <f t="array" aca="1" ref="F1296" ca="1">IFERROR(_xlfn.XLOOKUP(C1296&amp;A1296, Inside5!B:B&amp;Inside5!I:I, Inside5!D:D), 0)</f>
        <v>4</v>
      </c>
      <c r="G1296" cm="1">
        <f t="array" ref="G1296">IFERROR(_xlfn.XLOOKUP(C1296&amp;A1296, Inside5!B:B&amp;Inside5!I:I, Inside5!E:E), 0)</f>
        <v>0.45200000000000001</v>
      </c>
      <c r="H1296" cm="1">
        <f t="array" ref="H1296">IFERROR(_xlfn.XLOOKUP(C1296&amp;A1296, TDrate!F:F&amp;TDrate!H:H, TDrate!C:C), "N/A")</f>
        <v>4.3499999999999997E-2</v>
      </c>
      <c r="I1296" cm="1">
        <f t="array" ref="I1296">IFERROR(_xlfn.XLOOKUP(C1296&amp;A1296, TDrate!F:F&amp;TDrate!H:H, TDrate!E:E), "N/A")</f>
        <v>4.7899999999999998E-2</v>
      </c>
      <c r="J1296" cm="1">
        <f t="array" ref="J1296">IFERROR(_xlfn.XLOOKUP(C1296&amp;A1296, Inside5!B:B&amp;Inside5!I:I, Inside5!F:F), 0)</f>
        <v>1</v>
      </c>
      <c r="K1296" cm="1">
        <f t="array" aca="1" ref="K1296" ca="1">IFERROR(_xlfn.XLOOKUP(C1296&amp;A1296, Inside5!B:B&amp;Inside5!I:I, Inside5!G:G), 0)</f>
        <v>1</v>
      </c>
      <c r="L1296" cm="1">
        <f t="array" ref="L1296">IFERROR(_xlfn.XLOOKUP(C1296&amp;A1296, Inside5!B:B&amp;Inside5!I:I, Inside5!H:H), 0)</f>
        <v>0</v>
      </c>
      <c r="M1296" cm="1">
        <f t="array" ref="M1296">IFERROR(_xlfn.XLOOKUP(C1296&amp;A1296, TDrate!F:F&amp;TDrate!H:H, TDrate!B:B), "N/A")</f>
        <v>3.6999999999999998E-2</v>
      </c>
      <c r="N1296" cm="1">
        <f t="array" ref="N1296">IFERROR(_xlfn.XLOOKUP(C1296&amp;A1296, TDrate!F:F&amp;TDrate!H:H, TDrate!D:D), "N/A")</f>
        <v>3.15E-2</v>
      </c>
    </row>
    <row r="1297" spans="1:14" x14ac:dyDescent="0.45">
      <c r="A1297" s="8">
        <v>2018</v>
      </c>
      <c r="B1297" s="9" t="s">
        <v>995</v>
      </c>
      <c r="C1297" s="10" t="str">
        <f t="shared" si="40"/>
        <v>Isaiah Crowell</v>
      </c>
      <c r="D1297" s="10" t="str">
        <f t="shared" si="41"/>
        <v>NYJ</v>
      </c>
      <c r="E1297" cm="1">
        <f t="array" aca="1" ref="E1297" ca="1">IFERROR(_xlfn.XLOOKUP(C1297&amp;A1297, Inside5!B:B&amp;Inside5!I:I, Inside5!C:C), 0)</f>
        <v>3</v>
      </c>
      <c r="F1297" cm="1">
        <f t="array" aca="1" ref="F1297" ca="1">IFERROR(_xlfn.XLOOKUP(C1297&amp;A1297, Inside5!B:B&amp;Inside5!I:I, Inside5!D:D), 0)</f>
        <v>2</v>
      </c>
      <c r="G1297" cm="1">
        <f t="array" ref="G1297">IFERROR(_xlfn.XLOOKUP(C1297&amp;A1297, Inside5!B:B&amp;Inside5!I:I, Inside5!E:E), 0)</f>
        <v>0.27300000000000002</v>
      </c>
      <c r="H1297" cm="1">
        <f t="array" ref="H1297">IFERROR(_xlfn.XLOOKUP(C1297&amp;A1297, TDrate!F:F&amp;TDrate!H:H, TDrate!C:C), "N/A")</f>
        <v>4.2000000000000003E-2</v>
      </c>
      <c r="I1297" cm="1">
        <f t="array" ref="I1297">IFERROR(_xlfn.XLOOKUP(C1297&amp;A1297, TDrate!F:F&amp;TDrate!H:H, TDrate!E:E), "N/A")</f>
        <v>0.03</v>
      </c>
      <c r="J1297" cm="1">
        <f t="array" ref="J1297">IFERROR(_xlfn.XLOOKUP(C1297&amp;A1297, Inside5!B:B&amp;Inside5!I:I, Inside5!F:F), 0)</f>
        <v>0</v>
      </c>
      <c r="K1297" cm="1">
        <f t="array" ref="K1297">IFERROR(_xlfn.XLOOKUP(C1297&amp;A1297, Inside5!B:B&amp;Inside5!I:I, Inside5!G:G), 0)</f>
        <v>0</v>
      </c>
      <c r="L1297" cm="1">
        <f t="array" ref="L1297">IFERROR(_xlfn.XLOOKUP(C1297&amp;A1297, Inside5!B:B&amp;Inside5!I:I, Inside5!H:H), 0)</f>
        <v>0</v>
      </c>
      <c r="M1297" cm="1">
        <f t="array" ref="M1297">IFERROR(_xlfn.XLOOKUP(C1297&amp;A1297, TDrate!F:F&amp;TDrate!H:H, TDrate!B:B), "N/A")</f>
        <v>0</v>
      </c>
      <c r="N1297" cm="1">
        <f t="array" ref="N1297">IFERROR(_xlfn.XLOOKUP(C1297&amp;A1297, TDrate!F:F&amp;TDrate!H:H, TDrate!D:D), "N/A")</f>
        <v>4.8999999999999998E-3</v>
      </c>
    </row>
    <row r="1298" spans="1:14" x14ac:dyDescent="0.45">
      <c r="A1298" s="5">
        <v>2018</v>
      </c>
      <c r="B1298" s="6" t="s">
        <v>996</v>
      </c>
      <c r="C1298" s="7" t="str">
        <f t="shared" si="40"/>
        <v>T.J. Yeldon</v>
      </c>
      <c r="D1298" s="7" t="str">
        <f t="shared" si="41"/>
        <v>JAC</v>
      </c>
      <c r="E1298" cm="1">
        <f t="array" ref="E1298">IFERROR(_xlfn.XLOOKUP(C1298&amp;A1298, Inside5!B:B&amp;Inside5!I:I, Inside5!C:C), 0)</f>
        <v>2</v>
      </c>
      <c r="F1298" cm="1">
        <f t="array" ref="F1298">IFERROR(_xlfn.XLOOKUP(C1298&amp;A1298, Inside5!B:B&amp;Inside5!I:I, Inside5!D:D), 0)</f>
        <v>1</v>
      </c>
      <c r="G1298" cm="1">
        <f t="array" ref="G1298">IFERROR(_xlfn.XLOOKUP(C1298&amp;A1298, Inside5!B:B&amp;Inside5!I:I, Inside5!E:E), 0)</f>
        <v>0.14299999999999999</v>
      </c>
      <c r="H1298" cm="1">
        <f t="array" ref="H1298">IFERROR(_xlfn.XLOOKUP(C1298&amp;A1298, TDrate!F:F&amp;TDrate!H:H, TDrate!C:C), "N/A")</f>
        <v>9.5999999999999992E-3</v>
      </c>
      <c r="I1298" cm="1">
        <f t="array" ref="I1298">IFERROR(_xlfn.XLOOKUP(C1298&amp;A1298, TDrate!F:F&amp;TDrate!H:H, TDrate!E:E), "N/A")</f>
        <v>1.3299999999999999E-2</v>
      </c>
      <c r="J1298" cm="1">
        <f t="array" ref="J1298">IFERROR(_xlfn.XLOOKUP(C1298&amp;A1298, Inside5!B:B&amp;Inside5!I:I, Inside5!F:F), 0)</f>
        <v>1</v>
      </c>
      <c r="K1298" cm="1">
        <f t="array" ref="K1298">IFERROR(_xlfn.XLOOKUP(C1298&amp;A1298, Inside5!B:B&amp;Inside5!I:I, Inside5!G:G), 0)</f>
        <v>2</v>
      </c>
      <c r="L1298" cm="1">
        <f t="array" ref="L1298">IFERROR(_xlfn.XLOOKUP(C1298&amp;A1298, Inside5!B:B&amp;Inside5!I:I, Inside5!H:H), 0)</f>
        <v>1</v>
      </c>
      <c r="M1298" cm="1">
        <f t="array" ref="M1298">IFERROR(_xlfn.XLOOKUP(C1298&amp;A1298, TDrate!F:F&amp;TDrate!H:H, TDrate!B:B), "N/A")</f>
        <v>5.1299999999999998E-2</v>
      </c>
      <c r="N1298" cm="1">
        <f t="array" ref="N1298">IFERROR(_xlfn.XLOOKUP(C1298&amp;A1298, TDrate!F:F&amp;TDrate!H:H, TDrate!D:D), "N/A")</f>
        <v>3.9199999999999999E-2</v>
      </c>
    </row>
    <row r="1299" spans="1:14" x14ac:dyDescent="0.45">
      <c r="A1299" s="8">
        <v>2018</v>
      </c>
      <c r="B1299" s="9" t="s">
        <v>635</v>
      </c>
      <c r="C1299" s="10" t="str">
        <f t="shared" si="40"/>
        <v>Dalvin Cook</v>
      </c>
      <c r="D1299" s="10" t="str">
        <f t="shared" si="41"/>
        <v>MIN</v>
      </c>
      <c r="E1299" cm="1">
        <f t="array" ref="E1299">IFERROR(_xlfn.XLOOKUP(C1299&amp;A1299, Inside5!B:B&amp;Inside5!I:I, Inside5!C:C), 0)</f>
        <v>2</v>
      </c>
      <c r="F1299" cm="1">
        <f t="array" ref="F1299">IFERROR(_xlfn.XLOOKUP(C1299&amp;A1299, Inside5!B:B&amp;Inside5!I:I, Inside5!D:D), 0)</f>
        <v>0</v>
      </c>
      <c r="G1299" cm="1">
        <f t="array" ref="G1299">IFERROR(_xlfn.XLOOKUP(C1299&amp;A1299, Inside5!B:B&amp;Inside5!I:I, Inside5!E:E), 0)</f>
        <v>0.25</v>
      </c>
      <c r="H1299" cm="1">
        <f t="array" ref="H1299">IFERROR(_xlfn.XLOOKUP(C1299&amp;A1299, TDrate!F:F&amp;TDrate!H:H, TDrate!C:C), "N/A")</f>
        <v>1.4999999999999999E-2</v>
      </c>
      <c r="I1299" cm="1">
        <f t="array" ref="I1299">IFERROR(_xlfn.XLOOKUP(C1299&amp;A1299, TDrate!F:F&amp;TDrate!H:H, TDrate!E:E), "N/A")</f>
        <v>1.7399999999999999E-2</v>
      </c>
      <c r="J1299" cm="1">
        <f t="array" ref="J1299">IFERROR(_xlfn.XLOOKUP(C1299&amp;A1299, Inside5!B:B&amp;Inside5!I:I, Inside5!F:F), 0)</f>
        <v>0</v>
      </c>
      <c r="K1299" cm="1">
        <f t="array" aca="1" ref="K1299" ca="1">IFERROR(_xlfn.XLOOKUP(C1299&amp;A1299, Inside5!B:B&amp;Inside5!I:I, Inside5!G:G), 0)</f>
        <v>0</v>
      </c>
      <c r="L1299" cm="1">
        <f t="array" ref="L1299">IFERROR(_xlfn.XLOOKUP(C1299&amp;A1299, Inside5!B:B&amp;Inside5!I:I, Inside5!H:H), 0)</f>
        <v>0</v>
      </c>
      <c r="M1299" cm="1">
        <f t="array" ref="M1299">IFERROR(_xlfn.XLOOKUP(C1299&amp;A1299, TDrate!F:F&amp;TDrate!H:H, TDrate!B:B), "N/A")</f>
        <v>4.0800000000000003E-2</v>
      </c>
      <c r="N1299" cm="1">
        <f t="array" ref="N1299">IFERROR(_xlfn.XLOOKUP(C1299&amp;A1299, TDrate!F:F&amp;TDrate!H:H, TDrate!D:D), "N/A")</f>
        <v>2.9899999999999999E-2</v>
      </c>
    </row>
    <row r="1300" spans="1:14" x14ac:dyDescent="0.45">
      <c r="A1300" s="5">
        <v>2018</v>
      </c>
      <c r="B1300" s="6" t="s">
        <v>997</v>
      </c>
      <c r="C1300" s="7" t="str">
        <f t="shared" si="40"/>
        <v>Latavius Murray</v>
      </c>
      <c r="D1300" s="7" t="str">
        <f t="shared" si="41"/>
        <v>MIN</v>
      </c>
      <c r="E1300" cm="1">
        <f t="array" aca="1" ref="E1300" ca="1">IFERROR(_xlfn.XLOOKUP(C1300&amp;A1300, Inside5!B:B&amp;Inside5!I:I, Inside5!C:C), 0)</f>
        <v>4</v>
      </c>
      <c r="F1300" cm="1">
        <f t="array" aca="1" ref="F1300" ca="1">IFERROR(_xlfn.XLOOKUP(C1300&amp;A1300, Inside5!B:B&amp;Inside5!I:I, Inside5!D:D), 0)</f>
        <v>2</v>
      </c>
      <c r="G1300" cm="1">
        <f t="array" ref="G1300">IFERROR(_xlfn.XLOOKUP(C1300&amp;A1300, Inside5!B:B&amp;Inside5!I:I, Inside5!E:E), 0)</f>
        <v>0.5</v>
      </c>
      <c r="H1300" cm="1">
        <f t="array" ref="H1300">IFERROR(_xlfn.XLOOKUP(C1300&amp;A1300, TDrate!F:F&amp;TDrate!H:H, TDrate!C:C), "N/A")</f>
        <v>4.2900000000000001E-2</v>
      </c>
      <c r="I1300" cm="1">
        <f t="array" ref="I1300">IFERROR(_xlfn.XLOOKUP(C1300&amp;A1300, TDrate!F:F&amp;TDrate!H:H, TDrate!E:E), "N/A")</f>
        <v>3.3300000000000003E-2</v>
      </c>
      <c r="J1300" cm="1">
        <f t="array" ref="J1300">IFERROR(_xlfn.XLOOKUP(C1300&amp;A1300, Inside5!B:B&amp;Inside5!I:I, Inside5!F:F), 0)</f>
        <v>0</v>
      </c>
      <c r="K1300" cm="1">
        <f t="array" aca="1" ref="K1300" ca="1">IFERROR(_xlfn.XLOOKUP(C1300&amp;A1300, Inside5!B:B&amp;Inside5!I:I, Inside5!G:G), 0)</f>
        <v>0</v>
      </c>
      <c r="L1300" cm="1">
        <f t="array" ref="L1300">IFERROR(_xlfn.XLOOKUP(C1300&amp;A1300, Inside5!B:B&amp;Inside5!I:I, Inside5!H:H), 0)</f>
        <v>0</v>
      </c>
      <c r="M1300" cm="1">
        <f t="array" ref="M1300">IFERROR(_xlfn.XLOOKUP(C1300&amp;A1300, TDrate!F:F&amp;TDrate!H:H, TDrate!B:B), "N/A")</f>
        <v>0</v>
      </c>
      <c r="N1300" cm="1">
        <f t="array" ref="N1300">IFERROR(_xlfn.XLOOKUP(C1300&amp;A1300, TDrate!F:F&amp;TDrate!H:H, TDrate!D:D), "N/A")</f>
        <v>8.0999999999999996E-3</v>
      </c>
    </row>
    <row r="1301" spans="1:14" x14ac:dyDescent="0.45">
      <c r="A1301" s="8">
        <v>2018</v>
      </c>
      <c r="B1301" s="9" t="s">
        <v>839</v>
      </c>
      <c r="C1301" s="10" t="str">
        <f t="shared" si="40"/>
        <v>Kerryon Johnson</v>
      </c>
      <c r="D1301" s="10" t="str">
        <f t="shared" si="41"/>
        <v>DET</v>
      </c>
      <c r="E1301" cm="1">
        <f t="array" aca="1" ref="E1301" ca="1">IFERROR(_xlfn.XLOOKUP(C1301&amp;A1301, Inside5!B:B&amp;Inside5!I:I, Inside5!C:C), 0)</f>
        <v>2</v>
      </c>
      <c r="F1301" cm="1">
        <f t="array" aca="1" ref="F1301" ca="1">IFERROR(_xlfn.XLOOKUP(C1301&amp;A1301, Inside5!B:B&amp;Inside5!I:I, Inside5!D:D), 0)</f>
        <v>1</v>
      </c>
      <c r="G1301" cm="1">
        <f t="array" ref="G1301">IFERROR(_xlfn.XLOOKUP(C1301&amp;A1301, Inside5!B:B&amp;Inside5!I:I, Inside5!E:E), 0)</f>
        <v>0.11799999999999999</v>
      </c>
      <c r="H1301" cm="1">
        <f t="array" ref="H1301">IFERROR(_xlfn.XLOOKUP(C1301&amp;A1301, TDrate!F:F&amp;TDrate!H:H, TDrate!C:C), "N/A")</f>
        <v>2.5399999999999999E-2</v>
      </c>
      <c r="I1301" cm="1">
        <f t="array" ref="I1301">IFERROR(_xlfn.XLOOKUP(C1301&amp;A1301, TDrate!F:F&amp;TDrate!H:H, TDrate!E:E), "N/A")</f>
        <v>2.2200000000000001E-2</v>
      </c>
      <c r="J1301" cm="1">
        <f t="array" ref="J1301">IFERROR(_xlfn.XLOOKUP(C1301&amp;A1301, Inside5!B:B&amp;Inside5!I:I, Inside5!F:F), 0)</f>
        <v>0</v>
      </c>
      <c r="K1301" cm="1">
        <f t="array" aca="1" ref="K1301" ca="1">IFERROR(_xlfn.XLOOKUP(C1301&amp;A1301, Inside5!B:B&amp;Inside5!I:I, Inside5!G:G), 0)</f>
        <v>0</v>
      </c>
      <c r="L1301" cm="1">
        <f t="array" ref="L1301">IFERROR(_xlfn.XLOOKUP(C1301&amp;A1301, Inside5!B:B&amp;Inside5!I:I, Inside5!H:H), 0)</f>
        <v>0</v>
      </c>
      <c r="M1301" cm="1">
        <f t="array" ref="M1301">IFERROR(_xlfn.XLOOKUP(C1301&amp;A1301, TDrate!F:F&amp;TDrate!H:H, TDrate!B:B), "N/A")</f>
        <v>2.5600000000000001E-2</v>
      </c>
      <c r="N1301" cm="1">
        <f t="array" ref="N1301">IFERROR(_xlfn.XLOOKUP(C1301&amp;A1301, TDrate!F:F&amp;TDrate!H:H, TDrate!D:D), "N/A")</f>
        <v>2.7799999999999998E-2</v>
      </c>
    </row>
    <row r="1302" spans="1:14" x14ac:dyDescent="0.45">
      <c r="A1302" s="5">
        <v>2018</v>
      </c>
      <c r="B1302" s="6" t="s">
        <v>998</v>
      </c>
      <c r="C1302" s="7" t="str">
        <f t="shared" si="40"/>
        <v>Mike Davis</v>
      </c>
      <c r="D1302" s="7" t="str">
        <f t="shared" si="41"/>
        <v>SEA</v>
      </c>
      <c r="E1302" cm="1">
        <f t="array" aca="1" ref="E1302" ca="1">IFERROR(_xlfn.XLOOKUP(C1302&amp;A1302, Inside5!B:B&amp;Inside5!I:I, Inside5!C:C), 0)</f>
        <v>3</v>
      </c>
      <c r="F1302" cm="1">
        <f t="array" aca="1" ref="F1302" ca="1">IFERROR(_xlfn.XLOOKUP(C1302&amp;A1302, Inside5!B:B&amp;Inside5!I:I, Inside5!D:D), 0)</f>
        <v>1</v>
      </c>
      <c r="G1302" cm="1">
        <f t="array" ref="G1302">IFERROR(_xlfn.XLOOKUP(C1302&amp;A1302, Inside5!B:B&amp;Inside5!I:I, Inside5!E:E), 0)</f>
        <v>0.15</v>
      </c>
      <c r="H1302" cm="1">
        <f t="array" ref="H1302">IFERROR(_xlfn.XLOOKUP(C1302&amp;A1302, TDrate!F:F&amp;TDrate!H:H, TDrate!C:C), "N/A")</f>
        <v>3.5700000000000003E-2</v>
      </c>
      <c r="I1302" cm="1">
        <f t="array" ref="I1302">IFERROR(_xlfn.XLOOKUP(C1302&amp;A1302, TDrate!F:F&amp;TDrate!H:H, TDrate!E:E), "N/A")</f>
        <v>2.9700000000000001E-2</v>
      </c>
      <c r="J1302" cm="1">
        <f t="array" ref="J1302">IFERROR(_xlfn.XLOOKUP(C1302&amp;A1302, Inside5!B:B&amp;Inside5!I:I, Inside5!F:F), 0)</f>
        <v>1</v>
      </c>
      <c r="K1302" cm="1">
        <f t="array" ref="K1302">IFERROR(_xlfn.XLOOKUP(C1302&amp;A1302, Inside5!B:B&amp;Inside5!I:I, Inside5!G:G), 0)</f>
        <v>1</v>
      </c>
      <c r="L1302" cm="1">
        <f t="array" ref="L1302">IFERROR(_xlfn.XLOOKUP(C1302&amp;A1302, Inside5!B:B&amp;Inside5!I:I, Inside5!H:H), 0)</f>
        <v>1</v>
      </c>
      <c r="M1302" cm="1">
        <f t="array" ref="M1302">IFERROR(_xlfn.XLOOKUP(C1302&amp;A1302, TDrate!F:F&amp;TDrate!H:H, TDrate!B:B), "N/A")</f>
        <v>2.3800000000000002E-2</v>
      </c>
      <c r="N1302" cm="1">
        <f t="array" ref="N1302">IFERROR(_xlfn.XLOOKUP(C1302&amp;A1302, TDrate!F:F&amp;TDrate!H:H, TDrate!D:D), "N/A")</f>
        <v>2.1899999999999999E-2</v>
      </c>
    </row>
    <row r="1303" spans="1:14" x14ac:dyDescent="0.45">
      <c r="A1303" s="8">
        <v>2018</v>
      </c>
      <c r="B1303" s="9" t="s">
        <v>999</v>
      </c>
      <c r="C1303" s="10" t="str">
        <f t="shared" si="40"/>
        <v>Doug Martin</v>
      </c>
      <c r="D1303" s="10" t="str">
        <f t="shared" si="41"/>
        <v>OAK</v>
      </c>
      <c r="E1303" cm="1">
        <f t="array" aca="1" ref="E1303" ca="1">IFERROR(_xlfn.XLOOKUP(C1303&amp;A1303, Inside5!B:B&amp;Inside5!I:I, Inside5!C:C), 0)</f>
        <v>11</v>
      </c>
      <c r="F1303" cm="1">
        <f t="array" aca="1" ref="F1303" ca="1">IFERROR(_xlfn.XLOOKUP(C1303&amp;A1303, Inside5!B:B&amp;Inside5!I:I, Inside5!D:D), 0)</f>
        <v>3</v>
      </c>
      <c r="G1303" cm="1">
        <f t="array" ref="G1303">IFERROR(_xlfn.XLOOKUP(C1303&amp;A1303, Inside5!B:B&amp;Inside5!I:I, Inside5!E:E), 0)</f>
        <v>0.57899999999999996</v>
      </c>
      <c r="H1303" cm="1">
        <f t="array" ref="H1303">IFERROR(_xlfn.XLOOKUP(C1303&amp;A1303, TDrate!F:F&amp;TDrate!H:H, TDrate!C:C), "N/A")</f>
        <v>2.3300000000000001E-2</v>
      </c>
      <c r="I1303" cm="1">
        <f t="array" ref="I1303">IFERROR(_xlfn.XLOOKUP(C1303&amp;A1303, TDrate!F:F&amp;TDrate!H:H, TDrate!E:E), "N/A")</f>
        <v>3.04E-2</v>
      </c>
      <c r="J1303" cm="1">
        <f t="array" ref="J1303">IFERROR(_xlfn.XLOOKUP(C1303&amp;A1303, Inside5!B:B&amp;Inside5!I:I, Inside5!F:F), 0)</f>
        <v>0</v>
      </c>
      <c r="K1303" cm="1">
        <f t="array" ref="K1303">IFERROR(_xlfn.XLOOKUP(C1303&amp;A1303, Inside5!B:B&amp;Inside5!I:I, Inside5!G:G), 0)</f>
        <v>0</v>
      </c>
      <c r="L1303" cm="1">
        <f t="array" ref="L1303">IFERROR(_xlfn.XLOOKUP(C1303&amp;A1303, Inside5!B:B&amp;Inside5!I:I, Inside5!H:H), 0)</f>
        <v>0</v>
      </c>
      <c r="M1303" cm="1">
        <f t="array" ref="M1303">IFERROR(_xlfn.XLOOKUP(C1303&amp;A1303, TDrate!F:F&amp;TDrate!H:H, TDrate!B:B), "N/A")</f>
        <v>0</v>
      </c>
      <c r="N1303" cm="1">
        <f t="array" ref="N1303">IFERROR(_xlfn.XLOOKUP(C1303&amp;A1303, TDrate!F:F&amp;TDrate!H:H, TDrate!D:D), "N/A")</f>
        <v>1.23E-2</v>
      </c>
    </row>
    <row r="1304" spans="1:14" x14ac:dyDescent="0.45">
      <c r="A1304" s="5">
        <v>2018</v>
      </c>
      <c r="B1304" s="6" t="s">
        <v>913</v>
      </c>
      <c r="C1304" s="7" t="str">
        <f t="shared" si="40"/>
        <v>Dion Lewis</v>
      </c>
      <c r="D1304" s="7" t="str">
        <f t="shared" si="41"/>
        <v>TEN</v>
      </c>
      <c r="E1304" cm="1">
        <f t="array" aca="1" ref="E1304" ca="1">IFERROR(_xlfn.XLOOKUP(C1304&amp;A1304, Inside5!B:B&amp;Inside5!I:I, Inside5!C:C), 0)</f>
        <v>5</v>
      </c>
      <c r="F1304" cm="1">
        <f t="array" aca="1" ref="F1304" ca="1">IFERROR(_xlfn.XLOOKUP(C1304&amp;A1304, Inside5!B:B&amp;Inside5!I:I, Inside5!D:D), 0)</f>
        <v>1</v>
      </c>
      <c r="G1304" cm="1">
        <f t="array" ref="G1304">IFERROR(_xlfn.XLOOKUP(C1304&amp;A1304, Inside5!B:B&amp;Inside5!I:I, Inside5!E:E), 0)</f>
        <v>0.22700000000000001</v>
      </c>
      <c r="H1304" cm="1">
        <f t="array" ref="H1304">IFERROR(_xlfn.XLOOKUP(C1304&amp;A1304, TDrate!F:F&amp;TDrate!H:H, TDrate!C:C), "N/A")</f>
        <v>6.4999999999999997E-3</v>
      </c>
      <c r="I1304" cm="1">
        <f t="array" ref="I1304">IFERROR(_xlfn.XLOOKUP(C1304&amp;A1304, TDrate!F:F&amp;TDrate!H:H, TDrate!E:E), "N/A")</f>
        <v>1.5299999999999999E-2</v>
      </c>
      <c r="J1304" cm="1">
        <f t="array" ref="J1304">IFERROR(_xlfn.XLOOKUP(C1304&amp;A1304, Inside5!B:B&amp;Inside5!I:I, Inside5!F:F), 0)</f>
        <v>0</v>
      </c>
      <c r="K1304" cm="1">
        <f t="array" ref="K1304">IFERROR(_xlfn.XLOOKUP(C1304&amp;A1304, Inside5!B:B&amp;Inside5!I:I, Inside5!G:G), 0)</f>
        <v>0</v>
      </c>
      <c r="L1304" cm="1">
        <f t="array" ref="L1304">IFERROR(_xlfn.XLOOKUP(C1304&amp;A1304, Inside5!B:B&amp;Inside5!I:I, Inside5!H:H), 0)</f>
        <v>0</v>
      </c>
      <c r="M1304" cm="1">
        <f t="array" ref="M1304">IFERROR(_xlfn.XLOOKUP(C1304&amp;A1304, TDrate!F:F&amp;TDrate!H:H, TDrate!B:B), "N/A")</f>
        <v>1.49E-2</v>
      </c>
      <c r="N1304" cm="1">
        <f t="array" ref="N1304">IFERROR(_xlfn.XLOOKUP(C1304&amp;A1304, TDrate!F:F&amp;TDrate!H:H, TDrate!D:D), "N/A")</f>
        <v>1.8599999999999998E-2</v>
      </c>
    </row>
    <row r="1305" spans="1:14" x14ac:dyDescent="0.45">
      <c r="A1305" s="8">
        <v>2018</v>
      </c>
      <c r="B1305" s="9" t="s">
        <v>894</v>
      </c>
      <c r="C1305" s="10" t="str">
        <f t="shared" si="40"/>
        <v>Leonard Fournette</v>
      </c>
      <c r="D1305" s="10" t="str">
        <f t="shared" si="41"/>
        <v>JAC</v>
      </c>
      <c r="E1305" cm="1">
        <f t="array" aca="1" ref="E1305" ca="1">IFERROR(_xlfn.XLOOKUP(C1305&amp;A1305, Inside5!B:B&amp;Inside5!I:I, Inside5!C:C), 0)</f>
        <v>11</v>
      </c>
      <c r="F1305" cm="1">
        <f t="array" ref="F1305">IFERROR(_xlfn.XLOOKUP(C1305&amp;A1305, Inside5!B:B&amp;Inside5!I:I, Inside5!D:D), 0)</f>
        <v>5</v>
      </c>
      <c r="G1305" cm="1">
        <f t="array" ref="G1305">IFERROR(_xlfn.XLOOKUP(C1305&amp;A1305, Inside5!B:B&amp;Inside5!I:I, Inside5!E:E), 0)</f>
        <v>0.78600000000000003</v>
      </c>
      <c r="H1305" cm="1">
        <f t="array" ref="H1305">IFERROR(_xlfn.XLOOKUP(C1305&amp;A1305, TDrate!F:F&amp;TDrate!H:H, TDrate!C:C), "N/A")</f>
        <v>3.7600000000000001E-2</v>
      </c>
      <c r="I1305" cm="1">
        <f t="array" ref="I1305">IFERROR(_xlfn.XLOOKUP(C1305&amp;A1305, TDrate!F:F&amp;TDrate!H:H, TDrate!E:E), "N/A")</f>
        <v>0.04</v>
      </c>
      <c r="J1305" cm="1">
        <f t="array" ref="J1305">IFERROR(_xlfn.XLOOKUP(C1305&amp;A1305, Inside5!B:B&amp;Inside5!I:I, Inside5!F:F), 0)</f>
        <v>1</v>
      </c>
      <c r="K1305" cm="1">
        <f t="array" ref="K1305">IFERROR(_xlfn.XLOOKUP(C1305&amp;A1305, Inside5!B:B&amp;Inside5!I:I, Inside5!G:G), 0)</f>
        <v>1</v>
      </c>
      <c r="L1305" cm="1">
        <f t="array" ref="L1305">IFERROR(_xlfn.XLOOKUP(C1305&amp;A1305, Inside5!B:B&amp;Inside5!I:I, Inside5!H:H), 0)</f>
        <v>1</v>
      </c>
      <c r="M1305" cm="1">
        <f t="array" ref="M1305">IFERROR(_xlfn.XLOOKUP(C1305&amp;A1305, TDrate!F:F&amp;TDrate!H:H, TDrate!B:B), "N/A")</f>
        <v>3.85E-2</v>
      </c>
      <c r="N1305" cm="1">
        <f t="array" ref="N1305">IFERROR(_xlfn.XLOOKUP(C1305&amp;A1305, TDrate!F:F&amp;TDrate!H:H, TDrate!D:D), "N/A")</f>
        <v>3.6700000000000003E-2</v>
      </c>
    </row>
    <row r="1306" spans="1:14" x14ac:dyDescent="0.45">
      <c r="A1306" s="5">
        <v>2018</v>
      </c>
      <c r="B1306" s="6" t="s">
        <v>728</v>
      </c>
      <c r="C1306" s="7" t="str">
        <f t="shared" si="40"/>
        <v>Nyheim Miller-Hines</v>
      </c>
      <c r="D1306" s="7" t="str">
        <f t="shared" si="41"/>
        <v>IND</v>
      </c>
      <c r="E1306" cm="1">
        <f t="array" aca="1" ref="E1306" ca="1">IFERROR(_xlfn.XLOOKUP(C1306&amp;A1306, Inside5!B:B&amp;Inside5!I:I, Inside5!C:C), 0)</f>
        <v>3</v>
      </c>
      <c r="F1306" cm="1">
        <f t="array" aca="1" ref="F1306" ca="1">IFERROR(_xlfn.XLOOKUP(C1306&amp;A1306, Inside5!B:B&amp;Inside5!I:I, Inside5!D:D), 0)</f>
        <v>1</v>
      </c>
      <c r="G1306" cm="1">
        <f t="array" ref="G1306">IFERROR(_xlfn.XLOOKUP(C1306&amp;A1306, Inside5!B:B&amp;Inside5!I:I, Inside5!E:E), 0)</f>
        <v>0.17599999999999999</v>
      </c>
      <c r="H1306" cm="1">
        <f t="array" ref="H1306">IFERROR(_xlfn.XLOOKUP(C1306&amp;A1306, TDrate!F:F&amp;TDrate!H:H, TDrate!C:C), "N/A")</f>
        <v>2.35E-2</v>
      </c>
      <c r="I1306" cm="1">
        <f t="array" ref="I1306">IFERROR(_xlfn.XLOOKUP(C1306&amp;A1306, TDrate!F:F&amp;TDrate!H:H, TDrate!E:E), "N/A")</f>
        <v>2.75E-2</v>
      </c>
      <c r="J1306" cm="1">
        <f t="array" ref="J1306">IFERROR(_xlfn.XLOOKUP(C1306&amp;A1306, Inside5!B:B&amp;Inside5!I:I, Inside5!F:F), 0)</f>
        <v>1</v>
      </c>
      <c r="K1306" cm="1">
        <f t="array" ref="K1306">IFERROR(_xlfn.XLOOKUP(C1306&amp;A1306, Inside5!B:B&amp;Inside5!I:I, Inside5!G:G), 0)</f>
        <v>2</v>
      </c>
      <c r="L1306" cm="1">
        <f t="array" ref="L1306">IFERROR(_xlfn.XLOOKUP(C1306&amp;A1306, Inside5!B:B&amp;Inside5!I:I, Inside5!H:H), 0)</f>
        <v>0</v>
      </c>
      <c r="M1306" cm="1">
        <f t="array" ref="M1306">IFERROR(_xlfn.XLOOKUP(C1306&amp;A1306, TDrate!F:F&amp;TDrate!H:H, TDrate!B:B), "N/A")</f>
        <v>2.47E-2</v>
      </c>
      <c r="N1306" cm="1">
        <f t="array" ref="N1306">IFERROR(_xlfn.XLOOKUP(C1306&amp;A1306, TDrate!F:F&amp;TDrate!H:H, TDrate!D:D), "N/A")</f>
        <v>2.7799999999999998E-2</v>
      </c>
    </row>
    <row r="1307" spans="1:14" x14ac:dyDescent="0.45">
      <c r="A1307" s="8">
        <v>2018</v>
      </c>
      <c r="B1307" s="9" t="s">
        <v>977</v>
      </c>
      <c r="C1307" s="10" t="str">
        <f t="shared" si="40"/>
        <v>Alex Collins</v>
      </c>
      <c r="D1307" s="10" t="str">
        <f t="shared" si="41"/>
        <v>BAL</v>
      </c>
      <c r="E1307" cm="1">
        <f t="array" ref="E1307">IFERROR(_xlfn.XLOOKUP(C1307&amp;A1307, Inside5!B:B&amp;Inside5!I:I, Inside5!C:C), 0)</f>
        <v>6</v>
      </c>
      <c r="F1307" cm="1">
        <f t="array" aca="1" ref="F1307" ca="1">IFERROR(_xlfn.XLOOKUP(C1307&amp;A1307, Inside5!B:B&amp;Inside5!I:I, Inside5!D:D), 0)</f>
        <v>2</v>
      </c>
      <c r="G1307" cm="1">
        <f t="array" ref="G1307">IFERROR(_xlfn.XLOOKUP(C1307&amp;A1307, Inside5!B:B&amp;Inside5!I:I, Inside5!E:E), 0)</f>
        <v>0.35299999999999998</v>
      </c>
      <c r="H1307" cm="1">
        <f t="array" ref="H1307">IFERROR(_xlfn.XLOOKUP(C1307&amp;A1307, TDrate!F:F&amp;TDrate!H:H, TDrate!C:C), "N/A")</f>
        <v>6.1400000000000003E-2</v>
      </c>
      <c r="I1307" cm="1">
        <f t="array" ref="I1307">IFERROR(_xlfn.XLOOKUP(C1307&amp;A1307, TDrate!F:F&amp;TDrate!H:H, TDrate!E:E), "N/A")</f>
        <v>4.7600000000000003E-2</v>
      </c>
      <c r="J1307" cm="1">
        <f t="array" ref="J1307">IFERROR(_xlfn.XLOOKUP(C1307&amp;A1307, Inside5!B:B&amp;Inside5!I:I, Inside5!F:F), 0)</f>
        <v>1</v>
      </c>
      <c r="K1307" cm="1">
        <f t="array" ref="K1307">IFERROR(_xlfn.XLOOKUP(C1307&amp;A1307, Inside5!B:B&amp;Inside5!I:I, Inside5!G:G), 0)</f>
        <v>1</v>
      </c>
      <c r="L1307" cm="1">
        <f t="array" ref="L1307">IFERROR(_xlfn.XLOOKUP(C1307&amp;A1307, Inside5!B:B&amp;Inside5!I:I, Inside5!H:H), 0)</f>
        <v>1</v>
      </c>
      <c r="M1307" cm="1">
        <f t="array" ref="M1307">IFERROR(_xlfn.XLOOKUP(C1307&amp;A1307, TDrate!F:F&amp;TDrate!H:H, TDrate!B:B), "N/A")</f>
        <v>4.7600000000000003E-2</v>
      </c>
      <c r="N1307" cm="1">
        <f t="array" ref="N1307">IFERROR(_xlfn.XLOOKUP(C1307&amp;A1307, TDrate!F:F&amp;TDrate!H:H, TDrate!D:D), "N/A")</f>
        <v>4.9000000000000002E-2</v>
      </c>
    </row>
    <row r="1308" spans="1:14" x14ac:dyDescent="0.45">
      <c r="A1308" s="5">
        <v>2018</v>
      </c>
      <c r="B1308" s="6" t="s">
        <v>1000</v>
      </c>
      <c r="C1308" s="7" t="str">
        <f t="shared" si="40"/>
        <v>LeSean McCoy</v>
      </c>
      <c r="D1308" s="7" t="str">
        <f t="shared" si="41"/>
        <v>BUF</v>
      </c>
      <c r="E1308" cm="1">
        <f t="array" aca="1" ref="E1308" ca="1">IFERROR(_xlfn.XLOOKUP(C1308&amp;A1308, Inside5!B:B&amp;Inside5!I:I, Inside5!C:C), 0)</f>
        <v>4</v>
      </c>
      <c r="F1308" cm="1">
        <f t="array" aca="1" ref="F1308" ca="1">IFERROR(_xlfn.XLOOKUP(C1308&amp;A1308, Inside5!B:B&amp;Inside5!I:I, Inside5!D:D), 0)</f>
        <v>1</v>
      </c>
      <c r="G1308" cm="1">
        <f t="array" ref="G1308">IFERROR(_xlfn.XLOOKUP(C1308&amp;A1308, Inside5!B:B&amp;Inside5!I:I, Inside5!E:E), 0)</f>
        <v>0.57099999999999995</v>
      </c>
      <c r="H1308" cm="1">
        <f t="array" ref="H1308">IFERROR(_xlfn.XLOOKUP(C1308&amp;A1308, TDrate!F:F&amp;TDrate!H:H, TDrate!C:C), "N/A")</f>
        <v>1.8599999999999998E-2</v>
      </c>
      <c r="I1308" cm="1">
        <f t="array" ref="I1308">IFERROR(_xlfn.XLOOKUP(C1308&amp;A1308, TDrate!F:F&amp;TDrate!H:H, TDrate!E:E), "N/A")</f>
        <v>1.9800000000000002E-2</v>
      </c>
      <c r="J1308" cm="1">
        <f t="array" ref="J1308">IFERROR(_xlfn.XLOOKUP(C1308&amp;A1308, Inside5!B:B&amp;Inside5!I:I, Inside5!F:F), 0)</f>
        <v>0</v>
      </c>
      <c r="K1308" cm="1">
        <f t="array" ref="K1308">IFERROR(_xlfn.XLOOKUP(C1308&amp;A1308, Inside5!B:B&amp;Inside5!I:I, Inside5!G:G), 0)</f>
        <v>0</v>
      </c>
      <c r="L1308" cm="1">
        <f t="array" ref="L1308">IFERROR(_xlfn.XLOOKUP(C1308&amp;A1308, Inside5!B:B&amp;Inside5!I:I, Inside5!H:H), 0)</f>
        <v>0</v>
      </c>
      <c r="M1308" cm="1">
        <f t="array" ref="M1308">IFERROR(_xlfn.XLOOKUP(C1308&amp;A1308, TDrate!F:F&amp;TDrate!H:H, TDrate!B:B), "N/A")</f>
        <v>0</v>
      </c>
      <c r="N1308" cm="1">
        <f t="array" ref="N1308">IFERROR(_xlfn.XLOOKUP(C1308&amp;A1308, TDrate!F:F&amp;TDrate!H:H, TDrate!D:D), "N/A")</f>
        <v>7.3000000000000001E-3</v>
      </c>
    </row>
    <row r="1309" spans="1:14" x14ac:dyDescent="0.45">
      <c r="A1309" s="8">
        <v>2018</v>
      </c>
      <c r="B1309" s="9" t="s">
        <v>1001</v>
      </c>
      <c r="C1309" s="10" t="str">
        <f t="shared" si="40"/>
        <v>Frank Gore</v>
      </c>
      <c r="D1309" s="10" t="str">
        <f t="shared" si="41"/>
        <v>MIA</v>
      </c>
      <c r="E1309" cm="1">
        <f t="array" ref="E1309">IFERROR(_xlfn.XLOOKUP(C1309&amp;A1309, Inside5!B:B&amp;Inside5!I:I, Inside5!C:C), 0)</f>
        <v>1</v>
      </c>
      <c r="F1309" cm="1">
        <f t="array" aca="1" ref="F1309" ca="1">IFERROR(_xlfn.XLOOKUP(C1309&amp;A1309, Inside5!B:B&amp;Inside5!I:I, Inside5!D:D), 0)</f>
        <v>0</v>
      </c>
      <c r="G1309" cm="1">
        <f t="array" ref="G1309">IFERROR(_xlfn.XLOOKUP(C1309&amp;A1309, Inside5!B:B&amp;Inside5!I:I, Inside5!E:E), 0)</f>
        <v>0.5</v>
      </c>
      <c r="H1309" cm="1">
        <f t="array" ref="H1309">IFERROR(_xlfn.XLOOKUP(C1309&amp;A1309, TDrate!F:F&amp;TDrate!H:H, TDrate!C:C), "N/A")</f>
        <v>0</v>
      </c>
      <c r="I1309" cm="1">
        <f t="array" ref="I1309">IFERROR(_xlfn.XLOOKUP(C1309&amp;A1309, TDrate!F:F&amp;TDrate!H:H, TDrate!E:E), "N/A")</f>
        <v>5.7000000000000002E-3</v>
      </c>
      <c r="J1309" cm="1">
        <f t="array" ref="J1309">IFERROR(_xlfn.XLOOKUP(C1309&amp;A1309, Inside5!B:B&amp;Inside5!I:I, Inside5!F:F), 0)</f>
        <v>0</v>
      </c>
      <c r="K1309" cm="1">
        <f t="array" ref="K1309">IFERROR(_xlfn.XLOOKUP(C1309&amp;A1309, Inside5!B:B&amp;Inside5!I:I, Inside5!G:G), 0)</f>
        <v>0</v>
      </c>
      <c r="L1309" cm="1">
        <f t="array" ref="L1309">IFERROR(_xlfn.XLOOKUP(C1309&amp;A1309, Inside5!B:B&amp;Inside5!I:I, Inside5!H:H), 0)</f>
        <v>0</v>
      </c>
      <c r="M1309" cm="1">
        <f t="array" ref="M1309">IFERROR(_xlfn.XLOOKUP(C1309&amp;A1309, TDrate!F:F&amp;TDrate!H:H, TDrate!B:B), "N/A")</f>
        <v>6.25E-2</v>
      </c>
      <c r="N1309" cm="1">
        <f t="array" ref="N1309">IFERROR(_xlfn.XLOOKUP(C1309&amp;A1309, TDrate!F:F&amp;TDrate!H:H, TDrate!D:D), "N/A")</f>
        <v>4.9000000000000002E-2</v>
      </c>
    </row>
    <row r="1310" spans="1:14" x14ac:dyDescent="0.45">
      <c r="A1310" s="5">
        <v>2018</v>
      </c>
      <c r="B1310" s="6" t="s">
        <v>1002</v>
      </c>
      <c r="C1310" s="7" t="str">
        <f t="shared" si="40"/>
        <v>Wendell Smallwood</v>
      </c>
      <c r="D1310" s="7" t="str">
        <f t="shared" si="41"/>
        <v>PHI</v>
      </c>
      <c r="E1310" cm="1">
        <f t="array" aca="1" ref="E1310" ca="1">IFERROR(_xlfn.XLOOKUP(C1310&amp;A1310, Inside5!B:B&amp;Inside5!I:I, Inside5!C:C), 0)</f>
        <v>2</v>
      </c>
      <c r="F1310" cm="1">
        <f t="array" aca="1" ref="F1310" ca="1">IFERROR(_xlfn.XLOOKUP(C1310&amp;A1310, Inside5!B:B&amp;Inside5!I:I, Inside5!D:D), 0)</f>
        <v>2</v>
      </c>
      <c r="G1310" cm="1">
        <f t="array" ref="G1310">IFERROR(_xlfn.XLOOKUP(C1310&amp;A1310, Inside5!B:B&amp;Inside5!I:I, Inside5!E:E), 0)</f>
        <v>0.16700000000000001</v>
      </c>
      <c r="H1310" cm="1">
        <f t="array" ref="H1310">IFERROR(_xlfn.XLOOKUP(C1310&amp;A1310, TDrate!F:F&amp;TDrate!H:H, TDrate!C:C), "N/A")</f>
        <v>3.4500000000000003E-2</v>
      </c>
      <c r="I1310" cm="1">
        <f t="array" ref="I1310">IFERROR(_xlfn.XLOOKUP(C1310&amp;A1310, TDrate!F:F&amp;TDrate!H:H, TDrate!E:E), "N/A")</f>
        <v>2.8799999999999999E-2</v>
      </c>
      <c r="J1310" cm="1">
        <f t="array" ref="J1310">IFERROR(_xlfn.XLOOKUP(C1310&amp;A1310, Inside5!B:B&amp;Inside5!I:I, Inside5!F:F), 0)</f>
        <v>0</v>
      </c>
      <c r="K1310" cm="1">
        <f t="array" ref="K1310">IFERROR(_xlfn.XLOOKUP(C1310&amp;A1310, Inside5!B:B&amp;Inside5!I:I, Inside5!G:G), 0)</f>
        <v>0</v>
      </c>
      <c r="L1310" cm="1">
        <f t="array" ref="L1310">IFERROR(_xlfn.XLOOKUP(C1310&amp;A1310, Inside5!B:B&amp;Inside5!I:I, Inside5!H:H), 0)</f>
        <v>0</v>
      </c>
      <c r="M1310" cm="1">
        <f t="array" ref="M1310">IFERROR(_xlfn.XLOOKUP(C1310&amp;A1310, TDrate!F:F&amp;TDrate!H:H, TDrate!B:B), "N/A")</f>
        <v>5.7099999999999998E-2</v>
      </c>
      <c r="N1310" cm="1">
        <f t="array" ref="N1310">IFERROR(_xlfn.XLOOKUP(C1310&amp;A1310, TDrate!F:F&amp;TDrate!H:H, TDrate!D:D), "N/A")</f>
        <v>4.4200000000000003E-2</v>
      </c>
    </row>
    <row r="1311" spans="1:14" x14ac:dyDescent="0.45">
      <c r="A1311" s="8">
        <v>2018</v>
      </c>
      <c r="B1311" s="9" t="s">
        <v>911</v>
      </c>
      <c r="C1311" s="10" t="str">
        <f t="shared" si="40"/>
        <v>Jalen Richard</v>
      </c>
      <c r="D1311" s="10" t="str">
        <f t="shared" si="41"/>
        <v>OAK</v>
      </c>
      <c r="E1311" cm="1">
        <f t="array" aca="1" ref="E1311" ca="1">IFERROR(_xlfn.XLOOKUP(C1311&amp;A1311, Inside5!B:B&amp;Inside5!I:I, Inside5!C:C), 0)</f>
        <v>2</v>
      </c>
      <c r="F1311" cm="1">
        <f t="array" aca="1" ref="F1311" ca="1">IFERROR(_xlfn.XLOOKUP(C1311&amp;A1311, Inside5!B:B&amp;Inside5!I:I, Inside5!D:D), 0)</f>
        <v>1</v>
      </c>
      <c r="G1311" cm="1">
        <f t="array" ref="G1311">IFERROR(_xlfn.XLOOKUP(C1311&amp;A1311, Inside5!B:B&amp;Inside5!I:I, Inside5!E:E), 0)</f>
        <v>0.105</v>
      </c>
      <c r="H1311" cm="1">
        <f t="array" ref="H1311">IFERROR(_xlfn.XLOOKUP(C1311&amp;A1311, TDrate!F:F&amp;TDrate!H:H, TDrate!C:C), "N/A")</f>
        <v>1.8200000000000001E-2</v>
      </c>
      <c r="I1311" cm="1">
        <f t="array" ref="I1311">IFERROR(_xlfn.XLOOKUP(C1311&amp;A1311, TDrate!F:F&amp;TDrate!H:H, TDrate!E:E), "N/A")</f>
        <v>2.1700000000000001E-2</v>
      </c>
      <c r="J1311" cm="1">
        <f t="array" ref="J1311">IFERROR(_xlfn.XLOOKUP(C1311&amp;A1311, Inside5!B:B&amp;Inside5!I:I, Inside5!F:F), 0)</f>
        <v>0</v>
      </c>
      <c r="K1311" cm="1">
        <f t="array" aca="1" ref="K1311" ca="1">IFERROR(_xlfn.XLOOKUP(C1311&amp;A1311, Inside5!B:B&amp;Inside5!I:I, Inside5!G:G), 0)</f>
        <v>0</v>
      </c>
      <c r="L1311" cm="1">
        <f t="array" ref="L1311">IFERROR(_xlfn.XLOOKUP(C1311&amp;A1311, Inside5!B:B&amp;Inside5!I:I, Inside5!H:H), 0)</f>
        <v>0</v>
      </c>
      <c r="M1311" cm="1">
        <f t="array" ref="M1311">IFERROR(_xlfn.XLOOKUP(C1311&amp;A1311, TDrate!F:F&amp;TDrate!H:H, TDrate!B:B), "N/A")</f>
        <v>0</v>
      </c>
      <c r="N1311" cm="1">
        <f t="array" ref="N1311">IFERROR(_xlfn.XLOOKUP(C1311&amp;A1311, TDrate!F:F&amp;TDrate!H:H, TDrate!D:D), "N/A")</f>
        <v>7.7000000000000002E-3</v>
      </c>
    </row>
    <row r="1312" spans="1:14" x14ac:dyDescent="0.45">
      <c r="A1312" s="5">
        <v>2018</v>
      </c>
      <c r="B1312" s="6" t="s">
        <v>747</v>
      </c>
      <c r="C1312" s="7" t="str">
        <f t="shared" si="40"/>
        <v>Carlos Hyde</v>
      </c>
      <c r="D1312" s="7" t="str">
        <f t="shared" si="41"/>
        <v>JAC</v>
      </c>
      <c r="E1312" cm="1">
        <f t="array" ref="E1312">IFERROR(_xlfn.XLOOKUP(C1312&amp;A1312, Inside5!B:B&amp;Inside5!I:I, Inside5!C:C), 0)</f>
        <v>11</v>
      </c>
      <c r="F1312" cm="1">
        <f t="array" ref="F1312">IFERROR(_xlfn.XLOOKUP(C1312&amp;A1312, Inside5!B:B&amp;Inside5!I:I, Inside5!D:D), 0)</f>
        <v>5</v>
      </c>
      <c r="G1312" cm="1">
        <f t="array" ref="G1312">IFERROR(_xlfn.XLOOKUP(C1312&amp;A1312, Inside5!B:B&amp;Inside5!I:I, Inside5!E:E), 0)</f>
        <v>0.55000000000000004</v>
      </c>
      <c r="H1312" cm="1">
        <f t="array" ref="H1312">IFERROR(_xlfn.XLOOKUP(C1312&amp;A1312, TDrate!F:F&amp;TDrate!H:H, TDrate!C:C), "N/A")</f>
        <v>2.9100000000000001E-2</v>
      </c>
      <c r="I1312" cm="1">
        <f t="array" ref="I1312">IFERROR(_xlfn.XLOOKUP(C1312&amp;A1312, TDrate!F:F&amp;TDrate!H:H, TDrate!E:E), "N/A")</f>
        <v>3.2199999999999999E-2</v>
      </c>
      <c r="J1312" cm="1">
        <f t="array" ref="J1312">IFERROR(_xlfn.XLOOKUP(C1312&amp;A1312, Inside5!B:B&amp;Inside5!I:I, Inside5!F:F), 0)</f>
        <v>0</v>
      </c>
      <c r="K1312" cm="1">
        <f t="array" ref="K1312">IFERROR(_xlfn.XLOOKUP(C1312&amp;A1312, Inside5!B:B&amp;Inside5!I:I, Inside5!G:G), 0)</f>
        <v>0</v>
      </c>
      <c r="L1312" cm="1">
        <f t="array" ref="L1312">IFERROR(_xlfn.XLOOKUP(C1312&amp;A1312, Inside5!B:B&amp;Inside5!I:I, Inside5!H:H), 0)</f>
        <v>0</v>
      </c>
      <c r="M1312" cm="1">
        <f t="array" ref="M1312">IFERROR(_xlfn.XLOOKUP(C1312&amp;A1312, TDrate!F:F&amp;TDrate!H:H, TDrate!B:B), "N/A")</f>
        <v>0</v>
      </c>
      <c r="N1312" cm="1">
        <f t="array" ref="N1312">IFERROR(_xlfn.XLOOKUP(C1312&amp;A1312, TDrate!F:F&amp;TDrate!H:H, TDrate!D:D), "N/A")</f>
        <v>8.8999999999999999E-3</v>
      </c>
    </row>
    <row r="1313" spans="1:14" x14ac:dyDescent="0.45">
      <c r="A1313" s="8">
        <v>2018</v>
      </c>
      <c r="B1313" s="9" t="s">
        <v>548</v>
      </c>
      <c r="C1313" s="10" t="str">
        <f t="shared" si="40"/>
        <v>Gus Edwards</v>
      </c>
      <c r="D1313" s="10" t="str">
        <f t="shared" si="41"/>
        <v>BAL</v>
      </c>
      <c r="E1313" cm="1">
        <f t="array" ref="E1313">IFERROR(_xlfn.XLOOKUP(C1313&amp;A1313, Inside5!B:B&amp;Inside5!I:I, Inside5!C:C), 0)</f>
        <v>2</v>
      </c>
      <c r="F1313" cm="1">
        <f t="array" ref="F1313">IFERROR(_xlfn.XLOOKUP(C1313&amp;A1313, Inside5!B:B&amp;Inside5!I:I, Inside5!D:D), 0)</f>
        <v>0</v>
      </c>
      <c r="G1313" cm="1">
        <f t="array" ref="G1313">IFERROR(_xlfn.XLOOKUP(C1313&amp;A1313, Inside5!B:B&amp;Inside5!I:I, Inside5!E:E), 0)</f>
        <v>0.11799999999999999</v>
      </c>
      <c r="H1313" cm="1">
        <f t="array" ref="H1313">IFERROR(_xlfn.XLOOKUP(C1313&amp;A1313, TDrate!F:F&amp;TDrate!H:H, TDrate!C:C), "N/A")</f>
        <v>1.46E-2</v>
      </c>
      <c r="I1313" cm="1">
        <f t="array" ref="I1313">IFERROR(_xlfn.XLOOKUP(C1313&amp;A1313, TDrate!F:F&amp;TDrate!H:H, TDrate!E:E), "N/A")</f>
        <v>1.5699999999999999E-2</v>
      </c>
      <c r="J1313" cm="1">
        <f t="array" ref="J1313">IFERROR(_xlfn.XLOOKUP(C1313&amp;A1313, Inside5!B:B&amp;Inside5!I:I, Inside5!F:F), 0)</f>
        <v>0</v>
      </c>
      <c r="K1313" cm="1">
        <f t="array" ref="K1313">IFERROR(_xlfn.XLOOKUP(C1313&amp;A1313, Inside5!B:B&amp;Inside5!I:I, Inside5!G:G), 0)</f>
        <v>0</v>
      </c>
      <c r="L1313" cm="1">
        <f t="array" ref="L1313">IFERROR(_xlfn.XLOOKUP(C1313&amp;A1313, Inside5!B:B&amp;Inside5!I:I, Inside5!H:H), 0)</f>
        <v>0</v>
      </c>
      <c r="M1313" cm="1">
        <f t="array" ref="M1313">IFERROR(_xlfn.XLOOKUP(C1313&amp;A1313, TDrate!F:F&amp;TDrate!H:H, TDrate!B:B), "N/A")</f>
        <v>0</v>
      </c>
      <c r="N1313" cm="1">
        <f t="array" ref="N1313">IFERROR(_xlfn.XLOOKUP(C1313&amp;A1313, TDrate!F:F&amp;TDrate!H:H, TDrate!D:D), "N/A")</f>
        <v>5.3E-3</v>
      </c>
    </row>
    <row r="1314" spans="1:14" x14ac:dyDescent="0.45">
      <c r="A1314" s="5">
        <v>2018</v>
      </c>
      <c r="B1314" s="6" t="s">
        <v>827</v>
      </c>
      <c r="C1314" s="7" t="str">
        <f t="shared" si="40"/>
        <v>Jamaal Williams</v>
      </c>
      <c r="D1314" s="7" t="str">
        <f t="shared" si="41"/>
        <v>GB</v>
      </c>
      <c r="E1314" cm="1">
        <f t="array" ref="E1314">IFERROR(_xlfn.XLOOKUP(C1314&amp;A1314, Inside5!B:B&amp;Inside5!I:I, Inside5!C:C), 0)</f>
        <v>2</v>
      </c>
      <c r="F1314" cm="1">
        <f t="array" ref="F1314">IFERROR(_xlfn.XLOOKUP(C1314&amp;A1314, Inside5!B:B&amp;Inside5!I:I, Inside5!D:D), 0)</f>
        <v>1</v>
      </c>
      <c r="G1314" cm="1">
        <f t="array" ref="G1314">IFERROR(_xlfn.XLOOKUP(C1314&amp;A1314, Inside5!B:B&amp;Inside5!I:I, Inside5!E:E), 0)</f>
        <v>0.28599999999999998</v>
      </c>
      <c r="H1314" cm="1">
        <f t="array" ref="H1314">IFERROR(_xlfn.XLOOKUP(C1314&amp;A1314, TDrate!F:F&amp;TDrate!H:H, TDrate!C:C), "N/A")</f>
        <v>2.4799999999999999E-2</v>
      </c>
      <c r="I1314" cm="1">
        <f t="array" ref="I1314">IFERROR(_xlfn.XLOOKUP(C1314&amp;A1314, TDrate!F:F&amp;TDrate!H:H, TDrate!E:E), "N/A")</f>
        <v>2.1299999999999999E-2</v>
      </c>
      <c r="J1314" cm="1">
        <f t="array" ref="J1314">IFERROR(_xlfn.XLOOKUP(C1314&amp;A1314, Inside5!B:B&amp;Inside5!I:I, Inside5!F:F), 0)</f>
        <v>0</v>
      </c>
      <c r="K1314" cm="1">
        <f t="array" ref="K1314">IFERROR(_xlfn.XLOOKUP(C1314&amp;A1314, Inside5!B:B&amp;Inside5!I:I, Inside5!G:G), 0)</f>
        <v>0</v>
      </c>
      <c r="L1314" cm="1">
        <f t="array" ref="L1314">IFERROR(_xlfn.XLOOKUP(C1314&amp;A1314, Inside5!B:B&amp;Inside5!I:I, Inside5!H:H), 0)</f>
        <v>0</v>
      </c>
      <c r="M1314" cm="1">
        <f t="array" ref="M1314">IFERROR(_xlfn.XLOOKUP(C1314&amp;A1314, TDrate!F:F&amp;TDrate!H:H, TDrate!B:B), "N/A")</f>
        <v>0</v>
      </c>
      <c r="N1314" cm="1">
        <f t="array" ref="N1314">IFERROR(_xlfn.XLOOKUP(C1314&amp;A1314, TDrate!F:F&amp;TDrate!H:H, TDrate!D:D), "N/A")</f>
        <v>9.7000000000000003E-3</v>
      </c>
    </row>
    <row r="1315" spans="1:14" x14ac:dyDescent="0.45">
      <c r="A1315" s="8">
        <v>2018</v>
      </c>
      <c r="B1315" s="9" t="s">
        <v>850</v>
      </c>
      <c r="C1315" s="10" t="str">
        <f t="shared" si="40"/>
        <v>Royce Freeman</v>
      </c>
      <c r="D1315" s="10" t="str">
        <f t="shared" si="41"/>
        <v>DEN</v>
      </c>
      <c r="E1315" cm="1">
        <f t="array" ref="E1315">IFERROR(_xlfn.XLOOKUP(C1315&amp;A1315, Inside5!B:B&amp;Inside5!I:I, Inside5!C:C), 0)</f>
        <v>5</v>
      </c>
      <c r="F1315" cm="1">
        <f t="array" ref="F1315">IFERROR(_xlfn.XLOOKUP(C1315&amp;A1315, Inside5!B:B&amp;Inside5!I:I, Inside5!D:D), 0)</f>
        <v>3</v>
      </c>
      <c r="G1315" cm="1">
        <f t="array" ref="G1315">IFERROR(_xlfn.XLOOKUP(C1315&amp;A1315, Inside5!B:B&amp;Inside5!I:I, Inside5!E:E), 0)</f>
        <v>0.38500000000000001</v>
      </c>
      <c r="H1315" cm="1">
        <f t="array" ref="H1315">IFERROR(_xlfn.XLOOKUP(C1315&amp;A1315, TDrate!F:F&amp;TDrate!H:H, TDrate!C:C), "N/A")</f>
        <v>3.85E-2</v>
      </c>
      <c r="I1315" cm="1">
        <f t="array" ref="I1315">IFERROR(_xlfn.XLOOKUP(C1315&amp;A1315, TDrate!F:F&amp;TDrate!H:H, TDrate!E:E), "N/A")</f>
        <v>3.1899999999999998E-2</v>
      </c>
      <c r="J1315" cm="1">
        <f t="array" ref="J1315">IFERROR(_xlfn.XLOOKUP(C1315&amp;A1315, Inside5!B:B&amp;Inside5!I:I, Inside5!F:F), 0)</f>
        <v>0</v>
      </c>
      <c r="K1315" cm="1">
        <f t="array" ref="K1315">IFERROR(_xlfn.XLOOKUP(C1315&amp;A1315, Inside5!B:B&amp;Inside5!I:I, Inside5!G:G), 0)</f>
        <v>0</v>
      </c>
      <c r="L1315" cm="1">
        <f t="array" ref="L1315">IFERROR(_xlfn.XLOOKUP(C1315&amp;A1315, Inside5!B:B&amp;Inside5!I:I, Inside5!H:H), 0)</f>
        <v>0</v>
      </c>
      <c r="M1315" cm="1">
        <f t="array" ref="M1315">IFERROR(_xlfn.XLOOKUP(C1315&amp;A1315, TDrate!F:F&amp;TDrate!H:H, TDrate!B:B), "N/A")</f>
        <v>0</v>
      </c>
      <c r="N1315" cm="1">
        <f t="array" ref="N1315">IFERROR(_xlfn.XLOOKUP(C1315&amp;A1315, TDrate!F:F&amp;TDrate!H:H, TDrate!D:D), "N/A")</f>
        <v>7.7000000000000002E-3</v>
      </c>
    </row>
    <row r="1316" spans="1:14" x14ac:dyDescent="0.45">
      <c r="A1316" s="5">
        <v>2018</v>
      </c>
      <c r="B1316" s="6" t="s">
        <v>1003</v>
      </c>
      <c r="C1316" s="7" t="str">
        <f t="shared" si="40"/>
        <v>Duke Johnson Jr.</v>
      </c>
      <c r="D1316" s="7" t="str">
        <f t="shared" si="41"/>
        <v>CLE</v>
      </c>
      <c r="E1316" cm="1">
        <f t="array" aca="1" ref="E1316" ca="1">IFERROR(_xlfn.XLOOKUP(C1316&amp;A1316, Inside5!B:B&amp;Inside5!I:I, Inside5!C:C), 0)</f>
        <v>0</v>
      </c>
      <c r="F1316" cm="1">
        <f t="array" aca="1" ref="F1316" ca="1">IFERROR(_xlfn.XLOOKUP(C1316&amp;A1316, Inside5!B:B&amp;Inside5!I:I, Inside5!D:D), 0)</f>
        <v>0</v>
      </c>
      <c r="G1316" cm="1">
        <f t="array" ref="G1316">IFERROR(_xlfn.XLOOKUP(C1316&amp;A1316, Inside5!B:B&amp;Inside5!I:I, Inside5!E:E), 0)</f>
        <v>0</v>
      </c>
      <c r="H1316" cm="1">
        <f t="array" ref="H1316">IFERROR(_xlfn.XLOOKUP(C1316&amp;A1316, TDrate!F:F&amp;TDrate!H:H, TDrate!C:C), "N/A")</f>
        <v>0</v>
      </c>
      <c r="I1316" cm="1">
        <f t="array" ref="I1316">IFERROR(_xlfn.XLOOKUP(C1316&amp;A1316, TDrate!F:F&amp;TDrate!H:H, TDrate!E:E), "N/A")</f>
        <v>5.0000000000000001E-3</v>
      </c>
      <c r="J1316" cm="1">
        <f t="array" ref="J1316">IFERROR(_xlfn.XLOOKUP(C1316&amp;A1316, Inside5!B:B&amp;Inside5!I:I, Inside5!F:F), 0)</f>
        <v>1</v>
      </c>
      <c r="K1316" cm="1">
        <f t="array" aca="1" ref="K1316" ca="1">IFERROR(_xlfn.XLOOKUP(C1316&amp;A1316, Inside5!B:B&amp;Inside5!I:I, Inside5!G:G), 0)</f>
        <v>2</v>
      </c>
      <c r="L1316" cm="1">
        <f t="array" ref="L1316">IFERROR(_xlfn.XLOOKUP(C1316&amp;A1316, Inside5!B:B&amp;Inside5!I:I, Inside5!H:H), 0)</f>
        <v>1</v>
      </c>
      <c r="M1316" cm="1">
        <f t="array" ref="M1316">IFERROR(_xlfn.XLOOKUP(C1316&amp;A1316, TDrate!F:F&amp;TDrate!H:H, TDrate!B:B), "N/A")</f>
        <v>4.8399999999999999E-2</v>
      </c>
      <c r="N1316" cm="1">
        <f t="array" ref="N1316">IFERROR(_xlfn.XLOOKUP(C1316&amp;A1316, TDrate!F:F&amp;TDrate!H:H, TDrate!D:D), "N/A")</f>
        <v>4.0300000000000002E-2</v>
      </c>
    </row>
    <row r="1317" spans="1:14" x14ac:dyDescent="0.45">
      <c r="A1317" s="8">
        <v>2018</v>
      </c>
      <c r="B1317" s="9" t="s">
        <v>1004</v>
      </c>
      <c r="C1317" s="10" t="str">
        <f t="shared" si="40"/>
        <v>Alfred Blue</v>
      </c>
      <c r="D1317" s="10" t="str">
        <f t="shared" si="41"/>
        <v>HOU</v>
      </c>
      <c r="E1317" cm="1">
        <f t="array" ref="E1317">IFERROR(_xlfn.XLOOKUP(C1317&amp;A1317, Inside5!B:B&amp;Inside5!I:I, Inside5!C:C), 0)</f>
        <v>4</v>
      </c>
      <c r="F1317" cm="1">
        <f t="array" aca="1" ref="F1317" ca="1">IFERROR(_xlfn.XLOOKUP(C1317&amp;A1317, Inside5!B:B&amp;Inside5!I:I, Inside5!D:D), 0)</f>
        <v>2</v>
      </c>
      <c r="G1317" cm="1">
        <f t="array" ref="G1317">IFERROR(_xlfn.XLOOKUP(C1317&amp;A1317, Inside5!B:B&amp;Inside5!I:I, Inside5!E:E), 0)</f>
        <v>0.36399999999999999</v>
      </c>
      <c r="H1317" cm="1">
        <f t="array" ref="H1317">IFERROR(_xlfn.XLOOKUP(C1317&amp;A1317, TDrate!F:F&amp;TDrate!H:H, TDrate!C:C), "N/A")</f>
        <v>1.3299999999999999E-2</v>
      </c>
      <c r="I1317" cm="1">
        <f t="array" ref="I1317">IFERROR(_xlfn.XLOOKUP(C1317&amp;A1317, TDrate!F:F&amp;TDrate!H:H, TDrate!E:E), "N/A")</f>
        <v>1.67E-2</v>
      </c>
      <c r="J1317" cm="1">
        <f t="array" ref="J1317">IFERROR(_xlfn.XLOOKUP(C1317&amp;A1317, Inside5!B:B&amp;Inside5!I:I, Inside5!F:F), 0)</f>
        <v>0</v>
      </c>
      <c r="K1317" cm="1">
        <f t="array" aca="1" ref="K1317" ca="1">IFERROR(_xlfn.XLOOKUP(C1317&amp;A1317, Inside5!B:B&amp;Inside5!I:I, Inside5!G:G), 0)</f>
        <v>0</v>
      </c>
      <c r="L1317" cm="1">
        <f t="array" ref="L1317">IFERROR(_xlfn.XLOOKUP(C1317&amp;A1317, Inside5!B:B&amp;Inside5!I:I, Inside5!H:H), 0)</f>
        <v>0</v>
      </c>
      <c r="M1317" cm="1">
        <f t="array" ref="M1317">IFERROR(_xlfn.XLOOKUP(C1317&amp;A1317, TDrate!F:F&amp;TDrate!H:H, TDrate!B:B), "N/A")</f>
        <v>0</v>
      </c>
      <c r="N1317" cm="1">
        <f t="array" ref="N1317">IFERROR(_xlfn.XLOOKUP(C1317&amp;A1317, TDrate!F:F&amp;TDrate!H:H, TDrate!D:D), "N/A")</f>
        <v>2.18E-2</v>
      </c>
    </row>
    <row r="1318" spans="1:14" x14ac:dyDescent="0.45">
      <c r="A1318" s="5">
        <v>2018</v>
      </c>
      <c r="B1318" s="6" t="s">
        <v>960</v>
      </c>
      <c r="C1318" s="7" t="str">
        <f t="shared" si="40"/>
        <v>LeGarrette Blount</v>
      </c>
      <c r="D1318" s="7" t="str">
        <f t="shared" si="41"/>
        <v>DET</v>
      </c>
      <c r="E1318" cm="1">
        <f t="array" ref="E1318">IFERROR(_xlfn.XLOOKUP(C1318&amp;A1318, Inside5!B:B&amp;Inside5!I:I, Inside5!C:C), 0)</f>
        <v>12</v>
      </c>
      <c r="F1318" cm="1">
        <f t="array" ref="F1318">IFERROR(_xlfn.XLOOKUP(C1318&amp;A1318, Inside5!B:B&amp;Inside5!I:I, Inside5!D:D), 0)</f>
        <v>5</v>
      </c>
      <c r="G1318" cm="1">
        <f t="array" ref="G1318">IFERROR(_xlfn.XLOOKUP(C1318&amp;A1318, Inside5!B:B&amp;Inside5!I:I, Inside5!E:E), 0)</f>
        <v>0.70599999999999996</v>
      </c>
      <c r="H1318" cm="1">
        <f t="array" ref="H1318">IFERROR(_xlfn.XLOOKUP(C1318&amp;A1318, TDrate!F:F&amp;TDrate!H:H, TDrate!C:C), "N/A")</f>
        <v>3.2500000000000001E-2</v>
      </c>
      <c r="I1318" cm="1">
        <f t="array" ref="I1318">IFERROR(_xlfn.XLOOKUP(C1318&amp;A1318, TDrate!F:F&amp;TDrate!H:H, TDrate!E:E), "N/A")</f>
        <v>3.73E-2</v>
      </c>
      <c r="J1318" cm="1">
        <f t="array" ref="J1318">IFERROR(_xlfn.XLOOKUP(C1318&amp;A1318, Inside5!B:B&amp;Inside5!I:I, Inside5!F:F), 0)</f>
        <v>0</v>
      </c>
      <c r="K1318" cm="1">
        <f t="array" aca="1" ref="K1318" ca="1">IFERROR(_xlfn.XLOOKUP(C1318&amp;A1318, Inside5!B:B&amp;Inside5!I:I, Inside5!G:G), 0)</f>
        <v>0</v>
      </c>
      <c r="L1318" cm="1">
        <f t="array" ref="L1318">IFERROR(_xlfn.XLOOKUP(C1318&amp;A1318, Inside5!B:B&amp;Inside5!I:I, Inside5!H:H), 0)</f>
        <v>0</v>
      </c>
      <c r="M1318" cm="1">
        <f t="array" ref="M1318">IFERROR(_xlfn.XLOOKUP(C1318&amp;A1318, TDrate!F:F&amp;TDrate!H:H, TDrate!B:B), "N/A")</f>
        <v>0</v>
      </c>
      <c r="N1318" cm="1">
        <f t="array" ref="N1318">IFERROR(_xlfn.XLOOKUP(C1318&amp;A1318, TDrate!F:F&amp;TDrate!H:H, TDrate!D:D), "N/A")</f>
        <v>3.8E-3</v>
      </c>
    </row>
    <row r="1319" spans="1:14" x14ac:dyDescent="0.45">
      <c r="A1319" s="8">
        <v>2018</v>
      </c>
      <c r="B1319" s="9" t="s">
        <v>901</v>
      </c>
      <c r="C1319" s="10" t="str">
        <f t="shared" si="40"/>
        <v>Damien Williams</v>
      </c>
      <c r="D1319" s="10" t="str">
        <f t="shared" si="41"/>
        <v>KC</v>
      </c>
      <c r="E1319" cm="1">
        <f t="array" ref="E1319">IFERROR(_xlfn.XLOOKUP(C1319&amp;A1319, Inside5!B:B&amp;Inside5!I:I, Inside5!C:C), 0)</f>
        <v>4</v>
      </c>
      <c r="F1319" cm="1">
        <f t="array" ref="F1319">IFERROR(_xlfn.XLOOKUP(C1319&amp;A1319, Inside5!B:B&amp;Inside5!I:I, Inside5!D:D), 0)</f>
        <v>3</v>
      </c>
      <c r="G1319" cm="1">
        <f t="array" ref="G1319">IFERROR(_xlfn.XLOOKUP(C1319&amp;A1319, Inside5!B:B&amp;Inside5!I:I, Inside5!E:E), 0)</f>
        <v>0.2</v>
      </c>
      <c r="H1319" cm="1">
        <f t="array" ref="H1319">IFERROR(_xlfn.XLOOKUP(C1319&amp;A1319, TDrate!F:F&amp;TDrate!H:H, TDrate!C:C), "N/A")</f>
        <v>0.08</v>
      </c>
      <c r="I1319" cm="1">
        <f t="array" ref="I1319">IFERROR(_xlfn.XLOOKUP(C1319&amp;A1319, TDrate!F:F&amp;TDrate!H:H, TDrate!E:E), "N/A")</f>
        <v>7.17E-2</v>
      </c>
      <c r="J1319" cm="1">
        <f t="array" ref="J1319">IFERROR(_xlfn.XLOOKUP(C1319&amp;A1319, Inside5!B:B&amp;Inside5!I:I, Inside5!F:F), 0)</f>
        <v>3</v>
      </c>
      <c r="K1319" cm="1">
        <f t="array" ref="K1319">IFERROR(_xlfn.XLOOKUP(C1319&amp;A1319, Inside5!B:B&amp;Inside5!I:I, Inside5!G:G), 0)</f>
        <v>3</v>
      </c>
      <c r="L1319" cm="1">
        <f t="array" ref="L1319">IFERROR(_xlfn.XLOOKUP(C1319&amp;A1319, Inside5!B:B&amp;Inside5!I:I, Inside5!H:H), 0)</f>
        <v>2</v>
      </c>
      <c r="M1319" cm="1">
        <f t="array" ref="M1319">IFERROR(_xlfn.XLOOKUP(C1319&amp;A1319, TDrate!F:F&amp;TDrate!H:H, TDrate!B:B), "N/A")</f>
        <v>8.3299999999999999E-2</v>
      </c>
      <c r="N1319" cm="1">
        <f t="array" ref="N1319">IFERROR(_xlfn.XLOOKUP(C1319&amp;A1319, TDrate!F:F&amp;TDrate!H:H, TDrate!D:D), "N/A")</f>
        <v>8.1900000000000001E-2</v>
      </c>
    </row>
    <row r="1320" spans="1:14" x14ac:dyDescent="0.45">
      <c r="A1320" s="5">
        <v>2018</v>
      </c>
      <c r="B1320" s="6" t="s">
        <v>1005</v>
      </c>
      <c r="C1320" s="7" t="str">
        <f t="shared" si="40"/>
        <v>Josh Adams</v>
      </c>
      <c r="D1320" s="7" t="str">
        <f t="shared" si="41"/>
        <v>PHI</v>
      </c>
      <c r="E1320" cm="1">
        <f t="array" ref="E1320">IFERROR(_xlfn.XLOOKUP(C1320&amp;A1320, Inside5!B:B&amp;Inside5!I:I, Inside5!C:C), 0)</f>
        <v>5</v>
      </c>
      <c r="F1320" cm="1">
        <f t="array" ref="F1320">IFERROR(_xlfn.XLOOKUP(C1320&amp;A1320, Inside5!B:B&amp;Inside5!I:I, Inside5!D:D), 0)</f>
        <v>1</v>
      </c>
      <c r="G1320" cm="1">
        <f t="array" ref="G1320">IFERROR(_xlfn.XLOOKUP(C1320&amp;A1320, Inside5!B:B&amp;Inside5!I:I, Inside5!E:E), 0)</f>
        <v>0.41699999999999998</v>
      </c>
      <c r="H1320" cm="1">
        <f t="array" ref="H1320">IFERROR(_xlfn.XLOOKUP(C1320&amp;A1320, TDrate!F:F&amp;TDrate!H:H, TDrate!C:C), "N/A")</f>
        <v>2.5000000000000001E-2</v>
      </c>
      <c r="I1320" cm="1">
        <f t="array" ref="I1320">IFERROR(_xlfn.XLOOKUP(C1320&amp;A1320, TDrate!F:F&amp;TDrate!H:H, TDrate!E:E), "N/A")</f>
        <v>2.76E-2</v>
      </c>
      <c r="J1320" cm="1">
        <f t="array" ref="J1320">IFERROR(_xlfn.XLOOKUP(C1320&amp;A1320, Inside5!B:B&amp;Inside5!I:I, Inside5!F:F), 0)</f>
        <v>0</v>
      </c>
      <c r="K1320" cm="1">
        <f t="array" ref="K1320">IFERROR(_xlfn.XLOOKUP(C1320&amp;A1320, Inside5!B:B&amp;Inside5!I:I, Inside5!G:G), 0)</f>
        <v>0</v>
      </c>
      <c r="L1320" cm="1">
        <f t="array" ref="L1320">IFERROR(_xlfn.XLOOKUP(C1320&amp;A1320, Inside5!B:B&amp;Inside5!I:I, Inside5!H:H), 0)</f>
        <v>0</v>
      </c>
      <c r="M1320" cm="1">
        <f t="array" ref="M1320">IFERROR(_xlfn.XLOOKUP(C1320&amp;A1320, TDrate!F:F&amp;TDrate!H:H, TDrate!B:B), "N/A")</f>
        <v>0</v>
      </c>
      <c r="N1320" cm="1">
        <f t="array" ref="N1320">IFERROR(_xlfn.XLOOKUP(C1320&amp;A1320, TDrate!F:F&amp;TDrate!H:H, TDrate!D:D), "N/A")</f>
        <v>2.8E-3</v>
      </c>
    </row>
    <row r="1321" spans="1:14" x14ac:dyDescent="0.45">
      <c r="A1321" s="8">
        <v>2018</v>
      </c>
      <c r="B1321" s="9" t="s">
        <v>842</v>
      </c>
      <c r="C1321" s="10" t="str">
        <f t="shared" si="40"/>
        <v>Ito Smith</v>
      </c>
      <c r="D1321" s="10" t="str">
        <f t="shared" si="41"/>
        <v>ATL</v>
      </c>
      <c r="E1321" cm="1">
        <f t="array" ref="E1321">IFERROR(_xlfn.XLOOKUP(C1321&amp;A1321, Inside5!B:B&amp;Inside5!I:I, Inside5!C:C), 0)</f>
        <v>4</v>
      </c>
      <c r="F1321" cm="1">
        <f t="array" ref="F1321">IFERROR(_xlfn.XLOOKUP(C1321&amp;A1321, Inside5!B:B&amp;Inside5!I:I, Inside5!D:D), 0)</f>
        <v>1</v>
      </c>
      <c r="G1321" cm="1">
        <f t="array" ref="G1321">IFERROR(_xlfn.XLOOKUP(C1321&amp;A1321, Inside5!B:B&amp;Inside5!I:I, Inside5!E:E), 0)</f>
        <v>0.308</v>
      </c>
      <c r="H1321" cm="1">
        <f t="array" ref="H1321">IFERROR(_xlfn.XLOOKUP(C1321&amp;A1321, TDrate!F:F&amp;TDrate!H:H, TDrate!C:C), "N/A")</f>
        <v>4.4400000000000002E-2</v>
      </c>
      <c r="I1321" cm="1">
        <f t="array" ref="I1321">IFERROR(_xlfn.XLOOKUP(C1321&amp;A1321, TDrate!F:F&amp;TDrate!H:H, TDrate!E:E), "N/A")</f>
        <v>3.8699999999999998E-2</v>
      </c>
      <c r="J1321" cm="1">
        <f t="array" ref="J1321">IFERROR(_xlfn.XLOOKUP(C1321&amp;A1321, Inside5!B:B&amp;Inside5!I:I, Inside5!F:F), 0)</f>
        <v>0</v>
      </c>
      <c r="K1321" cm="1">
        <f t="array" aca="1" ref="K1321" ca="1">IFERROR(_xlfn.XLOOKUP(C1321&amp;A1321, Inside5!B:B&amp;Inside5!I:I, Inside5!G:G), 0)</f>
        <v>0</v>
      </c>
      <c r="L1321" cm="1">
        <f t="array" ref="L1321">IFERROR(_xlfn.XLOOKUP(C1321&amp;A1321, Inside5!B:B&amp;Inside5!I:I, Inside5!H:H), 0)</f>
        <v>0</v>
      </c>
      <c r="M1321" cm="1">
        <f t="array" ref="M1321">IFERROR(_xlfn.XLOOKUP(C1321&amp;A1321, TDrate!F:F&amp;TDrate!H:H, TDrate!B:B), "N/A")</f>
        <v>0</v>
      </c>
      <c r="N1321" cm="1">
        <f t="array" ref="N1321">IFERROR(_xlfn.XLOOKUP(C1321&amp;A1321, TDrate!F:F&amp;TDrate!H:H, TDrate!D:D), "N/A")</f>
        <v>1.3599999999999999E-2</v>
      </c>
    </row>
    <row r="1322" spans="1:14" x14ac:dyDescent="0.45">
      <c r="A1322" s="5">
        <v>2018</v>
      </c>
      <c r="B1322" s="6" t="s">
        <v>1006</v>
      </c>
      <c r="C1322" s="7" t="str">
        <f t="shared" si="40"/>
        <v>Elijah McGuire</v>
      </c>
      <c r="D1322" s="7" t="str">
        <f t="shared" si="41"/>
        <v>NYJ</v>
      </c>
      <c r="E1322" cm="1">
        <f t="array" ref="E1322">IFERROR(_xlfn.XLOOKUP(C1322&amp;A1322, Inside5!B:B&amp;Inside5!I:I, Inside5!C:C), 0)</f>
        <v>6</v>
      </c>
      <c r="F1322" cm="1">
        <f t="array" aca="1" ref="F1322" ca="1">IFERROR(_xlfn.XLOOKUP(C1322&amp;A1322, Inside5!B:B&amp;Inside5!I:I, Inside5!D:D), 0)</f>
        <v>3</v>
      </c>
      <c r="G1322" cm="1">
        <f t="array" ref="G1322">IFERROR(_xlfn.XLOOKUP(C1322&amp;A1322, Inside5!B:B&amp;Inside5!I:I, Inside5!E:E), 0)</f>
        <v>0.54500000000000004</v>
      </c>
      <c r="H1322" cm="1">
        <f t="array" ref="H1322">IFERROR(_xlfn.XLOOKUP(C1322&amp;A1322, TDrate!F:F&amp;TDrate!H:H, TDrate!C:C), "N/A")</f>
        <v>3.2599999999999997E-2</v>
      </c>
      <c r="I1322" cm="1">
        <f t="array" ref="I1322">IFERROR(_xlfn.XLOOKUP(C1322&amp;A1322, TDrate!F:F&amp;TDrate!H:H, TDrate!E:E), "N/A")</f>
        <v>3.61E-2</v>
      </c>
      <c r="J1322" cm="1">
        <f t="array" ref="J1322">IFERROR(_xlfn.XLOOKUP(C1322&amp;A1322, Inside5!B:B&amp;Inside5!I:I, Inside5!F:F), 0)</f>
        <v>0</v>
      </c>
      <c r="K1322" cm="1">
        <f t="array" ref="K1322">IFERROR(_xlfn.XLOOKUP(C1322&amp;A1322, Inside5!B:B&amp;Inside5!I:I, Inside5!G:G), 0)</f>
        <v>0</v>
      </c>
      <c r="L1322" cm="1">
        <f t="array" ref="L1322">IFERROR(_xlfn.XLOOKUP(C1322&amp;A1322, Inside5!B:B&amp;Inside5!I:I, Inside5!H:H), 0)</f>
        <v>0</v>
      </c>
      <c r="M1322" cm="1">
        <f t="array" ref="M1322">IFERROR(_xlfn.XLOOKUP(C1322&amp;A1322, TDrate!F:F&amp;TDrate!H:H, TDrate!B:B), "N/A")</f>
        <v>3.2300000000000002E-2</v>
      </c>
      <c r="N1322" cm="1">
        <f t="array" ref="N1322">IFERROR(_xlfn.XLOOKUP(C1322&amp;A1322, TDrate!F:F&amp;TDrate!H:H, TDrate!D:D), "N/A")</f>
        <v>2.18E-2</v>
      </c>
    </row>
    <row r="1323" spans="1:14" x14ac:dyDescent="0.45">
      <c r="A1323" s="8">
        <v>2018</v>
      </c>
      <c r="B1323" s="9" t="s">
        <v>961</v>
      </c>
      <c r="C1323" s="10" t="str">
        <f t="shared" si="40"/>
        <v>Chris Ivory</v>
      </c>
      <c r="D1323" s="10" t="str">
        <f t="shared" si="41"/>
        <v>BUF</v>
      </c>
      <c r="E1323" cm="1">
        <f t="array" aca="1" ref="E1323" ca="1">IFERROR(_xlfn.XLOOKUP(C1323&amp;A1323, Inside5!B:B&amp;Inside5!I:I, Inside5!C:C), 0)</f>
        <v>2</v>
      </c>
      <c r="F1323" cm="1">
        <f t="array" aca="1" ref="F1323" ca="1">IFERROR(_xlfn.XLOOKUP(C1323&amp;A1323, Inside5!B:B&amp;Inside5!I:I, Inside5!D:D), 0)</f>
        <v>1</v>
      </c>
      <c r="G1323" cm="1">
        <f t="array" ref="G1323">IFERROR(_xlfn.XLOOKUP(C1323&amp;A1323, Inside5!B:B&amp;Inside5!I:I, Inside5!E:E), 0)</f>
        <v>0.28599999999999998</v>
      </c>
      <c r="H1323" cm="1">
        <f t="array" ref="H1323">IFERROR(_xlfn.XLOOKUP(C1323&amp;A1323, TDrate!F:F&amp;TDrate!H:H, TDrate!C:C), "N/A")</f>
        <v>8.6999999999999994E-3</v>
      </c>
      <c r="I1323" cm="1">
        <f t="array" ref="I1323">IFERROR(_xlfn.XLOOKUP(C1323&amp;A1323, TDrate!F:F&amp;TDrate!H:H, TDrate!E:E), "N/A")</f>
        <v>1.3899999999999999E-2</v>
      </c>
      <c r="J1323" cm="1">
        <f t="array" ref="J1323">IFERROR(_xlfn.XLOOKUP(C1323&amp;A1323, Inside5!B:B&amp;Inside5!I:I, Inside5!F:F), 0)</f>
        <v>0</v>
      </c>
      <c r="K1323" cm="1">
        <f t="array" ref="K1323">IFERROR(_xlfn.XLOOKUP(C1323&amp;A1323, Inside5!B:B&amp;Inside5!I:I, Inside5!G:G), 0)</f>
        <v>0</v>
      </c>
      <c r="L1323" cm="1">
        <f t="array" ref="L1323">IFERROR(_xlfn.XLOOKUP(C1323&amp;A1323, Inside5!B:B&amp;Inside5!I:I, Inside5!H:H), 0)</f>
        <v>0</v>
      </c>
      <c r="M1323" cm="1">
        <f t="array" ref="M1323">IFERROR(_xlfn.XLOOKUP(C1323&amp;A1323, TDrate!F:F&amp;TDrate!H:H, TDrate!B:B), "N/A")</f>
        <v>0</v>
      </c>
      <c r="N1323" cm="1">
        <f t="array" ref="N1323">IFERROR(_xlfn.XLOOKUP(C1323&amp;A1323, TDrate!F:F&amp;TDrate!H:H, TDrate!D:D), "N/A")</f>
        <v>4.1000000000000003E-3</v>
      </c>
    </row>
    <row r="1324" spans="1:14" x14ac:dyDescent="0.45">
      <c r="A1324" s="5">
        <v>2018</v>
      </c>
      <c r="B1324" s="6" t="s">
        <v>1007</v>
      </c>
      <c r="C1324" s="7" t="str">
        <f t="shared" si="40"/>
        <v>Marshawn Lynch</v>
      </c>
      <c r="D1324" s="7" t="str">
        <f t="shared" si="41"/>
        <v>OAK</v>
      </c>
      <c r="E1324" cm="1">
        <f t="array" aca="1" ref="E1324" ca="1">IFERROR(_xlfn.XLOOKUP(C1324&amp;A1324, Inside5!B:B&amp;Inside5!I:I, Inside5!C:C), 0)</f>
        <v>3</v>
      </c>
      <c r="F1324" cm="1">
        <f t="array" ref="F1324">IFERROR(_xlfn.XLOOKUP(C1324&amp;A1324, Inside5!B:B&amp;Inside5!I:I, Inside5!D:D), 0)</f>
        <v>2</v>
      </c>
      <c r="G1324" cm="1">
        <f t="array" ref="G1324">IFERROR(_xlfn.XLOOKUP(C1324&amp;A1324, Inside5!B:B&amp;Inside5!I:I, Inside5!E:E), 0)</f>
        <v>0.158</v>
      </c>
      <c r="H1324" cm="1">
        <f t="array" ref="H1324">IFERROR(_xlfn.XLOOKUP(C1324&amp;A1324, TDrate!F:F&amp;TDrate!H:H, TDrate!C:C), "N/A")</f>
        <v>3.3300000000000003E-2</v>
      </c>
      <c r="I1324" cm="1">
        <f t="array" ref="I1324">IFERROR(_xlfn.XLOOKUP(C1324&amp;A1324, TDrate!F:F&amp;TDrate!H:H, TDrate!E:E), "N/A")</f>
        <v>3.0599999999999999E-2</v>
      </c>
      <c r="J1324" cm="1">
        <f t="array" ref="J1324">IFERROR(_xlfn.XLOOKUP(C1324&amp;A1324, Inside5!B:B&amp;Inside5!I:I, Inside5!F:F), 0)</f>
        <v>1</v>
      </c>
      <c r="K1324" cm="1">
        <f t="array" ref="K1324">IFERROR(_xlfn.XLOOKUP(C1324&amp;A1324, Inside5!B:B&amp;Inside5!I:I, Inside5!G:G), 0)</f>
        <v>1</v>
      </c>
      <c r="L1324" cm="1">
        <f t="array" ref="L1324">IFERROR(_xlfn.XLOOKUP(C1324&amp;A1324, Inside5!B:B&amp;Inside5!I:I, Inside5!H:H), 0)</f>
        <v>0</v>
      </c>
      <c r="M1324" cm="1">
        <f t="array" ref="M1324">IFERROR(_xlfn.XLOOKUP(C1324&amp;A1324, TDrate!F:F&amp;TDrate!H:H, TDrate!B:B), "N/A")</f>
        <v>0</v>
      </c>
      <c r="N1324" cm="1">
        <f t="array" ref="N1324">IFERROR(_xlfn.XLOOKUP(C1324&amp;A1324, TDrate!F:F&amp;TDrate!H:H, TDrate!D:D), "N/A")</f>
        <v>3.4200000000000001E-2</v>
      </c>
    </row>
    <row r="1325" spans="1:14" x14ac:dyDescent="0.45">
      <c r="A1325" s="8">
        <v>2018</v>
      </c>
      <c r="B1325" s="9" t="s">
        <v>862</v>
      </c>
      <c r="C1325" s="10" t="str">
        <f t="shared" si="40"/>
        <v>Jaylen Samuels</v>
      </c>
      <c r="D1325" s="10" t="str">
        <f t="shared" si="41"/>
        <v>PIT</v>
      </c>
      <c r="E1325" cm="1">
        <f t="array" aca="1" ref="E1325" ca="1">IFERROR(_xlfn.XLOOKUP(C1325&amp;A1325, Inside5!B:B&amp;Inside5!I:I, Inside5!C:C), 0)</f>
        <v>2</v>
      </c>
      <c r="F1325" cm="1">
        <f t="array" aca="1" ref="F1325" ca="1">IFERROR(_xlfn.XLOOKUP(C1325&amp;A1325, Inside5!B:B&amp;Inside5!I:I, Inside5!D:D), 0)</f>
        <v>0</v>
      </c>
      <c r="G1325" cm="1">
        <f t="array" ref="G1325">IFERROR(_xlfn.XLOOKUP(C1325&amp;A1325, Inside5!B:B&amp;Inside5!I:I, Inside5!E:E), 0)</f>
        <v>9.5000000000000001E-2</v>
      </c>
      <c r="H1325" cm="1">
        <f t="array" ref="H1325">IFERROR(_xlfn.XLOOKUP(C1325&amp;A1325, TDrate!F:F&amp;TDrate!H:H, TDrate!C:C), "N/A")</f>
        <v>0</v>
      </c>
      <c r="I1325" cm="1">
        <f t="array" ref="I1325">IFERROR(_xlfn.XLOOKUP(C1325&amp;A1325, TDrate!F:F&amp;TDrate!H:H, TDrate!E:E), "N/A")</f>
        <v>1.2200000000000001E-2</v>
      </c>
      <c r="J1325" cm="1">
        <f t="array" ref="J1325">IFERROR(_xlfn.XLOOKUP(C1325&amp;A1325, Inside5!B:B&amp;Inside5!I:I, Inside5!F:F), 0)</f>
        <v>1</v>
      </c>
      <c r="K1325" cm="1">
        <f t="array" ref="K1325">IFERROR(_xlfn.XLOOKUP(C1325&amp;A1325, Inside5!B:B&amp;Inside5!I:I, Inside5!G:G), 0)</f>
        <v>1</v>
      </c>
      <c r="L1325" cm="1">
        <f t="array" ref="L1325">IFERROR(_xlfn.XLOOKUP(C1325&amp;A1325, Inside5!B:B&amp;Inside5!I:I, Inside5!H:H), 0)</f>
        <v>1</v>
      </c>
      <c r="M1325" cm="1">
        <f t="array" ref="M1325">IFERROR(_xlfn.XLOOKUP(C1325&amp;A1325, TDrate!F:F&amp;TDrate!H:H, TDrate!B:B), "N/A")</f>
        <v>0.10340000000000001</v>
      </c>
      <c r="N1325" cm="1">
        <f t="array" ref="N1325">IFERROR(_xlfn.XLOOKUP(C1325&amp;A1325, TDrate!F:F&amp;TDrate!H:H, TDrate!D:D), "N/A")</f>
        <v>7.46E-2</v>
      </c>
    </row>
    <row r="1326" spans="1:14" x14ac:dyDescent="0.45">
      <c r="A1326" s="5">
        <v>2018</v>
      </c>
      <c r="B1326" s="6" t="s">
        <v>1008</v>
      </c>
      <c r="C1326" s="7" t="str">
        <f t="shared" si="40"/>
        <v>C.J. Anderson</v>
      </c>
      <c r="D1326" s="7" t="str">
        <f t="shared" si="41"/>
        <v>LAR</v>
      </c>
      <c r="E1326" cm="1">
        <f t="array" ref="E1326">IFERROR(_xlfn.XLOOKUP(C1326&amp;A1326, Inside5!B:B&amp;Inside5!I:I, Inside5!C:C), 0)</f>
        <v>1</v>
      </c>
      <c r="F1326" cm="1">
        <f t="array" aca="1" ref="F1326" ca="1">IFERROR(_xlfn.XLOOKUP(C1326&amp;A1326, Inside5!B:B&amp;Inside5!I:I, Inside5!D:D), 0)</f>
        <v>1</v>
      </c>
      <c r="G1326" cm="1">
        <f t="array" ref="G1326">IFERROR(_xlfn.XLOOKUP(C1326&amp;A1326, Inside5!B:B&amp;Inside5!I:I, Inside5!E:E), 0)</f>
        <v>4.8000000000000001E-2</v>
      </c>
      <c r="H1326" cm="1">
        <f t="array" ref="H1326">IFERROR(_xlfn.XLOOKUP(C1326&amp;A1326, TDrate!F:F&amp;TDrate!H:H, TDrate!C:C), "N/A")</f>
        <v>2.9899999999999999E-2</v>
      </c>
      <c r="I1326" cm="1">
        <f t="array" ref="I1326">IFERROR(_xlfn.XLOOKUP(C1326&amp;A1326, TDrate!F:F&amp;TDrate!H:H, TDrate!E:E), "N/A")</f>
        <v>3.2899999999999999E-2</v>
      </c>
      <c r="J1326" cm="1">
        <f t="array" ref="J1326">IFERROR(_xlfn.XLOOKUP(C1326&amp;A1326, Inside5!B:B&amp;Inside5!I:I, Inside5!F:F), 0)</f>
        <v>0</v>
      </c>
      <c r="K1326" cm="1">
        <f t="array" ref="K1326">IFERROR(_xlfn.XLOOKUP(C1326&amp;A1326, Inside5!B:B&amp;Inside5!I:I, Inside5!G:G), 0)</f>
        <v>0</v>
      </c>
      <c r="L1326" cm="1">
        <f t="array" ref="L1326">IFERROR(_xlfn.XLOOKUP(C1326&amp;A1326, Inside5!B:B&amp;Inside5!I:I, Inside5!H:H), 0)</f>
        <v>0</v>
      </c>
      <c r="M1326" cm="1">
        <f t="array" ref="M1326">IFERROR(_xlfn.XLOOKUP(C1326&amp;A1326, TDrate!F:F&amp;TDrate!H:H, TDrate!B:B), "N/A")</f>
        <v>0.1111</v>
      </c>
      <c r="N1326" cm="1">
        <f t="array" ref="N1326">IFERROR(_xlfn.XLOOKUP(C1326&amp;A1326, TDrate!F:F&amp;TDrate!H:H, TDrate!D:D), "N/A")</f>
        <v>7.9899999999999999E-2</v>
      </c>
    </row>
    <row r="1327" spans="1:14" x14ac:dyDescent="0.45">
      <c r="A1327" s="8">
        <v>2018</v>
      </c>
      <c r="B1327" s="9" t="s">
        <v>654</v>
      </c>
      <c r="C1327" s="10" t="str">
        <f t="shared" si="40"/>
        <v>Rashaad Penny</v>
      </c>
      <c r="D1327" s="10" t="str">
        <f t="shared" si="41"/>
        <v>SEA</v>
      </c>
      <c r="E1327" cm="1">
        <f t="array" aca="1" ref="E1327" ca="1">IFERROR(_xlfn.XLOOKUP(C1327&amp;A1327, Inside5!B:B&amp;Inside5!I:I, Inside5!C:C), 0)</f>
        <v>1</v>
      </c>
      <c r="F1327" cm="1">
        <f t="array" aca="1" ref="F1327" ca="1">IFERROR(_xlfn.XLOOKUP(C1327&amp;A1327, Inside5!B:B&amp;Inside5!I:I, Inside5!D:D), 0)</f>
        <v>0</v>
      </c>
      <c r="G1327" cm="1">
        <f t="array" ref="G1327">IFERROR(_xlfn.XLOOKUP(C1327&amp;A1327, Inside5!B:B&amp;Inside5!I:I, Inside5!E:E), 0)</f>
        <v>0.05</v>
      </c>
      <c r="H1327" cm="1">
        <f t="array" ref="H1327">IFERROR(_xlfn.XLOOKUP(C1327&amp;A1327, TDrate!F:F&amp;TDrate!H:H, TDrate!C:C), "N/A")</f>
        <v>2.35E-2</v>
      </c>
      <c r="I1327" cm="1">
        <f t="array" ref="I1327">IFERROR(_xlfn.XLOOKUP(C1327&amp;A1327, TDrate!F:F&amp;TDrate!H:H, TDrate!E:E), "N/A")</f>
        <v>1.8800000000000001E-2</v>
      </c>
      <c r="J1327" cm="1">
        <f t="array" ref="J1327">IFERROR(_xlfn.XLOOKUP(C1327&amp;A1327, Inside5!B:B&amp;Inside5!I:I, Inside5!F:F), 0)</f>
        <v>0</v>
      </c>
      <c r="K1327" cm="1">
        <f t="array" aca="1" ref="K1327" ca="1">IFERROR(_xlfn.XLOOKUP(C1327&amp;A1327, Inside5!B:B&amp;Inside5!I:I, Inside5!G:G), 0)</f>
        <v>0</v>
      </c>
      <c r="L1327" cm="1">
        <f t="array" ref="L1327">IFERROR(_xlfn.XLOOKUP(C1327&amp;A1327, Inside5!B:B&amp;Inside5!I:I, Inside5!H:H), 0)</f>
        <v>0</v>
      </c>
      <c r="M1327" cm="1">
        <f t="array" ref="M1327">IFERROR(_xlfn.XLOOKUP(C1327&amp;A1327, TDrate!F:F&amp;TDrate!H:H, TDrate!B:B), "N/A")</f>
        <v>0</v>
      </c>
      <c r="N1327" cm="1">
        <f t="array" ref="N1327">IFERROR(_xlfn.XLOOKUP(C1327&amp;A1327, TDrate!F:F&amp;TDrate!H:H, TDrate!D:D), "N/A")</f>
        <v>1.2699999999999999E-2</v>
      </c>
    </row>
    <row r="1328" spans="1:14" x14ac:dyDescent="0.45">
      <c r="A1328" s="5">
        <v>2018</v>
      </c>
      <c r="B1328" s="6" t="s">
        <v>826</v>
      </c>
      <c r="C1328" s="7" t="str">
        <f t="shared" si="40"/>
        <v>Giovani Bernard</v>
      </c>
      <c r="D1328" s="7" t="str">
        <f t="shared" si="41"/>
        <v>CIN</v>
      </c>
      <c r="E1328" cm="1">
        <f t="array" ref="E1328">IFERROR(_xlfn.XLOOKUP(C1328&amp;A1328, Inside5!B:B&amp;Inside5!I:I, Inside5!C:C), 0)</f>
        <v>3</v>
      </c>
      <c r="F1328" cm="1">
        <f t="array" ref="F1328">IFERROR(_xlfn.XLOOKUP(C1328&amp;A1328, Inside5!B:B&amp;Inside5!I:I, Inside5!D:D), 0)</f>
        <v>2</v>
      </c>
      <c r="G1328" cm="1">
        <f t="array" ref="G1328">IFERROR(_xlfn.XLOOKUP(C1328&amp;A1328, Inside5!B:B&amp;Inside5!I:I, Inside5!E:E), 0)</f>
        <v>0.188</v>
      </c>
      <c r="H1328" cm="1">
        <f t="array" ref="H1328">IFERROR(_xlfn.XLOOKUP(C1328&amp;A1328, TDrate!F:F&amp;TDrate!H:H, TDrate!C:C), "N/A")</f>
        <v>5.3600000000000002E-2</v>
      </c>
      <c r="I1328" cm="1">
        <f t="array" ref="I1328">IFERROR(_xlfn.XLOOKUP(C1328&amp;A1328, TDrate!F:F&amp;TDrate!H:H, TDrate!E:E), "N/A")</f>
        <v>4.41E-2</v>
      </c>
      <c r="J1328" cm="1">
        <f t="array" ref="J1328">IFERROR(_xlfn.XLOOKUP(C1328&amp;A1328, Inside5!B:B&amp;Inside5!I:I, Inside5!F:F), 0)</f>
        <v>0</v>
      </c>
      <c r="K1328" cm="1">
        <f t="array" ref="K1328">IFERROR(_xlfn.XLOOKUP(C1328&amp;A1328, Inside5!B:B&amp;Inside5!I:I, Inside5!G:G), 0)</f>
        <v>0</v>
      </c>
      <c r="L1328" cm="1">
        <f t="array" ref="L1328">IFERROR(_xlfn.XLOOKUP(C1328&amp;A1328, Inside5!B:B&amp;Inside5!I:I, Inside5!H:H), 0)</f>
        <v>0</v>
      </c>
      <c r="M1328" cm="1">
        <f t="array" ref="M1328">IFERROR(_xlfn.XLOOKUP(C1328&amp;A1328, TDrate!F:F&amp;TDrate!H:H, TDrate!B:B), "N/A")</f>
        <v>0</v>
      </c>
      <c r="N1328" cm="1">
        <f t="array" ref="N1328">IFERROR(_xlfn.XLOOKUP(C1328&amp;A1328, TDrate!F:F&amp;TDrate!H:H, TDrate!D:D), "N/A")</f>
        <v>5.7999999999999996E-3</v>
      </c>
    </row>
    <row r="1329" spans="1:14" x14ac:dyDescent="0.45">
      <c r="A1329" s="8">
        <v>2018</v>
      </c>
      <c r="B1329" s="9" t="s">
        <v>1009</v>
      </c>
      <c r="C1329" s="10" t="str">
        <f t="shared" si="40"/>
        <v>Alfred Morris</v>
      </c>
      <c r="D1329" s="10" t="str">
        <f t="shared" si="41"/>
        <v>SF</v>
      </c>
      <c r="E1329" cm="1">
        <f t="array" aca="1" ref="E1329" ca="1">IFERROR(_xlfn.XLOOKUP(C1329&amp;A1329, Inside5!B:B&amp;Inside5!I:I, Inside5!C:C), 0)</f>
        <v>8</v>
      </c>
      <c r="F1329" cm="1">
        <f t="array" ref="F1329">IFERROR(_xlfn.XLOOKUP(C1329&amp;A1329, Inside5!B:B&amp;Inside5!I:I, Inside5!D:D), 0)</f>
        <v>1</v>
      </c>
      <c r="G1329" cm="1">
        <f t="array" ref="G1329">IFERROR(_xlfn.XLOOKUP(C1329&amp;A1329, Inside5!B:B&amp;Inside5!I:I, Inside5!E:E), 0)</f>
        <v>0.53300000000000003</v>
      </c>
      <c r="H1329" cm="1">
        <f t="array" ref="H1329">IFERROR(_xlfn.XLOOKUP(C1329&amp;A1329, TDrate!F:F&amp;TDrate!H:H, TDrate!C:C), "N/A")</f>
        <v>1.7999999999999999E-2</v>
      </c>
      <c r="I1329" cm="1">
        <f t="array" ref="I1329">IFERROR(_xlfn.XLOOKUP(C1329&amp;A1329, TDrate!F:F&amp;TDrate!H:H, TDrate!E:E), "N/A")</f>
        <v>3.3500000000000002E-2</v>
      </c>
      <c r="J1329" cm="1">
        <f t="array" ref="J1329">IFERROR(_xlfn.XLOOKUP(C1329&amp;A1329, Inside5!B:B&amp;Inside5!I:I, Inside5!F:F), 0)</f>
        <v>0</v>
      </c>
      <c r="K1329" cm="1">
        <f t="array" ref="K1329">IFERROR(_xlfn.XLOOKUP(C1329&amp;A1329, Inside5!B:B&amp;Inside5!I:I, Inside5!G:G), 0)</f>
        <v>0</v>
      </c>
      <c r="L1329" cm="1">
        <f t="array" ref="L1329">IFERROR(_xlfn.XLOOKUP(C1329&amp;A1329, Inside5!B:B&amp;Inside5!I:I, Inside5!H:H), 0)</f>
        <v>0</v>
      </c>
      <c r="M1329" cm="1">
        <f t="array" ref="M1329">IFERROR(_xlfn.XLOOKUP(C1329&amp;A1329, TDrate!F:F&amp;TDrate!H:H, TDrate!B:B), "N/A")</f>
        <v>0</v>
      </c>
      <c r="N1329" cm="1">
        <f t="array" ref="N1329">IFERROR(_xlfn.XLOOKUP(C1329&amp;A1329, TDrate!F:F&amp;TDrate!H:H, TDrate!D:D), "N/A")</f>
        <v>1.8E-3</v>
      </c>
    </row>
    <row r="1330" spans="1:14" x14ac:dyDescent="0.45">
      <c r="A1330" s="5">
        <v>2018</v>
      </c>
      <c r="B1330" s="6" t="s">
        <v>854</v>
      </c>
      <c r="C1330" s="7" t="str">
        <f t="shared" si="40"/>
        <v>Corey Clement</v>
      </c>
      <c r="D1330" s="7" t="str">
        <f t="shared" si="41"/>
        <v>PHI</v>
      </c>
      <c r="E1330" cm="1">
        <f t="array" aca="1" ref="E1330" ca="1">IFERROR(_xlfn.XLOOKUP(C1330&amp;A1330, Inside5!B:B&amp;Inside5!I:I, Inside5!C:C), 0)</f>
        <v>1</v>
      </c>
      <c r="F1330" cm="1">
        <f t="array" aca="1" ref="F1330" ca="1">IFERROR(_xlfn.XLOOKUP(C1330&amp;A1330, Inside5!B:B&amp;Inside5!I:I, Inside5!D:D), 0)</f>
        <v>1</v>
      </c>
      <c r="G1330" cm="1">
        <f t="array" ref="G1330">IFERROR(_xlfn.XLOOKUP(C1330&amp;A1330, Inside5!B:B&amp;Inside5!I:I, Inside5!E:E), 0)</f>
        <v>8.3000000000000004E-2</v>
      </c>
      <c r="H1330" cm="1">
        <f t="array" ref="H1330">IFERROR(_xlfn.XLOOKUP(C1330&amp;A1330, TDrate!F:F&amp;TDrate!H:H, TDrate!C:C), "N/A")</f>
        <v>2.9399999999999999E-2</v>
      </c>
      <c r="I1330" cm="1">
        <f t="array" ref="I1330">IFERROR(_xlfn.XLOOKUP(C1330&amp;A1330, TDrate!F:F&amp;TDrate!H:H, TDrate!E:E), "N/A")</f>
        <v>2.52E-2</v>
      </c>
      <c r="J1330" cm="1">
        <f t="array" ref="J1330">IFERROR(_xlfn.XLOOKUP(C1330&amp;A1330, Inside5!B:B&amp;Inside5!I:I, Inside5!F:F), 0)</f>
        <v>1</v>
      </c>
      <c r="K1330" cm="1">
        <f t="array" ref="K1330">IFERROR(_xlfn.XLOOKUP(C1330&amp;A1330, Inside5!B:B&amp;Inside5!I:I, Inside5!G:G), 0)</f>
        <v>1</v>
      </c>
      <c r="L1330" cm="1">
        <f t="array" ref="L1330">IFERROR(_xlfn.XLOOKUP(C1330&amp;A1330, Inside5!B:B&amp;Inside5!I:I, Inside5!H:H), 0)</f>
        <v>0</v>
      </c>
      <c r="M1330" cm="1">
        <f t="array" ref="M1330">IFERROR(_xlfn.XLOOKUP(C1330&amp;A1330, TDrate!F:F&amp;TDrate!H:H, TDrate!B:B), "N/A")</f>
        <v>0</v>
      </c>
      <c r="N1330" cm="1">
        <f t="array" ref="N1330">IFERROR(_xlfn.XLOOKUP(C1330&amp;A1330, TDrate!F:F&amp;TDrate!H:H, TDrate!D:D), "N/A")</f>
        <v>1.4E-2</v>
      </c>
    </row>
    <row r="1331" spans="1:14" x14ac:dyDescent="0.45">
      <c r="A1331" s="8">
        <v>2018</v>
      </c>
      <c r="B1331" s="9" t="s">
        <v>933</v>
      </c>
      <c r="C1331" s="10" t="str">
        <f t="shared" si="40"/>
        <v>Spencer Ware</v>
      </c>
      <c r="D1331" s="10" t="str">
        <f t="shared" si="41"/>
        <v>KC</v>
      </c>
      <c r="E1331" cm="1">
        <f t="array" aca="1" ref="E1331" ca="1">IFERROR(_xlfn.XLOOKUP(C1331&amp;A1331, Inside5!B:B&amp;Inside5!I:I, Inside5!C:C), 0)</f>
        <v>5</v>
      </c>
      <c r="F1331" cm="1">
        <f t="array" aca="1" ref="F1331" ca="1">IFERROR(_xlfn.XLOOKUP(C1331&amp;A1331, Inside5!B:B&amp;Inside5!I:I, Inside5!D:D), 0)</f>
        <v>2</v>
      </c>
      <c r="G1331" cm="1">
        <f t="array" ref="G1331">IFERROR(_xlfn.XLOOKUP(C1331&amp;A1331, Inside5!B:B&amp;Inside5!I:I, Inside5!E:E), 0)</f>
        <v>0.25</v>
      </c>
      <c r="H1331" cm="1">
        <f t="array" ref="H1331">IFERROR(_xlfn.XLOOKUP(C1331&amp;A1331, TDrate!F:F&amp;TDrate!H:H, TDrate!C:C), "N/A")</f>
        <v>3.9199999999999999E-2</v>
      </c>
      <c r="I1331" cm="1">
        <f t="array" ref="I1331">IFERROR(_xlfn.XLOOKUP(C1331&amp;A1331, TDrate!F:F&amp;TDrate!H:H, TDrate!E:E), "N/A")</f>
        <v>4.65E-2</v>
      </c>
      <c r="J1331" cm="1">
        <f t="array" ref="J1331">IFERROR(_xlfn.XLOOKUP(C1331&amp;A1331, Inside5!B:B&amp;Inside5!I:I, Inside5!F:F), 0)</f>
        <v>0</v>
      </c>
      <c r="K1331" cm="1">
        <f t="array" ref="K1331">IFERROR(_xlfn.XLOOKUP(C1331&amp;A1331, Inside5!B:B&amp;Inside5!I:I, Inside5!G:G), 0)</f>
        <v>0</v>
      </c>
      <c r="L1331" cm="1">
        <f t="array" ref="L1331">IFERROR(_xlfn.XLOOKUP(C1331&amp;A1331, Inside5!B:B&amp;Inside5!I:I, Inside5!H:H), 0)</f>
        <v>0</v>
      </c>
      <c r="M1331" cm="1">
        <f t="array" ref="M1331">IFERROR(_xlfn.XLOOKUP(C1331&amp;A1331, TDrate!F:F&amp;TDrate!H:H, TDrate!B:B), "N/A")</f>
        <v>0</v>
      </c>
      <c r="N1331" cm="1">
        <f t="array" ref="N1331">IFERROR(_xlfn.XLOOKUP(C1331&amp;A1331, TDrate!F:F&amp;TDrate!H:H, TDrate!D:D), "N/A")</f>
        <v>7.1999999999999998E-3</v>
      </c>
    </row>
    <row r="1332" spans="1:14" x14ac:dyDescent="0.45">
      <c r="A1332" s="5">
        <v>2018</v>
      </c>
      <c r="B1332" s="6" t="s">
        <v>1010</v>
      </c>
      <c r="C1332" s="7" t="str">
        <f t="shared" si="40"/>
        <v>Javorius Allen</v>
      </c>
      <c r="D1332" s="7" t="str">
        <f t="shared" si="41"/>
        <v>BAL</v>
      </c>
      <c r="E1332" cm="1">
        <f t="array" ref="E1332">IFERROR(_xlfn.XLOOKUP(C1332&amp;A1332, Inside5!B:B&amp;Inside5!I:I, Inside5!C:C), 0)</f>
        <v>6</v>
      </c>
      <c r="F1332" cm="1">
        <f t="array" aca="1" ref="F1332" ca="1">IFERROR(_xlfn.XLOOKUP(C1332&amp;A1332, Inside5!B:B&amp;Inside5!I:I, Inside5!D:D), 0)</f>
        <v>3</v>
      </c>
      <c r="G1332" cm="1">
        <f t="array" ref="G1332">IFERROR(_xlfn.XLOOKUP(C1332&amp;A1332, Inside5!B:B&amp;Inside5!I:I, Inside5!E:E), 0)</f>
        <v>0.35299999999999998</v>
      </c>
      <c r="H1332" cm="1">
        <f t="array" ref="H1332">IFERROR(_xlfn.XLOOKUP(C1332&amp;A1332, TDrate!F:F&amp;TDrate!H:H, TDrate!C:C), "N/A")</f>
        <v>7.3200000000000001E-2</v>
      </c>
      <c r="I1332" cm="1">
        <f t="array" ref="I1332">IFERROR(_xlfn.XLOOKUP(C1332&amp;A1332, TDrate!F:F&amp;TDrate!H:H, TDrate!E:E), "N/A")</f>
        <v>7.2599999999999998E-2</v>
      </c>
      <c r="J1332" cm="1">
        <f t="array" ref="J1332">IFERROR(_xlfn.XLOOKUP(C1332&amp;A1332, Inside5!B:B&amp;Inside5!I:I, Inside5!F:F), 0)</f>
        <v>0</v>
      </c>
      <c r="K1332" cm="1">
        <f t="array" ref="K1332">IFERROR(_xlfn.XLOOKUP(C1332&amp;A1332, Inside5!B:B&amp;Inside5!I:I, Inside5!G:G), 0)</f>
        <v>0</v>
      </c>
      <c r="L1332" cm="1">
        <f t="array" ref="L1332">IFERROR(_xlfn.XLOOKUP(C1332&amp;A1332, Inside5!B:B&amp;Inside5!I:I, Inside5!H:H), 0)</f>
        <v>0</v>
      </c>
      <c r="M1332" cm="1">
        <f t="array" ref="M1332">IFERROR(_xlfn.XLOOKUP(C1332&amp;A1332, TDrate!F:F&amp;TDrate!H:H, TDrate!B:B), "N/A")</f>
        <v>4.65E-2</v>
      </c>
      <c r="N1332" cm="1">
        <f t="array" ref="N1332">IFERROR(_xlfn.XLOOKUP(C1332&amp;A1332, TDrate!F:F&amp;TDrate!H:H, TDrate!D:D), "N/A")</f>
        <v>3.6999999999999998E-2</v>
      </c>
    </row>
    <row r="1333" spans="1:14" x14ac:dyDescent="0.45">
      <c r="A1333" s="8">
        <v>2018</v>
      </c>
      <c r="B1333" s="9" t="s">
        <v>1011</v>
      </c>
      <c r="C1333" s="10" t="str">
        <f t="shared" si="40"/>
        <v>Theo Riddick</v>
      </c>
      <c r="D1333" s="10" t="str">
        <f t="shared" si="41"/>
        <v>DET</v>
      </c>
      <c r="E1333" cm="1">
        <f t="array" aca="1" ref="E1333" ca="1">IFERROR(_xlfn.XLOOKUP(C1333&amp;A1333, Inside5!B:B&amp;Inside5!I:I, Inside5!C:C), 0)</f>
        <v>0</v>
      </c>
      <c r="F1333" cm="1">
        <f t="array" aca="1" ref="F1333" ca="1">IFERROR(_xlfn.XLOOKUP(C1333&amp;A1333, Inside5!B:B&amp;Inside5!I:I, Inside5!D:D), 0)</f>
        <v>0</v>
      </c>
      <c r="G1333" cm="1">
        <f t="array" ref="G1333">IFERROR(_xlfn.XLOOKUP(C1333&amp;A1333, Inside5!B:B&amp;Inside5!I:I, Inside5!E:E), 0)</f>
        <v>0</v>
      </c>
      <c r="H1333" cm="1">
        <f t="array" ref="H1333">IFERROR(_xlfn.XLOOKUP(C1333&amp;A1333, TDrate!F:F&amp;TDrate!H:H, TDrate!C:C), "N/A")</f>
        <v>0</v>
      </c>
      <c r="I1333" cm="1">
        <f t="array" ref="I1333">IFERROR(_xlfn.XLOOKUP(C1333&amp;A1333, TDrate!F:F&amp;TDrate!H:H, TDrate!E:E), "N/A")</f>
        <v>8.6E-3</v>
      </c>
      <c r="J1333" cm="1">
        <f t="array" ref="J1333">IFERROR(_xlfn.XLOOKUP(C1333&amp;A1333, Inside5!B:B&amp;Inside5!I:I, Inside5!F:F), 0)</f>
        <v>0</v>
      </c>
      <c r="K1333" cm="1">
        <f t="array" ref="K1333">IFERROR(_xlfn.XLOOKUP(C1333&amp;A1333, Inside5!B:B&amp;Inside5!I:I, Inside5!G:G), 0)</f>
        <v>0</v>
      </c>
      <c r="L1333" cm="1">
        <f t="array" ref="L1333">IFERROR(_xlfn.XLOOKUP(C1333&amp;A1333, Inside5!B:B&amp;Inside5!I:I, Inside5!H:H), 0)</f>
        <v>0</v>
      </c>
      <c r="M1333" cm="1">
        <f t="array" ref="M1333">IFERROR(_xlfn.XLOOKUP(C1333&amp;A1333, TDrate!F:F&amp;TDrate!H:H, TDrate!B:B), "N/A")</f>
        <v>0</v>
      </c>
      <c r="N1333" cm="1">
        <f t="array" ref="N1333">IFERROR(_xlfn.XLOOKUP(C1333&amp;A1333, TDrate!F:F&amp;TDrate!H:H, TDrate!D:D), "N/A")</f>
        <v>1.11E-2</v>
      </c>
    </row>
    <row r="1334" spans="1:14" x14ac:dyDescent="0.45">
      <c r="A1334" s="5">
        <v>2018</v>
      </c>
      <c r="B1334" s="6" t="s">
        <v>908</v>
      </c>
      <c r="C1334" s="7" t="str">
        <f t="shared" si="40"/>
        <v>Chris Thompson</v>
      </c>
      <c r="D1334" s="7" t="str">
        <f t="shared" si="41"/>
        <v>WAS</v>
      </c>
      <c r="E1334" cm="1">
        <f t="array" ref="E1334">IFERROR(_xlfn.XLOOKUP(C1334&amp;A1334, Inside5!B:B&amp;Inside5!I:I, Inside5!C:C), 0)</f>
        <v>2</v>
      </c>
      <c r="F1334" cm="1">
        <f t="array" ref="F1334">IFERROR(_xlfn.XLOOKUP(C1334&amp;A1334, Inside5!B:B&amp;Inside5!I:I, Inside5!D:D), 0)</f>
        <v>0</v>
      </c>
      <c r="G1334" cm="1">
        <f t="array" ref="G1334">IFERROR(_xlfn.XLOOKUP(C1334&amp;A1334, Inside5!B:B&amp;Inside5!I:I, Inside5!E:E), 0)</f>
        <v>0.14299999999999999</v>
      </c>
      <c r="H1334" cm="1">
        <f t="array" ref="H1334">IFERROR(_xlfn.XLOOKUP(C1334&amp;A1334, TDrate!F:F&amp;TDrate!H:H, TDrate!C:C), "N/A")</f>
        <v>0</v>
      </c>
      <c r="I1334" cm="1">
        <f t="array" ref="I1334">IFERROR(_xlfn.XLOOKUP(C1334&amp;A1334, TDrate!F:F&amp;TDrate!H:H, TDrate!E:E), "N/A")</f>
        <v>1.21E-2</v>
      </c>
      <c r="J1334" cm="1">
        <f t="array" ref="J1334">IFERROR(_xlfn.XLOOKUP(C1334&amp;A1334, Inside5!B:B&amp;Inside5!I:I, Inside5!F:F), 0)</f>
        <v>0</v>
      </c>
      <c r="K1334" cm="1">
        <f t="array" ref="K1334">IFERROR(_xlfn.XLOOKUP(C1334&amp;A1334, Inside5!B:B&amp;Inside5!I:I, Inside5!G:G), 0)</f>
        <v>0</v>
      </c>
      <c r="L1334" cm="1">
        <f t="array" ref="L1334">IFERROR(_xlfn.XLOOKUP(C1334&amp;A1334, Inside5!B:B&amp;Inside5!I:I, Inside5!H:H), 0)</f>
        <v>0</v>
      </c>
      <c r="M1334" cm="1">
        <f t="array" ref="M1334">IFERROR(_xlfn.XLOOKUP(C1334&amp;A1334, TDrate!F:F&amp;TDrate!H:H, TDrate!B:B), "N/A")</f>
        <v>1.8200000000000001E-2</v>
      </c>
      <c r="N1334" cm="1">
        <f t="array" ref="N1334">IFERROR(_xlfn.XLOOKUP(C1334&amp;A1334, TDrate!F:F&amp;TDrate!H:H, TDrate!D:D), "N/A")</f>
        <v>1.8599999999999998E-2</v>
      </c>
    </row>
    <row r="1335" spans="1:14" x14ac:dyDescent="0.45">
      <c r="A1335" s="8">
        <v>2018</v>
      </c>
      <c r="B1335" s="9" t="s">
        <v>1012</v>
      </c>
      <c r="C1335" s="10" t="str">
        <f t="shared" si="40"/>
        <v>Zach Zenner</v>
      </c>
      <c r="D1335" s="10" t="str">
        <f t="shared" si="41"/>
        <v>DET</v>
      </c>
      <c r="E1335" cm="1">
        <f t="array" aca="1" ref="E1335" ca="1">IFERROR(_xlfn.XLOOKUP(C1335&amp;A1335, Inside5!B:B&amp;Inside5!I:I, Inside5!C:C), 0)</f>
        <v>3</v>
      </c>
      <c r="F1335" cm="1">
        <f t="array" aca="1" ref="F1335" ca="1">IFERROR(_xlfn.XLOOKUP(C1335&amp;A1335, Inside5!B:B&amp;Inside5!I:I, Inside5!D:D), 0)</f>
        <v>2</v>
      </c>
      <c r="G1335" cm="1">
        <f t="array" ref="G1335">IFERROR(_xlfn.XLOOKUP(C1335&amp;A1335, Inside5!B:B&amp;Inside5!I:I, Inside5!E:E), 0)</f>
        <v>0.17599999999999999</v>
      </c>
      <c r="H1335" cm="1">
        <f t="array" ref="H1335">IFERROR(_xlfn.XLOOKUP(C1335&amp;A1335, TDrate!F:F&amp;TDrate!H:H, TDrate!C:C), "N/A")</f>
        <v>5.45E-2</v>
      </c>
      <c r="I1335" cm="1">
        <f t="array" ref="I1335">IFERROR(_xlfn.XLOOKUP(C1335&amp;A1335, TDrate!F:F&amp;TDrate!H:H, TDrate!E:E), "N/A")</f>
        <v>4.5999999999999999E-2</v>
      </c>
      <c r="J1335" cm="1">
        <f t="array" ref="J1335">IFERROR(_xlfn.XLOOKUP(C1335&amp;A1335, Inside5!B:B&amp;Inside5!I:I, Inside5!F:F), 0)</f>
        <v>0</v>
      </c>
      <c r="K1335" cm="1">
        <f t="array" ref="K1335">IFERROR(_xlfn.XLOOKUP(C1335&amp;A1335, Inside5!B:B&amp;Inside5!I:I, Inside5!G:G), 0)</f>
        <v>0</v>
      </c>
      <c r="L1335" cm="1">
        <f t="array" ref="L1335">IFERROR(_xlfn.XLOOKUP(C1335&amp;A1335, Inside5!B:B&amp;Inside5!I:I, Inside5!H:H), 0)</f>
        <v>0</v>
      </c>
      <c r="M1335" cm="1">
        <f t="array" ref="M1335">IFERROR(_xlfn.XLOOKUP(C1335&amp;A1335, TDrate!F:F&amp;TDrate!H:H, TDrate!B:B), "N/A")</f>
        <v>0</v>
      </c>
      <c r="N1335" cm="1">
        <f t="array" ref="N1335">IFERROR(_xlfn.XLOOKUP(C1335&amp;A1335, TDrate!F:F&amp;TDrate!H:H, TDrate!D:D), "N/A")</f>
        <v>2.8999999999999998E-3</v>
      </c>
    </row>
    <row r="1336" spans="1:14" x14ac:dyDescent="0.45">
      <c r="A1336" s="5">
        <v>2018</v>
      </c>
      <c r="B1336" s="6" t="s">
        <v>934</v>
      </c>
      <c r="C1336" s="7" t="str">
        <f t="shared" si="40"/>
        <v>Devontae Booker</v>
      </c>
      <c r="D1336" s="7" t="str">
        <f t="shared" si="41"/>
        <v>DEN</v>
      </c>
      <c r="E1336" cm="1">
        <f t="array" aca="1" ref="E1336" ca="1">IFERROR(_xlfn.XLOOKUP(C1336&amp;A1336, Inside5!B:B&amp;Inside5!I:I, Inside5!C:C), 0)</f>
        <v>0</v>
      </c>
      <c r="F1336" cm="1">
        <f t="array" aca="1" ref="F1336" ca="1">IFERROR(_xlfn.XLOOKUP(C1336&amp;A1336, Inside5!B:B&amp;Inside5!I:I, Inside5!D:D), 0)</f>
        <v>0</v>
      </c>
      <c r="G1336" cm="1">
        <f t="array" ref="G1336">IFERROR(_xlfn.XLOOKUP(C1336&amp;A1336, Inside5!B:B&amp;Inside5!I:I, Inside5!E:E), 0)</f>
        <v>0</v>
      </c>
      <c r="H1336" cm="1">
        <f t="array" ref="H1336">IFERROR(_xlfn.XLOOKUP(C1336&amp;A1336, TDrate!F:F&amp;TDrate!H:H, TDrate!C:C), "N/A")</f>
        <v>2.9399999999999999E-2</v>
      </c>
      <c r="I1336" cm="1">
        <f t="array" ref="I1336">IFERROR(_xlfn.XLOOKUP(C1336&amp;A1336, TDrate!F:F&amp;TDrate!H:H, TDrate!E:E), "N/A")</f>
        <v>2.07E-2</v>
      </c>
      <c r="J1336" cm="1">
        <f t="array" ref="J1336">IFERROR(_xlfn.XLOOKUP(C1336&amp;A1336, Inside5!B:B&amp;Inside5!I:I, Inside5!F:F), 0)</f>
        <v>1</v>
      </c>
      <c r="K1336" cm="1">
        <f t="array" ref="K1336">IFERROR(_xlfn.XLOOKUP(C1336&amp;A1336, Inside5!B:B&amp;Inside5!I:I, Inside5!G:G), 0)</f>
        <v>1</v>
      </c>
      <c r="L1336" cm="1">
        <f t="array" ref="L1336">IFERROR(_xlfn.XLOOKUP(C1336&amp;A1336, Inside5!B:B&amp;Inside5!I:I, Inside5!H:H), 0)</f>
        <v>0</v>
      </c>
      <c r="M1336" cm="1">
        <f t="array" ref="M1336">IFERROR(_xlfn.XLOOKUP(C1336&amp;A1336, TDrate!F:F&amp;TDrate!H:H, TDrate!B:B), "N/A")</f>
        <v>0</v>
      </c>
      <c r="N1336" cm="1">
        <f t="array" ref="N1336">IFERROR(_xlfn.XLOOKUP(C1336&amp;A1336, TDrate!F:F&amp;TDrate!H:H, TDrate!D:D), "N/A")</f>
        <v>1.6899999999999998E-2</v>
      </c>
    </row>
    <row r="1337" spans="1:14" x14ac:dyDescent="0.45">
      <c r="A1337" s="8">
        <v>2018</v>
      </c>
      <c r="B1337" s="9" t="s">
        <v>919</v>
      </c>
      <c r="C1337" s="10" t="str">
        <f t="shared" si="40"/>
        <v>Bilal Powell</v>
      </c>
      <c r="D1337" s="10" t="str">
        <f t="shared" si="41"/>
        <v>NYJ</v>
      </c>
      <c r="E1337" cm="1">
        <f t="array" aca="1" ref="E1337" ca="1">IFERROR(_xlfn.XLOOKUP(C1337&amp;A1337, Inside5!B:B&amp;Inside5!I:I, Inside5!C:C), 0)</f>
        <v>1</v>
      </c>
      <c r="F1337" cm="1">
        <f t="array" aca="1" ref="F1337" ca="1">IFERROR(_xlfn.XLOOKUP(C1337&amp;A1337, Inside5!B:B&amp;Inside5!I:I, Inside5!D:D), 0)</f>
        <v>0</v>
      </c>
      <c r="G1337" cm="1">
        <f t="array" ref="G1337">IFERROR(_xlfn.XLOOKUP(C1337&amp;A1337, Inside5!B:B&amp;Inside5!I:I, Inside5!E:E), 0)</f>
        <v>9.0999999999999998E-2</v>
      </c>
      <c r="H1337" cm="1">
        <f t="array" ref="H1337">IFERROR(_xlfn.XLOOKUP(C1337&amp;A1337, TDrate!F:F&amp;TDrate!H:H, TDrate!C:C), "N/A")</f>
        <v>0</v>
      </c>
      <c r="I1337" cm="1">
        <f t="array" ref="I1337">IFERROR(_xlfn.XLOOKUP(C1337&amp;A1337, TDrate!F:F&amp;TDrate!H:H, TDrate!E:E), "N/A")</f>
        <v>7.4000000000000003E-3</v>
      </c>
      <c r="J1337" cm="1">
        <f t="array" ref="J1337">IFERROR(_xlfn.XLOOKUP(C1337&amp;A1337, Inside5!B:B&amp;Inside5!I:I, Inside5!F:F), 0)</f>
        <v>0</v>
      </c>
      <c r="K1337" cm="1">
        <f t="array" ref="K1337">IFERROR(_xlfn.XLOOKUP(C1337&amp;A1337, Inside5!B:B&amp;Inside5!I:I, Inside5!G:G), 0)</f>
        <v>0</v>
      </c>
      <c r="L1337" cm="1">
        <f t="array" ref="L1337">IFERROR(_xlfn.XLOOKUP(C1337&amp;A1337, Inside5!B:B&amp;Inside5!I:I, Inside5!H:H), 0)</f>
        <v>0</v>
      </c>
      <c r="M1337" cm="1">
        <f t="array" ref="M1337">IFERROR(_xlfn.XLOOKUP(C1337&amp;A1337, TDrate!F:F&amp;TDrate!H:H, TDrate!B:B), "N/A")</f>
        <v>5.5599999999999997E-2</v>
      </c>
      <c r="N1337" cm="1">
        <f t="array" ref="N1337">IFERROR(_xlfn.XLOOKUP(C1337&amp;A1337, TDrate!F:F&amp;TDrate!H:H, TDrate!D:D), "N/A")</f>
        <v>3.5799999999999998E-2</v>
      </c>
    </row>
    <row r="1338" spans="1:14" x14ac:dyDescent="0.45">
      <c r="A1338" s="5">
        <v>2018</v>
      </c>
      <c r="B1338" s="6" t="s">
        <v>978</v>
      </c>
      <c r="C1338" s="7" t="str">
        <f t="shared" si="40"/>
        <v>Kenneth Dixon</v>
      </c>
      <c r="D1338" s="7" t="str">
        <f t="shared" si="41"/>
        <v>BAL</v>
      </c>
      <c r="E1338" cm="1">
        <f t="array" aca="1" ref="E1338" ca="1">IFERROR(_xlfn.XLOOKUP(C1338&amp;A1338, Inside5!B:B&amp;Inside5!I:I, Inside5!C:C), 0)</f>
        <v>3</v>
      </c>
      <c r="F1338" cm="1">
        <f t="array" aca="1" ref="F1338" ca="1">IFERROR(_xlfn.XLOOKUP(C1338&amp;A1338, Inside5!B:B&amp;Inside5!I:I, Inside5!D:D), 0)</f>
        <v>2</v>
      </c>
      <c r="G1338" cm="1">
        <f t="array" ref="G1338">IFERROR(_xlfn.XLOOKUP(C1338&amp;A1338, Inside5!B:B&amp;Inside5!I:I, Inside5!E:E), 0)</f>
        <v>0.17599999999999999</v>
      </c>
      <c r="H1338" cm="1">
        <f t="array" ref="H1338">IFERROR(_xlfn.XLOOKUP(C1338&amp;A1338, TDrate!F:F&amp;TDrate!H:H, TDrate!C:C), "N/A")</f>
        <v>3.3300000000000003E-2</v>
      </c>
      <c r="I1338" cm="1">
        <f t="array" ref="I1338">IFERROR(_xlfn.XLOOKUP(C1338&amp;A1338, TDrate!F:F&amp;TDrate!H:H, TDrate!E:E), "N/A")</f>
        <v>3.04E-2</v>
      </c>
      <c r="J1338" cm="1">
        <f t="array" ref="J1338">IFERROR(_xlfn.XLOOKUP(C1338&amp;A1338, Inside5!B:B&amp;Inside5!I:I, Inside5!F:F), 0)</f>
        <v>0</v>
      </c>
      <c r="K1338" cm="1">
        <f t="array" ref="K1338">IFERROR(_xlfn.XLOOKUP(C1338&amp;A1338, Inside5!B:B&amp;Inside5!I:I, Inside5!G:G), 0)</f>
        <v>0</v>
      </c>
      <c r="L1338" cm="1">
        <f t="array" ref="L1338">IFERROR(_xlfn.XLOOKUP(C1338&amp;A1338, Inside5!B:B&amp;Inside5!I:I, Inside5!H:H), 0)</f>
        <v>0</v>
      </c>
      <c r="M1338" cm="1">
        <f t="array" ref="M1338">IFERROR(_xlfn.XLOOKUP(C1338&amp;A1338, TDrate!F:F&amp;TDrate!H:H, TDrate!B:B), "N/A")</f>
        <v>0</v>
      </c>
      <c r="N1338" cm="1">
        <f t="array" ref="N1338">IFERROR(_xlfn.XLOOKUP(C1338&amp;A1338, TDrate!F:F&amp;TDrate!H:H, TDrate!D:D), "N/A")</f>
        <v>6.0000000000000001E-3</v>
      </c>
    </row>
    <row r="1339" spans="1:14" x14ac:dyDescent="0.45">
      <c r="A1339" s="8">
        <v>2018</v>
      </c>
      <c r="B1339" s="9" t="s">
        <v>1013</v>
      </c>
      <c r="C1339" s="10" t="str">
        <f t="shared" si="40"/>
        <v>Cordarrelle Patterson</v>
      </c>
      <c r="D1339" s="10" t="str">
        <f t="shared" si="41"/>
        <v>NE</v>
      </c>
      <c r="E1339" cm="1">
        <f t="array" aca="1" ref="E1339" ca="1">IFERROR(_xlfn.XLOOKUP(C1339&amp;A1339, Inside5!B:B&amp;Inside5!I:I, Inside5!C:C), 0)</f>
        <v>4</v>
      </c>
      <c r="F1339" cm="1">
        <f t="array" aca="1" ref="F1339" ca="1">IFERROR(_xlfn.XLOOKUP(C1339&amp;A1339, Inside5!B:B&amp;Inside5!I:I, Inside5!D:D), 0)</f>
        <v>1</v>
      </c>
      <c r="G1339" cm="1">
        <f t="array" ref="G1339">IFERROR(_xlfn.XLOOKUP(C1339&amp;A1339, Inside5!B:B&amp;Inside5!I:I, Inside5!E:E), 0)</f>
        <v>0.129</v>
      </c>
      <c r="H1339" cm="1">
        <f t="array" ref="H1339">IFERROR(_xlfn.XLOOKUP(C1339&amp;A1339, TDrate!F:F&amp;TDrate!H:H, TDrate!C:C), "N/A")</f>
        <v>2.3800000000000002E-2</v>
      </c>
      <c r="I1339" cm="1">
        <f t="array" ref="I1339">IFERROR(_xlfn.XLOOKUP(C1339&amp;A1339, TDrate!F:F&amp;TDrate!H:H, TDrate!E:E), "N/A")</f>
        <v>3.6299999999999999E-2</v>
      </c>
      <c r="J1339" cm="1">
        <f t="array" ref="J1339">IFERROR(_xlfn.XLOOKUP(C1339&amp;A1339, Inside5!B:B&amp;Inside5!I:I, Inside5!F:F), 0)</f>
        <v>1</v>
      </c>
      <c r="K1339" cm="1">
        <f t="array" ref="K1339">IFERROR(_xlfn.XLOOKUP(C1339&amp;A1339, Inside5!B:B&amp;Inside5!I:I, Inside5!G:G), 0)</f>
        <v>2</v>
      </c>
      <c r="L1339" cm="1">
        <f t="array" ref="L1339">IFERROR(_xlfn.XLOOKUP(C1339&amp;A1339, Inside5!B:B&amp;Inside5!I:I, Inside5!H:H), 0)</f>
        <v>1</v>
      </c>
      <c r="M1339" cm="1">
        <f t="array" ref="M1339">IFERROR(_xlfn.XLOOKUP(C1339&amp;A1339, TDrate!F:F&amp;TDrate!H:H, TDrate!B:B), "N/A")</f>
        <v>0.1071</v>
      </c>
      <c r="N1339" cm="1">
        <f t="array" ref="N1339">IFERROR(_xlfn.XLOOKUP(C1339&amp;A1339, TDrate!F:F&amp;TDrate!H:H, TDrate!D:D), "N/A")</f>
        <v>7.4700000000000003E-2</v>
      </c>
    </row>
    <row r="1340" spans="1:14" x14ac:dyDescent="0.45">
      <c r="A1340" s="5">
        <v>2018</v>
      </c>
      <c r="B1340" s="6" t="s">
        <v>1014</v>
      </c>
      <c r="C1340" s="7" t="str">
        <f t="shared" si="40"/>
        <v>Ty Montgomery II</v>
      </c>
      <c r="D1340" s="7" t="str">
        <f t="shared" si="41"/>
        <v>BAL</v>
      </c>
      <c r="E1340" cm="1">
        <f t="array" aca="1" ref="E1340" ca="1">IFERROR(_xlfn.XLOOKUP(C1340&amp;A1340, Inside5!B:B&amp;Inside5!I:I, Inside5!C:C), 0)</f>
        <v>1</v>
      </c>
      <c r="F1340" cm="1">
        <f t="array" aca="1" ref="F1340" ca="1">IFERROR(_xlfn.XLOOKUP(C1340&amp;A1340, Inside5!B:B&amp;Inside5!I:I, Inside5!D:D), 0)</f>
        <v>1</v>
      </c>
      <c r="G1340" cm="1">
        <f t="array" ref="G1340">IFERROR(_xlfn.XLOOKUP(C1340&amp;A1340, Inside5!B:B&amp;Inside5!I:I, Inside5!E:E), 0)</f>
        <v>0.14299999999999999</v>
      </c>
      <c r="H1340" cm="1">
        <f t="array" ref="H1340">IFERROR(_xlfn.XLOOKUP(C1340&amp;A1340, TDrate!F:F&amp;TDrate!H:H, TDrate!C:C), "N/A")</f>
        <v>2.4400000000000002E-2</v>
      </c>
      <c r="I1340" cm="1">
        <f t="array" ref="I1340">IFERROR(_xlfn.XLOOKUP(C1340&amp;A1340, TDrate!F:F&amp;TDrate!H:H, TDrate!E:E), "N/A")</f>
        <v>2.2800000000000001E-2</v>
      </c>
      <c r="J1340" cm="1">
        <f t="array" ref="J1340">IFERROR(_xlfn.XLOOKUP(C1340&amp;A1340, Inside5!B:B&amp;Inside5!I:I, Inside5!F:F), 0)</f>
        <v>0</v>
      </c>
      <c r="K1340" cm="1">
        <f t="array" ref="K1340">IFERROR(_xlfn.XLOOKUP(C1340&amp;A1340, Inside5!B:B&amp;Inside5!I:I, Inside5!G:G), 0)</f>
        <v>1</v>
      </c>
      <c r="L1340" cm="1">
        <f t="array" ref="L1340">IFERROR(_xlfn.XLOOKUP(C1340&amp;A1340, Inside5!B:B&amp;Inside5!I:I, Inside5!H:H), 0)</f>
        <v>0</v>
      </c>
      <c r="M1340" cm="1">
        <f t="array" ref="M1340">IFERROR(_xlfn.XLOOKUP(C1340&amp;A1340, TDrate!F:F&amp;TDrate!H:H, TDrate!B:B), "N/A")</f>
        <v>0</v>
      </c>
      <c r="N1340" cm="1">
        <f t="array" ref="N1340">IFERROR(_xlfn.XLOOKUP(C1340&amp;A1340, TDrate!F:F&amp;TDrate!H:H, TDrate!D:D), "N/A")</f>
        <v>1.0800000000000001E-2</v>
      </c>
    </row>
    <row r="1341" spans="1:14" x14ac:dyDescent="0.45">
      <c r="A1341" s="8">
        <v>2018</v>
      </c>
      <c r="B1341" s="9" t="s">
        <v>731</v>
      </c>
      <c r="C1341" s="10" t="str">
        <f t="shared" si="40"/>
        <v>Justin Jackson</v>
      </c>
      <c r="D1341" s="10" t="str">
        <f t="shared" si="41"/>
        <v>LAC</v>
      </c>
      <c r="E1341" cm="1">
        <f t="array" aca="1" ref="E1341" ca="1">IFERROR(_xlfn.XLOOKUP(C1341&amp;A1341, Inside5!B:B&amp;Inside5!I:I, Inside5!C:C), 0)</f>
        <v>2</v>
      </c>
      <c r="F1341" cm="1">
        <f t="array" aca="1" ref="F1341" ca="1">IFERROR(_xlfn.XLOOKUP(C1341&amp;A1341, Inside5!B:B&amp;Inside5!I:I, Inside5!D:D), 0)</f>
        <v>1</v>
      </c>
      <c r="G1341" cm="1">
        <f t="array" ref="G1341">IFERROR(_xlfn.XLOOKUP(C1341&amp;A1341, Inside5!B:B&amp;Inside5!I:I, Inside5!E:E), 0)</f>
        <v>0.182</v>
      </c>
      <c r="H1341" cm="1">
        <f t="array" ref="H1341">IFERROR(_xlfn.XLOOKUP(C1341&amp;A1341, TDrate!F:F&amp;TDrate!H:H, TDrate!C:C), "N/A")</f>
        <v>0.04</v>
      </c>
      <c r="I1341" cm="1">
        <f t="array" ref="I1341">IFERROR(_xlfn.XLOOKUP(C1341&amp;A1341, TDrate!F:F&amp;TDrate!H:H, TDrate!E:E), "N/A")</f>
        <v>3.1899999999999998E-2</v>
      </c>
      <c r="J1341" cm="1">
        <f t="array" ref="J1341">IFERROR(_xlfn.XLOOKUP(C1341&amp;A1341, Inside5!B:B&amp;Inside5!I:I, Inside5!F:F), 0)</f>
        <v>0</v>
      </c>
      <c r="K1341" cm="1">
        <f t="array" ref="K1341">IFERROR(_xlfn.XLOOKUP(C1341&amp;A1341, Inside5!B:B&amp;Inside5!I:I, Inside5!G:G), 0)</f>
        <v>0</v>
      </c>
      <c r="L1341" cm="1">
        <f t="array" ref="L1341">IFERROR(_xlfn.XLOOKUP(C1341&amp;A1341, Inside5!B:B&amp;Inside5!I:I, Inside5!H:H), 0)</f>
        <v>0</v>
      </c>
      <c r="M1341" cm="1">
        <f t="array" ref="M1341">IFERROR(_xlfn.XLOOKUP(C1341&amp;A1341, TDrate!F:F&amp;TDrate!H:H, TDrate!B:B), "N/A")</f>
        <v>0</v>
      </c>
      <c r="N1341" cm="1">
        <f t="array" ref="N1341">IFERROR(_xlfn.XLOOKUP(C1341&amp;A1341, TDrate!F:F&amp;TDrate!H:H, TDrate!D:D), "N/A")</f>
        <v>1.29E-2</v>
      </c>
    </row>
    <row r="1342" spans="1:14" x14ac:dyDescent="0.45">
      <c r="A1342" s="5">
        <v>2018</v>
      </c>
      <c r="B1342" s="6" t="s">
        <v>926</v>
      </c>
      <c r="C1342" s="7" t="str">
        <f t="shared" si="40"/>
        <v>Darren Sproles</v>
      </c>
      <c r="D1342" s="7" t="str">
        <f t="shared" si="41"/>
        <v>PHI</v>
      </c>
      <c r="E1342" cm="1">
        <f t="array" aca="1" ref="E1342" ca="1">IFERROR(_xlfn.XLOOKUP(C1342&amp;A1342, Inside5!B:B&amp;Inside5!I:I, Inside5!C:C), 0)</f>
        <v>0</v>
      </c>
      <c r="F1342" cm="1">
        <f t="array" aca="1" ref="F1342" ca="1">IFERROR(_xlfn.XLOOKUP(C1342&amp;A1342, Inside5!B:B&amp;Inside5!I:I, Inside5!D:D), 0)</f>
        <v>0</v>
      </c>
      <c r="G1342" cm="1">
        <f t="array" ref="G1342">IFERROR(_xlfn.XLOOKUP(C1342&amp;A1342, Inside5!B:B&amp;Inside5!I:I, Inside5!E:E), 0)</f>
        <v>0</v>
      </c>
      <c r="H1342" cm="1">
        <f t="array" ref="H1342">IFERROR(_xlfn.XLOOKUP(C1342&amp;A1342, TDrate!F:F&amp;TDrate!H:H, TDrate!C:C), "N/A")</f>
        <v>3.4500000000000003E-2</v>
      </c>
      <c r="I1342" cm="1">
        <f t="array" ref="I1342">IFERROR(_xlfn.XLOOKUP(C1342&amp;A1342, TDrate!F:F&amp;TDrate!H:H, TDrate!E:E), "N/A")</f>
        <v>2.5499999999999998E-2</v>
      </c>
      <c r="J1342" cm="1">
        <f t="array" ref="J1342">IFERROR(_xlfn.XLOOKUP(C1342&amp;A1342, Inside5!B:B&amp;Inside5!I:I, Inside5!F:F), 0)</f>
        <v>0</v>
      </c>
      <c r="K1342" cm="1">
        <f t="array" ref="K1342">IFERROR(_xlfn.XLOOKUP(C1342&amp;A1342, Inside5!B:B&amp;Inside5!I:I, Inside5!G:G), 0)</f>
        <v>2</v>
      </c>
      <c r="L1342" cm="1">
        <f t="array" ref="L1342">IFERROR(_xlfn.XLOOKUP(C1342&amp;A1342, Inside5!B:B&amp;Inside5!I:I, Inside5!H:H), 0)</f>
        <v>0</v>
      </c>
      <c r="M1342" cm="1">
        <f t="array" ref="M1342">IFERROR(_xlfn.XLOOKUP(C1342&amp;A1342, TDrate!F:F&amp;TDrate!H:H, TDrate!B:B), "N/A")</f>
        <v>8.6999999999999994E-2</v>
      </c>
      <c r="N1342" cm="1">
        <f t="array" ref="N1342">IFERROR(_xlfn.XLOOKUP(C1342&amp;A1342, TDrate!F:F&amp;TDrate!H:H, TDrate!D:D), "N/A")</f>
        <v>7.3499999999999996E-2</v>
      </c>
    </row>
    <row r="1343" spans="1:14" x14ac:dyDescent="0.45">
      <c r="A1343" s="8">
        <v>2018</v>
      </c>
      <c r="B1343" s="9" t="s">
        <v>1015</v>
      </c>
      <c r="C1343" s="10" t="str">
        <f t="shared" si="40"/>
        <v>Kapri Bibbs</v>
      </c>
      <c r="D1343" s="10" t="str">
        <f t="shared" si="41"/>
        <v>GB</v>
      </c>
      <c r="E1343" cm="1">
        <f t="array" aca="1" ref="E1343" ca="1">IFERROR(_xlfn.XLOOKUP(C1343&amp;A1343, Inside5!B:B&amp;Inside5!I:I, Inside5!C:C), 0)</f>
        <v>4</v>
      </c>
      <c r="F1343" cm="1">
        <f t="array" ref="F1343">IFERROR(_xlfn.XLOOKUP(C1343&amp;A1343, Inside5!B:B&amp;Inside5!I:I, Inside5!D:D), 0)</f>
        <v>3</v>
      </c>
      <c r="G1343" cm="1">
        <f t="array" ref="G1343">IFERROR(_xlfn.XLOOKUP(C1343&amp;A1343, Inside5!B:B&amp;Inside5!I:I, Inside5!E:E), 0)</f>
        <v>0.28599999999999998</v>
      </c>
      <c r="H1343" t="str" cm="1">
        <f t="array" ref="H1343">IFERROR(_xlfn.XLOOKUP(C1343&amp;A1343, TDrate!F:F&amp;TDrate!H:H, TDrate!C:C), "N/A")</f>
        <v>N/A</v>
      </c>
      <c r="I1343" t="str" cm="1">
        <f t="array" ref="I1343">IFERROR(_xlfn.XLOOKUP(C1343&amp;A1343, TDrate!F:F&amp;TDrate!H:H, TDrate!E:E), "N/A")</f>
        <v>N/A</v>
      </c>
      <c r="J1343" cm="1">
        <f t="array" ref="J1343">IFERROR(_xlfn.XLOOKUP(C1343&amp;A1343, Inside5!B:B&amp;Inside5!I:I, Inside5!F:F), 0)</f>
        <v>0</v>
      </c>
      <c r="K1343" cm="1">
        <f t="array" aca="1" ref="K1343" ca="1">IFERROR(_xlfn.XLOOKUP(C1343&amp;A1343, Inside5!B:B&amp;Inside5!I:I, Inside5!G:G), 0)</f>
        <v>0</v>
      </c>
      <c r="L1343" cm="1">
        <f t="array" ref="L1343">IFERROR(_xlfn.XLOOKUP(C1343&amp;A1343, Inside5!B:B&amp;Inside5!I:I, Inside5!H:H), 0)</f>
        <v>0</v>
      </c>
      <c r="M1343" t="str" cm="1">
        <f t="array" ref="M1343">IFERROR(_xlfn.XLOOKUP(C1343&amp;A1343, TDrate!F:F&amp;TDrate!H:H, TDrate!B:B), "N/A")</f>
        <v>N/A</v>
      </c>
      <c r="N1343" t="str" cm="1">
        <f t="array" ref="N1343">IFERROR(_xlfn.XLOOKUP(C1343&amp;A1343, TDrate!F:F&amp;TDrate!H:H, TDrate!D:D), "N/A")</f>
        <v>N/A</v>
      </c>
    </row>
    <row r="1344" spans="1:14" x14ac:dyDescent="0.45">
      <c r="A1344" s="5">
        <v>2018</v>
      </c>
      <c r="B1344" s="6" t="s">
        <v>1016</v>
      </c>
      <c r="C1344" s="7" t="str">
        <f t="shared" si="40"/>
        <v>Jacquizz Rodgers</v>
      </c>
      <c r="D1344" s="7" t="str">
        <f t="shared" si="41"/>
        <v>TB</v>
      </c>
      <c r="E1344" cm="1">
        <f t="array" ref="E1344">IFERROR(_xlfn.XLOOKUP(C1344&amp;A1344, Inside5!B:B&amp;Inside5!I:I, Inside5!C:C), 0)</f>
        <v>1</v>
      </c>
      <c r="F1344" cm="1">
        <f t="array" aca="1" ref="F1344" ca="1">IFERROR(_xlfn.XLOOKUP(C1344&amp;A1344, Inside5!B:B&amp;Inside5!I:I, Inside5!D:D), 0)</f>
        <v>1</v>
      </c>
      <c r="G1344" cm="1">
        <f t="array" ref="G1344">IFERROR(_xlfn.XLOOKUP(C1344&amp;A1344, Inside5!B:B&amp;Inside5!I:I, Inside5!E:E), 0)</f>
        <v>5.8999999999999997E-2</v>
      </c>
      <c r="H1344" cm="1">
        <f t="array" ref="H1344">IFERROR(_xlfn.XLOOKUP(C1344&amp;A1344, TDrate!F:F&amp;TDrate!H:H, TDrate!C:C), "N/A")</f>
        <v>3.0300000000000001E-2</v>
      </c>
      <c r="I1344" cm="1">
        <f t="array" ref="I1344">IFERROR(_xlfn.XLOOKUP(C1344&amp;A1344, TDrate!F:F&amp;TDrate!H:H, TDrate!E:E), "N/A")</f>
        <v>2.5899999999999999E-2</v>
      </c>
      <c r="J1344" cm="1">
        <f t="array" ref="J1344">IFERROR(_xlfn.XLOOKUP(C1344&amp;A1344, Inside5!B:B&amp;Inside5!I:I, Inside5!F:F), 0)</f>
        <v>0</v>
      </c>
      <c r="K1344" cm="1">
        <f t="array" aca="1" ref="K1344" ca="1">IFERROR(_xlfn.XLOOKUP(C1344&amp;A1344, Inside5!B:B&amp;Inside5!I:I, Inside5!G:G), 0)</f>
        <v>0</v>
      </c>
      <c r="L1344" cm="1">
        <f t="array" ref="L1344">IFERROR(_xlfn.XLOOKUP(C1344&amp;A1344, Inside5!B:B&amp;Inside5!I:I, Inside5!H:H), 0)</f>
        <v>0</v>
      </c>
      <c r="M1344" cm="1">
        <f t="array" ref="M1344">IFERROR(_xlfn.XLOOKUP(C1344&amp;A1344, TDrate!F:F&amp;TDrate!H:H, TDrate!B:B), "N/A")</f>
        <v>0</v>
      </c>
      <c r="N1344" cm="1">
        <f t="array" ref="N1344">IFERROR(_xlfn.XLOOKUP(C1344&amp;A1344, TDrate!F:F&amp;TDrate!H:H, TDrate!D:D), "N/A")</f>
        <v>1.0800000000000001E-2</v>
      </c>
    </row>
    <row r="1345" spans="1:14" x14ac:dyDescent="0.45">
      <c r="A1345" s="8">
        <v>2018</v>
      </c>
      <c r="B1345" s="9" t="s">
        <v>678</v>
      </c>
      <c r="C1345" s="10" t="str">
        <f t="shared" si="40"/>
        <v>Jordan Wilkins</v>
      </c>
      <c r="D1345" s="10" t="str">
        <f t="shared" si="41"/>
        <v>IND</v>
      </c>
      <c r="E1345" cm="1">
        <f t="array" aca="1" ref="E1345" ca="1">IFERROR(_xlfn.XLOOKUP(C1345&amp;A1345, Inside5!B:B&amp;Inside5!I:I, Inside5!C:C), 0)</f>
        <v>1</v>
      </c>
      <c r="F1345" cm="1">
        <f t="array" ref="F1345">IFERROR(_xlfn.XLOOKUP(C1345&amp;A1345, Inside5!B:B&amp;Inside5!I:I, Inside5!D:D), 0)</f>
        <v>0</v>
      </c>
      <c r="G1345" cm="1">
        <f t="array" ref="G1345">IFERROR(_xlfn.XLOOKUP(C1345&amp;A1345, Inside5!B:B&amp;Inside5!I:I, Inside5!E:E), 0)</f>
        <v>5.8999999999999997E-2</v>
      </c>
      <c r="H1345" cm="1">
        <f t="array" ref="H1345">IFERROR(_xlfn.XLOOKUP(C1345&amp;A1345, TDrate!F:F&amp;TDrate!H:H, TDrate!C:C), "N/A")</f>
        <v>1.67E-2</v>
      </c>
      <c r="I1345" cm="1">
        <f t="array" ref="I1345">IFERROR(_xlfn.XLOOKUP(C1345&amp;A1345, TDrate!F:F&amp;TDrate!H:H, TDrate!E:E), "N/A")</f>
        <v>1.5800000000000002E-2</v>
      </c>
      <c r="J1345" cm="1">
        <f t="array" ref="J1345">IFERROR(_xlfn.XLOOKUP(C1345&amp;A1345, Inside5!B:B&amp;Inside5!I:I, Inside5!F:F), 0)</f>
        <v>1</v>
      </c>
      <c r="K1345" cm="1">
        <f t="array" ref="K1345">IFERROR(_xlfn.XLOOKUP(C1345&amp;A1345, Inside5!B:B&amp;Inside5!I:I, Inside5!G:G), 0)</f>
        <v>1</v>
      </c>
      <c r="L1345" cm="1">
        <f t="array" ref="L1345">IFERROR(_xlfn.XLOOKUP(C1345&amp;A1345, Inside5!B:B&amp;Inside5!I:I, Inside5!H:H), 0)</f>
        <v>0</v>
      </c>
      <c r="M1345" cm="1">
        <f t="array" ref="M1345">IFERROR(_xlfn.XLOOKUP(C1345&amp;A1345, TDrate!F:F&amp;TDrate!H:H, TDrate!B:B), "N/A")</f>
        <v>0</v>
      </c>
      <c r="N1345" cm="1">
        <f t="array" ref="N1345">IFERROR(_xlfn.XLOOKUP(C1345&amp;A1345, TDrate!F:F&amp;TDrate!H:H, TDrate!D:D), "N/A")</f>
        <v>3.9E-2</v>
      </c>
    </row>
    <row r="1346" spans="1:14" x14ac:dyDescent="0.45">
      <c r="A1346" s="5">
        <v>2018</v>
      </c>
      <c r="B1346" s="6" t="s">
        <v>721</v>
      </c>
      <c r="C1346" s="7" t="str">
        <f t="shared" ref="C1346:C1409" si="42">TRIM(LEFT(B1346, LEN(B1346) - LEN(TRIM(RIGHT(SUBSTITUTE(TRIM(B1346)," ",REPT(" ",100)),100)))))</f>
        <v>Chase Edmonds</v>
      </c>
      <c r="D1346" s="7" t="str">
        <f t="shared" ref="D1346:D1409" si="43">MID(B1346, FIND("(", B1346) + 1, FIND(")", B1346) - FIND("(", B1346) - 1)</f>
        <v>ARI</v>
      </c>
      <c r="E1346" cm="1">
        <f t="array" aca="1" ref="E1346" ca="1">IFERROR(_xlfn.XLOOKUP(C1346&amp;A1346, Inside5!B:B&amp;Inside5!I:I, Inside5!C:C), 0)</f>
        <v>0</v>
      </c>
      <c r="F1346" cm="1">
        <f t="array" aca="1" ref="F1346" ca="1">IFERROR(_xlfn.XLOOKUP(C1346&amp;A1346, Inside5!B:B&amp;Inside5!I:I, Inside5!D:D), 0)</f>
        <v>0</v>
      </c>
      <c r="G1346" cm="1">
        <f t="array" ref="G1346">IFERROR(_xlfn.XLOOKUP(C1346&amp;A1346, Inside5!B:B&amp;Inside5!I:I, Inside5!E:E), 0)</f>
        <v>0</v>
      </c>
      <c r="H1346" cm="1">
        <f t="array" ref="H1346">IFERROR(_xlfn.XLOOKUP(C1346&amp;A1346, TDrate!F:F&amp;TDrate!H:H, TDrate!C:C), "N/A")</f>
        <v>3.3300000000000003E-2</v>
      </c>
      <c r="I1346" cm="1">
        <f t="array" ref="I1346">IFERROR(_xlfn.XLOOKUP(C1346&amp;A1346, TDrate!F:F&amp;TDrate!H:H, TDrate!E:E), "N/A")</f>
        <v>2.4299999999999999E-2</v>
      </c>
      <c r="J1346" cm="1">
        <f t="array" ref="J1346">IFERROR(_xlfn.XLOOKUP(C1346&amp;A1346, Inside5!B:B&amp;Inside5!I:I, Inside5!F:F), 0)</f>
        <v>0</v>
      </c>
      <c r="K1346" cm="1">
        <f t="array" aca="1" ref="K1346" ca="1">IFERROR(_xlfn.XLOOKUP(C1346&amp;A1346, Inside5!B:B&amp;Inside5!I:I, Inside5!G:G), 0)</f>
        <v>0</v>
      </c>
      <c r="L1346" cm="1">
        <f t="array" ref="L1346">IFERROR(_xlfn.XLOOKUP(C1346&amp;A1346, Inside5!B:B&amp;Inside5!I:I, Inside5!H:H), 0)</f>
        <v>0</v>
      </c>
      <c r="M1346" cm="1">
        <f t="array" ref="M1346">IFERROR(_xlfn.XLOOKUP(C1346&amp;A1346, TDrate!F:F&amp;TDrate!H:H, TDrate!B:B), "N/A")</f>
        <v>0</v>
      </c>
      <c r="N1346" cm="1">
        <f t="array" ref="N1346">IFERROR(_xlfn.XLOOKUP(C1346&amp;A1346, TDrate!F:F&amp;TDrate!H:H, TDrate!D:D), "N/A")</f>
        <v>2.3E-3</v>
      </c>
    </row>
    <row r="1347" spans="1:14" x14ac:dyDescent="0.45">
      <c r="A1347" s="8">
        <v>2018</v>
      </c>
      <c r="B1347" s="9" t="s">
        <v>942</v>
      </c>
      <c r="C1347" s="10" t="str">
        <f t="shared" si="42"/>
        <v>Jay Ajayi</v>
      </c>
      <c r="D1347" s="10" t="str">
        <f t="shared" si="43"/>
        <v>PHI</v>
      </c>
      <c r="E1347" cm="1">
        <f t="array" ref="E1347">IFERROR(_xlfn.XLOOKUP(C1347&amp;A1347, Inside5!B:B&amp;Inside5!I:I, Inside5!C:C), 0)</f>
        <v>4</v>
      </c>
      <c r="F1347" cm="1">
        <f t="array" ref="F1347">IFERROR(_xlfn.XLOOKUP(C1347&amp;A1347, Inside5!B:B&amp;Inside5!I:I, Inside5!D:D), 0)</f>
        <v>2</v>
      </c>
      <c r="G1347" cm="1">
        <f t="array" ref="G1347">IFERROR(_xlfn.XLOOKUP(C1347&amp;A1347, Inside5!B:B&amp;Inside5!I:I, Inside5!E:E), 0)</f>
        <v>0.33300000000000002</v>
      </c>
      <c r="H1347" cm="1">
        <f t="array" ref="H1347">IFERROR(_xlfn.XLOOKUP(C1347&amp;A1347, TDrate!F:F&amp;TDrate!H:H, TDrate!C:C), "N/A")</f>
        <v>6.6699999999999995E-2</v>
      </c>
      <c r="I1347" cm="1">
        <f t="array" ref="I1347">IFERROR(_xlfn.XLOOKUP(C1347&amp;A1347, TDrate!F:F&amp;TDrate!H:H, TDrate!E:E), "N/A")</f>
        <v>5.8599999999999999E-2</v>
      </c>
      <c r="J1347" cm="1">
        <f t="array" ref="J1347">IFERROR(_xlfn.XLOOKUP(C1347&amp;A1347, Inside5!B:B&amp;Inside5!I:I, Inside5!F:F), 0)</f>
        <v>0</v>
      </c>
      <c r="K1347" cm="1">
        <f t="array" ref="K1347">IFERROR(_xlfn.XLOOKUP(C1347&amp;A1347, Inside5!B:B&amp;Inside5!I:I, Inside5!G:G), 0)</f>
        <v>0</v>
      </c>
      <c r="L1347" cm="1">
        <f t="array" ref="L1347">IFERROR(_xlfn.XLOOKUP(C1347&amp;A1347, Inside5!B:B&amp;Inside5!I:I, Inside5!H:H), 0)</f>
        <v>0</v>
      </c>
      <c r="M1347" cm="1">
        <f t="array" ref="M1347">IFERROR(_xlfn.XLOOKUP(C1347&amp;A1347, TDrate!F:F&amp;TDrate!H:H, TDrate!B:B), "N/A")</f>
        <v>0</v>
      </c>
      <c r="N1347" cm="1">
        <f t="array" ref="N1347">IFERROR(_xlfn.XLOOKUP(C1347&amp;A1347, TDrate!F:F&amp;TDrate!H:H, TDrate!D:D), "N/A")</f>
        <v>3.1399999999999997E-2</v>
      </c>
    </row>
    <row r="1348" spans="1:14" x14ac:dyDescent="0.45">
      <c r="A1348" s="5">
        <v>2018</v>
      </c>
      <c r="B1348" s="6" t="s">
        <v>469</v>
      </c>
      <c r="C1348" s="7" t="str">
        <f t="shared" si="42"/>
        <v>Kyle Juszczyk</v>
      </c>
      <c r="D1348" s="7" t="str">
        <f t="shared" si="43"/>
        <v>SF</v>
      </c>
      <c r="E1348" cm="1">
        <f t="array" ref="E1348">IFERROR(_xlfn.XLOOKUP(C1348&amp;A1348, Inside5!B:B&amp;Inside5!I:I, Inside5!C:C), 0)</f>
        <v>1</v>
      </c>
      <c r="F1348" cm="1">
        <f t="array" ref="F1348">IFERROR(_xlfn.XLOOKUP(C1348&amp;A1348, Inside5!B:B&amp;Inside5!I:I, Inside5!D:D), 0)</f>
        <v>0</v>
      </c>
      <c r="G1348" cm="1">
        <f t="array" ref="G1348">IFERROR(_xlfn.XLOOKUP(C1348&amp;A1348, Inside5!B:B&amp;Inside5!I:I, Inside5!E:E), 0)</f>
        <v>6.7000000000000004E-2</v>
      </c>
      <c r="H1348" t="str" cm="1">
        <f t="array" ref="H1348">IFERROR(_xlfn.XLOOKUP(C1348&amp;A1348, TDrate!F:F&amp;TDrate!H:H, TDrate!C:C), "N/A")</f>
        <v>N/A</v>
      </c>
      <c r="I1348" t="str" cm="1">
        <f t="array" ref="I1348">IFERROR(_xlfn.XLOOKUP(C1348&amp;A1348, TDrate!F:F&amp;TDrate!H:H, TDrate!E:E), "N/A")</f>
        <v>N/A</v>
      </c>
      <c r="J1348" cm="1">
        <f t="array" ref="J1348">IFERROR(_xlfn.XLOOKUP(C1348&amp;A1348, Inside5!B:B&amp;Inside5!I:I, Inside5!F:F), 0)</f>
        <v>0</v>
      </c>
      <c r="K1348" cm="1">
        <f t="array" aca="1" ref="K1348" ca="1">IFERROR(_xlfn.XLOOKUP(C1348&amp;A1348, Inside5!B:B&amp;Inside5!I:I, Inside5!G:G), 0)</f>
        <v>0</v>
      </c>
      <c r="L1348" cm="1">
        <f t="array" ref="L1348">IFERROR(_xlfn.XLOOKUP(C1348&amp;A1348, Inside5!B:B&amp;Inside5!I:I, Inside5!H:H), 0)</f>
        <v>0</v>
      </c>
      <c r="M1348" t="str" cm="1">
        <f t="array" ref="M1348">IFERROR(_xlfn.XLOOKUP(C1348&amp;A1348, TDrate!F:F&amp;TDrate!H:H, TDrate!B:B), "N/A")</f>
        <v>N/A</v>
      </c>
      <c r="N1348" t="str" cm="1">
        <f t="array" ref="N1348">IFERROR(_xlfn.XLOOKUP(C1348&amp;A1348, TDrate!F:F&amp;TDrate!H:H, TDrate!D:D), "N/A")</f>
        <v>N/A</v>
      </c>
    </row>
    <row r="1349" spans="1:14" x14ac:dyDescent="0.45">
      <c r="A1349" s="8">
        <v>2018</v>
      </c>
      <c r="B1349" s="9" t="s">
        <v>830</v>
      </c>
      <c r="C1349" s="10" t="str">
        <f t="shared" si="42"/>
        <v>Rex Burkhead</v>
      </c>
      <c r="D1349" s="10" t="str">
        <f t="shared" si="43"/>
        <v>NE</v>
      </c>
      <c r="E1349" cm="1">
        <f t="array" ref="E1349">IFERROR(_xlfn.XLOOKUP(C1349&amp;A1349, Inside5!B:B&amp;Inside5!I:I, Inside5!C:C), 0)</f>
        <v>0</v>
      </c>
      <c r="F1349" cm="1">
        <f t="array" ref="F1349">IFERROR(_xlfn.XLOOKUP(C1349&amp;A1349, Inside5!B:B&amp;Inside5!I:I, Inside5!D:D), 0)</f>
        <v>0</v>
      </c>
      <c r="G1349" cm="1">
        <f t="array" ref="G1349">IFERROR(_xlfn.XLOOKUP(C1349&amp;A1349, Inside5!B:B&amp;Inside5!I:I, Inside5!E:E), 0)</f>
        <v>0</v>
      </c>
      <c r="H1349" cm="1">
        <f t="array" ref="H1349">IFERROR(_xlfn.XLOOKUP(C1349&amp;A1349, TDrate!F:F&amp;TDrate!H:H, TDrate!C:C), "N/A")</f>
        <v>0</v>
      </c>
      <c r="I1349" cm="1">
        <f t="array" ref="I1349">IFERROR(_xlfn.XLOOKUP(C1349&amp;A1349, TDrate!F:F&amp;TDrate!H:H, TDrate!E:E), "N/A")</f>
        <v>3.2000000000000002E-3</v>
      </c>
      <c r="J1349" cm="1">
        <f t="array" ref="J1349">IFERROR(_xlfn.XLOOKUP(C1349&amp;A1349, Inside5!B:B&amp;Inside5!I:I, Inside5!F:F), 0)</f>
        <v>0</v>
      </c>
      <c r="K1349" cm="1">
        <f t="array" ref="K1349">IFERROR(_xlfn.XLOOKUP(C1349&amp;A1349, Inside5!B:B&amp;Inside5!I:I, Inside5!G:G), 0)</f>
        <v>0</v>
      </c>
      <c r="L1349" cm="1">
        <f t="array" ref="L1349">IFERROR(_xlfn.XLOOKUP(C1349&amp;A1349, Inside5!B:B&amp;Inside5!I:I, Inside5!H:H), 0)</f>
        <v>0</v>
      </c>
      <c r="M1349" cm="1">
        <f t="array" ref="M1349">IFERROR(_xlfn.XLOOKUP(C1349&amp;A1349, TDrate!F:F&amp;TDrate!H:H, TDrate!B:B), "N/A")</f>
        <v>0.05</v>
      </c>
      <c r="N1349" cm="1">
        <f t="array" ref="N1349">IFERROR(_xlfn.XLOOKUP(C1349&amp;A1349, TDrate!F:F&amp;TDrate!H:H, TDrate!D:D), "N/A")</f>
        <v>4.24E-2</v>
      </c>
    </row>
    <row r="1350" spans="1:14" x14ac:dyDescent="0.45">
      <c r="A1350" s="5">
        <v>2018</v>
      </c>
      <c r="B1350" s="6" t="s">
        <v>667</v>
      </c>
      <c r="C1350" s="7" t="str">
        <f t="shared" si="42"/>
        <v>Malcolm Brown</v>
      </c>
      <c r="D1350" s="7" t="str">
        <f t="shared" si="43"/>
        <v>LAR</v>
      </c>
      <c r="E1350" cm="1">
        <f t="array" ref="E1350">IFERROR(_xlfn.XLOOKUP(C1350&amp;A1350, Inside5!B:B&amp;Inside5!I:I, Inside5!C:C), 0)</f>
        <v>1</v>
      </c>
      <c r="F1350" cm="1">
        <f t="array" ref="F1350">IFERROR(_xlfn.XLOOKUP(C1350&amp;A1350, Inside5!B:B&amp;Inside5!I:I, Inside5!D:D), 0)</f>
        <v>0</v>
      </c>
      <c r="G1350" cm="1">
        <f t="array" ref="G1350">IFERROR(_xlfn.XLOOKUP(C1350&amp;A1350, Inside5!B:B&amp;Inside5!I:I, Inside5!E:E), 0)</f>
        <v>4.2000000000000003E-2</v>
      </c>
      <c r="H1350" cm="1">
        <f t="array" ref="H1350">IFERROR(_xlfn.XLOOKUP(C1350&amp;A1350, TDrate!F:F&amp;TDrate!H:H, TDrate!C:C), "N/A")</f>
        <v>0</v>
      </c>
      <c r="I1350" cm="1">
        <f t="array" ref="I1350">IFERROR(_xlfn.XLOOKUP(C1350&amp;A1350, TDrate!F:F&amp;TDrate!H:H, TDrate!E:E), "N/A")</f>
        <v>1.2E-2</v>
      </c>
      <c r="J1350" cm="1">
        <f t="array" ref="J1350">IFERROR(_xlfn.XLOOKUP(C1350&amp;A1350, Inside5!B:B&amp;Inside5!I:I, Inside5!F:F), 0)</f>
        <v>0</v>
      </c>
      <c r="K1350" cm="1">
        <f t="array" aca="1" ref="K1350" ca="1">IFERROR(_xlfn.XLOOKUP(C1350&amp;A1350, Inside5!B:B&amp;Inside5!I:I, Inside5!G:G), 0)</f>
        <v>0</v>
      </c>
      <c r="L1350" cm="1">
        <f t="array" ref="L1350">IFERROR(_xlfn.XLOOKUP(C1350&amp;A1350, Inside5!B:B&amp;Inside5!I:I, Inside5!H:H), 0)</f>
        <v>0</v>
      </c>
      <c r="M1350" cm="1">
        <f t="array" ref="M1350">IFERROR(_xlfn.XLOOKUP(C1350&amp;A1350, TDrate!F:F&amp;TDrate!H:H, TDrate!B:B), "N/A")</f>
        <v>0.1429</v>
      </c>
      <c r="N1350" cm="1">
        <f t="array" ref="N1350">IFERROR(_xlfn.XLOOKUP(C1350&amp;A1350, TDrate!F:F&amp;TDrate!H:H, TDrate!D:D), "N/A")</f>
        <v>8.5500000000000007E-2</v>
      </c>
    </row>
    <row r="1351" spans="1:14" x14ac:dyDescent="0.45">
      <c r="A1351" s="8">
        <v>2018</v>
      </c>
      <c r="B1351" s="9" t="s">
        <v>783</v>
      </c>
      <c r="C1351" s="10" t="str">
        <f t="shared" si="42"/>
        <v>Raheem Mostert</v>
      </c>
      <c r="D1351" s="10" t="str">
        <f t="shared" si="43"/>
        <v>SF</v>
      </c>
      <c r="E1351" cm="1">
        <f t="array" ref="E1351">IFERROR(_xlfn.XLOOKUP(C1351&amp;A1351, Inside5!B:B&amp;Inside5!I:I, Inside5!C:C), 0)</f>
        <v>0</v>
      </c>
      <c r="F1351" cm="1">
        <f t="array" ref="F1351">IFERROR(_xlfn.XLOOKUP(C1351&amp;A1351, Inside5!B:B&amp;Inside5!I:I, Inside5!D:D), 0)</f>
        <v>0</v>
      </c>
      <c r="G1351" cm="1">
        <f t="array" ref="G1351">IFERROR(_xlfn.XLOOKUP(C1351&amp;A1351, Inside5!B:B&amp;Inside5!I:I, Inside5!E:E), 0)</f>
        <v>0</v>
      </c>
      <c r="H1351" cm="1">
        <f t="array" ref="H1351">IFERROR(_xlfn.XLOOKUP(C1351&amp;A1351, TDrate!F:F&amp;TDrate!H:H, TDrate!C:C), "N/A")</f>
        <v>2.9399999999999999E-2</v>
      </c>
      <c r="I1351" cm="1">
        <f t="array" ref="I1351">IFERROR(_xlfn.XLOOKUP(C1351&amp;A1351, TDrate!F:F&amp;TDrate!H:H, TDrate!E:E), "N/A")</f>
        <v>1.7600000000000001E-2</v>
      </c>
      <c r="J1351" cm="1">
        <f t="array" ref="J1351">IFERROR(_xlfn.XLOOKUP(C1351&amp;A1351, Inside5!B:B&amp;Inside5!I:I, Inside5!F:F), 0)</f>
        <v>0</v>
      </c>
      <c r="K1351" cm="1">
        <f t="array" aca="1" ref="K1351" ca="1">IFERROR(_xlfn.XLOOKUP(C1351&amp;A1351, Inside5!B:B&amp;Inside5!I:I, Inside5!G:G), 0)</f>
        <v>0</v>
      </c>
      <c r="L1351" cm="1">
        <f t="array" ref="L1351">IFERROR(_xlfn.XLOOKUP(C1351&amp;A1351, Inside5!B:B&amp;Inside5!I:I, Inside5!H:H), 0)</f>
        <v>0</v>
      </c>
      <c r="M1351" cm="1">
        <f t="array" ref="M1351">IFERROR(_xlfn.XLOOKUP(C1351&amp;A1351, TDrate!F:F&amp;TDrate!H:H, TDrate!B:B), "N/A")</f>
        <v>0</v>
      </c>
      <c r="N1351" cm="1">
        <f t="array" ref="N1351">IFERROR(_xlfn.XLOOKUP(C1351&amp;A1351, TDrate!F:F&amp;TDrate!H:H, TDrate!D:D), "N/A")</f>
        <v>4.8999999999999998E-3</v>
      </c>
    </row>
    <row r="1352" spans="1:14" x14ac:dyDescent="0.45">
      <c r="A1352" s="5">
        <v>2018</v>
      </c>
      <c r="B1352" s="6" t="s">
        <v>740</v>
      </c>
      <c r="C1352" s="7" t="str">
        <f t="shared" si="42"/>
        <v>Jeff Wilson Jr.</v>
      </c>
      <c r="D1352" s="7" t="str">
        <f t="shared" si="43"/>
        <v>SF</v>
      </c>
      <c r="E1352" cm="1">
        <f t="array" aca="1" ref="E1352" ca="1">IFERROR(_xlfn.XLOOKUP(C1352&amp;A1352, Inside5!B:B&amp;Inside5!I:I, Inside5!C:C), 0)</f>
        <v>0</v>
      </c>
      <c r="F1352" cm="1">
        <f t="array" aca="1" ref="F1352" ca="1">IFERROR(_xlfn.XLOOKUP(C1352&amp;A1352, Inside5!B:B&amp;Inside5!I:I, Inside5!D:D), 0)</f>
        <v>0</v>
      </c>
      <c r="G1352" cm="1">
        <f t="array" ref="G1352">IFERROR(_xlfn.XLOOKUP(C1352&amp;A1352, Inside5!B:B&amp;Inside5!I:I, Inside5!E:E), 0)</f>
        <v>0</v>
      </c>
      <c r="H1352" cm="1">
        <f t="array" ref="H1352">IFERROR(_xlfn.XLOOKUP(C1352&amp;A1352, TDrate!F:F&amp;TDrate!H:H, TDrate!C:C), "N/A")</f>
        <v>0</v>
      </c>
      <c r="I1352" cm="1">
        <f t="array" ref="I1352">IFERROR(_xlfn.XLOOKUP(C1352&amp;A1352, TDrate!F:F&amp;TDrate!H:H, TDrate!E:E), "N/A")</f>
        <v>6.1999999999999998E-3</v>
      </c>
      <c r="J1352" cm="1">
        <f t="array" ref="J1352">IFERROR(_xlfn.XLOOKUP(C1352&amp;A1352, Inside5!B:B&amp;Inside5!I:I, Inside5!F:F), 0)</f>
        <v>0</v>
      </c>
      <c r="K1352" cm="1">
        <f t="array" ref="K1352">IFERROR(_xlfn.XLOOKUP(C1352&amp;A1352, Inside5!B:B&amp;Inside5!I:I, Inside5!G:G), 0)</f>
        <v>1</v>
      </c>
      <c r="L1352" cm="1">
        <f t="array" ref="L1352">IFERROR(_xlfn.XLOOKUP(C1352&amp;A1352, Inside5!B:B&amp;Inside5!I:I, Inside5!H:H), 0)</f>
        <v>0</v>
      </c>
      <c r="M1352" cm="1">
        <f t="array" ref="M1352">IFERROR(_xlfn.XLOOKUP(C1352&amp;A1352, TDrate!F:F&amp;TDrate!H:H, TDrate!B:B), "N/A")</f>
        <v>0</v>
      </c>
      <c r="N1352" cm="1">
        <f t="array" ref="N1352">IFERROR(_xlfn.XLOOKUP(C1352&amp;A1352, TDrate!F:F&amp;TDrate!H:H, TDrate!D:D), "N/A")</f>
        <v>3.3700000000000001E-2</v>
      </c>
    </row>
    <row r="1353" spans="1:14" x14ac:dyDescent="0.45">
      <c r="A1353" s="8">
        <v>2018</v>
      </c>
      <c r="B1353" s="9" t="s">
        <v>985</v>
      </c>
      <c r="C1353" s="10" t="str">
        <f t="shared" si="42"/>
        <v>Trenton Cannon</v>
      </c>
      <c r="D1353" s="10" t="str">
        <f t="shared" si="43"/>
        <v>NYJ</v>
      </c>
      <c r="E1353" cm="1">
        <f t="array" aca="1" ref="E1353" ca="1">IFERROR(_xlfn.XLOOKUP(C1353&amp;A1353, Inside5!B:B&amp;Inside5!I:I, Inside5!C:C), 0)</f>
        <v>1</v>
      </c>
      <c r="F1353" cm="1">
        <f t="array" aca="1" ref="F1353" ca="1">IFERROR(_xlfn.XLOOKUP(C1353&amp;A1353, Inside5!B:B&amp;Inside5!I:I, Inside5!D:D), 0)</f>
        <v>1</v>
      </c>
      <c r="G1353" cm="1">
        <f t="array" ref="G1353">IFERROR(_xlfn.XLOOKUP(C1353&amp;A1353, Inside5!B:B&amp;Inside5!I:I, Inside5!E:E), 0)</f>
        <v>9.0999999999999998E-2</v>
      </c>
      <c r="H1353" cm="1">
        <f t="array" ref="H1353">IFERROR(_xlfn.XLOOKUP(C1353&amp;A1353, TDrate!F:F&amp;TDrate!H:H, TDrate!C:C), "N/A")</f>
        <v>2.63E-2</v>
      </c>
      <c r="I1353" cm="1">
        <f t="array" ref="I1353">IFERROR(_xlfn.XLOOKUP(C1353&amp;A1353, TDrate!F:F&amp;TDrate!H:H, TDrate!E:E), "N/A")</f>
        <v>2.2599999999999999E-2</v>
      </c>
      <c r="J1353" cm="1">
        <f t="array" ref="J1353">IFERROR(_xlfn.XLOOKUP(C1353&amp;A1353, Inside5!B:B&amp;Inside5!I:I, Inside5!F:F), 0)</f>
        <v>0</v>
      </c>
      <c r="K1353" cm="1">
        <f t="array" aca="1" ref="K1353" ca="1">IFERROR(_xlfn.XLOOKUP(C1353&amp;A1353, Inside5!B:B&amp;Inside5!I:I, Inside5!G:G), 0)</f>
        <v>1</v>
      </c>
      <c r="L1353" cm="1">
        <f t="array" ref="L1353">IFERROR(_xlfn.XLOOKUP(C1353&amp;A1353, Inside5!B:B&amp;Inside5!I:I, Inside5!H:H), 0)</f>
        <v>0</v>
      </c>
      <c r="M1353" cm="1">
        <f t="array" ref="M1353">IFERROR(_xlfn.XLOOKUP(C1353&amp;A1353, TDrate!F:F&amp;TDrate!H:H, TDrate!B:B), "N/A")</f>
        <v>0</v>
      </c>
      <c r="N1353" cm="1">
        <f t="array" ref="N1353">IFERROR(_xlfn.XLOOKUP(C1353&amp;A1353, TDrate!F:F&amp;TDrate!H:H, TDrate!D:D), "N/A")</f>
        <v>1.17E-2</v>
      </c>
    </row>
    <row r="1354" spans="1:14" x14ac:dyDescent="0.45">
      <c r="A1354" s="5">
        <v>2018</v>
      </c>
      <c r="B1354" s="6" t="s">
        <v>957</v>
      </c>
      <c r="C1354" s="7" t="str">
        <f t="shared" si="42"/>
        <v>James Develin</v>
      </c>
      <c r="D1354" s="7" t="str">
        <f t="shared" si="43"/>
        <v>NE</v>
      </c>
      <c r="E1354" cm="1">
        <f t="array" ref="E1354">IFERROR(_xlfn.XLOOKUP(C1354&amp;A1354, Inside5!B:B&amp;Inside5!I:I, Inside5!C:C), 0)</f>
        <v>4</v>
      </c>
      <c r="F1354" cm="1">
        <f t="array" ref="F1354">IFERROR(_xlfn.XLOOKUP(C1354&amp;A1354, Inside5!B:B&amp;Inside5!I:I, Inside5!D:D), 0)</f>
        <v>4</v>
      </c>
      <c r="G1354" cm="1">
        <f t="array" ref="G1354">IFERROR(_xlfn.XLOOKUP(C1354&amp;A1354, Inside5!B:B&amp;Inside5!I:I, Inside5!E:E), 0)</f>
        <v>0.129</v>
      </c>
      <c r="H1354" t="str" cm="1">
        <f t="array" ref="H1354">IFERROR(_xlfn.XLOOKUP(C1354&amp;A1354, TDrate!F:F&amp;TDrate!H:H, TDrate!C:C), "N/A")</f>
        <v>N/A</v>
      </c>
      <c r="I1354" t="str" cm="1">
        <f t="array" ref="I1354">IFERROR(_xlfn.XLOOKUP(C1354&amp;A1354, TDrate!F:F&amp;TDrate!H:H, TDrate!E:E), "N/A")</f>
        <v>N/A</v>
      </c>
      <c r="J1354" cm="1">
        <f t="array" ref="J1354">IFERROR(_xlfn.XLOOKUP(C1354&amp;A1354, Inside5!B:B&amp;Inside5!I:I, Inside5!F:F), 0)</f>
        <v>1</v>
      </c>
      <c r="K1354" cm="1">
        <f t="array" ref="K1354">IFERROR(_xlfn.XLOOKUP(C1354&amp;A1354, Inside5!B:B&amp;Inside5!I:I, Inside5!G:G), 0)</f>
        <v>1</v>
      </c>
      <c r="L1354" cm="1">
        <f t="array" ref="L1354">IFERROR(_xlfn.XLOOKUP(C1354&amp;A1354, Inside5!B:B&amp;Inside5!I:I, Inside5!H:H), 0)</f>
        <v>0</v>
      </c>
      <c r="M1354" t="str" cm="1">
        <f t="array" ref="M1354">IFERROR(_xlfn.XLOOKUP(C1354&amp;A1354, TDrate!F:F&amp;TDrate!H:H, TDrate!B:B), "N/A")</f>
        <v>N/A</v>
      </c>
      <c r="N1354" t="str" cm="1">
        <f t="array" ref="N1354">IFERROR(_xlfn.XLOOKUP(C1354&amp;A1354, TDrate!F:F&amp;TDrate!H:H, TDrate!D:D), "N/A")</f>
        <v>N/A</v>
      </c>
    </row>
    <row r="1355" spans="1:14" x14ac:dyDescent="0.45">
      <c r="A1355" s="8">
        <v>2018</v>
      </c>
      <c r="B1355" s="9" t="s">
        <v>823</v>
      </c>
      <c r="C1355" s="10" t="str">
        <f t="shared" si="42"/>
        <v>Wayne Gallman Jr.</v>
      </c>
      <c r="D1355" s="10" t="str">
        <f t="shared" si="43"/>
        <v>NYG</v>
      </c>
      <c r="E1355" cm="1">
        <f t="array" ref="E1355">IFERROR(_xlfn.XLOOKUP(C1355&amp;A1355, Inside5!B:B&amp;Inside5!I:I, Inside5!C:C), 0)</f>
        <v>1</v>
      </c>
      <c r="F1355" cm="1">
        <f t="array" ref="F1355">IFERROR(_xlfn.XLOOKUP(C1355&amp;A1355, Inside5!B:B&amp;Inside5!I:I, Inside5!D:D), 0)</f>
        <v>0</v>
      </c>
      <c r="G1355" cm="1">
        <f t="array" ref="G1355">IFERROR(_xlfn.XLOOKUP(C1355&amp;A1355, Inside5!B:B&amp;Inside5!I:I, Inside5!E:E), 0)</f>
        <v>5.8999999999999997E-2</v>
      </c>
      <c r="H1355" cm="1">
        <f t="array" ref="H1355">IFERROR(_xlfn.XLOOKUP(C1355&amp;A1355, TDrate!F:F&amp;TDrate!H:H, TDrate!C:C), "N/A")</f>
        <v>1.9599999999999999E-2</v>
      </c>
      <c r="I1355" cm="1">
        <f t="array" ref="I1355">IFERROR(_xlfn.XLOOKUP(C1355&amp;A1355, TDrate!F:F&amp;TDrate!H:H, TDrate!E:E), "N/A")</f>
        <v>3.0599999999999999E-2</v>
      </c>
      <c r="J1355" cm="1">
        <f t="array" ref="J1355">IFERROR(_xlfn.XLOOKUP(C1355&amp;A1355, Inside5!B:B&amp;Inside5!I:I, Inside5!F:F), 0)</f>
        <v>0</v>
      </c>
      <c r="K1355" cm="1">
        <f t="array" ref="K1355">IFERROR(_xlfn.XLOOKUP(C1355&amp;A1355, Inside5!B:B&amp;Inside5!I:I, Inside5!G:G), 0)</f>
        <v>1</v>
      </c>
      <c r="L1355" cm="1">
        <f t="array" ref="L1355">IFERROR(_xlfn.XLOOKUP(C1355&amp;A1355, Inside5!B:B&amp;Inside5!I:I, Inside5!H:H), 0)</f>
        <v>0</v>
      </c>
      <c r="M1355" cm="1">
        <f t="array" ref="M1355">IFERROR(_xlfn.XLOOKUP(C1355&amp;A1355, TDrate!F:F&amp;TDrate!H:H, TDrate!B:B), "N/A")</f>
        <v>0</v>
      </c>
      <c r="N1355" cm="1">
        <f t="array" ref="N1355">IFERROR(_xlfn.XLOOKUP(C1355&amp;A1355, TDrate!F:F&amp;TDrate!H:H, TDrate!D:D), "N/A")</f>
        <v>1.7899999999999999E-2</v>
      </c>
    </row>
    <row r="1356" spans="1:14" x14ac:dyDescent="0.45">
      <c r="A1356" s="5">
        <v>2018</v>
      </c>
      <c r="B1356" s="6" t="s">
        <v>915</v>
      </c>
      <c r="C1356" s="7" t="str">
        <f t="shared" si="42"/>
        <v>Kalen Ballage</v>
      </c>
      <c r="D1356" s="7" t="str">
        <f t="shared" si="43"/>
        <v>MIA</v>
      </c>
      <c r="E1356" cm="1">
        <f t="array" ref="E1356">IFERROR(_xlfn.XLOOKUP(C1356&amp;A1356, Inside5!B:B&amp;Inside5!I:I, Inside5!C:C), 0)</f>
        <v>0</v>
      </c>
      <c r="F1356" cm="1">
        <f t="array" ref="F1356">IFERROR(_xlfn.XLOOKUP(C1356&amp;A1356, Inside5!B:B&amp;Inside5!I:I, Inside5!D:D), 0)</f>
        <v>0</v>
      </c>
      <c r="G1356" cm="1">
        <f t="array" ref="G1356">IFERROR(_xlfn.XLOOKUP(C1356&amp;A1356, Inside5!B:B&amp;Inside5!I:I, Inside5!E:E), 0)</f>
        <v>0</v>
      </c>
      <c r="H1356" cm="1">
        <f t="array" ref="H1356">IFERROR(_xlfn.XLOOKUP(C1356&amp;A1356, TDrate!F:F&amp;TDrate!H:H, TDrate!C:C), "N/A")</f>
        <v>2.7799999999999998E-2</v>
      </c>
      <c r="I1356" cm="1">
        <f t="array" ref="I1356">IFERROR(_xlfn.XLOOKUP(C1356&amp;A1356, TDrate!F:F&amp;TDrate!H:H, TDrate!E:E), "N/A")</f>
        <v>1.66E-2</v>
      </c>
      <c r="J1356" cm="1">
        <f t="array" ref="J1356">IFERROR(_xlfn.XLOOKUP(C1356&amp;A1356, Inside5!B:B&amp;Inside5!I:I, Inside5!F:F), 0)</f>
        <v>0</v>
      </c>
      <c r="K1356" cm="1">
        <f t="array" ref="K1356">IFERROR(_xlfn.XLOOKUP(C1356&amp;A1356, Inside5!B:B&amp;Inside5!I:I, Inside5!G:G), 0)</f>
        <v>0</v>
      </c>
      <c r="L1356" cm="1">
        <f t="array" ref="L1356">IFERROR(_xlfn.XLOOKUP(C1356&amp;A1356, Inside5!B:B&amp;Inside5!I:I, Inside5!H:H), 0)</f>
        <v>0</v>
      </c>
      <c r="M1356" cm="1">
        <f t="array" ref="M1356">IFERROR(_xlfn.XLOOKUP(C1356&amp;A1356, TDrate!F:F&amp;TDrate!H:H, TDrate!B:B), "N/A")</f>
        <v>0</v>
      </c>
      <c r="N1356" cm="1">
        <f t="array" ref="N1356">IFERROR(_xlfn.XLOOKUP(C1356&amp;A1356, TDrate!F:F&amp;TDrate!H:H, TDrate!D:D), "N/A")</f>
        <v>1.26E-2</v>
      </c>
    </row>
    <row r="1357" spans="1:14" x14ac:dyDescent="0.45">
      <c r="A1357" s="8">
        <v>2018</v>
      </c>
      <c r="B1357" s="9" t="s">
        <v>1017</v>
      </c>
      <c r="C1357" s="10" t="str">
        <f t="shared" si="42"/>
        <v>Marcus Murphy</v>
      </c>
      <c r="D1357" s="10" t="str">
        <f t="shared" si="43"/>
        <v>BUF</v>
      </c>
      <c r="E1357" cm="1">
        <f t="array" ref="E1357">IFERROR(_xlfn.XLOOKUP(C1357&amp;A1357, Inside5!B:B&amp;Inside5!I:I, Inside5!C:C), 0)</f>
        <v>1</v>
      </c>
      <c r="F1357" cm="1">
        <f t="array" ref="F1357">IFERROR(_xlfn.XLOOKUP(C1357&amp;A1357, Inside5!B:B&amp;Inside5!I:I, Inside5!D:D), 0)</f>
        <v>0</v>
      </c>
      <c r="G1357" cm="1">
        <f t="array" ref="G1357">IFERROR(_xlfn.XLOOKUP(C1357&amp;A1357, Inside5!B:B&amp;Inside5!I:I, Inside5!E:E), 0)</f>
        <v>0.14299999999999999</v>
      </c>
      <c r="H1357" cm="1">
        <f t="array" ref="H1357">IFERROR(_xlfn.XLOOKUP(C1357&amp;A1357, TDrate!F:F&amp;TDrate!H:H, TDrate!C:C), "N/A")</f>
        <v>0</v>
      </c>
      <c r="I1357" cm="1">
        <f t="array" ref="I1357">IFERROR(_xlfn.XLOOKUP(C1357&amp;A1357, TDrate!F:F&amp;TDrate!H:H, TDrate!E:E), "N/A")</f>
        <v>8.3999999999999995E-3</v>
      </c>
      <c r="J1357" cm="1">
        <f t="array" ref="J1357">IFERROR(_xlfn.XLOOKUP(C1357&amp;A1357, Inside5!B:B&amp;Inside5!I:I, Inside5!F:F), 0)</f>
        <v>0</v>
      </c>
      <c r="K1357" cm="1">
        <f t="array" ref="K1357">IFERROR(_xlfn.XLOOKUP(C1357&amp;A1357, Inside5!B:B&amp;Inside5!I:I, Inside5!G:G), 0)</f>
        <v>0</v>
      </c>
      <c r="L1357" cm="1">
        <f t="array" ref="L1357">IFERROR(_xlfn.XLOOKUP(C1357&amp;A1357, Inside5!B:B&amp;Inside5!I:I, Inside5!H:H), 0)</f>
        <v>0</v>
      </c>
      <c r="M1357" cm="1">
        <f t="array" ref="M1357">IFERROR(_xlfn.XLOOKUP(C1357&amp;A1357, TDrate!F:F&amp;TDrate!H:H, TDrate!B:B), "N/A")</f>
        <v>0</v>
      </c>
      <c r="N1357" cm="1">
        <f t="array" ref="N1357">IFERROR(_xlfn.XLOOKUP(C1357&amp;A1357, TDrate!F:F&amp;TDrate!H:H, TDrate!D:D), "N/A")</f>
        <v>1.01E-2</v>
      </c>
    </row>
    <row r="1358" spans="1:14" x14ac:dyDescent="0.45">
      <c r="A1358" s="5">
        <v>2018</v>
      </c>
      <c r="B1358" s="6" t="s">
        <v>1018</v>
      </c>
      <c r="C1358" s="7" t="str">
        <f t="shared" si="42"/>
        <v>Brandon Bolden</v>
      </c>
      <c r="D1358" s="7" t="str">
        <f t="shared" si="43"/>
        <v>MIA</v>
      </c>
      <c r="E1358" cm="1">
        <f t="array" ref="E1358">IFERROR(_xlfn.XLOOKUP(C1358&amp;A1358, Inside5!B:B&amp;Inside5!I:I, Inside5!C:C), 0)</f>
        <v>0</v>
      </c>
      <c r="F1358" cm="1">
        <f t="array" aca="1" ref="F1358" ca="1">IFERROR(_xlfn.XLOOKUP(C1358&amp;A1358, Inside5!B:B&amp;Inside5!I:I, Inside5!D:D), 0)</f>
        <v>0</v>
      </c>
      <c r="G1358" cm="1">
        <f t="array" ref="G1358">IFERROR(_xlfn.XLOOKUP(C1358&amp;A1358, Inside5!B:B&amp;Inside5!I:I, Inside5!E:E), 0)</f>
        <v>0</v>
      </c>
      <c r="H1358" t="str" cm="1">
        <f t="array" ref="H1358">IFERROR(_xlfn.XLOOKUP(C1358&amp;A1358, TDrate!F:F&amp;TDrate!H:H, TDrate!C:C), "N/A")</f>
        <v>N/A</v>
      </c>
      <c r="I1358" t="str" cm="1">
        <f t="array" ref="I1358">IFERROR(_xlfn.XLOOKUP(C1358&amp;A1358, TDrate!F:F&amp;TDrate!H:H, TDrate!E:E), "N/A")</f>
        <v>N/A</v>
      </c>
      <c r="J1358" cm="1">
        <f t="array" ref="J1358">IFERROR(_xlfn.XLOOKUP(C1358&amp;A1358, Inside5!B:B&amp;Inside5!I:I, Inside5!F:F), 0)</f>
        <v>1</v>
      </c>
      <c r="K1358" cm="1">
        <f t="array" ref="K1358">IFERROR(_xlfn.XLOOKUP(C1358&amp;A1358, Inside5!B:B&amp;Inside5!I:I, Inside5!G:G), 0)</f>
        <v>1</v>
      </c>
      <c r="L1358" cm="1">
        <f t="array" ref="L1358">IFERROR(_xlfn.XLOOKUP(C1358&amp;A1358, Inside5!B:B&amp;Inside5!I:I, Inside5!H:H), 0)</f>
        <v>1</v>
      </c>
      <c r="M1358" t="str" cm="1">
        <f t="array" ref="M1358">IFERROR(_xlfn.XLOOKUP(C1358&amp;A1358, TDrate!F:F&amp;TDrate!H:H, TDrate!B:B), "N/A")</f>
        <v>N/A</v>
      </c>
      <c r="N1358" t="str" cm="1">
        <f t="array" ref="N1358">IFERROR(_xlfn.XLOOKUP(C1358&amp;A1358, TDrate!F:F&amp;TDrate!H:H, TDrate!D:D), "N/A")</f>
        <v>N/A</v>
      </c>
    </row>
    <row r="1359" spans="1:14" x14ac:dyDescent="0.45">
      <c r="A1359" s="8">
        <v>2018</v>
      </c>
      <c r="B1359" s="9" t="s">
        <v>1019</v>
      </c>
      <c r="C1359" s="10" t="str">
        <f t="shared" si="42"/>
        <v>Rod Smith</v>
      </c>
      <c r="D1359" s="10" t="str">
        <f t="shared" si="43"/>
        <v>DAL</v>
      </c>
      <c r="E1359" cm="1">
        <f t="array" ref="E1359">IFERROR(_xlfn.XLOOKUP(C1359&amp;A1359, Inside5!B:B&amp;Inside5!I:I, Inside5!C:C), 0)</f>
        <v>0</v>
      </c>
      <c r="F1359" cm="1">
        <f t="array" ref="F1359">IFERROR(_xlfn.XLOOKUP(C1359&amp;A1359, Inside5!B:B&amp;Inside5!I:I, Inside5!D:D), 0)</f>
        <v>0</v>
      </c>
      <c r="G1359" cm="1">
        <f t="array" ref="G1359">IFERROR(_xlfn.XLOOKUP(C1359&amp;A1359, Inside5!B:B&amp;Inside5!I:I, Inside5!E:E), 0)</f>
        <v>0</v>
      </c>
      <c r="H1359" cm="1">
        <f t="array" ref="H1359">IFERROR(_xlfn.XLOOKUP(C1359&amp;A1359, TDrate!F:F&amp;TDrate!H:H, TDrate!C:C), "N/A")</f>
        <v>2.2700000000000001E-2</v>
      </c>
      <c r="I1359" cm="1">
        <f t="array" ref="I1359">IFERROR(_xlfn.XLOOKUP(C1359&amp;A1359, TDrate!F:F&amp;TDrate!H:H, TDrate!E:E), "N/A")</f>
        <v>2.07E-2</v>
      </c>
      <c r="J1359" cm="1">
        <f t="array" ref="J1359">IFERROR(_xlfn.XLOOKUP(C1359&amp;A1359, Inside5!B:B&amp;Inside5!I:I, Inside5!F:F), 0)</f>
        <v>0</v>
      </c>
      <c r="K1359" cm="1">
        <f t="array" ref="K1359">IFERROR(_xlfn.XLOOKUP(C1359&amp;A1359, Inside5!B:B&amp;Inside5!I:I, Inside5!G:G), 0)</f>
        <v>0</v>
      </c>
      <c r="L1359" cm="1">
        <f t="array" ref="L1359">IFERROR(_xlfn.XLOOKUP(C1359&amp;A1359, Inside5!B:B&amp;Inside5!I:I, Inside5!H:H), 0)</f>
        <v>0</v>
      </c>
      <c r="M1359" cm="1">
        <f t="array" ref="M1359">IFERROR(_xlfn.XLOOKUP(C1359&amp;A1359, TDrate!F:F&amp;TDrate!H:H, TDrate!B:B), "N/A")</f>
        <v>0</v>
      </c>
      <c r="N1359" cm="1">
        <f t="array" ref="N1359">IFERROR(_xlfn.XLOOKUP(C1359&amp;A1359, TDrate!F:F&amp;TDrate!H:H, TDrate!D:D), "N/A")</f>
        <v>9.4999999999999998E-3</v>
      </c>
    </row>
    <row r="1360" spans="1:14" x14ac:dyDescent="0.45">
      <c r="A1360" s="5">
        <v>2018</v>
      </c>
      <c r="B1360" s="6" t="s">
        <v>928</v>
      </c>
      <c r="C1360" s="7" t="str">
        <f t="shared" si="42"/>
        <v>Andy Janovich</v>
      </c>
      <c r="D1360" s="7" t="str">
        <f t="shared" si="43"/>
        <v>DEN</v>
      </c>
      <c r="E1360" cm="1">
        <f t="array" aca="1" ref="E1360" ca="1">IFERROR(_xlfn.XLOOKUP(C1360&amp;A1360, Inside5!B:B&amp;Inside5!I:I, Inside5!C:C), 0)</f>
        <v>0</v>
      </c>
      <c r="F1360" cm="1">
        <f t="array" ref="F1360">IFERROR(_xlfn.XLOOKUP(C1360&amp;A1360, Inside5!B:B&amp;Inside5!I:I, Inside5!D:D), 0)</f>
        <v>0</v>
      </c>
      <c r="G1360" cm="1">
        <f t="array" ref="G1360">IFERROR(_xlfn.XLOOKUP(C1360&amp;A1360, Inside5!B:B&amp;Inside5!I:I, Inside5!E:E), 0)</f>
        <v>0</v>
      </c>
      <c r="H1360" t="str" cm="1">
        <f t="array" ref="H1360">IFERROR(_xlfn.XLOOKUP(C1360&amp;A1360, TDrate!F:F&amp;TDrate!H:H, TDrate!C:C), "N/A")</f>
        <v>N/A</v>
      </c>
      <c r="I1360" t="str" cm="1">
        <f t="array" ref="I1360">IFERROR(_xlfn.XLOOKUP(C1360&amp;A1360, TDrate!F:F&amp;TDrate!H:H, TDrate!E:E), "N/A")</f>
        <v>N/A</v>
      </c>
      <c r="J1360" cm="1">
        <f t="array" ref="J1360">IFERROR(_xlfn.XLOOKUP(C1360&amp;A1360, Inside5!B:B&amp;Inside5!I:I, Inside5!F:F), 0)</f>
        <v>0</v>
      </c>
      <c r="K1360" cm="1">
        <f t="array" ref="K1360">IFERROR(_xlfn.XLOOKUP(C1360&amp;A1360, Inside5!B:B&amp;Inside5!I:I, Inside5!G:G), 0)</f>
        <v>0</v>
      </c>
      <c r="L1360" cm="1">
        <f t="array" ref="L1360">IFERROR(_xlfn.XLOOKUP(C1360&amp;A1360, Inside5!B:B&amp;Inside5!I:I, Inside5!H:H), 0)</f>
        <v>0</v>
      </c>
      <c r="M1360" t="str" cm="1">
        <f t="array" ref="M1360">IFERROR(_xlfn.XLOOKUP(C1360&amp;A1360, TDrate!F:F&amp;TDrate!H:H, TDrate!B:B), "N/A")</f>
        <v>N/A</v>
      </c>
      <c r="N1360" t="str" cm="1">
        <f t="array" ref="N1360">IFERROR(_xlfn.XLOOKUP(C1360&amp;A1360, TDrate!F:F&amp;TDrate!H:H, TDrate!D:D), "N/A")</f>
        <v>N/A</v>
      </c>
    </row>
    <row r="1361" spans="1:14" x14ac:dyDescent="0.45">
      <c r="A1361" s="8">
        <v>2018</v>
      </c>
      <c r="B1361" s="9" t="s">
        <v>936</v>
      </c>
      <c r="C1361" s="10" t="str">
        <f t="shared" si="42"/>
        <v>Zach Line</v>
      </c>
      <c r="D1361" s="10" t="str">
        <f t="shared" si="43"/>
        <v>NO</v>
      </c>
      <c r="E1361" cm="1">
        <f t="array" aca="1" ref="E1361" ca="1">IFERROR(_xlfn.XLOOKUP(C1361&amp;A1361, Inside5!B:B&amp;Inside5!I:I, Inside5!C:C), 0)</f>
        <v>1</v>
      </c>
      <c r="F1361" cm="1">
        <f t="array" aca="1" ref="F1361" ca="1">IFERROR(_xlfn.XLOOKUP(C1361&amp;A1361, Inside5!B:B&amp;Inside5!I:I, Inside5!D:D), 0)</f>
        <v>0</v>
      </c>
      <c r="G1361" cm="1">
        <f t="array" ref="G1361">IFERROR(_xlfn.XLOOKUP(C1361&amp;A1361, Inside5!B:B&amp;Inside5!I:I, Inside5!E:E), 0)</f>
        <v>3.2000000000000001E-2</v>
      </c>
      <c r="H1361" t="str" cm="1">
        <f t="array" ref="H1361">IFERROR(_xlfn.XLOOKUP(C1361&amp;A1361, TDrate!F:F&amp;TDrate!H:H, TDrate!C:C), "N/A")</f>
        <v>N/A</v>
      </c>
      <c r="I1361" t="str" cm="1">
        <f t="array" ref="I1361">IFERROR(_xlfn.XLOOKUP(C1361&amp;A1361, TDrate!F:F&amp;TDrate!H:H, TDrate!E:E), "N/A")</f>
        <v>N/A</v>
      </c>
      <c r="J1361" cm="1">
        <f t="array" ref="J1361">IFERROR(_xlfn.XLOOKUP(C1361&amp;A1361, Inside5!B:B&amp;Inside5!I:I, Inside5!F:F), 0)</f>
        <v>3</v>
      </c>
      <c r="K1361" cm="1">
        <f t="array" ref="K1361">IFERROR(_xlfn.XLOOKUP(C1361&amp;A1361, Inside5!B:B&amp;Inside5!I:I, Inside5!G:G), 0)</f>
        <v>3</v>
      </c>
      <c r="L1361" cm="1">
        <f t="array" ref="L1361">IFERROR(_xlfn.XLOOKUP(C1361&amp;A1361, Inside5!B:B&amp;Inside5!I:I, Inside5!H:H), 0)</f>
        <v>2</v>
      </c>
      <c r="M1361" t="str" cm="1">
        <f t="array" ref="M1361">IFERROR(_xlfn.XLOOKUP(C1361&amp;A1361, TDrate!F:F&amp;TDrate!H:H, TDrate!B:B), "N/A")</f>
        <v>N/A</v>
      </c>
      <c r="N1361" t="str" cm="1">
        <f t="array" ref="N1361">IFERROR(_xlfn.XLOOKUP(C1361&amp;A1361, TDrate!F:F&amp;TDrate!H:H, TDrate!D:D), "N/A")</f>
        <v>N/A</v>
      </c>
    </row>
    <row r="1362" spans="1:14" x14ac:dyDescent="0.45">
      <c r="A1362" s="5">
        <v>2018</v>
      </c>
      <c r="B1362" s="6" t="s">
        <v>863</v>
      </c>
      <c r="C1362" s="7" t="str">
        <f t="shared" si="42"/>
        <v>Anthony Sherman</v>
      </c>
      <c r="D1362" s="7" t="str">
        <f t="shared" si="43"/>
        <v>KC</v>
      </c>
      <c r="E1362" cm="1">
        <f t="array" aca="1" ref="E1362" ca="1">IFERROR(_xlfn.XLOOKUP(C1362&amp;A1362, Inside5!B:B&amp;Inside5!I:I, Inside5!C:C), 0)</f>
        <v>0</v>
      </c>
      <c r="F1362" cm="1">
        <f t="array" aca="1" ref="F1362" ca="1">IFERROR(_xlfn.XLOOKUP(C1362&amp;A1362, Inside5!B:B&amp;Inside5!I:I, Inside5!D:D), 0)</f>
        <v>0</v>
      </c>
      <c r="G1362" cm="1">
        <f t="array" ref="G1362">IFERROR(_xlfn.XLOOKUP(C1362&amp;A1362, Inside5!B:B&amp;Inside5!I:I, Inside5!E:E), 0)</f>
        <v>0</v>
      </c>
      <c r="H1362" t="str" cm="1">
        <f t="array" ref="H1362">IFERROR(_xlfn.XLOOKUP(C1362&amp;A1362, TDrate!F:F&amp;TDrate!H:H, TDrate!C:C), "N/A")</f>
        <v>N/A</v>
      </c>
      <c r="I1362" t="str" cm="1">
        <f t="array" ref="I1362">IFERROR(_xlfn.XLOOKUP(C1362&amp;A1362, TDrate!F:F&amp;TDrate!H:H, TDrate!E:E), "N/A")</f>
        <v>N/A</v>
      </c>
      <c r="J1362" cm="1">
        <f t="array" ref="J1362">IFERROR(_xlfn.XLOOKUP(C1362&amp;A1362, Inside5!B:B&amp;Inside5!I:I, Inside5!F:F), 0)</f>
        <v>1</v>
      </c>
      <c r="K1362" cm="1">
        <f t="array" ref="K1362">IFERROR(_xlfn.XLOOKUP(C1362&amp;A1362, Inside5!B:B&amp;Inside5!I:I, Inside5!G:G), 0)</f>
        <v>1</v>
      </c>
      <c r="L1362" cm="1">
        <f t="array" ref="L1362">IFERROR(_xlfn.XLOOKUP(C1362&amp;A1362, Inside5!B:B&amp;Inside5!I:I, Inside5!H:H), 0)</f>
        <v>0</v>
      </c>
      <c r="M1362" t="str" cm="1">
        <f t="array" ref="M1362">IFERROR(_xlfn.XLOOKUP(C1362&amp;A1362, TDrate!F:F&amp;TDrate!H:H, TDrate!B:B), "N/A")</f>
        <v>N/A</v>
      </c>
      <c r="N1362" t="str" cm="1">
        <f t="array" ref="N1362">IFERROR(_xlfn.XLOOKUP(C1362&amp;A1362, TDrate!F:F&amp;TDrate!H:H, TDrate!D:D), "N/A")</f>
        <v>N/A</v>
      </c>
    </row>
    <row r="1363" spans="1:14" x14ac:dyDescent="0.45">
      <c r="A1363" s="8">
        <v>2018</v>
      </c>
      <c r="B1363" s="9" t="s">
        <v>684</v>
      </c>
      <c r="C1363" s="10" t="str">
        <f t="shared" si="42"/>
        <v>Dwayne Washington</v>
      </c>
      <c r="D1363" s="10" t="str">
        <f t="shared" si="43"/>
        <v>NO</v>
      </c>
      <c r="E1363" cm="1">
        <f t="array" aca="1" ref="E1363" ca="1">IFERROR(_xlfn.XLOOKUP(C1363&amp;A1363, Inside5!B:B&amp;Inside5!I:I, Inside5!C:C), 0)</f>
        <v>0</v>
      </c>
      <c r="F1363" cm="1">
        <f t="array" aca="1" ref="F1363" ca="1">IFERROR(_xlfn.XLOOKUP(C1363&amp;A1363, Inside5!B:B&amp;Inside5!I:I, Inside5!D:D), 0)</f>
        <v>0</v>
      </c>
      <c r="G1363" cm="1">
        <f t="array" ref="G1363">IFERROR(_xlfn.XLOOKUP(C1363&amp;A1363, Inside5!B:B&amp;Inside5!I:I, Inside5!E:E), 0)</f>
        <v>0</v>
      </c>
      <c r="H1363" cm="1">
        <f t="array" ref="H1363">IFERROR(_xlfn.XLOOKUP(C1363&amp;A1363, TDrate!F:F&amp;TDrate!H:H, TDrate!C:C), "N/A")</f>
        <v>0</v>
      </c>
      <c r="I1363" cm="1">
        <f t="array" ref="I1363">IFERROR(_xlfn.XLOOKUP(C1363&amp;A1363, TDrate!F:F&amp;TDrate!H:H, TDrate!E:E), "N/A")</f>
        <v>3.5999999999999999E-3</v>
      </c>
      <c r="J1363" cm="1">
        <f t="array" ref="J1363">IFERROR(_xlfn.XLOOKUP(C1363&amp;A1363, Inside5!B:B&amp;Inside5!I:I, Inside5!F:F), 0)</f>
        <v>0</v>
      </c>
      <c r="K1363" cm="1">
        <f t="array" ref="K1363">IFERROR(_xlfn.XLOOKUP(C1363&amp;A1363, Inside5!B:B&amp;Inside5!I:I, Inside5!G:G), 0)</f>
        <v>0</v>
      </c>
      <c r="L1363" cm="1">
        <f t="array" ref="L1363">IFERROR(_xlfn.XLOOKUP(C1363&amp;A1363, Inside5!B:B&amp;Inside5!I:I, Inside5!H:H), 0)</f>
        <v>0</v>
      </c>
      <c r="M1363" cm="1">
        <f t="array" ref="M1363">IFERROR(_xlfn.XLOOKUP(C1363&amp;A1363, TDrate!F:F&amp;TDrate!H:H, TDrate!B:B), "N/A")</f>
        <v>0</v>
      </c>
      <c r="N1363" cm="1">
        <f t="array" ref="N1363">IFERROR(_xlfn.XLOOKUP(C1363&amp;A1363, TDrate!F:F&amp;TDrate!H:H, TDrate!D:D), "N/A")</f>
        <v>0</v>
      </c>
    </row>
    <row r="1364" spans="1:14" x14ac:dyDescent="0.45">
      <c r="A1364" s="5">
        <v>2018</v>
      </c>
      <c r="B1364" s="6" t="s">
        <v>1020</v>
      </c>
      <c r="C1364" s="7" t="str">
        <f t="shared" si="42"/>
        <v>Taquan Mizzell</v>
      </c>
      <c r="D1364" s="7" t="str">
        <f t="shared" si="43"/>
        <v>CHI</v>
      </c>
      <c r="E1364" cm="1">
        <f t="array" ref="E1364">IFERROR(_xlfn.XLOOKUP(C1364&amp;A1364, Inside5!B:B&amp;Inside5!I:I, Inside5!C:C), 0)</f>
        <v>0</v>
      </c>
      <c r="F1364" cm="1">
        <f t="array" ref="F1364">IFERROR(_xlfn.XLOOKUP(C1364&amp;A1364, Inside5!B:B&amp;Inside5!I:I, Inside5!D:D), 0)</f>
        <v>0</v>
      </c>
      <c r="G1364" cm="1">
        <f t="array" ref="G1364">IFERROR(_xlfn.XLOOKUP(C1364&amp;A1364, Inside5!B:B&amp;Inside5!I:I, Inside5!E:E), 0)</f>
        <v>0</v>
      </c>
      <c r="H1364" t="str" cm="1">
        <f t="array" ref="H1364">IFERROR(_xlfn.XLOOKUP(C1364&amp;A1364, TDrate!F:F&amp;TDrate!H:H, TDrate!C:C), "N/A")</f>
        <v>N/A</v>
      </c>
      <c r="I1364" t="str" cm="1">
        <f t="array" ref="I1364">IFERROR(_xlfn.XLOOKUP(C1364&amp;A1364, TDrate!F:F&amp;TDrate!H:H, TDrate!E:E), "N/A")</f>
        <v>N/A</v>
      </c>
      <c r="J1364" cm="1">
        <f t="array" ref="J1364">IFERROR(_xlfn.XLOOKUP(C1364&amp;A1364, Inside5!B:B&amp;Inside5!I:I, Inside5!F:F), 0)</f>
        <v>0</v>
      </c>
      <c r="K1364" cm="1">
        <f t="array" ref="K1364">IFERROR(_xlfn.XLOOKUP(C1364&amp;A1364, Inside5!B:B&amp;Inside5!I:I, Inside5!G:G), 0)</f>
        <v>1</v>
      </c>
      <c r="L1364" cm="1">
        <f t="array" ref="L1364">IFERROR(_xlfn.XLOOKUP(C1364&amp;A1364, Inside5!B:B&amp;Inside5!I:I, Inside5!H:H), 0)</f>
        <v>0</v>
      </c>
      <c r="M1364" t="str" cm="1">
        <f t="array" ref="M1364">IFERROR(_xlfn.XLOOKUP(C1364&amp;A1364, TDrate!F:F&amp;TDrate!H:H, TDrate!B:B), "N/A")</f>
        <v>N/A</v>
      </c>
      <c r="N1364" t="str" cm="1">
        <f t="array" ref="N1364">IFERROR(_xlfn.XLOOKUP(C1364&amp;A1364, TDrate!F:F&amp;TDrate!H:H, TDrate!D:D), "N/A")</f>
        <v>N/A</v>
      </c>
    </row>
    <row r="1365" spans="1:14" x14ac:dyDescent="0.45">
      <c r="A1365" s="8">
        <v>2018</v>
      </c>
      <c r="B1365" s="9" t="s">
        <v>831</v>
      </c>
      <c r="C1365" s="10" t="str">
        <f t="shared" si="42"/>
        <v>Brian Hill</v>
      </c>
      <c r="D1365" s="10" t="str">
        <f t="shared" si="43"/>
        <v>ATL</v>
      </c>
      <c r="E1365" cm="1">
        <f t="array" aca="1" ref="E1365" ca="1">IFERROR(_xlfn.XLOOKUP(C1365&amp;A1365, Inside5!B:B&amp;Inside5!I:I, Inside5!C:C), 0)</f>
        <v>1</v>
      </c>
      <c r="F1365" cm="1">
        <f t="array" aca="1" ref="F1365" ca="1">IFERROR(_xlfn.XLOOKUP(C1365&amp;A1365, Inside5!B:B&amp;Inside5!I:I, Inside5!D:D), 0)</f>
        <v>0</v>
      </c>
      <c r="G1365" cm="1">
        <f t="array" ref="G1365">IFERROR(_xlfn.XLOOKUP(C1365&amp;A1365, Inside5!B:B&amp;Inside5!I:I, Inside5!E:E), 0)</f>
        <v>7.6999999999999999E-2</v>
      </c>
      <c r="H1365" t="str" cm="1">
        <f t="array" ref="H1365">IFERROR(_xlfn.XLOOKUP(C1365&amp;A1365, TDrate!F:F&amp;TDrate!H:H, TDrate!C:C), "N/A")</f>
        <v>N/A</v>
      </c>
      <c r="I1365" t="str" cm="1">
        <f t="array" ref="I1365">IFERROR(_xlfn.XLOOKUP(C1365&amp;A1365, TDrate!F:F&amp;TDrate!H:H, TDrate!E:E), "N/A")</f>
        <v>N/A</v>
      </c>
      <c r="J1365" cm="1">
        <f t="array" ref="J1365">IFERROR(_xlfn.XLOOKUP(C1365&amp;A1365, Inside5!B:B&amp;Inside5!I:I, Inside5!F:F), 0)</f>
        <v>0</v>
      </c>
      <c r="K1365" cm="1">
        <f t="array" aca="1" ref="K1365" ca="1">IFERROR(_xlfn.XLOOKUP(C1365&amp;A1365, Inside5!B:B&amp;Inside5!I:I, Inside5!G:G), 0)</f>
        <v>0</v>
      </c>
      <c r="L1365" cm="1">
        <f t="array" ref="L1365">IFERROR(_xlfn.XLOOKUP(C1365&amp;A1365, Inside5!B:B&amp;Inside5!I:I, Inside5!H:H), 0)</f>
        <v>0</v>
      </c>
      <c r="M1365" t="str" cm="1">
        <f t="array" ref="M1365">IFERROR(_xlfn.XLOOKUP(C1365&amp;A1365, TDrate!F:F&amp;TDrate!H:H, TDrate!B:B), "N/A")</f>
        <v>N/A</v>
      </c>
      <c r="N1365" t="str" cm="1">
        <f t="array" ref="N1365">IFERROR(_xlfn.XLOOKUP(C1365&amp;A1365, TDrate!F:F&amp;TDrate!H:H, TDrate!D:D), "N/A")</f>
        <v>N/A</v>
      </c>
    </row>
    <row r="1366" spans="1:14" x14ac:dyDescent="0.45">
      <c r="A1366" s="5">
        <v>2018</v>
      </c>
      <c r="B1366" s="6" t="s">
        <v>973</v>
      </c>
      <c r="C1366" s="7" t="str">
        <f t="shared" si="42"/>
        <v>Cameron Artis-Payne</v>
      </c>
      <c r="D1366" s="7" t="str">
        <f t="shared" si="43"/>
        <v>CAR</v>
      </c>
      <c r="E1366" cm="1">
        <f t="array" aca="1" ref="E1366" ca="1">IFERROR(_xlfn.XLOOKUP(C1366&amp;A1366, Inside5!B:B&amp;Inside5!I:I, Inside5!C:C), 0)</f>
        <v>0</v>
      </c>
      <c r="F1366" cm="1">
        <f t="array" aca="1" ref="F1366" ca="1">IFERROR(_xlfn.XLOOKUP(C1366&amp;A1366, Inside5!B:B&amp;Inside5!I:I, Inside5!D:D), 0)</f>
        <v>0</v>
      </c>
      <c r="G1366" cm="1">
        <f t="array" ref="G1366">IFERROR(_xlfn.XLOOKUP(C1366&amp;A1366, Inside5!B:B&amp;Inside5!I:I, Inside5!E:E), 0)</f>
        <v>0</v>
      </c>
      <c r="H1366" t="str" cm="1">
        <f t="array" ref="H1366">IFERROR(_xlfn.XLOOKUP(C1366&amp;A1366, TDrate!F:F&amp;TDrate!H:H, TDrate!C:C), "N/A")</f>
        <v>N/A</v>
      </c>
      <c r="I1366" t="str" cm="1">
        <f t="array" ref="I1366">IFERROR(_xlfn.XLOOKUP(C1366&amp;A1366, TDrate!F:F&amp;TDrate!H:H, TDrate!E:E), "N/A")</f>
        <v>N/A</v>
      </c>
      <c r="J1366" cm="1">
        <f t="array" ref="J1366">IFERROR(_xlfn.XLOOKUP(C1366&amp;A1366, Inside5!B:B&amp;Inside5!I:I, Inside5!F:F), 0)</f>
        <v>0</v>
      </c>
      <c r="K1366" cm="1">
        <f t="array" aca="1" ref="K1366" ca="1">IFERROR(_xlfn.XLOOKUP(C1366&amp;A1366, Inside5!B:B&amp;Inside5!I:I, Inside5!G:G), 0)</f>
        <v>0</v>
      </c>
      <c r="L1366" cm="1">
        <f t="array" ref="L1366">IFERROR(_xlfn.XLOOKUP(C1366&amp;A1366, Inside5!B:B&amp;Inside5!I:I, Inside5!H:H), 0)</f>
        <v>0</v>
      </c>
      <c r="M1366" t="str" cm="1">
        <f t="array" ref="M1366">IFERROR(_xlfn.XLOOKUP(C1366&amp;A1366, TDrate!F:F&amp;TDrate!H:H, TDrate!B:B), "N/A")</f>
        <v>N/A</v>
      </c>
      <c r="N1366" t="str" cm="1">
        <f t="array" ref="N1366">IFERROR(_xlfn.XLOOKUP(C1366&amp;A1366, TDrate!F:F&amp;TDrate!H:H, TDrate!D:D), "N/A")</f>
        <v>N/A</v>
      </c>
    </row>
    <row r="1367" spans="1:14" x14ac:dyDescent="0.45">
      <c r="A1367" s="8">
        <v>2018</v>
      </c>
      <c r="B1367" s="9" t="s">
        <v>871</v>
      </c>
      <c r="C1367" s="10" t="str">
        <f t="shared" si="42"/>
        <v>Alex Armah Jr.</v>
      </c>
      <c r="D1367" s="10" t="str">
        <f t="shared" si="43"/>
        <v>CAR</v>
      </c>
      <c r="E1367" cm="1">
        <f t="array" aca="1" ref="E1367" ca="1">IFERROR(_xlfn.XLOOKUP(C1367&amp;A1367, Inside5!B:B&amp;Inside5!I:I, Inside5!C:C), 0)</f>
        <v>4</v>
      </c>
      <c r="F1367" cm="1">
        <f t="array" aca="1" ref="F1367" ca="1">IFERROR(_xlfn.XLOOKUP(C1367&amp;A1367, Inside5!B:B&amp;Inside5!I:I, Inside5!D:D), 0)</f>
        <v>2</v>
      </c>
      <c r="G1367" cm="1">
        <f t="array" ref="G1367">IFERROR(_xlfn.XLOOKUP(C1367&amp;A1367, Inside5!B:B&amp;Inside5!I:I, Inside5!E:E), 0)</f>
        <v>0.19</v>
      </c>
      <c r="H1367" t="str" cm="1">
        <f t="array" ref="H1367">IFERROR(_xlfn.XLOOKUP(C1367&amp;A1367, TDrate!F:F&amp;TDrate!H:H, TDrate!C:C), "N/A")</f>
        <v>N/A</v>
      </c>
      <c r="I1367" t="str" cm="1">
        <f t="array" ref="I1367">IFERROR(_xlfn.XLOOKUP(C1367&amp;A1367, TDrate!F:F&amp;TDrate!H:H, TDrate!E:E), "N/A")</f>
        <v>N/A</v>
      </c>
      <c r="J1367" cm="1">
        <f t="array" ref="J1367">IFERROR(_xlfn.XLOOKUP(C1367&amp;A1367, Inside5!B:B&amp;Inside5!I:I, Inside5!F:F), 0)</f>
        <v>0</v>
      </c>
      <c r="K1367" cm="1">
        <f t="array" aca="1" ref="K1367" ca="1">IFERROR(_xlfn.XLOOKUP(C1367&amp;A1367, Inside5!B:B&amp;Inside5!I:I, Inside5!G:G), 0)</f>
        <v>0</v>
      </c>
      <c r="L1367" cm="1">
        <f t="array" ref="L1367">IFERROR(_xlfn.XLOOKUP(C1367&amp;A1367, Inside5!B:B&amp;Inside5!I:I, Inside5!H:H), 0)</f>
        <v>0</v>
      </c>
      <c r="M1367" t="str" cm="1">
        <f t="array" ref="M1367">IFERROR(_xlfn.XLOOKUP(C1367&amp;A1367, TDrate!F:F&amp;TDrate!H:H, TDrate!B:B), "N/A")</f>
        <v>N/A</v>
      </c>
      <c r="N1367" t="str" cm="1">
        <f t="array" ref="N1367">IFERROR(_xlfn.XLOOKUP(C1367&amp;A1367, TDrate!F:F&amp;TDrate!H:H, TDrate!D:D), "N/A")</f>
        <v>N/A</v>
      </c>
    </row>
    <row r="1368" spans="1:14" x14ac:dyDescent="0.45">
      <c r="A1368" s="5">
        <v>2018</v>
      </c>
      <c r="B1368" s="6" t="s">
        <v>730</v>
      </c>
      <c r="C1368" s="7" t="str">
        <f t="shared" si="42"/>
        <v>Ronald Jones II</v>
      </c>
      <c r="D1368" s="7" t="str">
        <f t="shared" si="43"/>
        <v>TB</v>
      </c>
      <c r="E1368" cm="1">
        <f t="array" aca="1" ref="E1368" ca="1">IFERROR(_xlfn.XLOOKUP(C1368&amp;A1368, Inside5!B:B&amp;Inside5!I:I, Inside5!C:C), 0)</f>
        <v>2</v>
      </c>
      <c r="F1368" cm="1">
        <f t="array" aca="1" ref="F1368" ca="1">IFERROR(_xlfn.XLOOKUP(C1368&amp;A1368, Inside5!B:B&amp;Inside5!I:I, Inside5!D:D), 0)</f>
        <v>1</v>
      </c>
      <c r="G1368" cm="1">
        <f t="array" ref="G1368">IFERROR(_xlfn.XLOOKUP(C1368&amp;A1368, Inside5!B:B&amp;Inside5!I:I, Inside5!E:E), 0)</f>
        <v>0.11799999999999999</v>
      </c>
      <c r="H1368" t="str" cm="1">
        <f t="array" ref="H1368">IFERROR(_xlfn.XLOOKUP(C1368&amp;A1368, TDrate!F:F&amp;TDrate!H:H, TDrate!C:C), "N/A")</f>
        <v>N/A</v>
      </c>
      <c r="I1368" t="str" cm="1">
        <f t="array" ref="I1368">IFERROR(_xlfn.XLOOKUP(C1368&amp;A1368, TDrate!F:F&amp;TDrate!H:H, TDrate!E:E), "N/A")</f>
        <v>N/A</v>
      </c>
      <c r="J1368" cm="1">
        <f t="array" ref="J1368">IFERROR(_xlfn.XLOOKUP(C1368&amp;A1368, Inside5!B:B&amp;Inside5!I:I, Inside5!F:F), 0)</f>
        <v>0</v>
      </c>
      <c r="K1368" cm="1">
        <f t="array" ref="K1368">IFERROR(_xlfn.XLOOKUP(C1368&amp;A1368, Inside5!B:B&amp;Inside5!I:I, Inside5!G:G), 0)</f>
        <v>0</v>
      </c>
      <c r="L1368" cm="1">
        <f t="array" ref="L1368">IFERROR(_xlfn.XLOOKUP(C1368&amp;A1368, Inside5!B:B&amp;Inside5!I:I, Inside5!H:H), 0)</f>
        <v>0</v>
      </c>
      <c r="M1368" t="str" cm="1">
        <f t="array" ref="M1368">IFERROR(_xlfn.XLOOKUP(C1368&amp;A1368, TDrate!F:F&amp;TDrate!H:H, TDrate!B:B), "N/A")</f>
        <v>N/A</v>
      </c>
      <c r="N1368" t="str" cm="1">
        <f t="array" ref="N1368">IFERROR(_xlfn.XLOOKUP(C1368&amp;A1368, TDrate!F:F&amp;TDrate!H:H, TDrate!D:D), "N/A")</f>
        <v>N/A</v>
      </c>
    </row>
    <row r="1369" spans="1:14" x14ac:dyDescent="0.45">
      <c r="A1369" s="8">
        <v>2018</v>
      </c>
      <c r="B1369" s="9" t="s">
        <v>716</v>
      </c>
      <c r="C1369" s="10" t="str">
        <f t="shared" si="42"/>
        <v>Darrel Williams</v>
      </c>
      <c r="D1369" s="10" t="str">
        <f t="shared" si="43"/>
        <v>KC</v>
      </c>
      <c r="E1369" cm="1">
        <f t="array" aca="1" ref="E1369" ca="1">IFERROR(_xlfn.XLOOKUP(C1369&amp;A1369, Inside5!B:B&amp;Inside5!I:I, Inside5!C:C), 0)</f>
        <v>0</v>
      </c>
      <c r="F1369" cm="1">
        <f t="array" aca="1" ref="F1369" ca="1">IFERROR(_xlfn.XLOOKUP(C1369&amp;A1369, Inside5!B:B&amp;Inside5!I:I, Inside5!D:D), 0)</f>
        <v>0</v>
      </c>
      <c r="G1369" cm="1">
        <f t="array" ref="G1369">IFERROR(_xlfn.XLOOKUP(C1369&amp;A1369, Inside5!B:B&amp;Inside5!I:I, Inside5!E:E), 0)</f>
        <v>0</v>
      </c>
      <c r="H1369" t="str" cm="1">
        <f t="array" ref="H1369">IFERROR(_xlfn.XLOOKUP(C1369&amp;A1369, TDrate!F:F&amp;TDrate!H:H, TDrate!C:C), "N/A")</f>
        <v>N/A</v>
      </c>
      <c r="I1369" t="str" cm="1">
        <f t="array" ref="I1369">IFERROR(_xlfn.XLOOKUP(C1369&amp;A1369, TDrate!F:F&amp;TDrate!H:H, TDrate!E:E), "N/A")</f>
        <v>N/A</v>
      </c>
      <c r="J1369" cm="1">
        <f t="array" ref="J1369">IFERROR(_xlfn.XLOOKUP(C1369&amp;A1369, Inside5!B:B&amp;Inside5!I:I, Inside5!F:F), 0)</f>
        <v>0</v>
      </c>
      <c r="K1369" cm="1">
        <f t="array" ref="K1369">IFERROR(_xlfn.XLOOKUP(C1369&amp;A1369, Inside5!B:B&amp;Inside5!I:I, Inside5!G:G), 0)</f>
        <v>0</v>
      </c>
      <c r="L1369" cm="1">
        <f t="array" ref="L1369">IFERROR(_xlfn.XLOOKUP(C1369&amp;A1369, Inside5!B:B&amp;Inside5!I:I, Inside5!H:H), 0)</f>
        <v>0</v>
      </c>
      <c r="M1369" t="str" cm="1">
        <f t="array" ref="M1369">IFERROR(_xlfn.XLOOKUP(C1369&amp;A1369, TDrate!F:F&amp;TDrate!H:H, TDrate!B:B), "N/A")</f>
        <v>N/A</v>
      </c>
      <c r="N1369" t="str" cm="1">
        <f t="array" ref="N1369">IFERROR(_xlfn.XLOOKUP(C1369&amp;A1369, TDrate!F:F&amp;TDrate!H:H, TDrate!D:D), "N/A")</f>
        <v>N/A</v>
      </c>
    </row>
    <row r="1370" spans="1:14" x14ac:dyDescent="0.45">
      <c r="A1370" s="5">
        <v>2018</v>
      </c>
      <c r="B1370" s="6" t="s">
        <v>962</v>
      </c>
      <c r="C1370" s="7" t="str">
        <f t="shared" si="42"/>
        <v>Stevan Ridley</v>
      </c>
      <c r="D1370" s="7" t="str">
        <f t="shared" si="43"/>
        <v>PIT</v>
      </c>
      <c r="E1370" cm="1">
        <f t="array" ref="E1370">IFERROR(_xlfn.XLOOKUP(C1370&amp;A1370, Inside5!B:B&amp;Inside5!I:I, Inside5!C:C), 0)</f>
        <v>2</v>
      </c>
      <c r="F1370" cm="1">
        <f t="array" ref="F1370">IFERROR(_xlfn.XLOOKUP(C1370&amp;A1370, Inside5!B:B&amp;Inside5!I:I, Inside5!D:D), 0)</f>
        <v>1</v>
      </c>
      <c r="G1370" cm="1">
        <f t="array" ref="G1370">IFERROR(_xlfn.XLOOKUP(C1370&amp;A1370, Inside5!B:B&amp;Inside5!I:I, Inside5!E:E), 0)</f>
        <v>9.5000000000000001E-2</v>
      </c>
      <c r="H1370" cm="1">
        <f t="array" ref="H1370">IFERROR(_xlfn.XLOOKUP(C1370&amp;A1370, TDrate!F:F&amp;TDrate!H:H, TDrate!C:C), "N/A")</f>
        <v>3.4500000000000003E-2</v>
      </c>
      <c r="I1370" cm="1">
        <f t="array" ref="I1370">IFERROR(_xlfn.XLOOKUP(C1370&amp;A1370, TDrate!F:F&amp;TDrate!H:H, TDrate!E:E), "N/A")</f>
        <v>3.4500000000000003E-2</v>
      </c>
      <c r="J1370" cm="1">
        <f t="array" ref="J1370">IFERROR(_xlfn.XLOOKUP(C1370&amp;A1370, Inside5!B:B&amp;Inside5!I:I, Inside5!F:F), 0)</f>
        <v>0</v>
      </c>
      <c r="K1370" cm="1">
        <f t="array" ref="K1370">IFERROR(_xlfn.XLOOKUP(C1370&amp;A1370, Inside5!B:B&amp;Inside5!I:I, Inside5!G:G), 0)</f>
        <v>0</v>
      </c>
      <c r="L1370" cm="1">
        <f t="array" ref="L1370">IFERROR(_xlfn.XLOOKUP(C1370&amp;A1370, Inside5!B:B&amp;Inside5!I:I, Inside5!H:H), 0)</f>
        <v>0</v>
      </c>
      <c r="M1370" cm="1">
        <f t="array" ref="M1370">IFERROR(_xlfn.XLOOKUP(C1370&amp;A1370, TDrate!F:F&amp;TDrate!H:H, TDrate!B:B), "N/A")</f>
        <v>0</v>
      </c>
      <c r="N1370" cm="1">
        <f t="array" ref="N1370">IFERROR(_xlfn.XLOOKUP(C1370&amp;A1370, TDrate!F:F&amp;TDrate!H:H, TDrate!D:D), "N/A")</f>
        <v>9.1999999999999998E-3</v>
      </c>
    </row>
    <row r="1371" spans="1:14" x14ac:dyDescent="0.45">
      <c r="A1371" s="8">
        <v>2018</v>
      </c>
      <c r="B1371" s="9" t="s">
        <v>1021</v>
      </c>
      <c r="C1371" s="10" t="str">
        <f t="shared" si="42"/>
        <v>Corey Grant</v>
      </c>
      <c r="D1371" s="10" t="str">
        <f t="shared" si="43"/>
        <v>JAC</v>
      </c>
      <c r="E1371" cm="1">
        <f t="array" aca="1" ref="E1371" ca="1">IFERROR(_xlfn.XLOOKUP(C1371&amp;A1371, Inside5!B:B&amp;Inside5!I:I, Inside5!C:C), 0)</f>
        <v>0</v>
      </c>
      <c r="F1371" cm="1">
        <f t="array" ref="F1371">IFERROR(_xlfn.XLOOKUP(C1371&amp;A1371, Inside5!B:B&amp;Inside5!I:I, Inside5!D:D), 0)</f>
        <v>0</v>
      </c>
      <c r="G1371" cm="1">
        <f t="array" ref="G1371">IFERROR(_xlfn.XLOOKUP(C1371&amp;A1371, Inside5!B:B&amp;Inside5!I:I, Inside5!E:E), 0)</f>
        <v>0</v>
      </c>
      <c r="H1371" t="str" cm="1">
        <f t="array" ref="H1371">IFERROR(_xlfn.XLOOKUP(C1371&amp;A1371, TDrate!F:F&amp;TDrate!H:H, TDrate!C:C), "N/A")</f>
        <v>N/A</v>
      </c>
      <c r="I1371" t="str" cm="1">
        <f t="array" ref="I1371">IFERROR(_xlfn.XLOOKUP(C1371&amp;A1371, TDrate!F:F&amp;TDrate!H:H, TDrate!E:E), "N/A")</f>
        <v>N/A</v>
      </c>
      <c r="J1371" cm="1">
        <f t="array" ref="J1371">IFERROR(_xlfn.XLOOKUP(C1371&amp;A1371, Inside5!B:B&amp;Inside5!I:I, Inside5!F:F), 0)</f>
        <v>0</v>
      </c>
      <c r="K1371" cm="1">
        <f t="array" aca="1" ref="K1371" ca="1">IFERROR(_xlfn.XLOOKUP(C1371&amp;A1371, Inside5!B:B&amp;Inside5!I:I, Inside5!G:G), 0)</f>
        <v>0</v>
      </c>
      <c r="L1371" cm="1">
        <f t="array" ref="L1371">IFERROR(_xlfn.XLOOKUP(C1371&amp;A1371, Inside5!B:B&amp;Inside5!I:I, Inside5!H:H), 0)</f>
        <v>0</v>
      </c>
      <c r="M1371" t="str" cm="1">
        <f t="array" ref="M1371">IFERROR(_xlfn.XLOOKUP(C1371&amp;A1371, TDrate!F:F&amp;TDrate!H:H, TDrate!B:B), "N/A")</f>
        <v>N/A</v>
      </c>
      <c r="N1371" t="str" cm="1">
        <f t="array" ref="N1371">IFERROR(_xlfn.XLOOKUP(C1371&amp;A1371, TDrate!F:F&amp;TDrate!H:H, TDrate!D:D), "N/A")</f>
        <v>N/A</v>
      </c>
    </row>
    <row r="1372" spans="1:14" x14ac:dyDescent="0.45">
      <c r="A1372" s="5">
        <v>2018</v>
      </c>
      <c r="B1372" s="6" t="s">
        <v>905</v>
      </c>
      <c r="C1372" s="7" t="str">
        <f t="shared" si="42"/>
        <v>DeAndre Washington</v>
      </c>
      <c r="D1372" s="7" t="str">
        <f t="shared" si="43"/>
        <v>OAK</v>
      </c>
      <c r="E1372" cm="1">
        <f t="array" aca="1" ref="E1372" ca="1">IFERROR(_xlfn.XLOOKUP(C1372&amp;A1372, Inside5!B:B&amp;Inside5!I:I, Inside5!C:C), 0)</f>
        <v>2</v>
      </c>
      <c r="F1372" cm="1">
        <f t="array" aca="1" ref="F1372" ca="1">IFERROR(_xlfn.XLOOKUP(C1372&amp;A1372, Inside5!B:B&amp;Inside5!I:I, Inside5!D:D), 0)</f>
        <v>0</v>
      </c>
      <c r="G1372" cm="1">
        <f t="array" ref="G1372">IFERROR(_xlfn.XLOOKUP(C1372&amp;A1372, Inside5!B:B&amp;Inside5!I:I, Inside5!E:E), 0)</f>
        <v>0.105</v>
      </c>
      <c r="H1372" cm="1">
        <f t="array" ref="H1372">IFERROR(_xlfn.XLOOKUP(C1372&amp;A1372, TDrate!F:F&amp;TDrate!H:H, TDrate!C:C), "N/A")</f>
        <v>0</v>
      </c>
      <c r="I1372" cm="1">
        <f t="array" ref="I1372">IFERROR(_xlfn.XLOOKUP(C1372&amp;A1372, TDrate!F:F&amp;TDrate!H:H, TDrate!E:E), "N/A")</f>
        <v>2.1600000000000001E-2</v>
      </c>
      <c r="J1372" cm="1">
        <f t="array" ref="J1372">IFERROR(_xlfn.XLOOKUP(C1372&amp;A1372, Inside5!B:B&amp;Inside5!I:I, Inside5!F:F), 0)</f>
        <v>0</v>
      </c>
      <c r="K1372" cm="1">
        <f t="array" aca="1" ref="K1372" ca="1">IFERROR(_xlfn.XLOOKUP(C1372&amp;A1372, Inside5!B:B&amp;Inside5!I:I, Inside5!G:G), 0)</f>
        <v>0</v>
      </c>
      <c r="L1372" cm="1">
        <f t="array" ref="L1372">IFERROR(_xlfn.XLOOKUP(C1372&amp;A1372, Inside5!B:B&amp;Inside5!I:I, Inside5!H:H), 0)</f>
        <v>0</v>
      </c>
      <c r="M1372" cm="1">
        <f t="array" ref="M1372">IFERROR(_xlfn.XLOOKUP(C1372&amp;A1372, TDrate!F:F&amp;TDrate!H:H, TDrate!B:B), "N/A")</f>
        <v>0</v>
      </c>
      <c r="N1372" cm="1">
        <f t="array" ref="N1372">IFERROR(_xlfn.XLOOKUP(C1372&amp;A1372, TDrate!F:F&amp;TDrate!H:H, TDrate!D:D), "N/A")</f>
        <v>3.0000000000000001E-3</v>
      </c>
    </row>
    <row r="1373" spans="1:14" x14ac:dyDescent="0.45">
      <c r="A1373" s="8">
        <v>2018</v>
      </c>
      <c r="B1373" s="9" t="s">
        <v>949</v>
      </c>
      <c r="C1373" s="10" t="str">
        <f t="shared" si="42"/>
        <v>John Kelly Jr.</v>
      </c>
      <c r="D1373" s="10" t="str">
        <f t="shared" si="43"/>
        <v>LAR</v>
      </c>
      <c r="E1373" cm="1">
        <f t="array" aca="1" ref="E1373" ca="1">IFERROR(_xlfn.XLOOKUP(C1373&amp;A1373, Inside5!B:B&amp;Inside5!I:I, Inside5!C:C), 0)</f>
        <v>1</v>
      </c>
      <c r="F1373" cm="1">
        <f t="array" aca="1" ref="F1373" ca="1">IFERROR(_xlfn.XLOOKUP(C1373&amp;A1373, Inside5!B:B&amp;Inside5!I:I, Inside5!D:D), 0)</f>
        <v>0</v>
      </c>
      <c r="G1373" cm="1">
        <f t="array" ref="G1373">IFERROR(_xlfn.XLOOKUP(C1373&amp;A1373, Inside5!B:B&amp;Inside5!I:I, Inside5!E:E), 0)</f>
        <v>4.2000000000000003E-2</v>
      </c>
      <c r="H1373" cm="1">
        <f t="array" ref="H1373">IFERROR(_xlfn.XLOOKUP(C1373&amp;A1373, TDrate!F:F&amp;TDrate!H:H, TDrate!C:C), "N/A")</f>
        <v>0</v>
      </c>
      <c r="I1373" cm="1">
        <f t="array" ref="I1373">IFERROR(_xlfn.XLOOKUP(C1373&amp;A1373, TDrate!F:F&amp;TDrate!H:H, TDrate!E:E), "N/A")</f>
        <v>9.7000000000000003E-3</v>
      </c>
      <c r="J1373" cm="1">
        <f t="array" ref="J1373">IFERROR(_xlfn.XLOOKUP(C1373&amp;A1373, Inside5!B:B&amp;Inside5!I:I, Inside5!F:F), 0)</f>
        <v>0</v>
      </c>
      <c r="K1373" cm="1">
        <f t="array" ref="K1373">IFERROR(_xlfn.XLOOKUP(C1373&amp;A1373, Inside5!B:B&amp;Inside5!I:I, Inside5!G:G), 0)</f>
        <v>0</v>
      </c>
      <c r="L1373" cm="1">
        <f t="array" ref="L1373">IFERROR(_xlfn.XLOOKUP(C1373&amp;A1373, Inside5!B:B&amp;Inside5!I:I, Inside5!H:H), 0)</f>
        <v>0</v>
      </c>
      <c r="M1373" cm="1">
        <f t="array" ref="M1373">IFERROR(_xlfn.XLOOKUP(C1373&amp;A1373, TDrate!F:F&amp;TDrate!H:H, TDrate!B:B), "N/A")</f>
        <v>0</v>
      </c>
      <c r="N1373" cm="1">
        <f t="array" ref="N1373">IFERROR(_xlfn.XLOOKUP(C1373&amp;A1373, TDrate!F:F&amp;TDrate!H:H, TDrate!D:D), "N/A")</f>
        <v>3.8E-3</v>
      </c>
    </row>
    <row r="1374" spans="1:14" x14ac:dyDescent="0.45">
      <c r="A1374" s="5">
        <v>2018</v>
      </c>
      <c r="B1374" s="6" t="s">
        <v>1022</v>
      </c>
      <c r="C1374" s="7" t="str">
        <f t="shared" si="42"/>
        <v>Keith Ford</v>
      </c>
      <c r="D1374" s="7" t="str">
        <f t="shared" si="43"/>
        <v>BUF</v>
      </c>
      <c r="E1374" cm="1">
        <f t="array" aca="1" ref="E1374" ca="1">IFERROR(_xlfn.XLOOKUP(C1374&amp;A1374, Inside5!B:B&amp;Inside5!I:I, Inside5!C:C), 0)</f>
        <v>0</v>
      </c>
      <c r="F1374" cm="1">
        <f t="array" aca="1" ref="F1374" ca="1">IFERROR(_xlfn.XLOOKUP(C1374&amp;A1374, Inside5!B:B&amp;Inside5!I:I, Inside5!D:D), 0)</f>
        <v>0</v>
      </c>
      <c r="G1374" cm="1">
        <f t="array" ref="G1374">IFERROR(_xlfn.XLOOKUP(C1374&amp;A1374, Inside5!B:B&amp;Inside5!I:I, Inside5!E:E), 0)</f>
        <v>0</v>
      </c>
      <c r="H1374" t="str" cm="1">
        <f t="array" ref="H1374">IFERROR(_xlfn.XLOOKUP(C1374&amp;A1374, TDrate!F:F&amp;TDrate!H:H, TDrate!C:C), "N/A")</f>
        <v>N/A</v>
      </c>
      <c r="I1374" t="str" cm="1">
        <f t="array" ref="I1374">IFERROR(_xlfn.XLOOKUP(C1374&amp;A1374, TDrate!F:F&amp;TDrate!H:H, TDrate!E:E), "N/A")</f>
        <v>N/A</v>
      </c>
      <c r="J1374" cm="1">
        <f t="array" ref="J1374">IFERROR(_xlfn.XLOOKUP(C1374&amp;A1374, Inside5!B:B&amp;Inside5!I:I, Inside5!F:F), 0)</f>
        <v>0</v>
      </c>
      <c r="K1374" cm="1">
        <f t="array" aca="1" ref="K1374" ca="1">IFERROR(_xlfn.XLOOKUP(C1374&amp;A1374, Inside5!B:B&amp;Inside5!I:I, Inside5!G:G), 0)</f>
        <v>0</v>
      </c>
      <c r="L1374" cm="1">
        <f t="array" ref="L1374">IFERROR(_xlfn.XLOOKUP(C1374&amp;A1374, Inside5!B:B&amp;Inside5!I:I, Inside5!H:H), 0)</f>
        <v>0</v>
      </c>
      <c r="M1374" t="str" cm="1">
        <f t="array" ref="M1374">IFERROR(_xlfn.XLOOKUP(C1374&amp;A1374, TDrate!F:F&amp;TDrate!H:H, TDrate!B:B), "N/A")</f>
        <v>N/A</v>
      </c>
      <c r="N1374" t="str" cm="1">
        <f t="array" ref="N1374">IFERROR(_xlfn.XLOOKUP(C1374&amp;A1374, TDrate!F:F&amp;TDrate!H:H, TDrate!D:D), "N/A")</f>
        <v>N/A</v>
      </c>
    </row>
    <row r="1375" spans="1:14" x14ac:dyDescent="0.45">
      <c r="A1375" s="8">
        <v>2018</v>
      </c>
      <c r="B1375" s="9" t="s">
        <v>1023</v>
      </c>
      <c r="C1375" s="10" t="str">
        <f t="shared" si="42"/>
        <v>Charcandrick West</v>
      </c>
      <c r="D1375" s="10" t="str">
        <f t="shared" si="43"/>
        <v>KC</v>
      </c>
      <c r="E1375" cm="1">
        <f t="array" aca="1" ref="E1375" ca="1">IFERROR(_xlfn.XLOOKUP(C1375&amp;A1375, Inside5!B:B&amp;Inside5!I:I, Inside5!C:C), 0)</f>
        <v>0</v>
      </c>
      <c r="F1375" cm="1">
        <f t="array" aca="1" ref="F1375" ca="1">IFERROR(_xlfn.XLOOKUP(C1375&amp;A1375, Inside5!B:B&amp;Inside5!I:I, Inside5!D:D), 0)</f>
        <v>0</v>
      </c>
      <c r="G1375" cm="1">
        <f t="array" ref="G1375">IFERROR(_xlfn.XLOOKUP(C1375&amp;A1375, Inside5!B:B&amp;Inside5!I:I, Inside5!E:E), 0)</f>
        <v>0</v>
      </c>
      <c r="H1375" t="str" cm="1">
        <f t="array" ref="H1375">IFERROR(_xlfn.XLOOKUP(C1375&amp;A1375, TDrate!F:F&amp;TDrate!H:H, TDrate!C:C), "N/A")</f>
        <v>N/A</v>
      </c>
      <c r="I1375" t="str" cm="1">
        <f t="array" ref="I1375">IFERROR(_xlfn.XLOOKUP(C1375&amp;A1375, TDrate!F:F&amp;TDrate!H:H, TDrate!E:E), "N/A")</f>
        <v>N/A</v>
      </c>
      <c r="J1375" cm="1">
        <f t="array" ref="J1375">IFERROR(_xlfn.XLOOKUP(C1375&amp;A1375, Inside5!B:B&amp;Inside5!I:I, Inside5!F:F), 0)</f>
        <v>0</v>
      </c>
      <c r="K1375" cm="1">
        <f t="array" aca="1" ref="K1375" ca="1">IFERROR(_xlfn.XLOOKUP(C1375&amp;A1375, Inside5!B:B&amp;Inside5!I:I, Inside5!G:G), 0)</f>
        <v>0</v>
      </c>
      <c r="L1375" cm="1">
        <f t="array" ref="L1375">IFERROR(_xlfn.XLOOKUP(C1375&amp;A1375, Inside5!B:B&amp;Inside5!I:I, Inside5!H:H), 0)</f>
        <v>0</v>
      </c>
      <c r="M1375" t="str" cm="1">
        <f t="array" ref="M1375">IFERROR(_xlfn.XLOOKUP(C1375&amp;A1375, TDrate!F:F&amp;TDrate!H:H, TDrate!B:B), "N/A")</f>
        <v>N/A</v>
      </c>
      <c r="N1375" t="str" cm="1">
        <f t="array" ref="N1375">IFERROR(_xlfn.XLOOKUP(C1375&amp;A1375, TDrate!F:F&amp;TDrate!H:H, TDrate!D:D), "N/A")</f>
        <v>N/A</v>
      </c>
    </row>
    <row r="1376" spans="1:14" x14ac:dyDescent="0.45">
      <c r="A1376" s="5">
        <v>2018</v>
      </c>
      <c r="B1376" s="6" t="s">
        <v>432</v>
      </c>
      <c r="C1376" s="7" t="str">
        <f t="shared" si="42"/>
        <v>C.J. Ham</v>
      </c>
      <c r="D1376" s="7" t="str">
        <f t="shared" si="43"/>
        <v>MIN</v>
      </c>
      <c r="E1376" cm="1">
        <f t="array" aca="1" ref="E1376" ca="1">IFERROR(_xlfn.XLOOKUP(C1376&amp;A1376, Inside5!B:B&amp;Inside5!I:I, Inside5!C:C), 0)</f>
        <v>1</v>
      </c>
      <c r="F1376" cm="1">
        <f t="array" aca="1" ref="F1376" ca="1">IFERROR(_xlfn.XLOOKUP(C1376&amp;A1376, Inside5!B:B&amp;Inside5!I:I, Inside5!D:D), 0)</f>
        <v>0</v>
      </c>
      <c r="G1376" cm="1">
        <f t="array" ref="G1376">IFERROR(_xlfn.XLOOKUP(C1376&amp;A1376, Inside5!B:B&amp;Inside5!I:I, Inside5!E:E), 0)</f>
        <v>0.125</v>
      </c>
      <c r="H1376" t="str" cm="1">
        <f t="array" ref="H1376">IFERROR(_xlfn.XLOOKUP(C1376&amp;A1376, TDrate!F:F&amp;TDrate!H:H, TDrate!C:C), "N/A")</f>
        <v>N/A</v>
      </c>
      <c r="I1376" t="str" cm="1">
        <f t="array" ref="I1376">IFERROR(_xlfn.XLOOKUP(C1376&amp;A1376, TDrate!F:F&amp;TDrate!H:H, TDrate!E:E), "N/A")</f>
        <v>N/A</v>
      </c>
      <c r="J1376" cm="1">
        <f t="array" ref="J1376">IFERROR(_xlfn.XLOOKUP(C1376&amp;A1376, Inside5!B:B&amp;Inside5!I:I, Inside5!F:F), 0)</f>
        <v>0</v>
      </c>
      <c r="K1376" cm="1">
        <f t="array" ref="K1376">IFERROR(_xlfn.XLOOKUP(C1376&amp;A1376, Inside5!B:B&amp;Inside5!I:I, Inside5!G:G), 0)</f>
        <v>0</v>
      </c>
      <c r="L1376" cm="1">
        <f t="array" ref="L1376">IFERROR(_xlfn.XLOOKUP(C1376&amp;A1376, Inside5!B:B&amp;Inside5!I:I, Inside5!H:H), 0)</f>
        <v>0</v>
      </c>
      <c r="M1376" t="str" cm="1">
        <f t="array" ref="M1376">IFERROR(_xlfn.XLOOKUP(C1376&amp;A1376, TDrate!F:F&amp;TDrate!H:H, TDrate!B:B), "N/A")</f>
        <v>N/A</v>
      </c>
      <c r="N1376" t="str" cm="1">
        <f t="array" ref="N1376">IFERROR(_xlfn.XLOOKUP(C1376&amp;A1376, TDrate!F:F&amp;TDrate!H:H, TDrate!D:D), "N/A")</f>
        <v>N/A</v>
      </c>
    </row>
    <row r="1377" spans="1:14" x14ac:dyDescent="0.45">
      <c r="A1377" s="8">
        <v>2018</v>
      </c>
      <c r="B1377" s="9" t="s">
        <v>899</v>
      </c>
      <c r="C1377" s="10" t="str">
        <f t="shared" si="42"/>
        <v>Devonta Freeman</v>
      </c>
      <c r="D1377" s="10" t="str">
        <f t="shared" si="43"/>
        <v>ATL</v>
      </c>
      <c r="E1377" cm="1">
        <f t="array" aca="1" ref="E1377" ca="1">IFERROR(_xlfn.XLOOKUP(C1377&amp;A1377, Inside5!B:B&amp;Inside5!I:I, Inside5!C:C), 0)</f>
        <v>2</v>
      </c>
      <c r="F1377" cm="1">
        <f t="array" aca="1" ref="F1377" ca="1">IFERROR(_xlfn.XLOOKUP(C1377&amp;A1377, Inside5!B:B&amp;Inside5!I:I, Inside5!D:D), 0)</f>
        <v>0</v>
      </c>
      <c r="G1377" cm="1">
        <f t="array" ref="G1377">IFERROR(_xlfn.XLOOKUP(C1377&amp;A1377, Inside5!B:B&amp;Inside5!I:I, Inside5!E:E), 0)</f>
        <v>0.154</v>
      </c>
      <c r="H1377" t="str" cm="1">
        <f t="array" ref="H1377">IFERROR(_xlfn.XLOOKUP(C1377&amp;A1377, TDrate!F:F&amp;TDrate!H:H, TDrate!C:C), "N/A")</f>
        <v>N/A</v>
      </c>
      <c r="I1377" t="str" cm="1">
        <f t="array" ref="I1377">IFERROR(_xlfn.XLOOKUP(C1377&amp;A1377, TDrate!F:F&amp;TDrate!H:H, TDrate!E:E), "N/A")</f>
        <v>N/A</v>
      </c>
      <c r="J1377" cm="1">
        <f t="array" ref="J1377">IFERROR(_xlfn.XLOOKUP(C1377&amp;A1377, Inside5!B:B&amp;Inside5!I:I, Inside5!F:F), 0)</f>
        <v>0</v>
      </c>
      <c r="K1377" cm="1">
        <f t="array" ref="K1377">IFERROR(_xlfn.XLOOKUP(C1377&amp;A1377, Inside5!B:B&amp;Inside5!I:I, Inside5!G:G), 0)</f>
        <v>1</v>
      </c>
      <c r="L1377" cm="1">
        <f t="array" ref="L1377">IFERROR(_xlfn.XLOOKUP(C1377&amp;A1377, Inside5!B:B&amp;Inside5!I:I, Inside5!H:H), 0)</f>
        <v>0</v>
      </c>
      <c r="M1377" t="str" cm="1">
        <f t="array" ref="M1377">IFERROR(_xlfn.XLOOKUP(C1377&amp;A1377, TDrate!F:F&amp;TDrate!H:H, TDrate!B:B), "N/A")</f>
        <v>N/A</v>
      </c>
      <c r="N1377" t="str" cm="1">
        <f t="array" ref="N1377">IFERROR(_xlfn.XLOOKUP(C1377&amp;A1377, TDrate!F:F&amp;TDrate!H:H, TDrate!D:D), "N/A")</f>
        <v>N/A</v>
      </c>
    </row>
    <row r="1378" spans="1:14" x14ac:dyDescent="0.45">
      <c r="A1378" s="5">
        <v>2018</v>
      </c>
      <c r="B1378" s="6" t="s">
        <v>1024</v>
      </c>
      <c r="C1378" s="7" t="str">
        <f t="shared" si="42"/>
        <v>D'Onta Foreman</v>
      </c>
      <c r="D1378" s="7" t="str">
        <f t="shared" si="43"/>
        <v>HOU</v>
      </c>
      <c r="E1378" cm="1">
        <f t="array" aca="1" ref="E1378" ca="1">IFERROR(_xlfn.XLOOKUP(C1378&amp;A1378, Inside5!B:B&amp;Inside5!I:I, Inside5!C:C), 0)</f>
        <v>0</v>
      </c>
      <c r="F1378" cm="1">
        <f t="array" aca="1" ref="F1378" ca="1">IFERROR(_xlfn.XLOOKUP(C1378&amp;A1378, Inside5!B:B&amp;Inside5!I:I, Inside5!D:D), 0)</f>
        <v>0</v>
      </c>
      <c r="G1378" cm="1">
        <f t="array" ref="G1378">IFERROR(_xlfn.XLOOKUP(C1378&amp;A1378, Inside5!B:B&amp;Inside5!I:I, Inside5!E:E), 0)</f>
        <v>0</v>
      </c>
      <c r="H1378" t="str" cm="1">
        <f t="array" ref="H1378">IFERROR(_xlfn.XLOOKUP(C1378&amp;A1378, TDrate!F:F&amp;TDrate!H:H, TDrate!C:C), "N/A")</f>
        <v>N/A</v>
      </c>
      <c r="I1378" t="str" cm="1">
        <f t="array" ref="I1378">IFERROR(_xlfn.XLOOKUP(C1378&amp;A1378, TDrate!F:F&amp;TDrate!H:H, TDrate!E:E), "N/A")</f>
        <v>N/A</v>
      </c>
      <c r="J1378" cm="1">
        <f t="array" ref="J1378">IFERROR(_xlfn.XLOOKUP(C1378&amp;A1378, Inside5!B:B&amp;Inside5!I:I, Inside5!F:F), 0)</f>
        <v>0</v>
      </c>
      <c r="K1378" cm="1">
        <f t="array" ref="K1378">IFERROR(_xlfn.XLOOKUP(C1378&amp;A1378, Inside5!B:B&amp;Inside5!I:I, Inside5!G:G), 0)</f>
        <v>0</v>
      </c>
      <c r="L1378" cm="1">
        <f t="array" ref="L1378">IFERROR(_xlfn.XLOOKUP(C1378&amp;A1378, Inside5!B:B&amp;Inside5!I:I, Inside5!H:H), 0)</f>
        <v>0</v>
      </c>
      <c r="M1378" t="str" cm="1">
        <f t="array" ref="M1378">IFERROR(_xlfn.XLOOKUP(C1378&amp;A1378, TDrate!F:F&amp;TDrate!H:H, TDrate!B:B), "N/A")</f>
        <v>N/A</v>
      </c>
      <c r="N1378" t="str" cm="1">
        <f t="array" ref="N1378">IFERROR(_xlfn.XLOOKUP(C1378&amp;A1378, TDrate!F:F&amp;TDrate!H:H, TDrate!D:D), "N/A")</f>
        <v>N/A</v>
      </c>
    </row>
    <row r="1379" spans="1:14" x14ac:dyDescent="0.45">
      <c r="A1379" s="8">
        <v>2018</v>
      </c>
      <c r="B1379" s="9" t="s">
        <v>920</v>
      </c>
      <c r="C1379" s="10" t="str">
        <f t="shared" si="42"/>
        <v>Dontrell Hilliard</v>
      </c>
      <c r="D1379" s="10" t="str">
        <f t="shared" si="43"/>
        <v>CLE</v>
      </c>
      <c r="E1379" cm="1">
        <f t="array" ref="E1379">IFERROR(_xlfn.XLOOKUP(C1379&amp;A1379, Inside5!B:B&amp;Inside5!I:I, Inside5!C:C), 0)</f>
        <v>0</v>
      </c>
      <c r="F1379" cm="1">
        <f t="array" aca="1" ref="F1379" ca="1">IFERROR(_xlfn.XLOOKUP(C1379&amp;A1379, Inside5!B:B&amp;Inside5!I:I, Inside5!D:D), 0)</f>
        <v>0</v>
      </c>
      <c r="G1379" cm="1">
        <f t="array" ref="G1379">IFERROR(_xlfn.XLOOKUP(C1379&amp;A1379, Inside5!B:B&amp;Inside5!I:I, Inside5!E:E), 0)</f>
        <v>0</v>
      </c>
      <c r="H1379" t="str" cm="1">
        <f t="array" ref="H1379">IFERROR(_xlfn.XLOOKUP(C1379&amp;A1379, TDrate!F:F&amp;TDrate!H:H, TDrate!C:C), "N/A")</f>
        <v>N/A</v>
      </c>
      <c r="I1379" t="str" cm="1">
        <f t="array" ref="I1379">IFERROR(_xlfn.XLOOKUP(C1379&amp;A1379, TDrate!F:F&amp;TDrate!H:H, TDrate!E:E), "N/A")</f>
        <v>N/A</v>
      </c>
      <c r="J1379" cm="1">
        <f t="array" ref="J1379">IFERROR(_xlfn.XLOOKUP(C1379&amp;A1379, Inside5!B:B&amp;Inside5!I:I, Inside5!F:F), 0)</f>
        <v>0</v>
      </c>
      <c r="K1379" cm="1">
        <f t="array" ref="K1379">IFERROR(_xlfn.XLOOKUP(C1379&amp;A1379, Inside5!B:B&amp;Inside5!I:I, Inside5!G:G), 0)</f>
        <v>0</v>
      </c>
      <c r="L1379" cm="1">
        <f t="array" ref="L1379">IFERROR(_xlfn.XLOOKUP(C1379&amp;A1379, Inside5!B:B&amp;Inside5!I:I, Inside5!H:H), 0)</f>
        <v>0</v>
      </c>
      <c r="M1379" t="str" cm="1">
        <f t="array" ref="M1379">IFERROR(_xlfn.XLOOKUP(C1379&amp;A1379, TDrate!F:F&amp;TDrate!H:H, TDrate!B:B), "N/A")</f>
        <v>N/A</v>
      </c>
      <c r="N1379" t="str" cm="1">
        <f t="array" ref="N1379">IFERROR(_xlfn.XLOOKUP(C1379&amp;A1379, TDrate!F:F&amp;TDrate!H:H, TDrate!D:D), "N/A")</f>
        <v>N/A</v>
      </c>
    </row>
    <row r="1380" spans="1:14" x14ac:dyDescent="0.45">
      <c r="A1380" s="5">
        <v>2018</v>
      </c>
      <c r="B1380" s="6" t="s">
        <v>750</v>
      </c>
      <c r="C1380" s="7" t="str">
        <f t="shared" si="42"/>
        <v>Elijhaa Penny</v>
      </c>
      <c r="D1380" s="7" t="str">
        <f t="shared" si="43"/>
        <v>NYG</v>
      </c>
      <c r="E1380" cm="1">
        <f t="array" ref="E1380">IFERROR(_xlfn.XLOOKUP(C1380&amp;A1380, Inside5!B:B&amp;Inside5!I:I, Inside5!C:C), 0)</f>
        <v>0</v>
      </c>
      <c r="F1380" cm="1">
        <f t="array" aca="1" ref="F1380" ca="1">IFERROR(_xlfn.XLOOKUP(C1380&amp;A1380, Inside5!B:B&amp;Inside5!I:I, Inside5!D:D), 0)</f>
        <v>0</v>
      </c>
      <c r="G1380" cm="1">
        <f t="array" ref="G1380">IFERROR(_xlfn.XLOOKUP(C1380&amp;A1380, Inside5!B:B&amp;Inside5!I:I, Inside5!E:E), 0)</f>
        <v>0</v>
      </c>
      <c r="H1380" t="str" cm="1">
        <f t="array" ref="H1380">IFERROR(_xlfn.XLOOKUP(C1380&amp;A1380, TDrate!F:F&amp;TDrate!H:H, TDrate!C:C), "N/A")</f>
        <v>N/A</v>
      </c>
      <c r="I1380" t="str" cm="1">
        <f t="array" ref="I1380">IFERROR(_xlfn.XLOOKUP(C1380&amp;A1380, TDrate!F:F&amp;TDrate!H:H, TDrate!E:E), "N/A")</f>
        <v>N/A</v>
      </c>
      <c r="J1380" cm="1">
        <f t="array" ref="J1380">IFERROR(_xlfn.XLOOKUP(C1380&amp;A1380, Inside5!B:B&amp;Inside5!I:I, Inside5!F:F), 0)</f>
        <v>0</v>
      </c>
      <c r="K1380" cm="1">
        <f t="array" ref="K1380">IFERROR(_xlfn.XLOOKUP(C1380&amp;A1380, Inside5!B:B&amp;Inside5!I:I, Inside5!G:G), 0)</f>
        <v>0</v>
      </c>
      <c r="L1380" cm="1">
        <f t="array" ref="L1380">IFERROR(_xlfn.XLOOKUP(C1380&amp;A1380, Inside5!B:B&amp;Inside5!I:I, Inside5!H:H), 0)</f>
        <v>0</v>
      </c>
      <c r="M1380" t="str" cm="1">
        <f t="array" ref="M1380">IFERROR(_xlfn.XLOOKUP(C1380&amp;A1380, TDrate!F:F&amp;TDrate!H:H, TDrate!B:B), "N/A")</f>
        <v>N/A</v>
      </c>
      <c r="N1380" t="str" cm="1">
        <f t="array" ref="N1380">IFERROR(_xlfn.XLOOKUP(C1380&amp;A1380, TDrate!F:F&amp;TDrate!H:H, TDrate!D:D), "N/A")</f>
        <v>N/A</v>
      </c>
    </row>
    <row r="1381" spans="1:14" x14ac:dyDescent="0.45">
      <c r="A1381" s="8">
        <v>2018</v>
      </c>
      <c r="B1381" s="9" t="s">
        <v>1025</v>
      </c>
      <c r="C1381" s="10" t="str">
        <f t="shared" si="42"/>
        <v>Mark Walton</v>
      </c>
      <c r="D1381" s="10" t="str">
        <f t="shared" si="43"/>
        <v>CIN</v>
      </c>
      <c r="E1381" cm="1">
        <f t="array" ref="E1381">IFERROR(_xlfn.XLOOKUP(C1381&amp;A1381, Inside5!B:B&amp;Inside5!I:I, Inside5!C:C), 0)</f>
        <v>0</v>
      </c>
      <c r="F1381" cm="1">
        <f t="array" aca="1" ref="F1381" ca="1">IFERROR(_xlfn.XLOOKUP(C1381&amp;A1381, Inside5!B:B&amp;Inside5!I:I, Inside5!D:D), 0)</f>
        <v>0</v>
      </c>
      <c r="G1381" cm="1">
        <f t="array" ref="G1381">IFERROR(_xlfn.XLOOKUP(C1381&amp;A1381, Inside5!B:B&amp;Inside5!I:I, Inside5!E:E), 0)</f>
        <v>0</v>
      </c>
      <c r="H1381" t="str" cm="1">
        <f t="array" ref="H1381">IFERROR(_xlfn.XLOOKUP(C1381&amp;A1381, TDrate!F:F&amp;TDrate!H:H, TDrate!C:C), "N/A")</f>
        <v>N/A</v>
      </c>
      <c r="I1381" t="str" cm="1">
        <f t="array" ref="I1381">IFERROR(_xlfn.XLOOKUP(C1381&amp;A1381, TDrate!F:F&amp;TDrate!H:H, TDrate!E:E), "N/A")</f>
        <v>N/A</v>
      </c>
      <c r="J1381" cm="1">
        <f t="array" ref="J1381">IFERROR(_xlfn.XLOOKUP(C1381&amp;A1381, Inside5!B:B&amp;Inside5!I:I, Inside5!F:F), 0)</f>
        <v>0</v>
      </c>
      <c r="K1381" cm="1">
        <f t="array" ref="K1381">IFERROR(_xlfn.XLOOKUP(C1381&amp;A1381, Inside5!B:B&amp;Inside5!I:I, Inside5!G:G), 0)</f>
        <v>0</v>
      </c>
      <c r="L1381" cm="1">
        <f t="array" ref="L1381">IFERROR(_xlfn.XLOOKUP(C1381&amp;A1381, Inside5!B:B&amp;Inside5!I:I, Inside5!H:H), 0)</f>
        <v>0</v>
      </c>
      <c r="M1381" t="str" cm="1">
        <f t="array" ref="M1381">IFERROR(_xlfn.XLOOKUP(C1381&amp;A1381, TDrate!F:F&amp;TDrate!H:H, TDrate!B:B), "N/A")</f>
        <v>N/A</v>
      </c>
      <c r="N1381" t="str" cm="1">
        <f t="array" ref="N1381">IFERROR(_xlfn.XLOOKUP(C1381&amp;A1381, TDrate!F:F&amp;TDrate!H:H, TDrate!D:D), "N/A")</f>
        <v>N/A</v>
      </c>
    </row>
    <row r="1382" spans="1:14" x14ac:dyDescent="0.45">
      <c r="A1382" s="5">
        <v>2018</v>
      </c>
      <c r="B1382" s="6" t="s">
        <v>1026</v>
      </c>
      <c r="C1382" s="7" t="str">
        <f t="shared" si="42"/>
        <v>Kenjon Barner</v>
      </c>
      <c r="D1382" s="7" t="str">
        <f t="shared" si="43"/>
        <v>CAR</v>
      </c>
      <c r="E1382" cm="1">
        <f t="array" aca="1" ref="E1382" ca="1">IFERROR(_xlfn.XLOOKUP(C1382&amp;A1382, Inside5!B:B&amp;Inside5!I:I, Inside5!C:C), 0)</f>
        <v>1</v>
      </c>
      <c r="F1382" cm="1">
        <f t="array" aca="1" ref="F1382" ca="1">IFERROR(_xlfn.XLOOKUP(C1382&amp;A1382, Inside5!B:B&amp;Inside5!I:I, Inside5!D:D), 0)</f>
        <v>0</v>
      </c>
      <c r="G1382" cm="1">
        <f t="array" ref="G1382">IFERROR(_xlfn.XLOOKUP(C1382&amp;A1382, Inside5!B:B&amp;Inside5!I:I, Inside5!E:E), 0)</f>
        <v>3.2000000000000001E-2</v>
      </c>
      <c r="H1382" t="str" cm="1">
        <f t="array" ref="H1382">IFERROR(_xlfn.XLOOKUP(C1382&amp;A1382, TDrate!F:F&amp;TDrate!H:H, TDrate!C:C), "N/A")</f>
        <v>N/A</v>
      </c>
      <c r="I1382" t="str" cm="1">
        <f t="array" ref="I1382">IFERROR(_xlfn.XLOOKUP(C1382&amp;A1382, TDrate!F:F&amp;TDrate!H:H, TDrate!E:E), "N/A")</f>
        <v>N/A</v>
      </c>
      <c r="J1382" cm="1">
        <f t="array" ref="J1382">IFERROR(_xlfn.XLOOKUP(C1382&amp;A1382, Inside5!B:B&amp;Inside5!I:I, Inside5!F:F), 0)</f>
        <v>0</v>
      </c>
      <c r="K1382" cm="1">
        <f t="array" ref="K1382">IFERROR(_xlfn.XLOOKUP(C1382&amp;A1382, Inside5!B:B&amp;Inside5!I:I, Inside5!G:G), 0)</f>
        <v>0</v>
      </c>
      <c r="L1382" cm="1">
        <f t="array" ref="L1382">IFERROR(_xlfn.XLOOKUP(C1382&amp;A1382, Inside5!B:B&amp;Inside5!I:I, Inside5!H:H), 0)</f>
        <v>0</v>
      </c>
      <c r="M1382" t="str" cm="1">
        <f t="array" ref="M1382">IFERROR(_xlfn.XLOOKUP(C1382&amp;A1382, TDrate!F:F&amp;TDrate!H:H, TDrate!B:B), "N/A")</f>
        <v>N/A</v>
      </c>
      <c r="N1382" t="str" cm="1">
        <f t="array" ref="N1382">IFERROR(_xlfn.XLOOKUP(C1382&amp;A1382, TDrate!F:F&amp;TDrate!H:H, TDrate!D:D), "N/A")</f>
        <v>N/A</v>
      </c>
    </row>
    <row r="1383" spans="1:14" x14ac:dyDescent="0.45">
      <c r="A1383" s="8">
        <v>2018</v>
      </c>
      <c r="B1383" s="9" t="s">
        <v>939</v>
      </c>
      <c r="C1383" s="10" t="str">
        <f t="shared" si="42"/>
        <v>Patrick DiMarco</v>
      </c>
      <c r="D1383" s="10" t="str">
        <f t="shared" si="43"/>
        <v>BUF</v>
      </c>
      <c r="E1383" cm="1">
        <f t="array" ref="E1383">IFERROR(_xlfn.XLOOKUP(C1383&amp;A1383, Inside5!B:B&amp;Inside5!I:I, Inside5!C:C), 0)</f>
        <v>0</v>
      </c>
      <c r="F1383" cm="1">
        <f t="array" ref="F1383">IFERROR(_xlfn.XLOOKUP(C1383&amp;A1383, Inside5!B:B&amp;Inside5!I:I, Inside5!D:D), 0)</f>
        <v>0</v>
      </c>
      <c r="G1383" cm="1">
        <f t="array" ref="G1383">IFERROR(_xlfn.XLOOKUP(C1383&amp;A1383, Inside5!B:B&amp;Inside5!I:I, Inside5!E:E), 0)</f>
        <v>0</v>
      </c>
      <c r="H1383" t="str" cm="1">
        <f t="array" ref="H1383">IFERROR(_xlfn.XLOOKUP(C1383&amp;A1383, TDrate!F:F&amp;TDrate!H:H, TDrate!C:C), "N/A")</f>
        <v>N/A</v>
      </c>
      <c r="I1383" t="str" cm="1">
        <f t="array" ref="I1383">IFERROR(_xlfn.XLOOKUP(C1383&amp;A1383, TDrate!F:F&amp;TDrate!H:H, TDrate!E:E), "N/A")</f>
        <v>N/A</v>
      </c>
      <c r="J1383" cm="1">
        <f t="array" ref="J1383">IFERROR(_xlfn.XLOOKUP(C1383&amp;A1383, Inside5!B:B&amp;Inside5!I:I, Inside5!F:F), 0)</f>
        <v>0</v>
      </c>
      <c r="K1383" cm="1">
        <f t="array" ref="K1383">IFERROR(_xlfn.XLOOKUP(C1383&amp;A1383, Inside5!B:B&amp;Inside5!I:I, Inside5!G:G), 0)</f>
        <v>0</v>
      </c>
      <c r="L1383" cm="1">
        <f t="array" ref="L1383">IFERROR(_xlfn.XLOOKUP(C1383&amp;A1383, Inside5!B:B&amp;Inside5!I:I, Inside5!H:H), 0)</f>
        <v>0</v>
      </c>
      <c r="M1383" t="str" cm="1">
        <f t="array" ref="M1383">IFERROR(_xlfn.XLOOKUP(C1383&amp;A1383, TDrate!F:F&amp;TDrate!H:H, TDrate!B:B), "N/A")</f>
        <v>N/A</v>
      </c>
      <c r="N1383" t="str" cm="1">
        <f t="array" ref="N1383">IFERROR(_xlfn.XLOOKUP(C1383&amp;A1383, TDrate!F:F&amp;TDrate!H:H, TDrate!D:D), "N/A")</f>
        <v>N/A</v>
      </c>
    </row>
    <row r="1384" spans="1:14" x14ac:dyDescent="0.45">
      <c r="A1384" s="5">
        <v>2018</v>
      </c>
      <c r="B1384" s="6" t="s">
        <v>986</v>
      </c>
      <c r="C1384" s="7" t="str">
        <f t="shared" si="42"/>
        <v>Detrez Newsome</v>
      </c>
      <c r="D1384" s="7" t="str">
        <f t="shared" si="43"/>
        <v>LAC</v>
      </c>
      <c r="E1384" cm="1">
        <f t="array" ref="E1384">IFERROR(_xlfn.XLOOKUP(C1384&amp;A1384, Inside5!B:B&amp;Inside5!I:I, Inside5!C:C), 0)</f>
        <v>0</v>
      </c>
      <c r="F1384" cm="1">
        <f t="array" ref="F1384">IFERROR(_xlfn.XLOOKUP(C1384&amp;A1384, Inside5!B:B&amp;Inside5!I:I, Inside5!D:D), 0)</f>
        <v>0</v>
      </c>
      <c r="G1384" cm="1">
        <f t="array" ref="G1384">IFERROR(_xlfn.XLOOKUP(C1384&amp;A1384, Inside5!B:B&amp;Inside5!I:I, Inside5!E:E), 0)</f>
        <v>0</v>
      </c>
      <c r="H1384" t="str" cm="1">
        <f t="array" ref="H1384">IFERROR(_xlfn.XLOOKUP(C1384&amp;A1384, TDrate!F:F&amp;TDrate!H:H, TDrate!C:C), "N/A")</f>
        <v>N/A</v>
      </c>
      <c r="I1384" t="str" cm="1">
        <f t="array" ref="I1384">IFERROR(_xlfn.XLOOKUP(C1384&amp;A1384, TDrate!F:F&amp;TDrate!H:H, TDrate!E:E), "N/A")</f>
        <v>N/A</v>
      </c>
      <c r="J1384" cm="1">
        <f t="array" ref="J1384">IFERROR(_xlfn.XLOOKUP(C1384&amp;A1384, Inside5!B:B&amp;Inside5!I:I, Inside5!F:F), 0)</f>
        <v>0</v>
      </c>
      <c r="K1384" cm="1">
        <f t="array" ref="K1384">IFERROR(_xlfn.XLOOKUP(C1384&amp;A1384, Inside5!B:B&amp;Inside5!I:I, Inside5!G:G), 0)</f>
        <v>0</v>
      </c>
      <c r="L1384" cm="1">
        <f t="array" ref="L1384">IFERROR(_xlfn.XLOOKUP(C1384&amp;A1384, Inside5!B:B&amp;Inside5!I:I, Inside5!H:H), 0)</f>
        <v>0</v>
      </c>
      <c r="M1384" t="str" cm="1">
        <f t="array" ref="M1384">IFERROR(_xlfn.XLOOKUP(C1384&amp;A1384, TDrate!F:F&amp;TDrate!H:H, TDrate!B:B), "N/A")</f>
        <v>N/A</v>
      </c>
      <c r="N1384" t="str" cm="1">
        <f t="array" ref="N1384">IFERROR(_xlfn.XLOOKUP(C1384&amp;A1384, TDrate!F:F&amp;TDrate!H:H, TDrate!D:D), "N/A")</f>
        <v>N/A</v>
      </c>
    </row>
    <row r="1385" spans="1:14" x14ac:dyDescent="0.45">
      <c r="A1385" s="8">
        <v>2018</v>
      </c>
      <c r="B1385" s="9" t="s">
        <v>1027</v>
      </c>
      <c r="C1385" s="10" t="str">
        <f t="shared" si="42"/>
        <v>Ryan Hewitt</v>
      </c>
      <c r="D1385" s="10" t="str">
        <f t="shared" si="43"/>
        <v>IND</v>
      </c>
      <c r="E1385" cm="1">
        <f t="array" ref="E1385">IFERROR(_xlfn.XLOOKUP(C1385&amp;A1385, Inside5!B:B&amp;Inside5!I:I, Inside5!C:C), 0)</f>
        <v>0</v>
      </c>
      <c r="F1385" cm="1">
        <f t="array" ref="F1385">IFERROR(_xlfn.XLOOKUP(C1385&amp;A1385, Inside5!B:B&amp;Inside5!I:I, Inside5!D:D), 0)</f>
        <v>0</v>
      </c>
      <c r="G1385" cm="1">
        <f t="array" ref="G1385">IFERROR(_xlfn.XLOOKUP(C1385&amp;A1385, Inside5!B:B&amp;Inside5!I:I, Inside5!E:E), 0)</f>
        <v>0</v>
      </c>
      <c r="H1385" t="str" cm="1">
        <f t="array" ref="H1385">IFERROR(_xlfn.XLOOKUP(C1385&amp;A1385, TDrate!F:F&amp;TDrate!H:H, TDrate!C:C), "N/A")</f>
        <v>N/A</v>
      </c>
      <c r="I1385" t="str" cm="1">
        <f t="array" ref="I1385">IFERROR(_xlfn.XLOOKUP(C1385&amp;A1385, TDrate!F:F&amp;TDrate!H:H, TDrate!E:E), "N/A")</f>
        <v>N/A</v>
      </c>
      <c r="J1385" cm="1">
        <f t="array" ref="J1385">IFERROR(_xlfn.XLOOKUP(C1385&amp;A1385, Inside5!B:B&amp;Inside5!I:I, Inside5!F:F), 0)</f>
        <v>0</v>
      </c>
      <c r="K1385" cm="1">
        <f t="array" aca="1" ref="K1385" ca="1">IFERROR(_xlfn.XLOOKUP(C1385&amp;A1385, Inside5!B:B&amp;Inside5!I:I, Inside5!G:G), 0)</f>
        <v>0</v>
      </c>
      <c r="L1385" cm="1">
        <f t="array" ref="L1385">IFERROR(_xlfn.XLOOKUP(C1385&amp;A1385, Inside5!B:B&amp;Inside5!I:I, Inside5!H:H), 0)</f>
        <v>0</v>
      </c>
      <c r="M1385" t="str" cm="1">
        <f t="array" ref="M1385">IFERROR(_xlfn.XLOOKUP(C1385&amp;A1385, TDrate!F:F&amp;TDrate!H:H, TDrate!B:B), "N/A")</f>
        <v>N/A</v>
      </c>
      <c r="N1385" t="str" cm="1">
        <f t="array" ref="N1385">IFERROR(_xlfn.XLOOKUP(C1385&amp;A1385, TDrate!F:F&amp;TDrate!H:H, TDrate!D:D), "N/A")</f>
        <v>N/A</v>
      </c>
    </row>
    <row r="1386" spans="1:14" x14ac:dyDescent="0.45">
      <c r="A1386" s="5">
        <v>2018</v>
      </c>
      <c r="B1386" s="6" t="s">
        <v>1028</v>
      </c>
      <c r="C1386" s="7" t="str">
        <f t="shared" si="42"/>
        <v>Roc Thomas</v>
      </c>
      <c r="D1386" s="7" t="str">
        <f t="shared" si="43"/>
        <v>MIN</v>
      </c>
      <c r="E1386" cm="1">
        <f t="array" ref="E1386">IFERROR(_xlfn.XLOOKUP(C1386&amp;A1386, Inside5!B:B&amp;Inside5!I:I, Inside5!C:C), 0)</f>
        <v>1</v>
      </c>
      <c r="F1386" cm="1">
        <f t="array" ref="F1386">IFERROR(_xlfn.XLOOKUP(C1386&amp;A1386, Inside5!B:B&amp;Inside5!I:I, Inside5!D:D), 0)</f>
        <v>0</v>
      </c>
      <c r="G1386" cm="1">
        <f t="array" ref="G1386">IFERROR(_xlfn.XLOOKUP(C1386&amp;A1386, Inside5!B:B&amp;Inside5!I:I, Inside5!E:E), 0)</f>
        <v>0.125</v>
      </c>
      <c r="H1386" t="str" cm="1">
        <f t="array" ref="H1386">IFERROR(_xlfn.XLOOKUP(C1386&amp;A1386, TDrate!F:F&amp;TDrate!H:H, TDrate!C:C), "N/A")</f>
        <v>N/A</v>
      </c>
      <c r="I1386" t="str" cm="1">
        <f t="array" ref="I1386">IFERROR(_xlfn.XLOOKUP(C1386&amp;A1386, TDrate!F:F&amp;TDrate!H:H, TDrate!E:E), "N/A")</f>
        <v>N/A</v>
      </c>
      <c r="J1386" cm="1">
        <f t="array" ref="J1386">IFERROR(_xlfn.XLOOKUP(C1386&amp;A1386, Inside5!B:B&amp;Inside5!I:I, Inside5!F:F), 0)</f>
        <v>0</v>
      </c>
      <c r="K1386" cm="1">
        <f t="array" aca="1" ref="K1386" ca="1">IFERROR(_xlfn.XLOOKUP(C1386&amp;A1386, Inside5!B:B&amp;Inside5!I:I, Inside5!G:G), 0)</f>
        <v>0</v>
      </c>
      <c r="L1386" cm="1">
        <f t="array" ref="L1386">IFERROR(_xlfn.XLOOKUP(C1386&amp;A1386, Inside5!B:B&amp;Inside5!I:I, Inside5!H:H), 0)</f>
        <v>0</v>
      </c>
      <c r="M1386" t="str" cm="1">
        <f t="array" ref="M1386">IFERROR(_xlfn.XLOOKUP(C1386&amp;A1386, TDrate!F:F&amp;TDrate!H:H, TDrate!B:B), "N/A")</f>
        <v>N/A</v>
      </c>
      <c r="N1386" t="str" cm="1">
        <f t="array" ref="N1386">IFERROR(_xlfn.XLOOKUP(C1386&amp;A1386, TDrate!F:F&amp;TDrate!H:H, TDrate!D:D), "N/A")</f>
        <v>N/A</v>
      </c>
    </row>
    <row r="1387" spans="1:14" x14ac:dyDescent="0.45">
      <c r="A1387" s="8">
        <v>2018</v>
      </c>
      <c r="B1387" s="9" t="s">
        <v>858</v>
      </c>
      <c r="C1387" s="10" t="str">
        <f t="shared" si="42"/>
        <v>Mike Boone</v>
      </c>
      <c r="D1387" s="10" t="str">
        <f t="shared" si="43"/>
        <v>MIN</v>
      </c>
      <c r="E1387" cm="1">
        <f t="array" ref="E1387">IFERROR(_xlfn.XLOOKUP(C1387&amp;A1387, Inside5!B:B&amp;Inside5!I:I, Inside5!C:C), 0)</f>
        <v>0</v>
      </c>
      <c r="F1387" cm="1">
        <f t="array" ref="F1387">IFERROR(_xlfn.XLOOKUP(C1387&amp;A1387, Inside5!B:B&amp;Inside5!I:I, Inside5!D:D), 0)</f>
        <v>0</v>
      </c>
      <c r="G1387" cm="1">
        <f t="array" ref="G1387">IFERROR(_xlfn.XLOOKUP(C1387&amp;A1387, Inside5!B:B&amp;Inside5!I:I, Inside5!E:E), 0)</f>
        <v>0</v>
      </c>
      <c r="H1387" t="str" cm="1">
        <f t="array" ref="H1387">IFERROR(_xlfn.XLOOKUP(C1387&amp;A1387, TDrate!F:F&amp;TDrate!H:H, TDrate!C:C), "N/A")</f>
        <v>N/A</v>
      </c>
      <c r="I1387" t="str" cm="1">
        <f t="array" ref="I1387">IFERROR(_xlfn.XLOOKUP(C1387&amp;A1387, TDrate!F:F&amp;TDrate!H:H, TDrate!E:E), "N/A")</f>
        <v>N/A</v>
      </c>
      <c r="J1387" cm="1">
        <f t="array" ref="J1387">IFERROR(_xlfn.XLOOKUP(C1387&amp;A1387, Inside5!B:B&amp;Inside5!I:I, Inside5!F:F), 0)</f>
        <v>0</v>
      </c>
      <c r="K1387" cm="1">
        <f t="array" ref="K1387">IFERROR(_xlfn.XLOOKUP(C1387&amp;A1387, Inside5!B:B&amp;Inside5!I:I, Inside5!G:G), 0)</f>
        <v>0</v>
      </c>
      <c r="L1387" cm="1">
        <f t="array" ref="L1387">IFERROR(_xlfn.XLOOKUP(C1387&amp;A1387, Inside5!B:B&amp;Inside5!I:I, Inside5!H:H), 0)</f>
        <v>0</v>
      </c>
      <c r="M1387" t="str" cm="1">
        <f t="array" ref="M1387">IFERROR(_xlfn.XLOOKUP(C1387&amp;A1387, TDrate!F:F&amp;TDrate!H:H, TDrate!B:B), "N/A")</f>
        <v>N/A</v>
      </c>
      <c r="N1387" t="str" cm="1">
        <f t="array" ref="N1387">IFERROR(_xlfn.XLOOKUP(C1387&amp;A1387, TDrate!F:F&amp;TDrate!H:H, TDrate!D:D), "N/A")</f>
        <v>N/A</v>
      </c>
    </row>
    <row r="1388" spans="1:14" x14ac:dyDescent="0.45">
      <c r="A1388" s="5">
        <v>2018</v>
      </c>
      <c r="B1388" s="6" t="s">
        <v>956</v>
      </c>
      <c r="C1388" s="7" t="str">
        <f t="shared" si="42"/>
        <v>Roosevelt Nix</v>
      </c>
      <c r="D1388" s="7" t="str">
        <f t="shared" si="43"/>
        <v>PIT</v>
      </c>
      <c r="E1388" cm="1">
        <f t="array" aca="1" ref="E1388" ca="1">IFERROR(_xlfn.XLOOKUP(C1388&amp;A1388, Inside5!B:B&amp;Inside5!I:I, Inside5!C:C), 0)</f>
        <v>0</v>
      </c>
      <c r="F1388" cm="1">
        <f t="array" aca="1" ref="F1388" ca="1">IFERROR(_xlfn.XLOOKUP(C1388&amp;A1388, Inside5!B:B&amp;Inside5!I:I, Inside5!D:D), 0)</f>
        <v>0</v>
      </c>
      <c r="G1388" cm="1">
        <f t="array" ref="G1388">IFERROR(_xlfn.XLOOKUP(C1388&amp;A1388, Inside5!B:B&amp;Inside5!I:I, Inside5!E:E), 0)</f>
        <v>0</v>
      </c>
      <c r="H1388" t="str" cm="1">
        <f t="array" ref="H1388">IFERROR(_xlfn.XLOOKUP(C1388&amp;A1388, TDrate!F:F&amp;TDrate!H:H, TDrate!C:C), "N/A")</f>
        <v>N/A</v>
      </c>
      <c r="I1388" t="str" cm="1">
        <f t="array" ref="I1388">IFERROR(_xlfn.XLOOKUP(C1388&amp;A1388, TDrate!F:F&amp;TDrate!H:H, TDrate!E:E), "N/A")</f>
        <v>N/A</v>
      </c>
      <c r="J1388" cm="1">
        <f t="array" ref="J1388">IFERROR(_xlfn.XLOOKUP(C1388&amp;A1388, Inside5!B:B&amp;Inside5!I:I, Inside5!F:F), 0)</f>
        <v>0</v>
      </c>
      <c r="K1388" cm="1">
        <f t="array" ref="K1388">IFERROR(_xlfn.XLOOKUP(C1388&amp;A1388, Inside5!B:B&amp;Inside5!I:I, Inside5!G:G), 0)</f>
        <v>1</v>
      </c>
      <c r="L1388" cm="1">
        <f t="array" ref="L1388">IFERROR(_xlfn.XLOOKUP(C1388&amp;A1388, Inside5!B:B&amp;Inside5!I:I, Inside5!H:H), 0)</f>
        <v>0</v>
      </c>
      <c r="M1388" t="str" cm="1">
        <f t="array" ref="M1388">IFERROR(_xlfn.XLOOKUP(C1388&amp;A1388, TDrate!F:F&amp;TDrate!H:H, TDrate!B:B), "N/A")</f>
        <v>N/A</v>
      </c>
      <c r="N1388" t="str" cm="1">
        <f t="array" ref="N1388">IFERROR(_xlfn.XLOOKUP(C1388&amp;A1388, TDrate!F:F&amp;TDrate!H:H, TDrate!D:D), "N/A")</f>
        <v>N/A</v>
      </c>
    </row>
    <row r="1389" spans="1:14" x14ac:dyDescent="0.45">
      <c r="A1389" s="8">
        <v>2018</v>
      </c>
      <c r="B1389" s="9" t="s">
        <v>1029</v>
      </c>
      <c r="C1389" s="10" t="str">
        <f t="shared" si="42"/>
        <v>Tommy Bohanon</v>
      </c>
      <c r="D1389" s="10" t="str">
        <f t="shared" si="43"/>
        <v>JAC</v>
      </c>
      <c r="E1389" cm="1">
        <f t="array" aca="1" ref="E1389" ca="1">IFERROR(_xlfn.XLOOKUP(C1389&amp;A1389, Inside5!B:B&amp;Inside5!I:I, Inside5!C:C), 0)</f>
        <v>1</v>
      </c>
      <c r="F1389" cm="1">
        <f t="array" aca="1" ref="F1389" ca="1">IFERROR(_xlfn.XLOOKUP(C1389&amp;A1389, Inside5!B:B&amp;Inside5!I:I, Inside5!D:D), 0)</f>
        <v>0</v>
      </c>
      <c r="G1389" cm="1">
        <f t="array" ref="G1389">IFERROR(_xlfn.XLOOKUP(C1389&amp;A1389, Inside5!B:B&amp;Inside5!I:I, Inside5!E:E), 0)</f>
        <v>7.0999999999999994E-2</v>
      </c>
      <c r="H1389" t="str" cm="1">
        <f t="array" ref="H1389">IFERROR(_xlfn.XLOOKUP(C1389&amp;A1389, TDrate!F:F&amp;TDrate!H:H, TDrate!C:C), "N/A")</f>
        <v>N/A</v>
      </c>
      <c r="I1389" t="str" cm="1">
        <f t="array" ref="I1389">IFERROR(_xlfn.XLOOKUP(C1389&amp;A1389, TDrate!F:F&amp;TDrate!H:H, TDrate!E:E), "N/A")</f>
        <v>N/A</v>
      </c>
      <c r="J1389" cm="1">
        <f t="array" ref="J1389">IFERROR(_xlfn.XLOOKUP(C1389&amp;A1389, Inside5!B:B&amp;Inside5!I:I, Inside5!F:F), 0)</f>
        <v>0</v>
      </c>
      <c r="K1389" cm="1">
        <f t="array" ref="K1389">IFERROR(_xlfn.XLOOKUP(C1389&amp;A1389, Inside5!B:B&amp;Inside5!I:I, Inside5!G:G), 0)</f>
        <v>1</v>
      </c>
      <c r="L1389" cm="1">
        <f t="array" ref="L1389">IFERROR(_xlfn.XLOOKUP(C1389&amp;A1389, Inside5!B:B&amp;Inside5!I:I, Inside5!H:H), 0)</f>
        <v>0</v>
      </c>
      <c r="M1389" t="str" cm="1">
        <f t="array" ref="M1389">IFERROR(_xlfn.XLOOKUP(C1389&amp;A1389, TDrate!F:F&amp;TDrate!H:H, TDrate!B:B), "N/A")</f>
        <v>N/A</v>
      </c>
      <c r="N1389" t="str" cm="1">
        <f t="array" ref="N1389">IFERROR(_xlfn.XLOOKUP(C1389&amp;A1389, TDrate!F:F&amp;TDrate!H:H, TDrate!D:D), "N/A")</f>
        <v>N/A</v>
      </c>
    </row>
    <row r="1390" spans="1:14" x14ac:dyDescent="0.45">
      <c r="A1390" s="5">
        <v>2018</v>
      </c>
      <c r="B1390" s="6" t="s">
        <v>1030</v>
      </c>
      <c r="C1390" s="7" t="str">
        <f t="shared" si="42"/>
        <v>Byron Marshall</v>
      </c>
      <c r="D1390" s="7" t="str">
        <f t="shared" si="43"/>
        <v>WAS</v>
      </c>
      <c r="E1390" cm="1">
        <f t="array" ref="E1390">IFERROR(_xlfn.XLOOKUP(C1390&amp;A1390, Inside5!B:B&amp;Inside5!I:I, Inside5!C:C), 0)</f>
        <v>0</v>
      </c>
      <c r="F1390" cm="1">
        <f t="array" ref="F1390">IFERROR(_xlfn.XLOOKUP(C1390&amp;A1390, Inside5!B:B&amp;Inside5!I:I, Inside5!D:D), 0)</f>
        <v>0</v>
      </c>
      <c r="G1390" cm="1">
        <f t="array" ref="G1390">IFERROR(_xlfn.XLOOKUP(C1390&amp;A1390, Inside5!B:B&amp;Inside5!I:I, Inside5!E:E), 0)</f>
        <v>0</v>
      </c>
      <c r="H1390" t="str" cm="1">
        <f t="array" ref="H1390">IFERROR(_xlfn.XLOOKUP(C1390&amp;A1390, TDrate!F:F&amp;TDrate!H:H, TDrate!C:C), "N/A")</f>
        <v>N/A</v>
      </c>
      <c r="I1390" t="str" cm="1">
        <f t="array" ref="I1390">IFERROR(_xlfn.XLOOKUP(C1390&amp;A1390, TDrate!F:F&amp;TDrate!H:H, TDrate!E:E), "N/A")</f>
        <v>N/A</v>
      </c>
      <c r="J1390" cm="1">
        <f t="array" ref="J1390">IFERROR(_xlfn.XLOOKUP(C1390&amp;A1390, Inside5!B:B&amp;Inside5!I:I, Inside5!F:F), 0)</f>
        <v>0</v>
      </c>
      <c r="K1390" cm="1">
        <f t="array" aca="1" ref="K1390" ca="1">IFERROR(_xlfn.XLOOKUP(C1390&amp;A1390, Inside5!B:B&amp;Inside5!I:I, Inside5!G:G), 0)</f>
        <v>0</v>
      </c>
      <c r="L1390" cm="1">
        <f t="array" ref="L1390">IFERROR(_xlfn.XLOOKUP(C1390&amp;A1390, Inside5!B:B&amp;Inside5!I:I, Inside5!H:H), 0)</f>
        <v>0</v>
      </c>
      <c r="M1390" t="str" cm="1">
        <f t="array" ref="M1390">IFERROR(_xlfn.XLOOKUP(C1390&amp;A1390, TDrate!F:F&amp;TDrate!H:H, TDrate!B:B), "N/A")</f>
        <v>N/A</v>
      </c>
      <c r="N1390" t="str" cm="1">
        <f t="array" ref="N1390">IFERROR(_xlfn.XLOOKUP(C1390&amp;A1390, TDrate!F:F&amp;TDrate!H:H, TDrate!D:D), "N/A")</f>
        <v>N/A</v>
      </c>
    </row>
    <row r="1391" spans="1:14" x14ac:dyDescent="0.45">
      <c r="A1391" s="8">
        <v>2018</v>
      </c>
      <c r="B1391" s="9" t="s">
        <v>1031</v>
      </c>
      <c r="C1391" s="10" t="str">
        <f t="shared" si="42"/>
        <v>T.J. Logan</v>
      </c>
      <c r="D1391" s="10" t="str">
        <f t="shared" si="43"/>
        <v>ARI</v>
      </c>
      <c r="E1391" cm="1">
        <f t="array" ref="E1391">IFERROR(_xlfn.XLOOKUP(C1391&amp;A1391, Inside5!B:B&amp;Inside5!I:I, Inside5!C:C), 0)</f>
        <v>0</v>
      </c>
      <c r="F1391" cm="1">
        <f t="array" ref="F1391">IFERROR(_xlfn.XLOOKUP(C1391&amp;A1391, Inside5!B:B&amp;Inside5!I:I, Inside5!D:D), 0)</f>
        <v>0</v>
      </c>
      <c r="G1391" cm="1">
        <f t="array" ref="G1391">IFERROR(_xlfn.XLOOKUP(C1391&amp;A1391, Inside5!B:B&amp;Inside5!I:I, Inside5!E:E), 0)</f>
        <v>0</v>
      </c>
      <c r="H1391" t="str" cm="1">
        <f t="array" ref="H1391">IFERROR(_xlfn.XLOOKUP(C1391&amp;A1391, TDrate!F:F&amp;TDrate!H:H, TDrate!C:C), "N/A")</f>
        <v>N/A</v>
      </c>
      <c r="I1391" t="str" cm="1">
        <f t="array" ref="I1391">IFERROR(_xlfn.XLOOKUP(C1391&amp;A1391, TDrate!F:F&amp;TDrate!H:H, TDrate!E:E), "N/A")</f>
        <v>N/A</v>
      </c>
      <c r="J1391" cm="1">
        <f t="array" ref="J1391">IFERROR(_xlfn.XLOOKUP(C1391&amp;A1391, Inside5!B:B&amp;Inside5!I:I, Inside5!F:F), 0)</f>
        <v>0</v>
      </c>
      <c r="K1391" cm="1">
        <f t="array" ref="K1391">IFERROR(_xlfn.XLOOKUP(C1391&amp;A1391, Inside5!B:B&amp;Inside5!I:I, Inside5!G:G), 0)</f>
        <v>0</v>
      </c>
      <c r="L1391" cm="1">
        <f t="array" ref="L1391">IFERROR(_xlfn.XLOOKUP(C1391&amp;A1391, Inside5!B:B&amp;Inside5!I:I, Inside5!H:H), 0)</f>
        <v>0</v>
      </c>
      <c r="M1391" t="str" cm="1">
        <f t="array" ref="M1391">IFERROR(_xlfn.XLOOKUP(C1391&amp;A1391, TDrate!F:F&amp;TDrate!H:H, TDrate!B:B), "N/A")</f>
        <v>N/A</v>
      </c>
      <c r="N1391" t="str" cm="1">
        <f t="array" ref="N1391">IFERROR(_xlfn.XLOOKUP(C1391&amp;A1391, TDrate!F:F&amp;TDrate!H:H, TDrate!D:D), "N/A")</f>
        <v>N/A</v>
      </c>
    </row>
    <row r="1392" spans="1:14" x14ac:dyDescent="0.45">
      <c r="A1392" s="5">
        <v>2018</v>
      </c>
      <c r="B1392" s="6" t="s">
        <v>980</v>
      </c>
      <c r="C1392" s="7" t="str">
        <f t="shared" si="42"/>
        <v>Tre Madden</v>
      </c>
      <c r="D1392" s="7" t="str">
        <f t="shared" si="43"/>
        <v>SEA</v>
      </c>
      <c r="E1392" cm="1">
        <f t="array" ref="E1392">IFERROR(_xlfn.XLOOKUP(C1392&amp;A1392, Inside5!B:B&amp;Inside5!I:I, Inside5!C:C), 0)</f>
        <v>0</v>
      </c>
      <c r="F1392" cm="1">
        <f t="array" ref="F1392">IFERROR(_xlfn.XLOOKUP(C1392&amp;A1392, Inside5!B:B&amp;Inside5!I:I, Inside5!D:D), 0)</f>
        <v>0</v>
      </c>
      <c r="G1392" cm="1">
        <f t="array" ref="G1392">IFERROR(_xlfn.XLOOKUP(C1392&amp;A1392, Inside5!B:B&amp;Inside5!I:I, Inside5!E:E), 0)</f>
        <v>0</v>
      </c>
      <c r="H1392" t="str" cm="1">
        <f t="array" ref="H1392">IFERROR(_xlfn.XLOOKUP(C1392&amp;A1392, TDrate!F:F&amp;TDrate!H:H, TDrate!C:C), "N/A")</f>
        <v>N/A</v>
      </c>
      <c r="I1392" t="str" cm="1">
        <f t="array" ref="I1392">IFERROR(_xlfn.XLOOKUP(C1392&amp;A1392, TDrate!F:F&amp;TDrate!H:H, TDrate!E:E), "N/A")</f>
        <v>N/A</v>
      </c>
      <c r="J1392" cm="1">
        <f t="array" ref="J1392">IFERROR(_xlfn.XLOOKUP(C1392&amp;A1392, Inside5!B:B&amp;Inside5!I:I, Inside5!F:F), 0)</f>
        <v>0</v>
      </c>
      <c r="K1392" cm="1">
        <f t="array" ref="K1392">IFERROR(_xlfn.XLOOKUP(C1392&amp;A1392, Inside5!B:B&amp;Inside5!I:I, Inside5!G:G), 0)</f>
        <v>0</v>
      </c>
      <c r="L1392" cm="1">
        <f t="array" ref="L1392">IFERROR(_xlfn.XLOOKUP(C1392&amp;A1392, Inside5!B:B&amp;Inside5!I:I, Inside5!H:H), 0)</f>
        <v>0</v>
      </c>
      <c r="M1392" t="str" cm="1">
        <f t="array" ref="M1392">IFERROR(_xlfn.XLOOKUP(C1392&amp;A1392, TDrate!F:F&amp;TDrate!H:H, TDrate!B:B), "N/A")</f>
        <v>N/A</v>
      </c>
      <c r="N1392" t="str" cm="1">
        <f t="array" ref="N1392">IFERROR(_xlfn.XLOOKUP(C1392&amp;A1392, TDrate!F:F&amp;TDrate!H:H, TDrate!D:D), "N/A")</f>
        <v>N/A</v>
      </c>
    </row>
    <row r="1393" spans="1:14" x14ac:dyDescent="0.45">
      <c r="A1393" s="8">
        <v>2018</v>
      </c>
      <c r="B1393" s="9" t="s">
        <v>1032</v>
      </c>
      <c r="C1393" s="10" t="str">
        <f t="shared" si="42"/>
        <v>Samaje Perine</v>
      </c>
      <c r="D1393" s="10" t="str">
        <f t="shared" si="43"/>
        <v>WAS</v>
      </c>
      <c r="E1393" cm="1">
        <f t="array" aca="1" ref="E1393" ca="1">IFERROR(_xlfn.XLOOKUP(C1393&amp;A1393, Inside5!B:B&amp;Inside5!I:I, Inside5!C:C), 0)</f>
        <v>0</v>
      </c>
      <c r="F1393" cm="1">
        <f t="array" aca="1" ref="F1393" ca="1">IFERROR(_xlfn.XLOOKUP(C1393&amp;A1393, Inside5!B:B&amp;Inside5!I:I, Inside5!D:D), 0)</f>
        <v>0</v>
      </c>
      <c r="G1393" cm="1">
        <f t="array" ref="G1393">IFERROR(_xlfn.XLOOKUP(C1393&amp;A1393, Inside5!B:B&amp;Inside5!I:I, Inside5!E:E), 0)</f>
        <v>0</v>
      </c>
      <c r="H1393" t="str" cm="1">
        <f t="array" ref="H1393">IFERROR(_xlfn.XLOOKUP(C1393&amp;A1393, TDrate!F:F&amp;TDrate!H:H, TDrate!C:C), "N/A")</f>
        <v>N/A</v>
      </c>
      <c r="I1393" t="str" cm="1">
        <f t="array" ref="I1393">IFERROR(_xlfn.XLOOKUP(C1393&amp;A1393, TDrate!F:F&amp;TDrate!H:H, TDrate!E:E), "N/A")</f>
        <v>N/A</v>
      </c>
      <c r="J1393" cm="1">
        <f t="array" ref="J1393">IFERROR(_xlfn.XLOOKUP(C1393&amp;A1393, Inside5!B:B&amp;Inside5!I:I, Inside5!F:F), 0)</f>
        <v>0</v>
      </c>
      <c r="K1393" cm="1">
        <f t="array" aca="1" ref="K1393" ca="1">IFERROR(_xlfn.XLOOKUP(C1393&amp;A1393, Inside5!B:B&amp;Inside5!I:I, Inside5!G:G), 0)</f>
        <v>0</v>
      </c>
      <c r="L1393" cm="1">
        <f t="array" ref="L1393">IFERROR(_xlfn.XLOOKUP(C1393&amp;A1393, Inside5!B:B&amp;Inside5!I:I, Inside5!H:H), 0)</f>
        <v>0</v>
      </c>
      <c r="M1393" t="str" cm="1">
        <f t="array" ref="M1393">IFERROR(_xlfn.XLOOKUP(C1393&amp;A1393, TDrate!F:F&amp;TDrate!H:H, TDrate!B:B), "N/A")</f>
        <v>N/A</v>
      </c>
      <c r="N1393" t="str" cm="1">
        <f t="array" ref="N1393">IFERROR(_xlfn.XLOOKUP(C1393&amp;A1393, TDrate!F:F&amp;TDrate!H:H, TDrate!D:D), "N/A")</f>
        <v>N/A</v>
      </c>
    </row>
    <row r="1394" spans="1:14" x14ac:dyDescent="0.45">
      <c r="A1394" s="5">
        <v>2018</v>
      </c>
      <c r="B1394" s="6" t="s">
        <v>1033</v>
      </c>
      <c r="C1394" s="7" t="str">
        <f t="shared" si="42"/>
        <v>David Williams</v>
      </c>
      <c r="D1394" s="7" t="str">
        <f t="shared" si="43"/>
        <v>JAC</v>
      </c>
      <c r="E1394" cm="1">
        <f t="array" ref="E1394">IFERROR(_xlfn.XLOOKUP(C1394&amp;A1394, Inside5!B:B&amp;Inside5!I:I, Inside5!C:C), 0)</f>
        <v>0</v>
      </c>
      <c r="F1394" cm="1">
        <f t="array" aca="1" ref="F1394" ca="1">IFERROR(_xlfn.XLOOKUP(C1394&amp;A1394, Inside5!B:B&amp;Inside5!I:I, Inside5!D:D), 0)</f>
        <v>0</v>
      </c>
      <c r="G1394" cm="1">
        <f t="array" ref="G1394">IFERROR(_xlfn.XLOOKUP(C1394&amp;A1394, Inside5!B:B&amp;Inside5!I:I, Inside5!E:E), 0)</f>
        <v>0</v>
      </c>
      <c r="H1394" t="str" cm="1">
        <f t="array" ref="H1394">IFERROR(_xlfn.XLOOKUP(C1394&amp;A1394, TDrate!F:F&amp;TDrate!H:H, TDrate!C:C), "N/A")</f>
        <v>N/A</v>
      </c>
      <c r="I1394" t="str" cm="1">
        <f t="array" ref="I1394">IFERROR(_xlfn.XLOOKUP(C1394&amp;A1394, TDrate!F:F&amp;TDrate!H:H, TDrate!E:E), "N/A")</f>
        <v>N/A</v>
      </c>
      <c r="J1394" cm="1">
        <f t="array" ref="J1394">IFERROR(_xlfn.XLOOKUP(C1394&amp;A1394, Inside5!B:B&amp;Inside5!I:I, Inside5!F:F), 0)</f>
        <v>0</v>
      </c>
      <c r="K1394" cm="1">
        <f t="array" aca="1" ref="K1394" ca="1">IFERROR(_xlfn.XLOOKUP(C1394&amp;A1394, Inside5!B:B&amp;Inside5!I:I, Inside5!G:G), 0)</f>
        <v>0</v>
      </c>
      <c r="L1394" cm="1">
        <f t="array" ref="L1394">IFERROR(_xlfn.XLOOKUP(C1394&amp;A1394, Inside5!B:B&amp;Inside5!I:I, Inside5!H:H), 0)</f>
        <v>0</v>
      </c>
      <c r="M1394" t="str" cm="1">
        <f t="array" ref="M1394">IFERROR(_xlfn.XLOOKUP(C1394&amp;A1394, TDrate!F:F&amp;TDrate!H:H, TDrate!B:B), "N/A")</f>
        <v>N/A</v>
      </c>
      <c r="N1394" t="str" cm="1">
        <f t="array" ref="N1394">IFERROR(_xlfn.XLOOKUP(C1394&amp;A1394, TDrate!F:F&amp;TDrate!H:H, TDrate!D:D), "N/A")</f>
        <v>N/A</v>
      </c>
    </row>
    <row r="1395" spans="1:14" x14ac:dyDescent="0.45">
      <c r="A1395" s="8">
        <v>2018</v>
      </c>
      <c r="B1395" s="9" t="s">
        <v>1034</v>
      </c>
      <c r="C1395" s="10" t="str">
        <f t="shared" si="42"/>
        <v>Tyler Ervin</v>
      </c>
      <c r="D1395" s="10" t="str">
        <f t="shared" si="43"/>
        <v>HOU</v>
      </c>
      <c r="E1395" cm="1">
        <f t="array" aca="1" ref="E1395" ca="1">IFERROR(_xlfn.XLOOKUP(C1395&amp;A1395, Inside5!B:B&amp;Inside5!I:I, Inside5!C:C), 0)</f>
        <v>0</v>
      </c>
      <c r="F1395" cm="1">
        <f t="array" aca="1" ref="F1395" ca="1">IFERROR(_xlfn.XLOOKUP(C1395&amp;A1395, Inside5!B:B&amp;Inside5!I:I, Inside5!D:D), 0)</f>
        <v>0</v>
      </c>
      <c r="G1395" cm="1">
        <f t="array" ref="G1395">IFERROR(_xlfn.XLOOKUP(C1395&amp;A1395, Inside5!B:B&amp;Inside5!I:I, Inside5!E:E), 0)</f>
        <v>0</v>
      </c>
      <c r="H1395" t="str" cm="1">
        <f t="array" ref="H1395">IFERROR(_xlfn.XLOOKUP(C1395&amp;A1395, TDrate!F:F&amp;TDrate!H:H, TDrate!C:C), "N/A")</f>
        <v>N/A</v>
      </c>
      <c r="I1395" t="str" cm="1">
        <f t="array" ref="I1395">IFERROR(_xlfn.XLOOKUP(C1395&amp;A1395, TDrate!F:F&amp;TDrate!H:H, TDrate!E:E), "N/A")</f>
        <v>N/A</v>
      </c>
      <c r="J1395" cm="1">
        <f t="array" ref="J1395">IFERROR(_xlfn.XLOOKUP(C1395&amp;A1395, Inside5!B:B&amp;Inside5!I:I, Inside5!F:F), 0)</f>
        <v>0</v>
      </c>
      <c r="K1395" cm="1">
        <f t="array" ref="K1395">IFERROR(_xlfn.XLOOKUP(C1395&amp;A1395, Inside5!B:B&amp;Inside5!I:I, Inside5!G:G), 0)</f>
        <v>0</v>
      </c>
      <c r="L1395" cm="1">
        <f t="array" ref="L1395">IFERROR(_xlfn.XLOOKUP(C1395&amp;A1395, Inside5!B:B&amp;Inside5!I:I, Inside5!H:H), 0)</f>
        <v>0</v>
      </c>
      <c r="M1395" t="str" cm="1">
        <f t="array" ref="M1395">IFERROR(_xlfn.XLOOKUP(C1395&amp;A1395, TDrate!F:F&amp;TDrate!H:H, TDrate!B:B), "N/A")</f>
        <v>N/A</v>
      </c>
      <c r="N1395" t="str" cm="1">
        <f t="array" ref="N1395">IFERROR(_xlfn.XLOOKUP(C1395&amp;A1395, TDrate!F:F&amp;TDrate!H:H, TDrate!D:D), "N/A")</f>
        <v>N/A</v>
      </c>
    </row>
    <row r="1396" spans="1:14" x14ac:dyDescent="0.45">
      <c r="A1396" s="5">
        <v>2018</v>
      </c>
      <c r="B1396" s="6" t="s">
        <v>1035</v>
      </c>
      <c r="C1396" s="7" t="str">
        <f t="shared" si="42"/>
        <v>Shaun Wilson</v>
      </c>
      <c r="D1396" s="7" t="str">
        <f t="shared" si="43"/>
        <v>TB</v>
      </c>
      <c r="E1396" cm="1">
        <f t="array" aca="1" ref="E1396" ca="1">IFERROR(_xlfn.XLOOKUP(C1396&amp;A1396, Inside5!B:B&amp;Inside5!I:I, Inside5!C:C), 0)</f>
        <v>0</v>
      </c>
      <c r="F1396" cm="1">
        <f t="array" ref="F1396">IFERROR(_xlfn.XLOOKUP(C1396&amp;A1396, Inside5!B:B&amp;Inside5!I:I, Inside5!D:D), 0)</f>
        <v>0</v>
      </c>
      <c r="G1396" cm="1">
        <f t="array" ref="G1396">IFERROR(_xlfn.XLOOKUP(C1396&amp;A1396, Inside5!B:B&amp;Inside5!I:I, Inside5!E:E), 0)</f>
        <v>0</v>
      </c>
      <c r="H1396" t="str" cm="1">
        <f t="array" ref="H1396">IFERROR(_xlfn.XLOOKUP(C1396&amp;A1396, TDrate!F:F&amp;TDrate!H:H, TDrate!C:C), "N/A")</f>
        <v>N/A</v>
      </c>
      <c r="I1396" t="str" cm="1">
        <f t="array" ref="I1396">IFERROR(_xlfn.XLOOKUP(C1396&amp;A1396, TDrate!F:F&amp;TDrate!H:H, TDrate!E:E), "N/A")</f>
        <v>N/A</v>
      </c>
      <c r="J1396" cm="1">
        <f t="array" ref="J1396">IFERROR(_xlfn.XLOOKUP(C1396&amp;A1396, Inside5!B:B&amp;Inside5!I:I, Inside5!F:F), 0)</f>
        <v>0</v>
      </c>
      <c r="K1396" cm="1">
        <f t="array" ref="K1396">IFERROR(_xlfn.XLOOKUP(C1396&amp;A1396, Inside5!B:B&amp;Inside5!I:I, Inside5!G:G), 0)</f>
        <v>0</v>
      </c>
      <c r="L1396" cm="1">
        <f t="array" ref="L1396">IFERROR(_xlfn.XLOOKUP(C1396&amp;A1396, Inside5!B:B&amp;Inside5!I:I, Inside5!H:H), 0)</f>
        <v>0</v>
      </c>
      <c r="M1396" t="str" cm="1">
        <f t="array" ref="M1396">IFERROR(_xlfn.XLOOKUP(C1396&amp;A1396, TDrate!F:F&amp;TDrate!H:H, TDrate!B:B), "N/A")</f>
        <v>N/A</v>
      </c>
      <c r="N1396" t="str" cm="1">
        <f t="array" ref="N1396">IFERROR(_xlfn.XLOOKUP(C1396&amp;A1396, TDrate!F:F&amp;TDrate!H:H, TDrate!D:D), "N/A")</f>
        <v>N/A</v>
      </c>
    </row>
    <row r="1397" spans="1:14" x14ac:dyDescent="0.45">
      <c r="A1397" s="8">
        <v>2018</v>
      </c>
      <c r="B1397" s="9" t="s">
        <v>968</v>
      </c>
      <c r="C1397" s="10" t="str">
        <f t="shared" si="42"/>
        <v>Mike Gillislee</v>
      </c>
      <c r="D1397" s="10" t="str">
        <f t="shared" si="43"/>
        <v>NO</v>
      </c>
      <c r="E1397" cm="1">
        <f t="array" aca="1" ref="E1397" ca="1">IFERROR(_xlfn.XLOOKUP(C1397&amp;A1397, Inside5!B:B&amp;Inside5!I:I, Inside5!C:C), 0)</f>
        <v>0</v>
      </c>
      <c r="F1397" cm="1">
        <f t="array" aca="1" ref="F1397" ca="1">IFERROR(_xlfn.XLOOKUP(C1397&amp;A1397, Inside5!B:B&amp;Inside5!I:I, Inside5!D:D), 0)</f>
        <v>0</v>
      </c>
      <c r="G1397" cm="1">
        <f t="array" ref="G1397">IFERROR(_xlfn.XLOOKUP(C1397&amp;A1397, Inside5!B:B&amp;Inside5!I:I, Inside5!E:E), 0)</f>
        <v>0</v>
      </c>
      <c r="H1397" t="str" cm="1">
        <f t="array" ref="H1397">IFERROR(_xlfn.XLOOKUP(C1397&amp;A1397, TDrate!F:F&amp;TDrate!H:H, TDrate!C:C), "N/A")</f>
        <v>N/A</v>
      </c>
      <c r="I1397" t="str" cm="1">
        <f t="array" ref="I1397">IFERROR(_xlfn.XLOOKUP(C1397&amp;A1397, TDrate!F:F&amp;TDrate!H:H, TDrate!E:E), "N/A")</f>
        <v>N/A</v>
      </c>
      <c r="J1397" cm="1">
        <f t="array" ref="J1397">IFERROR(_xlfn.XLOOKUP(C1397&amp;A1397, Inside5!B:B&amp;Inside5!I:I, Inside5!F:F), 0)</f>
        <v>0</v>
      </c>
      <c r="K1397" cm="1">
        <f t="array" ref="K1397">IFERROR(_xlfn.XLOOKUP(C1397&amp;A1397, Inside5!B:B&amp;Inside5!I:I, Inside5!G:G), 0)</f>
        <v>0</v>
      </c>
      <c r="L1397" cm="1">
        <f t="array" ref="L1397">IFERROR(_xlfn.XLOOKUP(C1397&amp;A1397, Inside5!B:B&amp;Inside5!I:I, Inside5!H:H), 0)</f>
        <v>0</v>
      </c>
      <c r="M1397" t="str" cm="1">
        <f t="array" ref="M1397">IFERROR(_xlfn.XLOOKUP(C1397&amp;A1397, TDrate!F:F&amp;TDrate!H:H, TDrate!B:B), "N/A")</f>
        <v>N/A</v>
      </c>
      <c r="N1397" t="str" cm="1">
        <f t="array" ref="N1397">IFERROR(_xlfn.XLOOKUP(C1397&amp;A1397, TDrate!F:F&amp;TDrate!H:H, TDrate!D:D), "N/A")</f>
        <v>N/A</v>
      </c>
    </row>
    <row r="1398" spans="1:14" x14ac:dyDescent="0.45">
      <c r="A1398" s="5">
        <v>2018</v>
      </c>
      <c r="B1398" s="6" t="s">
        <v>971</v>
      </c>
      <c r="C1398" s="7" t="str">
        <f t="shared" si="42"/>
        <v>Jeremy Hill</v>
      </c>
      <c r="D1398" s="7" t="str">
        <f t="shared" si="43"/>
        <v>NE</v>
      </c>
      <c r="E1398" cm="1">
        <f t="array" aca="1" ref="E1398" ca="1">IFERROR(_xlfn.XLOOKUP(C1398&amp;A1398, Inside5!B:B&amp;Inside5!I:I, Inside5!C:C), 0)</f>
        <v>0</v>
      </c>
      <c r="F1398" cm="1">
        <f t="array" aca="1" ref="F1398" ca="1">IFERROR(_xlfn.XLOOKUP(C1398&amp;A1398, Inside5!B:B&amp;Inside5!I:I, Inside5!D:D), 0)</f>
        <v>0</v>
      </c>
      <c r="G1398" cm="1">
        <f t="array" ref="G1398">IFERROR(_xlfn.XLOOKUP(C1398&amp;A1398, Inside5!B:B&amp;Inside5!I:I, Inside5!E:E), 0)</f>
        <v>0</v>
      </c>
      <c r="H1398" t="str" cm="1">
        <f t="array" ref="H1398">IFERROR(_xlfn.XLOOKUP(C1398&amp;A1398, TDrate!F:F&amp;TDrate!H:H, TDrate!C:C), "N/A")</f>
        <v>N/A</v>
      </c>
      <c r="I1398" t="str" cm="1">
        <f t="array" ref="I1398">IFERROR(_xlfn.XLOOKUP(C1398&amp;A1398, TDrate!F:F&amp;TDrate!H:H, TDrate!E:E), "N/A")</f>
        <v>N/A</v>
      </c>
      <c r="J1398" cm="1">
        <f t="array" ref="J1398">IFERROR(_xlfn.XLOOKUP(C1398&amp;A1398, Inside5!B:B&amp;Inside5!I:I, Inside5!F:F), 0)</f>
        <v>0</v>
      </c>
      <c r="K1398" cm="1">
        <f t="array" ref="K1398">IFERROR(_xlfn.XLOOKUP(C1398&amp;A1398, Inside5!B:B&amp;Inside5!I:I, Inside5!G:G), 0)</f>
        <v>0</v>
      </c>
      <c r="L1398" cm="1">
        <f t="array" ref="L1398">IFERROR(_xlfn.XLOOKUP(C1398&amp;A1398, Inside5!B:B&amp;Inside5!I:I, Inside5!H:H), 0)</f>
        <v>0</v>
      </c>
      <c r="M1398" t="str" cm="1">
        <f t="array" ref="M1398">IFERROR(_xlfn.XLOOKUP(C1398&amp;A1398, TDrate!F:F&amp;TDrate!H:H, TDrate!B:B), "N/A")</f>
        <v>N/A</v>
      </c>
      <c r="N1398" t="str" cm="1">
        <f t="array" ref="N1398">IFERROR(_xlfn.XLOOKUP(C1398&amp;A1398, TDrate!F:F&amp;TDrate!H:H, TDrate!D:D), "N/A")</f>
        <v>N/A</v>
      </c>
    </row>
    <row r="1399" spans="1:14" x14ac:dyDescent="0.45">
      <c r="A1399" s="8">
        <v>2018</v>
      </c>
      <c r="B1399" s="9" t="s">
        <v>1036</v>
      </c>
      <c r="C1399" s="10" t="str">
        <f t="shared" si="42"/>
        <v>Benny Cunningham Jr.</v>
      </c>
      <c r="D1399" s="10" t="str">
        <f t="shared" si="43"/>
        <v>CHI</v>
      </c>
      <c r="E1399" cm="1">
        <f t="array" ref="E1399">IFERROR(_xlfn.XLOOKUP(C1399&amp;A1399, Inside5!B:B&amp;Inside5!I:I, Inside5!C:C), 0)</f>
        <v>0</v>
      </c>
      <c r="F1399" cm="1">
        <f t="array" ref="F1399">IFERROR(_xlfn.XLOOKUP(C1399&amp;A1399, Inside5!B:B&amp;Inside5!I:I, Inside5!D:D), 0)</f>
        <v>0</v>
      </c>
      <c r="G1399" cm="1">
        <f t="array" ref="G1399">IFERROR(_xlfn.XLOOKUP(C1399&amp;A1399, Inside5!B:B&amp;Inside5!I:I, Inside5!E:E), 0)</f>
        <v>0</v>
      </c>
      <c r="H1399" t="str" cm="1">
        <f t="array" ref="H1399">IFERROR(_xlfn.XLOOKUP(C1399&amp;A1399, TDrate!F:F&amp;TDrate!H:H, TDrate!C:C), "N/A")</f>
        <v>N/A</v>
      </c>
      <c r="I1399" t="str" cm="1">
        <f t="array" ref="I1399">IFERROR(_xlfn.XLOOKUP(C1399&amp;A1399, TDrate!F:F&amp;TDrate!H:H, TDrate!E:E), "N/A")</f>
        <v>N/A</v>
      </c>
      <c r="J1399" cm="1">
        <f t="array" ref="J1399">IFERROR(_xlfn.XLOOKUP(C1399&amp;A1399, Inside5!B:B&amp;Inside5!I:I, Inside5!F:F), 0)</f>
        <v>0</v>
      </c>
      <c r="K1399" cm="1">
        <f t="array" aca="1" ref="K1399" ca="1">IFERROR(_xlfn.XLOOKUP(C1399&amp;A1399, Inside5!B:B&amp;Inside5!I:I, Inside5!G:G), 0)</f>
        <v>0</v>
      </c>
      <c r="L1399" cm="1">
        <f t="array" ref="L1399">IFERROR(_xlfn.XLOOKUP(C1399&amp;A1399, Inside5!B:B&amp;Inside5!I:I, Inside5!H:H), 0)</f>
        <v>0</v>
      </c>
      <c r="M1399" t="str" cm="1">
        <f t="array" ref="M1399">IFERROR(_xlfn.XLOOKUP(C1399&amp;A1399, TDrate!F:F&amp;TDrate!H:H, TDrate!B:B), "N/A")</f>
        <v>N/A</v>
      </c>
      <c r="N1399" t="str" cm="1">
        <f t="array" ref="N1399">IFERROR(_xlfn.XLOOKUP(C1399&amp;A1399, TDrate!F:F&amp;TDrate!H:H, TDrate!D:D), "N/A")</f>
        <v>N/A</v>
      </c>
    </row>
    <row r="1400" spans="1:14" x14ac:dyDescent="0.45">
      <c r="A1400" s="5">
        <v>2018</v>
      </c>
      <c r="B1400" s="6" t="s">
        <v>974</v>
      </c>
      <c r="C1400" s="7" t="str">
        <f t="shared" si="42"/>
        <v>Jeremy Langford</v>
      </c>
      <c r="D1400" s="7" t="str">
        <f t="shared" si="43"/>
        <v>ATL</v>
      </c>
      <c r="E1400" cm="1">
        <f t="array" ref="E1400">IFERROR(_xlfn.XLOOKUP(C1400&amp;A1400, Inside5!B:B&amp;Inside5!I:I, Inside5!C:C), 0)</f>
        <v>0</v>
      </c>
      <c r="F1400" cm="1">
        <f t="array" ref="F1400">IFERROR(_xlfn.XLOOKUP(C1400&amp;A1400, Inside5!B:B&amp;Inside5!I:I, Inside5!D:D), 0)</f>
        <v>0</v>
      </c>
      <c r="G1400" cm="1">
        <f t="array" ref="G1400">IFERROR(_xlfn.XLOOKUP(C1400&amp;A1400, Inside5!B:B&amp;Inside5!I:I, Inside5!E:E), 0)</f>
        <v>0</v>
      </c>
      <c r="H1400" t="str" cm="1">
        <f t="array" ref="H1400">IFERROR(_xlfn.XLOOKUP(C1400&amp;A1400, TDrate!F:F&amp;TDrate!H:H, TDrate!C:C), "N/A")</f>
        <v>N/A</v>
      </c>
      <c r="I1400" t="str" cm="1">
        <f t="array" ref="I1400">IFERROR(_xlfn.XLOOKUP(C1400&amp;A1400, TDrate!F:F&amp;TDrate!H:H, TDrate!E:E), "N/A")</f>
        <v>N/A</v>
      </c>
      <c r="J1400" cm="1">
        <f t="array" ref="J1400">IFERROR(_xlfn.XLOOKUP(C1400&amp;A1400, Inside5!B:B&amp;Inside5!I:I, Inside5!F:F), 0)</f>
        <v>0</v>
      </c>
      <c r="K1400" cm="1">
        <f t="array" ref="K1400">IFERROR(_xlfn.XLOOKUP(C1400&amp;A1400, Inside5!B:B&amp;Inside5!I:I, Inside5!G:G), 0)</f>
        <v>0</v>
      </c>
      <c r="L1400" cm="1">
        <f t="array" ref="L1400">IFERROR(_xlfn.XLOOKUP(C1400&amp;A1400, Inside5!B:B&amp;Inside5!I:I, Inside5!H:H), 0)</f>
        <v>0</v>
      </c>
      <c r="M1400" t="str" cm="1">
        <f t="array" ref="M1400">IFERROR(_xlfn.XLOOKUP(C1400&amp;A1400, TDrate!F:F&amp;TDrate!H:H, TDrate!B:B), "N/A")</f>
        <v>N/A</v>
      </c>
      <c r="N1400" t="str" cm="1">
        <f t="array" ref="N1400">IFERROR(_xlfn.XLOOKUP(C1400&amp;A1400, TDrate!F:F&amp;TDrate!H:H, TDrate!D:D), "N/A")</f>
        <v>N/A</v>
      </c>
    </row>
    <row r="1401" spans="1:14" x14ac:dyDescent="0.45">
      <c r="A1401" s="8">
        <v>2018</v>
      </c>
      <c r="B1401" s="9" t="s">
        <v>1037</v>
      </c>
      <c r="C1401" s="10" t="str">
        <f t="shared" si="42"/>
        <v>Keith Smith</v>
      </c>
      <c r="D1401" s="10" t="str">
        <f t="shared" si="43"/>
        <v>OAK</v>
      </c>
      <c r="E1401" cm="1">
        <f t="array" ref="E1401">IFERROR(_xlfn.XLOOKUP(C1401&amp;A1401, Inside5!B:B&amp;Inside5!I:I, Inside5!C:C), 0)</f>
        <v>1</v>
      </c>
      <c r="F1401" cm="1">
        <f t="array" ref="F1401">IFERROR(_xlfn.XLOOKUP(C1401&amp;A1401, Inside5!B:B&amp;Inside5!I:I, Inside5!D:D), 0)</f>
        <v>0</v>
      </c>
      <c r="G1401" cm="1">
        <f t="array" ref="G1401">IFERROR(_xlfn.XLOOKUP(C1401&amp;A1401, Inside5!B:B&amp;Inside5!I:I, Inside5!E:E), 0)</f>
        <v>5.2999999999999999E-2</v>
      </c>
      <c r="H1401" t="str" cm="1">
        <f t="array" ref="H1401">IFERROR(_xlfn.XLOOKUP(C1401&amp;A1401, TDrate!F:F&amp;TDrate!H:H, TDrate!C:C), "N/A")</f>
        <v>N/A</v>
      </c>
      <c r="I1401" t="str" cm="1">
        <f t="array" ref="I1401">IFERROR(_xlfn.XLOOKUP(C1401&amp;A1401, TDrate!F:F&amp;TDrate!H:H, TDrate!E:E), "N/A")</f>
        <v>N/A</v>
      </c>
      <c r="J1401" cm="1">
        <f t="array" ref="J1401">IFERROR(_xlfn.XLOOKUP(C1401&amp;A1401, Inside5!B:B&amp;Inside5!I:I, Inside5!F:F), 0)</f>
        <v>0</v>
      </c>
      <c r="K1401" cm="1">
        <f t="array" ref="K1401">IFERROR(_xlfn.XLOOKUP(C1401&amp;A1401, Inside5!B:B&amp;Inside5!I:I, Inside5!G:G), 0)</f>
        <v>0</v>
      </c>
      <c r="L1401" cm="1">
        <f t="array" ref="L1401">IFERROR(_xlfn.XLOOKUP(C1401&amp;A1401, Inside5!B:B&amp;Inside5!I:I, Inside5!H:H), 0)</f>
        <v>0</v>
      </c>
      <c r="M1401" t="str" cm="1">
        <f t="array" ref="M1401">IFERROR(_xlfn.XLOOKUP(C1401&amp;A1401, TDrate!F:F&amp;TDrate!H:H, TDrate!B:B), "N/A")</f>
        <v>N/A</v>
      </c>
      <c r="N1401" t="str" cm="1">
        <f t="array" ref="N1401">IFERROR(_xlfn.XLOOKUP(C1401&amp;A1401, TDrate!F:F&amp;TDrate!H:H, TDrate!D:D), "N/A")</f>
        <v>N/A</v>
      </c>
    </row>
    <row r="1402" spans="1:14" x14ac:dyDescent="0.45">
      <c r="A1402" s="5">
        <v>2018</v>
      </c>
      <c r="B1402" s="6" t="s">
        <v>966</v>
      </c>
      <c r="C1402" s="7" t="str">
        <f t="shared" si="42"/>
        <v>Travaris Cadet</v>
      </c>
      <c r="D1402" s="7" t="str">
        <f t="shared" si="43"/>
        <v>CAR</v>
      </c>
      <c r="E1402" cm="1">
        <f t="array" aca="1" ref="E1402" ca="1">IFERROR(_xlfn.XLOOKUP(C1402&amp;A1402, Inside5!B:B&amp;Inside5!I:I, Inside5!C:C), 0)</f>
        <v>0</v>
      </c>
      <c r="F1402" cm="1">
        <f t="array" aca="1" ref="F1402" ca="1">IFERROR(_xlfn.XLOOKUP(C1402&amp;A1402, Inside5!B:B&amp;Inside5!I:I, Inside5!D:D), 0)</f>
        <v>0</v>
      </c>
      <c r="G1402" cm="1">
        <f t="array" ref="G1402">IFERROR(_xlfn.XLOOKUP(C1402&amp;A1402, Inside5!B:B&amp;Inside5!I:I, Inside5!E:E), 0)</f>
        <v>0</v>
      </c>
      <c r="H1402" t="str" cm="1">
        <f t="array" ref="H1402">IFERROR(_xlfn.XLOOKUP(C1402&amp;A1402, TDrate!F:F&amp;TDrate!H:H, TDrate!C:C), "N/A")</f>
        <v>N/A</v>
      </c>
      <c r="I1402" t="str" cm="1">
        <f t="array" ref="I1402">IFERROR(_xlfn.XLOOKUP(C1402&amp;A1402, TDrate!F:F&amp;TDrate!H:H, TDrate!E:E), "N/A")</f>
        <v>N/A</v>
      </c>
      <c r="J1402" cm="1">
        <f t="array" ref="J1402">IFERROR(_xlfn.XLOOKUP(C1402&amp;A1402, Inside5!B:B&amp;Inside5!I:I, Inside5!F:F), 0)</f>
        <v>0</v>
      </c>
      <c r="K1402" cm="1">
        <f t="array" ref="K1402">IFERROR(_xlfn.XLOOKUP(C1402&amp;A1402, Inside5!B:B&amp;Inside5!I:I, Inside5!G:G), 0)</f>
        <v>0</v>
      </c>
      <c r="L1402" cm="1">
        <f t="array" ref="L1402">IFERROR(_xlfn.XLOOKUP(C1402&amp;A1402, Inside5!B:B&amp;Inside5!I:I, Inside5!H:H), 0)</f>
        <v>0</v>
      </c>
      <c r="M1402" t="str" cm="1">
        <f t="array" ref="M1402">IFERROR(_xlfn.XLOOKUP(C1402&amp;A1402, TDrate!F:F&amp;TDrate!H:H, TDrate!B:B), "N/A")</f>
        <v>N/A</v>
      </c>
      <c r="N1402" t="str" cm="1">
        <f t="array" ref="N1402">IFERROR(_xlfn.XLOOKUP(C1402&amp;A1402, TDrate!F:F&amp;TDrate!H:H, TDrate!D:D), "N/A")</f>
        <v>N/A</v>
      </c>
    </row>
    <row r="1403" spans="1:14" x14ac:dyDescent="0.45">
      <c r="A1403" s="8">
        <v>2018</v>
      </c>
      <c r="B1403" s="9" t="s">
        <v>1038</v>
      </c>
      <c r="C1403" s="10" t="str">
        <f t="shared" si="42"/>
        <v>De'Lance Turner</v>
      </c>
      <c r="D1403" s="10" t="str">
        <f t="shared" si="43"/>
        <v>BAL</v>
      </c>
      <c r="E1403" cm="1">
        <f t="array" aca="1" ref="E1403" ca="1">IFERROR(_xlfn.XLOOKUP(C1403&amp;A1403, Inside5!B:B&amp;Inside5!I:I, Inside5!C:C), 0)</f>
        <v>0</v>
      </c>
      <c r="F1403" cm="1">
        <f t="array" aca="1" ref="F1403" ca="1">IFERROR(_xlfn.XLOOKUP(C1403&amp;A1403, Inside5!B:B&amp;Inside5!I:I, Inside5!D:D), 0)</f>
        <v>0</v>
      </c>
      <c r="G1403" cm="1">
        <f t="array" ref="G1403">IFERROR(_xlfn.XLOOKUP(C1403&amp;A1403, Inside5!B:B&amp;Inside5!I:I, Inside5!E:E), 0)</f>
        <v>0</v>
      </c>
      <c r="H1403" t="str" cm="1">
        <f t="array" ref="H1403">IFERROR(_xlfn.XLOOKUP(C1403&amp;A1403, TDrate!F:F&amp;TDrate!H:H, TDrate!C:C), "N/A")</f>
        <v>N/A</v>
      </c>
      <c r="I1403" t="str" cm="1">
        <f t="array" ref="I1403">IFERROR(_xlfn.XLOOKUP(C1403&amp;A1403, TDrate!F:F&amp;TDrate!H:H, TDrate!E:E), "N/A")</f>
        <v>N/A</v>
      </c>
      <c r="J1403" cm="1">
        <f t="array" ref="J1403">IFERROR(_xlfn.XLOOKUP(C1403&amp;A1403, Inside5!B:B&amp;Inside5!I:I, Inside5!F:F), 0)</f>
        <v>0</v>
      </c>
      <c r="K1403" cm="1">
        <f t="array" ref="K1403">IFERROR(_xlfn.XLOOKUP(C1403&amp;A1403, Inside5!B:B&amp;Inside5!I:I, Inside5!G:G), 0)</f>
        <v>0</v>
      </c>
      <c r="L1403" cm="1">
        <f t="array" ref="L1403">IFERROR(_xlfn.XLOOKUP(C1403&amp;A1403, Inside5!B:B&amp;Inside5!I:I, Inside5!H:H), 0)</f>
        <v>0</v>
      </c>
      <c r="M1403" t="str" cm="1">
        <f t="array" ref="M1403">IFERROR(_xlfn.XLOOKUP(C1403&amp;A1403, TDrate!F:F&amp;TDrate!H:H, TDrate!B:B), "N/A")</f>
        <v>N/A</v>
      </c>
      <c r="N1403" t="str" cm="1">
        <f t="array" ref="N1403">IFERROR(_xlfn.XLOOKUP(C1403&amp;A1403, TDrate!F:F&amp;TDrate!H:H, TDrate!D:D), "N/A")</f>
        <v>N/A</v>
      </c>
    </row>
    <row r="1404" spans="1:14" x14ac:dyDescent="0.45">
      <c r="A1404" s="5">
        <v>2018</v>
      </c>
      <c r="B1404" s="6" t="s">
        <v>970</v>
      </c>
      <c r="C1404" s="7" t="str">
        <f t="shared" si="42"/>
        <v>Derrick Coleman</v>
      </c>
      <c r="D1404" s="7" t="str">
        <f t="shared" si="43"/>
        <v>ARI</v>
      </c>
      <c r="E1404" cm="1">
        <f t="array" aca="1" ref="E1404" ca="1">IFERROR(_xlfn.XLOOKUP(C1404&amp;A1404, Inside5!B:B&amp;Inside5!I:I, Inside5!C:C), 0)</f>
        <v>0</v>
      </c>
      <c r="F1404" cm="1">
        <f t="array" aca="1" ref="F1404" ca="1">IFERROR(_xlfn.XLOOKUP(C1404&amp;A1404, Inside5!B:B&amp;Inside5!I:I, Inside5!D:D), 0)</f>
        <v>0</v>
      </c>
      <c r="G1404" cm="1">
        <f t="array" ref="G1404">IFERROR(_xlfn.XLOOKUP(C1404&amp;A1404, Inside5!B:B&amp;Inside5!I:I, Inside5!E:E), 0)</f>
        <v>0</v>
      </c>
      <c r="H1404" t="str" cm="1">
        <f t="array" ref="H1404">IFERROR(_xlfn.XLOOKUP(C1404&amp;A1404, TDrate!F:F&amp;TDrate!H:H, TDrate!C:C), "N/A")</f>
        <v>N/A</v>
      </c>
      <c r="I1404" t="str" cm="1">
        <f t="array" ref="I1404">IFERROR(_xlfn.XLOOKUP(C1404&amp;A1404, TDrate!F:F&amp;TDrate!H:H, TDrate!E:E), "N/A")</f>
        <v>N/A</v>
      </c>
      <c r="J1404" cm="1">
        <f t="array" ref="J1404">IFERROR(_xlfn.XLOOKUP(C1404&amp;A1404, Inside5!B:B&amp;Inside5!I:I, Inside5!F:F), 0)</f>
        <v>0</v>
      </c>
      <c r="K1404" cm="1">
        <f t="array" ref="K1404">IFERROR(_xlfn.XLOOKUP(C1404&amp;A1404, Inside5!B:B&amp;Inside5!I:I, Inside5!G:G), 0)</f>
        <v>0</v>
      </c>
      <c r="L1404" cm="1">
        <f t="array" ref="L1404">IFERROR(_xlfn.XLOOKUP(C1404&amp;A1404, Inside5!B:B&amp;Inside5!I:I, Inside5!H:H), 0)</f>
        <v>0</v>
      </c>
      <c r="M1404" t="str" cm="1">
        <f t="array" ref="M1404">IFERROR(_xlfn.XLOOKUP(C1404&amp;A1404, TDrate!F:F&amp;TDrate!H:H, TDrate!B:B), "N/A")</f>
        <v>N/A</v>
      </c>
      <c r="N1404" t="str" cm="1">
        <f t="array" ref="N1404">IFERROR(_xlfn.XLOOKUP(C1404&amp;A1404, TDrate!F:F&amp;TDrate!H:H, TDrate!D:D), "N/A")</f>
        <v>N/A</v>
      </c>
    </row>
    <row r="1405" spans="1:14" x14ac:dyDescent="0.45">
      <c r="A1405" s="8">
        <v>2018</v>
      </c>
      <c r="B1405" s="9" t="s">
        <v>922</v>
      </c>
      <c r="C1405" s="10" t="str">
        <f t="shared" si="42"/>
        <v>C.J. Prosise</v>
      </c>
      <c r="D1405" s="10" t="str">
        <f t="shared" si="43"/>
        <v>SEA</v>
      </c>
      <c r="E1405" cm="1">
        <f t="array" aca="1" ref="E1405" ca="1">IFERROR(_xlfn.XLOOKUP(C1405&amp;A1405, Inside5!B:B&amp;Inside5!I:I, Inside5!C:C), 0)</f>
        <v>0</v>
      </c>
      <c r="F1405" cm="1">
        <f t="array" aca="1" ref="F1405" ca="1">IFERROR(_xlfn.XLOOKUP(C1405&amp;A1405, Inside5!B:B&amp;Inside5!I:I, Inside5!D:D), 0)</f>
        <v>0</v>
      </c>
      <c r="G1405" cm="1">
        <f t="array" ref="G1405">IFERROR(_xlfn.XLOOKUP(C1405&amp;A1405, Inside5!B:B&amp;Inside5!I:I, Inside5!E:E), 0)</f>
        <v>0</v>
      </c>
      <c r="H1405" t="str" cm="1">
        <f t="array" ref="H1405">IFERROR(_xlfn.XLOOKUP(C1405&amp;A1405, TDrate!F:F&amp;TDrate!H:H, TDrate!C:C), "N/A")</f>
        <v>N/A</v>
      </c>
      <c r="I1405" t="str" cm="1">
        <f t="array" ref="I1405">IFERROR(_xlfn.XLOOKUP(C1405&amp;A1405, TDrate!F:F&amp;TDrate!H:H, TDrate!E:E), "N/A")</f>
        <v>N/A</v>
      </c>
      <c r="J1405" cm="1">
        <f t="array" ref="J1405">IFERROR(_xlfn.XLOOKUP(C1405&amp;A1405, Inside5!B:B&amp;Inside5!I:I, Inside5!F:F), 0)</f>
        <v>0</v>
      </c>
      <c r="K1405" cm="1">
        <f t="array" ref="K1405">IFERROR(_xlfn.XLOOKUP(C1405&amp;A1405, Inside5!B:B&amp;Inside5!I:I, Inside5!G:G), 0)</f>
        <v>0</v>
      </c>
      <c r="L1405" cm="1">
        <f t="array" ref="L1405">IFERROR(_xlfn.XLOOKUP(C1405&amp;A1405, Inside5!B:B&amp;Inside5!I:I, Inside5!H:H), 0)</f>
        <v>0</v>
      </c>
      <c r="M1405" t="str" cm="1">
        <f t="array" ref="M1405">IFERROR(_xlfn.XLOOKUP(C1405&amp;A1405, TDrate!F:F&amp;TDrate!H:H, TDrate!B:B), "N/A")</f>
        <v>N/A</v>
      </c>
      <c r="N1405" t="str" cm="1">
        <f t="array" ref="N1405">IFERROR(_xlfn.XLOOKUP(C1405&amp;A1405, TDrate!F:F&amp;TDrate!H:H, TDrate!D:D), "N/A")</f>
        <v>N/A</v>
      </c>
    </row>
    <row r="1406" spans="1:14" x14ac:dyDescent="0.45">
      <c r="A1406" s="5">
        <v>2018</v>
      </c>
      <c r="B1406" s="6" t="s">
        <v>983</v>
      </c>
      <c r="C1406" s="7" t="str">
        <f t="shared" si="42"/>
        <v>Justin Davis</v>
      </c>
      <c r="D1406" s="7" t="str">
        <f t="shared" si="43"/>
        <v>LAR</v>
      </c>
      <c r="E1406" cm="1">
        <f t="array" aca="1" ref="E1406" ca="1">IFERROR(_xlfn.XLOOKUP(C1406&amp;A1406, Inside5!B:B&amp;Inside5!I:I, Inside5!C:C), 0)</f>
        <v>0</v>
      </c>
      <c r="F1406" cm="1">
        <f t="array" ref="F1406">IFERROR(_xlfn.XLOOKUP(C1406&amp;A1406, Inside5!B:B&amp;Inside5!I:I, Inside5!D:D), 0)</f>
        <v>0</v>
      </c>
      <c r="G1406" cm="1">
        <f t="array" ref="G1406">IFERROR(_xlfn.XLOOKUP(C1406&amp;A1406, Inside5!B:B&amp;Inside5!I:I, Inside5!E:E), 0)</f>
        <v>0</v>
      </c>
      <c r="H1406" t="str" cm="1">
        <f t="array" ref="H1406">IFERROR(_xlfn.XLOOKUP(C1406&amp;A1406, TDrate!F:F&amp;TDrate!H:H, TDrate!C:C), "N/A")</f>
        <v>N/A</v>
      </c>
      <c r="I1406" t="str" cm="1">
        <f t="array" ref="I1406">IFERROR(_xlfn.XLOOKUP(C1406&amp;A1406, TDrate!F:F&amp;TDrate!H:H, TDrate!E:E), "N/A")</f>
        <v>N/A</v>
      </c>
      <c r="J1406" cm="1">
        <f t="array" ref="J1406">IFERROR(_xlfn.XLOOKUP(C1406&amp;A1406, Inside5!B:B&amp;Inside5!I:I, Inside5!F:F), 0)</f>
        <v>0</v>
      </c>
      <c r="K1406" cm="1">
        <f t="array" ref="K1406">IFERROR(_xlfn.XLOOKUP(C1406&amp;A1406, Inside5!B:B&amp;Inside5!I:I, Inside5!G:G), 0)</f>
        <v>0</v>
      </c>
      <c r="L1406" cm="1">
        <f t="array" ref="L1406">IFERROR(_xlfn.XLOOKUP(C1406&amp;A1406, Inside5!B:B&amp;Inside5!I:I, Inside5!H:H), 0)</f>
        <v>0</v>
      </c>
      <c r="M1406" t="str" cm="1">
        <f t="array" ref="M1406">IFERROR(_xlfn.XLOOKUP(C1406&amp;A1406, TDrate!F:F&amp;TDrate!H:H, TDrate!B:B), "N/A")</f>
        <v>N/A</v>
      </c>
      <c r="N1406" t="str" cm="1">
        <f t="array" ref="N1406">IFERROR(_xlfn.XLOOKUP(C1406&amp;A1406, TDrate!F:F&amp;TDrate!H:H, TDrate!D:D), "N/A")</f>
        <v>N/A</v>
      </c>
    </row>
    <row r="1407" spans="1:14" x14ac:dyDescent="0.45">
      <c r="A1407" s="8">
        <v>2018</v>
      </c>
      <c r="B1407" s="9" t="s">
        <v>959</v>
      </c>
      <c r="C1407" s="10" t="str">
        <f t="shared" si="42"/>
        <v>Jonathan Stewart</v>
      </c>
      <c r="D1407" s="10" t="str">
        <f t="shared" si="43"/>
        <v>NYG</v>
      </c>
      <c r="E1407" cm="1">
        <f t="array" ref="E1407">IFERROR(_xlfn.XLOOKUP(C1407&amp;A1407, Inside5!B:B&amp;Inside5!I:I, Inside5!C:C), 0)</f>
        <v>0</v>
      </c>
      <c r="F1407" cm="1">
        <f t="array" ref="F1407">IFERROR(_xlfn.XLOOKUP(C1407&amp;A1407, Inside5!B:B&amp;Inside5!I:I, Inside5!D:D), 0)</f>
        <v>0</v>
      </c>
      <c r="G1407" cm="1">
        <f t="array" ref="G1407">IFERROR(_xlfn.XLOOKUP(C1407&amp;A1407, Inside5!B:B&amp;Inside5!I:I, Inside5!E:E), 0)</f>
        <v>0</v>
      </c>
      <c r="H1407" t="str" cm="1">
        <f t="array" ref="H1407">IFERROR(_xlfn.XLOOKUP(C1407&amp;A1407, TDrate!F:F&amp;TDrate!H:H, TDrate!C:C), "N/A")</f>
        <v>N/A</v>
      </c>
      <c r="I1407" t="str" cm="1">
        <f t="array" ref="I1407">IFERROR(_xlfn.XLOOKUP(C1407&amp;A1407, TDrate!F:F&amp;TDrate!H:H, TDrate!E:E), "N/A")</f>
        <v>N/A</v>
      </c>
      <c r="J1407" cm="1">
        <f t="array" ref="J1407">IFERROR(_xlfn.XLOOKUP(C1407&amp;A1407, Inside5!B:B&amp;Inside5!I:I, Inside5!F:F), 0)</f>
        <v>0</v>
      </c>
      <c r="K1407" cm="1">
        <f t="array" ref="K1407">IFERROR(_xlfn.XLOOKUP(C1407&amp;A1407, Inside5!B:B&amp;Inside5!I:I, Inside5!G:G), 0)</f>
        <v>0</v>
      </c>
      <c r="L1407" cm="1">
        <f t="array" ref="L1407">IFERROR(_xlfn.XLOOKUP(C1407&amp;A1407, Inside5!B:B&amp;Inside5!I:I, Inside5!H:H), 0)</f>
        <v>0</v>
      </c>
      <c r="M1407" t="str" cm="1">
        <f t="array" ref="M1407">IFERROR(_xlfn.XLOOKUP(C1407&amp;A1407, TDrate!F:F&amp;TDrate!H:H, TDrate!B:B), "N/A")</f>
        <v>N/A</v>
      </c>
      <c r="N1407" t="str" cm="1">
        <f t="array" ref="N1407">IFERROR(_xlfn.XLOOKUP(C1407&amp;A1407, TDrate!F:F&amp;TDrate!H:H, TDrate!D:D), "N/A")</f>
        <v>N/A</v>
      </c>
    </row>
    <row r="1408" spans="1:14" x14ac:dyDescent="0.45">
      <c r="A1408" s="5">
        <v>2018</v>
      </c>
      <c r="B1408" s="6" t="s">
        <v>972</v>
      </c>
      <c r="C1408" s="7" t="str">
        <f t="shared" si="42"/>
        <v>David Fluellen</v>
      </c>
      <c r="D1408" s="7" t="str">
        <f t="shared" si="43"/>
        <v>TEN</v>
      </c>
      <c r="E1408" cm="1">
        <f t="array" aca="1" ref="E1408" ca="1">IFERROR(_xlfn.XLOOKUP(C1408&amp;A1408, Inside5!B:B&amp;Inside5!I:I, Inside5!C:C), 0)</f>
        <v>0</v>
      </c>
      <c r="F1408" cm="1">
        <f t="array" aca="1" ref="F1408" ca="1">IFERROR(_xlfn.XLOOKUP(C1408&amp;A1408, Inside5!B:B&amp;Inside5!I:I, Inside5!D:D), 0)</f>
        <v>0</v>
      </c>
      <c r="G1408" cm="1">
        <f t="array" ref="G1408">IFERROR(_xlfn.XLOOKUP(C1408&amp;A1408, Inside5!B:B&amp;Inside5!I:I, Inside5!E:E), 0)</f>
        <v>0</v>
      </c>
      <c r="H1408" t="str" cm="1">
        <f t="array" ref="H1408">IFERROR(_xlfn.XLOOKUP(C1408&amp;A1408, TDrate!F:F&amp;TDrate!H:H, TDrate!C:C), "N/A")</f>
        <v>N/A</v>
      </c>
      <c r="I1408" t="str" cm="1">
        <f t="array" ref="I1408">IFERROR(_xlfn.XLOOKUP(C1408&amp;A1408, TDrate!F:F&amp;TDrate!H:H, TDrate!E:E), "N/A")</f>
        <v>N/A</v>
      </c>
      <c r="J1408" cm="1">
        <f t="array" ref="J1408">IFERROR(_xlfn.XLOOKUP(C1408&amp;A1408, Inside5!B:B&amp;Inside5!I:I, Inside5!F:F), 0)</f>
        <v>0</v>
      </c>
      <c r="K1408" cm="1">
        <f t="array" ref="K1408">IFERROR(_xlfn.XLOOKUP(C1408&amp;A1408, Inside5!B:B&amp;Inside5!I:I, Inside5!G:G), 0)</f>
        <v>0</v>
      </c>
      <c r="L1408" cm="1">
        <f t="array" ref="L1408">IFERROR(_xlfn.XLOOKUP(C1408&amp;A1408, Inside5!B:B&amp;Inside5!I:I, Inside5!H:H), 0)</f>
        <v>0</v>
      </c>
      <c r="M1408" t="str" cm="1">
        <f t="array" ref="M1408">IFERROR(_xlfn.XLOOKUP(C1408&amp;A1408, TDrate!F:F&amp;TDrate!H:H, TDrate!B:B), "N/A")</f>
        <v>N/A</v>
      </c>
      <c r="N1408" t="str" cm="1">
        <f t="array" ref="N1408">IFERROR(_xlfn.XLOOKUP(C1408&amp;A1408, TDrate!F:F&amp;TDrate!H:H, TDrate!D:D), "N/A")</f>
        <v>N/A</v>
      </c>
    </row>
    <row r="1409" spans="1:14" x14ac:dyDescent="0.45">
      <c r="A1409" s="8">
        <v>2018</v>
      </c>
      <c r="B1409" s="9" t="s">
        <v>1039</v>
      </c>
      <c r="C1409" s="10" t="str">
        <f t="shared" si="42"/>
        <v>Darius Jackson</v>
      </c>
      <c r="D1409" s="10" t="str">
        <f t="shared" si="43"/>
        <v>DAL</v>
      </c>
      <c r="E1409" cm="1">
        <f t="array" aca="1" ref="E1409" ca="1">IFERROR(_xlfn.XLOOKUP(C1409&amp;A1409, Inside5!B:B&amp;Inside5!I:I, Inside5!C:C), 0)</f>
        <v>0</v>
      </c>
      <c r="F1409" cm="1">
        <f t="array" aca="1" ref="F1409" ca="1">IFERROR(_xlfn.XLOOKUP(C1409&amp;A1409, Inside5!B:B&amp;Inside5!I:I, Inside5!D:D), 0)</f>
        <v>0</v>
      </c>
      <c r="G1409" cm="1">
        <f t="array" ref="G1409">IFERROR(_xlfn.XLOOKUP(C1409&amp;A1409, Inside5!B:B&amp;Inside5!I:I, Inside5!E:E), 0)</f>
        <v>0</v>
      </c>
      <c r="H1409" t="str" cm="1">
        <f t="array" ref="H1409">IFERROR(_xlfn.XLOOKUP(C1409&amp;A1409, TDrate!F:F&amp;TDrate!H:H, TDrate!C:C), "N/A")</f>
        <v>N/A</v>
      </c>
      <c r="I1409" t="str" cm="1">
        <f t="array" ref="I1409">IFERROR(_xlfn.XLOOKUP(C1409&amp;A1409, TDrate!F:F&amp;TDrate!H:H, TDrate!E:E), "N/A")</f>
        <v>N/A</v>
      </c>
      <c r="J1409" cm="1">
        <f t="array" ref="J1409">IFERROR(_xlfn.XLOOKUP(C1409&amp;A1409, Inside5!B:B&amp;Inside5!I:I, Inside5!F:F), 0)</f>
        <v>0</v>
      </c>
      <c r="K1409" cm="1">
        <f t="array" aca="1" ref="K1409" ca="1">IFERROR(_xlfn.XLOOKUP(C1409&amp;A1409, Inside5!B:B&amp;Inside5!I:I, Inside5!G:G), 0)</f>
        <v>0</v>
      </c>
      <c r="L1409" cm="1">
        <f t="array" ref="L1409">IFERROR(_xlfn.XLOOKUP(C1409&amp;A1409, Inside5!B:B&amp;Inside5!I:I, Inside5!H:H), 0)</f>
        <v>0</v>
      </c>
      <c r="M1409" t="str" cm="1">
        <f t="array" ref="M1409">IFERROR(_xlfn.XLOOKUP(C1409&amp;A1409, TDrate!F:F&amp;TDrate!H:H, TDrate!B:B), "N/A")</f>
        <v>N/A</v>
      </c>
      <c r="N1409" t="str" cm="1">
        <f t="array" ref="N1409">IFERROR(_xlfn.XLOOKUP(C1409&amp;A1409, TDrate!F:F&amp;TDrate!H:H, TDrate!D:D), "N/A")</f>
        <v>N/A</v>
      </c>
    </row>
    <row r="1410" spans="1:14" x14ac:dyDescent="0.45">
      <c r="A1410" s="5">
        <v>2018</v>
      </c>
      <c r="B1410" s="6" t="s">
        <v>1040</v>
      </c>
      <c r="C1410" s="7" t="str">
        <f t="shared" ref="C1410:C1441" si="44">TRIM(LEFT(B1410, LEN(B1410) - LEN(TRIM(RIGHT(SUBSTITUTE(TRIM(B1410)," ",REPT(" ",100)),100)))))</f>
        <v>Brandon Wilds</v>
      </c>
      <c r="D1410" s="7" t="str">
        <f t="shared" ref="D1410:D1441" si="45">MID(B1410, FIND("(", B1410) + 1, FIND(")", B1410) - FIND("(", B1410) - 1)</f>
        <v>JAC</v>
      </c>
      <c r="E1410" cm="1">
        <f t="array" aca="1" ref="E1410" ca="1">IFERROR(_xlfn.XLOOKUP(C1410&amp;A1410, Inside5!B:B&amp;Inside5!I:I, Inside5!C:C), 0)</f>
        <v>0</v>
      </c>
      <c r="F1410" cm="1">
        <f t="array" aca="1" ref="F1410" ca="1">IFERROR(_xlfn.XLOOKUP(C1410&amp;A1410, Inside5!B:B&amp;Inside5!I:I, Inside5!D:D), 0)</f>
        <v>0</v>
      </c>
      <c r="G1410" cm="1">
        <f t="array" ref="G1410">IFERROR(_xlfn.XLOOKUP(C1410&amp;A1410, Inside5!B:B&amp;Inside5!I:I, Inside5!E:E), 0)</f>
        <v>0</v>
      </c>
      <c r="H1410" t="str" cm="1">
        <f t="array" ref="H1410">IFERROR(_xlfn.XLOOKUP(C1410&amp;A1410, TDrate!F:F&amp;TDrate!H:H, TDrate!C:C), "N/A")</f>
        <v>N/A</v>
      </c>
      <c r="I1410" t="str" cm="1">
        <f t="array" ref="I1410">IFERROR(_xlfn.XLOOKUP(C1410&amp;A1410, TDrate!F:F&amp;TDrate!H:H, TDrate!E:E), "N/A")</f>
        <v>N/A</v>
      </c>
      <c r="J1410" cm="1">
        <f t="array" ref="J1410">IFERROR(_xlfn.XLOOKUP(C1410&amp;A1410, Inside5!B:B&amp;Inside5!I:I, Inside5!F:F), 0)</f>
        <v>0</v>
      </c>
      <c r="K1410" cm="1">
        <f t="array" aca="1" ref="K1410" ca="1">IFERROR(_xlfn.XLOOKUP(C1410&amp;A1410, Inside5!B:B&amp;Inside5!I:I, Inside5!G:G), 0)</f>
        <v>0</v>
      </c>
      <c r="L1410" cm="1">
        <f t="array" ref="L1410">IFERROR(_xlfn.XLOOKUP(C1410&amp;A1410, Inside5!B:B&amp;Inside5!I:I, Inside5!H:H), 0)</f>
        <v>0</v>
      </c>
      <c r="M1410" t="str" cm="1">
        <f t="array" ref="M1410">IFERROR(_xlfn.XLOOKUP(C1410&amp;A1410, TDrate!F:F&amp;TDrate!H:H, TDrate!B:B), "N/A")</f>
        <v>N/A</v>
      </c>
      <c r="N1410" t="str" cm="1">
        <f t="array" ref="N1410">IFERROR(_xlfn.XLOOKUP(C1410&amp;A1410, TDrate!F:F&amp;TDrate!H:H, TDrate!D:D), "N/A")</f>
        <v>N/A</v>
      </c>
    </row>
    <row r="1411" spans="1:14" x14ac:dyDescent="0.45">
      <c r="A1411" s="8">
        <v>2018</v>
      </c>
      <c r="B1411" s="9" t="s">
        <v>958</v>
      </c>
      <c r="C1411" s="10" t="str">
        <f t="shared" si="44"/>
        <v>Jamaal Charles</v>
      </c>
      <c r="D1411" s="10" t="str">
        <f t="shared" si="45"/>
        <v>JAC</v>
      </c>
      <c r="E1411" cm="1">
        <f t="array" aca="1" ref="E1411" ca="1">IFERROR(_xlfn.XLOOKUP(C1411&amp;A1411, Inside5!B:B&amp;Inside5!I:I, Inside5!C:C), 0)</f>
        <v>0</v>
      </c>
      <c r="F1411" cm="1">
        <f t="array" aca="1" ref="F1411" ca="1">IFERROR(_xlfn.XLOOKUP(C1411&amp;A1411, Inside5!B:B&amp;Inside5!I:I, Inside5!D:D), 0)</f>
        <v>0</v>
      </c>
      <c r="G1411" cm="1">
        <f t="array" ref="G1411">IFERROR(_xlfn.XLOOKUP(C1411&amp;A1411, Inside5!B:B&amp;Inside5!I:I, Inside5!E:E), 0)</f>
        <v>0</v>
      </c>
      <c r="H1411" t="str" cm="1">
        <f t="array" ref="H1411">IFERROR(_xlfn.XLOOKUP(C1411&amp;A1411, TDrate!F:F&amp;TDrate!H:H, TDrate!C:C), "N/A")</f>
        <v>N/A</v>
      </c>
      <c r="I1411" t="str" cm="1">
        <f t="array" ref="I1411">IFERROR(_xlfn.XLOOKUP(C1411&amp;A1411, TDrate!F:F&amp;TDrate!H:H, TDrate!E:E), "N/A")</f>
        <v>N/A</v>
      </c>
      <c r="J1411" cm="1">
        <f t="array" ref="J1411">IFERROR(_xlfn.XLOOKUP(C1411&amp;A1411, Inside5!B:B&amp;Inside5!I:I, Inside5!F:F), 0)</f>
        <v>0</v>
      </c>
      <c r="K1411" cm="1">
        <f t="array" aca="1" ref="K1411" ca="1">IFERROR(_xlfn.XLOOKUP(C1411&amp;A1411, Inside5!B:B&amp;Inside5!I:I, Inside5!G:G), 0)</f>
        <v>0</v>
      </c>
      <c r="L1411" cm="1">
        <f t="array" ref="L1411">IFERROR(_xlfn.XLOOKUP(C1411&amp;A1411, Inside5!B:B&amp;Inside5!I:I, Inside5!H:H), 0)</f>
        <v>0</v>
      </c>
      <c r="M1411" t="str" cm="1">
        <f t="array" ref="M1411">IFERROR(_xlfn.XLOOKUP(C1411&amp;A1411, TDrate!F:F&amp;TDrate!H:H, TDrate!B:B), "N/A")</f>
        <v>N/A</v>
      </c>
      <c r="N1411" t="str" cm="1">
        <f t="array" ref="N1411">IFERROR(_xlfn.XLOOKUP(C1411&amp;A1411, TDrate!F:F&amp;TDrate!H:H, TDrate!D:D), "N/A")</f>
        <v>N/A</v>
      </c>
    </row>
    <row r="1412" spans="1:14" x14ac:dyDescent="0.45">
      <c r="A1412" s="5">
        <v>2018</v>
      </c>
      <c r="B1412" s="6" t="s">
        <v>967</v>
      </c>
      <c r="C1412" s="7" t="str">
        <f t="shared" si="44"/>
        <v>Jamize Olawale</v>
      </c>
      <c r="D1412" s="7" t="str">
        <f t="shared" si="45"/>
        <v>DAL</v>
      </c>
      <c r="E1412" cm="1">
        <f t="array" aca="1" ref="E1412" ca="1">IFERROR(_xlfn.XLOOKUP(C1412&amp;A1412, Inside5!B:B&amp;Inside5!I:I, Inside5!C:C), 0)</f>
        <v>0</v>
      </c>
      <c r="F1412" cm="1">
        <f t="array" aca="1" ref="F1412" ca="1">IFERROR(_xlfn.XLOOKUP(C1412&amp;A1412, Inside5!B:B&amp;Inside5!I:I, Inside5!D:D), 0)</f>
        <v>0</v>
      </c>
      <c r="G1412" cm="1">
        <f t="array" ref="G1412">IFERROR(_xlfn.XLOOKUP(C1412&amp;A1412, Inside5!B:B&amp;Inside5!I:I, Inside5!E:E), 0)</f>
        <v>0</v>
      </c>
      <c r="H1412" t="str" cm="1">
        <f t="array" ref="H1412">IFERROR(_xlfn.XLOOKUP(C1412&amp;A1412, TDrate!F:F&amp;TDrate!H:H, TDrate!C:C), "N/A")</f>
        <v>N/A</v>
      </c>
      <c r="I1412" t="str" cm="1">
        <f t="array" ref="I1412">IFERROR(_xlfn.XLOOKUP(C1412&amp;A1412, TDrate!F:F&amp;TDrate!H:H, TDrate!E:E), "N/A")</f>
        <v>N/A</v>
      </c>
      <c r="J1412" cm="1">
        <f t="array" ref="J1412">IFERROR(_xlfn.XLOOKUP(C1412&amp;A1412, Inside5!B:B&amp;Inside5!I:I, Inside5!F:F), 0)</f>
        <v>0</v>
      </c>
      <c r="K1412" cm="1">
        <f t="array" aca="1" ref="K1412" ca="1">IFERROR(_xlfn.XLOOKUP(C1412&amp;A1412, Inside5!B:B&amp;Inside5!I:I, Inside5!G:G), 0)</f>
        <v>1</v>
      </c>
      <c r="L1412" cm="1">
        <f t="array" ref="L1412">IFERROR(_xlfn.XLOOKUP(C1412&amp;A1412, Inside5!B:B&amp;Inside5!I:I, Inside5!H:H), 0)</f>
        <v>0</v>
      </c>
      <c r="M1412" t="str" cm="1">
        <f t="array" ref="M1412">IFERROR(_xlfn.XLOOKUP(C1412&amp;A1412, TDrate!F:F&amp;TDrate!H:H, TDrate!B:B), "N/A")</f>
        <v>N/A</v>
      </c>
      <c r="N1412" t="str" cm="1">
        <f t="array" ref="N1412">IFERROR(_xlfn.XLOOKUP(C1412&amp;A1412, TDrate!F:F&amp;TDrate!H:H, TDrate!D:D), "N/A")</f>
        <v>N/A</v>
      </c>
    </row>
    <row r="1413" spans="1:14" x14ac:dyDescent="0.45">
      <c r="A1413" s="8">
        <v>2018</v>
      </c>
      <c r="B1413" s="9" t="s">
        <v>929</v>
      </c>
      <c r="C1413" s="10" t="str">
        <f t="shared" si="44"/>
        <v>Derek Watt</v>
      </c>
      <c r="D1413" s="10" t="str">
        <f t="shared" si="45"/>
        <v>LAC</v>
      </c>
      <c r="E1413" cm="1">
        <f t="array" ref="E1413">IFERROR(_xlfn.XLOOKUP(C1413&amp;A1413, Inside5!B:B&amp;Inside5!I:I, Inside5!C:C), 0)</f>
        <v>0</v>
      </c>
      <c r="F1413" cm="1">
        <f t="array" ref="F1413">IFERROR(_xlfn.XLOOKUP(C1413&amp;A1413, Inside5!B:B&amp;Inside5!I:I, Inside5!D:D), 0)</f>
        <v>0</v>
      </c>
      <c r="G1413" cm="1">
        <f t="array" ref="G1413">IFERROR(_xlfn.XLOOKUP(C1413&amp;A1413, Inside5!B:B&amp;Inside5!I:I, Inside5!E:E), 0)</f>
        <v>0</v>
      </c>
      <c r="H1413" t="str" cm="1">
        <f t="array" ref="H1413">IFERROR(_xlfn.XLOOKUP(C1413&amp;A1413, TDrate!F:F&amp;TDrate!H:H, TDrate!C:C), "N/A")</f>
        <v>N/A</v>
      </c>
      <c r="I1413" t="str" cm="1">
        <f t="array" ref="I1413">IFERROR(_xlfn.XLOOKUP(C1413&amp;A1413, TDrate!F:F&amp;TDrate!H:H, TDrate!E:E), "N/A")</f>
        <v>N/A</v>
      </c>
      <c r="J1413" cm="1">
        <f t="array" ref="J1413">IFERROR(_xlfn.XLOOKUP(C1413&amp;A1413, Inside5!B:B&amp;Inside5!I:I, Inside5!F:F), 0)</f>
        <v>0</v>
      </c>
      <c r="K1413" cm="1">
        <f t="array" aca="1" ref="K1413" ca="1">IFERROR(_xlfn.XLOOKUP(C1413&amp;A1413, Inside5!B:B&amp;Inside5!I:I, Inside5!G:G), 0)</f>
        <v>0</v>
      </c>
      <c r="L1413" cm="1">
        <f t="array" ref="L1413">IFERROR(_xlfn.XLOOKUP(C1413&amp;A1413, Inside5!B:B&amp;Inside5!I:I, Inside5!H:H), 0)</f>
        <v>0</v>
      </c>
      <c r="M1413" t="str" cm="1">
        <f t="array" ref="M1413">IFERROR(_xlfn.XLOOKUP(C1413&amp;A1413, TDrate!F:F&amp;TDrate!H:H, TDrate!B:B), "N/A")</f>
        <v>N/A</v>
      </c>
      <c r="N1413" t="str" cm="1">
        <f t="array" ref="N1413">IFERROR(_xlfn.XLOOKUP(C1413&amp;A1413, TDrate!F:F&amp;TDrate!H:H, TDrate!D:D), "N/A")</f>
        <v>N/A</v>
      </c>
    </row>
    <row r="1414" spans="1:14" x14ac:dyDescent="0.45">
      <c r="A1414" s="5">
        <v>2018</v>
      </c>
      <c r="B1414" s="6" t="s">
        <v>1041</v>
      </c>
      <c r="C1414" s="7" t="str">
        <f t="shared" si="44"/>
        <v>Ricky Ortiz</v>
      </c>
      <c r="D1414" s="7" t="str">
        <f t="shared" si="45"/>
        <v>ATL</v>
      </c>
      <c r="E1414" cm="1">
        <f t="array" aca="1" ref="E1414" ca="1">IFERROR(_xlfn.XLOOKUP(C1414&amp;A1414, Inside5!B:B&amp;Inside5!I:I, Inside5!C:C), 0)</f>
        <v>0</v>
      </c>
      <c r="F1414" cm="1">
        <f t="array" aca="1" ref="F1414" ca="1">IFERROR(_xlfn.XLOOKUP(C1414&amp;A1414, Inside5!B:B&amp;Inside5!I:I, Inside5!D:D), 0)</f>
        <v>0</v>
      </c>
      <c r="G1414" cm="1">
        <f t="array" ref="G1414">IFERROR(_xlfn.XLOOKUP(C1414&amp;A1414, Inside5!B:B&amp;Inside5!I:I, Inside5!E:E), 0)</f>
        <v>0</v>
      </c>
      <c r="H1414" t="str" cm="1">
        <f t="array" ref="H1414">IFERROR(_xlfn.XLOOKUP(C1414&amp;A1414, TDrate!F:F&amp;TDrate!H:H, TDrate!C:C), "N/A")</f>
        <v>N/A</v>
      </c>
      <c r="I1414" t="str" cm="1">
        <f t="array" ref="I1414">IFERROR(_xlfn.XLOOKUP(C1414&amp;A1414, TDrate!F:F&amp;TDrate!H:H, TDrate!E:E), "N/A")</f>
        <v>N/A</v>
      </c>
      <c r="J1414" cm="1">
        <f t="array" ref="J1414">IFERROR(_xlfn.XLOOKUP(C1414&amp;A1414, Inside5!B:B&amp;Inside5!I:I, Inside5!F:F), 0)</f>
        <v>0</v>
      </c>
      <c r="K1414" cm="1">
        <f t="array" ref="K1414">IFERROR(_xlfn.XLOOKUP(C1414&amp;A1414, Inside5!B:B&amp;Inside5!I:I, Inside5!G:G), 0)</f>
        <v>0</v>
      </c>
      <c r="L1414" cm="1">
        <f t="array" ref="L1414">IFERROR(_xlfn.XLOOKUP(C1414&amp;A1414, Inside5!B:B&amp;Inside5!I:I, Inside5!H:H), 0)</f>
        <v>0</v>
      </c>
      <c r="M1414" t="str" cm="1">
        <f t="array" ref="M1414">IFERROR(_xlfn.XLOOKUP(C1414&amp;A1414, TDrate!F:F&amp;TDrate!H:H, TDrate!B:B), "N/A")</f>
        <v>N/A</v>
      </c>
      <c r="N1414" t="str" cm="1">
        <f t="array" ref="N1414">IFERROR(_xlfn.XLOOKUP(C1414&amp;A1414, TDrate!F:F&amp;TDrate!H:H, TDrate!D:D), "N/A")</f>
        <v>N/A</v>
      </c>
    </row>
    <row r="1415" spans="1:14" x14ac:dyDescent="0.45">
      <c r="A1415" s="8">
        <v>2018</v>
      </c>
      <c r="B1415" s="9" t="s">
        <v>969</v>
      </c>
      <c r="C1415" s="10" t="str">
        <f t="shared" si="44"/>
        <v>Christine Michael</v>
      </c>
      <c r="D1415" s="10" t="str">
        <f t="shared" si="45"/>
        <v>IND</v>
      </c>
      <c r="E1415" cm="1">
        <f t="array" ref="E1415">IFERROR(_xlfn.XLOOKUP(C1415&amp;A1415, Inside5!B:B&amp;Inside5!I:I, Inside5!C:C), 0)</f>
        <v>0</v>
      </c>
      <c r="F1415" cm="1">
        <f t="array" aca="1" ref="F1415" ca="1">IFERROR(_xlfn.XLOOKUP(C1415&amp;A1415, Inside5!B:B&amp;Inside5!I:I, Inside5!D:D), 0)</f>
        <v>0</v>
      </c>
      <c r="G1415" cm="1">
        <f t="array" ref="G1415">IFERROR(_xlfn.XLOOKUP(C1415&amp;A1415, Inside5!B:B&amp;Inside5!I:I, Inside5!E:E), 0)</f>
        <v>0</v>
      </c>
      <c r="H1415" t="str" cm="1">
        <f t="array" ref="H1415">IFERROR(_xlfn.XLOOKUP(C1415&amp;A1415, TDrate!F:F&amp;TDrate!H:H, TDrate!C:C), "N/A")</f>
        <v>N/A</v>
      </c>
      <c r="I1415" t="str" cm="1">
        <f t="array" ref="I1415">IFERROR(_xlfn.XLOOKUP(C1415&amp;A1415, TDrate!F:F&amp;TDrate!H:H, TDrate!E:E), "N/A")</f>
        <v>N/A</v>
      </c>
      <c r="J1415" cm="1">
        <f t="array" ref="J1415">IFERROR(_xlfn.XLOOKUP(C1415&amp;A1415, Inside5!B:B&amp;Inside5!I:I, Inside5!F:F), 0)</f>
        <v>0</v>
      </c>
      <c r="K1415" cm="1">
        <f t="array" ref="K1415">IFERROR(_xlfn.XLOOKUP(C1415&amp;A1415, Inside5!B:B&amp;Inside5!I:I, Inside5!G:G), 0)</f>
        <v>0</v>
      </c>
      <c r="L1415" cm="1">
        <f t="array" ref="L1415">IFERROR(_xlfn.XLOOKUP(C1415&amp;A1415, Inside5!B:B&amp;Inside5!I:I, Inside5!H:H), 0)</f>
        <v>0</v>
      </c>
      <c r="M1415" t="str" cm="1">
        <f t="array" ref="M1415">IFERROR(_xlfn.XLOOKUP(C1415&amp;A1415, TDrate!F:F&amp;TDrate!H:H, TDrate!B:B), "N/A")</f>
        <v>N/A</v>
      </c>
      <c r="N1415" t="str" cm="1">
        <f t="array" ref="N1415">IFERROR(_xlfn.XLOOKUP(C1415&amp;A1415, TDrate!F:F&amp;TDrate!H:H, TDrate!D:D), "N/A")</f>
        <v>N/A</v>
      </c>
    </row>
    <row r="1416" spans="1:14" x14ac:dyDescent="0.45">
      <c r="A1416" s="5">
        <v>2018</v>
      </c>
      <c r="B1416" s="6" t="s">
        <v>852</v>
      </c>
      <c r="C1416" s="7" t="str">
        <f t="shared" si="44"/>
        <v>Ameer Abdullah</v>
      </c>
      <c r="D1416" s="7" t="str">
        <f t="shared" si="45"/>
        <v>MIN</v>
      </c>
      <c r="E1416" cm="1">
        <f t="array" ref="E1416">IFERROR(_xlfn.XLOOKUP(C1416&amp;A1416, Inside5!B:B&amp;Inside5!I:I, Inside5!C:C), 0)</f>
        <v>0</v>
      </c>
      <c r="F1416" cm="1">
        <f t="array" aca="1" ref="F1416" ca="1">IFERROR(_xlfn.XLOOKUP(C1416&amp;A1416, Inside5!B:B&amp;Inside5!I:I, Inside5!D:D), 0)</f>
        <v>0</v>
      </c>
      <c r="G1416" cm="1">
        <f t="array" ref="G1416">IFERROR(_xlfn.XLOOKUP(C1416&amp;A1416, Inside5!B:B&amp;Inside5!I:I, Inside5!E:E), 0)</f>
        <v>0</v>
      </c>
      <c r="H1416" t="str" cm="1">
        <f t="array" ref="H1416">IFERROR(_xlfn.XLOOKUP(C1416&amp;A1416, TDrate!F:F&amp;TDrate!H:H, TDrate!C:C), "N/A")</f>
        <v>N/A</v>
      </c>
      <c r="I1416" t="str" cm="1">
        <f t="array" ref="I1416">IFERROR(_xlfn.XLOOKUP(C1416&amp;A1416, TDrate!F:F&amp;TDrate!H:H, TDrate!E:E), "N/A")</f>
        <v>N/A</v>
      </c>
      <c r="J1416" cm="1">
        <f t="array" ref="J1416">IFERROR(_xlfn.XLOOKUP(C1416&amp;A1416, Inside5!B:B&amp;Inside5!I:I, Inside5!F:F), 0)</f>
        <v>0</v>
      </c>
      <c r="K1416" cm="1">
        <f t="array" aca="1" ref="K1416" ca="1">IFERROR(_xlfn.XLOOKUP(C1416&amp;A1416, Inside5!B:B&amp;Inside5!I:I, Inside5!G:G), 0)</f>
        <v>0</v>
      </c>
      <c r="L1416" cm="1">
        <f t="array" ref="L1416">IFERROR(_xlfn.XLOOKUP(C1416&amp;A1416, Inside5!B:B&amp;Inside5!I:I, Inside5!H:H), 0)</f>
        <v>0</v>
      </c>
      <c r="M1416" t="str" cm="1">
        <f t="array" ref="M1416">IFERROR(_xlfn.XLOOKUP(C1416&amp;A1416, TDrate!F:F&amp;TDrate!H:H, TDrate!B:B), "N/A")</f>
        <v>N/A</v>
      </c>
      <c r="N1416" t="str" cm="1">
        <f t="array" ref="N1416">IFERROR(_xlfn.XLOOKUP(C1416&amp;A1416, TDrate!F:F&amp;TDrate!H:H, TDrate!D:D), "N/A")</f>
        <v>N/A</v>
      </c>
    </row>
    <row r="1417" spans="1:14" x14ac:dyDescent="0.45">
      <c r="A1417" s="8">
        <v>2018</v>
      </c>
      <c r="B1417" s="9" t="s">
        <v>1042</v>
      </c>
      <c r="C1417" s="10" t="str">
        <f t="shared" si="44"/>
        <v>Robert Kelley</v>
      </c>
      <c r="D1417" s="10" t="str">
        <f t="shared" si="45"/>
        <v>WAS</v>
      </c>
      <c r="E1417" cm="1">
        <f t="array" aca="1" ref="E1417" ca="1">IFERROR(_xlfn.XLOOKUP(C1417&amp;A1417, Inside5!B:B&amp;Inside5!I:I, Inside5!C:C), 0)</f>
        <v>0</v>
      </c>
      <c r="F1417" cm="1">
        <f t="array" aca="1" ref="F1417" ca="1">IFERROR(_xlfn.XLOOKUP(C1417&amp;A1417, Inside5!B:B&amp;Inside5!I:I, Inside5!D:D), 0)</f>
        <v>0</v>
      </c>
      <c r="G1417" cm="1">
        <f t="array" ref="G1417">IFERROR(_xlfn.XLOOKUP(C1417&amp;A1417, Inside5!B:B&amp;Inside5!I:I, Inside5!E:E), 0)</f>
        <v>0</v>
      </c>
      <c r="H1417" t="str" cm="1">
        <f t="array" ref="H1417">IFERROR(_xlfn.XLOOKUP(C1417&amp;A1417, TDrate!F:F&amp;TDrate!H:H, TDrate!C:C), "N/A")</f>
        <v>N/A</v>
      </c>
      <c r="I1417" t="str" cm="1">
        <f t="array" ref="I1417">IFERROR(_xlfn.XLOOKUP(C1417&amp;A1417, TDrate!F:F&amp;TDrate!H:H, TDrate!E:E), "N/A")</f>
        <v>N/A</v>
      </c>
      <c r="J1417" cm="1">
        <f t="array" ref="J1417">IFERROR(_xlfn.XLOOKUP(C1417&amp;A1417, Inside5!B:B&amp;Inside5!I:I, Inside5!F:F), 0)</f>
        <v>0</v>
      </c>
      <c r="K1417" cm="1">
        <f t="array" ref="K1417">IFERROR(_xlfn.XLOOKUP(C1417&amp;A1417, Inside5!B:B&amp;Inside5!I:I, Inside5!G:G), 0)</f>
        <v>0</v>
      </c>
      <c r="L1417" cm="1">
        <f t="array" ref="L1417">IFERROR(_xlfn.XLOOKUP(C1417&amp;A1417, Inside5!B:B&amp;Inside5!I:I, Inside5!H:H), 0)</f>
        <v>0</v>
      </c>
      <c r="M1417" t="str" cm="1">
        <f t="array" ref="M1417">IFERROR(_xlfn.XLOOKUP(C1417&amp;A1417, TDrate!F:F&amp;TDrate!H:H, TDrate!B:B), "N/A")</f>
        <v>N/A</v>
      </c>
      <c r="N1417" t="str" cm="1">
        <f t="array" ref="N1417">IFERROR(_xlfn.XLOOKUP(C1417&amp;A1417, TDrate!F:F&amp;TDrate!H:H, TDrate!D:D), "N/A")</f>
        <v>N/A</v>
      </c>
    </row>
    <row r="1418" spans="1:14" x14ac:dyDescent="0.45">
      <c r="A1418" s="5">
        <v>2018</v>
      </c>
      <c r="B1418" s="6" t="s">
        <v>1043</v>
      </c>
      <c r="C1418" s="7" t="str">
        <f t="shared" si="44"/>
        <v>J.D. McKissic</v>
      </c>
      <c r="D1418" s="7" t="str">
        <f t="shared" si="45"/>
        <v>SEA</v>
      </c>
      <c r="E1418" cm="1">
        <f t="array" aca="1" ref="E1418" ca="1">IFERROR(_xlfn.XLOOKUP(C1418&amp;A1418, Inside5!B:B&amp;Inside5!I:I, Inside5!C:C), 0)</f>
        <v>0</v>
      </c>
      <c r="F1418" cm="1">
        <f t="array" aca="1" ref="F1418" ca="1">IFERROR(_xlfn.XLOOKUP(C1418&amp;A1418, Inside5!B:B&amp;Inside5!I:I, Inside5!D:D), 0)</f>
        <v>0</v>
      </c>
      <c r="G1418" cm="1">
        <f t="array" ref="G1418">IFERROR(_xlfn.XLOOKUP(C1418&amp;A1418, Inside5!B:B&amp;Inside5!I:I, Inside5!E:E), 0)</f>
        <v>0</v>
      </c>
      <c r="H1418" t="str" cm="1">
        <f t="array" ref="H1418">IFERROR(_xlfn.XLOOKUP(C1418&amp;A1418, TDrate!F:F&amp;TDrate!H:H, TDrate!C:C), "N/A")</f>
        <v>N/A</v>
      </c>
      <c r="I1418" t="str" cm="1">
        <f t="array" ref="I1418">IFERROR(_xlfn.XLOOKUP(C1418&amp;A1418, TDrate!F:F&amp;TDrate!H:H, TDrate!E:E), "N/A")</f>
        <v>N/A</v>
      </c>
      <c r="J1418" cm="1">
        <f t="array" ref="J1418">IFERROR(_xlfn.XLOOKUP(C1418&amp;A1418, Inside5!B:B&amp;Inside5!I:I, Inside5!F:F), 0)</f>
        <v>0</v>
      </c>
      <c r="K1418" cm="1">
        <f t="array" aca="1" ref="K1418" ca="1">IFERROR(_xlfn.XLOOKUP(C1418&amp;A1418, Inside5!B:B&amp;Inside5!I:I, Inside5!G:G), 0)</f>
        <v>0</v>
      </c>
      <c r="L1418" cm="1">
        <f t="array" ref="L1418">IFERROR(_xlfn.XLOOKUP(C1418&amp;A1418, Inside5!B:B&amp;Inside5!I:I, Inside5!H:H), 0)</f>
        <v>0</v>
      </c>
      <c r="M1418" t="str" cm="1">
        <f t="array" ref="M1418">IFERROR(_xlfn.XLOOKUP(C1418&amp;A1418, TDrate!F:F&amp;TDrate!H:H, TDrate!B:B), "N/A")</f>
        <v>N/A</v>
      </c>
      <c r="N1418" t="str" cm="1">
        <f t="array" ref="N1418">IFERROR(_xlfn.XLOOKUP(C1418&amp;A1418, TDrate!F:F&amp;TDrate!H:H, TDrate!D:D), "N/A")</f>
        <v>N/A</v>
      </c>
    </row>
    <row r="1419" spans="1:14" x14ac:dyDescent="0.45">
      <c r="A1419" s="8">
        <v>2018</v>
      </c>
      <c r="B1419" s="9" t="s">
        <v>1044</v>
      </c>
      <c r="C1419" s="10" t="str">
        <f t="shared" si="44"/>
        <v>Michael Burton</v>
      </c>
      <c r="D1419" s="10" t="str">
        <f t="shared" si="45"/>
        <v>CHI</v>
      </c>
      <c r="E1419" cm="1">
        <f t="array" aca="1" ref="E1419" ca="1">IFERROR(_xlfn.XLOOKUP(C1419&amp;A1419, Inside5!B:B&amp;Inside5!I:I, Inside5!C:C), 0)</f>
        <v>0</v>
      </c>
      <c r="F1419" cm="1">
        <f t="array" ref="F1419">IFERROR(_xlfn.XLOOKUP(C1419&amp;A1419, Inside5!B:B&amp;Inside5!I:I, Inside5!D:D), 0)</f>
        <v>0</v>
      </c>
      <c r="G1419" cm="1">
        <f t="array" ref="G1419">IFERROR(_xlfn.XLOOKUP(C1419&amp;A1419, Inside5!B:B&amp;Inside5!I:I, Inside5!E:E), 0)</f>
        <v>0</v>
      </c>
      <c r="H1419" t="str" cm="1">
        <f t="array" ref="H1419">IFERROR(_xlfn.XLOOKUP(C1419&amp;A1419, TDrate!F:F&amp;TDrate!H:H, TDrate!C:C), "N/A")</f>
        <v>N/A</v>
      </c>
      <c r="I1419" t="str" cm="1">
        <f t="array" ref="I1419">IFERROR(_xlfn.XLOOKUP(C1419&amp;A1419, TDrate!F:F&amp;TDrate!H:H, TDrate!E:E), "N/A")</f>
        <v>N/A</v>
      </c>
      <c r="J1419" cm="1">
        <f t="array" ref="J1419">IFERROR(_xlfn.XLOOKUP(C1419&amp;A1419, Inside5!B:B&amp;Inside5!I:I, Inside5!F:F), 0)</f>
        <v>0</v>
      </c>
      <c r="K1419" cm="1">
        <f t="array" ref="K1419">IFERROR(_xlfn.XLOOKUP(C1419&amp;A1419, Inside5!B:B&amp;Inside5!I:I, Inside5!G:G), 0)</f>
        <v>0</v>
      </c>
      <c r="L1419" cm="1">
        <f t="array" ref="L1419">IFERROR(_xlfn.XLOOKUP(C1419&amp;A1419, Inside5!B:B&amp;Inside5!I:I, Inside5!H:H), 0)</f>
        <v>0</v>
      </c>
      <c r="M1419" t="str" cm="1">
        <f t="array" ref="M1419">IFERROR(_xlfn.XLOOKUP(C1419&amp;A1419, TDrate!F:F&amp;TDrate!H:H, TDrate!B:B), "N/A")</f>
        <v>N/A</v>
      </c>
      <c r="N1419" t="str" cm="1">
        <f t="array" ref="N1419">IFERROR(_xlfn.XLOOKUP(C1419&amp;A1419, TDrate!F:F&amp;TDrate!H:H, TDrate!D:D), "N/A")</f>
        <v>N/A</v>
      </c>
    </row>
    <row r="1420" spans="1:14" x14ac:dyDescent="0.45">
      <c r="A1420" s="5">
        <v>2018</v>
      </c>
      <c r="B1420" s="6" t="s">
        <v>1045</v>
      </c>
      <c r="C1420" s="7" t="str">
        <f t="shared" si="44"/>
        <v>Jeremy McNichols</v>
      </c>
      <c r="D1420" s="7" t="str">
        <f t="shared" si="45"/>
        <v>IND</v>
      </c>
      <c r="E1420" cm="1">
        <f t="array" aca="1" ref="E1420" ca="1">IFERROR(_xlfn.XLOOKUP(C1420&amp;A1420, Inside5!B:B&amp;Inside5!I:I, Inside5!C:C), 0)</f>
        <v>0</v>
      </c>
      <c r="F1420" cm="1">
        <f t="array" aca="1" ref="F1420" ca="1">IFERROR(_xlfn.XLOOKUP(C1420&amp;A1420, Inside5!B:B&amp;Inside5!I:I, Inside5!D:D), 0)</f>
        <v>0</v>
      </c>
      <c r="G1420" cm="1">
        <f t="array" ref="G1420">IFERROR(_xlfn.XLOOKUP(C1420&amp;A1420, Inside5!B:B&amp;Inside5!I:I, Inside5!E:E), 0)</f>
        <v>0</v>
      </c>
      <c r="H1420" t="str" cm="1">
        <f t="array" ref="H1420">IFERROR(_xlfn.XLOOKUP(C1420&amp;A1420, TDrate!F:F&amp;TDrate!H:H, TDrate!C:C), "N/A")</f>
        <v>N/A</v>
      </c>
      <c r="I1420" t="str" cm="1">
        <f t="array" ref="I1420">IFERROR(_xlfn.XLOOKUP(C1420&amp;A1420, TDrate!F:F&amp;TDrate!H:H, TDrate!E:E), "N/A")</f>
        <v>N/A</v>
      </c>
      <c r="J1420" cm="1">
        <f t="array" ref="J1420">IFERROR(_xlfn.XLOOKUP(C1420&amp;A1420, Inside5!B:B&amp;Inside5!I:I, Inside5!F:F), 0)</f>
        <v>0</v>
      </c>
      <c r="K1420" cm="1">
        <f t="array" ref="K1420">IFERROR(_xlfn.XLOOKUP(C1420&amp;A1420, Inside5!B:B&amp;Inside5!I:I, Inside5!G:G), 0)</f>
        <v>0</v>
      </c>
      <c r="L1420" cm="1">
        <f t="array" ref="L1420">IFERROR(_xlfn.XLOOKUP(C1420&amp;A1420, Inside5!B:B&amp;Inside5!I:I, Inside5!H:H), 0)</f>
        <v>0</v>
      </c>
      <c r="M1420" t="str" cm="1">
        <f t="array" ref="M1420">IFERROR(_xlfn.XLOOKUP(C1420&amp;A1420, TDrate!F:F&amp;TDrate!H:H, TDrate!B:B), "N/A")</f>
        <v>N/A</v>
      </c>
      <c r="N1420" t="str" cm="1">
        <f t="array" ref="N1420">IFERROR(_xlfn.XLOOKUP(C1420&amp;A1420, TDrate!F:F&amp;TDrate!H:H, TDrate!D:D), "N/A")</f>
        <v>N/A</v>
      </c>
    </row>
    <row r="1421" spans="1:14" x14ac:dyDescent="0.45">
      <c r="A1421" s="8">
        <v>2018</v>
      </c>
      <c r="B1421" s="9" t="s">
        <v>930</v>
      </c>
      <c r="C1421" s="10" t="str">
        <f t="shared" si="44"/>
        <v>Danny Vitale</v>
      </c>
      <c r="D1421" s="10" t="str">
        <f t="shared" si="45"/>
        <v>GB</v>
      </c>
      <c r="E1421" cm="1">
        <f t="array" ref="E1421">IFERROR(_xlfn.XLOOKUP(C1421&amp;A1421, Inside5!B:B&amp;Inside5!I:I, Inside5!C:C), 0)</f>
        <v>0</v>
      </c>
      <c r="F1421" cm="1">
        <f t="array" ref="F1421">IFERROR(_xlfn.XLOOKUP(C1421&amp;A1421, Inside5!B:B&amp;Inside5!I:I, Inside5!D:D), 0)</f>
        <v>0</v>
      </c>
      <c r="G1421" cm="1">
        <f t="array" ref="G1421">IFERROR(_xlfn.XLOOKUP(C1421&amp;A1421, Inside5!B:B&amp;Inside5!I:I, Inside5!E:E), 0)</f>
        <v>0</v>
      </c>
      <c r="H1421" t="str" cm="1">
        <f t="array" ref="H1421">IFERROR(_xlfn.XLOOKUP(C1421&amp;A1421, TDrate!F:F&amp;TDrate!H:H, TDrate!C:C), "N/A")</f>
        <v>N/A</v>
      </c>
      <c r="I1421" t="str" cm="1">
        <f t="array" ref="I1421">IFERROR(_xlfn.XLOOKUP(C1421&amp;A1421, TDrate!F:F&amp;TDrate!H:H, TDrate!E:E), "N/A")</f>
        <v>N/A</v>
      </c>
      <c r="J1421" cm="1">
        <f t="array" ref="J1421">IFERROR(_xlfn.XLOOKUP(C1421&amp;A1421, Inside5!B:B&amp;Inside5!I:I, Inside5!F:F), 0)</f>
        <v>0</v>
      </c>
      <c r="K1421" cm="1">
        <f t="array" ref="K1421">IFERROR(_xlfn.XLOOKUP(C1421&amp;A1421, Inside5!B:B&amp;Inside5!I:I, Inside5!G:G), 0)</f>
        <v>1</v>
      </c>
      <c r="L1421" cm="1">
        <f t="array" ref="L1421">IFERROR(_xlfn.XLOOKUP(C1421&amp;A1421, Inside5!B:B&amp;Inside5!I:I, Inside5!H:H), 0)</f>
        <v>0</v>
      </c>
      <c r="M1421" t="str" cm="1">
        <f t="array" ref="M1421">IFERROR(_xlfn.XLOOKUP(C1421&amp;A1421, TDrate!F:F&amp;TDrate!H:H, TDrate!B:B), "N/A")</f>
        <v>N/A</v>
      </c>
      <c r="N1421" t="str" cm="1">
        <f t="array" ref="N1421">IFERROR(_xlfn.XLOOKUP(C1421&amp;A1421, TDrate!F:F&amp;TDrate!H:H, TDrate!D:D), "N/A")</f>
        <v>N/A</v>
      </c>
    </row>
    <row r="1422" spans="1:14" x14ac:dyDescent="0.45">
      <c r="A1422" s="5">
        <v>2018</v>
      </c>
      <c r="B1422" s="6" t="s">
        <v>1046</v>
      </c>
      <c r="C1422" s="7" t="str">
        <f t="shared" si="44"/>
        <v>Jonathan Williams</v>
      </c>
      <c r="D1422" s="7" t="str">
        <f t="shared" si="45"/>
        <v>NO</v>
      </c>
      <c r="E1422" cm="1">
        <f t="array" ref="E1422">IFERROR(_xlfn.XLOOKUP(C1422&amp;A1422, Inside5!B:B&amp;Inside5!I:I, Inside5!C:C), 0)</f>
        <v>0</v>
      </c>
      <c r="F1422" cm="1">
        <f t="array" ref="F1422">IFERROR(_xlfn.XLOOKUP(C1422&amp;A1422, Inside5!B:B&amp;Inside5!I:I, Inside5!D:D), 0)</f>
        <v>0</v>
      </c>
      <c r="G1422" cm="1">
        <f t="array" ref="G1422">IFERROR(_xlfn.XLOOKUP(C1422&amp;A1422, Inside5!B:B&amp;Inside5!I:I, Inside5!E:E), 0)</f>
        <v>0</v>
      </c>
      <c r="H1422" t="str" cm="1">
        <f t="array" ref="H1422">IFERROR(_xlfn.XLOOKUP(C1422&amp;A1422, TDrate!F:F&amp;TDrate!H:H, TDrate!C:C), "N/A")</f>
        <v>N/A</v>
      </c>
      <c r="I1422" t="str" cm="1">
        <f t="array" ref="I1422">IFERROR(_xlfn.XLOOKUP(C1422&amp;A1422, TDrate!F:F&amp;TDrate!H:H, TDrate!E:E), "N/A")</f>
        <v>N/A</v>
      </c>
      <c r="J1422" cm="1">
        <f t="array" ref="J1422">IFERROR(_xlfn.XLOOKUP(C1422&amp;A1422, Inside5!B:B&amp;Inside5!I:I, Inside5!F:F), 0)</f>
        <v>0</v>
      </c>
      <c r="K1422" cm="1">
        <f t="array" ref="K1422">IFERROR(_xlfn.XLOOKUP(C1422&amp;A1422, Inside5!B:B&amp;Inside5!I:I, Inside5!G:G), 0)</f>
        <v>0</v>
      </c>
      <c r="L1422" cm="1">
        <f t="array" ref="L1422">IFERROR(_xlfn.XLOOKUP(C1422&amp;A1422, Inside5!B:B&amp;Inside5!I:I, Inside5!H:H), 0)</f>
        <v>0</v>
      </c>
      <c r="M1422" t="str" cm="1">
        <f t="array" ref="M1422">IFERROR(_xlfn.XLOOKUP(C1422&amp;A1422, TDrate!F:F&amp;TDrate!H:H, TDrate!B:B), "N/A")</f>
        <v>N/A</v>
      </c>
      <c r="N1422" t="str" cm="1">
        <f t="array" ref="N1422">IFERROR(_xlfn.XLOOKUP(C1422&amp;A1422, TDrate!F:F&amp;TDrate!H:H, TDrate!D:D), "N/A")</f>
        <v>N/A</v>
      </c>
    </row>
    <row r="1423" spans="1:14" x14ac:dyDescent="0.45">
      <c r="A1423" s="8">
        <v>2018</v>
      </c>
      <c r="B1423" s="9" t="s">
        <v>715</v>
      </c>
      <c r="C1423" s="10" t="str">
        <f t="shared" si="44"/>
        <v>Taiwan Jones</v>
      </c>
      <c r="D1423" s="10" t="str">
        <f t="shared" si="45"/>
        <v>BUF</v>
      </c>
      <c r="E1423" cm="1">
        <f t="array" ref="E1423">IFERROR(_xlfn.XLOOKUP(C1423&amp;A1423, Inside5!B:B&amp;Inside5!I:I, Inside5!C:C), 0)</f>
        <v>0</v>
      </c>
      <c r="F1423" cm="1">
        <f t="array" aca="1" ref="F1423" ca="1">IFERROR(_xlfn.XLOOKUP(C1423&amp;A1423, Inside5!B:B&amp;Inside5!I:I, Inside5!D:D), 0)</f>
        <v>0</v>
      </c>
      <c r="G1423" cm="1">
        <f t="array" ref="G1423">IFERROR(_xlfn.XLOOKUP(C1423&amp;A1423, Inside5!B:B&amp;Inside5!I:I, Inside5!E:E), 0)</f>
        <v>0</v>
      </c>
      <c r="H1423" t="str" cm="1">
        <f t="array" ref="H1423">IFERROR(_xlfn.XLOOKUP(C1423&amp;A1423, TDrate!F:F&amp;TDrate!H:H, TDrate!C:C), "N/A")</f>
        <v>N/A</v>
      </c>
      <c r="I1423" t="str" cm="1">
        <f t="array" ref="I1423">IFERROR(_xlfn.XLOOKUP(C1423&amp;A1423, TDrate!F:F&amp;TDrate!H:H, TDrate!E:E), "N/A")</f>
        <v>N/A</v>
      </c>
      <c r="J1423" cm="1">
        <f t="array" ref="J1423">IFERROR(_xlfn.XLOOKUP(C1423&amp;A1423, Inside5!B:B&amp;Inside5!I:I, Inside5!F:F), 0)</f>
        <v>0</v>
      </c>
      <c r="K1423" cm="1">
        <f t="array" ref="K1423">IFERROR(_xlfn.XLOOKUP(C1423&amp;A1423, Inside5!B:B&amp;Inside5!I:I, Inside5!G:G), 0)</f>
        <v>0</v>
      </c>
      <c r="L1423" cm="1">
        <f t="array" ref="L1423">IFERROR(_xlfn.XLOOKUP(C1423&amp;A1423, Inside5!B:B&amp;Inside5!I:I, Inside5!H:H), 0)</f>
        <v>0</v>
      </c>
      <c r="M1423" t="str" cm="1">
        <f t="array" ref="M1423">IFERROR(_xlfn.XLOOKUP(C1423&amp;A1423, TDrate!F:F&amp;TDrate!H:H, TDrate!B:B), "N/A")</f>
        <v>N/A</v>
      </c>
      <c r="N1423" t="str" cm="1">
        <f t="array" ref="N1423">IFERROR(_xlfn.XLOOKUP(C1423&amp;A1423, TDrate!F:F&amp;TDrate!H:H, TDrate!D:D), "N/A")</f>
        <v>N/A</v>
      </c>
    </row>
    <row r="1424" spans="1:14" x14ac:dyDescent="0.45">
      <c r="A1424" s="5">
        <v>2018</v>
      </c>
      <c r="B1424" s="6" t="s">
        <v>1047</v>
      </c>
      <c r="C1424" s="7" t="str">
        <f t="shared" si="44"/>
        <v>Senorise Perry</v>
      </c>
      <c r="D1424" s="7" t="str">
        <f t="shared" si="45"/>
        <v>MIA</v>
      </c>
      <c r="E1424" cm="1">
        <f t="array" ref="E1424">IFERROR(_xlfn.XLOOKUP(C1424&amp;A1424, Inside5!B:B&amp;Inside5!I:I, Inside5!C:C), 0)</f>
        <v>0</v>
      </c>
      <c r="F1424" cm="1">
        <f t="array" ref="F1424">IFERROR(_xlfn.XLOOKUP(C1424&amp;A1424, Inside5!B:B&amp;Inside5!I:I, Inside5!D:D), 0)</f>
        <v>0</v>
      </c>
      <c r="G1424" cm="1">
        <f t="array" ref="G1424">IFERROR(_xlfn.XLOOKUP(C1424&amp;A1424, Inside5!B:B&amp;Inside5!I:I, Inside5!E:E), 0)</f>
        <v>0</v>
      </c>
      <c r="H1424" t="str" cm="1">
        <f t="array" ref="H1424">IFERROR(_xlfn.XLOOKUP(C1424&amp;A1424, TDrate!F:F&amp;TDrate!H:H, TDrate!C:C), "N/A")</f>
        <v>N/A</v>
      </c>
      <c r="I1424" t="str" cm="1">
        <f t="array" ref="I1424">IFERROR(_xlfn.XLOOKUP(C1424&amp;A1424, TDrate!F:F&amp;TDrate!H:H, TDrate!E:E), "N/A")</f>
        <v>N/A</v>
      </c>
      <c r="J1424" cm="1">
        <f t="array" ref="J1424">IFERROR(_xlfn.XLOOKUP(C1424&amp;A1424, Inside5!B:B&amp;Inside5!I:I, Inside5!F:F), 0)</f>
        <v>0</v>
      </c>
      <c r="K1424" cm="1">
        <f t="array" ref="K1424">IFERROR(_xlfn.XLOOKUP(C1424&amp;A1424, Inside5!B:B&amp;Inside5!I:I, Inside5!G:G), 0)</f>
        <v>0</v>
      </c>
      <c r="L1424" cm="1">
        <f t="array" ref="L1424">IFERROR(_xlfn.XLOOKUP(C1424&amp;A1424, Inside5!B:B&amp;Inside5!I:I, Inside5!H:H), 0)</f>
        <v>0</v>
      </c>
      <c r="M1424" t="str" cm="1">
        <f t="array" ref="M1424">IFERROR(_xlfn.XLOOKUP(C1424&amp;A1424, TDrate!F:F&amp;TDrate!H:H, TDrate!B:B), "N/A")</f>
        <v>N/A</v>
      </c>
      <c r="N1424" t="str" cm="1">
        <f t="array" ref="N1424">IFERROR(_xlfn.XLOOKUP(C1424&amp;A1424, TDrate!F:F&amp;TDrate!H:H, TDrate!D:D), "N/A")</f>
        <v>N/A</v>
      </c>
    </row>
    <row r="1425" spans="1:14" x14ac:dyDescent="0.45">
      <c r="A1425" s="8">
        <v>2018</v>
      </c>
      <c r="B1425" s="9" t="s">
        <v>1048</v>
      </c>
      <c r="C1425" s="10" t="str">
        <f t="shared" si="44"/>
        <v>Thomas Rawls</v>
      </c>
      <c r="D1425" s="10" t="str">
        <f t="shared" si="45"/>
        <v>CIN</v>
      </c>
      <c r="E1425" cm="1">
        <f t="array" aca="1" ref="E1425" ca="1">IFERROR(_xlfn.XLOOKUP(C1425&amp;A1425, Inside5!B:B&amp;Inside5!I:I, Inside5!C:C), 0)</f>
        <v>0</v>
      </c>
      <c r="F1425" cm="1">
        <f t="array" ref="F1425">IFERROR(_xlfn.XLOOKUP(C1425&amp;A1425, Inside5!B:B&amp;Inside5!I:I, Inside5!D:D), 0)</f>
        <v>0</v>
      </c>
      <c r="G1425" cm="1">
        <f t="array" ref="G1425">IFERROR(_xlfn.XLOOKUP(C1425&amp;A1425, Inside5!B:B&amp;Inside5!I:I, Inside5!E:E), 0)</f>
        <v>0</v>
      </c>
      <c r="H1425" t="str" cm="1">
        <f t="array" ref="H1425">IFERROR(_xlfn.XLOOKUP(C1425&amp;A1425, TDrate!F:F&amp;TDrate!H:H, TDrate!C:C), "N/A")</f>
        <v>N/A</v>
      </c>
      <c r="I1425" t="str" cm="1">
        <f t="array" ref="I1425">IFERROR(_xlfn.XLOOKUP(C1425&amp;A1425, TDrate!F:F&amp;TDrate!H:H, TDrate!E:E), "N/A")</f>
        <v>N/A</v>
      </c>
      <c r="J1425" cm="1">
        <f t="array" ref="J1425">IFERROR(_xlfn.XLOOKUP(C1425&amp;A1425, Inside5!B:B&amp;Inside5!I:I, Inside5!F:F), 0)</f>
        <v>0</v>
      </c>
      <c r="K1425" cm="1">
        <f t="array" ref="K1425">IFERROR(_xlfn.XLOOKUP(C1425&amp;A1425, Inside5!B:B&amp;Inside5!I:I, Inside5!G:G), 0)</f>
        <v>0</v>
      </c>
      <c r="L1425" cm="1">
        <f t="array" ref="L1425">IFERROR(_xlfn.XLOOKUP(C1425&amp;A1425, Inside5!B:B&amp;Inside5!I:I, Inside5!H:H), 0)</f>
        <v>0</v>
      </c>
      <c r="M1425" t="str" cm="1">
        <f t="array" ref="M1425">IFERROR(_xlfn.XLOOKUP(C1425&amp;A1425, TDrate!F:F&amp;TDrate!H:H, TDrate!B:B), "N/A")</f>
        <v>N/A</v>
      </c>
      <c r="N1425" t="str" cm="1">
        <f t="array" ref="N1425">IFERROR(_xlfn.XLOOKUP(C1425&amp;A1425, TDrate!F:F&amp;TDrate!H:H, TDrate!D:D), "N/A")</f>
        <v>N/A</v>
      </c>
    </row>
    <row r="1426" spans="1:14" x14ac:dyDescent="0.45">
      <c r="A1426" s="5">
        <v>2018</v>
      </c>
      <c r="B1426" s="6" t="s">
        <v>1049</v>
      </c>
      <c r="C1426" s="7" t="str">
        <f t="shared" si="44"/>
        <v>Tra Carson</v>
      </c>
      <c r="D1426" s="7" t="str">
        <f t="shared" si="45"/>
        <v>GB</v>
      </c>
      <c r="E1426" cm="1">
        <f t="array" aca="1" ref="E1426" ca="1">IFERROR(_xlfn.XLOOKUP(C1426&amp;A1426, Inside5!B:B&amp;Inside5!I:I, Inside5!C:C), 0)</f>
        <v>0</v>
      </c>
      <c r="F1426" cm="1">
        <f t="array" ref="F1426">IFERROR(_xlfn.XLOOKUP(C1426&amp;A1426, Inside5!B:B&amp;Inside5!I:I, Inside5!D:D), 0)</f>
        <v>0</v>
      </c>
      <c r="G1426" cm="1">
        <f t="array" ref="G1426">IFERROR(_xlfn.XLOOKUP(C1426&amp;A1426, Inside5!B:B&amp;Inside5!I:I, Inside5!E:E), 0)</f>
        <v>0</v>
      </c>
      <c r="H1426" t="str" cm="1">
        <f t="array" ref="H1426">IFERROR(_xlfn.XLOOKUP(C1426&amp;A1426, TDrate!F:F&amp;TDrate!H:H, TDrate!C:C), "N/A")</f>
        <v>N/A</v>
      </c>
      <c r="I1426" t="str" cm="1">
        <f t="array" ref="I1426">IFERROR(_xlfn.XLOOKUP(C1426&amp;A1426, TDrate!F:F&amp;TDrate!H:H, TDrate!E:E), "N/A")</f>
        <v>N/A</v>
      </c>
      <c r="J1426" cm="1">
        <f t="array" ref="J1426">IFERROR(_xlfn.XLOOKUP(C1426&amp;A1426, Inside5!B:B&amp;Inside5!I:I, Inside5!F:F), 0)</f>
        <v>0</v>
      </c>
      <c r="K1426" cm="1">
        <f t="array" ref="K1426">IFERROR(_xlfn.XLOOKUP(C1426&amp;A1426, Inside5!B:B&amp;Inside5!I:I, Inside5!G:G), 0)</f>
        <v>0</v>
      </c>
      <c r="L1426" cm="1">
        <f t="array" ref="L1426">IFERROR(_xlfn.XLOOKUP(C1426&amp;A1426, Inside5!B:B&amp;Inside5!I:I, Inside5!H:H), 0)</f>
        <v>0</v>
      </c>
      <c r="M1426" t="str" cm="1">
        <f t="array" ref="M1426">IFERROR(_xlfn.XLOOKUP(C1426&amp;A1426, TDrate!F:F&amp;TDrate!H:H, TDrate!B:B), "N/A")</f>
        <v>N/A</v>
      </c>
      <c r="N1426" t="str" cm="1">
        <f t="array" ref="N1426">IFERROR(_xlfn.XLOOKUP(C1426&amp;A1426, TDrate!F:F&amp;TDrate!H:H, TDrate!D:D), "N/A")</f>
        <v>N/A</v>
      </c>
    </row>
    <row r="1427" spans="1:14" x14ac:dyDescent="0.45">
      <c r="A1427" s="8">
        <v>2018</v>
      </c>
      <c r="B1427" s="9" t="s">
        <v>982</v>
      </c>
      <c r="C1427" s="10" t="str">
        <f t="shared" si="44"/>
        <v>Joe Williams</v>
      </c>
      <c r="D1427" s="10" t="str">
        <f t="shared" si="45"/>
        <v>NO</v>
      </c>
      <c r="E1427" cm="1">
        <f t="array" aca="1" ref="E1427" ca="1">IFERROR(_xlfn.XLOOKUP(C1427&amp;A1427, Inside5!B:B&amp;Inside5!I:I, Inside5!C:C), 0)</f>
        <v>0</v>
      </c>
      <c r="F1427" cm="1">
        <f t="array" aca="1" ref="F1427" ca="1">IFERROR(_xlfn.XLOOKUP(C1427&amp;A1427, Inside5!B:B&amp;Inside5!I:I, Inside5!D:D), 0)</f>
        <v>0</v>
      </c>
      <c r="G1427" cm="1">
        <f t="array" ref="G1427">IFERROR(_xlfn.XLOOKUP(C1427&amp;A1427, Inside5!B:B&amp;Inside5!I:I, Inside5!E:E), 0)</f>
        <v>0</v>
      </c>
      <c r="H1427" t="str" cm="1">
        <f t="array" ref="H1427">IFERROR(_xlfn.XLOOKUP(C1427&amp;A1427, TDrate!F:F&amp;TDrate!H:H, TDrate!C:C), "N/A")</f>
        <v>N/A</v>
      </c>
      <c r="I1427" t="str" cm="1">
        <f t="array" ref="I1427">IFERROR(_xlfn.XLOOKUP(C1427&amp;A1427, TDrate!F:F&amp;TDrate!H:H, TDrate!E:E), "N/A")</f>
        <v>N/A</v>
      </c>
      <c r="J1427" cm="1">
        <f t="array" ref="J1427">IFERROR(_xlfn.XLOOKUP(C1427&amp;A1427, Inside5!B:B&amp;Inside5!I:I, Inside5!F:F), 0)</f>
        <v>0</v>
      </c>
      <c r="K1427" cm="1">
        <f t="array" ref="K1427">IFERROR(_xlfn.XLOOKUP(C1427&amp;A1427, Inside5!B:B&amp;Inside5!I:I, Inside5!G:G), 0)</f>
        <v>0</v>
      </c>
      <c r="L1427" cm="1">
        <f t="array" ref="L1427">IFERROR(_xlfn.XLOOKUP(C1427&amp;A1427, Inside5!B:B&amp;Inside5!I:I, Inside5!H:H), 0)</f>
        <v>0</v>
      </c>
      <c r="M1427" t="str" cm="1">
        <f t="array" ref="M1427">IFERROR(_xlfn.XLOOKUP(C1427&amp;A1427, TDrate!F:F&amp;TDrate!H:H, TDrate!B:B), "N/A")</f>
        <v>N/A</v>
      </c>
      <c r="N1427" t="str" cm="1">
        <f t="array" ref="N1427">IFERROR(_xlfn.XLOOKUP(C1427&amp;A1427, TDrate!F:F&amp;TDrate!H:H, TDrate!D:D), "N/A")</f>
        <v>N/A</v>
      </c>
    </row>
    <row r="1428" spans="1:14" x14ac:dyDescent="0.45">
      <c r="A1428" s="5">
        <v>2018</v>
      </c>
      <c r="B1428" s="6" t="s">
        <v>1050</v>
      </c>
      <c r="C1428" s="7" t="str">
        <f t="shared" si="44"/>
        <v>Matt Dayes</v>
      </c>
      <c r="D1428" s="7" t="str">
        <f t="shared" si="45"/>
        <v>SF</v>
      </c>
      <c r="E1428" cm="1">
        <f t="array" ref="E1428">IFERROR(_xlfn.XLOOKUP(C1428&amp;A1428, Inside5!B:B&amp;Inside5!I:I, Inside5!C:C), 0)</f>
        <v>0</v>
      </c>
      <c r="F1428" cm="1">
        <f t="array" ref="F1428">IFERROR(_xlfn.XLOOKUP(C1428&amp;A1428, Inside5!B:B&amp;Inside5!I:I, Inside5!D:D), 0)</f>
        <v>0</v>
      </c>
      <c r="G1428" cm="1">
        <f t="array" ref="G1428">IFERROR(_xlfn.XLOOKUP(C1428&amp;A1428, Inside5!B:B&amp;Inside5!I:I, Inside5!E:E), 0)</f>
        <v>0</v>
      </c>
      <c r="H1428" t="str" cm="1">
        <f t="array" ref="H1428">IFERROR(_xlfn.XLOOKUP(C1428&amp;A1428, TDrate!F:F&amp;TDrate!H:H, TDrate!C:C), "N/A")</f>
        <v>N/A</v>
      </c>
      <c r="I1428" t="str" cm="1">
        <f t="array" ref="I1428">IFERROR(_xlfn.XLOOKUP(C1428&amp;A1428, TDrate!F:F&amp;TDrate!H:H, TDrate!E:E), "N/A")</f>
        <v>N/A</v>
      </c>
      <c r="J1428" cm="1">
        <f t="array" ref="J1428">IFERROR(_xlfn.XLOOKUP(C1428&amp;A1428, Inside5!B:B&amp;Inside5!I:I, Inside5!F:F), 0)</f>
        <v>0</v>
      </c>
      <c r="K1428" cm="1">
        <f t="array" aca="1" ref="K1428" ca="1">IFERROR(_xlfn.XLOOKUP(C1428&amp;A1428, Inside5!B:B&amp;Inside5!I:I, Inside5!G:G), 0)</f>
        <v>0</v>
      </c>
      <c r="L1428" cm="1">
        <f t="array" ref="L1428">IFERROR(_xlfn.XLOOKUP(C1428&amp;A1428, Inside5!B:B&amp;Inside5!I:I, Inside5!H:H), 0)</f>
        <v>0</v>
      </c>
      <c r="M1428" t="str" cm="1">
        <f t="array" ref="M1428">IFERROR(_xlfn.XLOOKUP(C1428&amp;A1428, TDrate!F:F&amp;TDrate!H:H, TDrate!B:B), "N/A")</f>
        <v>N/A</v>
      </c>
      <c r="N1428" t="str" cm="1">
        <f t="array" ref="N1428">IFERROR(_xlfn.XLOOKUP(C1428&amp;A1428, TDrate!F:F&amp;TDrate!H:H, TDrate!D:D), "N/A")</f>
        <v>N/A</v>
      </c>
    </row>
    <row r="1429" spans="1:14" x14ac:dyDescent="0.45">
      <c r="A1429" s="8">
        <v>2018</v>
      </c>
      <c r="B1429" s="9" t="s">
        <v>914</v>
      </c>
      <c r="C1429" s="10" t="str">
        <f t="shared" si="44"/>
        <v>Dare Ogunbowale</v>
      </c>
      <c r="D1429" s="10" t="str">
        <f t="shared" si="45"/>
        <v>TB</v>
      </c>
      <c r="E1429" cm="1">
        <f t="array" ref="E1429">IFERROR(_xlfn.XLOOKUP(C1429&amp;A1429, Inside5!B:B&amp;Inside5!I:I, Inside5!C:C), 0)</f>
        <v>0</v>
      </c>
      <c r="F1429" cm="1">
        <f t="array" ref="F1429">IFERROR(_xlfn.XLOOKUP(C1429&amp;A1429, Inside5!B:B&amp;Inside5!I:I, Inside5!D:D), 0)</f>
        <v>0</v>
      </c>
      <c r="G1429" cm="1">
        <f t="array" ref="G1429">IFERROR(_xlfn.XLOOKUP(C1429&amp;A1429, Inside5!B:B&amp;Inside5!I:I, Inside5!E:E), 0)</f>
        <v>0</v>
      </c>
      <c r="H1429" t="str" cm="1">
        <f t="array" ref="H1429">IFERROR(_xlfn.XLOOKUP(C1429&amp;A1429, TDrate!F:F&amp;TDrate!H:H, TDrate!C:C), "N/A")</f>
        <v>N/A</v>
      </c>
      <c r="I1429" t="str" cm="1">
        <f t="array" ref="I1429">IFERROR(_xlfn.XLOOKUP(C1429&amp;A1429, TDrate!F:F&amp;TDrate!H:H, TDrate!E:E), "N/A")</f>
        <v>N/A</v>
      </c>
      <c r="J1429" cm="1">
        <f t="array" ref="J1429">IFERROR(_xlfn.XLOOKUP(C1429&amp;A1429, Inside5!B:B&amp;Inside5!I:I, Inside5!F:F), 0)</f>
        <v>0</v>
      </c>
      <c r="K1429" cm="1">
        <f t="array" ref="K1429">IFERROR(_xlfn.XLOOKUP(C1429&amp;A1429, Inside5!B:B&amp;Inside5!I:I, Inside5!G:G), 0)</f>
        <v>0</v>
      </c>
      <c r="L1429" cm="1">
        <f t="array" ref="L1429">IFERROR(_xlfn.XLOOKUP(C1429&amp;A1429, Inside5!B:B&amp;Inside5!I:I, Inside5!H:H), 0)</f>
        <v>0</v>
      </c>
      <c r="M1429" t="str" cm="1">
        <f t="array" ref="M1429">IFERROR(_xlfn.XLOOKUP(C1429&amp;A1429, TDrate!F:F&amp;TDrate!H:H, TDrate!B:B), "N/A")</f>
        <v>N/A</v>
      </c>
      <c r="N1429" t="str" cm="1">
        <f t="array" ref="N1429">IFERROR(_xlfn.XLOOKUP(C1429&amp;A1429, TDrate!F:F&amp;TDrate!H:H, TDrate!D:D), "N/A")</f>
        <v>N/A</v>
      </c>
    </row>
    <row r="1430" spans="1:14" x14ac:dyDescent="0.45">
      <c r="A1430" s="5">
        <v>2018</v>
      </c>
      <c r="B1430" s="6" t="s">
        <v>1051</v>
      </c>
      <c r="C1430" s="7" t="str">
        <f t="shared" si="44"/>
        <v>Shane Smith</v>
      </c>
      <c r="D1430" s="7" t="str">
        <f t="shared" si="45"/>
        <v>NYG</v>
      </c>
      <c r="E1430" cm="1">
        <f t="array" ref="E1430">IFERROR(_xlfn.XLOOKUP(C1430&amp;A1430, Inside5!B:B&amp;Inside5!I:I, Inside5!C:C), 0)</f>
        <v>0</v>
      </c>
      <c r="F1430" cm="1">
        <f t="array" ref="F1430">IFERROR(_xlfn.XLOOKUP(C1430&amp;A1430, Inside5!B:B&amp;Inside5!I:I, Inside5!D:D), 0)</f>
        <v>0</v>
      </c>
      <c r="G1430" cm="1">
        <f t="array" ref="G1430">IFERROR(_xlfn.XLOOKUP(C1430&amp;A1430, Inside5!B:B&amp;Inside5!I:I, Inside5!E:E), 0)</f>
        <v>0</v>
      </c>
      <c r="H1430" t="str" cm="1">
        <f t="array" ref="H1430">IFERROR(_xlfn.XLOOKUP(C1430&amp;A1430, TDrate!F:F&amp;TDrate!H:H, TDrate!C:C), "N/A")</f>
        <v>N/A</v>
      </c>
      <c r="I1430" t="str" cm="1">
        <f t="array" ref="I1430">IFERROR(_xlfn.XLOOKUP(C1430&amp;A1430, TDrate!F:F&amp;TDrate!H:H, TDrate!E:E), "N/A")</f>
        <v>N/A</v>
      </c>
      <c r="J1430" cm="1">
        <f t="array" ref="J1430">IFERROR(_xlfn.XLOOKUP(C1430&amp;A1430, Inside5!B:B&amp;Inside5!I:I, Inside5!F:F), 0)</f>
        <v>0</v>
      </c>
      <c r="K1430" cm="1">
        <f t="array" ref="K1430">IFERROR(_xlfn.XLOOKUP(C1430&amp;A1430, Inside5!B:B&amp;Inside5!I:I, Inside5!G:G), 0)</f>
        <v>0</v>
      </c>
      <c r="L1430" cm="1">
        <f t="array" ref="L1430">IFERROR(_xlfn.XLOOKUP(C1430&amp;A1430, Inside5!B:B&amp;Inside5!I:I, Inside5!H:H), 0)</f>
        <v>0</v>
      </c>
      <c r="M1430" t="str" cm="1">
        <f t="array" ref="M1430">IFERROR(_xlfn.XLOOKUP(C1430&amp;A1430, TDrate!F:F&amp;TDrate!H:H, TDrate!B:B), "N/A")</f>
        <v>N/A</v>
      </c>
      <c r="N1430" t="str" cm="1">
        <f t="array" ref="N1430">IFERROR(_xlfn.XLOOKUP(C1430&amp;A1430, TDrate!F:F&amp;TDrate!H:H, TDrate!D:D), "N/A")</f>
        <v>N/A</v>
      </c>
    </row>
    <row r="1431" spans="1:14" x14ac:dyDescent="0.45">
      <c r="A1431" s="8">
        <v>2018</v>
      </c>
      <c r="B1431" s="9" t="s">
        <v>437</v>
      </c>
      <c r="C1431" s="10" t="str">
        <f t="shared" si="44"/>
        <v>Patrick Ricard</v>
      </c>
      <c r="D1431" s="10" t="str">
        <f t="shared" si="45"/>
        <v>BAL</v>
      </c>
      <c r="E1431" cm="1">
        <f t="array" aca="1" ref="E1431" ca="1">IFERROR(_xlfn.XLOOKUP(C1431&amp;A1431, Inside5!B:B&amp;Inside5!I:I, Inside5!C:C), 0)</f>
        <v>0</v>
      </c>
      <c r="F1431" cm="1">
        <f t="array" ref="F1431">IFERROR(_xlfn.XLOOKUP(C1431&amp;A1431, Inside5!B:B&amp;Inside5!I:I, Inside5!D:D), 0)</f>
        <v>0</v>
      </c>
      <c r="G1431" cm="1">
        <f t="array" ref="G1431">IFERROR(_xlfn.XLOOKUP(C1431&amp;A1431, Inside5!B:B&amp;Inside5!I:I, Inside5!E:E), 0)</f>
        <v>0</v>
      </c>
      <c r="H1431" t="str" cm="1">
        <f t="array" ref="H1431">IFERROR(_xlfn.XLOOKUP(C1431&amp;A1431, TDrate!F:F&amp;TDrate!H:H, TDrate!C:C), "N/A")</f>
        <v>N/A</v>
      </c>
      <c r="I1431" t="str" cm="1">
        <f t="array" ref="I1431">IFERROR(_xlfn.XLOOKUP(C1431&amp;A1431, TDrate!F:F&amp;TDrate!H:H, TDrate!E:E), "N/A")</f>
        <v>N/A</v>
      </c>
      <c r="J1431" cm="1">
        <f t="array" ref="J1431">IFERROR(_xlfn.XLOOKUP(C1431&amp;A1431, Inside5!B:B&amp;Inside5!I:I, Inside5!F:F), 0)</f>
        <v>0</v>
      </c>
      <c r="K1431" cm="1">
        <f t="array" ref="K1431">IFERROR(_xlfn.XLOOKUP(C1431&amp;A1431, Inside5!B:B&amp;Inside5!I:I, Inside5!G:G), 0)</f>
        <v>0</v>
      </c>
      <c r="L1431" cm="1">
        <f t="array" ref="L1431">IFERROR(_xlfn.XLOOKUP(C1431&amp;A1431, Inside5!B:B&amp;Inside5!I:I, Inside5!H:H), 0)</f>
        <v>0</v>
      </c>
      <c r="M1431" t="str" cm="1">
        <f t="array" ref="M1431">IFERROR(_xlfn.XLOOKUP(C1431&amp;A1431, TDrate!F:F&amp;TDrate!H:H, TDrate!B:B), "N/A")</f>
        <v>N/A</v>
      </c>
      <c r="N1431" t="str" cm="1">
        <f t="array" ref="N1431">IFERROR(_xlfn.XLOOKUP(C1431&amp;A1431, TDrate!F:F&amp;TDrate!H:H, TDrate!D:D), "N/A")</f>
        <v>N/A</v>
      </c>
    </row>
    <row r="1432" spans="1:14" x14ac:dyDescent="0.45">
      <c r="A1432" s="5">
        <v>2018</v>
      </c>
      <c r="B1432" s="6" t="s">
        <v>800</v>
      </c>
      <c r="C1432" s="7" t="str">
        <f t="shared" si="44"/>
        <v>Trey Edmunds</v>
      </c>
      <c r="D1432" s="7" t="str">
        <f t="shared" si="45"/>
        <v>PIT</v>
      </c>
      <c r="E1432" cm="1">
        <f t="array" aca="1" ref="E1432" ca="1">IFERROR(_xlfn.XLOOKUP(C1432&amp;A1432, Inside5!B:B&amp;Inside5!I:I, Inside5!C:C), 0)</f>
        <v>0</v>
      </c>
      <c r="F1432" cm="1">
        <f t="array" aca="1" ref="F1432" ca="1">IFERROR(_xlfn.XLOOKUP(C1432&amp;A1432, Inside5!B:B&amp;Inside5!I:I, Inside5!D:D), 0)</f>
        <v>0</v>
      </c>
      <c r="G1432" cm="1">
        <f t="array" ref="G1432">IFERROR(_xlfn.XLOOKUP(C1432&amp;A1432, Inside5!B:B&amp;Inside5!I:I, Inside5!E:E), 0)</f>
        <v>0</v>
      </c>
      <c r="H1432" t="str" cm="1">
        <f t="array" ref="H1432">IFERROR(_xlfn.XLOOKUP(C1432&amp;A1432, TDrate!F:F&amp;TDrate!H:H, TDrate!C:C), "N/A")</f>
        <v>N/A</v>
      </c>
      <c r="I1432" t="str" cm="1">
        <f t="array" ref="I1432">IFERROR(_xlfn.XLOOKUP(C1432&amp;A1432, TDrate!F:F&amp;TDrate!H:H, TDrate!E:E), "N/A")</f>
        <v>N/A</v>
      </c>
      <c r="J1432" cm="1">
        <f t="array" ref="J1432">IFERROR(_xlfn.XLOOKUP(C1432&amp;A1432, Inside5!B:B&amp;Inside5!I:I, Inside5!F:F), 0)</f>
        <v>0</v>
      </c>
      <c r="K1432" cm="1">
        <f t="array" aca="1" ref="K1432" ca="1">IFERROR(_xlfn.XLOOKUP(C1432&amp;A1432, Inside5!B:B&amp;Inside5!I:I, Inside5!G:G), 0)</f>
        <v>0</v>
      </c>
      <c r="L1432" cm="1">
        <f t="array" ref="L1432">IFERROR(_xlfn.XLOOKUP(C1432&amp;A1432, Inside5!B:B&amp;Inside5!I:I, Inside5!H:H), 0)</f>
        <v>0</v>
      </c>
      <c r="M1432" t="str" cm="1">
        <f t="array" ref="M1432">IFERROR(_xlfn.XLOOKUP(C1432&amp;A1432, TDrate!F:F&amp;TDrate!H:H, TDrate!B:B), "N/A")</f>
        <v>N/A</v>
      </c>
      <c r="N1432" t="str" cm="1">
        <f t="array" ref="N1432">IFERROR(_xlfn.XLOOKUP(C1432&amp;A1432, TDrate!F:F&amp;TDrate!H:H, TDrate!D:D), "N/A")</f>
        <v>N/A</v>
      </c>
    </row>
    <row r="1433" spans="1:14" x14ac:dyDescent="0.45">
      <c r="A1433" s="8">
        <v>2018</v>
      </c>
      <c r="B1433" s="9" t="s">
        <v>984</v>
      </c>
      <c r="C1433" s="10" t="str">
        <f t="shared" si="44"/>
        <v>Lavon Coleman</v>
      </c>
      <c r="D1433" s="10" t="str">
        <f t="shared" si="45"/>
        <v>GB</v>
      </c>
      <c r="E1433" cm="1">
        <f t="array" aca="1" ref="E1433" ca="1">IFERROR(_xlfn.XLOOKUP(C1433&amp;A1433, Inside5!B:B&amp;Inside5!I:I, Inside5!C:C), 0)</f>
        <v>0</v>
      </c>
      <c r="F1433" cm="1">
        <f t="array" ref="F1433">IFERROR(_xlfn.XLOOKUP(C1433&amp;A1433, Inside5!B:B&amp;Inside5!I:I, Inside5!D:D), 0)</f>
        <v>0</v>
      </c>
      <c r="G1433" cm="1">
        <f t="array" ref="G1433">IFERROR(_xlfn.XLOOKUP(C1433&amp;A1433, Inside5!B:B&amp;Inside5!I:I, Inside5!E:E), 0)</f>
        <v>0</v>
      </c>
      <c r="H1433" t="str" cm="1">
        <f t="array" ref="H1433">IFERROR(_xlfn.XLOOKUP(C1433&amp;A1433, TDrate!F:F&amp;TDrate!H:H, TDrate!C:C), "N/A")</f>
        <v>N/A</v>
      </c>
      <c r="I1433" t="str" cm="1">
        <f t="array" ref="I1433">IFERROR(_xlfn.XLOOKUP(C1433&amp;A1433, TDrate!F:F&amp;TDrate!H:H, TDrate!E:E), "N/A")</f>
        <v>N/A</v>
      </c>
      <c r="J1433" cm="1">
        <f t="array" ref="J1433">IFERROR(_xlfn.XLOOKUP(C1433&amp;A1433, Inside5!B:B&amp;Inside5!I:I, Inside5!F:F), 0)</f>
        <v>0</v>
      </c>
      <c r="K1433" cm="1">
        <f t="array" ref="K1433">IFERROR(_xlfn.XLOOKUP(C1433&amp;A1433, Inside5!B:B&amp;Inside5!I:I, Inside5!G:G), 0)</f>
        <v>0</v>
      </c>
      <c r="L1433" cm="1">
        <f t="array" ref="L1433">IFERROR(_xlfn.XLOOKUP(C1433&amp;A1433, Inside5!B:B&amp;Inside5!I:I, Inside5!H:H), 0)</f>
        <v>0</v>
      </c>
      <c r="M1433" t="str" cm="1">
        <f t="array" ref="M1433">IFERROR(_xlfn.XLOOKUP(C1433&amp;A1433, TDrate!F:F&amp;TDrate!H:H, TDrate!B:B), "N/A")</f>
        <v>N/A</v>
      </c>
      <c r="N1433" t="str" cm="1">
        <f t="array" ref="N1433">IFERROR(_xlfn.XLOOKUP(C1433&amp;A1433, TDrate!F:F&amp;TDrate!H:H, TDrate!D:D), "N/A")</f>
        <v>N/A</v>
      </c>
    </row>
    <row r="1434" spans="1:14" x14ac:dyDescent="0.45">
      <c r="A1434" s="5">
        <v>2018</v>
      </c>
      <c r="B1434" s="6" t="s">
        <v>1052</v>
      </c>
      <c r="C1434" s="7" t="str">
        <f t="shared" si="44"/>
        <v>Godwin Igwebuike</v>
      </c>
      <c r="D1434" s="7" t="str">
        <f t="shared" si="45"/>
        <v>SF</v>
      </c>
      <c r="E1434" cm="1">
        <f t="array" aca="1" ref="E1434" ca="1">IFERROR(_xlfn.XLOOKUP(C1434&amp;A1434, Inside5!B:B&amp;Inside5!I:I, Inside5!C:C), 0)</f>
        <v>0</v>
      </c>
      <c r="F1434" cm="1">
        <f t="array" aca="1" ref="F1434" ca="1">IFERROR(_xlfn.XLOOKUP(C1434&amp;A1434, Inside5!B:B&amp;Inside5!I:I, Inside5!D:D), 0)</f>
        <v>0</v>
      </c>
      <c r="G1434" cm="1">
        <f t="array" ref="G1434">IFERROR(_xlfn.XLOOKUP(C1434&amp;A1434, Inside5!B:B&amp;Inside5!I:I, Inside5!E:E), 0)</f>
        <v>0</v>
      </c>
      <c r="H1434" t="str" cm="1">
        <f t="array" ref="H1434">IFERROR(_xlfn.XLOOKUP(C1434&amp;A1434, TDrate!F:F&amp;TDrate!H:H, TDrate!C:C), "N/A")</f>
        <v>N/A</v>
      </c>
      <c r="I1434" t="str" cm="1">
        <f t="array" ref="I1434">IFERROR(_xlfn.XLOOKUP(C1434&amp;A1434, TDrate!F:F&amp;TDrate!H:H, TDrate!E:E), "N/A")</f>
        <v>N/A</v>
      </c>
      <c r="J1434" cm="1">
        <f t="array" ref="J1434">IFERROR(_xlfn.XLOOKUP(C1434&amp;A1434, Inside5!B:B&amp;Inside5!I:I, Inside5!F:F), 0)</f>
        <v>0</v>
      </c>
      <c r="K1434" cm="1">
        <f t="array" aca="1" ref="K1434" ca="1">IFERROR(_xlfn.XLOOKUP(C1434&amp;A1434, Inside5!B:B&amp;Inside5!I:I, Inside5!G:G), 0)</f>
        <v>0</v>
      </c>
      <c r="L1434" cm="1">
        <f t="array" ref="L1434">IFERROR(_xlfn.XLOOKUP(C1434&amp;A1434, Inside5!B:B&amp;Inside5!I:I, Inside5!H:H), 0)</f>
        <v>0</v>
      </c>
      <c r="M1434" t="str" cm="1">
        <f t="array" ref="M1434">IFERROR(_xlfn.XLOOKUP(C1434&amp;A1434, TDrate!F:F&amp;TDrate!H:H, TDrate!B:B), "N/A")</f>
        <v>N/A</v>
      </c>
      <c r="N1434" t="str" cm="1">
        <f t="array" ref="N1434">IFERROR(_xlfn.XLOOKUP(C1434&amp;A1434, TDrate!F:F&amp;TDrate!H:H, TDrate!D:D), "N/A")</f>
        <v>N/A</v>
      </c>
    </row>
    <row r="1435" spans="1:14" x14ac:dyDescent="0.45">
      <c r="A1435" s="8">
        <v>2018</v>
      </c>
      <c r="B1435" s="9" t="s">
        <v>1053</v>
      </c>
      <c r="C1435" s="10" t="str">
        <f t="shared" si="44"/>
        <v>Jason Cabinda</v>
      </c>
      <c r="D1435" s="10" t="str">
        <f t="shared" si="45"/>
        <v>OAK</v>
      </c>
      <c r="E1435" cm="1">
        <f t="array" ref="E1435">IFERROR(_xlfn.XLOOKUP(C1435&amp;A1435, Inside5!B:B&amp;Inside5!I:I, Inside5!C:C), 0)</f>
        <v>0</v>
      </c>
      <c r="F1435" cm="1">
        <f t="array" ref="F1435">IFERROR(_xlfn.XLOOKUP(C1435&amp;A1435, Inside5!B:B&amp;Inside5!I:I, Inside5!D:D), 0)</f>
        <v>0</v>
      </c>
      <c r="G1435" cm="1">
        <f t="array" ref="G1435">IFERROR(_xlfn.XLOOKUP(C1435&amp;A1435, Inside5!B:B&amp;Inside5!I:I, Inside5!E:E), 0)</f>
        <v>0</v>
      </c>
      <c r="H1435" t="str" cm="1">
        <f t="array" ref="H1435">IFERROR(_xlfn.XLOOKUP(C1435&amp;A1435, TDrate!F:F&amp;TDrate!H:H, TDrate!C:C), "N/A")</f>
        <v>N/A</v>
      </c>
      <c r="I1435" t="str" cm="1">
        <f t="array" ref="I1435">IFERROR(_xlfn.XLOOKUP(C1435&amp;A1435, TDrate!F:F&amp;TDrate!H:H, TDrate!E:E), "N/A")</f>
        <v>N/A</v>
      </c>
      <c r="J1435" cm="1">
        <f t="array" ref="J1435">IFERROR(_xlfn.XLOOKUP(C1435&amp;A1435, Inside5!B:B&amp;Inside5!I:I, Inside5!F:F), 0)</f>
        <v>0</v>
      </c>
      <c r="K1435" cm="1">
        <f t="array" ref="K1435">IFERROR(_xlfn.XLOOKUP(C1435&amp;A1435, Inside5!B:B&amp;Inside5!I:I, Inside5!G:G), 0)</f>
        <v>0</v>
      </c>
      <c r="L1435" cm="1">
        <f t="array" ref="L1435">IFERROR(_xlfn.XLOOKUP(C1435&amp;A1435, Inside5!B:B&amp;Inside5!I:I, Inside5!H:H), 0)</f>
        <v>0</v>
      </c>
      <c r="M1435" t="str" cm="1">
        <f t="array" ref="M1435">IFERROR(_xlfn.XLOOKUP(C1435&amp;A1435, TDrate!F:F&amp;TDrate!H:H, TDrate!B:B), "N/A")</f>
        <v>N/A</v>
      </c>
      <c r="N1435" t="str" cm="1">
        <f t="array" ref="N1435">IFERROR(_xlfn.XLOOKUP(C1435&amp;A1435, TDrate!F:F&amp;TDrate!H:H, TDrate!D:D), "N/A")</f>
        <v>N/A</v>
      </c>
    </row>
    <row r="1436" spans="1:14" x14ac:dyDescent="0.45">
      <c r="A1436" s="5">
        <v>2018</v>
      </c>
      <c r="B1436" s="6" t="s">
        <v>581</v>
      </c>
      <c r="C1436" s="7" t="str">
        <f t="shared" si="44"/>
        <v>Boston Scott</v>
      </c>
      <c r="D1436" s="7" t="str">
        <f t="shared" si="45"/>
        <v>PHI</v>
      </c>
      <c r="E1436" cm="1">
        <f t="array" ref="E1436">IFERROR(_xlfn.XLOOKUP(C1436&amp;A1436, Inside5!B:B&amp;Inside5!I:I, Inside5!C:C), 0)</f>
        <v>0</v>
      </c>
      <c r="F1436" cm="1">
        <f t="array" ref="F1436">IFERROR(_xlfn.XLOOKUP(C1436&amp;A1436, Inside5!B:B&amp;Inside5!I:I, Inside5!D:D), 0)</f>
        <v>0</v>
      </c>
      <c r="G1436" cm="1">
        <f t="array" ref="G1436">IFERROR(_xlfn.XLOOKUP(C1436&amp;A1436, Inside5!B:B&amp;Inside5!I:I, Inside5!E:E), 0)</f>
        <v>0</v>
      </c>
      <c r="H1436" t="str" cm="1">
        <f t="array" ref="H1436">IFERROR(_xlfn.XLOOKUP(C1436&amp;A1436, TDrate!F:F&amp;TDrate!H:H, TDrate!C:C), "N/A")</f>
        <v>N/A</v>
      </c>
      <c r="I1436" t="str" cm="1">
        <f t="array" ref="I1436">IFERROR(_xlfn.XLOOKUP(C1436&amp;A1436, TDrate!F:F&amp;TDrate!H:H, TDrate!E:E), "N/A")</f>
        <v>N/A</v>
      </c>
      <c r="J1436" cm="1">
        <f t="array" ref="J1436">IFERROR(_xlfn.XLOOKUP(C1436&amp;A1436, Inside5!B:B&amp;Inside5!I:I, Inside5!F:F), 0)</f>
        <v>0</v>
      </c>
      <c r="K1436" cm="1">
        <f t="array" ref="K1436">IFERROR(_xlfn.XLOOKUP(C1436&amp;A1436, Inside5!B:B&amp;Inside5!I:I, Inside5!G:G), 0)</f>
        <v>0</v>
      </c>
      <c r="L1436" cm="1">
        <f t="array" ref="L1436">IFERROR(_xlfn.XLOOKUP(C1436&amp;A1436, Inside5!B:B&amp;Inside5!I:I, Inside5!H:H), 0)</f>
        <v>0</v>
      </c>
      <c r="M1436" t="str" cm="1">
        <f t="array" ref="M1436">IFERROR(_xlfn.XLOOKUP(C1436&amp;A1436, TDrate!F:F&amp;TDrate!H:H, TDrate!B:B), "N/A")</f>
        <v>N/A</v>
      </c>
      <c r="N1436" t="str" cm="1">
        <f t="array" ref="N1436">IFERROR(_xlfn.XLOOKUP(C1436&amp;A1436, TDrate!F:F&amp;TDrate!H:H, TDrate!D:D), "N/A")</f>
        <v>N/A</v>
      </c>
    </row>
    <row r="1437" spans="1:14" x14ac:dyDescent="0.45">
      <c r="A1437" s="8">
        <v>2018</v>
      </c>
      <c r="B1437" s="9" t="s">
        <v>864</v>
      </c>
      <c r="C1437" s="10" t="str">
        <f t="shared" si="44"/>
        <v>Buddy Howell</v>
      </c>
      <c r="D1437" s="10" t="str">
        <f t="shared" si="45"/>
        <v>HOU</v>
      </c>
      <c r="E1437" cm="1">
        <f t="array" aca="1" ref="E1437" ca="1">IFERROR(_xlfn.XLOOKUP(C1437&amp;A1437, Inside5!B:B&amp;Inside5!I:I, Inside5!C:C), 0)</f>
        <v>0</v>
      </c>
      <c r="F1437" cm="1">
        <f t="array" aca="1" ref="F1437" ca="1">IFERROR(_xlfn.XLOOKUP(C1437&amp;A1437, Inside5!B:B&amp;Inside5!I:I, Inside5!D:D), 0)</f>
        <v>0</v>
      </c>
      <c r="G1437" cm="1">
        <f t="array" ref="G1437">IFERROR(_xlfn.XLOOKUP(C1437&amp;A1437, Inside5!B:B&amp;Inside5!I:I, Inside5!E:E), 0)</f>
        <v>0</v>
      </c>
      <c r="H1437" t="str" cm="1">
        <f t="array" ref="H1437">IFERROR(_xlfn.XLOOKUP(C1437&amp;A1437, TDrate!F:F&amp;TDrate!H:H, TDrate!C:C), "N/A")</f>
        <v>N/A</v>
      </c>
      <c r="I1437" t="str" cm="1">
        <f t="array" ref="I1437">IFERROR(_xlfn.XLOOKUP(C1437&amp;A1437, TDrate!F:F&amp;TDrate!H:H, TDrate!E:E), "N/A")</f>
        <v>N/A</v>
      </c>
      <c r="J1437" cm="1">
        <f t="array" ref="J1437">IFERROR(_xlfn.XLOOKUP(C1437&amp;A1437, Inside5!B:B&amp;Inside5!I:I, Inside5!F:F), 0)</f>
        <v>0</v>
      </c>
      <c r="K1437" cm="1">
        <f t="array" aca="1" ref="K1437" ca="1">IFERROR(_xlfn.XLOOKUP(C1437&amp;A1437, Inside5!B:B&amp;Inside5!I:I, Inside5!G:G), 0)</f>
        <v>0</v>
      </c>
      <c r="L1437" cm="1">
        <f t="array" ref="L1437">IFERROR(_xlfn.XLOOKUP(C1437&amp;A1437, Inside5!B:B&amp;Inside5!I:I, Inside5!H:H), 0)</f>
        <v>0</v>
      </c>
      <c r="M1437" t="str" cm="1">
        <f t="array" ref="M1437">IFERROR(_xlfn.XLOOKUP(C1437&amp;A1437, TDrate!F:F&amp;TDrate!H:H, TDrate!B:B), "N/A")</f>
        <v>N/A</v>
      </c>
      <c r="N1437" t="str" cm="1">
        <f t="array" ref="N1437">IFERROR(_xlfn.XLOOKUP(C1437&amp;A1437, TDrate!F:F&amp;TDrate!H:H, TDrate!D:D), "N/A")</f>
        <v>N/A</v>
      </c>
    </row>
    <row r="1438" spans="1:14" x14ac:dyDescent="0.45">
      <c r="A1438" s="5">
        <v>2018</v>
      </c>
      <c r="B1438" s="6" t="s">
        <v>988</v>
      </c>
      <c r="C1438" s="7" t="str">
        <f t="shared" si="44"/>
        <v>Donnie Ernsberger</v>
      </c>
      <c r="D1438" s="7" t="str">
        <f t="shared" si="45"/>
        <v>TB</v>
      </c>
      <c r="E1438" cm="1">
        <f t="array" ref="E1438">IFERROR(_xlfn.XLOOKUP(C1438&amp;A1438, Inside5!B:B&amp;Inside5!I:I, Inside5!C:C), 0)</f>
        <v>0</v>
      </c>
      <c r="F1438" cm="1">
        <f t="array" aca="1" ref="F1438" ca="1">IFERROR(_xlfn.XLOOKUP(C1438&amp;A1438, Inside5!B:B&amp;Inside5!I:I, Inside5!D:D), 0)</f>
        <v>0</v>
      </c>
      <c r="G1438" cm="1">
        <f t="array" ref="G1438">IFERROR(_xlfn.XLOOKUP(C1438&amp;A1438, Inside5!B:B&amp;Inside5!I:I, Inside5!E:E), 0)</f>
        <v>0</v>
      </c>
      <c r="H1438" t="str" cm="1">
        <f t="array" ref="H1438">IFERROR(_xlfn.XLOOKUP(C1438&amp;A1438, TDrate!F:F&amp;TDrate!H:H, TDrate!C:C), "N/A")</f>
        <v>N/A</v>
      </c>
      <c r="I1438" t="str" cm="1">
        <f t="array" ref="I1438">IFERROR(_xlfn.XLOOKUP(C1438&amp;A1438, TDrate!F:F&amp;TDrate!H:H, TDrate!E:E), "N/A")</f>
        <v>N/A</v>
      </c>
      <c r="J1438" cm="1">
        <f t="array" ref="J1438">IFERROR(_xlfn.XLOOKUP(C1438&amp;A1438, Inside5!B:B&amp;Inside5!I:I, Inside5!F:F), 0)</f>
        <v>0</v>
      </c>
      <c r="K1438" cm="1">
        <f t="array" aca="1" ref="K1438" ca="1">IFERROR(_xlfn.XLOOKUP(C1438&amp;A1438, Inside5!B:B&amp;Inside5!I:I, Inside5!G:G), 0)</f>
        <v>0</v>
      </c>
      <c r="L1438" cm="1">
        <f t="array" ref="L1438">IFERROR(_xlfn.XLOOKUP(C1438&amp;A1438, Inside5!B:B&amp;Inside5!I:I, Inside5!H:H), 0)</f>
        <v>0</v>
      </c>
      <c r="M1438" t="str" cm="1">
        <f t="array" ref="M1438">IFERROR(_xlfn.XLOOKUP(C1438&amp;A1438, TDrate!F:F&amp;TDrate!H:H, TDrate!B:B), "N/A")</f>
        <v>N/A</v>
      </c>
      <c r="N1438" t="str" cm="1">
        <f t="array" ref="N1438">IFERROR(_xlfn.XLOOKUP(C1438&amp;A1438, TDrate!F:F&amp;TDrate!H:H, TDrate!D:D), "N/A")</f>
        <v>N/A</v>
      </c>
    </row>
    <row r="1439" spans="1:14" x14ac:dyDescent="0.45">
      <c r="A1439" s="8">
        <v>2018</v>
      </c>
      <c r="B1439" s="9" t="s">
        <v>943</v>
      </c>
      <c r="C1439" s="10" t="str">
        <f t="shared" si="44"/>
        <v>Dalyn Dawkins</v>
      </c>
      <c r="D1439" s="10" t="str">
        <f t="shared" si="45"/>
        <v>TEN</v>
      </c>
      <c r="E1439" cm="1">
        <f t="array" ref="E1439">IFERROR(_xlfn.XLOOKUP(C1439&amp;A1439, Inside5!B:B&amp;Inside5!I:I, Inside5!C:C), 0)</f>
        <v>0</v>
      </c>
      <c r="F1439" cm="1">
        <f t="array" aca="1" ref="F1439" ca="1">IFERROR(_xlfn.XLOOKUP(C1439&amp;A1439, Inside5!B:B&amp;Inside5!I:I, Inside5!D:D), 0)</f>
        <v>0</v>
      </c>
      <c r="G1439" cm="1">
        <f t="array" ref="G1439">IFERROR(_xlfn.XLOOKUP(C1439&amp;A1439, Inside5!B:B&amp;Inside5!I:I, Inside5!E:E), 0)</f>
        <v>0</v>
      </c>
      <c r="H1439" t="str" cm="1">
        <f t="array" ref="H1439">IFERROR(_xlfn.XLOOKUP(C1439&amp;A1439, TDrate!F:F&amp;TDrate!H:H, TDrate!C:C), "N/A")</f>
        <v>N/A</v>
      </c>
      <c r="I1439" t="str" cm="1">
        <f t="array" ref="I1439">IFERROR(_xlfn.XLOOKUP(C1439&amp;A1439, TDrate!F:F&amp;TDrate!H:H, TDrate!E:E), "N/A")</f>
        <v>N/A</v>
      </c>
      <c r="J1439" cm="1">
        <f t="array" ref="J1439">IFERROR(_xlfn.XLOOKUP(C1439&amp;A1439, Inside5!B:B&amp;Inside5!I:I, Inside5!F:F), 0)</f>
        <v>0</v>
      </c>
      <c r="K1439" cm="1">
        <f t="array" ref="K1439">IFERROR(_xlfn.XLOOKUP(C1439&amp;A1439, Inside5!B:B&amp;Inside5!I:I, Inside5!G:G), 0)</f>
        <v>0</v>
      </c>
      <c r="L1439" cm="1">
        <f t="array" ref="L1439">IFERROR(_xlfn.XLOOKUP(C1439&amp;A1439, Inside5!B:B&amp;Inside5!I:I, Inside5!H:H), 0)</f>
        <v>0</v>
      </c>
      <c r="M1439" t="str" cm="1">
        <f t="array" ref="M1439">IFERROR(_xlfn.XLOOKUP(C1439&amp;A1439, TDrate!F:F&amp;TDrate!H:H, TDrate!B:B), "N/A")</f>
        <v>N/A</v>
      </c>
      <c r="N1439" t="str" cm="1">
        <f t="array" ref="N1439">IFERROR(_xlfn.XLOOKUP(C1439&amp;A1439, TDrate!F:F&amp;TDrate!H:H, TDrate!D:D), "N/A")</f>
        <v>N/A</v>
      </c>
    </row>
    <row r="1440" spans="1:14" x14ac:dyDescent="0.45">
      <c r="A1440" s="5">
        <v>2018</v>
      </c>
      <c r="B1440" s="6" t="s">
        <v>1054</v>
      </c>
      <c r="C1440" s="7" t="str">
        <f t="shared" si="44"/>
        <v>De'Angelo Henderson Sr.</v>
      </c>
      <c r="D1440" s="7" t="str">
        <f t="shared" si="45"/>
        <v>NYJ</v>
      </c>
      <c r="E1440" cm="1">
        <f t="array" aca="1" ref="E1440" ca="1">IFERROR(_xlfn.XLOOKUP(C1440&amp;A1440, Inside5!B:B&amp;Inside5!I:I, Inside5!C:C), 0)</f>
        <v>0</v>
      </c>
      <c r="F1440" cm="1">
        <f t="array" aca="1" ref="F1440" ca="1">IFERROR(_xlfn.XLOOKUP(C1440&amp;A1440, Inside5!B:B&amp;Inside5!I:I, Inside5!D:D), 0)</f>
        <v>0</v>
      </c>
      <c r="G1440" cm="1">
        <f t="array" ref="G1440">IFERROR(_xlfn.XLOOKUP(C1440&amp;A1440, Inside5!B:B&amp;Inside5!I:I, Inside5!E:E), 0)</f>
        <v>0</v>
      </c>
      <c r="H1440" t="str" cm="1">
        <f t="array" ref="H1440">IFERROR(_xlfn.XLOOKUP(C1440&amp;A1440, TDrate!F:F&amp;TDrate!H:H, TDrate!C:C), "N/A")</f>
        <v>N/A</v>
      </c>
      <c r="I1440" t="str" cm="1">
        <f t="array" ref="I1440">IFERROR(_xlfn.XLOOKUP(C1440&amp;A1440, TDrate!F:F&amp;TDrate!H:H, TDrate!E:E), "N/A")</f>
        <v>N/A</v>
      </c>
      <c r="J1440" cm="1">
        <f t="array" ref="J1440">IFERROR(_xlfn.XLOOKUP(C1440&amp;A1440, Inside5!B:B&amp;Inside5!I:I, Inside5!F:F), 0)</f>
        <v>0</v>
      </c>
      <c r="K1440" cm="1">
        <f t="array" ref="K1440">IFERROR(_xlfn.XLOOKUP(C1440&amp;A1440, Inside5!B:B&amp;Inside5!I:I, Inside5!G:G), 0)</f>
        <v>0</v>
      </c>
      <c r="L1440" cm="1">
        <f t="array" ref="L1440">IFERROR(_xlfn.XLOOKUP(C1440&amp;A1440, Inside5!B:B&amp;Inside5!I:I, Inside5!H:H), 0)</f>
        <v>0</v>
      </c>
      <c r="M1440" t="str" cm="1">
        <f t="array" ref="M1440">IFERROR(_xlfn.XLOOKUP(C1440&amp;A1440, TDrate!F:F&amp;TDrate!H:H, TDrate!B:B), "N/A")</f>
        <v>N/A</v>
      </c>
      <c r="N1440" t="str" cm="1">
        <f t="array" ref="N1440">IFERROR(_xlfn.XLOOKUP(C1440&amp;A1440, TDrate!F:F&amp;TDrate!H:H, TDrate!D:D), "N/A")</f>
        <v>N/A</v>
      </c>
    </row>
    <row r="1441" spans="1:14" x14ac:dyDescent="0.45">
      <c r="A1441" s="8">
        <v>2018</v>
      </c>
      <c r="B1441" s="9" t="s">
        <v>1055</v>
      </c>
      <c r="C1441" s="10" t="str">
        <f t="shared" si="44"/>
        <v>Robert Turbin</v>
      </c>
      <c r="D1441" s="10" t="str">
        <f t="shared" si="45"/>
        <v>IND</v>
      </c>
      <c r="E1441" cm="1">
        <f t="array" aca="1" ref="E1441" ca="1">IFERROR(_xlfn.XLOOKUP(C1441&amp;A1441, Inside5!B:B&amp;Inside5!I:I, Inside5!C:C), 0)</f>
        <v>0</v>
      </c>
      <c r="F1441" cm="1">
        <f t="array" aca="1" ref="F1441" ca="1">IFERROR(_xlfn.XLOOKUP(C1441&amp;A1441, Inside5!B:B&amp;Inside5!I:I, Inside5!D:D), 0)</f>
        <v>0</v>
      </c>
      <c r="G1441" cm="1">
        <f t="array" ref="G1441">IFERROR(_xlfn.XLOOKUP(C1441&amp;A1441, Inside5!B:B&amp;Inside5!I:I, Inside5!E:E), 0)</f>
        <v>0</v>
      </c>
      <c r="H1441" t="str" cm="1">
        <f t="array" ref="H1441">IFERROR(_xlfn.XLOOKUP(C1441&amp;A1441, TDrate!F:F&amp;TDrate!H:H, TDrate!C:C), "N/A")</f>
        <v>N/A</v>
      </c>
      <c r="I1441" t="str" cm="1">
        <f t="array" ref="I1441">IFERROR(_xlfn.XLOOKUP(C1441&amp;A1441, TDrate!F:F&amp;TDrate!H:H, TDrate!E:E), "N/A")</f>
        <v>N/A</v>
      </c>
      <c r="J1441" cm="1">
        <f t="array" ref="J1441">IFERROR(_xlfn.XLOOKUP(C1441&amp;A1441, Inside5!B:B&amp;Inside5!I:I, Inside5!F:F), 0)</f>
        <v>0</v>
      </c>
      <c r="K1441" cm="1">
        <f t="array" ref="K1441">IFERROR(_xlfn.XLOOKUP(C1441&amp;A1441, Inside5!B:B&amp;Inside5!I:I, Inside5!G:G), 0)</f>
        <v>0</v>
      </c>
      <c r="L1441" cm="1">
        <f t="array" ref="L1441">IFERROR(_xlfn.XLOOKUP(C1441&amp;A1441, Inside5!B:B&amp;Inside5!I:I, Inside5!H:H), 0)</f>
        <v>0</v>
      </c>
      <c r="M1441" t="str" cm="1">
        <f t="array" ref="M1441">IFERROR(_xlfn.XLOOKUP(C1441&amp;A1441, TDrate!F:F&amp;TDrate!H:H, TDrate!B:B), "N/A")</f>
        <v>N/A</v>
      </c>
      <c r="N1441" t="str" cm="1">
        <f t="array" ref="N1441">IFERROR(_xlfn.XLOOKUP(C1441&amp;A1441, TDrate!F:F&amp;TDrate!H:H, TDrate!D:D), "N/A")</f>
        <v>N/A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A359E-C1C0-4BBD-A8E6-C6C0649DFE69}">
  <dimension ref="A1:I812"/>
  <sheetViews>
    <sheetView topLeftCell="A59" workbookViewId="0">
      <selection activeCell="B80" activeCellId="1" sqref="B40 B80"/>
    </sheetView>
  </sheetViews>
  <sheetFormatPr defaultRowHeight="14.25" x14ac:dyDescent="0.45"/>
  <cols>
    <col min="1" max="1" width="21" customWidth="1"/>
    <col min="2" max="2" width="15" customWidth="1"/>
    <col min="3" max="3" width="12.06640625" customWidth="1"/>
    <col min="4" max="4" width="12.53125" customWidth="1"/>
    <col min="5" max="5" width="12" customWidth="1"/>
    <col min="6" max="6" width="11.33203125" customWidth="1"/>
    <col min="7" max="7" width="12.3984375" customWidth="1"/>
    <col min="8" max="8" width="14" customWidth="1"/>
    <col min="9" max="9" width="13.6640625" customWidth="1"/>
    <col min="10" max="10" width="17.46484375" customWidth="1"/>
    <col min="11" max="11" width="26.59765625" customWidth="1"/>
    <col min="12" max="12" width="13.46484375" customWidth="1"/>
    <col min="13" max="13" width="22.33203125" customWidth="1"/>
    <col min="14" max="14" width="17.1328125" customWidth="1"/>
    <col min="17" max="17" width="10.53125" customWidth="1"/>
    <col min="18" max="18" width="12.46484375" customWidth="1"/>
    <col min="19" max="19" width="12.73046875" customWidth="1"/>
  </cols>
  <sheetData>
    <row r="1" spans="1:9" x14ac:dyDescent="0.45">
      <c r="A1" t="s">
        <v>296</v>
      </c>
      <c r="B1" t="s">
        <v>99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100</v>
      </c>
    </row>
    <row r="2" spans="1:9" x14ac:dyDescent="0.45">
      <c r="A2" t="s">
        <v>6</v>
      </c>
      <c r="B2" t="str">
        <f t="shared" ref="B2:B65" si="0">TRIM(LEFT(A2, LEN(A2) - LEN(TRIM(RIGHT(SUBSTITUTE(TRIM(A2)," ",REPT(" ",100)),100)))))</f>
        <v>Christian McCaffrey</v>
      </c>
      <c r="C2">
        <v>20</v>
      </c>
      <c r="D2">
        <v>9</v>
      </c>
      <c r="E2" s="1">
        <v>0.87</v>
      </c>
      <c r="F2">
        <v>3</v>
      </c>
      <c r="G2">
        <v>4</v>
      </c>
      <c r="H2">
        <v>3</v>
      </c>
      <c r="I2">
        <v>2025</v>
      </c>
    </row>
    <row r="3" spans="1:9" x14ac:dyDescent="0.45">
      <c r="A3" t="s">
        <v>7</v>
      </c>
      <c r="B3" t="str">
        <f t="shared" si="0"/>
        <v>Javonte Williams</v>
      </c>
      <c r="C3">
        <v>20</v>
      </c>
      <c r="D3">
        <v>10</v>
      </c>
      <c r="E3" s="1">
        <v>0.87</v>
      </c>
      <c r="F3">
        <v>3</v>
      </c>
      <c r="G3">
        <v>4</v>
      </c>
      <c r="H3">
        <v>2</v>
      </c>
      <c r="I3">
        <v>2025</v>
      </c>
    </row>
    <row r="4" spans="1:9" x14ac:dyDescent="0.45">
      <c r="A4" t="s">
        <v>8</v>
      </c>
      <c r="B4" t="str">
        <f t="shared" si="0"/>
        <v>Derrick Henry</v>
      </c>
      <c r="C4">
        <v>27</v>
      </c>
      <c r="D4">
        <v>10</v>
      </c>
      <c r="E4" s="1">
        <v>0.96399999999999997</v>
      </c>
      <c r="F4">
        <v>0</v>
      </c>
      <c r="G4">
        <v>0</v>
      </c>
      <c r="H4">
        <v>0</v>
      </c>
      <c r="I4">
        <v>2025</v>
      </c>
    </row>
    <row r="5" spans="1:9" x14ac:dyDescent="0.45">
      <c r="A5" t="s">
        <v>9</v>
      </c>
      <c r="B5" t="str">
        <f t="shared" si="0"/>
        <v>Kareem Hunt</v>
      </c>
      <c r="C5">
        <v>15</v>
      </c>
      <c r="D5">
        <v>8</v>
      </c>
      <c r="E5" s="1">
        <v>0.93799999999999994</v>
      </c>
      <c r="F5">
        <v>1</v>
      </c>
      <c r="G5">
        <v>1</v>
      </c>
      <c r="H5">
        <v>1</v>
      </c>
      <c r="I5">
        <v>2025</v>
      </c>
    </row>
    <row r="6" spans="1:9" x14ac:dyDescent="0.45">
      <c r="A6" t="s">
        <v>10</v>
      </c>
      <c r="B6" t="str">
        <f t="shared" si="0"/>
        <v>Jonathan Taylor</v>
      </c>
      <c r="C6">
        <v>22</v>
      </c>
      <c r="D6">
        <v>9</v>
      </c>
      <c r="E6" s="1">
        <v>0.91700000000000004</v>
      </c>
      <c r="F6">
        <v>0</v>
      </c>
      <c r="G6">
        <v>0</v>
      </c>
      <c r="H6">
        <v>0</v>
      </c>
      <c r="I6">
        <v>2025</v>
      </c>
    </row>
    <row r="7" spans="1:9" x14ac:dyDescent="0.45">
      <c r="A7" t="s">
        <v>11</v>
      </c>
      <c r="B7" t="str">
        <f t="shared" si="0"/>
        <v>Zach Charbonnet</v>
      </c>
      <c r="C7">
        <v>18</v>
      </c>
      <c r="D7">
        <v>9</v>
      </c>
      <c r="E7" s="1">
        <v>0.69199999999999995</v>
      </c>
      <c r="F7">
        <v>1</v>
      </c>
      <c r="G7">
        <v>1</v>
      </c>
      <c r="H7">
        <v>0</v>
      </c>
      <c r="I7">
        <v>2025</v>
      </c>
    </row>
    <row r="8" spans="1:9" x14ac:dyDescent="0.45">
      <c r="A8" t="s">
        <v>12</v>
      </c>
      <c r="B8" t="str">
        <f t="shared" si="0"/>
        <v>RJ Harvey</v>
      </c>
      <c r="C8">
        <v>9</v>
      </c>
      <c r="D8">
        <v>5</v>
      </c>
      <c r="E8" s="1">
        <v>0.5</v>
      </c>
      <c r="F8">
        <v>3</v>
      </c>
      <c r="G8">
        <v>3</v>
      </c>
      <c r="H8">
        <v>3</v>
      </c>
      <c r="I8">
        <v>2025</v>
      </c>
    </row>
    <row r="9" spans="1:9" x14ac:dyDescent="0.45">
      <c r="A9" t="s">
        <v>13</v>
      </c>
      <c r="B9" t="str">
        <f t="shared" si="0"/>
        <v>Josh Jacobs</v>
      </c>
      <c r="C9">
        <v>20</v>
      </c>
      <c r="D9">
        <v>8</v>
      </c>
      <c r="E9" s="1">
        <v>0.83299999999999996</v>
      </c>
      <c r="F9">
        <v>0</v>
      </c>
      <c r="G9">
        <v>0</v>
      </c>
      <c r="H9">
        <v>0</v>
      </c>
      <c r="I9">
        <v>2025</v>
      </c>
    </row>
    <row r="10" spans="1:9" x14ac:dyDescent="0.45">
      <c r="A10" t="s">
        <v>14</v>
      </c>
      <c r="B10" t="str">
        <f t="shared" si="0"/>
        <v>Kyren Williams</v>
      </c>
      <c r="C10">
        <v>17</v>
      </c>
      <c r="D10">
        <v>8</v>
      </c>
      <c r="E10" s="1">
        <v>0.58599999999999997</v>
      </c>
      <c r="F10">
        <v>0</v>
      </c>
      <c r="G10">
        <v>0</v>
      </c>
      <c r="H10">
        <v>0</v>
      </c>
      <c r="I10">
        <v>2025</v>
      </c>
    </row>
    <row r="11" spans="1:9" x14ac:dyDescent="0.45">
      <c r="A11" t="s">
        <v>15</v>
      </c>
      <c r="B11" t="str">
        <f t="shared" si="0"/>
        <v>James Cook III</v>
      </c>
      <c r="C11">
        <v>16</v>
      </c>
      <c r="D11">
        <v>6</v>
      </c>
      <c r="E11" s="1">
        <v>0.76200000000000001</v>
      </c>
      <c r="F11">
        <v>1</v>
      </c>
      <c r="G11">
        <v>1</v>
      </c>
      <c r="H11">
        <v>1</v>
      </c>
      <c r="I11">
        <v>2025</v>
      </c>
    </row>
    <row r="12" spans="1:9" x14ac:dyDescent="0.45">
      <c r="A12" t="s">
        <v>16</v>
      </c>
      <c r="B12" t="str">
        <f t="shared" si="0"/>
        <v>Jahmyr Gibbs</v>
      </c>
      <c r="C12">
        <v>10</v>
      </c>
      <c r="D12">
        <v>4</v>
      </c>
      <c r="E12" s="1">
        <v>0.38500000000000001</v>
      </c>
      <c r="F12">
        <v>2</v>
      </c>
      <c r="G12">
        <v>2</v>
      </c>
      <c r="H12">
        <v>2</v>
      </c>
      <c r="I12">
        <v>2025</v>
      </c>
    </row>
    <row r="13" spans="1:9" x14ac:dyDescent="0.45">
      <c r="A13" t="s">
        <v>17</v>
      </c>
      <c r="B13" t="str">
        <f t="shared" si="0"/>
        <v>Rico Dowdle</v>
      </c>
      <c r="C13">
        <v>8</v>
      </c>
      <c r="D13">
        <v>6</v>
      </c>
      <c r="E13" s="1">
        <v>0.8</v>
      </c>
      <c r="F13">
        <v>0</v>
      </c>
      <c r="G13">
        <v>0</v>
      </c>
      <c r="H13">
        <v>0</v>
      </c>
      <c r="I13">
        <v>2025</v>
      </c>
    </row>
    <row r="14" spans="1:9" x14ac:dyDescent="0.45">
      <c r="A14" t="s">
        <v>18</v>
      </c>
      <c r="B14" t="str">
        <f t="shared" si="0"/>
        <v>David Montgomery</v>
      </c>
      <c r="C14">
        <v>16</v>
      </c>
      <c r="D14">
        <v>5</v>
      </c>
      <c r="E14" s="1">
        <v>0.61499999999999999</v>
      </c>
      <c r="F14">
        <v>0</v>
      </c>
      <c r="G14">
        <v>0</v>
      </c>
      <c r="H14">
        <v>0</v>
      </c>
      <c r="I14">
        <v>2025</v>
      </c>
    </row>
    <row r="15" spans="1:9" x14ac:dyDescent="0.45">
      <c r="A15" t="s">
        <v>19</v>
      </c>
      <c r="B15" t="str">
        <f t="shared" si="0"/>
        <v>D'Andre Swift</v>
      </c>
      <c r="C15">
        <v>13</v>
      </c>
      <c r="D15">
        <v>5</v>
      </c>
      <c r="E15" s="1">
        <v>0.56499999999999995</v>
      </c>
      <c r="F15">
        <v>0</v>
      </c>
      <c r="G15">
        <v>0</v>
      </c>
      <c r="H15">
        <v>0</v>
      </c>
      <c r="I15">
        <v>2025</v>
      </c>
    </row>
    <row r="16" spans="1:9" x14ac:dyDescent="0.45">
      <c r="A16" t="s">
        <v>20</v>
      </c>
      <c r="B16" t="str">
        <f t="shared" si="0"/>
        <v>Chase Brown</v>
      </c>
      <c r="C16">
        <v>12</v>
      </c>
      <c r="D16">
        <v>4</v>
      </c>
      <c r="E16" s="1">
        <v>0.75</v>
      </c>
      <c r="F16">
        <v>1</v>
      </c>
      <c r="G16">
        <v>2</v>
      </c>
      <c r="H16">
        <v>1</v>
      </c>
      <c r="I16">
        <v>2025</v>
      </c>
    </row>
    <row r="17" spans="1:9" x14ac:dyDescent="0.45">
      <c r="A17" t="s">
        <v>21</v>
      </c>
      <c r="B17" t="str">
        <f t="shared" si="0"/>
        <v>Jaylen Warren</v>
      </c>
      <c r="C17">
        <v>12</v>
      </c>
      <c r="D17">
        <v>4</v>
      </c>
      <c r="E17" s="1">
        <v>0.57099999999999995</v>
      </c>
      <c r="F17">
        <v>1</v>
      </c>
      <c r="G17">
        <v>1</v>
      </c>
      <c r="H17">
        <v>1</v>
      </c>
      <c r="I17">
        <v>2025</v>
      </c>
    </row>
    <row r="18" spans="1:9" x14ac:dyDescent="0.45">
      <c r="A18" t="s">
        <v>22</v>
      </c>
      <c r="B18" t="str">
        <f t="shared" si="0"/>
        <v>Tyler Allgeier</v>
      </c>
      <c r="C18">
        <v>10</v>
      </c>
      <c r="D18">
        <v>5</v>
      </c>
      <c r="E18" s="1">
        <v>0.5</v>
      </c>
      <c r="F18">
        <v>0</v>
      </c>
      <c r="G18">
        <v>0</v>
      </c>
      <c r="H18">
        <v>0</v>
      </c>
      <c r="I18">
        <v>2025</v>
      </c>
    </row>
    <row r="19" spans="1:9" x14ac:dyDescent="0.45">
      <c r="A19" t="s">
        <v>23</v>
      </c>
      <c r="B19" t="str">
        <f t="shared" si="0"/>
        <v>Quinshon Judkins</v>
      </c>
      <c r="C19">
        <v>11</v>
      </c>
      <c r="D19">
        <v>5</v>
      </c>
      <c r="E19" s="1">
        <v>0.61099999999999999</v>
      </c>
      <c r="F19">
        <v>0</v>
      </c>
      <c r="G19">
        <v>0</v>
      </c>
      <c r="H19">
        <v>0</v>
      </c>
      <c r="I19">
        <v>2025</v>
      </c>
    </row>
    <row r="20" spans="1:9" x14ac:dyDescent="0.45">
      <c r="A20" t="s">
        <v>24</v>
      </c>
      <c r="B20" t="str">
        <f t="shared" si="0"/>
        <v>Omarion Hampton</v>
      </c>
      <c r="C20">
        <v>8</v>
      </c>
      <c r="D20">
        <v>3</v>
      </c>
      <c r="E20" s="1">
        <v>0.47099999999999997</v>
      </c>
      <c r="F20">
        <v>1</v>
      </c>
      <c r="G20">
        <v>1</v>
      </c>
      <c r="H20">
        <v>1</v>
      </c>
      <c r="I20">
        <v>2025</v>
      </c>
    </row>
    <row r="21" spans="1:9" x14ac:dyDescent="0.45">
      <c r="A21" t="s">
        <v>25</v>
      </c>
      <c r="B21" t="str">
        <f t="shared" si="0"/>
        <v>Chris Rodriguez Jr.</v>
      </c>
      <c r="C21">
        <v>10</v>
      </c>
      <c r="D21">
        <v>4</v>
      </c>
      <c r="E21" s="1">
        <v>0.5</v>
      </c>
      <c r="F21">
        <v>0</v>
      </c>
      <c r="G21">
        <v>0</v>
      </c>
      <c r="H21">
        <v>0</v>
      </c>
      <c r="I21">
        <v>2025</v>
      </c>
    </row>
    <row r="22" spans="1:9" x14ac:dyDescent="0.45">
      <c r="A22" t="s">
        <v>26</v>
      </c>
      <c r="B22" t="str">
        <f t="shared" si="0"/>
        <v>Kenny Gainwell</v>
      </c>
      <c r="C22">
        <v>7</v>
      </c>
      <c r="D22">
        <v>3</v>
      </c>
      <c r="E22" s="1">
        <v>0.33300000000000002</v>
      </c>
      <c r="F22">
        <v>1</v>
      </c>
      <c r="G22">
        <v>1</v>
      </c>
      <c r="H22">
        <v>1</v>
      </c>
      <c r="I22">
        <v>2025</v>
      </c>
    </row>
    <row r="23" spans="1:9" x14ac:dyDescent="0.45">
      <c r="A23" t="s">
        <v>27</v>
      </c>
      <c r="B23" t="str">
        <f t="shared" si="0"/>
        <v>Jordan Mason</v>
      </c>
      <c r="C23">
        <v>7</v>
      </c>
      <c r="D23">
        <v>4</v>
      </c>
      <c r="E23" s="1">
        <v>0.58299999999999996</v>
      </c>
      <c r="F23">
        <v>0</v>
      </c>
      <c r="G23">
        <v>0</v>
      </c>
      <c r="H23">
        <v>0</v>
      </c>
      <c r="I23">
        <v>2025</v>
      </c>
    </row>
    <row r="24" spans="1:9" x14ac:dyDescent="0.45">
      <c r="A24" t="s">
        <v>28</v>
      </c>
      <c r="B24" t="str">
        <f t="shared" si="0"/>
        <v>Blake Corum</v>
      </c>
      <c r="C24">
        <v>12</v>
      </c>
      <c r="D24">
        <v>4</v>
      </c>
      <c r="E24" s="1">
        <v>0.41399999999999998</v>
      </c>
      <c r="F24">
        <v>0</v>
      </c>
      <c r="G24">
        <v>0</v>
      </c>
      <c r="H24">
        <v>0</v>
      </c>
      <c r="I24">
        <v>2025</v>
      </c>
    </row>
    <row r="25" spans="1:9" x14ac:dyDescent="0.45">
      <c r="A25" t="s">
        <v>29</v>
      </c>
      <c r="B25" t="str">
        <f t="shared" si="0"/>
        <v>Bijan Robinson</v>
      </c>
      <c r="C25">
        <v>10</v>
      </c>
      <c r="D25">
        <v>3</v>
      </c>
      <c r="E25" s="1">
        <v>0.5</v>
      </c>
      <c r="F25">
        <v>1</v>
      </c>
      <c r="G25">
        <v>1</v>
      </c>
      <c r="H25">
        <v>1</v>
      </c>
      <c r="I25">
        <v>2025</v>
      </c>
    </row>
    <row r="26" spans="1:9" x14ac:dyDescent="0.45">
      <c r="A26" t="s">
        <v>30</v>
      </c>
      <c r="B26" t="str">
        <f t="shared" si="0"/>
        <v>Kyle Monangai</v>
      </c>
      <c r="C26">
        <v>10</v>
      </c>
      <c r="D26">
        <v>4</v>
      </c>
      <c r="E26" s="1">
        <v>0.435</v>
      </c>
      <c r="F26">
        <v>0</v>
      </c>
      <c r="G26">
        <v>0</v>
      </c>
      <c r="H26">
        <v>0</v>
      </c>
      <c r="I26">
        <v>2025</v>
      </c>
    </row>
    <row r="27" spans="1:9" x14ac:dyDescent="0.45">
      <c r="A27" t="s">
        <v>31</v>
      </c>
      <c r="B27" t="str">
        <f t="shared" si="0"/>
        <v>Ashton Jeanty</v>
      </c>
      <c r="C27">
        <v>9</v>
      </c>
      <c r="D27">
        <v>3</v>
      </c>
      <c r="E27" s="1">
        <v>1</v>
      </c>
      <c r="F27">
        <v>1</v>
      </c>
      <c r="G27">
        <v>1</v>
      </c>
      <c r="H27">
        <v>1</v>
      </c>
      <c r="I27">
        <v>2025</v>
      </c>
    </row>
    <row r="28" spans="1:9" x14ac:dyDescent="0.45">
      <c r="A28" t="s">
        <v>32</v>
      </c>
      <c r="B28" t="str">
        <f t="shared" si="0"/>
        <v>Cam Skattebo</v>
      </c>
      <c r="C28">
        <v>9</v>
      </c>
      <c r="D28">
        <v>4</v>
      </c>
      <c r="E28" s="1">
        <v>0.45</v>
      </c>
      <c r="F28">
        <v>0</v>
      </c>
      <c r="G28">
        <v>0</v>
      </c>
      <c r="H28">
        <v>0</v>
      </c>
      <c r="I28">
        <v>2025</v>
      </c>
    </row>
    <row r="29" spans="1:9" x14ac:dyDescent="0.45">
      <c r="A29" t="s">
        <v>33</v>
      </c>
      <c r="B29" t="str">
        <f t="shared" si="0"/>
        <v>Bhayshul Tuten</v>
      </c>
      <c r="C29">
        <v>6</v>
      </c>
      <c r="D29">
        <v>4</v>
      </c>
      <c r="E29" s="1">
        <v>0.33300000000000002</v>
      </c>
      <c r="F29">
        <v>0</v>
      </c>
      <c r="G29">
        <v>0</v>
      </c>
      <c r="H29">
        <v>0</v>
      </c>
      <c r="I29">
        <v>2025</v>
      </c>
    </row>
    <row r="30" spans="1:9" x14ac:dyDescent="0.45">
      <c r="A30" t="s">
        <v>34</v>
      </c>
      <c r="B30" t="str">
        <f t="shared" si="0"/>
        <v>Sean Tucker</v>
      </c>
      <c r="C30">
        <v>11</v>
      </c>
      <c r="D30">
        <v>4</v>
      </c>
      <c r="E30" s="1">
        <v>0.57899999999999996</v>
      </c>
      <c r="F30">
        <v>0</v>
      </c>
      <c r="G30">
        <v>1</v>
      </c>
      <c r="H30">
        <v>0</v>
      </c>
      <c r="I30">
        <v>2025</v>
      </c>
    </row>
    <row r="31" spans="1:9" x14ac:dyDescent="0.45">
      <c r="A31" t="s">
        <v>35</v>
      </c>
      <c r="B31" t="str">
        <f t="shared" si="0"/>
        <v>Jacory Croskey-Merritt</v>
      </c>
      <c r="C31">
        <v>9</v>
      </c>
      <c r="D31">
        <v>3</v>
      </c>
      <c r="E31" s="1">
        <v>0.45</v>
      </c>
      <c r="F31">
        <v>0</v>
      </c>
      <c r="G31">
        <v>0</v>
      </c>
      <c r="H31">
        <v>0</v>
      </c>
      <c r="I31">
        <v>2025</v>
      </c>
    </row>
    <row r="32" spans="1:9" x14ac:dyDescent="0.45">
      <c r="A32" t="s">
        <v>36</v>
      </c>
      <c r="B32" t="str">
        <f t="shared" si="0"/>
        <v>Rachaad White</v>
      </c>
      <c r="C32">
        <v>8</v>
      </c>
      <c r="D32">
        <v>3</v>
      </c>
      <c r="E32" s="1">
        <v>0.42099999999999999</v>
      </c>
      <c r="F32">
        <v>0</v>
      </c>
      <c r="G32">
        <v>0</v>
      </c>
      <c r="H32">
        <v>0</v>
      </c>
      <c r="I32">
        <v>2025</v>
      </c>
    </row>
    <row r="33" spans="1:9" x14ac:dyDescent="0.45">
      <c r="A33" t="s">
        <v>37</v>
      </c>
      <c r="B33" t="str">
        <f t="shared" si="0"/>
        <v>Kenneth Walker III</v>
      </c>
      <c r="C33">
        <v>8</v>
      </c>
      <c r="D33">
        <v>3</v>
      </c>
      <c r="E33" s="1">
        <v>0.308</v>
      </c>
      <c r="F33">
        <v>0</v>
      </c>
      <c r="G33">
        <v>0</v>
      </c>
      <c r="H33">
        <v>0</v>
      </c>
      <c r="I33">
        <v>2025</v>
      </c>
    </row>
    <row r="34" spans="1:9" x14ac:dyDescent="0.45">
      <c r="A34" t="s">
        <v>38</v>
      </c>
      <c r="B34" t="str">
        <f t="shared" si="0"/>
        <v>Devin Singletary</v>
      </c>
      <c r="C34">
        <v>9</v>
      </c>
      <c r="D34">
        <v>3</v>
      </c>
      <c r="E34" s="1">
        <v>0.45</v>
      </c>
      <c r="F34">
        <v>1</v>
      </c>
      <c r="G34">
        <v>1</v>
      </c>
      <c r="H34">
        <v>0</v>
      </c>
      <c r="I34">
        <v>2025</v>
      </c>
    </row>
    <row r="35" spans="1:9" x14ac:dyDescent="0.45">
      <c r="A35" t="s">
        <v>39</v>
      </c>
      <c r="B35" t="str">
        <f t="shared" si="0"/>
        <v>Bam Knight</v>
      </c>
      <c r="C35">
        <v>7</v>
      </c>
      <c r="D35">
        <v>3</v>
      </c>
      <c r="E35" s="1">
        <v>0.5</v>
      </c>
      <c r="F35">
        <v>0</v>
      </c>
      <c r="G35">
        <v>1</v>
      </c>
      <c r="H35">
        <v>0</v>
      </c>
      <c r="I35">
        <v>2025</v>
      </c>
    </row>
    <row r="36" spans="1:9" x14ac:dyDescent="0.45">
      <c r="A36" t="s">
        <v>40</v>
      </c>
      <c r="B36" t="str">
        <f t="shared" si="0"/>
        <v>Rhamondre Stevenson</v>
      </c>
      <c r="C36">
        <v>10</v>
      </c>
      <c r="D36">
        <v>3</v>
      </c>
      <c r="E36" s="1">
        <v>0.47599999999999998</v>
      </c>
      <c r="F36">
        <v>0</v>
      </c>
      <c r="G36">
        <v>0</v>
      </c>
      <c r="H36">
        <v>0</v>
      </c>
      <c r="I36">
        <v>2025</v>
      </c>
    </row>
    <row r="37" spans="1:9" x14ac:dyDescent="0.45">
      <c r="A37" t="s">
        <v>41</v>
      </c>
      <c r="B37" t="str">
        <f t="shared" si="0"/>
        <v>Breece Hall</v>
      </c>
      <c r="C37">
        <v>4</v>
      </c>
      <c r="D37">
        <v>2</v>
      </c>
      <c r="E37" s="1">
        <v>0.66700000000000004</v>
      </c>
      <c r="F37">
        <v>0</v>
      </c>
      <c r="G37">
        <v>1</v>
      </c>
      <c r="H37">
        <v>0</v>
      </c>
      <c r="I37">
        <v>2025</v>
      </c>
    </row>
    <row r="38" spans="1:9" x14ac:dyDescent="0.45">
      <c r="A38" t="s">
        <v>42</v>
      </c>
      <c r="B38" t="str">
        <f t="shared" si="0"/>
        <v>Travis Etienne Jr.</v>
      </c>
      <c r="C38">
        <v>11</v>
      </c>
      <c r="D38">
        <v>2</v>
      </c>
      <c r="E38" s="1">
        <v>0.61099999999999999</v>
      </c>
      <c r="F38">
        <v>0</v>
      </c>
      <c r="G38">
        <v>1</v>
      </c>
      <c r="H38">
        <v>0</v>
      </c>
      <c r="I38">
        <v>2025</v>
      </c>
    </row>
    <row r="39" spans="1:9" x14ac:dyDescent="0.45">
      <c r="A39" t="s">
        <v>43</v>
      </c>
      <c r="B39" t="str">
        <f t="shared" si="0"/>
        <v>De'Von Achane</v>
      </c>
      <c r="C39">
        <v>5</v>
      </c>
      <c r="D39">
        <v>1</v>
      </c>
      <c r="E39" s="1">
        <v>0.41699999999999998</v>
      </c>
      <c r="F39">
        <v>1</v>
      </c>
      <c r="G39">
        <v>1</v>
      </c>
      <c r="H39">
        <v>1</v>
      </c>
      <c r="I39">
        <v>2025</v>
      </c>
    </row>
    <row r="40" spans="1:9" x14ac:dyDescent="0.45">
      <c r="A40" t="s">
        <v>44</v>
      </c>
      <c r="B40" t="str">
        <f t="shared" si="0"/>
        <v>Aaron Jones Sr.</v>
      </c>
      <c r="C40">
        <v>3</v>
      </c>
      <c r="D40">
        <v>2</v>
      </c>
      <c r="E40" s="1">
        <v>0.25</v>
      </c>
      <c r="F40">
        <v>0</v>
      </c>
      <c r="G40">
        <v>0</v>
      </c>
      <c r="H40">
        <v>0</v>
      </c>
      <c r="I40">
        <v>2025</v>
      </c>
    </row>
    <row r="41" spans="1:9" x14ac:dyDescent="0.45">
      <c r="A41" t="s">
        <v>45</v>
      </c>
      <c r="B41" t="str">
        <f t="shared" si="0"/>
        <v>James Conner</v>
      </c>
      <c r="C41">
        <v>3</v>
      </c>
      <c r="D41">
        <v>1</v>
      </c>
      <c r="E41" s="1">
        <v>0.214</v>
      </c>
      <c r="F41">
        <v>1</v>
      </c>
      <c r="G41">
        <v>1</v>
      </c>
      <c r="H41">
        <v>1</v>
      </c>
      <c r="I41">
        <v>2025</v>
      </c>
    </row>
    <row r="42" spans="1:9" x14ac:dyDescent="0.45">
      <c r="A42" t="s">
        <v>46</v>
      </c>
      <c r="B42" t="str">
        <f t="shared" si="0"/>
        <v>J.K. Dobbins</v>
      </c>
      <c r="C42">
        <v>7</v>
      </c>
      <c r="D42">
        <v>2</v>
      </c>
      <c r="E42" s="1">
        <v>0.38900000000000001</v>
      </c>
      <c r="F42">
        <v>0</v>
      </c>
      <c r="G42">
        <v>0</v>
      </c>
      <c r="H42">
        <v>0</v>
      </c>
      <c r="I42">
        <v>2025</v>
      </c>
    </row>
    <row r="43" spans="1:9" x14ac:dyDescent="0.45">
      <c r="A43" t="s">
        <v>47</v>
      </c>
      <c r="B43" t="str">
        <f t="shared" si="0"/>
        <v>Woody Marks</v>
      </c>
      <c r="C43">
        <v>9</v>
      </c>
      <c r="D43">
        <v>1</v>
      </c>
      <c r="E43" s="1">
        <v>0.42899999999999999</v>
      </c>
      <c r="F43">
        <v>1</v>
      </c>
      <c r="G43">
        <v>2</v>
      </c>
      <c r="H43">
        <v>1</v>
      </c>
      <c r="I43">
        <v>2025</v>
      </c>
    </row>
    <row r="44" spans="1:9" x14ac:dyDescent="0.45">
      <c r="A44" t="s">
        <v>48</v>
      </c>
      <c r="B44" t="str">
        <f t="shared" si="0"/>
        <v>Chuba Hubbard</v>
      </c>
      <c r="C44">
        <v>1</v>
      </c>
      <c r="D44">
        <v>1</v>
      </c>
      <c r="E44" s="1">
        <v>0.1</v>
      </c>
      <c r="F44">
        <v>3</v>
      </c>
      <c r="G44">
        <v>3</v>
      </c>
      <c r="H44">
        <v>1</v>
      </c>
      <c r="I44">
        <v>2025</v>
      </c>
    </row>
    <row r="45" spans="1:9" x14ac:dyDescent="0.45">
      <c r="A45" t="s">
        <v>49</v>
      </c>
      <c r="B45" t="str">
        <f t="shared" si="0"/>
        <v>Devin Neal</v>
      </c>
      <c r="C45">
        <v>2</v>
      </c>
      <c r="D45">
        <v>2</v>
      </c>
      <c r="E45" s="1">
        <v>0.5</v>
      </c>
      <c r="F45">
        <v>0</v>
      </c>
      <c r="G45">
        <v>0</v>
      </c>
      <c r="H45">
        <v>0</v>
      </c>
      <c r="I45">
        <v>2025</v>
      </c>
    </row>
    <row r="46" spans="1:9" x14ac:dyDescent="0.45">
      <c r="A46" t="s">
        <v>50</v>
      </c>
      <c r="B46" t="str">
        <f t="shared" si="0"/>
        <v>Tyjae Spears</v>
      </c>
      <c r="C46">
        <v>2</v>
      </c>
      <c r="D46">
        <v>2</v>
      </c>
      <c r="E46" s="1">
        <v>0.25</v>
      </c>
      <c r="F46">
        <v>0</v>
      </c>
      <c r="G46">
        <v>0</v>
      </c>
      <c r="H46">
        <v>0</v>
      </c>
      <c r="I46">
        <v>2025</v>
      </c>
    </row>
    <row r="47" spans="1:9" x14ac:dyDescent="0.45">
      <c r="A47" t="s">
        <v>51</v>
      </c>
      <c r="B47" t="str">
        <f t="shared" si="0"/>
        <v>Emanuel Wilson</v>
      </c>
      <c r="C47">
        <v>4</v>
      </c>
      <c r="D47">
        <v>2</v>
      </c>
      <c r="E47" s="1">
        <v>0.16700000000000001</v>
      </c>
      <c r="F47">
        <v>0</v>
      </c>
      <c r="G47">
        <v>0</v>
      </c>
      <c r="H47">
        <v>0</v>
      </c>
      <c r="I47">
        <v>2025</v>
      </c>
    </row>
    <row r="48" spans="1:9" x14ac:dyDescent="0.45">
      <c r="A48" t="s">
        <v>52</v>
      </c>
      <c r="B48" t="str">
        <f t="shared" si="0"/>
        <v>Samaje Perine</v>
      </c>
      <c r="C48">
        <v>4</v>
      </c>
      <c r="D48">
        <v>2</v>
      </c>
      <c r="E48" s="1">
        <v>0.25</v>
      </c>
      <c r="F48">
        <v>0</v>
      </c>
      <c r="G48">
        <v>0</v>
      </c>
      <c r="H48">
        <v>0</v>
      </c>
      <c r="I48">
        <v>2025</v>
      </c>
    </row>
    <row r="49" spans="1:9" x14ac:dyDescent="0.45">
      <c r="A49" t="s">
        <v>53</v>
      </c>
      <c r="B49" t="str">
        <f t="shared" si="0"/>
        <v>Ty Johnson</v>
      </c>
      <c r="C49">
        <v>3</v>
      </c>
      <c r="D49">
        <v>2</v>
      </c>
      <c r="E49" s="1">
        <v>0.14299999999999999</v>
      </c>
      <c r="F49">
        <v>0</v>
      </c>
      <c r="G49">
        <v>0</v>
      </c>
      <c r="H49">
        <v>0</v>
      </c>
      <c r="I49">
        <v>2025</v>
      </c>
    </row>
    <row r="50" spans="1:9" x14ac:dyDescent="0.45">
      <c r="A50" t="s">
        <v>54</v>
      </c>
      <c r="B50" t="str">
        <f t="shared" si="0"/>
        <v>Jaylen Wright</v>
      </c>
      <c r="C50">
        <v>2</v>
      </c>
      <c r="D50">
        <v>2</v>
      </c>
      <c r="E50" s="1">
        <v>0.16700000000000001</v>
      </c>
      <c r="F50">
        <v>0</v>
      </c>
      <c r="G50">
        <v>0</v>
      </c>
      <c r="H50">
        <v>0</v>
      </c>
      <c r="I50">
        <v>2025</v>
      </c>
    </row>
    <row r="51" spans="1:9" x14ac:dyDescent="0.45">
      <c r="A51" t="s">
        <v>55</v>
      </c>
      <c r="B51" t="str">
        <f t="shared" si="0"/>
        <v>Kimani Vidal</v>
      </c>
      <c r="C51">
        <v>7</v>
      </c>
      <c r="D51">
        <v>2</v>
      </c>
      <c r="E51" s="1">
        <v>0.41199999999999998</v>
      </c>
      <c r="F51">
        <v>0</v>
      </c>
      <c r="G51">
        <v>0</v>
      </c>
      <c r="H51">
        <v>0</v>
      </c>
      <c r="I51">
        <v>2025</v>
      </c>
    </row>
    <row r="52" spans="1:9" x14ac:dyDescent="0.45">
      <c r="A52" t="s">
        <v>56</v>
      </c>
      <c r="B52" t="str">
        <f t="shared" si="0"/>
        <v>Tony Pollard</v>
      </c>
      <c r="C52">
        <v>4</v>
      </c>
      <c r="D52">
        <v>2</v>
      </c>
      <c r="E52" s="1">
        <v>0.5</v>
      </c>
      <c r="F52">
        <v>0</v>
      </c>
      <c r="G52">
        <v>0</v>
      </c>
      <c r="H52">
        <v>0</v>
      </c>
      <c r="I52">
        <v>2025</v>
      </c>
    </row>
    <row r="53" spans="1:9" x14ac:dyDescent="0.45">
      <c r="A53" t="s">
        <v>57</v>
      </c>
      <c r="B53" t="str">
        <f t="shared" si="0"/>
        <v>Ollie Gordon II</v>
      </c>
      <c r="C53">
        <v>5</v>
      </c>
      <c r="D53">
        <v>2</v>
      </c>
      <c r="E53" s="1">
        <v>0.41699999999999998</v>
      </c>
      <c r="F53">
        <v>0</v>
      </c>
      <c r="G53">
        <v>0</v>
      </c>
      <c r="H53">
        <v>0</v>
      </c>
      <c r="I53">
        <v>2025</v>
      </c>
    </row>
    <row r="54" spans="1:9" x14ac:dyDescent="0.45">
      <c r="A54" t="s">
        <v>58</v>
      </c>
      <c r="B54" t="str">
        <f t="shared" si="0"/>
        <v>TreVeyon Henderson</v>
      </c>
      <c r="C54">
        <v>6</v>
      </c>
      <c r="D54">
        <v>1</v>
      </c>
      <c r="E54" s="1">
        <v>0.28599999999999998</v>
      </c>
      <c r="F54">
        <v>1</v>
      </c>
      <c r="G54">
        <v>1</v>
      </c>
      <c r="H54">
        <v>0</v>
      </c>
      <c r="I54">
        <v>2025</v>
      </c>
    </row>
    <row r="55" spans="1:9" x14ac:dyDescent="0.45">
      <c r="A55" t="s">
        <v>59</v>
      </c>
      <c r="B55" t="str">
        <f t="shared" si="0"/>
        <v>Saquon Barkley</v>
      </c>
      <c r="C55">
        <v>14</v>
      </c>
      <c r="D55">
        <v>1</v>
      </c>
      <c r="E55" s="1">
        <v>0.77800000000000002</v>
      </c>
      <c r="F55">
        <v>0</v>
      </c>
      <c r="G55">
        <v>1</v>
      </c>
      <c r="H55">
        <v>0</v>
      </c>
      <c r="I55">
        <v>2025</v>
      </c>
    </row>
    <row r="56" spans="1:9" x14ac:dyDescent="0.45">
      <c r="A56" t="s">
        <v>60</v>
      </c>
      <c r="B56" t="str">
        <f t="shared" si="0"/>
        <v>Miles Sanders</v>
      </c>
      <c r="C56">
        <v>1</v>
      </c>
      <c r="D56">
        <v>1</v>
      </c>
      <c r="E56" s="1">
        <v>4.2999999999999997E-2</v>
      </c>
      <c r="F56">
        <v>0</v>
      </c>
      <c r="G56">
        <v>0</v>
      </c>
      <c r="H56">
        <v>0</v>
      </c>
      <c r="I56">
        <v>2025</v>
      </c>
    </row>
    <row r="57" spans="1:9" x14ac:dyDescent="0.45">
      <c r="A57" t="s">
        <v>61</v>
      </c>
      <c r="B57" t="str">
        <f t="shared" si="0"/>
        <v>Brian Robinson Jr.</v>
      </c>
      <c r="C57">
        <v>2</v>
      </c>
      <c r="D57">
        <v>1</v>
      </c>
      <c r="E57" s="1">
        <v>8.6999999999999994E-2</v>
      </c>
      <c r="F57">
        <v>1</v>
      </c>
      <c r="G57">
        <v>1</v>
      </c>
      <c r="H57">
        <v>0</v>
      </c>
      <c r="I57">
        <v>2025</v>
      </c>
    </row>
    <row r="58" spans="1:9" x14ac:dyDescent="0.45">
      <c r="A58" t="s">
        <v>62</v>
      </c>
      <c r="B58" t="str">
        <f t="shared" si="0"/>
        <v>Raheim Sanders</v>
      </c>
      <c r="C58">
        <v>4</v>
      </c>
      <c r="D58">
        <v>1</v>
      </c>
      <c r="E58" s="1">
        <v>0.222</v>
      </c>
      <c r="F58">
        <v>0</v>
      </c>
      <c r="G58">
        <v>0</v>
      </c>
      <c r="H58">
        <v>0</v>
      </c>
      <c r="I58">
        <v>2025</v>
      </c>
    </row>
    <row r="59" spans="1:9" x14ac:dyDescent="0.45">
      <c r="A59" t="s">
        <v>63</v>
      </c>
      <c r="B59" t="str">
        <f t="shared" si="0"/>
        <v>Jaleel McLaughlin</v>
      </c>
      <c r="C59">
        <v>1</v>
      </c>
      <c r="D59">
        <v>1</v>
      </c>
      <c r="E59" s="1">
        <v>5.6000000000000001E-2</v>
      </c>
      <c r="F59">
        <v>0</v>
      </c>
      <c r="G59">
        <v>0</v>
      </c>
      <c r="H59">
        <v>0</v>
      </c>
      <c r="I59">
        <v>2025</v>
      </c>
    </row>
    <row r="60" spans="1:9" x14ac:dyDescent="0.45">
      <c r="A60" t="s">
        <v>64</v>
      </c>
      <c r="B60" t="str">
        <f t="shared" si="0"/>
        <v>Brashard Smith</v>
      </c>
      <c r="C60">
        <v>1</v>
      </c>
      <c r="D60">
        <v>0</v>
      </c>
      <c r="E60" s="1">
        <v>6.3E-2</v>
      </c>
      <c r="F60">
        <v>2</v>
      </c>
      <c r="G60">
        <v>2</v>
      </c>
      <c r="H60">
        <v>1</v>
      </c>
      <c r="I60">
        <v>2025</v>
      </c>
    </row>
    <row r="61" spans="1:9" x14ac:dyDescent="0.45">
      <c r="A61" t="s">
        <v>65</v>
      </c>
      <c r="B61" t="str">
        <f t="shared" si="0"/>
        <v>Michael Carter</v>
      </c>
      <c r="C61">
        <v>3</v>
      </c>
      <c r="D61">
        <v>1</v>
      </c>
      <c r="E61" s="1">
        <v>0.214</v>
      </c>
      <c r="F61">
        <v>0</v>
      </c>
      <c r="G61">
        <v>0</v>
      </c>
      <c r="H61">
        <v>0</v>
      </c>
      <c r="I61">
        <v>2025</v>
      </c>
    </row>
    <row r="62" spans="1:9" x14ac:dyDescent="0.45">
      <c r="A62" t="s">
        <v>66</v>
      </c>
      <c r="B62" t="str">
        <f t="shared" si="0"/>
        <v>Hunter Luepke</v>
      </c>
      <c r="C62">
        <v>0</v>
      </c>
      <c r="D62">
        <v>0</v>
      </c>
      <c r="E62" s="1">
        <v>0</v>
      </c>
      <c r="F62">
        <v>1</v>
      </c>
      <c r="G62">
        <v>1</v>
      </c>
      <c r="H62">
        <v>1</v>
      </c>
      <c r="I62">
        <v>2025</v>
      </c>
    </row>
    <row r="63" spans="1:9" x14ac:dyDescent="0.45">
      <c r="A63" t="s">
        <v>67</v>
      </c>
      <c r="B63" t="str">
        <f t="shared" si="0"/>
        <v>Terrell Jennings</v>
      </c>
      <c r="C63">
        <v>2</v>
      </c>
      <c r="D63">
        <v>1</v>
      </c>
      <c r="E63" s="1">
        <v>9.5000000000000001E-2</v>
      </c>
      <c r="F63">
        <v>0</v>
      </c>
      <c r="G63">
        <v>0</v>
      </c>
      <c r="H63">
        <v>0</v>
      </c>
      <c r="I63">
        <v>2025</v>
      </c>
    </row>
    <row r="64" spans="1:9" x14ac:dyDescent="0.45">
      <c r="A64" t="s">
        <v>68</v>
      </c>
      <c r="B64" t="str">
        <f t="shared" si="0"/>
        <v>Kyle Juszczyk</v>
      </c>
      <c r="C64">
        <v>1</v>
      </c>
      <c r="D64">
        <v>0</v>
      </c>
      <c r="E64" s="1">
        <v>4.2999999999999997E-2</v>
      </c>
      <c r="F64">
        <v>2</v>
      </c>
      <c r="G64">
        <v>2</v>
      </c>
      <c r="H64">
        <v>1</v>
      </c>
      <c r="I64">
        <v>2025</v>
      </c>
    </row>
    <row r="65" spans="1:9" x14ac:dyDescent="0.45">
      <c r="A65" t="s">
        <v>69</v>
      </c>
      <c r="B65" t="str">
        <f t="shared" si="0"/>
        <v>Ameer Abdullah</v>
      </c>
      <c r="C65">
        <v>1</v>
      </c>
      <c r="D65">
        <v>1</v>
      </c>
      <c r="E65" s="1">
        <v>4.2000000000000003E-2</v>
      </c>
      <c r="F65">
        <v>0</v>
      </c>
      <c r="G65">
        <v>0</v>
      </c>
      <c r="H65">
        <v>0</v>
      </c>
      <c r="I65">
        <v>2025</v>
      </c>
    </row>
    <row r="66" spans="1:9" x14ac:dyDescent="0.45">
      <c r="A66" t="s">
        <v>70</v>
      </c>
      <c r="B66" t="str">
        <f t="shared" ref="B66:B129" si="1">TRIM(LEFT(A66, LEN(A66) - LEN(TRIM(RIGHT(SUBSTITUTE(TRIM(A66)," ",REPT(" ",100)),100)))))</f>
        <v>Nick Chubb</v>
      </c>
      <c r="C66">
        <v>6</v>
      </c>
      <c r="D66">
        <v>1</v>
      </c>
      <c r="E66" s="1">
        <v>0.28599999999999998</v>
      </c>
      <c r="F66">
        <v>0</v>
      </c>
      <c r="G66">
        <v>0</v>
      </c>
      <c r="H66">
        <v>0</v>
      </c>
      <c r="I66">
        <v>2025</v>
      </c>
    </row>
    <row r="67" spans="1:9" x14ac:dyDescent="0.45">
      <c r="A67" t="s">
        <v>71</v>
      </c>
      <c r="B67" t="str">
        <f t="shared" si="1"/>
        <v>Jaret Patterson</v>
      </c>
      <c r="C67">
        <v>2</v>
      </c>
      <c r="D67">
        <v>1</v>
      </c>
      <c r="E67" s="1">
        <v>0.11799999999999999</v>
      </c>
      <c r="F67">
        <v>0</v>
      </c>
      <c r="G67">
        <v>0</v>
      </c>
      <c r="H67">
        <v>0</v>
      </c>
      <c r="I67">
        <v>2025</v>
      </c>
    </row>
    <row r="68" spans="1:9" x14ac:dyDescent="0.45">
      <c r="A68" t="s">
        <v>72</v>
      </c>
      <c r="B68" t="str">
        <f t="shared" si="1"/>
        <v>Malik Davis</v>
      </c>
      <c r="C68">
        <v>2</v>
      </c>
      <c r="D68">
        <v>1</v>
      </c>
      <c r="E68" s="1">
        <v>8.6999999999999994E-2</v>
      </c>
      <c r="F68">
        <v>0</v>
      </c>
      <c r="G68">
        <v>0</v>
      </c>
      <c r="H68">
        <v>0</v>
      </c>
      <c r="I68">
        <v>2025</v>
      </c>
    </row>
    <row r="69" spans="1:9" x14ac:dyDescent="0.45">
      <c r="A69" t="s">
        <v>73</v>
      </c>
      <c r="B69" t="str">
        <f t="shared" si="1"/>
        <v>C.J. Ham</v>
      </c>
      <c r="C69">
        <v>1</v>
      </c>
      <c r="D69">
        <v>1</v>
      </c>
      <c r="E69" s="1">
        <v>8.3000000000000004E-2</v>
      </c>
      <c r="F69">
        <v>0</v>
      </c>
      <c r="G69">
        <v>0</v>
      </c>
      <c r="H69">
        <v>0</v>
      </c>
      <c r="I69">
        <v>2025</v>
      </c>
    </row>
    <row r="70" spans="1:9" x14ac:dyDescent="0.45">
      <c r="A70" t="s">
        <v>74</v>
      </c>
      <c r="B70" t="str">
        <f t="shared" si="1"/>
        <v>Justice Hill</v>
      </c>
      <c r="C70">
        <v>1</v>
      </c>
      <c r="D70">
        <v>1</v>
      </c>
      <c r="E70" s="1">
        <v>3.5999999999999997E-2</v>
      </c>
      <c r="F70">
        <v>0</v>
      </c>
      <c r="G70">
        <v>0</v>
      </c>
      <c r="H70">
        <v>0</v>
      </c>
      <c r="I70">
        <v>2025</v>
      </c>
    </row>
    <row r="71" spans="1:9" x14ac:dyDescent="0.45">
      <c r="A71" t="s">
        <v>75</v>
      </c>
      <c r="B71" t="str">
        <f t="shared" si="1"/>
        <v>Antonio Gibson</v>
      </c>
      <c r="C71">
        <v>2</v>
      </c>
      <c r="D71">
        <v>1</v>
      </c>
      <c r="E71" s="1">
        <v>9.5000000000000001E-2</v>
      </c>
      <c r="F71">
        <v>0</v>
      </c>
      <c r="G71">
        <v>0</v>
      </c>
      <c r="H71">
        <v>0</v>
      </c>
      <c r="I71">
        <v>2025</v>
      </c>
    </row>
    <row r="72" spans="1:9" x14ac:dyDescent="0.45">
      <c r="A72" t="s">
        <v>101</v>
      </c>
      <c r="B72" t="str">
        <f t="shared" si="1"/>
        <v>Dare Ogunbowale</v>
      </c>
      <c r="C72">
        <v>3</v>
      </c>
      <c r="D72">
        <v>1</v>
      </c>
      <c r="E72" s="1">
        <v>0.14299999999999999</v>
      </c>
      <c r="F72">
        <v>0</v>
      </c>
      <c r="G72">
        <v>0</v>
      </c>
      <c r="H72">
        <v>0</v>
      </c>
      <c r="I72">
        <v>2025</v>
      </c>
    </row>
    <row r="73" spans="1:9" x14ac:dyDescent="0.45">
      <c r="A73" t="s">
        <v>76</v>
      </c>
      <c r="B73" t="str">
        <f t="shared" si="1"/>
        <v>Jerome Ford</v>
      </c>
      <c r="C73">
        <v>3</v>
      </c>
      <c r="D73">
        <v>0</v>
      </c>
      <c r="E73" s="1">
        <v>0.16700000000000001</v>
      </c>
      <c r="F73">
        <v>0</v>
      </c>
      <c r="G73">
        <v>0</v>
      </c>
      <c r="H73">
        <v>0</v>
      </c>
      <c r="I73">
        <v>2025</v>
      </c>
    </row>
    <row r="74" spans="1:9" x14ac:dyDescent="0.45">
      <c r="A74" t="s">
        <v>77</v>
      </c>
      <c r="B74" t="str">
        <f t="shared" si="1"/>
        <v>Tyrone Tracy Jr.</v>
      </c>
      <c r="C74">
        <v>2</v>
      </c>
      <c r="D74">
        <v>0</v>
      </c>
      <c r="E74" s="1">
        <v>0.1</v>
      </c>
      <c r="F74">
        <v>0</v>
      </c>
      <c r="G74">
        <v>0</v>
      </c>
      <c r="H74">
        <v>0</v>
      </c>
      <c r="I74">
        <v>2025</v>
      </c>
    </row>
    <row r="75" spans="1:9" x14ac:dyDescent="0.45">
      <c r="A75" t="s">
        <v>78</v>
      </c>
      <c r="B75" t="str">
        <f t="shared" si="1"/>
        <v>Zavier Scott</v>
      </c>
      <c r="C75">
        <v>1</v>
      </c>
      <c r="D75">
        <v>0</v>
      </c>
      <c r="E75" s="1">
        <v>8.3000000000000004E-2</v>
      </c>
      <c r="F75">
        <v>0</v>
      </c>
      <c r="G75">
        <v>0</v>
      </c>
      <c r="H75">
        <v>0</v>
      </c>
      <c r="I75">
        <v>2025</v>
      </c>
    </row>
    <row r="76" spans="1:9" x14ac:dyDescent="0.45">
      <c r="A76" t="s">
        <v>79</v>
      </c>
      <c r="B76" t="str">
        <f t="shared" si="1"/>
        <v>Jeremy McNichols</v>
      </c>
      <c r="C76">
        <v>1</v>
      </c>
      <c r="D76">
        <v>0</v>
      </c>
      <c r="E76" s="1">
        <v>0.05</v>
      </c>
      <c r="F76">
        <v>0</v>
      </c>
      <c r="G76">
        <v>0</v>
      </c>
      <c r="H76">
        <v>0</v>
      </c>
      <c r="I76">
        <v>2025</v>
      </c>
    </row>
    <row r="77" spans="1:9" x14ac:dyDescent="0.45">
      <c r="A77" t="s">
        <v>80</v>
      </c>
      <c r="B77" t="str">
        <f t="shared" si="1"/>
        <v>Tank Bigsby</v>
      </c>
      <c r="C77">
        <v>4</v>
      </c>
      <c r="D77">
        <v>0</v>
      </c>
      <c r="E77" s="1">
        <v>0.222</v>
      </c>
      <c r="F77">
        <v>0</v>
      </c>
      <c r="G77">
        <v>0</v>
      </c>
      <c r="H77">
        <v>0</v>
      </c>
      <c r="I77">
        <v>2025</v>
      </c>
    </row>
    <row r="78" spans="1:9" x14ac:dyDescent="0.45">
      <c r="A78" t="s">
        <v>81</v>
      </c>
      <c r="B78" t="str">
        <f t="shared" si="1"/>
        <v>Ray Davis</v>
      </c>
      <c r="C78">
        <v>2</v>
      </c>
      <c r="D78">
        <v>0</v>
      </c>
      <c r="E78" s="1">
        <v>9.5000000000000001E-2</v>
      </c>
      <c r="F78">
        <v>1</v>
      </c>
      <c r="G78">
        <v>1</v>
      </c>
      <c r="H78">
        <v>0</v>
      </c>
      <c r="I78">
        <v>2025</v>
      </c>
    </row>
    <row r="79" spans="1:9" x14ac:dyDescent="0.45">
      <c r="A79" t="s">
        <v>82</v>
      </c>
      <c r="B79" t="str">
        <f t="shared" si="1"/>
        <v>Kene Nwangwu</v>
      </c>
      <c r="C79">
        <v>2</v>
      </c>
      <c r="D79">
        <v>0</v>
      </c>
      <c r="E79" s="1">
        <v>0.33300000000000002</v>
      </c>
      <c r="F79">
        <v>0</v>
      </c>
      <c r="G79">
        <v>0</v>
      </c>
      <c r="H79">
        <v>0</v>
      </c>
      <c r="I79">
        <v>2025</v>
      </c>
    </row>
    <row r="80" spans="1:9" x14ac:dyDescent="0.45">
      <c r="A80" t="s">
        <v>83</v>
      </c>
      <c r="B80" t="str">
        <f t="shared" si="1"/>
        <v>Emari Demercado</v>
      </c>
      <c r="C80">
        <v>0</v>
      </c>
      <c r="D80">
        <v>0</v>
      </c>
      <c r="E80" s="1">
        <v>0</v>
      </c>
      <c r="F80">
        <v>1</v>
      </c>
      <c r="G80">
        <v>1</v>
      </c>
      <c r="H80">
        <v>0</v>
      </c>
      <c r="I80">
        <v>2025</v>
      </c>
    </row>
    <row r="81" spans="1:9" x14ac:dyDescent="0.45">
      <c r="A81" t="s">
        <v>84</v>
      </c>
      <c r="B81" t="str">
        <f t="shared" si="1"/>
        <v>D'Ernest Johnson</v>
      </c>
      <c r="C81">
        <v>1</v>
      </c>
      <c r="D81">
        <v>0</v>
      </c>
      <c r="E81" s="1">
        <v>4.8000000000000001E-2</v>
      </c>
      <c r="F81">
        <v>0</v>
      </c>
      <c r="G81">
        <v>0</v>
      </c>
      <c r="H81">
        <v>0</v>
      </c>
      <c r="I81">
        <v>2025</v>
      </c>
    </row>
    <row r="82" spans="1:9" x14ac:dyDescent="0.45">
      <c r="A82" t="s">
        <v>85</v>
      </c>
      <c r="B82" t="str">
        <f t="shared" si="1"/>
        <v>Reggie Gilliam</v>
      </c>
      <c r="C82">
        <v>0</v>
      </c>
      <c r="D82">
        <v>0</v>
      </c>
      <c r="E82" s="1">
        <v>0</v>
      </c>
      <c r="F82">
        <v>0</v>
      </c>
      <c r="G82">
        <v>0</v>
      </c>
      <c r="H82">
        <v>0</v>
      </c>
      <c r="I82">
        <v>2025</v>
      </c>
    </row>
    <row r="83" spans="1:9" x14ac:dyDescent="0.45">
      <c r="A83" t="s">
        <v>86</v>
      </c>
      <c r="B83" t="str">
        <f t="shared" si="1"/>
        <v>Tyler Goodson</v>
      </c>
      <c r="C83">
        <v>0</v>
      </c>
      <c r="D83">
        <v>0</v>
      </c>
      <c r="E83" s="1">
        <v>0</v>
      </c>
      <c r="F83">
        <v>0</v>
      </c>
      <c r="G83">
        <v>1</v>
      </c>
      <c r="H83">
        <v>0</v>
      </c>
      <c r="I83">
        <v>2025</v>
      </c>
    </row>
    <row r="84" spans="1:9" x14ac:dyDescent="0.45">
      <c r="A84" t="s">
        <v>87</v>
      </c>
      <c r="B84" t="str">
        <f t="shared" si="1"/>
        <v>Adam Prentice</v>
      </c>
      <c r="C84">
        <v>1</v>
      </c>
      <c r="D84">
        <v>0</v>
      </c>
      <c r="E84" s="1">
        <v>5.6000000000000001E-2</v>
      </c>
      <c r="F84">
        <v>0</v>
      </c>
      <c r="G84">
        <v>1</v>
      </c>
      <c r="H84">
        <v>0</v>
      </c>
      <c r="I84">
        <v>2025</v>
      </c>
    </row>
    <row r="85" spans="1:9" x14ac:dyDescent="0.45">
      <c r="A85" t="s">
        <v>88</v>
      </c>
      <c r="B85" t="str">
        <f t="shared" si="1"/>
        <v>Isiah Pacheco</v>
      </c>
      <c r="C85">
        <v>0</v>
      </c>
      <c r="D85">
        <v>0</v>
      </c>
      <c r="E85" s="1">
        <v>0</v>
      </c>
      <c r="F85">
        <v>0</v>
      </c>
      <c r="G85">
        <v>1</v>
      </c>
      <c r="H85">
        <v>0</v>
      </c>
      <c r="I85">
        <v>2025</v>
      </c>
    </row>
    <row r="86" spans="1:9" x14ac:dyDescent="0.45">
      <c r="A86" t="s">
        <v>89</v>
      </c>
      <c r="B86" t="str">
        <f t="shared" si="1"/>
        <v>Braelon Allen</v>
      </c>
      <c r="C86">
        <v>0</v>
      </c>
      <c r="D86">
        <v>0</v>
      </c>
      <c r="E86" s="1">
        <v>0</v>
      </c>
      <c r="F86">
        <v>0</v>
      </c>
      <c r="G86">
        <v>1</v>
      </c>
      <c r="H86">
        <v>0</v>
      </c>
      <c r="I86">
        <v>2025</v>
      </c>
    </row>
    <row r="87" spans="1:9" x14ac:dyDescent="0.45">
      <c r="A87" t="s">
        <v>90</v>
      </c>
      <c r="B87" t="str">
        <f t="shared" si="1"/>
        <v>Julius Chestnut</v>
      </c>
      <c r="C87">
        <v>2</v>
      </c>
      <c r="D87">
        <v>0</v>
      </c>
      <c r="E87" s="1">
        <v>0.25</v>
      </c>
      <c r="F87">
        <v>0</v>
      </c>
      <c r="G87">
        <v>0</v>
      </c>
      <c r="H87">
        <v>0</v>
      </c>
      <c r="I87">
        <v>2025</v>
      </c>
    </row>
    <row r="88" spans="1:9" x14ac:dyDescent="0.45">
      <c r="A88" t="s">
        <v>91</v>
      </c>
      <c r="B88" t="str">
        <f t="shared" si="1"/>
        <v>Trey Benson</v>
      </c>
      <c r="C88">
        <v>1</v>
      </c>
      <c r="D88">
        <v>0</v>
      </c>
      <c r="E88" s="1">
        <v>7.0999999999999994E-2</v>
      </c>
      <c r="F88">
        <v>0</v>
      </c>
      <c r="G88">
        <v>0</v>
      </c>
      <c r="H88">
        <v>0</v>
      </c>
      <c r="I88">
        <v>2025</v>
      </c>
    </row>
    <row r="89" spans="1:9" x14ac:dyDescent="0.45">
      <c r="A89" t="s">
        <v>92</v>
      </c>
      <c r="B89" t="str">
        <f t="shared" si="1"/>
        <v>Isaiah Davis</v>
      </c>
      <c r="C89">
        <v>0</v>
      </c>
      <c r="D89">
        <v>0</v>
      </c>
      <c r="E89" s="1">
        <v>0</v>
      </c>
      <c r="F89">
        <v>0</v>
      </c>
      <c r="G89">
        <v>0</v>
      </c>
      <c r="H89">
        <v>0</v>
      </c>
      <c r="I89">
        <v>2025</v>
      </c>
    </row>
    <row r="90" spans="1:9" x14ac:dyDescent="0.45">
      <c r="A90" t="s">
        <v>93</v>
      </c>
      <c r="B90" t="str">
        <f t="shared" si="1"/>
        <v>Jawhar Jordan</v>
      </c>
      <c r="C90">
        <v>1</v>
      </c>
      <c r="D90">
        <v>0</v>
      </c>
      <c r="E90" s="1">
        <v>4.8000000000000001E-2</v>
      </c>
      <c r="F90">
        <v>0</v>
      </c>
      <c r="G90">
        <v>0</v>
      </c>
      <c r="H90">
        <v>0</v>
      </c>
      <c r="I90">
        <v>2025</v>
      </c>
    </row>
    <row r="91" spans="1:9" x14ac:dyDescent="0.45">
      <c r="A91" t="s">
        <v>94</v>
      </c>
      <c r="B91" t="str">
        <f t="shared" si="1"/>
        <v>British Brooks</v>
      </c>
      <c r="C91">
        <v>2</v>
      </c>
      <c r="D91">
        <v>0</v>
      </c>
      <c r="E91" s="1">
        <v>9.5000000000000001E-2</v>
      </c>
      <c r="F91">
        <v>0</v>
      </c>
      <c r="G91">
        <v>0</v>
      </c>
      <c r="H91">
        <v>0</v>
      </c>
      <c r="I91">
        <v>2025</v>
      </c>
    </row>
    <row r="92" spans="1:9" x14ac:dyDescent="0.45">
      <c r="A92" t="s">
        <v>95</v>
      </c>
      <c r="B92" t="str">
        <f t="shared" si="1"/>
        <v>DJ Giddens</v>
      </c>
      <c r="C92">
        <v>1</v>
      </c>
      <c r="D92">
        <v>0</v>
      </c>
      <c r="E92" s="1">
        <v>4.2000000000000003E-2</v>
      </c>
      <c r="F92">
        <v>0</v>
      </c>
      <c r="G92">
        <v>0</v>
      </c>
      <c r="H92">
        <v>0</v>
      </c>
      <c r="I92">
        <v>2025</v>
      </c>
    </row>
    <row r="93" spans="1:9" x14ac:dyDescent="0.45">
      <c r="A93" t="s">
        <v>96</v>
      </c>
      <c r="B93" t="str">
        <f t="shared" si="1"/>
        <v>LeQuint Allen Jr.</v>
      </c>
      <c r="C93">
        <v>1</v>
      </c>
      <c r="D93">
        <v>0</v>
      </c>
      <c r="E93" s="1">
        <v>5.6000000000000001E-2</v>
      </c>
      <c r="F93">
        <v>0</v>
      </c>
      <c r="G93">
        <v>0</v>
      </c>
      <c r="H93">
        <v>0</v>
      </c>
      <c r="I93">
        <v>2025</v>
      </c>
    </row>
    <row r="94" spans="1:9" x14ac:dyDescent="0.45">
      <c r="A94" t="s">
        <v>97</v>
      </c>
      <c r="B94" t="str">
        <f t="shared" si="1"/>
        <v>Trevor Etienne</v>
      </c>
      <c r="C94">
        <v>1</v>
      </c>
      <c r="D94">
        <v>0</v>
      </c>
      <c r="E94" s="1">
        <v>0.1</v>
      </c>
      <c r="F94">
        <v>0</v>
      </c>
      <c r="G94">
        <v>0</v>
      </c>
      <c r="H94">
        <v>0</v>
      </c>
      <c r="I94">
        <v>2025</v>
      </c>
    </row>
    <row r="95" spans="1:9" x14ac:dyDescent="0.45">
      <c r="A95" t="s">
        <v>98</v>
      </c>
      <c r="B95" t="str">
        <f t="shared" si="1"/>
        <v>Alvin Kamara</v>
      </c>
      <c r="C95">
        <v>2</v>
      </c>
      <c r="D95">
        <v>0</v>
      </c>
      <c r="E95" s="1">
        <v>0.5</v>
      </c>
      <c r="F95">
        <v>0</v>
      </c>
      <c r="G95">
        <v>0</v>
      </c>
      <c r="H95">
        <v>0</v>
      </c>
      <c r="I95">
        <v>2025</v>
      </c>
    </row>
    <row r="96" spans="1:9" x14ac:dyDescent="0.45">
      <c r="A96" t="s">
        <v>14</v>
      </c>
      <c r="B96" t="str">
        <f t="shared" si="1"/>
        <v>Kyren Williams</v>
      </c>
      <c r="C96">
        <v>20</v>
      </c>
      <c r="D96">
        <v>12</v>
      </c>
      <c r="E96" s="1">
        <v>0.8</v>
      </c>
      <c r="F96">
        <v>2</v>
      </c>
      <c r="G96">
        <v>2</v>
      </c>
      <c r="H96">
        <v>1</v>
      </c>
      <c r="I96">
        <v>2024</v>
      </c>
    </row>
    <row r="97" spans="1:9" x14ac:dyDescent="0.45">
      <c r="A97" t="s">
        <v>13</v>
      </c>
      <c r="B97" t="str">
        <f t="shared" si="1"/>
        <v>Josh Jacobs</v>
      </c>
      <c r="C97">
        <v>22</v>
      </c>
      <c r="D97">
        <v>11</v>
      </c>
      <c r="E97" s="1">
        <v>0.78600000000000003</v>
      </c>
      <c r="F97">
        <v>1</v>
      </c>
      <c r="G97">
        <v>1</v>
      </c>
      <c r="H97">
        <v>0</v>
      </c>
      <c r="I97">
        <v>2024</v>
      </c>
    </row>
    <row r="98" spans="1:9" x14ac:dyDescent="0.45">
      <c r="A98" t="s">
        <v>8</v>
      </c>
      <c r="B98" t="str">
        <f t="shared" si="1"/>
        <v>Derrick Henry</v>
      </c>
      <c r="C98">
        <v>18</v>
      </c>
      <c r="D98">
        <v>9</v>
      </c>
      <c r="E98" s="1">
        <v>0.94699999999999995</v>
      </c>
      <c r="F98">
        <v>1</v>
      </c>
      <c r="G98">
        <v>1</v>
      </c>
      <c r="H98">
        <v>1</v>
      </c>
      <c r="I98">
        <v>2024</v>
      </c>
    </row>
    <row r="99" spans="1:9" x14ac:dyDescent="0.45">
      <c r="A99" t="s">
        <v>29</v>
      </c>
      <c r="B99" t="str">
        <f t="shared" si="1"/>
        <v>Bijan Robinson</v>
      </c>
      <c r="C99">
        <v>14</v>
      </c>
      <c r="D99">
        <v>9</v>
      </c>
      <c r="E99" s="1">
        <v>0.7</v>
      </c>
      <c r="F99">
        <v>0</v>
      </c>
      <c r="G99">
        <v>0</v>
      </c>
      <c r="H99">
        <v>0</v>
      </c>
      <c r="I99">
        <v>2024</v>
      </c>
    </row>
    <row r="100" spans="1:9" x14ac:dyDescent="0.45">
      <c r="A100" t="s">
        <v>16</v>
      </c>
      <c r="B100" t="str">
        <f t="shared" si="1"/>
        <v>Jahmyr Gibbs</v>
      </c>
      <c r="C100">
        <v>16</v>
      </c>
      <c r="D100">
        <v>8</v>
      </c>
      <c r="E100" s="1">
        <v>0.47099999999999997</v>
      </c>
      <c r="F100">
        <v>1</v>
      </c>
      <c r="G100">
        <v>1</v>
      </c>
      <c r="H100">
        <v>1</v>
      </c>
      <c r="I100">
        <v>2024</v>
      </c>
    </row>
    <row r="101" spans="1:9" x14ac:dyDescent="0.45">
      <c r="A101" t="s">
        <v>18</v>
      </c>
      <c r="B101" t="str">
        <f t="shared" si="1"/>
        <v>David Montgomery</v>
      </c>
      <c r="C101">
        <v>17</v>
      </c>
      <c r="D101">
        <v>8</v>
      </c>
      <c r="E101" s="1">
        <v>0.5</v>
      </c>
      <c r="F101">
        <v>0</v>
      </c>
      <c r="G101">
        <v>0</v>
      </c>
      <c r="H101">
        <v>0</v>
      </c>
      <c r="I101">
        <v>2024</v>
      </c>
    </row>
    <row r="102" spans="1:9" x14ac:dyDescent="0.45">
      <c r="A102" t="s">
        <v>20</v>
      </c>
      <c r="B102" t="str">
        <f t="shared" si="1"/>
        <v>Chase Brown</v>
      </c>
      <c r="C102">
        <v>13</v>
      </c>
      <c r="D102">
        <v>6</v>
      </c>
      <c r="E102" s="1">
        <v>0.61899999999999999</v>
      </c>
      <c r="F102">
        <v>2</v>
      </c>
      <c r="G102">
        <v>3</v>
      </c>
      <c r="H102">
        <v>2</v>
      </c>
      <c r="I102">
        <v>2024</v>
      </c>
    </row>
    <row r="103" spans="1:9" x14ac:dyDescent="0.45">
      <c r="A103" t="s">
        <v>15</v>
      </c>
      <c r="B103" t="str">
        <f t="shared" si="1"/>
        <v>James Cook III</v>
      </c>
      <c r="C103">
        <v>11</v>
      </c>
      <c r="D103">
        <v>6</v>
      </c>
      <c r="E103" s="1">
        <v>0.68799999999999994</v>
      </c>
      <c r="F103">
        <v>1</v>
      </c>
      <c r="G103">
        <v>1</v>
      </c>
      <c r="H103">
        <v>1</v>
      </c>
      <c r="I103">
        <v>2024</v>
      </c>
    </row>
    <row r="104" spans="1:9" x14ac:dyDescent="0.45">
      <c r="A104" t="s">
        <v>48</v>
      </c>
      <c r="B104" t="str">
        <f t="shared" si="1"/>
        <v>Chuba Hubbard</v>
      </c>
      <c r="C104">
        <v>21</v>
      </c>
      <c r="D104">
        <v>7</v>
      </c>
      <c r="E104" s="1">
        <v>0.91300000000000003</v>
      </c>
      <c r="F104">
        <v>0</v>
      </c>
      <c r="G104">
        <v>0</v>
      </c>
      <c r="H104">
        <v>0</v>
      </c>
      <c r="I104">
        <v>2024</v>
      </c>
    </row>
    <row r="105" spans="1:9" x14ac:dyDescent="0.45">
      <c r="A105" t="s">
        <v>45</v>
      </c>
      <c r="B105" t="str">
        <f t="shared" si="1"/>
        <v>James Conner</v>
      </c>
      <c r="C105">
        <v>12</v>
      </c>
      <c r="D105">
        <v>6</v>
      </c>
      <c r="E105" s="1">
        <v>0.85699999999999998</v>
      </c>
      <c r="F105">
        <v>1</v>
      </c>
      <c r="G105">
        <v>1</v>
      </c>
      <c r="H105">
        <v>1</v>
      </c>
      <c r="I105">
        <v>2024</v>
      </c>
    </row>
    <row r="106" spans="1:9" x14ac:dyDescent="0.45">
      <c r="A106" t="s">
        <v>9</v>
      </c>
      <c r="B106" t="str">
        <f t="shared" si="1"/>
        <v>Kareem Hunt</v>
      </c>
      <c r="C106">
        <v>17</v>
      </c>
      <c r="D106">
        <v>6</v>
      </c>
      <c r="E106" s="1">
        <v>0.68</v>
      </c>
      <c r="F106">
        <v>1</v>
      </c>
      <c r="G106">
        <v>2</v>
      </c>
      <c r="H106">
        <v>0</v>
      </c>
      <c r="I106">
        <v>2024</v>
      </c>
    </row>
    <row r="107" spans="1:9" x14ac:dyDescent="0.45">
      <c r="A107" t="s">
        <v>40</v>
      </c>
      <c r="B107" t="str">
        <f t="shared" si="1"/>
        <v>Rhamondre Stevenson</v>
      </c>
      <c r="C107">
        <v>12</v>
      </c>
      <c r="D107">
        <v>5</v>
      </c>
      <c r="E107" s="1">
        <v>0.8</v>
      </c>
      <c r="F107">
        <v>1</v>
      </c>
      <c r="G107">
        <v>1</v>
      </c>
      <c r="H107">
        <v>1</v>
      </c>
      <c r="I107">
        <v>2024</v>
      </c>
    </row>
    <row r="108" spans="1:9" x14ac:dyDescent="0.45">
      <c r="A108" t="s">
        <v>10</v>
      </c>
      <c r="B108" t="str">
        <f t="shared" si="1"/>
        <v>Jonathan Taylor</v>
      </c>
      <c r="C108">
        <v>18</v>
      </c>
      <c r="D108">
        <v>6</v>
      </c>
      <c r="E108" s="1">
        <v>0.69199999999999995</v>
      </c>
      <c r="F108">
        <v>0</v>
      </c>
      <c r="G108">
        <v>0</v>
      </c>
      <c r="H108">
        <v>0</v>
      </c>
      <c r="I108">
        <v>2024</v>
      </c>
    </row>
    <row r="109" spans="1:9" x14ac:dyDescent="0.45">
      <c r="A109" t="s">
        <v>102</v>
      </c>
      <c r="B109" t="str">
        <f t="shared" si="1"/>
        <v>Joe Mixon</v>
      </c>
      <c r="C109">
        <v>12</v>
      </c>
      <c r="D109">
        <v>6</v>
      </c>
      <c r="E109" s="1">
        <v>1</v>
      </c>
      <c r="F109">
        <v>1</v>
      </c>
      <c r="G109">
        <v>2</v>
      </c>
      <c r="H109">
        <v>0</v>
      </c>
      <c r="I109">
        <v>2024</v>
      </c>
    </row>
    <row r="110" spans="1:9" x14ac:dyDescent="0.45">
      <c r="A110" t="s">
        <v>103</v>
      </c>
      <c r="B110" t="str">
        <f t="shared" si="1"/>
        <v>Roschon Johnson</v>
      </c>
      <c r="C110">
        <v>9</v>
      </c>
      <c r="D110">
        <v>6</v>
      </c>
      <c r="E110" s="1">
        <v>0.40899999999999997</v>
      </c>
      <c r="F110">
        <v>0</v>
      </c>
      <c r="G110">
        <v>0</v>
      </c>
      <c r="H110">
        <v>0</v>
      </c>
      <c r="I110">
        <v>2024</v>
      </c>
    </row>
    <row r="111" spans="1:9" x14ac:dyDescent="0.45">
      <c r="A111" t="s">
        <v>59</v>
      </c>
      <c r="B111" t="str">
        <f t="shared" si="1"/>
        <v>Saquon Barkley</v>
      </c>
      <c r="C111">
        <v>17</v>
      </c>
      <c r="D111">
        <v>4</v>
      </c>
      <c r="E111" s="1">
        <v>0.85</v>
      </c>
      <c r="F111">
        <v>1</v>
      </c>
      <c r="G111">
        <v>1</v>
      </c>
      <c r="H111">
        <v>0</v>
      </c>
      <c r="I111">
        <v>2024</v>
      </c>
    </row>
    <row r="112" spans="1:9" x14ac:dyDescent="0.45">
      <c r="A112" t="s">
        <v>11</v>
      </c>
      <c r="B112" t="str">
        <f t="shared" si="1"/>
        <v>Zach Charbonnet</v>
      </c>
      <c r="C112">
        <v>12</v>
      </c>
      <c r="D112">
        <v>4</v>
      </c>
      <c r="E112" s="1">
        <v>0.5</v>
      </c>
      <c r="F112">
        <v>0</v>
      </c>
      <c r="G112">
        <v>0</v>
      </c>
      <c r="H112">
        <v>0</v>
      </c>
      <c r="I112">
        <v>2024</v>
      </c>
    </row>
    <row r="113" spans="1:9" x14ac:dyDescent="0.45">
      <c r="A113" t="s">
        <v>61</v>
      </c>
      <c r="B113" t="str">
        <f t="shared" si="1"/>
        <v>Brian Robinson Jr.</v>
      </c>
      <c r="C113">
        <v>13</v>
      </c>
      <c r="D113">
        <v>4</v>
      </c>
      <c r="E113" s="1">
        <v>0.59099999999999997</v>
      </c>
      <c r="F113">
        <v>0</v>
      </c>
      <c r="G113">
        <v>0</v>
      </c>
      <c r="H113">
        <v>0</v>
      </c>
      <c r="I113">
        <v>2024</v>
      </c>
    </row>
    <row r="114" spans="1:9" x14ac:dyDescent="0.45">
      <c r="A114" t="s">
        <v>98</v>
      </c>
      <c r="B114" t="str">
        <f t="shared" si="1"/>
        <v>Alvin Kamara</v>
      </c>
      <c r="C114">
        <v>11</v>
      </c>
      <c r="D114">
        <v>4</v>
      </c>
      <c r="E114" s="1">
        <v>1</v>
      </c>
      <c r="F114">
        <v>0</v>
      </c>
      <c r="G114">
        <v>0</v>
      </c>
      <c r="H114">
        <v>0</v>
      </c>
      <c r="I114">
        <v>2024</v>
      </c>
    </row>
    <row r="115" spans="1:9" x14ac:dyDescent="0.45">
      <c r="A115" t="s">
        <v>70</v>
      </c>
      <c r="B115" t="str">
        <f t="shared" si="1"/>
        <v>Nick Chubb</v>
      </c>
      <c r="C115">
        <v>6</v>
      </c>
      <c r="D115">
        <v>3</v>
      </c>
      <c r="E115" s="1">
        <v>0.4</v>
      </c>
      <c r="F115">
        <v>1</v>
      </c>
      <c r="G115">
        <v>1</v>
      </c>
      <c r="H115">
        <v>1</v>
      </c>
      <c r="I115">
        <v>2024</v>
      </c>
    </row>
    <row r="116" spans="1:9" x14ac:dyDescent="0.45">
      <c r="A116" t="s">
        <v>43</v>
      </c>
      <c r="B116" t="str">
        <f t="shared" si="1"/>
        <v>De'Von Achane</v>
      </c>
      <c r="C116">
        <v>13</v>
      </c>
      <c r="D116">
        <v>3</v>
      </c>
      <c r="E116" s="1">
        <v>0.72199999999999998</v>
      </c>
      <c r="F116">
        <v>3</v>
      </c>
      <c r="G116">
        <v>4</v>
      </c>
      <c r="H116">
        <v>1</v>
      </c>
      <c r="I116">
        <v>2024</v>
      </c>
    </row>
    <row r="117" spans="1:9" x14ac:dyDescent="0.45">
      <c r="A117" t="s">
        <v>104</v>
      </c>
      <c r="B117" t="str">
        <f t="shared" si="1"/>
        <v>Gus Edwards</v>
      </c>
      <c r="C117">
        <v>6</v>
      </c>
      <c r="D117">
        <v>4</v>
      </c>
      <c r="E117" s="1">
        <v>0.375</v>
      </c>
      <c r="F117">
        <v>0</v>
      </c>
      <c r="G117">
        <v>0</v>
      </c>
      <c r="H117">
        <v>0</v>
      </c>
      <c r="I117">
        <v>2024</v>
      </c>
    </row>
    <row r="118" spans="1:9" x14ac:dyDescent="0.45">
      <c r="A118" t="s">
        <v>46</v>
      </c>
      <c r="B118" t="str">
        <f t="shared" si="1"/>
        <v>J.K. Dobbins</v>
      </c>
      <c r="C118">
        <v>6</v>
      </c>
      <c r="D118">
        <v>4</v>
      </c>
      <c r="E118" s="1">
        <v>0.375</v>
      </c>
      <c r="F118">
        <v>0</v>
      </c>
      <c r="G118">
        <v>0</v>
      </c>
      <c r="H118">
        <v>0</v>
      </c>
      <c r="I118">
        <v>2024</v>
      </c>
    </row>
    <row r="119" spans="1:9" x14ac:dyDescent="0.45">
      <c r="A119" t="s">
        <v>37</v>
      </c>
      <c r="B119" t="str">
        <f t="shared" si="1"/>
        <v>Kenneth Walker III</v>
      </c>
      <c r="C119">
        <v>12</v>
      </c>
      <c r="D119">
        <v>4</v>
      </c>
      <c r="E119" s="1">
        <v>0.5</v>
      </c>
      <c r="F119">
        <v>0</v>
      </c>
      <c r="G119">
        <v>0</v>
      </c>
      <c r="H119">
        <v>0</v>
      </c>
      <c r="I119">
        <v>2024</v>
      </c>
    </row>
    <row r="120" spans="1:9" x14ac:dyDescent="0.45">
      <c r="A120" t="s">
        <v>105</v>
      </c>
      <c r="B120" t="str">
        <f t="shared" si="1"/>
        <v>Bucky Irving</v>
      </c>
      <c r="C120">
        <v>13</v>
      </c>
      <c r="D120">
        <v>4</v>
      </c>
      <c r="E120" s="1">
        <v>0.54200000000000004</v>
      </c>
      <c r="F120">
        <v>0</v>
      </c>
      <c r="G120">
        <v>0</v>
      </c>
      <c r="H120">
        <v>0</v>
      </c>
      <c r="I120">
        <v>2024</v>
      </c>
    </row>
    <row r="121" spans="1:9" x14ac:dyDescent="0.45">
      <c r="A121" t="s">
        <v>106</v>
      </c>
      <c r="B121" t="str">
        <f t="shared" si="1"/>
        <v>Alexander Mattison</v>
      </c>
      <c r="C121">
        <v>11</v>
      </c>
      <c r="D121">
        <v>4</v>
      </c>
      <c r="E121" s="1">
        <v>0.57899999999999996</v>
      </c>
      <c r="F121">
        <v>0</v>
      </c>
      <c r="G121">
        <v>0</v>
      </c>
      <c r="H121">
        <v>0</v>
      </c>
      <c r="I121">
        <v>2024</v>
      </c>
    </row>
    <row r="122" spans="1:9" x14ac:dyDescent="0.45">
      <c r="A122" t="s">
        <v>77</v>
      </c>
      <c r="B122" t="str">
        <f t="shared" si="1"/>
        <v>Tyrone Tracy Jr.</v>
      </c>
      <c r="C122">
        <v>5</v>
      </c>
      <c r="D122">
        <v>3</v>
      </c>
      <c r="E122" s="1">
        <v>0.38500000000000001</v>
      </c>
      <c r="F122">
        <v>1</v>
      </c>
      <c r="G122">
        <v>1</v>
      </c>
      <c r="H122">
        <v>1</v>
      </c>
      <c r="I122">
        <v>2024</v>
      </c>
    </row>
    <row r="123" spans="1:9" x14ac:dyDescent="0.45">
      <c r="A123" t="s">
        <v>44</v>
      </c>
      <c r="B123" t="str">
        <f t="shared" si="1"/>
        <v>Aaron Jones Sr.</v>
      </c>
      <c r="C123">
        <v>13</v>
      </c>
      <c r="D123">
        <v>3</v>
      </c>
      <c r="E123" s="1">
        <v>0.81299999999999994</v>
      </c>
      <c r="F123">
        <v>2</v>
      </c>
      <c r="G123">
        <v>2</v>
      </c>
      <c r="H123">
        <v>1</v>
      </c>
      <c r="I123">
        <v>2024</v>
      </c>
    </row>
    <row r="124" spans="1:9" x14ac:dyDescent="0.45">
      <c r="A124" t="s">
        <v>81</v>
      </c>
      <c r="B124" t="str">
        <f t="shared" si="1"/>
        <v>Ray Davis</v>
      </c>
      <c r="C124">
        <v>3</v>
      </c>
      <c r="D124">
        <v>2</v>
      </c>
      <c r="E124" s="1">
        <v>0.188</v>
      </c>
      <c r="F124">
        <v>1</v>
      </c>
      <c r="G124">
        <v>1</v>
      </c>
      <c r="H124">
        <v>1</v>
      </c>
      <c r="I124">
        <v>2024</v>
      </c>
    </row>
    <row r="125" spans="1:9" x14ac:dyDescent="0.45">
      <c r="A125" t="s">
        <v>38</v>
      </c>
      <c r="B125" t="str">
        <f t="shared" si="1"/>
        <v>Devin Singletary</v>
      </c>
      <c r="C125">
        <v>5</v>
      </c>
      <c r="D125">
        <v>3</v>
      </c>
      <c r="E125" s="1">
        <v>0.38500000000000001</v>
      </c>
      <c r="F125">
        <v>0</v>
      </c>
      <c r="G125">
        <v>0</v>
      </c>
      <c r="H125">
        <v>0</v>
      </c>
      <c r="I125">
        <v>2024</v>
      </c>
    </row>
    <row r="126" spans="1:9" x14ac:dyDescent="0.45">
      <c r="A126" t="s">
        <v>80</v>
      </c>
      <c r="B126" t="str">
        <f t="shared" si="1"/>
        <v>Tank Bigsby</v>
      </c>
      <c r="C126">
        <v>8</v>
      </c>
      <c r="D126">
        <v>3</v>
      </c>
      <c r="E126" s="1">
        <v>0.57099999999999995</v>
      </c>
      <c r="F126">
        <v>0</v>
      </c>
      <c r="G126">
        <v>0</v>
      </c>
      <c r="H126">
        <v>0</v>
      </c>
      <c r="I126">
        <v>2024</v>
      </c>
    </row>
    <row r="127" spans="1:9" x14ac:dyDescent="0.45">
      <c r="A127" t="s">
        <v>107</v>
      </c>
      <c r="B127" t="str">
        <f t="shared" si="1"/>
        <v>Zack Moss</v>
      </c>
      <c r="C127">
        <v>8</v>
      </c>
      <c r="D127">
        <v>2</v>
      </c>
      <c r="E127" s="1">
        <v>0.38100000000000001</v>
      </c>
      <c r="F127">
        <v>1</v>
      </c>
      <c r="G127">
        <v>1</v>
      </c>
      <c r="H127">
        <v>1</v>
      </c>
      <c r="I127">
        <v>2024</v>
      </c>
    </row>
    <row r="128" spans="1:9" x14ac:dyDescent="0.45">
      <c r="A128" t="s">
        <v>41</v>
      </c>
      <c r="B128" t="str">
        <f t="shared" si="1"/>
        <v>Breece Hall</v>
      </c>
      <c r="C128">
        <v>8</v>
      </c>
      <c r="D128">
        <v>3</v>
      </c>
      <c r="E128" s="1">
        <v>0.88900000000000001</v>
      </c>
      <c r="F128">
        <v>0</v>
      </c>
      <c r="G128">
        <v>1</v>
      </c>
      <c r="H128">
        <v>0</v>
      </c>
      <c r="I128">
        <v>2024</v>
      </c>
    </row>
    <row r="129" spans="1:9" x14ac:dyDescent="0.45">
      <c r="A129" t="s">
        <v>108</v>
      </c>
      <c r="B129" t="str">
        <f t="shared" si="1"/>
        <v>Isaac Guerendo</v>
      </c>
      <c r="C129">
        <v>5</v>
      </c>
      <c r="D129">
        <v>3</v>
      </c>
      <c r="E129" s="1">
        <v>0.26300000000000001</v>
      </c>
      <c r="F129">
        <v>0</v>
      </c>
      <c r="G129">
        <v>0</v>
      </c>
      <c r="H129">
        <v>0</v>
      </c>
      <c r="I129">
        <v>2024</v>
      </c>
    </row>
    <row r="130" spans="1:9" x14ac:dyDescent="0.45">
      <c r="A130" t="s">
        <v>36</v>
      </c>
      <c r="B130" t="str">
        <f t="shared" ref="B130:B193" si="2">TRIM(LEFT(A130, LEN(A130) - LEN(TRIM(RIGHT(SUBSTITUTE(TRIM(A130)," ",REPT(" ",100)),100)))))</f>
        <v>Rachaad White</v>
      </c>
      <c r="C130">
        <v>8</v>
      </c>
      <c r="D130">
        <v>2</v>
      </c>
      <c r="E130" s="1">
        <v>0.33300000000000002</v>
      </c>
      <c r="F130">
        <v>2</v>
      </c>
      <c r="G130">
        <v>2</v>
      </c>
      <c r="H130">
        <v>1</v>
      </c>
      <c r="I130">
        <v>2024</v>
      </c>
    </row>
    <row r="131" spans="1:9" x14ac:dyDescent="0.45">
      <c r="A131" t="s">
        <v>51</v>
      </c>
      <c r="B131" t="str">
        <f t="shared" si="2"/>
        <v>Emanuel Wilson</v>
      </c>
      <c r="C131">
        <v>5</v>
      </c>
      <c r="D131">
        <v>3</v>
      </c>
      <c r="E131" s="1">
        <v>0.17899999999999999</v>
      </c>
      <c r="F131">
        <v>0</v>
      </c>
      <c r="G131">
        <v>0</v>
      </c>
      <c r="H131">
        <v>0</v>
      </c>
      <c r="I131">
        <v>2024</v>
      </c>
    </row>
    <row r="132" spans="1:9" x14ac:dyDescent="0.45">
      <c r="A132" t="s">
        <v>109</v>
      </c>
      <c r="B132" t="str">
        <f t="shared" si="2"/>
        <v>Austin Ekeler</v>
      </c>
      <c r="C132">
        <v>5</v>
      </c>
      <c r="D132">
        <v>3</v>
      </c>
      <c r="E132" s="1">
        <v>0.22700000000000001</v>
      </c>
      <c r="F132">
        <v>0</v>
      </c>
      <c r="G132">
        <v>0</v>
      </c>
      <c r="H132">
        <v>0</v>
      </c>
      <c r="I132">
        <v>2024</v>
      </c>
    </row>
    <row r="133" spans="1:9" x14ac:dyDescent="0.45">
      <c r="A133" t="s">
        <v>110</v>
      </c>
      <c r="B133" t="str">
        <f t="shared" si="2"/>
        <v>Ezekiel Elliott</v>
      </c>
      <c r="C133">
        <v>5</v>
      </c>
      <c r="D133">
        <v>3</v>
      </c>
      <c r="E133" s="1">
        <v>0.625</v>
      </c>
      <c r="F133">
        <v>0</v>
      </c>
      <c r="G133">
        <v>0</v>
      </c>
      <c r="H133">
        <v>0</v>
      </c>
      <c r="I133">
        <v>2024</v>
      </c>
    </row>
    <row r="134" spans="1:9" x14ac:dyDescent="0.45">
      <c r="A134" t="s">
        <v>7</v>
      </c>
      <c r="B134" t="str">
        <f t="shared" si="2"/>
        <v>Javonte Williams</v>
      </c>
      <c r="C134">
        <v>10</v>
      </c>
      <c r="D134">
        <v>2</v>
      </c>
      <c r="E134" s="1">
        <v>0.625</v>
      </c>
      <c r="F134">
        <v>0</v>
      </c>
      <c r="G134">
        <v>0</v>
      </c>
      <c r="H134">
        <v>0</v>
      </c>
      <c r="I134">
        <v>2024</v>
      </c>
    </row>
    <row r="135" spans="1:9" x14ac:dyDescent="0.45">
      <c r="A135" t="s">
        <v>76</v>
      </c>
      <c r="B135" t="str">
        <f t="shared" si="2"/>
        <v>Jerome Ford</v>
      </c>
      <c r="C135">
        <v>3</v>
      </c>
      <c r="D135">
        <v>2</v>
      </c>
      <c r="E135" s="1">
        <v>0.2</v>
      </c>
      <c r="F135">
        <v>0</v>
      </c>
      <c r="G135">
        <v>0</v>
      </c>
      <c r="H135">
        <v>0</v>
      </c>
      <c r="I135">
        <v>2024</v>
      </c>
    </row>
    <row r="136" spans="1:9" x14ac:dyDescent="0.45">
      <c r="A136" t="s">
        <v>111</v>
      </c>
      <c r="B136" t="str">
        <f t="shared" si="2"/>
        <v>Najee Harris</v>
      </c>
      <c r="C136">
        <v>11</v>
      </c>
      <c r="D136">
        <v>2</v>
      </c>
      <c r="E136" s="1">
        <v>0.64700000000000002</v>
      </c>
      <c r="F136">
        <v>0</v>
      </c>
      <c r="G136">
        <v>0</v>
      </c>
      <c r="H136">
        <v>0</v>
      </c>
      <c r="I136">
        <v>2024</v>
      </c>
    </row>
    <row r="137" spans="1:9" x14ac:dyDescent="0.45">
      <c r="A137" t="s">
        <v>56</v>
      </c>
      <c r="B137" t="str">
        <f t="shared" si="2"/>
        <v>Tony Pollard</v>
      </c>
      <c r="C137">
        <v>5</v>
      </c>
      <c r="D137">
        <v>2</v>
      </c>
      <c r="E137" s="1">
        <v>0.5</v>
      </c>
      <c r="F137">
        <v>0</v>
      </c>
      <c r="G137">
        <v>0</v>
      </c>
      <c r="H137">
        <v>0</v>
      </c>
      <c r="I137">
        <v>2024</v>
      </c>
    </row>
    <row r="138" spans="1:9" x14ac:dyDescent="0.45">
      <c r="A138" t="s">
        <v>53</v>
      </c>
      <c r="B138" t="str">
        <f t="shared" si="2"/>
        <v>Ty Johnson</v>
      </c>
      <c r="C138">
        <v>2</v>
      </c>
      <c r="D138">
        <v>1</v>
      </c>
      <c r="E138" s="1">
        <v>0.125</v>
      </c>
      <c r="F138">
        <v>1</v>
      </c>
      <c r="G138">
        <v>1</v>
      </c>
      <c r="H138">
        <v>1</v>
      </c>
      <c r="I138">
        <v>2024</v>
      </c>
    </row>
    <row r="139" spans="1:9" x14ac:dyDescent="0.45">
      <c r="A139" t="s">
        <v>63</v>
      </c>
      <c r="B139" t="str">
        <f t="shared" si="2"/>
        <v>Jaleel McLaughlin</v>
      </c>
      <c r="C139">
        <v>3</v>
      </c>
      <c r="D139">
        <v>1</v>
      </c>
      <c r="E139" s="1">
        <v>0.188</v>
      </c>
      <c r="F139">
        <v>1</v>
      </c>
      <c r="G139">
        <v>1</v>
      </c>
      <c r="H139">
        <v>1</v>
      </c>
      <c r="I139">
        <v>2024</v>
      </c>
    </row>
    <row r="140" spans="1:9" x14ac:dyDescent="0.45">
      <c r="A140" t="s">
        <v>34</v>
      </c>
      <c r="B140" t="str">
        <f t="shared" si="2"/>
        <v>Sean Tucker</v>
      </c>
      <c r="C140">
        <v>3</v>
      </c>
      <c r="D140">
        <v>2</v>
      </c>
      <c r="E140" s="1">
        <v>0.125</v>
      </c>
      <c r="F140">
        <v>0</v>
      </c>
      <c r="G140">
        <v>0</v>
      </c>
      <c r="H140">
        <v>0</v>
      </c>
      <c r="I140">
        <v>2024</v>
      </c>
    </row>
    <row r="141" spans="1:9" x14ac:dyDescent="0.45">
      <c r="A141" t="s">
        <v>79</v>
      </c>
      <c r="B141" t="str">
        <f t="shared" si="2"/>
        <v>Jeremy McNichols</v>
      </c>
      <c r="C141">
        <v>2</v>
      </c>
      <c r="D141">
        <v>2</v>
      </c>
      <c r="E141" s="1">
        <v>9.0999999999999998E-2</v>
      </c>
      <c r="F141">
        <v>0</v>
      </c>
      <c r="G141">
        <v>0</v>
      </c>
      <c r="H141">
        <v>0</v>
      </c>
      <c r="I141">
        <v>2024</v>
      </c>
    </row>
    <row r="142" spans="1:9" x14ac:dyDescent="0.45">
      <c r="A142" t="s">
        <v>42</v>
      </c>
      <c r="B142" t="str">
        <f t="shared" si="2"/>
        <v>Travis Etienne Jr.</v>
      </c>
      <c r="C142">
        <v>5</v>
      </c>
      <c r="D142">
        <v>2</v>
      </c>
      <c r="E142" s="1">
        <v>0.35699999999999998</v>
      </c>
      <c r="F142">
        <v>0</v>
      </c>
      <c r="G142">
        <v>0</v>
      </c>
      <c r="H142">
        <v>0</v>
      </c>
      <c r="I142">
        <v>2024</v>
      </c>
    </row>
    <row r="143" spans="1:9" x14ac:dyDescent="0.45">
      <c r="A143" t="s">
        <v>112</v>
      </c>
      <c r="B143" t="str">
        <f t="shared" si="2"/>
        <v>Trey Sermon</v>
      </c>
      <c r="C143">
        <v>7</v>
      </c>
      <c r="D143">
        <v>2</v>
      </c>
      <c r="E143" s="1">
        <v>0.26900000000000002</v>
      </c>
      <c r="F143">
        <v>0</v>
      </c>
      <c r="G143">
        <v>0</v>
      </c>
      <c r="H143">
        <v>0</v>
      </c>
      <c r="I143">
        <v>2024</v>
      </c>
    </row>
    <row r="144" spans="1:9" x14ac:dyDescent="0.45">
      <c r="A144" t="s">
        <v>50</v>
      </c>
      <c r="B144" t="str">
        <f t="shared" si="2"/>
        <v>Tyjae Spears</v>
      </c>
      <c r="C144">
        <v>4</v>
      </c>
      <c r="D144">
        <v>2</v>
      </c>
      <c r="E144" s="1">
        <v>0.4</v>
      </c>
      <c r="F144">
        <v>0</v>
      </c>
      <c r="G144">
        <v>0</v>
      </c>
      <c r="H144">
        <v>0</v>
      </c>
      <c r="I144">
        <v>2024</v>
      </c>
    </row>
    <row r="145" spans="1:9" x14ac:dyDescent="0.45">
      <c r="A145" t="s">
        <v>27</v>
      </c>
      <c r="B145" t="str">
        <f t="shared" si="2"/>
        <v>Jordan Mason</v>
      </c>
      <c r="C145">
        <v>9</v>
      </c>
      <c r="D145">
        <v>2</v>
      </c>
      <c r="E145" s="1">
        <v>0.47399999999999998</v>
      </c>
      <c r="F145">
        <v>0</v>
      </c>
      <c r="G145">
        <v>0</v>
      </c>
      <c r="H145">
        <v>0</v>
      </c>
      <c r="I145">
        <v>2024</v>
      </c>
    </row>
    <row r="146" spans="1:9" x14ac:dyDescent="0.45">
      <c r="A146" t="s">
        <v>17</v>
      </c>
      <c r="B146" t="str">
        <f t="shared" si="2"/>
        <v>Rico Dowdle</v>
      </c>
      <c r="C146">
        <v>3</v>
      </c>
      <c r="D146">
        <v>1</v>
      </c>
      <c r="E146" s="1">
        <v>0.375</v>
      </c>
      <c r="F146">
        <v>1</v>
      </c>
      <c r="G146">
        <v>1</v>
      </c>
      <c r="H146">
        <v>1</v>
      </c>
      <c r="I146">
        <v>2024</v>
      </c>
    </row>
    <row r="147" spans="1:9" x14ac:dyDescent="0.45">
      <c r="A147" t="s">
        <v>113</v>
      </c>
      <c r="B147" t="str">
        <f t="shared" si="2"/>
        <v>Michael Burton</v>
      </c>
      <c r="C147">
        <v>2</v>
      </c>
      <c r="D147">
        <v>1</v>
      </c>
      <c r="E147" s="1">
        <v>0.125</v>
      </c>
      <c r="F147">
        <v>2</v>
      </c>
      <c r="G147">
        <v>2</v>
      </c>
      <c r="H147">
        <v>1</v>
      </c>
      <c r="I147">
        <v>2024</v>
      </c>
    </row>
    <row r="148" spans="1:9" x14ac:dyDescent="0.45">
      <c r="A148" t="s">
        <v>19</v>
      </c>
      <c r="B148" t="str">
        <f t="shared" si="2"/>
        <v>D'Andre Swift</v>
      </c>
      <c r="C148">
        <v>9</v>
      </c>
      <c r="D148">
        <v>2</v>
      </c>
      <c r="E148" s="1">
        <v>0.40899999999999997</v>
      </c>
      <c r="F148">
        <v>0</v>
      </c>
      <c r="G148">
        <v>0</v>
      </c>
      <c r="H148">
        <v>0</v>
      </c>
      <c r="I148">
        <v>2024</v>
      </c>
    </row>
    <row r="149" spans="1:9" x14ac:dyDescent="0.45">
      <c r="A149" t="s">
        <v>69</v>
      </c>
      <c r="B149" t="str">
        <f t="shared" si="2"/>
        <v>Ameer Abdullah</v>
      </c>
      <c r="C149">
        <v>4</v>
      </c>
      <c r="D149">
        <v>1</v>
      </c>
      <c r="E149" s="1">
        <v>0.21099999999999999</v>
      </c>
      <c r="F149">
        <v>2</v>
      </c>
      <c r="G149">
        <v>2</v>
      </c>
      <c r="H149">
        <v>1</v>
      </c>
      <c r="I149">
        <v>2024</v>
      </c>
    </row>
    <row r="150" spans="1:9" x14ac:dyDescent="0.45">
      <c r="A150" t="s">
        <v>114</v>
      </c>
      <c r="B150" t="str">
        <f t="shared" si="2"/>
        <v>Cam Akers</v>
      </c>
      <c r="C150">
        <v>2</v>
      </c>
      <c r="D150">
        <v>1</v>
      </c>
      <c r="E150" s="1">
        <v>0.125</v>
      </c>
      <c r="F150">
        <v>1</v>
      </c>
      <c r="G150">
        <v>1</v>
      </c>
      <c r="H150">
        <v>1</v>
      </c>
      <c r="I150">
        <v>2024</v>
      </c>
    </row>
    <row r="151" spans="1:9" x14ac:dyDescent="0.45">
      <c r="A151" t="s">
        <v>21</v>
      </c>
      <c r="B151" t="str">
        <f t="shared" si="2"/>
        <v>Jaylen Warren</v>
      </c>
      <c r="C151">
        <v>4</v>
      </c>
      <c r="D151">
        <v>1</v>
      </c>
      <c r="E151" s="1">
        <v>0.23499999999999999</v>
      </c>
      <c r="F151">
        <v>0</v>
      </c>
      <c r="G151">
        <v>0</v>
      </c>
      <c r="H151">
        <v>0</v>
      </c>
      <c r="I151">
        <v>2024</v>
      </c>
    </row>
    <row r="152" spans="1:9" x14ac:dyDescent="0.45">
      <c r="A152" t="s">
        <v>115</v>
      </c>
      <c r="B152" t="str">
        <f t="shared" si="2"/>
        <v>Khalil Herbert</v>
      </c>
      <c r="C152">
        <v>4</v>
      </c>
      <c r="D152">
        <v>1</v>
      </c>
      <c r="E152" s="1">
        <v>0.182</v>
      </c>
      <c r="F152">
        <v>0</v>
      </c>
      <c r="G152">
        <v>0</v>
      </c>
      <c r="H152">
        <v>0</v>
      </c>
      <c r="I152">
        <v>2024</v>
      </c>
    </row>
    <row r="153" spans="1:9" x14ac:dyDescent="0.45">
      <c r="A153" t="s">
        <v>116</v>
      </c>
      <c r="B153" t="str">
        <f t="shared" si="2"/>
        <v>Patrick Taylor Jr.</v>
      </c>
      <c r="C153">
        <v>2</v>
      </c>
      <c r="D153">
        <v>1</v>
      </c>
      <c r="E153" s="1">
        <v>0.105</v>
      </c>
      <c r="F153">
        <v>0</v>
      </c>
      <c r="G153">
        <v>0</v>
      </c>
      <c r="H153">
        <v>0</v>
      </c>
      <c r="I153">
        <v>2024</v>
      </c>
    </row>
    <row r="154" spans="1:9" x14ac:dyDescent="0.45">
      <c r="A154" t="s">
        <v>86</v>
      </c>
      <c r="B154" t="str">
        <f t="shared" si="2"/>
        <v>Tyler Goodson</v>
      </c>
      <c r="C154">
        <v>1</v>
      </c>
      <c r="D154">
        <v>0</v>
      </c>
      <c r="E154" s="1">
        <v>3.7999999999999999E-2</v>
      </c>
      <c r="F154">
        <v>1</v>
      </c>
      <c r="G154">
        <v>1</v>
      </c>
      <c r="H154">
        <v>1</v>
      </c>
      <c r="I154">
        <v>2024</v>
      </c>
    </row>
    <row r="155" spans="1:9" x14ac:dyDescent="0.45">
      <c r="A155" t="s">
        <v>22</v>
      </c>
      <c r="B155" t="str">
        <f t="shared" si="2"/>
        <v>Tyler Allgeier</v>
      </c>
      <c r="C155">
        <v>6</v>
      </c>
      <c r="D155">
        <v>1</v>
      </c>
      <c r="E155" s="1">
        <v>0.3</v>
      </c>
      <c r="F155">
        <v>0</v>
      </c>
      <c r="G155">
        <v>0</v>
      </c>
      <c r="H155">
        <v>0</v>
      </c>
      <c r="I155">
        <v>2024</v>
      </c>
    </row>
    <row r="156" spans="1:9" x14ac:dyDescent="0.45">
      <c r="A156" t="s">
        <v>92</v>
      </c>
      <c r="B156" t="str">
        <f t="shared" si="2"/>
        <v>Isaiah Davis</v>
      </c>
      <c r="C156">
        <v>0</v>
      </c>
      <c r="D156">
        <v>0</v>
      </c>
      <c r="E156" s="1">
        <v>0</v>
      </c>
      <c r="F156">
        <v>1</v>
      </c>
      <c r="G156">
        <v>1</v>
      </c>
      <c r="H156">
        <v>1</v>
      </c>
      <c r="I156">
        <v>2024</v>
      </c>
    </row>
    <row r="157" spans="1:9" x14ac:dyDescent="0.45">
      <c r="A157" t="s">
        <v>117</v>
      </c>
      <c r="B157" t="str">
        <f t="shared" si="2"/>
        <v>Patrick Ricard</v>
      </c>
      <c r="C157">
        <v>0</v>
      </c>
      <c r="D157">
        <v>0</v>
      </c>
      <c r="E157" s="1">
        <v>0</v>
      </c>
      <c r="F157">
        <v>1</v>
      </c>
      <c r="G157">
        <v>1</v>
      </c>
      <c r="H157">
        <v>1</v>
      </c>
      <c r="I157">
        <v>2024</v>
      </c>
    </row>
    <row r="158" spans="1:9" x14ac:dyDescent="0.45">
      <c r="A158" t="s">
        <v>118</v>
      </c>
      <c r="B158" t="str">
        <f t="shared" si="2"/>
        <v>Alec Ingold</v>
      </c>
      <c r="C158">
        <v>1</v>
      </c>
      <c r="D158">
        <v>1</v>
      </c>
      <c r="E158" s="1">
        <v>5.6000000000000001E-2</v>
      </c>
      <c r="F158">
        <v>0</v>
      </c>
      <c r="G158">
        <v>0</v>
      </c>
      <c r="H158">
        <v>0</v>
      </c>
      <c r="I158">
        <v>2024</v>
      </c>
    </row>
    <row r="159" spans="1:9" x14ac:dyDescent="0.45">
      <c r="A159" t="s">
        <v>25</v>
      </c>
      <c r="B159" t="str">
        <f t="shared" si="2"/>
        <v>Chris Rodriguez Jr.</v>
      </c>
      <c r="C159">
        <v>2</v>
      </c>
      <c r="D159">
        <v>1</v>
      </c>
      <c r="E159" s="1">
        <v>9.0999999999999998E-2</v>
      </c>
      <c r="F159">
        <v>0</v>
      </c>
      <c r="G159">
        <v>0</v>
      </c>
      <c r="H159">
        <v>0</v>
      </c>
      <c r="I159">
        <v>2024</v>
      </c>
    </row>
    <row r="160" spans="1:9" x14ac:dyDescent="0.45">
      <c r="A160" t="s">
        <v>119</v>
      </c>
      <c r="B160" t="str">
        <f t="shared" si="2"/>
        <v>Audric Estime</v>
      </c>
      <c r="C160">
        <v>1</v>
      </c>
      <c r="D160">
        <v>1</v>
      </c>
      <c r="E160" s="1">
        <v>6.3E-2</v>
      </c>
      <c r="F160">
        <v>0</v>
      </c>
      <c r="G160">
        <v>0</v>
      </c>
      <c r="H160">
        <v>0</v>
      </c>
      <c r="I160">
        <v>2024</v>
      </c>
    </row>
    <row r="161" spans="1:9" x14ac:dyDescent="0.45">
      <c r="A161" t="s">
        <v>73</v>
      </c>
      <c r="B161" t="str">
        <f t="shared" si="2"/>
        <v>C.J. Ham</v>
      </c>
      <c r="C161">
        <v>1</v>
      </c>
      <c r="D161">
        <v>1</v>
      </c>
      <c r="E161" s="1">
        <v>6.3E-2</v>
      </c>
      <c r="F161">
        <v>0</v>
      </c>
      <c r="G161">
        <v>0</v>
      </c>
      <c r="H161">
        <v>0</v>
      </c>
      <c r="I161">
        <v>2024</v>
      </c>
    </row>
    <row r="162" spans="1:9" x14ac:dyDescent="0.45">
      <c r="A162" t="s">
        <v>52</v>
      </c>
      <c r="B162" t="str">
        <f t="shared" si="2"/>
        <v>Samaje Perine</v>
      </c>
      <c r="C162">
        <v>1</v>
      </c>
      <c r="D162">
        <v>1</v>
      </c>
      <c r="E162" s="1">
        <v>0.04</v>
      </c>
      <c r="F162">
        <v>0</v>
      </c>
      <c r="G162">
        <v>1</v>
      </c>
      <c r="H162">
        <v>0</v>
      </c>
      <c r="I162">
        <v>2024</v>
      </c>
    </row>
    <row r="163" spans="1:9" x14ac:dyDescent="0.45">
      <c r="A163" t="s">
        <v>120</v>
      </c>
      <c r="B163" t="str">
        <f t="shared" si="2"/>
        <v>Zamir White</v>
      </c>
      <c r="C163">
        <v>2</v>
      </c>
      <c r="D163">
        <v>1</v>
      </c>
      <c r="E163" s="1">
        <v>0.105</v>
      </c>
      <c r="F163">
        <v>0</v>
      </c>
      <c r="G163">
        <v>0</v>
      </c>
      <c r="H163">
        <v>0</v>
      </c>
      <c r="I163">
        <v>2024</v>
      </c>
    </row>
    <row r="164" spans="1:9" x14ac:dyDescent="0.45">
      <c r="A164" t="s">
        <v>121</v>
      </c>
      <c r="B164" t="str">
        <f t="shared" si="2"/>
        <v>Hassan Haskins</v>
      </c>
      <c r="C164">
        <v>4</v>
      </c>
      <c r="D164">
        <v>1</v>
      </c>
      <c r="E164" s="1">
        <v>0.25</v>
      </c>
      <c r="F164">
        <v>0</v>
      </c>
      <c r="G164">
        <v>0</v>
      </c>
      <c r="H164">
        <v>0</v>
      </c>
      <c r="I164">
        <v>2024</v>
      </c>
    </row>
    <row r="165" spans="1:9" x14ac:dyDescent="0.45">
      <c r="A165" t="s">
        <v>88</v>
      </c>
      <c r="B165" t="str">
        <f t="shared" si="2"/>
        <v>Isiah Pacheco</v>
      </c>
      <c r="C165">
        <v>3</v>
      </c>
      <c r="D165">
        <v>1</v>
      </c>
      <c r="E165" s="1">
        <v>0.12</v>
      </c>
      <c r="F165">
        <v>1</v>
      </c>
      <c r="G165">
        <v>1</v>
      </c>
      <c r="H165">
        <v>0</v>
      </c>
      <c r="I165">
        <v>2024</v>
      </c>
    </row>
    <row r="166" spans="1:9" x14ac:dyDescent="0.45">
      <c r="A166" t="s">
        <v>89</v>
      </c>
      <c r="B166" t="str">
        <f t="shared" si="2"/>
        <v>Braelon Allen</v>
      </c>
      <c r="C166">
        <v>1</v>
      </c>
      <c r="D166">
        <v>1</v>
      </c>
      <c r="E166" s="1">
        <v>0.111</v>
      </c>
      <c r="F166">
        <v>0</v>
      </c>
      <c r="G166">
        <v>0</v>
      </c>
      <c r="H166">
        <v>0</v>
      </c>
      <c r="I166">
        <v>2024</v>
      </c>
    </row>
    <row r="167" spans="1:9" x14ac:dyDescent="0.45">
      <c r="A167" t="s">
        <v>101</v>
      </c>
      <c r="B167" t="str">
        <f t="shared" si="2"/>
        <v>Dare Ogunbowale</v>
      </c>
      <c r="C167">
        <v>0</v>
      </c>
      <c r="D167">
        <v>0</v>
      </c>
      <c r="E167" s="1">
        <v>0</v>
      </c>
      <c r="F167">
        <v>1</v>
      </c>
      <c r="G167">
        <v>3</v>
      </c>
      <c r="H167">
        <v>1</v>
      </c>
      <c r="I167">
        <v>2024</v>
      </c>
    </row>
    <row r="168" spans="1:9" x14ac:dyDescent="0.45">
      <c r="A168" t="s">
        <v>60</v>
      </c>
      <c r="B168" t="str">
        <f t="shared" si="2"/>
        <v>Miles Sanders</v>
      </c>
      <c r="C168">
        <v>1</v>
      </c>
      <c r="D168">
        <v>1</v>
      </c>
      <c r="E168" s="1">
        <v>4.2999999999999997E-2</v>
      </c>
      <c r="F168">
        <v>0</v>
      </c>
      <c r="G168">
        <v>0</v>
      </c>
      <c r="H168">
        <v>0</v>
      </c>
      <c r="I168">
        <v>2024</v>
      </c>
    </row>
    <row r="169" spans="1:9" x14ac:dyDescent="0.45">
      <c r="A169" t="s">
        <v>122</v>
      </c>
      <c r="B169" t="str">
        <f t="shared" si="2"/>
        <v>DeeJay Dallas</v>
      </c>
      <c r="C169">
        <v>0</v>
      </c>
      <c r="D169">
        <v>0</v>
      </c>
      <c r="E169" s="1">
        <v>0</v>
      </c>
      <c r="F169">
        <v>1</v>
      </c>
      <c r="G169">
        <v>1</v>
      </c>
      <c r="H169">
        <v>1</v>
      </c>
      <c r="I169">
        <v>2024</v>
      </c>
    </row>
    <row r="170" spans="1:9" x14ac:dyDescent="0.45">
      <c r="A170" t="s">
        <v>91</v>
      </c>
      <c r="B170" t="str">
        <f t="shared" si="2"/>
        <v>Trey Benson</v>
      </c>
      <c r="C170">
        <v>1</v>
      </c>
      <c r="D170">
        <v>1</v>
      </c>
      <c r="E170" s="1">
        <v>7.0999999999999994E-2</v>
      </c>
      <c r="F170">
        <v>0</v>
      </c>
      <c r="G170">
        <v>0</v>
      </c>
      <c r="H170">
        <v>0</v>
      </c>
      <c r="I170">
        <v>2024</v>
      </c>
    </row>
    <row r="171" spans="1:9" x14ac:dyDescent="0.45">
      <c r="A171" t="s">
        <v>123</v>
      </c>
      <c r="B171" t="str">
        <f t="shared" si="2"/>
        <v>Chris Brooks</v>
      </c>
      <c r="C171">
        <v>1</v>
      </c>
      <c r="D171">
        <v>1</v>
      </c>
      <c r="E171" s="1">
        <v>3.5999999999999997E-2</v>
      </c>
      <c r="F171">
        <v>0</v>
      </c>
      <c r="G171">
        <v>0</v>
      </c>
      <c r="H171">
        <v>0</v>
      </c>
      <c r="I171">
        <v>2024</v>
      </c>
    </row>
    <row r="172" spans="1:9" x14ac:dyDescent="0.45">
      <c r="A172" t="s">
        <v>124</v>
      </c>
      <c r="B172" t="str">
        <f t="shared" si="2"/>
        <v>Raheem Mostert</v>
      </c>
      <c r="C172">
        <v>4</v>
      </c>
      <c r="D172">
        <v>1</v>
      </c>
      <c r="E172" s="1">
        <v>0.222</v>
      </c>
      <c r="F172">
        <v>0</v>
      </c>
      <c r="G172">
        <v>0</v>
      </c>
      <c r="H172">
        <v>0</v>
      </c>
      <c r="I172">
        <v>2024</v>
      </c>
    </row>
    <row r="173" spans="1:9" x14ac:dyDescent="0.45">
      <c r="A173" t="s">
        <v>28</v>
      </c>
      <c r="B173" t="str">
        <f t="shared" si="2"/>
        <v>Blake Corum</v>
      </c>
      <c r="C173">
        <v>5</v>
      </c>
      <c r="D173">
        <v>0</v>
      </c>
      <c r="E173" s="1">
        <v>0.2</v>
      </c>
      <c r="F173">
        <v>0</v>
      </c>
      <c r="G173">
        <v>0</v>
      </c>
      <c r="H173">
        <v>0</v>
      </c>
      <c r="I173">
        <v>2024</v>
      </c>
    </row>
    <row r="174" spans="1:9" x14ac:dyDescent="0.45">
      <c r="A174" t="s">
        <v>26</v>
      </c>
      <c r="B174" t="str">
        <f t="shared" si="2"/>
        <v>Kenny Gainwell</v>
      </c>
      <c r="C174">
        <v>3</v>
      </c>
      <c r="D174">
        <v>0</v>
      </c>
      <c r="E174" s="1">
        <v>0.15</v>
      </c>
      <c r="F174">
        <v>0</v>
      </c>
      <c r="G174">
        <v>0</v>
      </c>
      <c r="H174">
        <v>0</v>
      </c>
      <c r="I174">
        <v>2024</v>
      </c>
    </row>
    <row r="175" spans="1:9" x14ac:dyDescent="0.45">
      <c r="A175" t="s">
        <v>125</v>
      </c>
      <c r="B175" t="str">
        <f t="shared" si="2"/>
        <v>Carson Steele</v>
      </c>
      <c r="C175">
        <v>4</v>
      </c>
      <c r="D175">
        <v>0</v>
      </c>
      <c r="E175" s="1">
        <v>0.16</v>
      </c>
      <c r="F175">
        <v>0</v>
      </c>
      <c r="G175">
        <v>0</v>
      </c>
      <c r="H175">
        <v>0</v>
      </c>
      <c r="I175">
        <v>2024</v>
      </c>
    </row>
    <row r="176" spans="1:9" x14ac:dyDescent="0.45">
      <c r="A176" t="s">
        <v>126</v>
      </c>
      <c r="B176" t="str">
        <f t="shared" si="2"/>
        <v>Sincere McCormick</v>
      </c>
      <c r="C176">
        <v>2</v>
      </c>
      <c r="D176">
        <v>0</v>
      </c>
      <c r="E176" s="1">
        <v>0.105</v>
      </c>
      <c r="F176">
        <v>0</v>
      </c>
      <c r="G176">
        <v>0</v>
      </c>
      <c r="H176">
        <v>0</v>
      </c>
      <c r="I176">
        <v>2024</v>
      </c>
    </row>
    <row r="177" spans="1:9" x14ac:dyDescent="0.45">
      <c r="A177" t="s">
        <v>6</v>
      </c>
      <c r="B177" t="str">
        <f t="shared" si="2"/>
        <v>Christian McCaffrey</v>
      </c>
      <c r="C177">
        <v>1</v>
      </c>
      <c r="D177">
        <v>0</v>
      </c>
      <c r="E177" s="1">
        <v>5.2999999999999999E-2</v>
      </c>
      <c r="F177">
        <v>0</v>
      </c>
      <c r="G177">
        <v>0</v>
      </c>
      <c r="H177">
        <v>0</v>
      </c>
      <c r="I177">
        <v>2024</v>
      </c>
    </row>
    <row r="178" spans="1:9" x14ac:dyDescent="0.45">
      <c r="A178" t="s">
        <v>74</v>
      </c>
      <c r="B178" t="str">
        <f t="shared" si="2"/>
        <v>Justice Hill</v>
      </c>
      <c r="C178">
        <v>1</v>
      </c>
      <c r="D178">
        <v>0</v>
      </c>
      <c r="E178" s="1">
        <v>5.2999999999999999E-2</v>
      </c>
      <c r="F178">
        <v>0</v>
      </c>
      <c r="G178">
        <v>0</v>
      </c>
      <c r="H178">
        <v>0</v>
      </c>
      <c r="I178">
        <v>2024</v>
      </c>
    </row>
    <row r="179" spans="1:9" x14ac:dyDescent="0.45">
      <c r="A179" t="s">
        <v>127</v>
      </c>
      <c r="B179" t="str">
        <f t="shared" si="2"/>
        <v>Jamaal Williams</v>
      </c>
      <c r="C179">
        <v>0</v>
      </c>
      <c r="D179">
        <v>0</v>
      </c>
      <c r="E179" s="1">
        <v>0</v>
      </c>
      <c r="F179">
        <v>0</v>
      </c>
      <c r="G179">
        <v>0</v>
      </c>
      <c r="H179">
        <v>0</v>
      </c>
      <c r="I179">
        <v>2024</v>
      </c>
    </row>
    <row r="180" spans="1:9" x14ac:dyDescent="0.45">
      <c r="A180" t="s">
        <v>84</v>
      </c>
      <c r="B180" t="str">
        <f t="shared" si="2"/>
        <v>D'Ernest Johnson</v>
      </c>
      <c r="C180">
        <v>1</v>
      </c>
      <c r="D180">
        <v>0</v>
      </c>
      <c r="E180" s="1">
        <v>7.0999999999999994E-2</v>
      </c>
      <c r="F180">
        <v>0</v>
      </c>
      <c r="G180">
        <v>0</v>
      </c>
      <c r="H180">
        <v>0</v>
      </c>
      <c r="I180">
        <v>2024</v>
      </c>
    </row>
    <row r="181" spans="1:9" x14ac:dyDescent="0.45">
      <c r="A181" t="s">
        <v>65</v>
      </c>
      <c r="B181" t="str">
        <f t="shared" si="2"/>
        <v>Michael Carter</v>
      </c>
      <c r="C181">
        <v>1</v>
      </c>
      <c r="D181">
        <v>0</v>
      </c>
      <c r="E181" s="1">
        <v>7.0999999999999994E-2</v>
      </c>
      <c r="F181">
        <v>0</v>
      </c>
      <c r="G181">
        <v>0</v>
      </c>
      <c r="H181">
        <v>0</v>
      </c>
      <c r="I181">
        <v>2024</v>
      </c>
    </row>
    <row r="182" spans="1:9" x14ac:dyDescent="0.45">
      <c r="A182" t="s">
        <v>128</v>
      </c>
      <c r="B182" t="str">
        <f t="shared" si="2"/>
        <v>Jonathon Brooks</v>
      </c>
      <c r="C182">
        <v>1</v>
      </c>
      <c r="D182">
        <v>0</v>
      </c>
      <c r="E182" s="1">
        <v>4.2999999999999997E-2</v>
      </c>
      <c r="F182">
        <v>0</v>
      </c>
      <c r="G182">
        <v>0</v>
      </c>
      <c r="H182">
        <v>0</v>
      </c>
      <c r="I182">
        <v>2024</v>
      </c>
    </row>
    <row r="183" spans="1:9" x14ac:dyDescent="0.45">
      <c r="A183" t="s">
        <v>90</v>
      </c>
      <c r="B183" t="str">
        <f t="shared" si="2"/>
        <v>Julius Chestnut</v>
      </c>
      <c r="C183">
        <v>1</v>
      </c>
      <c r="D183">
        <v>0</v>
      </c>
      <c r="E183" s="1">
        <v>0.1</v>
      </c>
      <c r="F183">
        <v>0</v>
      </c>
      <c r="G183">
        <v>0</v>
      </c>
      <c r="H183">
        <v>0</v>
      </c>
      <c r="I183">
        <v>2024</v>
      </c>
    </row>
    <row r="184" spans="1:9" x14ac:dyDescent="0.45">
      <c r="A184" t="s">
        <v>129</v>
      </c>
      <c r="B184" t="str">
        <f t="shared" si="2"/>
        <v>Cordarrelle Patterson</v>
      </c>
      <c r="C184">
        <v>1</v>
      </c>
      <c r="D184">
        <v>0</v>
      </c>
      <c r="E184" s="1">
        <v>5.8999999999999997E-2</v>
      </c>
      <c r="F184">
        <v>0</v>
      </c>
      <c r="G184">
        <v>0</v>
      </c>
      <c r="H184">
        <v>0</v>
      </c>
      <c r="I184">
        <v>2024</v>
      </c>
    </row>
    <row r="185" spans="1:9" x14ac:dyDescent="0.45">
      <c r="A185" t="s">
        <v>75</v>
      </c>
      <c r="B185" t="str">
        <f t="shared" si="2"/>
        <v>Antonio Gibson</v>
      </c>
      <c r="C185">
        <v>3</v>
      </c>
      <c r="D185">
        <v>0</v>
      </c>
      <c r="E185" s="1">
        <v>0.2</v>
      </c>
      <c r="F185">
        <v>0</v>
      </c>
      <c r="G185">
        <v>0</v>
      </c>
      <c r="H185">
        <v>0</v>
      </c>
      <c r="I185">
        <v>2024</v>
      </c>
    </row>
    <row r="186" spans="1:9" x14ac:dyDescent="0.45">
      <c r="A186" t="s">
        <v>130</v>
      </c>
      <c r="B186" t="str">
        <f t="shared" si="2"/>
        <v>Jermar Jefferson</v>
      </c>
      <c r="C186">
        <v>1</v>
      </c>
      <c r="D186">
        <v>0</v>
      </c>
      <c r="E186" s="1">
        <v>2.9000000000000001E-2</v>
      </c>
      <c r="F186">
        <v>0</v>
      </c>
      <c r="G186">
        <v>0</v>
      </c>
      <c r="H186">
        <v>0</v>
      </c>
      <c r="I186">
        <v>2024</v>
      </c>
    </row>
    <row r="187" spans="1:9" x14ac:dyDescent="0.45">
      <c r="A187" t="s">
        <v>131</v>
      </c>
      <c r="B187" t="str">
        <f t="shared" si="2"/>
        <v>Aaron Shampklin</v>
      </c>
      <c r="C187">
        <v>1</v>
      </c>
      <c r="D187">
        <v>0</v>
      </c>
      <c r="E187" s="1">
        <v>5.8999999999999997E-2</v>
      </c>
      <c r="F187">
        <v>0</v>
      </c>
      <c r="G187">
        <v>0</v>
      </c>
      <c r="H187">
        <v>0</v>
      </c>
      <c r="I187">
        <v>2024</v>
      </c>
    </row>
    <row r="188" spans="1:9" x14ac:dyDescent="0.45">
      <c r="A188" t="s">
        <v>132</v>
      </c>
      <c r="B188" t="str">
        <f t="shared" si="2"/>
        <v>D'Onta Foreman</v>
      </c>
      <c r="C188">
        <v>6</v>
      </c>
      <c r="D188">
        <v>0</v>
      </c>
      <c r="E188" s="1">
        <v>0.4</v>
      </c>
      <c r="F188">
        <v>0</v>
      </c>
      <c r="G188">
        <v>0</v>
      </c>
      <c r="H188">
        <v>0</v>
      </c>
      <c r="I188">
        <v>2024</v>
      </c>
    </row>
    <row r="189" spans="1:9" x14ac:dyDescent="0.45">
      <c r="A189" t="s">
        <v>133</v>
      </c>
      <c r="B189" t="str">
        <f t="shared" si="2"/>
        <v>Eric Gray</v>
      </c>
      <c r="C189">
        <v>3</v>
      </c>
      <c r="D189">
        <v>0</v>
      </c>
      <c r="E189" s="1">
        <v>0.23100000000000001</v>
      </c>
      <c r="F189">
        <v>0</v>
      </c>
      <c r="G189">
        <v>0</v>
      </c>
      <c r="H189">
        <v>0</v>
      </c>
      <c r="I189">
        <v>2024</v>
      </c>
    </row>
    <row r="190" spans="1:9" x14ac:dyDescent="0.45">
      <c r="A190" t="s">
        <v>68</v>
      </c>
      <c r="B190" t="str">
        <f t="shared" si="2"/>
        <v>Kyle Juszczyk</v>
      </c>
      <c r="C190">
        <v>2</v>
      </c>
      <c r="D190">
        <v>0</v>
      </c>
      <c r="E190" s="1">
        <v>0.105</v>
      </c>
      <c r="F190">
        <v>0</v>
      </c>
      <c r="G190">
        <v>0</v>
      </c>
      <c r="H190">
        <v>0</v>
      </c>
      <c r="I190">
        <v>2024</v>
      </c>
    </row>
    <row r="191" spans="1:9" x14ac:dyDescent="0.45">
      <c r="A191" t="s">
        <v>124</v>
      </c>
      <c r="B191" t="str">
        <f t="shared" si="2"/>
        <v>Raheem Mostert</v>
      </c>
      <c r="C191">
        <v>20</v>
      </c>
      <c r="D191">
        <v>12</v>
      </c>
      <c r="E191" s="1">
        <v>0.74099999999999999</v>
      </c>
      <c r="F191">
        <v>2</v>
      </c>
      <c r="G191">
        <v>2</v>
      </c>
      <c r="H191">
        <v>2</v>
      </c>
      <c r="I191">
        <v>2023</v>
      </c>
    </row>
    <row r="192" spans="1:9" x14ac:dyDescent="0.45">
      <c r="A192" t="s">
        <v>104</v>
      </c>
      <c r="B192" t="str">
        <f t="shared" si="2"/>
        <v>Gus Edwards</v>
      </c>
      <c r="C192">
        <v>23</v>
      </c>
      <c r="D192">
        <v>12</v>
      </c>
      <c r="E192" s="1">
        <v>0.82099999999999995</v>
      </c>
      <c r="F192">
        <v>0</v>
      </c>
      <c r="G192">
        <v>0</v>
      </c>
      <c r="H192">
        <v>0</v>
      </c>
      <c r="I192">
        <v>2023</v>
      </c>
    </row>
    <row r="193" spans="1:9" x14ac:dyDescent="0.45">
      <c r="A193" t="s">
        <v>6</v>
      </c>
      <c r="B193" t="str">
        <f t="shared" si="2"/>
        <v>Christian McCaffrey</v>
      </c>
      <c r="C193">
        <v>18</v>
      </c>
      <c r="D193">
        <v>9</v>
      </c>
      <c r="E193" s="1">
        <v>0.75</v>
      </c>
      <c r="F193">
        <v>3</v>
      </c>
      <c r="G193">
        <v>5</v>
      </c>
      <c r="H193">
        <v>3</v>
      </c>
      <c r="I193">
        <v>2023</v>
      </c>
    </row>
    <row r="194" spans="1:9" x14ac:dyDescent="0.45">
      <c r="A194" t="s">
        <v>14</v>
      </c>
      <c r="B194" t="str">
        <f t="shared" ref="B194:B257" si="3">TRIM(LEFT(A194, LEN(A194) - LEN(TRIM(RIGHT(SUBSTITUTE(TRIM(A194)," ",REPT(" ",100)),100)))))</f>
        <v>Kyren Williams</v>
      </c>
      <c r="C194">
        <v>17</v>
      </c>
      <c r="D194">
        <v>9</v>
      </c>
      <c r="E194" s="1">
        <v>0.63</v>
      </c>
      <c r="F194">
        <v>3</v>
      </c>
      <c r="G194">
        <v>3</v>
      </c>
      <c r="H194">
        <v>1</v>
      </c>
      <c r="I194">
        <v>2023</v>
      </c>
    </row>
    <row r="195" spans="1:9" x14ac:dyDescent="0.45">
      <c r="A195" t="s">
        <v>18</v>
      </c>
      <c r="B195" t="str">
        <f t="shared" si="3"/>
        <v>David Montgomery</v>
      </c>
      <c r="C195">
        <v>17</v>
      </c>
      <c r="D195">
        <v>8</v>
      </c>
      <c r="E195" s="1">
        <v>0.54800000000000004</v>
      </c>
      <c r="F195">
        <v>0</v>
      </c>
      <c r="G195">
        <v>0</v>
      </c>
      <c r="H195">
        <v>0</v>
      </c>
      <c r="I195">
        <v>2023</v>
      </c>
    </row>
    <row r="196" spans="1:9" x14ac:dyDescent="0.45">
      <c r="A196" t="s">
        <v>8</v>
      </c>
      <c r="B196" t="str">
        <f t="shared" si="3"/>
        <v>Derrick Henry</v>
      </c>
      <c r="C196">
        <v>15</v>
      </c>
      <c r="D196">
        <v>7</v>
      </c>
      <c r="E196" s="1">
        <v>0.88200000000000001</v>
      </c>
      <c r="F196">
        <v>0</v>
      </c>
      <c r="G196">
        <v>0</v>
      </c>
      <c r="H196">
        <v>0</v>
      </c>
      <c r="I196">
        <v>2023</v>
      </c>
    </row>
    <row r="197" spans="1:9" x14ac:dyDescent="0.45">
      <c r="A197" t="s">
        <v>102</v>
      </c>
      <c r="B197" t="str">
        <f t="shared" si="3"/>
        <v>Joe Mixon</v>
      </c>
      <c r="C197">
        <v>20</v>
      </c>
      <c r="D197">
        <v>6</v>
      </c>
      <c r="E197" s="1">
        <v>1</v>
      </c>
      <c r="F197">
        <v>2</v>
      </c>
      <c r="G197">
        <v>3</v>
      </c>
      <c r="H197">
        <v>1</v>
      </c>
      <c r="I197">
        <v>2023</v>
      </c>
    </row>
    <row r="198" spans="1:9" x14ac:dyDescent="0.45">
      <c r="A198" t="s">
        <v>9</v>
      </c>
      <c r="B198" t="str">
        <f t="shared" si="3"/>
        <v>Kareem Hunt</v>
      </c>
      <c r="C198">
        <v>12</v>
      </c>
      <c r="D198">
        <v>7</v>
      </c>
      <c r="E198" s="1">
        <v>0.66700000000000004</v>
      </c>
      <c r="F198">
        <v>0</v>
      </c>
      <c r="G198">
        <v>0</v>
      </c>
      <c r="H198">
        <v>0</v>
      </c>
      <c r="I198">
        <v>2023</v>
      </c>
    </row>
    <row r="199" spans="1:9" x14ac:dyDescent="0.45">
      <c r="A199" t="s">
        <v>45</v>
      </c>
      <c r="B199" t="str">
        <f t="shared" si="3"/>
        <v>James Conner</v>
      </c>
      <c r="C199">
        <v>11</v>
      </c>
      <c r="D199">
        <v>5</v>
      </c>
      <c r="E199" s="1">
        <v>0.73299999999999998</v>
      </c>
      <c r="F199">
        <v>1</v>
      </c>
      <c r="G199">
        <v>1</v>
      </c>
      <c r="H199">
        <v>1</v>
      </c>
      <c r="I199">
        <v>2023</v>
      </c>
    </row>
    <row r="200" spans="1:9" x14ac:dyDescent="0.45">
      <c r="A200" t="s">
        <v>10</v>
      </c>
      <c r="B200" t="str">
        <f t="shared" si="3"/>
        <v>Jonathan Taylor</v>
      </c>
      <c r="C200">
        <v>12</v>
      </c>
      <c r="D200">
        <v>6</v>
      </c>
      <c r="E200" s="1">
        <v>0.5</v>
      </c>
      <c r="F200">
        <v>0</v>
      </c>
      <c r="G200">
        <v>0</v>
      </c>
      <c r="H200">
        <v>0</v>
      </c>
      <c r="I200">
        <v>2023</v>
      </c>
    </row>
    <row r="201" spans="1:9" x14ac:dyDescent="0.45">
      <c r="A201" t="s">
        <v>36</v>
      </c>
      <c r="B201" t="str">
        <f t="shared" si="3"/>
        <v>Rachaad White</v>
      </c>
      <c r="C201">
        <v>11</v>
      </c>
      <c r="D201">
        <v>6</v>
      </c>
      <c r="E201" s="1">
        <v>0.91700000000000004</v>
      </c>
      <c r="F201">
        <v>0</v>
      </c>
      <c r="G201">
        <v>0</v>
      </c>
      <c r="H201">
        <v>0</v>
      </c>
      <c r="I201">
        <v>2023</v>
      </c>
    </row>
    <row r="202" spans="1:9" x14ac:dyDescent="0.45">
      <c r="A202" t="s">
        <v>111</v>
      </c>
      <c r="B202" t="str">
        <f t="shared" si="3"/>
        <v>Najee Harris</v>
      </c>
      <c r="C202">
        <v>10</v>
      </c>
      <c r="D202">
        <v>5</v>
      </c>
      <c r="E202" s="1">
        <v>0.71399999999999997</v>
      </c>
      <c r="F202">
        <v>1</v>
      </c>
      <c r="G202">
        <v>1</v>
      </c>
      <c r="H202">
        <v>0</v>
      </c>
      <c r="I202">
        <v>2023</v>
      </c>
    </row>
    <row r="203" spans="1:9" x14ac:dyDescent="0.45">
      <c r="A203" t="s">
        <v>43</v>
      </c>
      <c r="B203" t="str">
        <f t="shared" si="3"/>
        <v>De'Von Achane</v>
      </c>
      <c r="C203">
        <v>5</v>
      </c>
      <c r="D203">
        <v>3</v>
      </c>
      <c r="E203" s="1">
        <v>0.185</v>
      </c>
      <c r="F203">
        <v>2</v>
      </c>
      <c r="G203">
        <v>2</v>
      </c>
      <c r="H203">
        <v>2</v>
      </c>
      <c r="I203">
        <v>2023</v>
      </c>
    </row>
    <row r="204" spans="1:9" x14ac:dyDescent="0.45">
      <c r="A204" t="s">
        <v>132</v>
      </c>
      <c r="B204" t="str">
        <f t="shared" si="3"/>
        <v>D'Onta Foreman</v>
      </c>
      <c r="C204">
        <v>7</v>
      </c>
      <c r="D204">
        <v>4</v>
      </c>
      <c r="E204" s="1">
        <v>0.46700000000000003</v>
      </c>
      <c r="F204">
        <v>1</v>
      </c>
      <c r="G204">
        <v>1</v>
      </c>
      <c r="H204">
        <v>1</v>
      </c>
      <c r="I204">
        <v>2023</v>
      </c>
    </row>
    <row r="205" spans="1:9" x14ac:dyDescent="0.45">
      <c r="A205" t="s">
        <v>42</v>
      </c>
      <c r="B205" t="str">
        <f t="shared" si="3"/>
        <v>Travis Etienne Jr.</v>
      </c>
      <c r="C205">
        <v>11</v>
      </c>
      <c r="D205">
        <v>5</v>
      </c>
      <c r="E205" s="1">
        <v>0.78600000000000003</v>
      </c>
      <c r="F205">
        <v>0</v>
      </c>
      <c r="G205">
        <v>0</v>
      </c>
      <c r="H205">
        <v>0</v>
      </c>
      <c r="I205">
        <v>2023</v>
      </c>
    </row>
    <row r="206" spans="1:9" x14ac:dyDescent="0.45">
      <c r="A206" t="s">
        <v>13</v>
      </c>
      <c r="B206" t="str">
        <f t="shared" si="3"/>
        <v>Josh Jacobs</v>
      </c>
      <c r="C206">
        <v>10</v>
      </c>
      <c r="D206">
        <v>5</v>
      </c>
      <c r="E206" s="1">
        <v>0.76900000000000002</v>
      </c>
      <c r="F206">
        <v>0</v>
      </c>
      <c r="G206">
        <v>1</v>
      </c>
      <c r="H206">
        <v>0</v>
      </c>
      <c r="I206">
        <v>2023</v>
      </c>
    </row>
    <row r="207" spans="1:9" x14ac:dyDescent="0.45">
      <c r="A207" t="s">
        <v>37</v>
      </c>
      <c r="B207" t="str">
        <f t="shared" si="3"/>
        <v>Kenneth Walker III</v>
      </c>
      <c r="C207">
        <v>15</v>
      </c>
      <c r="D207">
        <v>5</v>
      </c>
      <c r="E207" s="1">
        <v>0.71399999999999997</v>
      </c>
      <c r="F207">
        <v>0</v>
      </c>
      <c r="G207">
        <v>0</v>
      </c>
      <c r="H207">
        <v>0</v>
      </c>
      <c r="I207">
        <v>2023</v>
      </c>
    </row>
    <row r="208" spans="1:9" x14ac:dyDescent="0.45">
      <c r="A208" t="s">
        <v>88</v>
      </c>
      <c r="B208" t="str">
        <f t="shared" si="3"/>
        <v>Isiah Pacheco</v>
      </c>
      <c r="C208">
        <v>9</v>
      </c>
      <c r="D208">
        <v>5</v>
      </c>
      <c r="E208" s="1">
        <v>0.81799999999999995</v>
      </c>
      <c r="F208">
        <v>1</v>
      </c>
      <c r="G208">
        <v>2</v>
      </c>
      <c r="H208">
        <v>0</v>
      </c>
      <c r="I208">
        <v>2023</v>
      </c>
    </row>
    <row r="209" spans="1:9" x14ac:dyDescent="0.45">
      <c r="A209" t="s">
        <v>109</v>
      </c>
      <c r="B209" t="str">
        <f t="shared" si="3"/>
        <v>Austin Ekeler</v>
      </c>
      <c r="C209">
        <v>15</v>
      </c>
      <c r="D209">
        <v>5</v>
      </c>
      <c r="E209" s="1">
        <v>0.83299999999999996</v>
      </c>
      <c r="F209">
        <v>1</v>
      </c>
      <c r="G209">
        <v>2</v>
      </c>
      <c r="H209">
        <v>0</v>
      </c>
      <c r="I209">
        <v>2023</v>
      </c>
    </row>
    <row r="210" spans="1:9" x14ac:dyDescent="0.45">
      <c r="A210" t="s">
        <v>134</v>
      </c>
      <c r="B210" t="str">
        <f t="shared" si="3"/>
        <v>Latavius Murray</v>
      </c>
      <c r="C210">
        <v>12</v>
      </c>
      <c r="D210">
        <v>4</v>
      </c>
      <c r="E210" s="1">
        <v>0.6</v>
      </c>
      <c r="F210">
        <v>2</v>
      </c>
      <c r="G210">
        <v>2</v>
      </c>
      <c r="H210">
        <v>0</v>
      </c>
      <c r="I210">
        <v>2023</v>
      </c>
    </row>
    <row r="211" spans="1:9" x14ac:dyDescent="0.45">
      <c r="A211" t="s">
        <v>19</v>
      </c>
      <c r="B211" t="str">
        <f t="shared" si="3"/>
        <v>D'Andre Swift</v>
      </c>
      <c r="C211">
        <v>14</v>
      </c>
      <c r="D211">
        <v>4</v>
      </c>
      <c r="E211" s="1">
        <v>0.77800000000000002</v>
      </c>
      <c r="F211">
        <v>0</v>
      </c>
      <c r="G211">
        <v>0</v>
      </c>
      <c r="H211">
        <v>0</v>
      </c>
      <c r="I211">
        <v>2023</v>
      </c>
    </row>
    <row r="212" spans="1:9" x14ac:dyDescent="0.45">
      <c r="A212" t="s">
        <v>76</v>
      </c>
      <c r="B212" t="str">
        <f t="shared" si="3"/>
        <v>Jerome Ford</v>
      </c>
      <c r="C212">
        <v>4</v>
      </c>
      <c r="D212">
        <v>3</v>
      </c>
      <c r="E212" s="1">
        <v>0.222</v>
      </c>
      <c r="F212">
        <v>1</v>
      </c>
      <c r="G212">
        <v>1</v>
      </c>
      <c r="H212">
        <v>1</v>
      </c>
      <c r="I212">
        <v>2023</v>
      </c>
    </row>
    <row r="213" spans="1:9" x14ac:dyDescent="0.45">
      <c r="A213" t="s">
        <v>16</v>
      </c>
      <c r="B213" t="str">
        <f t="shared" si="3"/>
        <v>Jahmyr Gibbs</v>
      </c>
      <c r="C213">
        <v>10</v>
      </c>
      <c r="D213">
        <v>4</v>
      </c>
      <c r="E213" s="1">
        <v>0.32300000000000001</v>
      </c>
      <c r="F213">
        <v>0</v>
      </c>
      <c r="G213">
        <v>1</v>
      </c>
      <c r="H213">
        <v>0</v>
      </c>
      <c r="I213">
        <v>2023</v>
      </c>
    </row>
    <row r="214" spans="1:9" x14ac:dyDescent="0.45">
      <c r="A214" t="s">
        <v>7</v>
      </c>
      <c r="B214" t="str">
        <f t="shared" si="3"/>
        <v>Javonte Williams</v>
      </c>
      <c r="C214">
        <v>7</v>
      </c>
      <c r="D214">
        <v>2</v>
      </c>
      <c r="E214" s="1">
        <v>0.63600000000000001</v>
      </c>
      <c r="F214">
        <v>2</v>
      </c>
      <c r="G214">
        <v>2</v>
      </c>
      <c r="H214">
        <v>2</v>
      </c>
      <c r="I214">
        <v>2023</v>
      </c>
    </row>
    <row r="215" spans="1:9" x14ac:dyDescent="0.45">
      <c r="A215" t="s">
        <v>59</v>
      </c>
      <c r="B215" t="str">
        <f t="shared" si="3"/>
        <v>Saquon Barkley</v>
      </c>
      <c r="C215">
        <v>6</v>
      </c>
      <c r="D215">
        <v>3</v>
      </c>
      <c r="E215" s="1">
        <v>1</v>
      </c>
      <c r="F215">
        <v>1</v>
      </c>
      <c r="G215">
        <v>1</v>
      </c>
      <c r="H215">
        <v>1</v>
      </c>
      <c r="I215">
        <v>2023</v>
      </c>
    </row>
    <row r="216" spans="1:9" x14ac:dyDescent="0.45">
      <c r="A216" t="s">
        <v>48</v>
      </c>
      <c r="B216" t="str">
        <f t="shared" si="3"/>
        <v>Chuba Hubbard</v>
      </c>
      <c r="C216">
        <v>11</v>
      </c>
      <c r="D216">
        <v>4</v>
      </c>
      <c r="E216" s="1">
        <v>0.73299999999999998</v>
      </c>
      <c r="F216">
        <v>0</v>
      </c>
      <c r="G216">
        <v>0</v>
      </c>
      <c r="H216">
        <v>0</v>
      </c>
      <c r="I216">
        <v>2023</v>
      </c>
    </row>
    <row r="217" spans="1:9" x14ac:dyDescent="0.45">
      <c r="A217" t="s">
        <v>98</v>
      </c>
      <c r="B217" t="str">
        <f t="shared" si="3"/>
        <v>Alvin Kamara</v>
      </c>
      <c r="C217">
        <v>12</v>
      </c>
      <c r="D217">
        <v>3</v>
      </c>
      <c r="E217" s="1">
        <v>1</v>
      </c>
      <c r="F217">
        <v>0</v>
      </c>
      <c r="G217">
        <v>0</v>
      </c>
      <c r="H217">
        <v>0</v>
      </c>
      <c r="I217">
        <v>2023</v>
      </c>
    </row>
    <row r="218" spans="1:9" x14ac:dyDescent="0.45">
      <c r="A218" t="s">
        <v>107</v>
      </c>
      <c r="B218" t="str">
        <f t="shared" si="3"/>
        <v>Zack Moss</v>
      </c>
      <c r="C218">
        <v>11</v>
      </c>
      <c r="D218">
        <v>3</v>
      </c>
      <c r="E218" s="1">
        <v>0.45800000000000002</v>
      </c>
      <c r="F218">
        <v>0</v>
      </c>
      <c r="G218">
        <v>0</v>
      </c>
      <c r="H218">
        <v>0</v>
      </c>
      <c r="I218">
        <v>2023</v>
      </c>
    </row>
    <row r="219" spans="1:9" x14ac:dyDescent="0.45">
      <c r="A219" t="s">
        <v>22</v>
      </c>
      <c r="B219" t="str">
        <f t="shared" si="3"/>
        <v>Tyler Allgeier</v>
      </c>
      <c r="C219">
        <v>6</v>
      </c>
      <c r="D219">
        <v>3</v>
      </c>
      <c r="E219" s="1">
        <v>0.6</v>
      </c>
      <c r="F219">
        <v>0</v>
      </c>
      <c r="G219">
        <v>0</v>
      </c>
      <c r="H219">
        <v>0</v>
      </c>
      <c r="I219">
        <v>2023</v>
      </c>
    </row>
    <row r="220" spans="1:9" x14ac:dyDescent="0.45">
      <c r="A220" t="s">
        <v>135</v>
      </c>
      <c r="B220" t="str">
        <f t="shared" si="3"/>
        <v>Ty Chandler</v>
      </c>
      <c r="C220">
        <v>3</v>
      </c>
      <c r="D220">
        <v>3</v>
      </c>
      <c r="E220" s="1">
        <v>0.25</v>
      </c>
      <c r="F220">
        <v>0</v>
      </c>
      <c r="G220">
        <v>0</v>
      </c>
      <c r="H220">
        <v>0</v>
      </c>
      <c r="I220">
        <v>2023</v>
      </c>
    </row>
    <row r="221" spans="1:9" x14ac:dyDescent="0.45">
      <c r="A221" t="s">
        <v>56</v>
      </c>
      <c r="B221" t="str">
        <f t="shared" si="3"/>
        <v>Tony Pollard</v>
      </c>
      <c r="C221">
        <v>16</v>
      </c>
      <c r="D221">
        <v>2</v>
      </c>
      <c r="E221" s="1">
        <v>0.69599999999999995</v>
      </c>
      <c r="F221">
        <v>0</v>
      </c>
      <c r="G221">
        <v>0</v>
      </c>
      <c r="H221">
        <v>0</v>
      </c>
      <c r="I221">
        <v>2023</v>
      </c>
    </row>
    <row r="222" spans="1:9" x14ac:dyDescent="0.45">
      <c r="A222" t="s">
        <v>15</v>
      </c>
      <c r="B222" t="str">
        <f t="shared" si="3"/>
        <v>James Cook III</v>
      </c>
      <c r="C222">
        <v>4</v>
      </c>
      <c r="D222">
        <v>1</v>
      </c>
      <c r="E222" s="1">
        <v>0.2</v>
      </c>
      <c r="F222">
        <v>1</v>
      </c>
      <c r="G222">
        <v>2</v>
      </c>
      <c r="H222">
        <v>1</v>
      </c>
      <c r="I222">
        <v>2023</v>
      </c>
    </row>
    <row r="223" spans="1:9" x14ac:dyDescent="0.45">
      <c r="A223" t="s">
        <v>29</v>
      </c>
      <c r="B223" t="str">
        <f t="shared" si="3"/>
        <v>Bijan Robinson</v>
      </c>
      <c r="C223">
        <v>3</v>
      </c>
      <c r="D223">
        <v>2</v>
      </c>
      <c r="E223" s="1">
        <v>0.3</v>
      </c>
      <c r="F223">
        <v>1</v>
      </c>
      <c r="G223">
        <v>3</v>
      </c>
      <c r="H223">
        <v>0</v>
      </c>
      <c r="I223">
        <v>2023</v>
      </c>
    </row>
    <row r="224" spans="1:9" x14ac:dyDescent="0.45">
      <c r="A224" t="s">
        <v>61</v>
      </c>
      <c r="B224" t="str">
        <f t="shared" si="3"/>
        <v>Brian Robinson Jr.</v>
      </c>
      <c r="C224">
        <v>8</v>
      </c>
      <c r="D224">
        <v>2</v>
      </c>
      <c r="E224" s="1">
        <v>0.61499999999999999</v>
      </c>
      <c r="F224">
        <v>0</v>
      </c>
      <c r="G224">
        <v>0</v>
      </c>
      <c r="H224">
        <v>0</v>
      </c>
      <c r="I224">
        <v>2023</v>
      </c>
    </row>
    <row r="225" spans="1:9" x14ac:dyDescent="0.45">
      <c r="A225" t="s">
        <v>103</v>
      </c>
      <c r="B225" t="str">
        <f t="shared" si="3"/>
        <v>Roschon Johnson</v>
      </c>
      <c r="C225">
        <v>6</v>
      </c>
      <c r="D225">
        <v>2</v>
      </c>
      <c r="E225" s="1">
        <v>0.4</v>
      </c>
      <c r="F225">
        <v>0</v>
      </c>
      <c r="G225">
        <v>0</v>
      </c>
      <c r="H225">
        <v>0</v>
      </c>
      <c r="I225">
        <v>2023</v>
      </c>
    </row>
    <row r="226" spans="1:9" x14ac:dyDescent="0.45">
      <c r="A226" t="s">
        <v>80</v>
      </c>
      <c r="B226" t="str">
        <f t="shared" si="3"/>
        <v>Tank Bigsby</v>
      </c>
      <c r="C226">
        <v>3</v>
      </c>
      <c r="D226">
        <v>2</v>
      </c>
      <c r="E226" s="1">
        <v>0.214</v>
      </c>
      <c r="F226">
        <v>0</v>
      </c>
      <c r="G226">
        <v>0</v>
      </c>
      <c r="H226">
        <v>0</v>
      </c>
      <c r="I226">
        <v>2023</v>
      </c>
    </row>
    <row r="227" spans="1:9" x14ac:dyDescent="0.45">
      <c r="A227" t="s">
        <v>44</v>
      </c>
      <c r="B227" t="str">
        <f t="shared" si="3"/>
        <v>Aaron Jones Sr.</v>
      </c>
      <c r="C227">
        <v>7</v>
      </c>
      <c r="D227">
        <v>2</v>
      </c>
      <c r="E227" s="1">
        <v>0.38900000000000001</v>
      </c>
      <c r="F227">
        <v>0</v>
      </c>
      <c r="G227">
        <v>0</v>
      </c>
      <c r="H227">
        <v>0</v>
      </c>
      <c r="I227">
        <v>2023</v>
      </c>
    </row>
    <row r="228" spans="1:9" x14ac:dyDescent="0.45">
      <c r="A228" t="s">
        <v>136</v>
      </c>
      <c r="B228" t="str">
        <f t="shared" si="3"/>
        <v>AJ Dillon</v>
      </c>
      <c r="C228">
        <v>10</v>
      </c>
      <c r="D228">
        <v>2</v>
      </c>
      <c r="E228" s="1">
        <v>0.55600000000000005</v>
      </c>
      <c r="F228">
        <v>0</v>
      </c>
      <c r="G228">
        <v>0</v>
      </c>
      <c r="H228">
        <v>0</v>
      </c>
      <c r="I228">
        <v>2023</v>
      </c>
    </row>
    <row r="229" spans="1:9" x14ac:dyDescent="0.45">
      <c r="A229" t="s">
        <v>41</v>
      </c>
      <c r="B229" t="str">
        <f t="shared" si="3"/>
        <v>Breece Hall</v>
      </c>
      <c r="C229">
        <v>1</v>
      </c>
      <c r="D229">
        <v>1</v>
      </c>
      <c r="E229" s="1">
        <v>0.33300000000000002</v>
      </c>
      <c r="F229">
        <v>1</v>
      </c>
      <c r="G229">
        <v>1</v>
      </c>
      <c r="H229">
        <v>1</v>
      </c>
      <c r="I229">
        <v>2023</v>
      </c>
    </row>
    <row r="230" spans="1:9" x14ac:dyDescent="0.45">
      <c r="A230" t="s">
        <v>110</v>
      </c>
      <c r="B230" t="str">
        <f t="shared" si="3"/>
        <v>Ezekiel Elliott</v>
      </c>
      <c r="C230">
        <v>5</v>
      </c>
      <c r="D230">
        <v>2</v>
      </c>
      <c r="E230" s="1">
        <v>0.625</v>
      </c>
      <c r="F230">
        <v>0</v>
      </c>
      <c r="G230">
        <v>0</v>
      </c>
      <c r="H230">
        <v>0</v>
      </c>
      <c r="I230">
        <v>2023</v>
      </c>
    </row>
    <row r="231" spans="1:9" x14ac:dyDescent="0.45">
      <c r="A231" t="s">
        <v>74</v>
      </c>
      <c r="B231" t="str">
        <f t="shared" si="3"/>
        <v>Justice Hill</v>
      </c>
      <c r="C231">
        <v>4</v>
      </c>
      <c r="D231">
        <v>2</v>
      </c>
      <c r="E231" s="1">
        <v>0.14299999999999999</v>
      </c>
      <c r="F231">
        <v>0</v>
      </c>
      <c r="G231">
        <v>0</v>
      </c>
      <c r="H231">
        <v>0</v>
      </c>
      <c r="I231">
        <v>2023</v>
      </c>
    </row>
    <row r="232" spans="1:9" x14ac:dyDescent="0.45">
      <c r="A232" t="s">
        <v>137</v>
      </c>
      <c r="B232" t="str">
        <f t="shared" si="3"/>
        <v>Tony Jones Jr.</v>
      </c>
      <c r="C232">
        <v>2</v>
      </c>
      <c r="D232">
        <v>2</v>
      </c>
      <c r="E232" s="1">
        <v>0.13300000000000001</v>
      </c>
      <c r="F232">
        <v>0</v>
      </c>
      <c r="G232">
        <v>1</v>
      </c>
      <c r="H232">
        <v>0</v>
      </c>
      <c r="I232">
        <v>2023</v>
      </c>
    </row>
    <row r="233" spans="1:9" x14ac:dyDescent="0.45">
      <c r="A233" t="s">
        <v>75</v>
      </c>
      <c r="B233" t="str">
        <f t="shared" si="3"/>
        <v>Antonio Gibson</v>
      </c>
      <c r="C233">
        <v>1</v>
      </c>
      <c r="D233">
        <v>1</v>
      </c>
      <c r="E233" s="1">
        <v>7.6999999999999999E-2</v>
      </c>
      <c r="F233">
        <v>1</v>
      </c>
      <c r="G233">
        <v>1</v>
      </c>
      <c r="H233">
        <v>1</v>
      </c>
      <c r="I233">
        <v>2023</v>
      </c>
    </row>
    <row r="234" spans="1:9" x14ac:dyDescent="0.45">
      <c r="A234" t="s">
        <v>40</v>
      </c>
      <c r="B234" t="str">
        <f t="shared" si="3"/>
        <v>Rhamondre Stevenson</v>
      </c>
      <c r="C234">
        <v>3</v>
      </c>
      <c r="D234">
        <v>2</v>
      </c>
      <c r="E234" s="1">
        <v>0.375</v>
      </c>
      <c r="F234">
        <v>0</v>
      </c>
      <c r="G234">
        <v>0</v>
      </c>
      <c r="H234">
        <v>0</v>
      </c>
      <c r="I234">
        <v>2023</v>
      </c>
    </row>
    <row r="235" spans="1:9" x14ac:dyDescent="0.45">
      <c r="A235" t="s">
        <v>115</v>
      </c>
      <c r="B235" t="str">
        <f t="shared" si="3"/>
        <v>Khalil Herbert</v>
      </c>
      <c r="C235">
        <v>1</v>
      </c>
      <c r="D235">
        <v>1</v>
      </c>
      <c r="E235" s="1">
        <v>6.7000000000000004E-2</v>
      </c>
      <c r="F235">
        <v>1</v>
      </c>
      <c r="G235">
        <v>1</v>
      </c>
      <c r="H235">
        <v>1</v>
      </c>
      <c r="I235">
        <v>2023</v>
      </c>
    </row>
    <row r="236" spans="1:9" x14ac:dyDescent="0.45">
      <c r="A236" t="s">
        <v>138</v>
      </c>
      <c r="B236" t="str">
        <f t="shared" si="3"/>
        <v>Darrell Henderson Jr.</v>
      </c>
      <c r="C236">
        <v>3</v>
      </c>
      <c r="D236">
        <v>2</v>
      </c>
      <c r="E236" s="1">
        <v>0.111</v>
      </c>
      <c r="F236">
        <v>0</v>
      </c>
      <c r="G236">
        <v>1</v>
      </c>
      <c r="H236">
        <v>0</v>
      </c>
      <c r="I236">
        <v>2023</v>
      </c>
    </row>
    <row r="237" spans="1:9" x14ac:dyDescent="0.45">
      <c r="A237" t="s">
        <v>17</v>
      </c>
      <c r="B237" t="str">
        <f t="shared" si="3"/>
        <v>Rico Dowdle</v>
      </c>
      <c r="C237">
        <v>4</v>
      </c>
      <c r="D237">
        <v>2</v>
      </c>
      <c r="E237" s="1">
        <v>0.17399999999999999</v>
      </c>
      <c r="F237">
        <v>0</v>
      </c>
      <c r="G237">
        <v>0</v>
      </c>
      <c r="H237">
        <v>0</v>
      </c>
      <c r="I237">
        <v>2023</v>
      </c>
    </row>
    <row r="238" spans="1:9" x14ac:dyDescent="0.45">
      <c r="A238" t="s">
        <v>106</v>
      </c>
      <c r="B238" t="str">
        <f t="shared" si="3"/>
        <v>Alexander Mattison</v>
      </c>
      <c r="C238">
        <v>9</v>
      </c>
      <c r="D238">
        <v>0</v>
      </c>
      <c r="E238" s="1">
        <v>0.75</v>
      </c>
      <c r="F238">
        <v>2</v>
      </c>
      <c r="G238">
        <v>4</v>
      </c>
      <c r="H238">
        <v>2</v>
      </c>
      <c r="I238">
        <v>2023</v>
      </c>
    </row>
    <row r="239" spans="1:9" x14ac:dyDescent="0.45">
      <c r="A239" t="s">
        <v>139</v>
      </c>
      <c r="B239" t="str">
        <f t="shared" si="3"/>
        <v>Dameon Pierce</v>
      </c>
      <c r="C239">
        <v>9</v>
      </c>
      <c r="D239">
        <v>2</v>
      </c>
      <c r="E239" s="1">
        <v>0.47399999999999998</v>
      </c>
      <c r="F239">
        <v>0</v>
      </c>
      <c r="G239">
        <v>0</v>
      </c>
      <c r="H239">
        <v>0</v>
      </c>
      <c r="I239">
        <v>2023</v>
      </c>
    </row>
    <row r="240" spans="1:9" x14ac:dyDescent="0.45">
      <c r="A240" t="s">
        <v>140</v>
      </c>
      <c r="B240" t="str">
        <f t="shared" si="3"/>
        <v>Jerick McKinnon</v>
      </c>
      <c r="C240">
        <v>0</v>
      </c>
      <c r="D240">
        <v>0</v>
      </c>
      <c r="E240" s="1">
        <v>0</v>
      </c>
      <c r="F240">
        <v>1</v>
      </c>
      <c r="G240">
        <v>1</v>
      </c>
      <c r="H240">
        <v>1</v>
      </c>
      <c r="I240">
        <v>2023</v>
      </c>
    </row>
    <row r="241" spans="1:9" x14ac:dyDescent="0.45">
      <c r="A241" t="s">
        <v>141</v>
      </c>
      <c r="B241" t="str">
        <f t="shared" si="3"/>
        <v>Royce Freeman</v>
      </c>
      <c r="C241">
        <v>5</v>
      </c>
      <c r="D241">
        <v>1</v>
      </c>
      <c r="E241" s="1">
        <v>0.185</v>
      </c>
      <c r="F241">
        <v>0</v>
      </c>
      <c r="G241">
        <v>0</v>
      </c>
      <c r="H241">
        <v>0</v>
      </c>
      <c r="I241">
        <v>2023</v>
      </c>
    </row>
    <row r="242" spans="1:9" x14ac:dyDescent="0.45">
      <c r="A242" t="s">
        <v>142</v>
      </c>
      <c r="B242" t="str">
        <f t="shared" si="3"/>
        <v>Elijah Mitchell</v>
      </c>
      <c r="C242">
        <v>4</v>
      </c>
      <c r="D242">
        <v>1</v>
      </c>
      <c r="E242" s="1">
        <v>0.16700000000000001</v>
      </c>
      <c r="F242">
        <v>0</v>
      </c>
      <c r="G242">
        <v>0</v>
      </c>
      <c r="H242">
        <v>0</v>
      </c>
      <c r="I242">
        <v>2023</v>
      </c>
    </row>
    <row r="243" spans="1:9" x14ac:dyDescent="0.45">
      <c r="A243" t="s">
        <v>117</v>
      </c>
      <c r="B243" t="str">
        <f t="shared" si="3"/>
        <v>Patrick Ricard</v>
      </c>
      <c r="C243">
        <v>0</v>
      </c>
      <c r="D243">
        <v>0</v>
      </c>
      <c r="E243" s="1">
        <v>0</v>
      </c>
      <c r="F243">
        <v>1</v>
      </c>
      <c r="G243">
        <v>1</v>
      </c>
      <c r="H243">
        <v>1</v>
      </c>
      <c r="I243">
        <v>2023</v>
      </c>
    </row>
    <row r="244" spans="1:9" x14ac:dyDescent="0.45">
      <c r="A244" t="s">
        <v>143</v>
      </c>
      <c r="B244" t="str">
        <f t="shared" si="3"/>
        <v>Damien Harris</v>
      </c>
      <c r="C244">
        <v>3</v>
      </c>
      <c r="D244">
        <v>1</v>
      </c>
      <c r="E244" s="1">
        <v>0.15</v>
      </c>
      <c r="F244">
        <v>0</v>
      </c>
      <c r="G244">
        <v>0</v>
      </c>
      <c r="H244">
        <v>0</v>
      </c>
      <c r="I244">
        <v>2023</v>
      </c>
    </row>
    <row r="245" spans="1:9" x14ac:dyDescent="0.45">
      <c r="A245" t="s">
        <v>46</v>
      </c>
      <c r="B245" t="str">
        <f t="shared" si="3"/>
        <v>J.K. Dobbins</v>
      </c>
      <c r="C245">
        <v>1</v>
      </c>
      <c r="D245">
        <v>1</v>
      </c>
      <c r="E245" s="1">
        <v>3.5999999999999997E-2</v>
      </c>
      <c r="F245">
        <v>0</v>
      </c>
      <c r="G245">
        <v>0</v>
      </c>
      <c r="H245">
        <v>0</v>
      </c>
      <c r="I245">
        <v>2023</v>
      </c>
    </row>
    <row r="246" spans="1:9" x14ac:dyDescent="0.45">
      <c r="A246" t="s">
        <v>66</v>
      </c>
      <c r="B246" t="str">
        <f t="shared" si="3"/>
        <v>Hunter Luepke</v>
      </c>
      <c r="C246">
        <v>2</v>
      </c>
      <c r="D246">
        <v>1</v>
      </c>
      <c r="E246" s="1">
        <v>8.6999999999999994E-2</v>
      </c>
      <c r="F246">
        <v>0</v>
      </c>
      <c r="G246">
        <v>0</v>
      </c>
      <c r="H246">
        <v>0</v>
      </c>
      <c r="I246">
        <v>2023</v>
      </c>
    </row>
    <row r="247" spans="1:9" x14ac:dyDescent="0.45">
      <c r="A247" t="s">
        <v>144</v>
      </c>
      <c r="B247" t="str">
        <f t="shared" si="3"/>
        <v>Joshua Kelley</v>
      </c>
      <c r="C247">
        <v>3</v>
      </c>
      <c r="D247">
        <v>1</v>
      </c>
      <c r="E247" s="1">
        <v>0.16700000000000001</v>
      </c>
      <c r="F247">
        <v>0</v>
      </c>
      <c r="G247">
        <v>0</v>
      </c>
      <c r="H247">
        <v>0</v>
      </c>
      <c r="I247">
        <v>2023</v>
      </c>
    </row>
    <row r="248" spans="1:9" x14ac:dyDescent="0.45">
      <c r="A248" t="s">
        <v>27</v>
      </c>
      <c r="B248" t="str">
        <f t="shared" si="3"/>
        <v>Jordan Mason</v>
      </c>
      <c r="C248">
        <v>1</v>
      </c>
      <c r="D248">
        <v>1</v>
      </c>
      <c r="E248" s="1">
        <v>4.2000000000000003E-2</v>
      </c>
      <c r="F248">
        <v>0</v>
      </c>
      <c r="G248">
        <v>0</v>
      </c>
      <c r="H248">
        <v>0</v>
      </c>
      <c r="I248">
        <v>2023</v>
      </c>
    </row>
    <row r="249" spans="1:9" x14ac:dyDescent="0.45">
      <c r="A249" t="s">
        <v>63</v>
      </c>
      <c r="B249" t="str">
        <f t="shared" si="3"/>
        <v>Jaleel McLaughlin</v>
      </c>
      <c r="C249">
        <v>2</v>
      </c>
      <c r="D249">
        <v>1</v>
      </c>
      <c r="E249" s="1">
        <v>0.182</v>
      </c>
      <c r="F249">
        <v>0</v>
      </c>
      <c r="G249">
        <v>0</v>
      </c>
      <c r="H249">
        <v>0</v>
      </c>
      <c r="I249">
        <v>2023</v>
      </c>
    </row>
    <row r="250" spans="1:9" x14ac:dyDescent="0.45">
      <c r="A250" t="s">
        <v>68</v>
      </c>
      <c r="B250" t="str">
        <f t="shared" si="3"/>
        <v>Kyle Juszczyk</v>
      </c>
      <c r="C250">
        <v>1</v>
      </c>
      <c r="D250">
        <v>0</v>
      </c>
      <c r="E250" s="1">
        <v>4.2000000000000003E-2</v>
      </c>
      <c r="F250">
        <v>1</v>
      </c>
      <c r="G250">
        <v>1</v>
      </c>
      <c r="H250">
        <v>1</v>
      </c>
      <c r="I250">
        <v>2023</v>
      </c>
    </row>
    <row r="251" spans="1:9" x14ac:dyDescent="0.45">
      <c r="A251" t="s">
        <v>145</v>
      </c>
      <c r="B251" t="str">
        <f t="shared" si="3"/>
        <v>Nick Bawden</v>
      </c>
      <c r="C251">
        <v>1</v>
      </c>
      <c r="D251">
        <v>1</v>
      </c>
      <c r="E251" s="1">
        <v>0.33300000000000002</v>
      </c>
      <c r="F251">
        <v>0</v>
      </c>
      <c r="G251">
        <v>0</v>
      </c>
      <c r="H251">
        <v>0</v>
      </c>
      <c r="I251">
        <v>2023</v>
      </c>
    </row>
    <row r="252" spans="1:9" x14ac:dyDescent="0.45">
      <c r="A252" t="s">
        <v>114</v>
      </c>
      <c r="B252" t="str">
        <f t="shared" si="3"/>
        <v>Cam Akers</v>
      </c>
      <c r="C252">
        <v>2</v>
      </c>
      <c r="D252">
        <v>1</v>
      </c>
      <c r="E252" s="1">
        <v>7.3999999999999996E-2</v>
      </c>
      <c r="F252">
        <v>0</v>
      </c>
      <c r="G252">
        <v>0</v>
      </c>
      <c r="H252">
        <v>0</v>
      </c>
      <c r="I252">
        <v>2023</v>
      </c>
    </row>
    <row r="253" spans="1:9" x14ac:dyDescent="0.45">
      <c r="A253" t="s">
        <v>146</v>
      </c>
      <c r="B253" t="str">
        <f t="shared" si="3"/>
        <v>Clyde Edwards-Helaire</v>
      </c>
      <c r="C253">
        <v>2</v>
      </c>
      <c r="D253">
        <v>1</v>
      </c>
      <c r="E253" s="1">
        <v>0.182</v>
      </c>
      <c r="F253">
        <v>0</v>
      </c>
      <c r="G253">
        <v>1</v>
      </c>
      <c r="H253">
        <v>0</v>
      </c>
      <c r="I253">
        <v>2023</v>
      </c>
    </row>
    <row r="254" spans="1:9" x14ac:dyDescent="0.45">
      <c r="A254" t="s">
        <v>147</v>
      </c>
      <c r="B254" t="str">
        <f t="shared" si="3"/>
        <v>Pierre Strong Jr.</v>
      </c>
      <c r="C254">
        <v>2</v>
      </c>
      <c r="D254">
        <v>1</v>
      </c>
      <c r="E254" s="1">
        <v>0.111</v>
      </c>
      <c r="F254">
        <v>0</v>
      </c>
      <c r="G254">
        <v>0</v>
      </c>
      <c r="H254">
        <v>0</v>
      </c>
      <c r="I254">
        <v>2023</v>
      </c>
    </row>
    <row r="255" spans="1:9" x14ac:dyDescent="0.45">
      <c r="A255" t="s">
        <v>52</v>
      </c>
      <c r="B255" t="str">
        <f t="shared" si="3"/>
        <v>Samaje Perine</v>
      </c>
      <c r="C255">
        <v>2</v>
      </c>
      <c r="D255">
        <v>1</v>
      </c>
      <c r="E255" s="1">
        <v>0.182</v>
      </c>
      <c r="F255">
        <v>0</v>
      </c>
      <c r="G255">
        <v>0</v>
      </c>
      <c r="H255">
        <v>0</v>
      </c>
      <c r="I255">
        <v>2023</v>
      </c>
    </row>
    <row r="256" spans="1:9" x14ac:dyDescent="0.45">
      <c r="A256" t="s">
        <v>60</v>
      </c>
      <c r="B256" t="str">
        <f t="shared" si="3"/>
        <v>Miles Sanders</v>
      </c>
      <c r="C256">
        <v>4</v>
      </c>
      <c r="D256">
        <v>1</v>
      </c>
      <c r="E256" s="1">
        <v>0.26700000000000002</v>
      </c>
      <c r="F256">
        <v>0</v>
      </c>
      <c r="G256">
        <v>0</v>
      </c>
      <c r="H256">
        <v>0</v>
      </c>
      <c r="I256">
        <v>2023</v>
      </c>
    </row>
    <row r="257" spans="1:9" x14ac:dyDescent="0.45">
      <c r="A257" t="s">
        <v>120</v>
      </c>
      <c r="B257" t="str">
        <f t="shared" si="3"/>
        <v>Zamir White</v>
      </c>
      <c r="C257">
        <v>3</v>
      </c>
      <c r="D257">
        <v>1</v>
      </c>
      <c r="E257" s="1">
        <v>0.23100000000000001</v>
      </c>
      <c r="F257">
        <v>0</v>
      </c>
      <c r="G257">
        <v>0</v>
      </c>
      <c r="H257">
        <v>0</v>
      </c>
      <c r="I257">
        <v>2023</v>
      </c>
    </row>
    <row r="258" spans="1:9" x14ac:dyDescent="0.45">
      <c r="A258" t="s">
        <v>25</v>
      </c>
      <c r="B258" t="str">
        <f t="shared" ref="B258:B321" si="4">TRIM(LEFT(A258, LEN(A258) - LEN(TRIM(RIGHT(SUBSTITUTE(TRIM(A258)," ",REPT(" ",100)),100)))))</f>
        <v>Chris Rodriguez Jr.</v>
      </c>
      <c r="C258">
        <v>3</v>
      </c>
      <c r="D258">
        <v>1</v>
      </c>
      <c r="E258" s="1">
        <v>0.23100000000000001</v>
      </c>
      <c r="F258">
        <v>0</v>
      </c>
      <c r="G258">
        <v>0</v>
      </c>
      <c r="H258">
        <v>0</v>
      </c>
      <c r="I258">
        <v>2023</v>
      </c>
    </row>
    <row r="259" spans="1:9" x14ac:dyDescent="0.45">
      <c r="A259" t="s">
        <v>129</v>
      </c>
      <c r="B259" t="str">
        <f t="shared" si="4"/>
        <v>Cordarrelle Patterson</v>
      </c>
      <c r="C259">
        <v>1</v>
      </c>
      <c r="D259">
        <v>0</v>
      </c>
      <c r="E259" s="1">
        <v>0.1</v>
      </c>
      <c r="F259">
        <v>1</v>
      </c>
      <c r="G259">
        <v>1</v>
      </c>
      <c r="H259">
        <v>1</v>
      </c>
      <c r="I259">
        <v>2023</v>
      </c>
    </row>
    <row r="260" spans="1:9" x14ac:dyDescent="0.45">
      <c r="A260" t="s">
        <v>38</v>
      </c>
      <c r="B260" t="str">
        <f t="shared" si="4"/>
        <v>Devin Singletary</v>
      </c>
      <c r="C260">
        <v>7</v>
      </c>
      <c r="D260">
        <v>1</v>
      </c>
      <c r="E260" s="1">
        <v>0.36799999999999999</v>
      </c>
      <c r="F260">
        <v>0</v>
      </c>
      <c r="G260">
        <v>0</v>
      </c>
      <c r="H260">
        <v>0</v>
      </c>
      <c r="I260">
        <v>2023</v>
      </c>
    </row>
    <row r="261" spans="1:9" x14ac:dyDescent="0.45">
      <c r="A261" t="s">
        <v>11</v>
      </c>
      <c r="B261" t="str">
        <f t="shared" si="4"/>
        <v>Zach Charbonnet</v>
      </c>
      <c r="C261">
        <v>6</v>
      </c>
      <c r="D261">
        <v>1</v>
      </c>
      <c r="E261" s="1">
        <v>0.28599999999999998</v>
      </c>
      <c r="F261">
        <v>0</v>
      </c>
      <c r="G261">
        <v>0</v>
      </c>
      <c r="H261">
        <v>0</v>
      </c>
      <c r="I261">
        <v>2023</v>
      </c>
    </row>
    <row r="262" spans="1:9" x14ac:dyDescent="0.45">
      <c r="A262" t="s">
        <v>148</v>
      </c>
      <c r="B262" t="str">
        <f t="shared" si="4"/>
        <v>Craig Reynolds</v>
      </c>
      <c r="C262">
        <v>4</v>
      </c>
      <c r="D262">
        <v>1</v>
      </c>
      <c r="E262" s="1">
        <v>0.129</v>
      </c>
      <c r="F262">
        <v>0</v>
      </c>
      <c r="G262">
        <v>0</v>
      </c>
      <c r="H262">
        <v>0</v>
      </c>
      <c r="I262">
        <v>2023</v>
      </c>
    </row>
    <row r="263" spans="1:9" x14ac:dyDescent="0.45">
      <c r="A263" t="s">
        <v>26</v>
      </c>
      <c r="B263" t="str">
        <f t="shared" si="4"/>
        <v>Kenny Gainwell</v>
      </c>
      <c r="C263">
        <v>3</v>
      </c>
      <c r="D263">
        <v>1</v>
      </c>
      <c r="E263" s="1">
        <v>0.16700000000000001</v>
      </c>
      <c r="F263">
        <v>0</v>
      </c>
      <c r="G263">
        <v>0</v>
      </c>
      <c r="H263">
        <v>0</v>
      </c>
      <c r="I263">
        <v>2023</v>
      </c>
    </row>
    <row r="264" spans="1:9" x14ac:dyDescent="0.45">
      <c r="A264" t="s">
        <v>149</v>
      </c>
      <c r="B264" t="str">
        <f t="shared" si="4"/>
        <v>Dalvin Cook</v>
      </c>
      <c r="C264">
        <v>1</v>
      </c>
      <c r="D264">
        <v>0</v>
      </c>
      <c r="E264" s="1">
        <v>0.33300000000000002</v>
      </c>
      <c r="F264">
        <v>0</v>
      </c>
      <c r="G264">
        <v>0</v>
      </c>
      <c r="H264">
        <v>0</v>
      </c>
      <c r="I264">
        <v>2023</v>
      </c>
    </row>
    <row r="265" spans="1:9" x14ac:dyDescent="0.45">
      <c r="A265" t="s">
        <v>150</v>
      </c>
      <c r="B265" t="str">
        <f t="shared" si="4"/>
        <v>Darrynton Evans</v>
      </c>
      <c r="C265">
        <v>1</v>
      </c>
      <c r="D265">
        <v>0</v>
      </c>
      <c r="E265" s="1">
        <v>6.7000000000000004E-2</v>
      </c>
      <c r="F265">
        <v>0</v>
      </c>
      <c r="G265">
        <v>0</v>
      </c>
      <c r="H265">
        <v>0</v>
      </c>
      <c r="I265">
        <v>2023</v>
      </c>
    </row>
    <row r="266" spans="1:9" x14ac:dyDescent="0.45">
      <c r="A266" t="s">
        <v>50</v>
      </c>
      <c r="B266" t="str">
        <f t="shared" si="4"/>
        <v>Tyjae Spears</v>
      </c>
      <c r="C266">
        <v>2</v>
      </c>
      <c r="D266">
        <v>0</v>
      </c>
      <c r="E266" s="1">
        <v>0.11799999999999999</v>
      </c>
      <c r="F266">
        <v>0</v>
      </c>
      <c r="G266">
        <v>1</v>
      </c>
      <c r="H266">
        <v>0</v>
      </c>
      <c r="I266">
        <v>2023</v>
      </c>
    </row>
    <row r="267" spans="1:9" x14ac:dyDescent="0.45">
      <c r="A267" t="s">
        <v>151</v>
      </c>
      <c r="B267" t="str">
        <f t="shared" si="4"/>
        <v>Jeff Wilson Jr.</v>
      </c>
      <c r="C267">
        <v>1</v>
      </c>
      <c r="D267">
        <v>0</v>
      </c>
      <c r="E267" s="1">
        <v>3.6999999999999998E-2</v>
      </c>
      <c r="F267">
        <v>0</v>
      </c>
      <c r="G267">
        <v>0</v>
      </c>
      <c r="H267">
        <v>0</v>
      </c>
      <c r="I267">
        <v>2023</v>
      </c>
    </row>
    <row r="268" spans="1:9" x14ac:dyDescent="0.45">
      <c r="A268" t="s">
        <v>116</v>
      </c>
      <c r="B268" t="str">
        <f t="shared" si="4"/>
        <v>Patrick Taylor Jr.</v>
      </c>
      <c r="C268">
        <v>1</v>
      </c>
      <c r="D268">
        <v>0</v>
      </c>
      <c r="E268" s="1">
        <v>5.6000000000000001E-2</v>
      </c>
      <c r="F268">
        <v>0</v>
      </c>
      <c r="G268">
        <v>0</v>
      </c>
      <c r="H268">
        <v>0</v>
      </c>
      <c r="I268">
        <v>2023</v>
      </c>
    </row>
    <row r="269" spans="1:9" x14ac:dyDescent="0.45">
      <c r="A269" t="s">
        <v>113</v>
      </c>
      <c r="B269" t="str">
        <f t="shared" si="4"/>
        <v>Michael Burton</v>
      </c>
      <c r="C269">
        <v>0</v>
      </c>
      <c r="D269">
        <v>0</v>
      </c>
      <c r="E269" s="1">
        <v>0</v>
      </c>
      <c r="F269">
        <v>0</v>
      </c>
      <c r="G269">
        <v>0</v>
      </c>
      <c r="H269">
        <v>0</v>
      </c>
      <c r="I269">
        <v>2023</v>
      </c>
    </row>
    <row r="270" spans="1:9" x14ac:dyDescent="0.45">
      <c r="A270" t="s">
        <v>152</v>
      </c>
      <c r="B270" t="str">
        <f t="shared" si="4"/>
        <v>Leonard Fournette</v>
      </c>
      <c r="C270">
        <v>1</v>
      </c>
      <c r="D270">
        <v>0</v>
      </c>
      <c r="E270" s="1">
        <v>0.05</v>
      </c>
      <c r="F270">
        <v>0</v>
      </c>
      <c r="G270">
        <v>0</v>
      </c>
      <c r="H270">
        <v>0</v>
      </c>
      <c r="I270">
        <v>2023</v>
      </c>
    </row>
    <row r="271" spans="1:9" x14ac:dyDescent="0.45">
      <c r="A271" t="s">
        <v>153</v>
      </c>
      <c r="B271" t="str">
        <f t="shared" si="4"/>
        <v>Khari Blasingame</v>
      </c>
      <c r="C271">
        <v>0</v>
      </c>
      <c r="D271">
        <v>0</v>
      </c>
      <c r="E271" s="1">
        <v>0</v>
      </c>
      <c r="F271">
        <v>0</v>
      </c>
      <c r="G271">
        <v>0</v>
      </c>
      <c r="H271">
        <v>0</v>
      </c>
      <c r="I271">
        <v>2023</v>
      </c>
    </row>
    <row r="272" spans="1:9" x14ac:dyDescent="0.45">
      <c r="A272" t="s">
        <v>154</v>
      </c>
      <c r="B272" t="str">
        <f t="shared" si="4"/>
        <v>Derrick Gore</v>
      </c>
      <c r="C272">
        <v>1</v>
      </c>
      <c r="D272">
        <v>0</v>
      </c>
      <c r="E272" s="1">
        <v>7.6999999999999999E-2</v>
      </c>
      <c r="F272">
        <v>0</v>
      </c>
      <c r="G272">
        <v>0</v>
      </c>
      <c r="H272">
        <v>0</v>
      </c>
      <c r="I272">
        <v>2023</v>
      </c>
    </row>
    <row r="273" spans="1:9" x14ac:dyDescent="0.45">
      <c r="A273" t="s">
        <v>155</v>
      </c>
      <c r="B273" t="str">
        <f t="shared" si="4"/>
        <v>Salvon Ahmed</v>
      </c>
      <c r="C273">
        <v>1</v>
      </c>
      <c r="D273">
        <v>0</v>
      </c>
      <c r="E273" s="1">
        <v>3.6999999999999998E-2</v>
      </c>
      <c r="F273">
        <v>0</v>
      </c>
      <c r="G273">
        <v>0</v>
      </c>
      <c r="H273">
        <v>0</v>
      </c>
      <c r="I273">
        <v>2023</v>
      </c>
    </row>
    <row r="274" spans="1:9" x14ac:dyDescent="0.45">
      <c r="A274" t="s">
        <v>156</v>
      </c>
      <c r="B274" t="str">
        <f t="shared" si="4"/>
        <v>Deon Jackson</v>
      </c>
      <c r="C274">
        <v>1</v>
      </c>
      <c r="D274">
        <v>0</v>
      </c>
      <c r="E274" s="1">
        <v>4.2000000000000003E-2</v>
      </c>
      <c r="F274">
        <v>0</v>
      </c>
      <c r="G274">
        <v>0</v>
      </c>
      <c r="H274">
        <v>0</v>
      </c>
      <c r="I274">
        <v>2023</v>
      </c>
    </row>
    <row r="275" spans="1:9" x14ac:dyDescent="0.45">
      <c r="A275" t="s">
        <v>157</v>
      </c>
      <c r="B275" t="str">
        <f t="shared" si="4"/>
        <v>Raheem Blackshear</v>
      </c>
      <c r="C275">
        <v>0</v>
      </c>
      <c r="D275">
        <v>0</v>
      </c>
      <c r="E275" s="1">
        <v>0</v>
      </c>
      <c r="F275">
        <v>0</v>
      </c>
      <c r="G275">
        <v>0</v>
      </c>
      <c r="H275">
        <v>0</v>
      </c>
      <c r="I275">
        <v>2023</v>
      </c>
    </row>
    <row r="276" spans="1:9" x14ac:dyDescent="0.45">
      <c r="A276" t="s">
        <v>158</v>
      </c>
      <c r="B276" t="str">
        <f t="shared" si="4"/>
        <v>Deuce Vaughn</v>
      </c>
      <c r="C276">
        <v>1</v>
      </c>
      <c r="D276">
        <v>0</v>
      </c>
      <c r="E276" s="1">
        <v>4.2999999999999997E-2</v>
      </c>
      <c r="F276">
        <v>0</v>
      </c>
      <c r="G276">
        <v>0</v>
      </c>
      <c r="H276">
        <v>0</v>
      </c>
      <c r="I276">
        <v>2023</v>
      </c>
    </row>
    <row r="277" spans="1:9" x14ac:dyDescent="0.45">
      <c r="A277" t="s">
        <v>65</v>
      </c>
      <c r="B277" t="str">
        <f t="shared" si="4"/>
        <v>Michael Carter</v>
      </c>
      <c r="C277">
        <v>1</v>
      </c>
      <c r="D277">
        <v>0</v>
      </c>
      <c r="E277" s="1">
        <v>6.7000000000000004E-2</v>
      </c>
      <c r="F277">
        <v>0</v>
      </c>
      <c r="G277">
        <v>0</v>
      </c>
      <c r="H277">
        <v>0</v>
      </c>
      <c r="I277">
        <v>2023</v>
      </c>
    </row>
    <row r="278" spans="1:9" x14ac:dyDescent="0.45">
      <c r="A278" t="s">
        <v>21</v>
      </c>
      <c r="B278" t="str">
        <f t="shared" si="4"/>
        <v>Jaylen Warren</v>
      </c>
      <c r="C278">
        <v>4</v>
      </c>
      <c r="D278">
        <v>0</v>
      </c>
      <c r="E278" s="1">
        <v>0.28599999999999998</v>
      </c>
      <c r="F278">
        <v>0</v>
      </c>
      <c r="G278">
        <v>0</v>
      </c>
      <c r="H278">
        <v>0</v>
      </c>
      <c r="I278">
        <v>2023</v>
      </c>
    </row>
    <row r="279" spans="1:9" x14ac:dyDescent="0.45">
      <c r="A279" t="s">
        <v>83</v>
      </c>
      <c r="B279" t="str">
        <f t="shared" si="4"/>
        <v>Emari Demercado</v>
      </c>
      <c r="C279">
        <v>1</v>
      </c>
      <c r="D279">
        <v>0</v>
      </c>
      <c r="E279" s="1">
        <v>6.7000000000000004E-2</v>
      </c>
      <c r="F279">
        <v>0</v>
      </c>
      <c r="G279">
        <v>0</v>
      </c>
      <c r="H279">
        <v>0</v>
      </c>
      <c r="I279">
        <v>2023</v>
      </c>
    </row>
    <row r="280" spans="1:9" x14ac:dyDescent="0.45">
      <c r="A280" t="s">
        <v>159</v>
      </c>
      <c r="B280" t="str">
        <f t="shared" si="4"/>
        <v>Ke'Shawn Vaughn</v>
      </c>
      <c r="C280">
        <v>1</v>
      </c>
      <c r="D280">
        <v>0</v>
      </c>
      <c r="E280" s="1">
        <v>8.3000000000000004E-2</v>
      </c>
      <c r="F280">
        <v>0</v>
      </c>
      <c r="G280">
        <v>0</v>
      </c>
      <c r="H280">
        <v>0</v>
      </c>
      <c r="I280">
        <v>2023</v>
      </c>
    </row>
    <row r="281" spans="1:9" x14ac:dyDescent="0.45">
      <c r="A281" t="s">
        <v>160</v>
      </c>
      <c r="B281" t="str">
        <f t="shared" si="4"/>
        <v>Boston Scott</v>
      </c>
      <c r="C281">
        <v>1</v>
      </c>
      <c r="D281">
        <v>0</v>
      </c>
      <c r="E281" s="1">
        <v>5.6000000000000001E-2</v>
      </c>
      <c r="F281">
        <v>0</v>
      </c>
      <c r="G281">
        <v>0</v>
      </c>
      <c r="H281">
        <v>0</v>
      </c>
      <c r="I281">
        <v>2023</v>
      </c>
    </row>
    <row r="282" spans="1:9" x14ac:dyDescent="0.45">
      <c r="A282" t="s">
        <v>127</v>
      </c>
      <c r="B282" t="str">
        <f t="shared" si="4"/>
        <v>Jamaal Williams</v>
      </c>
      <c r="C282">
        <v>29</v>
      </c>
      <c r="D282">
        <v>12</v>
      </c>
      <c r="E282" s="1">
        <v>0.85299999999999998</v>
      </c>
      <c r="F282">
        <v>0</v>
      </c>
      <c r="G282">
        <v>0</v>
      </c>
      <c r="H282">
        <v>0</v>
      </c>
      <c r="I282">
        <v>2022</v>
      </c>
    </row>
    <row r="283" spans="1:9" x14ac:dyDescent="0.45">
      <c r="A283" t="s">
        <v>8</v>
      </c>
      <c r="B283" t="str">
        <f t="shared" si="4"/>
        <v>Derrick Henry</v>
      </c>
      <c r="C283">
        <v>15</v>
      </c>
      <c r="D283">
        <v>10</v>
      </c>
      <c r="E283" s="1">
        <v>1</v>
      </c>
      <c r="F283">
        <v>1</v>
      </c>
      <c r="G283">
        <v>2</v>
      </c>
      <c r="H283">
        <v>0</v>
      </c>
      <c r="I283">
        <v>2022</v>
      </c>
    </row>
    <row r="284" spans="1:9" x14ac:dyDescent="0.45">
      <c r="A284" t="s">
        <v>110</v>
      </c>
      <c r="B284" t="str">
        <f t="shared" si="4"/>
        <v>Ezekiel Elliott</v>
      </c>
      <c r="C284">
        <v>19</v>
      </c>
      <c r="D284">
        <v>9</v>
      </c>
      <c r="E284" s="1">
        <v>0.73099999999999998</v>
      </c>
      <c r="F284">
        <v>0</v>
      </c>
      <c r="G284">
        <v>0</v>
      </c>
      <c r="H284">
        <v>0</v>
      </c>
      <c r="I284">
        <v>2022</v>
      </c>
    </row>
    <row r="285" spans="1:9" x14ac:dyDescent="0.45">
      <c r="A285" t="s">
        <v>109</v>
      </c>
      <c r="B285" t="str">
        <f t="shared" si="4"/>
        <v>Austin Ekeler</v>
      </c>
      <c r="C285">
        <v>10</v>
      </c>
      <c r="D285">
        <v>6</v>
      </c>
      <c r="E285" s="1">
        <v>0.58799999999999997</v>
      </c>
      <c r="F285">
        <v>4</v>
      </c>
      <c r="G285">
        <v>4</v>
      </c>
      <c r="H285">
        <v>3</v>
      </c>
      <c r="I285">
        <v>2022</v>
      </c>
    </row>
    <row r="286" spans="1:9" x14ac:dyDescent="0.45">
      <c r="A286" t="s">
        <v>60</v>
      </c>
      <c r="B286" t="str">
        <f t="shared" si="4"/>
        <v>Miles Sanders</v>
      </c>
      <c r="C286">
        <v>13</v>
      </c>
      <c r="D286">
        <v>7</v>
      </c>
      <c r="E286" s="1">
        <v>0.59099999999999997</v>
      </c>
      <c r="F286">
        <v>0</v>
      </c>
      <c r="G286">
        <v>0</v>
      </c>
      <c r="H286">
        <v>0</v>
      </c>
      <c r="I286">
        <v>2022</v>
      </c>
    </row>
    <row r="287" spans="1:9" x14ac:dyDescent="0.45">
      <c r="A287" t="s">
        <v>59</v>
      </c>
      <c r="B287" t="str">
        <f t="shared" si="4"/>
        <v>Saquon Barkley</v>
      </c>
      <c r="C287">
        <v>15</v>
      </c>
      <c r="D287">
        <v>7</v>
      </c>
      <c r="E287" s="1">
        <v>0.88200000000000001</v>
      </c>
      <c r="F287">
        <v>0</v>
      </c>
      <c r="G287">
        <v>0</v>
      </c>
      <c r="H287">
        <v>0</v>
      </c>
      <c r="I287">
        <v>2022</v>
      </c>
    </row>
    <row r="288" spans="1:9" x14ac:dyDescent="0.45">
      <c r="A288" t="s">
        <v>6</v>
      </c>
      <c r="B288" t="str">
        <f t="shared" si="4"/>
        <v>Christian McCaffrey</v>
      </c>
      <c r="C288">
        <v>11</v>
      </c>
      <c r="D288">
        <v>5</v>
      </c>
      <c r="E288" s="1">
        <v>0.57899999999999996</v>
      </c>
      <c r="F288">
        <v>1</v>
      </c>
      <c r="G288">
        <v>2</v>
      </c>
      <c r="H288">
        <v>1</v>
      </c>
      <c r="I288">
        <v>2022</v>
      </c>
    </row>
    <row r="289" spans="1:9" x14ac:dyDescent="0.45">
      <c r="A289" t="s">
        <v>70</v>
      </c>
      <c r="B289" t="str">
        <f t="shared" si="4"/>
        <v>Nick Chubb</v>
      </c>
      <c r="C289">
        <v>12</v>
      </c>
      <c r="D289">
        <v>6</v>
      </c>
      <c r="E289" s="1">
        <v>0.70599999999999996</v>
      </c>
      <c r="F289">
        <v>0</v>
      </c>
      <c r="G289">
        <v>0</v>
      </c>
      <c r="H289">
        <v>0</v>
      </c>
      <c r="I289">
        <v>2022</v>
      </c>
    </row>
    <row r="290" spans="1:9" x14ac:dyDescent="0.45">
      <c r="A290" t="s">
        <v>149</v>
      </c>
      <c r="B290" t="str">
        <f t="shared" si="4"/>
        <v>Dalvin Cook</v>
      </c>
      <c r="C290">
        <v>16</v>
      </c>
      <c r="D290">
        <v>6</v>
      </c>
      <c r="E290" s="1">
        <v>0.8</v>
      </c>
      <c r="F290">
        <v>0</v>
      </c>
      <c r="G290">
        <v>1</v>
      </c>
      <c r="H290">
        <v>0</v>
      </c>
      <c r="I290">
        <v>2022</v>
      </c>
    </row>
    <row r="291" spans="1:9" x14ac:dyDescent="0.45">
      <c r="A291" t="s">
        <v>152</v>
      </c>
      <c r="B291" t="str">
        <f t="shared" si="4"/>
        <v>Leonard Fournette</v>
      </c>
      <c r="C291">
        <v>11</v>
      </c>
      <c r="D291">
        <v>3</v>
      </c>
      <c r="E291" s="1">
        <v>0.78600000000000003</v>
      </c>
      <c r="F291">
        <v>3</v>
      </c>
      <c r="G291">
        <v>3</v>
      </c>
      <c r="H291">
        <v>2</v>
      </c>
      <c r="I291">
        <v>2022</v>
      </c>
    </row>
    <row r="292" spans="1:9" x14ac:dyDescent="0.45">
      <c r="A292" t="s">
        <v>102</v>
      </c>
      <c r="B292" t="str">
        <f t="shared" si="4"/>
        <v>Joe Mixon</v>
      </c>
      <c r="C292">
        <v>16</v>
      </c>
      <c r="D292">
        <v>5</v>
      </c>
      <c r="E292" s="1">
        <v>0.94099999999999995</v>
      </c>
      <c r="F292">
        <v>1</v>
      </c>
      <c r="G292">
        <v>3</v>
      </c>
      <c r="H292">
        <v>0</v>
      </c>
      <c r="I292">
        <v>2022</v>
      </c>
    </row>
    <row r="293" spans="1:9" x14ac:dyDescent="0.45">
      <c r="A293" t="s">
        <v>129</v>
      </c>
      <c r="B293" t="str">
        <f t="shared" si="4"/>
        <v>Cordarrelle Patterson</v>
      </c>
      <c r="C293">
        <v>7</v>
      </c>
      <c r="D293">
        <v>5</v>
      </c>
      <c r="E293" s="1">
        <v>0.36799999999999999</v>
      </c>
      <c r="F293">
        <v>0</v>
      </c>
      <c r="G293">
        <v>1</v>
      </c>
      <c r="H293">
        <v>0</v>
      </c>
      <c r="I293">
        <v>2022</v>
      </c>
    </row>
    <row r="294" spans="1:9" x14ac:dyDescent="0.45">
      <c r="A294" t="s">
        <v>38</v>
      </c>
      <c r="B294" t="str">
        <f t="shared" si="4"/>
        <v>Devin Singletary</v>
      </c>
      <c r="C294">
        <v>9</v>
      </c>
      <c r="D294">
        <v>4</v>
      </c>
      <c r="E294" s="1">
        <v>0.81799999999999995</v>
      </c>
      <c r="F294">
        <v>1</v>
      </c>
      <c r="G294">
        <v>2</v>
      </c>
      <c r="H294">
        <v>1</v>
      </c>
      <c r="I294">
        <v>2022</v>
      </c>
    </row>
    <row r="295" spans="1:9" x14ac:dyDescent="0.45">
      <c r="A295" t="s">
        <v>146</v>
      </c>
      <c r="B295" t="str">
        <f t="shared" si="4"/>
        <v>Clyde Edwards-Helaire</v>
      </c>
      <c r="C295">
        <v>4</v>
      </c>
      <c r="D295">
        <v>2</v>
      </c>
      <c r="E295" s="1">
        <v>0.222</v>
      </c>
      <c r="F295">
        <v>4</v>
      </c>
      <c r="G295">
        <v>4</v>
      </c>
      <c r="H295">
        <v>3</v>
      </c>
      <c r="I295">
        <v>2022</v>
      </c>
    </row>
    <row r="296" spans="1:9" x14ac:dyDescent="0.45">
      <c r="A296" t="s">
        <v>13</v>
      </c>
      <c r="B296" t="str">
        <f t="shared" si="4"/>
        <v>Josh Jacobs</v>
      </c>
      <c r="C296">
        <v>11</v>
      </c>
      <c r="D296">
        <v>5</v>
      </c>
      <c r="E296" s="1">
        <v>0.84599999999999997</v>
      </c>
      <c r="F296">
        <v>0</v>
      </c>
      <c r="G296">
        <v>0</v>
      </c>
      <c r="H296">
        <v>0</v>
      </c>
      <c r="I296">
        <v>2022</v>
      </c>
    </row>
    <row r="297" spans="1:9" x14ac:dyDescent="0.45">
      <c r="A297" t="s">
        <v>114</v>
      </c>
      <c r="B297" t="str">
        <f t="shared" si="4"/>
        <v>Cam Akers</v>
      </c>
      <c r="C297">
        <v>8</v>
      </c>
      <c r="D297">
        <v>5</v>
      </c>
      <c r="E297" s="1">
        <v>0.57099999999999995</v>
      </c>
      <c r="F297">
        <v>1</v>
      </c>
      <c r="G297">
        <v>1</v>
      </c>
      <c r="H297">
        <v>0</v>
      </c>
      <c r="I297">
        <v>2022</v>
      </c>
    </row>
    <row r="298" spans="1:9" x14ac:dyDescent="0.45">
      <c r="A298" t="s">
        <v>111</v>
      </c>
      <c r="B298" t="str">
        <f t="shared" si="4"/>
        <v>Najee Harris</v>
      </c>
      <c r="C298">
        <v>9</v>
      </c>
      <c r="D298">
        <v>3</v>
      </c>
      <c r="E298" s="1">
        <v>0.81799999999999995</v>
      </c>
      <c r="F298">
        <v>1</v>
      </c>
      <c r="G298">
        <v>1</v>
      </c>
      <c r="H298">
        <v>1</v>
      </c>
      <c r="I298">
        <v>2022</v>
      </c>
    </row>
    <row r="299" spans="1:9" x14ac:dyDescent="0.45">
      <c r="A299" t="s">
        <v>45</v>
      </c>
      <c r="B299" t="str">
        <f t="shared" si="4"/>
        <v>James Conner</v>
      </c>
      <c r="C299">
        <v>8</v>
      </c>
      <c r="D299">
        <v>4</v>
      </c>
      <c r="E299" s="1">
        <v>0.57099999999999995</v>
      </c>
      <c r="F299">
        <v>0</v>
      </c>
      <c r="G299">
        <v>1</v>
      </c>
      <c r="H299">
        <v>0</v>
      </c>
      <c r="I299">
        <v>2022</v>
      </c>
    </row>
    <row r="300" spans="1:9" x14ac:dyDescent="0.45">
      <c r="A300" t="s">
        <v>136</v>
      </c>
      <c r="B300" t="str">
        <f t="shared" si="4"/>
        <v>AJ Dillon</v>
      </c>
      <c r="C300">
        <v>9</v>
      </c>
      <c r="D300">
        <v>4</v>
      </c>
      <c r="E300" s="1">
        <v>0.81799999999999995</v>
      </c>
      <c r="F300">
        <v>0</v>
      </c>
      <c r="G300">
        <v>0</v>
      </c>
      <c r="H300">
        <v>0</v>
      </c>
      <c r="I300">
        <v>2022</v>
      </c>
    </row>
    <row r="301" spans="1:9" x14ac:dyDescent="0.45">
      <c r="A301" t="s">
        <v>134</v>
      </c>
      <c r="B301" t="str">
        <f t="shared" si="4"/>
        <v>Latavius Murray</v>
      </c>
      <c r="C301">
        <v>5</v>
      </c>
      <c r="D301">
        <v>4</v>
      </c>
      <c r="E301" s="1">
        <v>0.27800000000000002</v>
      </c>
      <c r="F301">
        <v>0</v>
      </c>
      <c r="G301">
        <v>0</v>
      </c>
      <c r="H301">
        <v>0</v>
      </c>
      <c r="I301">
        <v>2022</v>
      </c>
    </row>
    <row r="302" spans="1:9" x14ac:dyDescent="0.45">
      <c r="A302" t="s">
        <v>139</v>
      </c>
      <c r="B302" t="str">
        <f t="shared" si="4"/>
        <v>Dameon Pierce</v>
      </c>
      <c r="C302">
        <v>9</v>
      </c>
      <c r="D302">
        <v>3</v>
      </c>
      <c r="E302" s="1">
        <v>0.64300000000000002</v>
      </c>
      <c r="F302">
        <v>1</v>
      </c>
      <c r="G302">
        <v>1</v>
      </c>
      <c r="H302">
        <v>1</v>
      </c>
      <c r="I302">
        <v>2022</v>
      </c>
    </row>
    <row r="303" spans="1:9" x14ac:dyDescent="0.45">
      <c r="A303" t="s">
        <v>132</v>
      </c>
      <c r="B303" t="str">
        <f t="shared" si="4"/>
        <v>D'Onta Foreman</v>
      </c>
      <c r="C303">
        <v>10</v>
      </c>
      <c r="D303">
        <v>3</v>
      </c>
      <c r="E303" s="1">
        <v>0.71399999999999997</v>
      </c>
      <c r="F303">
        <v>0</v>
      </c>
      <c r="G303">
        <v>0</v>
      </c>
      <c r="H303">
        <v>0</v>
      </c>
      <c r="I303">
        <v>2022</v>
      </c>
    </row>
    <row r="304" spans="1:9" x14ac:dyDescent="0.45">
      <c r="A304" t="s">
        <v>26</v>
      </c>
      <c r="B304" t="str">
        <f t="shared" si="4"/>
        <v>Kenny Gainwell</v>
      </c>
      <c r="C304">
        <v>7</v>
      </c>
      <c r="D304">
        <v>3</v>
      </c>
      <c r="E304" s="1">
        <v>0.318</v>
      </c>
      <c r="F304">
        <v>0</v>
      </c>
      <c r="G304">
        <v>1</v>
      </c>
      <c r="H304">
        <v>0</v>
      </c>
      <c r="I304">
        <v>2022</v>
      </c>
    </row>
    <row r="305" spans="1:9" x14ac:dyDescent="0.45">
      <c r="A305" t="s">
        <v>22</v>
      </c>
      <c r="B305" t="str">
        <f t="shared" si="4"/>
        <v>Tyler Allgeier</v>
      </c>
      <c r="C305">
        <v>9</v>
      </c>
      <c r="D305">
        <v>3</v>
      </c>
      <c r="E305" s="1">
        <v>0.47399999999999998</v>
      </c>
      <c r="F305">
        <v>0</v>
      </c>
      <c r="G305">
        <v>0</v>
      </c>
      <c r="H305">
        <v>0</v>
      </c>
      <c r="I305">
        <v>2022</v>
      </c>
    </row>
    <row r="306" spans="1:9" x14ac:dyDescent="0.45">
      <c r="A306" t="s">
        <v>88</v>
      </c>
      <c r="B306" t="str">
        <f t="shared" si="4"/>
        <v>Isiah Pacheco</v>
      </c>
      <c r="C306">
        <v>9</v>
      </c>
      <c r="D306">
        <v>3</v>
      </c>
      <c r="E306" s="1">
        <v>0.5</v>
      </c>
      <c r="F306">
        <v>0</v>
      </c>
      <c r="G306">
        <v>0</v>
      </c>
      <c r="H306">
        <v>0</v>
      </c>
      <c r="I306">
        <v>2022</v>
      </c>
    </row>
    <row r="307" spans="1:9" x14ac:dyDescent="0.45">
      <c r="A307" t="s">
        <v>143</v>
      </c>
      <c r="B307" t="str">
        <f t="shared" si="4"/>
        <v>Damien Harris</v>
      </c>
      <c r="C307">
        <v>4</v>
      </c>
      <c r="D307">
        <v>3</v>
      </c>
      <c r="E307" s="1">
        <v>0.222</v>
      </c>
      <c r="F307">
        <v>0</v>
      </c>
      <c r="G307">
        <v>1</v>
      </c>
      <c r="H307">
        <v>0</v>
      </c>
      <c r="I307">
        <v>2022</v>
      </c>
    </row>
    <row r="308" spans="1:9" x14ac:dyDescent="0.45">
      <c r="A308" t="s">
        <v>10</v>
      </c>
      <c r="B308" t="str">
        <f t="shared" si="4"/>
        <v>Jonathan Taylor</v>
      </c>
      <c r="C308">
        <v>9</v>
      </c>
      <c r="D308">
        <v>3</v>
      </c>
      <c r="E308" s="1">
        <v>0.75</v>
      </c>
      <c r="F308">
        <v>1</v>
      </c>
      <c r="G308">
        <v>1</v>
      </c>
      <c r="H308">
        <v>0</v>
      </c>
      <c r="I308">
        <v>2022</v>
      </c>
    </row>
    <row r="309" spans="1:9" x14ac:dyDescent="0.45">
      <c r="A309" t="s">
        <v>42</v>
      </c>
      <c r="B309" t="str">
        <f t="shared" si="4"/>
        <v>Travis Etienne Jr.</v>
      </c>
      <c r="C309">
        <v>13</v>
      </c>
      <c r="D309">
        <v>3</v>
      </c>
      <c r="E309" s="1">
        <v>0.76500000000000001</v>
      </c>
      <c r="F309">
        <v>0</v>
      </c>
      <c r="G309">
        <v>1</v>
      </c>
      <c r="H309">
        <v>0</v>
      </c>
      <c r="I309">
        <v>2022</v>
      </c>
    </row>
    <row r="310" spans="1:9" x14ac:dyDescent="0.45">
      <c r="A310" t="s">
        <v>161</v>
      </c>
      <c r="B310" t="str">
        <f t="shared" si="4"/>
        <v>Kenyan Drake</v>
      </c>
      <c r="C310">
        <v>3</v>
      </c>
      <c r="D310">
        <v>2</v>
      </c>
      <c r="E310" s="1">
        <v>0.27300000000000002</v>
      </c>
      <c r="F310">
        <v>1</v>
      </c>
      <c r="G310">
        <v>1</v>
      </c>
      <c r="H310">
        <v>1</v>
      </c>
      <c r="I310">
        <v>2022</v>
      </c>
    </row>
    <row r="311" spans="1:9" x14ac:dyDescent="0.45">
      <c r="A311" t="s">
        <v>46</v>
      </c>
      <c r="B311" t="str">
        <f t="shared" si="4"/>
        <v>J.K. Dobbins</v>
      </c>
      <c r="C311">
        <v>4</v>
      </c>
      <c r="D311">
        <v>2</v>
      </c>
      <c r="E311" s="1">
        <v>0.36399999999999999</v>
      </c>
      <c r="F311">
        <v>1</v>
      </c>
      <c r="G311">
        <v>1</v>
      </c>
      <c r="H311">
        <v>1</v>
      </c>
      <c r="I311">
        <v>2022</v>
      </c>
    </row>
    <row r="312" spans="1:9" x14ac:dyDescent="0.45">
      <c r="A312" t="s">
        <v>9</v>
      </c>
      <c r="B312" t="str">
        <f t="shared" si="4"/>
        <v>Kareem Hunt</v>
      </c>
      <c r="C312">
        <v>5</v>
      </c>
      <c r="D312">
        <v>2</v>
      </c>
      <c r="E312" s="1">
        <v>0.29399999999999998</v>
      </c>
      <c r="F312">
        <v>1</v>
      </c>
      <c r="G312">
        <v>1</v>
      </c>
      <c r="H312">
        <v>1</v>
      </c>
      <c r="I312">
        <v>2022</v>
      </c>
    </row>
    <row r="313" spans="1:9" x14ac:dyDescent="0.45">
      <c r="A313" t="s">
        <v>151</v>
      </c>
      <c r="B313" t="str">
        <f t="shared" si="4"/>
        <v>Jeff Wilson Jr.</v>
      </c>
      <c r="C313">
        <v>9</v>
      </c>
      <c r="D313">
        <v>3</v>
      </c>
      <c r="E313" s="1">
        <v>0.56299999999999994</v>
      </c>
      <c r="F313">
        <v>0</v>
      </c>
      <c r="G313">
        <v>0</v>
      </c>
      <c r="H313">
        <v>0</v>
      </c>
      <c r="I313">
        <v>2022</v>
      </c>
    </row>
    <row r="314" spans="1:9" x14ac:dyDescent="0.45">
      <c r="A314" t="s">
        <v>75</v>
      </c>
      <c r="B314" t="str">
        <f t="shared" si="4"/>
        <v>Antonio Gibson</v>
      </c>
      <c r="C314">
        <v>10</v>
      </c>
      <c r="D314">
        <v>3</v>
      </c>
      <c r="E314" s="1">
        <v>0.52600000000000002</v>
      </c>
      <c r="F314">
        <v>0</v>
      </c>
      <c r="G314">
        <v>0</v>
      </c>
      <c r="H314">
        <v>0</v>
      </c>
      <c r="I314">
        <v>2022</v>
      </c>
    </row>
    <row r="315" spans="1:9" x14ac:dyDescent="0.45">
      <c r="A315" t="s">
        <v>40</v>
      </c>
      <c r="B315" t="str">
        <f t="shared" si="4"/>
        <v>Rhamondre Stevenson</v>
      </c>
      <c r="C315">
        <v>12</v>
      </c>
      <c r="D315">
        <v>2</v>
      </c>
      <c r="E315" s="1">
        <v>0.66700000000000004</v>
      </c>
      <c r="F315">
        <v>1</v>
      </c>
      <c r="G315">
        <v>1</v>
      </c>
      <c r="H315">
        <v>1</v>
      </c>
      <c r="I315">
        <v>2022</v>
      </c>
    </row>
    <row r="316" spans="1:9" x14ac:dyDescent="0.45">
      <c r="A316" t="s">
        <v>124</v>
      </c>
      <c r="B316" t="str">
        <f t="shared" si="4"/>
        <v>Raheem Mostert</v>
      </c>
      <c r="C316">
        <v>5</v>
      </c>
      <c r="D316">
        <v>1</v>
      </c>
      <c r="E316" s="1">
        <v>0.313</v>
      </c>
      <c r="F316">
        <v>1</v>
      </c>
      <c r="G316">
        <v>1</v>
      </c>
      <c r="H316">
        <v>1</v>
      </c>
      <c r="I316">
        <v>2022</v>
      </c>
    </row>
    <row r="317" spans="1:9" x14ac:dyDescent="0.45">
      <c r="A317" t="s">
        <v>144</v>
      </c>
      <c r="B317" t="str">
        <f t="shared" si="4"/>
        <v>Joshua Kelley</v>
      </c>
      <c r="C317">
        <v>4</v>
      </c>
      <c r="D317">
        <v>2</v>
      </c>
      <c r="E317" s="1">
        <v>0.23499999999999999</v>
      </c>
      <c r="F317">
        <v>0</v>
      </c>
      <c r="G317">
        <v>0</v>
      </c>
      <c r="H317">
        <v>0</v>
      </c>
      <c r="I317">
        <v>2022</v>
      </c>
    </row>
    <row r="318" spans="1:9" x14ac:dyDescent="0.45">
      <c r="A318" t="s">
        <v>61</v>
      </c>
      <c r="B318" t="str">
        <f t="shared" si="4"/>
        <v>Brian Robinson Jr.</v>
      </c>
      <c r="C318">
        <v>9</v>
      </c>
      <c r="D318">
        <v>2</v>
      </c>
      <c r="E318" s="1">
        <v>0.47399999999999998</v>
      </c>
      <c r="F318">
        <v>0</v>
      </c>
      <c r="G318">
        <v>0</v>
      </c>
      <c r="H318">
        <v>0</v>
      </c>
      <c r="I318">
        <v>2022</v>
      </c>
    </row>
    <row r="319" spans="1:9" x14ac:dyDescent="0.45">
      <c r="A319" t="s">
        <v>73</v>
      </c>
      <c r="B319" t="str">
        <f t="shared" si="4"/>
        <v>C.J. Ham</v>
      </c>
      <c r="C319">
        <v>2</v>
      </c>
      <c r="D319">
        <v>2</v>
      </c>
      <c r="E319" s="1">
        <v>0.1</v>
      </c>
      <c r="F319">
        <v>1</v>
      </c>
      <c r="G319">
        <v>1</v>
      </c>
      <c r="H319">
        <v>0</v>
      </c>
      <c r="I319">
        <v>2022</v>
      </c>
    </row>
    <row r="320" spans="1:9" x14ac:dyDescent="0.45">
      <c r="A320" t="s">
        <v>98</v>
      </c>
      <c r="B320" t="str">
        <f t="shared" si="4"/>
        <v>Alvin Kamara</v>
      </c>
      <c r="C320">
        <v>4</v>
      </c>
      <c r="D320">
        <v>2</v>
      </c>
      <c r="E320" s="1">
        <v>0.66700000000000004</v>
      </c>
      <c r="F320">
        <v>0</v>
      </c>
      <c r="G320">
        <v>0</v>
      </c>
      <c r="H320">
        <v>0</v>
      </c>
      <c r="I320">
        <v>2022</v>
      </c>
    </row>
    <row r="321" spans="1:9" x14ac:dyDescent="0.45">
      <c r="A321" t="s">
        <v>138</v>
      </c>
      <c r="B321" t="str">
        <f t="shared" si="4"/>
        <v>Darrell Henderson Jr.</v>
      </c>
      <c r="C321">
        <v>3</v>
      </c>
      <c r="D321">
        <v>2</v>
      </c>
      <c r="E321" s="1">
        <v>0.214</v>
      </c>
      <c r="F321">
        <v>0</v>
      </c>
      <c r="G321">
        <v>0</v>
      </c>
      <c r="H321">
        <v>0</v>
      </c>
      <c r="I321">
        <v>2022</v>
      </c>
    </row>
    <row r="322" spans="1:9" x14ac:dyDescent="0.45">
      <c r="A322" t="s">
        <v>140</v>
      </c>
      <c r="B322" t="str">
        <f t="shared" ref="B322:B385" si="5">TRIM(LEFT(A322, LEN(A322) - LEN(TRIM(RIGHT(SUBSTITUTE(TRIM(A322)," ",REPT(" ",100)),100)))))</f>
        <v>Jerick McKinnon</v>
      </c>
      <c r="C322">
        <v>5</v>
      </c>
      <c r="D322">
        <v>0</v>
      </c>
      <c r="E322" s="1">
        <v>0.27800000000000002</v>
      </c>
      <c r="F322">
        <v>3</v>
      </c>
      <c r="G322">
        <v>3</v>
      </c>
      <c r="H322">
        <v>2</v>
      </c>
      <c r="I322">
        <v>2022</v>
      </c>
    </row>
    <row r="323" spans="1:9" x14ac:dyDescent="0.45">
      <c r="A323" t="s">
        <v>18</v>
      </c>
      <c r="B323" t="str">
        <f t="shared" si="5"/>
        <v>David Montgomery</v>
      </c>
      <c r="C323">
        <v>4</v>
      </c>
      <c r="D323">
        <v>2</v>
      </c>
      <c r="E323" s="1">
        <v>0.28599999999999998</v>
      </c>
      <c r="F323">
        <v>0</v>
      </c>
      <c r="G323">
        <v>0</v>
      </c>
      <c r="H323">
        <v>0</v>
      </c>
      <c r="I323">
        <v>2022</v>
      </c>
    </row>
    <row r="324" spans="1:9" x14ac:dyDescent="0.45">
      <c r="A324" t="s">
        <v>115</v>
      </c>
      <c r="B324" t="str">
        <f t="shared" si="5"/>
        <v>Khalil Herbert</v>
      </c>
      <c r="C324">
        <v>8</v>
      </c>
      <c r="D324">
        <v>2</v>
      </c>
      <c r="E324" s="1">
        <v>0.57099999999999995</v>
      </c>
      <c r="F324">
        <v>0</v>
      </c>
      <c r="G324">
        <v>0</v>
      </c>
      <c r="H324">
        <v>0</v>
      </c>
      <c r="I324">
        <v>2022</v>
      </c>
    </row>
    <row r="325" spans="1:9" x14ac:dyDescent="0.45">
      <c r="A325" t="s">
        <v>41</v>
      </c>
      <c r="B325" t="str">
        <f t="shared" si="5"/>
        <v>Breece Hall</v>
      </c>
      <c r="C325">
        <v>7</v>
      </c>
      <c r="D325">
        <v>2</v>
      </c>
      <c r="E325" s="1">
        <v>0.36799999999999999</v>
      </c>
      <c r="F325">
        <v>0</v>
      </c>
      <c r="G325">
        <v>0</v>
      </c>
      <c r="H325">
        <v>0</v>
      </c>
      <c r="I325">
        <v>2022</v>
      </c>
    </row>
    <row r="326" spans="1:9" x14ac:dyDescent="0.45">
      <c r="A326" t="s">
        <v>56</v>
      </c>
      <c r="B326" t="str">
        <f t="shared" si="5"/>
        <v>Tony Pollard</v>
      </c>
      <c r="C326">
        <v>7</v>
      </c>
      <c r="D326">
        <v>2</v>
      </c>
      <c r="E326" s="1">
        <v>0.26900000000000002</v>
      </c>
      <c r="F326">
        <v>0</v>
      </c>
      <c r="G326">
        <v>0</v>
      </c>
      <c r="H326">
        <v>0</v>
      </c>
      <c r="I326">
        <v>2022</v>
      </c>
    </row>
    <row r="327" spans="1:9" x14ac:dyDescent="0.45">
      <c r="A327" t="s">
        <v>65</v>
      </c>
      <c r="B327" t="str">
        <f t="shared" si="5"/>
        <v>Michael Carter</v>
      </c>
      <c r="C327">
        <v>4</v>
      </c>
      <c r="D327">
        <v>2</v>
      </c>
      <c r="E327" s="1">
        <v>0.21099999999999999</v>
      </c>
      <c r="F327">
        <v>0</v>
      </c>
      <c r="G327">
        <v>0</v>
      </c>
      <c r="H327">
        <v>0</v>
      </c>
      <c r="I327">
        <v>2022</v>
      </c>
    </row>
    <row r="328" spans="1:9" x14ac:dyDescent="0.45">
      <c r="A328" t="s">
        <v>36</v>
      </c>
      <c r="B328" t="str">
        <f t="shared" si="5"/>
        <v>Rachaad White</v>
      </c>
      <c r="C328">
        <v>3</v>
      </c>
      <c r="D328">
        <v>1</v>
      </c>
      <c r="E328" s="1">
        <v>0.214</v>
      </c>
      <c r="F328">
        <v>1</v>
      </c>
      <c r="G328">
        <v>1</v>
      </c>
      <c r="H328">
        <v>1</v>
      </c>
      <c r="I328">
        <v>2022</v>
      </c>
    </row>
    <row r="329" spans="1:9" x14ac:dyDescent="0.45">
      <c r="A329" t="s">
        <v>162</v>
      </c>
      <c r="B329" t="str">
        <f t="shared" si="5"/>
        <v>Zander Horvath</v>
      </c>
      <c r="C329">
        <v>1</v>
      </c>
      <c r="D329">
        <v>0</v>
      </c>
      <c r="E329" s="1">
        <v>5.8999999999999997E-2</v>
      </c>
      <c r="F329">
        <v>2</v>
      </c>
      <c r="G329">
        <v>2</v>
      </c>
      <c r="H329">
        <v>2</v>
      </c>
      <c r="I329">
        <v>2022</v>
      </c>
    </row>
    <row r="330" spans="1:9" x14ac:dyDescent="0.45">
      <c r="A330" t="s">
        <v>68</v>
      </c>
      <c r="B330" t="str">
        <f t="shared" si="5"/>
        <v>Kyle Juszczyk</v>
      </c>
      <c r="C330">
        <v>2</v>
      </c>
      <c r="D330">
        <v>1</v>
      </c>
      <c r="E330" s="1">
        <v>0.105</v>
      </c>
      <c r="F330">
        <v>1</v>
      </c>
      <c r="G330">
        <v>1</v>
      </c>
      <c r="H330">
        <v>1</v>
      </c>
      <c r="I330">
        <v>2022</v>
      </c>
    </row>
    <row r="331" spans="1:9" x14ac:dyDescent="0.45">
      <c r="A331" t="s">
        <v>163</v>
      </c>
      <c r="B331" t="str">
        <f t="shared" si="5"/>
        <v>Chase Edmonds</v>
      </c>
      <c r="C331">
        <v>2</v>
      </c>
      <c r="D331">
        <v>2</v>
      </c>
      <c r="E331" s="1">
        <v>0.111</v>
      </c>
      <c r="F331">
        <v>0</v>
      </c>
      <c r="G331">
        <v>1</v>
      </c>
      <c r="H331">
        <v>0</v>
      </c>
      <c r="I331">
        <v>2022</v>
      </c>
    </row>
    <row r="332" spans="1:9" x14ac:dyDescent="0.45">
      <c r="A332" t="s">
        <v>160</v>
      </c>
      <c r="B332" t="str">
        <f t="shared" si="5"/>
        <v>Boston Scott</v>
      </c>
      <c r="C332">
        <v>2</v>
      </c>
      <c r="D332">
        <v>2</v>
      </c>
      <c r="E332" s="1">
        <v>9.0999999999999998E-2</v>
      </c>
      <c r="F332">
        <v>0</v>
      </c>
      <c r="G332">
        <v>0</v>
      </c>
      <c r="H332">
        <v>0</v>
      </c>
      <c r="I332">
        <v>2022</v>
      </c>
    </row>
    <row r="333" spans="1:9" x14ac:dyDescent="0.45">
      <c r="A333" t="s">
        <v>156</v>
      </c>
      <c r="B333" t="str">
        <f t="shared" si="5"/>
        <v>Deon Jackson</v>
      </c>
      <c r="C333">
        <v>1</v>
      </c>
      <c r="D333">
        <v>1</v>
      </c>
      <c r="E333" s="1">
        <v>8.3000000000000004E-2</v>
      </c>
      <c r="F333">
        <v>1</v>
      </c>
      <c r="G333">
        <v>1</v>
      </c>
      <c r="H333">
        <v>1</v>
      </c>
      <c r="I333">
        <v>2022</v>
      </c>
    </row>
    <row r="334" spans="1:9" x14ac:dyDescent="0.45">
      <c r="A334" t="s">
        <v>104</v>
      </c>
      <c r="B334" t="str">
        <f t="shared" si="5"/>
        <v>Gus Edwards</v>
      </c>
      <c r="C334">
        <v>2</v>
      </c>
      <c r="D334">
        <v>2</v>
      </c>
      <c r="E334" s="1">
        <v>0.182</v>
      </c>
      <c r="F334">
        <v>0</v>
      </c>
      <c r="G334">
        <v>0</v>
      </c>
      <c r="H334">
        <v>0</v>
      </c>
      <c r="I334">
        <v>2022</v>
      </c>
    </row>
    <row r="335" spans="1:9" x14ac:dyDescent="0.45">
      <c r="A335" t="s">
        <v>19</v>
      </c>
      <c r="B335" t="str">
        <f t="shared" si="5"/>
        <v>D'Andre Swift</v>
      </c>
      <c r="C335">
        <v>4</v>
      </c>
      <c r="D335">
        <v>2</v>
      </c>
      <c r="E335" s="1">
        <v>0.11799999999999999</v>
      </c>
      <c r="F335">
        <v>0</v>
      </c>
      <c r="G335">
        <v>1</v>
      </c>
      <c r="H335">
        <v>0</v>
      </c>
      <c r="I335">
        <v>2022</v>
      </c>
    </row>
    <row r="336" spans="1:9" x14ac:dyDescent="0.45">
      <c r="A336" t="s">
        <v>37</v>
      </c>
      <c r="B336" t="str">
        <f t="shared" si="5"/>
        <v>Kenneth Walker III</v>
      </c>
      <c r="C336">
        <v>6</v>
      </c>
      <c r="D336">
        <v>2</v>
      </c>
      <c r="E336" s="1">
        <v>1</v>
      </c>
      <c r="F336">
        <v>0</v>
      </c>
      <c r="G336">
        <v>0</v>
      </c>
      <c r="H336">
        <v>0</v>
      </c>
      <c r="I336">
        <v>2022</v>
      </c>
    </row>
    <row r="337" spans="1:9" x14ac:dyDescent="0.45">
      <c r="A337" t="s">
        <v>164</v>
      </c>
      <c r="B337" t="str">
        <f t="shared" si="5"/>
        <v>Melvin Gordon III</v>
      </c>
      <c r="C337">
        <v>8</v>
      </c>
      <c r="D337">
        <v>2</v>
      </c>
      <c r="E337" s="1">
        <v>0.44400000000000001</v>
      </c>
      <c r="F337">
        <v>0</v>
      </c>
      <c r="G337">
        <v>0</v>
      </c>
      <c r="H337">
        <v>0</v>
      </c>
      <c r="I337">
        <v>2022</v>
      </c>
    </row>
    <row r="338" spans="1:9" x14ac:dyDescent="0.45">
      <c r="A338" t="s">
        <v>165</v>
      </c>
      <c r="B338" t="str">
        <f t="shared" si="5"/>
        <v>Caleb Huntley</v>
      </c>
      <c r="C338">
        <v>3</v>
      </c>
      <c r="D338">
        <v>1</v>
      </c>
      <c r="E338" s="1">
        <v>0.158</v>
      </c>
      <c r="F338">
        <v>0</v>
      </c>
      <c r="G338">
        <v>0</v>
      </c>
      <c r="H338">
        <v>0</v>
      </c>
      <c r="I338">
        <v>2022</v>
      </c>
    </row>
    <row r="339" spans="1:9" x14ac:dyDescent="0.45">
      <c r="A339" t="s">
        <v>166</v>
      </c>
      <c r="B339" t="str">
        <f t="shared" si="5"/>
        <v>Eno Benjamin</v>
      </c>
      <c r="C339">
        <v>3</v>
      </c>
      <c r="D339">
        <v>1</v>
      </c>
      <c r="E339" s="1">
        <v>0.214</v>
      </c>
      <c r="F339">
        <v>0</v>
      </c>
      <c r="G339">
        <v>0</v>
      </c>
      <c r="H339">
        <v>0</v>
      </c>
      <c r="I339">
        <v>2022</v>
      </c>
    </row>
    <row r="340" spans="1:9" x14ac:dyDescent="0.45">
      <c r="A340" t="s">
        <v>167</v>
      </c>
      <c r="B340" t="str">
        <f t="shared" si="5"/>
        <v>Mark Ingram II</v>
      </c>
      <c r="C340">
        <v>2</v>
      </c>
      <c r="D340">
        <v>1</v>
      </c>
      <c r="E340" s="1">
        <v>0.33300000000000002</v>
      </c>
      <c r="F340">
        <v>0</v>
      </c>
      <c r="G340">
        <v>1</v>
      </c>
      <c r="H340">
        <v>0</v>
      </c>
      <c r="I340">
        <v>2022</v>
      </c>
    </row>
    <row r="341" spans="1:9" x14ac:dyDescent="0.45">
      <c r="A341" t="s">
        <v>101</v>
      </c>
      <c r="B341" t="str">
        <f t="shared" si="5"/>
        <v>Dare Ogunbowale</v>
      </c>
      <c r="C341">
        <v>2</v>
      </c>
      <c r="D341">
        <v>1</v>
      </c>
      <c r="E341" s="1">
        <v>0.14299999999999999</v>
      </c>
      <c r="F341">
        <v>0</v>
      </c>
      <c r="G341">
        <v>0</v>
      </c>
      <c r="H341">
        <v>0</v>
      </c>
      <c r="I341">
        <v>2022</v>
      </c>
    </row>
    <row r="342" spans="1:9" x14ac:dyDescent="0.45">
      <c r="A342" t="s">
        <v>168</v>
      </c>
      <c r="B342" t="str">
        <f t="shared" si="5"/>
        <v>James Robinson</v>
      </c>
      <c r="C342">
        <v>5</v>
      </c>
      <c r="D342">
        <v>0</v>
      </c>
      <c r="E342" s="1">
        <v>0.26300000000000001</v>
      </c>
      <c r="F342">
        <v>1</v>
      </c>
      <c r="G342">
        <v>1</v>
      </c>
      <c r="H342">
        <v>1</v>
      </c>
      <c r="I342">
        <v>2022</v>
      </c>
    </row>
    <row r="343" spans="1:9" x14ac:dyDescent="0.45">
      <c r="A343" t="s">
        <v>15</v>
      </c>
      <c r="B343" t="str">
        <f t="shared" si="5"/>
        <v>James Cook III</v>
      </c>
      <c r="C343">
        <v>0</v>
      </c>
      <c r="D343">
        <v>0</v>
      </c>
      <c r="E343" s="1">
        <v>0</v>
      </c>
      <c r="F343">
        <v>1</v>
      </c>
      <c r="G343">
        <v>1</v>
      </c>
      <c r="H343">
        <v>1</v>
      </c>
      <c r="I343">
        <v>2022</v>
      </c>
    </row>
    <row r="344" spans="1:9" x14ac:dyDescent="0.45">
      <c r="A344" t="s">
        <v>169</v>
      </c>
      <c r="B344" t="str">
        <f t="shared" si="5"/>
        <v>Tevin Coleman</v>
      </c>
      <c r="C344">
        <v>2</v>
      </c>
      <c r="D344">
        <v>1</v>
      </c>
      <c r="E344" s="1">
        <v>0.105</v>
      </c>
      <c r="F344">
        <v>0</v>
      </c>
      <c r="G344">
        <v>0</v>
      </c>
      <c r="H344">
        <v>0</v>
      </c>
      <c r="I344">
        <v>2022</v>
      </c>
    </row>
    <row r="345" spans="1:9" x14ac:dyDescent="0.45">
      <c r="A345" t="s">
        <v>170</v>
      </c>
      <c r="B345" t="str">
        <f t="shared" si="5"/>
        <v>Marlon Mack</v>
      </c>
      <c r="C345">
        <v>1</v>
      </c>
      <c r="D345">
        <v>1</v>
      </c>
      <c r="E345" s="1">
        <v>5.6000000000000001E-2</v>
      </c>
      <c r="F345">
        <v>0</v>
      </c>
      <c r="G345">
        <v>0</v>
      </c>
      <c r="H345">
        <v>0</v>
      </c>
      <c r="I345">
        <v>2022</v>
      </c>
    </row>
    <row r="346" spans="1:9" x14ac:dyDescent="0.45">
      <c r="A346" t="s">
        <v>171</v>
      </c>
      <c r="B346" t="str">
        <f t="shared" si="5"/>
        <v>Matt Breida</v>
      </c>
      <c r="C346">
        <v>1</v>
      </c>
      <c r="D346">
        <v>1</v>
      </c>
      <c r="E346" s="1">
        <v>5.8999999999999997E-2</v>
      </c>
      <c r="F346">
        <v>0</v>
      </c>
      <c r="G346">
        <v>0</v>
      </c>
      <c r="H346">
        <v>0</v>
      </c>
      <c r="I346">
        <v>2022</v>
      </c>
    </row>
    <row r="347" spans="1:9" x14ac:dyDescent="0.45">
      <c r="A347" t="s">
        <v>172</v>
      </c>
      <c r="B347" t="str">
        <f t="shared" si="5"/>
        <v>Justin Jackson</v>
      </c>
      <c r="C347">
        <v>1</v>
      </c>
      <c r="D347">
        <v>0</v>
      </c>
      <c r="E347" s="1">
        <v>2.9000000000000001E-2</v>
      </c>
      <c r="F347">
        <v>1</v>
      </c>
      <c r="G347">
        <v>1</v>
      </c>
      <c r="H347">
        <v>1</v>
      </c>
      <c r="I347">
        <v>2022</v>
      </c>
    </row>
    <row r="348" spans="1:9" x14ac:dyDescent="0.45">
      <c r="A348" t="s">
        <v>173</v>
      </c>
      <c r="B348" t="str">
        <f t="shared" si="5"/>
        <v>JaMycal Hasty</v>
      </c>
      <c r="C348">
        <v>3</v>
      </c>
      <c r="D348">
        <v>1</v>
      </c>
      <c r="E348" s="1">
        <v>0.17599999999999999</v>
      </c>
      <c r="F348">
        <v>0</v>
      </c>
      <c r="G348">
        <v>0</v>
      </c>
      <c r="H348">
        <v>0</v>
      </c>
      <c r="I348">
        <v>2022</v>
      </c>
    </row>
    <row r="349" spans="1:9" x14ac:dyDescent="0.45">
      <c r="A349" t="s">
        <v>174</v>
      </c>
      <c r="B349" t="str">
        <f t="shared" si="5"/>
        <v>Snoop Conner</v>
      </c>
      <c r="C349">
        <v>1</v>
      </c>
      <c r="D349">
        <v>1</v>
      </c>
      <c r="E349" s="1">
        <v>5.8999999999999997E-2</v>
      </c>
      <c r="F349">
        <v>0</v>
      </c>
      <c r="G349">
        <v>0</v>
      </c>
      <c r="H349">
        <v>0</v>
      </c>
      <c r="I349">
        <v>2022</v>
      </c>
    </row>
    <row r="350" spans="1:9" x14ac:dyDescent="0.45">
      <c r="A350" t="s">
        <v>147</v>
      </c>
      <c r="B350" t="str">
        <f t="shared" si="5"/>
        <v>Pierre Strong Jr.</v>
      </c>
      <c r="C350">
        <v>1</v>
      </c>
      <c r="D350">
        <v>1</v>
      </c>
      <c r="E350" s="1">
        <v>5.6000000000000001E-2</v>
      </c>
      <c r="F350">
        <v>0</v>
      </c>
      <c r="G350">
        <v>0</v>
      </c>
      <c r="H350">
        <v>0</v>
      </c>
      <c r="I350">
        <v>2022</v>
      </c>
    </row>
    <row r="351" spans="1:9" x14ac:dyDescent="0.45">
      <c r="A351" t="s">
        <v>175</v>
      </c>
      <c r="B351" t="str">
        <f t="shared" si="5"/>
        <v>Derek Watt</v>
      </c>
      <c r="C351">
        <v>0</v>
      </c>
      <c r="D351">
        <v>0</v>
      </c>
      <c r="E351" s="1">
        <v>0</v>
      </c>
      <c r="F351">
        <v>2</v>
      </c>
      <c r="G351">
        <v>2</v>
      </c>
      <c r="H351">
        <v>1</v>
      </c>
      <c r="I351">
        <v>2022</v>
      </c>
    </row>
    <row r="352" spans="1:9" x14ac:dyDescent="0.45">
      <c r="A352" t="s">
        <v>176</v>
      </c>
      <c r="B352" t="str">
        <f t="shared" si="5"/>
        <v>Benny Snell Jr.</v>
      </c>
      <c r="C352">
        <v>1</v>
      </c>
      <c r="D352">
        <v>1</v>
      </c>
      <c r="E352" s="1">
        <v>9.0999999999999998E-2</v>
      </c>
      <c r="F352">
        <v>0</v>
      </c>
      <c r="G352">
        <v>0</v>
      </c>
      <c r="H352">
        <v>0</v>
      </c>
      <c r="I352">
        <v>2022</v>
      </c>
    </row>
    <row r="353" spans="1:9" x14ac:dyDescent="0.45">
      <c r="A353" t="s">
        <v>48</v>
      </c>
      <c r="B353" t="str">
        <f t="shared" si="5"/>
        <v>Chuba Hubbard</v>
      </c>
      <c r="C353">
        <v>1</v>
      </c>
      <c r="D353">
        <v>1</v>
      </c>
      <c r="E353" s="1">
        <v>7.0999999999999994E-2</v>
      </c>
      <c r="F353">
        <v>0</v>
      </c>
      <c r="G353">
        <v>0</v>
      </c>
      <c r="H353">
        <v>0</v>
      </c>
      <c r="I353">
        <v>2022</v>
      </c>
    </row>
    <row r="354" spans="1:9" x14ac:dyDescent="0.45">
      <c r="A354" t="s">
        <v>157</v>
      </c>
      <c r="B354" t="str">
        <f t="shared" si="5"/>
        <v>Raheem Blackshear</v>
      </c>
      <c r="C354">
        <v>2</v>
      </c>
      <c r="D354">
        <v>1</v>
      </c>
      <c r="E354" s="1">
        <v>0.14299999999999999</v>
      </c>
      <c r="F354">
        <v>0</v>
      </c>
      <c r="G354">
        <v>0</v>
      </c>
      <c r="H354">
        <v>0</v>
      </c>
      <c r="I354">
        <v>2022</v>
      </c>
    </row>
    <row r="355" spans="1:9" x14ac:dyDescent="0.45">
      <c r="A355" t="s">
        <v>177</v>
      </c>
      <c r="B355" t="str">
        <f t="shared" si="5"/>
        <v>Gary Brightwell</v>
      </c>
      <c r="C355">
        <v>1</v>
      </c>
      <c r="D355">
        <v>1</v>
      </c>
      <c r="E355" s="1">
        <v>5.8999999999999997E-2</v>
      </c>
      <c r="F355">
        <v>0</v>
      </c>
      <c r="G355">
        <v>0</v>
      </c>
      <c r="H355">
        <v>0</v>
      </c>
      <c r="I355">
        <v>2022</v>
      </c>
    </row>
    <row r="356" spans="1:9" x14ac:dyDescent="0.45">
      <c r="A356" t="s">
        <v>21</v>
      </c>
      <c r="B356" t="str">
        <f t="shared" si="5"/>
        <v>Jaylen Warren</v>
      </c>
      <c r="C356">
        <v>1</v>
      </c>
      <c r="D356">
        <v>1</v>
      </c>
      <c r="E356" s="1">
        <v>9.0999999999999998E-2</v>
      </c>
      <c r="F356">
        <v>0</v>
      </c>
      <c r="G356">
        <v>0</v>
      </c>
      <c r="H356">
        <v>0</v>
      </c>
      <c r="I356">
        <v>2022</v>
      </c>
    </row>
    <row r="357" spans="1:9" x14ac:dyDescent="0.45">
      <c r="A357" t="s">
        <v>178</v>
      </c>
      <c r="B357" t="str">
        <f t="shared" si="5"/>
        <v>Darrel Williams</v>
      </c>
      <c r="C357">
        <v>1</v>
      </c>
      <c r="D357">
        <v>1</v>
      </c>
      <c r="E357" s="1">
        <v>7.0999999999999994E-2</v>
      </c>
      <c r="F357">
        <v>0</v>
      </c>
      <c r="G357">
        <v>0</v>
      </c>
      <c r="H357">
        <v>0</v>
      </c>
      <c r="I357">
        <v>2022</v>
      </c>
    </row>
    <row r="358" spans="1:9" x14ac:dyDescent="0.45">
      <c r="A358" t="s">
        <v>118</v>
      </c>
      <c r="B358" t="str">
        <f t="shared" si="5"/>
        <v>Alec Ingold</v>
      </c>
      <c r="C358">
        <v>2</v>
      </c>
      <c r="D358">
        <v>1</v>
      </c>
      <c r="E358" s="1">
        <v>0.125</v>
      </c>
      <c r="F358">
        <v>0</v>
      </c>
      <c r="G358">
        <v>0</v>
      </c>
      <c r="H358">
        <v>0</v>
      </c>
      <c r="I358">
        <v>2022</v>
      </c>
    </row>
    <row r="359" spans="1:9" x14ac:dyDescent="0.45">
      <c r="A359" t="s">
        <v>179</v>
      </c>
      <c r="B359" t="str">
        <f t="shared" si="5"/>
        <v>Keaontay Ingram</v>
      </c>
      <c r="C359">
        <v>2</v>
      </c>
      <c r="D359">
        <v>1</v>
      </c>
      <c r="E359" s="1">
        <v>0.14299999999999999</v>
      </c>
      <c r="F359">
        <v>0</v>
      </c>
      <c r="G359">
        <v>0</v>
      </c>
      <c r="H359">
        <v>0</v>
      </c>
      <c r="I359">
        <v>2022</v>
      </c>
    </row>
    <row r="360" spans="1:9" x14ac:dyDescent="0.45">
      <c r="A360" t="s">
        <v>44</v>
      </c>
      <c r="B360" t="str">
        <f t="shared" si="5"/>
        <v>Aaron Jones Sr.</v>
      </c>
      <c r="C360">
        <v>2</v>
      </c>
      <c r="D360">
        <v>0</v>
      </c>
      <c r="E360" s="1">
        <v>0.182</v>
      </c>
      <c r="F360">
        <v>2</v>
      </c>
      <c r="G360">
        <v>2</v>
      </c>
      <c r="H360">
        <v>1</v>
      </c>
      <c r="I360">
        <v>2022</v>
      </c>
    </row>
    <row r="361" spans="1:9" x14ac:dyDescent="0.45">
      <c r="A361" t="s">
        <v>180</v>
      </c>
      <c r="B361" t="str">
        <f t="shared" si="5"/>
        <v>Brandon Bolden</v>
      </c>
      <c r="C361">
        <v>2</v>
      </c>
      <c r="D361">
        <v>0</v>
      </c>
      <c r="E361" s="1">
        <v>0.154</v>
      </c>
      <c r="F361">
        <v>0</v>
      </c>
      <c r="G361">
        <v>0</v>
      </c>
      <c r="H361">
        <v>0</v>
      </c>
      <c r="I361">
        <v>2022</v>
      </c>
    </row>
    <row r="362" spans="1:9" x14ac:dyDescent="0.45">
      <c r="A362" t="s">
        <v>181</v>
      </c>
      <c r="B362" t="str">
        <f t="shared" si="5"/>
        <v>Spencer Brown</v>
      </c>
      <c r="C362">
        <v>1</v>
      </c>
      <c r="D362">
        <v>0</v>
      </c>
      <c r="E362" s="1">
        <v>7.0999999999999994E-2</v>
      </c>
      <c r="F362">
        <v>0</v>
      </c>
      <c r="G362">
        <v>0</v>
      </c>
      <c r="H362">
        <v>0</v>
      </c>
      <c r="I362">
        <v>2022</v>
      </c>
    </row>
    <row r="363" spans="1:9" x14ac:dyDescent="0.45">
      <c r="A363" t="s">
        <v>182</v>
      </c>
      <c r="B363" t="str">
        <f t="shared" si="5"/>
        <v>Trestan Ebner</v>
      </c>
      <c r="C363">
        <v>2</v>
      </c>
      <c r="D363">
        <v>0</v>
      </c>
      <c r="E363" s="1">
        <v>0.14299999999999999</v>
      </c>
      <c r="F363">
        <v>0</v>
      </c>
      <c r="G363">
        <v>0</v>
      </c>
      <c r="H363">
        <v>0</v>
      </c>
      <c r="I363">
        <v>2022</v>
      </c>
    </row>
    <row r="364" spans="1:9" x14ac:dyDescent="0.45">
      <c r="A364" t="s">
        <v>52</v>
      </c>
      <c r="B364" t="str">
        <f t="shared" si="5"/>
        <v>Samaje Perine</v>
      </c>
      <c r="C364">
        <v>1</v>
      </c>
      <c r="D364">
        <v>0</v>
      </c>
      <c r="E364" s="1">
        <v>5.8999999999999997E-2</v>
      </c>
      <c r="F364">
        <v>0</v>
      </c>
      <c r="G364">
        <v>1</v>
      </c>
      <c r="H364">
        <v>0</v>
      </c>
      <c r="I364">
        <v>2022</v>
      </c>
    </row>
    <row r="365" spans="1:9" x14ac:dyDescent="0.45">
      <c r="A365" t="s">
        <v>183</v>
      </c>
      <c r="B365" t="str">
        <f t="shared" si="5"/>
        <v>Mike Davis</v>
      </c>
      <c r="C365">
        <v>2</v>
      </c>
      <c r="D365">
        <v>0</v>
      </c>
      <c r="E365" s="1">
        <v>0.182</v>
      </c>
      <c r="F365">
        <v>0</v>
      </c>
      <c r="G365">
        <v>0</v>
      </c>
      <c r="H365">
        <v>0</v>
      </c>
      <c r="I365">
        <v>2022</v>
      </c>
    </row>
    <row r="366" spans="1:9" x14ac:dyDescent="0.45">
      <c r="A366" t="s">
        <v>184</v>
      </c>
      <c r="B366" t="str">
        <f t="shared" si="5"/>
        <v>Malcolm Brown</v>
      </c>
      <c r="C366">
        <v>3</v>
      </c>
      <c r="D366">
        <v>0</v>
      </c>
      <c r="E366" s="1">
        <v>0.214</v>
      </c>
      <c r="F366">
        <v>1</v>
      </c>
      <c r="G366">
        <v>1</v>
      </c>
      <c r="H366">
        <v>0</v>
      </c>
      <c r="I366">
        <v>2022</v>
      </c>
    </row>
    <row r="367" spans="1:9" x14ac:dyDescent="0.45">
      <c r="A367" t="s">
        <v>39</v>
      </c>
      <c r="B367" t="str">
        <f t="shared" si="5"/>
        <v>Bam Knight</v>
      </c>
      <c r="C367">
        <v>3</v>
      </c>
      <c r="D367">
        <v>0</v>
      </c>
      <c r="E367" s="1">
        <v>0.158</v>
      </c>
      <c r="F367">
        <v>0</v>
      </c>
      <c r="G367">
        <v>0</v>
      </c>
      <c r="H367">
        <v>0</v>
      </c>
      <c r="I367">
        <v>2022</v>
      </c>
    </row>
    <row r="368" spans="1:9" x14ac:dyDescent="0.45">
      <c r="A368" t="s">
        <v>185</v>
      </c>
      <c r="B368" t="str">
        <f t="shared" si="5"/>
        <v>Rex Burkhead</v>
      </c>
      <c r="C368">
        <v>3</v>
      </c>
      <c r="D368">
        <v>0</v>
      </c>
      <c r="E368" s="1">
        <v>0.214</v>
      </c>
      <c r="F368">
        <v>0</v>
      </c>
      <c r="G368">
        <v>0</v>
      </c>
      <c r="H368">
        <v>0</v>
      </c>
      <c r="I368">
        <v>2022</v>
      </c>
    </row>
    <row r="369" spans="1:9" x14ac:dyDescent="0.45">
      <c r="A369" t="s">
        <v>186</v>
      </c>
      <c r="B369" t="str">
        <f t="shared" si="5"/>
        <v>Keith Smith</v>
      </c>
      <c r="C369">
        <v>0</v>
      </c>
      <c r="D369">
        <v>0</v>
      </c>
      <c r="E369" s="1">
        <v>0</v>
      </c>
      <c r="F369">
        <v>0</v>
      </c>
      <c r="G369">
        <v>1</v>
      </c>
      <c r="H369">
        <v>0</v>
      </c>
      <c r="I369">
        <v>2022</v>
      </c>
    </row>
    <row r="370" spans="1:9" x14ac:dyDescent="0.45">
      <c r="A370" t="s">
        <v>187</v>
      </c>
      <c r="B370" t="str">
        <f t="shared" si="5"/>
        <v>J.D. McKissic</v>
      </c>
      <c r="C370">
        <v>0</v>
      </c>
      <c r="D370">
        <v>0</v>
      </c>
      <c r="E370" s="1">
        <v>0</v>
      </c>
      <c r="F370">
        <v>0</v>
      </c>
      <c r="G370">
        <v>2</v>
      </c>
      <c r="H370">
        <v>0</v>
      </c>
      <c r="I370">
        <v>2022</v>
      </c>
    </row>
    <row r="371" spans="1:9" x14ac:dyDescent="0.45">
      <c r="A371" t="s">
        <v>188</v>
      </c>
      <c r="B371" t="str">
        <f t="shared" si="5"/>
        <v>Sony Michel</v>
      </c>
      <c r="C371">
        <v>2</v>
      </c>
      <c r="D371">
        <v>0</v>
      </c>
      <c r="E371" s="1">
        <v>0.11799999999999999</v>
      </c>
      <c r="F371">
        <v>0</v>
      </c>
      <c r="G371">
        <v>0</v>
      </c>
      <c r="H371">
        <v>0</v>
      </c>
      <c r="I371">
        <v>2022</v>
      </c>
    </row>
    <row r="372" spans="1:9" x14ac:dyDescent="0.45">
      <c r="A372" t="s">
        <v>189</v>
      </c>
      <c r="B372" t="str">
        <f t="shared" si="5"/>
        <v>Phillip Lindsay</v>
      </c>
      <c r="C372">
        <v>0</v>
      </c>
      <c r="D372">
        <v>0</v>
      </c>
      <c r="E372" s="1">
        <v>0</v>
      </c>
      <c r="F372">
        <v>0</v>
      </c>
      <c r="G372">
        <v>0</v>
      </c>
      <c r="H372">
        <v>0</v>
      </c>
      <c r="I372">
        <v>2022</v>
      </c>
    </row>
    <row r="373" spans="1:9" x14ac:dyDescent="0.45">
      <c r="A373" t="s">
        <v>142</v>
      </c>
      <c r="B373" t="str">
        <f t="shared" si="5"/>
        <v>Elijah Mitchell</v>
      </c>
      <c r="C373">
        <v>2</v>
      </c>
      <c r="D373">
        <v>0</v>
      </c>
      <c r="E373" s="1">
        <v>0.105</v>
      </c>
      <c r="F373">
        <v>0</v>
      </c>
      <c r="G373">
        <v>0</v>
      </c>
      <c r="H373">
        <v>0</v>
      </c>
      <c r="I373">
        <v>2022</v>
      </c>
    </row>
    <row r="374" spans="1:9" x14ac:dyDescent="0.45">
      <c r="A374" t="s">
        <v>190</v>
      </c>
      <c r="B374" t="str">
        <f t="shared" si="5"/>
        <v>Troy Hairston II</v>
      </c>
      <c r="C374">
        <v>0</v>
      </c>
      <c r="D374">
        <v>0</v>
      </c>
      <c r="E374" s="1">
        <v>0</v>
      </c>
      <c r="F374">
        <v>0</v>
      </c>
      <c r="G374">
        <v>1</v>
      </c>
      <c r="H374">
        <v>0</v>
      </c>
      <c r="I374">
        <v>2022</v>
      </c>
    </row>
    <row r="375" spans="1:9" x14ac:dyDescent="0.45">
      <c r="A375" t="s">
        <v>191</v>
      </c>
      <c r="B375" t="str">
        <f t="shared" si="5"/>
        <v>J.J. Taylor</v>
      </c>
      <c r="C375">
        <v>1</v>
      </c>
      <c r="D375">
        <v>0</v>
      </c>
      <c r="E375" s="1">
        <v>5.6000000000000001E-2</v>
      </c>
      <c r="F375">
        <v>0</v>
      </c>
      <c r="G375">
        <v>0</v>
      </c>
      <c r="H375">
        <v>0</v>
      </c>
      <c r="I375">
        <v>2022</v>
      </c>
    </row>
    <row r="376" spans="1:9" x14ac:dyDescent="0.45">
      <c r="A376" t="s">
        <v>27</v>
      </c>
      <c r="B376" t="str">
        <f t="shared" si="5"/>
        <v>Jordan Mason</v>
      </c>
      <c r="C376">
        <v>1</v>
      </c>
      <c r="D376">
        <v>0</v>
      </c>
      <c r="E376" s="1">
        <v>5.2999999999999999E-2</v>
      </c>
      <c r="F376">
        <v>0</v>
      </c>
      <c r="G376">
        <v>0</v>
      </c>
      <c r="H376">
        <v>0</v>
      </c>
      <c r="I376">
        <v>2022</v>
      </c>
    </row>
    <row r="377" spans="1:9" x14ac:dyDescent="0.45">
      <c r="A377" t="s">
        <v>192</v>
      </c>
      <c r="B377" t="str">
        <f t="shared" si="5"/>
        <v>Tyrion Davis-Price</v>
      </c>
      <c r="C377">
        <v>1</v>
      </c>
      <c r="D377">
        <v>0</v>
      </c>
      <c r="E377" s="1">
        <v>5.2999999999999999E-2</v>
      </c>
      <c r="F377">
        <v>0</v>
      </c>
      <c r="G377">
        <v>0</v>
      </c>
      <c r="H377">
        <v>0</v>
      </c>
      <c r="I377">
        <v>2022</v>
      </c>
    </row>
    <row r="378" spans="1:9" x14ac:dyDescent="0.45">
      <c r="A378" t="s">
        <v>107</v>
      </c>
      <c r="B378" t="str">
        <f t="shared" si="5"/>
        <v>Zack Moss</v>
      </c>
      <c r="C378">
        <v>2</v>
      </c>
      <c r="D378">
        <v>0</v>
      </c>
      <c r="E378" s="1">
        <v>0.182</v>
      </c>
      <c r="F378">
        <v>0</v>
      </c>
      <c r="G378">
        <v>0</v>
      </c>
      <c r="H378">
        <v>0</v>
      </c>
      <c r="I378">
        <v>2022</v>
      </c>
    </row>
    <row r="379" spans="1:9" x14ac:dyDescent="0.45">
      <c r="A379" t="s">
        <v>193</v>
      </c>
      <c r="B379" t="str">
        <f t="shared" si="5"/>
        <v>Nyheim Miller-Hines</v>
      </c>
      <c r="C379">
        <v>2</v>
      </c>
      <c r="D379">
        <v>0</v>
      </c>
      <c r="E379" s="1">
        <v>0.16700000000000001</v>
      </c>
      <c r="F379">
        <v>0</v>
      </c>
      <c r="G379">
        <v>0</v>
      </c>
      <c r="H379">
        <v>0</v>
      </c>
      <c r="I379">
        <v>2022</v>
      </c>
    </row>
    <row r="380" spans="1:9" x14ac:dyDescent="0.45">
      <c r="A380" t="s">
        <v>106</v>
      </c>
      <c r="B380" t="str">
        <f t="shared" si="5"/>
        <v>Alexander Mattison</v>
      </c>
      <c r="C380">
        <v>2</v>
      </c>
      <c r="D380">
        <v>0</v>
      </c>
      <c r="E380" s="1">
        <v>0.1</v>
      </c>
      <c r="F380">
        <v>0</v>
      </c>
      <c r="G380">
        <v>0</v>
      </c>
      <c r="H380">
        <v>0</v>
      </c>
      <c r="I380">
        <v>2022</v>
      </c>
    </row>
    <row r="381" spans="1:9" x14ac:dyDescent="0.45">
      <c r="A381" t="s">
        <v>7</v>
      </c>
      <c r="B381" t="str">
        <f t="shared" si="5"/>
        <v>Javonte Williams</v>
      </c>
      <c r="C381">
        <v>2</v>
      </c>
      <c r="D381">
        <v>0</v>
      </c>
      <c r="E381" s="1">
        <v>0.111</v>
      </c>
      <c r="F381">
        <v>0</v>
      </c>
      <c r="G381">
        <v>2</v>
      </c>
      <c r="H381">
        <v>0</v>
      </c>
      <c r="I381">
        <v>2022</v>
      </c>
    </row>
    <row r="382" spans="1:9" x14ac:dyDescent="0.45">
      <c r="A382" t="s">
        <v>10</v>
      </c>
      <c r="B382" t="str">
        <f t="shared" si="5"/>
        <v>Jonathan Taylor</v>
      </c>
      <c r="C382">
        <v>29</v>
      </c>
      <c r="D382">
        <v>12</v>
      </c>
      <c r="E382" s="1">
        <v>0.96699999999999997</v>
      </c>
      <c r="F382">
        <v>0</v>
      </c>
      <c r="G382">
        <v>0</v>
      </c>
      <c r="H382">
        <v>0</v>
      </c>
      <c r="I382">
        <v>2021</v>
      </c>
    </row>
    <row r="383" spans="1:9" x14ac:dyDescent="0.45">
      <c r="A383" t="s">
        <v>109</v>
      </c>
      <c r="B383" t="str">
        <f t="shared" si="5"/>
        <v>Austin Ekeler</v>
      </c>
      <c r="C383">
        <v>16</v>
      </c>
      <c r="D383">
        <v>9</v>
      </c>
      <c r="E383" s="1">
        <v>0.72699999999999998</v>
      </c>
      <c r="F383">
        <v>1</v>
      </c>
      <c r="G383">
        <v>1</v>
      </c>
      <c r="H383">
        <v>1</v>
      </c>
      <c r="I383">
        <v>2021</v>
      </c>
    </row>
    <row r="384" spans="1:9" x14ac:dyDescent="0.45">
      <c r="A384" t="s">
        <v>110</v>
      </c>
      <c r="B384" t="str">
        <f t="shared" si="5"/>
        <v>Ezekiel Elliott</v>
      </c>
      <c r="C384">
        <v>14</v>
      </c>
      <c r="D384">
        <v>7</v>
      </c>
      <c r="E384" s="1">
        <v>0.875</v>
      </c>
      <c r="F384">
        <v>4</v>
      </c>
      <c r="G384">
        <v>4</v>
      </c>
      <c r="H384">
        <v>2</v>
      </c>
      <c r="I384">
        <v>2021</v>
      </c>
    </row>
    <row r="385" spans="1:9" x14ac:dyDescent="0.45">
      <c r="A385" t="s">
        <v>45</v>
      </c>
      <c r="B385" t="str">
        <f t="shared" si="5"/>
        <v>James Conner</v>
      </c>
      <c r="C385">
        <v>16</v>
      </c>
      <c r="D385">
        <v>9</v>
      </c>
      <c r="E385" s="1">
        <v>0.76200000000000001</v>
      </c>
      <c r="F385">
        <v>0</v>
      </c>
      <c r="G385">
        <v>0</v>
      </c>
      <c r="H385">
        <v>0</v>
      </c>
      <c r="I385">
        <v>2021</v>
      </c>
    </row>
    <row r="386" spans="1:9" x14ac:dyDescent="0.45">
      <c r="A386" t="s">
        <v>152</v>
      </c>
      <c r="B386" t="str">
        <f t="shared" ref="B386:B449" si="6">TRIM(LEFT(A386, LEN(A386) - LEN(TRIM(RIGHT(SUBSTITUTE(TRIM(A386)," ",REPT(" ",100)),100)))))</f>
        <v>Leonard Fournette</v>
      </c>
      <c r="C386">
        <v>14</v>
      </c>
      <c r="D386">
        <v>6</v>
      </c>
      <c r="E386" s="1">
        <v>0.73699999999999999</v>
      </c>
      <c r="F386">
        <v>2</v>
      </c>
      <c r="G386">
        <v>3</v>
      </c>
      <c r="H386">
        <v>2</v>
      </c>
      <c r="I386">
        <v>2021</v>
      </c>
    </row>
    <row r="387" spans="1:9" x14ac:dyDescent="0.45">
      <c r="A387" t="s">
        <v>143</v>
      </c>
      <c r="B387" t="str">
        <f t="shared" si="6"/>
        <v>Damien Harris</v>
      </c>
      <c r="C387">
        <v>15</v>
      </c>
      <c r="D387">
        <v>8</v>
      </c>
      <c r="E387" s="1">
        <v>0.57699999999999996</v>
      </c>
      <c r="F387">
        <v>0</v>
      </c>
      <c r="G387">
        <v>0</v>
      </c>
      <c r="H387">
        <v>0</v>
      </c>
      <c r="I387">
        <v>2021</v>
      </c>
    </row>
    <row r="388" spans="1:9" x14ac:dyDescent="0.45">
      <c r="A388" t="s">
        <v>75</v>
      </c>
      <c r="B388" t="str">
        <f t="shared" si="6"/>
        <v>Antonio Gibson</v>
      </c>
      <c r="C388">
        <v>15</v>
      </c>
      <c r="D388">
        <v>6</v>
      </c>
      <c r="E388" s="1">
        <v>0.71399999999999997</v>
      </c>
      <c r="F388">
        <v>1</v>
      </c>
      <c r="G388">
        <v>2</v>
      </c>
      <c r="H388">
        <v>1</v>
      </c>
      <c r="I388">
        <v>2021</v>
      </c>
    </row>
    <row r="389" spans="1:9" x14ac:dyDescent="0.45">
      <c r="A389" t="s">
        <v>160</v>
      </c>
      <c r="B389" t="str">
        <f t="shared" si="6"/>
        <v>Boston Scott</v>
      </c>
      <c r="C389">
        <v>12</v>
      </c>
      <c r="D389">
        <v>7</v>
      </c>
      <c r="E389" s="1">
        <v>0.41399999999999998</v>
      </c>
      <c r="F389">
        <v>0</v>
      </c>
      <c r="G389">
        <v>1</v>
      </c>
      <c r="H389">
        <v>0</v>
      </c>
      <c r="I389">
        <v>2021</v>
      </c>
    </row>
    <row r="390" spans="1:9" x14ac:dyDescent="0.45">
      <c r="A390" t="s">
        <v>168</v>
      </c>
      <c r="B390" t="str">
        <f t="shared" si="6"/>
        <v>James Robinson</v>
      </c>
      <c r="C390">
        <v>10</v>
      </c>
      <c r="D390">
        <v>7</v>
      </c>
      <c r="E390" s="1">
        <v>0.66700000000000004</v>
      </c>
      <c r="F390">
        <v>0</v>
      </c>
      <c r="G390">
        <v>0</v>
      </c>
      <c r="H390">
        <v>0</v>
      </c>
      <c r="I390">
        <v>2021</v>
      </c>
    </row>
    <row r="391" spans="1:9" x14ac:dyDescent="0.45">
      <c r="A391" t="s">
        <v>102</v>
      </c>
      <c r="B391" t="str">
        <f t="shared" si="6"/>
        <v>Joe Mixon</v>
      </c>
      <c r="C391">
        <v>15</v>
      </c>
      <c r="D391">
        <v>7</v>
      </c>
      <c r="E391" s="1">
        <v>0.93799999999999994</v>
      </c>
      <c r="F391">
        <v>1</v>
      </c>
      <c r="G391">
        <v>2</v>
      </c>
      <c r="H391">
        <v>0</v>
      </c>
      <c r="I391">
        <v>2021</v>
      </c>
    </row>
    <row r="392" spans="1:9" x14ac:dyDescent="0.45">
      <c r="A392" t="s">
        <v>18</v>
      </c>
      <c r="B392" t="str">
        <f t="shared" si="6"/>
        <v>David Montgomery</v>
      </c>
      <c r="C392">
        <v>13</v>
      </c>
      <c r="D392">
        <v>6</v>
      </c>
      <c r="E392" s="1">
        <v>0.65</v>
      </c>
      <c r="F392">
        <v>1</v>
      </c>
      <c r="G392">
        <v>1</v>
      </c>
      <c r="H392">
        <v>0</v>
      </c>
      <c r="I392">
        <v>2021</v>
      </c>
    </row>
    <row r="393" spans="1:9" x14ac:dyDescent="0.45">
      <c r="A393" t="s">
        <v>178</v>
      </c>
      <c r="B393" t="str">
        <f t="shared" si="6"/>
        <v>Darrel Williams</v>
      </c>
      <c r="C393">
        <v>14</v>
      </c>
      <c r="D393">
        <v>6</v>
      </c>
      <c r="E393" s="1">
        <v>0.7</v>
      </c>
      <c r="F393">
        <v>2</v>
      </c>
      <c r="G393">
        <v>2</v>
      </c>
      <c r="H393">
        <v>0</v>
      </c>
      <c r="I393">
        <v>2021</v>
      </c>
    </row>
    <row r="394" spans="1:9" x14ac:dyDescent="0.45">
      <c r="A394" t="s">
        <v>13</v>
      </c>
      <c r="B394" t="str">
        <f t="shared" si="6"/>
        <v>Josh Jacobs</v>
      </c>
      <c r="C394">
        <v>9</v>
      </c>
      <c r="D394">
        <v>6</v>
      </c>
      <c r="E394" s="1">
        <v>0.64300000000000002</v>
      </c>
      <c r="F394">
        <v>0</v>
      </c>
      <c r="G394">
        <v>0</v>
      </c>
      <c r="H394">
        <v>0</v>
      </c>
      <c r="I394">
        <v>2021</v>
      </c>
    </row>
    <row r="395" spans="1:9" x14ac:dyDescent="0.45">
      <c r="A395" t="s">
        <v>138</v>
      </c>
      <c r="B395" t="str">
        <f t="shared" si="6"/>
        <v>Darrell Henderson Jr.</v>
      </c>
      <c r="C395">
        <v>9</v>
      </c>
      <c r="D395">
        <v>5</v>
      </c>
      <c r="E395" s="1">
        <v>0.56299999999999994</v>
      </c>
      <c r="F395">
        <v>1</v>
      </c>
      <c r="G395">
        <v>2</v>
      </c>
      <c r="H395">
        <v>1</v>
      </c>
      <c r="I395">
        <v>2021</v>
      </c>
    </row>
    <row r="396" spans="1:9" x14ac:dyDescent="0.45">
      <c r="A396" t="s">
        <v>44</v>
      </c>
      <c r="B396" t="str">
        <f t="shared" si="6"/>
        <v>Aaron Jones Sr.</v>
      </c>
      <c r="C396">
        <v>8</v>
      </c>
      <c r="D396">
        <v>4</v>
      </c>
      <c r="E396" s="1">
        <v>0.42099999999999999</v>
      </c>
      <c r="F396">
        <v>2</v>
      </c>
      <c r="G396">
        <v>2</v>
      </c>
      <c r="H396">
        <v>2</v>
      </c>
      <c r="I396">
        <v>2021</v>
      </c>
    </row>
    <row r="397" spans="1:9" x14ac:dyDescent="0.45">
      <c r="A397" t="s">
        <v>111</v>
      </c>
      <c r="B397" t="str">
        <f t="shared" si="6"/>
        <v>Najee Harris</v>
      </c>
      <c r="C397">
        <v>11</v>
      </c>
      <c r="D397">
        <v>4</v>
      </c>
      <c r="E397" s="1">
        <v>1</v>
      </c>
      <c r="F397">
        <v>2</v>
      </c>
      <c r="G397">
        <v>3</v>
      </c>
      <c r="H397">
        <v>2</v>
      </c>
      <c r="I397">
        <v>2021</v>
      </c>
    </row>
    <row r="398" spans="1:9" x14ac:dyDescent="0.45">
      <c r="A398" t="s">
        <v>70</v>
      </c>
      <c r="B398" t="str">
        <f t="shared" si="6"/>
        <v>Nick Chubb</v>
      </c>
      <c r="C398">
        <v>11</v>
      </c>
      <c r="D398">
        <v>4</v>
      </c>
      <c r="E398" s="1">
        <v>0.61099999999999999</v>
      </c>
      <c r="F398">
        <v>1</v>
      </c>
      <c r="G398">
        <v>1</v>
      </c>
      <c r="H398">
        <v>1</v>
      </c>
      <c r="I398">
        <v>2021</v>
      </c>
    </row>
    <row r="399" spans="1:9" x14ac:dyDescent="0.45">
      <c r="A399" t="s">
        <v>194</v>
      </c>
      <c r="B399" t="str">
        <f t="shared" si="6"/>
        <v>Devonta Freeman</v>
      </c>
      <c r="C399">
        <v>7</v>
      </c>
      <c r="D399">
        <v>4</v>
      </c>
      <c r="E399" s="1">
        <v>0.438</v>
      </c>
      <c r="F399">
        <v>1</v>
      </c>
      <c r="G399">
        <v>1</v>
      </c>
      <c r="H399">
        <v>1</v>
      </c>
      <c r="I399">
        <v>2021</v>
      </c>
    </row>
    <row r="400" spans="1:9" x14ac:dyDescent="0.45">
      <c r="A400" t="s">
        <v>136</v>
      </c>
      <c r="B400" t="str">
        <f t="shared" si="6"/>
        <v>AJ Dillon</v>
      </c>
      <c r="C400">
        <v>11</v>
      </c>
      <c r="D400">
        <v>4</v>
      </c>
      <c r="E400" s="1">
        <v>0.57899999999999996</v>
      </c>
      <c r="F400">
        <v>1</v>
      </c>
      <c r="G400">
        <v>1</v>
      </c>
      <c r="H400">
        <v>1</v>
      </c>
      <c r="I400">
        <v>2021</v>
      </c>
    </row>
    <row r="401" spans="1:9" x14ac:dyDescent="0.45">
      <c r="A401" t="s">
        <v>188</v>
      </c>
      <c r="B401" t="str">
        <f t="shared" si="6"/>
        <v>Sony Michel</v>
      </c>
      <c r="C401">
        <v>7</v>
      </c>
      <c r="D401">
        <v>4</v>
      </c>
      <c r="E401" s="1">
        <v>0.438</v>
      </c>
      <c r="F401">
        <v>1</v>
      </c>
      <c r="G401">
        <v>1</v>
      </c>
      <c r="H401">
        <v>1</v>
      </c>
      <c r="I401">
        <v>2021</v>
      </c>
    </row>
    <row r="402" spans="1:9" x14ac:dyDescent="0.45">
      <c r="A402" t="s">
        <v>8</v>
      </c>
      <c r="B402" t="str">
        <f t="shared" si="6"/>
        <v>Derrick Henry</v>
      </c>
      <c r="C402">
        <v>9</v>
      </c>
      <c r="D402">
        <v>4</v>
      </c>
      <c r="E402" s="1">
        <v>0.52900000000000003</v>
      </c>
      <c r="F402">
        <v>0</v>
      </c>
      <c r="G402">
        <v>0</v>
      </c>
      <c r="H402">
        <v>0</v>
      </c>
      <c r="I402">
        <v>2021</v>
      </c>
    </row>
    <row r="403" spans="1:9" x14ac:dyDescent="0.45">
      <c r="A403" t="s">
        <v>195</v>
      </c>
      <c r="B403" t="str">
        <f t="shared" si="6"/>
        <v>Myles Gaskin</v>
      </c>
      <c r="C403">
        <v>8</v>
      </c>
      <c r="D403">
        <v>2</v>
      </c>
      <c r="E403" s="1">
        <v>0.47099999999999997</v>
      </c>
      <c r="F403">
        <v>2</v>
      </c>
      <c r="G403">
        <v>2</v>
      </c>
      <c r="H403">
        <v>2</v>
      </c>
      <c r="I403">
        <v>2021</v>
      </c>
    </row>
    <row r="404" spans="1:9" x14ac:dyDescent="0.45">
      <c r="A404" t="s">
        <v>164</v>
      </c>
      <c r="B404" t="str">
        <f t="shared" si="6"/>
        <v>Melvin Gordon III</v>
      </c>
      <c r="C404">
        <v>11</v>
      </c>
      <c r="D404">
        <v>4</v>
      </c>
      <c r="E404" s="1">
        <v>0.52400000000000002</v>
      </c>
      <c r="F404">
        <v>0</v>
      </c>
      <c r="G404">
        <v>0</v>
      </c>
      <c r="H404">
        <v>0</v>
      </c>
      <c r="I404">
        <v>2021</v>
      </c>
    </row>
    <row r="405" spans="1:9" x14ac:dyDescent="0.45">
      <c r="A405" t="s">
        <v>146</v>
      </c>
      <c r="B405" t="str">
        <f t="shared" si="6"/>
        <v>Clyde Edwards-Helaire</v>
      </c>
      <c r="C405">
        <v>3</v>
      </c>
      <c r="D405">
        <v>3</v>
      </c>
      <c r="E405" s="1">
        <v>0.15</v>
      </c>
      <c r="F405">
        <v>1</v>
      </c>
      <c r="G405">
        <v>1</v>
      </c>
      <c r="H405">
        <v>1</v>
      </c>
      <c r="I405">
        <v>2021</v>
      </c>
    </row>
    <row r="406" spans="1:9" x14ac:dyDescent="0.45">
      <c r="A406" t="s">
        <v>40</v>
      </c>
      <c r="B406" t="str">
        <f t="shared" si="6"/>
        <v>Rhamondre Stevenson</v>
      </c>
      <c r="C406">
        <v>6</v>
      </c>
      <c r="D406">
        <v>4</v>
      </c>
      <c r="E406" s="1">
        <v>0.23100000000000001</v>
      </c>
      <c r="F406">
        <v>0</v>
      </c>
      <c r="G406">
        <v>1</v>
      </c>
      <c r="H406">
        <v>0</v>
      </c>
      <c r="I406">
        <v>2021</v>
      </c>
    </row>
    <row r="407" spans="1:9" x14ac:dyDescent="0.45">
      <c r="A407" t="s">
        <v>196</v>
      </c>
      <c r="B407" t="str">
        <f t="shared" si="6"/>
        <v>Jordan Howard</v>
      </c>
      <c r="C407">
        <v>8</v>
      </c>
      <c r="D407">
        <v>3</v>
      </c>
      <c r="E407" s="1">
        <v>0.27600000000000002</v>
      </c>
      <c r="F407">
        <v>0</v>
      </c>
      <c r="G407">
        <v>0</v>
      </c>
      <c r="H407">
        <v>0</v>
      </c>
      <c r="I407">
        <v>2021</v>
      </c>
    </row>
    <row r="408" spans="1:9" x14ac:dyDescent="0.45">
      <c r="A408" t="s">
        <v>149</v>
      </c>
      <c r="B408" t="str">
        <f t="shared" si="6"/>
        <v>Dalvin Cook</v>
      </c>
      <c r="C408">
        <v>15</v>
      </c>
      <c r="D408">
        <v>3</v>
      </c>
      <c r="E408" s="1">
        <v>0.68200000000000005</v>
      </c>
      <c r="F408">
        <v>0</v>
      </c>
      <c r="G408">
        <v>0</v>
      </c>
      <c r="H408">
        <v>0</v>
      </c>
      <c r="I408">
        <v>2021</v>
      </c>
    </row>
    <row r="409" spans="1:9" x14ac:dyDescent="0.45">
      <c r="A409" t="s">
        <v>65</v>
      </c>
      <c r="B409" t="str">
        <f t="shared" si="6"/>
        <v>Michael Carter</v>
      </c>
      <c r="C409">
        <v>9</v>
      </c>
      <c r="D409">
        <v>3</v>
      </c>
      <c r="E409" s="1">
        <v>0.39100000000000001</v>
      </c>
      <c r="F409">
        <v>1</v>
      </c>
      <c r="G409">
        <v>1</v>
      </c>
      <c r="H409">
        <v>0</v>
      </c>
      <c r="I409">
        <v>2021</v>
      </c>
    </row>
    <row r="410" spans="1:9" x14ac:dyDescent="0.45">
      <c r="A410" t="s">
        <v>142</v>
      </c>
      <c r="B410" t="str">
        <f t="shared" si="6"/>
        <v>Elijah Mitchell</v>
      </c>
      <c r="C410">
        <v>5</v>
      </c>
      <c r="D410">
        <v>3</v>
      </c>
      <c r="E410" s="1">
        <v>0.38500000000000001</v>
      </c>
      <c r="F410">
        <v>0</v>
      </c>
      <c r="G410">
        <v>0</v>
      </c>
      <c r="H410">
        <v>0</v>
      </c>
      <c r="I410">
        <v>2021</v>
      </c>
    </row>
    <row r="411" spans="1:9" x14ac:dyDescent="0.45">
      <c r="A411" t="s">
        <v>38</v>
      </c>
      <c r="B411" t="str">
        <f t="shared" si="6"/>
        <v>Devin Singletary</v>
      </c>
      <c r="C411">
        <v>6</v>
      </c>
      <c r="D411">
        <v>3</v>
      </c>
      <c r="E411" s="1">
        <v>0.54500000000000004</v>
      </c>
      <c r="F411">
        <v>1</v>
      </c>
      <c r="G411">
        <v>1</v>
      </c>
      <c r="H411">
        <v>0</v>
      </c>
      <c r="I411">
        <v>2021</v>
      </c>
    </row>
    <row r="412" spans="1:9" x14ac:dyDescent="0.45">
      <c r="A412" t="s">
        <v>9</v>
      </c>
      <c r="B412" t="str">
        <f t="shared" si="6"/>
        <v>Kareem Hunt</v>
      </c>
      <c r="C412">
        <v>4</v>
      </c>
      <c r="D412">
        <v>3</v>
      </c>
      <c r="E412" s="1">
        <v>0.222</v>
      </c>
      <c r="F412">
        <v>0</v>
      </c>
      <c r="G412">
        <v>0</v>
      </c>
      <c r="H412">
        <v>0</v>
      </c>
      <c r="I412">
        <v>2021</v>
      </c>
    </row>
    <row r="413" spans="1:9" x14ac:dyDescent="0.45">
      <c r="A413" t="s">
        <v>98</v>
      </c>
      <c r="B413" t="str">
        <f t="shared" si="6"/>
        <v>Alvin Kamara</v>
      </c>
      <c r="C413">
        <v>9</v>
      </c>
      <c r="D413">
        <v>2</v>
      </c>
      <c r="E413" s="1">
        <v>0.52900000000000003</v>
      </c>
      <c r="F413">
        <v>1</v>
      </c>
      <c r="G413">
        <v>1</v>
      </c>
      <c r="H413">
        <v>1</v>
      </c>
      <c r="I413">
        <v>2021</v>
      </c>
    </row>
    <row r="414" spans="1:9" x14ac:dyDescent="0.45">
      <c r="A414" t="s">
        <v>127</v>
      </c>
      <c r="B414" t="str">
        <f t="shared" si="6"/>
        <v>Jamaal Williams</v>
      </c>
      <c r="C414">
        <v>5</v>
      </c>
      <c r="D414">
        <v>3</v>
      </c>
      <c r="E414" s="1">
        <v>0.41699999999999998</v>
      </c>
      <c r="F414">
        <v>0</v>
      </c>
      <c r="G414">
        <v>0</v>
      </c>
      <c r="H414">
        <v>0</v>
      </c>
      <c r="I414">
        <v>2021</v>
      </c>
    </row>
    <row r="415" spans="1:9" x14ac:dyDescent="0.45">
      <c r="A415" t="s">
        <v>107</v>
      </c>
      <c r="B415" t="str">
        <f t="shared" si="6"/>
        <v>Zack Moss</v>
      </c>
      <c r="C415">
        <v>5</v>
      </c>
      <c r="D415">
        <v>3</v>
      </c>
      <c r="E415" s="1">
        <v>0.45500000000000002</v>
      </c>
      <c r="F415">
        <v>0</v>
      </c>
      <c r="G415">
        <v>1</v>
      </c>
      <c r="H415">
        <v>0</v>
      </c>
      <c r="I415">
        <v>2021</v>
      </c>
    </row>
    <row r="416" spans="1:9" x14ac:dyDescent="0.45">
      <c r="A416" t="s">
        <v>7</v>
      </c>
      <c r="B416" t="str">
        <f t="shared" si="6"/>
        <v>Javonte Williams</v>
      </c>
      <c r="C416">
        <v>10</v>
      </c>
      <c r="D416">
        <v>3</v>
      </c>
      <c r="E416" s="1">
        <v>0.47599999999999998</v>
      </c>
      <c r="F416">
        <v>0</v>
      </c>
      <c r="G416">
        <v>0</v>
      </c>
      <c r="H416">
        <v>0</v>
      </c>
      <c r="I416">
        <v>2021</v>
      </c>
    </row>
    <row r="417" spans="1:9" x14ac:dyDescent="0.45">
      <c r="A417" t="s">
        <v>132</v>
      </c>
      <c r="B417" t="str">
        <f t="shared" si="6"/>
        <v>D'Onta Foreman</v>
      </c>
      <c r="C417">
        <v>6</v>
      </c>
      <c r="D417">
        <v>2</v>
      </c>
      <c r="E417" s="1">
        <v>0.35299999999999998</v>
      </c>
      <c r="F417">
        <v>0</v>
      </c>
      <c r="G417">
        <v>0</v>
      </c>
      <c r="H417">
        <v>0</v>
      </c>
      <c r="I417">
        <v>2021</v>
      </c>
    </row>
    <row r="418" spans="1:9" x14ac:dyDescent="0.45">
      <c r="A418" t="s">
        <v>129</v>
      </c>
      <c r="B418" t="str">
        <f t="shared" si="6"/>
        <v>Cordarrelle Patterson</v>
      </c>
      <c r="C418">
        <v>7</v>
      </c>
      <c r="D418">
        <v>2</v>
      </c>
      <c r="E418" s="1">
        <v>0.63600000000000001</v>
      </c>
      <c r="F418">
        <v>0</v>
      </c>
      <c r="G418">
        <v>1</v>
      </c>
      <c r="H418">
        <v>0</v>
      </c>
      <c r="I418">
        <v>2021</v>
      </c>
    </row>
    <row r="419" spans="1:9" x14ac:dyDescent="0.45">
      <c r="A419" t="s">
        <v>185</v>
      </c>
      <c r="B419" t="str">
        <f t="shared" si="6"/>
        <v>Rex Burkhead</v>
      </c>
      <c r="C419">
        <v>7</v>
      </c>
      <c r="D419">
        <v>2</v>
      </c>
      <c r="E419" s="1">
        <v>0.875</v>
      </c>
      <c r="F419">
        <v>0</v>
      </c>
      <c r="G419">
        <v>0</v>
      </c>
      <c r="H419">
        <v>0</v>
      </c>
      <c r="I419">
        <v>2021</v>
      </c>
    </row>
    <row r="420" spans="1:9" x14ac:dyDescent="0.45">
      <c r="A420" t="s">
        <v>134</v>
      </c>
      <c r="B420" t="str">
        <f t="shared" si="6"/>
        <v>Latavius Murray</v>
      </c>
      <c r="C420">
        <v>6</v>
      </c>
      <c r="D420">
        <v>2</v>
      </c>
      <c r="E420" s="1">
        <v>0.375</v>
      </c>
      <c r="F420">
        <v>0</v>
      </c>
      <c r="G420">
        <v>1</v>
      </c>
      <c r="H420">
        <v>0</v>
      </c>
      <c r="I420">
        <v>2021</v>
      </c>
    </row>
    <row r="421" spans="1:9" x14ac:dyDescent="0.45">
      <c r="A421" t="s">
        <v>197</v>
      </c>
      <c r="B421" t="str">
        <f t="shared" si="6"/>
        <v>Damien Williams</v>
      </c>
      <c r="C421">
        <v>4</v>
      </c>
      <c r="D421">
        <v>2</v>
      </c>
      <c r="E421" s="1">
        <v>0.2</v>
      </c>
      <c r="F421">
        <v>0</v>
      </c>
      <c r="G421">
        <v>0</v>
      </c>
      <c r="H421">
        <v>0</v>
      </c>
      <c r="I421">
        <v>2021</v>
      </c>
    </row>
    <row r="422" spans="1:9" x14ac:dyDescent="0.45">
      <c r="A422" t="s">
        <v>183</v>
      </c>
      <c r="B422" t="str">
        <f t="shared" si="6"/>
        <v>Mike Davis</v>
      </c>
      <c r="C422">
        <v>4</v>
      </c>
      <c r="D422">
        <v>2</v>
      </c>
      <c r="E422" s="1">
        <v>0.36399999999999999</v>
      </c>
      <c r="F422">
        <v>0</v>
      </c>
      <c r="G422">
        <v>2</v>
      </c>
      <c r="H422">
        <v>0</v>
      </c>
      <c r="I422">
        <v>2021</v>
      </c>
    </row>
    <row r="423" spans="1:9" x14ac:dyDescent="0.45">
      <c r="A423" t="s">
        <v>198</v>
      </c>
      <c r="B423" t="str">
        <f t="shared" si="6"/>
        <v>Elijhaa Penny</v>
      </c>
      <c r="C423">
        <v>1</v>
      </c>
      <c r="D423">
        <v>1</v>
      </c>
      <c r="E423" s="1">
        <v>0.111</v>
      </c>
      <c r="F423">
        <v>1</v>
      </c>
      <c r="G423">
        <v>1</v>
      </c>
      <c r="H423">
        <v>1</v>
      </c>
      <c r="I423">
        <v>2021</v>
      </c>
    </row>
    <row r="424" spans="1:9" x14ac:dyDescent="0.45">
      <c r="A424" t="s">
        <v>122</v>
      </c>
      <c r="B424" t="str">
        <f t="shared" si="6"/>
        <v>DeeJay Dallas</v>
      </c>
      <c r="C424">
        <v>2</v>
      </c>
      <c r="D424">
        <v>2</v>
      </c>
      <c r="E424" s="1">
        <v>0.11799999999999999</v>
      </c>
      <c r="F424">
        <v>0</v>
      </c>
      <c r="G424">
        <v>0</v>
      </c>
      <c r="H424">
        <v>0</v>
      </c>
      <c r="I424">
        <v>2021</v>
      </c>
    </row>
    <row r="425" spans="1:9" x14ac:dyDescent="0.45">
      <c r="A425" t="s">
        <v>199</v>
      </c>
      <c r="B425" t="str">
        <f t="shared" si="6"/>
        <v>Peyton Barber</v>
      </c>
      <c r="C425">
        <v>3</v>
      </c>
      <c r="D425">
        <v>2</v>
      </c>
      <c r="E425" s="1">
        <v>0.214</v>
      </c>
      <c r="F425">
        <v>0</v>
      </c>
      <c r="G425">
        <v>0</v>
      </c>
      <c r="H425">
        <v>0</v>
      </c>
      <c r="I425">
        <v>2021</v>
      </c>
    </row>
    <row r="426" spans="1:9" x14ac:dyDescent="0.45">
      <c r="A426" t="s">
        <v>53</v>
      </c>
      <c r="B426" t="str">
        <f t="shared" si="6"/>
        <v>Ty Johnson</v>
      </c>
      <c r="C426">
        <v>6</v>
      </c>
      <c r="D426">
        <v>2</v>
      </c>
      <c r="E426" s="1">
        <v>0.26100000000000001</v>
      </c>
      <c r="F426">
        <v>0</v>
      </c>
      <c r="G426">
        <v>0</v>
      </c>
      <c r="H426">
        <v>0</v>
      </c>
      <c r="I426">
        <v>2021</v>
      </c>
    </row>
    <row r="427" spans="1:9" x14ac:dyDescent="0.45">
      <c r="A427" t="s">
        <v>48</v>
      </c>
      <c r="B427" t="str">
        <f t="shared" si="6"/>
        <v>Chuba Hubbard</v>
      </c>
      <c r="C427">
        <v>5</v>
      </c>
      <c r="D427">
        <v>2</v>
      </c>
      <c r="E427" s="1">
        <v>0.625</v>
      </c>
      <c r="F427">
        <v>0</v>
      </c>
      <c r="G427">
        <v>1</v>
      </c>
      <c r="H427">
        <v>0</v>
      </c>
      <c r="I427">
        <v>2021</v>
      </c>
    </row>
    <row r="428" spans="1:9" x14ac:dyDescent="0.45">
      <c r="A428" t="s">
        <v>200</v>
      </c>
      <c r="B428" t="str">
        <f t="shared" si="6"/>
        <v>Devontae Booker</v>
      </c>
      <c r="C428">
        <v>5</v>
      </c>
      <c r="D428">
        <v>1</v>
      </c>
      <c r="E428" s="1">
        <v>0.55600000000000005</v>
      </c>
      <c r="F428">
        <v>1</v>
      </c>
      <c r="G428">
        <v>1</v>
      </c>
      <c r="H428">
        <v>1</v>
      </c>
      <c r="I428">
        <v>2021</v>
      </c>
    </row>
    <row r="429" spans="1:9" x14ac:dyDescent="0.45">
      <c r="A429" t="s">
        <v>151</v>
      </c>
      <c r="B429" t="str">
        <f t="shared" si="6"/>
        <v>Jeff Wilson Jr.</v>
      </c>
      <c r="C429">
        <v>4</v>
      </c>
      <c r="D429">
        <v>2</v>
      </c>
      <c r="E429" s="1">
        <v>0.308</v>
      </c>
      <c r="F429">
        <v>0</v>
      </c>
      <c r="G429">
        <v>1</v>
      </c>
      <c r="H429">
        <v>0</v>
      </c>
      <c r="I429">
        <v>2021</v>
      </c>
    </row>
    <row r="430" spans="1:9" x14ac:dyDescent="0.45">
      <c r="A430" t="s">
        <v>201</v>
      </c>
      <c r="B430" t="str">
        <f t="shared" si="6"/>
        <v>Le'Veon Bell</v>
      </c>
      <c r="C430">
        <v>2</v>
      </c>
      <c r="D430">
        <v>2</v>
      </c>
      <c r="E430" s="1">
        <v>0.125</v>
      </c>
      <c r="F430">
        <v>0</v>
      </c>
      <c r="G430">
        <v>0</v>
      </c>
      <c r="H430">
        <v>0</v>
      </c>
      <c r="I430">
        <v>2021</v>
      </c>
    </row>
    <row r="431" spans="1:9" x14ac:dyDescent="0.45">
      <c r="A431" t="s">
        <v>202</v>
      </c>
      <c r="B431" t="str">
        <f t="shared" si="6"/>
        <v>Chris Carson</v>
      </c>
      <c r="C431">
        <v>2</v>
      </c>
      <c r="D431">
        <v>2</v>
      </c>
      <c r="E431" s="1">
        <v>0.11799999999999999</v>
      </c>
      <c r="F431">
        <v>0</v>
      </c>
      <c r="G431">
        <v>0</v>
      </c>
      <c r="H431">
        <v>0</v>
      </c>
      <c r="I431">
        <v>2021</v>
      </c>
    </row>
    <row r="432" spans="1:9" x14ac:dyDescent="0.45">
      <c r="A432" t="s">
        <v>203</v>
      </c>
      <c r="B432" t="str">
        <f t="shared" si="6"/>
        <v>Adrian Peterson</v>
      </c>
      <c r="C432">
        <v>5</v>
      </c>
      <c r="D432">
        <v>2</v>
      </c>
      <c r="E432" s="1">
        <v>0.29399999999999998</v>
      </c>
      <c r="F432">
        <v>1</v>
      </c>
      <c r="G432">
        <v>1</v>
      </c>
      <c r="H432">
        <v>0</v>
      </c>
      <c r="I432">
        <v>2021</v>
      </c>
    </row>
    <row r="433" spans="1:9" x14ac:dyDescent="0.45">
      <c r="A433" t="s">
        <v>19</v>
      </c>
      <c r="B433" t="str">
        <f t="shared" si="6"/>
        <v>D'Andre Swift</v>
      </c>
      <c r="C433">
        <v>6</v>
      </c>
      <c r="D433">
        <v>2</v>
      </c>
      <c r="E433" s="1">
        <v>0.5</v>
      </c>
      <c r="F433">
        <v>0</v>
      </c>
      <c r="G433">
        <v>1</v>
      </c>
      <c r="H433">
        <v>0</v>
      </c>
      <c r="I433">
        <v>2021</v>
      </c>
    </row>
    <row r="434" spans="1:9" x14ac:dyDescent="0.45">
      <c r="A434" t="s">
        <v>191</v>
      </c>
      <c r="B434" t="str">
        <f t="shared" si="6"/>
        <v>J.J. Taylor</v>
      </c>
      <c r="C434">
        <v>3</v>
      </c>
      <c r="D434">
        <v>2</v>
      </c>
      <c r="E434" s="1">
        <v>0.115</v>
      </c>
      <c r="F434">
        <v>0</v>
      </c>
      <c r="G434">
        <v>0</v>
      </c>
      <c r="H434">
        <v>0</v>
      </c>
      <c r="I434">
        <v>2021</v>
      </c>
    </row>
    <row r="435" spans="1:9" x14ac:dyDescent="0.45">
      <c r="A435" t="s">
        <v>167</v>
      </c>
      <c r="B435" t="str">
        <f t="shared" si="6"/>
        <v>Mark Ingram II</v>
      </c>
      <c r="C435">
        <v>7</v>
      </c>
      <c r="D435">
        <v>1</v>
      </c>
      <c r="E435" s="1">
        <v>0.41199999999999998</v>
      </c>
      <c r="F435">
        <v>0</v>
      </c>
      <c r="G435">
        <v>0</v>
      </c>
      <c r="H435">
        <v>0</v>
      </c>
      <c r="I435">
        <v>2021</v>
      </c>
    </row>
    <row r="436" spans="1:9" x14ac:dyDescent="0.45">
      <c r="A436" t="s">
        <v>189</v>
      </c>
      <c r="B436" t="str">
        <f t="shared" si="6"/>
        <v>Phillip Lindsay</v>
      </c>
      <c r="C436">
        <v>2</v>
      </c>
      <c r="D436">
        <v>1</v>
      </c>
      <c r="E436" s="1">
        <v>0.11799999999999999</v>
      </c>
      <c r="F436">
        <v>0</v>
      </c>
      <c r="G436">
        <v>1</v>
      </c>
      <c r="H436">
        <v>0</v>
      </c>
      <c r="I436">
        <v>2021</v>
      </c>
    </row>
    <row r="437" spans="1:9" x14ac:dyDescent="0.45">
      <c r="A437" t="s">
        <v>106</v>
      </c>
      <c r="B437" t="str">
        <f t="shared" si="6"/>
        <v>Alexander Mattison</v>
      </c>
      <c r="C437">
        <v>4</v>
      </c>
      <c r="D437">
        <v>1</v>
      </c>
      <c r="E437" s="1">
        <v>0.182</v>
      </c>
      <c r="F437">
        <v>0</v>
      </c>
      <c r="G437">
        <v>0</v>
      </c>
      <c r="H437">
        <v>0</v>
      </c>
      <c r="I437">
        <v>2021</v>
      </c>
    </row>
    <row r="438" spans="1:9" x14ac:dyDescent="0.45">
      <c r="A438" t="s">
        <v>56</v>
      </c>
      <c r="B438" t="str">
        <f t="shared" si="6"/>
        <v>Tony Pollard</v>
      </c>
      <c r="C438">
        <v>2</v>
      </c>
      <c r="D438">
        <v>1</v>
      </c>
      <c r="E438" s="1">
        <v>0.125</v>
      </c>
      <c r="F438">
        <v>0</v>
      </c>
      <c r="G438">
        <v>0</v>
      </c>
      <c r="H438">
        <v>0</v>
      </c>
      <c r="I438">
        <v>2021</v>
      </c>
    </row>
    <row r="439" spans="1:9" x14ac:dyDescent="0.45">
      <c r="A439" t="s">
        <v>187</v>
      </c>
      <c r="B439" t="str">
        <f t="shared" si="6"/>
        <v>J.D. McKissic</v>
      </c>
      <c r="C439">
        <v>3</v>
      </c>
      <c r="D439">
        <v>1</v>
      </c>
      <c r="E439" s="1">
        <v>0.14299999999999999</v>
      </c>
      <c r="F439">
        <v>1</v>
      </c>
      <c r="G439">
        <v>1</v>
      </c>
      <c r="H439">
        <v>0</v>
      </c>
      <c r="I439">
        <v>2021</v>
      </c>
    </row>
    <row r="440" spans="1:9" x14ac:dyDescent="0.45">
      <c r="A440" t="s">
        <v>173</v>
      </c>
      <c r="B440" t="str">
        <f t="shared" si="6"/>
        <v>JaMycal Hasty</v>
      </c>
      <c r="C440">
        <v>2</v>
      </c>
      <c r="D440">
        <v>1</v>
      </c>
      <c r="E440" s="1">
        <v>0.154</v>
      </c>
      <c r="F440">
        <v>0</v>
      </c>
      <c r="G440">
        <v>1</v>
      </c>
      <c r="H440">
        <v>0</v>
      </c>
      <c r="I440">
        <v>2021</v>
      </c>
    </row>
    <row r="441" spans="1:9" x14ac:dyDescent="0.45">
      <c r="A441" t="s">
        <v>161</v>
      </c>
      <c r="B441" t="str">
        <f t="shared" si="6"/>
        <v>Kenyan Drake</v>
      </c>
      <c r="C441">
        <v>1</v>
      </c>
      <c r="D441">
        <v>1</v>
      </c>
      <c r="E441" s="1">
        <v>7.0999999999999994E-2</v>
      </c>
      <c r="F441">
        <v>0</v>
      </c>
      <c r="G441">
        <v>0</v>
      </c>
      <c r="H441">
        <v>0</v>
      </c>
      <c r="I441">
        <v>2021</v>
      </c>
    </row>
    <row r="442" spans="1:9" x14ac:dyDescent="0.45">
      <c r="A442" t="s">
        <v>52</v>
      </c>
      <c r="B442" t="str">
        <f t="shared" si="6"/>
        <v>Samaje Perine</v>
      </c>
      <c r="C442">
        <v>0</v>
      </c>
      <c r="D442">
        <v>0</v>
      </c>
      <c r="E442" s="1">
        <v>0</v>
      </c>
      <c r="F442">
        <v>1</v>
      </c>
      <c r="G442">
        <v>1</v>
      </c>
      <c r="H442">
        <v>1</v>
      </c>
      <c r="I442">
        <v>2021</v>
      </c>
    </row>
    <row r="443" spans="1:9" x14ac:dyDescent="0.45">
      <c r="A443" t="s">
        <v>59</v>
      </c>
      <c r="B443" t="str">
        <f t="shared" si="6"/>
        <v>Saquon Barkley</v>
      </c>
      <c r="C443">
        <v>3</v>
      </c>
      <c r="D443">
        <v>1</v>
      </c>
      <c r="E443" s="1">
        <v>0.33300000000000002</v>
      </c>
      <c r="F443">
        <v>0</v>
      </c>
      <c r="G443">
        <v>0</v>
      </c>
      <c r="H443">
        <v>0</v>
      </c>
      <c r="I443">
        <v>2021</v>
      </c>
    </row>
    <row r="444" spans="1:9" x14ac:dyDescent="0.45">
      <c r="A444" t="s">
        <v>163</v>
      </c>
      <c r="B444" t="str">
        <f t="shared" si="6"/>
        <v>Chase Edmonds</v>
      </c>
      <c r="C444">
        <v>5</v>
      </c>
      <c r="D444">
        <v>1</v>
      </c>
      <c r="E444" s="1">
        <v>0.23799999999999999</v>
      </c>
      <c r="F444">
        <v>0</v>
      </c>
      <c r="G444">
        <v>0</v>
      </c>
      <c r="H444">
        <v>0</v>
      </c>
      <c r="I444">
        <v>2021</v>
      </c>
    </row>
    <row r="445" spans="1:9" x14ac:dyDescent="0.45">
      <c r="A445" t="s">
        <v>204</v>
      </c>
      <c r="B445" t="str">
        <f t="shared" si="6"/>
        <v>Austin Walter</v>
      </c>
      <c r="C445">
        <v>2</v>
      </c>
      <c r="D445">
        <v>1</v>
      </c>
      <c r="E445" s="1">
        <v>8.6999999999999994E-2</v>
      </c>
      <c r="F445">
        <v>0</v>
      </c>
      <c r="G445">
        <v>0</v>
      </c>
      <c r="H445">
        <v>0</v>
      </c>
      <c r="I445">
        <v>2021</v>
      </c>
    </row>
    <row r="446" spans="1:9" x14ac:dyDescent="0.45">
      <c r="A446" t="s">
        <v>84</v>
      </c>
      <c r="B446" t="str">
        <f t="shared" si="6"/>
        <v>D'Ernest Johnson</v>
      </c>
      <c r="C446">
        <v>1</v>
      </c>
      <c r="D446">
        <v>1</v>
      </c>
      <c r="E446" s="1">
        <v>5.6000000000000001E-2</v>
      </c>
      <c r="F446">
        <v>0</v>
      </c>
      <c r="G446">
        <v>0</v>
      </c>
      <c r="H446">
        <v>0</v>
      </c>
      <c r="I446">
        <v>2021</v>
      </c>
    </row>
    <row r="447" spans="1:9" x14ac:dyDescent="0.45">
      <c r="A447" t="s">
        <v>205</v>
      </c>
      <c r="B447" t="str">
        <f t="shared" si="6"/>
        <v>Carlos Hyde</v>
      </c>
      <c r="C447">
        <v>4</v>
      </c>
      <c r="D447">
        <v>1</v>
      </c>
      <c r="E447" s="1">
        <v>0.26700000000000002</v>
      </c>
      <c r="F447">
        <v>0</v>
      </c>
      <c r="G447">
        <v>0</v>
      </c>
      <c r="H447">
        <v>0</v>
      </c>
      <c r="I447">
        <v>2021</v>
      </c>
    </row>
    <row r="448" spans="1:9" x14ac:dyDescent="0.45">
      <c r="A448" t="s">
        <v>206</v>
      </c>
      <c r="B448" t="str">
        <f t="shared" si="6"/>
        <v>Alex Collins</v>
      </c>
      <c r="C448">
        <v>4</v>
      </c>
      <c r="D448">
        <v>1</v>
      </c>
      <c r="E448" s="1">
        <v>0.23499999999999999</v>
      </c>
      <c r="F448">
        <v>0</v>
      </c>
      <c r="G448">
        <v>0</v>
      </c>
      <c r="H448">
        <v>0</v>
      </c>
      <c r="I448">
        <v>2021</v>
      </c>
    </row>
    <row r="449" spans="1:9" x14ac:dyDescent="0.45">
      <c r="A449" t="s">
        <v>207</v>
      </c>
      <c r="B449" t="str">
        <f t="shared" si="6"/>
        <v>Jonathan Williams</v>
      </c>
      <c r="C449">
        <v>2</v>
      </c>
      <c r="D449">
        <v>1</v>
      </c>
      <c r="E449" s="1">
        <v>9.5000000000000001E-2</v>
      </c>
      <c r="F449">
        <v>0</v>
      </c>
      <c r="G449">
        <v>0</v>
      </c>
      <c r="H449">
        <v>0</v>
      </c>
      <c r="I449">
        <v>2021</v>
      </c>
    </row>
    <row r="450" spans="1:9" x14ac:dyDescent="0.45">
      <c r="A450" t="s">
        <v>208</v>
      </c>
      <c r="B450" t="str">
        <f t="shared" ref="B450:B513" si="7">TRIM(LEFT(A450, LEN(A450) - LEN(TRIM(RIGHT(SUBSTITUTE(TRIM(A450)," ",REPT(" ",100)),100)))))</f>
        <v>Rashaad Penny</v>
      </c>
      <c r="C450">
        <v>3</v>
      </c>
      <c r="D450">
        <v>1</v>
      </c>
      <c r="E450" s="1">
        <v>0.17599999999999999</v>
      </c>
      <c r="F450">
        <v>0</v>
      </c>
      <c r="G450">
        <v>0</v>
      </c>
      <c r="H450">
        <v>0</v>
      </c>
      <c r="I450">
        <v>2021</v>
      </c>
    </row>
    <row r="451" spans="1:9" x14ac:dyDescent="0.45">
      <c r="A451" t="s">
        <v>156</v>
      </c>
      <c r="B451" t="str">
        <f t="shared" si="7"/>
        <v>Deon Jackson</v>
      </c>
      <c r="C451">
        <v>1</v>
      </c>
      <c r="D451">
        <v>1</v>
      </c>
      <c r="E451" s="1">
        <v>3.3000000000000002E-2</v>
      </c>
      <c r="F451">
        <v>0</v>
      </c>
      <c r="G451">
        <v>0</v>
      </c>
      <c r="H451">
        <v>0</v>
      </c>
      <c r="I451">
        <v>2021</v>
      </c>
    </row>
    <row r="452" spans="1:9" x14ac:dyDescent="0.45">
      <c r="A452" t="s">
        <v>26</v>
      </c>
      <c r="B452" t="str">
        <f t="shared" si="7"/>
        <v>Kenny Gainwell</v>
      </c>
      <c r="C452">
        <v>3</v>
      </c>
      <c r="D452">
        <v>1</v>
      </c>
      <c r="E452" s="1">
        <v>0.10299999999999999</v>
      </c>
      <c r="F452">
        <v>0</v>
      </c>
      <c r="G452">
        <v>0</v>
      </c>
      <c r="H452">
        <v>0</v>
      </c>
      <c r="I452">
        <v>2021</v>
      </c>
    </row>
    <row r="453" spans="1:9" x14ac:dyDescent="0.45">
      <c r="A453" t="s">
        <v>209</v>
      </c>
      <c r="B453" t="str">
        <f t="shared" si="7"/>
        <v>Duke Johnson Jr.</v>
      </c>
      <c r="C453">
        <v>3</v>
      </c>
      <c r="D453">
        <v>1</v>
      </c>
      <c r="E453" s="1">
        <v>0.17599999999999999</v>
      </c>
      <c r="F453">
        <v>0</v>
      </c>
      <c r="G453">
        <v>0</v>
      </c>
      <c r="H453">
        <v>0</v>
      </c>
      <c r="I453">
        <v>2021</v>
      </c>
    </row>
    <row r="454" spans="1:9" x14ac:dyDescent="0.45">
      <c r="A454" t="s">
        <v>210</v>
      </c>
      <c r="B454" t="str">
        <f t="shared" si="7"/>
        <v>Andy Janovich</v>
      </c>
      <c r="C454">
        <v>1</v>
      </c>
      <c r="D454">
        <v>1</v>
      </c>
      <c r="E454" s="1">
        <v>5.6000000000000001E-2</v>
      </c>
      <c r="F454">
        <v>0</v>
      </c>
      <c r="G454">
        <v>0</v>
      </c>
      <c r="H454">
        <v>0</v>
      </c>
      <c r="I454">
        <v>2021</v>
      </c>
    </row>
    <row r="455" spans="1:9" x14ac:dyDescent="0.45">
      <c r="A455" t="s">
        <v>211</v>
      </c>
      <c r="B455" t="str">
        <f t="shared" si="7"/>
        <v>Alex Armah Jr.</v>
      </c>
      <c r="C455">
        <v>0</v>
      </c>
      <c r="D455">
        <v>0</v>
      </c>
      <c r="E455" s="1">
        <v>0</v>
      </c>
      <c r="F455">
        <v>1</v>
      </c>
      <c r="G455">
        <v>1</v>
      </c>
      <c r="H455">
        <v>1</v>
      </c>
      <c r="I455">
        <v>2021</v>
      </c>
    </row>
    <row r="456" spans="1:9" x14ac:dyDescent="0.45">
      <c r="A456" t="s">
        <v>101</v>
      </c>
      <c r="B456" t="str">
        <f t="shared" si="7"/>
        <v>Dare Ogunbowale</v>
      </c>
      <c r="C456">
        <v>1</v>
      </c>
      <c r="D456">
        <v>1</v>
      </c>
      <c r="E456" s="1">
        <v>6.7000000000000004E-2</v>
      </c>
      <c r="F456">
        <v>0</v>
      </c>
      <c r="G456">
        <v>1</v>
      </c>
      <c r="H456">
        <v>0</v>
      </c>
      <c r="I456">
        <v>2021</v>
      </c>
    </row>
    <row r="457" spans="1:9" x14ac:dyDescent="0.45">
      <c r="A457" t="s">
        <v>117</v>
      </c>
      <c r="B457" t="str">
        <f t="shared" si="7"/>
        <v>Patrick Ricard</v>
      </c>
      <c r="C457">
        <v>0</v>
      </c>
      <c r="D457">
        <v>0</v>
      </c>
      <c r="E457" s="1">
        <v>0</v>
      </c>
      <c r="F457">
        <v>1</v>
      </c>
      <c r="G457">
        <v>2</v>
      </c>
      <c r="H457">
        <v>1</v>
      </c>
      <c r="I457">
        <v>2021</v>
      </c>
    </row>
    <row r="458" spans="1:9" x14ac:dyDescent="0.45">
      <c r="A458" t="s">
        <v>212</v>
      </c>
      <c r="B458" t="str">
        <f t="shared" si="7"/>
        <v>Johnny Stanton IV</v>
      </c>
      <c r="C458">
        <v>1</v>
      </c>
      <c r="D458">
        <v>0</v>
      </c>
      <c r="E458" s="1">
        <v>5.6000000000000001E-2</v>
      </c>
      <c r="F458">
        <v>1</v>
      </c>
      <c r="G458">
        <v>1</v>
      </c>
      <c r="H458">
        <v>1</v>
      </c>
      <c r="I458">
        <v>2021</v>
      </c>
    </row>
    <row r="459" spans="1:9" x14ac:dyDescent="0.45">
      <c r="A459" t="s">
        <v>118</v>
      </c>
      <c r="B459" t="str">
        <f t="shared" si="7"/>
        <v>Alec Ingold</v>
      </c>
      <c r="C459">
        <v>1</v>
      </c>
      <c r="D459">
        <v>0</v>
      </c>
      <c r="E459" s="1">
        <v>7.0999999999999994E-2</v>
      </c>
      <c r="F459">
        <v>1</v>
      </c>
      <c r="G459">
        <v>1</v>
      </c>
      <c r="H459">
        <v>1</v>
      </c>
      <c r="I459">
        <v>2021</v>
      </c>
    </row>
    <row r="460" spans="1:9" x14ac:dyDescent="0.45">
      <c r="A460" t="s">
        <v>112</v>
      </c>
      <c r="B460" t="str">
        <f t="shared" si="7"/>
        <v>Trey Sermon</v>
      </c>
      <c r="C460">
        <v>1</v>
      </c>
      <c r="D460">
        <v>1</v>
      </c>
      <c r="E460" s="1">
        <v>7.6999999999999999E-2</v>
      </c>
      <c r="F460">
        <v>0</v>
      </c>
      <c r="G460">
        <v>0</v>
      </c>
      <c r="H460">
        <v>0</v>
      </c>
      <c r="I460">
        <v>2021</v>
      </c>
    </row>
    <row r="461" spans="1:9" x14ac:dyDescent="0.45">
      <c r="A461" t="s">
        <v>213</v>
      </c>
      <c r="B461" t="str">
        <f t="shared" si="7"/>
        <v>Larry Rountree III</v>
      </c>
      <c r="C461">
        <v>2</v>
      </c>
      <c r="D461">
        <v>1</v>
      </c>
      <c r="E461" s="1">
        <v>9.0999999999999998E-2</v>
      </c>
      <c r="F461">
        <v>0</v>
      </c>
      <c r="G461">
        <v>0</v>
      </c>
      <c r="H461">
        <v>0</v>
      </c>
      <c r="I461">
        <v>2021</v>
      </c>
    </row>
    <row r="462" spans="1:9" x14ac:dyDescent="0.45">
      <c r="A462" t="s">
        <v>71</v>
      </c>
      <c r="B462" t="str">
        <f t="shared" si="7"/>
        <v>Jaret Patterson</v>
      </c>
      <c r="C462">
        <v>1</v>
      </c>
      <c r="D462">
        <v>1</v>
      </c>
      <c r="E462" s="1">
        <v>4.8000000000000001E-2</v>
      </c>
      <c r="F462">
        <v>0</v>
      </c>
      <c r="G462">
        <v>0</v>
      </c>
      <c r="H462">
        <v>0</v>
      </c>
      <c r="I462">
        <v>2021</v>
      </c>
    </row>
    <row r="463" spans="1:9" x14ac:dyDescent="0.45">
      <c r="A463" t="s">
        <v>154</v>
      </c>
      <c r="B463" t="str">
        <f t="shared" si="7"/>
        <v>Derrick Gore</v>
      </c>
      <c r="C463">
        <v>2</v>
      </c>
      <c r="D463">
        <v>1</v>
      </c>
      <c r="E463" s="1">
        <v>0.1</v>
      </c>
      <c r="F463">
        <v>0</v>
      </c>
      <c r="G463">
        <v>0</v>
      </c>
      <c r="H463">
        <v>0</v>
      </c>
      <c r="I463">
        <v>2021</v>
      </c>
    </row>
    <row r="464" spans="1:9" x14ac:dyDescent="0.45">
      <c r="A464" t="s">
        <v>115</v>
      </c>
      <c r="B464" t="str">
        <f t="shared" si="7"/>
        <v>Khalil Herbert</v>
      </c>
      <c r="C464">
        <v>3</v>
      </c>
      <c r="D464">
        <v>1</v>
      </c>
      <c r="E464" s="1">
        <v>0.15</v>
      </c>
      <c r="F464">
        <v>0</v>
      </c>
      <c r="G464">
        <v>0</v>
      </c>
      <c r="H464">
        <v>0</v>
      </c>
      <c r="I464">
        <v>2021</v>
      </c>
    </row>
    <row r="465" spans="1:9" x14ac:dyDescent="0.45">
      <c r="A465" t="s">
        <v>214</v>
      </c>
      <c r="B465" t="str">
        <f t="shared" si="7"/>
        <v>Ronald Jones II</v>
      </c>
      <c r="C465">
        <v>5</v>
      </c>
      <c r="D465">
        <v>1</v>
      </c>
      <c r="E465" s="1">
        <v>0.26300000000000001</v>
      </c>
      <c r="F465">
        <v>0</v>
      </c>
      <c r="G465">
        <v>1</v>
      </c>
      <c r="H465">
        <v>0</v>
      </c>
      <c r="I465">
        <v>2021</v>
      </c>
    </row>
    <row r="466" spans="1:9" x14ac:dyDescent="0.45">
      <c r="A466" t="s">
        <v>169</v>
      </c>
      <c r="B466" t="str">
        <f t="shared" si="7"/>
        <v>Tevin Coleman</v>
      </c>
      <c r="C466">
        <v>6</v>
      </c>
      <c r="D466">
        <v>0</v>
      </c>
      <c r="E466" s="1">
        <v>0.26100000000000001</v>
      </c>
      <c r="F466">
        <v>0</v>
      </c>
      <c r="G466">
        <v>0</v>
      </c>
      <c r="H466">
        <v>0</v>
      </c>
      <c r="I466">
        <v>2021</v>
      </c>
    </row>
    <row r="467" spans="1:9" x14ac:dyDescent="0.45">
      <c r="A467" t="s">
        <v>180</v>
      </c>
      <c r="B467" t="str">
        <f t="shared" si="7"/>
        <v>Brandon Bolden</v>
      </c>
      <c r="C467">
        <v>2</v>
      </c>
      <c r="D467">
        <v>0</v>
      </c>
      <c r="E467" s="1">
        <v>7.6999999999999999E-2</v>
      </c>
      <c r="F467">
        <v>0</v>
      </c>
      <c r="G467">
        <v>0</v>
      </c>
      <c r="H467">
        <v>0</v>
      </c>
      <c r="I467">
        <v>2021</v>
      </c>
    </row>
    <row r="468" spans="1:9" x14ac:dyDescent="0.45">
      <c r="A468" t="s">
        <v>215</v>
      </c>
      <c r="B468" t="str">
        <f t="shared" si="7"/>
        <v>Giovani Bernard</v>
      </c>
      <c r="C468">
        <v>0</v>
      </c>
      <c r="D468">
        <v>0</v>
      </c>
      <c r="E468" s="1">
        <v>0</v>
      </c>
      <c r="F468">
        <v>1</v>
      </c>
      <c r="G468">
        <v>1</v>
      </c>
      <c r="H468">
        <v>0</v>
      </c>
      <c r="I468">
        <v>2021</v>
      </c>
    </row>
    <row r="469" spans="1:9" x14ac:dyDescent="0.45">
      <c r="A469" t="s">
        <v>216</v>
      </c>
      <c r="B469" t="str">
        <f t="shared" si="7"/>
        <v>Ty Montgomery II</v>
      </c>
      <c r="C469">
        <v>0</v>
      </c>
      <c r="D469">
        <v>0</v>
      </c>
      <c r="E469" s="1">
        <v>0</v>
      </c>
      <c r="F469">
        <v>1</v>
      </c>
      <c r="G469">
        <v>1</v>
      </c>
      <c r="H469">
        <v>0</v>
      </c>
      <c r="I469">
        <v>2021</v>
      </c>
    </row>
    <row r="470" spans="1:9" x14ac:dyDescent="0.45">
      <c r="A470" t="s">
        <v>217</v>
      </c>
      <c r="B470" t="str">
        <f t="shared" si="7"/>
        <v>Travis Homer</v>
      </c>
      <c r="C470">
        <v>1</v>
      </c>
      <c r="D470">
        <v>0</v>
      </c>
      <c r="E470" s="1">
        <v>5.8999999999999997E-2</v>
      </c>
      <c r="F470">
        <v>0</v>
      </c>
      <c r="G470">
        <v>0</v>
      </c>
      <c r="H470">
        <v>0</v>
      </c>
      <c r="I470">
        <v>2021</v>
      </c>
    </row>
    <row r="471" spans="1:9" x14ac:dyDescent="0.45">
      <c r="A471" t="s">
        <v>218</v>
      </c>
      <c r="B471" t="str">
        <f t="shared" si="7"/>
        <v>Ty'Son Williams</v>
      </c>
      <c r="C471">
        <v>1</v>
      </c>
      <c r="D471">
        <v>0</v>
      </c>
      <c r="E471" s="1">
        <v>6.3E-2</v>
      </c>
      <c r="F471">
        <v>0</v>
      </c>
      <c r="G471">
        <v>0</v>
      </c>
      <c r="H471">
        <v>0</v>
      </c>
      <c r="I471">
        <v>2021</v>
      </c>
    </row>
    <row r="472" spans="1:9" x14ac:dyDescent="0.45">
      <c r="A472" t="s">
        <v>113</v>
      </c>
      <c r="B472" t="str">
        <f t="shared" si="7"/>
        <v>Michael Burton</v>
      </c>
      <c r="C472">
        <v>1</v>
      </c>
      <c r="D472">
        <v>0</v>
      </c>
      <c r="E472" s="1">
        <v>0.05</v>
      </c>
      <c r="F472">
        <v>1</v>
      </c>
      <c r="G472">
        <v>1</v>
      </c>
      <c r="H472">
        <v>0</v>
      </c>
      <c r="I472">
        <v>2021</v>
      </c>
    </row>
    <row r="473" spans="1:9" x14ac:dyDescent="0.45">
      <c r="A473" t="s">
        <v>79</v>
      </c>
      <c r="B473" t="str">
        <f t="shared" si="7"/>
        <v>Jeremy McNichols</v>
      </c>
      <c r="C473">
        <v>1</v>
      </c>
      <c r="D473">
        <v>0</v>
      </c>
      <c r="E473" s="1">
        <v>5.8999999999999997E-2</v>
      </c>
      <c r="F473">
        <v>0</v>
      </c>
      <c r="G473">
        <v>0</v>
      </c>
      <c r="H473">
        <v>0</v>
      </c>
      <c r="I473">
        <v>2021</v>
      </c>
    </row>
    <row r="474" spans="1:9" x14ac:dyDescent="0.45">
      <c r="A474" t="s">
        <v>172</v>
      </c>
      <c r="B474" t="str">
        <f t="shared" si="7"/>
        <v>Justin Jackson</v>
      </c>
      <c r="C474">
        <v>2</v>
      </c>
      <c r="D474">
        <v>0</v>
      </c>
      <c r="E474" s="1">
        <v>9.0999999999999998E-2</v>
      </c>
      <c r="F474">
        <v>0</v>
      </c>
      <c r="G474">
        <v>0</v>
      </c>
      <c r="H474">
        <v>0</v>
      </c>
      <c r="I474">
        <v>2021</v>
      </c>
    </row>
    <row r="475" spans="1:9" x14ac:dyDescent="0.45">
      <c r="A475" t="s">
        <v>219</v>
      </c>
      <c r="B475" t="str">
        <f t="shared" si="7"/>
        <v>Jakob Johnson</v>
      </c>
      <c r="C475">
        <v>0</v>
      </c>
      <c r="D475">
        <v>0</v>
      </c>
      <c r="E475" s="1">
        <v>0</v>
      </c>
      <c r="F475">
        <v>1</v>
      </c>
      <c r="G475">
        <v>1</v>
      </c>
      <c r="H475">
        <v>0</v>
      </c>
      <c r="I475">
        <v>2021</v>
      </c>
    </row>
    <row r="476" spans="1:9" x14ac:dyDescent="0.45">
      <c r="A476" t="s">
        <v>68</v>
      </c>
      <c r="B476" t="str">
        <f t="shared" si="7"/>
        <v>Kyle Juszczyk</v>
      </c>
      <c r="C476">
        <v>1</v>
      </c>
      <c r="D476">
        <v>0</v>
      </c>
      <c r="E476" s="1">
        <v>7.6999999999999999E-2</v>
      </c>
      <c r="F476">
        <v>0</v>
      </c>
      <c r="G476">
        <v>0</v>
      </c>
      <c r="H476">
        <v>0</v>
      </c>
      <c r="I476">
        <v>2021</v>
      </c>
    </row>
    <row r="477" spans="1:9" x14ac:dyDescent="0.45">
      <c r="A477" t="s">
        <v>184</v>
      </c>
      <c r="B477" t="str">
        <f t="shared" si="7"/>
        <v>Malcolm Brown</v>
      </c>
      <c r="C477">
        <v>4</v>
      </c>
      <c r="D477">
        <v>0</v>
      </c>
      <c r="E477" s="1">
        <v>0.23499999999999999</v>
      </c>
      <c r="F477">
        <v>0</v>
      </c>
      <c r="G477">
        <v>0</v>
      </c>
      <c r="H477">
        <v>0</v>
      </c>
      <c r="I477">
        <v>2021</v>
      </c>
    </row>
    <row r="478" spans="1:9" x14ac:dyDescent="0.45">
      <c r="A478" t="s">
        <v>220</v>
      </c>
      <c r="B478" t="str">
        <f t="shared" si="7"/>
        <v>Dontrell Hilliard</v>
      </c>
      <c r="C478">
        <v>1</v>
      </c>
      <c r="D478">
        <v>0</v>
      </c>
      <c r="E478" s="1">
        <v>5.8999999999999997E-2</v>
      </c>
      <c r="F478">
        <v>0</v>
      </c>
      <c r="G478">
        <v>0</v>
      </c>
      <c r="H478">
        <v>0</v>
      </c>
      <c r="I478">
        <v>2021</v>
      </c>
    </row>
    <row r="479" spans="1:9" x14ac:dyDescent="0.45">
      <c r="A479" t="s">
        <v>137</v>
      </c>
      <c r="B479" t="str">
        <f t="shared" si="7"/>
        <v>Tony Jones Jr.</v>
      </c>
      <c r="C479">
        <v>1</v>
      </c>
      <c r="D479">
        <v>0</v>
      </c>
      <c r="E479" s="1">
        <v>5.8999999999999997E-2</v>
      </c>
      <c r="F479">
        <v>0</v>
      </c>
      <c r="G479">
        <v>0</v>
      </c>
      <c r="H479">
        <v>0</v>
      </c>
      <c r="I479">
        <v>2021</v>
      </c>
    </row>
    <row r="480" spans="1:9" x14ac:dyDescent="0.45">
      <c r="A480" t="s">
        <v>221</v>
      </c>
      <c r="B480" t="str">
        <f t="shared" si="7"/>
        <v>Chris Evans</v>
      </c>
      <c r="C480">
        <v>1</v>
      </c>
      <c r="D480">
        <v>0</v>
      </c>
      <c r="E480" s="1">
        <v>6.3E-2</v>
      </c>
      <c r="F480">
        <v>0</v>
      </c>
      <c r="G480">
        <v>0</v>
      </c>
      <c r="H480">
        <v>0</v>
      </c>
      <c r="I480">
        <v>2021</v>
      </c>
    </row>
    <row r="481" spans="1:9" x14ac:dyDescent="0.45">
      <c r="A481" t="s">
        <v>222</v>
      </c>
      <c r="B481" t="str">
        <f t="shared" si="7"/>
        <v>David Johnson</v>
      </c>
      <c r="C481">
        <v>0</v>
      </c>
      <c r="D481">
        <v>0</v>
      </c>
      <c r="E481" s="1">
        <v>0</v>
      </c>
      <c r="F481">
        <v>0</v>
      </c>
      <c r="G481">
        <v>1</v>
      </c>
      <c r="H481">
        <v>0</v>
      </c>
      <c r="I481">
        <v>2021</v>
      </c>
    </row>
    <row r="482" spans="1:9" x14ac:dyDescent="0.45">
      <c r="A482" t="s">
        <v>73</v>
      </c>
      <c r="B482" t="str">
        <f t="shared" si="7"/>
        <v>C.J. Ham</v>
      </c>
      <c r="C482">
        <v>1</v>
      </c>
      <c r="D482">
        <v>0</v>
      </c>
      <c r="E482" s="1">
        <v>4.4999999999999998E-2</v>
      </c>
      <c r="F482">
        <v>0</v>
      </c>
      <c r="G482">
        <v>0</v>
      </c>
      <c r="H482">
        <v>0</v>
      </c>
      <c r="I482">
        <v>2021</v>
      </c>
    </row>
    <row r="483" spans="1:9" x14ac:dyDescent="0.45">
      <c r="A483" t="s">
        <v>223</v>
      </c>
      <c r="B483" t="str">
        <f t="shared" si="7"/>
        <v>Brandin Bryant</v>
      </c>
      <c r="C483">
        <v>0</v>
      </c>
      <c r="D483">
        <v>0</v>
      </c>
      <c r="E483" s="1">
        <v>0</v>
      </c>
      <c r="F483">
        <v>0</v>
      </c>
      <c r="G483">
        <v>0</v>
      </c>
      <c r="H483">
        <v>0</v>
      </c>
      <c r="I483">
        <v>2021</v>
      </c>
    </row>
    <row r="484" spans="1:9" x14ac:dyDescent="0.45">
      <c r="A484" t="s">
        <v>141</v>
      </c>
      <c r="B484" t="str">
        <f t="shared" si="7"/>
        <v>Royce Freeman</v>
      </c>
      <c r="C484">
        <v>1</v>
      </c>
      <c r="D484">
        <v>0</v>
      </c>
      <c r="E484" s="1">
        <v>0.125</v>
      </c>
      <c r="F484">
        <v>0</v>
      </c>
      <c r="G484">
        <v>0</v>
      </c>
      <c r="H484">
        <v>0</v>
      </c>
      <c r="I484">
        <v>2021</v>
      </c>
    </row>
    <row r="485" spans="1:9" x14ac:dyDescent="0.45">
      <c r="A485" t="s">
        <v>224</v>
      </c>
      <c r="B485" t="str">
        <f t="shared" si="7"/>
        <v>Kalen Ballage</v>
      </c>
      <c r="C485">
        <v>0</v>
      </c>
      <c r="D485">
        <v>0</v>
      </c>
      <c r="E485" s="1">
        <v>0</v>
      </c>
      <c r="F485">
        <v>0</v>
      </c>
      <c r="G485">
        <v>1</v>
      </c>
      <c r="H485">
        <v>0</v>
      </c>
      <c r="I485">
        <v>2021</v>
      </c>
    </row>
    <row r="486" spans="1:9" x14ac:dyDescent="0.45">
      <c r="A486" t="s">
        <v>225</v>
      </c>
      <c r="B486" t="str">
        <f t="shared" si="7"/>
        <v>Avery Williams</v>
      </c>
      <c r="C486">
        <v>0</v>
      </c>
      <c r="D486">
        <v>0</v>
      </c>
      <c r="E486" s="1">
        <v>0</v>
      </c>
      <c r="F486">
        <v>0</v>
      </c>
      <c r="G486">
        <v>0</v>
      </c>
      <c r="H486">
        <v>0</v>
      </c>
      <c r="I486">
        <v>2021</v>
      </c>
    </row>
    <row r="487" spans="1:9" x14ac:dyDescent="0.45">
      <c r="A487" t="s">
        <v>60</v>
      </c>
      <c r="B487" t="str">
        <f t="shared" si="7"/>
        <v>Miles Sanders</v>
      </c>
      <c r="C487">
        <v>6</v>
      </c>
      <c r="D487">
        <v>0</v>
      </c>
      <c r="E487" s="1">
        <v>0.20699999999999999</v>
      </c>
      <c r="F487">
        <v>0</v>
      </c>
      <c r="G487">
        <v>0</v>
      </c>
      <c r="H487">
        <v>0</v>
      </c>
      <c r="I487">
        <v>2021</v>
      </c>
    </row>
    <row r="488" spans="1:9" x14ac:dyDescent="0.45">
      <c r="A488" t="s">
        <v>69</v>
      </c>
      <c r="B488" t="str">
        <f t="shared" si="7"/>
        <v>Ameer Abdullah</v>
      </c>
      <c r="C488">
        <v>1</v>
      </c>
      <c r="D488">
        <v>0</v>
      </c>
      <c r="E488" s="1">
        <v>4.4999999999999998E-2</v>
      </c>
      <c r="F488">
        <v>0</v>
      </c>
      <c r="G488">
        <v>0</v>
      </c>
      <c r="H488">
        <v>0</v>
      </c>
      <c r="I488">
        <v>2021</v>
      </c>
    </row>
    <row r="489" spans="1:9" x14ac:dyDescent="0.45">
      <c r="A489" t="s">
        <v>6</v>
      </c>
      <c r="B489" t="str">
        <f t="shared" si="7"/>
        <v>Christian McCaffrey</v>
      </c>
      <c r="C489">
        <v>3</v>
      </c>
      <c r="D489">
        <v>0</v>
      </c>
      <c r="E489" s="1">
        <v>0.375</v>
      </c>
      <c r="F489">
        <v>0</v>
      </c>
      <c r="G489">
        <v>0</v>
      </c>
      <c r="H489">
        <v>0</v>
      </c>
      <c r="I489">
        <v>2021</v>
      </c>
    </row>
    <row r="490" spans="1:9" x14ac:dyDescent="0.45">
      <c r="A490" t="s">
        <v>82</v>
      </c>
      <c r="B490" t="str">
        <f t="shared" si="7"/>
        <v>Kene Nwangwu</v>
      </c>
      <c r="C490">
        <v>1</v>
      </c>
      <c r="D490">
        <v>0</v>
      </c>
      <c r="E490" s="1">
        <v>4.4999999999999998E-2</v>
      </c>
      <c r="F490">
        <v>0</v>
      </c>
      <c r="G490">
        <v>0</v>
      </c>
      <c r="H490">
        <v>0</v>
      </c>
      <c r="I490">
        <v>2021</v>
      </c>
    </row>
    <row r="491" spans="1:9" x14ac:dyDescent="0.45">
      <c r="A491" t="s">
        <v>148</v>
      </c>
      <c r="B491" t="str">
        <f t="shared" si="7"/>
        <v>Craig Reynolds</v>
      </c>
      <c r="C491">
        <v>1</v>
      </c>
      <c r="D491">
        <v>0</v>
      </c>
      <c r="E491" s="1">
        <v>8.3000000000000004E-2</v>
      </c>
      <c r="F491">
        <v>0</v>
      </c>
      <c r="G491">
        <v>0</v>
      </c>
      <c r="H491">
        <v>0</v>
      </c>
      <c r="I491">
        <v>2021</v>
      </c>
    </row>
    <row r="492" spans="1:9" x14ac:dyDescent="0.45">
      <c r="A492" t="s">
        <v>144</v>
      </c>
      <c r="B492" t="str">
        <f t="shared" si="7"/>
        <v>Joshua Kelley</v>
      </c>
      <c r="C492">
        <v>2</v>
      </c>
      <c r="D492">
        <v>0</v>
      </c>
      <c r="E492" s="1">
        <v>9.0999999999999998E-2</v>
      </c>
      <c r="F492">
        <v>0</v>
      </c>
      <c r="G492">
        <v>0</v>
      </c>
      <c r="H492">
        <v>0</v>
      </c>
      <c r="I492">
        <v>2021</v>
      </c>
    </row>
    <row r="493" spans="1:9" x14ac:dyDescent="0.45">
      <c r="A493" t="s">
        <v>98</v>
      </c>
      <c r="B493" t="str">
        <f t="shared" si="7"/>
        <v>Alvin Kamara</v>
      </c>
      <c r="C493">
        <v>15</v>
      </c>
      <c r="D493">
        <v>11</v>
      </c>
      <c r="E493" s="1">
        <v>0.83299999999999996</v>
      </c>
      <c r="F493">
        <v>2</v>
      </c>
      <c r="G493">
        <v>2</v>
      </c>
      <c r="H493">
        <v>1</v>
      </c>
      <c r="I493">
        <v>2020</v>
      </c>
    </row>
    <row r="494" spans="1:9" x14ac:dyDescent="0.45">
      <c r="A494" t="s">
        <v>149</v>
      </c>
      <c r="B494" t="str">
        <f t="shared" si="7"/>
        <v>Dalvin Cook</v>
      </c>
      <c r="C494">
        <v>26</v>
      </c>
      <c r="D494">
        <v>10</v>
      </c>
      <c r="E494" s="1">
        <v>0.81299999999999994</v>
      </c>
      <c r="F494">
        <v>0</v>
      </c>
      <c r="G494">
        <v>0</v>
      </c>
      <c r="H494">
        <v>0</v>
      </c>
      <c r="I494">
        <v>2020</v>
      </c>
    </row>
    <row r="495" spans="1:9" x14ac:dyDescent="0.45">
      <c r="A495" t="s">
        <v>8</v>
      </c>
      <c r="B495" t="str">
        <f t="shared" si="7"/>
        <v>Derrick Henry</v>
      </c>
      <c r="C495">
        <v>17</v>
      </c>
      <c r="D495">
        <v>9</v>
      </c>
      <c r="E495" s="1">
        <v>0.81</v>
      </c>
      <c r="F495">
        <v>0</v>
      </c>
      <c r="G495">
        <v>0</v>
      </c>
      <c r="H495">
        <v>0</v>
      </c>
      <c r="I495">
        <v>2020</v>
      </c>
    </row>
    <row r="496" spans="1:9" x14ac:dyDescent="0.45">
      <c r="A496" t="s">
        <v>161</v>
      </c>
      <c r="B496" t="str">
        <f t="shared" si="7"/>
        <v>Kenyan Drake</v>
      </c>
      <c r="C496">
        <v>22</v>
      </c>
      <c r="D496">
        <v>9</v>
      </c>
      <c r="E496" s="1">
        <v>0.95699999999999996</v>
      </c>
      <c r="F496">
        <v>0</v>
      </c>
      <c r="G496">
        <v>0</v>
      </c>
      <c r="H496">
        <v>0</v>
      </c>
      <c r="I496">
        <v>2020</v>
      </c>
    </row>
    <row r="497" spans="1:9" x14ac:dyDescent="0.45">
      <c r="A497" t="s">
        <v>75</v>
      </c>
      <c r="B497" t="str">
        <f t="shared" si="7"/>
        <v>Antonio Gibson</v>
      </c>
      <c r="C497">
        <v>12</v>
      </c>
      <c r="D497">
        <v>7</v>
      </c>
      <c r="E497" s="1">
        <v>0.5</v>
      </c>
      <c r="F497">
        <v>0</v>
      </c>
      <c r="G497">
        <v>0</v>
      </c>
      <c r="H497">
        <v>0</v>
      </c>
      <c r="I497">
        <v>2020</v>
      </c>
    </row>
    <row r="498" spans="1:9" x14ac:dyDescent="0.45">
      <c r="A498" t="s">
        <v>10</v>
      </c>
      <c r="B498" t="str">
        <f t="shared" si="7"/>
        <v>Jonathan Taylor</v>
      </c>
      <c r="C498">
        <v>15</v>
      </c>
      <c r="D498">
        <v>7</v>
      </c>
      <c r="E498" s="1">
        <v>0.625</v>
      </c>
      <c r="F498">
        <v>0</v>
      </c>
      <c r="G498">
        <v>1</v>
      </c>
      <c r="H498">
        <v>0</v>
      </c>
      <c r="I498">
        <v>2020</v>
      </c>
    </row>
    <row r="499" spans="1:9" x14ac:dyDescent="0.45">
      <c r="A499" t="s">
        <v>46</v>
      </c>
      <c r="B499" t="str">
        <f t="shared" si="7"/>
        <v>J.K. Dobbins</v>
      </c>
      <c r="C499">
        <v>8</v>
      </c>
      <c r="D499">
        <v>7</v>
      </c>
      <c r="E499" s="1">
        <v>0.36399999999999999</v>
      </c>
      <c r="F499">
        <v>0</v>
      </c>
      <c r="G499">
        <v>1</v>
      </c>
      <c r="H499">
        <v>0</v>
      </c>
      <c r="I499">
        <v>2020</v>
      </c>
    </row>
    <row r="500" spans="1:9" x14ac:dyDescent="0.45">
      <c r="A500" t="s">
        <v>203</v>
      </c>
      <c r="B500" t="str">
        <f t="shared" si="7"/>
        <v>Adrian Peterson</v>
      </c>
      <c r="C500">
        <v>14</v>
      </c>
      <c r="D500">
        <v>6</v>
      </c>
      <c r="E500" s="1">
        <v>0.46700000000000003</v>
      </c>
      <c r="F500">
        <v>0</v>
      </c>
      <c r="G500">
        <v>0</v>
      </c>
      <c r="H500">
        <v>0</v>
      </c>
      <c r="I500">
        <v>2020</v>
      </c>
    </row>
    <row r="501" spans="1:9" x14ac:dyDescent="0.45">
      <c r="A501" t="s">
        <v>9</v>
      </c>
      <c r="B501" t="str">
        <f t="shared" si="7"/>
        <v>Kareem Hunt</v>
      </c>
      <c r="C501">
        <v>13</v>
      </c>
      <c r="D501">
        <v>5</v>
      </c>
      <c r="E501" s="1">
        <v>0.54200000000000004</v>
      </c>
      <c r="F501">
        <v>1</v>
      </c>
      <c r="G501">
        <v>1</v>
      </c>
      <c r="H501">
        <v>1</v>
      </c>
      <c r="I501">
        <v>2020</v>
      </c>
    </row>
    <row r="502" spans="1:9" x14ac:dyDescent="0.45">
      <c r="A502" t="s">
        <v>226</v>
      </c>
      <c r="B502" t="str">
        <f t="shared" si="7"/>
        <v>Todd Gurley II</v>
      </c>
      <c r="C502">
        <v>13</v>
      </c>
      <c r="D502">
        <v>6</v>
      </c>
      <c r="E502" s="1">
        <v>0.81299999999999994</v>
      </c>
      <c r="F502">
        <v>0</v>
      </c>
      <c r="G502">
        <v>0</v>
      </c>
      <c r="H502">
        <v>0</v>
      </c>
      <c r="I502">
        <v>2020</v>
      </c>
    </row>
    <row r="503" spans="1:9" x14ac:dyDescent="0.45">
      <c r="A503" t="s">
        <v>183</v>
      </c>
      <c r="B503" t="str">
        <f t="shared" si="7"/>
        <v>Mike Davis</v>
      </c>
      <c r="C503">
        <v>11</v>
      </c>
      <c r="D503">
        <v>5</v>
      </c>
      <c r="E503" s="1">
        <v>0.68799999999999994</v>
      </c>
      <c r="F503">
        <v>1</v>
      </c>
      <c r="G503">
        <v>1</v>
      </c>
      <c r="H503">
        <v>1</v>
      </c>
      <c r="I503">
        <v>2020</v>
      </c>
    </row>
    <row r="504" spans="1:9" x14ac:dyDescent="0.45">
      <c r="A504" t="s">
        <v>227</v>
      </c>
      <c r="B504" t="str">
        <f t="shared" si="7"/>
        <v>Wayne Gallman Jr.</v>
      </c>
      <c r="C504">
        <v>10</v>
      </c>
      <c r="D504">
        <v>6</v>
      </c>
      <c r="E504" s="1">
        <v>0.58799999999999997</v>
      </c>
      <c r="F504">
        <v>0</v>
      </c>
      <c r="G504">
        <v>0</v>
      </c>
      <c r="H504">
        <v>0</v>
      </c>
      <c r="I504">
        <v>2020</v>
      </c>
    </row>
    <row r="505" spans="1:9" x14ac:dyDescent="0.45">
      <c r="A505" t="s">
        <v>13</v>
      </c>
      <c r="B505" t="str">
        <f t="shared" si="7"/>
        <v>Josh Jacobs</v>
      </c>
      <c r="C505">
        <v>20</v>
      </c>
      <c r="D505">
        <v>5</v>
      </c>
      <c r="E505" s="1">
        <v>0.95199999999999996</v>
      </c>
      <c r="F505">
        <v>0</v>
      </c>
      <c r="G505">
        <v>0</v>
      </c>
      <c r="H505">
        <v>0</v>
      </c>
      <c r="I505">
        <v>2020</v>
      </c>
    </row>
    <row r="506" spans="1:9" x14ac:dyDescent="0.45">
      <c r="A506" t="s">
        <v>45</v>
      </c>
      <c r="B506" t="str">
        <f t="shared" si="7"/>
        <v>James Conner</v>
      </c>
      <c r="C506">
        <v>10</v>
      </c>
      <c r="D506">
        <v>5</v>
      </c>
      <c r="E506" s="1">
        <v>0.4</v>
      </c>
      <c r="F506">
        <v>0</v>
      </c>
      <c r="G506">
        <v>1</v>
      </c>
      <c r="H506">
        <v>0</v>
      </c>
      <c r="I506">
        <v>2020</v>
      </c>
    </row>
    <row r="507" spans="1:9" x14ac:dyDescent="0.45">
      <c r="A507" t="s">
        <v>222</v>
      </c>
      <c r="B507" t="str">
        <f t="shared" si="7"/>
        <v>David Johnson</v>
      </c>
      <c r="C507">
        <v>11</v>
      </c>
      <c r="D507">
        <v>3</v>
      </c>
      <c r="E507" s="1">
        <v>0.84599999999999997</v>
      </c>
      <c r="F507">
        <v>2</v>
      </c>
      <c r="G507">
        <v>2</v>
      </c>
      <c r="H507">
        <v>2</v>
      </c>
      <c r="I507">
        <v>2020</v>
      </c>
    </row>
    <row r="508" spans="1:9" x14ac:dyDescent="0.45">
      <c r="A508" t="s">
        <v>168</v>
      </c>
      <c r="B508" t="str">
        <f t="shared" si="7"/>
        <v>James Robinson</v>
      </c>
      <c r="C508">
        <v>6</v>
      </c>
      <c r="D508">
        <v>5</v>
      </c>
      <c r="E508" s="1">
        <v>0.85699999999999998</v>
      </c>
      <c r="F508">
        <v>0</v>
      </c>
      <c r="G508">
        <v>0</v>
      </c>
      <c r="H508">
        <v>0</v>
      </c>
      <c r="I508">
        <v>2020</v>
      </c>
    </row>
    <row r="509" spans="1:9" x14ac:dyDescent="0.45">
      <c r="A509" t="s">
        <v>152</v>
      </c>
      <c r="B509" t="str">
        <f t="shared" si="7"/>
        <v>Leonard Fournette</v>
      </c>
      <c r="C509">
        <v>9</v>
      </c>
      <c r="D509">
        <v>5</v>
      </c>
      <c r="E509" s="1">
        <v>0.5</v>
      </c>
      <c r="F509">
        <v>1</v>
      </c>
      <c r="G509">
        <v>1</v>
      </c>
      <c r="H509">
        <v>0</v>
      </c>
      <c r="I509">
        <v>2020</v>
      </c>
    </row>
    <row r="510" spans="1:9" x14ac:dyDescent="0.45">
      <c r="A510" t="s">
        <v>70</v>
      </c>
      <c r="B510" t="str">
        <f t="shared" si="7"/>
        <v>Nick Chubb</v>
      </c>
      <c r="C510">
        <v>11</v>
      </c>
      <c r="D510">
        <v>5</v>
      </c>
      <c r="E510" s="1">
        <v>0.45800000000000002</v>
      </c>
      <c r="F510">
        <v>0</v>
      </c>
      <c r="G510">
        <v>0</v>
      </c>
      <c r="H510">
        <v>0</v>
      </c>
      <c r="I510">
        <v>2020</v>
      </c>
    </row>
    <row r="511" spans="1:9" x14ac:dyDescent="0.45">
      <c r="A511" t="s">
        <v>19</v>
      </c>
      <c r="B511" t="str">
        <f t="shared" si="7"/>
        <v>D'Andre Swift</v>
      </c>
      <c r="C511">
        <v>9</v>
      </c>
      <c r="D511">
        <v>5</v>
      </c>
      <c r="E511" s="1">
        <v>0.3</v>
      </c>
      <c r="F511">
        <v>0</v>
      </c>
      <c r="G511">
        <v>0</v>
      </c>
      <c r="H511">
        <v>0</v>
      </c>
      <c r="I511">
        <v>2020</v>
      </c>
    </row>
    <row r="512" spans="1:9" x14ac:dyDescent="0.45">
      <c r="A512" t="s">
        <v>107</v>
      </c>
      <c r="B512" t="str">
        <f t="shared" si="7"/>
        <v>Zack Moss</v>
      </c>
      <c r="C512">
        <v>11</v>
      </c>
      <c r="D512">
        <v>3</v>
      </c>
      <c r="E512" s="1">
        <v>0.61099999999999999</v>
      </c>
      <c r="F512">
        <v>1</v>
      </c>
      <c r="G512">
        <v>2</v>
      </c>
      <c r="H512">
        <v>1</v>
      </c>
      <c r="I512">
        <v>2020</v>
      </c>
    </row>
    <row r="513" spans="1:9" x14ac:dyDescent="0.45">
      <c r="A513" t="s">
        <v>110</v>
      </c>
      <c r="B513" t="str">
        <f t="shared" si="7"/>
        <v>Ezekiel Elliott</v>
      </c>
      <c r="C513">
        <v>25</v>
      </c>
      <c r="D513">
        <v>4</v>
      </c>
      <c r="E513" s="1">
        <v>0.89300000000000002</v>
      </c>
      <c r="F513">
        <v>0</v>
      </c>
      <c r="G513">
        <v>0</v>
      </c>
      <c r="H513">
        <v>0</v>
      </c>
      <c r="I513">
        <v>2020</v>
      </c>
    </row>
    <row r="514" spans="1:9" x14ac:dyDescent="0.45">
      <c r="A514" t="s">
        <v>18</v>
      </c>
      <c r="B514" t="str">
        <f t="shared" ref="B514:B577" si="8">TRIM(LEFT(A514, LEN(A514) - LEN(TRIM(RIGHT(SUBSTITUTE(TRIM(A514)," ",REPT(" ",100)),100)))))</f>
        <v>David Montgomery</v>
      </c>
      <c r="C514">
        <v>13</v>
      </c>
      <c r="D514">
        <v>3</v>
      </c>
      <c r="E514" s="1">
        <v>0.81299999999999994</v>
      </c>
      <c r="F514">
        <v>1</v>
      </c>
      <c r="G514">
        <v>2</v>
      </c>
      <c r="H514">
        <v>1</v>
      </c>
      <c r="I514">
        <v>2020</v>
      </c>
    </row>
    <row r="515" spans="1:9" x14ac:dyDescent="0.45">
      <c r="A515" t="s">
        <v>202</v>
      </c>
      <c r="B515" t="str">
        <f t="shared" si="8"/>
        <v>Chris Carson</v>
      </c>
      <c r="C515">
        <v>8</v>
      </c>
      <c r="D515">
        <v>3</v>
      </c>
      <c r="E515" s="1">
        <v>0.4</v>
      </c>
      <c r="F515">
        <v>1</v>
      </c>
      <c r="G515">
        <v>2</v>
      </c>
      <c r="H515">
        <v>1</v>
      </c>
      <c r="I515">
        <v>2020</v>
      </c>
    </row>
    <row r="516" spans="1:9" x14ac:dyDescent="0.45">
      <c r="A516" t="s">
        <v>44</v>
      </c>
      <c r="B516" t="str">
        <f t="shared" si="8"/>
        <v>Aaron Jones Sr.</v>
      </c>
      <c r="C516">
        <v>9</v>
      </c>
      <c r="D516">
        <v>4</v>
      </c>
      <c r="E516" s="1">
        <v>0.56299999999999994</v>
      </c>
      <c r="F516">
        <v>1</v>
      </c>
      <c r="G516">
        <v>3</v>
      </c>
      <c r="H516">
        <v>0</v>
      </c>
      <c r="I516">
        <v>2020</v>
      </c>
    </row>
    <row r="517" spans="1:9" x14ac:dyDescent="0.45">
      <c r="A517" t="s">
        <v>214</v>
      </c>
      <c r="B517" t="str">
        <f t="shared" si="8"/>
        <v>Ronald Jones II</v>
      </c>
      <c r="C517">
        <v>9</v>
      </c>
      <c r="D517">
        <v>4</v>
      </c>
      <c r="E517" s="1">
        <v>0.5</v>
      </c>
      <c r="F517">
        <v>0</v>
      </c>
      <c r="G517">
        <v>1</v>
      </c>
      <c r="H517">
        <v>0</v>
      </c>
      <c r="I517">
        <v>2020</v>
      </c>
    </row>
    <row r="518" spans="1:9" x14ac:dyDescent="0.45">
      <c r="A518" t="s">
        <v>138</v>
      </c>
      <c r="B518" t="str">
        <f t="shared" si="8"/>
        <v>Darrell Henderson Jr.</v>
      </c>
      <c r="C518">
        <v>11</v>
      </c>
      <c r="D518">
        <v>4</v>
      </c>
      <c r="E518" s="1">
        <v>0.40699999999999997</v>
      </c>
      <c r="F518">
        <v>0</v>
      </c>
      <c r="G518">
        <v>0</v>
      </c>
      <c r="H518">
        <v>0</v>
      </c>
      <c r="I518">
        <v>2020</v>
      </c>
    </row>
    <row r="519" spans="1:9" x14ac:dyDescent="0.45">
      <c r="A519" t="s">
        <v>164</v>
      </c>
      <c r="B519" t="str">
        <f t="shared" si="8"/>
        <v>Melvin Gordon III</v>
      </c>
      <c r="C519">
        <v>8</v>
      </c>
      <c r="D519">
        <v>4</v>
      </c>
      <c r="E519" s="1">
        <v>0.66700000000000004</v>
      </c>
      <c r="F519">
        <v>0</v>
      </c>
      <c r="G519">
        <v>0</v>
      </c>
      <c r="H519">
        <v>0</v>
      </c>
      <c r="I519">
        <v>2020</v>
      </c>
    </row>
    <row r="520" spans="1:9" x14ac:dyDescent="0.45">
      <c r="A520" t="s">
        <v>184</v>
      </c>
      <c r="B520" t="str">
        <f t="shared" si="8"/>
        <v>Malcolm Brown</v>
      </c>
      <c r="C520">
        <v>9</v>
      </c>
      <c r="D520">
        <v>4</v>
      </c>
      <c r="E520" s="1">
        <v>0.33300000000000002</v>
      </c>
      <c r="F520">
        <v>0</v>
      </c>
      <c r="G520">
        <v>0</v>
      </c>
      <c r="H520">
        <v>0</v>
      </c>
      <c r="I520">
        <v>2020</v>
      </c>
    </row>
    <row r="521" spans="1:9" x14ac:dyDescent="0.45">
      <c r="A521" t="s">
        <v>176</v>
      </c>
      <c r="B521" t="str">
        <f t="shared" si="8"/>
        <v>Benny Snell Jr.</v>
      </c>
      <c r="C521">
        <v>15</v>
      </c>
      <c r="D521">
        <v>4</v>
      </c>
      <c r="E521" s="1">
        <v>0.6</v>
      </c>
      <c r="F521">
        <v>0</v>
      </c>
      <c r="G521">
        <v>2</v>
      </c>
      <c r="H521">
        <v>0</v>
      </c>
      <c r="I521">
        <v>2020</v>
      </c>
    </row>
    <row r="522" spans="1:9" x14ac:dyDescent="0.45">
      <c r="A522" t="s">
        <v>151</v>
      </c>
      <c r="B522" t="str">
        <f t="shared" si="8"/>
        <v>Jeff Wilson Jr.</v>
      </c>
      <c r="C522">
        <v>8</v>
      </c>
      <c r="D522">
        <v>4</v>
      </c>
      <c r="E522" s="1">
        <v>0.33300000000000002</v>
      </c>
      <c r="F522">
        <v>0</v>
      </c>
      <c r="G522">
        <v>1</v>
      </c>
      <c r="H522">
        <v>0</v>
      </c>
      <c r="I522">
        <v>2020</v>
      </c>
    </row>
    <row r="523" spans="1:9" x14ac:dyDescent="0.45">
      <c r="A523" t="s">
        <v>199</v>
      </c>
      <c r="B523" t="str">
        <f t="shared" si="8"/>
        <v>Peyton Barber</v>
      </c>
      <c r="C523">
        <v>9</v>
      </c>
      <c r="D523">
        <v>4</v>
      </c>
      <c r="E523" s="1">
        <v>0.375</v>
      </c>
      <c r="F523">
        <v>0</v>
      </c>
      <c r="G523">
        <v>0</v>
      </c>
      <c r="H523">
        <v>0</v>
      </c>
      <c r="I523">
        <v>2020</v>
      </c>
    </row>
    <row r="524" spans="1:9" x14ac:dyDescent="0.45">
      <c r="A524" t="s">
        <v>140</v>
      </c>
      <c r="B524" t="str">
        <f t="shared" si="8"/>
        <v>Jerick McKinnon</v>
      </c>
      <c r="C524">
        <v>4</v>
      </c>
      <c r="D524">
        <v>3</v>
      </c>
      <c r="E524" s="1">
        <v>0.16700000000000001</v>
      </c>
      <c r="F524">
        <v>1</v>
      </c>
      <c r="G524">
        <v>1</v>
      </c>
      <c r="H524">
        <v>1</v>
      </c>
      <c r="I524">
        <v>2020</v>
      </c>
    </row>
    <row r="525" spans="1:9" x14ac:dyDescent="0.45">
      <c r="A525" t="s">
        <v>196</v>
      </c>
      <c r="B525" t="str">
        <f t="shared" si="8"/>
        <v>Jordan Howard</v>
      </c>
      <c r="C525">
        <v>9</v>
      </c>
      <c r="D525">
        <v>4</v>
      </c>
      <c r="E525" s="1">
        <v>0.42899999999999999</v>
      </c>
      <c r="F525">
        <v>0</v>
      </c>
      <c r="G525">
        <v>0</v>
      </c>
      <c r="H525">
        <v>0</v>
      </c>
      <c r="I525">
        <v>2020</v>
      </c>
    </row>
    <row r="526" spans="1:9" x14ac:dyDescent="0.45">
      <c r="A526" t="s">
        <v>60</v>
      </c>
      <c r="B526" t="str">
        <f t="shared" si="8"/>
        <v>Miles Sanders</v>
      </c>
      <c r="C526">
        <v>10</v>
      </c>
      <c r="D526">
        <v>4</v>
      </c>
      <c r="E526" s="1">
        <v>0.47599999999999998</v>
      </c>
      <c r="F526">
        <v>0</v>
      </c>
      <c r="G526">
        <v>0</v>
      </c>
      <c r="H526">
        <v>0</v>
      </c>
      <c r="I526">
        <v>2020</v>
      </c>
    </row>
    <row r="527" spans="1:9" x14ac:dyDescent="0.45">
      <c r="A527" t="s">
        <v>215</v>
      </c>
      <c r="B527" t="str">
        <f t="shared" si="8"/>
        <v>Giovani Bernard</v>
      </c>
      <c r="C527">
        <v>6</v>
      </c>
      <c r="D527">
        <v>2</v>
      </c>
      <c r="E527" s="1">
        <v>0.4</v>
      </c>
      <c r="F527">
        <v>1</v>
      </c>
      <c r="G527">
        <v>1</v>
      </c>
      <c r="H527">
        <v>1</v>
      </c>
      <c r="I527">
        <v>2020</v>
      </c>
    </row>
    <row r="528" spans="1:9" x14ac:dyDescent="0.45">
      <c r="A528" t="s">
        <v>185</v>
      </c>
      <c r="B528" t="str">
        <f t="shared" si="8"/>
        <v>Rex Burkhead</v>
      </c>
      <c r="C528">
        <v>4</v>
      </c>
      <c r="D528">
        <v>3</v>
      </c>
      <c r="E528" s="1">
        <v>0.4</v>
      </c>
      <c r="F528">
        <v>0</v>
      </c>
      <c r="G528">
        <v>0</v>
      </c>
      <c r="H528">
        <v>0</v>
      </c>
      <c r="I528">
        <v>2020</v>
      </c>
    </row>
    <row r="529" spans="1:9" x14ac:dyDescent="0.45">
      <c r="A529" t="s">
        <v>122</v>
      </c>
      <c r="B529" t="str">
        <f t="shared" si="8"/>
        <v>DeeJay Dallas</v>
      </c>
      <c r="C529">
        <v>5</v>
      </c>
      <c r="D529">
        <v>2</v>
      </c>
      <c r="E529" s="1">
        <v>0.25</v>
      </c>
      <c r="F529">
        <v>1</v>
      </c>
      <c r="G529">
        <v>1</v>
      </c>
      <c r="H529">
        <v>1</v>
      </c>
      <c r="I529">
        <v>2020</v>
      </c>
    </row>
    <row r="530" spans="1:9" x14ac:dyDescent="0.45">
      <c r="A530" t="s">
        <v>6</v>
      </c>
      <c r="B530" t="str">
        <f t="shared" si="8"/>
        <v>Christian McCaffrey</v>
      </c>
      <c r="C530">
        <v>4</v>
      </c>
      <c r="D530">
        <v>3</v>
      </c>
      <c r="E530" s="1">
        <v>0.25</v>
      </c>
      <c r="F530">
        <v>0</v>
      </c>
      <c r="G530">
        <v>0</v>
      </c>
      <c r="H530">
        <v>0</v>
      </c>
      <c r="I530">
        <v>2020</v>
      </c>
    </row>
    <row r="531" spans="1:9" x14ac:dyDescent="0.45">
      <c r="A531" t="s">
        <v>104</v>
      </c>
      <c r="B531" t="str">
        <f t="shared" si="8"/>
        <v>Gus Edwards</v>
      </c>
      <c r="C531">
        <v>10</v>
      </c>
      <c r="D531">
        <v>3</v>
      </c>
      <c r="E531" s="1">
        <v>0.45500000000000002</v>
      </c>
      <c r="F531">
        <v>0</v>
      </c>
      <c r="G531">
        <v>0</v>
      </c>
      <c r="H531">
        <v>0</v>
      </c>
      <c r="I531">
        <v>2020</v>
      </c>
    </row>
    <row r="532" spans="1:9" x14ac:dyDescent="0.45">
      <c r="A532" t="s">
        <v>193</v>
      </c>
      <c r="B532" t="str">
        <f t="shared" si="8"/>
        <v>Nyheim Miller-Hines</v>
      </c>
      <c r="C532">
        <v>7</v>
      </c>
      <c r="D532">
        <v>2</v>
      </c>
      <c r="E532" s="1">
        <v>0.29199999999999998</v>
      </c>
      <c r="F532">
        <v>0</v>
      </c>
      <c r="G532">
        <v>0</v>
      </c>
      <c r="H532">
        <v>0</v>
      </c>
      <c r="I532">
        <v>2020</v>
      </c>
    </row>
    <row r="533" spans="1:9" x14ac:dyDescent="0.45">
      <c r="A533" t="s">
        <v>195</v>
      </c>
      <c r="B533" t="str">
        <f t="shared" si="8"/>
        <v>Myles Gaskin</v>
      </c>
      <c r="C533">
        <v>10</v>
      </c>
      <c r="D533">
        <v>2</v>
      </c>
      <c r="E533" s="1">
        <v>0.58799999999999997</v>
      </c>
      <c r="F533">
        <v>1</v>
      </c>
      <c r="G533">
        <v>1</v>
      </c>
      <c r="H533">
        <v>0</v>
      </c>
      <c r="I533">
        <v>2020</v>
      </c>
    </row>
    <row r="534" spans="1:9" x14ac:dyDescent="0.45">
      <c r="A534" t="s">
        <v>228</v>
      </c>
      <c r="B534" t="str">
        <f t="shared" si="8"/>
        <v>La'Mical Perine</v>
      </c>
      <c r="C534">
        <v>2</v>
      </c>
      <c r="D534">
        <v>2</v>
      </c>
      <c r="E534" s="1">
        <v>0.16700000000000001</v>
      </c>
      <c r="F534">
        <v>0</v>
      </c>
      <c r="G534">
        <v>0</v>
      </c>
      <c r="H534">
        <v>0</v>
      </c>
      <c r="I534">
        <v>2020</v>
      </c>
    </row>
    <row r="535" spans="1:9" x14ac:dyDescent="0.45">
      <c r="A535" t="s">
        <v>114</v>
      </c>
      <c r="B535" t="str">
        <f t="shared" si="8"/>
        <v>Cam Akers</v>
      </c>
      <c r="C535">
        <v>7</v>
      </c>
      <c r="D535">
        <v>1</v>
      </c>
      <c r="E535" s="1">
        <v>0.25900000000000001</v>
      </c>
      <c r="F535">
        <v>1</v>
      </c>
      <c r="G535">
        <v>1</v>
      </c>
      <c r="H535">
        <v>1</v>
      </c>
      <c r="I535">
        <v>2020</v>
      </c>
    </row>
    <row r="536" spans="1:9" x14ac:dyDescent="0.45">
      <c r="A536" t="s">
        <v>224</v>
      </c>
      <c r="B536" t="str">
        <f t="shared" si="8"/>
        <v>Kalen Ballage</v>
      </c>
      <c r="C536">
        <v>5</v>
      </c>
      <c r="D536">
        <v>2</v>
      </c>
      <c r="E536" s="1">
        <v>0.38500000000000001</v>
      </c>
      <c r="F536">
        <v>0</v>
      </c>
      <c r="G536">
        <v>0</v>
      </c>
      <c r="H536">
        <v>0</v>
      </c>
      <c r="I536">
        <v>2020</v>
      </c>
    </row>
    <row r="537" spans="1:9" x14ac:dyDescent="0.45">
      <c r="A537" t="s">
        <v>205</v>
      </c>
      <c r="B537" t="str">
        <f t="shared" si="8"/>
        <v>Carlos Hyde</v>
      </c>
      <c r="C537">
        <v>5</v>
      </c>
      <c r="D537">
        <v>2</v>
      </c>
      <c r="E537" s="1">
        <v>0.25</v>
      </c>
      <c r="F537">
        <v>0</v>
      </c>
      <c r="G537">
        <v>0</v>
      </c>
      <c r="H537">
        <v>0</v>
      </c>
      <c r="I537">
        <v>2020</v>
      </c>
    </row>
    <row r="538" spans="1:9" x14ac:dyDescent="0.45">
      <c r="A538" t="s">
        <v>229</v>
      </c>
      <c r="B538" t="str">
        <f t="shared" si="8"/>
        <v>Kerryon Johnson</v>
      </c>
      <c r="C538">
        <v>3</v>
      </c>
      <c r="D538">
        <v>2</v>
      </c>
      <c r="E538" s="1">
        <v>0.1</v>
      </c>
      <c r="F538">
        <v>0</v>
      </c>
      <c r="G538">
        <v>0</v>
      </c>
      <c r="H538">
        <v>0</v>
      </c>
      <c r="I538">
        <v>2020</v>
      </c>
    </row>
    <row r="539" spans="1:9" x14ac:dyDescent="0.45">
      <c r="A539" t="s">
        <v>146</v>
      </c>
      <c r="B539" t="str">
        <f t="shared" si="8"/>
        <v>Clyde Edwards-Helaire</v>
      </c>
      <c r="C539">
        <v>9</v>
      </c>
      <c r="D539">
        <v>1</v>
      </c>
      <c r="E539" s="1">
        <v>1</v>
      </c>
      <c r="F539">
        <v>1</v>
      </c>
      <c r="G539">
        <v>2</v>
      </c>
      <c r="H539">
        <v>1</v>
      </c>
      <c r="I539">
        <v>2020</v>
      </c>
    </row>
    <row r="540" spans="1:9" x14ac:dyDescent="0.45">
      <c r="A540" t="s">
        <v>144</v>
      </c>
      <c r="B540" t="str">
        <f t="shared" si="8"/>
        <v>Joshua Kelley</v>
      </c>
      <c r="C540">
        <v>7</v>
      </c>
      <c r="D540">
        <v>2</v>
      </c>
      <c r="E540" s="1">
        <v>0.53800000000000003</v>
      </c>
      <c r="F540">
        <v>0</v>
      </c>
      <c r="G540">
        <v>0</v>
      </c>
      <c r="H540">
        <v>0</v>
      </c>
      <c r="I540">
        <v>2020</v>
      </c>
    </row>
    <row r="541" spans="1:9" x14ac:dyDescent="0.45">
      <c r="A541" t="s">
        <v>56</v>
      </c>
      <c r="B541" t="str">
        <f t="shared" si="8"/>
        <v>Tony Pollard</v>
      </c>
      <c r="C541">
        <v>3</v>
      </c>
      <c r="D541">
        <v>2</v>
      </c>
      <c r="E541" s="1">
        <v>0.107</v>
      </c>
      <c r="F541">
        <v>0</v>
      </c>
      <c r="G541">
        <v>0</v>
      </c>
      <c r="H541">
        <v>0</v>
      </c>
      <c r="I541">
        <v>2020</v>
      </c>
    </row>
    <row r="542" spans="1:9" x14ac:dyDescent="0.45">
      <c r="A542" t="s">
        <v>230</v>
      </c>
      <c r="B542" t="str">
        <f t="shared" si="8"/>
        <v>Gabe Nabers</v>
      </c>
      <c r="C542">
        <v>0</v>
      </c>
      <c r="D542">
        <v>0</v>
      </c>
      <c r="E542" s="1">
        <v>0</v>
      </c>
      <c r="F542">
        <v>2</v>
      </c>
      <c r="G542">
        <v>2</v>
      </c>
      <c r="H542">
        <v>2</v>
      </c>
      <c r="I542">
        <v>2020</v>
      </c>
    </row>
    <row r="543" spans="1:9" x14ac:dyDescent="0.45">
      <c r="A543" t="s">
        <v>68</v>
      </c>
      <c r="B543" t="str">
        <f t="shared" si="8"/>
        <v>Kyle Juszczyk</v>
      </c>
      <c r="C543">
        <v>2</v>
      </c>
      <c r="D543">
        <v>1</v>
      </c>
      <c r="E543" s="1">
        <v>8.3000000000000004E-2</v>
      </c>
      <c r="F543">
        <v>1</v>
      </c>
      <c r="G543">
        <v>2</v>
      </c>
      <c r="H543">
        <v>1</v>
      </c>
      <c r="I543">
        <v>2020</v>
      </c>
    </row>
    <row r="544" spans="1:9" x14ac:dyDescent="0.45">
      <c r="A544" t="s">
        <v>127</v>
      </c>
      <c r="B544" t="str">
        <f t="shared" si="8"/>
        <v>Jamaal Williams</v>
      </c>
      <c r="C544">
        <v>6</v>
      </c>
      <c r="D544">
        <v>1</v>
      </c>
      <c r="E544" s="1">
        <v>0.375</v>
      </c>
      <c r="F544">
        <v>1</v>
      </c>
      <c r="G544">
        <v>1</v>
      </c>
      <c r="H544">
        <v>1</v>
      </c>
      <c r="I544">
        <v>2020</v>
      </c>
    </row>
    <row r="545" spans="1:9" x14ac:dyDescent="0.45">
      <c r="A545" t="s">
        <v>163</v>
      </c>
      <c r="B545" t="str">
        <f t="shared" si="8"/>
        <v>Chase Edmonds</v>
      </c>
      <c r="C545">
        <v>1</v>
      </c>
      <c r="D545">
        <v>0</v>
      </c>
      <c r="E545" s="1">
        <v>4.2999999999999997E-2</v>
      </c>
      <c r="F545">
        <v>2</v>
      </c>
      <c r="G545">
        <v>2</v>
      </c>
      <c r="H545">
        <v>2</v>
      </c>
      <c r="I545">
        <v>2020</v>
      </c>
    </row>
    <row r="546" spans="1:9" x14ac:dyDescent="0.45">
      <c r="A546" t="s">
        <v>155</v>
      </c>
      <c r="B546" t="str">
        <f t="shared" si="8"/>
        <v>Salvon Ahmed</v>
      </c>
      <c r="C546">
        <v>5</v>
      </c>
      <c r="D546">
        <v>2</v>
      </c>
      <c r="E546" s="1">
        <v>0.29399999999999998</v>
      </c>
      <c r="F546">
        <v>0</v>
      </c>
      <c r="G546">
        <v>0</v>
      </c>
      <c r="H546">
        <v>0</v>
      </c>
      <c r="I546">
        <v>2020</v>
      </c>
    </row>
    <row r="547" spans="1:9" x14ac:dyDescent="0.45">
      <c r="A547" t="s">
        <v>231</v>
      </c>
      <c r="B547" t="str">
        <f t="shared" si="8"/>
        <v>Dion Lewis</v>
      </c>
      <c r="C547">
        <v>3</v>
      </c>
      <c r="D547">
        <v>2</v>
      </c>
      <c r="E547" s="1">
        <v>0.17599999999999999</v>
      </c>
      <c r="F547">
        <v>0</v>
      </c>
      <c r="G547">
        <v>0</v>
      </c>
      <c r="H547">
        <v>0</v>
      </c>
      <c r="I547">
        <v>2020</v>
      </c>
    </row>
    <row r="548" spans="1:9" x14ac:dyDescent="0.45">
      <c r="A548" t="s">
        <v>52</v>
      </c>
      <c r="B548" t="str">
        <f t="shared" si="8"/>
        <v>Samaje Perine</v>
      </c>
      <c r="C548">
        <v>4</v>
      </c>
      <c r="D548">
        <v>2</v>
      </c>
      <c r="E548" s="1">
        <v>0.26700000000000002</v>
      </c>
      <c r="F548">
        <v>0</v>
      </c>
      <c r="G548">
        <v>0</v>
      </c>
      <c r="H548">
        <v>0</v>
      </c>
      <c r="I548">
        <v>2020</v>
      </c>
    </row>
    <row r="549" spans="1:9" x14ac:dyDescent="0.45">
      <c r="A549" t="s">
        <v>232</v>
      </c>
      <c r="B549" t="str">
        <f t="shared" si="8"/>
        <v>Frank Gore</v>
      </c>
      <c r="C549">
        <v>5</v>
      </c>
      <c r="D549">
        <v>2</v>
      </c>
      <c r="E549" s="1">
        <v>0.41699999999999998</v>
      </c>
      <c r="F549">
        <v>0</v>
      </c>
      <c r="G549">
        <v>0</v>
      </c>
      <c r="H549">
        <v>0</v>
      </c>
      <c r="I549">
        <v>2020</v>
      </c>
    </row>
    <row r="550" spans="1:9" x14ac:dyDescent="0.45">
      <c r="A550" t="s">
        <v>129</v>
      </c>
      <c r="B550" t="str">
        <f t="shared" si="8"/>
        <v>Cordarrelle Patterson</v>
      </c>
      <c r="C550">
        <v>2</v>
      </c>
      <c r="D550">
        <v>1</v>
      </c>
      <c r="E550" s="1">
        <v>0.125</v>
      </c>
      <c r="F550">
        <v>0</v>
      </c>
      <c r="G550">
        <v>0</v>
      </c>
      <c r="H550">
        <v>0</v>
      </c>
      <c r="I550">
        <v>2020</v>
      </c>
    </row>
    <row r="551" spans="1:9" x14ac:dyDescent="0.45">
      <c r="A551" t="s">
        <v>106</v>
      </c>
      <c r="B551" t="str">
        <f t="shared" si="8"/>
        <v>Alexander Mattison</v>
      </c>
      <c r="C551">
        <v>4</v>
      </c>
      <c r="D551">
        <v>1</v>
      </c>
      <c r="E551" s="1">
        <v>0.125</v>
      </c>
      <c r="F551">
        <v>0</v>
      </c>
      <c r="G551">
        <v>0</v>
      </c>
      <c r="H551">
        <v>0</v>
      </c>
      <c r="I551">
        <v>2020</v>
      </c>
    </row>
    <row r="552" spans="1:9" x14ac:dyDescent="0.45">
      <c r="A552" t="s">
        <v>233</v>
      </c>
      <c r="B552" t="str">
        <f t="shared" si="8"/>
        <v>Anthony Sherman</v>
      </c>
      <c r="C552">
        <v>0</v>
      </c>
      <c r="D552">
        <v>0</v>
      </c>
      <c r="E552" s="1">
        <v>0</v>
      </c>
      <c r="F552">
        <v>1</v>
      </c>
      <c r="G552">
        <v>1</v>
      </c>
      <c r="H552">
        <v>1</v>
      </c>
      <c r="I552">
        <v>2020</v>
      </c>
    </row>
    <row r="553" spans="1:9" x14ac:dyDescent="0.45">
      <c r="A553" t="s">
        <v>132</v>
      </c>
      <c r="B553" t="str">
        <f t="shared" si="8"/>
        <v>D'Onta Foreman</v>
      </c>
      <c r="C553">
        <v>0</v>
      </c>
      <c r="D553">
        <v>0</v>
      </c>
      <c r="E553" s="1">
        <v>0</v>
      </c>
      <c r="F553">
        <v>1</v>
      </c>
      <c r="G553">
        <v>1</v>
      </c>
      <c r="H553">
        <v>1</v>
      </c>
      <c r="I553">
        <v>2020</v>
      </c>
    </row>
    <row r="554" spans="1:9" x14ac:dyDescent="0.45">
      <c r="A554" t="s">
        <v>234</v>
      </c>
      <c r="B554" t="str">
        <f t="shared" si="8"/>
        <v>Corey Clement</v>
      </c>
      <c r="C554">
        <v>1</v>
      </c>
      <c r="D554">
        <v>1</v>
      </c>
      <c r="E554" s="1">
        <v>4.8000000000000001E-2</v>
      </c>
      <c r="F554">
        <v>0</v>
      </c>
      <c r="G554">
        <v>0</v>
      </c>
      <c r="H554">
        <v>0</v>
      </c>
      <c r="I554">
        <v>2020</v>
      </c>
    </row>
    <row r="555" spans="1:9" x14ac:dyDescent="0.45">
      <c r="A555" t="s">
        <v>150</v>
      </c>
      <c r="B555" t="str">
        <f t="shared" si="8"/>
        <v>Darrynton Evans</v>
      </c>
      <c r="C555">
        <v>3</v>
      </c>
      <c r="D555">
        <v>0</v>
      </c>
      <c r="E555" s="1">
        <v>0.14299999999999999</v>
      </c>
      <c r="F555">
        <v>1</v>
      </c>
      <c r="G555">
        <v>1</v>
      </c>
      <c r="H555">
        <v>1</v>
      </c>
      <c r="I555">
        <v>2020</v>
      </c>
    </row>
    <row r="556" spans="1:9" x14ac:dyDescent="0.45">
      <c r="A556" t="s">
        <v>173</v>
      </c>
      <c r="B556" t="str">
        <f t="shared" si="8"/>
        <v>JaMycal Hasty</v>
      </c>
      <c r="C556">
        <v>3</v>
      </c>
      <c r="D556">
        <v>1</v>
      </c>
      <c r="E556" s="1">
        <v>0.125</v>
      </c>
      <c r="F556">
        <v>0</v>
      </c>
      <c r="G556">
        <v>0</v>
      </c>
      <c r="H556">
        <v>0</v>
      </c>
      <c r="I556">
        <v>2020</v>
      </c>
    </row>
    <row r="557" spans="1:9" x14ac:dyDescent="0.45">
      <c r="A557" t="s">
        <v>235</v>
      </c>
      <c r="B557" t="str">
        <f t="shared" si="8"/>
        <v>Alfred Morris</v>
      </c>
      <c r="C557">
        <v>1</v>
      </c>
      <c r="D557">
        <v>1</v>
      </c>
      <c r="E557" s="1">
        <v>5.8999999999999997E-2</v>
      </c>
      <c r="F557">
        <v>0</v>
      </c>
      <c r="G557">
        <v>0</v>
      </c>
      <c r="H557">
        <v>0</v>
      </c>
      <c r="I557">
        <v>2020</v>
      </c>
    </row>
    <row r="558" spans="1:9" x14ac:dyDescent="0.45">
      <c r="A558" t="s">
        <v>134</v>
      </c>
      <c r="B558" t="str">
        <f t="shared" si="8"/>
        <v>Latavius Murray</v>
      </c>
      <c r="C558">
        <v>3</v>
      </c>
      <c r="D558">
        <v>1</v>
      </c>
      <c r="E558" s="1">
        <v>0.16700000000000001</v>
      </c>
      <c r="F558">
        <v>0</v>
      </c>
      <c r="G558">
        <v>0</v>
      </c>
      <c r="H558">
        <v>0</v>
      </c>
      <c r="I558">
        <v>2020</v>
      </c>
    </row>
    <row r="559" spans="1:9" x14ac:dyDescent="0.45">
      <c r="A559" t="s">
        <v>194</v>
      </c>
      <c r="B559" t="str">
        <f t="shared" si="8"/>
        <v>Devonta Freeman</v>
      </c>
      <c r="C559">
        <v>1</v>
      </c>
      <c r="D559">
        <v>1</v>
      </c>
      <c r="E559" s="1">
        <v>5.8999999999999997E-2</v>
      </c>
      <c r="F559">
        <v>0</v>
      </c>
      <c r="G559">
        <v>0</v>
      </c>
      <c r="H559">
        <v>0</v>
      </c>
      <c r="I559">
        <v>2020</v>
      </c>
    </row>
    <row r="560" spans="1:9" x14ac:dyDescent="0.45">
      <c r="A560" t="s">
        <v>187</v>
      </c>
      <c r="B560" t="str">
        <f t="shared" si="8"/>
        <v>J.D. McKissic</v>
      </c>
      <c r="C560">
        <v>3</v>
      </c>
      <c r="D560">
        <v>1</v>
      </c>
      <c r="E560" s="1">
        <v>0.125</v>
      </c>
      <c r="F560">
        <v>0</v>
      </c>
      <c r="G560">
        <v>0</v>
      </c>
      <c r="H560">
        <v>0</v>
      </c>
      <c r="I560">
        <v>2020</v>
      </c>
    </row>
    <row r="561" spans="1:9" x14ac:dyDescent="0.45">
      <c r="A561" t="s">
        <v>53</v>
      </c>
      <c r="B561" t="str">
        <f t="shared" si="8"/>
        <v>Ty Johnson</v>
      </c>
      <c r="C561">
        <v>4</v>
      </c>
      <c r="D561">
        <v>1</v>
      </c>
      <c r="E561" s="1">
        <v>0.13300000000000001</v>
      </c>
      <c r="F561">
        <v>0</v>
      </c>
      <c r="G561">
        <v>0</v>
      </c>
      <c r="H561">
        <v>0</v>
      </c>
      <c r="I561">
        <v>2020</v>
      </c>
    </row>
    <row r="562" spans="1:9" x14ac:dyDescent="0.45">
      <c r="A562" t="s">
        <v>217</v>
      </c>
      <c r="B562" t="str">
        <f t="shared" si="8"/>
        <v>Travis Homer</v>
      </c>
      <c r="C562">
        <v>2</v>
      </c>
      <c r="D562">
        <v>0</v>
      </c>
      <c r="E562" s="1">
        <v>0.1</v>
      </c>
      <c r="F562">
        <v>1</v>
      </c>
      <c r="G562">
        <v>1</v>
      </c>
      <c r="H562">
        <v>1</v>
      </c>
      <c r="I562">
        <v>2020</v>
      </c>
    </row>
    <row r="563" spans="1:9" x14ac:dyDescent="0.45">
      <c r="A563" t="s">
        <v>188</v>
      </c>
      <c r="B563" t="str">
        <f t="shared" si="8"/>
        <v>Sony Michel</v>
      </c>
      <c r="C563">
        <v>2</v>
      </c>
      <c r="D563">
        <v>1</v>
      </c>
      <c r="E563" s="1">
        <v>0.2</v>
      </c>
      <c r="F563">
        <v>0</v>
      </c>
      <c r="G563">
        <v>0</v>
      </c>
      <c r="H563">
        <v>0</v>
      </c>
      <c r="I563">
        <v>2020</v>
      </c>
    </row>
    <row r="564" spans="1:9" x14ac:dyDescent="0.45">
      <c r="A564" t="s">
        <v>236</v>
      </c>
      <c r="B564" t="str">
        <f t="shared" si="8"/>
        <v>Mike Boone</v>
      </c>
      <c r="C564">
        <v>2</v>
      </c>
      <c r="D564">
        <v>1</v>
      </c>
      <c r="E564" s="1">
        <v>6.3E-2</v>
      </c>
      <c r="F564">
        <v>0</v>
      </c>
      <c r="G564">
        <v>0</v>
      </c>
      <c r="H564">
        <v>0</v>
      </c>
      <c r="I564">
        <v>2020</v>
      </c>
    </row>
    <row r="565" spans="1:9" x14ac:dyDescent="0.45">
      <c r="A565" t="s">
        <v>237</v>
      </c>
      <c r="B565" t="str">
        <f t="shared" si="8"/>
        <v>Reggie Bonnafon</v>
      </c>
      <c r="C565">
        <v>0</v>
      </c>
      <c r="D565">
        <v>0</v>
      </c>
      <c r="E565" s="1">
        <v>0</v>
      </c>
      <c r="F565">
        <v>1</v>
      </c>
      <c r="G565">
        <v>1</v>
      </c>
      <c r="H565">
        <v>1</v>
      </c>
      <c r="I565">
        <v>2020</v>
      </c>
    </row>
    <row r="566" spans="1:9" x14ac:dyDescent="0.45">
      <c r="A566" t="s">
        <v>118</v>
      </c>
      <c r="B566" t="str">
        <f t="shared" si="8"/>
        <v>Alec Ingold</v>
      </c>
      <c r="C566">
        <v>0</v>
      </c>
      <c r="D566">
        <v>0</v>
      </c>
      <c r="E566" s="1">
        <v>0</v>
      </c>
      <c r="F566">
        <v>1</v>
      </c>
      <c r="G566">
        <v>2</v>
      </c>
      <c r="H566">
        <v>1</v>
      </c>
      <c r="I566">
        <v>2020</v>
      </c>
    </row>
    <row r="567" spans="1:9" x14ac:dyDescent="0.45">
      <c r="A567" t="s">
        <v>238</v>
      </c>
      <c r="B567" t="str">
        <f t="shared" si="8"/>
        <v>Artavis Pierce</v>
      </c>
      <c r="C567">
        <v>1</v>
      </c>
      <c r="D567">
        <v>1</v>
      </c>
      <c r="E567" s="1">
        <v>6.3E-2</v>
      </c>
      <c r="F567">
        <v>0</v>
      </c>
      <c r="G567">
        <v>0</v>
      </c>
      <c r="H567">
        <v>0</v>
      </c>
      <c r="I567">
        <v>2020</v>
      </c>
    </row>
    <row r="568" spans="1:9" x14ac:dyDescent="0.45">
      <c r="A568" t="s">
        <v>239</v>
      </c>
      <c r="B568" t="str">
        <f t="shared" si="8"/>
        <v>Josh Adams</v>
      </c>
      <c r="C568">
        <v>2</v>
      </c>
      <c r="D568">
        <v>1</v>
      </c>
      <c r="E568" s="1">
        <v>0.16700000000000001</v>
      </c>
      <c r="F568">
        <v>0</v>
      </c>
      <c r="G568">
        <v>0</v>
      </c>
      <c r="H568">
        <v>0</v>
      </c>
      <c r="I568">
        <v>2020</v>
      </c>
    </row>
    <row r="569" spans="1:9" x14ac:dyDescent="0.45">
      <c r="A569" t="s">
        <v>167</v>
      </c>
      <c r="B569" t="str">
        <f t="shared" si="8"/>
        <v>Mark Ingram II</v>
      </c>
      <c r="C569">
        <v>2</v>
      </c>
      <c r="D569">
        <v>1</v>
      </c>
      <c r="E569" s="1">
        <v>9.0999999999999998E-2</v>
      </c>
      <c r="F569">
        <v>0</v>
      </c>
      <c r="G569">
        <v>0</v>
      </c>
      <c r="H569">
        <v>0</v>
      </c>
      <c r="I569">
        <v>2020</v>
      </c>
    </row>
    <row r="570" spans="1:9" x14ac:dyDescent="0.45">
      <c r="A570" t="s">
        <v>240</v>
      </c>
      <c r="B570" t="str">
        <f t="shared" si="8"/>
        <v>James White</v>
      </c>
      <c r="C570">
        <v>1</v>
      </c>
      <c r="D570">
        <v>1</v>
      </c>
      <c r="E570" s="1">
        <v>0.1</v>
      </c>
      <c r="F570">
        <v>0</v>
      </c>
      <c r="G570">
        <v>0</v>
      </c>
      <c r="H570">
        <v>0</v>
      </c>
      <c r="I570">
        <v>2020</v>
      </c>
    </row>
    <row r="571" spans="1:9" x14ac:dyDescent="0.45">
      <c r="A571" t="s">
        <v>209</v>
      </c>
      <c r="B571" t="str">
        <f t="shared" si="8"/>
        <v>Duke Johnson Jr.</v>
      </c>
      <c r="C571">
        <v>1</v>
      </c>
      <c r="D571">
        <v>1</v>
      </c>
      <c r="E571" s="1">
        <v>7.6999999999999999E-2</v>
      </c>
      <c r="F571">
        <v>0</v>
      </c>
      <c r="G571">
        <v>0</v>
      </c>
      <c r="H571">
        <v>0</v>
      </c>
      <c r="I571">
        <v>2020</v>
      </c>
    </row>
    <row r="572" spans="1:9" x14ac:dyDescent="0.45">
      <c r="A572" t="s">
        <v>241</v>
      </c>
      <c r="B572" t="str">
        <f t="shared" si="8"/>
        <v>C.J. Prosise</v>
      </c>
      <c r="C572">
        <v>1</v>
      </c>
      <c r="D572">
        <v>0</v>
      </c>
      <c r="E572" s="1">
        <v>7.6999999999999999E-2</v>
      </c>
      <c r="F572">
        <v>1</v>
      </c>
      <c r="G572">
        <v>1</v>
      </c>
      <c r="H572">
        <v>1</v>
      </c>
      <c r="I572">
        <v>2020</v>
      </c>
    </row>
    <row r="573" spans="1:9" x14ac:dyDescent="0.45">
      <c r="A573" t="s">
        <v>79</v>
      </c>
      <c r="B573" t="str">
        <f t="shared" si="8"/>
        <v>Jeremy McNichols</v>
      </c>
      <c r="C573">
        <v>1</v>
      </c>
      <c r="D573">
        <v>1</v>
      </c>
      <c r="E573" s="1">
        <v>4.8000000000000001E-2</v>
      </c>
      <c r="F573">
        <v>0</v>
      </c>
      <c r="G573">
        <v>0</v>
      </c>
      <c r="H573">
        <v>0</v>
      </c>
      <c r="I573">
        <v>2020</v>
      </c>
    </row>
    <row r="574" spans="1:9" x14ac:dyDescent="0.45">
      <c r="A574" t="s">
        <v>117</v>
      </c>
      <c r="B574" t="str">
        <f t="shared" si="8"/>
        <v>Patrick Ricard</v>
      </c>
      <c r="C574">
        <v>0</v>
      </c>
      <c r="D574">
        <v>0</v>
      </c>
      <c r="E574" s="1">
        <v>0</v>
      </c>
      <c r="F574">
        <v>1</v>
      </c>
      <c r="G574">
        <v>1</v>
      </c>
      <c r="H574">
        <v>1</v>
      </c>
      <c r="I574">
        <v>2020</v>
      </c>
    </row>
    <row r="575" spans="1:9" x14ac:dyDescent="0.45">
      <c r="A575" t="s">
        <v>242</v>
      </c>
      <c r="B575" t="str">
        <f t="shared" si="8"/>
        <v>Jordan Wilkins</v>
      </c>
      <c r="C575">
        <v>2</v>
      </c>
      <c r="D575">
        <v>1</v>
      </c>
      <c r="E575" s="1">
        <v>8.3000000000000004E-2</v>
      </c>
      <c r="F575">
        <v>0</v>
      </c>
      <c r="G575">
        <v>0</v>
      </c>
      <c r="H575">
        <v>0</v>
      </c>
      <c r="I575">
        <v>2020</v>
      </c>
    </row>
    <row r="576" spans="1:9" x14ac:dyDescent="0.45">
      <c r="A576" t="s">
        <v>38</v>
      </c>
      <c r="B576" t="str">
        <f t="shared" si="8"/>
        <v>Devin Singletary</v>
      </c>
      <c r="C576">
        <v>6</v>
      </c>
      <c r="D576">
        <v>1</v>
      </c>
      <c r="E576" s="1">
        <v>0.33300000000000002</v>
      </c>
      <c r="F576">
        <v>0</v>
      </c>
      <c r="G576">
        <v>0</v>
      </c>
      <c r="H576">
        <v>0</v>
      </c>
      <c r="I576">
        <v>2020</v>
      </c>
    </row>
    <row r="577" spans="1:9" x14ac:dyDescent="0.45">
      <c r="A577" t="s">
        <v>219</v>
      </c>
      <c r="B577" t="str">
        <f t="shared" si="8"/>
        <v>Jakob Johnson</v>
      </c>
      <c r="C577">
        <v>0</v>
      </c>
      <c r="D577">
        <v>0</v>
      </c>
      <c r="E577" s="1">
        <v>0</v>
      </c>
      <c r="F577">
        <v>1</v>
      </c>
      <c r="G577">
        <v>1</v>
      </c>
      <c r="H577">
        <v>1</v>
      </c>
      <c r="I577">
        <v>2020</v>
      </c>
    </row>
    <row r="578" spans="1:9" x14ac:dyDescent="0.45">
      <c r="A578" t="s">
        <v>85</v>
      </c>
      <c r="B578" t="str">
        <f t="shared" ref="B578:B641" si="9">TRIM(LEFT(A578, LEN(A578) - LEN(TRIM(RIGHT(SUBSTITUTE(TRIM(A578)," ",REPT(" ",100)),100)))))</f>
        <v>Reggie Gilliam</v>
      </c>
      <c r="C578">
        <v>0</v>
      </c>
      <c r="D578">
        <v>0</v>
      </c>
      <c r="E578" s="1">
        <v>0</v>
      </c>
      <c r="F578">
        <v>1</v>
      </c>
      <c r="G578">
        <v>1</v>
      </c>
      <c r="H578">
        <v>1</v>
      </c>
      <c r="I578">
        <v>2020</v>
      </c>
    </row>
    <row r="579" spans="1:9" x14ac:dyDescent="0.45">
      <c r="A579" t="s">
        <v>74</v>
      </c>
      <c r="B579" t="str">
        <f t="shared" si="9"/>
        <v>Justice Hill</v>
      </c>
      <c r="C579">
        <v>2</v>
      </c>
      <c r="D579">
        <v>0</v>
      </c>
      <c r="E579" s="1">
        <v>9.0999999999999998E-2</v>
      </c>
      <c r="F579">
        <v>0</v>
      </c>
      <c r="G579">
        <v>0</v>
      </c>
      <c r="H579">
        <v>0</v>
      </c>
      <c r="I579">
        <v>2020</v>
      </c>
    </row>
    <row r="580" spans="1:9" x14ac:dyDescent="0.45">
      <c r="A580" t="s">
        <v>201</v>
      </c>
      <c r="B580" t="str">
        <f t="shared" si="9"/>
        <v>Le'Veon Bell</v>
      </c>
      <c r="C580">
        <v>3</v>
      </c>
      <c r="D580">
        <v>0</v>
      </c>
      <c r="E580" s="1">
        <v>0.25</v>
      </c>
      <c r="F580">
        <v>0</v>
      </c>
      <c r="G580">
        <v>0</v>
      </c>
      <c r="H580">
        <v>0</v>
      </c>
      <c r="I580">
        <v>2020</v>
      </c>
    </row>
    <row r="581" spans="1:9" x14ac:dyDescent="0.45">
      <c r="A581" t="s">
        <v>113</v>
      </c>
      <c r="B581" t="str">
        <f t="shared" si="9"/>
        <v>Michael Burton</v>
      </c>
      <c r="C581">
        <v>0</v>
      </c>
      <c r="D581">
        <v>0</v>
      </c>
      <c r="E581" s="1">
        <v>0</v>
      </c>
      <c r="F581">
        <v>1</v>
      </c>
      <c r="G581">
        <v>1</v>
      </c>
      <c r="H581">
        <v>0</v>
      </c>
      <c r="I581">
        <v>2020</v>
      </c>
    </row>
    <row r="582" spans="1:9" x14ac:dyDescent="0.45">
      <c r="A582" t="s">
        <v>243</v>
      </c>
      <c r="B582" t="str">
        <f t="shared" si="9"/>
        <v>Jalen Richard</v>
      </c>
      <c r="C582">
        <v>1</v>
      </c>
      <c r="D582">
        <v>0</v>
      </c>
      <c r="E582" s="1">
        <v>4.8000000000000001E-2</v>
      </c>
      <c r="F582">
        <v>0</v>
      </c>
      <c r="G582">
        <v>0</v>
      </c>
      <c r="H582">
        <v>0</v>
      </c>
      <c r="I582">
        <v>2020</v>
      </c>
    </row>
    <row r="583" spans="1:9" x14ac:dyDescent="0.45">
      <c r="A583" t="s">
        <v>244</v>
      </c>
      <c r="B583" t="str">
        <f t="shared" si="9"/>
        <v>Brian Hill</v>
      </c>
      <c r="C583">
        <v>2</v>
      </c>
      <c r="D583">
        <v>0</v>
      </c>
      <c r="E583" s="1">
        <v>0.125</v>
      </c>
      <c r="F583">
        <v>0</v>
      </c>
      <c r="G583">
        <v>0</v>
      </c>
      <c r="H583">
        <v>0</v>
      </c>
      <c r="I583">
        <v>2020</v>
      </c>
    </row>
    <row r="584" spans="1:9" x14ac:dyDescent="0.45">
      <c r="A584" t="s">
        <v>101</v>
      </c>
      <c r="B584" t="str">
        <f t="shared" si="9"/>
        <v>Dare Ogunbowale</v>
      </c>
      <c r="C584">
        <v>1</v>
      </c>
      <c r="D584">
        <v>0</v>
      </c>
      <c r="E584" s="1">
        <v>0.14299999999999999</v>
      </c>
      <c r="F584">
        <v>0</v>
      </c>
      <c r="G584">
        <v>0</v>
      </c>
      <c r="H584">
        <v>0</v>
      </c>
      <c r="I584">
        <v>2020</v>
      </c>
    </row>
    <row r="585" spans="1:9" x14ac:dyDescent="0.45">
      <c r="A585" t="s">
        <v>245</v>
      </c>
      <c r="B585" t="str">
        <f t="shared" si="9"/>
        <v>Tyler Ervin</v>
      </c>
      <c r="C585">
        <v>1</v>
      </c>
      <c r="D585">
        <v>0</v>
      </c>
      <c r="E585" s="1">
        <v>6.3E-2</v>
      </c>
      <c r="F585">
        <v>0</v>
      </c>
      <c r="G585">
        <v>0</v>
      </c>
      <c r="H585">
        <v>0</v>
      </c>
      <c r="I585">
        <v>2020</v>
      </c>
    </row>
    <row r="586" spans="1:9" x14ac:dyDescent="0.45">
      <c r="A586" t="s">
        <v>246</v>
      </c>
      <c r="B586" t="str">
        <f t="shared" si="9"/>
        <v>DeAndre Washington</v>
      </c>
      <c r="C586">
        <v>2</v>
      </c>
      <c r="D586">
        <v>0</v>
      </c>
      <c r="E586" s="1">
        <v>0.11799999999999999</v>
      </c>
      <c r="F586">
        <v>0</v>
      </c>
      <c r="G586">
        <v>0</v>
      </c>
      <c r="H586">
        <v>0</v>
      </c>
      <c r="I586">
        <v>2020</v>
      </c>
    </row>
    <row r="587" spans="1:9" x14ac:dyDescent="0.45">
      <c r="A587" t="s">
        <v>247</v>
      </c>
      <c r="B587" t="str">
        <f t="shared" si="9"/>
        <v>T.J. Yeldon</v>
      </c>
      <c r="C587">
        <v>1</v>
      </c>
      <c r="D587">
        <v>0</v>
      </c>
      <c r="E587" s="1">
        <v>5.6000000000000001E-2</v>
      </c>
      <c r="F587">
        <v>0</v>
      </c>
      <c r="G587">
        <v>0</v>
      </c>
      <c r="H587">
        <v>0</v>
      </c>
      <c r="I587">
        <v>2020</v>
      </c>
    </row>
    <row r="588" spans="1:9" x14ac:dyDescent="0.45">
      <c r="A588" t="s">
        <v>102</v>
      </c>
      <c r="B588" t="str">
        <f t="shared" si="9"/>
        <v>Joe Mixon</v>
      </c>
      <c r="C588">
        <v>5</v>
      </c>
      <c r="D588">
        <v>0</v>
      </c>
      <c r="E588" s="1">
        <v>0.33300000000000002</v>
      </c>
      <c r="F588">
        <v>0</v>
      </c>
      <c r="G588">
        <v>1</v>
      </c>
      <c r="H588">
        <v>0</v>
      </c>
      <c r="I588">
        <v>2020</v>
      </c>
    </row>
    <row r="589" spans="1:9" x14ac:dyDescent="0.45">
      <c r="A589" t="s">
        <v>109</v>
      </c>
      <c r="B589" t="str">
        <f t="shared" si="9"/>
        <v>Austin Ekeler</v>
      </c>
      <c r="C589">
        <v>1</v>
      </c>
      <c r="D589">
        <v>0</v>
      </c>
      <c r="E589" s="1">
        <v>7.6999999999999999E-2</v>
      </c>
      <c r="F589">
        <v>0</v>
      </c>
      <c r="G589">
        <v>0</v>
      </c>
      <c r="H589">
        <v>0</v>
      </c>
      <c r="I589">
        <v>2020</v>
      </c>
    </row>
    <row r="590" spans="1:9" x14ac:dyDescent="0.45">
      <c r="A590" t="s">
        <v>211</v>
      </c>
      <c r="B590" t="str">
        <f t="shared" si="9"/>
        <v>Alex Armah Jr.</v>
      </c>
      <c r="C590">
        <v>1</v>
      </c>
      <c r="D590">
        <v>0</v>
      </c>
      <c r="E590" s="1">
        <v>6.3E-2</v>
      </c>
      <c r="F590">
        <v>0</v>
      </c>
      <c r="G590">
        <v>0</v>
      </c>
      <c r="H590">
        <v>0</v>
      </c>
      <c r="I590">
        <v>2020</v>
      </c>
    </row>
    <row r="591" spans="1:9" x14ac:dyDescent="0.45">
      <c r="A591" t="s">
        <v>59</v>
      </c>
      <c r="B591" t="str">
        <f t="shared" si="9"/>
        <v>Saquon Barkley</v>
      </c>
      <c r="C591">
        <v>1</v>
      </c>
      <c r="D591">
        <v>0</v>
      </c>
      <c r="E591" s="1">
        <v>5.8999999999999997E-2</v>
      </c>
      <c r="F591">
        <v>0</v>
      </c>
      <c r="G591">
        <v>0</v>
      </c>
      <c r="H591">
        <v>0</v>
      </c>
      <c r="I591">
        <v>2020</v>
      </c>
    </row>
    <row r="592" spans="1:9" x14ac:dyDescent="0.45">
      <c r="A592" t="s">
        <v>143</v>
      </c>
      <c r="B592" t="str">
        <f t="shared" si="9"/>
        <v>Damien Harris</v>
      </c>
      <c r="C592">
        <v>3</v>
      </c>
      <c r="D592">
        <v>0</v>
      </c>
      <c r="E592" s="1">
        <v>0.3</v>
      </c>
      <c r="F592">
        <v>0</v>
      </c>
      <c r="G592">
        <v>0</v>
      </c>
      <c r="H592">
        <v>0</v>
      </c>
      <c r="I592">
        <v>2020</v>
      </c>
    </row>
    <row r="593" spans="1:9" x14ac:dyDescent="0.45">
      <c r="A593" t="s">
        <v>69</v>
      </c>
      <c r="B593" t="str">
        <f t="shared" si="9"/>
        <v>Ameer Abdullah</v>
      </c>
      <c r="C593">
        <v>0</v>
      </c>
      <c r="D593">
        <v>0</v>
      </c>
      <c r="E593" s="1">
        <v>0</v>
      </c>
      <c r="F593">
        <v>0</v>
      </c>
      <c r="G593">
        <v>1</v>
      </c>
      <c r="H593">
        <v>0</v>
      </c>
      <c r="I593">
        <v>2020</v>
      </c>
    </row>
    <row r="594" spans="1:9" x14ac:dyDescent="0.45">
      <c r="A594" t="s">
        <v>198</v>
      </c>
      <c r="B594" t="str">
        <f t="shared" si="9"/>
        <v>Elijhaa Penny</v>
      </c>
      <c r="C594">
        <v>1</v>
      </c>
      <c r="D594">
        <v>0</v>
      </c>
      <c r="E594" s="1">
        <v>5.8999999999999997E-2</v>
      </c>
      <c r="F594">
        <v>0</v>
      </c>
      <c r="G594">
        <v>0</v>
      </c>
      <c r="H594">
        <v>0</v>
      </c>
      <c r="I594">
        <v>2020</v>
      </c>
    </row>
    <row r="595" spans="1:9" x14ac:dyDescent="0.45">
      <c r="A595" t="s">
        <v>141</v>
      </c>
      <c r="B595" t="str">
        <f t="shared" si="9"/>
        <v>Royce Freeman</v>
      </c>
      <c r="C595">
        <v>1</v>
      </c>
      <c r="D595">
        <v>0</v>
      </c>
      <c r="E595" s="1">
        <v>8.3000000000000004E-2</v>
      </c>
      <c r="F595">
        <v>0</v>
      </c>
      <c r="G595">
        <v>0</v>
      </c>
      <c r="H595">
        <v>0</v>
      </c>
      <c r="I595">
        <v>2020</v>
      </c>
    </row>
    <row r="596" spans="1:9" x14ac:dyDescent="0.45">
      <c r="A596" t="s">
        <v>189</v>
      </c>
      <c r="B596" t="str">
        <f t="shared" si="9"/>
        <v>Phillip Lindsay</v>
      </c>
      <c r="C596">
        <v>3</v>
      </c>
      <c r="D596">
        <v>0</v>
      </c>
      <c r="E596" s="1">
        <v>0.25</v>
      </c>
      <c r="F596">
        <v>0</v>
      </c>
      <c r="G596">
        <v>0</v>
      </c>
      <c r="H596">
        <v>0</v>
      </c>
      <c r="I596">
        <v>2020</v>
      </c>
    </row>
    <row r="597" spans="1:9" x14ac:dyDescent="0.45">
      <c r="A597" t="s">
        <v>178</v>
      </c>
      <c r="B597" t="str">
        <f t="shared" si="9"/>
        <v>Darrel Williams</v>
      </c>
      <c r="C597">
        <v>0</v>
      </c>
      <c r="D597">
        <v>0</v>
      </c>
      <c r="E597" s="1">
        <v>0</v>
      </c>
      <c r="F597">
        <v>0</v>
      </c>
      <c r="G597">
        <v>0</v>
      </c>
      <c r="H597">
        <v>0</v>
      </c>
      <c r="I597">
        <v>2020</v>
      </c>
    </row>
    <row r="598" spans="1:9" x14ac:dyDescent="0.45">
      <c r="A598" t="s">
        <v>248</v>
      </c>
      <c r="B598" t="str">
        <f t="shared" si="9"/>
        <v>Trenton Cannon</v>
      </c>
      <c r="C598">
        <v>0</v>
      </c>
      <c r="D598">
        <v>0</v>
      </c>
      <c r="E598" s="1">
        <v>0</v>
      </c>
      <c r="F598">
        <v>0</v>
      </c>
      <c r="G598">
        <v>0</v>
      </c>
      <c r="H598">
        <v>0</v>
      </c>
      <c r="I598">
        <v>2020</v>
      </c>
    </row>
    <row r="599" spans="1:9" x14ac:dyDescent="0.45">
      <c r="A599" t="s">
        <v>200</v>
      </c>
      <c r="B599" t="str">
        <f t="shared" si="9"/>
        <v>Devontae Booker</v>
      </c>
      <c r="C599">
        <v>0</v>
      </c>
      <c r="D599">
        <v>0</v>
      </c>
      <c r="E599" s="1">
        <v>0</v>
      </c>
      <c r="F599">
        <v>1</v>
      </c>
      <c r="G599">
        <v>1</v>
      </c>
      <c r="H599">
        <v>0</v>
      </c>
      <c r="I599">
        <v>2020</v>
      </c>
    </row>
    <row r="600" spans="1:9" x14ac:dyDescent="0.45">
      <c r="A600" t="s">
        <v>160</v>
      </c>
      <c r="B600" t="str">
        <f t="shared" si="9"/>
        <v>Boston Scott</v>
      </c>
      <c r="C600">
        <v>1</v>
      </c>
      <c r="D600">
        <v>0</v>
      </c>
      <c r="E600" s="1">
        <v>4.8000000000000001E-2</v>
      </c>
      <c r="F600">
        <v>0</v>
      </c>
      <c r="G600">
        <v>1</v>
      </c>
      <c r="H600">
        <v>0</v>
      </c>
      <c r="I600">
        <v>2020</v>
      </c>
    </row>
    <row r="601" spans="1:9" x14ac:dyDescent="0.45">
      <c r="A601" t="s">
        <v>169</v>
      </c>
      <c r="B601" t="str">
        <f t="shared" si="9"/>
        <v>Tevin Coleman</v>
      </c>
      <c r="C601">
        <v>1</v>
      </c>
      <c r="D601">
        <v>0</v>
      </c>
      <c r="E601" s="1">
        <v>4.2000000000000003E-2</v>
      </c>
      <c r="F601">
        <v>0</v>
      </c>
      <c r="G601">
        <v>0</v>
      </c>
      <c r="H601">
        <v>0</v>
      </c>
      <c r="I601">
        <v>2020</v>
      </c>
    </row>
    <row r="602" spans="1:9" x14ac:dyDescent="0.45">
      <c r="A602" t="s">
        <v>124</v>
      </c>
      <c r="B602" t="str">
        <f t="shared" si="9"/>
        <v>Raheem Mostert</v>
      </c>
      <c r="C602">
        <v>6</v>
      </c>
      <c r="D602">
        <v>0</v>
      </c>
      <c r="E602" s="1">
        <v>0.25</v>
      </c>
      <c r="F602">
        <v>0</v>
      </c>
      <c r="G602">
        <v>0</v>
      </c>
      <c r="H602">
        <v>0</v>
      </c>
      <c r="I602">
        <v>2020</v>
      </c>
    </row>
    <row r="603" spans="1:9" x14ac:dyDescent="0.45">
      <c r="A603" t="s">
        <v>249</v>
      </c>
      <c r="B603" t="str">
        <f t="shared" si="9"/>
        <v>Ito Smith</v>
      </c>
      <c r="C603">
        <v>1</v>
      </c>
      <c r="D603">
        <v>0</v>
      </c>
      <c r="E603" s="1">
        <v>6.3E-2</v>
      </c>
      <c r="F603">
        <v>0</v>
      </c>
      <c r="G603">
        <v>0</v>
      </c>
      <c r="H603">
        <v>0</v>
      </c>
      <c r="I603">
        <v>2020</v>
      </c>
    </row>
    <row r="604" spans="1:9" x14ac:dyDescent="0.45">
      <c r="A604" t="s">
        <v>44</v>
      </c>
      <c r="B604" t="str">
        <f t="shared" si="9"/>
        <v>Aaron Jones Sr.</v>
      </c>
      <c r="C604">
        <v>17</v>
      </c>
      <c r="D604">
        <v>10</v>
      </c>
      <c r="E604" s="1">
        <v>0.89500000000000002</v>
      </c>
      <c r="F604">
        <v>2</v>
      </c>
      <c r="G604">
        <v>2</v>
      </c>
      <c r="H604">
        <v>1</v>
      </c>
      <c r="I604">
        <v>2019</v>
      </c>
    </row>
    <row r="605" spans="1:9" x14ac:dyDescent="0.45">
      <c r="A605" t="s">
        <v>110</v>
      </c>
      <c r="B605" t="str">
        <f t="shared" si="9"/>
        <v>Ezekiel Elliott</v>
      </c>
      <c r="C605">
        <v>18</v>
      </c>
      <c r="D605">
        <v>10</v>
      </c>
      <c r="E605" s="1">
        <v>1</v>
      </c>
      <c r="F605">
        <v>0</v>
      </c>
      <c r="G605">
        <v>0</v>
      </c>
      <c r="H605">
        <v>0</v>
      </c>
      <c r="I605">
        <v>2019</v>
      </c>
    </row>
    <row r="606" spans="1:9" x14ac:dyDescent="0.45">
      <c r="A606" t="s">
        <v>149</v>
      </c>
      <c r="B606" t="str">
        <f t="shared" si="9"/>
        <v>Dalvin Cook</v>
      </c>
      <c r="C606">
        <v>21</v>
      </c>
      <c r="D606">
        <v>9</v>
      </c>
      <c r="E606" s="1">
        <v>0.77800000000000002</v>
      </c>
      <c r="F606">
        <v>0</v>
      </c>
      <c r="G606">
        <v>0</v>
      </c>
      <c r="H606">
        <v>0</v>
      </c>
      <c r="I606">
        <v>2019</v>
      </c>
    </row>
    <row r="607" spans="1:9" x14ac:dyDescent="0.45">
      <c r="A607" t="s">
        <v>226</v>
      </c>
      <c r="B607" t="str">
        <f t="shared" si="9"/>
        <v>Todd Gurley II</v>
      </c>
      <c r="C607">
        <v>14</v>
      </c>
      <c r="D607">
        <v>8</v>
      </c>
      <c r="E607" s="1">
        <v>0.60899999999999999</v>
      </c>
      <c r="F607">
        <v>1</v>
      </c>
      <c r="G607">
        <v>1</v>
      </c>
      <c r="H607">
        <v>1</v>
      </c>
      <c r="I607">
        <v>2019</v>
      </c>
    </row>
    <row r="608" spans="1:9" x14ac:dyDescent="0.45">
      <c r="A608" t="s">
        <v>6</v>
      </c>
      <c r="B608" t="str">
        <f t="shared" si="9"/>
        <v>Christian McCaffrey</v>
      </c>
      <c r="C608">
        <v>19</v>
      </c>
      <c r="D608">
        <v>8</v>
      </c>
      <c r="E608" s="1">
        <v>0.90500000000000003</v>
      </c>
      <c r="F608">
        <v>1</v>
      </c>
      <c r="G608">
        <v>2</v>
      </c>
      <c r="H608">
        <v>1</v>
      </c>
      <c r="I608">
        <v>2019</v>
      </c>
    </row>
    <row r="609" spans="1:9" x14ac:dyDescent="0.45">
      <c r="A609" t="s">
        <v>167</v>
      </c>
      <c r="B609" t="str">
        <f t="shared" si="9"/>
        <v>Mark Ingram II</v>
      </c>
      <c r="C609">
        <v>16</v>
      </c>
      <c r="D609">
        <v>8</v>
      </c>
      <c r="E609" s="1">
        <v>0.64</v>
      </c>
      <c r="F609">
        <v>0</v>
      </c>
      <c r="G609">
        <v>0</v>
      </c>
      <c r="H609">
        <v>0</v>
      </c>
      <c r="I609">
        <v>2019</v>
      </c>
    </row>
    <row r="610" spans="1:9" x14ac:dyDescent="0.45">
      <c r="A610" t="s">
        <v>164</v>
      </c>
      <c r="B610" t="str">
        <f t="shared" si="9"/>
        <v>Melvin Gordon III</v>
      </c>
      <c r="C610">
        <v>13</v>
      </c>
      <c r="D610">
        <v>6</v>
      </c>
      <c r="E610" s="1">
        <v>0.56499999999999995</v>
      </c>
      <c r="F610">
        <v>1</v>
      </c>
      <c r="G610">
        <v>1</v>
      </c>
      <c r="H610">
        <v>1</v>
      </c>
      <c r="I610">
        <v>2019</v>
      </c>
    </row>
    <row r="611" spans="1:9" x14ac:dyDescent="0.45">
      <c r="A611" t="s">
        <v>18</v>
      </c>
      <c r="B611" t="str">
        <f t="shared" si="9"/>
        <v>David Montgomery</v>
      </c>
      <c r="C611">
        <v>17</v>
      </c>
      <c r="D611">
        <v>5</v>
      </c>
      <c r="E611" s="1">
        <v>0.94399999999999995</v>
      </c>
      <c r="F611">
        <v>1</v>
      </c>
      <c r="G611">
        <v>1</v>
      </c>
      <c r="H611">
        <v>1</v>
      </c>
      <c r="I611">
        <v>2019</v>
      </c>
    </row>
    <row r="612" spans="1:9" x14ac:dyDescent="0.45">
      <c r="A612" t="s">
        <v>102</v>
      </c>
      <c r="B612" t="str">
        <f t="shared" si="9"/>
        <v>Joe Mixon</v>
      </c>
      <c r="C612">
        <v>15</v>
      </c>
      <c r="D612">
        <v>3</v>
      </c>
      <c r="E612" s="1">
        <v>0.93799999999999994</v>
      </c>
      <c r="F612">
        <v>3</v>
      </c>
      <c r="G612">
        <v>3</v>
      </c>
      <c r="H612">
        <v>3</v>
      </c>
      <c r="I612">
        <v>2019</v>
      </c>
    </row>
    <row r="613" spans="1:9" x14ac:dyDescent="0.45">
      <c r="A613" t="s">
        <v>202</v>
      </c>
      <c r="B613" t="str">
        <f t="shared" si="9"/>
        <v>Chris Carson</v>
      </c>
      <c r="C613">
        <v>9</v>
      </c>
      <c r="D613">
        <v>5</v>
      </c>
      <c r="E613" s="1">
        <v>0.64300000000000002</v>
      </c>
      <c r="F613">
        <v>1</v>
      </c>
      <c r="G613">
        <v>1</v>
      </c>
      <c r="H613">
        <v>1</v>
      </c>
      <c r="I613">
        <v>2019</v>
      </c>
    </row>
    <row r="614" spans="1:9" x14ac:dyDescent="0.45">
      <c r="A614" t="s">
        <v>13</v>
      </c>
      <c r="B614" t="str">
        <f t="shared" si="9"/>
        <v>Josh Jacobs</v>
      </c>
      <c r="C614">
        <v>12</v>
      </c>
      <c r="D614">
        <v>5</v>
      </c>
      <c r="E614" s="1">
        <v>0.66700000000000004</v>
      </c>
      <c r="F614">
        <v>0</v>
      </c>
      <c r="G614">
        <v>0</v>
      </c>
      <c r="H614">
        <v>0</v>
      </c>
      <c r="I614">
        <v>2019</v>
      </c>
    </row>
    <row r="615" spans="1:9" x14ac:dyDescent="0.45">
      <c r="A615" t="s">
        <v>196</v>
      </c>
      <c r="B615" t="str">
        <f t="shared" si="9"/>
        <v>Jordan Howard</v>
      </c>
      <c r="C615">
        <v>10</v>
      </c>
      <c r="D615">
        <v>5</v>
      </c>
      <c r="E615" s="1">
        <v>0.55600000000000005</v>
      </c>
      <c r="F615">
        <v>0</v>
      </c>
      <c r="G615">
        <v>0</v>
      </c>
      <c r="H615">
        <v>0</v>
      </c>
      <c r="I615">
        <v>2019</v>
      </c>
    </row>
    <row r="616" spans="1:9" x14ac:dyDescent="0.45">
      <c r="A616" t="s">
        <v>189</v>
      </c>
      <c r="B616" t="str">
        <f t="shared" si="9"/>
        <v>Phillip Lindsay</v>
      </c>
      <c r="C616">
        <v>8</v>
      </c>
      <c r="D616">
        <v>5</v>
      </c>
      <c r="E616" s="1">
        <v>0.57099999999999995</v>
      </c>
      <c r="F616">
        <v>1</v>
      </c>
      <c r="G616">
        <v>1</v>
      </c>
      <c r="H616">
        <v>0</v>
      </c>
      <c r="I616">
        <v>2019</v>
      </c>
    </row>
    <row r="617" spans="1:9" x14ac:dyDescent="0.45">
      <c r="A617" t="s">
        <v>161</v>
      </c>
      <c r="B617" t="str">
        <f t="shared" si="9"/>
        <v>Kenyan Drake</v>
      </c>
      <c r="C617">
        <v>6</v>
      </c>
      <c r="D617">
        <v>5</v>
      </c>
      <c r="E617" s="1">
        <v>0.33300000000000002</v>
      </c>
      <c r="F617">
        <v>0</v>
      </c>
      <c r="G617">
        <v>0</v>
      </c>
      <c r="H617">
        <v>0</v>
      </c>
      <c r="I617">
        <v>2019</v>
      </c>
    </row>
    <row r="618" spans="1:9" x14ac:dyDescent="0.45">
      <c r="A618" t="s">
        <v>188</v>
      </c>
      <c r="B618" t="str">
        <f t="shared" si="9"/>
        <v>Sony Michel</v>
      </c>
      <c r="C618">
        <v>13</v>
      </c>
      <c r="D618">
        <v>5</v>
      </c>
      <c r="E618" s="1">
        <v>0.52</v>
      </c>
      <c r="F618">
        <v>0</v>
      </c>
      <c r="G618">
        <v>1</v>
      </c>
      <c r="H618">
        <v>0</v>
      </c>
      <c r="I618">
        <v>2019</v>
      </c>
    </row>
    <row r="619" spans="1:9" x14ac:dyDescent="0.45">
      <c r="A619" t="s">
        <v>8</v>
      </c>
      <c r="B619" t="str">
        <f t="shared" si="9"/>
        <v>Derrick Henry</v>
      </c>
      <c r="C619">
        <v>8</v>
      </c>
      <c r="D619">
        <v>5</v>
      </c>
      <c r="E619" s="1">
        <v>1</v>
      </c>
      <c r="F619">
        <v>0</v>
      </c>
      <c r="G619">
        <v>0</v>
      </c>
      <c r="H619">
        <v>0</v>
      </c>
      <c r="I619">
        <v>2019</v>
      </c>
    </row>
    <row r="620" spans="1:9" x14ac:dyDescent="0.45">
      <c r="A620" t="s">
        <v>214</v>
      </c>
      <c r="B620" t="str">
        <f t="shared" si="9"/>
        <v>Ronald Jones II</v>
      </c>
      <c r="C620">
        <v>4</v>
      </c>
      <c r="D620">
        <v>4</v>
      </c>
      <c r="E620" s="1">
        <v>0.19</v>
      </c>
      <c r="F620">
        <v>0</v>
      </c>
      <c r="G620">
        <v>0</v>
      </c>
      <c r="H620">
        <v>0</v>
      </c>
      <c r="I620">
        <v>2019</v>
      </c>
    </row>
    <row r="621" spans="1:9" x14ac:dyDescent="0.45">
      <c r="A621" t="s">
        <v>184</v>
      </c>
      <c r="B621" t="str">
        <f t="shared" si="9"/>
        <v>Malcolm Brown</v>
      </c>
      <c r="C621">
        <v>7</v>
      </c>
      <c r="D621">
        <v>4</v>
      </c>
      <c r="E621" s="1">
        <v>0.30399999999999999</v>
      </c>
      <c r="F621">
        <v>0</v>
      </c>
      <c r="G621">
        <v>0</v>
      </c>
      <c r="H621">
        <v>0</v>
      </c>
      <c r="I621">
        <v>2019</v>
      </c>
    </row>
    <row r="622" spans="1:9" x14ac:dyDescent="0.45">
      <c r="A622" t="s">
        <v>151</v>
      </c>
      <c r="B622" t="str">
        <f t="shared" si="9"/>
        <v>Jeff Wilson Jr.</v>
      </c>
      <c r="C622">
        <v>6</v>
      </c>
      <c r="D622">
        <v>4</v>
      </c>
      <c r="E622" s="1">
        <v>0.3</v>
      </c>
      <c r="F622">
        <v>0</v>
      </c>
      <c r="G622">
        <v>0</v>
      </c>
      <c r="H622">
        <v>0</v>
      </c>
      <c r="I622">
        <v>2019</v>
      </c>
    </row>
    <row r="623" spans="1:9" x14ac:dyDescent="0.45">
      <c r="A623" t="s">
        <v>250</v>
      </c>
      <c r="B623" t="str">
        <f t="shared" si="9"/>
        <v>Qadree Ollison</v>
      </c>
      <c r="C623">
        <v>6</v>
      </c>
      <c r="D623">
        <v>4</v>
      </c>
      <c r="E623" s="1">
        <v>0.46200000000000002</v>
      </c>
      <c r="F623">
        <v>0</v>
      </c>
      <c r="G623">
        <v>0</v>
      </c>
      <c r="H623">
        <v>0</v>
      </c>
      <c r="I623">
        <v>2019</v>
      </c>
    </row>
    <row r="624" spans="1:9" x14ac:dyDescent="0.45">
      <c r="A624" t="s">
        <v>205</v>
      </c>
      <c r="B624" t="str">
        <f t="shared" si="9"/>
        <v>Carlos Hyde</v>
      </c>
      <c r="C624">
        <v>9</v>
      </c>
      <c r="D624">
        <v>4</v>
      </c>
      <c r="E624" s="1">
        <v>0.9</v>
      </c>
      <c r="F624">
        <v>0</v>
      </c>
      <c r="G624">
        <v>0</v>
      </c>
      <c r="H624">
        <v>0</v>
      </c>
      <c r="I624">
        <v>2019</v>
      </c>
    </row>
    <row r="625" spans="1:9" x14ac:dyDescent="0.45">
      <c r="A625" t="s">
        <v>141</v>
      </c>
      <c r="B625" t="str">
        <f t="shared" si="9"/>
        <v>Royce Freeman</v>
      </c>
      <c r="C625">
        <v>5</v>
      </c>
      <c r="D625">
        <v>3</v>
      </c>
      <c r="E625" s="1">
        <v>0.35699999999999998</v>
      </c>
      <c r="F625">
        <v>1</v>
      </c>
      <c r="G625">
        <v>1</v>
      </c>
      <c r="H625">
        <v>1</v>
      </c>
      <c r="I625">
        <v>2019</v>
      </c>
    </row>
    <row r="626" spans="1:9" x14ac:dyDescent="0.45">
      <c r="A626" t="s">
        <v>127</v>
      </c>
      <c r="B626" t="str">
        <f t="shared" si="9"/>
        <v>Jamaal Williams</v>
      </c>
      <c r="C626">
        <v>2</v>
      </c>
      <c r="D626">
        <v>1</v>
      </c>
      <c r="E626" s="1">
        <v>0.105</v>
      </c>
      <c r="F626">
        <v>3</v>
      </c>
      <c r="G626">
        <v>3</v>
      </c>
      <c r="H626">
        <v>3</v>
      </c>
      <c r="I626">
        <v>2019</v>
      </c>
    </row>
    <row r="627" spans="1:9" x14ac:dyDescent="0.45">
      <c r="A627" t="s">
        <v>199</v>
      </c>
      <c r="B627" t="str">
        <f t="shared" si="9"/>
        <v>Peyton Barber</v>
      </c>
      <c r="C627">
        <v>9</v>
      </c>
      <c r="D627">
        <v>4</v>
      </c>
      <c r="E627" s="1">
        <v>0.42899999999999999</v>
      </c>
      <c r="F627">
        <v>0</v>
      </c>
      <c r="G627">
        <v>0</v>
      </c>
      <c r="H627">
        <v>0</v>
      </c>
      <c r="I627">
        <v>2019</v>
      </c>
    </row>
    <row r="628" spans="1:9" x14ac:dyDescent="0.45">
      <c r="A628" t="s">
        <v>201</v>
      </c>
      <c r="B628" t="str">
        <f t="shared" si="9"/>
        <v>Le'Veon Bell</v>
      </c>
      <c r="C628">
        <v>6</v>
      </c>
      <c r="D628">
        <v>3</v>
      </c>
      <c r="E628" s="1">
        <v>1</v>
      </c>
      <c r="F628">
        <v>1</v>
      </c>
      <c r="G628">
        <v>1</v>
      </c>
      <c r="H628">
        <v>0</v>
      </c>
      <c r="I628">
        <v>2019</v>
      </c>
    </row>
    <row r="629" spans="1:9" x14ac:dyDescent="0.45">
      <c r="A629" t="s">
        <v>251</v>
      </c>
      <c r="B629" t="str">
        <f t="shared" si="9"/>
        <v>LeSean McCoy</v>
      </c>
      <c r="C629">
        <v>7</v>
      </c>
      <c r="D629">
        <v>3</v>
      </c>
      <c r="E629" s="1">
        <v>0.41199999999999998</v>
      </c>
      <c r="F629">
        <v>0</v>
      </c>
      <c r="G629">
        <v>0</v>
      </c>
      <c r="H629">
        <v>0</v>
      </c>
      <c r="I629">
        <v>2019</v>
      </c>
    </row>
    <row r="630" spans="1:9" x14ac:dyDescent="0.45">
      <c r="A630" t="s">
        <v>222</v>
      </c>
      <c r="B630" t="str">
        <f t="shared" si="9"/>
        <v>David Johnson</v>
      </c>
      <c r="C630">
        <v>6</v>
      </c>
      <c r="D630">
        <v>2</v>
      </c>
      <c r="E630" s="1">
        <v>1</v>
      </c>
      <c r="F630">
        <v>1</v>
      </c>
      <c r="G630">
        <v>1</v>
      </c>
      <c r="H630">
        <v>1</v>
      </c>
      <c r="I630">
        <v>2019</v>
      </c>
    </row>
    <row r="631" spans="1:9" x14ac:dyDescent="0.45">
      <c r="A631" t="s">
        <v>178</v>
      </c>
      <c r="B631" t="str">
        <f t="shared" si="9"/>
        <v>Darrel Williams</v>
      </c>
      <c r="C631">
        <v>6</v>
      </c>
      <c r="D631">
        <v>2</v>
      </c>
      <c r="E631" s="1">
        <v>0.35299999999999998</v>
      </c>
      <c r="F631">
        <v>1</v>
      </c>
      <c r="G631">
        <v>1</v>
      </c>
      <c r="H631">
        <v>1</v>
      </c>
      <c r="I631">
        <v>2019</v>
      </c>
    </row>
    <row r="632" spans="1:9" x14ac:dyDescent="0.45">
      <c r="A632" t="s">
        <v>169</v>
      </c>
      <c r="B632" t="str">
        <f t="shared" si="9"/>
        <v>Tevin Coleman</v>
      </c>
      <c r="C632">
        <v>9</v>
      </c>
      <c r="D632">
        <v>3</v>
      </c>
      <c r="E632" s="1">
        <v>0.45</v>
      </c>
      <c r="F632">
        <v>0</v>
      </c>
      <c r="G632">
        <v>2</v>
      </c>
      <c r="H632">
        <v>0</v>
      </c>
      <c r="I632">
        <v>2019</v>
      </c>
    </row>
    <row r="633" spans="1:9" x14ac:dyDescent="0.45">
      <c r="A633" t="s">
        <v>224</v>
      </c>
      <c r="B633" t="str">
        <f t="shared" si="9"/>
        <v>Kalen Ballage</v>
      </c>
      <c r="C633">
        <v>7</v>
      </c>
      <c r="D633">
        <v>3</v>
      </c>
      <c r="E633" s="1">
        <v>0.38900000000000001</v>
      </c>
      <c r="F633">
        <v>0</v>
      </c>
      <c r="G633">
        <v>0</v>
      </c>
      <c r="H633">
        <v>0</v>
      </c>
      <c r="I633">
        <v>2019</v>
      </c>
    </row>
    <row r="634" spans="1:9" x14ac:dyDescent="0.45">
      <c r="A634" t="s">
        <v>170</v>
      </c>
      <c r="B634" t="str">
        <f t="shared" si="9"/>
        <v>Marlon Mack</v>
      </c>
      <c r="C634">
        <v>6</v>
      </c>
      <c r="D634">
        <v>3</v>
      </c>
      <c r="E634" s="1">
        <v>0.42899999999999999</v>
      </c>
      <c r="F634">
        <v>0</v>
      </c>
      <c r="G634">
        <v>0</v>
      </c>
      <c r="H634">
        <v>0</v>
      </c>
      <c r="I634">
        <v>2019</v>
      </c>
    </row>
    <row r="635" spans="1:9" x14ac:dyDescent="0.45">
      <c r="A635" t="s">
        <v>203</v>
      </c>
      <c r="B635" t="str">
        <f t="shared" si="9"/>
        <v>Adrian Peterson</v>
      </c>
      <c r="C635">
        <v>7</v>
      </c>
      <c r="D635">
        <v>3</v>
      </c>
      <c r="E635" s="1">
        <v>0.58299999999999996</v>
      </c>
      <c r="F635">
        <v>0</v>
      </c>
      <c r="G635">
        <v>0</v>
      </c>
      <c r="H635">
        <v>0</v>
      </c>
      <c r="I635">
        <v>2019</v>
      </c>
    </row>
    <row r="636" spans="1:9" x14ac:dyDescent="0.45">
      <c r="A636" t="s">
        <v>152</v>
      </c>
      <c r="B636" t="str">
        <f t="shared" si="9"/>
        <v>Leonard Fournette</v>
      </c>
      <c r="C636">
        <v>8</v>
      </c>
      <c r="D636">
        <v>3</v>
      </c>
      <c r="E636" s="1">
        <v>0.88900000000000001</v>
      </c>
      <c r="F636">
        <v>0</v>
      </c>
      <c r="G636">
        <v>1</v>
      </c>
      <c r="H636">
        <v>0</v>
      </c>
      <c r="I636">
        <v>2019</v>
      </c>
    </row>
    <row r="637" spans="1:9" x14ac:dyDescent="0.45">
      <c r="A637" t="s">
        <v>70</v>
      </c>
      <c r="B637" t="str">
        <f t="shared" si="9"/>
        <v>Nick Chubb</v>
      </c>
      <c r="C637">
        <v>16</v>
      </c>
      <c r="D637">
        <v>3</v>
      </c>
      <c r="E637" s="1">
        <v>0.84199999999999997</v>
      </c>
      <c r="F637">
        <v>0</v>
      </c>
      <c r="G637">
        <v>1</v>
      </c>
      <c r="H637">
        <v>0</v>
      </c>
      <c r="I637">
        <v>2019</v>
      </c>
    </row>
    <row r="638" spans="1:9" x14ac:dyDescent="0.45">
      <c r="A638" t="s">
        <v>109</v>
      </c>
      <c r="B638" t="str">
        <f t="shared" si="9"/>
        <v>Austin Ekeler</v>
      </c>
      <c r="C638">
        <v>9</v>
      </c>
      <c r="D638">
        <v>2</v>
      </c>
      <c r="E638" s="1">
        <v>0.39100000000000001</v>
      </c>
      <c r="F638">
        <v>3</v>
      </c>
      <c r="G638">
        <v>4</v>
      </c>
      <c r="H638">
        <v>1</v>
      </c>
      <c r="I638">
        <v>2019</v>
      </c>
    </row>
    <row r="639" spans="1:9" x14ac:dyDescent="0.45">
      <c r="A639" t="s">
        <v>252</v>
      </c>
      <c r="B639" t="str">
        <f t="shared" si="9"/>
        <v>Jaylen Samuels</v>
      </c>
      <c r="C639">
        <v>3</v>
      </c>
      <c r="D639">
        <v>1</v>
      </c>
      <c r="E639" s="1">
        <v>0.27300000000000002</v>
      </c>
      <c r="F639">
        <v>1</v>
      </c>
      <c r="G639">
        <v>1</v>
      </c>
      <c r="H639">
        <v>1</v>
      </c>
      <c r="I639">
        <v>2019</v>
      </c>
    </row>
    <row r="640" spans="1:9" x14ac:dyDescent="0.45">
      <c r="A640" t="s">
        <v>246</v>
      </c>
      <c r="B640" t="str">
        <f t="shared" si="9"/>
        <v>DeAndre Washington</v>
      </c>
      <c r="C640">
        <v>4</v>
      </c>
      <c r="D640">
        <v>2</v>
      </c>
      <c r="E640" s="1">
        <v>0.222</v>
      </c>
      <c r="F640">
        <v>0</v>
      </c>
      <c r="G640">
        <v>0</v>
      </c>
      <c r="H640">
        <v>0</v>
      </c>
      <c r="I640">
        <v>2019</v>
      </c>
    </row>
    <row r="641" spans="1:9" x14ac:dyDescent="0.45">
      <c r="A641" t="s">
        <v>180</v>
      </c>
      <c r="B641" t="str">
        <f t="shared" si="9"/>
        <v>Brandon Bolden</v>
      </c>
      <c r="C641">
        <v>4</v>
      </c>
      <c r="D641">
        <v>2</v>
      </c>
      <c r="E641" s="1">
        <v>0.16</v>
      </c>
      <c r="F641">
        <v>0</v>
      </c>
      <c r="G641">
        <v>0</v>
      </c>
      <c r="H641">
        <v>0</v>
      </c>
      <c r="I641">
        <v>2019</v>
      </c>
    </row>
    <row r="642" spans="1:9" x14ac:dyDescent="0.45">
      <c r="A642" t="s">
        <v>98</v>
      </c>
      <c r="B642" t="str">
        <f t="shared" ref="B642:B705" si="10">TRIM(LEFT(A642, LEN(A642) - LEN(TRIM(RIGHT(SUBSTITUTE(TRIM(A642)," ",REPT(" ",100)),100)))))</f>
        <v>Alvin Kamara</v>
      </c>
      <c r="C642">
        <v>7</v>
      </c>
      <c r="D642">
        <v>2</v>
      </c>
      <c r="E642" s="1">
        <v>0.58299999999999996</v>
      </c>
      <c r="F642">
        <v>0</v>
      </c>
      <c r="G642">
        <v>0</v>
      </c>
      <c r="H642">
        <v>0</v>
      </c>
      <c r="I642">
        <v>2019</v>
      </c>
    </row>
    <row r="643" spans="1:9" x14ac:dyDescent="0.45">
      <c r="A643" t="s">
        <v>134</v>
      </c>
      <c r="B643" t="str">
        <f t="shared" si="10"/>
        <v>Latavius Murray</v>
      </c>
      <c r="C643">
        <v>4</v>
      </c>
      <c r="D643">
        <v>2</v>
      </c>
      <c r="E643" s="1">
        <v>0.33300000000000002</v>
      </c>
      <c r="F643">
        <v>0</v>
      </c>
      <c r="G643">
        <v>0</v>
      </c>
      <c r="H643">
        <v>0</v>
      </c>
      <c r="I643">
        <v>2019</v>
      </c>
    </row>
    <row r="644" spans="1:9" x14ac:dyDescent="0.45">
      <c r="A644" t="s">
        <v>160</v>
      </c>
      <c r="B644" t="str">
        <f t="shared" si="10"/>
        <v>Boston Scott</v>
      </c>
      <c r="C644">
        <v>2</v>
      </c>
      <c r="D644">
        <v>2</v>
      </c>
      <c r="E644" s="1">
        <v>0.111</v>
      </c>
      <c r="F644">
        <v>0</v>
      </c>
      <c r="G644">
        <v>0</v>
      </c>
      <c r="H644">
        <v>0</v>
      </c>
      <c r="I644">
        <v>2019</v>
      </c>
    </row>
    <row r="645" spans="1:9" x14ac:dyDescent="0.45">
      <c r="A645" t="s">
        <v>45</v>
      </c>
      <c r="B645" t="str">
        <f t="shared" si="10"/>
        <v>James Conner</v>
      </c>
      <c r="C645">
        <v>5</v>
      </c>
      <c r="D645">
        <v>2</v>
      </c>
      <c r="E645" s="1">
        <v>0.45500000000000002</v>
      </c>
      <c r="F645">
        <v>0</v>
      </c>
      <c r="G645">
        <v>0</v>
      </c>
      <c r="H645">
        <v>0</v>
      </c>
      <c r="I645">
        <v>2019</v>
      </c>
    </row>
    <row r="646" spans="1:9" x14ac:dyDescent="0.45">
      <c r="A646" t="s">
        <v>220</v>
      </c>
      <c r="B646" t="str">
        <f t="shared" si="10"/>
        <v>Dontrell Hilliard</v>
      </c>
      <c r="C646">
        <v>2</v>
      </c>
      <c r="D646">
        <v>2</v>
      </c>
      <c r="E646" s="1">
        <v>0.105</v>
      </c>
      <c r="F646">
        <v>0</v>
      </c>
      <c r="G646">
        <v>0</v>
      </c>
      <c r="H646">
        <v>0</v>
      </c>
      <c r="I646">
        <v>2019</v>
      </c>
    </row>
    <row r="647" spans="1:9" x14ac:dyDescent="0.45">
      <c r="A647" t="s">
        <v>253</v>
      </c>
      <c r="B647" t="str">
        <f t="shared" si="10"/>
        <v>Wes Hills</v>
      </c>
      <c r="C647">
        <v>3</v>
      </c>
      <c r="D647">
        <v>2</v>
      </c>
      <c r="E647" s="1">
        <v>0.2</v>
      </c>
      <c r="F647">
        <v>0</v>
      </c>
      <c r="G647">
        <v>0</v>
      </c>
      <c r="H647">
        <v>0</v>
      </c>
      <c r="I647">
        <v>2019</v>
      </c>
    </row>
    <row r="648" spans="1:9" x14ac:dyDescent="0.45">
      <c r="A648" t="s">
        <v>197</v>
      </c>
      <c r="B648" t="str">
        <f t="shared" si="10"/>
        <v>Damien Williams</v>
      </c>
      <c r="C648">
        <v>3</v>
      </c>
      <c r="D648">
        <v>2</v>
      </c>
      <c r="E648" s="1">
        <v>0.17599999999999999</v>
      </c>
      <c r="F648">
        <v>1</v>
      </c>
      <c r="G648">
        <v>2</v>
      </c>
      <c r="H648">
        <v>0</v>
      </c>
      <c r="I648">
        <v>2019</v>
      </c>
    </row>
    <row r="649" spans="1:9" x14ac:dyDescent="0.45">
      <c r="A649" t="s">
        <v>227</v>
      </c>
      <c r="B649" t="str">
        <f t="shared" si="10"/>
        <v>Wayne Gallman Jr.</v>
      </c>
      <c r="C649">
        <v>4</v>
      </c>
      <c r="D649">
        <v>2</v>
      </c>
      <c r="E649" s="1">
        <v>0.28599999999999998</v>
      </c>
      <c r="F649">
        <v>0</v>
      </c>
      <c r="G649">
        <v>0</v>
      </c>
      <c r="H649">
        <v>0</v>
      </c>
      <c r="I649">
        <v>2019</v>
      </c>
    </row>
    <row r="650" spans="1:9" x14ac:dyDescent="0.45">
      <c r="A650" t="s">
        <v>59</v>
      </c>
      <c r="B650" t="str">
        <f t="shared" si="10"/>
        <v>Saquon Barkley</v>
      </c>
      <c r="C650">
        <v>8</v>
      </c>
      <c r="D650">
        <v>1</v>
      </c>
      <c r="E650" s="1">
        <v>0.57099999999999995</v>
      </c>
      <c r="F650">
        <v>1</v>
      </c>
      <c r="G650">
        <v>2</v>
      </c>
      <c r="H650">
        <v>1</v>
      </c>
      <c r="I650">
        <v>2019</v>
      </c>
    </row>
    <row r="651" spans="1:9" x14ac:dyDescent="0.45">
      <c r="A651" t="s">
        <v>185</v>
      </c>
      <c r="B651" t="str">
        <f t="shared" si="10"/>
        <v>Rex Burkhead</v>
      </c>
      <c r="C651">
        <v>2</v>
      </c>
      <c r="D651">
        <v>2</v>
      </c>
      <c r="E651" s="1">
        <v>0.08</v>
      </c>
      <c r="F651">
        <v>0</v>
      </c>
      <c r="G651">
        <v>0</v>
      </c>
      <c r="H651">
        <v>0</v>
      </c>
      <c r="I651">
        <v>2019</v>
      </c>
    </row>
    <row r="652" spans="1:9" x14ac:dyDescent="0.45">
      <c r="A652" t="s">
        <v>101</v>
      </c>
      <c r="B652" t="str">
        <f t="shared" si="10"/>
        <v>Dare Ogunbowale</v>
      </c>
      <c r="C652">
        <v>7</v>
      </c>
      <c r="D652">
        <v>2</v>
      </c>
      <c r="E652" s="1">
        <v>0.33300000000000002</v>
      </c>
      <c r="F652">
        <v>0</v>
      </c>
      <c r="G652">
        <v>2</v>
      </c>
      <c r="H652">
        <v>0</v>
      </c>
      <c r="I652">
        <v>2019</v>
      </c>
    </row>
    <row r="653" spans="1:9" x14ac:dyDescent="0.45">
      <c r="A653" t="s">
        <v>254</v>
      </c>
      <c r="B653" t="str">
        <f t="shared" si="10"/>
        <v>Derrius Guice</v>
      </c>
      <c r="C653">
        <v>3</v>
      </c>
      <c r="D653">
        <v>2</v>
      </c>
      <c r="E653" s="1">
        <v>0.25</v>
      </c>
      <c r="F653">
        <v>0</v>
      </c>
      <c r="G653">
        <v>0</v>
      </c>
      <c r="H653">
        <v>0</v>
      </c>
      <c r="I653">
        <v>2019</v>
      </c>
    </row>
    <row r="654" spans="1:9" x14ac:dyDescent="0.45">
      <c r="A654" t="s">
        <v>232</v>
      </c>
      <c r="B654" t="str">
        <f t="shared" si="10"/>
        <v>Frank Gore</v>
      </c>
      <c r="C654">
        <v>11</v>
      </c>
      <c r="D654">
        <v>2</v>
      </c>
      <c r="E654" s="1">
        <v>0.84599999999999997</v>
      </c>
      <c r="F654">
        <v>0</v>
      </c>
      <c r="G654">
        <v>0</v>
      </c>
      <c r="H654">
        <v>0</v>
      </c>
      <c r="I654">
        <v>2019</v>
      </c>
    </row>
    <row r="655" spans="1:9" x14ac:dyDescent="0.45">
      <c r="A655" t="s">
        <v>60</v>
      </c>
      <c r="B655" t="str">
        <f t="shared" si="10"/>
        <v>Miles Sanders</v>
      </c>
      <c r="C655">
        <v>6</v>
      </c>
      <c r="D655">
        <v>2</v>
      </c>
      <c r="E655" s="1">
        <v>0.33300000000000002</v>
      </c>
      <c r="F655">
        <v>0</v>
      </c>
      <c r="G655">
        <v>0</v>
      </c>
      <c r="H655">
        <v>0</v>
      </c>
      <c r="I655">
        <v>2019</v>
      </c>
    </row>
    <row r="656" spans="1:9" x14ac:dyDescent="0.45">
      <c r="A656" t="s">
        <v>242</v>
      </c>
      <c r="B656" t="str">
        <f t="shared" si="10"/>
        <v>Jordan Wilkins</v>
      </c>
      <c r="C656">
        <v>5</v>
      </c>
      <c r="D656">
        <v>2</v>
      </c>
      <c r="E656" s="1">
        <v>0.35699999999999998</v>
      </c>
      <c r="F656">
        <v>0</v>
      </c>
      <c r="G656">
        <v>0</v>
      </c>
      <c r="H656">
        <v>0</v>
      </c>
      <c r="I656">
        <v>2019</v>
      </c>
    </row>
    <row r="657" spans="1:9" x14ac:dyDescent="0.45">
      <c r="A657" t="s">
        <v>229</v>
      </c>
      <c r="B657" t="str">
        <f t="shared" si="10"/>
        <v>Kerryon Johnson</v>
      </c>
      <c r="C657">
        <v>9</v>
      </c>
      <c r="D657">
        <v>2</v>
      </c>
      <c r="E657" s="1">
        <v>0.6</v>
      </c>
      <c r="F657">
        <v>0</v>
      </c>
      <c r="G657">
        <v>0</v>
      </c>
      <c r="H657">
        <v>0</v>
      </c>
      <c r="I657">
        <v>2019</v>
      </c>
    </row>
    <row r="658" spans="1:9" x14ac:dyDescent="0.45">
      <c r="A658" t="s">
        <v>208</v>
      </c>
      <c r="B658" t="str">
        <f t="shared" si="10"/>
        <v>Rashaad Penny</v>
      </c>
      <c r="C658">
        <v>3</v>
      </c>
      <c r="D658">
        <v>1</v>
      </c>
      <c r="E658" s="1">
        <v>0.214</v>
      </c>
      <c r="F658">
        <v>0</v>
      </c>
      <c r="G658">
        <v>0</v>
      </c>
      <c r="H658">
        <v>0</v>
      </c>
      <c r="I658">
        <v>2019</v>
      </c>
    </row>
    <row r="659" spans="1:9" x14ac:dyDescent="0.45">
      <c r="A659" t="s">
        <v>244</v>
      </c>
      <c r="B659" t="str">
        <f t="shared" si="10"/>
        <v>Brian Hill</v>
      </c>
      <c r="C659">
        <v>2</v>
      </c>
      <c r="D659">
        <v>1</v>
      </c>
      <c r="E659" s="1">
        <v>0.154</v>
      </c>
      <c r="F659">
        <v>0</v>
      </c>
      <c r="G659">
        <v>0</v>
      </c>
      <c r="H659">
        <v>0</v>
      </c>
      <c r="I659">
        <v>2019</v>
      </c>
    </row>
    <row r="660" spans="1:9" x14ac:dyDescent="0.45">
      <c r="A660" t="s">
        <v>240</v>
      </c>
      <c r="B660" t="str">
        <f t="shared" si="10"/>
        <v>James White</v>
      </c>
      <c r="C660">
        <v>5</v>
      </c>
      <c r="D660">
        <v>1</v>
      </c>
      <c r="E660" s="1">
        <v>0.2</v>
      </c>
      <c r="F660">
        <v>0</v>
      </c>
      <c r="G660">
        <v>1</v>
      </c>
      <c r="H660">
        <v>0</v>
      </c>
      <c r="I660">
        <v>2019</v>
      </c>
    </row>
    <row r="661" spans="1:9" x14ac:dyDescent="0.45">
      <c r="A661" t="s">
        <v>255</v>
      </c>
      <c r="B661" t="str">
        <f t="shared" si="10"/>
        <v>Bo Scarbrough</v>
      </c>
      <c r="C661">
        <v>1</v>
      </c>
      <c r="D661">
        <v>1</v>
      </c>
      <c r="E661" s="1">
        <v>6.7000000000000004E-2</v>
      </c>
      <c r="F661">
        <v>0</v>
      </c>
      <c r="G661">
        <v>0</v>
      </c>
      <c r="H661">
        <v>0</v>
      </c>
      <c r="I661">
        <v>2019</v>
      </c>
    </row>
    <row r="662" spans="1:9" x14ac:dyDescent="0.45">
      <c r="A662" t="s">
        <v>256</v>
      </c>
      <c r="B662" t="str">
        <f t="shared" si="10"/>
        <v>Patrick Laird</v>
      </c>
      <c r="C662">
        <v>2</v>
      </c>
      <c r="D662">
        <v>1</v>
      </c>
      <c r="E662" s="1">
        <v>0.111</v>
      </c>
      <c r="F662">
        <v>0</v>
      </c>
      <c r="G662">
        <v>0</v>
      </c>
      <c r="H662">
        <v>0</v>
      </c>
      <c r="I662">
        <v>2019</v>
      </c>
    </row>
    <row r="663" spans="1:9" x14ac:dyDescent="0.45">
      <c r="A663" t="s">
        <v>124</v>
      </c>
      <c r="B663" t="str">
        <f t="shared" si="10"/>
        <v>Raheem Mostert</v>
      </c>
      <c r="C663">
        <v>3</v>
      </c>
      <c r="D663">
        <v>1</v>
      </c>
      <c r="E663" s="1">
        <v>0.15</v>
      </c>
      <c r="F663">
        <v>0</v>
      </c>
      <c r="G663">
        <v>0</v>
      </c>
      <c r="H663">
        <v>0</v>
      </c>
      <c r="I663">
        <v>2019</v>
      </c>
    </row>
    <row r="664" spans="1:9" x14ac:dyDescent="0.45">
      <c r="A664" t="s">
        <v>73</v>
      </c>
      <c r="B664" t="str">
        <f t="shared" si="10"/>
        <v>C.J. Ham</v>
      </c>
      <c r="C664">
        <v>2</v>
      </c>
      <c r="D664">
        <v>0</v>
      </c>
      <c r="E664" s="1">
        <v>7.3999999999999996E-2</v>
      </c>
      <c r="F664">
        <v>1</v>
      </c>
      <c r="G664">
        <v>3</v>
      </c>
      <c r="H664">
        <v>1</v>
      </c>
      <c r="I664">
        <v>2019</v>
      </c>
    </row>
    <row r="665" spans="1:9" x14ac:dyDescent="0.45">
      <c r="A665" t="s">
        <v>193</v>
      </c>
      <c r="B665" t="str">
        <f t="shared" si="10"/>
        <v>Nyheim Miller-Hines</v>
      </c>
      <c r="C665">
        <v>2</v>
      </c>
      <c r="D665">
        <v>1</v>
      </c>
      <c r="E665" s="1">
        <v>0.14299999999999999</v>
      </c>
      <c r="F665">
        <v>0</v>
      </c>
      <c r="G665">
        <v>1</v>
      </c>
      <c r="H665">
        <v>0</v>
      </c>
      <c r="I665">
        <v>2019</v>
      </c>
    </row>
    <row r="666" spans="1:9" x14ac:dyDescent="0.45">
      <c r="A666" t="s">
        <v>38</v>
      </c>
      <c r="B666" t="str">
        <f t="shared" si="10"/>
        <v>Devin Singletary</v>
      </c>
      <c r="C666">
        <v>2</v>
      </c>
      <c r="D666">
        <v>1</v>
      </c>
      <c r="E666" s="1">
        <v>0.154</v>
      </c>
      <c r="F666">
        <v>0</v>
      </c>
      <c r="G666">
        <v>0</v>
      </c>
      <c r="H666">
        <v>0</v>
      </c>
      <c r="I666">
        <v>2019</v>
      </c>
    </row>
    <row r="667" spans="1:9" x14ac:dyDescent="0.45">
      <c r="A667" t="s">
        <v>257</v>
      </c>
      <c r="B667" t="str">
        <f t="shared" si="10"/>
        <v>Darwin Thompson</v>
      </c>
      <c r="C667">
        <v>1</v>
      </c>
      <c r="D667">
        <v>1</v>
      </c>
      <c r="E667" s="1">
        <v>5.8999999999999997E-2</v>
      </c>
      <c r="F667">
        <v>0</v>
      </c>
      <c r="G667">
        <v>0</v>
      </c>
      <c r="H667">
        <v>0</v>
      </c>
      <c r="I667">
        <v>2019</v>
      </c>
    </row>
    <row r="668" spans="1:9" x14ac:dyDescent="0.45">
      <c r="A668" t="s">
        <v>68</v>
      </c>
      <c r="B668" t="str">
        <f t="shared" si="10"/>
        <v>Kyle Juszczyk</v>
      </c>
      <c r="C668">
        <v>1</v>
      </c>
      <c r="D668">
        <v>0</v>
      </c>
      <c r="E668" s="1">
        <v>0.05</v>
      </c>
      <c r="F668">
        <v>2</v>
      </c>
      <c r="G668">
        <v>2</v>
      </c>
      <c r="H668">
        <v>1</v>
      </c>
      <c r="I668">
        <v>2019</v>
      </c>
    </row>
    <row r="669" spans="1:9" x14ac:dyDescent="0.45">
      <c r="A669" t="s">
        <v>9</v>
      </c>
      <c r="B669" t="str">
        <f t="shared" si="10"/>
        <v>Kareem Hunt</v>
      </c>
      <c r="C669">
        <v>1</v>
      </c>
      <c r="D669">
        <v>1</v>
      </c>
      <c r="E669" s="1">
        <v>5.2999999999999999E-2</v>
      </c>
      <c r="F669">
        <v>0</v>
      </c>
      <c r="G669">
        <v>0</v>
      </c>
      <c r="H669">
        <v>0</v>
      </c>
      <c r="I669">
        <v>2019</v>
      </c>
    </row>
    <row r="670" spans="1:9" x14ac:dyDescent="0.45">
      <c r="A670" t="s">
        <v>171</v>
      </c>
      <c r="B670" t="str">
        <f t="shared" si="10"/>
        <v>Matt Breida</v>
      </c>
      <c r="C670">
        <v>1</v>
      </c>
      <c r="D670">
        <v>0</v>
      </c>
      <c r="E670" s="1">
        <v>0.05</v>
      </c>
      <c r="F670">
        <v>1</v>
      </c>
      <c r="G670">
        <v>1</v>
      </c>
      <c r="H670">
        <v>1</v>
      </c>
      <c r="I670">
        <v>2019</v>
      </c>
    </row>
    <row r="671" spans="1:9" x14ac:dyDescent="0.45">
      <c r="A671" t="s">
        <v>195</v>
      </c>
      <c r="B671" t="str">
        <f t="shared" si="10"/>
        <v>Myles Gaskin</v>
      </c>
      <c r="C671">
        <v>1</v>
      </c>
      <c r="D671">
        <v>1</v>
      </c>
      <c r="E671" s="1">
        <v>5.6000000000000001E-2</v>
      </c>
      <c r="F671">
        <v>1</v>
      </c>
      <c r="G671">
        <v>1</v>
      </c>
      <c r="H671">
        <v>0</v>
      </c>
      <c r="I671">
        <v>2019</v>
      </c>
    </row>
    <row r="672" spans="1:9" x14ac:dyDescent="0.45">
      <c r="A672" t="s">
        <v>163</v>
      </c>
      <c r="B672" t="str">
        <f t="shared" si="10"/>
        <v>Chase Edmonds</v>
      </c>
      <c r="C672">
        <v>0</v>
      </c>
      <c r="D672">
        <v>0</v>
      </c>
      <c r="E672" s="1">
        <v>0</v>
      </c>
      <c r="F672">
        <v>1</v>
      </c>
      <c r="G672">
        <v>1</v>
      </c>
      <c r="H672">
        <v>1</v>
      </c>
      <c r="I672">
        <v>2019</v>
      </c>
    </row>
    <row r="673" spans="1:9" x14ac:dyDescent="0.45">
      <c r="A673" t="s">
        <v>236</v>
      </c>
      <c r="B673" t="str">
        <f t="shared" si="10"/>
        <v>Mike Boone</v>
      </c>
      <c r="C673">
        <v>1</v>
      </c>
      <c r="D673">
        <v>1</v>
      </c>
      <c r="E673" s="1">
        <v>3.6999999999999998E-2</v>
      </c>
      <c r="F673">
        <v>0</v>
      </c>
      <c r="G673">
        <v>0</v>
      </c>
      <c r="H673">
        <v>0</v>
      </c>
      <c r="I673">
        <v>2019</v>
      </c>
    </row>
    <row r="674" spans="1:9" x14ac:dyDescent="0.45">
      <c r="A674" t="s">
        <v>209</v>
      </c>
      <c r="B674" t="str">
        <f t="shared" si="10"/>
        <v>Duke Johnson Jr.</v>
      </c>
      <c r="C674">
        <v>1</v>
      </c>
      <c r="D674">
        <v>1</v>
      </c>
      <c r="E674" s="1">
        <v>0.1</v>
      </c>
      <c r="F674">
        <v>0</v>
      </c>
      <c r="G674">
        <v>0</v>
      </c>
      <c r="H674">
        <v>0</v>
      </c>
      <c r="I674">
        <v>2019</v>
      </c>
    </row>
    <row r="675" spans="1:9" x14ac:dyDescent="0.45">
      <c r="A675" t="s">
        <v>258</v>
      </c>
      <c r="B675" t="str">
        <f t="shared" si="10"/>
        <v>Javorius Allen</v>
      </c>
      <c r="C675">
        <v>1</v>
      </c>
      <c r="D675">
        <v>1</v>
      </c>
      <c r="E675" s="1">
        <v>7.0999999999999994E-2</v>
      </c>
      <c r="F675">
        <v>0</v>
      </c>
      <c r="G675">
        <v>0</v>
      </c>
      <c r="H675">
        <v>0</v>
      </c>
      <c r="I675">
        <v>2019</v>
      </c>
    </row>
    <row r="676" spans="1:9" x14ac:dyDescent="0.45">
      <c r="A676" t="s">
        <v>210</v>
      </c>
      <c r="B676" t="str">
        <f t="shared" si="10"/>
        <v>Andy Janovich</v>
      </c>
      <c r="C676">
        <v>1</v>
      </c>
      <c r="D676">
        <v>1</v>
      </c>
      <c r="E676" s="1">
        <v>7.0999999999999994E-2</v>
      </c>
      <c r="F676">
        <v>0</v>
      </c>
      <c r="G676">
        <v>0</v>
      </c>
      <c r="H676">
        <v>0</v>
      </c>
      <c r="I676">
        <v>2019</v>
      </c>
    </row>
    <row r="677" spans="1:9" x14ac:dyDescent="0.45">
      <c r="A677" t="s">
        <v>175</v>
      </c>
      <c r="B677" t="str">
        <f t="shared" si="10"/>
        <v>Derek Watt</v>
      </c>
      <c r="C677">
        <v>1</v>
      </c>
      <c r="D677">
        <v>1</v>
      </c>
      <c r="E677" s="1">
        <v>4.2999999999999997E-2</v>
      </c>
      <c r="F677">
        <v>0</v>
      </c>
      <c r="G677">
        <v>1</v>
      </c>
      <c r="H677">
        <v>0</v>
      </c>
      <c r="I677">
        <v>2019</v>
      </c>
    </row>
    <row r="678" spans="1:9" x14ac:dyDescent="0.45">
      <c r="A678" t="s">
        <v>211</v>
      </c>
      <c r="B678" t="str">
        <f t="shared" si="10"/>
        <v>Alex Armah Jr.</v>
      </c>
      <c r="C678">
        <v>2</v>
      </c>
      <c r="D678">
        <v>1</v>
      </c>
      <c r="E678" s="1">
        <v>9.5000000000000001E-2</v>
      </c>
      <c r="F678">
        <v>0</v>
      </c>
      <c r="G678">
        <v>0</v>
      </c>
      <c r="H678">
        <v>0</v>
      </c>
      <c r="I678">
        <v>2019</v>
      </c>
    </row>
    <row r="679" spans="1:9" x14ac:dyDescent="0.45">
      <c r="A679" t="s">
        <v>117</v>
      </c>
      <c r="B679" t="str">
        <f t="shared" si="10"/>
        <v>Patrick Ricard</v>
      </c>
      <c r="C679">
        <v>0</v>
      </c>
      <c r="D679">
        <v>0</v>
      </c>
      <c r="E679" s="1">
        <v>0</v>
      </c>
      <c r="F679">
        <v>1</v>
      </c>
      <c r="G679">
        <v>1</v>
      </c>
      <c r="H679">
        <v>1</v>
      </c>
      <c r="I679">
        <v>2019</v>
      </c>
    </row>
    <row r="680" spans="1:9" x14ac:dyDescent="0.45">
      <c r="A680" t="s">
        <v>249</v>
      </c>
      <c r="B680" t="str">
        <f t="shared" si="10"/>
        <v>Ito Smith</v>
      </c>
      <c r="C680">
        <v>4</v>
      </c>
      <c r="D680">
        <v>1</v>
      </c>
      <c r="E680" s="1">
        <v>0.308</v>
      </c>
      <c r="F680">
        <v>0</v>
      </c>
      <c r="G680">
        <v>0</v>
      </c>
      <c r="H680">
        <v>0</v>
      </c>
      <c r="I680">
        <v>2019</v>
      </c>
    </row>
    <row r="681" spans="1:9" x14ac:dyDescent="0.45">
      <c r="A681" t="s">
        <v>176</v>
      </c>
      <c r="B681" t="str">
        <f t="shared" si="10"/>
        <v>Benny Snell Jr.</v>
      </c>
      <c r="C681">
        <v>2</v>
      </c>
      <c r="D681">
        <v>1</v>
      </c>
      <c r="E681" s="1">
        <v>0.182</v>
      </c>
      <c r="F681">
        <v>0</v>
      </c>
      <c r="G681">
        <v>0</v>
      </c>
      <c r="H681">
        <v>0</v>
      </c>
      <c r="I681">
        <v>2019</v>
      </c>
    </row>
    <row r="682" spans="1:9" x14ac:dyDescent="0.45">
      <c r="A682" t="s">
        <v>104</v>
      </c>
      <c r="B682" t="str">
        <f t="shared" si="10"/>
        <v>Gus Edwards</v>
      </c>
      <c r="C682">
        <v>8</v>
      </c>
      <c r="D682">
        <v>0</v>
      </c>
      <c r="E682" s="1">
        <v>0.32</v>
      </c>
      <c r="F682">
        <v>0</v>
      </c>
      <c r="G682">
        <v>0</v>
      </c>
      <c r="H682">
        <v>0</v>
      </c>
      <c r="I682">
        <v>2019</v>
      </c>
    </row>
    <row r="683" spans="1:9" x14ac:dyDescent="0.45">
      <c r="A683" t="s">
        <v>138</v>
      </c>
      <c r="B683" t="str">
        <f t="shared" si="10"/>
        <v>Darrell Henderson Jr.</v>
      </c>
      <c r="C683">
        <v>2</v>
      </c>
      <c r="D683">
        <v>0</v>
      </c>
      <c r="E683" s="1">
        <v>8.6999999999999994E-2</v>
      </c>
      <c r="F683">
        <v>0</v>
      </c>
      <c r="G683">
        <v>0</v>
      </c>
      <c r="H683">
        <v>0</v>
      </c>
      <c r="I683">
        <v>2019</v>
      </c>
    </row>
    <row r="684" spans="1:9" x14ac:dyDescent="0.45">
      <c r="A684" t="s">
        <v>259</v>
      </c>
      <c r="B684" t="str">
        <f t="shared" si="10"/>
        <v>Chris Thompson</v>
      </c>
      <c r="C684">
        <v>2</v>
      </c>
      <c r="D684">
        <v>0</v>
      </c>
      <c r="E684" s="1">
        <v>0.16700000000000001</v>
      </c>
      <c r="F684">
        <v>0</v>
      </c>
      <c r="G684">
        <v>1</v>
      </c>
      <c r="H684">
        <v>0</v>
      </c>
      <c r="I684">
        <v>2019</v>
      </c>
    </row>
    <row r="685" spans="1:9" x14ac:dyDescent="0.45">
      <c r="A685" t="s">
        <v>260</v>
      </c>
      <c r="B685" t="str">
        <f t="shared" si="10"/>
        <v>T.J. Logan</v>
      </c>
      <c r="C685">
        <v>1</v>
      </c>
      <c r="D685">
        <v>0</v>
      </c>
      <c r="E685" s="1">
        <v>4.8000000000000001E-2</v>
      </c>
      <c r="F685">
        <v>0</v>
      </c>
      <c r="G685">
        <v>0</v>
      </c>
      <c r="H685">
        <v>0</v>
      </c>
      <c r="I685">
        <v>2019</v>
      </c>
    </row>
    <row r="686" spans="1:9" x14ac:dyDescent="0.45">
      <c r="A686" t="s">
        <v>118</v>
      </c>
      <c r="B686" t="str">
        <f t="shared" si="10"/>
        <v>Alec Ingold</v>
      </c>
      <c r="C686">
        <v>2</v>
      </c>
      <c r="D686">
        <v>0</v>
      </c>
      <c r="E686" s="1">
        <v>0.111</v>
      </c>
      <c r="F686">
        <v>0</v>
      </c>
      <c r="G686">
        <v>0</v>
      </c>
      <c r="H686">
        <v>0</v>
      </c>
      <c r="I686">
        <v>2019</v>
      </c>
    </row>
    <row r="687" spans="1:9" x14ac:dyDescent="0.45">
      <c r="A687" t="s">
        <v>106</v>
      </c>
      <c r="B687" t="str">
        <f t="shared" si="10"/>
        <v>Alexander Mattison</v>
      </c>
      <c r="C687">
        <v>3</v>
      </c>
      <c r="D687">
        <v>0</v>
      </c>
      <c r="E687" s="1">
        <v>0.111</v>
      </c>
      <c r="F687">
        <v>0</v>
      </c>
      <c r="G687">
        <v>0</v>
      </c>
      <c r="H687">
        <v>0</v>
      </c>
      <c r="I687">
        <v>2019</v>
      </c>
    </row>
    <row r="688" spans="1:9" x14ac:dyDescent="0.45">
      <c r="A688" t="s">
        <v>129</v>
      </c>
      <c r="B688" t="str">
        <f t="shared" si="10"/>
        <v>Cordarrelle Patterson</v>
      </c>
      <c r="C688">
        <v>0</v>
      </c>
      <c r="D688">
        <v>0</v>
      </c>
      <c r="E688" s="1">
        <v>0</v>
      </c>
      <c r="F688">
        <v>2</v>
      </c>
      <c r="G688">
        <v>2</v>
      </c>
      <c r="H688">
        <v>0</v>
      </c>
      <c r="I688">
        <v>2019</v>
      </c>
    </row>
    <row r="689" spans="1:9" x14ac:dyDescent="0.45">
      <c r="A689" t="s">
        <v>261</v>
      </c>
      <c r="B689" t="str">
        <f t="shared" si="10"/>
        <v>James Develin</v>
      </c>
      <c r="C689">
        <v>1</v>
      </c>
      <c r="D689">
        <v>0</v>
      </c>
      <c r="E689" s="1">
        <v>0.04</v>
      </c>
      <c r="F689">
        <v>0</v>
      </c>
      <c r="G689">
        <v>0</v>
      </c>
      <c r="H689">
        <v>0</v>
      </c>
      <c r="I689">
        <v>2019</v>
      </c>
    </row>
    <row r="690" spans="1:9" x14ac:dyDescent="0.45">
      <c r="A690" t="s">
        <v>207</v>
      </c>
      <c r="B690" t="str">
        <f t="shared" si="10"/>
        <v>Jonathan Williams</v>
      </c>
      <c r="C690">
        <v>1</v>
      </c>
      <c r="D690">
        <v>0</v>
      </c>
      <c r="E690" s="1">
        <v>7.0999999999999994E-2</v>
      </c>
      <c r="F690">
        <v>0</v>
      </c>
      <c r="G690">
        <v>0</v>
      </c>
      <c r="H690">
        <v>0</v>
      </c>
      <c r="I690">
        <v>2019</v>
      </c>
    </row>
    <row r="691" spans="1:9" x14ac:dyDescent="0.45">
      <c r="A691" t="s">
        <v>53</v>
      </c>
      <c r="B691" t="str">
        <f t="shared" si="10"/>
        <v>Ty Johnson</v>
      </c>
      <c r="C691">
        <v>1</v>
      </c>
      <c r="D691">
        <v>0</v>
      </c>
      <c r="E691" s="1">
        <v>6.7000000000000004E-2</v>
      </c>
      <c r="F691">
        <v>0</v>
      </c>
      <c r="G691">
        <v>0</v>
      </c>
      <c r="H691">
        <v>0</v>
      </c>
      <c r="I691">
        <v>2019</v>
      </c>
    </row>
    <row r="692" spans="1:9" x14ac:dyDescent="0.45">
      <c r="A692" t="s">
        <v>262</v>
      </c>
      <c r="B692" t="str">
        <f t="shared" si="10"/>
        <v>Ryquell Armstead</v>
      </c>
      <c r="C692">
        <v>1</v>
      </c>
      <c r="D692">
        <v>0</v>
      </c>
      <c r="E692" s="1">
        <v>0.111</v>
      </c>
      <c r="F692">
        <v>0</v>
      </c>
      <c r="G692">
        <v>0</v>
      </c>
      <c r="H692">
        <v>0</v>
      </c>
      <c r="I692">
        <v>2019</v>
      </c>
    </row>
    <row r="693" spans="1:9" x14ac:dyDescent="0.45">
      <c r="A693" t="s">
        <v>263</v>
      </c>
      <c r="B693" t="str">
        <f t="shared" si="10"/>
        <v>Darren Sproles</v>
      </c>
      <c r="C693">
        <v>0</v>
      </c>
      <c r="D693">
        <v>0</v>
      </c>
      <c r="E693" s="1">
        <v>0</v>
      </c>
      <c r="F693">
        <v>0</v>
      </c>
      <c r="G693">
        <v>0</v>
      </c>
      <c r="H693">
        <v>0</v>
      </c>
      <c r="I693">
        <v>2019</v>
      </c>
    </row>
    <row r="694" spans="1:9" x14ac:dyDescent="0.45">
      <c r="A694" t="s">
        <v>215</v>
      </c>
      <c r="B694" t="str">
        <f t="shared" si="10"/>
        <v>Giovani Bernard</v>
      </c>
      <c r="C694">
        <v>1</v>
      </c>
      <c r="D694">
        <v>0</v>
      </c>
      <c r="E694" s="1">
        <v>6.3E-2</v>
      </c>
      <c r="F694">
        <v>0</v>
      </c>
      <c r="G694">
        <v>1</v>
      </c>
      <c r="H694">
        <v>0</v>
      </c>
      <c r="I694">
        <v>2019</v>
      </c>
    </row>
    <row r="695" spans="1:9" x14ac:dyDescent="0.45">
      <c r="A695" t="s">
        <v>264</v>
      </c>
      <c r="B695" t="str">
        <f t="shared" si="10"/>
        <v>Zach Line</v>
      </c>
      <c r="C695">
        <v>1</v>
      </c>
      <c r="D695">
        <v>0</v>
      </c>
      <c r="E695" s="1">
        <v>8.3000000000000004E-2</v>
      </c>
      <c r="F695">
        <v>0</v>
      </c>
      <c r="G695">
        <v>0</v>
      </c>
      <c r="H695">
        <v>0</v>
      </c>
      <c r="I695">
        <v>2019</v>
      </c>
    </row>
    <row r="696" spans="1:9" x14ac:dyDescent="0.45">
      <c r="A696" t="s">
        <v>194</v>
      </c>
      <c r="B696" t="str">
        <f t="shared" si="10"/>
        <v>Devonta Freeman</v>
      </c>
      <c r="C696">
        <v>1</v>
      </c>
      <c r="D696">
        <v>0</v>
      </c>
      <c r="E696" s="1">
        <v>7.6999999999999999E-2</v>
      </c>
      <c r="F696">
        <v>0</v>
      </c>
      <c r="G696">
        <v>1</v>
      </c>
      <c r="H696">
        <v>0</v>
      </c>
      <c r="I696">
        <v>2019</v>
      </c>
    </row>
    <row r="697" spans="1:9" x14ac:dyDescent="0.45">
      <c r="A697" t="s">
        <v>113</v>
      </c>
      <c r="B697" t="str">
        <f t="shared" si="10"/>
        <v>Michael Burton</v>
      </c>
      <c r="C697">
        <v>0</v>
      </c>
      <c r="D697">
        <v>0</v>
      </c>
      <c r="E697" s="1">
        <v>0</v>
      </c>
      <c r="F697">
        <v>0</v>
      </c>
      <c r="G697">
        <v>1</v>
      </c>
      <c r="H697">
        <v>0</v>
      </c>
      <c r="I697">
        <v>2019</v>
      </c>
    </row>
    <row r="698" spans="1:9" x14ac:dyDescent="0.45">
      <c r="A698" t="s">
        <v>241</v>
      </c>
      <c r="B698" t="str">
        <f t="shared" si="10"/>
        <v>C.J. Prosise</v>
      </c>
      <c r="C698">
        <v>2</v>
      </c>
      <c r="D698">
        <v>0</v>
      </c>
      <c r="E698" s="1">
        <v>0.14299999999999999</v>
      </c>
      <c r="F698">
        <v>0</v>
      </c>
      <c r="G698">
        <v>0</v>
      </c>
      <c r="H698">
        <v>0</v>
      </c>
      <c r="I698">
        <v>2019</v>
      </c>
    </row>
    <row r="699" spans="1:9" x14ac:dyDescent="0.45">
      <c r="A699" t="s">
        <v>265</v>
      </c>
      <c r="B699" t="str">
        <f t="shared" si="10"/>
        <v>Danny Vitale</v>
      </c>
      <c r="C699">
        <v>0</v>
      </c>
      <c r="D699">
        <v>0</v>
      </c>
      <c r="E699" s="1">
        <v>0</v>
      </c>
      <c r="F699">
        <v>0</v>
      </c>
      <c r="G699">
        <v>1</v>
      </c>
      <c r="H699">
        <v>0</v>
      </c>
      <c r="I699">
        <v>2019</v>
      </c>
    </row>
    <row r="700" spans="1:9" x14ac:dyDescent="0.45">
      <c r="A700" t="s">
        <v>187</v>
      </c>
      <c r="B700" t="str">
        <f t="shared" si="10"/>
        <v>J.D. McKissic</v>
      </c>
      <c r="C700">
        <v>1</v>
      </c>
      <c r="D700">
        <v>0</v>
      </c>
      <c r="E700" s="1">
        <v>6.7000000000000004E-2</v>
      </c>
      <c r="F700">
        <v>0</v>
      </c>
      <c r="G700">
        <v>1</v>
      </c>
      <c r="H700">
        <v>0</v>
      </c>
      <c r="I700">
        <v>2019</v>
      </c>
    </row>
    <row r="701" spans="1:9" x14ac:dyDescent="0.45">
      <c r="A701" t="s">
        <v>266</v>
      </c>
      <c r="B701" t="str">
        <f t="shared" si="10"/>
        <v>Tarik Cohen</v>
      </c>
      <c r="C701">
        <v>1</v>
      </c>
      <c r="D701">
        <v>0</v>
      </c>
      <c r="E701" s="1">
        <v>5.6000000000000001E-2</v>
      </c>
      <c r="F701">
        <v>0</v>
      </c>
      <c r="G701">
        <v>0</v>
      </c>
      <c r="H701">
        <v>0</v>
      </c>
      <c r="I701">
        <v>2019</v>
      </c>
    </row>
    <row r="702" spans="1:9" x14ac:dyDescent="0.45">
      <c r="A702" t="s">
        <v>74</v>
      </c>
      <c r="B702" t="str">
        <f t="shared" si="10"/>
        <v>Justice Hill</v>
      </c>
      <c r="C702">
        <v>1</v>
      </c>
      <c r="D702">
        <v>0</v>
      </c>
      <c r="E702" s="1">
        <v>0.04</v>
      </c>
      <c r="F702">
        <v>0</v>
      </c>
      <c r="G702">
        <v>0</v>
      </c>
      <c r="H702">
        <v>0</v>
      </c>
      <c r="I702">
        <v>2019</v>
      </c>
    </row>
    <row r="703" spans="1:9" x14ac:dyDescent="0.45">
      <c r="A703" t="s">
        <v>56</v>
      </c>
      <c r="B703" t="str">
        <f t="shared" si="10"/>
        <v>Tony Pollard</v>
      </c>
      <c r="C703">
        <v>0</v>
      </c>
      <c r="D703">
        <v>0</v>
      </c>
      <c r="E703" s="1">
        <v>0</v>
      </c>
      <c r="F703">
        <v>0</v>
      </c>
      <c r="G703">
        <v>0</v>
      </c>
      <c r="H703">
        <v>0</v>
      </c>
      <c r="I703">
        <v>2019</v>
      </c>
    </row>
    <row r="704" spans="1:9" x14ac:dyDescent="0.45">
      <c r="A704" t="s">
        <v>153</v>
      </c>
      <c r="B704" t="str">
        <f t="shared" si="10"/>
        <v>Khari Blasingame</v>
      </c>
      <c r="C704">
        <v>0</v>
      </c>
      <c r="D704">
        <v>0</v>
      </c>
      <c r="E704" s="1">
        <v>0</v>
      </c>
      <c r="F704">
        <v>1</v>
      </c>
      <c r="G704">
        <v>1</v>
      </c>
      <c r="H704">
        <v>0</v>
      </c>
      <c r="I704">
        <v>2019</v>
      </c>
    </row>
    <row r="705" spans="1:9" x14ac:dyDescent="0.45">
      <c r="A705" t="s">
        <v>267</v>
      </c>
      <c r="B705" t="str">
        <f t="shared" si="10"/>
        <v>Trey Edmunds</v>
      </c>
      <c r="C705">
        <v>1</v>
      </c>
      <c r="D705">
        <v>0</v>
      </c>
      <c r="E705" s="1">
        <v>9.0999999999999998E-2</v>
      </c>
      <c r="F705">
        <v>0</v>
      </c>
      <c r="G705">
        <v>0</v>
      </c>
      <c r="H705">
        <v>0</v>
      </c>
      <c r="I705">
        <v>2019</v>
      </c>
    </row>
    <row r="706" spans="1:9" x14ac:dyDescent="0.45">
      <c r="A706" t="s">
        <v>268</v>
      </c>
      <c r="B706" t="str">
        <f t="shared" ref="B706:B769" si="11">TRIM(LEFT(A706, LEN(A706) - LEN(TRIM(RIGHT(SUBSTITUTE(TRIM(A706)," ",REPT(" ",100)),100)))))</f>
        <v>Mark Walton</v>
      </c>
      <c r="C706">
        <v>2</v>
      </c>
      <c r="D706">
        <v>0</v>
      </c>
      <c r="E706" s="1">
        <v>0.111</v>
      </c>
      <c r="F706">
        <v>0</v>
      </c>
      <c r="G706">
        <v>0</v>
      </c>
      <c r="H706">
        <v>0</v>
      </c>
      <c r="I706">
        <v>2019</v>
      </c>
    </row>
    <row r="707" spans="1:9" x14ac:dyDescent="0.45">
      <c r="A707" t="s">
        <v>269</v>
      </c>
      <c r="B707" t="str">
        <f t="shared" si="11"/>
        <v>Jon Hilliman</v>
      </c>
      <c r="C707">
        <v>1</v>
      </c>
      <c r="D707">
        <v>0</v>
      </c>
      <c r="E707" s="1">
        <v>7.0999999999999994E-2</v>
      </c>
      <c r="F707">
        <v>0</v>
      </c>
      <c r="G707">
        <v>0</v>
      </c>
      <c r="H707">
        <v>0</v>
      </c>
      <c r="I707">
        <v>2019</v>
      </c>
    </row>
    <row r="708" spans="1:9" x14ac:dyDescent="0.45">
      <c r="A708" t="s">
        <v>226</v>
      </c>
      <c r="B708" t="str">
        <f t="shared" si="11"/>
        <v>Todd Gurley II</v>
      </c>
      <c r="C708">
        <v>22</v>
      </c>
      <c r="D708">
        <v>11</v>
      </c>
      <c r="E708" s="1">
        <v>0.91700000000000004</v>
      </c>
      <c r="F708">
        <v>0</v>
      </c>
      <c r="G708">
        <v>2</v>
      </c>
      <c r="H708">
        <v>0</v>
      </c>
      <c r="I708">
        <v>2018</v>
      </c>
    </row>
    <row r="709" spans="1:9" x14ac:dyDescent="0.45">
      <c r="A709" t="s">
        <v>98</v>
      </c>
      <c r="B709" t="str">
        <f t="shared" si="11"/>
        <v>Alvin Kamara</v>
      </c>
      <c r="C709">
        <v>16</v>
      </c>
      <c r="D709">
        <v>9</v>
      </c>
      <c r="E709" s="1">
        <v>0.51600000000000001</v>
      </c>
      <c r="F709">
        <v>3</v>
      </c>
      <c r="G709">
        <v>3</v>
      </c>
      <c r="H709">
        <v>1</v>
      </c>
      <c r="I709">
        <v>2018</v>
      </c>
    </row>
    <row r="710" spans="1:9" x14ac:dyDescent="0.45">
      <c r="A710" t="s">
        <v>45</v>
      </c>
      <c r="B710" t="str">
        <f t="shared" si="11"/>
        <v>James Conner</v>
      </c>
      <c r="C710">
        <v>17</v>
      </c>
      <c r="D710">
        <v>9</v>
      </c>
      <c r="E710" s="1">
        <v>0.81</v>
      </c>
      <c r="F710">
        <v>0</v>
      </c>
      <c r="G710">
        <v>0</v>
      </c>
      <c r="H710">
        <v>0</v>
      </c>
      <c r="I710">
        <v>2018</v>
      </c>
    </row>
    <row r="711" spans="1:9" x14ac:dyDescent="0.45">
      <c r="A711" t="s">
        <v>8</v>
      </c>
      <c r="B711" t="str">
        <f t="shared" si="11"/>
        <v>Derrick Henry</v>
      </c>
      <c r="C711">
        <v>17</v>
      </c>
      <c r="D711">
        <v>8</v>
      </c>
      <c r="E711" s="1">
        <v>0.77300000000000002</v>
      </c>
      <c r="F711">
        <v>0</v>
      </c>
      <c r="G711">
        <v>0</v>
      </c>
      <c r="H711">
        <v>0</v>
      </c>
      <c r="I711">
        <v>2018</v>
      </c>
    </row>
    <row r="712" spans="1:9" x14ac:dyDescent="0.45">
      <c r="A712" t="s">
        <v>9</v>
      </c>
      <c r="B712" t="str">
        <f t="shared" si="11"/>
        <v>Kareem Hunt</v>
      </c>
      <c r="C712">
        <v>11</v>
      </c>
      <c r="D712">
        <v>6</v>
      </c>
      <c r="E712" s="1">
        <v>0.55000000000000004</v>
      </c>
      <c r="F712">
        <v>1</v>
      </c>
      <c r="G712">
        <v>2</v>
      </c>
      <c r="H712">
        <v>1</v>
      </c>
      <c r="I712">
        <v>2018</v>
      </c>
    </row>
    <row r="713" spans="1:9" x14ac:dyDescent="0.45">
      <c r="A713" t="s">
        <v>202</v>
      </c>
      <c r="B713" t="str">
        <f t="shared" si="11"/>
        <v>Chris Carson</v>
      </c>
      <c r="C713">
        <v>16</v>
      </c>
      <c r="D713">
        <v>7</v>
      </c>
      <c r="E713" s="1">
        <v>0.8</v>
      </c>
      <c r="F713">
        <v>0</v>
      </c>
      <c r="G713">
        <v>0</v>
      </c>
      <c r="H713">
        <v>0</v>
      </c>
      <c r="I713">
        <v>2018</v>
      </c>
    </row>
    <row r="714" spans="1:9" x14ac:dyDescent="0.45">
      <c r="A714" t="s">
        <v>6</v>
      </c>
      <c r="B714" t="str">
        <f t="shared" si="11"/>
        <v>Christian McCaffrey</v>
      </c>
      <c r="C714">
        <v>16</v>
      </c>
      <c r="D714">
        <v>6</v>
      </c>
      <c r="E714" s="1">
        <v>0.76200000000000001</v>
      </c>
      <c r="F714">
        <v>1</v>
      </c>
      <c r="G714">
        <v>1</v>
      </c>
      <c r="H714">
        <v>1</v>
      </c>
      <c r="I714">
        <v>2018</v>
      </c>
    </row>
    <row r="715" spans="1:9" x14ac:dyDescent="0.45">
      <c r="A715" t="s">
        <v>152</v>
      </c>
      <c r="B715" t="str">
        <f t="shared" si="11"/>
        <v>Leonard Fournette</v>
      </c>
      <c r="C715">
        <v>11</v>
      </c>
      <c r="D715">
        <v>5</v>
      </c>
      <c r="E715" s="1">
        <v>0.78600000000000003</v>
      </c>
      <c r="F715">
        <v>1</v>
      </c>
      <c r="G715">
        <v>1</v>
      </c>
      <c r="H715">
        <v>1</v>
      </c>
      <c r="I715">
        <v>2018</v>
      </c>
    </row>
    <row r="716" spans="1:9" x14ac:dyDescent="0.45">
      <c r="A716" t="s">
        <v>102</v>
      </c>
      <c r="B716" t="str">
        <f t="shared" si="11"/>
        <v>Joe Mixon</v>
      </c>
      <c r="C716">
        <v>13</v>
      </c>
      <c r="D716">
        <v>6</v>
      </c>
      <c r="E716" s="1">
        <v>0.81299999999999994</v>
      </c>
      <c r="F716">
        <v>0</v>
      </c>
      <c r="G716">
        <v>1</v>
      </c>
      <c r="H716">
        <v>0</v>
      </c>
      <c r="I716">
        <v>2018</v>
      </c>
    </row>
    <row r="717" spans="1:9" x14ac:dyDescent="0.45">
      <c r="A717" t="s">
        <v>170</v>
      </c>
      <c r="B717" t="str">
        <f t="shared" si="11"/>
        <v>Marlon Mack</v>
      </c>
      <c r="C717">
        <v>13</v>
      </c>
      <c r="D717">
        <v>6</v>
      </c>
      <c r="E717" s="1">
        <v>0.76500000000000001</v>
      </c>
      <c r="F717">
        <v>0</v>
      </c>
      <c r="G717">
        <v>0</v>
      </c>
      <c r="H717">
        <v>0</v>
      </c>
      <c r="I717">
        <v>2018</v>
      </c>
    </row>
    <row r="718" spans="1:9" x14ac:dyDescent="0.45">
      <c r="A718" t="s">
        <v>222</v>
      </c>
      <c r="B718" t="str">
        <f t="shared" si="11"/>
        <v>David Johnson</v>
      </c>
      <c r="C718">
        <v>9</v>
      </c>
      <c r="D718">
        <v>6</v>
      </c>
      <c r="E718" s="1">
        <v>1</v>
      </c>
      <c r="F718">
        <v>0</v>
      </c>
      <c r="G718">
        <v>0</v>
      </c>
      <c r="H718">
        <v>0</v>
      </c>
      <c r="I718">
        <v>2018</v>
      </c>
    </row>
    <row r="719" spans="1:9" x14ac:dyDescent="0.45">
      <c r="A719" t="s">
        <v>199</v>
      </c>
      <c r="B719" t="str">
        <f t="shared" si="11"/>
        <v>Peyton Barber</v>
      </c>
      <c r="C719">
        <v>14</v>
      </c>
      <c r="D719">
        <v>5</v>
      </c>
      <c r="E719" s="1">
        <v>0.82399999999999995</v>
      </c>
      <c r="F719">
        <v>1</v>
      </c>
      <c r="G719">
        <v>1</v>
      </c>
      <c r="H719">
        <v>1</v>
      </c>
      <c r="I719">
        <v>2018</v>
      </c>
    </row>
    <row r="720" spans="1:9" x14ac:dyDescent="0.45">
      <c r="A720" t="s">
        <v>189</v>
      </c>
      <c r="B720" t="str">
        <f t="shared" si="11"/>
        <v>Phillip Lindsay</v>
      </c>
      <c r="C720">
        <v>8</v>
      </c>
      <c r="D720">
        <v>5</v>
      </c>
      <c r="E720" s="1">
        <v>0.61499999999999999</v>
      </c>
      <c r="F720">
        <v>0</v>
      </c>
      <c r="G720">
        <v>0</v>
      </c>
      <c r="H720">
        <v>0</v>
      </c>
      <c r="I720">
        <v>2018</v>
      </c>
    </row>
    <row r="721" spans="1:9" x14ac:dyDescent="0.45">
      <c r="A721" t="s">
        <v>164</v>
      </c>
      <c r="B721" t="str">
        <f t="shared" si="11"/>
        <v>Melvin Gordon III</v>
      </c>
      <c r="C721">
        <v>5</v>
      </c>
      <c r="D721">
        <v>4</v>
      </c>
      <c r="E721" s="1">
        <v>0.45500000000000002</v>
      </c>
      <c r="F721">
        <v>1</v>
      </c>
      <c r="G721">
        <v>1</v>
      </c>
      <c r="H721">
        <v>1</v>
      </c>
      <c r="I721">
        <v>2018</v>
      </c>
    </row>
    <row r="722" spans="1:9" x14ac:dyDescent="0.45">
      <c r="A722" t="s">
        <v>59</v>
      </c>
      <c r="B722" t="str">
        <f t="shared" si="11"/>
        <v>Saquon Barkley</v>
      </c>
      <c r="C722">
        <v>16</v>
      </c>
      <c r="D722">
        <v>5</v>
      </c>
      <c r="E722" s="1">
        <v>0.94099999999999995</v>
      </c>
      <c r="F722">
        <v>0</v>
      </c>
      <c r="G722">
        <v>1</v>
      </c>
      <c r="H722">
        <v>0</v>
      </c>
      <c r="I722">
        <v>2018</v>
      </c>
    </row>
    <row r="723" spans="1:9" x14ac:dyDescent="0.45">
      <c r="A723" t="s">
        <v>70</v>
      </c>
      <c r="B723" t="str">
        <f t="shared" si="11"/>
        <v>Nick Chubb</v>
      </c>
      <c r="C723">
        <v>9</v>
      </c>
      <c r="D723">
        <v>5</v>
      </c>
      <c r="E723" s="1">
        <v>0.45</v>
      </c>
      <c r="F723">
        <v>0</v>
      </c>
      <c r="G723">
        <v>0</v>
      </c>
      <c r="H723">
        <v>0</v>
      </c>
      <c r="I723">
        <v>2018</v>
      </c>
    </row>
    <row r="724" spans="1:9" x14ac:dyDescent="0.45">
      <c r="A724" t="s">
        <v>197</v>
      </c>
      <c r="B724" t="str">
        <f t="shared" si="11"/>
        <v>Damien Williams</v>
      </c>
      <c r="C724">
        <v>4</v>
      </c>
      <c r="D724">
        <v>3</v>
      </c>
      <c r="E724" s="1">
        <v>0.2</v>
      </c>
      <c r="F724">
        <v>3</v>
      </c>
      <c r="G724">
        <v>3</v>
      </c>
      <c r="H724">
        <v>2</v>
      </c>
      <c r="I724">
        <v>2018</v>
      </c>
    </row>
    <row r="725" spans="1:9" x14ac:dyDescent="0.45">
      <c r="A725" t="s">
        <v>270</v>
      </c>
      <c r="B725" t="str">
        <f t="shared" si="11"/>
        <v>LeGarrette Blount</v>
      </c>
      <c r="C725">
        <v>12</v>
      </c>
      <c r="D725">
        <v>5</v>
      </c>
      <c r="E725" s="1">
        <v>0.70599999999999996</v>
      </c>
      <c r="F725">
        <v>0</v>
      </c>
      <c r="G725">
        <v>0</v>
      </c>
      <c r="H725">
        <v>0</v>
      </c>
      <c r="I725">
        <v>2018</v>
      </c>
    </row>
    <row r="726" spans="1:9" x14ac:dyDescent="0.45">
      <c r="A726" t="s">
        <v>205</v>
      </c>
      <c r="B726" t="str">
        <f t="shared" si="11"/>
        <v>Carlos Hyde</v>
      </c>
      <c r="C726">
        <v>11</v>
      </c>
      <c r="D726">
        <v>5</v>
      </c>
      <c r="E726" s="1">
        <v>0.55000000000000004</v>
      </c>
      <c r="F726">
        <v>0</v>
      </c>
      <c r="G726">
        <v>0</v>
      </c>
      <c r="H726">
        <v>0</v>
      </c>
      <c r="I726">
        <v>2018</v>
      </c>
    </row>
    <row r="727" spans="1:9" x14ac:dyDescent="0.45">
      <c r="A727" t="s">
        <v>196</v>
      </c>
      <c r="B727" t="str">
        <f t="shared" si="11"/>
        <v>Jordan Howard</v>
      </c>
      <c r="C727">
        <v>11</v>
      </c>
      <c r="D727">
        <v>5</v>
      </c>
      <c r="E727" s="1">
        <v>0.91700000000000004</v>
      </c>
      <c r="F727">
        <v>0</v>
      </c>
      <c r="G727">
        <v>1</v>
      </c>
      <c r="H727">
        <v>0</v>
      </c>
      <c r="I727">
        <v>2018</v>
      </c>
    </row>
    <row r="728" spans="1:9" x14ac:dyDescent="0.45">
      <c r="A728" t="s">
        <v>188</v>
      </c>
      <c r="B728" t="str">
        <f t="shared" si="11"/>
        <v>Sony Michel</v>
      </c>
      <c r="C728">
        <v>13</v>
      </c>
      <c r="D728">
        <v>4</v>
      </c>
      <c r="E728" s="1">
        <v>0.41899999999999998</v>
      </c>
      <c r="F728">
        <v>0</v>
      </c>
      <c r="G728">
        <v>0</v>
      </c>
      <c r="H728">
        <v>0</v>
      </c>
      <c r="I728">
        <v>2018</v>
      </c>
    </row>
    <row r="729" spans="1:9" x14ac:dyDescent="0.45">
      <c r="A729" t="s">
        <v>167</v>
      </c>
      <c r="B729" t="str">
        <f t="shared" si="11"/>
        <v>Mark Ingram II</v>
      </c>
      <c r="C729">
        <v>14</v>
      </c>
      <c r="D729">
        <v>4</v>
      </c>
      <c r="E729" s="1">
        <v>0.45200000000000001</v>
      </c>
      <c r="F729">
        <v>1</v>
      </c>
      <c r="G729">
        <v>1</v>
      </c>
      <c r="H729">
        <v>0</v>
      </c>
      <c r="I729">
        <v>2018</v>
      </c>
    </row>
    <row r="730" spans="1:9" x14ac:dyDescent="0.45">
      <c r="A730" t="s">
        <v>271</v>
      </c>
      <c r="B730" t="str">
        <f t="shared" si="11"/>
        <v>Lamar Miller</v>
      </c>
      <c r="C730">
        <v>7</v>
      </c>
      <c r="D730">
        <v>3</v>
      </c>
      <c r="E730" s="1">
        <v>0.63600000000000001</v>
      </c>
      <c r="F730">
        <v>1</v>
      </c>
      <c r="G730">
        <v>1</v>
      </c>
      <c r="H730">
        <v>1</v>
      </c>
      <c r="I730">
        <v>2018</v>
      </c>
    </row>
    <row r="731" spans="1:9" x14ac:dyDescent="0.45">
      <c r="A731" t="s">
        <v>240</v>
      </c>
      <c r="B731" t="str">
        <f t="shared" si="11"/>
        <v>James White</v>
      </c>
      <c r="C731">
        <v>9</v>
      </c>
      <c r="D731">
        <v>2</v>
      </c>
      <c r="E731" s="1">
        <v>0.28999999999999998</v>
      </c>
      <c r="F731">
        <v>2</v>
      </c>
      <c r="G731">
        <v>2</v>
      </c>
      <c r="H731">
        <v>2</v>
      </c>
      <c r="I731">
        <v>2018</v>
      </c>
    </row>
    <row r="732" spans="1:9" x14ac:dyDescent="0.45">
      <c r="A732" t="s">
        <v>203</v>
      </c>
      <c r="B732" t="str">
        <f t="shared" si="11"/>
        <v>Adrian Peterson</v>
      </c>
      <c r="C732">
        <v>8</v>
      </c>
      <c r="D732">
        <v>4</v>
      </c>
      <c r="E732" s="1">
        <v>0.57099999999999995</v>
      </c>
      <c r="F732">
        <v>0</v>
      </c>
      <c r="G732">
        <v>0</v>
      </c>
      <c r="H732">
        <v>0</v>
      </c>
      <c r="I732">
        <v>2018</v>
      </c>
    </row>
    <row r="733" spans="1:9" x14ac:dyDescent="0.45">
      <c r="A733" t="s">
        <v>261</v>
      </c>
      <c r="B733" t="str">
        <f t="shared" si="11"/>
        <v>James Develin</v>
      </c>
      <c r="C733">
        <v>4</v>
      </c>
      <c r="D733">
        <v>4</v>
      </c>
      <c r="E733" s="1">
        <v>0.129</v>
      </c>
      <c r="F733">
        <v>1</v>
      </c>
      <c r="G733">
        <v>1</v>
      </c>
      <c r="H733">
        <v>0</v>
      </c>
      <c r="I733">
        <v>2018</v>
      </c>
    </row>
    <row r="734" spans="1:9" x14ac:dyDescent="0.45">
      <c r="A734" t="s">
        <v>272</v>
      </c>
      <c r="B734" t="str">
        <f t="shared" si="11"/>
        <v>Elijah McGuire</v>
      </c>
      <c r="C734">
        <v>6</v>
      </c>
      <c r="D734">
        <v>3</v>
      </c>
      <c r="E734" s="1">
        <v>0.54500000000000004</v>
      </c>
      <c r="F734">
        <v>0</v>
      </c>
      <c r="G734">
        <v>0</v>
      </c>
      <c r="H734">
        <v>0</v>
      </c>
      <c r="I734">
        <v>2018</v>
      </c>
    </row>
    <row r="735" spans="1:9" x14ac:dyDescent="0.45">
      <c r="A735" t="s">
        <v>171</v>
      </c>
      <c r="B735" t="str">
        <f t="shared" si="11"/>
        <v>Matt Breida</v>
      </c>
      <c r="C735">
        <v>6</v>
      </c>
      <c r="D735">
        <v>2</v>
      </c>
      <c r="E735" s="1">
        <v>0.4</v>
      </c>
      <c r="F735">
        <v>1</v>
      </c>
      <c r="G735">
        <v>1</v>
      </c>
      <c r="H735">
        <v>1</v>
      </c>
      <c r="I735">
        <v>2018</v>
      </c>
    </row>
    <row r="736" spans="1:9" x14ac:dyDescent="0.45">
      <c r="A736" t="s">
        <v>273</v>
      </c>
      <c r="B736" t="str">
        <f t="shared" si="11"/>
        <v>Doug Martin</v>
      </c>
      <c r="C736">
        <v>11</v>
      </c>
      <c r="D736">
        <v>3</v>
      </c>
      <c r="E736" s="1">
        <v>0.57899999999999996</v>
      </c>
      <c r="F736">
        <v>0</v>
      </c>
      <c r="G736">
        <v>0</v>
      </c>
      <c r="H736">
        <v>0</v>
      </c>
      <c r="I736">
        <v>2018</v>
      </c>
    </row>
    <row r="737" spans="1:9" x14ac:dyDescent="0.45">
      <c r="A737" t="s">
        <v>274</v>
      </c>
      <c r="B737" t="str">
        <f t="shared" si="11"/>
        <v>Kapri Bibbs</v>
      </c>
      <c r="C737">
        <v>4</v>
      </c>
      <c r="D737">
        <v>3</v>
      </c>
      <c r="E737" s="1">
        <v>0.28599999999999998</v>
      </c>
      <c r="F737">
        <v>0</v>
      </c>
      <c r="G737">
        <v>0</v>
      </c>
      <c r="H737">
        <v>0</v>
      </c>
      <c r="I737">
        <v>2018</v>
      </c>
    </row>
    <row r="738" spans="1:9" x14ac:dyDescent="0.45">
      <c r="A738" t="s">
        <v>141</v>
      </c>
      <c r="B738" t="str">
        <f t="shared" si="11"/>
        <v>Royce Freeman</v>
      </c>
      <c r="C738">
        <v>5</v>
      </c>
      <c r="D738">
        <v>3</v>
      </c>
      <c r="E738" s="1">
        <v>0.38500000000000001</v>
      </c>
      <c r="F738">
        <v>0</v>
      </c>
      <c r="G738">
        <v>0</v>
      </c>
      <c r="H738">
        <v>0</v>
      </c>
      <c r="I738">
        <v>2018</v>
      </c>
    </row>
    <row r="739" spans="1:9" x14ac:dyDescent="0.45">
      <c r="A739" t="s">
        <v>258</v>
      </c>
      <c r="B739" t="str">
        <f t="shared" si="11"/>
        <v>Javorius Allen</v>
      </c>
      <c r="C739">
        <v>6</v>
      </c>
      <c r="D739">
        <v>3</v>
      </c>
      <c r="E739" s="1">
        <v>0.35299999999999998</v>
      </c>
      <c r="F739">
        <v>0</v>
      </c>
      <c r="G739">
        <v>0</v>
      </c>
      <c r="H739">
        <v>0</v>
      </c>
      <c r="I739">
        <v>2018</v>
      </c>
    </row>
    <row r="740" spans="1:9" x14ac:dyDescent="0.45">
      <c r="A740" t="s">
        <v>206</v>
      </c>
      <c r="B740" t="str">
        <f t="shared" si="11"/>
        <v>Alex Collins</v>
      </c>
      <c r="C740">
        <v>6</v>
      </c>
      <c r="D740">
        <v>2</v>
      </c>
      <c r="E740" s="1">
        <v>0.35299999999999998</v>
      </c>
      <c r="F740">
        <v>1</v>
      </c>
      <c r="G740">
        <v>1</v>
      </c>
      <c r="H740">
        <v>1</v>
      </c>
      <c r="I740">
        <v>2018</v>
      </c>
    </row>
    <row r="741" spans="1:9" x14ac:dyDescent="0.45">
      <c r="A741" t="s">
        <v>275</v>
      </c>
      <c r="B741" t="str">
        <f t="shared" si="11"/>
        <v>Isaiah Crowell</v>
      </c>
      <c r="C741">
        <v>3</v>
      </c>
      <c r="D741">
        <v>2</v>
      </c>
      <c r="E741" s="1">
        <v>0.27300000000000002</v>
      </c>
      <c r="F741">
        <v>0</v>
      </c>
      <c r="G741">
        <v>0</v>
      </c>
      <c r="H741">
        <v>0</v>
      </c>
      <c r="I741">
        <v>2018</v>
      </c>
    </row>
    <row r="742" spans="1:9" x14ac:dyDescent="0.45">
      <c r="A742" t="s">
        <v>276</v>
      </c>
      <c r="B742" t="str">
        <f t="shared" si="11"/>
        <v>Spencer Ware</v>
      </c>
      <c r="C742">
        <v>5</v>
      </c>
      <c r="D742">
        <v>2</v>
      </c>
      <c r="E742" s="1">
        <v>0.25</v>
      </c>
      <c r="F742">
        <v>0</v>
      </c>
      <c r="G742">
        <v>0</v>
      </c>
      <c r="H742">
        <v>0</v>
      </c>
      <c r="I742">
        <v>2018</v>
      </c>
    </row>
    <row r="743" spans="1:9" x14ac:dyDescent="0.45">
      <c r="A743" t="s">
        <v>277</v>
      </c>
      <c r="B743" t="str">
        <f t="shared" si="11"/>
        <v>Wendell Smallwood</v>
      </c>
      <c r="C743">
        <v>2</v>
      </c>
      <c r="D743">
        <v>2</v>
      </c>
      <c r="E743" s="1">
        <v>0.16700000000000001</v>
      </c>
      <c r="F743">
        <v>0</v>
      </c>
      <c r="G743">
        <v>0</v>
      </c>
      <c r="H743">
        <v>0</v>
      </c>
      <c r="I743">
        <v>2018</v>
      </c>
    </row>
    <row r="744" spans="1:9" x14ac:dyDescent="0.45">
      <c r="A744" t="s">
        <v>129</v>
      </c>
      <c r="B744" t="str">
        <f t="shared" si="11"/>
        <v>Cordarrelle Patterson</v>
      </c>
      <c r="C744">
        <v>4</v>
      </c>
      <c r="D744">
        <v>1</v>
      </c>
      <c r="E744" s="1">
        <v>0.129</v>
      </c>
      <c r="F744">
        <v>1</v>
      </c>
      <c r="G744">
        <v>2</v>
      </c>
      <c r="H744">
        <v>1</v>
      </c>
      <c r="I744">
        <v>2018</v>
      </c>
    </row>
    <row r="745" spans="1:9" x14ac:dyDescent="0.45">
      <c r="A745" t="s">
        <v>134</v>
      </c>
      <c r="B745" t="str">
        <f t="shared" si="11"/>
        <v>Latavius Murray</v>
      </c>
      <c r="C745">
        <v>4</v>
      </c>
      <c r="D745">
        <v>2</v>
      </c>
      <c r="E745" s="1">
        <v>0.5</v>
      </c>
      <c r="F745">
        <v>0</v>
      </c>
      <c r="G745">
        <v>0</v>
      </c>
      <c r="H745">
        <v>0</v>
      </c>
      <c r="I745">
        <v>2018</v>
      </c>
    </row>
    <row r="746" spans="1:9" x14ac:dyDescent="0.45">
      <c r="A746" t="s">
        <v>183</v>
      </c>
      <c r="B746" t="str">
        <f t="shared" si="11"/>
        <v>Mike Davis</v>
      </c>
      <c r="C746">
        <v>3</v>
      </c>
      <c r="D746">
        <v>1</v>
      </c>
      <c r="E746" s="1">
        <v>0.15</v>
      </c>
      <c r="F746">
        <v>1</v>
      </c>
      <c r="G746">
        <v>1</v>
      </c>
      <c r="H746">
        <v>1</v>
      </c>
      <c r="I746">
        <v>2018</v>
      </c>
    </row>
    <row r="747" spans="1:9" x14ac:dyDescent="0.45">
      <c r="A747" t="s">
        <v>278</v>
      </c>
      <c r="B747" t="str">
        <f t="shared" si="11"/>
        <v>Kenneth Dixon</v>
      </c>
      <c r="C747">
        <v>3</v>
      </c>
      <c r="D747">
        <v>2</v>
      </c>
      <c r="E747" s="1">
        <v>0.17599999999999999</v>
      </c>
      <c r="F747">
        <v>0</v>
      </c>
      <c r="G747">
        <v>0</v>
      </c>
      <c r="H747">
        <v>0</v>
      </c>
      <c r="I747">
        <v>2018</v>
      </c>
    </row>
    <row r="748" spans="1:9" x14ac:dyDescent="0.45">
      <c r="A748" t="s">
        <v>279</v>
      </c>
      <c r="B748" t="str">
        <f t="shared" si="11"/>
        <v>Jay Ajayi</v>
      </c>
      <c r="C748">
        <v>4</v>
      </c>
      <c r="D748">
        <v>2</v>
      </c>
      <c r="E748" s="1">
        <v>0.33300000000000002</v>
      </c>
      <c r="F748">
        <v>0</v>
      </c>
      <c r="G748">
        <v>0</v>
      </c>
      <c r="H748">
        <v>0</v>
      </c>
      <c r="I748">
        <v>2018</v>
      </c>
    </row>
    <row r="749" spans="1:9" x14ac:dyDescent="0.45">
      <c r="A749" t="s">
        <v>44</v>
      </c>
      <c r="B749" t="str">
        <f t="shared" si="11"/>
        <v>Aaron Jones Sr.</v>
      </c>
      <c r="C749">
        <v>4</v>
      </c>
      <c r="D749">
        <v>2</v>
      </c>
      <c r="E749" s="1">
        <v>0.57099999999999995</v>
      </c>
      <c r="F749">
        <v>0</v>
      </c>
      <c r="G749">
        <v>0</v>
      </c>
      <c r="H749">
        <v>0</v>
      </c>
      <c r="I749">
        <v>2018</v>
      </c>
    </row>
    <row r="750" spans="1:9" x14ac:dyDescent="0.45">
      <c r="A750" t="s">
        <v>169</v>
      </c>
      <c r="B750" t="str">
        <f t="shared" si="11"/>
        <v>Tevin Coleman</v>
      </c>
      <c r="C750">
        <v>6</v>
      </c>
      <c r="D750">
        <v>0</v>
      </c>
      <c r="E750" s="1">
        <v>0.46200000000000002</v>
      </c>
      <c r="F750">
        <v>2</v>
      </c>
      <c r="G750">
        <v>2</v>
      </c>
      <c r="H750">
        <v>2</v>
      </c>
      <c r="I750">
        <v>2018</v>
      </c>
    </row>
    <row r="751" spans="1:9" x14ac:dyDescent="0.45">
      <c r="A751" t="s">
        <v>247</v>
      </c>
      <c r="B751" t="str">
        <f t="shared" si="11"/>
        <v>T.J. Yeldon</v>
      </c>
      <c r="C751">
        <v>2</v>
      </c>
      <c r="D751">
        <v>1</v>
      </c>
      <c r="E751" s="1">
        <v>0.14299999999999999</v>
      </c>
      <c r="F751">
        <v>1</v>
      </c>
      <c r="G751">
        <v>2</v>
      </c>
      <c r="H751">
        <v>1</v>
      </c>
      <c r="I751">
        <v>2018</v>
      </c>
    </row>
    <row r="752" spans="1:9" x14ac:dyDescent="0.45">
      <c r="A752" t="s">
        <v>280</v>
      </c>
      <c r="B752" t="str">
        <f t="shared" si="11"/>
        <v>Zach Zenner</v>
      </c>
      <c r="C752">
        <v>3</v>
      </c>
      <c r="D752">
        <v>2</v>
      </c>
      <c r="E752" s="1">
        <v>0.17599999999999999</v>
      </c>
      <c r="F752">
        <v>0</v>
      </c>
      <c r="G752">
        <v>0</v>
      </c>
      <c r="H752">
        <v>0</v>
      </c>
      <c r="I752">
        <v>2018</v>
      </c>
    </row>
    <row r="753" spans="1:9" x14ac:dyDescent="0.45">
      <c r="A753" t="s">
        <v>110</v>
      </c>
      <c r="B753" t="str">
        <f t="shared" si="11"/>
        <v>Ezekiel Elliott</v>
      </c>
      <c r="C753">
        <v>11</v>
      </c>
      <c r="D753">
        <v>2</v>
      </c>
      <c r="E753" s="1">
        <v>1</v>
      </c>
      <c r="F753">
        <v>0</v>
      </c>
      <c r="G753">
        <v>0</v>
      </c>
      <c r="H753">
        <v>0</v>
      </c>
      <c r="I753">
        <v>2018</v>
      </c>
    </row>
    <row r="754" spans="1:9" x14ac:dyDescent="0.45">
      <c r="A754" t="s">
        <v>264</v>
      </c>
      <c r="B754" t="str">
        <f t="shared" si="11"/>
        <v>Zach Line</v>
      </c>
      <c r="C754">
        <v>1</v>
      </c>
      <c r="D754">
        <v>0</v>
      </c>
      <c r="E754" s="1">
        <v>3.2000000000000001E-2</v>
      </c>
      <c r="F754">
        <v>3</v>
      </c>
      <c r="G754">
        <v>3</v>
      </c>
      <c r="H754">
        <v>2</v>
      </c>
      <c r="I754">
        <v>2018</v>
      </c>
    </row>
    <row r="755" spans="1:9" x14ac:dyDescent="0.45">
      <c r="A755" t="s">
        <v>215</v>
      </c>
      <c r="B755" t="str">
        <f t="shared" si="11"/>
        <v>Giovani Bernard</v>
      </c>
      <c r="C755">
        <v>3</v>
      </c>
      <c r="D755">
        <v>2</v>
      </c>
      <c r="E755" s="1">
        <v>0.188</v>
      </c>
      <c r="F755">
        <v>0</v>
      </c>
      <c r="G755">
        <v>0</v>
      </c>
      <c r="H755">
        <v>0</v>
      </c>
      <c r="I755">
        <v>2018</v>
      </c>
    </row>
    <row r="756" spans="1:9" x14ac:dyDescent="0.45">
      <c r="A756" t="s">
        <v>281</v>
      </c>
      <c r="B756" t="str">
        <f t="shared" si="11"/>
        <v>Alfred Blue</v>
      </c>
      <c r="C756">
        <v>4</v>
      </c>
      <c r="D756">
        <v>2</v>
      </c>
      <c r="E756" s="1">
        <v>0.36399999999999999</v>
      </c>
      <c r="F756">
        <v>0</v>
      </c>
      <c r="G756">
        <v>0</v>
      </c>
      <c r="H756">
        <v>0</v>
      </c>
      <c r="I756">
        <v>2018</v>
      </c>
    </row>
    <row r="757" spans="1:9" x14ac:dyDescent="0.45">
      <c r="A757" t="s">
        <v>109</v>
      </c>
      <c r="B757" t="str">
        <f t="shared" si="11"/>
        <v>Austin Ekeler</v>
      </c>
      <c r="C757">
        <v>4</v>
      </c>
      <c r="D757">
        <v>2</v>
      </c>
      <c r="E757" s="1">
        <v>0.36399999999999999</v>
      </c>
      <c r="F757">
        <v>0</v>
      </c>
      <c r="G757">
        <v>0</v>
      </c>
      <c r="H757">
        <v>0</v>
      </c>
      <c r="I757">
        <v>2018</v>
      </c>
    </row>
    <row r="758" spans="1:9" x14ac:dyDescent="0.45">
      <c r="A758" t="s">
        <v>211</v>
      </c>
      <c r="B758" t="str">
        <f t="shared" si="11"/>
        <v>Alex Armah Jr.</v>
      </c>
      <c r="C758">
        <v>4</v>
      </c>
      <c r="D758">
        <v>2</v>
      </c>
      <c r="E758" s="1">
        <v>0.19</v>
      </c>
      <c r="F758">
        <v>0</v>
      </c>
      <c r="G758">
        <v>0</v>
      </c>
      <c r="H758">
        <v>0</v>
      </c>
      <c r="I758">
        <v>2018</v>
      </c>
    </row>
    <row r="759" spans="1:9" x14ac:dyDescent="0.45">
      <c r="A759" t="s">
        <v>282</v>
      </c>
      <c r="B759" t="str">
        <f t="shared" si="11"/>
        <v>Marshawn Lynch</v>
      </c>
      <c r="C759">
        <v>3</v>
      </c>
      <c r="D759">
        <v>2</v>
      </c>
      <c r="E759" s="1">
        <v>0.158</v>
      </c>
      <c r="F759">
        <v>1</v>
      </c>
      <c r="G759">
        <v>1</v>
      </c>
      <c r="H759">
        <v>0</v>
      </c>
      <c r="I759">
        <v>2018</v>
      </c>
    </row>
    <row r="760" spans="1:9" x14ac:dyDescent="0.45">
      <c r="A760" t="s">
        <v>266</v>
      </c>
      <c r="B760" t="str">
        <f t="shared" si="11"/>
        <v>Tarik Cohen</v>
      </c>
      <c r="C760">
        <v>1</v>
      </c>
      <c r="D760">
        <v>1</v>
      </c>
      <c r="E760" s="1">
        <v>8.3000000000000004E-2</v>
      </c>
      <c r="F760">
        <v>0</v>
      </c>
      <c r="G760">
        <v>1</v>
      </c>
      <c r="H760">
        <v>0</v>
      </c>
      <c r="I760">
        <v>2018</v>
      </c>
    </row>
    <row r="761" spans="1:9" x14ac:dyDescent="0.45">
      <c r="A761" t="s">
        <v>243</v>
      </c>
      <c r="B761" t="str">
        <f t="shared" si="11"/>
        <v>Jalen Richard</v>
      </c>
      <c r="C761">
        <v>2</v>
      </c>
      <c r="D761">
        <v>1</v>
      </c>
      <c r="E761" s="1">
        <v>0.105</v>
      </c>
      <c r="F761">
        <v>0</v>
      </c>
      <c r="G761">
        <v>0</v>
      </c>
      <c r="H761">
        <v>0</v>
      </c>
      <c r="I761">
        <v>2018</v>
      </c>
    </row>
    <row r="762" spans="1:9" x14ac:dyDescent="0.45">
      <c r="A762" t="s">
        <v>209</v>
      </c>
      <c r="B762" t="str">
        <f t="shared" si="11"/>
        <v>Duke Johnson Jr.</v>
      </c>
      <c r="C762">
        <v>0</v>
      </c>
      <c r="D762">
        <v>0</v>
      </c>
      <c r="E762" s="1">
        <v>0</v>
      </c>
      <c r="F762">
        <v>1</v>
      </c>
      <c r="G762">
        <v>2</v>
      </c>
      <c r="H762">
        <v>1</v>
      </c>
      <c r="I762">
        <v>2018</v>
      </c>
    </row>
    <row r="763" spans="1:9" x14ac:dyDescent="0.45">
      <c r="A763" t="s">
        <v>193</v>
      </c>
      <c r="B763" t="str">
        <f t="shared" si="11"/>
        <v>Nyheim Miller-Hines</v>
      </c>
      <c r="C763">
        <v>3</v>
      </c>
      <c r="D763">
        <v>1</v>
      </c>
      <c r="E763" s="1">
        <v>0.17599999999999999</v>
      </c>
      <c r="F763">
        <v>1</v>
      </c>
      <c r="G763">
        <v>2</v>
      </c>
      <c r="H763">
        <v>0</v>
      </c>
      <c r="I763">
        <v>2018</v>
      </c>
    </row>
    <row r="764" spans="1:9" x14ac:dyDescent="0.45">
      <c r="A764" t="s">
        <v>180</v>
      </c>
      <c r="B764" t="str">
        <f t="shared" si="11"/>
        <v>Brandon Bolden</v>
      </c>
      <c r="C764">
        <v>0</v>
      </c>
      <c r="D764">
        <v>0</v>
      </c>
      <c r="E764" s="1">
        <v>0</v>
      </c>
      <c r="F764">
        <v>1</v>
      </c>
      <c r="G764">
        <v>1</v>
      </c>
      <c r="H764">
        <v>1</v>
      </c>
      <c r="I764">
        <v>2018</v>
      </c>
    </row>
    <row r="765" spans="1:9" x14ac:dyDescent="0.45">
      <c r="A765" t="s">
        <v>283</v>
      </c>
      <c r="B765" t="str">
        <f t="shared" si="11"/>
        <v>C.J. Anderson</v>
      </c>
      <c r="C765">
        <v>1</v>
      </c>
      <c r="D765">
        <v>1</v>
      </c>
      <c r="E765" s="1">
        <v>4.8000000000000001E-2</v>
      </c>
      <c r="F765">
        <v>0</v>
      </c>
      <c r="G765">
        <v>0</v>
      </c>
      <c r="H765">
        <v>0</v>
      </c>
      <c r="I765">
        <v>2018</v>
      </c>
    </row>
    <row r="766" spans="1:9" x14ac:dyDescent="0.45">
      <c r="A766" t="s">
        <v>172</v>
      </c>
      <c r="B766" t="str">
        <f t="shared" si="11"/>
        <v>Justin Jackson</v>
      </c>
      <c r="C766">
        <v>2</v>
      </c>
      <c r="D766">
        <v>1</v>
      </c>
      <c r="E766" s="1">
        <v>0.182</v>
      </c>
      <c r="F766">
        <v>0</v>
      </c>
      <c r="G766">
        <v>0</v>
      </c>
      <c r="H766">
        <v>0</v>
      </c>
      <c r="I766">
        <v>2018</v>
      </c>
    </row>
    <row r="767" spans="1:9" x14ac:dyDescent="0.45">
      <c r="A767" t="s">
        <v>248</v>
      </c>
      <c r="B767" t="str">
        <f t="shared" si="11"/>
        <v>Trenton Cannon</v>
      </c>
      <c r="C767">
        <v>1</v>
      </c>
      <c r="D767">
        <v>1</v>
      </c>
      <c r="E767" s="1">
        <v>9.0999999999999998E-2</v>
      </c>
      <c r="F767">
        <v>0</v>
      </c>
      <c r="G767">
        <v>1</v>
      </c>
      <c r="H767">
        <v>0</v>
      </c>
      <c r="I767">
        <v>2018</v>
      </c>
    </row>
    <row r="768" spans="1:9" x14ac:dyDescent="0.45">
      <c r="A768" t="s">
        <v>252</v>
      </c>
      <c r="B768" t="str">
        <f t="shared" si="11"/>
        <v>Jaylen Samuels</v>
      </c>
      <c r="C768">
        <v>2</v>
      </c>
      <c r="D768">
        <v>0</v>
      </c>
      <c r="E768" s="1">
        <v>9.5000000000000001E-2</v>
      </c>
      <c r="F768">
        <v>1</v>
      </c>
      <c r="G768">
        <v>1</v>
      </c>
      <c r="H768">
        <v>1</v>
      </c>
      <c r="I768">
        <v>2018</v>
      </c>
    </row>
    <row r="769" spans="1:9" x14ac:dyDescent="0.45">
      <c r="A769" t="s">
        <v>284</v>
      </c>
      <c r="B769" t="str">
        <f t="shared" si="11"/>
        <v>Jacquizz Rodgers</v>
      </c>
      <c r="C769">
        <v>1</v>
      </c>
      <c r="D769">
        <v>1</v>
      </c>
      <c r="E769" s="1">
        <v>5.8999999999999997E-2</v>
      </c>
      <c r="F769">
        <v>0</v>
      </c>
      <c r="G769">
        <v>0</v>
      </c>
      <c r="H769">
        <v>0</v>
      </c>
      <c r="I769">
        <v>2018</v>
      </c>
    </row>
    <row r="770" spans="1:9" x14ac:dyDescent="0.45">
      <c r="A770" t="s">
        <v>231</v>
      </c>
      <c r="B770" t="str">
        <f t="shared" ref="B770:B812" si="12">TRIM(LEFT(A770, LEN(A770) - LEN(TRIM(RIGHT(SUBSTITUTE(TRIM(A770)," ",REPT(" ",100)),100)))))</f>
        <v>Dion Lewis</v>
      </c>
      <c r="C770">
        <v>5</v>
      </c>
      <c r="D770">
        <v>1</v>
      </c>
      <c r="E770" s="1">
        <v>0.22700000000000001</v>
      </c>
      <c r="F770">
        <v>0</v>
      </c>
      <c r="G770">
        <v>0</v>
      </c>
      <c r="H770">
        <v>0</v>
      </c>
      <c r="I770">
        <v>2018</v>
      </c>
    </row>
    <row r="771" spans="1:9" x14ac:dyDescent="0.45">
      <c r="A771" t="s">
        <v>216</v>
      </c>
      <c r="B771" t="str">
        <f t="shared" si="12"/>
        <v>Ty Montgomery II</v>
      </c>
      <c r="C771">
        <v>1</v>
      </c>
      <c r="D771">
        <v>1</v>
      </c>
      <c r="E771" s="1">
        <v>0.14299999999999999</v>
      </c>
      <c r="F771">
        <v>0</v>
      </c>
      <c r="G771">
        <v>1</v>
      </c>
      <c r="H771">
        <v>0</v>
      </c>
      <c r="I771">
        <v>2018</v>
      </c>
    </row>
    <row r="772" spans="1:9" x14ac:dyDescent="0.45">
      <c r="A772" t="s">
        <v>285</v>
      </c>
      <c r="B772" t="str">
        <f t="shared" si="12"/>
        <v>Chris Ivory</v>
      </c>
      <c r="C772">
        <v>2</v>
      </c>
      <c r="D772">
        <v>1</v>
      </c>
      <c r="E772" s="1">
        <v>0.28599999999999998</v>
      </c>
      <c r="F772">
        <v>0</v>
      </c>
      <c r="G772">
        <v>0</v>
      </c>
      <c r="H772">
        <v>0</v>
      </c>
      <c r="I772">
        <v>2018</v>
      </c>
    </row>
    <row r="773" spans="1:9" x14ac:dyDescent="0.45">
      <c r="A773" t="s">
        <v>286</v>
      </c>
      <c r="B773" t="str">
        <f t="shared" si="12"/>
        <v>Stevan Ridley</v>
      </c>
      <c r="C773">
        <v>2</v>
      </c>
      <c r="D773">
        <v>1</v>
      </c>
      <c r="E773" s="1">
        <v>9.5000000000000001E-2</v>
      </c>
      <c r="F773">
        <v>0</v>
      </c>
      <c r="G773">
        <v>0</v>
      </c>
      <c r="H773">
        <v>0</v>
      </c>
      <c r="I773">
        <v>2018</v>
      </c>
    </row>
    <row r="774" spans="1:9" x14ac:dyDescent="0.45">
      <c r="A774" t="s">
        <v>127</v>
      </c>
      <c r="B774" t="str">
        <f t="shared" si="12"/>
        <v>Jamaal Williams</v>
      </c>
      <c r="C774">
        <v>2</v>
      </c>
      <c r="D774">
        <v>1</v>
      </c>
      <c r="E774" s="1">
        <v>0.28599999999999998</v>
      </c>
      <c r="F774">
        <v>0</v>
      </c>
      <c r="G774">
        <v>0</v>
      </c>
      <c r="H774">
        <v>0</v>
      </c>
      <c r="I774">
        <v>2018</v>
      </c>
    </row>
    <row r="775" spans="1:9" x14ac:dyDescent="0.45">
      <c r="A775" t="s">
        <v>234</v>
      </c>
      <c r="B775" t="str">
        <f t="shared" si="12"/>
        <v>Corey Clement</v>
      </c>
      <c r="C775">
        <v>1</v>
      </c>
      <c r="D775">
        <v>1</v>
      </c>
      <c r="E775" s="1">
        <v>8.3000000000000004E-2</v>
      </c>
      <c r="F775">
        <v>1</v>
      </c>
      <c r="G775">
        <v>1</v>
      </c>
      <c r="H775">
        <v>0</v>
      </c>
      <c r="I775">
        <v>2018</v>
      </c>
    </row>
    <row r="776" spans="1:9" x14ac:dyDescent="0.45">
      <c r="A776" t="s">
        <v>229</v>
      </c>
      <c r="B776" t="str">
        <f t="shared" si="12"/>
        <v>Kerryon Johnson</v>
      </c>
      <c r="C776">
        <v>2</v>
      </c>
      <c r="D776">
        <v>1</v>
      </c>
      <c r="E776" s="1">
        <v>0.11799999999999999</v>
      </c>
      <c r="F776">
        <v>0</v>
      </c>
      <c r="G776">
        <v>0</v>
      </c>
      <c r="H776">
        <v>0</v>
      </c>
      <c r="I776">
        <v>2018</v>
      </c>
    </row>
    <row r="777" spans="1:9" x14ac:dyDescent="0.45">
      <c r="A777" t="s">
        <v>239</v>
      </c>
      <c r="B777" t="str">
        <f t="shared" si="12"/>
        <v>Josh Adams</v>
      </c>
      <c r="C777">
        <v>5</v>
      </c>
      <c r="D777">
        <v>1</v>
      </c>
      <c r="E777" s="1">
        <v>0.41699999999999998</v>
      </c>
      <c r="F777">
        <v>0</v>
      </c>
      <c r="G777">
        <v>0</v>
      </c>
      <c r="H777">
        <v>0</v>
      </c>
      <c r="I777">
        <v>2018</v>
      </c>
    </row>
    <row r="778" spans="1:9" x14ac:dyDescent="0.45">
      <c r="A778" t="s">
        <v>214</v>
      </c>
      <c r="B778" t="str">
        <f t="shared" si="12"/>
        <v>Ronald Jones II</v>
      </c>
      <c r="C778">
        <v>2</v>
      </c>
      <c r="D778">
        <v>1</v>
      </c>
      <c r="E778" s="1">
        <v>0.11799999999999999</v>
      </c>
      <c r="F778">
        <v>0</v>
      </c>
      <c r="G778">
        <v>0</v>
      </c>
      <c r="H778">
        <v>0</v>
      </c>
      <c r="I778">
        <v>2018</v>
      </c>
    </row>
    <row r="779" spans="1:9" x14ac:dyDescent="0.45">
      <c r="A779" t="s">
        <v>251</v>
      </c>
      <c r="B779" t="str">
        <f t="shared" si="12"/>
        <v>LeSean McCoy</v>
      </c>
      <c r="C779">
        <v>4</v>
      </c>
      <c r="D779">
        <v>1</v>
      </c>
      <c r="E779" s="1">
        <v>0.57099999999999995</v>
      </c>
      <c r="F779">
        <v>0</v>
      </c>
      <c r="G779">
        <v>0</v>
      </c>
      <c r="H779">
        <v>0</v>
      </c>
      <c r="I779">
        <v>2018</v>
      </c>
    </row>
    <row r="780" spans="1:9" x14ac:dyDescent="0.45">
      <c r="A780" t="s">
        <v>249</v>
      </c>
      <c r="B780" t="str">
        <f t="shared" si="12"/>
        <v>Ito Smith</v>
      </c>
      <c r="C780">
        <v>4</v>
      </c>
      <c r="D780">
        <v>1</v>
      </c>
      <c r="E780" s="1">
        <v>0.308</v>
      </c>
      <c r="F780">
        <v>0</v>
      </c>
      <c r="G780">
        <v>0</v>
      </c>
      <c r="H780">
        <v>0</v>
      </c>
      <c r="I780">
        <v>2018</v>
      </c>
    </row>
    <row r="781" spans="1:9" x14ac:dyDescent="0.45">
      <c r="A781" t="s">
        <v>161</v>
      </c>
      <c r="B781" t="str">
        <f t="shared" si="12"/>
        <v>Kenyan Drake</v>
      </c>
      <c r="C781">
        <v>1</v>
      </c>
      <c r="D781">
        <v>0</v>
      </c>
      <c r="E781" s="1">
        <v>0.5</v>
      </c>
      <c r="F781">
        <v>1</v>
      </c>
      <c r="G781">
        <v>2</v>
      </c>
      <c r="H781">
        <v>1</v>
      </c>
      <c r="I781">
        <v>2018</v>
      </c>
    </row>
    <row r="782" spans="1:9" x14ac:dyDescent="0.45">
      <c r="A782" t="s">
        <v>235</v>
      </c>
      <c r="B782" t="str">
        <f t="shared" si="12"/>
        <v>Alfred Morris</v>
      </c>
      <c r="C782">
        <v>8</v>
      </c>
      <c r="D782">
        <v>1</v>
      </c>
      <c r="E782" s="1">
        <v>0.53300000000000003</v>
      </c>
      <c r="F782">
        <v>0</v>
      </c>
      <c r="G782">
        <v>0</v>
      </c>
      <c r="H782">
        <v>0</v>
      </c>
      <c r="I782">
        <v>2018</v>
      </c>
    </row>
    <row r="783" spans="1:9" x14ac:dyDescent="0.45">
      <c r="A783" t="s">
        <v>287</v>
      </c>
      <c r="B783" t="str">
        <f t="shared" si="12"/>
        <v>John Kelly Jr.</v>
      </c>
      <c r="C783">
        <v>1</v>
      </c>
      <c r="D783">
        <v>0</v>
      </c>
      <c r="E783" s="1">
        <v>4.2000000000000003E-2</v>
      </c>
      <c r="F783">
        <v>0</v>
      </c>
      <c r="G783">
        <v>0</v>
      </c>
      <c r="H783">
        <v>0</v>
      </c>
      <c r="I783">
        <v>2018</v>
      </c>
    </row>
    <row r="784" spans="1:9" x14ac:dyDescent="0.45">
      <c r="A784" t="s">
        <v>149</v>
      </c>
      <c r="B784" t="str">
        <f t="shared" si="12"/>
        <v>Dalvin Cook</v>
      </c>
      <c r="C784">
        <v>2</v>
      </c>
      <c r="D784">
        <v>0</v>
      </c>
      <c r="E784" s="1">
        <v>0.25</v>
      </c>
      <c r="F784">
        <v>0</v>
      </c>
      <c r="G784">
        <v>0</v>
      </c>
      <c r="H784">
        <v>0</v>
      </c>
      <c r="I784">
        <v>2018</v>
      </c>
    </row>
    <row r="785" spans="1:9" x14ac:dyDescent="0.45">
      <c r="A785" t="s">
        <v>104</v>
      </c>
      <c r="B785" t="str">
        <f t="shared" si="12"/>
        <v>Gus Edwards</v>
      </c>
      <c r="C785">
        <v>2</v>
      </c>
      <c r="D785">
        <v>0</v>
      </c>
      <c r="E785" s="1">
        <v>0.11799999999999999</v>
      </c>
      <c r="F785">
        <v>0</v>
      </c>
      <c r="G785">
        <v>0</v>
      </c>
      <c r="H785">
        <v>0</v>
      </c>
      <c r="I785">
        <v>2018</v>
      </c>
    </row>
    <row r="786" spans="1:9" x14ac:dyDescent="0.45">
      <c r="A786" t="s">
        <v>200</v>
      </c>
      <c r="B786" t="str">
        <f t="shared" si="12"/>
        <v>Devontae Booker</v>
      </c>
      <c r="C786">
        <v>0</v>
      </c>
      <c r="D786">
        <v>0</v>
      </c>
      <c r="E786" s="1">
        <v>0</v>
      </c>
      <c r="F786">
        <v>1</v>
      </c>
      <c r="G786">
        <v>1</v>
      </c>
      <c r="H786">
        <v>0</v>
      </c>
      <c r="I786">
        <v>2018</v>
      </c>
    </row>
    <row r="787" spans="1:9" x14ac:dyDescent="0.45">
      <c r="A787" t="s">
        <v>227</v>
      </c>
      <c r="B787" t="str">
        <f t="shared" si="12"/>
        <v>Wayne Gallman Jr.</v>
      </c>
      <c r="C787">
        <v>1</v>
      </c>
      <c r="D787">
        <v>0</v>
      </c>
      <c r="E787" s="1">
        <v>5.8999999999999997E-2</v>
      </c>
      <c r="F787">
        <v>0</v>
      </c>
      <c r="G787">
        <v>1</v>
      </c>
      <c r="H787">
        <v>0</v>
      </c>
      <c r="I787">
        <v>2018</v>
      </c>
    </row>
    <row r="788" spans="1:9" x14ac:dyDescent="0.45">
      <c r="A788" t="s">
        <v>244</v>
      </c>
      <c r="B788" t="str">
        <f t="shared" si="12"/>
        <v>Brian Hill</v>
      </c>
      <c r="C788">
        <v>1</v>
      </c>
      <c r="D788">
        <v>0</v>
      </c>
      <c r="E788" s="1">
        <v>7.6999999999999999E-2</v>
      </c>
      <c r="F788">
        <v>0</v>
      </c>
      <c r="G788">
        <v>0</v>
      </c>
      <c r="H788">
        <v>0</v>
      </c>
      <c r="I788">
        <v>2018</v>
      </c>
    </row>
    <row r="789" spans="1:9" x14ac:dyDescent="0.45">
      <c r="A789" t="s">
        <v>232</v>
      </c>
      <c r="B789" t="str">
        <f t="shared" si="12"/>
        <v>Frank Gore</v>
      </c>
      <c r="C789">
        <v>1</v>
      </c>
      <c r="D789">
        <v>0</v>
      </c>
      <c r="E789" s="1">
        <v>0.5</v>
      </c>
      <c r="F789">
        <v>0</v>
      </c>
      <c r="G789">
        <v>0</v>
      </c>
      <c r="H789">
        <v>0</v>
      </c>
      <c r="I789">
        <v>2018</v>
      </c>
    </row>
    <row r="790" spans="1:9" x14ac:dyDescent="0.45">
      <c r="A790" t="s">
        <v>288</v>
      </c>
      <c r="B790" t="str">
        <f t="shared" si="12"/>
        <v>Bilal Powell</v>
      </c>
      <c r="C790">
        <v>1</v>
      </c>
      <c r="D790">
        <v>0</v>
      </c>
      <c r="E790" s="1">
        <v>9.0999999999999998E-2</v>
      </c>
      <c r="F790">
        <v>0</v>
      </c>
      <c r="G790">
        <v>0</v>
      </c>
      <c r="H790">
        <v>0</v>
      </c>
      <c r="I790">
        <v>2018</v>
      </c>
    </row>
    <row r="791" spans="1:9" x14ac:dyDescent="0.45">
      <c r="A791" t="s">
        <v>184</v>
      </c>
      <c r="B791" t="str">
        <f t="shared" si="12"/>
        <v>Malcolm Brown</v>
      </c>
      <c r="C791">
        <v>1</v>
      </c>
      <c r="D791">
        <v>0</v>
      </c>
      <c r="E791" s="1">
        <v>4.2000000000000003E-2</v>
      </c>
      <c r="F791">
        <v>0</v>
      </c>
      <c r="G791">
        <v>0</v>
      </c>
      <c r="H791">
        <v>0</v>
      </c>
      <c r="I791">
        <v>2018</v>
      </c>
    </row>
    <row r="792" spans="1:9" x14ac:dyDescent="0.45">
      <c r="A792" t="s">
        <v>289</v>
      </c>
      <c r="B792" t="str">
        <f t="shared" si="12"/>
        <v>Marcus Murphy</v>
      </c>
      <c r="C792">
        <v>1</v>
      </c>
      <c r="D792">
        <v>0</v>
      </c>
      <c r="E792" s="1">
        <v>0.14299999999999999</v>
      </c>
      <c r="F792">
        <v>0</v>
      </c>
      <c r="G792">
        <v>0</v>
      </c>
      <c r="H792">
        <v>0</v>
      </c>
      <c r="I792">
        <v>2018</v>
      </c>
    </row>
    <row r="793" spans="1:9" x14ac:dyDescent="0.45">
      <c r="A793" t="s">
        <v>263</v>
      </c>
      <c r="B793" t="str">
        <f t="shared" si="12"/>
        <v>Darren Sproles</v>
      </c>
      <c r="C793">
        <v>0</v>
      </c>
      <c r="D793">
        <v>0</v>
      </c>
      <c r="E793" s="1">
        <v>0</v>
      </c>
      <c r="F793">
        <v>0</v>
      </c>
      <c r="G793">
        <v>2</v>
      </c>
      <c r="H793">
        <v>0</v>
      </c>
      <c r="I793">
        <v>2018</v>
      </c>
    </row>
    <row r="794" spans="1:9" x14ac:dyDescent="0.45">
      <c r="A794" t="s">
        <v>290</v>
      </c>
      <c r="B794" t="str">
        <f t="shared" si="12"/>
        <v>Jamize Olawale</v>
      </c>
      <c r="C794">
        <v>0</v>
      </c>
      <c r="D794">
        <v>0</v>
      </c>
      <c r="E794" s="1">
        <v>0</v>
      </c>
      <c r="F794">
        <v>0</v>
      </c>
      <c r="G794">
        <v>1</v>
      </c>
      <c r="H794">
        <v>0</v>
      </c>
      <c r="I794">
        <v>2018</v>
      </c>
    </row>
    <row r="795" spans="1:9" x14ac:dyDescent="0.45">
      <c r="A795" t="s">
        <v>259</v>
      </c>
      <c r="B795" t="str">
        <f t="shared" si="12"/>
        <v>Chris Thompson</v>
      </c>
      <c r="C795">
        <v>2</v>
      </c>
      <c r="D795">
        <v>0</v>
      </c>
      <c r="E795" s="1">
        <v>0.14299999999999999</v>
      </c>
      <c r="F795">
        <v>0</v>
      </c>
      <c r="G795">
        <v>0</v>
      </c>
      <c r="H795">
        <v>0</v>
      </c>
      <c r="I795">
        <v>2018</v>
      </c>
    </row>
    <row r="796" spans="1:9" x14ac:dyDescent="0.45">
      <c r="A796" t="s">
        <v>291</v>
      </c>
      <c r="B796" t="str">
        <f t="shared" si="12"/>
        <v>Tommy Bohanon</v>
      </c>
      <c r="C796">
        <v>1</v>
      </c>
      <c r="D796">
        <v>0</v>
      </c>
      <c r="E796" s="1">
        <v>7.0999999999999994E-2</v>
      </c>
      <c r="F796">
        <v>0</v>
      </c>
      <c r="G796">
        <v>1</v>
      </c>
      <c r="H796">
        <v>0</v>
      </c>
      <c r="I796">
        <v>2018</v>
      </c>
    </row>
    <row r="797" spans="1:9" x14ac:dyDescent="0.45">
      <c r="A797" t="s">
        <v>186</v>
      </c>
      <c r="B797" t="str">
        <f t="shared" si="12"/>
        <v>Keith Smith</v>
      </c>
      <c r="C797">
        <v>1</v>
      </c>
      <c r="D797">
        <v>0</v>
      </c>
      <c r="E797" s="1">
        <v>5.2999999999999999E-2</v>
      </c>
      <c r="F797">
        <v>0</v>
      </c>
      <c r="G797">
        <v>0</v>
      </c>
      <c r="H797">
        <v>0</v>
      </c>
      <c r="I797">
        <v>2018</v>
      </c>
    </row>
    <row r="798" spans="1:9" x14ac:dyDescent="0.45">
      <c r="A798" t="s">
        <v>292</v>
      </c>
      <c r="B798" t="str">
        <f t="shared" si="12"/>
        <v>Roosevelt Nix</v>
      </c>
      <c r="C798">
        <v>0</v>
      </c>
      <c r="D798">
        <v>0</v>
      </c>
      <c r="E798" s="1">
        <v>0</v>
      </c>
      <c r="F798">
        <v>0</v>
      </c>
      <c r="G798">
        <v>1</v>
      </c>
      <c r="H798">
        <v>0</v>
      </c>
      <c r="I798">
        <v>2018</v>
      </c>
    </row>
    <row r="799" spans="1:9" x14ac:dyDescent="0.45">
      <c r="A799" t="s">
        <v>246</v>
      </c>
      <c r="B799" t="str">
        <f t="shared" si="12"/>
        <v>DeAndre Washington</v>
      </c>
      <c r="C799">
        <v>2</v>
      </c>
      <c r="D799">
        <v>0</v>
      </c>
      <c r="E799" s="1">
        <v>0.105</v>
      </c>
      <c r="F799">
        <v>0</v>
      </c>
      <c r="G799">
        <v>0</v>
      </c>
      <c r="H799">
        <v>0</v>
      </c>
      <c r="I799">
        <v>2018</v>
      </c>
    </row>
    <row r="800" spans="1:9" x14ac:dyDescent="0.45">
      <c r="A800" t="s">
        <v>265</v>
      </c>
      <c r="B800" t="str">
        <f t="shared" si="12"/>
        <v>Danny Vitale</v>
      </c>
      <c r="C800">
        <v>0</v>
      </c>
      <c r="D800">
        <v>0</v>
      </c>
      <c r="E800" s="1">
        <v>0</v>
      </c>
      <c r="F800">
        <v>0</v>
      </c>
      <c r="G800">
        <v>1</v>
      </c>
      <c r="H800">
        <v>0</v>
      </c>
      <c r="I800">
        <v>2018</v>
      </c>
    </row>
    <row r="801" spans="1:9" x14ac:dyDescent="0.45">
      <c r="A801" t="s">
        <v>73</v>
      </c>
      <c r="B801" t="str">
        <f t="shared" si="12"/>
        <v>C.J. Ham</v>
      </c>
      <c r="C801">
        <v>1</v>
      </c>
      <c r="D801">
        <v>0</v>
      </c>
      <c r="E801" s="1">
        <v>0.125</v>
      </c>
      <c r="F801">
        <v>0</v>
      </c>
      <c r="G801">
        <v>0</v>
      </c>
      <c r="H801">
        <v>0</v>
      </c>
      <c r="I801">
        <v>2018</v>
      </c>
    </row>
    <row r="802" spans="1:9" x14ac:dyDescent="0.45">
      <c r="A802" t="s">
        <v>198</v>
      </c>
      <c r="B802" t="str">
        <f t="shared" si="12"/>
        <v>Elijhaa Penny</v>
      </c>
      <c r="C802">
        <v>0</v>
      </c>
      <c r="D802">
        <v>0</v>
      </c>
      <c r="E802" s="1">
        <v>0</v>
      </c>
      <c r="F802">
        <v>0</v>
      </c>
      <c r="G802">
        <v>0</v>
      </c>
      <c r="H802">
        <v>0</v>
      </c>
      <c r="I802">
        <v>2018</v>
      </c>
    </row>
    <row r="803" spans="1:9" x14ac:dyDescent="0.45">
      <c r="A803" t="s">
        <v>293</v>
      </c>
      <c r="B803" t="str">
        <f t="shared" si="12"/>
        <v>Taquan Mizzell</v>
      </c>
      <c r="C803">
        <v>0</v>
      </c>
      <c r="D803">
        <v>0</v>
      </c>
      <c r="E803" s="1">
        <v>0</v>
      </c>
      <c r="F803">
        <v>0</v>
      </c>
      <c r="G803">
        <v>1</v>
      </c>
      <c r="H803">
        <v>0</v>
      </c>
      <c r="I803">
        <v>2018</v>
      </c>
    </row>
    <row r="804" spans="1:9" x14ac:dyDescent="0.45">
      <c r="A804" t="s">
        <v>117</v>
      </c>
      <c r="B804" t="str">
        <f t="shared" si="12"/>
        <v>Patrick Ricard</v>
      </c>
      <c r="C804">
        <v>0</v>
      </c>
      <c r="D804">
        <v>0</v>
      </c>
      <c r="E804" s="1">
        <v>0</v>
      </c>
      <c r="F804">
        <v>0</v>
      </c>
      <c r="G804">
        <v>0</v>
      </c>
      <c r="H804">
        <v>0</v>
      </c>
      <c r="I804">
        <v>2018</v>
      </c>
    </row>
    <row r="805" spans="1:9" x14ac:dyDescent="0.45">
      <c r="A805" t="s">
        <v>151</v>
      </c>
      <c r="B805" t="str">
        <f t="shared" si="12"/>
        <v>Jeff Wilson Jr.</v>
      </c>
      <c r="C805">
        <v>0</v>
      </c>
      <c r="D805">
        <v>0</v>
      </c>
      <c r="E805" s="1">
        <v>0</v>
      </c>
      <c r="F805">
        <v>0</v>
      </c>
      <c r="G805">
        <v>1</v>
      </c>
      <c r="H805">
        <v>0</v>
      </c>
      <c r="I805">
        <v>2018</v>
      </c>
    </row>
    <row r="806" spans="1:9" x14ac:dyDescent="0.45">
      <c r="A806" t="s">
        <v>294</v>
      </c>
      <c r="B806" t="str">
        <f t="shared" si="12"/>
        <v>Kenjon Barner</v>
      </c>
      <c r="C806">
        <v>1</v>
      </c>
      <c r="D806">
        <v>0</v>
      </c>
      <c r="E806" s="1">
        <v>3.2000000000000001E-2</v>
      </c>
      <c r="F806">
        <v>0</v>
      </c>
      <c r="G806">
        <v>0</v>
      </c>
      <c r="H806">
        <v>0</v>
      </c>
      <c r="I806">
        <v>2018</v>
      </c>
    </row>
    <row r="807" spans="1:9" x14ac:dyDescent="0.45">
      <c r="A807" t="s">
        <v>194</v>
      </c>
      <c r="B807" t="str">
        <f t="shared" si="12"/>
        <v>Devonta Freeman</v>
      </c>
      <c r="C807">
        <v>2</v>
      </c>
      <c r="D807">
        <v>0</v>
      </c>
      <c r="E807" s="1">
        <v>0.154</v>
      </c>
      <c r="F807">
        <v>0</v>
      </c>
      <c r="G807">
        <v>1</v>
      </c>
      <c r="H807">
        <v>0</v>
      </c>
      <c r="I807">
        <v>2018</v>
      </c>
    </row>
    <row r="808" spans="1:9" x14ac:dyDescent="0.45">
      <c r="A808" t="s">
        <v>233</v>
      </c>
      <c r="B808" t="str">
        <f t="shared" si="12"/>
        <v>Anthony Sherman</v>
      </c>
      <c r="C808">
        <v>0</v>
      </c>
      <c r="D808">
        <v>0</v>
      </c>
      <c r="E808" s="1">
        <v>0</v>
      </c>
      <c r="F808">
        <v>1</v>
      </c>
      <c r="G808">
        <v>1</v>
      </c>
      <c r="H808">
        <v>0</v>
      </c>
      <c r="I808">
        <v>2018</v>
      </c>
    </row>
    <row r="809" spans="1:9" x14ac:dyDescent="0.45">
      <c r="A809" t="s">
        <v>295</v>
      </c>
      <c r="B809" t="str">
        <f t="shared" si="12"/>
        <v>Roc Thomas</v>
      </c>
      <c r="C809">
        <v>1</v>
      </c>
      <c r="D809">
        <v>0</v>
      </c>
      <c r="E809" s="1">
        <v>0.125</v>
      </c>
      <c r="F809">
        <v>0</v>
      </c>
      <c r="G809">
        <v>0</v>
      </c>
      <c r="H809">
        <v>0</v>
      </c>
      <c r="I809">
        <v>2018</v>
      </c>
    </row>
    <row r="810" spans="1:9" x14ac:dyDescent="0.45">
      <c r="A810" t="s">
        <v>208</v>
      </c>
      <c r="B810" t="str">
        <f t="shared" si="12"/>
        <v>Rashaad Penny</v>
      </c>
      <c r="C810">
        <v>1</v>
      </c>
      <c r="D810">
        <v>0</v>
      </c>
      <c r="E810" s="1">
        <v>0.05</v>
      </c>
      <c r="F810">
        <v>0</v>
      </c>
      <c r="G810">
        <v>0</v>
      </c>
      <c r="H810">
        <v>0</v>
      </c>
      <c r="I810">
        <v>2018</v>
      </c>
    </row>
    <row r="811" spans="1:9" x14ac:dyDescent="0.45">
      <c r="A811" t="s">
        <v>242</v>
      </c>
      <c r="B811" t="str">
        <f t="shared" si="12"/>
        <v>Jordan Wilkins</v>
      </c>
      <c r="C811">
        <v>1</v>
      </c>
      <c r="D811">
        <v>0</v>
      </c>
      <c r="E811" s="1">
        <v>5.8999999999999997E-2</v>
      </c>
      <c r="F811">
        <v>1</v>
      </c>
      <c r="G811">
        <v>1</v>
      </c>
      <c r="H811">
        <v>0</v>
      </c>
      <c r="I811">
        <v>2018</v>
      </c>
    </row>
    <row r="812" spans="1:9" x14ac:dyDescent="0.45">
      <c r="A812" t="s">
        <v>68</v>
      </c>
      <c r="B812" t="str">
        <f t="shared" si="12"/>
        <v>Kyle Juszczyk</v>
      </c>
      <c r="C812">
        <v>1</v>
      </c>
      <c r="D812">
        <v>0</v>
      </c>
      <c r="E812" s="1">
        <v>6.7000000000000004E-2</v>
      </c>
      <c r="F812">
        <v>0</v>
      </c>
      <c r="G812">
        <v>0</v>
      </c>
      <c r="H812">
        <v>0</v>
      </c>
      <c r="I812">
        <v>2018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F2C61-7321-47A4-9D99-82159D54E551}">
  <dimension ref="A1:H717"/>
  <sheetViews>
    <sheetView topLeftCell="A138" workbookViewId="0">
      <selection activeCell="A153" sqref="A153"/>
    </sheetView>
  </sheetViews>
  <sheetFormatPr defaultRowHeight="14.25" x14ac:dyDescent="0.45"/>
  <cols>
    <col min="1" max="1" width="24.59765625" customWidth="1"/>
    <col min="6" max="6" width="20.3984375" customWidth="1"/>
    <col min="7" max="7" width="7.6640625" customWidth="1"/>
  </cols>
  <sheetData>
    <row r="1" spans="1:8" x14ac:dyDescent="0.45">
      <c r="A1" s="11" t="s">
        <v>1064</v>
      </c>
      <c r="B1" s="12" t="s">
        <v>1065</v>
      </c>
      <c r="C1" s="12" t="s">
        <v>1066</v>
      </c>
      <c r="D1" s="12" t="s">
        <v>1067</v>
      </c>
      <c r="E1" s="12" t="s">
        <v>1068</v>
      </c>
      <c r="F1" s="12" t="s">
        <v>1069</v>
      </c>
      <c r="G1" s="12" t="s">
        <v>1070</v>
      </c>
      <c r="H1" s="12" t="s">
        <v>1071</v>
      </c>
    </row>
    <row r="2" spans="1:8" x14ac:dyDescent="0.45">
      <c r="A2" t="s">
        <v>1072</v>
      </c>
      <c r="B2" s="13">
        <v>3.6400000000000002E-2</v>
      </c>
      <c r="C2" s="13">
        <v>5.57E-2</v>
      </c>
      <c r="D2" s="13">
        <v>2.6700000000000002E-2</v>
      </c>
      <c r="E2" s="13">
        <v>4.8000000000000001E-2</v>
      </c>
      <c r="F2" t="str">
        <f t="shared" ref="F2:F65" si="0">TRIM(LEFT(A2, FIND("(", A2) - 2))</f>
        <v>Jonathan Taylor</v>
      </c>
      <c r="G2" t="str">
        <f>MID(A2, FIND("(", A2) + 1, FIND(")", A2) - FIND("(", A2) - 1)</f>
        <v>IND</v>
      </c>
      <c r="H2">
        <v>2025</v>
      </c>
    </row>
    <row r="3" spans="1:8" x14ac:dyDescent="0.45">
      <c r="A3" t="s">
        <v>1073</v>
      </c>
      <c r="B3" s="14">
        <v>5.4300000000000001E-2</v>
      </c>
      <c r="C3" s="14">
        <v>3.2199999999999999E-2</v>
      </c>
      <c r="D3" s="14">
        <v>5.21E-2</v>
      </c>
      <c r="E3" s="14">
        <v>3.56E-2</v>
      </c>
      <c r="F3" t="str">
        <f t="shared" si="0"/>
        <v>Christian McCaffrey</v>
      </c>
      <c r="G3" t="str">
        <f t="shared" ref="G3:G66" si="1">MID(A3, FIND("(", A3) + 1, FIND(")", A3) - FIND("(", A3) - 1)</f>
        <v>SF</v>
      </c>
      <c r="H3">
        <v>2025</v>
      </c>
    </row>
    <row r="4" spans="1:8" x14ac:dyDescent="0.45">
      <c r="A4" t="s">
        <v>1074</v>
      </c>
      <c r="B4" s="13">
        <v>3.8800000000000001E-2</v>
      </c>
      <c r="C4" s="13">
        <v>2.4400000000000002E-2</v>
      </c>
      <c r="D4" s="13">
        <v>3.3500000000000002E-2</v>
      </c>
      <c r="E4" s="13">
        <v>2.3400000000000001E-2</v>
      </c>
      <c r="F4" t="str">
        <f t="shared" si="0"/>
        <v>Bijan Robinson</v>
      </c>
      <c r="G4" t="str">
        <f t="shared" si="1"/>
        <v>ATL</v>
      </c>
      <c r="H4">
        <v>2025</v>
      </c>
    </row>
    <row r="5" spans="1:8" x14ac:dyDescent="0.45">
      <c r="A5" t="s">
        <v>1075</v>
      </c>
      <c r="B5" s="14">
        <v>5.3199999999999997E-2</v>
      </c>
      <c r="C5" s="14">
        <v>5.3499999999999999E-2</v>
      </c>
      <c r="D5" s="14">
        <v>4.3400000000000001E-2</v>
      </c>
      <c r="E5" s="14">
        <v>4.1599999999999998E-2</v>
      </c>
      <c r="F5" t="str">
        <f t="shared" si="0"/>
        <v>Jahmyr Gibbs</v>
      </c>
      <c r="G5" t="str">
        <f t="shared" si="1"/>
        <v>DET</v>
      </c>
      <c r="H5">
        <v>2025</v>
      </c>
    </row>
    <row r="6" spans="1:8" x14ac:dyDescent="0.45">
      <c r="A6" t="s">
        <v>1076</v>
      </c>
      <c r="B6" s="13">
        <v>0.05</v>
      </c>
      <c r="C6" s="13">
        <v>3.8800000000000001E-2</v>
      </c>
      <c r="D6" s="13">
        <v>3.6700000000000003E-2</v>
      </c>
      <c r="E6" s="13">
        <v>3.49E-2</v>
      </c>
      <c r="F6" t="str">
        <f t="shared" si="0"/>
        <v>James Cook III</v>
      </c>
      <c r="G6" t="str">
        <f t="shared" si="1"/>
        <v>BUF</v>
      </c>
      <c r="H6">
        <v>2025</v>
      </c>
    </row>
    <row r="7" spans="1:8" x14ac:dyDescent="0.45">
      <c r="A7" t="s">
        <v>1077</v>
      </c>
      <c r="B7" s="14">
        <v>4.7100000000000003E-2</v>
      </c>
      <c r="C7" s="14">
        <v>3.3599999999999998E-2</v>
      </c>
      <c r="D7" s="14">
        <v>3.9899999999999998E-2</v>
      </c>
      <c r="E7" s="14">
        <v>2.5899999999999999E-2</v>
      </c>
      <c r="F7" t="str">
        <f t="shared" si="0"/>
        <v>De'Von Achane</v>
      </c>
      <c r="G7" t="str">
        <f t="shared" si="1"/>
        <v>MIA</v>
      </c>
      <c r="H7">
        <v>2025</v>
      </c>
    </row>
    <row r="8" spans="1:8" x14ac:dyDescent="0.45">
      <c r="A8" t="s">
        <v>1078</v>
      </c>
      <c r="B8" s="13">
        <v>0</v>
      </c>
      <c r="C8" s="13">
        <v>5.21E-2</v>
      </c>
      <c r="D8" s="13">
        <v>9.1000000000000004E-3</v>
      </c>
      <c r="E8" s="13">
        <v>4.8599999999999997E-2</v>
      </c>
      <c r="F8" t="str">
        <f t="shared" si="0"/>
        <v>Derrick Henry</v>
      </c>
      <c r="G8" t="str">
        <f t="shared" si="1"/>
        <v>BAL</v>
      </c>
      <c r="H8">
        <v>2025</v>
      </c>
    </row>
    <row r="9" spans="1:8" x14ac:dyDescent="0.45">
      <c r="A9" t="s">
        <v>1079</v>
      </c>
      <c r="B9" s="14">
        <v>0.06</v>
      </c>
      <c r="C9" s="14">
        <v>3.8600000000000002E-2</v>
      </c>
      <c r="D9" s="14">
        <v>4.8099999999999997E-2</v>
      </c>
      <c r="E9" s="14">
        <v>3.8699999999999998E-2</v>
      </c>
      <c r="F9" t="str">
        <f t="shared" si="0"/>
        <v>Kyren Williams</v>
      </c>
      <c r="G9" t="str">
        <f t="shared" si="1"/>
        <v>LAR</v>
      </c>
      <c r="H9">
        <v>2025</v>
      </c>
    </row>
    <row r="10" spans="1:8" x14ac:dyDescent="0.45">
      <c r="A10" t="s">
        <v>1080</v>
      </c>
      <c r="B10" s="13">
        <v>0.1154</v>
      </c>
      <c r="C10" s="13">
        <v>2.69E-2</v>
      </c>
      <c r="D10" s="13">
        <v>8.2799999999999999E-2</v>
      </c>
      <c r="E10" s="13">
        <v>2.92E-2</v>
      </c>
      <c r="F10" t="str">
        <f t="shared" si="0"/>
        <v>Travis Etienne Jr.</v>
      </c>
      <c r="G10" t="str">
        <f t="shared" si="1"/>
        <v>JAC</v>
      </c>
      <c r="H10">
        <v>2025</v>
      </c>
    </row>
    <row r="11" spans="1:8" x14ac:dyDescent="0.45">
      <c r="A11" t="s">
        <v>1081</v>
      </c>
      <c r="B11" s="14">
        <v>3.9199999999999999E-2</v>
      </c>
      <c r="C11" s="14">
        <v>4.3700000000000003E-2</v>
      </c>
      <c r="D11" s="14">
        <v>5.21E-2</v>
      </c>
      <c r="E11" s="14">
        <v>4.2599999999999999E-2</v>
      </c>
      <c r="F11" t="str">
        <f t="shared" si="0"/>
        <v>Javonte Williams</v>
      </c>
      <c r="G11" t="str">
        <f t="shared" si="1"/>
        <v>DAL</v>
      </c>
      <c r="H11">
        <v>2025</v>
      </c>
    </row>
    <row r="12" spans="1:8" x14ac:dyDescent="0.45">
      <c r="A12" t="s">
        <v>1082</v>
      </c>
      <c r="B12" s="13">
        <v>2.2700000000000001E-2</v>
      </c>
      <c r="C12" s="13">
        <v>5.5599999999999997E-2</v>
      </c>
      <c r="D12" s="13">
        <v>2.47E-2</v>
      </c>
      <c r="E12" s="13">
        <v>5.0299999999999997E-2</v>
      </c>
      <c r="F12" t="str">
        <f t="shared" si="0"/>
        <v>Josh Jacobs</v>
      </c>
      <c r="G12" t="str">
        <f t="shared" si="1"/>
        <v>GB</v>
      </c>
      <c r="H12">
        <v>2025</v>
      </c>
    </row>
    <row r="13" spans="1:8" x14ac:dyDescent="0.45">
      <c r="A13" t="s">
        <v>1083</v>
      </c>
      <c r="B13" s="14">
        <v>5.6800000000000003E-2</v>
      </c>
      <c r="C13" s="14">
        <v>2.5899999999999999E-2</v>
      </c>
      <c r="D13" s="14">
        <v>4.8599999999999997E-2</v>
      </c>
      <c r="E13" s="14">
        <v>2.7799999999999998E-2</v>
      </c>
      <c r="F13" t="str">
        <f t="shared" si="0"/>
        <v>Chase Brown</v>
      </c>
      <c r="G13" t="str">
        <f t="shared" si="1"/>
        <v>CIN</v>
      </c>
      <c r="H13">
        <v>2025</v>
      </c>
    </row>
    <row r="14" spans="1:8" x14ac:dyDescent="0.45">
      <c r="A14" t="s">
        <v>1084</v>
      </c>
      <c r="B14" s="13">
        <v>0.04</v>
      </c>
      <c r="C14" s="13">
        <v>2.5000000000000001E-2</v>
      </c>
      <c r="D14" s="13">
        <v>3.7100000000000001E-2</v>
      </c>
      <c r="E14" s="13">
        <v>2.7099999999999999E-2</v>
      </c>
      <c r="F14" t="str">
        <f t="shared" si="0"/>
        <v>Saquon Barkley</v>
      </c>
      <c r="G14" t="str">
        <f t="shared" si="1"/>
        <v>PHI</v>
      </c>
      <c r="H14">
        <v>2025</v>
      </c>
    </row>
    <row r="15" spans="1:8" x14ac:dyDescent="0.45">
      <c r="A15" t="s">
        <v>1085</v>
      </c>
      <c r="B15" s="14">
        <v>2.0799999999999999E-2</v>
      </c>
      <c r="C15" s="14">
        <v>4.0399999999999998E-2</v>
      </c>
      <c r="D15" s="14">
        <v>1.47E-2</v>
      </c>
      <c r="E15" s="14">
        <v>3.8199999999999998E-2</v>
      </c>
      <c r="F15" t="str">
        <f t="shared" si="0"/>
        <v>D'Andre Swift</v>
      </c>
      <c r="G15" t="str">
        <f t="shared" si="1"/>
        <v>CHI</v>
      </c>
      <c r="H15">
        <v>2025</v>
      </c>
    </row>
    <row r="16" spans="1:8" x14ac:dyDescent="0.45">
      <c r="A16" t="s">
        <v>1086</v>
      </c>
      <c r="B16" s="13">
        <v>6.8500000000000005E-2</v>
      </c>
      <c r="C16" s="13">
        <v>1.8800000000000001E-2</v>
      </c>
      <c r="D16" s="13">
        <v>4.8500000000000001E-2</v>
      </c>
      <c r="E16" s="13">
        <v>2.12E-2</v>
      </c>
      <c r="F16" t="str">
        <f t="shared" si="0"/>
        <v>Ashton Jeanty</v>
      </c>
      <c r="G16" t="str">
        <f t="shared" si="1"/>
        <v>LV</v>
      </c>
      <c r="H16">
        <v>2025</v>
      </c>
    </row>
    <row r="17" spans="1:8" x14ac:dyDescent="0.45">
      <c r="A17" t="s">
        <v>1087</v>
      </c>
      <c r="B17" s="14">
        <v>0.02</v>
      </c>
      <c r="C17" s="14">
        <v>2.5399999999999999E-2</v>
      </c>
      <c r="D17" s="14">
        <v>2.0199999999999999E-2</v>
      </c>
      <c r="E17" s="14">
        <v>2.4199999999999999E-2</v>
      </c>
      <c r="F17" t="str">
        <f t="shared" si="0"/>
        <v>Rico Dowdle</v>
      </c>
      <c r="G17" t="str">
        <f t="shared" si="1"/>
        <v>CAR</v>
      </c>
      <c r="H17">
        <v>2025</v>
      </c>
    </row>
    <row r="18" spans="1:8" x14ac:dyDescent="0.45">
      <c r="A18" t="s">
        <v>1088</v>
      </c>
      <c r="B18" s="13">
        <v>2.0799999999999999E-2</v>
      </c>
      <c r="C18" s="13">
        <v>1.6500000000000001E-2</v>
      </c>
      <c r="D18" s="13">
        <v>3.0200000000000001E-2</v>
      </c>
      <c r="E18" s="13">
        <v>1.6E-2</v>
      </c>
      <c r="F18" t="str">
        <f t="shared" si="0"/>
        <v>Breece Hall</v>
      </c>
      <c r="G18" t="str">
        <f t="shared" si="1"/>
        <v>NYJ</v>
      </c>
      <c r="H18">
        <v>2025</v>
      </c>
    </row>
    <row r="19" spans="1:8" x14ac:dyDescent="0.45">
      <c r="A19" t="s">
        <v>1089</v>
      </c>
      <c r="B19" s="14">
        <v>4.4400000000000002E-2</v>
      </c>
      <c r="C19" s="14">
        <v>2.8400000000000002E-2</v>
      </c>
      <c r="D19" s="14">
        <v>4.1599999999999998E-2</v>
      </c>
      <c r="E19" s="14">
        <v>3.2599999999999997E-2</v>
      </c>
      <c r="F19" t="str">
        <f t="shared" si="0"/>
        <v>Jaylen Warren</v>
      </c>
      <c r="G19" t="str">
        <f t="shared" si="1"/>
        <v>PIT</v>
      </c>
      <c r="H19">
        <v>2025</v>
      </c>
    </row>
    <row r="20" spans="1:8" x14ac:dyDescent="0.45">
      <c r="A20" t="s">
        <v>1090</v>
      </c>
      <c r="B20" s="13">
        <v>8.6199999999999999E-2</v>
      </c>
      <c r="C20" s="13">
        <v>4.7600000000000003E-2</v>
      </c>
      <c r="D20" s="13">
        <v>6.9800000000000001E-2</v>
      </c>
      <c r="E20" s="13">
        <v>4.1300000000000003E-2</v>
      </c>
      <c r="F20" t="str">
        <f t="shared" si="0"/>
        <v>RJ Harvey</v>
      </c>
      <c r="G20" t="str">
        <f t="shared" si="1"/>
        <v>DEN</v>
      </c>
      <c r="H20">
        <v>2025</v>
      </c>
    </row>
    <row r="21" spans="1:8" x14ac:dyDescent="0.45">
      <c r="A21" t="s">
        <v>1091</v>
      </c>
      <c r="B21" s="14">
        <v>2.3800000000000002E-2</v>
      </c>
      <c r="C21" s="14">
        <v>0.05</v>
      </c>
      <c r="D21" s="14">
        <v>2.9600000000000001E-2</v>
      </c>
      <c r="E21" s="14">
        <v>4.07E-2</v>
      </c>
      <c r="F21" t="str">
        <f t="shared" si="0"/>
        <v>TreVeyon Henderson</v>
      </c>
      <c r="G21" t="str">
        <f t="shared" si="1"/>
        <v>NE</v>
      </c>
      <c r="H21">
        <v>2025</v>
      </c>
    </row>
    <row r="22" spans="1:8" x14ac:dyDescent="0.45">
      <c r="A22" t="s">
        <v>1092</v>
      </c>
      <c r="B22" s="13">
        <v>0</v>
      </c>
      <c r="C22" s="13">
        <v>2.2599999999999999E-2</v>
      </c>
      <c r="D22" s="13">
        <v>1.0500000000000001E-2</v>
      </c>
      <c r="E22" s="13">
        <v>2.3199999999999998E-2</v>
      </c>
      <c r="F22" t="str">
        <f t="shared" si="0"/>
        <v>Kenneth Walker III</v>
      </c>
      <c r="G22" t="str">
        <f t="shared" si="1"/>
        <v>SEA</v>
      </c>
      <c r="H22">
        <v>2025</v>
      </c>
    </row>
    <row r="23" spans="1:8" x14ac:dyDescent="0.45">
      <c r="A23" t="s">
        <v>1093</v>
      </c>
      <c r="B23" s="14">
        <v>0</v>
      </c>
      <c r="C23" s="14">
        <v>2.07E-2</v>
      </c>
      <c r="D23" s="14">
        <v>4.4000000000000003E-3</v>
      </c>
      <c r="E23" s="14">
        <v>1.7999999999999999E-2</v>
      </c>
      <c r="F23" t="str">
        <f t="shared" si="0"/>
        <v>Tony Pollard</v>
      </c>
      <c r="G23" t="str">
        <f t="shared" si="1"/>
        <v>TEN</v>
      </c>
      <c r="H23">
        <v>2025</v>
      </c>
    </row>
    <row r="24" spans="1:8" x14ac:dyDescent="0.45">
      <c r="A24" t="s">
        <v>1094</v>
      </c>
      <c r="B24" s="13">
        <v>0</v>
      </c>
      <c r="C24" s="13">
        <v>6.5199999999999994E-2</v>
      </c>
      <c r="D24" s="13">
        <v>1.78E-2</v>
      </c>
      <c r="E24" s="13">
        <v>5.9299999999999999E-2</v>
      </c>
      <c r="F24" t="str">
        <f t="shared" si="0"/>
        <v>Zach Charbonnet</v>
      </c>
      <c r="G24" t="str">
        <f t="shared" si="1"/>
        <v>SEA</v>
      </c>
      <c r="H24">
        <v>2025</v>
      </c>
    </row>
    <row r="25" spans="1:8" x14ac:dyDescent="0.45">
      <c r="A25" t="s">
        <v>1095</v>
      </c>
      <c r="B25" s="14">
        <v>0</v>
      </c>
      <c r="C25" s="14">
        <v>3.04E-2</v>
      </c>
      <c r="D25" s="14">
        <v>3.3999999999999998E-3</v>
      </c>
      <c r="E25" s="14">
        <v>2.8799999999999999E-2</v>
      </c>
      <c r="F25" t="str">
        <f t="shared" si="0"/>
        <v>Quinshon Judkins</v>
      </c>
      <c r="G25" t="str">
        <f t="shared" si="1"/>
        <v>CLE</v>
      </c>
      <c r="H25">
        <v>2025</v>
      </c>
    </row>
    <row r="26" spans="1:8" x14ac:dyDescent="0.45">
      <c r="A26" t="s">
        <v>1096</v>
      </c>
      <c r="B26" s="13">
        <v>0</v>
      </c>
      <c r="C26" s="13">
        <v>5.0599999999999999E-2</v>
      </c>
      <c r="D26" s="13">
        <v>7.1999999999999998E-3</v>
      </c>
      <c r="E26" s="13">
        <v>5.0700000000000002E-2</v>
      </c>
      <c r="F26" t="str">
        <f t="shared" si="0"/>
        <v>David Montgomery</v>
      </c>
      <c r="G26" t="str">
        <f t="shared" si="1"/>
        <v>DET</v>
      </c>
      <c r="H26">
        <v>2025</v>
      </c>
    </row>
    <row r="27" spans="1:8" x14ac:dyDescent="0.45">
      <c r="A27" t="s">
        <v>1097</v>
      </c>
      <c r="B27" s="14">
        <v>3.5299999999999998E-2</v>
      </c>
      <c r="C27" s="14">
        <v>4.3900000000000002E-2</v>
      </c>
      <c r="D27" s="14">
        <v>3.9100000000000003E-2</v>
      </c>
      <c r="E27" s="14">
        <v>4.3700000000000003E-2</v>
      </c>
      <c r="F27" t="str">
        <f t="shared" si="0"/>
        <v>Kenny Gainwell</v>
      </c>
      <c r="G27" t="str">
        <f t="shared" si="1"/>
        <v>PIT</v>
      </c>
      <c r="H27">
        <v>2025</v>
      </c>
    </row>
    <row r="28" spans="1:8" x14ac:dyDescent="0.45">
      <c r="A28" t="s">
        <v>1098</v>
      </c>
      <c r="B28" s="13">
        <v>0</v>
      </c>
      <c r="C28" s="13">
        <v>4.5699999999999998E-2</v>
      </c>
      <c r="D28" s="13">
        <v>7.0000000000000001E-3</v>
      </c>
      <c r="E28" s="13">
        <v>4.1700000000000001E-2</v>
      </c>
      <c r="F28" t="str">
        <f t="shared" si="0"/>
        <v>Jacory Croskey-Merritt</v>
      </c>
      <c r="G28" t="str">
        <f t="shared" si="1"/>
        <v>WAS</v>
      </c>
      <c r="H28">
        <v>2025</v>
      </c>
    </row>
    <row r="29" spans="1:8" x14ac:dyDescent="0.45">
      <c r="A29" t="s">
        <v>1099</v>
      </c>
      <c r="B29" s="14">
        <v>0.04</v>
      </c>
      <c r="C29" s="14">
        <v>4.9099999999999998E-2</v>
      </c>
      <c r="D29" s="14">
        <v>4.1399999999999999E-2</v>
      </c>
      <c r="E29" s="14">
        <v>4.8099999999999997E-2</v>
      </c>
      <c r="F29" t="str">
        <f t="shared" si="0"/>
        <v>Kareem Hunt</v>
      </c>
      <c r="G29" t="str">
        <f t="shared" si="1"/>
        <v>KC</v>
      </c>
      <c r="H29">
        <v>2025</v>
      </c>
    </row>
    <row r="30" spans="1:8" x14ac:dyDescent="0.45">
      <c r="A30" t="s">
        <v>1100</v>
      </c>
      <c r="B30" s="13">
        <v>0</v>
      </c>
      <c r="C30" s="13">
        <v>2.9399999999999999E-2</v>
      </c>
      <c r="D30" s="13">
        <v>1.34E-2</v>
      </c>
      <c r="E30" s="13">
        <v>3.2800000000000003E-2</v>
      </c>
      <c r="F30" t="str">
        <f t="shared" si="0"/>
        <v>Kyle Monangai</v>
      </c>
      <c r="G30" t="str">
        <f t="shared" si="1"/>
        <v>CHI</v>
      </c>
      <c r="H30">
        <v>2025</v>
      </c>
    </row>
    <row r="31" spans="1:8" x14ac:dyDescent="0.45">
      <c r="A31" t="s">
        <v>1101</v>
      </c>
      <c r="B31" s="14">
        <v>8.3299999999999999E-2</v>
      </c>
      <c r="C31" s="14">
        <v>1.0200000000000001E-2</v>
      </c>
      <c r="D31" s="14">
        <v>7.0099999999999996E-2</v>
      </c>
      <c r="E31" s="14">
        <v>1.9800000000000002E-2</v>
      </c>
      <c r="F31" t="str">
        <f t="shared" si="0"/>
        <v>Woody Marks</v>
      </c>
      <c r="G31" t="str">
        <f t="shared" si="1"/>
        <v>HOU</v>
      </c>
      <c r="H31">
        <v>2025</v>
      </c>
    </row>
    <row r="32" spans="1:8" x14ac:dyDescent="0.45">
      <c r="A32" t="s">
        <v>1102</v>
      </c>
      <c r="B32" s="13">
        <v>5.2600000000000001E-2</v>
      </c>
      <c r="C32" s="13">
        <v>5.3800000000000001E-2</v>
      </c>
      <c r="D32" s="13">
        <v>3.6499999999999998E-2</v>
      </c>
      <c r="E32" s="13">
        <v>4.8500000000000001E-2</v>
      </c>
      <c r="F32" t="str">
        <f t="shared" si="0"/>
        <v>Rhamondre Stevenson</v>
      </c>
      <c r="G32" t="str">
        <f t="shared" si="1"/>
        <v>NE</v>
      </c>
      <c r="H32">
        <v>2025</v>
      </c>
    </row>
    <row r="33" spans="1:8" x14ac:dyDescent="0.45">
      <c r="A33" t="s">
        <v>1103</v>
      </c>
      <c r="B33" s="14">
        <v>0</v>
      </c>
      <c r="C33" s="14">
        <v>4.1399999999999999E-2</v>
      </c>
      <c r="D33" s="14">
        <v>5.8999999999999999E-3</v>
      </c>
      <c r="E33" s="14">
        <v>4.2999999999999997E-2</v>
      </c>
      <c r="F33" t="str">
        <f t="shared" si="0"/>
        <v>Blake Corum</v>
      </c>
      <c r="G33" t="str">
        <f t="shared" si="1"/>
        <v>LAR</v>
      </c>
      <c r="H33">
        <v>2025</v>
      </c>
    </row>
    <row r="34" spans="1:8" x14ac:dyDescent="0.45">
      <c r="A34" t="s">
        <v>1104</v>
      </c>
      <c r="B34" s="13">
        <v>0</v>
      </c>
      <c r="C34" s="13">
        <v>5.5899999999999998E-2</v>
      </c>
      <c r="D34" s="13">
        <v>7.6E-3</v>
      </c>
      <c r="E34" s="13">
        <v>4.8800000000000003E-2</v>
      </c>
      <c r="F34" t="str">
        <f t="shared" si="0"/>
        <v>Tyler Allgeier</v>
      </c>
      <c r="G34" t="str">
        <f t="shared" si="1"/>
        <v>ATL</v>
      </c>
      <c r="H34">
        <v>2025</v>
      </c>
    </row>
    <row r="35" spans="1:8" x14ac:dyDescent="0.45">
      <c r="A35" t="s">
        <v>1105</v>
      </c>
      <c r="B35" s="14">
        <v>0</v>
      </c>
      <c r="C35" s="14">
        <v>3.7699999999999997E-2</v>
      </c>
      <c r="D35" s="14">
        <v>5.7000000000000002E-3</v>
      </c>
      <c r="E35" s="14">
        <v>3.1899999999999998E-2</v>
      </c>
      <c r="F35" t="str">
        <f t="shared" si="0"/>
        <v>Jordan Mason</v>
      </c>
      <c r="G35" t="str">
        <f t="shared" si="1"/>
        <v>MIN</v>
      </c>
      <c r="H35">
        <v>2025</v>
      </c>
    </row>
    <row r="36" spans="1:8" x14ac:dyDescent="0.45">
      <c r="A36" t="s">
        <v>1106</v>
      </c>
      <c r="B36" s="13">
        <v>0</v>
      </c>
      <c r="C36" s="13">
        <v>2.6100000000000002E-2</v>
      </c>
      <c r="D36" s="13">
        <v>4.0000000000000001E-3</v>
      </c>
      <c r="E36" s="13">
        <v>2.64E-2</v>
      </c>
      <c r="F36" t="str">
        <f t="shared" si="0"/>
        <v>J.K. Dobbins</v>
      </c>
      <c r="G36" t="str">
        <f t="shared" si="1"/>
        <v>DEN</v>
      </c>
      <c r="H36">
        <v>2025</v>
      </c>
    </row>
    <row r="37" spans="1:8" x14ac:dyDescent="0.45">
      <c r="A37" t="s">
        <v>1107</v>
      </c>
      <c r="B37" s="14">
        <v>4.1700000000000001E-2</v>
      </c>
      <c r="C37" s="14">
        <v>1.14E-2</v>
      </c>
      <c r="D37" s="14">
        <v>3.2000000000000001E-2</v>
      </c>
      <c r="E37" s="14">
        <v>1.2999999999999999E-2</v>
      </c>
      <c r="F37" t="str">
        <f t="shared" si="0"/>
        <v>Tyrone Tracy Jr.</v>
      </c>
      <c r="G37" t="str">
        <f t="shared" si="1"/>
        <v>NYG</v>
      </c>
      <c r="H37">
        <v>2025</v>
      </c>
    </row>
    <row r="38" spans="1:8" x14ac:dyDescent="0.45">
      <c r="A38" t="s">
        <v>1108</v>
      </c>
      <c r="B38" s="13">
        <v>2.86E-2</v>
      </c>
      <c r="C38" s="13">
        <v>3.2300000000000002E-2</v>
      </c>
      <c r="D38" s="13">
        <v>2.6700000000000002E-2</v>
      </c>
      <c r="E38" s="13">
        <v>3.4599999999999999E-2</v>
      </c>
      <c r="F38" t="str">
        <f t="shared" si="0"/>
        <v>Omarion Hampton</v>
      </c>
      <c r="G38" t="str">
        <f t="shared" si="1"/>
        <v>LAC</v>
      </c>
      <c r="H38">
        <v>2025</v>
      </c>
    </row>
    <row r="39" spans="1:8" x14ac:dyDescent="0.45">
      <c r="A39" t="s">
        <v>1109</v>
      </c>
      <c r="B39" s="14">
        <v>6.25E-2</v>
      </c>
      <c r="C39" s="14">
        <v>4.9500000000000002E-2</v>
      </c>
      <c r="D39" s="14">
        <v>4.36E-2</v>
      </c>
      <c r="E39" s="14">
        <v>4.7399999999999998E-2</v>
      </c>
      <c r="F39" t="str">
        <f t="shared" si="0"/>
        <v>Cam Skattebo</v>
      </c>
      <c r="G39" t="str">
        <f t="shared" si="1"/>
        <v>NYG</v>
      </c>
      <c r="H39">
        <v>2025</v>
      </c>
    </row>
    <row r="40" spans="1:8" x14ac:dyDescent="0.45">
      <c r="A40" t="s">
        <v>1110</v>
      </c>
      <c r="B40" s="13">
        <v>4.5499999999999999E-2</v>
      </c>
      <c r="C40" s="13">
        <v>1.9400000000000001E-2</v>
      </c>
      <c r="D40" s="13">
        <v>5.1299999999999998E-2</v>
      </c>
      <c r="E40" s="13">
        <v>2.3699999999999999E-2</v>
      </c>
      <c r="F40" t="str">
        <f t="shared" si="0"/>
        <v>Kimani Vidal</v>
      </c>
      <c r="G40" t="str">
        <f t="shared" si="1"/>
        <v>LAC</v>
      </c>
      <c r="H40">
        <v>2025</v>
      </c>
    </row>
    <row r="41" spans="1:8" x14ac:dyDescent="0.45">
      <c r="A41" t="s">
        <v>1111</v>
      </c>
      <c r="B41" s="14">
        <v>0</v>
      </c>
      <c r="C41" s="14">
        <v>3.0300000000000001E-2</v>
      </c>
      <c r="D41" s="14">
        <v>1.6400000000000001E-2</v>
      </c>
      <c r="E41" s="14">
        <v>3.0700000000000002E-2</v>
      </c>
      <c r="F41" t="str">
        <f t="shared" si="0"/>
        <v>Rachaad White</v>
      </c>
      <c r="G41" t="str">
        <f t="shared" si="1"/>
        <v>TB</v>
      </c>
      <c r="H41">
        <v>2025</v>
      </c>
    </row>
    <row r="42" spans="1:8" x14ac:dyDescent="0.45">
      <c r="A42" t="s">
        <v>1112</v>
      </c>
      <c r="B42" s="13">
        <v>8.5699999999999998E-2</v>
      </c>
      <c r="C42" s="13">
        <v>5.7999999999999996E-3</v>
      </c>
      <c r="D42" s="13">
        <v>5.33E-2</v>
      </c>
      <c r="E42" s="13">
        <v>8.3999999999999995E-3</v>
      </c>
      <c r="F42" t="str">
        <f t="shared" si="0"/>
        <v>Bucky Irving</v>
      </c>
      <c r="G42" t="str">
        <f t="shared" si="1"/>
        <v>TB</v>
      </c>
      <c r="H42">
        <v>2025</v>
      </c>
    </row>
    <row r="43" spans="1:8" x14ac:dyDescent="0.45">
      <c r="A43" t="s">
        <v>1113</v>
      </c>
      <c r="B43" s="14">
        <v>7.6899999999999996E-2</v>
      </c>
      <c r="C43" s="14">
        <v>7.4999999999999997E-3</v>
      </c>
      <c r="D43" s="14">
        <v>7.0000000000000007E-2</v>
      </c>
      <c r="E43" s="14">
        <v>1.09E-2</v>
      </c>
      <c r="F43" t="str">
        <f t="shared" si="0"/>
        <v>Chuba Hubbard</v>
      </c>
      <c r="G43" t="str">
        <f t="shared" si="1"/>
        <v>CAR</v>
      </c>
      <c r="H43">
        <v>2025</v>
      </c>
    </row>
    <row r="44" spans="1:8" x14ac:dyDescent="0.45">
      <c r="A44" t="s">
        <v>1444</v>
      </c>
      <c r="B44" s="13">
        <v>2.4400000000000002E-2</v>
      </c>
      <c r="C44" s="13">
        <v>1.52E-2</v>
      </c>
      <c r="D44" s="13">
        <v>2.1399999999999999E-2</v>
      </c>
      <c r="E44" s="13">
        <v>1.6299999999999999E-2</v>
      </c>
      <c r="F44" t="str">
        <f t="shared" si="0"/>
        <v>Aaron Jones Sr.</v>
      </c>
      <c r="G44" t="str">
        <f t="shared" si="1"/>
        <v>MIN</v>
      </c>
      <c r="H44">
        <v>2025</v>
      </c>
    </row>
    <row r="45" spans="1:8" x14ac:dyDescent="0.45">
      <c r="A45" t="s">
        <v>1114</v>
      </c>
      <c r="B45" s="14">
        <v>9.0899999999999995E-2</v>
      </c>
      <c r="C45" s="14">
        <v>8.14E-2</v>
      </c>
      <c r="D45" s="14">
        <v>8.0399999999999999E-2</v>
      </c>
      <c r="E45" s="14">
        <v>7.0499999999999993E-2</v>
      </c>
      <c r="F45" t="str">
        <f t="shared" si="0"/>
        <v>Sean Tucker</v>
      </c>
      <c r="G45" t="str">
        <f t="shared" si="1"/>
        <v>TB</v>
      </c>
      <c r="H45">
        <v>2025</v>
      </c>
    </row>
    <row r="46" spans="1:8" x14ac:dyDescent="0.45">
      <c r="A46" t="s">
        <v>1115</v>
      </c>
      <c r="B46" s="13">
        <v>0</v>
      </c>
      <c r="C46" s="13">
        <v>4.2000000000000003E-2</v>
      </c>
      <c r="D46" s="13">
        <v>2.0299999999999999E-2</v>
      </c>
      <c r="E46" s="13">
        <v>4.36E-2</v>
      </c>
      <c r="F46" t="str">
        <f t="shared" si="0"/>
        <v>Devin Singletary</v>
      </c>
      <c r="G46" t="str">
        <f t="shared" si="1"/>
        <v>NYG</v>
      </c>
      <c r="H46">
        <v>2025</v>
      </c>
    </row>
    <row r="47" spans="1:8" x14ac:dyDescent="0.45">
      <c r="A47" t="s">
        <v>1116</v>
      </c>
      <c r="B47" s="14">
        <v>0</v>
      </c>
      <c r="C47" s="14">
        <v>2.46E-2</v>
      </c>
      <c r="D47" s="14">
        <v>8.3999999999999995E-3</v>
      </c>
      <c r="E47" s="14">
        <v>2.5399999999999999E-2</v>
      </c>
      <c r="F47" t="str">
        <f t="shared" si="0"/>
        <v>Nick Chubb</v>
      </c>
      <c r="G47" t="str">
        <f t="shared" si="1"/>
        <v>HOU</v>
      </c>
      <c r="H47">
        <v>2025</v>
      </c>
    </row>
    <row r="48" spans="1:8" x14ac:dyDescent="0.45">
      <c r="A48" t="s">
        <v>1117</v>
      </c>
      <c r="B48" s="13">
        <v>0</v>
      </c>
      <c r="C48" s="13">
        <v>5.3600000000000002E-2</v>
      </c>
      <c r="D48" s="13">
        <v>1.3599999999999999E-2</v>
      </c>
      <c r="E48" s="13">
        <v>5.8000000000000003E-2</v>
      </c>
      <c r="F48" t="str">
        <f t="shared" si="0"/>
        <v>Chris Rodriguez Jr.</v>
      </c>
      <c r="G48" t="str">
        <f t="shared" si="1"/>
        <v>WAS</v>
      </c>
      <c r="H48">
        <v>2025</v>
      </c>
    </row>
    <row r="49" spans="1:8" x14ac:dyDescent="0.45">
      <c r="A49" t="s">
        <v>1118</v>
      </c>
      <c r="B49" s="14">
        <v>0</v>
      </c>
      <c r="C49" s="14">
        <v>2.4E-2</v>
      </c>
      <c r="D49" s="14">
        <v>1.3599999999999999E-2</v>
      </c>
      <c r="E49" s="14">
        <v>2.4400000000000002E-2</v>
      </c>
      <c r="F49" t="str">
        <f t="shared" si="0"/>
        <v>Emanuel Wilson</v>
      </c>
      <c r="G49" t="str">
        <f t="shared" si="1"/>
        <v>GB</v>
      </c>
      <c r="H49">
        <v>2025</v>
      </c>
    </row>
    <row r="50" spans="1:8" x14ac:dyDescent="0.45">
      <c r="A50" t="s">
        <v>1119</v>
      </c>
      <c r="B50" s="13">
        <v>3.2300000000000002E-2</v>
      </c>
      <c r="C50" s="13">
        <v>4.8800000000000003E-2</v>
      </c>
      <c r="D50" s="13">
        <v>3.6600000000000001E-2</v>
      </c>
      <c r="E50" s="13">
        <v>4.7399999999999998E-2</v>
      </c>
      <c r="F50" t="str">
        <f t="shared" si="0"/>
        <v>Bam Knight</v>
      </c>
      <c r="G50" t="str">
        <f t="shared" si="1"/>
        <v>ARI</v>
      </c>
      <c r="H50">
        <v>2025</v>
      </c>
    </row>
    <row r="51" spans="1:8" x14ac:dyDescent="0.45">
      <c r="A51" t="s">
        <v>1120</v>
      </c>
      <c r="B51" s="14">
        <v>0.1429</v>
      </c>
      <c r="C51" s="14">
        <v>6.0199999999999997E-2</v>
      </c>
      <c r="D51" s="14">
        <v>8.6599999999999996E-2</v>
      </c>
      <c r="E51" s="14">
        <v>5.2900000000000003E-2</v>
      </c>
      <c r="F51" t="str">
        <f t="shared" si="0"/>
        <v>Bhayshul Tuten</v>
      </c>
      <c r="G51" t="str">
        <f t="shared" si="1"/>
        <v>JAC</v>
      </c>
      <c r="H51">
        <v>2025</v>
      </c>
    </row>
    <row r="52" spans="1:8" x14ac:dyDescent="0.45">
      <c r="A52" t="s">
        <v>1121</v>
      </c>
      <c r="B52" s="13">
        <v>3.85E-2</v>
      </c>
      <c r="C52" s="13">
        <v>8.5000000000000006E-3</v>
      </c>
      <c r="D52" s="13">
        <v>4.0500000000000001E-2</v>
      </c>
      <c r="E52" s="13">
        <v>1.15E-2</v>
      </c>
      <c r="F52" t="str">
        <f t="shared" si="0"/>
        <v>Isiah Pacheco</v>
      </c>
      <c r="G52" t="str">
        <f t="shared" si="1"/>
        <v>KC</v>
      </c>
      <c r="H52">
        <v>2025</v>
      </c>
    </row>
    <row r="53" spans="1:8" x14ac:dyDescent="0.45">
      <c r="A53" t="s">
        <v>1122</v>
      </c>
      <c r="B53" s="14">
        <v>0</v>
      </c>
      <c r="C53" s="14">
        <v>7.6E-3</v>
      </c>
      <c r="D53" s="14">
        <v>1.49E-2</v>
      </c>
      <c r="E53" s="14">
        <v>1.14E-2</v>
      </c>
      <c r="F53" t="str">
        <f t="shared" si="0"/>
        <v>Alvin Kamara</v>
      </c>
      <c r="G53" t="str">
        <f t="shared" si="1"/>
        <v>NO</v>
      </c>
      <c r="H53">
        <v>2025</v>
      </c>
    </row>
    <row r="54" spans="1:8" x14ac:dyDescent="0.45">
      <c r="A54" t="s">
        <v>1123</v>
      </c>
      <c r="B54" s="13">
        <v>0</v>
      </c>
      <c r="C54" s="13">
        <v>2.7799999999999998E-2</v>
      </c>
      <c r="D54" s="13">
        <v>1.5100000000000001E-2</v>
      </c>
      <c r="E54" s="13">
        <v>2.5399999999999999E-2</v>
      </c>
      <c r="F54" t="str">
        <f t="shared" si="0"/>
        <v>Tyjae Spears</v>
      </c>
      <c r="G54" t="str">
        <f t="shared" si="1"/>
        <v>TEN</v>
      </c>
      <c r="H54">
        <v>2025</v>
      </c>
    </row>
    <row r="55" spans="1:8" x14ac:dyDescent="0.45">
      <c r="A55" t="s">
        <v>1124</v>
      </c>
      <c r="B55" s="14">
        <v>0</v>
      </c>
      <c r="C55" s="14">
        <v>1.09E-2</v>
      </c>
      <c r="D55" s="14">
        <v>1.5900000000000001E-2</v>
      </c>
      <c r="E55" s="14">
        <v>1.5699999999999999E-2</v>
      </c>
      <c r="F55" t="str">
        <f t="shared" si="0"/>
        <v>Michael Carter</v>
      </c>
      <c r="G55" t="str">
        <f t="shared" si="1"/>
        <v>ARI</v>
      </c>
      <c r="H55">
        <v>2025</v>
      </c>
    </row>
    <row r="56" spans="1:8" x14ac:dyDescent="0.45">
      <c r="A56" t="s">
        <v>1125</v>
      </c>
      <c r="B56" s="13">
        <v>6.0600000000000001E-2</v>
      </c>
      <c r="C56" s="13">
        <v>0.06</v>
      </c>
      <c r="D56" s="13">
        <v>4.19E-2</v>
      </c>
      <c r="E56" s="13">
        <v>6.3799999999999996E-2</v>
      </c>
      <c r="F56" t="str">
        <f t="shared" si="0"/>
        <v>Ty Johnson</v>
      </c>
      <c r="G56" t="str">
        <f t="shared" si="1"/>
        <v>BUF</v>
      </c>
      <c r="H56">
        <v>2025</v>
      </c>
    </row>
    <row r="57" spans="1:8" x14ac:dyDescent="0.45">
      <c r="A57" t="s">
        <v>1126</v>
      </c>
      <c r="B57" s="14">
        <v>0</v>
      </c>
      <c r="C57" s="14">
        <v>3.5700000000000003E-2</v>
      </c>
      <c r="D57" s="14">
        <v>7.1999999999999998E-3</v>
      </c>
      <c r="E57" s="14">
        <v>3.3599999999999998E-2</v>
      </c>
      <c r="F57" t="str">
        <f t="shared" si="0"/>
        <v>Samaje Perine</v>
      </c>
      <c r="G57" t="str">
        <f t="shared" si="1"/>
        <v>CIN</v>
      </c>
      <c r="H57">
        <v>2025</v>
      </c>
    </row>
    <row r="58" spans="1:8" x14ac:dyDescent="0.45">
      <c r="A58" t="s">
        <v>1127</v>
      </c>
      <c r="B58" s="13">
        <v>0</v>
      </c>
      <c r="C58" s="13">
        <v>2.1700000000000001E-2</v>
      </c>
      <c r="D58" s="13">
        <v>3.5099999999999999E-2</v>
      </c>
      <c r="E58" s="13">
        <v>2.12E-2</v>
      </c>
      <c r="F58" t="str">
        <f t="shared" si="0"/>
        <v>Brian Robinson Jr.</v>
      </c>
      <c r="G58" t="str">
        <f t="shared" si="1"/>
        <v>SF</v>
      </c>
      <c r="H58">
        <v>2025</v>
      </c>
    </row>
    <row r="59" spans="1:8" x14ac:dyDescent="0.45">
      <c r="A59" t="s">
        <v>1128</v>
      </c>
      <c r="B59" s="14">
        <v>0</v>
      </c>
      <c r="C59" s="14">
        <v>2.3300000000000001E-2</v>
      </c>
      <c r="D59" s="14">
        <v>5.3E-3</v>
      </c>
      <c r="E59" s="14">
        <v>1.9E-2</v>
      </c>
      <c r="F59" t="str">
        <f t="shared" si="0"/>
        <v>Isaiah Davis</v>
      </c>
      <c r="G59" t="str">
        <f t="shared" si="1"/>
        <v>NYJ</v>
      </c>
      <c r="H59">
        <v>2025</v>
      </c>
    </row>
    <row r="60" spans="1:8" x14ac:dyDescent="0.45">
      <c r="A60" t="s">
        <v>1129</v>
      </c>
      <c r="B60" s="13">
        <v>0.05</v>
      </c>
      <c r="C60" s="13">
        <v>0</v>
      </c>
      <c r="D60" s="13">
        <v>4.0099999999999997E-2</v>
      </c>
      <c r="E60" s="13">
        <v>4.1000000000000003E-3</v>
      </c>
      <c r="F60" t="str">
        <f t="shared" si="0"/>
        <v>Dylan Sampson</v>
      </c>
      <c r="G60" t="str">
        <f t="shared" si="1"/>
        <v>CLE</v>
      </c>
      <c r="H60">
        <v>2025</v>
      </c>
    </row>
    <row r="61" spans="1:8" x14ac:dyDescent="0.45">
      <c r="A61" t="s">
        <v>1130</v>
      </c>
      <c r="B61" s="14">
        <v>0</v>
      </c>
      <c r="C61" s="14">
        <v>2.2700000000000001E-2</v>
      </c>
      <c r="D61" s="14">
        <v>6.8999999999999999E-3</v>
      </c>
      <c r="E61" s="14">
        <v>2.1000000000000001E-2</v>
      </c>
      <c r="F61" t="str">
        <f t="shared" si="0"/>
        <v>Jeremy McNichols</v>
      </c>
      <c r="G61" t="str">
        <f t="shared" si="1"/>
        <v>WAS</v>
      </c>
      <c r="H61">
        <v>2025</v>
      </c>
    </row>
    <row r="62" spans="1:8" x14ac:dyDescent="0.45">
      <c r="A62" t="s">
        <v>1131</v>
      </c>
      <c r="B62" s="13">
        <v>0</v>
      </c>
      <c r="C62" s="13">
        <v>1.6899999999999998E-2</v>
      </c>
      <c r="D62" s="13">
        <v>5.5999999999999999E-3</v>
      </c>
      <c r="E62" s="13">
        <v>1.5599999999999999E-2</v>
      </c>
      <c r="F62" t="str">
        <f t="shared" si="0"/>
        <v>Keaton Mitchell</v>
      </c>
      <c r="G62" t="str">
        <f t="shared" si="1"/>
        <v>BAL</v>
      </c>
      <c r="H62">
        <v>2025</v>
      </c>
    </row>
    <row r="63" spans="1:8" x14ac:dyDescent="0.45">
      <c r="A63" t="s">
        <v>1132</v>
      </c>
      <c r="B63" s="14">
        <v>0.1111</v>
      </c>
      <c r="C63" s="14">
        <v>4.2900000000000001E-2</v>
      </c>
      <c r="D63" s="14">
        <v>7.0699999999999999E-2</v>
      </c>
      <c r="E63" s="14">
        <v>4.6399999999999997E-2</v>
      </c>
      <c r="F63" t="str">
        <f t="shared" si="0"/>
        <v>Ollie Gordon II</v>
      </c>
      <c r="G63" t="str">
        <f t="shared" si="1"/>
        <v>MIA</v>
      </c>
      <c r="H63">
        <v>2025</v>
      </c>
    </row>
    <row r="64" spans="1:8" x14ac:dyDescent="0.45">
      <c r="A64" t="s">
        <v>1133</v>
      </c>
      <c r="B64" s="13">
        <v>0</v>
      </c>
      <c r="C64" s="13">
        <v>3.5099999999999999E-2</v>
      </c>
      <c r="D64" s="13">
        <v>7.9000000000000008E-3</v>
      </c>
      <c r="E64" s="13">
        <v>2.8299999999999999E-2</v>
      </c>
      <c r="F64" t="str">
        <f t="shared" si="0"/>
        <v>Devin Neal</v>
      </c>
      <c r="G64" t="str">
        <f t="shared" si="1"/>
        <v>NO</v>
      </c>
      <c r="H64">
        <v>2025</v>
      </c>
    </row>
    <row r="65" spans="1:8" x14ac:dyDescent="0.45">
      <c r="A65" t="s">
        <v>1134</v>
      </c>
      <c r="B65" s="14">
        <v>0</v>
      </c>
      <c r="C65" s="14">
        <v>2.86E-2</v>
      </c>
      <c r="D65" s="14">
        <v>3.5000000000000001E-3</v>
      </c>
      <c r="E65" s="14">
        <v>3.0700000000000002E-2</v>
      </c>
      <c r="F65" t="str">
        <f t="shared" si="0"/>
        <v>Jaylen Wright</v>
      </c>
      <c r="G65" t="str">
        <f t="shared" si="1"/>
        <v>MIA</v>
      </c>
      <c r="H65">
        <v>2025</v>
      </c>
    </row>
    <row r="66" spans="1:8" x14ac:dyDescent="0.45">
      <c r="A66" t="s">
        <v>1135</v>
      </c>
      <c r="B66" s="13">
        <v>0.05</v>
      </c>
      <c r="C66" s="13">
        <v>0</v>
      </c>
      <c r="D66" s="13">
        <v>5.8200000000000002E-2</v>
      </c>
      <c r="E66" s="13">
        <v>7.4999999999999997E-3</v>
      </c>
      <c r="F66" t="str">
        <f t="shared" ref="F66:F129" si="2">TRIM(LEFT(A66, FIND("(", A66) - 2))</f>
        <v>Emari Demercado</v>
      </c>
      <c r="G66" t="str">
        <f t="shared" si="1"/>
        <v>ARI</v>
      </c>
      <c r="H66">
        <v>2025</v>
      </c>
    </row>
    <row r="67" spans="1:8" x14ac:dyDescent="0.45">
      <c r="A67" t="s">
        <v>1136</v>
      </c>
      <c r="B67" s="14">
        <v>0</v>
      </c>
      <c r="C67" s="14">
        <v>3.85E-2</v>
      </c>
      <c r="D67" s="14">
        <v>1.1299999999999999E-2</v>
      </c>
      <c r="E67" s="14">
        <v>3.2300000000000002E-2</v>
      </c>
      <c r="F67" t="str">
        <f t="shared" si="2"/>
        <v>Malik Davis</v>
      </c>
      <c r="G67" t="str">
        <f t="shared" ref="G67:G130" si="3">MID(A67, FIND("(", A67) + 1, FIND(")", A67) - FIND("(", A67) - 1)</f>
        <v>DAL</v>
      </c>
      <c r="H67">
        <v>2025</v>
      </c>
    </row>
    <row r="68" spans="1:8" x14ac:dyDescent="0.45">
      <c r="A68" t="s">
        <v>1137</v>
      </c>
      <c r="B68" s="13">
        <v>0</v>
      </c>
      <c r="C68" s="13">
        <v>3.1699999999999999E-2</v>
      </c>
      <c r="D68" s="13">
        <v>1.52E-2</v>
      </c>
      <c r="E68" s="13">
        <v>4.0800000000000003E-2</v>
      </c>
      <c r="F68" t="str">
        <f t="shared" si="2"/>
        <v>Tank Bigsby</v>
      </c>
      <c r="G68" t="str">
        <f t="shared" si="3"/>
        <v>PHI</v>
      </c>
      <c r="H68">
        <v>2025</v>
      </c>
    </row>
    <row r="69" spans="1:8" x14ac:dyDescent="0.45">
      <c r="A69" t="s">
        <v>1138</v>
      </c>
      <c r="B69" s="14">
        <v>2.86E-2</v>
      </c>
      <c r="C69" s="14">
        <v>0</v>
      </c>
      <c r="D69" s="14">
        <v>4.36E-2</v>
      </c>
      <c r="E69" s="14">
        <v>1.32E-2</v>
      </c>
      <c r="F69" t="str">
        <f t="shared" si="2"/>
        <v>Brashard Smith</v>
      </c>
      <c r="G69" t="str">
        <f t="shared" si="3"/>
        <v>KC</v>
      </c>
      <c r="H69">
        <v>2025</v>
      </c>
    </row>
    <row r="70" spans="1:8" x14ac:dyDescent="0.45">
      <c r="A70" t="s">
        <v>1139</v>
      </c>
      <c r="B70" s="13">
        <v>0.15379999999999999</v>
      </c>
      <c r="C70" s="13">
        <v>0</v>
      </c>
      <c r="D70" s="13">
        <v>0.1275</v>
      </c>
      <c r="E70" s="13">
        <v>1.1599999999999999E-2</v>
      </c>
      <c r="F70" t="str">
        <f t="shared" si="2"/>
        <v>Ray Davis</v>
      </c>
      <c r="G70" t="str">
        <f t="shared" si="3"/>
        <v>BUF</v>
      </c>
      <c r="H70">
        <v>2025</v>
      </c>
    </row>
    <row r="71" spans="1:8" x14ac:dyDescent="0.45">
      <c r="A71" t="s">
        <v>1140</v>
      </c>
      <c r="B71" s="14">
        <v>0</v>
      </c>
      <c r="C71" s="14">
        <v>2.1299999999999999E-2</v>
      </c>
      <c r="D71" s="14">
        <v>1.5E-3</v>
      </c>
      <c r="E71" s="14">
        <v>1.6500000000000001E-2</v>
      </c>
      <c r="F71" t="str">
        <f t="shared" si="2"/>
        <v>Kendre Miller</v>
      </c>
      <c r="G71" t="str">
        <f t="shared" si="3"/>
        <v>NO</v>
      </c>
      <c r="H71">
        <v>2025</v>
      </c>
    </row>
    <row r="72" spans="1:8" x14ac:dyDescent="0.45">
      <c r="A72" t="s">
        <v>1141</v>
      </c>
      <c r="B72" s="13">
        <v>0</v>
      </c>
      <c r="C72" s="13">
        <v>2.1700000000000001E-2</v>
      </c>
      <c r="D72" s="13">
        <v>3.8E-3</v>
      </c>
      <c r="E72" s="13">
        <v>2.81E-2</v>
      </c>
      <c r="F72" t="str">
        <f t="shared" si="2"/>
        <v>Audric Estime</v>
      </c>
      <c r="G72" t="str">
        <f t="shared" si="3"/>
        <v>NO</v>
      </c>
      <c r="H72">
        <v>2025</v>
      </c>
    </row>
    <row r="73" spans="1:8" x14ac:dyDescent="0.45">
      <c r="A73" t="s">
        <v>1142</v>
      </c>
      <c r="B73" s="14">
        <v>0.1111</v>
      </c>
      <c r="C73" s="14">
        <v>3.1300000000000001E-2</v>
      </c>
      <c r="D73" s="14">
        <v>8.72E-2</v>
      </c>
      <c r="E73" s="14">
        <v>3.6299999999999999E-2</v>
      </c>
      <c r="F73" t="str">
        <f t="shared" si="2"/>
        <v>James Conner</v>
      </c>
      <c r="G73" t="str">
        <f t="shared" si="3"/>
        <v>ARI</v>
      </c>
      <c r="H73">
        <v>2025</v>
      </c>
    </row>
    <row r="74" spans="1:8" x14ac:dyDescent="0.45">
      <c r="A74" t="s">
        <v>1143</v>
      </c>
      <c r="B74" s="13">
        <v>6.25E-2</v>
      </c>
      <c r="C74" s="13">
        <v>0</v>
      </c>
      <c r="D74" s="13">
        <v>4.3799999999999999E-2</v>
      </c>
      <c r="E74" s="13">
        <v>9.5999999999999992E-3</v>
      </c>
      <c r="F74" t="str">
        <f t="shared" si="2"/>
        <v>Zavier Scott</v>
      </c>
      <c r="G74" t="str">
        <f t="shared" si="3"/>
        <v>MIN</v>
      </c>
      <c r="H74">
        <v>2025</v>
      </c>
    </row>
    <row r="75" spans="1:8" x14ac:dyDescent="0.45">
      <c r="A75" t="s">
        <v>1144</v>
      </c>
      <c r="B75" s="14">
        <v>0</v>
      </c>
      <c r="C75" s="14">
        <v>0</v>
      </c>
      <c r="D75" s="14">
        <v>1.3100000000000001E-2</v>
      </c>
      <c r="E75" s="14">
        <v>1.21E-2</v>
      </c>
      <c r="F75" t="str">
        <f t="shared" si="2"/>
        <v>Trey Benson</v>
      </c>
      <c r="G75" t="str">
        <f t="shared" si="3"/>
        <v>ARI</v>
      </c>
      <c r="H75">
        <v>2025</v>
      </c>
    </row>
    <row r="76" spans="1:8" x14ac:dyDescent="0.45">
      <c r="A76" t="s">
        <v>1145</v>
      </c>
      <c r="B76" s="13">
        <v>0</v>
      </c>
      <c r="C76" s="13">
        <v>0</v>
      </c>
      <c r="D76" s="13">
        <v>3.8E-3</v>
      </c>
      <c r="E76" s="13">
        <v>9.1000000000000004E-3</v>
      </c>
      <c r="F76" t="str">
        <f t="shared" si="2"/>
        <v>Jawhar Jordan</v>
      </c>
      <c r="G76" t="str">
        <f t="shared" si="3"/>
        <v>HOU</v>
      </c>
      <c r="H76">
        <v>2025</v>
      </c>
    </row>
    <row r="77" spans="1:8" x14ac:dyDescent="0.45">
      <c r="A77" t="s">
        <v>1146</v>
      </c>
      <c r="B77" s="14">
        <v>0</v>
      </c>
      <c r="C77" s="14">
        <v>2.7E-2</v>
      </c>
      <c r="D77" s="14">
        <v>1.9E-3</v>
      </c>
      <c r="E77" s="14">
        <v>2.3300000000000001E-2</v>
      </c>
      <c r="F77" t="str">
        <f t="shared" si="2"/>
        <v>Jaleel McLaughlin</v>
      </c>
      <c r="G77" t="str">
        <f t="shared" si="3"/>
        <v>DEN</v>
      </c>
      <c r="H77">
        <v>2025</v>
      </c>
    </row>
    <row r="78" spans="1:8" x14ac:dyDescent="0.45">
      <c r="A78" t="s">
        <v>1147</v>
      </c>
      <c r="B78" s="13">
        <v>0</v>
      </c>
      <c r="C78" s="13">
        <v>2.4400000000000002E-2</v>
      </c>
      <c r="D78" s="13">
        <v>3.2000000000000002E-3</v>
      </c>
      <c r="E78" s="13">
        <v>2.6700000000000002E-2</v>
      </c>
      <c r="F78" t="str">
        <f t="shared" si="2"/>
        <v>Jaret Patterson</v>
      </c>
      <c r="G78" t="str">
        <f t="shared" si="3"/>
        <v>LAC</v>
      </c>
      <c r="H78">
        <v>2025</v>
      </c>
    </row>
    <row r="79" spans="1:8" x14ac:dyDescent="0.45">
      <c r="A79" t="s">
        <v>1148</v>
      </c>
      <c r="B79" s="14">
        <v>0</v>
      </c>
      <c r="C79" s="14">
        <v>3.6999999999999998E-2</v>
      </c>
      <c r="D79" s="14">
        <v>2.8E-3</v>
      </c>
      <c r="E79" s="14">
        <v>5.2400000000000002E-2</v>
      </c>
      <c r="F79" t="str">
        <f t="shared" si="2"/>
        <v>Raheim Sanders</v>
      </c>
      <c r="G79" t="str">
        <f t="shared" si="3"/>
        <v>CLE</v>
      </c>
      <c r="H79">
        <v>2025</v>
      </c>
    </row>
    <row r="80" spans="1:8" x14ac:dyDescent="0.45">
      <c r="A80" t="s">
        <v>1149</v>
      </c>
      <c r="B80" s="13">
        <v>0</v>
      </c>
      <c r="C80" s="13">
        <v>0</v>
      </c>
      <c r="D80" s="13">
        <v>1.32E-2</v>
      </c>
      <c r="E80" s="13">
        <v>5.4999999999999997E-3</v>
      </c>
      <c r="F80" t="str">
        <f t="shared" si="2"/>
        <v>Chris Brooks</v>
      </c>
      <c r="G80" t="str">
        <f t="shared" si="3"/>
        <v>GB</v>
      </c>
      <c r="H80">
        <v>2025</v>
      </c>
    </row>
    <row r="81" spans="1:8" x14ac:dyDescent="0.45">
      <c r="A81" t="s">
        <v>1150</v>
      </c>
      <c r="B81" s="14">
        <v>0</v>
      </c>
      <c r="C81" s="14">
        <v>0</v>
      </c>
      <c r="D81" s="14">
        <v>7.1999999999999998E-3</v>
      </c>
      <c r="E81" s="14">
        <v>4.7000000000000002E-3</v>
      </c>
      <c r="F81" t="str">
        <f t="shared" si="2"/>
        <v>Kaleb Johnson</v>
      </c>
      <c r="G81" t="str">
        <f t="shared" si="3"/>
        <v>PIT</v>
      </c>
      <c r="H81">
        <v>2025</v>
      </c>
    </row>
    <row r="82" spans="1:8" x14ac:dyDescent="0.45">
      <c r="A82" t="s">
        <v>1151</v>
      </c>
      <c r="B82" s="13">
        <v>0</v>
      </c>
      <c r="C82" s="13">
        <v>2.63E-2</v>
      </c>
      <c r="D82" s="13">
        <v>1.8200000000000001E-2</v>
      </c>
      <c r="E82" s="13">
        <v>2.4E-2</v>
      </c>
      <c r="F82" t="str">
        <f t="shared" si="2"/>
        <v>Jaydon Blue</v>
      </c>
      <c r="G82" t="str">
        <f t="shared" si="3"/>
        <v>DAL</v>
      </c>
      <c r="H82">
        <v>2025</v>
      </c>
    </row>
    <row r="83" spans="1:8" x14ac:dyDescent="0.45">
      <c r="A83" t="s">
        <v>1152</v>
      </c>
      <c r="B83" s="14">
        <v>0</v>
      </c>
      <c r="C83" s="14">
        <v>0</v>
      </c>
      <c r="D83" s="14">
        <v>7.6399999999999996E-2</v>
      </c>
      <c r="E83" s="14">
        <v>1.32E-2</v>
      </c>
      <c r="F83" t="str">
        <f t="shared" si="2"/>
        <v>DJ Giddens</v>
      </c>
      <c r="G83" t="str">
        <f t="shared" si="3"/>
        <v>IND</v>
      </c>
      <c r="H83">
        <v>2025</v>
      </c>
    </row>
    <row r="84" spans="1:8" x14ac:dyDescent="0.45">
      <c r="A84" t="s">
        <v>1084</v>
      </c>
      <c r="B84" s="14">
        <v>4.65E-2</v>
      </c>
      <c r="C84" s="14">
        <v>3.7699999999999997E-2</v>
      </c>
      <c r="D84" s="14">
        <v>4.3299999999999998E-2</v>
      </c>
      <c r="E84" s="14">
        <v>3.39E-2</v>
      </c>
      <c r="F84" t="str">
        <f t="shared" si="2"/>
        <v>Saquon Barkley</v>
      </c>
      <c r="G84" t="str">
        <f t="shared" si="3"/>
        <v>PHI</v>
      </c>
      <c r="H84">
        <v>2024</v>
      </c>
    </row>
    <row r="85" spans="1:8" x14ac:dyDescent="0.45">
      <c r="A85" t="s">
        <v>1078</v>
      </c>
      <c r="B85" s="14">
        <v>9.0899999999999995E-2</v>
      </c>
      <c r="C85" s="14">
        <v>4.9200000000000001E-2</v>
      </c>
      <c r="D85" s="14">
        <v>7.0999999999999994E-2</v>
      </c>
      <c r="E85" s="14">
        <v>4.1799999999999997E-2</v>
      </c>
      <c r="F85" t="str">
        <f t="shared" si="2"/>
        <v>Derrick Henry</v>
      </c>
      <c r="G85" t="str">
        <f t="shared" si="3"/>
        <v>BAL</v>
      </c>
      <c r="H85">
        <v>2024</v>
      </c>
    </row>
    <row r="86" spans="1:8" x14ac:dyDescent="0.45">
      <c r="A86" t="s">
        <v>1075</v>
      </c>
      <c r="B86" s="14">
        <v>6.3500000000000001E-2</v>
      </c>
      <c r="C86" s="14">
        <v>6.4000000000000001E-2</v>
      </c>
      <c r="D86" s="14">
        <v>4.9399999999999999E-2</v>
      </c>
      <c r="E86" s="14">
        <v>5.1700000000000003E-2</v>
      </c>
      <c r="F86" t="str">
        <f t="shared" si="2"/>
        <v>Jahmyr Gibbs</v>
      </c>
      <c r="G86" t="str">
        <f t="shared" si="3"/>
        <v>DET</v>
      </c>
      <c r="H86">
        <v>2024</v>
      </c>
    </row>
    <row r="87" spans="1:8" x14ac:dyDescent="0.45">
      <c r="A87" t="s">
        <v>1074</v>
      </c>
      <c r="B87" s="14">
        <v>1.3899999999999999E-2</v>
      </c>
      <c r="C87" s="14">
        <v>4.6100000000000002E-2</v>
      </c>
      <c r="D87" s="14">
        <v>1.4999999999999999E-2</v>
      </c>
      <c r="E87" s="14">
        <v>4.0500000000000001E-2</v>
      </c>
      <c r="F87" t="str">
        <f t="shared" si="2"/>
        <v>Bijan Robinson</v>
      </c>
      <c r="G87" t="str">
        <f t="shared" si="3"/>
        <v>ATL</v>
      </c>
      <c r="H87">
        <v>2024</v>
      </c>
    </row>
    <row r="88" spans="1:8" x14ac:dyDescent="0.45">
      <c r="A88" t="s">
        <v>1082</v>
      </c>
      <c r="B88" s="14">
        <v>2.3300000000000001E-2</v>
      </c>
      <c r="C88" s="14">
        <v>4.9799999999999997E-2</v>
      </c>
      <c r="D88" s="14">
        <v>2.7199999999999998E-2</v>
      </c>
      <c r="E88" s="14">
        <v>4.5499999999999999E-2</v>
      </c>
      <c r="F88" t="str">
        <f t="shared" si="2"/>
        <v>Josh Jacobs</v>
      </c>
      <c r="G88" t="str">
        <f t="shared" si="3"/>
        <v>GB</v>
      </c>
      <c r="H88">
        <v>2024</v>
      </c>
    </row>
    <row r="89" spans="1:8" x14ac:dyDescent="0.45">
      <c r="A89" t="s">
        <v>1079</v>
      </c>
      <c r="B89" s="14">
        <v>0.05</v>
      </c>
      <c r="C89" s="14">
        <v>4.4299999999999999E-2</v>
      </c>
      <c r="D89" s="14">
        <v>4.9799999999999997E-2</v>
      </c>
      <c r="E89" s="14">
        <v>4.1000000000000002E-2</v>
      </c>
      <c r="F89" t="str">
        <f t="shared" si="2"/>
        <v>Kyren Williams</v>
      </c>
      <c r="G89" t="str">
        <f t="shared" si="3"/>
        <v>LAR</v>
      </c>
      <c r="H89">
        <v>2024</v>
      </c>
    </row>
    <row r="90" spans="1:8" x14ac:dyDescent="0.45">
      <c r="A90" t="s">
        <v>1076</v>
      </c>
      <c r="B90" s="14">
        <v>5.2600000000000001E-2</v>
      </c>
      <c r="C90" s="14">
        <v>7.7299999999999994E-2</v>
      </c>
      <c r="D90" s="14">
        <v>4.02E-2</v>
      </c>
      <c r="E90" s="14">
        <v>6.0199999999999997E-2</v>
      </c>
      <c r="F90" t="str">
        <f t="shared" si="2"/>
        <v>James Cook III</v>
      </c>
      <c r="G90" t="str">
        <f t="shared" si="3"/>
        <v>BUF</v>
      </c>
      <c r="H90">
        <v>2024</v>
      </c>
    </row>
    <row r="91" spans="1:8" x14ac:dyDescent="0.45">
      <c r="A91" t="s">
        <v>1142</v>
      </c>
      <c r="B91" s="14">
        <v>1.8200000000000001E-2</v>
      </c>
      <c r="C91" s="14">
        <v>3.39E-2</v>
      </c>
      <c r="D91" s="14">
        <v>2.0799999999999999E-2</v>
      </c>
      <c r="E91" s="14">
        <v>3.3300000000000003E-2</v>
      </c>
      <c r="F91" t="str">
        <f t="shared" si="2"/>
        <v>James Conner</v>
      </c>
      <c r="G91" t="str">
        <f t="shared" si="3"/>
        <v>ARI</v>
      </c>
      <c r="H91">
        <v>2024</v>
      </c>
    </row>
    <row r="92" spans="1:8" x14ac:dyDescent="0.45">
      <c r="A92" t="s">
        <v>1077</v>
      </c>
      <c r="B92" s="14">
        <v>6.9000000000000006E-2</v>
      </c>
      <c r="C92" s="14">
        <v>2.9600000000000001E-2</v>
      </c>
      <c r="D92" s="14">
        <v>5.5399999999999998E-2</v>
      </c>
      <c r="E92" s="14">
        <v>3.4200000000000001E-2</v>
      </c>
      <c r="F92" t="str">
        <f t="shared" si="2"/>
        <v>De'Von Achane</v>
      </c>
      <c r="G92" t="str">
        <f t="shared" si="3"/>
        <v>MIA</v>
      </c>
      <c r="H92">
        <v>2024</v>
      </c>
    </row>
    <row r="93" spans="1:8" x14ac:dyDescent="0.45">
      <c r="A93" t="s">
        <v>1072</v>
      </c>
      <c r="B93" s="14">
        <v>3.1300000000000001E-2</v>
      </c>
      <c r="C93" s="14">
        <v>3.6299999999999999E-2</v>
      </c>
      <c r="D93" s="14">
        <v>2.52E-2</v>
      </c>
      <c r="E93" s="14">
        <v>3.5700000000000003E-2</v>
      </c>
      <c r="F93" t="str">
        <f t="shared" si="2"/>
        <v>Jonathan Taylor</v>
      </c>
      <c r="G93" t="str">
        <f t="shared" si="3"/>
        <v>IND</v>
      </c>
      <c r="H93">
        <v>2024</v>
      </c>
    </row>
    <row r="94" spans="1:8" x14ac:dyDescent="0.45">
      <c r="A94" t="s">
        <v>1153</v>
      </c>
      <c r="B94" s="14">
        <v>1.9199999999999998E-2</v>
      </c>
      <c r="C94" s="14">
        <v>4.4699999999999997E-2</v>
      </c>
      <c r="D94" s="14">
        <v>3.1899999999999998E-2</v>
      </c>
      <c r="E94" s="14">
        <v>4.1300000000000003E-2</v>
      </c>
      <c r="F94" t="str">
        <f t="shared" si="2"/>
        <v>Joe Mixon</v>
      </c>
      <c r="G94" t="str">
        <f t="shared" si="3"/>
        <v>HOU</v>
      </c>
      <c r="H94">
        <v>2024</v>
      </c>
    </row>
    <row r="95" spans="1:8" x14ac:dyDescent="0.45">
      <c r="A95" t="s">
        <v>1083</v>
      </c>
      <c r="B95" s="14">
        <v>6.0600000000000001E-2</v>
      </c>
      <c r="C95" s="14">
        <v>3.0599999999999999E-2</v>
      </c>
      <c r="D95" s="14">
        <v>5.7200000000000001E-2</v>
      </c>
      <c r="E95" s="14">
        <v>3.3300000000000003E-2</v>
      </c>
      <c r="F95" t="str">
        <f t="shared" si="2"/>
        <v>Chase Brown</v>
      </c>
      <c r="G95" t="str">
        <f t="shared" si="3"/>
        <v>CIN</v>
      </c>
      <c r="H95">
        <v>2024</v>
      </c>
    </row>
    <row r="96" spans="1:8" x14ac:dyDescent="0.45">
      <c r="A96" t="s">
        <v>1113</v>
      </c>
      <c r="B96" s="14">
        <v>1.8499999999999999E-2</v>
      </c>
      <c r="C96" s="14">
        <v>0.04</v>
      </c>
      <c r="D96" s="14">
        <v>2.4299999999999999E-2</v>
      </c>
      <c r="E96" s="14">
        <v>4.1000000000000002E-2</v>
      </c>
      <c r="F96" t="str">
        <f t="shared" si="2"/>
        <v>Chuba Hubbard</v>
      </c>
      <c r="G96" t="str">
        <f t="shared" si="3"/>
        <v>CAR</v>
      </c>
      <c r="H96">
        <v>2024</v>
      </c>
    </row>
    <row r="97" spans="1:8" x14ac:dyDescent="0.45">
      <c r="A97" t="s">
        <v>1122</v>
      </c>
      <c r="B97" s="14">
        <v>2.2499999999999999E-2</v>
      </c>
      <c r="C97" s="14">
        <v>2.63E-2</v>
      </c>
      <c r="D97" s="14">
        <v>1.78E-2</v>
      </c>
      <c r="E97" s="14">
        <v>2.75E-2</v>
      </c>
      <c r="F97" t="str">
        <f t="shared" si="2"/>
        <v>Alvin Kamara</v>
      </c>
      <c r="G97" t="str">
        <f t="shared" si="3"/>
        <v>NO</v>
      </c>
      <c r="H97">
        <v>2024</v>
      </c>
    </row>
    <row r="98" spans="1:8" x14ac:dyDescent="0.45">
      <c r="A98" t="s">
        <v>1096</v>
      </c>
      <c r="B98" s="14">
        <v>0</v>
      </c>
      <c r="C98" s="14">
        <v>6.4899999999999999E-2</v>
      </c>
      <c r="D98" s="14">
        <v>6.0000000000000001E-3</v>
      </c>
      <c r="E98" s="14">
        <v>5.8400000000000001E-2</v>
      </c>
      <c r="F98" t="str">
        <f t="shared" si="2"/>
        <v>David Montgomery</v>
      </c>
      <c r="G98" t="str">
        <f t="shared" si="3"/>
        <v>DET</v>
      </c>
      <c r="H98">
        <v>2024</v>
      </c>
    </row>
    <row r="99" spans="1:8" x14ac:dyDescent="0.45">
      <c r="A99" t="s">
        <v>1444</v>
      </c>
      <c r="B99" s="14">
        <v>3.2300000000000002E-2</v>
      </c>
      <c r="C99" s="14">
        <v>1.9599999999999999E-2</v>
      </c>
      <c r="D99" s="14">
        <v>4.5499999999999999E-2</v>
      </c>
      <c r="E99" s="14">
        <v>2.5499999999999998E-2</v>
      </c>
      <c r="F99" t="str">
        <f t="shared" si="2"/>
        <v>Aaron Jones Sr.</v>
      </c>
      <c r="G99" t="str">
        <f t="shared" si="3"/>
        <v>MIN</v>
      </c>
      <c r="H99">
        <v>2024</v>
      </c>
    </row>
    <row r="100" spans="1:8" x14ac:dyDescent="0.45">
      <c r="A100" t="s">
        <v>1112</v>
      </c>
      <c r="B100" s="14">
        <v>0</v>
      </c>
      <c r="C100" s="14">
        <v>3.85E-2</v>
      </c>
      <c r="D100" s="14">
        <v>1.9199999999999998E-2</v>
      </c>
      <c r="E100" s="14">
        <v>3.7400000000000003E-2</v>
      </c>
      <c r="F100" t="str">
        <f t="shared" si="2"/>
        <v>Bucky Irving</v>
      </c>
      <c r="G100" t="str">
        <f t="shared" si="3"/>
        <v>TB</v>
      </c>
      <c r="H100">
        <v>2024</v>
      </c>
    </row>
    <row r="101" spans="1:8" x14ac:dyDescent="0.45">
      <c r="A101" t="s">
        <v>1088</v>
      </c>
      <c r="B101" s="14">
        <v>3.9E-2</v>
      </c>
      <c r="C101" s="14">
        <v>2.3800000000000002E-2</v>
      </c>
      <c r="D101" s="14">
        <v>3.39E-2</v>
      </c>
      <c r="E101" s="14">
        <v>2.3E-2</v>
      </c>
      <c r="F101" t="str">
        <f t="shared" si="2"/>
        <v>Breece Hall</v>
      </c>
      <c r="G101" t="str">
        <f t="shared" si="3"/>
        <v>NYJ</v>
      </c>
      <c r="H101">
        <v>2024</v>
      </c>
    </row>
    <row r="102" spans="1:8" x14ac:dyDescent="0.45">
      <c r="A102" t="s">
        <v>1085</v>
      </c>
      <c r="B102" s="14">
        <v>0</v>
      </c>
      <c r="C102" s="14">
        <v>2.3699999999999999E-2</v>
      </c>
      <c r="D102" s="14">
        <v>3.0000000000000001E-3</v>
      </c>
      <c r="E102" s="14">
        <v>2.4E-2</v>
      </c>
      <c r="F102" t="str">
        <f t="shared" si="2"/>
        <v>D'Andre Swift</v>
      </c>
      <c r="G102" t="str">
        <f t="shared" si="3"/>
        <v>CHI</v>
      </c>
      <c r="H102">
        <v>2024</v>
      </c>
    </row>
    <row r="103" spans="1:8" x14ac:dyDescent="0.45">
      <c r="A103" t="s">
        <v>1154</v>
      </c>
      <c r="B103" s="14">
        <v>0</v>
      </c>
      <c r="C103" s="14">
        <v>2.2800000000000001E-2</v>
      </c>
      <c r="D103" s="14">
        <v>6.4999999999999997E-3</v>
      </c>
      <c r="E103" s="14">
        <v>2.6800000000000001E-2</v>
      </c>
      <c r="F103" t="str">
        <f t="shared" si="2"/>
        <v>Najee Harris</v>
      </c>
      <c r="G103" t="str">
        <f t="shared" si="3"/>
        <v>PIT</v>
      </c>
      <c r="H103">
        <v>2024</v>
      </c>
    </row>
    <row r="104" spans="1:8" x14ac:dyDescent="0.45">
      <c r="A104" t="s">
        <v>1093</v>
      </c>
      <c r="B104" s="14">
        <v>0</v>
      </c>
      <c r="C104" s="14">
        <v>1.9199999999999998E-2</v>
      </c>
      <c r="D104" s="14">
        <v>5.7000000000000002E-3</v>
      </c>
      <c r="E104" s="14">
        <v>1.8499999999999999E-2</v>
      </c>
      <c r="F104" t="str">
        <f t="shared" si="2"/>
        <v>Tony Pollard</v>
      </c>
      <c r="G104" t="str">
        <f t="shared" si="3"/>
        <v>TEN</v>
      </c>
      <c r="H104">
        <v>2024</v>
      </c>
    </row>
    <row r="105" spans="1:8" x14ac:dyDescent="0.45">
      <c r="A105" t="s">
        <v>1155</v>
      </c>
      <c r="B105" s="14">
        <v>0</v>
      </c>
      <c r="C105" s="14">
        <v>4.6199999999999998E-2</v>
      </c>
      <c r="D105" s="14">
        <v>1.12E-2</v>
      </c>
      <c r="E105" s="14">
        <v>3.7600000000000001E-2</v>
      </c>
      <c r="F105" t="str">
        <f t="shared" si="2"/>
        <v>J.K. Dobbins</v>
      </c>
      <c r="G105" t="str">
        <f t="shared" si="3"/>
        <v>LAC</v>
      </c>
      <c r="H105">
        <v>2024</v>
      </c>
    </row>
    <row r="106" spans="1:8" x14ac:dyDescent="0.45">
      <c r="A106" t="s">
        <v>1111</v>
      </c>
      <c r="B106" s="14">
        <v>0.1053</v>
      </c>
      <c r="C106" s="14">
        <v>2.0799999999999999E-2</v>
      </c>
      <c r="D106" s="14">
        <v>7.7600000000000002E-2</v>
      </c>
      <c r="E106" s="14">
        <v>2.6700000000000002E-2</v>
      </c>
      <c r="F106" t="str">
        <f t="shared" si="2"/>
        <v>Rachaad White</v>
      </c>
      <c r="G106" t="str">
        <f t="shared" si="3"/>
        <v>TB</v>
      </c>
      <c r="H106">
        <v>2024</v>
      </c>
    </row>
    <row r="107" spans="1:8" x14ac:dyDescent="0.45">
      <c r="A107" t="s">
        <v>1156</v>
      </c>
      <c r="B107" s="14">
        <v>6.1199999999999997E-2</v>
      </c>
      <c r="C107" s="14">
        <v>8.5000000000000006E-3</v>
      </c>
      <c r="D107" s="14">
        <v>4.9599999999999998E-2</v>
      </c>
      <c r="E107" s="14">
        <v>1.2800000000000001E-2</v>
      </c>
      <c r="F107" t="str">
        <f t="shared" si="2"/>
        <v>Rico Dowdle</v>
      </c>
      <c r="G107" t="str">
        <f t="shared" si="3"/>
        <v>DAL</v>
      </c>
      <c r="H107">
        <v>2024</v>
      </c>
    </row>
    <row r="108" spans="1:8" x14ac:dyDescent="0.45">
      <c r="A108" t="s">
        <v>1102</v>
      </c>
      <c r="B108" s="14">
        <v>2.4400000000000002E-2</v>
      </c>
      <c r="C108" s="14">
        <v>3.3799999999999997E-2</v>
      </c>
      <c r="D108" s="14">
        <v>3.7499999999999999E-2</v>
      </c>
      <c r="E108" s="14">
        <v>3.3799999999999997E-2</v>
      </c>
      <c r="F108" t="str">
        <f t="shared" si="2"/>
        <v>Rhamondre Stevenson</v>
      </c>
      <c r="G108" t="str">
        <f t="shared" si="3"/>
        <v>NE</v>
      </c>
      <c r="H108">
        <v>2024</v>
      </c>
    </row>
    <row r="109" spans="1:8" x14ac:dyDescent="0.45">
      <c r="A109" t="s">
        <v>1157</v>
      </c>
      <c r="B109" s="14">
        <v>0</v>
      </c>
      <c r="C109" s="14">
        <v>4.2799999999999998E-2</v>
      </c>
      <c r="D109" s="14">
        <v>1.1299999999999999E-2</v>
      </c>
      <c r="E109" s="14">
        <v>4.2200000000000001E-2</v>
      </c>
      <c r="F109" t="str">
        <f t="shared" si="2"/>
        <v>Brian Robinson Jr.</v>
      </c>
      <c r="G109" t="str">
        <f t="shared" si="3"/>
        <v>WAS</v>
      </c>
      <c r="H109">
        <v>2024</v>
      </c>
    </row>
    <row r="110" spans="1:8" x14ac:dyDescent="0.45">
      <c r="A110" t="s">
        <v>1107</v>
      </c>
      <c r="B110" s="14">
        <v>1.89E-2</v>
      </c>
      <c r="C110" s="14">
        <v>2.5999999999999999E-2</v>
      </c>
      <c r="D110" s="14">
        <v>2.1000000000000001E-2</v>
      </c>
      <c r="E110" s="14">
        <v>2.2599999999999999E-2</v>
      </c>
      <c r="F110" t="str">
        <f t="shared" si="2"/>
        <v>Tyrone Tracy Jr.</v>
      </c>
      <c r="G110" t="str">
        <f t="shared" si="3"/>
        <v>NYG</v>
      </c>
      <c r="H110">
        <v>2024</v>
      </c>
    </row>
    <row r="111" spans="1:8" x14ac:dyDescent="0.45">
      <c r="A111" t="s">
        <v>1094</v>
      </c>
      <c r="B111" s="14">
        <v>1.9199999999999998E-2</v>
      </c>
      <c r="C111" s="14">
        <v>5.8799999999999998E-2</v>
      </c>
      <c r="D111" s="14">
        <v>1.2500000000000001E-2</v>
      </c>
      <c r="E111" s="14">
        <v>5.2499999999999998E-2</v>
      </c>
      <c r="F111" t="str">
        <f t="shared" si="2"/>
        <v>Zach Charbonnet</v>
      </c>
      <c r="G111" t="str">
        <f t="shared" si="3"/>
        <v>SEA</v>
      </c>
      <c r="H111">
        <v>2024</v>
      </c>
    </row>
    <row r="112" spans="1:8" x14ac:dyDescent="0.45">
      <c r="A112" t="s">
        <v>1092</v>
      </c>
      <c r="B112" s="14">
        <v>1.89E-2</v>
      </c>
      <c r="C112" s="14">
        <v>4.58E-2</v>
      </c>
      <c r="D112" s="14">
        <v>2.1000000000000001E-2</v>
      </c>
      <c r="E112" s="14">
        <v>4.2099999999999999E-2</v>
      </c>
      <c r="F112" t="str">
        <f t="shared" si="2"/>
        <v>Kenneth Walker III</v>
      </c>
      <c r="G112" t="str">
        <f t="shared" si="3"/>
        <v>SEA</v>
      </c>
      <c r="H112">
        <v>2024</v>
      </c>
    </row>
    <row r="113" spans="1:8" x14ac:dyDescent="0.45">
      <c r="A113" t="s">
        <v>1099</v>
      </c>
      <c r="B113" s="14">
        <v>0</v>
      </c>
      <c r="C113" s="14">
        <v>3.5000000000000003E-2</v>
      </c>
      <c r="D113" s="14">
        <v>4.2700000000000002E-2</v>
      </c>
      <c r="E113" s="14">
        <v>3.9899999999999998E-2</v>
      </c>
      <c r="F113" t="str">
        <f t="shared" si="2"/>
        <v>Kareem Hunt</v>
      </c>
      <c r="G113" t="str">
        <f t="shared" si="3"/>
        <v>KC</v>
      </c>
      <c r="H113">
        <v>2024</v>
      </c>
    </row>
    <row r="114" spans="1:8" x14ac:dyDescent="0.45">
      <c r="A114" t="s">
        <v>1158</v>
      </c>
      <c r="B114" s="14">
        <v>0</v>
      </c>
      <c r="C114" s="14">
        <v>4.1700000000000001E-2</v>
      </c>
      <c r="D114" s="14">
        <v>3.5000000000000001E-3</v>
      </c>
      <c r="E114" s="14">
        <v>0.04</v>
      </c>
      <c r="F114" t="str">
        <f t="shared" si="2"/>
        <v>Tank Bigsby</v>
      </c>
      <c r="G114" t="str">
        <f t="shared" si="3"/>
        <v>JAC</v>
      </c>
      <c r="H114">
        <v>2024</v>
      </c>
    </row>
    <row r="115" spans="1:8" x14ac:dyDescent="0.45">
      <c r="A115" t="s">
        <v>1159</v>
      </c>
      <c r="B115" s="14">
        <v>0</v>
      </c>
      <c r="C115" s="14">
        <v>1.9599999999999999E-2</v>
      </c>
      <c r="D115" s="14">
        <v>1.7100000000000001E-2</v>
      </c>
      <c r="E115" s="14">
        <v>2.8799999999999999E-2</v>
      </c>
      <c r="F115" t="str">
        <f t="shared" si="2"/>
        <v>Jordan Mason</v>
      </c>
      <c r="G115" t="str">
        <f t="shared" si="3"/>
        <v>SF</v>
      </c>
      <c r="H115">
        <v>2024</v>
      </c>
    </row>
    <row r="116" spans="1:8" x14ac:dyDescent="0.45">
      <c r="A116" t="s">
        <v>1160</v>
      </c>
      <c r="B116" s="14">
        <v>2.0400000000000001E-2</v>
      </c>
      <c r="C116" s="14">
        <v>3.0300000000000001E-2</v>
      </c>
      <c r="D116" s="14">
        <v>1.7399999999999999E-2</v>
      </c>
      <c r="E116" s="14">
        <v>3.5499999999999997E-2</v>
      </c>
      <c r="F116" t="str">
        <f t="shared" si="2"/>
        <v>Alexander Mattison</v>
      </c>
      <c r="G116" t="str">
        <f t="shared" si="3"/>
        <v>LV</v>
      </c>
      <c r="H116">
        <v>2024</v>
      </c>
    </row>
    <row r="117" spans="1:8" x14ac:dyDescent="0.45">
      <c r="A117" t="s">
        <v>1161</v>
      </c>
      <c r="B117" s="14">
        <v>0</v>
      </c>
      <c r="C117" s="14">
        <v>2.8799999999999999E-2</v>
      </c>
      <c r="D117" s="14">
        <v>6.8999999999999999E-3</v>
      </c>
      <c r="E117" s="14">
        <v>3.3500000000000002E-2</v>
      </c>
      <c r="F117" t="str">
        <f t="shared" si="2"/>
        <v>Javonte Williams</v>
      </c>
      <c r="G117" t="str">
        <f t="shared" si="3"/>
        <v>DEN</v>
      </c>
      <c r="H117">
        <v>2024</v>
      </c>
    </row>
    <row r="118" spans="1:8" x14ac:dyDescent="0.45">
      <c r="A118" t="s">
        <v>1162</v>
      </c>
      <c r="B118" s="14">
        <v>0</v>
      </c>
      <c r="C118" s="14">
        <v>2.8799999999999999E-2</v>
      </c>
      <c r="D118" s="14">
        <v>3.0999999999999999E-3</v>
      </c>
      <c r="E118" s="14">
        <v>2.47E-2</v>
      </c>
      <c r="F118" t="str">
        <f t="shared" si="2"/>
        <v>Jerome Ford</v>
      </c>
      <c r="G118" t="str">
        <f t="shared" si="3"/>
        <v>CLE</v>
      </c>
      <c r="H118">
        <v>2024</v>
      </c>
    </row>
    <row r="119" spans="1:8" x14ac:dyDescent="0.45">
      <c r="A119" t="s">
        <v>1163</v>
      </c>
      <c r="B119" s="14">
        <v>0</v>
      </c>
      <c r="C119" s="14">
        <v>5.1900000000000002E-2</v>
      </c>
      <c r="D119" s="14">
        <v>8.8999999999999999E-3</v>
      </c>
      <c r="E119" s="14">
        <v>4.7500000000000001E-2</v>
      </c>
      <c r="F119" t="str">
        <f t="shared" si="2"/>
        <v>Austin Ekeler</v>
      </c>
      <c r="G119" t="str">
        <f t="shared" si="3"/>
        <v>WAS</v>
      </c>
      <c r="H119">
        <v>2024</v>
      </c>
    </row>
    <row r="120" spans="1:8" x14ac:dyDescent="0.45">
      <c r="A120" t="s">
        <v>1139</v>
      </c>
      <c r="B120" s="14">
        <v>0.15790000000000001</v>
      </c>
      <c r="C120" s="14">
        <v>2.6499999999999999E-2</v>
      </c>
      <c r="D120" s="14">
        <v>0.1074</v>
      </c>
      <c r="E120" s="14">
        <v>2.4400000000000002E-2</v>
      </c>
      <c r="F120" t="str">
        <f t="shared" si="2"/>
        <v>Ray Davis</v>
      </c>
      <c r="G120" t="str">
        <f t="shared" si="3"/>
        <v>BUF</v>
      </c>
      <c r="H120">
        <v>2024</v>
      </c>
    </row>
    <row r="121" spans="1:8" x14ac:dyDescent="0.45">
      <c r="A121" t="s">
        <v>1104</v>
      </c>
      <c r="B121" s="14">
        <v>0</v>
      </c>
      <c r="C121" s="14">
        <v>2.1899999999999999E-2</v>
      </c>
      <c r="D121" s="14">
        <v>7.9000000000000008E-3</v>
      </c>
      <c r="E121" s="14">
        <v>2.6200000000000001E-2</v>
      </c>
      <c r="F121" t="str">
        <f t="shared" si="2"/>
        <v>Tyler Allgeier</v>
      </c>
      <c r="G121" t="str">
        <f t="shared" si="3"/>
        <v>ATL</v>
      </c>
      <c r="H121">
        <v>2024</v>
      </c>
    </row>
    <row r="122" spans="1:8" x14ac:dyDescent="0.45">
      <c r="A122" t="s">
        <v>1164</v>
      </c>
      <c r="B122" s="14">
        <v>6.3799999999999996E-2</v>
      </c>
      <c r="C122" s="14">
        <v>3.0300000000000001E-2</v>
      </c>
      <c r="D122" s="14">
        <v>5.4300000000000001E-2</v>
      </c>
      <c r="E122" s="14">
        <v>3.39E-2</v>
      </c>
      <c r="F122" t="str">
        <f t="shared" si="2"/>
        <v>Ameer Abdullah</v>
      </c>
      <c r="G122" t="str">
        <f t="shared" si="3"/>
        <v>LV</v>
      </c>
      <c r="H122">
        <v>2024</v>
      </c>
    </row>
    <row r="123" spans="1:8" x14ac:dyDescent="0.45">
      <c r="A123" t="s">
        <v>1080</v>
      </c>
      <c r="B123" s="14">
        <v>0</v>
      </c>
      <c r="C123" s="14">
        <v>1.3299999999999999E-2</v>
      </c>
      <c r="D123" s="14">
        <v>1.0800000000000001E-2</v>
      </c>
      <c r="E123" s="14">
        <v>1.7899999999999999E-2</v>
      </c>
      <c r="F123" t="str">
        <f t="shared" si="2"/>
        <v>Travis Etienne Jr.</v>
      </c>
      <c r="G123" t="str">
        <f t="shared" si="3"/>
        <v>JAC</v>
      </c>
      <c r="H123">
        <v>2024</v>
      </c>
    </row>
    <row r="124" spans="1:8" x14ac:dyDescent="0.45">
      <c r="A124" t="s">
        <v>1165</v>
      </c>
      <c r="B124" s="14">
        <v>5.7700000000000001E-2</v>
      </c>
      <c r="C124" s="14">
        <v>2.1299999999999999E-2</v>
      </c>
      <c r="D124" s="14">
        <v>4.1599999999999998E-2</v>
      </c>
      <c r="E124" s="14">
        <v>2.0500000000000001E-2</v>
      </c>
      <c r="F124" t="str">
        <f t="shared" si="2"/>
        <v>Justice Hill</v>
      </c>
      <c r="G124" t="str">
        <f t="shared" si="3"/>
        <v>BAL</v>
      </c>
      <c r="H124">
        <v>2024</v>
      </c>
    </row>
    <row r="125" spans="1:8" x14ac:dyDescent="0.45">
      <c r="A125" t="s">
        <v>1089</v>
      </c>
      <c r="B125" s="14">
        <v>0</v>
      </c>
      <c r="C125" s="14">
        <v>8.3000000000000001E-3</v>
      </c>
      <c r="D125" s="14">
        <v>1.15E-2</v>
      </c>
      <c r="E125" s="14">
        <v>1.5900000000000001E-2</v>
      </c>
      <c r="F125" t="str">
        <f t="shared" si="2"/>
        <v>Jaylen Warren</v>
      </c>
      <c r="G125" t="str">
        <f t="shared" si="3"/>
        <v>PIT</v>
      </c>
      <c r="H125">
        <v>2024</v>
      </c>
    </row>
    <row r="126" spans="1:8" x14ac:dyDescent="0.45">
      <c r="A126" t="s">
        <v>1123</v>
      </c>
      <c r="B126" s="14">
        <v>2.86E-2</v>
      </c>
      <c r="C126" s="14">
        <v>4.7600000000000003E-2</v>
      </c>
      <c r="D126" s="14">
        <v>2.24E-2</v>
      </c>
      <c r="E126" s="14">
        <v>3.7900000000000003E-2</v>
      </c>
      <c r="F126" t="str">
        <f t="shared" si="2"/>
        <v>Tyjae Spears</v>
      </c>
      <c r="G126" t="str">
        <f t="shared" si="3"/>
        <v>TEN</v>
      </c>
      <c r="H126">
        <v>2024</v>
      </c>
    </row>
    <row r="127" spans="1:8" x14ac:dyDescent="0.45">
      <c r="A127" t="s">
        <v>1166</v>
      </c>
      <c r="B127" s="14">
        <v>0</v>
      </c>
      <c r="C127" s="14">
        <v>4.7600000000000003E-2</v>
      </c>
      <c r="D127" s="14">
        <v>5.4999999999999997E-3</v>
      </c>
      <c r="E127" s="14">
        <v>4.2099999999999999E-2</v>
      </c>
      <c r="F127" t="str">
        <f t="shared" si="2"/>
        <v>Isaac Guerendo</v>
      </c>
      <c r="G127" t="str">
        <f t="shared" si="3"/>
        <v>SF</v>
      </c>
      <c r="H127">
        <v>2024</v>
      </c>
    </row>
    <row r="128" spans="1:8" x14ac:dyDescent="0.45">
      <c r="A128" t="s">
        <v>1167</v>
      </c>
      <c r="B128" s="14">
        <v>0</v>
      </c>
      <c r="C128" s="14">
        <v>8.3000000000000001E-3</v>
      </c>
      <c r="D128" s="14">
        <v>6.1000000000000004E-3</v>
      </c>
      <c r="E128" s="14">
        <v>1.35E-2</v>
      </c>
      <c r="F128" t="str">
        <f t="shared" si="2"/>
        <v>Antonio Gibson</v>
      </c>
      <c r="G128" t="str">
        <f t="shared" si="3"/>
        <v>NE</v>
      </c>
      <c r="H128">
        <v>2024</v>
      </c>
    </row>
    <row r="129" spans="1:8" x14ac:dyDescent="0.45">
      <c r="A129" t="s">
        <v>1115</v>
      </c>
      <c r="B129" s="14">
        <v>0</v>
      </c>
      <c r="C129" s="14">
        <v>3.5400000000000001E-2</v>
      </c>
      <c r="D129" s="14">
        <v>3.0999999999999999E-3</v>
      </c>
      <c r="E129" s="14">
        <v>3.09E-2</v>
      </c>
      <c r="F129" t="str">
        <f t="shared" si="2"/>
        <v>Devin Singletary</v>
      </c>
      <c r="G129" t="str">
        <f t="shared" si="3"/>
        <v>NYG</v>
      </c>
      <c r="H129">
        <v>2024</v>
      </c>
    </row>
    <row r="130" spans="1:8" x14ac:dyDescent="0.45">
      <c r="A130" t="s">
        <v>1125</v>
      </c>
      <c r="B130" s="14">
        <v>0.12</v>
      </c>
      <c r="C130" s="14">
        <v>2.4400000000000002E-2</v>
      </c>
      <c r="D130" s="14">
        <v>8.3500000000000005E-2</v>
      </c>
      <c r="E130" s="14">
        <v>2.7900000000000001E-2</v>
      </c>
      <c r="F130" t="str">
        <f t="shared" ref="F130:F193" si="4">TRIM(LEFT(A130, FIND("(", A130) - 2))</f>
        <v>Ty Johnson</v>
      </c>
      <c r="G130" t="str">
        <f t="shared" si="3"/>
        <v>BUF</v>
      </c>
      <c r="H130">
        <v>2024</v>
      </c>
    </row>
    <row r="131" spans="1:8" x14ac:dyDescent="0.45">
      <c r="A131" t="s">
        <v>1168</v>
      </c>
      <c r="B131" s="14">
        <v>0.16669999999999999</v>
      </c>
      <c r="C131" s="14">
        <v>1.9199999999999998E-2</v>
      </c>
      <c r="D131" s="14">
        <v>0.12089999999999999</v>
      </c>
      <c r="E131" s="14">
        <v>2.1399999999999999E-2</v>
      </c>
      <c r="F131" t="str">
        <f t="shared" si="4"/>
        <v>Cam Akers</v>
      </c>
      <c r="G131" t="str">
        <f t="shared" ref="G131:G194" si="5">MID(A131, FIND("(", A131) + 1, FIND(")", A131) - FIND("(", A131) - 1)</f>
        <v>MIN</v>
      </c>
      <c r="H131">
        <v>2024</v>
      </c>
    </row>
    <row r="132" spans="1:8" x14ac:dyDescent="0.45">
      <c r="A132" t="s">
        <v>1118</v>
      </c>
      <c r="B132" s="14">
        <v>7.1400000000000005E-2</v>
      </c>
      <c r="C132" s="14">
        <v>3.8800000000000001E-2</v>
      </c>
      <c r="D132" s="14">
        <v>4.6899999999999997E-2</v>
      </c>
      <c r="E132" s="14">
        <v>3.4099999999999998E-2</v>
      </c>
      <c r="F132" t="str">
        <f t="shared" si="4"/>
        <v>Emanuel Wilson</v>
      </c>
      <c r="G132" t="str">
        <f t="shared" si="5"/>
        <v>GB</v>
      </c>
      <c r="H132">
        <v>2024</v>
      </c>
    </row>
    <row r="133" spans="1:8" x14ac:dyDescent="0.45">
      <c r="A133" t="s">
        <v>1146</v>
      </c>
      <c r="B133" s="14">
        <v>7.4099999999999999E-2</v>
      </c>
      <c r="C133" s="14">
        <v>8.8000000000000005E-3</v>
      </c>
      <c r="D133" s="14">
        <v>5.4899999999999997E-2</v>
      </c>
      <c r="E133" s="14">
        <v>1.47E-2</v>
      </c>
      <c r="F133" t="str">
        <f t="shared" si="4"/>
        <v>Jaleel McLaughlin</v>
      </c>
      <c r="G133" t="str">
        <f t="shared" si="5"/>
        <v>DEN</v>
      </c>
      <c r="H133">
        <v>2024</v>
      </c>
    </row>
    <row r="134" spans="1:8" x14ac:dyDescent="0.45">
      <c r="A134" t="s">
        <v>1169</v>
      </c>
      <c r="B134" s="14">
        <v>3.6999999999999998E-2</v>
      </c>
      <c r="C134" s="14">
        <v>2.1700000000000001E-2</v>
      </c>
      <c r="D134" s="14">
        <v>2.3400000000000001E-2</v>
      </c>
      <c r="E134" s="14">
        <v>2.07E-2</v>
      </c>
      <c r="F134" t="str">
        <f t="shared" si="4"/>
        <v>Braelon Allen</v>
      </c>
      <c r="G134" t="str">
        <f t="shared" si="5"/>
        <v>NYJ</v>
      </c>
      <c r="H134">
        <v>2024</v>
      </c>
    </row>
    <row r="135" spans="1:8" x14ac:dyDescent="0.45">
      <c r="A135" t="s">
        <v>1170</v>
      </c>
      <c r="B135" s="14">
        <v>0</v>
      </c>
      <c r="C135" s="14">
        <v>3.9600000000000003E-2</v>
      </c>
      <c r="D135" s="14">
        <v>2.5000000000000001E-3</v>
      </c>
      <c r="E135" s="14">
        <v>3.8600000000000002E-2</v>
      </c>
      <c r="F135" t="str">
        <f t="shared" si="4"/>
        <v>Gus Edwards</v>
      </c>
      <c r="G135" t="str">
        <f t="shared" si="5"/>
        <v>LAC</v>
      </c>
      <c r="H135">
        <v>2024</v>
      </c>
    </row>
    <row r="136" spans="1:8" x14ac:dyDescent="0.45">
      <c r="A136" t="s">
        <v>1171</v>
      </c>
      <c r="B136" s="14">
        <v>0</v>
      </c>
      <c r="C136" s="14">
        <v>0.1091</v>
      </c>
      <c r="D136" s="14">
        <v>6.6E-3</v>
      </c>
      <c r="E136" s="14">
        <v>9.0899999999999995E-2</v>
      </c>
      <c r="F136" t="str">
        <f t="shared" si="4"/>
        <v>Roschon Johnson</v>
      </c>
      <c r="G136" t="str">
        <f t="shared" si="5"/>
        <v>CHI</v>
      </c>
      <c r="H136">
        <v>2024</v>
      </c>
    </row>
    <row r="137" spans="1:8" x14ac:dyDescent="0.45">
      <c r="A137" t="s">
        <v>1172</v>
      </c>
      <c r="B137" s="14">
        <v>3.6999999999999998E-2</v>
      </c>
      <c r="C137" s="14">
        <v>2.7E-2</v>
      </c>
      <c r="D137" s="14">
        <v>3.2599999999999997E-2</v>
      </c>
      <c r="E137" s="14">
        <v>4.02E-2</v>
      </c>
      <c r="F137" t="str">
        <f t="shared" si="4"/>
        <v>Zack Moss</v>
      </c>
      <c r="G137" t="str">
        <f t="shared" si="5"/>
        <v>CIN</v>
      </c>
      <c r="H137">
        <v>2024</v>
      </c>
    </row>
    <row r="138" spans="1:8" x14ac:dyDescent="0.45">
      <c r="A138" t="s">
        <v>1173</v>
      </c>
      <c r="B138" s="14">
        <v>9.0899999999999995E-2</v>
      </c>
      <c r="C138" s="14">
        <v>2.9399999999999999E-2</v>
      </c>
      <c r="D138" s="14">
        <v>7.17E-2</v>
      </c>
      <c r="E138" s="14">
        <v>3.1699999999999999E-2</v>
      </c>
      <c r="F138" t="str">
        <f t="shared" si="4"/>
        <v>Nick Chubb</v>
      </c>
      <c r="G138" t="str">
        <f t="shared" si="5"/>
        <v>CLE</v>
      </c>
      <c r="H138">
        <v>2024</v>
      </c>
    </row>
    <row r="139" spans="1:8" x14ac:dyDescent="0.45">
      <c r="A139" t="s">
        <v>1114</v>
      </c>
      <c r="B139" s="14">
        <v>8.3299999999999999E-2</v>
      </c>
      <c r="C139" s="14">
        <v>0.04</v>
      </c>
      <c r="D139" s="14">
        <v>4.4600000000000001E-2</v>
      </c>
      <c r="E139" s="14">
        <v>3.5700000000000003E-2</v>
      </c>
      <c r="F139" t="str">
        <f t="shared" si="4"/>
        <v>Sean Tucker</v>
      </c>
      <c r="G139" t="str">
        <f t="shared" si="5"/>
        <v>TB</v>
      </c>
      <c r="H139">
        <v>2024</v>
      </c>
    </row>
    <row r="140" spans="1:8" x14ac:dyDescent="0.45">
      <c r="A140" t="s">
        <v>1130</v>
      </c>
      <c r="B140" s="14">
        <v>0</v>
      </c>
      <c r="C140" s="14">
        <v>7.2700000000000001E-2</v>
      </c>
      <c r="D140" s="14">
        <v>1.17E-2</v>
      </c>
      <c r="E140" s="14">
        <v>5.2900000000000003E-2</v>
      </c>
      <c r="F140" t="str">
        <f t="shared" si="4"/>
        <v>Jeremy McNichols</v>
      </c>
      <c r="G140" t="str">
        <f t="shared" si="5"/>
        <v>WAS</v>
      </c>
      <c r="H140">
        <v>2024</v>
      </c>
    </row>
    <row r="141" spans="1:8" x14ac:dyDescent="0.45">
      <c r="A141" t="s">
        <v>1174</v>
      </c>
      <c r="B141" s="14">
        <v>0</v>
      </c>
      <c r="C141" s="14">
        <v>2.35E-2</v>
      </c>
      <c r="D141" s="14">
        <v>6.7000000000000002E-3</v>
      </c>
      <c r="E141" s="14">
        <v>2.7699999999999999E-2</v>
      </c>
      <c r="F141" t="str">
        <f t="shared" si="4"/>
        <v>Raheem Mostert</v>
      </c>
      <c r="G141" t="str">
        <f t="shared" si="5"/>
        <v>MIA</v>
      </c>
      <c r="H141">
        <v>2024</v>
      </c>
    </row>
    <row r="142" spans="1:8" x14ac:dyDescent="0.45">
      <c r="A142" t="s">
        <v>1175</v>
      </c>
      <c r="B142" s="14">
        <v>0</v>
      </c>
      <c r="C142" s="14">
        <v>4.0500000000000001E-2</v>
      </c>
      <c r="D142" s="14">
        <v>8.0999999999999996E-3</v>
      </c>
      <c r="E142" s="14">
        <v>3.9100000000000003E-2</v>
      </c>
      <c r="F142" t="str">
        <f t="shared" si="4"/>
        <v>Ezekiel Elliott</v>
      </c>
      <c r="G142" t="str">
        <f t="shared" si="5"/>
        <v>DAL</v>
      </c>
      <c r="H142">
        <v>2024</v>
      </c>
    </row>
    <row r="143" spans="1:8" x14ac:dyDescent="0.45">
      <c r="A143" t="s">
        <v>1121</v>
      </c>
      <c r="B143" s="14">
        <v>0</v>
      </c>
      <c r="C143" s="14">
        <v>1.2E-2</v>
      </c>
      <c r="D143" s="14">
        <v>1.9800000000000002E-2</v>
      </c>
      <c r="E143" s="14">
        <v>1.7500000000000002E-2</v>
      </c>
      <c r="F143" t="str">
        <f t="shared" si="4"/>
        <v>Isiah Pacheco</v>
      </c>
      <c r="G143" t="str">
        <f t="shared" si="5"/>
        <v>KC</v>
      </c>
      <c r="H143">
        <v>2024</v>
      </c>
    </row>
    <row r="144" spans="1:8" x14ac:dyDescent="0.45">
      <c r="A144" t="s">
        <v>1176</v>
      </c>
      <c r="B144" s="14">
        <v>0</v>
      </c>
      <c r="C144" s="14">
        <v>1.3299999999999999E-2</v>
      </c>
      <c r="D144" s="14">
        <v>1.1299999999999999E-2</v>
      </c>
      <c r="E144" s="14">
        <v>2.4E-2</v>
      </c>
      <c r="F144" t="str">
        <f t="shared" si="4"/>
        <v>Kenny Gainwell</v>
      </c>
      <c r="G144" t="str">
        <f t="shared" si="5"/>
        <v>PHI</v>
      </c>
      <c r="H144">
        <v>2024</v>
      </c>
    </row>
    <row r="145" spans="1:8" x14ac:dyDescent="0.45">
      <c r="A145" t="s">
        <v>1144</v>
      </c>
      <c r="B145" s="14">
        <v>0</v>
      </c>
      <c r="C145" s="14">
        <v>1.5900000000000001E-2</v>
      </c>
      <c r="D145" s="14">
        <v>3.5000000000000001E-3</v>
      </c>
      <c r="E145" s="14">
        <v>1.4E-2</v>
      </c>
      <c r="F145" t="str">
        <f t="shared" si="4"/>
        <v>Trey Benson</v>
      </c>
      <c r="G145" t="str">
        <f t="shared" si="5"/>
        <v>ARI</v>
      </c>
      <c r="H145">
        <v>2024</v>
      </c>
    </row>
    <row r="146" spans="1:8" x14ac:dyDescent="0.45">
      <c r="A146" t="s">
        <v>1177</v>
      </c>
      <c r="B146" s="14">
        <v>0</v>
      </c>
      <c r="C146" s="14">
        <v>3.5700000000000003E-2</v>
      </c>
      <c r="D146" s="14">
        <v>1.0200000000000001E-2</v>
      </c>
      <c r="E146" s="14">
        <v>4.7100000000000003E-2</v>
      </c>
      <c r="F146" t="str">
        <f t="shared" si="4"/>
        <v>Trey Sermon</v>
      </c>
      <c r="G146" t="str">
        <f t="shared" si="5"/>
        <v>IND</v>
      </c>
      <c r="H146">
        <v>2024</v>
      </c>
    </row>
    <row r="147" spans="1:8" x14ac:dyDescent="0.45">
      <c r="A147" t="s">
        <v>1178</v>
      </c>
      <c r="B147" s="14">
        <v>3.5700000000000003E-2</v>
      </c>
      <c r="C147" s="14">
        <v>0</v>
      </c>
      <c r="D147" s="14">
        <v>5.1900000000000002E-2</v>
      </c>
      <c r="E147" s="14">
        <v>7.0000000000000001E-3</v>
      </c>
      <c r="F147" t="str">
        <f t="shared" si="4"/>
        <v>Dare Ogunbowale</v>
      </c>
      <c r="G147" t="str">
        <f t="shared" si="5"/>
        <v>HOU</v>
      </c>
      <c r="H147">
        <v>2024</v>
      </c>
    </row>
    <row r="148" spans="1:8" x14ac:dyDescent="0.45">
      <c r="A148" t="s">
        <v>1179</v>
      </c>
      <c r="B148" s="14">
        <v>0</v>
      </c>
      <c r="C148" s="14">
        <v>2.63E-2</v>
      </c>
      <c r="D148" s="14">
        <v>1.6000000000000001E-3</v>
      </c>
      <c r="E148" s="14">
        <v>2.3300000000000001E-2</v>
      </c>
      <c r="F148" t="str">
        <f t="shared" si="4"/>
        <v>Audric Estime</v>
      </c>
      <c r="G148" t="str">
        <f t="shared" si="5"/>
        <v>DEN</v>
      </c>
      <c r="H148">
        <v>2024</v>
      </c>
    </row>
    <row r="149" spans="1:8" x14ac:dyDescent="0.45">
      <c r="A149" t="s">
        <v>1180</v>
      </c>
      <c r="B149" s="14">
        <v>6.6699999999999995E-2</v>
      </c>
      <c r="C149" s="14">
        <v>3.1300000000000001E-2</v>
      </c>
      <c r="D149" s="14">
        <v>5.57E-2</v>
      </c>
      <c r="E149" s="14">
        <v>2.9700000000000001E-2</v>
      </c>
      <c r="F149" t="str">
        <f t="shared" si="4"/>
        <v>Tyler Goodson</v>
      </c>
      <c r="G149" t="str">
        <f t="shared" si="5"/>
        <v>IND</v>
      </c>
      <c r="H149">
        <v>2024</v>
      </c>
    </row>
    <row r="150" spans="1:8" x14ac:dyDescent="0.45">
      <c r="A150" t="s">
        <v>1073</v>
      </c>
      <c r="B150" s="14">
        <v>0</v>
      </c>
      <c r="C150" s="14">
        <v>0</v>
      </c>
      <c r="D150" s="14">
        <v>1.6500000000000001E-2</v>
      </c>
      <c r="E150" s="14">
        <v>7.9000000000000008E-3</v>
      </c>
      <c r="F150" t="str">
        <f t="shared" si="4"/>
        <v>Christian McCaffrey</v>
      </c>
      <c r="G150" t="str">
        <f t="shared" si="5"/>
        <v>SF</v>
      </c>
      <c r="H150">
        <v>2024</v>
      </c>
    </row>
    <row r="151" spans="1:8" x14ac:dyDescent="0.45">
      <c r="A151" t="s">
        <v>1128</v>
      </c>
      <c r="B151" s="14">
        <v>8.3299999999999999E-2</v>
      </c>
      <c r="C151" s="14">
        <v>3.3300000000000003E-2</v>
      </c>
      <c r="D151" s="14">
        <v>7.1800000000000003E-2</v>
      </c>
      <c r="E151" s="14">
        <v>2.1299999999999999E-2</v>
      </c>
      <c r="F151" t="str">
        <f t="shared" si="4"/>
        <v>Isaiah Davis</v>
      </c>
      <c r="G151" t="str">
        <f t="shared" si="5"/>
        <v>NYJ</v>
      </c>
      <c r="H151">
        <v>2024</v>
      </c>
    </row>
    <row r="152" spans="1:8" x14ac:dyDescent="0.45">
      <c r="A152" t="s">
        <v>1117</v>
      </c>
      <c r="B152" s="14">
        <v>0</v>
      </c>
      <c r="C152" s="14">
        <v>5.7099999999999998E-2</v>
      </c>
      <c r="D152" s="14">
        <v>1.5599999999999999E-2</v>
      </c>
      <c r="E152" s="14">
        <v>5.3199999999999997E-2</v>
      </c>
      <c r="F152" t="str">
        <f t="shared" si="4"/>
        <v>Chris Rodriguez Jr.</v>
      </c>
      <c r="G152" t="str">
        <f t="shared" si="5"/>
        <v>WAS</v>
      </c>
      <c r="H152">
        <v>2024</v>
      </c>
    </row>
    <row r="153" spans="1:8" x14ac:dyDescent="0.45">
      <c r="A153" t="s">
        <v>1181</v>
      </c>
      <c r="B153" s="14">
        <v>3.3300000000000003E-2</v>
      </c>
      <c r="C153" s="14">
        <v>3.6400000000000002E-2</v>
      </c>
      <c r="D153" s="14">
        <v>2.4E-2</v>
      </c>
      <c r="E153" s="14">
        <v>3.0200000000000001E-2</v>
      </c>
      <c r="F153" t="str">
        <f t="shared" si="4"/>
        <v>Miles Sanders</v>
      </c>
      <c r="G153" t="str">
        <f t="shared" si="5"/>
        <v>CAR</v>
      </c>
      <c r="H153">
        <v>2024</v>
      </c>
    </row>
    <row r="154" spans="1:8" x14ac:dyDescent="0.45">
      <c r="A154" t="s">
        <v>1110</v>
      </c>
      <c r="B154" s="14">
        <v>0.1111</v>
      </c>
      <c r="C154" s="14">
        <v>0</v>
      </c>
      <c r="D154" s="14">
        <v>6.25E-2</v>
      </c>
      <c r="E154" s="14">
        <v>5.1000000000000004E-3</v>
      </c>
      <c r="F154" t="str">
        <f t="shared" si="4"/>
        <v>Kimani Vidal</v>
      </c>
      <c r="G154" t="str">
        <f t="shared" si="5"/>
        <v>LAC</v>
      </c>
      <c r="H154">
        <v>2024</v>
      </c>
    </row>
    <row r="155" spans="1:8" x14ac:dyDescent="0.45">
      <c r="A155" t="s">
        <v>1182</v>
      </c>
      <c r="B155" s="14">
        <v>0</v>
      </c>
      <c r="C155" s="14">
        <v>2.0799999999999999E-2</v>
      </c>
      <c r="D155" s="14">
        <v>8.5000000000000006E-3</v>
      </c>
      <c r="E155" s="14">
        <v>2.23E-2</v>
      </c>
      <c r="F155" t="str">
        <f t="shared" si="4"/>
        <v>Jamaal Williams</v>
      </c>
      <c r="G155" t="str">
        <f t="shared" si="5"/>
        <v>NO</v>
      </c>
      <c r="H155">
        <v>2024</v>
      </c>
    </row>
    <row r="156" spans="1:8" x14ac:dyDescent="0.45">
      <c r="A156" t="s">
        <v>1183</v>
      </c>
      <c r="B156" s="14">
        <v>7.1400000000000005E-2</v>
      </c>
      <c r="C156" s="14">
        <v>0</v>
      </c>
      <c r="D156" s="14">
        <v>5.0099999999999999E-2</v>
      </c>
      <c r="E156" s="14">
        <v>8.8999999999999999E-3</v>
      </c>
      <c r="F156" t="str">
        <f t="shared" si="4"/>
        <v>Cordarrelle Patterson</v>
      </c>
      <c r="G156" t="str">
        <f t="shared" si="5"/>
        <v>PIT</v>
      </c>
      <c r="H156">
        <v>2024</v>
      </c>
    </row>
    <row r="157" spans="1:8" x14ac:dyDescent="0.45">
      <c r="A157" t="s">
        <v>1149</v>
      </c>
      <c r="B157" s="14">
        <v>0</v>
      </c>
      <c r="C157" s="14">
        <v>2.7799999999999998E-2</v>
      </c>
      <c r="D157" s="14">
        <v>1.46E-2</v>
      </c>
      <c r="E157" s="14">
        <v>2.69E-2</v>
      </c>
      <c r="F157" t="str">
        <f t="shared" si="4"/>
        <v>Chris Brooks</v>
      </c>
      <c r="G157" t="str">
        <f t="shared" si="5"/>
        <v>GB</v>
      </c>
      <c r="H157">
        <v>2024</v>
      </c>
    </row>
    <row r="158" spans="1:8" x14ac:dyDescent="0.45">
      <c r="A158" t="s">
        <v>1103</v>
      </c>
      <c r="B158" s="14">
        <v>0</v>
      </c>
      <c r="C158" s="14">
        <v>0</v>
      </c>
      <c r="D158" s="14">
        <v>1.4E-3</v>
      </c>
      <c r="E158" s="14">
        <v>2.06E-2</v>
      </c>
      <c r="F158" t="str">
        <f t="shared" si="4"/>
        <v>Blake Corum</v>
      </c>
      <c r="G158" t="str">
        <f t="shared" si="5"/>
        <v>LAR</v>
      </c>
      <c r="H158">
        <v>2024</v>
      </c>
    </row>
    <row r="159" spans="1:8" x14ac:dyDescent="0.45">
      <c r="A159" t="s">
        <v>1140</v>
      </c>
      <c r="B159" s="14">
        <v>0</v>
      </c>
      <c r="C159" s="14">
        <v>2.5600000000000001E-2</v>
      </c>
      <c r="D159" s="14">
        <v>3.8999999999999998E-3</v>
      </c>
      <c r="E159" s="14">
        <v>1.7100000000000001E-2</v>
      </c>
      <c r="F159" t="str">
        <f t="shared" si="4"/>
        <v>Kendre Miller</v>
      </c>
      <c r="G159" t="str">
        <f t="shared" si="5"/>
        <v>NO</v>
      </c>
      <c r="H159">
        <v>2024</v>
      </c>
    </row>
    <row r="160" spans="1:8" x14ac:dyDescent="0.45">
      <c r="A160" t="s">
        <v>1134</v>
      </c>
      <c r="B160" s="14">
        <v>0</v>
      </c>
      <c r="C160" s="14">
        <v>0</v>
      </c>
      <c r="D160" s="14">
        <v>2.2800000000000001E-2</v>
      </c>
      <c r="E160" s="14">
        <v>3.8E-3</v>
      </c>
      <c r="F160" t="str">
        <f t="shared" si="4"/>
        <v>Jaylen Wright</v>
      </c>
      <c r="G160" t="str">
        <f t="shared" si="5"/>
        <v>MIA</v>
      </c>
      <c r="H160">
        <v>2024</v>
      </c>
    </row>
    <row r="161" spans="1:8" x14ac:dyDescent="0.45">
      <c r="A161" t="s">
        <v>1184</v>
      </c>
      <c r="B161" s="14">
        <v>0</v>
      </c>
      <c r="C161" s="14">
        <v>1.54E-2</v>
      </c>
      <c r="D161" s="14">
        <v>5.5999999999999999E-3</v>
      </c>
      <c r="E161" s="14">
        <v>1.9300000000000001E-2</v>
      </c>
      <c r="F161" t="str">
        <f t="shared" si="4"/>
        <v>Zamir White</v>
      </c>
      <c r="G161" t="str">
        <f t="shared" si="5"/>
        <v>LV</v>
      </c>
      <c r="H161">
        <v>2024</v>
      </c>
    </row>
    <row r="162" spans="1:8" x14ac:dyDescent="0.45">
      <c r="A162" t="s">
        <v>1185</v>
      </c>
      <c r="B162" s="14">
        <v>0</v>
      </c>
      <c r="C162" s="14">
        <v>0</v>
      </c>
      <c r="D162" s="14">
        <v>3.5000000000000001E-3</v>
      </c>
      <c r="E162" s="14">
        <v>2.1700000000000001E-2</v>
      </c>
      <c r="F162" t="str">
        <f t="shared" si="4"/>
        <v>D'Onta Foreman</v>
      </c>
      <c r="G162" t="str">
        <f t="shared" si="5"/>
        <v>CLE</v>
      </c>
      <c r="H162">
        <v>2024</v>
      </c>
    </row>
    <row r="163" spans="1:8" x14ac:dyDescent="0.45">
      <c r="A163" t="s">
        <v>1186</v>
      </c>
      <c r="B163" s="14">
        <v>0</v>
      </c>
      <c r="C163" s="14">
        <v>0</v>
      </c>
      <c r="D163" s="14">
        <v>1.2800000000000001E-2</v>
      </c>
      <c r="E163" s="14">
        <v>5.4000000000000003E-3</v>
      </c>
      <c r="F163" t="str">
        <f t="shared" si="4"/>
        <v>Ty Chandler</v>
      </c>
      <c r="G163" t="str">
        <f t="shared" si="5"/>
        <v>MIN</v>
      </c>
      <c r="H163">
        <v>2024</v>
      </c>
    </row>
    <row r="164" spans="1:8" x14ac:dyDescent="0.45">
      <c r="A164" t="s">
        <v>1187</v>
      </c>
      <c r="B164" s="14">
        <v>0</v>
      </c>
      <c r="C164" s="14">
        <v>0</v>
      </c>
      <c r="D164" s="14">
        <v>1.23E-2</v>
      </c>
      <c r="E164" s="14">
        <v>1.44E-2</v>
      </c>
      <c r="F164" t="str">
        <f t="shared" si="4"/>
        <v>D'Ernest Johnson</v>
      </c>
      <c r="G164" t="str">
        <f t="shared" si="5"/>
        <v>JAC</v>
      </c>
      <c r="H164">
        <v>2024</v>
      </c>
    </row>
    <row r="165" spans="1:8" x14ac:dyDescent="0.45">
      <c r="A165" t="s">
        <v>1188</v>
      </c>
      <c r="B165" s="14">
        <v>0</v>
      </c>
      <c r="C165" s="14">
        <v>0</v>
      </c>
      <c r="D165" s="14">
        <v>1.17E-2</v>
      </c>
      <c r="E165" s="14">
        <v>1.38E-2</v>
      </c>
      <c r="F165" t="str">
        <f t="shared" si="4"/>
        <v>Sincere McCormick</v>
      </c>
      <c r="G165" t="str">
        <f t="shared" si="5"/>
        <v>LV</v>
      </c>
      <c r="H165">
        <v>2024</v>
      </c>
    </row>
    <row r="166" spans="1:8" x14ac:dyDescent="0.45">
      <c r="A166" t="s">
        <v>1189</v>
      </c>
      <c r="B166" s="14">
        <v>0</v>
      </c>
      <c r="C166" s="14">
        <v>0</v>
      </c>
      <c r="D166" s="14">
        <v>6.1999999999999998E-3</v>
      </c>
      <c r="E166" s="14">
        <v>2.5999999999999999E-3</v>
      </c>
      <c r="F166" t="str">
        <f t="shared" si="4"/>
        <v>Pierre Strong Jr.</v>
      </c>
      <c r="G166" t="str">
        <f t="shared" si="5"/>
        <v>CLE</v>
      </c>
      <c r="H166">
        <v>2024</v>
      </c>
    </row>
    <row r="167" spans="1:8" x14ac:dyDescent="0.45">
      <c r="A167" t="s">
        <v>1190</v>
      </c>
      <c r="B167" s="14">
        <v>0.33329999999999999</v>
      </c>
      <c r="C167" s="14">
        <v>5.8799999999999998E-2</v>
      </c>
      <c r="D167" s="14">
        <v>0.17050000000000001</v>
      </c>
      <c r="E167" s="14">
        <v>8.3299999999999999E-2</v>
      </c>
      <c r="F167" t="str">
        <f t="shared" si="4"/>
        <v>Hassan Haskins</v>
      </c>
      <c r="G167" t="str">
        <f t="shared" si="5"/>
        <v>LAC</v>
      </c>
      <c r="H167">
        <v>2024</v>
      </c>
    </row>
    <row r="168" spans="1:8" x14ac:dyDescent="0.45">
      <c r="A168" t="s">
        <v>1191</v>
      </c>
      <c r="B168" s="14">
        <v>0</v>
      </c>
      <c r="C168" s="14">
        <v>0.05</v>
      </c>
      <c r="D168" s="14">
        <v>9.9000000000000008E-3</v>
      </c>
      <c r="E168" s="14">
        <v>3.04E-2</v>
      </c>
      <c r="F168" t="str">
        <f t="shared" si="4"/>
        <v>Dameon Pierce</v>
      </c>
      <c r="G168" t="str">
        <f t="shared" si="5"/>
        <v>HOU</v>
      </c>
      <c r="H168">
        <v>2024</v>
      </c>
    </row>
    <row r="169" spans="1:8" x14ac:dyDescent="0.45">
      <c r="A169" t="s">
        <v>1192</v>
      </c>
      <c r="B169" s="14">
        <v>0</v>
      </c>
      <c r="C169" s="14">
        <v>2.5600000000000001E-2</v>
      </c>
      <c r="D169" s="14">
        <v>8.0000000000000002E-3</v>
      </c>
      <c r="E169" s="14">
        <v>3.5099999999999999E-2</v>
      </c>
      <c r="F169" t="str">
        <f t="shared" si="4"/>
        <v>Patrick Taylor Jr.</v>
      </c>
      <c r="G169" t="str">
        <f t="shared" si="5"/>
        <v>SF</v>
      </c>
      <c r="H169">
        <v>2024</v>
      </c>
    </row>
    <row r="170" spans="1:8" x14ac:dyDescent="0.45">
      <c r="A170" t="s">
        <v>1193</v>
      </c>
      <c r="B170" s="14">
        <v>0</v>
      </c>
      <c r="C170" s="14">
        <v>0</v>
      </c>
      <c r="D170" s="14">
        <v>1.4E-3</v>
      </c>
      <c r="E170" s="14">
        <v>3.8999999999999998E-3</v>
      </c>
      <c r="F170" t="str">
        <f t="shared" si="4"/>
        <v>Kenny McIntosh</v>
      </c>
      <c r="G170" t="str">
        <f t="shared" si="5"/>
        <v>SEA</v>
      </c>
      <c r="H170">
        <v>2024</v>
      </c>
    </row>
    <row r="171" spans="1:8" x14ac:dyDescent="0.45">
      <c r="A171" t="s">
        <v>1194</v>
      </c>
      <c r="B171" s="14">
        <v>0</v>
      </c>
      <c r="C171" s="14">
        <v>0</v>
      </c>
      <c r="D171" s="14">
        <v>1.37E-2</v>
      </c>
      <c r="E171" s="14">
        <v>1.8499999999999999E-2</v>
      </c>
      <c r="F171" t="str">
        <f t="shared" si="4"/>
        <v>Carson Steele</v>
      </c>
      <c r="G171" t="str">
        <f t="shared" si="5"/>
        <v>KC</v>
      </c>
      <c r="H171">
        <v>2024</v>
      </c>
    </row>
    <row r="172" spans="1:8" x14ac:dyDescent="0.45">
      <c r="A172" t="s">
        <v>1195</v>
      </c>
      <c r="B172" s="14">
        <v>0</v>
      </c>
      <c r="C172" s="14">
        <v>0</v>
      </c>
      <c r="D172" s="14">
        <v>4.1999999999999997E-3</v>
      </c>
      <c r="E172" s="14">
        <v>3.7000000000000002E-3</v>
      </c>
      <c r="F172" t="str">
        <f t="shared" si="4"/>
        <v>Craig Reynolds</v>
      </c>
      <c r="G172" t="str">
        <f t="shared" si="5"/>
        <v>DET</v>
      </c>
      <c r="H172">
        <v>2024</v>
      </c>
    </row>
    <row r="173" spans="1:8" x14ac:dyDescent="0.45">
      <c r="A173" t="s">
        <v>1196</v>
      </c>
      <c r="B173" s="14">
        <v>0</v>
      </c>
      <c r="C173" s="14">
        <v>2.7799999999999998E-2</v>
      </c>
      <c r="D173" s="14">
        <v>2.3300000000000001E-2</v>
      </c>
      <c r="E173" s="14">
        <v>4.0800000000000003E-2</v>
      </c>
      <c r="F173" t="str">
        <f t="shared" si="4"/>
        <v>Khalil Herbert</v>
      </c>
      <c r="G173" t="str">
        <f t="shared" si="5"/>
        <v>CIN</v>
      </c>
      <c r="H173">
        <v>2024</v>
      </c>
    </row>
    <row r="174" spans="1:8" x14ac:dyDescent="0.45">
      <c r="A174" t="s">
        <v>1124</v>
      </c>
      <c r="B174" s="14">
        <v>0</v>
      </c>
      <c r="C174" s="14">
        <v>2.86E-2</v>
      </c>
      <c r="D174" s="14">
        <v>1.23E-2</v>
      </c>
      <c r="E174" s="14">
        <v>3.5799999999999998E-2</v>
      </c>
      <c r="F174" t="str">
        <f t="shared" si="4"/>
        <v>Michael Carter</v>
      </c>
      <c r="G174" t="str">
        <f t="shared" si="5"/>
        <v>ARI</v>
      </c>
      <c r="H174">
        <v>2024</v>
      </c>
    </row>
    <row r="175" spans="1:8" x14ac:dyDescent="0.45">
      <c r="A175" t="s">
        <v>1197</v>
      </c>
      <c r="B175" s="14">
        <v>0</v>
      </c>
      <c r="C175" s="14">
        <v>0</v>
      </c>
      <c r="D175" s="14">
        <v>3.9600000000000003E-2</v>
      </c>
      <c r="E175" s="14">
        <v>4.0000000000000001E-3</v>
      </c>
      <c r="F175" t="str">
        <f t="shared" si="4"/>
        <v>Will Shipley</v>
      </c>
      <c r="G175" t="str">
        <f t="shared" si="5"/>
        <v>PHI</v>
      </c>
      <c r="H175">
        <v>2024</v>
      </c>
    </row>
    <row r="176" spans="1:8" x14ac:dyDescent="0.45">
      <c r="A176" t="s">
        <v>1073</v>
      </c>
      <c r="B176" s="14">
        <v>8.43E-2</v>
      </c>
      <c r="C176" s="14">
        <v>5.1499999999999997E-2</v>
      </c>
      <c r="D176" s="14">
        <v>7.0199999999999999E-2</v>
      </c>
      <c r="E176" s="14">
        <v>4.6300000000000001E-2</v>
      </c>
      <c r="F176" t="str">
        <f t="shared" si="4"/>
        <v>Christian McCaffrey</v>
      </c>
      <c r="G176" t="str">
        <f t="shared" si="5"/>
        <v>SF</v>
      </c>
      <c r="H176">
        <v>2023</v>
      </c>
    </row>
    <row r="177" spans="1:8" x14ac:dyDescent="0.45">
      <c r="A177" t="s">
        <v>1174</v>
      </c>
      <c r="B177" s="14">
        <v>9.3799999999999994E-2</v>
      </c>
      <c r="C177" s="14">
        <v>8.6099999999999996E-2</v>
      </c>
      <c r="D177" s="14">
        <v>7.22E-2</v>
      </c>
      <c r="E177" s="14">
        <v>6.8699999999999997E-2</v>
      </c>
      <c r="F177" t="str">
        <f t="shared" si="4"/>
        <v>Raheem Mostert</v>
      </c>
      <c r="G177" t="str">
        <f t="shared" si="5"/>
        <v>MIA</v>
      </c>
      <c r="H177">
        <v>2023</v>
      </c>
    </row>
    <row r="178" spans="1:8" x14ac:dyDescent="0.45">
      <c r="A178" t="s">
        <v>1079</v>
      </c>
      <c r="B178" s="14">
        <v>6.25E-2</v>
      </c>
      <c r="C178" s="14">
        <v>5.2600000000000001E-2</v>
      </c>
      <c r="D178" s="14">
        <v>6.0600000000000001E-2</v>
      </c>
      <c r="E178" s="14">
        <v>4.8800000000000003E-2</v>
      </c>
      <c r="F178" t="str">
        <f t="shared" si="4"/>
        <v>Kyren Williams</v>
      </c>
      <c r="G178" t="str">
        <f t="shared" si="5"/>
        <v>LAR</v>
      </c>
      <c r="H178">
        <v>2023</v>
      </c>
    </row>
    <row r="179" spans="1:8" x14ac:dyDescent="0.45">
      <c r="A179" t="s">
        <v>1080</v>
      </c>
      <c r="B179" s="14">
        <v>1.37E-2</v>
      </c>
      <c r="C179" s="14">
        <v>4.1200000000000001E-2</v>
      </c>
      <c r="D179" s="14">
        <v>1.15E-2</v>
      </c>
      <c r="E179" s="14">
        <v>3.3500000000000002E-2</v>
      </c>
      <c r="F179" t="str">
        <f t="shared" si="4"/>
        <v>Travis Etienne Jr.</v>
      </c>
      <c r="G179" t="str">
        <f t="shared" si="5"/>
        <v>JAC</v>
      </c>
      <c r="H179">
        <v>2023</v>
      </c>
    </row>
    <row r="180" spans="1:8" x14ac:dyDescent="0.45">
      <c r="A180" t="s">
        <v>1198</v>
      </c>
      <c r="B180" s="14">
        <v>0</v>
      </c>
      <c r="C180" s="14">
        <v>4.2900000000000001E-2</v>
      </c>
      <c r="D180" s="14">
        <v>1.01E-2</v>
      </c>
      <c r="E180" s="14">
        <v>3.6999999999999998E-2</v>
      </c>
      <c r="F180" t="str">
        <f t="shared" si="4"/>
        <v>Derrick Henry</v>
      </c>
      <c r="G180" t="str">
        <f t="shared" si="5"/>
        <v>TEN</v>
      </c>
      <c r="H180">
        <v>2023</v>
      </c>
    </row>
    <row r="181" spans="1:8" x14ac:dyDescent="0.45">
      <c r="A181" t="s">
        <v>1111</v>
      </c>
      <c r="B181" s="14">
        <v>4.2900000000000001E-2</v>
      </c>
      <c r="C181" s="14">
        <v>2.2100000000000002E-2</v>
      </c>
      <c r="D181" s="14">
        <v>3.27E-2</v>
      </c>
      <c r="E181" s="14">
        <v>2.3699999999999999E-2</v>
      </c>
      <c r="F181" t="str">
        <f t="shared" si="4"/>
        <v>Rachaad White</v>
      </c>
      <c r="G181" t="str">
        <f t="shared" si="5"/>
        <v>TB</v>
      </c>
      <c r="H181">
        <v>2023</v>
      </c>
    </row>
    <row r="182" spans="1:8" x14ac:dyDescent="0.45">
      <c r="A182" t="s">
        <v>1199</v>
      </c>
      <c r="B182" s="14">
        <v>4.6899999999999997E-2</v>
      </c>
      <c r="C182" s="14">
        <v>3.5000000000000003E-2</v>
      </c>
      <c r="D182" s="14">
        <v>4.7E-2</v>
      </c>
      <c r="E182" s="14">
        <v>4.07E-2</v>
      </c>
      <c r="F182" t="str">
        <f t="shared" si="4"/>
        <v>Joe Mixon</v>
      </c>
      <c r="G182" t="str">
        <f t="shared" si="5"/>
        <v>CIN</v>
      </c>
      <c r="H182">
        <v>2023</v>
      </c>
    </row>
    <row r="183" spans="1:8" x14ac:dyDescent="0.45">
      <c r="A183" t="s">
        <v>1088</v>
      </c>
      <c r="B183" s="14">
        <v>4.2099999999999999E-2</v>
      </c>
      <c r="C183" s="14">
        <v>2.24E-2</v>
      </c>
      <c r="D183" s="14">
        <v>3.04E-2</v>
      </c>
      <c r="E183" s="14">
        <v>1.7299999999999999E-2</v>
      </c>
      <c r="F183" t="str">
        <f t="shared" si="4"/>
        <v>Breece Hall</v>
      </c>
      <c r="G183" t="str">
        <f t="shared" si="5"/>
        <v>NYJ</v>
      </c>
      <c r="H183">
        <v>2023</v>
      </c>
    </row>
    <row r="184" spans="1:8" x14ac:dyDescent="0.45">
      <c r="A184" t="s">
        <v>1076</v>
      </c>
      <c r="B184" s="14">
        <v>7.4099999999999999E-2</v>
      </c>
      <c r="C184" s="14">
        <v>8.3999999999999995E-3</v>
      </c>
      <c r="D184" s="14">
        <v>5.5199999999999999E-2</v>
      </c>
      <c r="E184" s="14">
        <v>1.4500000000000001E-2</v>
      </c>
      <c r="F184" t="str">
        <f t="shared" si="4"/>
        <v>James Cook III</v>
      </c>
      <c r="G184" t="str">
        <f t="shared" si="5"/>
        <v>BUF</v>
      </c>
      <c r="H184">
        <v>2023</v>
      </c>
    </row>
    <row r="185" spans="1:8" x14ac:dyDescent="0.45">
      <c r="A185" t="s">
        <v>1096</v>
      </c>
      <c r="B185" s="14">
        <v>0</v>
      </c>
      <c r="C185" s="14">
        <v>5.9400000000000001E-2</v>
      </c>
      <c r="D185" s="14">
        <v>4.4999999999999997E-3</v>
      </c>
      <c r="E185" s="14">
        <v>5.3800000000000001E-2</v>
      </c>
      <c r="F185" t="str">
        <f t="shared" si="4"/>
        <v>David Montgomery</v>
      </c>
      <c r="G185" t="str">
        <f t="shared" si="5"/>
        <v>DET</v>
      </c>
      <c r="H185">
        <v>2023</v>
      </c>
    </row>
    <row r="186" spans="1:8" x14ac:dyDescent="0.45">
      <c r="A186" t="s">
        <v>1075</v>
      </c>
      <c r="B186" s="14">
        <v>1.41E-2</v>
      </c>
      <c r="C186" s="14">
        <v>5.4899999999999997E-2</v>
      </c>
      <c r="D186" s="14">
        <v>2.3E-2</v>
      </c>
      <c r="E186" s="14">
        <v>4.6699999999999998E-2</v>
      </c>
      <c r="F186" t="str">
        <f t="shared" si="4"/>
        <v>Jahmyr Gibbs</v>
      </c>
      <c r="G186" t="str">
        <f t="shared" si="5"/>
        <v>DET</v>
      </c>
      <c r="H186">
        <v>2023</v>
      </c>
    </row>
    <row r="187" spans="1:8" x14ac:dyDescent="0.45">
      <c r="A187" t="s">
        <v>1200</v>
      </c>
      <c r="B187" s="14">
        <v>0</v>
      </c>
      <c r="C187" s="14">
        <v>6.5699999999999995E-2</v>
      </c>
      <c r="D187" s="14">
        <v>2.7000000000000001E-3</v>
      </c>
      <c r="E187" s="14">
        <v>6.08E-2</v>
      </c>
      <c r="F187" t="str">
        <f t="shared" si="4"/>
        <v>Gus Edwards</v>
      </c>
      <c r="G187" t="str">
        <f t="shared" si="5"/>
        <v>BAL</v>
      </c>
      <c r="H187">
        <v>2023</v>
      </c>
    </row>
    <row r="188" spans="1:8" x14ac:dyDescent="0.45">
      <c r="A188" t="s">
        <v>1121</v>
      </c>
      <c r="B188" s="14">
        <v>4.0800000000000003E-2</v>
      </c>
      <c r="C188" s="14">
        <v>3.4099999999999998E-2</v>
      </c>
      <c r="D188" s="14">
        <v>4.3900000000000002E-2</v>
      </c>
      <c r="E188" s="14">
        <v>3.2800000000000003E-2</v>
      </c>
      <c r="F188" t="str">
        <f t="shared" si="4"/>
        <v>Isiah Pacheco</v>
      </c>
      <c r="G188" t="str">
        <f t="shared" si="5"/>
        <v>KC</v>
      </c>
      <c r="H188">
        <v>2023</v>
      </c>
    </row>
    <row r="189" spans="1:8" x14ac:dyDescent="0.45">
      <c r="A189" t="s">
        <v>1074</v>
      </c>
      <c r="B189" s="14">
        <v>4.65E-2</v>
      </c>
      <c r="C189" s="14">
        <v>1.8700000000000001E-2</v>
      </c>
      <c r="D189" s="14">
        <v>4.19E-2</v>
      </c>
      <c r="E189" s="14">
        <v>1.7399999999999999E-2</v>
      </c>
      <c r="F189" t="str">
        <f t="shared" si="4"/>
        <v>Bijan Robinson</v>
      </c>
      <c r="G189" t="str">
        <f t="shared" si="5"/>
        <v>ATL</v>
      </c>
      <c r="H189">
        <v>2023</v>
      </c>
    </row>
    <row r="190" spans="1:8" x14ac:dyDescent="0.45">
      <c r="A190" t="s">
        <v>1162</v>
      </c>
      <c r="B190" s="14">
        <v>7.9399999999999998E-2</v>
      </c>
      <c r="C190" s="14">
        <v>1.9599999999999999E-2</v>
      </c>
      <c r="D190" s="14">
        <v>5.0599999999999999E-2</v>
      </c>
      <c r="E190" s="14">
        <v>1.7600000000000001E-2</v>
      </c>
      <c r="F190" t="str">
        <f t="shared" si="4"/>
        <v>Jerome Ford</v>
      </c>
      <c r="G190" t="str">
        <f t="shared" si="5"/>
        <v>CLE</v>
      </c>
      <c r="H190">
        <v>2023</v>
      </c>
    </row>
    <row r="191" spans="1:8" x14ac:dyDescent="0.45">
      <c r="A191" t="s">
        <v>1092</v>
      </c>
      <c r="B191" s="14">
        <v>2.7E-2</v>
      </c>
      <c r="C191" s="14">
        <v>3.6499999999999998E-2</v>
      </c>
      <c r="D191" s="14">
        <v>0.02</v>
      </c>
      <c r="E191" s="14">
        <v>3.6799999999999999E-2</v>
      </c>
      <c r="F191" t="str">
        <f t="shared" si="4"/>
        <v>Kenneth Walker III</v>
      </c>
      <c r="G191" t="str">
        <f t="shared" si="5"/>
        <v>SEA</v>
      </c>
      <c r="H191">
        <v>2023</v>
      </c>
    </row>
    <row r="192" spans="1:8" x14ac:dyDescent="0.45">
      <c r="A192" t="s">
        <v>1201</v>
      </c>
      <c r="B192" s="14">
        <v>6.6699999999999995E-2</v>
      </c>
      <c r="C192" s="14">
        <v>2.4299999999999999E-2</v>
      </c>
      <c r="D192" s="14">
        <v>4.65E-2</v>
      </c>
      <c r="E192" s="14">
        <v>2.4E-2</v>
      </c>
      <c r="F192" t="str">
        <f t="shared" si="4"/>
        <v>Saquon Barkley</v>
      </c>
      <c r="G192" t="str">
        <f t="shared" si="5"/>
        <v>NYG</v>
      </c>
      <c r="H192">
        <v>2023</v>
      </c>
    </row>
    <row r="193" spans="1:8" x14ac:dyDescent="0.45">
      <c r="A193" t="s">
        <v>1202</v>
      </c>
      <c r="B193" s="14">
        <v>2.0400000000000001E-2</v>
      </c>
      <c r="C193" s="14">
        <v>2.18E-2</v>
      </c>
      <c r="D193" s="14">
        <v>1.9900000000000001E-2</v>
      </c>
      <c r="E193" s="14">
        <v>2.9000000000000001E-2</v>
      </c>
      <c r="F193" t="str">
        <f t="shared" si="4"/>
        <v>D'Andre Swift</v>
      </c>
      <c r="G193" t="str">
        <f t="shared" si="5"/>
        <v>PHI</v>
      </c>
      <c r="H193">
        <v>2023</v>
      </c>
    </row>
    <row r="194" spans="1:8" x14ac:dyDescent="0.45">
      <c r="A194" t="s">
        <v>1122</v>
      </c>
      <c r="B194" s="14">
        <v>1.15E-2</v>
      </c>
      <c r="C194" s="14">
        <v>2.7799999999999998E-2</v>
      </c>
      <c r="D194" s="14">
        <v>1.35E-2</v>
      </c>
      <c r="E194" s="14">
        <v>3.3799999999999997E-2</v>
      </c>
      <c r="F194" t="str">
        <f t="shared" ref="F194:F257" si="6">TRIM(LEFT(A194, FIND("(", A194) - 2))</f>
        <v>Alvin Kamara</v>
      </c>
      <c r="G194" t="str">
        <f t="shared" si="5"/>
        <v>NO</v>
      </c>
      <c r="H194">
        <v>2023</v>
      </c>
    </row>
    <row r="195" spans="1:8" x14ac:dyDescent="0.45">
      <c r="A195" t="s">
        <v>1157</v>
      </c>
      <c r="B195" s="14">
        <v>9.2999999999999999E-2</v>
      </c>
      <c r="C195" s="14">
        <v>2.81E-2</v>
      </c>
      <c r="D195" s="14">
        <v>6.2E-2</v>
      </c>
      <c r="E195" s="14">
        <v>2.76E-2</v>
      </c>
      <c r="F195" t="str">
        <f t="shared" si="6"/>
        <v>Brian Robinson Jr.</v>
      </c>
      <c r="G195" t="str">
        <f t="shared" ref="G195:G258" si="7">MID(A195, FIND("(", A195) + 1, FIND(")", A195) - FIND("(", A195) - 1)</f>
        <v>WAS</v>
      </c>
      <c r="H195">
        <v>2023</v>
      </c>
    </row>
    <row r="196" spans="1:8" x14ac:dyDescent="0.45">
      <c r="A196" t="s">
        <v>1203</v>
      </c>
      <c r="B196" s="14">
        <v>0</v>
      </c>
      <c r="C196" s="14">
        <v>2.3699999999999999E-2</v>
      </c>
      <c r="D196" s="14">
        <v>1.5100000000000001E-2</v>
      </c>
      <c r="E196" s="14">
        <v>3.2500000000000001E-2</v>
      </c>
      <c r="F196" t="str">
        <f t="shared" si="6"/>
        <v>Tony Pollard</v>
      </c>
      <c r="G196" t="str">
        <f t="shared" si="7"/>
        <v>DAL</v>
      </c>
      <c r="H196">
        <v>2023</v>
      </c>
    </row>
    <row r="197" spans="1:8" x14ac:dyDescent="0.45">
      <c r="A197" t="s">
        <v>1077</v>
      </c>
      <c r="B197" s="14">
        <v>8.1100000000000005E-2</v>
      </c>
      <c r="C197" s="14">
        <v>7.7700000000000005E-2</v>
      </c>
      <c r="D197" s="14">
        <v>6.6100000000000006E-2</v>
      </c>
      <c r="E197" s="14">
        <v>5.5500000000000001E-2</v>
      </c>
      <c r="F197" t="str">
        <f t="shared" si="6"/>
        <v>De'Von Achane</v>
      </c>
      <c r="G197" t="str">
        <f t="shared" si="7"/>
        <v>MIA</v>
      </c>
      <c r="H197">
        <v>2023</v>
      </c>
    </row>
    <row r="198" spans="1:8" x14ac:dyDescent="0.45">
      <c r="A198" t="s">
        <v>1142</v>
      </c>
      <c r="B198" s="14">
        <v>6.0600000000000001E-2</v>
      </c>
      <c r="C198" s="14">
        <v>3.3700000000000001E-2</v>
      </c>
      <c r="D198" s="14">
        <v>4.48E-2</v>
      </c>
      <c r="E198" s="14">
        <v>3.3500000000000002E-2</v>
      </c>
      <c r="F198" t="str">
        <f t="shared" si="6"/>
        <v>James Conner</v>
      </c>
      <c r="G198" t="str">
        <f t="shared" si="7"/>
        <v>ARI</v>
      </c>
      <c r="H198">
        <v>2023</v>
      </c>
    </row>
    <row r="199" spans="1:8" x14ac:dyDescent="0.45">
      <c r="A199" t="s">
        <v>1154</v>
      </c>
      <c r="B199" s="14">
        <v>0</v>
      </c>
      <c r="C199" s="14">
        <v>3.1399999999999997E-2</v>
      </c>
      <c r="D199" s="14">
        <v>1.32E-2</v>
      </c>
      <c r="E199" s="14">
        <v>2.98E-2</v>
      </c>
      <c r="F199" t="str">
        <f t="shared" si="6"/>
        <v>Najee Harris</v>
      </c>
      <c r="G199" t="str">
        <f t="shared" si="7"/>
        <v>PIT</v>
      </c>
      <c r="H199">
        <v>2023</v>
      </c>
    </row>
    <row r="200" spans="1:8" x14ac:dyDescent="0.45">
      <c r="A200" t="s">
        <v>1204</v>
      </c>
      <c r="B200" s="14">
        <v>0</v>
      </c>
      <c r="C200" s="14">
        <v>2.58E-2</v>
      </c>
      <c r="D200" s="14">
        <v>1.4500000000000001E-2</v>
      </c>
      <c r="E200" s="14">
        <v>2.7699999999999999E-2</v>
      </c>
      <c r="F200" t="str">
        <f t="shared" si="6"/>
        <v>Josh Jacobs</v>
      </c>
      <c r="G200" t="str">
        <f t="shared" si="7"/>
        <v>LV</v>
      </c>
      <c r="H200">
        <v>2023</v>
      </c>
    </row>
    <row r="201" spans="1:8" x14ac:dyDescent="0.45">
      <c r="A201" t="s">
        <v>1205</v>
      </c>
      <c r="B201" s="14">
        <v>5.4100000000000002E-2</v>
      </c>
      <c r="C201" s="14">
        <v>2.7300000000000001E-2</v>
      </c>
      <c r="D201" s="14">
        <v>4.1099999999999998E-2</v>
      </c>
      <c r="E201" s="14">
        <v>3.2199999999999999E-2</v>
      </c>
      <c r="F201" t="str">
        <f t="shared" si="6"/>
        <v>Zack Moss</v>
      </c>
      <c r="G201" t="str">
        <f t="shared" si="7"/>
        <v>IND</v>
      </c>
      <c r="H201">
        <v>2023</v>
      </c>
    </row>
    <row r="202" spans="1:8" x14ac:dyDescent="0.45">
      <c r="A202" t="s">
        <v>1113</v>
      </c>
      <c r="B202" s="14">
        <v>0</v>
      </c>
      <c r="C202" s="14">
        <v>2.1000000000000001E-2</v>
      </c>
      <c r="D202" s="14">
        <v>3.7000000000000002E-3</v>
      </c>
      <c r="E202" s="14">
        <v>2.4500000000000001E-2</v>
      </c>
      <c r="F202" t="str">
        <f t="shared" si="6"/>
        <v>Chuba Hubbard</v>
      </c>
      <c r="G202" t="str">
        <f t="shared" si="7"/>
        <v>CAR</v>
      </c>
      <c r="H202">
        <v>2023</v>
      </c>
    </row>
    <row r="203" spans="1:8" x14ac:dyDescent="0.45">
      <c r="A203" t="s">
        <v>1089</v>
      </c>
      <c r="B203" s="14">
        <v>0</v>
      </c>
      <c r="C203" s="14">
        <v>2.6800000000000001E-2</v>
      </c>
      <c r="D203" s="14">
        <v>7.7999999999999996E-3</v>
      </c>
      <c r="E203" s="14">
        <v>2.4799999999999999E-2</v>
      </c>
      <c r="F203" t="str">
        <f t="shared" si="6"/>
        <v>Jaylen Warren</v>
      </c>
      <c r="G203" t="str">
        <f t="shared" si="7"/>
        <v>PIT</v>
      </c>
      <c r="H203">
        <v>2023</v>
      </c>
    </row>
    <row r="204" spans="1:8" x14ac:dyDescent="0.45">
      <c r="A204" t="s">
        <v>1206</v>
      </c>
      <c r="B204" s="14">
        <v>1.35E-2</v>
      </c>
      <c r="C204" s="14">
        <v>2.7900000000000001E-2</v>
      </c>
      <c r="D204" s="14">
        <v>1.9699999999999999E-2</v>
      </c>
      <c r="E204" s="14">
        <v>3.6600000000000001E-2</v>
      </c>
      <c r="F204" t="str">
        <f t="shared" si="6"/>
        <v>Austin Ekeler</v>
      </c>
      <c r="G204" t="str">
        <f t="shared" si="7"/>
        <v>LAC</v>
      </c>
      <c r="H204">
        <v>2023</v>
      </c>
    </row>
    <row r="205" spans="1:8" x14ac:dyDescent="0.45">
      <c r="A205" t="s">
        <v>1207</v>
      </c>
      <c r="B205" s="14">
        <v>0</v>
      </c>
      <c r="C205" s="14">
        <v>1.8499999999999999E-2</v>
      </c>
      <c r="D205" s="14">
        <v>1.03E-2</v>
      </c>
      <c r="E205" s="14">
        <v>2.2800000000000001E-2</v>
      </c>
      <c r="F205" t="str">
        <f t="shared" si="6"/>
        <v>Devin Singletary</v>
      </c>
      <c r="G205" t="str">
        <f t="shared" si="7"/>
        <v>HOU</v>
      </c>
      <c r="H205">
        <v>2023</v>
      </c>
    </row>
    <row r="206" spans="1:8" x14ac:dyDescent="0.45">
      <c r="A206" t="s">
        <v>1161</v>
      </c>
      <c r="B206" s="14">
        <v>3.4500000000000003E-2</v>
      </c>
      <c r="C206" s="14">
        <v>1.38E-2</v>
      </c>
      <c r="D206" s="14">
        <v>3.2899999999999999E-2</v>
      </c>
      <c r="E206" s="14">
        <v>2.0500000000000001E-2</v>
      </c>
      <c r="F206" t="str">
        <f t="shared" si="6"/>
        <v>Javonte Williams</v>
      </c>
      <c r="G206" t="str">
        <f t="shared" si="7"/>
        <v>DEN</v>
      </c>
      <c r="H206">
        <v>2023</v>
      </c>
    </row>
    <row r="207" spans="1:8" x14ac:dyDescent="0.45">
      <c r="A207" t="s">
        <v>1104</v>
      </c>
      <c r="B207" s="14">
        <v>4.3499999999999997E-2</v>
      </c>
      <c r="C207" s="14">
        <v>2.1499999999999998E-2</v>
      </c>
      <c r="D207" s="14">
        <v>3.1199999999999999E-2</v>
      </c>
      <c r="E207" s="14">
        <v>2.3599999999999999E-2</v>
      </c>
      <c r="F207" t="str">
        <f t="shared" si="6"/>
        <v>Tyler Allgeier</v>
      </c>
      <c r="G207" t="str">
        <f t="shared" si="7"/>
        <v>ATL</v>
      </c>
      <c r="H207">
        <v>2023</v>
      </c>
    </row>
    <row r="208" spans="1:8" x14ac:dyDescent="0.45">
      <c r="A208" t="s">
        <v>1208</v>
      </c>
      <c r="B208" s="14">
        <v>3.0800000000000001E-2</v>
      </c>
      <c r="C208" s="14">
        <v>1.6299999999999999E-2</v>
      </c>
      <c r="D208" s="14">
        <v>2.1499999999999998E-2</v>
      </c>
      <c r="E208" s="14">
        <v>1.8200000000000001E-2</v>
      </c>
      <c r="F208" t="str">
        <f t="shared" si="6"/>
        <v>Ezekiel Elliott</v>
      </c>
      <c r="G208" t="str">
        <f t="shared" si="7"/>
        <v>NE</v>
      </c>
      <c r="H208">
        <v>2023</v>
      </c>
    </row>
    <row r="209" spans="1:8" x14ac:dyDescent="0.45">
      <c r="A209" t="s">
        <v>1072</v>
      </c>
      <c r="B209" s="14">
        <v>4.3499999999999997E-2</v>
      </c>
      <c r="C209" s="14">
        <v>4.1399999999999999E-2</v>
      </c>
      <c r="D209" s="14">
        <v>4.1700000000000001E-2</v>
      </c>
      <c r="E209" s="14">
        <v>3.9699999999999999E-2</v>
      </c>
      <c r="F209" t="str">
        <f t="shared" si="6"/>
        <v>Jonathan Taylor</v>
      </c>
      <c r="G209" t="str">
        <f t="shared" si="7"/>
        <v>IND</v>
      </c>
      <c r="H209">
        <v>2023</v>
      </c>
    </row>
    <row r="210" spans="1:8" x14ac:dyDescent="0.45">
      <c r="A210" t="s">
        <v>1102</v>
      </c>
      <c r="B210" s="14">
        <v>0</v>
      </c>
      <c r="C210" s="14">
        <v>2.5600000000000001E-2</v>
      </c>
      <c r="D210" s="14">
        <v>6.7000000000000002E-3</v>
      </c>
      <c r="E210" s="14">
        <v>2.18E-2</v>
      </c>
      <c r="F210" t="str">
        <f t="shared" si="6"/>
        <v>Rhamondre Stevenson</v>
      </c>
      <c r="G210" t="str">
        <f t="shared" si="7"/>
        <v>NE</v>
      </c>
      <c r="H210">
        <v>2023</v>
      </c>
    </row>
    <row r="211" spans="1:8" x14ac:dyDescent="0.45">
      <c r="A211" t="s">
        <v>1209</v>
      </c>
      <c r="B211" s="14">
        <v>0</v>
      </c>
      <c r="C211" s="14">
        <v>6.6699999999999995E-2</v>
      </c>
      <c r="D211" s="14">
        <v>4.8999999999999998E-3</v>
      </c>
      <c r="E211" s="14">
        <v>5.74E-2</v>
      </c>
      <c r="F211" t="str">
        <f t="shared" si="6"/>
        <v>Kareem Hunt</v>
      </c>
      <c r="G211" t="str">
        <f t="shared" si="7"/>
        <v>CLE</v>
      </c>
      <c r="H211">
        <v>2023</v>
      </c>
    </row>
    <row r="212" spans="1:8" x14ac:dyDescent="0.45">
      <c r="A212" t="s">
        <v>1210</v>
      </c>
      <c r="B212" s="14">
        <v>6.8199999999999997E-2</v>
      </c>
      <c r="C212" s="14">
        <v>0</v>
      </c>
      <c r="D212" s="14">
        <v>6.8699999999999997E-2</v>
      </c>
      <c r="E212" s="14">
        <v>1.3899999999999999E-2</v>
      </c>
      <c r="F212" t="str">
        <f t="shared" si="6"/>
        <v>Alexander Mattison</v>
      </c>
      <c r="G212" t="str">
        <f t="shared" si="7"/>
        <v>MIN</v>
      </c>
      <c r="H212">
        <v>2023</v>
      </c>
    </row>
    <row r="213" spans="1:8" x14ac:dyDescent="0.45">
      <c r="A213" t="s">
        <v>1211</v>
      </c>
      <c r="B213" s="14">
        <v>0</v>
      </c>
      <c r="C213" s="14">
        <v>1.12E-2</v>
      </c>
      <c r="D213" s="14">
        <v>5.4000000000000003E-3</v>
      </c>
      <c r="E213" s="14">
        <v>2.3199999999999998E-2</v>
      </c>
      <c r="F213" t="str">
        <f t="shared" si="6"/>
        <v>AJ Dillon</v>
      </c>
      <c r="G213" t="str">
        <f t="shared" si="7"/>
        <v>GB</v>
      </c>
      <c r="H213">
        <v>2023</v>
      </c>
    </row>
    <row r="214" spans="1:8" x14ac:dyDescent="0.45">
      <c r="A214" t="s">
        <v>1445</v>
      </c>
      <c r="B214" s="14">
        <v>2.3300000000000001E-2</v>
      </c>
      <c r="C214" s="14">
        <v>1.41E-2</v>
      </c>
      <c r="D214" s="14">
        <v>2.8000000000000001E-2</v>
      </c>
      <c r="E214" s="14">
        <v>2.3699999999999999E-2</v>
      </c>
      <c r="F214" t="str">
        <f t="shared" si="6"/>
        <v>Aaron Jones Sr.</v>
      </c>
      <c r="G214" t="str">
        <f t="shared" si="7"/>
        <v>GB</v>
      </c>
      <c r="H214">
        <v>2023</v>
      </c>
    </row>
    <row r="215" spans="1:8" x14ac:dyDescent="0.45">
      <c r="A215" t="s">
        <v>1212</v>
      </c>
      <c r="B215" s="14">
        <v>3.2300000000000002E-2</v>
      </c>
      <c r="C215" s="14">
        <v>1.52E-2</v>
      </c>
      <c r="D215" s="14">
        <v>3.3700000000000001E-2</v>
      </c>
      <c r="E215" s="14">
        <v>1.41E-2</v>
      </c>
      <c r="F215" t="str">
        <f t="shared" si="6"/>
        <v>Khalil Herbert</v>
      </c>
      <c r="G215" t="str">
        <f t="shared" si="7"/>
        <v>CHI</v>
      </c>
      <c r="H215">
        <v>2023</v>
      </c>
    </row>
    <row r="216" spans="1:8" x14ac:dyDescent="0.45">
      <c r="A216" t="s">
        <v>1123</v>
      </c>
      <c r="B216" s="14">
        <v>1.43E-2</v>
      </c>
      <c r="C216" s="14">
        <v>0.02</v>
      </c>
      <c r="D216" s="14">
        <v>1.83E-2</v>
      </c>
      <c r="E216" s="14">
        <v>2.01E-2</v>
      </c>
      <c r="F216" t="str">
        <f t="shared" si="6"/>
        <v>Tyjae Spears</v>
      </c>
      <c r="G216" t="str">
        <f t="shared" si="7"/>
        <v>TEN</v>
      </c>
      <c r="H216">
        <v>2023</v>
      </c>
    </row>
    <row r="217" spans="1:8" x14ac:dyDescent="0.45">
      <c r="A217" t="s">
        <v>1213</v>
      </c>
      <c r="B217" s="14">
        <v>6.25E-2</v>
      </c>
      <c r="C217" s="14">
        <v>3.6700000000000003E-2</v>
      </c>
      <c r="D217" s="14">
        <v>5.67E-2</v>
      </c>
      <c r="E217" s="14">
        <v>3.5499999999999997E-2</v>
      </c>
      <c r="F217" t="str">
        <f t="shared" si="6"/>
        <v>D'Onta Foreman</v>
      </c>
      <c r="G217" t="str">
        <f t="shared" si="7"/>
        <v>CHI</v>
      </c>
      <c r="H217">
        <v>2023</v>
      </c>
    </row>
    <row r="218" spans="1:8" x14ac:dyDescent="0.45">
      <c r="A218" t="s">
        <v>1165</v>
      </c>
      <c r="B218" s="14">
        <v>2.5600000000000001E-2</v>
      </c>
      <c r="C218" s="14">
        <v>3.5700000000000003E-2</v>
      </c>
      <c r="D218" s="14">
        <v>1.7500000000000002E-2</v>
      </c>
      <c r="E218" s="14">
        <v>3.6499999999999998E-2</v>
      </c>
      <c r="F218" t="str">
        <f t="shared" si="6"/>
        <v>Justice Hill</v>
      </c>
      <c r="G218" t="str">
        <f t="shared" si="7"/>
        <v>BAL</v>
      </c>
      <c r="H218">
        <v>2023</v>
      </c>
    </row>
    <row r="219" spans="1:8" x14ac:dyDescent="0.45">
      <c r="A219" t="s">
        <v>1214</v>
      </c>
      <c r="B219" s="14">
        <v>3.39E-2</v>
      </c>
      <c r="C219" s="14">
        <v>1.54E-2</v>
      </c>
      <c r="D219" s="14">
        <v>2.63E-2</v>
      </c>
      <c r="E219" s="14">
        <v>1.54E-2</v>
      </c>
      <c r="F219" t="str">
        <f t="shared" si="6"/>
        <v>Antonio Gibson</v>
      </c>
      <c r="G219" t="str">
        <f t="shared" si="7"/>
        <v>WAS</v>
      </c>
      <c r="H219">
        <v>2023</v>
      </c>
    </row>
    <row r="220" spans="1:8" x14ac:dyDescent="0.45">
      <c r="A220" t="s">
        <v>1146</v>
      </c>
      <c r="B220" s="14">
        <v>5.5599999999999997E-2</v>
      </c>
      <c r="C220" s="14">
        <v>1.32E-2</v>
      </c>
      <c r="D220" s="14">
        <v>4.2500000000000003E-2</v>
      </c>
      <c r="E220" s="14">
        <v>1.5800000000000002E-2</v>
      </c>
      <c r="F220" t="str">
        <f t="shared" si="6"/>
        <v>Jaleel McLaughlin</v>
      </c>
      <c r="G220" t="str">
        <f t="shared" si="7"/>
        <v>DEN</v>
      </c>
      <c r="H220">
        <v>2023</v>
      </c>
    </row>
    <row r="221" spans="1:8" x14ac:dyDescent="0.45">
      <c r="A221" t="s">
        <v>1186</v>
      </c>
      <c r="B221" s="14">
        <v>0</v>
      </c>
      <c r="C221" s="14">
        <v>2.9399999999999999E-2</v>
      </c>
      <c r="D221" s="14">
        <v>1.41E-2</v>
      </c>
      <c r="E221" s="14">
        <v>2.4500000000000001E-2</v>
      </c>
      <c r="F221" t="str">
        <f t="shared" si="6"/>
        <v>Ty Chandler</v>
      </c>
      <c r="G221" t="str">
        <f t="shared" si="7"/>
        <v>MIN</v>
      </c>
      <c r="H221">
        <v>2023</v>
      </c>
    </row>
    <row r="222" spans="1:8" x14ac:dyDescent="0.45">
      <c r="A222" t="s">
        <v>1191</v>
      </c>
      <c r="B222" s="14">
        <v>0</v>
      </c>
      <c r="C222" s="14">
        <v>1.38E-2</v>
      </c>
      <c r="D222" s="14">
        <v>6.7999999999999996E-3</v>
      </c>
      <c r="E222" s="14">
        <v>2.41E-2</v>
      </c>
      <c r="F222" t="str">
        <f t="shared" si="6"/>
        <v>Dameon Pierce</v>
      </c>
      <c r="G222" t="str">
        <f t="shared" si="7"/>
        <v>HOU</v>
      </c>
      <c r="H222">
        <v>2023</v>
      </c>
    </row>
    <row r="223" spans="1:8" x14ac:dyDescent="0.45">
      <c r="A223" t="s">
        <v>1215</v>
      </c>
      <c r="B223" s="14">
        <v>0</v>
      </c>
      <c r="C223" s="14">
        <v>1.89E-2</v>
      </c>
      <c r="D223" s="14">
        <v>6.7000000000000002E-3</v>
      </c>
      <c r="E223" s="14">
        <v>2.9100000000000001E-2</v>
      </c>
      <c r="F223" t="str">
        <f t="shared" si="6"/>
        <v>Samaje Perine</v>
      </c>
      <c r="G223" t="str">
        <f t="shared" si="7"/>
        <v>DEN</v>
      </c>
      <c r="H223">
        <v>2023</v>
      </c>
    </row>
    <row r="224" spans="1:8" x14ac:dyDescent="0.45">
      <c r="A224" t="s">
        <v>1094</v>
      </c>
      <c r="B224" s="14">
        <v>0</v>
      </c>
      <c r="C224" s="14">
        <v>9.2999999999999992E-3</v>
      </c>
      <c r="D224" s="14">
        <v>4.7999999999999996E-3</v>
      </c>
      <c r="E224" s="14">
        <v>2.3300000000000001E-2</v>
      </c>
      <c r="F224" t="str">
        <f t="shared" si="6"/>
        <v>Zach Charbonnet</v>
      </c>
      <c r="G224" t="str">
        <f t="shared" si="7"/>
        <v>SEA</v>
      </c>
      <c r="H224">
        <v>2023</v>
      </c>
    </row>
    <row r="225" spans="1:8" x14ac:dyDescent="0.45">
      <c r="A225" t="s">
        <v>1171</v>
      </c>
      <c r="B225" s="14">
        <v>0</v>
      </c>
      <c r="C225" s="14">
        <v>2.47E-2</v>
      </c>
      <c r="D225" s="14">
        <v>1.12E-2</v>
      </c>
      <c r="E225" s="14">
        <v>3.1E-2</v>
      </c>
      <c r="F225" t="str">
        <f t="shared" si="6"/>
        <v>Roschon Johnson</v>
      </c>
      <c r="G225" t="str">
        <f t="shared" si="7"/>
        <v>CHI</v>
      </c>
      <c r="H225">
        <v>2023</v>
      </c>
    </row>
    <row r="226" spans="1:8" x14ac:dyDescent="0.45">
      <c r="A226" t="s">
        <v>1216</v>
      </c>
      <c r="B226" s="14">
        <v>0</v>
      </c>
      <c r="C226" s="14">
        <v>5.0599999999999999E-2</v>
      </c>
      <c r="D226" s="14">
        <v>2.7400000000000001E-2</v>
      </c>
      <c r="E226" s="14">
        <v>6.1899999999999997E-2</v>
      </c>
      <c r="F226" t="str">
        <f t="shared" si="6"/>
        <v>Latavius Murray</v>
      </c>
      <c r="G226" t="str">
        <f t="shared" si="7"/>
        <v>BUF</v>
      </c>
      <c r="H226">
        <v>2023</v>
      </c>
    </row>
    <row r="227" spans="1:8" x14ac:dyDescent="0.45">
      <c r="A227" t="s">
        <v>1156</v>
      </c>
      <c r="B227" s="14">
        <v>9.0899999999999995E-2</v>
      </c>
      <c r="C227" s="14">
        <v>2.2499999999999999E-2</v>
      </c>
      <c r="D227" s="14">
        <v>5.9900000000000002E-2</v>
      </c>
      <c r="E227" s="14">
        <v>2.6200000000000001E-2</v>
      </c>
      <c r="F227" t="str">
        <f t="shared" si="6"/>
        <v>Rico Dowdle</v>
      </c>
      <c r="G227" t="str">
        <f t="shared" si="7"/>
        <v>DAL</v>
      </c>
      <c r="H227">
        <v>2023</v>
      </c>
    </row>
    <row r="228" spans="1:8" x14ac:dyDescent="0.45">
      <c r="A228" t="s">
        <v>1176</v>
      </c>
      <c r="B228" s="14">
        <v>0</v>
      </c>
      <c r="C228" s="14">
        <v>2.3800000000000002E-2</v>
      </c>
      <c r="D228" s="14">
        <v>4.4000000000000003E-3</v>
      </c>
      <c r="E228" s="14">
        <v>2.9399999999999999E-2</v>
      </c>
      <c r="F228" t="str">
        <f t="shared" si="6"/>
        <v>Kenny Gainwell</v>
      </c>
      <c r="G228" t="str">
        <f t="shared" si="7"/>
        <v>PHI</v>
      </c>
      <c r="H228">
        <v>2023</v>
      </c>
    </row>
    <row r="229" spans="1:8" x14ac:dyDescent="0.45">
      <c r="A229" t="s">
        <v>1131</v>
      </c>
      <c r="B229" s="14">
        <v>0</v>
      </c>
      <c r="C229" s="14">
        <v>4.2599999999999999E-2</v>
      </c>
      <c r="D229" s="14">
        <v>1.03E-2</v>
      </c>
      <c r="E229" s="14">
        <v>2.5499999999999998E-2</v>
      </c>
      <c r="F229" t="str">
        <f t="shared" si="6"/>
        <v>Keaton Mitchell</v>
      </c>
      <c r="G229" t="str">
        <f t="shared" si="7"/>
        <v>BAL</v>
      </c>
      <c r="H229">
        <v>2023</v>
      </c>
    </row>
    <row r="230" spans="1:8" x14ac:dyDescent="0.45">
      <c r="A230" t="s">
        <v>1181</v>
      </c>
      <c r="B230" s="14">
        <v>0</v>
      </c>
      <c r="C230" s="14">
        <v>7.7999999999999996E-3</v>
      </c>
      <c r="D230" s="14">
        <v>6.7999999999999996E-3</v>
      </c>
      <c r="E230" s="14">
        <v>1.37E-2</v>
      </c>
      <c r="F230" t="str">
        <f t="shared" si="6"/>
        <v>Miles Sanders</v>
      </c>
      <c r="G230" t="str">
        <f t="shared" si="7"/>
        <v>CAR</v>
      </c>
      <c r="H230">
        <v>2023</v>
      </c>
    </row>
    <row r="231" spans="1:8" x14ac:dyDescent="0.45">
      <c r="A231" t="s">
        <v>1217</v>
      </c>
      <c r="B231" s="14">
        <v>0</v>
      </c>
      <c r="C231" s="14">
        <v>1.8700000000000001E-2</v>
      </c>
      <c r="D231" s="14">
        <v>3.7000000000000002E-3</v>
      </c>
      <c r="E231" s="14">
        <v>1.9800000000000002E-2</v>
      </c>
      <c r="F231" t="str">
        <f t="shared" si="6"/>
        <v>Joshua Kelley</v>
      </c>
      <c r="G231" t="str">
        <f t="shared" si="7"/>
        <v>LAC</v>
      </c>
      <c r="H231">
        <v>2023</v>
      </c>
    </row>
    <row r="232" spans="1:8" x14ac:dyDescent="0.45">
      <c r="A232" t="s">
        <v>1135</v>
      </c>
      <c r="B232" s="14">
        <v>0</v>
      </c>
      <c r="C232" s="14">
        <v>3.4500000000000003E-2</v>
      </c>
      <c r="D232" s="14">
        <v>8.6999999999999994E-3</v>
      </c>
      <c r="E232" s="14">
        <v>2.3599999999999999E-2</v>
      </c>
      <c r="F232" t="str">
        <f t="shared" si="6"/>
        <v>Emari Demercado</v>
      </c>
      <c r="G232" t="str">
        <f t="shared" si="7"/>
        <v>ARI</v>
      </c>
      <c r="H232">
        <v>2023</v>
      </c>
    </row>
    <row r="233" spans="1:8" x14ac:dyDescent="0.45">
      <c r="A233" t="s">
        <v>1218</v>
      </c>
      <c r="B233" s="14">
        <v>4.5499999999999999E-2</v>
      </c>
      <c r="C233" s="14">
        <v>1.43E-2</v>
      </c>
      <c r="D233" s="14">
        <v>6.2700000000000006E-2</v>
      </c>
      <c r="E233" s="14">
        <v>1.7999999999999999E-2</v>
      </c>
      <c r="F233" t="str">
        <f t="shared" si="6"/>
        <v>Clyde Edwards-Helaire</v>
      </c>
      <c r="G233" t="str">
        <f t="shared" si="7"/>
        <v>KC</v>
      </c>
      <c r="H233">
        <v>2023</v>
      </c>
    </row>
    <row r="234" spans="1:8" x14ac:dyDescent="0.45">
      <c r="A234" t="s">
        <v>1184</v>
      </c>
      <c r="B234" s="14">
        <v>0</v>
      </c>
      <c r="C234" s="14">
        <v>9.5999999999999992E-3</v>
      </c>
      <c r="D234" s="14">
        <v>1.2500000000000001E-2</v>
      </c>
      <c r="E234" s="14">
        <v>1.5800000000000002E-2</v>
      </c>
      <c r="F234" t="str">
        <f t="shared" si="6"/>
        <v>Zamir White</v>
      </c>
      <c r="G234" t="str">
        <f t="shared" si="7"/>
        <v>LV</v>
      </c>
      <c r="H234">
        <v>2023</v>
      </c>
    </row>
    <row r="235" spans="1:8" x14ac:dyDescent="0.45">
      <c r="A235" t="s">
        <v>1219</v>
      </c>
      <c r="B235" s="14">
        <v>0</v>
      </c>
      <c r="C235" s="14">
        <v>2.5999999999999999E-2</v>
      </c>
      <c r="D235" s="14">
        <v>1.5E-3</v>
      </c>
      <c r="E235" s="14">
        <v>3.4500000000000003E-2</v>
      </c>
      <c r="F235" t="str">
        <f t="shared" si="6"/>
        <v>Royce Freeman</v>
      </c>
      <c r="G235" t="str">
        <f t="shared" si="7"/>
        <v>LAR</v>
      </c>
      <c r="H235">
        <v>2023</v>
      </c>
    </row>
    <row r="236" spans="1:8" x14ac:dyDescent="0.45">
      <c r="A236" t="s">
        <v>1159</v>
      </c>
      <c r="B236" s="14">
        <v>0</v>
      </c>
      <c r="C236" s="14">
        <v>7.4999999999999997E-2</v>
      </c>
      <c r="D236" s="14">
        <v>2.5999999999999999E-3</v>
      </c>
      <c r="E236" s="14">
        <v>4.8000000000000001E-2</v>
      </c>
      <c r="F236" t="str">
        <f t="shared" si="6"/>
        <v>Jordan Mason</v>
      </c>
      <c r="G236" t="str">
        <f t="shared" si="7"/>
        <v>SF</v>
      </c>
      <c r="H236">
        <v>2023</v>
      </c>
    </row>
    <row r="237" spans="1:8" x14ac:dyDescent="0.45">
      <c r="A237" t="s">
        <v>1117</v>
      </c>
      <c r="B237" s="14">
        <v>0</v>
      </c>
      <c r="C237" s="14">
        <v>3.9199999999999999E-2</v>
      </c>
      <c r="D237" s="14">
        <v>1.9E-3</v>
      </c>
      <c r="E237" s="14">
        <v>3.5400000000000001E-2</v>
      </c>
      <c r="F237" t="str">
        <f t="shared" si="6"/>
        <v>Chris Rodriguez Jr.</v>
      </c>
      <c r="G237" t="str">
        <f t="shared" si="7"/>
        <v>WAS</v>
      </c>
      <c r="H237">
        <v>2023</v>
      </c>
    </row>
    <row r="238" spans="1:8" x14ac:dyDescent="0.45">
      <c r="A238" t="s">
        <v>1168</v>
      </c>
      <c r="B238" s="14">
        <v>0</v>
      </c>
      <c r="C238" s="14">
        <v>3.3300000000000003E-2</v>
      </c>
      <c r="D238" s="14">
        <v>1.23E-2</v>
      </c>
      <c r="E238" s="14">
        <v>2.87E-2</v>
      </c>
      <c r="F238" t="str">
        <f t="shared" si="6"/>
        <v>Cam Akers</v>
      </c>
      <c r="G238" t="str">
        <f t="shared" si="7"/>
        <v>MIN</v>
      </c>
      <c r="H238">
        <v>2023</v>
      </c>
    </row>
    <row r="239" spans="1:8" x14ac:dyDescent="0.45">
      <c r="A239" t="s">
        <v>1083</v>
      </c>
      <c r="B239" s="14">
        <v>6.6699999999999995E-2</v>
      </c>
      <c r="C239" s="14">
        <v>0</v>
      </c>
      <c r="D239" s="14">
        <v>3.8800000000000001E-2</v>
      </c>
      <c r="E239" s="14">
        <v>4.4000000000000003E-3</v>
      </c>
      <c r="F239" t="str">
        <f t="shared" si="6"/>
        <v>Chase Brown</v>
      </c>
      <c r="G239" t="str">
        <f t="shared" si="7"/>
        <v>CIN</v>
      </c>
      <c r="H239">
        <v>2023</v>
      </c>
    </row>
    <row r="240" spans="1:8" x14ac:dyDescent="0.45">
      <c r="A240" t="s">
        <v>1220</v>
      </c>
      <c r="B240" s="14">
        <v>0</v>
      </c>
      <c r="C240" s="14">
        <v>4.3499999999999997E-2</v>
      </c>
      <c r="D240" s="14">
        <v>3.6400000000000002E-2</v>
      </c>
      <c r="E240" s="14">
        <v>3.8699999999999998E-2</v>
      </c>
      <c r="F240" t="str">
        <f t="shared" si="6"/>
        <v>Darrell Henderson Jr.</v>
      </c>
      <c r="G240" t="str">
        <f t="shared" si="7"/>
        <v>LAR</v>
      </c>
      <c r="H240">
        <v>2023</v>
      </c>
    </row>
    <row r="241" spans="1:8" x14ac:dyDescent="0.45">
      <c r="A241" t="s">
        <v>1182</v>
      </c>
      <c r="B241" s="14">
        <v>0</v>
      </c>
      <c r="C241" s="14">
        <v>9.4000000000000004E-3</v>
      </c>
      <c r="D241" s="14">
        <v>7.7999999999999996E-3</v>
      </c>
      <c r="E241" s="14">
        <v>1.44E-2</v>
      </c>
      <c r="F241" t="str">
        <f t="shared" si="6"/>
        <v>Jamaal Williams</v>
      </c>
      <c r="G241" t="str">
        <f t="shared" si="7"/>
        <v>NO</v>
      </c>
      <c r="H241">
        <v>2023</v>
      </c>
    </row>
    <row r="242" spans="1:8" x14ac:dyDescent="0.45">
      <c r="A242" t="s">
        <v>1124</v>
      </c>
      <c r="B242" s="14">
        <v>3.2300000000000002E-2</v>
      </c>
      <c r="C242" s="14">
        <v>0</v>
      </c>
      <c r="D242" s="14">
        <v>3.0499999999999999E-2</v>
      </c>
      <c r="E242" s="14">
        <v>1.17E-2</v>
      </c>
      <c r="F242" t="str">
        <f t="shared" si="6"/>
        <v>Michael Carter</v>
      </c>
      <c r="G242" t="str">
        <f t="shared" si="7"/>
        <v>ARI</v>
      </c>
      <c r="H242">
        <v>2023</v>
      </c>
    </row>
    <row r="243" spans="1:8" x14ac:dyDescent="0.45">
      <c r="A243" t="s">
        <v>1189</v>
      </c>
      <c r="B243" s="14">
        <v>0</v>
      </c>
      <c r="C243" s="14">
        <v>1.5900000000000001E-2</v>
      </c>
      <c r="D243" s="14">
        <v>2.8999999999999998E-3</v>
      </c>
      <c r="E243" s="14">
        <v>1.7100000000000001E-2</v>
      </c>
      <c r="F243" t="str">
        <f t="shared" si="6"/>
        <v>Pierre Strong Jr.</v>
      </c>
      <c r="G243" t="str">
        <f t="shared" si="7"/>
        <v>CLE</v>
      </c>
      <c r="H243">
        <v>2023</v>
      </c>
    </row>
    <row r="244" spans="1:8" x14ac:dyDescent="0.45">
      <c r="A244" t="s">
        <v>1221</v>
      </c>
      <c r="B244" s="14">
        <v>0</v>
      </c>
      <c r="C244" s="14">
        <v>1.8200000000000001E-2</v>
      </c>
      <c r="D244" s="14">
        <v>2.8E-3</v>
      </c>
      <c r="E244" s="14">
        <v>1.49E-2</v>
      </c>
      <c r="F244" t="str">
        <f t="shared" si="6"/>
        <v>Matt Breida</v>
      </c>
      <c r="G244" t="str">
        <f t="shared" si="7"/>
        <v>NYG</v>
      </c>
      <c r="H244">
        <v>2023</v>
      </c>
    </row>
    <row r="245" spans="1:8" x14ac:dyDescent="0.45">
      <c r="A245" t="s">
        <v>1222</v>
      </c>
      <c r="B245" s="14">
        <v>0</v>
      </c>
      <c r="C245" s="14">
        <v>2.6700000000000002E-2</v>
      </c>
      <c r="D245" s="14">
        <v>2.2599999999999999E-2</v>
      </c>
      <c r="E245" s="14">
        <v>4.2900000000000001E-2</v>
      </c>
      <c r="F245" t="str">
        <f t="shared" si="6"/>
        <v>Elijah Mitchell</v>
      </c>
      <c r="G245" t="str">
        <f t="shared" si="7"/>
        <v>SF</v>
      </c>
      <c r="H245">
        <v>2023</v>
      </c>
    </row>
    <row r="246" spans="1:8" x14ac:dyDescent="0.45">
      <c r="A246" t="s">
        <v>1223</v>
      </c>
      <c r="B246" s="14">
        <v>8.3299999999999999E-2</v>
      </c>
      <c r="C246" s="14">
        <v>0</v>
      </c>
      <c r="D246" s="14">
        <v>6.5500000000000003E-2</v>
      </c>
      <c r="E246" s="14">
        <v>1.4800000000000001E-2</v>
      </c>
      <c r="F246" t="str">
        <f t="shared" si="6"/>
        <v>Cordarrelle Patterson</v>
      </c>
      <c r="G246" t="str">
        <f t="shared" si="7"/>
        <v>ATL</v>
      </c>
      <c r="H246">
        <v>2023</v>
      </c>
    </row>
    <row r="247" spans="1:8" x14ac:dyDescent="0.45">
      <c r="A247" t="s">
        <v>1224</v>
      </c>
      <c r="B247" s="14">
        <v>0</v>
      </c>
      <c r="C247" s="14">
        <v>0</v>
      </c>
      <c r="D247" s="14">
        <v>2.0999999999999999E-3</v>
      </c>
      <c r="E247" s="14">
        <v>7.6E-3</v>
      </c>
      <c r="F247" t="str">
        <f t="shared" si="6"/>
        <v>Dalvin Cook</v>
      </c>
      <c r="G247" t="str">
        <f t="shared" si="7"/>
        <v>NYJ</v>
      </c>
      <c r="H247">
        <v>2023</v>
      </c>
    </row>
    <row r="248" spans="1:8" x14ac:dyDescent="0.45">
      <c r="A248" t="s">
        <v>1225</v>
      </c>
      <c r="B248" s="14">
        <v>0</v>
      </c>
      <c r="C248" s="14">
        <v>7.6899999999999996E-2</v>
      </c>
      <c r="D248" s="14">
        <v>2.7799999999999998E-2</v>
      </c>
      <c r="E248" s="14">
        <v>6.1600000000000002E-2</v>
      </c>
      <c r="F248" t="str">
        <f t="shared" si="6"/>
        <v>Tony Jones Jr.</v>
      </c>
      <c r="G248" t="str">
        <f t="shared" si="7"/>
        <v>ARI</v>
      </c>
      <c r="H248">
        <v>2023</v>
      </c>
    </row>
    <row r="249" spans="1:8" x14ac:dyDescent="0.45">
      <c r="A249" t="s">
        <v>1187</v>
      </c>
      <c r="B249" s="14">
        <v>0</v>
      </c>
      <c r="C249" s="14">
        <v>0</v>
      </c>
      <c r="D249" s="14">
        <v>2.3E-3</v>
      </c>
      <c r="E249" s="14">
        <v>6.8999999999999999E-3</v>
      </c>
      <c r="F249" t="str">
        <f t="shared" si="6"/>
        <v>D'Ernest Johnson</v>
      </c>
      <c r="G249" t="str">
        <f t="shared" si="7"/>
        <v>JAC</v>
      </c>
      <c r="H249">
        <v>2023</v>
      </c>
    </row>
    <row r="250" spans="1:8" x14ac:dyDescent="0.45">
      <c r="A250" t="s">
        <v>1195</v>
      </c>
      <c r="B250" s="14">
        <v>0</v>
      </c>
      <c r="C250" s="14">
        <v>2.4400000000000002E-2</v>
      </c>
      <c r="D250" s="14">
        <v>3.3999999999999998E-3</v>
      </c>
      <c r="E250" s="14">
        <v>3.5799999999999998E-2</v>
      </c>
      <c r="F250" t="str">
        <f t="shared" si="6"/>
        <v>Craig Reynolds</v>
      </c>
      <c r="G250" t="str">
        <f t="shared" si="7"/>
        <v>DET</v>
      </c>
      <c r="H250">
        <v>2023</v>
      </c>
    </row>
    <row r="251" spans="1:8" x14ac:dyDescent="0.45">
      <c r="A251" t="s">
        <v>1125</v>
      </c>
      <c r="B251" s="14">
        <v>0.1429</v>
      </c>
      <c r="C251" s="14">
        <v>0</v>
      </c>
      <c r="D251" s="14">
        <v>8.5999999999999993E-2</v>
      </c>
      <c r="E251" s="14">
        <v>7.3000000000000001E-3</v>
      </c>
      <c r="F251" t="str">
        <f t="shared" si="6"/>
        <v>Ty Johnson</v>
      </c>
      <c r="G251" t="str">
        <f t="shared" si="7"/>
        <v>BUF</v>
      </c>
      <c r="H251">
        <v>2023</v>
      </c>
    </row>
    <row r="252" spans="1:8" x14ac:dyDescent="0.45">
      <c r="A252" t="s">
        <v>1226</v>
      </c>
      <c r="B252" s="14">
        <v>0</v>
      </c>
      <c r="C252" s="14">
        <v>0</v>
      </c>
      <c r="D252" s="14">
        <v>2.8999999999999998E-3</v>
      </c>
      <c r="E252" s="14">
        <v>3.8E-3</v>
      </c>
      <c r="F252" t="str">
        <f t="shared" si="6"/>
        <v>Chase Edmonds</v>
      </c>
      <c r="G252" t="str">
        <f t="shared" si="7"/>
        <v>TB</v>
      </c>
      <c r="H252">
        <v>2023</v>
      </c>
    </row>
    <row r="253" spans="1:8" x14ac:dyDescent="0.45">
      <c r="A253" t="s">
        <v>1227</v>
      </c>
      <c r="B253" s="14">
        <v>0</v>
      </c>
      <c r="C253" s="14">
        <v>3.1300000000000001E-2</v>
      </c>
      <c r="D253" s="14">
        <v>1.21E-2</v>
      </c>
      <c r="E253" s="14">
        <v>2.7099999999999999E-2</v>
      </c>
      <c r="F253" t="str">
        <f t="shared" si="6"/>
        <v>Darrynton Evans</v>
      </c>
      <c r="G253" t="str">
        <f t="shared" si="7"/>
        <v>MIA</v>
      </c>
      <c r="H253">
        <v>2023</v>
      </c>
    </row>
    <row r="254" spans="1:8" x14ac:dyDescent="0.45">
      <c r="A254" t="s">
        <v>1228</v>
      </c>
      <c r="B254" s="14">
        <v>0</v>
      </c>
      <c r="C254" s="14">
        <v>0</v>
      </c>
      <c r="D254" s="14">
        <v>9.9000000000000008E-3</v>
      </c>
      <c r="E254" s="14">
        <v>1.1900000000000001E-2</v>
      </c>
      <c r="F254" t="str">
        <f t="shared" si="6"/>
        <v>Jeff Wilson Jr.</v>
      </c>
      <c r="G254" t="str">
        <f t="shared" si="7"/>
        <v>MIA</v>
      </c>
      <c r="H254">
        <v>2023</v>
      </c>
    </row>
    <row r="255" spans="1:8" x14ac:dyDescent="0.45">
      <c r="A255" t="s">
        <v>1158</v>
      </c>
      <c r="B255" s="14">
        <v>0</v>
      </c>
      <c r="C255" s="14">
        <v>0.04</v>
      </c>
      <c r="D255" s="14">
        <v>1.17E-2</v>
      </c>
      <c r="E255" s="14">
        <v>3.7999999999999999E-2</v>
      </c>
      <c r="F255" t="str">
        <f t="shared" si="6"/>
        <v>Tank Bigsby</v>
      </c>
      <c r="G255" t="str">
        <f t="shared" si="7"/>
        <v>JAC</v>
      </c>
      <c r="H255">
        <v>2023</v>
      </c>
    </row>
    <row r="256" spans="1:8" x14ac:dyDescent="0.45">
      <c r="A256" t="s">
        <v>1140</v>
      </c>
      <c r="B256" s="14">
        <v>0</v>
      </c>
      <c r="C256" s="14">
        <v>2.4400000000000002E-2</v>
      </c>
      <c r="D256" s="14">
        <v>2.3E-3</v>
      </c>
      <c r="E256" s="14">
        <v>2.0199999999999999E-2</v>
      </c>
      <c r="F256" t="str">
        <f t="shared" si="6"/>
        <v>Kendre Miller</v>
      </c>
      <c r="G256" t="str">
        <f t="shared" si="7"/>
        <v>NO</v>
      </c>
      <c r="H256">
        <v>2023</v>
      </c>
    </row>
    <row r="257" spans="1:8" x14ac:dyDescent="0.45">
      <c r="A257" t="s">
        <v>1173</v>
      </c>
      <c r="B257" s="14">
        <v>0</v>
      </c>
      <c r="C257" s="14">
        <v>0</v>
      </c>
      <c r="D257" s="14">
        <v>9.4000000000000004E-3</v>
      </c>
      <c r="E257" s="14">
        <v>6.4000000000000003E-3</v>
      </c>
      <c r="F257" t="str">
        <f t="shared" si="6"/>
        <v>Nick Chubb</v>
      </c>
      <c r="G257" t="str">
        <f t="shared" si="7"/>
        <v>CLE</v>
      </c>
      <c r="H257">
        <v>2023</v>
      </c>
    </row>
    <row r="258" spans="1:8" x14ac:dyDescent="0.45">
      <c r="A258" t="s">
        <v>1229</v>
      </c>
      <c r="B258" s="14">
        <v>0</v>
      </c>
      <c r="C258" s="14">
        <v>0</v>
      </c>
      <c r="D258" s="14">
        <v>1.35E-2</v>
      </c>
      <c r="E258" s="14">
        <v>1.21E-2</v>
      </c>
      <c r="F258" t="str">
        <f t="shared" ref="F258:F321" si="8">TRIM(LEFT(A258, FIND("(", A258) - 2))</f>
        <v>Patrick Taylor Jr.</v>
      </c>
      <c r="G258" t="str">
        <f t="shared" si="7"/>
        <v>GB</v>
      </c>
      <c r="H258">
        <v>2023</v>
      </c>
    </row>
    <row r="259" spans="1:8" x14ac:dyDescent="0.45">
      <c r="A259" t="s">
        <v>1177</v>
      </c>
      <c r="B259" s="14">
        <v>0</v>
      </c>
      <c r="C259" s="14">
        <v>0</v>
      </c>
      <c r="D259" s="14">
        <v>2E-3</v>
      </c>
      <c r="E259" s="14">
        <v>4.1000000000000003E-3</v>
      </c>
      <c r="F259" t="str">
        <f t="shared" si="8"/>
        <v>Trey Sermon</v>
      </c>
      <c r="G259" t="str">
        <f t="shared" ref="G259:G322" si="9">MID(A259, FIND("(", A259) + 1, FIND(")", A259) - FIND("(", A259) - 1)</f>
        <v>IND</v>
      </c>
      <c r="H259">
        <v>2023</v>
      </c>
    </row>
    <row r="260" spans="1:8" x14ac:dyDescent="0.45">
      <c r="A260" t="s">
        <v>1230</v>
      </c>
      <c r="B260" s="14">
        <v>0</v>
      </c>
      <c r="C260" s="14">
        <v>3.85E-2</v>
      </c>
      <c r="D260" s="14">
        <v>5.1999999999999998E-3</v>
      </c>
      <c r="E260" s="14">
        <v>2.8899999999999999E-2</v>
      </c>
      <c r="F260" t="str">
        <f t="shared" si="8"/>
        <v>Melvin Gordon III</v>
      </c>
      <c r="G260" t="str">
        <f t="shared" si="9"/>
        <v>BAL</v>
      </c>
      <c r="H260">
        <v>2023</v>
      </c>
    </row>
    <row r="261" spans="1:8" x14ac:dyDescent="0.45">
      <c r="A261" t="s">
        <v>1231</v>
      </c>
      <c r="B261" s="14">
        <v>0</v>
      </c>
      <c r="C261" s="14">
        <v>0</v>
      </c>
      <c r="D261" s="14">
        <v>1.15E-2</v>
      </c>
      <c r="E261" s="14">
        <v>7.4000000000000003E-3</v>
      </c>
      <c r="F261" t="str">
        <f t="shared" si="8"/>
        <v>Isaiah Spiller</v>
      </c>
      <c r="G261" t="str">
        <f t="shared" si="9"/>
        <v>LAC</v>
      </c>
      <c r="H261">
        <v>2023</v>
      </c>
    </row>
    <row r="262" spans="1:8" x14ac:dyDescent="0.45">
      <c r="A262" t="s">
        <v>1232</v>
      </c>
      <c r="B262" s="14">
        <v>0</v>
      </c>
      <c r="C262" s="14">
        <v>0</v>
      </c>
      <c r="D262" s="14">
        <v>2.7000000000000001E-3</v>
      </c>
      <c r="E262" s="14">
        <v>3.8E-3</v>
      </c>
      <c r="F262" t="str">
        <f t="shared" si="8"/>
        <v>Keaontay Ingram</v>
      </c>
      <c r="G262" t="str">
        <f t="shared" si="9"/>
        <v>KC</v>
      </c>
      <c r="H262">
        <v>2023</v>
      </c>
    </row>
    <row r="263" spans="1:8" x14ac:dyDescent="0.45">
      <c r="A263" t="s">
        <v>1233</v>
      </c>
      <c r="B263" s="14">
        <v>0</v>
      </c>
      <c r="C263" s="14">
        <v>0</v>
      </c>
      <c r="D263" s="14">
        <v>8.5000000000000006E-3</v>
      </c>
      <c r="E263" s="14">
        <v>2.7000000000000001E-3</v>
      </c>
      <c r="F263" t="str">
        <f t="shared" si="8"/>
        <v>Ronnie Rivers</v>
      </c>
      <c r="G263" t="str">
        <f t="shared" si="9"/>
        <v>LAR</v>
      </c>
      <c r="H263">
        <v>2023</v>
      </c>
    </row>
    <row r="264" spans="1:8" x14ac:dyDescent="0.45">
      <c r="A264" t="s">
        <v>1204</v>
      </c>
      <c r="B264" s="14">
        <v>0</v>
      </c>
      <c r="C264" s="14">
        <v>3.5299999999999998E-2</v>
      </c>
      <c r="D264" s="14">
        <v>6.7000000000000002E-3</v>
      </c>
      <c r="E264" s="14">
        <v>2.9899999999999999E-2</v>
      </c>
      <c r="F264" t="str">
        <f t="shared" si="8"/>
        <v>Josh Jacobs</v>
      </c>
      <c r="G264" t="str">
        <f t="shared" si="9"/>
        <v>LV</v>
      </c>
      <c r="H264">
        <v>2022</v>
      </c>
    </row>
    <row r="265" spans="1:8" x14ac:dyDescent="0.45">
      <c r="A265" t="s">
        <v>1206</v>
      </c>
      <c r="B265" s="14">
        <v>3.9100000000000003E-2</v>
      </c>
      <c r="C265" s="14">
        <v>6.3399999999999998E-2</v>
      </c>
      <c r="D265" s="14">
        <v>4.2099999999999999E-2</v>
      </c>
      <c r="E265" s="14">
        <v>5.0999999999999997E-2</v>
      </c>
      <c r="F265" t="str">
        <f t="shared" si="8"/>
        <v>Austin Ekeler</v>
      </c>
      <c r="G265" t="str">
        <f t="shared" si="9"/>
        <v>LAC</v>
      </c>
      <c r="H265">
        <v>2022</v>
      </c>
    </row>
    <row r="266" spans="1:8" x14ac:dyDescent="0.45">
      <c r="A266" t="s">
        <v>1073</v>
      </c>
      <c r="B266" s="14">
        <v>4.6300000000000001E-2</v>
      </c>
      <c r="C266" s="14">
        <v>3.2800000000000003E-2</v>
      </c>
      <c r="D266" s="14">
        <v>3.5700000000000003E-2</v>
      </c>
      <c r="E266" s="14">
        <v>3.2199999999999999E-2</v>
      </c>
      <c r="F266" t="str">
        <f t="shared" si="8"/>
        <v>Christian McCaffrey</v>
      </c>
      <c r="G266" t="str">
        <f t="shared" si="9"/>
        <v>SF</v>
      </c>
      <c r="H266">
        <v>2022</v>
      </c>
    </row>
    <row r="267" spans="1:8" x14ac:dyDescent="0.45">
      <c r="A267" t="s">
        <v>1198</v>
      </c>
      <c r="B267" s="14">
        <v>0</v>
      </c>
      <c r="C267" s="14">
        <v>3.7199999999999997E-2</v>
      </c>
      <c r="D267" s="14">
        <v>2.0799999999999999E-2</v>
      </c>
      <c r="E267" s="14">
        <v>3.09E-2</v>
      </c>
      <c r="F267" t="str">
        <f t="shared" si="8"/>
        <v>Derrick Henry</v>
      </c>
      <c r="G267" t="str">
        <f t="shared" si="9"/>
        <v>TEN</v>
      </c>
      <c r="H267">
        <v>2022</v>
      </c>
    </row>
    <row r="268" spans="1:8" x14ac:dyDescent="0.45">
      <c r="A268" t="s">
        <v>1173</v>
      </c>
      <c r="B268" s="14">
        <v>2.7E-2</v>
      </c>
      <c r="C268" s="14">
        <v>3.9699999999999999E-2</v>
      </c>
      <c r="D268" s="14">
        <v>2.2200000000000001E-2</v>
      </c>
      <c r="E268" s="14">
        <v>3.3000000000000002E-2</v>
      </c>
      <c r="F268" t="str">
        <f t="shared" si="8"/>
        <v>Nick Chubb</v>
      </c>
      <c r="G268" t="str">
        <f t="shared" si="9"/>
        <v>CLE</v>
      </c>
      <c r="H268">
        <v>2022</v>
      </c>
    </row>
    <row r="269" spans="1:8" x14ac:dyDescent="0.45">
      <c r="A269" t="s">
        <v>1201</v>
      </c>
      <c r="B269" s="14">
        <v>0</v>
      </c>
      <c r="C269" s="14">
        <v>3.39E-2</v>
      </c>
      <c r="D269" s="14">
        <v>4.5999999999999999E-3</v>
      </c>
      <c r="E269" s="14">
        <v>3.1600000000000003E-2</v>
      </c>
      <c r="F269" t="str">
        <f t="shared" si="8"/>
        <v>Saquon Barkley</v>
      </c>
      <c r="G269" t="str">
        <f t="shared" si="9"/>
        <v>NYG</v>
      </c>
      <c r="H269">
        <v>2022</v>
      </c>
    </row>
    <row r="270" spans="1:8" x14ac:dyDescent="0.45">
      <c r="A270" t="s">
        <v>1203</v>
      </c>
      <c r="B270" s="14">
        <v>5.45E-2</v>
      </c>
      <c r="C270" s="14">
        <v>4.6600000000000003E-2</v>
      </c>
      <c r="D270" s="14">
        <v>4.3900000000000002E-2</v>
      </c>
      <c r="E270" s="14">
        <v>3.5400000000000001E-2</v>
      </c>
      <c r="F270" t="str">
        <f t="shared" si="8"/>
        <v>Tony Pollard</v>
      </c>
      <c r="G270" t="str">
        <f t="shared" si="9"/>
        <v>DAL</v>
      </c>
      <c r="H270">
        <v>2022</v>
      </c>
    </row>
    <row r="271" spans="1:8" x14ac:dyDescent="0.45">
      <c r="A271" t="s">
        <v>1234</v>
      </c>
      <c r="B271" s="14">
        <v>3.5700000000000003E-2</v>
      </c>
      <c r="C271" s="14">
        <v>3.0200000000000001E-2</v>
      </c>
      <c r="D271" s="14">
        <v>3.7900000000000003E-2</v>
      </c>
      <c r="E271" s="14">
        <v>3.3000000000000002E-2</v>
      </c>
      <c r="F271" t="str">
        <f t="shared" si="8"/>
        <v>Dalvin Cook</v>
      </c>
      <c r="G271" t="str">
        <f t="shared" si="9"/>
        <v>MIN</v>
      </c>
      <c r="H271">
        <v>2022</v>
      </c>
    </row>
    <row r="272" spans="1:8" x14ac:dyDescent="0.45">
      <c r="A272" t="s">
        <v>1235</v>
      </c>
      <c r="B272" s="14">
        <v>0</v>
      </c>
      <c r="C272" s="14">
        <v>6.4600000000000005E-2</v>
      </c>
      <c r="D272" s="14">
        <v>1.01E-2</v>
      </c>
      <c r="E272" s="14">
        <v>6.2899999999999998E-2</v>
      </c>
      <c r="F272" t="str">
        <f t="shared" si="8"/>
        <v>Jamaal Williams</v>
      </c>
      <c r="G272" t="str">
        <f t="shared" si="9"/>
        <v>DET</v>
      </c>
      <c r="H272">
        <v>2022</v>
      </c>
    </row>
    <row r="273" spans="1:8" x14ac:dyDescent="0.45">
      <c r="A273" t="s">
        <v>1236</v>
      </c>
      <c r="B273" s="14">
        <v>0</v>
      </c>
      <c r="C273" s="14">
        <v>4.2500000000000003E-2</v>
      </c>
      <c r="D273" s="14">
        <v>1.5E-3</v>
      </c>
      <c r="E273" s="14">
        <v>3.8800000000000001E-2</v>
      </c>
      <c r="F273" t="str">
        <f t="shared" si="8"/>
        <v>Miles Sanders</v>
      </c>
      <c r="G273" t="str">
        <f t="shared" si="9"/>
        <v>PHI</v>
      </c>
      <c r="H273">
        <v>2022</v>
      </c>
    </row>
    <row r="274" spans="1:8" x14ac:dyDescent="0.45">
      <c r="A274" t="s">
        <v>1445</v>
      </c>
      <c r="B274" s="14">
        <v>6.9400000000000003E-2</v>
      </c>
      <c r="C274" s="14">
        <v>9.4000000000000004E-3</v>
      </c>
      <c r="D274" s="14">
        <v>5.2699999999999997E-2</v>
      </c>
      <c r="E274" s="14">
        <v>1.35E-2</v>
      </c>
      <c r="F274" t="str">
        <f t="shared" si="8"/>
        <v>Aaron Jones Sr.</v>
      </c>
      <c r="G274" t="str">
        <f t="shared" si="9"/>
        <v>GB</v>
      </c>
      <c r="H274">
        <v>2022</v>
      </c>
    </row>
    <row r="275" spans="1:8" x14ac:dyDescent="0.45">
      <c r="A275" t="s">
        <v>1102</v>
      </c>
      <c r="B275" s="14">
        <v>1.11E-2</v>
      </c>
      <c r="C275" s="14">
        <v>2.3800000000000002E-2</v>
      </c>
      <c r="D275" s="14">
        <v>1.5599999999999999E-2</v>
      </c>
      <c r="E275" s="14">
        <v>2.87E-2</v>
      </c>
      <c r="F275" t="str">
        <f t="shared" si="8"/>
        <v>Rhamondre Stevenson</v>
      </c>
      <c r="G275" t="str">
        <f t="shared" si="9"/>
        <v>NE</v>
      </c>
      <c r="H275">
        <v>2022</v>
      </c>
    </row>
    <row r="276" spans="1:8" x14ac:dyDescent="0.45">
      <c r="A276" t="s">
        <v>1154</v>
      </c>
      <c r="B276" s="14">
        <v>5.6599999999999998E-2</v>
      </c>
      <c r="C276" s="14">
        <v>2.5700000000000001E-2</v>
      </c>
      <c r="D276" s="14">
        <v>4.7100000000000003E-2</v>
      </c>
      <c r="E276" s="14">
        <v>2.7300000000000001E-2</v>
      </c>
      <c r="F276" t="str">
        <f t="shared" si="8"/>
        <v>Najee Harris</v>
      </c>
      <c r="G276" t="str">
        <f t="shared" si="9"/>
        <v>PIT</v>
      </c>
      <c r="H276">
        <v>2022</v>
      </c>
    </row>
    <row r="277" spans="1:8" x14ac:dyDescent="0.45">
      <c r="A277" t="s">
        <v>1080</v>
      </c>
      <c r="B277" s="14">
        <v>0</v>
      </c>
      <c r="C277" s="14">
        <v>2.2700000000000001E-2</v>
      </c>
      <c r="D277" s="14">
        <v>1.5299999999999999E-2</v>
      </c>
      <c r="E277" s="14">
        <v>2.9600000000000001E-2</v>
      </c>
      <c r="F277" t="str">
        <f t="shared" si="8"/>
        <v>Travis Etienne Jr.</v>
      </c>
      <c r="G277" t="str">
        <f t="shared" si="9"/>
        <v>JAC</v>
      </c>
      <c r="H277">
        <v>2022</v>
      </c>
    </row>
    <row r="278" spans="1:8" x14ac:dyDescent="0.45">
      <c r="A278" t="s">
        <v>1199</v>
      </c>
      <c r="B278" s="14">
        <v>2.6700000000000002E-2</v>
      </c>
      <c r="C278" s="14">
        <v>3.3000000000000002E-2</v>
      </c>
      <c r="D278" s="14">
        <v>3.5499999999999997E-2</v>
      </c>
      <c r="E278" s="14">
        <v>3.8800000000000001E-2</v>
      </c>
      <c r="F278" t="str">
        <f t="shared" si="8"/>
        <v>Joe Mixon</v>
      </c>
      <c r="G278" t="str">
        <f t="shared" si="9"/>
        <v>CIN</v>
      </c>
      <c r="H278">
        <v>2022</v>
      </c>
    </row>
    <row r="279" spans="1:8" x14ac:dyDescent="0.45">
      <c r="A279" t="s">
        <v>1175</v>
      </c>
      <c r="B279" s="14">
        <v>0</v>
      </c>
      <c r="C279" s="14">
        <v>5.1900000000000002E-2</v>
      </c>
      <c r="D279" s="14">
        <v>8.6999999999999994E-3</v>
      </c>
      <c r="E279" s="14">
        <v>4.7199999999999999E-2</v>
      </c>
      <c r="F279" t="str">
        <f t="shared" si="8"/>
        <v>Ezekiel Elliott</v>
      </c>
      <c r="G279" t="str">
        <f t="shared" si="9"/>
        <v>DAL</v>
      </c>
      <c r="H279">
        <v>2022</v>
      </c>
    </row>
    <row r="280" spans="1:8" x14ac:dyDescent="0.45">
      <c r="A280" t="s">
        <v>1092</v>
      </c>
      <c r="B280" s="14">
        <v>0</v>
      </c>
      <c r="C280" s="14">
        <v>3.95E-2</v>
      </c>
      <c r="D280" s="14">
        <v>3.3999999999999998E-3</v>
      </c>
      <c r="E280" s="14">
        <v>3.5400000000000001E-2</v>
      </c>
      <c r="F280" t="str">
        <f t="shared" si="8"/>
        <v>Kenneth Walker III</v>
      </c>
      <c r="G280" t="str">
        <f t="shared" si="9"/>
        <v>SEA</v>
      </c>
      <c r="H280">
        <v>2022</v>
      </c>
    </row>
    <row r="281" spans="1:8" x14ac:dyDescent="0.45">
      <c r="A281" t="s">
        <v>1142</v>
      </c>
      <c r="B281" s="14">
        <v>1.72E-2</v>
      </c>
      <c r="C281" s="14">
        <v>3.8300000000000001E-2</v>
      </c>
      <c r="D281" s="14">
        <v>1.8100000000000002E-2</v>
      </c>
      <c r="E281" s="14">
        <v>3.32E-2</v>
      </c>
      <c r="F281" t="str">
        <f t="shared" si="8"/>
        <v>James Conner</v>
      </c>
      <c r="G281" t="str">
        <f t="shared" si="9"/>
        <v>ARI</v>
      </c>
      <c r="H281">
        <v>2022</v>
      </c>
    </row>
    <row r="282" spans="1:8" x14ac:dyDescent="0.45">
      <c r="A282" t="s">
        <v>1237</v>
      </c>
      <c r="B282" s="14">
        <v>3.61E-2</v>
      </c>
      <c r="C282" s="14">
        <v>1.5900000000000001E-2</v>
      </c>
      <c r="D282" s="14">
        <v>3.4200000000000001E-2</v>
      </c>
      <c r="E282" s="14">
        <v>2.52E-2</v>
      </c>
      <c r="F282" t="str">
        <f t="shared" si="8"/>
        <v>Leonard Fournette</v>
      </c>
      <c r="G282" t="str">
        <f t="shared" si="9"/>
        <v>TB</v>
      </c>
      <c r="H282">
        <v>2022</v>
      </c>
    </row>
    <row r="283" spans="1:8" x14ac:dyDescent="0.45">
      <c r="A283" t="s">
        <v>1122</v>
      </c>
      <c r="B283" s="14">
        <v>2.5600000000000001E-2</v>
      </c>
      <c r="C283" s="14">
        <v>8.9999999999999993E-3</v>
      </c>
      <c r="D283" s="14">
        <v>2.2499999999999999E-2</v>
      </c>
      <c r="E283" s="14">
        <v>1.2500000000000001E-2</v>
      </c>
      <c r="F283" t="str">
        <f t="shared" si="8"/>
        <v>Alvin Kamara</v>
      </c>
      <c r="G283" t="str">
        <f t="shared" si="9"/>
        <v>NO</v>
      </c>
      <c r="H283">
        <v>2022</v>
      </c>
    </row>
    <row r="284" spans="1:8" x14ac:dyDescent="0.45">
      <c r="A284" t="s">
        <v>1238</v>
      </c>
      <c r="B284" s="14">
        <v>2.5000000000000001E-2</v>
      </c>
      <c r="C284" s="14">
        <v>2.4899999999999999E-2</v>
      </c>
      <c r="D284" s="14">
        <v>0.02</v>
      </c>
      <c r="E284" s="14">
        <v>2.3699999999999999E-2</v>
      </c>
      <c r="F284" t="str">
        <f t="shared" si="8"/>
        <v>David Montgomery</v>
      </c>
      <c r="G284" t="str">
        <f t="shared" si="9"/>
        <v>CHI</v>
      </c>
      <c r="H284">
        <v>2022</v>
      </c>
    </row>
    <row r="285" spans="1:8" x14ac:dyDescent="0.45">
      <c r="A285" t="s">
        <v>1239</v>
      </c>
      <c r="B285" s="14">
        <v>1.89E-2</v>
      </c>
      <c r="C285" s="14">
        <v>2.81E-2</v>
      </c>
      <c r="D285" s="14">
        <v>2.8199999999999999E-2</v>
      </c>
      <c r="E285" s="14">
        <v>3.1699999999999999E-2</v>
      </c>
      <c r="F285" t="str">
        <f t="shared" si="8"/>
        <v>Devin Singletary</v>
      </c>
      <c r="G285" t="str">
        <f t="shared" si="9"/>
        <v>BUF</v>
      </c>
      <c r="H285">
        <v>2022</v>
      </c>
    </row>
    <row r="286" spans="1:8" x14ac:dyDescent="0.45">
      <c r="A286" t="s">
        <v>1191</v>
      </c>
      <c r="B286" s="14">
        <v>2.5600000000000001E-2</v>
      </c>
      <c r="C286" s="14">
        <v>1.8200000000000001E-2</v>
      </c>
      <c r="D286" s="14">
        <v>2.2100000000000002E-2</v>
      </c>
      <c r="E286" s="14">
        <v>2.23E-2</v>
      </c>
      <c r="F286" t="str">
        <f t="shared" si="8"/>
        <v>Dameon Pierce</v>
      </c>
      <c r="G286" t="str">
        <f t="shared" si="9"/>
        <v>HOU</v>
      </c>
      <c r="H286">
        <v>2022</v>
      </c>
    </row>
    <row r="287" spans="1:8" x14ac:dyDescent="0.45">
      <c r="A287" t="s">
        <v>1211</v>
      </c>
      <c r="B287" s="14">
        <v>0</v>
      </c>
      <c r="C287" s="14">
        <v>3.7600000000000001E-2</v>
      </c>
      <c r="D287" s="14">
        <v>1.43E-2</v>
      </c>
      <c r="E287" s="14">
        <v>3.5299999999999998E-2</v>
      </c>
      <c r="F287" t="str">
        <f t="shared" si="8"/>
        <v>AJ Dillon</v>
      </c>
      <c r="G287" t="str">
        <f t="shared" si="9"/>
        <v>GB</v>
      </c>
      <c r="H287">
        <v>2022</v>
      </c>
    </row>
    <row r="288" spans="1:8" x14ac:dyDescent="0.45">
      <c r="A288" t="s">
        <v>1240</v>
      </c>
      <c r="B288" s="14">
        <v>4.2900000000000001E-2</v>
      </c>
      <c r="C288" s="14">
        <v>4.9500000000000002E-2</v>
      </c>
      <c r="D288" s="14">
        <v>3.8100000000000002E-2</v>
      </c>
      <c r="E288" s="14">
        <v>4.1599999999999998E-2</v>
      </c>
      <c r="F288" t="str">
        <f t="shared" si="8"/>
        <v>D'Andre Swift</v>
      </c>
      <c r="G288" t="str">
        <f t="shared" si="9"/>
        <v>DET</v>
      </c>
      <c r="H288">
        <v>2022</v>
      </c>
    </row>
    <row r="289" spans="1:8" x14ac:dyDescent="0.45">
      <c r="A289" t="s">
        <v>1241</v>
      </c>
      <c r="B289" s="14">
        <v>0.1268</v>
      </c>
      <c r="C289" s="14">
        <v>1.3899999999999999E-2</v>
      </c>
      <c r="D289" s="14">
        <v>9.6299999999999997E-2</v>
      </c>
      <c r="E289" s="14">
        <v>2.9100000000000001E-2</v>
      </c>
      <c r="F289" t="str">
        <f t="shared" si="8"/>
        <v>Jerick McKinnon</v>
      </c>
      <c r="G289" t="str">
        <f t="shared" si="9"/>
        <v>KC</v>
      </c>
      <c r="H289">
        <v>2022</v>
      </c>
    </row>
    <row r="290" spans="1:8" x14ac:dyDescent="0.45">
      <c r="A290" t="s">
        <v>1174</v>
      </c>
      <c r="B290" s="14">
        <v>4.7600000000000003E-2</v>
      </c>
      <c r="C290" s="14">
        <v>1.66E-2</v>
      </c>
      <c r="D290" s="14">
        <v>4.6199999999999998E-2</v>
      </c>
      <c r="E290" s="14">
        <v>1.83E-2</v>
      </c>
      <c r="F290" t="str">
        <f t="shared" si="8"/>
        <v>Raheem Mostert</v>
      </c>
      <c r="G290" t="str">
        <f t="shared" si="9"/>
        <v>MIA</v>
      </c>
      <c r="H290">
        <v>2022</v>
      </c>
    </row>
    <row r="291" spans="1:8" x14ac:dyDescent="0.45">
      <c r="A291" t="s">
        <v>1104</v>
      </c>
      <c r="B291" s="14">
        <v>5.8799999999999998E-2</v>
      </c>
      <c r="C291" s="14">
        <v>1.43E-2</v>
      </c>
      <c r="D291" s="14">
        <v>3.4799999999999998E-2</v>
      </c>
      <c r="E291" s="14">
        <v>2.29E-2</v>
      </c>
      <c r="F291" t="str">
        <f t="shared" si="8"/>
        <v>Tyler Allgeier</v>
      </c>
      <c r="G291" t="str">
        <f t="shared" si="9"/>
        <v>ATL</v>
      </c>
      <c r="H291">
        <v>2022</v>
      </c>
    </row>
    <row r="292" spans="1:8" x14ac:dyDescent="0.45">
      <c r="A292" t="s">
        <v>1228</v>
      </c>
      <c r="B292" s="14">
        <v>2.7E-2</v>
      </c>
      <c r="C292" s="14">
        <v>2.8400000000000002E-2</v>
      </c>
      <c r="D292" s="14">
        <v>2.9100000000000001E-2</v>
      </c>
      <c r="E292" s="14">
        <v>3.0099999999999998E-2</v>
      </c>
      <c r="F292" t="str">
        <f t="shared" si="8"/>
        <v>Jeff Wilson Jr.</v>
      </c>
      <c r="G292" t="str">
        <f t="shared" si="9"/>
        <v>MIA</v>
      </c>
      <c r="H292">
        <v>2022</v>
      </c>
    </row>
    <row r="293" spans="1:8" x14ac:dyDescent="0.45">
      <c r="A293" t="s">
        <v>1223</v>
      </c>
      <c r="B293" s="14">
        <v>0</v>
      </c>
      <c r="C293" s="14">
        <v>5.5599999999999997E-2</v>
      </c>
      <c r="D293" s="14">
        <v>1.54E-2</v>
      </c>
      <c r="E293" s="14">
        <v>4.6100000000000002E-2</v>
      </c>
      <c r="F293" t="str">
        <f t="shared" si="8"/>
        <v>Cordarrelle Patterson</v>
      </c>
      <c r="G293" t="str">
        <f t="shared" si="9"/>
        <v>ATL</v>
      </c>
      <c r="H293">
        <v>2022</v>
      </c>
    </row>
    <row r="294" spans="1:8" x14ac:dyDescent="0.45">
      <c r="A294" t="s">
        <v>1214</v>
      </c>
      <c r="B294" s="14">
        <v>3.4500000000000003E-2</v>
      </c>
      <c r="C294" s="14">
        <v>2.01E-2</v>
      </c>
      <c r="D294" s="14">
        <v>2.8899999999999999E-2</v>
      </c>
      <c r="E294" s="14">
        <v>2.9399999999999999E-2</v>
      </c>
      <c r="F294" t="str">
        <f t="shared" si="8"/>
        <v>Antonio Gibson</v>
      </c>
      <c r="G294" t="str">
        <f t="shared" si="9"/>
        <v>WAS</v>
      </c>
      <c r="H294">
        <v>2022</v>
      </c>
    </row>
    <row r="295" spans="1:8" x14ac:dyDescent="0.45">
      <c r="A295" t="s">
        <v>1242</v>
      </c>
      <c r="B295" s="14">
        <v>0</v>
      </c>
      <c r="C295" s="14">
        <v>2.46E-2</v>
      </c>
      <c r="D295" s="14">
        <v>8.0000000000000002E-3</v>
      </c>
      <c r="E295" s="14">
        <v>2.8000000000000001E-2</v>
      </c>
      <c r="F295" t="str">
        <f t="shared" si="8"/>
        <v>D'Onta Foreman</v>
      </c>
      <c r="G295" t="str">
        <f t="shared" si="9"/>
        <v>CAR</v>
      </c>
      <c r="H295">
        <v>2022</v>
      </c>
    </row>
    <row r="296" spans="1:8" x14ac:dyDescent="0.45">
      <c r="A296" t="s">
        <v>1072</v>
      </c>
      <c r="B296" s="14">
        <v>0</v>
      </c>
      <c r="C296" s="14">
        <v>2.0799999999999999E-2</v>
      </c>
      <c r="D296" s="14">
        <v>1.0500000000000001E-2</v>
      </c>
      <c r="E296" s="14">
        <v>2.5600000000000001E-2</v>
      </c>
      <c r="F296" t="str">
        <f t="shared" si="8"/>
        <v>Jonathan Taylor</v>
      </c>
      <c r="G296" t="str">
        <f t="shared" si="9"/>
        <v>IND</v>
      </c>
      <c r="H296">
        <v>2022</v>
      </c>
    </row>
    <row r="297" spans="1:8" x14ac:dyDescent="0.45">
      <c r="A297" t="s">
        <v>1243</v>
      </c>
      <c r="B297" s="14">
        <v>0</v>
      </c>
      <c r="C297" s="14">
        <v>3.7199999999999997E-2</v>
      </c>
      <c r="D297" s="14">
        <v>2.9499999999999998E-2</v>
      </c>
      <c r="E297" s="14">
        <v>3.2399999999999998E-2</v>
      </c>
      <c r="F297" t="str">
        <f t="shared" si="8"/>
        <v>Cam Akers</v>
      </c>
      <c r="G297" t="str">
        <f t="shared" si="9"/>
        <v>LAR</v>
      </c>
      <c r="H297">
        <v>2022</v>
      </c>
    </row>
    <row r="298" spans="1:8" x14ac:dyDescent="0.45">
      <c r="A298" t="s">
        <v>1121</v>
      </c>
      <c r="B298" s="14">
        <v>0</v>
      </c>
      <c r="C298" s="14">
        <v>2.9399999999999999E-2</v>
      </c>
      <c r="D298" s="14">
        <v>7.4000000000000003E-3</v>
      </c>
      <c r="E298" s="14">
        <v>3.27E-2</v>
      </c>
      <c r="F298" t="str">
        <f t="shared" si="8"/>
        <v>Isiah Pacheco</v>
      </c>
      <c r="G298" t="str">
        <f t="shared" si="9"/>
        <v>KC</v>
      </c>
      <c r="H298">
        <v>2022</v>
      </c>
    </row>
    <row r="299" spans="1:8" x14ac:dyDescent="0.45">
      <c r="A299" t="s">
        <v>1244</v>
      </c>
      <c r="B299" s="14">
        <v>0</v>
      </c>
      <c r="C299" s="14">
        <v>3.5099999999999999E-2</v>
      </c>
      <c r="D299" s="14">
        <v>2.8E-3</v>
      </c>
      <c r="E299" s="14">
        <v>2.8899999999999999E-2</v>
      </c>
      <c r="F299" t="str">
        <f t="shared" si="8"/>
        <v>Latavius Murray</v>
      </c>
      <c r="G299" t="str">
        <f t="shared" si="9"/>
        <v>DEN</v>
      </c>
      <c r="H299">
        <v>2022</v>
      </c>
    </row>
    <row r="300" spans="1:8" x14ac:dyDescent="0.45">
      <c r="A300" t="s">
        <v>1212</v>
      </c>
      <c r="B300" s="14">
        <v>8.3299999999999999E-2</v>
      </c>
      <c r="C300" s="14">
        <v>3.1E-2</v>
      </c>
      <c r="D300" s="14">
        <v>4.8899999999999999E-2</v>
      </c>
      <c r="E300" s="14">
        <v>3.2199999999999999E-2</v>
      </c>
      <c r="F300" t="str">
        <f t="shared" si="8"/>
        <v>Khalil Herbert</v>
      </c>
      <c r="G300" t="str">
        <f t="shared" si="9"/>
        <v>CHI</v>
      </c>
      <c r="H300">
        <v>2022</v>
      </c>
    </row>
    <row r="301" spans="1:8" x14ac:dyDescent="0.45">
      <c r="A301" t="s">
        <v>1157</v>
      </c>
      <c r="B301" s="14">
        <v>8.3299999999999999E-2</v>
      </c>
      <c r="C301" s="14">
        <v>9.7999999999999997E-3</v>
      </c>
      <c r="D301" s="14">
        <v>4.8800000000000003E-2</v>
      </c>
      <c r="E301" s="14">
        <v>1.7999999999999999E-2</v>
      </c>
      <c r="F301" t="str">
        <f t="shared" si="8"/>
        <v>Brian Robinson Jr.</v>
      </c>
      <c r="G301" t="str">
        <f t="shared" si="9"/>
        <v>WAS</v>
      </c>
      <c r="H301">
        <v>2022</v>
      </c>
    </row>
    <row r="302" spans="1:8" x14ac:dyDescent="0.45">
      <c r="A302" t="s">
        <v>1126</v>
      </c>
      <c r="B302" s="14">
        <v>7.6899999999999996E-2</v>
      </c>
      <c r="C302" s="14">
        <v>2.1100000000000001E-2</v>
      </c>
      <c r="D302" s="14">
        <v>5.4199999999999998E-2</v>
      </c>
      <c r="E302" s="14">
        <v>2.06E-2</v>
      </c>
      <c r="F302" t="str">
        <f t="shared" si="8"/>
        <v>Samaje Perine</v>
      </c>
      <c r="G302" t="str">
        <f t="shared" si="9"/>
        <v>CIN</v>
      </c>
      <c r="H302">
        <v>2022</v>
      </c>
    </row>
    <row r="303" spans="1:8" x14ac:dyDescent="0.45">
      <c r="A303" t="s">
        <v>1088</v>
      </c>
      <c r="B303" s="14">
        <v>3.1300000000000001E-2</v>
      </c>
      <c r="C303" s="14">
        <v>0.05</v>
      </c>
      <c r="D303" s="14">
        <v>3.1099999999999999E-2</v>
      </c>
      <c r="E303" s="14">
        <v>4.7500000000000001E-2</v>
      </c>
      <c r="F303" t="str">
        <f t="shared" si="8"/>
        <v>Breece Hall</v>
      </c>
      <c r="G303" t="str">
        <f t="shared" si="9"/>
        <v>NYJ</v>
      </c>
      <c r="H303">
        <v>2022</v>
      </c>
    </row>
    <row r="304" spans="1:8" x14ac:dyDescent="0.45">
      <c r="A304" t="s">
        <v>1209</v>
      </c>
      <c r="B304" s="14">
        <v>2.2700000000000001E-2</v>
      </c>
      <c r="C304" s="14">
        <v>2.4400000000000002E-2</v>
      </c>
      <c r="D304" s="14">
        <v>2.8799999999999999E-2</v>
      </c>
      <c r="E304" s="14">
        <v>2.86E-2</v>
      </c>
      <c r="F304" t="str">
        <f t="shared" si="8"/>
        <v>Kareem Hunt</v>
      </c>
      <c r="G304" t="str">
        <f t="shared" si="9"/>
        <v>CLE</v>
      </c>
      <c r="H304">
        <v>2022</v>
      </c>
    </row>
    <row r="305" spans="1:8" x14ac:dyDescent="0.45">
      <c r="A305" t="s">
        <v>1111</v>
      </c>
      <c r="B305" s="14">
        <v>3.4500000000000003E-2</v>
      </c>
      <c r="C305" s="14">
        <v>7.7999999999999996E-3</v>
      </c>
      <c r="D305" s="14">
        <v>3.1800000000000002E-2</v>
      </c>
      <c r="E305" s="14">
        <v>1.2200000000000001E-2</v>
      </c>
      <c r="F305" t="str">
        <f t="shared" si="8"/>
        <v>Rachaad White</v>
      </c>
      <c r="G305" t="str">
        <f t="shared" si="9"/>
        <v>TB</v>
      </c>
      <c r="H305">
        <v>2022</v>
      </c>
    </row>
    <row r="306" spans="1:8" x14ac:dyDescent="0.45">
      <c r="A306" t="s">
        <v>1245</v>
      </c>
      <c r="B306" s="14">
        <v>0</v>
      </c>
      <c r="C306" s="14">
        <v>2.63E-2</v>
      </c>
      <c r="D306" s="14">
        <v>1.0699999999999999E-2</v>
      </c>
      <c r="E306" s="14">
        <v>2.6200000000000001E-2</v>
      </c>
      <c r="F306" t="str">
        <f t="shared" si="8"/>
        <v>Michael Carter</v>
      </c>
      <c r="G306" t="str">
        <f t="shared" si="9"/>
        <v>NYJ</v>
      </c>
      <c r="H306">
        <v>2022</v>
      </c>
    </row>
    <row r="307" spans="1:8" x14ac:dyDescent="0.45">
      <c r="A307" t="s">
        <v>1076</v>
      </c>
      <c r="B307" s="14">
        <v>3.0300000000000001E-2</v>
      </c>
      <c r="C307" s="14">
        <v>2.1999999999999999E-2</v>
      </c>
      <c r="D307" s="14">
        <v>3.39E-2</v>
      </c>
      <c r="E307" s="14">
        <v>1.7999999999999999E-2</v>
      </c>
      <c r="F307" t="str">
        <f t="shared" si="8"/>
        <v>James Cook III</v>
      </c>
      <c r="G307" t="str">
        <f t="shared" si="9"/>
        <v>BUF</v>
      </c>
      <c r="H307">
        <v>2022</v>
      </c>
    </row>
    <row r="308" spans="1:8" x14ac:dyDescent="0.45">
      <c r="A308" t="s">
        <v>1218</v>
      </c>
      <c r="B308" s="14">
        <v>0.13039999999999999</v>
      </c>
      <c r="C308" s="14">
        <v>4.2299999999999997E-2</v>
      </c>
      <c r="D308" s="14">
        <v>0.11799999999999999</v>
      </c>
      <c r="E308" s="14">
        <v>3.6600000000000001E-2</v>
      </c>
      <c r="F308" t="str">
        <f t="shared" si="8"/>
        <v>Clyde Edwards-Helaire</v>
      </c>
      <c r="G308" t="str">
        <f t="shared" si="9"/>
        <v>KC</v>
      </c>
      <c r="H308">
        <v>2022</v>
      </c>
    </row>
    <row r="309" spans="1:8" x14ac:dyDescent="0.45">
      <c r="A309" t="s">
        <v>1246</v>
      </c>
      <c r="B309" s="14">
        <v>0.1429</v>
      </c>
      <c r="C309" s="14">
        <v>2.7300000000000001E-2</v>
      </c>
      <c r="D309" s="14">
        <v>0.1061</v>
      </c>
      <c r="E309" s="14">
        <v>2.9000000000000001E-2</v>
      </c>
      <c r="F309" t="str">
        <f t="shared" si="8"/>
        <v>James Robinson</v>
      </c>
      <c r="G309" t="str">
        <f t="shared" si="9"/>
        <v>NYJ</v>
      </c>
      <c r="H309">
        <v>2022</v>
      </c>
    </row>
    <row r="310" spans="1:8" x14ac:dyDescent="0.45">
      <c r="A310" t="s">
        <v>1247</v>
      </c>
      <c r="B310" s="14">
        <v>0.125</v>
      </c>
      <c r="C310" s="14">
        <v>2.1700000000000001E-2</v>
      </c>
      <c r="D310" s="14">
        <v>0.114</v>
      </c>
      <c r="E310" s="14">
        <v>2.47E-2</v>
      </c>
      <c r="F310" t="str">
        <f t="shared" si="8"/>
        <v>J.K. Dobbins</v>
      </c>
      <c r="G310" t="str">
        <f t="shared" si="9"/>
        <v>BAL</v>
      </c>
      <c r="H310">
        <v>2022</v>
      </c>
    </row>
    <row r="311" spans="1:8" x14ac:dyDescent="0.45">
      <c r="A311" t="s">
        <v>1248</v>
      </c>
      <c r="B311" s="14">
        <v>3.85E-2</v>
      </c>
      <c r="C311" s="14">
        <v>3.6700000000000003E-2</v>
      </c>
      <c r="D311" s="14">
        <v>4.1000000000000002E-2</v>
      </c>
      <c r="E311" s="14">
        <v>3.1699999999999999E-2</v>
      </c>
      <c r="F311" t="str">
        <f t="shared" si="8"/>
        <v>Kenyan Drake</v>
      </c>
      <c r="G311" t="str">
        <f t="shared" si="9"/>
        <v>BAL</v>
      </c>
      <c r="H311">
        <v>2022</v>
      </c>
    </row>
    <row r="312" spans="1:8" x14ac:dyDescent="0.45">
      <c r="A312" t="s">
        <v>1249</v>
      </c>
      <c r="B312" s="14">
        <v>0</v>
      </c>
      <c r="C312" s="14">
        <v>2.8299999999999999E-2</v>
      </c>
      <c r="D312" s="14">
        <v>4.02E-2</v>
      </c>
      <c r="E312" s="14">
        <v>2.6599999999999999E-2</v>
      </c>
      <c r="F312" t="str">
        <f t="shared" si="8"/>
        <v>Damien Harris</v>
      </c>
      <c r="G312" t="str">
        <f t="shared" si="9"/>
        <v>NE</v>
      </c>
      <c r="H312">
        <v>2022</v>
      </c>
    </row>
    <row r="313" spans="1:8" x14ac:dyDescent="0.45">
      <c r="A313" t="s">
        <v>1113</v>
      </c>
      <c r="B313" s="14">
        <v>0</v>
      </c>
      <c r="C313" s="14">
        <v>2.1100000000000001E-2</v>
      </c>
      <c r="D313" s="14">
        <v>4.5999999999999999E-3</v>
      </c>
      <c r="E313" s="14">
        <v>2.01E-2</v>
      </c>
      <c r="F313" t="str">
        <f t="shared" si="8"/>
        <v>Chuba Hubbard</v>
      </c>
      <c r="G313" t="str">
        <f t="shared" si="9"/>
        <v>CAR</v>
      </c>
      <c r="H313">
        <v>2022</v>
      </c>
    </row>
    <row r="314" spans="1:8" x14ac:dyDescent="0.45">
      <c r="A314" t="s">
        <v>1250</v>
      </c>
      <c r="B314" s="14">
        <v>0</v>
      </c>
      <c r="C314" s="14">
        <v>2.5999999999999999E-2</v>
      </c>
      <c r="D314" s="14">
        <v>1.1900000000000001E-2</v>
      </c>
      <c r="E314" s="14">
        <v>2.69E-2</v>
      </c>
      <c r="F314" t="str">
        <f t="shared" si="8"/>
        <v>Eno Benjamin</v>
      </c>
      <c r="G314" t="str">
        <f t="shared" si="9"/>
        <v>NO</v>
      </c>
      <c r="H314">
        <v>2022</v>
      </c>
    </row>
    <row r="315" spans="1:8" x14ac:dyDescent="0.45">
      <c r="A315" t="s">
        <v>1251</v>
      </c>
      <c r="B315" s="14">
        <v>0</v>
      </c>
      <c r="C315" s="14">
        <v>2.2200000000000001E-2</v>
      </c>
      <c r="D315" s="14">
        <v>7.3000000000000001E-3</v>
      </c>
      <c r="E315" s="14">
        <v>3.32E-2</v>
      </c>
      <c r="F315" t="str">
        <f t="shared" si="8"/>
        <v>Melvin Gordon III</v>
      </c>
      <c r="G315" t="str">
        <f t="shared" si="9"/>
        <v>KC</v>
      </c>
      <c r="H315">
        <v>2022</v>
      </c>
    </row>
    <row r="316" spans="1:8" x14ac:dyDescent="0.45">
      <c r="A316" t="s">
        <v>1089</v>
      </c>
      <c r="B316" s="14">
        <v>0</v>
      </c>
      <c r="C316" s="14">
        <v>1.2999999999999999E-2</v>
      </c>
      <c r="D316" s="14">
        <v>1.12E-2</v>
      </c>
      <c r="E316" s="14">
        <v>1.7999999999999999E-2</v>
      </c>
      <c r="F316" t="str">
        <f t="shared" si="8"/>
        <v>Jaylen Warren</v>
      </c>
      <c r="G316" t="str">
        <f t="shared" si="9"/>
        <v>PIT</v>
      </c>
      <c r="H316">
        <v>2022</v>
      </c>
    </row>
    <row r="317" spans="1:8" x14ac:dyDescent="0.45">
      <c r="A317" t="s">
        <v>1176</v>
      </c>
      <c r="B317" s="14">
        <v>0</v>
      </c>
      <c r="C317" s="14">
        <v>7.5499999999999998E-2</v>
      </c>
      <c r="D317" s="14">
        <v>2.0400000000000001E-2</v>
      </c>
      <c r="E317" s="14">
        <v>7.2999999999999995E-2</v>
      </c>
      <c r="F317" t="str">
        <f t="shared" si="8"/>
        <v>Kenny Gainwell</v>
      </c>
      <c r="G317" t="str">
        <f t="shared" si="9"/>
        <v>PHI</v>
      </c>
      <c r="H317">
        <v>2022</v>
      </c>
    </row>
    <row r="318" spans="1:8" x14ac:dyDescent="0.45">
      <c r="A318" t="s">
        <v>1200</v>
      </c>
      <c r="B318" s="14">
        <v>0</v>
      </c>
      <c r="C318" s="14">
        <v>3.4500000000000003E-2</v>
      </c>
      <c r="D318" s="14">
        <v>1.55E-2</v>
      </c>
      <c r="E318" s="14">
        <v>2.9000000000000001E-2</v>
      </c>
      <c r="F318" t="str">
        <f t="shared" si="8"/>
        <v>Gus Edwards</v>
      </c>
      <c r="G318" t="str">
        <f t="shared" si="9"/>
        <v>BAL</v>
      </c>
      <c r="H318">
        <v>2022</v>
      </c>
    </row>
    <row r="319" spans="1:8" x14ac:dyDescent="0.45">
      <c r="A319" t="s">
        <v>1252</v>
      </c>
      <c r="B319" s="14">
        <v>0</v>
      </c>
      <c r="C319" s="14">
        <v>4.2900000000000001E-2</v>
      </c>
      <c r="D319" s="14">
        <v>7.7000000000000002E-3</v>
      </c>
      <c r="E319" s="14">
        <v>3.5700000000000003E-2</v>
      </c>
      <c r="F319" t="str">
        <f t="shared" si="8"/>
        <v>Darrell Henderson Jr.</v>
      </c>
      <c r="G319" t="str">
        <f t="shared" si="9"/>
        <v>JAC</v>
      </c>
      <c r="H319">
        <v>2022</v>
      </c>
    </row>
    <row r="320" spans="1:8" x14ac:dyDescent="0.45">
      <c r="A320" t="s">
        <v>1210</v>
      </c>
      <c r="B320" s="14">
        <v>5.5599999999999997E-2</v>
      </c>
      <c r="C320" s="14">
        <v>6.7599999999999993E-2</v>
      </c>
      <c r="D320" s="14">
        <v>4.5600000000000002E-2</v>
      </c>
      <c r="E320" s="14">
        <v>5.3499999999999999E-2</v>
      </c>
      <c r="F320" t="str">
        <f t="shared" si="8"/>
        <v>Alexander Mattison</v>
      </c>
      <c r="G320" t="str">
        <f t="shared" si="9"/>
        <v>MIN</v>
      </c>
      <c r="H320">
        <v>2022</v>
      </c>
    </row>
    <row r="321" spans="1:8" x14ac:dyDescent="0.45">
      <c r="A321" t="s">
        <v>1253</v>
      </c>
      <c r="B321" s="14">
        <v>4.1700000000000001E-2</v>
      </c>
      <c r="C321" s="14">
        <v>2.9399999999999999E-2</v>
      </c>
      <c r="D321" s="14">
        <v>4.07E-2</v>
      </c>
      <c r="E321" s="14">
        <v>2.4500000000000001E-2</v>
      </c>
      <c r="F321" t="str">
        <f t="shared" si="8"/>
        <v>Chase Edmonds</v>
      </c>
      <c r="G321" t="str">
        <f t="shared" si="9"/>
        <v>DEN</v>
      </c>
      <c r="H321">
        <v>2022</v>
      </c>
    </row>
    <row r="322" spans="1:8" x14ac:dyDescent="0.45">
      <c r="A322" t="s">
        <v>1254</v>
      </c>
      <c r="B322" s="14">
        <v>3.6999999999999998E-2</v>
      </c>
      <c r="C322" s="14">
        <v>4.3499999999999997E-2</v>
      </c>
      <c r="D322" s="14">
        <v>2.7300000000000001E-2</v>
      </c>
      <c r="E322" s="14">
        <v>0.04</v>
      </c>
      <c r="F322" t="str">
        <f t="shared" ref="F322:F385" si="10">TRIM(LEFT(A322, FIND("(", A322) - 2))</f>
        <v>JaMycal Hasty</v>
      </c>
      <c r="G322" t="str">
        <f t="shared" si="9"/>
        <v>JAC</v>
      </c>
      <c r="H322">
        <v>2022</v>
      </c>
    </row>
    <row r="323" spans="1:8" x14ac:dyDescent="0.45">
      <c r="A323" t="s">
        <v>1217</v>
      </c>
      <c r="B323" s="14">
        <v>0</v>
      </c>
      <c r="C323" s="14">
        <v>2.9000000000000001E-2</v>
      </c>
      <c r="D323" s="14">
        <v>3.7000000000000002E-3</v>
      </c>
      <c r="E323" s="14">
        <v>3.39E-2</v>
      </c>
      <c r="F323" t="str">
        <f t="shared" si="10"/>
        <v>Joshua Kelley</v>
      </c>
      <c r="G323" t="str">
        <f t="shared" ref="G323:G386" si="11">MID(A323, FIND("(", A323) + 1, FIND(")", A323) - FIND("(", A323) - 1)</f>
        <v>LAC</v>
      </c>
      <c r="H323">
        <v>2022</v>
      </c>
    </row>
    <row r="324" spans="1:8" x14ac:dyDescent="0.45">
      <c r="A324" t="s">
        <v>1255</v>
      </c>
      <c r="B324" s="14">
        <v>0</v>
      </c>
      <c r="C324" s="14">
        <v>3.5099999999999999E-2</v>
      </c>
      <c r="D324" s="14">
        <v>1.23E-2</v>
      </c>
      <c r="E324" s="14">
        <v>2.2200000000000001E-2</v>
      </c>
      <c r="F324" t="str">
        <f t="shared" si="10"/>
        <v>Rashaad Penny</v>
      </c>
      <c r="G324" t="str">
        <f t="shared" si="11"/>
        <v>SEA</v>
      </c>
      <c r="H324">
        <v>2022</v>
      </c>
    </row>
    <row r="325" spans="1:8" x14ac:dyDescent="0.45">
      <c r="A325" t="s">
        <v>1256</v>
      </c>
      <c r="B325" s="14">
        <v>0</v>
      </c>
      <c r="C325" s="14">
        <v>1.18E-2</v>
      </c>
      <c r="D325" s="14">
        <v>7.7000000000000002E-3</v>
      </c>
      <c r="E325" s="14">
        <v>1.7000000000000001E-2</v>
      </c>
      <c r="F325" t="str">
        <f t="shared" si="10"/>
        <v>Bam Knight</v>
      </c>
      <c r="G325" t="str">
        <f t="shared" si="11"/>
        <v>NYJ</v>
      </c>
      <c r="H325">
        <v>2022</v>
      </c>
    </row>
    <row r="326" spans="1:8" x14ac:dyDescent="0.45">
      <c r="A326" t="s">
        <v>1257</v>
      </c>
      <c r="B326" s="14">
        <v>2.9399999999999999E-2</v>
      </c>
      <c r="C326" s="14">
        <v>1.47E-2</v>
      </c>
      <c r="D326" s="14">
        <v>2.58E-2</v>
      </c>
      <c r="E326" s="14">
        <v>1.5299999999999999E-2</v>
      </c>
      <c r="F326" t="str">
        <f t="shared" si="10"/>
        <v>Deon Jackson</v>
      </c>
      <c r="G326" t="str">
        <f t="shared" si="11"/>
        <v>IND</v>
      </c>
      <c r="H326">
        <v>2022</v>
      </c>
    </row>
    <row r="327" spans="1:8" x14ac:dyDescent="0.45">
      <c r="A327" t="s">
        <v>1258</v>
      </c>
      <c r="B327" s="14">
        <v>0</v>
      </c>
      <c r="C327" s="14">
        <v>1.32E-2</v>
      </c>
      <c r="D327" s="14">
        <v>1.1999999999999999E-3</v>
      </c>
      <c r="E327" s="14">
        <v>2.2800000000000001E-2</v>
      </c>
      <c r="F327" t="str">
        <f t="shared" si="10"/>
        <v>Caleb Huntley</v>
      </c>
      <c r="G327" t="str">
        <f t="shared" si="11"/>
        <v>ATL</v>
      </c>
      <c r="H327">
        <v>2022</v>
      </c>
    </row>
    <row r="328" spans="1:8" x14ac:dyDescent="0.45">
      <c r="A328" t="s">
        <v>1259</v>
      </c>
      <c r="B328" s="14">
        <v>5.2600000000000001E-2</v>
      </c>
      <c r="C328" s="14">
        <v>2.3800000000000002E-2</v>
      </c>
      <c r="D328" s="14">
        <v>4.8899999999999999E-2</v>
      </c>
      <c r="E328" s="14">
        <v>2.2200000000000001E-2</v>
      </c>
      <c r="F328" t="str">
        <f t="shared" si="10"/>
        <v>Justin Jackson</v>
      </c>
      <c r="G328" t="str">
        <f t="shared" si="11"/>
        <v>DET</v>
      </c>
      <c r="H328">
        <v>2022</v>
      </c>
    </row>
    <row r="329" spans="1:8" x14ac:dyDescent="0.45">
      <c r="A329" t="s">
        <v>1221</v>
      </c>
      <c r="B329" s="14">
        <v>0</v>
      </c>
      <c r="C329" s="14">
        <v>1.8499999999999999E-2</v>
      </c>
      <c r="D329" s="14">
        <v>3.2000000000000002E-3</v>
      </c>
      <c r="E329" s="14">
        <v>2.1100000000000001E-2</v>
      </c>
      <c r="F329" t="str">
        <f t="shared" si="10"/>
        <v>Matt Breida</v>
      </c>
      <c r="G329" t="str">
        <f t="shared" si="11"/>
        <v>NYG</v>
      </c>
      <c r="H329">
        <v>2022</v>
      </c>
    </row>
    <row r="330" spans="1:8" x14ac:dyDescent="0.45">
      <c r="A330" t="s">
        <v>1205</v>
      </c>
      <c r="B330" s="14">
        <v>0</v>
      </c>
      <c r="C330" s="14">
        <v>1.0800000000000001E-2</v>
      </c>
      <c r="D330" s="14">
        <v>5.0000000000000001E-3</v>
      </c>
      <c r="E330" s="14">
        <v>1.84E-2</v>
      </c>
      <c r="F330" t="str">
        <f t="shared" si="10"/>
        <v>Zack Moss</v>
      </c>
      <c r="G330" t="str">
        <f t="shared" si="11"/>
        <v>IND</v>
      </c>
      <c r="H330">
        <v>2022</v>
      </c>
    </row>
    <row r="331" spans="1:8" x14ac:dyDescent="0.45">
      <c r="A331" t="s">
        <v>1260</v>
      </c>
      <c r="B331" s="14">
        <v>1.9599999999999999E-2</v>
      </c>
      <c r="C331" s="14">
        <v>0</v>
      </c>
      <c r="D331" s="14">
        <v>2.8000000000000001E-2</v>
      </c>
      <c r="E331" s="14">
        <v>2.52E-2</v>
      </c>
      <c r="F331" t="str">
        <f t="shared" si="10"/>
        <v>Rex Burkhead</v>
      </c>
      <c r="G331" t="str">
        <f t="shared" si="11"/>
        <v>HOU</v>
      </c>
      <c r="H331">
        <v>2022</v>
      </c>
    </row>
    <row r="332" spans="1:8" x14ac:dyDescent="0.45">
      <c r="A332" t="s">
        <v>1261</v>
      </c>
      <c r="B332" s="14">
        <v>0</v>
      </c>
      <c r="C332" s="14">
        <v>1.61E-2</v>
      </c>
      <c r="D332" s="14">
        <v>3.1199999999999999E-2</v>
      </c>
      <c r="E332" s="14">
        <v>1.83E-2</v>
      </c>
      <c r="F332" t="str">
        <f t="shared" si="10"/>
        <v>Mark Ingram II</v>
      </c>
      <c r="G332" t="str">
        <f t="shared" si="11"/>
        <v>NO</v>
      </c>
      <c r="H332">
        <v>2022</v>
      </c>
    </row>
    <row r="333" spans="1:8" x14ac:dyDescent="0.45">
      <c r="A333" t="s">
        <v>1262</v>
      </c>
      <c r="B333" s="14">
        <v>0</v>
      </c>
      <c r="C333" s="14">
        <v>5.5599999999999997E-2</v>
      </c>
      <c r="D333" s="14">
        <v>1.8E-3</v>
      </c>
      <c r="E333" s="14">
        <v>4.6600000000000003E-2</v>
      </c>
      <c r="F333" t="str">
        <f t="shared" si="10"/>
        <v>Boston Scott</v>
      </c>
      <c r="G333" t="str">
        <f t="shared" si="11"/>
        <v>PHI</v>
      </c>
      <c r="H333">
        <v>2022</v>
      </c>
    </row>
    <row r="334" spans="1:8" x14ac:dyDescent="0.45">
      <c r="A334" t="s">
        <v>1159</v>
      </c>
      <c r="B334" s="14">
        <v>0</v>
      </c>
      <c r="C334" s="14">
        <v>2.3300000000000001E-2</v>
      </c>
      <c r="D334" s="14">
        <v>0</v>
      </c>
      <c r="E334" s="14">
        <v>2.4199999999999999E-2</v>
      </c>
      <c r="F334" t="str">
        <f t="shared" si="10"/>
        <v>Jordan Mason</v>
      </c>
      <c r="G334" t="str">
        <f t="shared" si="11"/>
        <v>SF</v>
      </c>
      <c r="H334">
        <v>2022</v>
      </c>
    </row>
    <row r="335" spans="1:8" x14ac:dyDescent="0.45">
      <c r="A335" t="s">
        <v>1263</v>
      </c>
      <c r="B335" s="14">
        <v>0</v>
      </c>
      <c r="C335" s="14">
        <v>3.3300000000000003E-2</v>
      </c>
      <c r="D335" s="14">
        <v>2.8E-3</v>
      </c>
      <c r="E335" s="14">
        <v>2.12E-2</v>
      </c>
      <c r="F335" t="str">
        <f t="shared" si="10"/>
        <v>Ty Johnson</v>
      </c>
      <c r="G335" t="str">
        <f t="shared" si="11"/>
        <v>NYJ</v>
      </c>
      <c r="H335">
        <v>2022</v>
      </c>
    </row>
    <row r="336" spans="1:8" x14ac:dyDescent="0.45">
      <c r="A336" t="s">
        <v>1264</v>
      </c>
      <c r="B336" s="14">
        <v>0</v>
      </c>
      <c r="C336" s="14">
        <v>0</v>
      </c>
      <c r="D336" s="14">
        <v>1.29E-2</v>
      </c>
      <c r="E336" s="14">
        <v>4.5999999999999999E-3</v>
      </c>
      <c r="F336" t="str">
        <f t="shared" si="10"/>
        <v>DeeJay Dallas</v>
      </c>
      <c r="G336" t="str">
        <f t="shared" si="11"/>
        <v>SEA</v>
      </c>
      <c r="H336">
        <v>2022</v>
      </c>
    </row>
    <row r="337" spans="1:8" x14ac:dyDescent="0.45">
      <c r="A337" t="s">
        <v>1165</v>
      </c>
      <c r="B337" s="14">
        <v>0</v>
      </c>
      <c r="C337" s="14">
        <v>0</v>
      </c>
      <c r="D337" s="14">
        <v>2.5999999999999999E-3</v>
      </c>
      <c r="E337" s="14">
        <v>4.5999999999999999E-3</v>
      </c>
      <c r="F337" t="str">
        <f t="shared" si="10"/>
        <v>Justice Hill</v>
      </c>
      <c r="G337" t="str">
        <f t="shared" si="11"/>
        <v>BAL</v>
      </c>
      <c r="H337">
        <v>2022</v>
      </c>
    </row>
    <row r="338" spans="1:8" x14ac:dyDescent="0.45">
      <c r="A338" t="s">
        <v>1136</v>
      </c>
      <c r="B338" s="14">
        <v>0</v>
      </c>
      <c r="C338" s="14">
        <v>2.63E-2</v>
      </c>
      <c r="D338" s="14">
        <v>1.24E-2</v>
      </c>
      <c r="E338" s="14">
        <v>1.8700000000000001E-2</v>
      </c>
      <c r="F338" t="str">
        <f t="shared" si="10"/>
        <v>Malik Davis</v>
      </c>
      <c r="G338" t="str">
        <f t="shared" si="11"/>
        <v>DAL</v>
      </c>
      <c r="H338">
        <v>2022</v>
      </c>
    </row>
    <row r="339" spans="1:8" x14ac:dyDescent="0.45">
      <c r="A339" t="s">
        <v>1161</v>
      </c>
      <c r="B339" s="14">
        <v>0</v>
      </c>
      <c r="C339" s="14">
        <v>0</v>
      </c>
      <c r="D339" s="14">
        <v>3.2099999999999997E-2</v>
      </c>
      <c r="E339" s="14">
        <v>1.24E-2</v>
      </c>
      <c r="F339" t="str">
        <f t="shared" si="10"/>
        <v>Javonte Williams</v>
      </c>
      <c r="G339" t="str">
        <f t="shared" si="11"/>
        <v>DEN</v>
      </c>
      <c r="H339">
        <v>2022</v>
      </c>
    </row>
    <row r="340" spans="1:8" x14ac:dyDescent="0.45">
      <c r="A340" t="s">
        <v>1178</v>
      </c>
      <c r="B340" s="14">
        <v>0</v>
      </c>
      <c r="C340" s="14">
        <v>2.3800000000000002E-2</v>
      </c>
      <c r="D340" s="14">
        <v>8.6E-3</v>
      </c>
      <c r="E340" s="14">
        <v>2.75E-2</v>
      </c>
      <c r="F340" t="str">
        <f t="shared" si="10"/>
        <v>Dare Ogunbowale</v>
      </c>
      <c r="G340" t="str">
        <f t="shared" si="11"/>
        <v>HOU</v>
      </c>
      <c r="H340">
        <v>2022</v>
      </c>
    </row>
    <row r="341" spans="1:8" x14ac:dyDescent="0.45">
      <c r="A341" t="s">
        <v>1222</v>
      </c>
      <c r="B341" s="14">
        <v>0</v>
      </c>
      <c r="C341" s="14">
        <v>4.4400000000000002E-2</v>
      </c>
      <c r="D341" s="14">
        <v>3.6200000000000003E-2</v>
      </c>
      <c r="E341" s="14">
        <v>4.5199999999999997E-2</v>
      </c>
      <c r="F341" t="str">
        <f t="shared" si="10"/>
        <v>Elijah Mitchell</v>
      </c>
      <c r="G341" t="str">
        <f t="shared" si="11"/>
        <v>SF</v>
      </c>
      <c r="H341">
        <v>2022</v>
      </c>
    </row>
    <row r="342" spans="1:8" x14ac:dyDescent="0.45">
      <c r="A342" t="s">
        <v>1079</v>
      </c>
      <c r="B342" s="14">
        <v>0</v>
      </c>
      <c r="C342" s="14">
        <v>0</v>
      </c>
      <c r="D342" s="14">
        <v>1.09E-2</v>
      </c>
      <c r="E342" s="14">
        <v>2.3E-3</v>
      </c>
      <c r="F342" t="str">
        <f t="shared" si="10"/>
        <v>Kyren Williams</v>
      </c>
      <c r="G342" t="str">
        <f t="shared" si="11"/>
        <v>LAR</v>
      </c>
      <c r="H342">
        <v>2022</v>
      </c>
    </row>
    <row r="343" spans="1:8" x14ac:dyDescent="0.45">
      <c r="A343" t="s">
        <v>1265</v>
      </c>
      <c r="B343" s="14">
        <v>0</v>
      </c>
      <c r="C343" s="14">
        <v>3.2300000000000002E-2</v>
      </c>
      <c r="D343" s="14">
        <v>3.1699999999999999E-2</v>
      </c>
      <c r="E343" s="14">
        <v>2.9600000000000001E-2</v>
      </c>
      <c r="F343" t="str">
        <f t="shared" si="10"/>
        <v>Gary Brightwell</v>
      </c>
      <c r="G343" t="str">
        <f t="shared" si="11"/>
        <v>NYG</v>
      </c>
      <c r="H343">
        <v>2022</v>
      </c>
    </row>
    <row r="344" spans="1:8" x14ac:dyDescent="0.45">
      <c r="A344" t="s">
        <v>1266</v>
      </c>
      <c r="B344" s="14">
        <v>0</v>
      </c>
      <c r="C344" s="14">
        <v>0</v>
      </c>
      <c r="D344" s="14">
        <v>1.2999999999999999E-3</v>
      </c>
      <c r="E344" s="14">
        <v>1.61E-2</v>
      </c>
      <c r="F344" t="str">
        <f t="shared" si="10"/>
        <v>Sony Michel</v>
      </c>
      <c r="G344" t="str">
        <f t="shared" si="11"/>
        <v>LAC</v>
      </c>
      <c r="H344">
        <v>2022</v>
      </c>
    </row>
    <row r="345" spans="1:8" x14ac:dyDescent="0.45">
      <c r="A345" t="s">
        <v>1267</v>
      </c>
      <c r="B345" s="14">
        <v>0</v>
      </c>
      <c r="C345" s="14">
        <v>0</v>
      </c>
      <c r="D345" s="14">
        <v>4.4000000000000003E-3</v>
      </c>
      <c r="E345" s="14">
        <v>9.7999999999999997E-3</v>
      </c>
      <c r="F345" t="str">
        <f t="shared" si="10"/>
        <v>Jonathan Williams</v>
      </c>
      <c r="G345" t="str">
        <f t="shared" si="11"/>
        <v>WAS</v>
      </c>
      <c r="H345">
        <v>2022</v>
      </c>
    </row>
    <row r="346" spans="1:8" x14ac:dyDescent="0.45">
      <c r="A346" t="s">
        <v>1268</v>
      </c>
      <c r="B346" s="14">
        <v>0</v>
      </c>
      <c r="C346" s="14">
        <v>3.6999999999999998E-2</v>
      </c>
      <c r="D346" s="14">
        <v>6.4999999999999997E-3</v>
      </c>
      <c r="E346" s="14">
        <v>4.0599999999999997E-2</v>
      </c>
      <c r="F346" t="str">
        <f t="shared" si="10"/>
        <v>Keaontay Ingram</v>
      </c>
      <c r="G346" t="str">
        <f t="shared" si="11"/>
        <v>ARI</v>
      </c>
      <c r="H346">
        <v>2022</v>
      </c>
    </row>
    <row r="347" spans="1:8" x14ac:dyDescent="0.45">
      <c r="A347" t="s">
        <v>1269</v>
      </c>
      <c r="B347" s="14">
        <v>0</v>
      </c>
      <c r="C347" s="14">
        <v>0</v>
      </c>
      <c r="D347" s="14">
        <v>5.0000000000000001E-3</v>
      </c>
      <c r="E347" s="14">
        <v>8.6999999999999994E-3</v>
      </c>
      <c r="F347" t="str">
        <f t="shared" si="10"/>
        <v>Royce Freeman</v>
      </c>
      <c r="G347" t="str">
        <f t="shared" si="11"/>
        <v>HOU</v>
      </c>
      <c r="H347">
        <v>2022</v>
      </c>
    </row>
    <row r="348" spans="1:8" x14ac:dyDescent="0.45">
      <c r="A348" t="s">
        <v>1270</v>
      </c>
      <c r="B348" s="14">
        <v>0</v>
      </c>
      <c r="C348" s="14">
        <v>0</v>
      </c>
      <c r="D348" s="14">
        <v>1.2999999999999999E-3</v>
      </c>
      <c r="E348" s="14">
        <v>1.8100000000000002E-2</v>
      </c>
      <c r="F348" t="str">
        <f t="shared" si="10"/>
        <v>Tyrion Davis-Price</v>
      </c>
      <c r="G348" t="str">
        <f t="shared" si="11"/>
        <v>SF</v>
      </c>
      <c r="H348">
        <v>2022</v>
      </c>
    </row>
    <row r="349" spans="1:8" x14ac:dyDescent="0.45">
      <c r="A349" t="s">
        <v>1072</v>
      </c>
      <c r="B349" s="14">
        <v>3.7699999999999997E-2</v>
      </c>
      <c r="C349" s="14">
        <v>5.4199999999999998E-2</v>
      </c>
      <c r="D349" s="14">
        <v>2.5499999999999998E-2</v>
      </c>
      <c r="E349" s="14">
        <v>5.2499999999999998E-2</v>
      </c>
      <c r="F349" t="str">
        <f t="shared" si="10"/>
        <v>Jonathan Taylor</v>
      </c>
      <c r="G349" t="str">
        <f t="shared" si="11"/>
        <v>IND</v>
      </c>
      <c r="H349">
        <v>2021</v>
      </c>
    </row>
    <row r="350" spans="1:8" x14ac:dyDescent="0.45">
      <c r="A350" t="s">
        <v>1206</v>
      </c>
      <c r="B350" s="14">
        <v>8.5099999999999995E-2</v>
      </c>
      <c r="C350" s="14">
        <v>5.8299999999999998E-2</v>
      </c>
      <c r="D350" s="14">
        <v>5.8200000000000002E-2</v>
      </c>
      <c r="E350" s="14">
        <v>5.1799999999999999E-2</v>
      </c>
      <c r="F350" t="str">
        <f t="shared" si="10"/>
        <v>Austin Ekeler</v>
      </c>
      <c r="G350" t="str">
        <f t="shared" si="11"/>
        <v>LAC</v>
      </c>
      <c r="H350">
        <v>2021</v>
      </c>
    </row>
    <row r="351" spans="1:8" x14ac:dyDescent="0.45">
      <c r="A351" t="s">
        <v>1199</v>
      </c>
      <c r="B351" s="14">
        <v>6.25E-2</v>
      </c>
      <c r="C351" s="14">
        <v>4.4499999999999998E-2</v>
      </c>
      <c r="D351" s="14">
        <v>5.3100000000000001E-2</v>
      </c>
      <c r="E351" s="14">
        <v>3.7999999999999999E-2</v>
      </c>
      <c r="F351" t="str">
        <f t="shared" si="10"/>
        <v>Joe Mixon</v>
      </c>
      <c r="G351" t="str">
        <f t="shared" si="11"/>
        <v>CIN</v>
      </c>
      <c r="H351">
        <v>2021</v>
      </c>
    </row>
    <row r="352" spans="1:8" x14ac:dyDescent="0.45">
      <c r="A352" t="s">
        <v>1154</v>
      </c>
      <c r="B352" s="14">
        <v>3.1899999999999998E-2</v>
      </c>
      <c r="C352" s="14">
        <v>2.2800000000000001E-2</v>
      </c>
      <c r="D352" s="14">
        <v>3.44E-2</v>
      </c>
      <c r="E352" s="14">
        <v>2.2599999999999999E-2</v>
      </c>
      <c r="F352" t="str">
        <f t="shared" si="10"/>
        <v>Najee Harris</v>
      </c>
      <c r="G352" t="str">
        <f t="shared" si="11"/>
        <v>PIT</v>
      </c>
      <c r="H352">
        <v>2021</v>
      </c>
    </row>
    <row r="353" spans="1:8" x14ac:dyDescent="0.45">
      <c r="A353" t="s">
        <v>1142</v>
      </c>
      <c r="B353" s="14">
        <v>7.6899999999999996E-2</v>
      </c>
      <c r="C353" s="14">
        <v>7.4300000000000005E-2</v>
      </c>
      <c r="D353" s="14">
        <v>4.6399999999999997E-2</v>
      </c>
      <c r="E353" s="14">
        <v>6.1499999999999999E-2</v>
      </c>
      <c r="F353" t="str">
        <f t="shared" si="10"/>
        <v>James Conner</v>
      </c>
      <c r="G353" t="str">
        <f t="shared" si="11"/>
        <v>ARI</v>
      </c>
      <c r="H353">
        <v>2021</v>
      </c>
    </row>
    <row r="354" spans="1:8" x14ac:dyDescent="0.45">
      <c r="A354" t="s">
        <v>1175</v>
      </c>
      <c r="B354" s="14">
        <v>3.0800000000000001E-2</v>
      </c>
      <c r="C354" s="14">
        <v>4.2200000000000001E-2</v>
      </c>
      <c r="D354" s="14">
        <v>4.1000000000000002E-2</v>
      </c>
      <c r="E354" s="14">
        <v>3.7699999999999997E-2</v>
      </c>
      <c r="F354" t="str">
        <f t="shared" si="10"/>
        <v>Ezekiel Elliott</v>
      </c>
      <c r="G354" t="str">
        <f t="shared" si="11"/>
        <v>DAL</v>
      </c>
      <c r="H354">
        <v>2021</v>
      </c>
    </row>
    <row r="355" spans="1:8" x14ac:dyDescent="0.45">
      <c r="A355" t="s">
        <v>1173</v>
      </c>
      <c r="B355" s="14">
        <v>0.04</v>
      </c>
      <c r="C355" s="14">
        <v>3.5099999999999999E-2</v>
      </c>
      <c r="D355" s="14">
        <v>3.2300000000000002E-2</v>
      </c>
      <c r="E355" s="14">
        <v>3.3700000000000001E-2</v>
      </c>
      <c r="F355" t="str">
        <f t="shared" si="10"/>
        <v>Nick Chubb</v>
      </c>
      <c r="G355" t="str">
        <f t="shared" si="11"/>
        <v>CLE</v>
      </c>
      <c r="H355">
        <v>2021</v>
      </c>
    </row>
    <row r="356" spans="1:8" x14ac:dyDescent="0.45">
      <c r="A356" t="s">
        <v>1237</v>
      </c>
      <c r="B356" s="14">
        <v>2.3800000000000002E-2</v>
      </c>
      <c r="C356" s="14">
        <v>4.4400000000000002E-2</v>
      </c>
      <c r="D356" s="14">
        <v>3.2800000000000003E-2</v>
      </c>
      <c r="E356" s="14">
        <v>4.4999999999999998E-2</v>
      </c>
      <c r="F356" t="str">
        <f t="shared" si="10"/>
        <v>Leonard Fournette</v>
      </c>
      <c r="G356" t="str">
        <f t="shared" si="11"/>
        <v>TB</v>
      </c>
      <c r="H356">
        <v>2021</v>
      </c>
    </row>
    <row r="357" spans="1:8" x14ac:dyDescent="0.45">
      <c r="A357" t="s">
        <v>1223</v>
      </c>
      <c r="B357" s="14">
        <v>7.2499999999999995E-2</v>
      </c>
      <c r="C357" s="14">
        <v>3.9199999999999999E-2</v>
      </c>
      <c r="D357" s="14">
        <v>5.0799999999999998E-2</v>
      </c>
      <c r="E357" s="14">
        <v>3.5799999999999998E-2</v>
      </c>
      <c r="F357" t="str">
        <f t="shared" si="10"/>
        <v>Cordarrelle Patterson</v>
      </c>
      <c r="G357" t="str">
        <f t="shared" si="11"/>
        <v>ATL</v>
      </c>
      <c r="H357">
        <v>2021</v>
      </c>
    </row>
    <row r="358" spans="1:8" x14ac:dyDescent="0.45">
      <c r="A358" t="s">
        <v>1249</v>
      </c>
      <c r="B358" s="14">
        <v>0</v>
      </c>
      <c r="C358" s="14">
        <v>7.3899999999999993E-2</v>
      </c>
      <c r="D358" s="14">
        <v>1.03E-2</v>
      </c>
      <c r="E358" s="14">
        <v>6.0400000000000002E-2</v>
      </c>
      <c r="F358" t="str">
        <f t="shared" si="10"/>
        <v>Damien Harris</v>
      </c>
      <c r="G358" t="str">
        <f t="shared" si="11"/>
        <v>NE</v>
      </c>
      <c r="H358">
        <v>2021</v>
      </c>
    </row>
    <row r="359" spans="1:8" x14ac:dyDescent="0.45">
      <c r="A359" t="s">
        <v>1445</v>
      </c>
      <c r="B359" s="14">
        <v>9.2299999999999993E-2</v>
      </c>
      <c r="C359" s="14">
        <v>2.3400000000000001E-2</v>
      </c>
      <c r="D359" s="14">
        <v>7.0900000000000005E-2</v>
      </c>
      <c r="E359" s="14">
        <v>2.8000000000000001E-2</v>
      </c>
      <c r="F359" t="str">
        <f t="shared" si="10"/>
        <v>Aaron Jones Sr.</v>
      </c>
      <c r="G359" t="str">
        <f t="shared" si="11"/>
        <v>GB</v>
      </c>
      <c r="H359">
        <v>2021</v>
      </c>
    </row>
    <row r="360" spans="1:8" x14ac:dyDescent="0.45">
      <c r="A360" t="s">
        <v>1198</v>
      </c>
      <c r="B360" s="14">
        <v>0</v>
      </c>
      <c r="C360" s="14">
        <v>4.5699999999999998E-2</v>
      </c>
      <c r="D360" s="14">
        <v>7.4999999999999997E-3</v>
      </c>
      <c r="E360" s="14">
        <v>3.7100000000000001E-2</v>
      </c>
      <c r="F360" t="str">
        <f t="shared" si="10"/>
        <v>Derrick Henry</v>
      </c>
      <c r="G360" t="str">
        <f t="shared" si="11"/>
        <v>TEN</v>
      </c>
      <c r="H360">
        <v>2021</v>
      </c>
    </row>
    <row r="361" spans="1:8" x14ac:dyDescent="0.45">
      <c r="A361" t="s">
        <v>1122</v>
      </c>
      <c r="B361" s="14">
        <v>7.46E-2</v>
      </c>
      <c r="C361" s="14">
        <v>1.67E-2</v>
      </c>
      <c r="D361" s="14">
        <v>5.6300000000000003E-2</v>
      </c>
      <c r="E361" s="14">
        <v>2.3199999999999998E-2</v>
      </c>
      <c r="F361" t="str">
        <f t="shared" si="10"/>
        <v>Alvin Kamara</v>
      </c>
      <c r="G361" t="str">
        <f t="shared" si="11"/>
        <v>NO</v>
      </c>
      <c r="H361">
        <v>2021</v>
      </c>
    </row>
    <row r="362" spans="1:8" x14ac:dyDescent="0.45">
      <c r="A362" t="s">
        <v>1214</v>
      </c>
      <c r="B362" s="14">
        <v>5.7700000000000001E-2</v>
      </c>
      <c r="C362" s="14">
        <v>2.7099999999999999E-2</v>
      </c>
      <c r="D362" s="14">
        <v>4.8000000000000001E-2</v>
      </c>
      <c r="E362" s="14">
        <v>3.2500000000000001E-2</v>
      </c>
      <c r="F362" t="str">
        <f t="shared" si="10"/>
        <v>Antonio Gibson</v>
      </c>
      <c r="G362" t="str">
        <f t="shared" si="11"/>
        <v>WAS</v>
      </c>
      <c r="H362">
        <v>2021</v>
      </c>
    </row>
    <row r="363" spans="1:8" x14ac:dyDescent="0.45">
      <c r="A363" t="s">
        <v>1234</v>
      </c>
      <c r="B363" s="14">
        <v>0</v>
      </c>
      <c r="C363" s="14">
        <v>2.41E-2</v>
      </c>
      <c r="D363" s="14">
        <v>5.7000000000000002E-3</v>
      </c>
      <c r="E363" s="14">
        <v>3.04E-2</v>
      </c>
      <c r="F363" t="str">
        <f t="shared" si="10"/>
        <v>Dalvin Cook</v>
      </c>
      <c r="G363" t="str">
        <f t="shared" si="11"/>
        <v>MIN</v>
      </c>
      <c r="H363">
        <v>2021</v>
      </c>
    </row>
    <row r="364" spans="1:8" x14ac:dyDescent="0.45">
      <c r="A364" t="s">
        <v>1161</v>
      </c>
      <c r="B364" s="14">
        <v>5.6599999999999998E-2</v>
      </c>
      <c r="C364" s="14">
        <v>1.9699999999999999E-2</v>
      </c>
      <c r="D364" s="14">
        <v>4.24E-2</v>
      </c>
      <c r="E364" s="14">
        <v>2.5999999999999999E-2</v>
      </c>
      <c r="F364" t="str">
        <f t="shared" si="10"/>
        <v>Javonte Williams</v>
      </c>
      <c r="G364" t="str">
        <f t="shared" si="11"/>
        <v>DEN</v>
      </c>
      <c r="H364">
        <v>2021</v>
      </c>
    </row>
    <row r="365" spans="1:8" x14ac:dyDescent="0.45">
      <c r="A365" t="s">
        <v>1204</v>
      </c>
      <c r="B365" s="14">
        <v>0</v>
      </c>
      <c r="C365" s="14">
        <v>4.1500000000000002E-2</v>
      </c>
      <c r="D365" s="14">
        <v>1.18E-2</v>
      </c>
      <c r="E365" s="14">
        <v>3.8699999999999998E-2</v>
      </c>
      <c r="F365" t="str">
        <f t="shared" si="10"/>
        <v>Josh Jacobs</v>
      </c>
      <c r="G365" t="str">
        <f t="shared" si="11"/>
        <v>LV</v>
      </c>
      <c r="H365">
        <v>2021</v>
      </c>
    </row>
    <row r="366" spans="1:8" x14ac:dyDescent="0.45">
      <c r="A366" t="s">
        <v>1271</v>
      </c>
      <c r="B366" s="14">
        <v>5.1299999999999998E-2</v>
      </c>
      <c r="C366" s="14">
        <v>3.9399999999999998E-2</v>
      </c>
      <c r="D366" s="14">
        <v>4.02E-2</v>
      </c>
      <c r="E366" s="14">
        <v>3.7199999999999997E-2</v>
      </c>
      <c r="F366" t="str">
        <f t="shared" si="10"/>
        <v>Melvin Gordon III</v>
      </c>
      <c r="G366" t="str">
        <f t="shared" si="11"/>
        <v>DEN</v>
      </c>
      <c r="H366">
        <v>2021</v>
      </c>
    </row>
    <row r="367" spans="1:8" x14ac:dyDescent="0.45">
      <c r="A367" t="s">
        <v>1238</v>
      </c>
      <c r="B367" s="14">
        <v>0</v>
      </c>
      <c r="C367" s="14">
        <v>3.1099999999999999E-2</v>
      </c>
      <c r="D367" s="14">
        <v>1.7399999999999999E-2</v>
      </c>
      <c r="E367" s="14">
        <v>3.3799999999999997E-2</v>
      </c>
      <c r="F367" t="str">
        <f t="shared" si="10"/>
        <v>David Montgomery</v>
      </c>
      <c r="G367" t="str">
        <f t="shared" si="11"/>
        <v>CHI</v>
      </c>
      <c r="H367">
        <v>2021</v>
      </c>
    </row>
    <row r="368" spans="1:8" x14ac:dyDescent="0.45">
      <c r="A368" t="s">
        <v>1211</v>
      </c>
      <c r="B368" s="14">
        <v>5.4100000000000002E-2</v>
      </c>
      <c r="C368" s="14">
        <v>2.6700000000000002E-2</v>
      </c>
      <c r="D368" s="14">
        <v>4.1300000000000003E-2</v>
      </c>
      <c r="E368" s="14">
        <v>3.2599999999999997E-2</v>
      </c>
      <c r="F368" t="str">
        <f t="shared" si="10"/>
        <v>AJ Dillon</v>
      </c>
      <c r="G368" t="str">
        <f t="shared" si="11"/>
        <v>GB</v>
      </c>
      <c r="H368">
        <v>2021</v>
      </c>
    </row>
    <row r="369" spans="1:8" x14ac:dyDescent="0.45">
      <c r="A369" t="s">
        <v>1272</v>
      </c>
      <c r="B369" s="14">
        <v>3.5099999999999999E-2</v>
      </c>
      <c r="C369" s="14">
        <v>4.1700000000000001E-2</v>
      </c>
      <c r="D369" s="14">
        <v>4.1399999999999999E-2</v>
      </c>
      <c r="E369" s="14">
        <v>4.6800000000000001E-2</v>
      </c>
      <c r="F369" t="str">
        <f t="shared" si="10"/>
        <v>Darrel Williams</v>
      </c>
      <c r="G369" t="str">
        <f t="shared" si="11"/>
        <v>KC</v>
      </c>
      <c r="H369">
        <v>2021</v>
      </c>
    </row>
    <row r="370" spans="1:8" x14ac:dyDescent="0.45">
      <c r="A370" t="s">
        <v>1273</v>
      </c>
      <c r="B370" s="14">
        <v>0</v>
      </c>
      <c r="C370" s="14">
        <v>4.8800000000000003E-2</v>
      </c>
      <c r="D370" s="14">
        <v>4.7000000000000002E-3</v>
      </c>
      <c r="E370" s="14">
        <v>4.2000000000000003E-2</v>
      </c>
      <c r="F370" t="str">
        <f t="shared" si="10"/>
        <v>James Robinson</v>
      </c>
      <c r="G370" t="str">
        <f t="shared" si="11"/>
        <v>JAC</v>
      </c>
      <c r="H370">
        <v>2021</v>
      </c>
    </row>
    <row r="371" spans="1:8" x14ac:dyDescent="0.45">
      <c r="A371" t="s">
        <v>1222</v>
      </c>
      <c r="B371" s="14">
        <v>0.05</v>
      </c>
      <c r="C371" s="14">
        <v>2.4199999999999999E-2</v>
      </c>
      <c r="D371" s="14">
        <v>3.5200000000000002E-2</v>
      </c>
      <c r="E371" s="14">
        <v>2.1899999999999999E-2</v>
      </c>
      <c r="F371" t="str">
        <f t="shared" si="10"/>
        <v>Elijah Mitchell</v>
      </c>
      <c r="G371" t="str">
        <f t="shared" si="11"/>
        <v>SF</v>
      </c>
      <c r="H371">
        <v>2021</v>
      </c>
    </row>
    <row r="372" spans="1:8" x14ac:dyDescent="0.45">
      <c r="A372" t="s">
        <v>1240</v>
      </c>
      <c r="B372" s="14">
        <v>2.5600000000000001E-2</v>
      </c>
      <c r="C372" s="14">
        <v>3.3099999999999997E-2</v>
      </c>
      <c r="D372" s="14">
        <v>2.4899999999999999E-2</v>
      </c>
      <c r="E372" s="14">
        <v>2.9700000000000001E-2</v>
      </c>
      <c r="F372" t="str">
        <f t="shared" si="10"/>
        <v>D'Andre Swift</v>
      </c>
      <c r="G372" t="str">
        <f t="shared" si="11"/>
        <v>DET</v>
      </c>
      <c r="H372">
        <v>2021</v>
      </c>
    </row>
    <row r="373" spans="1:8" x14ac:dyDescent="0.45">
      <c r="A373" t="s">
        <v>1239</v>
      </c>
      <c r="B373" s="14">
        <v>0.02</v>
      </c>
      <c r="C373" s="14">
        <v>3.7199999999999997E-2</v>
      </c>
      <c r="D373" s="14">
        <v>2.75E-2</v>
      </c>
      <c r="E373" s="14">
        <v>3.44E-2</v>
      </c>
      <c r="F373" t="str">
        <f t="shared" si="10"/>
        <v>Devin Singletary</v>
      </c>
      <c r="G373" t="str">
        <f t="shared" si="11"/>
        <v>BUF</v>
      </c>
      <c r="H373">
        <v>2021</v>
      </c>
    </row>
    <row r="374" spans="1:8" x14ac:dyDescent="0.45">
      <c r="A374" t="s">
        <v>1220</v>
      </c>
      <c r="B374" s="14">
        <v>7.4999999999999997E-2</v>
      </c>
      <c r="C374" s="14">
        <v>3.3599999999999998E-2</v>
      </c>
      <c r="D374" s="14">
        <v>6.4500000000000002E-2</v>
      </c>
      <c r="E374" s="14">
        <v>3.4700000000000002E-2</v>
      </c>
      <c r="F374" t="str">
        <f t="shared" si="10"/>
        <v>Darrell Henderson Jr.</v>
      </c>
      <c r="G374" t="str">
        <f t="shared" si="11"/>
        <v>LAR</v>
      </c>
      <c r="H374">
        <v>2021</v>
      </c>
    </row>
    <row r="375" spans="1:8" x14ac:dyDescent="0.45">
      <c r="A375" t="s">
        <v>1274</v>
      </c>
      <c r="B375" s="14">
        <v>6.3500000000000001E-2</v>
      </c>
      <c r="C375" s="14">
        <v>1.7299999999999999E-2</v>
      </c>
      <c r="D375" s="14">
        <v>5.3100000000000001E-2</v>
      </c>
      <c r="E375" s="14">
        <v>2.53E-2</v>
      </c>
      <c r="F375" t="str">
        <f t="shared" si="10"/>
        <v>Myles Gaskin</v>
      </c>
      <c r="G375" t="str">
        <f t="shared" si="11"/>
        <v>MIA</v>
      </c>
      <c r="H375">
        <v>2021</v>
      </c>
    </row>
    <row r="376" spans="1:8" x14ac:dyDescent="0.45">
      <c r="A376" t="s">
        <v>1203</v>
      </c>
      <c r="B376" s="14">
        <v>0</v>
      </c>
      <c r="C376" s="14">
        <v>1.54E-2</v>
      </c>
      <c r="D376" s="14">
        <v>1.09E-2</v>
      </c>
      <c r="E376" s="14">
        <v>1.5699999999999999E-2</v>
      </c>
      <c r="F376" t="str">
        <f t="shared" si="10"/>
        <v>Tony Pollard</v>
      </c>
      <c r="G376" t="str">
        <f t="shared" si="11"/>
        <v>DAL</v>
      </c>
      <c r="H376">
        <v>2021</v>
      </c>
    </row>
    <row r="377" spans="1:8" x14ac:dyDescent="0.45">
      <c r="A377" t="s">
        <v>1275</v>
      </c>
      <c r="B377" s="14">
        <v>3.0300000000000001E-2</v>
      </c>
      <c r="C377" s="14">
        <v>1.9199999999999998E-2</v>
      </c>
      <c r="D377" s="14">
        <v>2.81E-2</v>
      </c>
      <c r="E377" s="14">
        <v>2.5000000000000001E-2</v>
      </c>
      <c r="F377" t="str">
        <f t="shared" si="10"/>
        <v>Sony Michel</v>
      </c>
      <c r="G377" t="str">
        <f t="shared" si="11"/>
        <v>LAR</v>
      </c>
      <c r="H377">
        <v>2021</v>
      </c>
    </row>
    <row r="378" spans="1:8" x14ac:dyDescent="0.45">
      <c r="A378" t="s">
        <v>1245</v>
      </c>
      <c r="B378" s="14">
        <v>0</v>
      </c>
      <c r="C378" s="14">
        <v>2.7199999999999998E-2</v>
      </c>
      <c r="D378" s="14">
        <v>8.0999999999999996E-3</v>
      </c>
      <c r="E378" s="14">
        <v>3.2099999999999997E-2</v>
      </c>
      <c r="F378" t="str">
        <f t="shared" si="10"/>
        <v>Michael Carter</v>
      </c>
      <c r="G378" t="str">
        <f t="shared" si="11"/>
        <v>NYJ</v>
      </c>
      <c r="H378">
        <v>2021</v>
      </c>
    </row>
    <row r="379" spans="1:8" x14ac:dyDescent="0.45">
      <c r="A379" t="s">
        <v>1276</v>
      </c>
      <c r="B379" s="14">
        <v>2.3800000000000002E-2</v>
      </c>
      <c r="C379" s="14">
        <v>3.7600000000000001E-2</v>
      </c>
      <c r="D379" s="14">
        <v>3.1800000000000002E-2</v>
      </c>
      <c r="E379" s="14">
        <v>3.4000000000000002E-2</v>
      </c>
      <c r="F379" t="str">
        <f t="shared" si="10"/>
        <v>Devonta Freeman</v>
      </c>
      <c r="G379" t="str">
        <f t="shared" si="11"/>
        <v>BAL</v>
      </c>
      <c r="H379">
        <v>2021</v>
      </c>
    </row>
    <row r="380" spans="1:8" x14ac:dyDescent="0.45">
      <c r="A380" t="s">
        <v>1201</v>
      </c>
      <c r="B380" s="14">
        <v>3.5099999999999999E-2</v>
      </c>
      <c r="C380" s="14">
        <v>1.23E-2</v>
      </c>
      <c r="D380" s="14">
        <v>2.46E-2</v>
      </c>
      <c r="E380" s="14">
        <v>1.37E-2</v>
      </c>
      <c r="F380" t="str">
        <f t="shared" si="10"/>
        <v>Saquon Barkley</v>
      </c>
      <c r="G380" t="str">
        <f t="shared" si="11"/>
        <v>NYG</v>
      </c>
      <c r="H380">
        <v>2021</v>
      </c>
    </row>
    <row r="381" spans="1:8" x14ac:dyDescent="0.45">
      <c r="A381" t="s">
        <v>1277</v>
      </c>
      <c r="B381" s="14">
        <v>2.2200000000000001E-2</v>
      </c>
      <c r="C381" s="14">
        <v>1.38E-2</v>
      </c>
      <c r="D381" s="14">
        <v>2.0899999999999998E-2</v>
      </c>
      <c r="E381" s="14">
        <v>1.8200000000000001E-2</v>
      </c>
      <c r="F381" t="str">
        <f t="shared" si="10"/>
        <v>Devontae Booker</v>
      </c>
      <c r="G381" t="str">
        <f t="shared" si="11"/>
        <v>NYG</v>
      </c>
      <c r="H381">
        <v>2021</v>
      </c>
    </row>
    <row r="382" spans="1:8" x14ac:dyDescent="0.45">
      <c r="A382" t="s">
        <v>1113</v>
      </c>
      <c r="B382" s="14">
        <v>2.7E-2</v>
      </c>
      <c r="C382" s="14">
        <v>2.9100000000000001E-2</v>
      </c>
      <c r="D382" s="14">
        <v>3.09E-2</v>
      </c>
      <c r="E382" s="14">
        <v>2.5499999999999998E-2</v>
      </c>
      <c r="F382" t="str">
        <f t="shared" si="10"/>
        <v>Chuba Hubbard</v>
      </c>
      <c r="G382" t="str">
        <f t="shared" si="11"/>
        <v>CAR</v>
      </c>
      <c r="H382">
        <v>2021</v>
      </c>
    </row>
    <row r="383" spans="1:8" x14ac:dyDescent="0.45">
      <c r="A383" t="s">
        <v>1278</v>
      </c>
      <c r="B383" s="14">
        <v>0</v>
      </c>
      <c r="C383" s="14">
        <v>1.72E-2</v>
      </c>
      <c r="D383" s="14">
        <v>1.18E-2</v>
      </c>
      <c r="E383" s="14">
        <v>2.41E-2</v>
      </c>
      <c r="F383" t="str">
        <f t="shared" si="10"/>
        <v>Chase Edmonds</v>
      </c>
      <c r="G383" t="str">
        <f t="shared" si="11"/>
        <v>ARI</v>
      </c>
      <c r="H383">
        <v>2021</v>
      </c>
    </row>
    <row r="384" spans="1:8" x14ac:dyDescent="0.45">
      <c r="A384" t="s">
        <v>1218</v>
      </c>
      <c r="B384" s="14">
        <v>8.6999999999999994E-2</v>
      </c>
      <c r="C384" s="14">
        <v>3.3599999999999998E-2</v>
      </c>
      <c r="D384" s="14">
        <v>6.3100000000000003E-2</v>
      </c>
      <c r="E384" s="14">
        <v>2.6800000000000001E-2</v>
      </c>
      <c r="F384" t="str">
        <f t="shared" si="10"/>
        <v>Clyde Edwards-Helaire</v>
      </c>
      <c r="G384" t="str">
        <f t="shared" si="11"/>
        <v>KC</v>
      </c>
      <c r="H384">
        <v>2021</v>
      </c>
    </row>
    <row r="385" spans="1:8" x14ac:dyDescent="0.45">
      <c r="A385" t="s">
        <v>1102</v>
      </c>
      <c r="B385" s="14">
        <v>0</v>
      </c>
      <c r="C385" s="14">
        <v>3.7600000000000001E-2</v>
      </c>
      <c r="D385" s="14">
        <v>1.7000000000000001E-2</v>
      </c>
      <c r="E385" s="14">
        <v>3.44E-2</v>
      </c>
      <c r="F385" t="str">
        <f t="shared" si="10"/>
        <v>Rhamondre Stevenson</v>
      </c>
      <c r="G385" t="str">
        <f t="shared" si="11"/>
        <v>NE</v>
      </c>
      <c r="H385">
        <v>2021</v>
      </c>
    </row>
    <row r="386" spans="1:8" x14ac:dyDescent="0.45">
      <c r="A386" t="s">
        <v>1279</v>
      </c>
      <c r="B386" s="14">
        <v>1.72E-2</v>
      </c>
      <c r="C386" s="14">
        <v>2.1700000000000001E-2</v>
      </c>
      <c r="D386" s="14">
        <v>2.4199999999999999E-2</v>
      </c>
      <c r="E386" s="14">
        <v>2.2800000000000001E-2</v>
      </c>
      <c r="F386" t="str">
        <f t="shared" ref="F386:F449" si="12">TRIM(LEFT(A386, FIND("(", A386) - 2))</f>
        <v>Mike Davis</v>
      </c>
      <c r="G386" t="str">
        <f t="shared" si="11"/>
        <v>ATL</v>
      </c>
      <c r="H386">
        <v>2021</v>
      </c>
    </row>
    <row r="387" spans="1:8" x14ac:dyDescent="0.45">
      <c r="A387" t="s">
        <v>1210</v>
      </c>
      <c r="B387" s="14">
        <v>2.5600000000000001E-2</v>
      </c>
      <c r="C387" s="14">
        <v>2.24E-2</v>
      </c>
      <c r="D387" s="14">
        <v>3.2300000000000002E-2</v>
      </c>
      <c r="E387" s="14">
        <v>2.5899999999999999E-2</v>
      </c>
      <c r="F387" t="str">
        <f t="shared" si="12"/>
        <v>Alexander Mattison</v>
      </c>
      <c r="G387" t="str">
        <f t="shared" ref="G387:G450" si="13">MID(A387, FIND("(", A387) + 1, FIND(")", A387) - FIND("(", A387) - 1)</f>
        <v>MIN</v>
      </c>
      <c r="H387">
        <v>2021</v>
      </c>
    </row>
    <row r="388" spans="1:8" x14ac:dyDescent="0.45">
      <c r="A388" t="s">
        <v>1236</v>
      </c>
      <c r="B388" s="14">
        <v>0</v>
      </c>
      <c r="C388" s="14">
        <v>0</v>
      </c>
      <c r="D388" s="14">
        <v>9.7999999999999997E-3</v>
      </c>
      <c r="E388" s="14">
        <v>1.4200000000000001E-2</v>
      </c>
      <c r="F388" t="str">
        <f t="shared" si="12"/>
        <v>Miles Sanders</v>
      </c>
      <c r="G388" t="str">
        <f t="shared" si="13"/>
        <v>PHI</v>
      </c>
      <c r="H388">
        <v>2021</v>
      </c>
    </row>
    <row r="389" spans="1:8" x14ac:dyDescent="0.45">
      <c r="A389" t="s">
        <v>1255</v>
      </c>
      <c r="B389" s="14">
        <v>0</v>
      </c>
      <c r="C389" s="14">
        <v>5.04E-2</v>
      </c>
      <c r="D389" s="14">
        <v>4.4000000000000003E-3</v>
      </c>
      <c r="E389" s="14">
        <v>3.7699999999999997E-2</v>
      </c>
      <c r="F389" t="str">
        <f t="shared" si="12"/>
        <v>Rashaad Penny</v>
      </c>
      <c r="G389" t="str">
        <f t="shared" si="13"/>
        <v>SEA</v>
      </c>
      <c r="H389">
        <v>2021</v>
      </c>
    </row>
    <row r="390" spans="1:8" x14ac:dyDescent="0.45">
      <c r="A390" t="s">
        <v>1280</v>
      </c>
      <c r="B390" s="14">
        <v>2.4400000000000002E-2</v>
      </c>
      <c r="C390" s="14">
        <v>1.01E-2</v>
      </c>
      <c r="D390" s="14">
        <v>1.84E-2</v>
      </c>
      <c r="E390" s="14">
        <v>1.84E-2</v>
      </c>
      <c r="F390" t="str">
        <f t="shared" si="12"/>
        <v>Christian McCaffrey</v>
      </c>
      <c r="G390" t="str">
        <f t="shared" si="13"/>
        <v>CAR</v>
      </c>
      <c r="H390">
        <v>2021</v>
      </c>
    </row>
    <row r="391" spans="1:8" x14ac:dyDescent="0.45">
      <c r="A391" t="s">
        <v>1235</v>
      </c>
      <c r="B391" s="14">
        <v>0</v>
      </c>
      <c r="C391" s="14">
        <v>1.9599999999999999E-2</v>
      </c>
      <c r="D391" s="14">
        <v>3.5999999999999999E-3</v>
      </c>
      <c r="E391" s="14">
        <v>2.24E-2</v>
      </c>
      <c r="F391" t="str">
        <f t="shared" si="12"/>
        <v>Jamaal Williams</v>
      </c>
      <c r="G391" t="str">
        <f t="shared" si="13"/>
        <v>DET</v>
      </c>
      <c r="H391">
        <v>2021</v>
      </c>
    </row>
    <row r="392" spans="1:8" x14ac:dyDescent="0.45">
      <c r="A392" t="s">
        <v>1209</v>
      </c>
      <c r="B392" s="14">
        <v>0</v>
      </c>
      <c r="C392" s="14">
        <v>6.4100000000000004E-2</v>
      </c>
      <c r="D392" s="14">
        <v>1.17E-2</v>
      </c>
      <c r="E392" s="14">
        <v>4.9399999999999999E-2</v>
      </c>
      <c r="F392" t="str">
        <f t="shared" si="12"/>
        <v>Kareem Hunt</v>
      </c>
      <c r="G392" t="str">
        <f t="shared" si="13"/>
        <v>CLE</v>
      </c>
      <c r="H392">
        <v>2021</v>
      </c>
    </row>
    <row r="393" spans="1:8" x14ac:dyDescent="0.45">
      <c r="A393" t="s">
        <v>1262</v>
      </c>
      <c r="B393" s="14">
        <v>0</v>
      </c>
      <c r="C393" s="14">
        <v>8.0500000000000002E-2</v>
      </c>
      <c r="D393" s="14">
        <v>2.23E-2</v>
      </c>
      <c r="E393" s="14">
        <v>7.3899999999999993E-2</v>
      </c>
      <c r="F393" t="str">
        <f t="shared" si="12"/>
        <v>Boston Scott</v>
      </c>
      <c r="G393" t="str">
        <f t="shared" si="13"/>
        <v>PHI</v>
      </c>
      <c r="H393">
        <v>2021</v>
      </c>
    </row>
    <row r="394" spans="1:8" x14ac:dyDescent="0.45">
      <c r="A394" t="s">
        <v>1281</v>
      </c>
      <c r="B394" s="14">
        <v>3.7699999999999997E-2</v>
      </c>
      <c r="C394" s="14">
        <v>4.1700000000000001E-2</v>
      </c>
      <c r="D394" s="14">
        <v>3.04E-2</v>
      </c>
      <c r="E394" s="14">
        <v>3.8399999999999997E-2</v>
      </c>
      <c r="F394" t="str">
        <f t="shared" si="12"/>
        <v>J.D. McKissic</v>
      </c>
      <c r="G394" t="str">
        <f t="shared" si="13"/>
        <v>WAS</v>
      </c>
      <c r="H394">
        <v>2021</v>
      </c>
    </row>
    <row r="395" spans="1:8" x14ac:dyDescent="0.45">
      <c r="A395" t="s">
        <v>1263</v>
      </c>
      <c r="B395" s="14">
        <v>3.6400000000000002E-2</v>
      </c>
      <c r="C395" s="14">
        <v>3.2800000000000003E-2</v>
      </c>
      <c r="D395" s="14">
        <v>2.5600000000000001E-2</v>
      </c>
      <c r="E395" s="14">
        <v>4.1700000000000001E-2</v>
      </c>
      <c r="F395" t="str">
        <f t="shared" si="12"/>
        <v>Ty Johnson</v>
      </c>
      <c r="G395" t="str">
        <f t="shared" si="13"/>
        <v>NYJ</v>
      </c>
      <c r="H395">
        <v>2021</v>
      </c>
    </row>
    <row r="396" spans="1:8" x14ac:dyDescent="0.45">
      <c r="A396" t="s">
        <v>1261</v>
      </c>
      <c r="B396" s="14">
        <v>0</v>
      </c>
      <c r="C396" s="14">
        <v>1.2500000000000001E-2</v>
      </c>
      <c r="D396" s="14">
        <v>1.3100000000000001E-2</v>
      </c>
      <c r="E396" s="14">
        <v>2.0500000000000001E-2</v>
      </c>
      <c r="F396" t="str">
        <f t="shared" si="12"/>
        <v>Mark Ingram II</v>
      </c>
      <c r="G396" t="str">
        <f t="shared" si="13"/>
        <v>NO</v>
      </c>
      <c r="H396">
        <v>2021</v>
      </c>
    </row>
    <row r="397" spans="1:8" x14ac:dyDescent="0.45">
      <c r="A397" t="s">
        <v>1282</v>
      </c>
      <c r="B397" s="14">
        <v>3.1300000000000001E-2</v>
      </c>
      <c r="C397" s="14">
        <v>4.1700000000000001E-2</v>
      </c>
      <c r="D397" s="14">
        <v>3.5799999999999998E-2</v>
      </c>
      <c r="E397" s="14">
        <v>4.2299999999999997E-2</v>
      </c>
      <c r="F397" t="str">
        <f t="shared" si="12"/>
        <v>Zack Moss</v>
      </c>
      <c r="G397" t="str">
        <f t="shared" si="13"/>
        <v>BUF</v>
      </c>
      <c r="H397">
        <v>2021</v>
      </c>
    </row>
    <row r="398" spans="1:8" x14ac:dyDescent="0.45">
      <c r="A398" t="s">
        <v>1283</v>
      </c>
      <c r="B398" s="14">
        <v>0</v>
      </c>
      <c r="C398" s="14">
        <v>2.2599999999999999E-2</v>
      </c>
      <c r="D398" s="14">
        <v>1.4E-2</v>
      </c>
      <c r="E398" s="14">
        <v>2.64E-2</v>
      </c>
      <c r="F398" t="str">
        <f t="shared" si="12"/>
        <v>D'Onta Foreman</v>
      </c>
      <c r="G398" t="str">
        <f t="shared" si="13"/>
        <v>TEN</v>
      </c>
      <c r="H398">
        <v>2021</v>
      </c>
    </row>
    <row r="399" spans="1:8" x14ac:dyDescent="0.45">
      <c r="A399" t="s">
        <v>1176</v>
      </c>
      <c r="B399" s="14">
        <v>0.02</v>
      </c>
      <c r="C399" s="14">
        <v>7.3499999999999996E-2</v>
      </c>
      <c r="D399" s="14">
        <v>2.5700000000000001E-2</v>
      </c>
      <c r="E399" s="14">
        <v>5.3499999999999999E-2</v>
      </c>
      <c r="F399" t="str">
        <f t="shared" si="12"/>
        <v>Kenny Gainwell</v>
      </c>
      <c r="G399" t="str">
        <f t="shared" si="13"/>
        <v>PHI</v>
      </c>
      <c r="H399">
        <v>2021</v>
      </c>
    </row>
    <row r="400" spans="1:8" x14ac:dyDescent="0.45">
      <c r="A400" t="s">
        <v>1260</v>
      </c>
      <c r="B400" s="14">
        <v>0</v>
      </c>
      <c r="C400" s="14">
        <v>2.46E-2</v>
      </c>
      <c r="D400" s="14">
        <v>1.15E-2</v>
      </c>
      <c r="E400" s="14">
        <v>3.0499999999999999E-2</v>
      </c>
      <c r="F400" t="str">
        <f t="shared" si="12"/>
        <v>Rex Burkhead</v>
      </c>
      <c r="G400" t="str">
        <f t="shared" si="13"/>
        <v>HOU</v>
      </c>
      <c r="H400">
        <v>2021</v>
      </c>
    </row>
    <row r="401" spans="1:8" x14ac:dyDescent="0.45">
      <c r="A401" t="s">
        <v>1284</v>
      </c>
      <c r="B401" s="14">
        <v>0</v>
      </c>
      <c r="C401" s="14">
        <v>5.04E-2</v>
      </c>
      <c r="D401" s="14">
        <v>3.0800000000000001E-2</v>
      </c>
      <c r="E401" s="14">
        <v>4.19E-2</v>
      </c>
      <c r="F401" t="str">
        <f t="shared" si="12"/>
        <v>Latavius Murray</v>
      </c>
      <c r="G401" t="str">
        <f t="shared" si="13"/>
        <v>BAL</v>
      </c>
      <c r="H401">
        <v>2021</v>
      </c>
    </row>
    <row r="402" spans="1:8" x14ac:dyDescent="0.45">
      <c r="A402" t="s">
        <v>1285</v>
      </c>
      <c r="B402" s="14">
        <v>2.5000000000000001E-2</v>
      </c>
      <c r="C402" s="14">
        <v>3.1699999999999999E-2</v>
      </c>
      <c r="D402" s="14">
        <v>2.1399999999999999E-2</v>
      </c>
      <c r="E402" s="14">
        <v>2.5399999999999999E-2</v>
      </c>
      <c r="F402" t="str">
        <f t="shared" si="12"/>
        <v>Kenyan Drake</v>
      </c>
      <c r="G402" t="str">
        <f t="shared" si="13"/>
        <v>LV</v>
      </c>
      <c r="H402">
        <v>2021</v>
      </c>
    </row>
    <row r="403" spans="1:8" x14ac:dyDescent="0.45">
      <c r="A403" t="s">
        <v>1286</v>
      </c>
      <c r="B403" s="14">
        <v>1.7500000000000002E-2</v>
      </c>
      <c r="C403" s="14">
        <v>3.5700000000000003E-2</v>
      </c>
      <c r="D403" s="14">
        <v>1.9300000000000001E-2</v>
      </c>
      <c r="E403" s="14">
        <v>2.41E-2</v>
      </c>
      <c r="F403" t="str">
        <f t="shared" si="12"/>
        <v>Nyheim Miller-Hines</v>
      </c>
      <c r="G403" t="str">
        <f t="shared" si="13"/>
        <v>IND</v>
      </c>
      <c r="H403">
        <v>2021</v>
      </c>
    </row>
    <row r="404" spans="1:8" x14ac:dyDescent="0.45">
      <c r="A404" t="s">
        <v>1287</v>
      </c>
      <c r="B404" s="14">
        <v>0</v>
      </c>
      <c r="C404" s="14">
        <v>3.9600000000000003E-2</v>
      </c>
      <c r="D404" s="14">
        <v>1.9099999999999999E-2</v>
      </c>
      <c r="E404" s="14">
        <v>3.5099999999999999E-2</v>
      </c>
      <c r="F404" t="str">
        <f t="shared" si="12"/>
        <v>Ronald Jones II</v>
      </c>
      <c r="G404" t="str">
        <f t="shared" si="13"/>
        <v>TB</v>
      </c>
      <c r="H404">
        <v>2021</v>
      </c>
    </row>
    <row r="405" spans="1:8" x14ac:dyDescent="0.45">
      <c r="A405" t="s">
        <v>1288</v>
      </c>
      <c r="B405" s="14">
        <v>0</v>
      </c>
      <c r="C405" s="14">
        <v>0.03</v>
      </c>
      <c r="D405" s="14">
        <v>5.1999999999999998E-3</v>
      </c>
      <c r="E405" s="14">
        <v>2.6700000000000002E-2</v>
      </c>
      <c r="F405" t="str">
        <f t="shared" si="12"/>
        <v>D'Ernest Johnson</v>
      </c>
      <c r="G405" t="str">
        <f t="shared" si="13"/>
        <v>CLE</v>
      </c>
      <c r="H405">
        <v>2021</v>
      </c>
    </row>
    <row r="406" spans="1:8" x14ac:dyDescent="0.45">
      <c r="A406" t="s">
        <v>1289</v>
      </c>
      <c r="B406" s="14">
        <v>4.0800000000000003E-2</v>
      </c>
      <c r="C406" s="14">
        <v>2.2700000000000001E-2</v>
      </c>
      <c r="D406" s="14">
        <v>3.6299999999999999E-2</v>
      </c>
      <c r="E406" s="14">
        <v>2.7199999999999998E-2</v>
      </c>
      <c r="F406" t="str">
        <f t="shared" si="12"/>
        <v>Brandon Bolden</v>
      </c>
      <c r="G406" t="str">
        <f t="shared" si="13"/>
        <v>NE</v>
      </c>
      <c r="H406">
        <v>2021</v>
      </c>
    </row>
    <row r="407" spans="1:8" x14ac:dyDescent="0.45">
      <c r="A407" t="s">
        <v>1212</v>
      </c>
      <c r="B407" s="14">
        <v>0</v>
      </c>
      <c r="C407" s="14">
        <v>1.9400000000000001E-2</v>
      </c>
      <c r="D407" s="14">
        <v>1.06E-2</v>
      </c>
      <c r="E407" s="14">
        <v>2.01E-2</v>
      </c>
      <c r="F407" t="str">
        <f t="shared" si="12"/>
        <v>Khalil Herbert</v>
      </c>
      <c r="G407" t="str">
        <f t="shared" si="13"/>
        <v>CHI</v>
      </c>
      <c r="H407">
        <v>2021</v>
      </c>
    </row>
    <row r="408" spans="1:8" x14ac:dyDescent="0.45">
      <c r="A408" t="s">
        <v>1290</v>
      </c>
      <c r="B408" s="14">
        <v>0</v>
      </c>
      <c r="C408" s="14">
        <v>2.9399999999999999E-2</v>
      </c>
      <c r="D408" s="14">
        <v>1.49E-2</v>
      </c>
      <c r="E408" s="14">
        <v>3.1600000000000003E-2</v>
      </c>
      <c r="F408" t="str">
        <f t="shared" si="12"/>
        <v>Justin Jackson</v>
      </c>
      <c r="G408" t="str">
        <f t="shared" si="13"/>
        <v>LAC</v>
      </c>
      <c r="H408">
        <v>2021</v>
      </c>
    </row>
    <row r="409" spans="1:8" x14ac:dyDescent="0.45">
      <c r="A409" t="s">
        <v>1291</v>
      </c>
      <c r="B409" s="14">
        <v>0</v>
      </c>
      <c r="C409" s="14">
        <v>3.49E-2</v>
      </c>
      <c r="D409" s="14">
        <v>6.0000000000000001E-3</v>
      </c>
      <c r="E409" s="14">
        <v>4.4699999999999997E-2</v>
      </c>
      <c r="F409" t="str">
        <f t="shared" si="12"/>
        <v>Jordan Howard</v>
      </c>
      <c r="G409" t="str">
        <f t="shared" si="13"/>
        <v>PHI</v>
      </c>
      <c r="H409">
        <v>2021</v>
      </c>
    </row>
    <row r="410" spans="1:8" x14ac:dyDescent="0.45">
      <c r="A410" t="s">
        <v>1292</v>
      </c>
      <c r="B410" s="14">
        <v>0</v>
      </c>
      <c r="C410" s="14">
        <v>1.8499999999999999E-2</v>
      </c>
      <c r="D410" s="14">
        <v>2.8E-3</v>
      </c>
      <c r="E410" s="14">
        <v>2.1600000000000001E-2</v>
      </c>
      <c r="F410" t="str">
        <f t="shared" si="12"/>
        <v>Alex Collins</v>
      </c>
      <c r="G410" t="str">
        <f t="shared" si="13"/>
        <v>SEA</v>
      </c>
      <c r="H410">
        <v>2021</v>
      </c>
    </row>
    <row r="411" spans="1:8" x14ac:dyDescent="0.45">
      <c r="A411" t="s">
        <v>1126</v>
      </c>
      <c r="B411" s="14">
        <v>3.2300000000000002E-2</v>
      </c>
      <c r="C411" s="14">
        <v>1.8200000000000001E-2</v>
      </c>
      <c r="D411" s="14">
        <v>3.2599999999999997E-2</v>
      </c>
      <c r="E411" s="14">
        <v>1.23E-2</v>
      </c>
      <c r="F411" t="str">
        <f t="shared" si="12"/>
        <v>Samaje Perine</v>
      </c>
      <c r="G411" t="str">
        <f t="shared" si="13"/>
        <v>CIN</v>
      </c>
      <c r="H411">
        <v>2021</v>
      </c>
    </row>
    <row r="412" spans="1:8" x14ac:dyDescent="0.45">
      <c r="A412" t="s">
        <v>1293</v>
      </c>
      <c r="B412" s="14">
        <v>0</v>
      </c>
      <c r="C412" s="14">
        <v>3.5700000000000003E-2</v>
      </c>
      <c r="D412" s="14">
        <v>1.6899999999999998E-2</v>
      </c>
      <c r="E412" s="14">
        <v>2.53E-2</v>
      </c>
      <c r="F412" t="str">
        <f t="shared" si="12"/>
        <v>Dontrell Hilliard</v>
      </c>
      <c r="G412" t="str">
        <f t="shared" si="13"/>
        <v>TEN</v>
      </c>
      <c r="H412">
        <v>2021</v>
      </c>
    </row>
    <row r="413" spans="1:8" x14ac:dyDescent="0.45">
      <c r="A413" t="s">
        <v>1294</v>
      </c>
      <c r="B413" s="14">
        <v>2.3800000000000002E-2</v>
      </c>
      <c r="C413" s="14">
        <v>0</v>
      </c>
      <c r="D413" s="14">
        <v>3.2399999999999998E-2</v>
      </c>
      <c r="E413" s="14">
        <v>5.3E-3</v>
      </c>
      <c r="F413" t="str">
        <f t="shared" si="12"/>
        <v>David Johnson</v>
      </c>
      <c r="G413" t="str">
        <f t="shared" si="13"/>
        <v>HOU</v>
      </c>
      <c r="H413">
        <v>2021</v>
      </c>
    </row>
    <row r="414" spans="1:8" x14ac:dyDescent="0.45">
      <c r="A414" t="s">
        <v>1295</v>
      </c>
      <c r="B414" s="14">
        <v>2.63E-2</v>
      </c>
      <c r="C414" s="14">
        <v>0</v>
      </c>
      <c r="D414" s="14">
        <v>2.7900000000000001E-2</v>
      </c>
      <c r="E414" s="14">
        <v>1.09E-2</v>
      </c>
      <c r="F414" t="str">
        <f t="shared" si="12"/>
        <v>Jeremy McNichols</v>
      </c>
      <c r="G414" t="str">
        <f t="shared" si="13"/>
        <v>TEN</v>
      </c>
      <c r="H414">
        <v>2021</v>
      </c>
    </row>
    <row r="415" spans="1:8" x14ac:dyDescent="0.45">
      <c r="A415" t="s">
        <v>1296</v>
      </c>
      <c r="B415" s="14">
        <v>0</v>
      </c>
      <c r="C415" s="14">
        <v>3.9199999999999999E-2</v>
      </c>
      <c r="D415" s="14">
        <v>1.6E-2</v>
      </c>
      <c r="E415" s="14">
        <v>3.3000000000000002E-2</v>
      </c>
      <c r="F415" t="str">
        <f t="shared" si="12"/>
        <v>Derrick Gore</v>
      </c>
      <c r="G415" t="str">
        <f t="shared" si="13"/>
        <v>KC</v>
      </c>
      <c r="H415">
        <v>2021</v>
      </c>
    </row>
    <row r="416" spans="1:8" x14ac:dyDescent="0.45">
      <c r="A416" t="s">
        <v>1297</v>
      </c>
      <c r="B416" s="14">
        <v>0</v>
      </c>
      <c r="C416" s="14">
        <v>2.53E-2</v>
      </c>
      <c r="D416" s="14">
        <v>4.7300000000000002E-2</v>
      </c>
      <c r="E416" s="14">
        <v>2.75E-2</v>
      </c>
      <c r="F416" t="str">
        <f t="shared" si="12"/>
        <v>Jeff Wilson Jr.</v>
      </c>
      <c r="G416" t="str">
        <f t="shared" si="13"/>
        <v>SF</v>
      </c>
      <c r="H416">
        <v>2021</v>
      </c>
    </row>
    <row r="417" spans="1:8" x14ac:dyDescent="0.45">
      <c r="A417" t="s">
        <v>1298</v>
      </c>
      <c r="B417" s="14">
        <v>1.89E-2</v>
      </c>
      <c r="C417" s="14">
        <v>0</v>
      </c>
      <c r="D417" s="14">
        <v>2.2100000000000002E-2</v>
      </c>
      <c r="E417" s="14">
        <v>1.03E-2</v>
      </c>
      <c r="F417" t="str">
        <f t="shared" si="12"/>
        <v>Ameer Abdullah</v>
      </c>
      <c r="G417" t="str">
        <f t="shared" si="13"/>
        <v>CAR</v>
      </c>
      <c r="H417">
        <v>2021</v>
      </c>
    </row>
    <row r="418" spans="1:8" x14ac:dyDescent="0.45">
      <c r="A418" t="s">
        <v>1299</v>
      </c>
      <c r="B418" s="14">
        <v>0</v>
      </c>
      <c r="C418" s="14">
        <v>2.9399999999999999E-2</v>
      </c>
      <c r="D418" s="14">
        <v>5.0000000000000001E-3</v>
      </c>
      <c r="E418" s="14">
        <v>2.23E-2</v>
      </c>
      <c r="F418" t="str">
        <f t="shared" si="12"/>
        <v>Jaret Patterson</v>
      </c>
      <c r="G418" t="str">
        <f t="shared" si="13"/>
        <v>WAS</v>
      </c>
      <c r="H418">
        <v>2021</v>
      </c>
    </row>
    <row r="419" spans="1:8" x14ac:dyDescent="0.45">
      <c r="A419" t="s">
        <v>1300</v>
      </c>
      <c r="B419" s="14">
        <v>0</v>
      </c>
      <c r="C419" s="14">
        <v>5.5599999999999997E-2</v>
      </c>
      <c r="D419" s="14">
        <v>2.5999999999999999E-3</v>
      </c>
      <c r="E419" s="14">
        <v>3.9699999999999999E-2</v>
      </c>
      <c r="F419" t="str">
        <f t="shared" si="12"/>
        <v>Chris Carson</v>
      </c>
      <c r="G419" t="str">
        <f t="shared" si="13"/>
        <v>SEA</v>
      </c>
      <c r="H419">
        <v>2021</v>
      </c>
    </row>
    <row r="420" spans="1:8" x14ac:dyDescent="0.45">
      <c r="A420" t="s">
        <v>1301</v>
      </c>
      <c r="B420" s="14">
        <v>0</v>
      </c>
      <c r="C420" s="14">
        <v>0</v>
      </c>
      <c r="D420" s="14">
        <v>3.0200000000000001E-2</v>
      </c>
      <c r="E420" s="14">
        <v>1.95E-2</v>
      </c>
      <c r="F420" t="str">
        <f t="shared" si="12"/>
        <v>Tevin Coleman</v>
      </c>
      <c r="G420" t="str">
        <f t="shared" si="13"/>
        <v>NYJ</v>
      </c>
      <c r="H420">
        <v>2021</v>
      </c>
    </row>
    <row r="421" spans="1:8" x14ac:dyDescent="0.45">
      <c r="A421" t="s">
        <v>1302</v>
      </c>
      <c r="B421" s="14">
        <v>0</v>
      </c>
      <c r="C421" s="14">
        <v>3.6400000000000002E-2</v>
      </c>
      <c r="D421" s="14">
        <v>1.2E-2</v>
      </c>
      <c r="E421" s="14">
        <v>3.5499999999999997E-2</v>
      </c>
      <c r="F421" t="str">
        <f t="shared" si="12"/>
        <v>Peyton Barber</v>
      </c>
      <c r="G421" t="str">
        <f t="shared" si="13"/>
        <v>LV</v>
      </c>
      <c r="H421">
        <v>2021</v>
      </c>
    </row>
    <row r="422" spans="1:8" x14ac:dyDescent="0.45">
      <c r="A422" t="s">
        <v>1264</v>
      </c>
      <c r="B422" s="14">
        <v>0</v>
      </c>
      <c r="C422" s="14">
        <v>6.0600000000000001E-2</v>
      </c>
      <c r="D422" s="14">
        <v>4.5999999999999999E-3</v>
      </c>
      <c r="E422" s="14">
        <v>4.7800000000000002E-2</v>
      </c>
      <c r="F422" t="str">
        <f t="shared" si="12"/>
        <v>DeeJay Dallas</v>
      </c>
      <c r="G422" t="str">
        <f t="shared" si="13"/>
        <v>SEA</v>
      </c>
      <c r="H422">
        <v>2021</v>
      </c>
    </row>
    <row r="423" spans="1:8" x14ac:dyDescent="0.45">
      <c r="A423" t="s">
        <v>1303</v>
      </c>
      <c r="B423" s="14">
        <v>0.2</v>
      </c>
      <c r="C423" s="14">
        <v>1.14E-2</v>
      </c>
      <c r="D423" s="14">
        <v>0.15359999999999999</v>
      </c>
      <c r="E423" s="14">
        <v>1.4200000000000001E-2</v>
      </c>
      <c r="F423" t="str">
        <f t="shared" si="12"/>
        <v>Phillip Lindsay</v>
      </c>
      <c r="G423" t="str">
        <f t="shared" si="13"/>
        <v>MIA</v>
      </c>
      <c r="H423">
        <v>2021</v>
      </c>
    </row>
    <row r="424" spans="1:8" x14ac:dyDescent="0.45">
      <c r="A424" t="s">
        <v>1304</v>
      </c>
      <c r="B424" s="14">
        <v>0</v>
      </c>
      <c r="C424" s="14">
        <v>4.2299999999999997E-2</v>
      </c>
      <c r="D424" s="14">
        <v>5.9999999999999995E-4</v>
      </c>
      <c r="E424" s="14">
        <v>3.73E-2</v>
      </c>
      <c r="F424" t="str">
        <f t="shared" si="12"/>
        <v>Duke Johnson Jr.</v>
      </c>
      <c r="G424" t="str">
        <f t="shared" si="13"/>
        <v>MIA</v>
      </c>
      <c r="H424">
        <v>2021</v>
      </c>
    </row>
    <row r="425" spans="1:8" x14ac:dyDescent="0.45">
      <c r="A425" t="s">
        <v>1305</v>
      </c>
      <c r="B425" s="14">
        <v>0.22220000000000001</v>
      </c>
      <c r="C425" s="14">
        <v>3.85E-2</v>
      </c>
      <c r="D425" s="14">
        <v>0.13339999999999999</v>
      </c>
      <c r="E425" s="14">
        <v>2.6599999999999999E-2</v>
      </c>
      <c r="F425" t="str">
        <f t="shared" si="12"/>
        <v>Matt Breida</v>
      </c>
      <c r="G425" t="str">
        <f t="shared" si="13"/>
        <v>BUF</v>
      </c>
      <c r="H425">
        <v>2021</v>
      </c>
    </row>
    <row r="426" spans="1:8" x14ac:dyDescent="0.45">
      <c r="A426" t="s">
        <v>1306</v>
      </c>
      <c r="B426" s="14">
        <v>4.3499999999999997E-2</v>
      </c>
      <c r="C426" s="14">
        <v>0.05</v>
      </c>
      <c r="D426" s="14">
        <v>2.9399999999999999E-2</v>
      </c>
      <c r="E426" s="14">
        <v>0.05</v>
      </c>
      <c r="F426" t="str">
        <f t="shared" si="12"/>
        <v>Damien Williams</v>
      </c>
      <c r="G426" t="str">
        <f t="shared" si="13"/>
        <v>CHI</v>
      </c>
      <c r="H426">
        <v>2021</v>
      </c>
    </row>
    <row r="427" spans="1:8" x14ac:dyDescent="0.45">
      <c r="A427" t="s">
        <v>1307</v>
      </c>
      <c r="B427" s="14">
        <v>0</v>
      </c>
      <c r="C427" s="14">
        <v>1.3899999999999999E-2</v>
      </c>
      <c r="D427" s="14">
        <v>4.4999999999999997E-3</v>
      </c>
      <c r="E427" s="14">
        <v>2.3400000000000001E-2</v>
      </c>
      <c r="F427" t="str">
        <f t="shared" si="12"/>
        <v>Carlos Hyde</v>
      </c>
      <c r="G427" t="str">
        <f t="shared" si="13"/>
        <v>JAC</v>
      </c>
      <c r="H427">
        <v>2021</v>
      </c>
    </row>
    <row r="428" spans="1:8" x14ac:dyDescent="0.45">
      <c r="A428" t="s">
        <v>1308</v>
      </c>
      <c r="B428" s="14">
        <v>0</v>
      </c>
      <c r="C428" s="14">
        <v>2.86E-2</v>
      </c>
      <c r="D428" s="14">
        <v>1.8200000000000001E-2</v>
      </c>
      <c r="E428" s="14">
        <v>2.5399999999999999E-2</v>
      </c>
      <c r="F428" t="str">
        <f t="shared" si="12"/>
        <v>Ty'Son Williams</v>
      </c>
      <c r="G428" t="str">
        <f t="shared" si="13"/>
        <v>BAL</v>
      </c>
      <c r="H428">
        <v>2021</v>
      </c>
    </row>
    <row r="429" spans="1:8" x14ac:dyDescent="0.45">
      <c r="A429" t="s">
        <v>1309</v>
      </c>
      <c r="B429" s="14">
        <v>4.7600000000000003E-2</v>
      </c>
      <c r="C429" s="14">
        <v>2.3300000000000001E-2</v>
      </c>
      <c r="D429" s="14">
        <v>4.7E-2</v>
      </c>
      <c r="E429" s="14">
        <v>2.1999999999999999E-2</v>
      </c>
      <c r="F429" t="str">
        <f t="shared" si="12"/>
        <v>Dare Ogunbowale</v>
      </c>
      <c r="G429" t="str">
        <f t="shared" si="13"/>
        <v>JAC</v>
      </c>
      <c r="H429">
        <v>2021</v>
      </c>
    </row>
    <row r="430" spans="1:8" x14ac:dyDescent="0.45">
      <c r="A430" t="s">
        <v>1195</v>
      </c>
      <c r="B430" s="14">
        <v>0</v>
      </c>
      <c r="C430" s="14">
        <v>0</v>
      </c>
      <c r="D430" s="14">
        <v>8.6999999999999994E-3</v>
      </c>
      <c r="E430" s="14">
        <v>1.12E-2</v>
      </c>
      <c r="F430" t="str">
        <f t="shared" si="12"/>
        <v>Craig Reynolds</v>
      </c>
      <c r="G430" t="str">
        <f t="shared" si="13"/>
        <v>DET</v>
      </c>
      <c r="H430">
        <v>2021</v>
      </c>
    </row>
    <row r="431" spans="1:8" x14ac:dyDescent="0.45">
      <c r="A431" t="s">
        <v>1310</v>
      </c>
      <c r="B431" s="14">
        <v>0</v>
      </c>
      <c r="C431" s="14">
        <v>0</v>
      </c>
      <c r="D431" s="14">
        <v>9.4000000000000004E-3</v>
      </c>
      <c r="E431" s="14">
        <v>4.1999999999999997E-3</v>
      </c>
      <c r="F431" t="str">
        <f t="shared" si="12"/>
        <v>Salvon Ahmed</v>
      </c>
      <c r="G431" t="str">
        <f t="shared" si="13"/>
        <v>MIA</v>
      </c>
      <c r="H431">
        <v>2021</v>
      </c>
    </row>
    <row r="432" spans="1:8" x14ac:dyDescent="0.45">
      <c r="A432" t="s">
        <v>1311</v>
      </c>
      <c r="B432" s="14">
        <v>0.1429</v>
      </c>
      <c r="C432" s="14">
        <v>5.1299999999999998E-2</v>
      </c>
      <c r="D432" s="14">
        <v>0.1115</v>
      </c>
      <c r="E432" s="14">
        <v>4.6600000000000003E-2</v>
      </c>
      <c r="F432" t="str">
        <f t="shared" si="12"/>
        <v>Le'Veon Bell</v>
      </c>
      <c r="G432" t="str">
        <f t="shared" si="13"/>
        <v>TB</v>
      </c>
      <c r="H432">
        <v>2021</v>
      </c>
    </row>
    <row r="433" spans="1:8" x14ac:dyDescent="0.45">
      <c r="A433" t="s">
        <v>1312</v>
      </c>
      <c r="B433" s="14">
        <v>0</v>
      </c>
      <c r="C433" s="14">
        <v>2.4400000000000002E-2</v>
      </c>
      <c r="D433" s="14">
        <v>7.9000000000000008E-3</v>
      </c>
      <c r="E433" s="14">
        <v>1.9099999999999999E-2</v>
      </c>
      <c r="F433" t="str">
        <f t="shared" si="12"/>
        <v>Trey Sermon</v>
      </c>
      <c r="G433" t="str">
        <f t="shared" si="13"/>
        <v>SF</v>
      </c>
      <c r="H433">
        <v>2021</v>
      </c>
    </row>
    <row r="434" spans="1:8" x14ac:dyDescent="0.45">
      <c r="A434" t="s">
        <v>1269</v>
      </c>
      <c r="B434" s="14">
        <v>0</v>
      </c>
      <c r="C434" s="14">
        <v>0</v>
      </c>
      <c r="D434" s="14">
        <v>2.7000000000000001E-3</v>
      </c>
      <c r="E434" s="14">
        <v>7.1999999999999998E-3</v>
      </c>
      <c r="F434" t="str">
        <f t="shared" si="12"/>
        <v>Royce Freeman</v>
      </c>
      <c r="G434" t="str">
        <f t="shared" si="13"/>
        <v>HOU</v>
      </c>
      <c r="H434">
        <v>2021</v>
      </c>
    </row>
    <row r="435" spans="1:8" x14ac:dyDescent="0.45">
      <c r="A435" t="s">
        <v>1313</v>
      </c>
      <c r="B435" s="14">
        <v>0</v>
      </c>
      <c r="C435" s="14">
        <v>5.2600000000000001E-2</v>
      </c>
      <c r="D435" s="14">
        <v>5.8599999999999999E-2</v>
      </c>
      <c r="E435" s="14">
        <v>5.8000000000000003E-2</v>
      </c>
      <c r="F435" t="str">
        <f t="shared" si="12"/>
        <v>Adrian Peterson</v>
      </c>
      <c r="G435" t="str">
        <f t="shared" si="13"/>
        <v>SEA</v>
      </c>
      <c r="H435">
        <v>2021</v>
      </c>
    </row>
    <row r="436" spans="1:8" x14ac:dyDescent="0.45">
      <c r="A436" t="s">
        <v>1314</v>
      </c>
      <c r="B436" s="14">
        <v>0</v>
      </c>
      <c r="C436" s="14">
        <v>5.5599999999999997E-2</v>
      </c>
      <c r="D436" s="14">
        <v>2.18E-2</v>
      </c>
      <c r="E436" s="14">
        <v>4.0800000000000003E-2</v>
      </c>
      <c r="F436" t="str">
        <f t="shared" si="12"/>
        <v>Ke'Shawn Vaughn</v>
      </c>
      <c r="G436" t="str">
        <f t="shared" si="13"/>
        <v>TB</v>
      </c>
      <c r="H436">
        <v>2021</v>
      </c>
    </row>
    <row r="437" spans="1:8" x14ac:dyDescent="0.45">
      <c r="A437" t="s">
        <v>1315</v>
      </c>
      <c r="B437" s="14">
        <v>0</v>
      </c>
      <c r="C437" s="14">
        <v>3.0300000000000001E-2</v>
      </c>
      <c r="D437" s="14">
        <v>1.55E-2</v>
      </c>
      <c r="E437" s="14">
        <v>4.5699999999999998E-2</v>
      </c>
      <c r="F437" t="str">
        <f t="shared" si="12"/>
        <v>Malcolm Brown</v>
      </c>
      <c r="G437" t="str">
        <f t="shared" si="13"/>
        <v>MIA</v>
      </c>
      <c r="H437">
        <v>2021</v>
      </c>
    </row>
    <row r="438" spans="1:8" x14ac:dyDescent="0.45">
      <c r="A438" t="s">
        <v>1316</v>
      </c>
      <c r="B438" s="14">
        <v>0</v>
      </c>
      <c r="C438" s="14">
        <v>3.85E-2</v>
      </c>
      <c r="D438" s="14">
        <v>4.0000000000000002E-4</v>
      </c>
      <c r="E438" s="14">
        <v>4.1700000000000001E-2</v>
      </c>
      <c r="F438" t="str">
        <f t="shared" si="12"/>
        <v>Austin Walter</v>
      </c>
      <c r="G438" t="str">
        <f t="shared" si="13"/>
        <v>NYJ</v>
      </c>
      <c r="H438">
        <v>2021</v>
      </c>
    </row>
    <row r="439" spans="1:8" x14ac:dyDescent="0.45">
      <c r="A439" t="s">
        <v>1317</v>
      </c>
      <c r="B439" s="14">
        <v>0</v>
      </c>
      <c r="C439" s="14">
        <v>2.9399999999999999E-2</v>
      </c>
      <c r="D439" s="14">
        <v>8.6999999999999994E-3</v>
      </c>
      <c r="E439" s="14">
        <v>1.9900000000000001E-2</v>
      </c>
      <c r="F439" t="str">
        <f t="shared" si="12"/>
        <v>Eno Benjamin</v>
      </c>
      <c r="G439" t="str">
        <f t="shared" si="13"/>
        <v>ARI</v>
      </c>
      <c r="H439">
        <v>2021</v>
      </c>
    </row>
    <row r="440" spans="1:8" x14ac:dyDescent="0.45">
      <c r="A440" t="s">
        <v>1318</v>
      </c>
      <c r="B440" s="14">
        <v>0</v>
      </c>
      <c r="C440" s="14">
        <v>0</v>
      </c>
      <c r="D440" s="14">
        <v>2.01E-2</v>
      </c>
      <c r="E440" s="14">
        <v>7.4000000000000003E-3</v>
      </c>
      <c r="F440" t="str">
        <f t="shared" si="12"/>
        <v>Tony Jones Jr.</v>
      </c>
      <c r="G440" t="str">
        <f t="shared" si="13"/>
        <v>NO</v>
      </c>
      <c r="H440">
        <v>2021</v>
      </c>
    </row>
    <row r="441" spans="1:8" x14ac:dyDescent="0.45">
      <c r="A441" t="s">
        <v>1319</v>
      </c>
      <c r="B441" s="14">
        <v>0</v>
      </c>
      <c r="C441" s="14">
        <v>2.7799999999999998E-2</v>
      </c>
      <c r="D441" s="14">
        <v>3.0999999999999999E-3</v>
      </c>
      <c r="E441" s="14">
        <v>3.2399999999999998E-2</v>
      </c>
      <c r="F441" t="str">
        <f t="shared" si="12"/>
        <v>Larry Rountree III</v>
      </c>
      <c r="G441" t="str">
        <f t="shared" si="13"/>
        <v>LAC</v>
      </c>
      <c r="H441">
        <v>2021</v>
      </c>
    </row>
    <row r="442" spans="1:8" x14ac:dyDescent="0.45">
      <c r="A442" t="s">
        <v>1320</v>
      </c>
      <c r="B442" s="14">
        <v>0</v>
      </c>
      <c r="C442" s="14">
        <v>0</v>
      </c>
      <c r="D442" s="14">
        <v>3.0000000000000001E-3</v>
      </c>
      <c r="E442" s="14">
        <v>2.3999999999999998E-3</v>
      </c>
      <c r="F442" t="str">
        <f t="shared" si="12"/>
        <v>Wayne Gallman Jr.</v>
      </c>
      <c r="G442" t="str">
        <f t="shared" si="13"/>
        <v>MIN</v>
      </c>
      <c r="H442">
        <v>2021</v>
      </c>
    </row>
    <row r="443" spans="1:8" x14ac:dyDescent="0.45">
      <c r="A443" t="s">
        <v>1217</v>
      </c>
      <c r="B443" s="14">
        <v>0</v>
      </c>
      <c r="C443" s="14">
        <v>0</v>
      </c>
      <c r="D443" s="14">
        <v>7.4000000000000003E-3</v>
      </c>
      <c r="E443" s="14">
        <v>1.7999999999999999E-2</v>
      </c>
      <c r="F443" t="str">
        <f t="shared" si="12"/>
        <v>Joshua Kelley</v>
      </c>
      <c r="G443" t="str">
        <f t="shared" si="13"/>
        <v>LAC</v>
      </c>
      <c r="H443">
        <v>2021</v>
      </c>
    </row>
    <row r="444" spans="1:8" x14ac:dyDescent="0.45">
      <c r="A444" t="s">
        <v>1321</v>
      </c>
      <c r="B444" s="14">
        <v>0</v>
      </c>
      <c r="C444" s="14">
        <v>0</v>
      </c>
      <c r="D444" s="14">
        <v>1.1000000000000001E-3</v>
      </c>
      <c r="E444" s="14">
        <v>4.4000000000000003E-3</v>
      </c>
      <c r="F444" t="str">
        <f t="shared" si="12"/>
        <v>Marlon Mack</v>
      </c>
      <c r="G444" t="str">
        <f t="shared" si="13"/>
        <v>IND</v>
      </c>
      <c r="H444">
        <v>2021</v>
      </c>
    </row>
    <row r="445" spans="1:8" x14ac:dyDescent="0.45">
      <c r="A445" t="s">
        <v>1322</v>
      </c>
      <c r="B445" s="14">
        <v>0.1429</v>
      </c>
      <c r="C445" s="14">
        <v>0</v>
      </c>
      <c r="D445" s="14">
        <v>0.10539999999999999</v>
      </c>
      <c r="E445" s="14">
        <v>5.3E-3</v>
      </c>
      <c r="F445" t="str">
        <f t="shared" si="12"/>
        <v>Corey Clement</v>
      </c>
      <c r="G445" t="str">
        <f t="shared" si="13"/>
        <v>DAL</v>
      </c>
      <c r="H445">
        <v>2021</v>
      </c>
    </row>
    <row r="446" spans="1:8" x14ac:dyDescent="0.45">
      <c r="A446" t="s">
        <v>1323</v>
      </c>
      <c r="B446" s="14">
        <v>0</v>
      </c>
      <c r="C446" s="14">
        <v>0</v>
      </c>
      <c r="D446" s="14">
        <v>2.5999999999999999E-3</v>
      </c>
      <c r="E446" s="14">
        <v>4.1999999999999997E-3</v>
      </c>
      <c r="F446" t="str">
        <f t="shared" si="12"/>
        <v>Benny Snell Jr.</v>
      </c>
      <c r="G446" t="str">
        <f t="shared" si="13"/>
        <v>PIT</v>
      </c>
      <c r="H446">
        <v>2021</v>
      </c>
    </row>
    <row r="447" spans="1:8" x14ac:dyDescent="0.45">
      <c r="A447" t="s">
        <v>1122</v>
      </c>
      <c r="B447" s="14">
        <v>4.6699999999999998E-2</v>
      </c>
      <c r="C447" s="14">
        <v>8.5599999999999996E-2</v>
      </c>
      <c r="D447" s="14">
        <v>3.9399999999999998E-2</v>
      </c>
      <c r="E447" s="14">
        <v>6.7199999999999996E-2</v>
      </c>
      <c r="F447" t="str">
        <f t="shared" si="12"/>
        <v>Alvin Kamara</v>
      </c>
      <c r="G447" t="str">
        <f t="shared" si="13"/>
        <v>NO</v>
      </c>
      <c r="H447">
        <v>2020</v>
      </c>
    </row>
    <row r="448" spans="1:8" x14ac:dyDescent="0.45">
      <c r="A448" t="s">
        <v>1234</v>
      </c>
      <c r="B448" s="14">
        <v>1.8499999999999999E-2</v>
      </c>
      <c r="C448" s="14">
        <v>5.1299999999999998E-2</v>
      </c>
      <c r="D448" s="14">
        <v>1.52E-2</v>
      </c>
      <c r="E448" s="14">
        <v>4.8500000000000001E-2</v>
      </c>
      <c r="F448" t="str">
        <f t="shared" si="12"/>
        <v>Dalvin Cook</v>
      </c>
      <c r="G448" t="str">
        <f t="shared" si="13"/>
        <v>MIN</v>
      </c>
      <c r="H448">
        <v>2020</v>
      </c>
    </row>
    <row r="449" spans="1:8" x14ac:dyDescent="0.45">
      <c r="A449" t="s">
        <v>1198</v>
      </c>
      <c r="B449" s="14">
        <v>0</v>
      </c>
      <c r="C449" s="14">
        <v>4.4999999999999998E-2</v>
      </c>
      <c r="D449" s="14">
        <v>7.4999999999999997E-3</v>
      </c>
      <c r="E449" s="14">
        <v>3.9100000000000003E-2</v>
      </c>
      <c r="F449" t="str">
        <f t="shared" si="12"/>
        <v>Derrick Henry</v>
      </c>
      <c r="G449" t="str">
        <f t="shared" si="13"/>
        <v>TEN</v>
      </c>
      <c r="H449">
        <v>2020</v>
      </c>
    </row>
    <row r="450" spans="1:8" x14ac:dyDescent="0.45">
      <c r="A450" t="s">
        <v>1273</v>
      </c>
      <c r="B450" s="14">
        <v>0.05</v>
      </c>
      <c r="C450" s="14">
        <v>2.92E-2</v>
      </c>
      <c r="D450" s="14">
        <v>3.6999999999999998E-2</v>
      </c>
      <c r="E450" s="14">
        <v>2.5000000000000001E-2</v>
      </c>
      <c r="F450" t="str">
        <f t="shared" ref="F450:F513" si="14">TRIM(LEFT(A450, FIND("(", A450) - 2))</f>
        <v>James Robinson</v>
      </c>
      <c r="G450" t="str">
        <f t="shared" si="13"/>
        <v>JAC</v>
      </c>
      <c r="H450">
        <v>2020</v>
      </c>
    </row>
    <row r="451" spans="1:8" x14ac:dyDescent="0.45">
      <c r="A451" t="s">
        <v>1445</v>
      </c>
      <c r="B451" s="14">
        <v>3.1699999999999999E-2</v>
      </c>
      <c r="C451" s="14">
        <v>4.48E-2</v>
      </c>
      <c r="D451" s="14">
        <v>3.85E-2</v>
      </c>
      <c r="E451" s="14">
        <v>3.9600000000000003E-2</v>
      </c>
      <c r="F451" t="str">
        <f t="shared" si="14"/>
        <v>Aaron Jones Sr.</v>
      </c>
      <c r="G451" t="str">
        <f t="shared" ref="G451:G514" si="15">MID(A451, FIND("(", A451) + 1, FIND(")", A451) - FIND("(", A451) - 1)</f>
        <v>GB</v>
      </c>
      <c r="H451">
        <v>2020</v>
      </c>
    </row>
    <row r="452" spans="1:8" x14ac:dyDescent="0.45">
      <c r="A452" t="s">
        <v>1238</v>
      </c>
      <c r="B452" s="14">
        <v>2.9399999999999999E-2</v>
      </c>
      <c r="C452" s="14">
        <v>3.2399999999999998E-2</v>
      </c>
      <c r="D452" s="14">
        <v>3.4000000000000002E-2</v>
      </c>
      <c r="E452" s="14">
        <v>3.4299999999999997E-2</v>
      </c>
      <c r="F452" t="str">
        <f t="shared" si="14"/>
        <v>David Montgomery</v>
      </c>
      <c r="G452" t="str">
        <f t="shared" si="15"/>
        <v>CHI</v>
      </c>
      <c r="H452">
        <v>2020</v>
      </c>
    </row>
    <row r="453" spans="1:8" x14ac:dyDescent="0.45">
      <c r="A453" t="s">
        <v>1072</v>
      </c>
      <c r="B453" s="14">
        <v>2.4400000000000002E-2</v>
      </c>
      <c r="C453" s="14">
        <v>4.7399999999999998E-2</v>
      </c>
      <c r="D453" s="14">
        <v>2.6700000000000002E-2</v>
      </c>
      <c r="E453" s="14">
        <v>4.4699999999999997E-2</v>
      </c>
      <c r="F453" t="str">
        <f t="shared" si="14"/>
        <v>Jonathan Taylor</v>
      </c>
      <c r="G453" t="str">
        <f t="shared" si="15"/>
        <v>IND</v>
      </c>
      <c r="H453">
        <v>2020</v>
      </c>
    </row>
    <row r="454" spans="1:8" x14ac:dyDescent="0.45">
      <c r="A454" t="s">
        <v>1204</v>
      </c>
      <c r="B454" s="14">
        <v>0</v>
      </c>
      <c r="C454" s="14">
        <v>4.3999999999999997E-2</v>
      </c>
      <c r="D454" s="14">
        <v>9.1000000000000004E-3</v>
      </c>
      <c r="E454" s="14">
        <v>4.5100000000000001E-2</v>
      </c>
      <c r="F454" t="str">
        <f t="shared" si="14"/>
        <v>Josh Jacobs</v>
      </c>
      <c r="G454" t="str">
        <f t="shared" si="15"/>
        <v>LV</v>
      </c>
      <c r="H454">
        <v>2020</v>
      </c>
    </row>
    <row r="455" spans="1:8" x14ac:dyDescent="0.45">
      <c r="A455" t="s">
        <v>1209</v>
      </c>
      <c r="B455" s="14">
        <v>9.8000000000000004E-2</v>
      </c>
      <c r="C455" s="14">
        <v>3.0300000000000001E-2</v>
      </c>
      <c r="D455" s="14">
        <v>7.0000000000000007E-2</v>
      </c>
      <c r="E455" s="14">
        <v>3.4799999999999998E-2</v>
      </c>
      <c r="F455" t="str">
        <f t="shared" si="14"/>
        <v>Kareem Hunt</v>
      </c>
      <c r="G455" t="str">
        <f t="shared" si="15"/>
        <v>CLE</v>
      </c>
      <c r="H455">
        <v>2020</v>
      </c>
    </row>
    <row r="456" spans="1:8" x14ac:dyDescent="0.45">
      <c r="A456" t="s">
        <v>1173</v>
      </c>
      <c r="B456" s="14">
        <v>0</v>
      </c>
      <c r="C456" s="14">
        <v>6.3200000000000006E-2</v>
      </c>
      <c r="D456" s="14">
        <v>1.26E-2</v>
      </c>
      <c r="E456" s="14">
        <v>5.0999999999999997E-2</v>
      </c>
      <c r="F456" t="str">
        <f t="shared" si="14"/>
        <v>Nick Chubb</v>
      </c>
      <c r="G456" t="str">
        <f t="shared" si="15"/>
        <v>CLE</v>
      </c>
      <c r="H456">
        <v>2020</v>
      </c>
    </row>
    <row r="457" spans="1:8" x14ac:dyDescent="0.45">
      <c r="A457" t="s">
        <v>1324</v>
      </c>
      <c r="B457" s="14">
        <v>0</v>
      </c>
      <c r="C457" s="14">
        <v>4.1799999999999997E-2</v>
      </c>
      <c r="D457" s="14">
        <v>6.3E-3</v>
      </c>
      <c r="E457" s="14">
        <v>4.6699999999999998E-2</v>
      </c>
      <c r="F457" t="str">
        <f t="shared" si="14"/>
        <v>Kenyan Drake</v>
      </c>
      <c r="G457" t="str">
        <f t="shared" si="15"/>
        <v>ARI</v>
      </c>
      <c r="H457">
        <v>2020</v>
      </c>
    </row>
    <row r="458" spans="1:8" x14ac:dyDescent="0.45">
      <c r="A458" t="s">
        <v>1175</v>
      </c>
      <c r="B458" s="14">
        <v>2.7400000000000001E-2</v>
      </c>
      <c r="C458" s="14">
        <v>2.46E-2</v>
      </c>
      <c r="D458" s="14">
        <v>2.2700000000000001E-2</v>
      </c>
      <c r="E458" s="14">
        <v>3.8800000000000001E-2</v>
      </c>
      <c r="F458" t="str">
        <f t="shared" si="14"/>
        <v>Ezekiel Elliott</v>
      </c>
      <c r="G458" t="str">
        <f t="shared" si="15"/>
        <v>DAL</v>
      </c>
      <c r="H458">
        <v>2020</v>
      </c>
    </row>
    <row r="459" spans="1:8" x14ac:dyDescent="0.45">
      <c r="A459" t="s">
        <v>1214</v>
      </c>
      <c r="B459" s="14">
        <v>0</v>
      </c>
      <c r="C459" s="14">
        <v>6.4699999999999994E-2</v>
      </c>
      <c r="D459" s="14">
        <v>9.4999999999999998E-3</v>
      </c>
      <c r="E459" s="14">
        <v>5.2999999999999999E-2</v>
      </c>
      <c r="F459" t="str">
        <f t="shared" si="14"/>
        <v>Antonio Gibson</v>
      </c>
      <c r="G459" t="str">
        <f t="shared" si="15"/>
        <v>WAS</v>
      </c>
      <c r="H459">
        <v>2020</v>
      </c>
    </row>
    <row r="460" spans="1:8" x14ac:dyDescent="0.45">
      <c r="A460" t="s">
        <v>1271</v>
      </c>
      <c r="B460" s="14">
        <v>2.2700000000000001E-2</v>
      </c>
      <c r="C460" s="14">
        <v>4.19E-2</v>
      </c>
      <c r="D460" s="14">
        <v>2.2800000000000001E-2</v>
      </c>
      <c r="E460" s="14">
        <v>3.4200000000000001E-2</v>
      </c>
      <c r="F460" t="str">
        <f t="shared" si="14"/>
        <v>Melvin Gordon III</v>
      </c>
      <c r="G460" t="str">
        <f t="shared" si="15"/>
        <v>DEN</v>
      </c>
      <c r="H460">
        <v>2020</v>
      </c>
    </row>
    <row r="461" spans="1:8" x14ac:dyDescent="0.45">
      <c r="A461" t="s">
        <v>1325</v>
      </c>
      <c r="B461" s="14">
        <v>2.86E-2</v>
      </c>
      <c r="C461" s="14">
        <v>3.6400000000000002E-2</v>
      </c>
      <c r="D461" s="14">
        <v>3.3000000000000002E-2</v>
      </c>
      <c r="E461" s="14">
        <v>0.04</v>
      </c>
      <c r="F461" t="str">
        <f t="shared" si="14"/>
        <v>Mike Davis</v>
      </c>
      <c r="G461" t="str">
        <f t="shared" si="15"/>
        <v>CAR</v>
      </c>
      <c r="H461">
        <v>2020</v>
      </c>
    </row>
    <row r="462" spans="1:8" x14ac:dyDescent="0.45">
      <c r="A462" t="s">
        <v>1287</v>
      </c>
      <c r="B462" s="14">
        <v>2.3800000000000002E-2</v>
      </c>
      <c r="C462" s="14">
        <v>3.6499999999999998E-2</v>
      </c>
      <c r="D462" s="14">
        <v>2.87E-2</v>
      </c>
      <c r="E462" s="14">
        <v>3.5200000000000002E-2</v>
      </c>
      <c r="F462" t="str">
        <f t="shared" si="14"/>
        <v>Ronald Jones II</v>
      </c>
      <c r="G462" t="str">
        <f t="shared" si="15"/>
        <v>TB</v>
      </c>
      <c r="H462">
        <v>2020</v>
      </c>
    </row>
    <row r="463" spans="1:8" x14ac:dyDescent="0.45">
      <c r="A463" t="s">
        <v>1300</v>
      </c>
      <c r="B463" s="14">
        <v>8.6999999999999994E-2</v>
      </c>
      <c r="C463" s="14">
        <v>3.5499999999999997E-2</v>
      </c>
      <c r="D463" s="14">
        <v>6.25E-2</v>
      </c>
      <c r="E463" s="14">
        <v>3.3500000000000002E-2</v>
      </c>
      <c r="F463" t="str">
        <f t="shared" si="14"/>
        <v>Chris Carson</v>
      </c>
      <c r="G463" t="str">
        <f t="shared" si="15"/>
        <v>SEA</v>
      </c>
      <c r="H463">
        <v>2020</v>
      </c>
    </row>
    <row r="464" spans="1:8" x14ac:dyDescent="0.45">
      <c r="A464" t="s">
        <v>1236</v>
      </c>
      <c r="B464" s="14">
        <v>0</v>
      </c>
      <c r="C464" s="14">
        <v>3.6600000000000001E-2</v>
      </c>
      <c r="D464" s="14">
        <v>4.4999999999999997E-3</v>
      </c>
      <c r="E464" s="14">
        <v>3.5999999999999997E-2</v>
      </c>
      <c r="F464" t="str">
        <f t="shared" si="14"/>
        <v>Miles Sanders</v>
      </c>
      <c r="G464" t="str">
        <f t="shared" si="15"/>
        <v>PHI</v>
      </c>
      <c r="H464">
        <v>2020</v>
      </c>
    </row>
    <row r="465" spans="1:8" x14ac:dyDescent="0.45">
      <c r="A465" t="s">
        <v>1218</v>
      </c>
      <c r="B465" s="14">
        <v>1.8200000000000001E-2</v>
      </c>
      <c r="C465" s="14">
        <v>2.2100000000000002E-2</v>
      </c>
      <c r="D465" s="14">
        <v>2.76E-2</v>
      </c>
      <c r="E465" s="14">
        <v>2.6800000000000001E-2</v>
      </c>
      <c r="F465" t="str">
        <f t="shared" si="14"/>
        <v>Clyde Edwards-Helaire</v>
      </c>
      <c r="G465" t="str">
        <f t="shared" si="15"/>
        <v>KC</v>
      </c>
      <c r="H465">
        <v>2020</v>
      </c>
    </row>
    <row r="466" spans="1:8" x14ac:dyDescent="0.45">
      <c r="A466" t="s">
        <v>1326</v>
      </c>
      <c r="B466" s="14">
        <v>0</v>
      </c>
      <c r="C466" s="14">
        <v>4.6199999999999998E-2</v>
      </c>
      <c r="D466" s="14">
        <v>3.8999999999999998E-3</v>
      </c>
      <c r="E466" s="14">
        <v>4.8800000000000003E-2</v>
      </c>
      <c r="F466" t="str">
        <f t="shared" si="14"/>
        <v>Todd Gurley II</v>
      </c>
      <c r="G466" t="str">
        <f t="shared" si="15"/>
        <v>ATL</v>
      </c>
      <c r="H466">
        <v>2020</v>
      </c>
    </row>
    <row r="467" spans="1:8" x14ac:dyDescent="0.45">
      <c r="A467" t="s">
        <v>1240</v>
      </c>
      <c r="B467" s="14">
        <v>3.5099999999999999E-2</v>
      </c>
      <c r="C467" s="14">
        <v>7.0199999999999999E-2</v>
      </c>
      <c r="D467" s="14">
        <v>3.2599999999999997E-2</v>
      </c>
      <c r="E467" s="14">
        <v>6.0499999999999998E-2</v>
      </c>
      <c r="F467" t="str">
        <f t="shared" si="14"/>
        <v>D'Andre Swift</v>
      </c>
      <c r="G467" t="str">
        <f t="shared" si="15"/>
        <v>DET</v>
      </c>
      <c r="H467">
        <v>2020</v>
      </c>
    </row>
    <row r="468" spans="1:8" x14ac:dyDescent="0.45">
      <c r="A468" t="s">
        <v>1294</v>
      </c>
      <c r="B468" s="14">
        <v>4.3499999999999997E-2</v>
      </c>
      <c r="C468" s="14">
        <v>4.0800000000000003E-2</v>
      </c>
      <c r="D468" s="14">
        <v>5.45E-2</v>
      </c>
      <c r="E468" s="14">
        <v>4.0500000000000001E-2</v>
      </c>
      <c r="F468" t="str">
        <f t="shared" si="14"/>
        <v>David Johnson</v>
      </c>
      <c r="G468" t="str">
        <f t="shared" si="15"/>
        <v>HOU</v>
      </c>
      <c r="H468">
        <v>2020</v>
      </c>
    </row>
    <row r="469" spans="1:8" x14ac:dyDescent="0.45">
      <c r="A469" t="s">
        <v>1286</v>
      </c>
      <c r="B469" s="14">
        <v>5.1900000000000002E-2</v>
      </c>
      <c r="C469" s="14">
        <v>3.3700000000000001E-2</v>
      </c>
      <c r="D469" s="14">
        <v>4.2799999999999998E-2</v>
      </c>
      <c r="E469" s="14">
        <v>4.2900000000000001E-2</v>
      </c>
      <c r="F469" t="str">
        <f t="shared" si="14"/>
        <v>Nyheim Miller-Hines</v>
      </c>
      <c r="G469" t="str">
        <f t="shared" si="15"/>
        <v>IND</v>
      </c>
      <c r="H469">
        <v>2020</v>
      </c>
    </row>
    <row r="470" spans="1:8" x14ac:dyDescent="0.45">
      <c r="A470" t="s">
        <v>1327</v>
      </c>
      <c r="B470" s="14">
        <v>0</v>
      </c>
      <c r="C470" s="14">
        <v>3.5499999999999997E-2</v>
      </c>
      <c r="D470" s="14">
        <v>1.9599999999999999E-2</v>
      </c>
      <c r="E470" s="14">
        <v>3.5200000000000002E-2</v>
      </c>
      <c r="F470" t="str">
        <f t="shared" si="14"/>
        <v>James Conner</v>
      </c>
      <c r="G470" t="str">
        <f t="shared" si="15"/>
        <v>PIT</v>
      </c>
      <c r="H470">
        <v>2020</v>
      </c>
    </row>
    <row r="471" spans="1:8" x14ac:dyDescent="0.45">
      <c r="A471" t="s">
        <v>1247</v>
      </c>
      <c r="B471" s="14">
        <v>0</v>
      </c>
      <c r="C471" s="14">
        <v>6.7199999999999996E-2</v>
      </c>
      <c r="D471" s="14">
        <v>1.52E-2</v>
      </c>
      <c r="E471" s="14">
        <v>5.3699999999999998E-2</v>
      </c>
      <c r="F471" t="str">
        <f t="shared" si="14"/>
        <v>J.K. Dobbins</v>
      </c>
      <c r="G471" t="str">
        <f t="shared" si="15"/>
        <v>BAL</v>
      </c>
      <c r="H471">
        <v>2020</v>
      </c>
    </row>
    <row r="472" spans="1:8" x14ac:dyDescent="0.45">
      <c r="A472" t="s">
        <v>1220</v>
      </c>
      <c r="B472" s="14">
        <v>4.1700000000000001E-2</v>
      </c>
      <c r="C472" s="14">
        <v>3.6200000000000003E-2</v>
      </c>
      <c r="D472" s="14">
        <v>3.7600000000000001E-2</v>
      </c>
      <c r="E472" s="14">
        <v>4.2099999999999999E-2</v>
      </c>
      <c r="F472" t="str">
        <f t="shared" si="14"/>
        <v>Darrell Henderson Jr.</v>
      </c>
      <c r="G472" t="str">
        <f t="shared" si="15"/>
        <v>LAR</v>
      </c>
      <c r="H472">
        <v>2020</v>
      </c>
    </row>
    <row r="473" spans="1:8" x14ac:dyDescent="0.45">
      <c r="A473" t="s">
        <v>1328</v>
      </c>
      <c r="B473" s="14">
        <v>3.85E-2</v>
      </c>
      <c r="C473" s="14">
        <v>2.7400000000000001E-2</v>
      </c>
      <c r="D473" s="14">
        <v>3.4200000000000001E-2</v>
      </c>
      <c r="E473" s="14">
        <v>2.4899999999999999E-2</v>
      </c>
      <c r="F473" t="str">
        <f t="shared" si="14"/>
        <v>Latavius Murray</v>
      </c>
      <c r="G473" t="str">
        <f t="shared" si="15"/>
        <v>NO</v>
      </c>
      <c r="H473">
        <v>2020</v>
      </c>
    </row>
    <row r="474" spans="1:8" x14ac:dyDescent="0.45">
      <c r="A474" t="s">
        <v>1278</v>
      </c>
      <c r="B474" s="14">
        <v>5.8799999999999998E-2</v>
      </c>
      <c r="C474" s="14">
        <v>1.03E-2</v>
      </c>
      <c r="D474" s="14">
        <v>4.9500000000000002E-2</v>
      </c>
      <c r="E474" s="14">
        <v>1.37E-2</v>
      </c>
      <c r="F474" t="str">
        <f t="shared" si="14"/>
        <v>Chase Edmonds</v>
      </c>
      <c r="G474" t="str">
        <f t="shared" si="15"/>
        <v>ARI</v>
      </c>
      <c r="H474">
        <v>2020</v>
      </c>
    </row>
    <row r="475" spans="1:8" x14ac:dyDescent="0.45">
      <c r="A475" t="s">
        <v>1200</v>
      </c>
      <c r="B475" s="14">
        <v>0</v>
      </c>
      <c r="C475" s="14">
        <v>4.1700000000000001E-2</v>
      </c>
      <c r="D475" s="14">
        <v>1.17E-2</v>
      </c>
      <c r="E475" s="14">
        <v>4.1300000000000003E-2</v>
      </c>
      <c r="F475" t="str">
        <f t="shared" si="14"/>
        <v>Gus Edwards</v>
      </c>
      <c r="G475" t="str">
        <f t="shared" si="15"/>
        <v>BAL</v>
      </c>
      <c r="H475">
        <v>2020</v>
      </c>
    </row>
    <row r="476" spans="1:8" x14ac:dyDescent="0.45">
      <c r="A476" t="s">
        <v>1329</v>
      </c>
      <c r="B476" s="14">
        <v>5.0799999999999998E-2</v>
      </c>
      <c r="C476" s="14">
        <v>2.4199999999999999E-2</v>
      </c>
      <c r="D476" s="14">
        <v>4.4400000000000002E-2</v>
      </c>
      <c r="E476" s="14">
        <v>2.7300000000000001E-2</v>
      </c>
      <c r="F476" t="str">
        <f t="shared" si="14"/>
        <v>Giovani Bernard</v>
      </c>
      <c r="G476" t="str">
        <f t="shared" si="15"/>
        <v>CIN</v>
      </c>
      <c r="H476">
        <v>2020</v>
      </c>
    </row>
    <row r="477" spans="1:8" x14ac:dyDescent="0.45">
      <c r="A477" t="s">
        <v>1274</v>
      </c>
      <c r="B477" s="14">
        <v>4.2599999999999999E-2</v>
      </c>
      <c r="C477" s="14">
        <v>2.1100000000000001E-2</v>
      </c>
      <c r="D477" s="14">
        <v>3.8899999999999997E-2</v>
      </c>
      <c r="E477" s="14">
        <v>3.4700000000000002E-2</v>
      </c>
      <c r="F477" t="str">
        <f t="shared" si="14"/>
        <v>Myles Gaskin</v>
      </c>
      <c r="G477" t="str">
        <f t="shared" si="15"/>
        <v>MIA</v>
      </c>
      <c r="H477">
        <v>2020</v>
      </c>
    </row>
    <row r="478" spans="1:8" x14ac:dyDescent="0.45">
      <c r="A478" t="s">
        <v>1330</v>
      </c>
      <c r="B478" s="14">
        <v>0</v>
      </c>
      <c r="C478" s="14">
        <v>4.0800000000000003E-2</v>
      </c>
      <c r="D478" s="14">
        <v>9.5999999999999992E-3</v>
      </c>
      <c r="E478" s="14">
        <v>3.8100000000000002E-2</v>
      </c>
      <c r="F478" t="str">
        <f t="shared" si="14"/>
        <v>Wayne Gallman Jr.</v>
      </c>
      <c r="G478" t="str">
        <f t="shared" si="15"/>
        <v>NYG</v>
      </c>
      <c r="H478">
        <v>2020</v>
      </c>
    </row>
    <row r="479" spans="1:8" x14ac:dyDescent="0.45">
      <c r="A479" t="s">
        <v>1297</v>
      </c>
      <c r="B479" s="14">
        <v>0.1071</v>
      </c>
      <c r="C479" s="14">
        <v>5.5599999999999997E-2</v>
      </c>
      <c r="D479" s="14">
        <v>7.8700000000000006E-2</v>
      </c>
      <c r="E479" s="14">
        <v>4.7500000000000001E-2</v>
      </c>
      <c r="F479" t="str">
        <f t="shared" si="14"/>
        <v>Jeff Wilson Jr.</v>
      </c>
      <c r="G479" t="str">
        <f t="shared" si="15"/>
        <v>SF</v>
      </c>
      <c r="H479">
        <v>2020</v>
      </c>
    </row>
    <row r="480" spans="1:8" x14ac:dyDescent="0.45">
      <c r="A480" t="s">
        <v>1281</v>
      </c>
      <c r="B480" s="14">
        <v>1.8200000000000001E-2</v>
      </c>
      <c r="C480" s="14">
        <v>1.18E-2</v>
      </c>
      <c r="D480" s="14">
        <v>1.9400000000000001E-2</v>
      </c>
      <c r="E480" s="14">
        <v>1.8499999999999999E-2</v>
      </c>
      <c r="F480" t="str">
        <f t="shared" si="14"/>
        <v>J.D. McKissic</v>
      </c>
      <c r="G480" t="str">
        <f t="shared" si="15"/>
        <v>WAS</v>
      </c>
      <c r="H480">
        <v>2020</v>
      </c>
    </row>
    <row r="481" spans="1:8" x14ac:dyDescent="0.45">
      <c r="A481" t="s">
        <v>1239</v>
      </c>
      <c r="B481" s="14">
        <v>0</v>
      </c>
      <c r="C481" s="14">
        <v>1.2800000000000001E-2</v>
      </c>
      <c r="D481" s="14">
        <v>1.21E-2</v>
      </c>
      <c r="E481" s="14">
        <v>1.9099999999999999E-2</v>
      </c>
      <c r="F481" t="str">
        <f t="shared" si="14"/>
        <v>Devin Singletary</v>
      </c>
      <c r="G481" t="str">
        <f t="shared" si="15"/>
        <v>BUF</v>
      </c>
      <c r="H481">
        <v>2020</v>
      </c>
    </row>
    <row r="482" spans="1:8" x14ac:dyDescent="0.45">
      <c r="A482" t="s">
        <v>1331</v>
      </c>
      <c r="B482" s="14">
        <v>0</v>
      </c>
      <c r="C482" s="14">
        <v>4.4900000000000002E-2</v>
      </c>
      <c r="D482" s="14">
        <v>1.03E-2</v>
      </c>
      <c r="E482" s="14">
        <v>4.8000000000000001E-2</v>
      </c>
      <c r="F482" t="str">
        <f t="shared" si="14"/>
        <v>Adrian Peterson</v>
      </c>
      <c r="G482" t="str">
        <f t="shared" si="15"/>
        <v>DET</v>
      </c>
      <c r="H482">
        <v>2020</v>
      </c>
    </row>
    <row r="483" spans="1:8" x14ac:dyDescent="0.45">
      <c r="A483" t="s">
        <v>1206</v>
      </c>
      <c r="B483" s="14">
        <v>3.0800000000000001E-2</v>
      </c>
      <c r="C483" s="14">
        <v>8.6E-3</v>
      </c>
      <c r="D483" s="14">
        <v>3.27E-2</v>
      </c>
      <c r="E483" s="14">
        <v>1.52E-2</v>
      </c>
      <c r="F483" t="str">
        <f t="shared" si="14"/>
        <v>Austin Ekeler</v>
      </c>
      <c r="G483" t="str">
        <f t="shared" si="15"/>
        <v>LAC</v>
      </c>
      <c r="H483">
        <v>2020</v>
      </c>
    </row>
    <row r="484" spans="1:8" x14ac:dyDescent="0.45">
      <c r="A484" t="s">
        <v>1332</v>
      </c>
      <c r="B484" s="14">
        <v>2.86E-2</v>
      </c>
      <c r="C484" s="14">
        <v>1.6799999999999999E-2</v>
      </c>
      <c r="D484" s="14">
        <v>3.2000000000000001E-2</v>
      </c>
      <c r="E484" s="14">
        <v>2.6200000000000001E-2</v>
      </c>
      <c r="F484" t="str">
        <f t="shared" si="14"/>
        <v>Jamaal Williams</v>
      </c>
      <c r="G484" t="str">
        <f t="shared" si="15"/>
        <v>GB</v>
      </c>
      <c r="H484">
        <v>2020</v>
      </c>
    </row>
    <row r="485" spans="1:8" x14ac:dyDescent="0.45">
      <c r="A485" t="s">
        <v>1237</v>
      </c>
      <c r="B485" s="14">
        <v>0</v>
      </c>
      <c r="C485" s="14">
        <v>6.1899999999999997E-2</v>
      </c>
      <c r="D485" s="14">
        <v>1.8700000000000001E-2</v>
      </c>
      <c r="E485" s="14">
        <v>5.5800000000000002E-2</v>
      </c>
      <c r="F485" t="str">
        <f t="shared" si="14"/>
        <v>Leonard Fournette</v>
      </c>
      <c r="G485" t="str">
        <f t="shared" si="15"/>
        <v>TB</v>
      </c>
      <c r="H485">
        <v>2020</v>
      </c>
    </row>
    <row r="486" spans="1:8" x14ac:dyDescent="0.45">
      <c r="A486" t="s">
        <v>1333</v>
      </c>
      <c r="B486" s="14">
        <v>2.1700000000000001E-2</v>
      </c>
      <c r="C486" s="14">
        <v>6.1699999999999998E-2</v>
      </c>
      <c r="D486" s="14">
        <v>2.63E-2</v>
      </c>
      <c r="E486" s="14">
        <v>4.7699999999999999E-2</v>
      </c>
      <c r="F486" t="str">
        <f t="shared" si="14"/>
        <v>Jerick McKinnon</v>
      </c>
      <c r="G486" t="str">
        <f t="shared" si="15"/>
        <v>SF</v>
      </c>
      <c r="H486">
        <v>2020</v>
      </c>
    </row>
    <row r="487" spans="1:8" x14ac:dyDescent="0.45">
      <c r="A487" t="s">
        <v>1203</v>
      </c>
      <c r="B487" s="14">
        <v>2.5000000000000001E-2</v>
      </c>
      <c r="C487" s="14">
        <v>3.9600000000000003E-2</v>
      </c>
      <c r="D487" s="14">
        <v>3.0700000000000002E-2</v>
      </c>
      <c r="E487" s="14">
        <v>3.0700000000000002E-2</v>
      </c>
      <c r="F487" t="str">
        <f t="shared" si="14"/>
        <v>Tony Pollard</v>
      </c>
      <c r="G487" t="str">
        <f t="shared" si="15"/>
        <v>DAL</v>
      </c>
      <c r="H487">
        <v>2020</v>
      </c>
    </row>
    <row r="488" spans="1:8" x14ac:dyDescent="0.45">
      <c r="A488" t="s">
        <v>1249</v>
      </c>
      <c r="B488" s="14">
        <v>0</v>
      </c>
      <c r="C488" s="14">
        <v>1.46E-2</v>
      </c>
      <c r="D488" s="14">
        <v>7.4999999999999997E-3</v>
      </c>
      <c r="E488" s="14">
        <v>1.8800000000000001E-2</v>
      </c>
      <c r="F488" t="str">
        <f t="shared" si="14"/>
        <v>Damien Harris</v>
      </c>
      <c r="G488" t="str">
        <f t="shared" si="15"/>
        <v>NE</v>
      </c>
      <c r="H488">
        <v>2020</v>
      </c>
    </row>
    <row r="489" spans="1:8" x14ac:dyDescent="0.45">
      <c r="A489" t="s">
        <v>1282</v>
      </c>
      <c r="B489" s="14">
        <v>5.5599999999999997E-2</v>
      </c>
      <c r="C489" s="14">
        <v>3.5700000000000003E-2</v>
      </c>
      <c r="D489" s="14">
        <v>5.62E-2</v>
      </c>
      <c r="E489" s="14">
        <v>4.4999999999999998E-2</v>
      </c>
      <c r="F489" t="str">
        <f t="shared" si="14"/>
        <v>Zack Moss</v>
      </c>
      <c r="G489" t="str">
        <f t="shared" si="15"/>
        <v>BUF</v>
      </c>
      <c r="H489">
        <v>2020</v>
      </c>
    </row>
    <row r="490" spans="1:8" x14ac:dyDescent="0.45">
      <c r="A490" t="s">
        <v>1334</v>
      </c>
      <c r="B490" s="14">
        <v>0</v>
      </c>
      <c r="C490" s="14">
        <v>4.9500000000000002E-2</v>
      </c>
      <c r="D490" s="14">
        <v>1.2500000000000001E-2</v>
      </c>
      <c r="E490" s="14">
        <v>4.8800000000000003E-2</v>
      </c>
      <c r="F490" t="str">
        <f t="shared" si="14"/>
        <v>Malcolm Brown</v>
      </c>
      <c r="G490" t="str">
        <f t="shared" si="15"/>
        <v>LAR</v>
      </c>
      <c r="H490">
        <v>2020</v>
      </c>
    </row>
    <row r="491" spans="1:8" x14ac:dyDescent="0.45">
      <c r="A491" t="s">
        <v>1335</v>
      </c>
      <c r="B491" s="14">
        <v>0</v>
      </c>
      <c r="C491" s="14">
        <v>1.0699999999999999E-2</v>
      </c>
      <c r="D491" s="14">
        <v>7.0000000000000001E-3</v>
      </c>
      <c r="E491" s="14">
        <v>1.6199999999999999E-2</v>
      </c>
      <c r="F491" t="str">
        <f t="shared" si="14"/>
        <v>Frank Gore</v>
      </c>
      <c r="G491" t="str">
        <f t="shared" si="15"/>
        <v>NYJ</v>
      </c>
      <c r="H491">
        <v>2020</v>
      </c>
    </row>
    <row r="492" spans="1:8" x14ac:dyDescent="0.45">
      <c r="A492" t="s">
        <v>1243</v>
      </c>
      <c r="B492" s="14">
        <v>7.1400000000000005E-2</v>
      </c>
      <c r="C492" s="14">
        <v>1.38E-2</v>
      </c>
      <c r="D492" s="14">
        <v>7.1300000000000002E-2</v>
      </c>
      <c r="E492" s="14">
        <v>2.8199999999999999E-2</v>
      </c>
      <c r="F492" t="str">
        <f t="shared" si="14"/>
        <v>Cam Akers</v>
      </c>
      <c r="G492" t="str">
        <f t="shared" si="15"/>
        <v>LAR</v>
      </c>
      <c r="H492">
        <v>2020</v>
      </c>
    </row>
    <row r="493" spans="1:8" x14ac:dyDescent="0.45">
      <c r="A493" t="s">
        <v>1336</v>
      </c>
      <c r="B493" s="14">
        <v>5.2600000000000001E-2</v>
      </c>
      <c r="C493" s="14">
        <v>1.9199999999999998E-2</v>
      </c>
      <c r="D493" s="14">
        <v>3.0099999999999998E-2</v>
      </c>
      <c r="E493" s="14">
        <v>2.5000000000000001E-2</v>
      </c>
      <c r="F493" t="str">
        <f t="shared" si="14"/>
        <v>Raheem Mostert</v>
      </c>
      <c r="G493" t="str">
        <f t="shared" si="15"/>
        <v>SF</v>
      </c>
      <c r="H493">
        <v>2020</v>
      </c>
    </row>
    <row r="494" spans="1:8" x14ac:dyDescent="0.45">
      <c r="A494" t="s">
        <v>1337</v>
      </c>
      <c r="B494" s="14">
        <v>9.0899999999999995E-2</v>
      </c>
      <c r="C494" s="14">
        <v>4.48E-2</v>
      </c>
      <c r="D494" s="14">
        <v>6.4199999999999993E-2</v>
      </c>
      <c r="E494" s="14">
        <v>4.2799999999999998E-2</v>
      </c>
      <c r="F494" t="str">
        <f t="shared" si="14"/>
        <v>Rex Burkhead</v>
      </c>
      <c r="G494" t="str">
        <f t="shared" si="15"/>
        <v>NE</v>
      </c>
      <c r="H494">
        <v>2020</v>
      </c>
    </row>
    <row r="495" spans="1:8" x14ac:dyDescent="0.45">
      <c r="A495" t="s">
        <v>1199</v>
      </c>
      <c r="B495" s="14">
        <v>3.85E-2</v>
      </c>
      <c r="C495" s="14">
        <v>2.52E-2</v>
      </c>
      <c r="D495" s="14">
        <v>3.4599999999999999E-2</v>
      </c>
      <c r="E495" s="14">
        <v>2.6499999999999999E-2</v>
      </c>
      <c r="F495" t="str">
        <f t="shared" si="14"/>
        <v>Joe Mixon</v>
      </c>
      <c r="G495" t="str">
        <f t="shared" si="15"/>
        <v>CIN</v>
      </c>
      <c r="H495">
        <v>2020</v>
      </c>
    </row>
    <row r="496" spans="1:8" x14ac:dyDescent="0.45">
      <c r="A496" t="s">
        <v>1280</v>
      </c>
      <c r="B496" s="14">
        <v>5.2600000000000001E-2</v>
      </c>
      <c r="C496" s="14">
        <v>8.4699999999999998E-2</v>
      </c>
      <c r="D496" s="14">
        <v>3.8300000000000001E-2</v>
      </c>
      <c r="E496" s="14">
        <v>6.5100000000000005E-2</v>
      </c>
      <c r="F496" t="str">
        <f t="shared" si="14"/>
        <v>Christian McCaffrey</v>
      </c>
      <c r="G496" t="str">
        <f t="shared" si="15"/>
        <v>CAR</v>
      </c>
      <c r="H496">
        <v>2020</v>
      </c>
    </row>
    <row r="497" spans="1:8" x14ac:dyDescent="0.45">
      <c r="A497" t="s">
        <v>1338</v>
      </c>
      <c r="B497" s="14">
        <v>0</v>
      </c>
      <c r="C497" s="14">
        <v>4.9399999999999999E-2</v>
      </c>
      <c r="D497" s="14">
        <v>7.4999999999999997E-3</v>
      </c>
      <c r="E497" s="14">
        <v>4.2599999999999999E-2</v>
      </c>
      <c r="F497" t="str">
        <f t="shared" si="14"/>
        <v>Carlos Hyde</v>
      </c>
      <c r="G497" t="str">
        <f t="shared" si="15"/>
        <v>SEA</v>
      </c>
      <c r="H497">
        <v>2020</v>
      </c>
    </row>
    <row r="498" spans="1:8" x14ac:dyDescent="0.45">
      <c r="A498" t="s">
        <v>1339</v>
      </c>
      <c r="B498" s="14">
        <v>0</v>
      </c>
      <c r="C498" s="14">
        <v>3.2300000000000002E-2</v>
      </c>
      <c r="D498" s="14">
        <v>2.1499999999999998E-2</v>
      </c>
      <c r="E498" s="14">
        <v>2.4E-2</v>
      </c>
      <c r="F498" t="str">
        <f t="shared" si="14"/>
        <v>Devontae Booker</v>
      </c>
      <c r="G498" t="str">
        <f t="shared" si="15"/>
        <v>LV</v>
      </c>
      <c r="H498">
        <v>2020</v>
      </c>
    </row>
    <row r="499" spans="1:8" x14ac:dyDescent="0.45">
      <c r="A499" t="s">
        <v>1323</v>
      </c>
      <c r="B499" s="14">
        <v>0</v>
      </c>
      <c r="C499" s="14">
        <v>3.5999999999999997E-2</v>
      </c>
      <c r="D499" s="14">
        <v>4.1799999999999997E-2</v>
      </c>
      <c r="E499" s="14">
        <v>5.0299999999999997E-2</v>
      </c>
      <c r="F499" t="str">
        <f t="shared" si="14"/>
        <v>Benny Snell Jr.</v>
      </c>
      <c r="G499" t="str">
        <f t="shared" si="15"/>
        <v>PIT</v>
      </c>
      <c r="H499">
        <v>2020</v>
      </c>
    </row>
    <row r="500" spans="1:8" x14ac:dyDescent="0.45">
      <c r="A500" t="s">
        <v>1262</v>
      </c>
      <c r="B500" s="14">
        <v>2.7799999999999998E-2</v>
      </c>
      <c r="C500" s="14">
        <v>1.2500000000000001E-2</v>
      </c>
      <c r="D500" s="14">
        <v>3.0800000000000001E-2</v>
      </c>
      <c r="E500" s="14">
        <v>1.6799999999999999E-2</v>
      </c>
      <c r="F500" t="str">
        <f t="shared" si="14"/>
        <v>Boston Scott</v>
      </c>
      <c r="G500" t="str">
        <f t="shared" si="15"/>
        <v>PHI</v>
      </c>
      <c r="H500">
        <v>2020</v>
      </c>
    </row>
    <row r="501" spans="1:8" x14ac:dyDescent="0.45">
      <c r="A501" t="s">
        <v>1340</v>
      </c>
      <c r="B501" s="14">
        <v>0</v>
      </c>
      <c r="C501" s="14">
        <v>8.5000000000000006E-3</v>
      </c>
      <c r="D501" s="14">
        <v>8.9999999999999993E-3</v>
      </c>
      <c r="E501" s="14">
        <v>1.2E-2</v>
      </c>
      <c r="F501" t="str">
        <f t="shared" si="14"/>
        <v>Phillip Lindsay</v>
      </c>
      <c r="G501" t="str">
        <f t="shared" si="15"/>
        <v>DEN</v>
      </c>
      <c r="H501">
        <v>2020</v>
      </c>
    </row>
    <row r="502" spans="1:8" x14ac:dyDescent="0.45">
      <c r="A502" t="s">
        <v>1341</v>
      </c>
      <c r="B502" s="14">
        <v>0</v>
      </c>
      <c r="C502" s="14">
        <v>2.4400000000000002E-2</v>
      </c>
      <c r="D502" s="14">
        <v>2.0500000000000001E-2</v>
      </c>
      <c r="E502" s="14">
        <v>2.5600000000000001E-2</v>
      </c>
      <c r="F502" t="str">
        <f t="shared" si="14"/>
        <v>Le'Veon Bell</v>
      </c>
      <c r="G502" t="str">
        <f t="shared" si="15"/>
        <v>KC</v>
      </c>
      <c r="H502">
        <v>2020</v>
      </c>
    </row>
    <row r="503" spans="1:8" x14ac:dyDescent="0.45">
      <c r="A503" t="s">
        <v>1342</v>
      </c>
      <c r="B503" s="14">
        <v>1.61E-2</v>
      </c>
      <c r="C503" s="14">
        <v>5.7099999999999998E-2</v>
      </c>
      <c r="D503" s="14">
        <v>1.9599999999999999E-2</v>
      </c>
      <c r="E503" s="14">
        <v>4.0599999999999997E-2</v>
      </c>
      <c r="F503" t="str">
        <f t="shared" si="14"/>
        <v>James White</v>
      </c>
      <c r="G503" t="str">
        <f t="shared" si="15"/>
        <v>NE</v>
      </c>
      <c r="H503">
        <v>2020</v>
      </c>
    </row>
    <row r="504" spans="1:8" x14ac:dyDescent="0.45">
      <c r="A504" t="s">
        <v>1217</v>
      </c>
      <c r="B504" s="14">
        <v>0</v>
      </c>
      <c r="C504" s="14">
        <v>1.7999999999999999E-2</v>
      </c>
      <c r="D504" s="14">
        <v>1.1299999999999999E-2</v>
      </c>
      <c r="E504" s="14">
        <v>2.8799999999999999E-2</v>
      </c>
      <c r="F504" t="str">
        <f t="shared" si="14"/>
        <v>Joshua Kelley</v>
      </c>
      <c r="G504" t="str">
        <f t="shared" si="15"/>
        <v>LAC</v>
      </c>
      <c r="H504">
        <v>2020</v>
      </c>
    </row>
    <row r="505" spans="1:8" x14ac:dyDescent="0.45">
      <c r="A505" t="s">
        <v>1343</v>
      </c>
      <c r="B505" s="14">
        <v>0</v>
      </c>
      <c r="C505" s="14">
        <v>0.01</v>
      </c>
      <c r="D505" s="14">
        <v>8.8000000000000005E-3</v>
      </c>
      <c r="E505" s="14">
        <v>1.3299999999999999E-2</v>
      </c>
      <c r="F505" t="str">
        <f t="shared" si="14"/>
        <v>Brian Hill</v>
      </c>
      <c r="G505" t="str">
        <f t="shared" si="15"/>
        <v>ATL</v>
      </c>
      <c r="H505">
        <v>2020</v>
      </c>
    </row>
    <row r="506" spans="1:8" x14ac:dyDescent="0.45">
      <c r="A506" t="s">
        <v>1344</v>
      </c>
      <c r="B506" s="14">
        <v>2.86E-2</v>
      </c>
      <c r="C506" s="14">
        <v>1.2999999999999999E-2</v>
      </c>
      <c r="D506" s="14">
        <v>3.6299999999999999E-2</v>
      </c>
      <c r="E506" s="14">
        <v>1.32E-2</v>
      </c>
      <c r="F506" t="str">
        <f t="shared" si="14"/>
        <v>Duke Johnson Jr.</v>
      </c>
      <c r="G506" t="str">
        <f t="shared" si="15"/>
        <v>HOU</v>
      </c>
      <c r="H506">
        <v>2020</v>
      </c>
    </row>
    <row r="507" spans="1:8" x14ac:dyDescent="0.45">
      <c r="A507" t="s">
        <v>1345</v>
      </c>
      <c r="B507" s="14">
        <v>0</v>
      </c>
      <c r="C507" s="14">
        <v>3.3000000000000002E-2</v>
      </c>
      <c r="D507" s="14">
        <v>7.7999999999999996E-3</v>
      </c>
      <c r="E507" s="14">
        <v>4.2299999999999997E-2</v>
      </c>
      <c r="F507" t="str">
        <f t="shared" si="14"/>
        <v>Kalen Ballage</v>
      </c>
      <c r="G507" t="str">
        <f t="shared" si="15"/>
        <v>LAC</v>
      </c>
      <c r="H507">
        <v>2020</v>
      </c>
    </row>
    <row r="508" spans="1:8" x14ac:dyDescent="0.45">
      <c r="A508" t="s">
        <v>1346</v>
      </c>
      <c r="B508" s="14">
        <v>3.85E-2</v>
      </c>
      <c r="C508" s="14">
        <v>3.85E-2</v>
      </c>
      <c r="D508" s="14">
        <v>3.0200000000000001E-2</v>
      </c>
      <c r="E508" s="14">
        <v>3.7600000000000001E-2</v>
      </c>
      <c r="F508" t="str">
        <f t="shared" si="14"/>
        <v>Kerryon Johnson</v>
      </c>
      <c r="G508" t="str">
        <f t="shared" si="15"/>
        <v>DET</v>
      </c>
      <c r="H508">
        <v>2020</v>
      </c>
    </row>
    <row r="509" spans="1:8" x14ac:dyDescent="0.45">
      <c r="A509" t="s">
        <v>1347</v>
      </c>
      <c r="B509" s="14">
        <v>0</v>
      </c>
      <c r="C509" s="14">
        <v>4.2599999999999999E-2</v>
      </c>
      <c r="D509" s="14">
        <v>8.9999999999999998E-4</v>
      </c>
      <c r="E509" s="14">
        <v>4.5999999999999999E-2</v>
      </c>
      <c r="F509" t="str">
        <f t="shared" si="14"/>
        <v>Peyton Barber</v>
      </c>
      <c r="G509" t="str">
        <f t="shared" si="15"/>
        <v>WAS</v>
      </c>
      <c r="H509">
        <v>2020</v>
      </c>
    </row>
    <row r="510" spans="1:8" x14ac:dyDescent="0.45">
      <c r="A510" t="s">
        <v>1126</v>
      </c>
      <c r="B510" s="14">
        <v>0</v>
      </c>
      <c r="C510" s="14">
        <v>4.7600000000000003E-2</v>
      </c>
      <c r="D510" s="14">
        <v>2.1499999999999998E-2</v>
      </c>
      <c r="E510" s="14">
        <v>4.36E-2</v>
      </c>
      <c r="F510" t="str">
        <f t="shared" si="14"/>
        <v>Samaje Perine</v>
      </c>
      <c r="G510" t="str">
        <f t="shared" si="15"/>
        <v>CIN</v>
      </c>
      <c r="H510">
        <v>2020</v>
      </c>
    </row>
    <row r="511" spans="1:8" x14ac:dyDescent="0.45">
      <c r="A511" t="s">
        <v>1348</v>
      </c>
      <c r="B511" s="14">
        <v>0</v>
      </c>
      <c r="C511" s="14">
        <v>1.1900000000000001E-2</v>
      </c>
      <c r="D511" s="14">
        <v>1.3299999999999999E-2</v>
      </c>
      <c r="E511" s="14">
        <v>1.5100000000000001E-2</v>
      </c>
      <c r="F511" t="str">
        <f t="shared" si="14"/>
        <v>Jordan Wilkins</v>
      </c>
      <c r="G511" t="str">
        <f t="shared" si="15"/>
        <v>IND</v>
      </c>
      <c r="H511">
        <v>2020</v>
      </c>
    </row>
    <row r="512" spans="1:8" x14ac:dyDescent="0.45">
      <c r="A512" t="s">
        <v>1349</v>
      </c>
      <c r="B512" s="14">
        <v>0.1111</v>
      </c>
      <c r="C512" s="14">
        <v>1.2699999999999999E-2</v>
      </c>
      <c r="D512" s="14">
        <v>5.7299999999999997E-2</v>
      </c>
      <c r="E512" s="14">
        <v>1.7100000000000001E-2</v>
      </c>
      <c r="F512" t="str">
        <f t="shared" si="14"/>
        <v>Sony Michel</v>
      </c>
      <c r="G512" t="str">
        <f t="shared" si="15"/>
        <v>NE</v>
      </c>
      <c r="H512">
        <v>2020</v>
      </c>
    </row>
    <row r="513" spans="1:8" x14ac:dyDescent="0.45">
      <c r="A513" t="s">
        <v>1210</v>
      </c>
      <c r="B513" s="14">
        <v>6.6699999999999995E-2</v>
      </c>
      <c r="C513" s="14">
        <v>2.0799999999999999E-2</v>
      </c>
      <c r="D513" s="14">
        <v>3.6700000000000003E-2</v>
      </c>
      <c r="E513" s="14">
        <v>3.2099999999999997E-2</v>
      </c>
      <c r="F513" t="str">
        <f t="shared" si="14"/>
        <v>Alexander Mattison</v>
      </c>
      <c r="G513" t="str">
        <f t="shared" si="15"/>
        <v>MIN</v>
      </c>
      <c r="H513">
        <v>2020</v>
      </c>
    </row>
    <row r="514" spans="1:8" x14ac:dyDescent="0.45">
      <c r="A514" t="s">
        <v>1310</v>
      </c>
      <c r="B514" s="14">
        <v>0</v>
      </c>
      <c r="C514" s="14">
        <v>0.04</v>
      </c>
      <c r="D514" s="14">
        <v>9.4000000000000004E-3</v>
      </c>
      <c r="E514" s="14">
        <v>4.19E-2</v>
      </c>
      <c r="F514" t="str">
        <f t="shared" ref="F514:F577" si="16">TRIM(LEFT(A514, FIND("(", A514) - 2))</f>
        <v>Salvon Ahmed</v>
      </c>
      <c r="G514" t="str">
        <f t="shared" si="15"/>
        <v>MIA</v>
      </c>
      <c r="H514">
        <v>2020</v>
      </c>
    </row>
    <row r="515" spans="1:8" x14ac:dyDescent="0.45">
      <c r="A515" t="s">
        <v>1350</v>
      </c>
      <c r="B515" s="14">
        <v>0</v>
      </c>
      <c r="C515" s="14">
        <v>2.7799999999999998E-2</v>
      </c>
      <c r="D515" s="14">
        <v>1.1599999999999999E-2</v>
      </c>
      <c r="E515" s="14">
        <v>2.6100000000000002E-2</v>
      </c>
      <c r="F515" t="str">
        <f t="shared" si="16"/>
        <v>Mark Ingram II</v>
      </c>
      <c r="G515" t="str">
        <f t="shared" ref="G515:G578" si="17">MID(A515, FIND("(", A515) + 1, FIND(")", A515) - FIND("(", A515) - 1)</f>
        <v>BAL</v>
      </c>
      <c r="H515">
        <v>2020</v>
      </c>
    </row>
    <row r="516" spans="1:8" x14ac:dyDescent="0.45">
      <c r="A516" t="s">
        <v>1351</v>
      </c>
      <c r="B516" s="14">
        <v>0</v>
      </c>
      <c r="C516" s="14">
        <v>3.1300000000000001E-2</v>
      </c>
      <c r="D516" s="14">
        <v>7.1999999999999998E-3</v>
      </c>
      <c r="E516" s="14">
        <v>2.5499999999999998E-2</v>
      </c>
      <c r="F516" t="str">
        <f t="shared" si="16"/>
        <v>La'Mical Perine</v>
      </c>
      <c r="G516" t="str">
        <f t="shared" si="17"/>
        <v>NYJ</v>
      </c>
      <c r="H516">
        <v>2020</v>
      </c>
    </row>
    <row r="517" spans="1:8" x14ac:dyDescent="0.45">
      <c r="A517" t="s">
        <v>1263</v>
      </c>
      <c r="B517" s="14">
        <v>4.7600000000000003E-2</v>
      </c>
      <c r="C517" s="14">
        <v>1.8499999999999999E-2</v>
      </c>
      <c r="D517" s="14">
        <v>2.9499999999999998E-2</v>
      </c>
      <c r="E517" s="14">
        <v>2.86E-2</v>
      </c>
      <c r="F517" t="str">
        <f t="shared" si="16"/>
        <v>Ty Johnson</v>
      </c>
      <c r="G517" t="str">
        <f t="shared" si="17"/>
        <v>NYJ</v>
      </c>
      <c r="H517">
        <v>2020</v>
      </c>
    </row>
    <row r="518" spans="1:8" x14ac:dyDescent="0.45">
      <c r="A518" t="s">
        <v>1264</v>
      </c>
      <c r="B518" s="14">
        <v>0.05</v>
      </c>
      <c r="C518" s="14">
        <v>5.8799999999999998E-2</v>
      </c>
      <c r="D518" s="14">
        <v>4.5900000000000003E-2</v>
      </c>
      <c r="E518" s="14">
        <v>6.9800000000000001E-2</v>
      </c>
      <c r="F518" t="str">
        <f t="shared" si="16"/>
        <v>DeeJay Dallas</v>
      </c>
      <c r="G518" t="str">
        <f t="shared" si="17"/>
        <v>SEA</v>
      </c>
      <c r="H518">
        <v>2020</v>
      </c>
    </row>
    <row r="519" spans="1:8" x14ac:dyDescent="0.45">
      <c r="A519" t="s">
        <v>1352</v>
      </c>
      <c r="B519" s="14">
        <v>0</v>
      </c>
      <c r="C519" s="14">
        <v>1.5599999999999999E-2</v>
      </c>
      <c r="D519" s="14">
        <v>3.1899999999999998E-2</v>
      </c>
      <c r="E519" s="14">
        <v>1.66E-2</v>
      </c>
      <c r="F519" t="str">
        <f t="shared" si="16"/>
        <v>Ito Smith</v>
      </c>
      <c r="G519" t="str">
        <f t="shared" si="17"/>
        <v>ATL</v>
      </c>
      <c r="H519">
        <v>2020</v>
      </c>
    </row>
    <row r="520" spans="1:8" x14ac:dyDescent="0.45">
      <c r="A520" t="s">
        <v>1211</v>
      </c>
      <c r="B520" s="14">
        <v>0</v>
      </c>
      <c r="C520" s="14">
        <v>4.3499999999999997E-2</v>
      </c>
      <c r="D520" s="14">
        <v>1.52E-2</v>
      </c>
      <c r="E520" s="14">
        <v>2.7699999999999999E-2</v>
      </c>
      <c r="F520" t="str">
        <f t="shared" si="16"/>
        <v>AJ Dillon</v>
      </c>
      <c r="G520" t="str">
        <f t="shared" si="17"/>
        <v>GB</v>
      </c>
      <c r="H520">
        <v>2020</v>
      </c>
    </row>
    <row r="521" spans="1:8" x14ac:dyDescent="0.45">
      <c r="A521" t="s">
        <v>1353</v>
      </c>
      <c r="B521" s="14">
        <v>3.3300000000000003E-2</v>
      </c>
      <c r="C521" s="14">
        <v>6.9000000000000006E-2</v>
      </c>
      <c r="D521" s="14">
        <v>3.1699999999999999E-2</v>
      </c>
      <c r="E521" s="14">
        <v>6.0699999999999997E-2</v>
      </c>
      <c r="F521" t="str">
        <f t="shared" si="16"/>
        <v>Dion Lewis</v>
      </c>
      <c r="G521" t="str">
        <f t="shared" si="17"/>
        <v>NYG</v>
      </c>
      <c r="H521">
        <v>2020</v>
      </c>
    </row>
    <row r="522" spans="1:8" x14ac:dyDescent="0.45">
      <c r="A522" t="s">
        <v>1354</v>
      </c>
      <c r="B522" s="14">
        <v>0.25</v>
      </c>
      <c r="C522" s="14">
        <v>1.8200000000000001E-2</v>
      </c>
      <c r="D522" s="14">
        <v>0.15509999999999999</v>
      </c>
      <c r="E522" s="14">
        <v>1.7100000000000001E-2</v>
      </c>
      <c r="F522" t="str">
        <f t="shared" si="16"/>
        <v>Alfred Morris</v>
      </c>
      <c r="G522" t="str">
        <f t="shared" si="17"/>
        <v>NYG</v>
      </c>
      <c r="H522">
        <v>2020</v>
      </c>
    </row>
    <row r="523" spans="1:8" x14ac:dyDescent="0.45">
      <c r="A523" t="s">
        <v>1272</v>
      </c>
      <c r="B523" s="14">
        <v>0</v>
      </c>
      <c r="C523" s="14">
        <v>2.5600000000000001E-2</v>
      </c>
      <c r="D523" s="14">
        <v>1.47E-2</v>
      </c>
      <c r="E523" s="14">
        <v>1.7600000000000001E-2</v>
      </c>
      <c r="F523" t="str">
        <f t="shared" si="16"/>
        <v>Darrel Williams</v>
      </c>
      <c r="G523" t="str">
        <f t="shared" si="17"/>
        <v>KC</v>
      </c>
      <c r="H523">
        <v>2020</v>
      </c>
    </row>
    <row r="524" spans="1:8" x14ac:dyDescent="0.45">
      <c r="A524" t="s">
        <v>1355</v>
      </c>
      <c r="B524" s="14">
        <v>0</v>
      </c>
      <c r="C524" s="14">
        <v>1.5599999999999999E-2</v>
      </c>
      <c r="D524" s="14">
        <v>6.8999999999999999E-3</v>
      </c>
      <c r="E524" s="14">
        <v>1.9900000000000001E-2</v>
      </c>
      <c r="F524" t="str">
        <f t="shared" si="16"/>
        <v>Cordarrelle Patterson</v>
      </c>
      <c r="G524" t="str">
        <f t="shared" si="17"/>
        <v>CHI</v>
      </c>
      <c r="H524">
        <v>2020</v>
      </c>
    </row>
    <row r="525" spans="1:8" x14ac:dyDescent="0.45">
      <c r="A525" t="s">
        <v>1290</v>
      </c>
      <c r="B525" s="14">
        <v>0</v>
      </c>
      <c r="C525" s="14">
        <v>0</v>
      </c>
      <c r="D525" s="14">
        <v>2.3E-3</v>
      </c>
      <c r="E525" s="14">
        <v>4.1000000000000003E-3</v>
      </c>
      <c r="F525" t="str">
        <f t="shared" si="16"/>
        <v>Justin Jackson</v>
      </c>
      <c r="G525" t="str">
        <f t="shared" si="17"/>
        <v>LAC</v>
      </c>
      <c r="H525">
        <v>2020</v>
      </c>
    </row>
    <row r="526" spans="1:8" x14ac:dyDescent="0.45">
      <c r="A526" t="s">
        <v>1356</v>
      </c>
      <c r="B526" s="14">
        <v>0</v>
      </c>
      <c r="C526" s="14">
        <v>0</v>
      </c>
      <c r="D526" s="14">
        <v>4.7000000000000002E-3</v>
      </c>
      <c r="E526" s="14">
        <v>6.3E-3</v>
      </c>
      <c r="F526" t="str">
        <f t="shared" si="16"/>
        <v>Matt Breida</v>
      </c>
      <c r="G526" t="str">
        <f t="shared" si="17"/>
        <v>MIA</v>
      </c>
      <c r="H526">
        <v>2020</v>
      </c>
    </row>
    <row r="527" spans="1:8" x14ac:dyDescent="0.45">
      <c r="A527" t="s">
        <v>1295</v>
      </c>
      <c r="B527" s="14">
        <v>0</v>
      </c>
      <c r="C527" s="14">
        <v>2.1299999999999999E-2</v>
      </c>
      <c r="D527" s="14">
        <v>2.6700000000000002E-2</v>
      </c>
      <c r="E527" s="14">
        <v>2.2499999999999999E-2</v>
      </c>
      <c r="F527" t="str">
        <f t="shared" si="16"/>
        <v>Jeremy McNichols</v>
      </c>
      <c r="G527" t="str">
        <f t="shared" si="17"/>
        <v>TEN</v>
      </c>
      <c r="H527">
        <v>2020</v>
      </c>
    </row>
    <row r="528" spans="1:8" x14ac:dyDescent="0.45">
      <c r="A528" t="s">
        <v>1291</v>
      </c>
      <c r="B528" s="14">
        <v>0</v>
      </c>
      <c r="C528" s="14">
        <v>0.1143</v>
      </c>
      <c r="D528" s="14">
        <v>2.2000000000000001E-3</v>
      </c>
      <c r="E528" s="14">
        <v>0.113</v>
      </c>
      <c r="F528" t="str">
        <f t="shared" si="16"/>
        <v>Jordan Howard</v>
      </c>
      <c r="G528" t="str">
        <f t="shared" si="17"/>
        <v>PHI</v>
      </c>
      <c r="H528">
        <v>2020</v>
      </c>
    </row>
    <row r="529" spans="1:8" x14ac:dyDescent="0.45">
      <c r="A529" t="s">
        <v>1357</v>
      </c>
      <c r="B529" s="14">
        <v>0</v>
      </c>
      <c r="C529" s="14">
        <v>1.8499999999999999E-2</v>
      </c>
      <c r="D529" s="14">
        <v>0.03</v>
      </c>
      <c r="E529" s="14">
        <v>1.8499999999999999E-2</v>
      </c>
      <c r="F529" t="str">
        <f t="shared" si="16"/>
        <v>Devonta Freeman</v>
      </c>
      <c r="G529" t="str">
        <f t="shared" si="17"/>
        <v>NYG</v>
      </c>
      <c r="H529">
        <v>2020</v>
      </c>
    </row>
    <row r="530" spans="1:8" x14ac:dyDescent="0.45">
      <c r="A530" t="s">
        <v>1358</v>
      </c>
      <c r="B530" s="14">
        <v>0</v>
      </c>
      <c r="C530" s="14">
        <v>2.5600000000000001E-2</v>
      </c>
      <c r="D530" s="14">
        <v>3.8E-3</v>
      </c>
      <c r="E530" s="14">
        <v>3.2300000000000002E-2</v>
      </c>
      <c r="F530" t="str">
        <f t="shared" si="16"/>
        <v>JaMycal Hasty</v>
      </c>
      <c r="G530" t="str">
        <f t="shared" si="17"/>
        <v>SF</v>
      </c>
      <c r="H530">
        <v>2020</v>
      </c>
    </row>
    <row r="531" spans="1:8" x14ac:dyDescent="0.45">
      <c r="A531" t="s">
        <v>1359</v>
      </c>
      <c r="B531" s="14">
        <v>0</v>
      </c>
      <c r="C531" s="14">
        <v>0</v>
      </c>
      <c r="D531" s="14">
        <v>1.3899999999999999E-2</v>
      </c>
      <c r="E531" s="14">
        <v>9.9000000000000008E-3</v>
      </c>
      <c r="F531" t="str">
        <f t="shared" si="16"/>
        <v>Royce Freeman</v>
      </c>
      <c r="G531" t="str">
        <f t="shared" si="17"/>
        <v>DEN</v>
      </c>
      <c r="H531">
        <v>2020</v>
      </c>
    </row>
    <row r="532" spans="1:8" x14ac:dyDescent="0.45">
      <c r="A532" t="s">
        <v>1360</v>
      </c>
      <c r="B532" s="14">
        <v>0</v>
      </c>
      <c r="C532" s="14">
        <v>6.9000000000000006E-2</v>
      </c>
      <c r="D532" s="14">
        <v>1.5E-3</v>
      </c>
      <c r="E532" s="14">
        <v>6.6299999999999998E-2</v>
      </c>
      <c r="F532" t="str">
        <f t="shared" si="16"/>
        <v>Josh Adams</v>
      </c>
      <c r="G532" t="str">
        <f t="shared" si="17"/>
        <v>NYJ</v>
      </c>
      <c r="H532">
        <v>2020</v>
      </c>
    </row>
    <row r="533" spans="1:8" x14ac:dyDescent="0.45">
      <c r="A533" t="s">
        <v>1314</v>
      </c>
      <c r="B533" s="14">
        <v>0.1</v>
      </c>
      <c r="C533" s="14">
        <v>0</v>
      </c>
      <c r="D533" s="14">
        <v>7.5999999999999998E-2</v>
      </c>
      <c r="E533" s="14">
        <v>7.1000000000000004E-3</v>
      </c>
      <c r="F533" t="str">
        <f t="shared" si="16"/>
        <v>Ke'Shawn Vaughn</v>
      </c>
      <c r="G533" t="str">
        <f t="shared" si="17"/>
        <v>TB</v>
      </c>
      <c r="H533">
        <v>2020</v>
      </c>
    </row>
    <row r="534" spans="1:8" x14ac:dyDescent="0.45">
      <c r="A534" t="s">
        <v>1288</v>
      </c>
      <c r="B534" s="14">
        <v>0</v>
      </c>
      <c r="C534" s="14">
        <v>0</v>
      </c>
      <c r="D534" s="14">
        <v>2.6599999999999999E-2</v>
      </c>
      <c r="E534" s="14">
        <v>2.5000000000000001E-3</v>
      </c>
      <c r="F534" t="str">
        <f t="shared" si="16"/>
        <v>D'Ernest Johnson</v>
      </c>
      <c r="G534" t="str">
        <f t="shared" si="17"/>
        <v>CLE</v>
      </c>
      <c r="H534">
        <v>2020</v>
      </c>
    </row>
    <row r="535" spans="1:8" x14ac:dyDescent="0.45">
      <c r="A535" t="s">
        <v>1361</v>
      </c>
      <c r="B535" s="14">
        <v>0</v>
      </c>
      <c r="C535" s="14">
        <v>2.4400000000000002E-2</v>
      </c>
      <c r="D535" s="14">
        <v>3.8E-3</v>
      </c>
      <c r="E535" s="14">
        <v>2.3900000000000001E-2</v>
      </c>
      <c r="F535" t="str">
        <f t="shared" si="16"/>
        <v>Rodney Smith</v>
      </c>
      <c r="G535" t="str">
        <f t="shared" si="17"/>
        <v>CAR</v>
      </c>
      <c r="H535">
        <v>2020</v>
      </c>
    </row>
    <row r="536" spans="1:8" x14ac:dyDescent="0.45">
      <c r="A536" t="s">
        <v>1362</v>
      </c>
      <c r="B536" s="14">
        <v>0</v>
      </c>
      <c r="C536" s="14">
        <v>0</v>
      </c>
      <c r="D536" s="14">
        <v>4.4000000000000003E-3</v>
      </c>
      <c r="E536" s="14">
        <v>4.1000000000000003E-3</v>
      </c>
      <c r="F536" t="str">
        <f t="shared" si="16"/>
        <v>Anthony McFarland Jr.</v>
      </c>
      <c r="G536" t="str">
        <f t="shared" si="17"/>
        <v>PIT</v>
      </c>
      <c r="H536">
        <v>2020</v>
      </c>
    </row>
    <row r="537" spans="1:8" x14ac:dyDescent="0.45">
      <c r="A537" t="s">
        <v>1309</v>
      </c>
      <c r="B537" s="14">
        <v>0</v>
      </c>
      <c r="C537" s="14">
        <v>0</v>
      </c>
      <c r="D537" s="14">
        <v>3.3E-3</v>
      </c>
      <c r="E537" s="14">
        <v>9.7000000000000003E-3</v>
      </c>
      <c r="F537" t="str">
        <f t="shared" si="16"/>
        <v>Dare Ogunbowale</v>
      </c>
      <c r="G537" t="str">
        <f t="shared" si="17"/>
        <v>JAC</v>
      </c>
      <c r="H537">
        <v>2020</v>
      </c>
    </row>
    <row r="538" spans="1:8" x14ac:dyDescent="0.45">
      <c r="A538" t="s">
        <v>1363</v>
      </c>
      <c r="B538" s="14">
        <v>0</v>
      </c>
      <c r="C538" s="14">
        <v>0</v>
      </c>
      <c r="D538" s="14">
        <v>9.1999999999999998E-3</v>
      </c>
      <c r="E538" s="14">
        <v>2.41E-2</v>
      </c>
      <c r="F538" t="str">
        <f t="shared" si="16"/>
        <v>DeAndre Washington</v>
      </c>
      <c r="G538" t="str">
        <f t="shared" si="17"/>
        <v>MIA</v>
      </c>
      <c r="H538">
        <v>2020</v>
      </c>
    </row>
    <row r="539" spans="1:8" x14ac:dyDescent="0.45">
      <c r="A539" t="s">
        <v>1364</v>
      </c>
      <c r="B539" s="14">
        <v>0</v>
      </c>
      <c r="C539" s="14">
        <v>0</v>
      </c>
      <c r="D539" s="14">
        <v>9.5999999999999992E-3</v>
      </c>
      <c r="E539" s="14">
        <v>2.5999999999999999E-3</v>
      </c>
      <c r="F539" t="str">
        <f t="shared" si="16"/>
        <v>Trayveon Williams</v>
      </c>
      <c r="G539" t="str">
        <f t="shared" si="17"/>
        <v>CIN</v>
      </c>
      <c r="H539">
        <v>2020</v>
      </c>
    </row>
    <row r="540" spans="1:8" x14ac:dyDescent="0.45">
      <c r="A540" t="s">
        <v>1365</v>
      </c>
      <c r="B540" s="14">
        <v>0</v>
      </c>
      <c r="C540" s="14">
        <v>0</v>
      </c>
      <c r="D540" s="14">
        <v>1.2800000000000001E-2</v>
      </c>
      <c r="E540" s="14">
        <v>1.2200000000000001E-2</v>
      </c>
      <c r="F540" t="str">
        <f t="shared" si="16"/>
        <v>Tevin Coleman</v>
      </c>
      <c r="G540" t="str">
        <f t="shared" si="17"/>
        <v>SF</v>
      </c>
      <c r="H540">
        <v>2020</v>
      </c>
    </row>
    <row r="541" spans="1:8" x14ac:dyDescent="0.45">
      <c r="A541" t="s">
        <v>1366</v>
      </c>
      <c r="B541" s="14">
        <v>9.0899999999999995E-2</v>
      </c>
      <c r="C541" s="14">
        <v>3.6999999999999998E-2</v>
      </c>
      <c r="D541" s="14">
        <v>6.2899999999999998E-2</v>
      </c>
      <c r="E541" s="14">
        <v>3.0300000000000001E-2</v>
      </c>
      <c r="F541" t="str">
        <f t="shared" si="16"/>
        <v>Darwin Thompson</v>
      </c>
      <c r="G541" t="str">
        <f t="shared" si="17"/>
        <v>KC</v>
      </c>
      <c r="H541">
        <v>2020</v>
      </c>
    </row>
    <row r="542" spans="1:8" x14ac:dyDescent="0.45">
      <c r="A542" t="s">
        <v>1280</v>
      </c>
      <c r="B542" s="14">
        <v>2.8199999999999999E-2</v>
      </c>
      <c r="C542" s="14">
        <v>5.2299999999999999E-2</v>
      </c>
      <c r="D542" s="14">
        <v>2.8899999999999999E-2</v>
      </c>
      <c r="E542" s="14">
        <v>4.65E-2</v>
      </c>
      <c r="F542" t="str">
        <f t="shared" si="16"/>
        <v>Christian McCaffrey</v>
      </c>
      <c r="G542" t="str">
        <f t="shared" si="17"/>
        <v>CAR</v>
      </c>
      <c r="H542">
        <v>2019</v>
      </c>
    </row>
    <row r="543" spans="1:8" x14ac:dyDescent="0.45">
      <c r="A543" t="s">
        <v>1445</v>
      </c>
      <c r="B543" s="14">
        <v>4.41E-2</v>
      </c>
      <c r="C543" s="14">
        <v>6.7799999999999999E-2</v>
      </c>
      <c r="D543" s="14">
        <v>4.1700000000000001E-2</v>
      </c>
      <c r="E543" s="14">
        <v>5.2600000000000001E-2</v>
      </c>
      <c r="F543" t="str">
        <f t="shared" si="16"/>
        <v>Aaron Jones Sr.</v>
      </c>
      <c r="G543" t="str">
        <f t="shared" si="17"/>
        <v>GB</v>
      </c>
      <c r="H543">
        <v>2019</v>
      </c>
    </row>
    <row r="544" spans="1:8" x14ac:dyDescent="0.45">
      <c r="A544" t="s">
        <v>1234</v>
      </c>
      <c r="B544" s="14">
        <v>0</v>
      </c>
      <c r="C544" s="14">
        <v>5.1999999999999998E-2</v>
      </c>
      <c r="D544" s="14">
        <v>6.6E-3</v>
      </c>
      <c r="E544" s="14">
        <v>4.8899999999999999E-2</v>
      </c>
      <c r="F544" t="str">
        <f t="shared" si="16"/>
        <v>Dalvin Cook</v>
      </c>
      <c r="G544" t="str">
        <f t="shared" si="17"/>
        <v>MIN</v>
      </c>
      <c r="H544">
        <v>2019</v>
      </c>
    </row>
    <row r="545" spans="1:8" x14ac:dyDescent="0.45">
      <c r="A545" t="s">
        <v>1198</v>
      </c>
      <c r="B545" s="14">
        <v>8.3299999999999999E-2</v>
      </c>
      <c r="C545" s="14">
        <v>5.28E-2</v>
      </c>
      <c r="D545" s="14">
        <v>4.8899999999999999E-2</v>
      </c>
      <c r="E545" s="14">
        <v>0.04</v>
      </c>
      <c r="F545" t="str">
        <f t="shared" si="16"/>
        <v>Derrick Henry</v>
      </c>
      <c r="G545" t="str">
        <f t="shared" si="17"/>
        <v>TEN</v>
      </c>
      <c r="H545">
        <v>2019</v>
      </c>
    </row>
    <row r="546" spans="1:8" x14ac:dyDescent="0.45">
      <c r="A546" t="s">
        <v>1175</v>
      </c>
      <c r="B546" s="14">
        <v>2.8199999999999999E-2</v>
      </c>
      <c r="C546" s="14">
        <v>3.9899999999999998E-2</v>
      </c>
      <c r="D546" s="14">
        <v>2.9899999999999999E-2</v>
      </c>
      <c r="E546" s="14">
        <v>3.8899999999999997E-2</v>
      </c>
      <c r="F546" t="str">
        <f t="shared" si="16"/>
        <v>Ezekiel Elliott</v>
      </c>
      <c r="G546" t="str">
        <f t="shared" si="17"/>
        <v>DAL</v>
      </c>
      <c r="H546">
        <v>2019</v>
      </c>
    </row>
    <row r="547" spans="1:8" x14ac:dyDescent="0.45">
      <c r="A547" t="s">
        <v>1350</v>
      </c>
      <c r="B547" s="14">
        <v>0.1724</v>
      </c>
      <c r="C547" s="14">
        <v>4.9500000000000002E-2</v>
      </c>
      <c r="D547" s="14">
        <v>0.10680000000000001</v>
      </c>
      <c r="E547" s="14">
        <v>4.7199999999999999E-2</v>
      </c>
      <c r="F547" t="str">
        <f t="shared" si="16"/>
        <v>Mark Ingram II</v>
      </c>
      <c r="G547" t="str">
        <f t="shared" si="17"/>
        <v>BAL</v>
      </c>
      <c r="H547">
        <v>2019</v>
      </c>
    </row>
    <row r="548" spans="1:8" x14ac:dyDescent="0.45">
      <c r="A548" t="s">
        <v>1173</v>
      </c>
      <c r="B548" s="14">
        <v>0</v>
      </c>
      <c r="C548" s="14">
        <v>2.6800000000000001E-2</v>
      </c>
      <c r="D548" s="14">
        <v>1.0500000000000001E-2</v>
      </c>
      <c r="E548" s="14">
        <v>3.0800000000000001E-2</v>
      </c>
      <c r="F548" t="str">
        <f t="shared" si="16"/>
        <v>Nick Chubb</v>
      </c>
      <c r="G548" t="str">
        <f t="shared" si="17"/>
        <v>CLE</v>
      </c>
      <c r="H548">
        <v>2019</v>
      </c>
    </row>
    <row r="549" spans="1:8" x14ac:dyDescent="0.45">
      <c r="A549" t="s">
        <v>1206</v>
      </c>
      <c r="B549" s="14">
        <v>7.4099999999999999E-2</v>
      </c>
      <c r="C549" s="14">
        <v>2.2700000000000001E-2</v>
      </c>
      <c r="D549" s="14">
        <v>5.62E-2</v>
      </c>
      <c r="E549" s="14">
        <v>2.9499999999999998E-2</v>
      </c>
      <c r="F549" t="str">
        <f t="shared" si="16"/>
        <v>Austin Ekeler</v>
      </c>
      <c r="G549" t="str">
        <f t="shared" si="17"/>
        <v>LAC</v>
      </c>
      <c r="H549">
        <v>2019</v>
      </c>
    </row>
    <row r="550" spans="1:8" x14ac:dyDescent="0.45">
      <c r="A550" t="s">
        <v>1300</v>
      </c>
      <c r="B550" s="14">
        <v>4.2599999999999999E-2</v>
      </c>
      <c r="C550" s="14">
        <v>2.52E-2</v>
      </c>
      <c r="D550" s="14">
        <v>3.1600000000000003E-2</v>
      </c>
      <c r="E550" s="14">
        <v>2.5100000000000001E-2</v>
      </c>
      <c r="F550" t="str">
        <f t="shared" si="16"/>
        <v>Chris Carson</v>
      </c>
      <c r="G550" t="str">
        <f t="shared" si="17"/>
        <v>SEA</v>
      </c>
      <c r="H550">
        <v>2019</v>
      </c>
    </row>
    <row r="551" spans="1:8" x14ac:dyDescent="0.45">
      <c r="A551" t="s">
        <v>1367</v>
      </c>
      <c r="B551" s="14">
        <v>0</v>
      </c>
      <c r="C551" s="14">
        <v>1.1299999999999999E-2</v>
      </c>
      <c r="D551" s="14">
        <v>1.2999999999999999E-2</v>
      </c>
      <c r="E551" s="14">
        <v>1.89E-2</v>
      </c>
      <c r="F551" t="str">
        <f t="shared" si="16"/>
        <v>Leonard Fournette</v>
      </c>
      <c r="G551" t="str">
        <f t="shared" si="17"/>
        <v>JAC</v>
      </c>
      <c r="H551">
        <v>2019</v>
      </c>
    </row>
    <row r="552" spans="1:8" x14ac:dyDescent="0.45">
      <c r="A552" t="s">
        <v>1368</v>
      </c>
      <c r="B552" s="14">
        <v>4.0800000000000003E-2</v>
      </c>
      <c r="C552" s="14">
        <v>5.3800000000000001E-2</v>
      </c>
      <c r="D552" s="14">
        <v>3.2199999999999999E-2</v>
      </c>
      <c r="E552" s="14">
        <v>4.8800000000000003E-2</v>
      </c>
      <c r="F552" t="str">
        <f t="shared" si="16"/>
        <v>Todd Gurley II</v>
      </c>
      <c r="G552" t="str">
        <f t="shared" si="17"/>
        <v>LAR</v>
      </c>
      <c r="H552">
        <v>2019</v>
      </c>
    </row>
    <row r="553" spans="1:8" x14ac:dyDescent="0.45">
      <c r="A553" t="s">
        <v>1201</v>
      </c>
      <c r="B553" s="14">
        <v>2.7400000000000001E-2</v>
      </c>
      <c r="C553" s="14">
        <v>2.76E-2</v>
      </c>
      <c r="D553" s="14">
        <v>2.8899999999999999E-2</v>
      </c>
      <c r="E553" s="14">
        <v>2.7E-2</v>
      </c>
      <c r="F553" t="str">
        <f t="shared" si="16"/>
        <v>Saquon Barkley</v>
      </c>
      <c r="G553" t="str">
        <f t="shared" si="17"/>
        <v>NYG</v>
      </c>
      <c r="H553">
        <v>2019</v>
      </c>
    </row>
    <row r="554" spans="1:8" x14ac:dyDescent="0.45">
      <c r="A554" t="s">
        <v>1369</v>
      </c>
      <c r="B554" s="14">
        <v>0</v>
      </c>
      <c r="C554" s="14">
        <v>2.8899999999999999E-2</v>
      </c>
      <c r="D554" s="14">
        <v>1.21E-2</v>
      </c>
      <c r="E554" s="14">
        <v>3.04E-2</v>
      </c>
      <c r="F554" t="str">
        <f t="shared" si="16"/>
        <v>Josh Jacobs</v>
      </c>
      <c r="G554" t="str">
        <f t="shared" si="17"/>
        <v>LVR</v>
      </c>
      <c r="H554">
        <v>2019</v>
      </c>
    </row>
    <row r="555" spans="1:8" x14ac:dyDescent="0.45">
      <c r="A555" t="s">
        <v>1236</v>
      </c>
      <c r="B555" s="14">
        <v>4.7600000000000003E-2</v>
      </c>
      <c r="C555" s="14">
        <v>1.6799999999999999E-2</v>
      </c>
      <c r="D555" s="14">
        <v>4.0300000000000002E-2</v>
      </c>
      <c r="E555" s="14">
        <v>2.1499999999999998E-2</v>
      </c>
      <c r="F555" t="str">
        <f t="shared" si="16"/>
        <v>Miles Sanders</v>
      </c>
      <c r="G555" t="str">
        <f t="shared" si="17"/>
        <v>PHI</v>
      </c>
      <c r="H555">
        <v>2019</v>
      </c>
    </row>
    <row r="556" spans="1:8" x14ac:dyDescent="0.45">
      <c r="A556" t="s">
        <v>1199</v>
      </c>
      <c r="B556" s="14">
        <v>6.6699999999999995E-2</v>
      </c>
      <c r="C556" s="14">
        <v>1.7999999999999999E-2</v>
      </c>
      <c r="D556" s="14">
        <v>5.6800000000000003E-2</v>
      </c>
      <c r="E556" s="14">
        <v>2.6800000000000001E-2</v>
      </c>
      <c r="F556" t="str">
        <f t="shared" si="16"/>
        <v>Joe Mixon</v>
      </c>
      <c r="G556" t="str">
        <f t="shared" si="17"/>
        <v>CIN</v>
      </c>
      <c r="H556">
        <v>2019</v>
      </c>
    </row>
    <row r="557" spans="1:8" x14ac:dyDescent="0.45">
      <c r="A557" t="s">
        <v>1340</v>
      </c>
      <c r="B557" s="14">
        <v>0</v>
      </c>
      <c r="C557" s="14">
        <v>3.1300000000000001E-2</v>
      </c>
      <c r="D557" s="14">
        <v>1.43E-2</v>
      </c>
      <c r="E557" s="14">
        <v>2.76E-2</v>
      </c>
      <c r="F557" t="str">
        <f t="shared" si="16"/>
        <v>Phillip Lindsay</v>
      </c>
      <c r="G557" t="str">
        <f t="shared" si="17"/>
        <v>DEN</v>
      </c>
      <c r="H557">
        <v>2019</v>
      </c>
    </row>
    <row r="558" spans="1:8" x14ac:dyDescent="0.45">
      <c r="A558" t="s">
        <v>1324</v>
      </c>
      <c r="B558" s="14">
        <v>0</v>
      </c>
      <c r="C558" s="14">
        <v>4.7100000000000003E-2</v>
      </c>
      <c r="D558" s="14">
        <v>9.1999999999999998E-3</v>
      </c>
      <c r="E558" s="14">
        <v>3.7999999999999999E-2</v>
      </c>
      <c r="F558" t="str">
        <f t="shared" si="16"/>
        <v>Kenyan Drake</v>
      </c>
      <c r="G558" t="str">
        <f t="shared" si="17"/>
        <v>ARI</v>
      </c>
      <c r="H558">
        <v>2019</v>
      </c>
    </row>
    <row r="559" spans="1:8" x14ac:dyDescent="0.45">
      <c r="A559" t="s">
        <v>1122</v>
      </c>
      <c r="B559" s="14">
        <v>1.03E-2</v>
      </c>
      <c r="C559" s="14">
        <v>2.92E-2</v>
      </c>
      <c r="D559" s="14">
        <v>2.1600000000000001E-2</v>
      </c>
      <c r="E559" s="14">
        <v>3.0099999999999998E-2</v>
      </c>
      <c r="F559" t="str">
        <f t="shared" si="16"/>
        <v>Alvin Kamara</v>
      </c>
      <c r="G559" t="str">
        <f t="shared" si="17"/>
        <v>NO</v>
      </c>
      <c r="H559">
        <v>2019</v>
      </c>
    </row>
    <row r="560" spans="1:8" x14ac:dyDescent="0.45">
      <c r="A560" t="s">
        <v>1321</v>
      </c>
      <c r="B560" s="14">
        <v>0</v>
      </c>
      <c r="C560" s="14">
        <v>3.2399999999999998E-2</v>
      </c>
      <c r="D560" s="14">
        <v>3.3999999999999998E-3</v>
      </c>
      <c r="E560" s="14">
        <v>2.98E-2</v>
      </c>
      <c r="F560" t="str">
        <f t="shared" si="16"/>
        <v>Marlon Mack</v>
      </c>
      <c r="G560" t="str">
        <f t="shared" si="17"/>
        <v>IND</v>
      </c>
      <c r="H560">
        <v>2019</v>
      </c>
    </row>
    <row r="561" spans="1:8" x14ac:dyDescent="0.45">
      <c r="A561" t="s">
        <v>1370</v>
      </c>
      <c r="B561" s="14">
        <v>0</v>
      </c>
      <c r="C561" s="14">
        <v>2.4500000000000001E-2</v>
      </c>
      <c r="D561" s="14">
        <v>1.41E-2</v>
      </c>
      <c r="E561" s="14">
        <v>2.5100000000000001E-2</v>
      </c>
      <c r="F561" t="str">
        <f t="shared" si="16"/>
        <v>Carlos Hyde</v>
      </c>
      <c r="G561" t="str">
        <f t="shared" si="17"/>
        <v>HOU</v>
      </c>
      <c r="H561">
        <v>2019</v>
      </c>
    </row>
    <row r="562" spans="1:8" x14ac:dyDescent="0.45">
      <c r="A562" t="s">
        <v>1371</v>
      </c>
      <c r="B562" s="14">
        <v>1.2800000000000001E-2</v>
      </c>
      <c r="C562" s="14">
        <v>1.2200000000000001E-2</v>
      </c>
      <c r="D562" s="14">
        <v>2.07E-2</v>
      </c>
      <c r="E562" s="14">
        <v>1.4800000000000001E-2</v>
      </c>
      <c r="F562" t="str">
        <f t="shared" si="16"/>
        <v>Le'Veon Bell</v>
      </c>
      <c r="G562" t="str">
        <f t="shared" si="17"/>
        <v>NYJ</v>
      </c>
      <c r="H562">
        <v>2019</v>
      </c>
    </row>
    <row r="563" spans="1:8" x14ac:dyDescent="0.45">
      <c r="A563" t="s">
        <v>1336</v>
      </c>
      <c r="B563" s="14">
        <v>9.0899999999999995E-2</v>
      </c>
      <c r="C563" s="14">
        <v>5.8400000000000001E-2</v>
      </c>
      <c r="D563" s="14">
        <v>5.7000000000000002E-2</v>
      </c>
      <c r="E563" s="14">
        <v>4.1099999999999998E-2</v>
      </c>
      <c r="F563" t="str">
        <f t="shared" si="16"/>
        <v>Raheem Mostert</v>
      </c>
      <c r="G563" t="str">
        <f t="shared" si="17"/>
        <v>SF</v>
      </c>
      <c r="H563">
        <v>2019</v>
      </c>
    </row>
    <row r="564" spans="1:8" x14ac:dyDescent="0.45">
      <c r="A564" t="s">
        <v>1372</v>
      </c>
      <c r="B564" s="14">
        <v>5.7099999999999998E-2</v>
      </c>
      <c r="C564" s="14">
        <v>1.09E-2</v>
      </c>
      <c r="D564" s="14">
        <v>4.5999999999999999E-2</v>
      </c>
      <c r="E564" s="14">
        <v>1.17E-2</v>
      </c>
      <c r="F564" t="str">
        <f t="shared" si="16"/>
        <v>Devonta Freeman</v>
      </c>
      <c r="G564" t="str">
        <f t="shared" si="17"/>
        <v>ATL</v>
      </c>
      <c r="H564">
        <v>2019</v>
      </c>
    </row>
    <row r="565" spans="1:8" x14ac:dyDescent="0.45">
      <c r="A565" t="s">
        <v>1238</v>
      </c>
      <c r="B565" s="14">
        <v>2.86E-2</v>
      </c>
      <c r="C565" s="14">
        <v>2.4799999999999999E-2</v>
      </c>
      <c r="D565" s="14">
        <v>2.5899999999999999E-2</v>
      </c>
      <c r="E565" s="14">
        <v>3.1699999999999999E-2</v>
      </c>
      <c r="F565" t="str">
        <f t="shared" si="16"/>
        <v>David Montgomery</v>
      </c>
      <c r="G565" t="str">
        <f t="shared" si="17"/>
        <v>CHI</v>
      </c>
      <c r="H565">
        <v>2019</v>
      </c>
    </row>
    <row r="566" spans="1:8" x14ac:dyDescent="0.45">
      <c r="A566" t="s">
        <v>1349</v>
      </c>
      <c r="B566" s="14">
        <v>0</v>
      </c>
      <c r="C566" s="14">
        <v>2.8299999999999999E-2</v>
      </c>
      <c r="D566" s="14">
        <v>2.53E-2</v>
      </c>
      <c r="E566" s="14">
        <v>3.2099999999999997E-2</v>
      </c>
      <c r="F566" t="str">
        <f t="shared" si="16"/>
        <v>Sony Michel</v>
      </c>
      <c r="G566" t="str">
        <f t="shared" si="17"/>
        <v>NE</v>
      </c>
      <c r="H566">
        <v>2019</v>
      </c>
    </row>
    <row r="567" spans="1:8" x14ac:dyDescent="0.45">
      <c r="A567" t="s">
        <v>1287</v>
      </c>
      <c r="B567" s="14">
        <v>0</v>
      </c>
      <c r="C567" s="14">
        <v>3.49E-2</v>
      </c>
      <c r="D567" s="14">
        <v>5.7000000000000002E-3</v>
      </c>
      <c r="E567" s="14">
        <v>2.76E-2</v>
      </c>
      <c r="F567" t="str">
        <f t="shared" si="16"/>
        <v>Ronald Jones II</v>
      </c>
      <c r="G567" t="str">
        <f t="shared" si="17"/>
        <v>TB</v>
      </c>
      <c r="H567">
        <v>2019</v>
      </c>
    </row>
    <row r="568" spans="1:8" x14ac:dyDescent="0.45">
      <c r="A568" t="s">
        <v>1373</v>
      </c>
      <c r="B568" s="14">
        <v>0</v>
      </c>
      <c r="C568" s="14">
        <v>2.3699999999999999E-2</v>
      </c>
      <c r="D568" s="14">
        <v>9.7000000000000003E-3</v>
      </c>
      <c r="E568" s="14">
        <v>2.3E-2</v>
      </c>
      <c r="F568" t="str">
        <f t="shared" si="16"/>
        <v>Adrian Peterson</v>
      </c>
      <c r="G568" t="str">
        <f t="shared" si="17"/>
        <v>WAS</v>
      </c>
      <c r="H568">
        <v>2019</v>
      </c>
    </row>
    <row r="569" spans="1:8" x14ac:dyDescent="0.45">
      <c r="A569" t="s">
        <v>1374</v>
      </c>
      <c r="B569" s="14">
        <v>1.8200000000000001E-2</v>
      </c>
      <c r="C569" s="14">
        <v>4.9399999999999999E-2</v>
      </c>
      <c r="D569" s="14">
        <v>2.41E-2</v>
      </c>
      <c r="E569" s="14">
        <v>4.87E-2</v>
      </c>
      <c r="F569" t="str">
        <f t="shared" si="16"/>
        <v>Melvin Gordon III</v>
      </c>
      <c r="G569" t="str">
        <f t="shared" si="17"/>
        <v>LAC</v>
      </c>
      <c r="H569">
        <v>2019</v>
      </c>
    </row>
    <row r="570" spans="1:8" x14ac:dyDescent="0.45">
      <c r="A570" t="s">
        <v>1342</v>
      </c>
      <c r="B570" s="14">
        <v>5.2600000000000001E-2</v>
      </c>
      <c r="C570" s="14">
        <v>1.49E-2</v>
      </c>
      <c r="D570" s="14">
        <v>4.7399999999999998E-2</v>
      </c>
      <c r="E570" s="14">
        <v>2.81E-2</v>
      </c>
      <c r="F570" t="str">
        <f t="shared" si="16"/>
        <v>James White</v>
      </c>
      <c r="G570" t="str">
        <f t="shared" si="17"/>
        <v>NE</v>
      </c>
      <c r="H570">
        <v>2019</v>
      </c>
    </row>
    <row r="571" spans="1:8" x14ac:dyDescent="0.45">
      <c r="A571" t="s">
        <v>1239</v>
      </c>
      <c r="B571" s="14">
        <v>4.8800000000000003E-2</v>
      </c>
      <c r="C571" s="14">
        <v>1.32E-2</v>
      </c>
      <c r="D571" s="14">
        <v>3.8199999999999998E-2</v>
      </c>
      <c r="E571" s="14">
        <v>1.4200000000000001E-2</v>
      </c>
      <c r="F571" t="str">
        <f t="shared" si="16"/>
        <v>Devin Singletary</v>
      </c>
      <c r="G571" t="str">
        <f t="shared" si="17"/>
        <v>BUF</v>
      </c>
      <c r="H571">
        <v>2019</v>
      </c>
    </row>
    <row r="572" spans="1:8" x14ac:dyDescent="0.45">
      <c r="A572" t="s">
        <v>1328</v>
      </c>
      <c r="B572" s="14">
        <v>2.3300000000000001E-2</v>
      </c>
      <c r="C572" s="14">
        <v>3.4200000000000001E-2</v>
      </c>
      <c r="D572" s="14">
        <v>2.63E-2</v>
      </c>
      <c r="E572" s="14">
        <v>0.03</v>
      </c>
      <c r="F572" t="str">
        <f t="shared" si="16"/>
        <v>Latavius Murray</v>
      </c>
      <c r="G572" t="str">
        <f t="shared" si="17"/>
        <v>NO</v>
      </c>
      <c r="H572">
        <v>2019</v>
      </c>
    </row>
    <row r="573" spans="1:8" x14ac:dyDescent="0.45">
      <c r="A573" t="s">
        <v>1365</v>
      </c>
      <c r="B573" s="14">
        <v>3.3300000000000003E-2</v>
      </c>
      <c r="C573" s="14">
        <v>4.3799999999999999E-2</v>
      </c>
      <c r="D573" s="14">
        <v>4.9000000000000002E-2</v>
      </c>
      <c r="E573" s="14">
        <v>4.1799999999999997E-2</v>
      </c>
      <c r="F573" t="str">
        <f t="shared" si="16"/>
        <v>Tevin Coleman</v>
      </c>
      <c r="G573" t="str">
        <f t="shared" si="17"/>
        <v>SF</v>
      </c>
      <c r="H573">
        <v>2019</v>
      </c>
    </row>
    <row r="574" spans="1:8" x14ac:dyDescent="0.45">
      <c r="A574" t="s">
        <v>1327</v>
      </c>
      <c r="B574" s="14">
        <v>7.8899999999999998E-2</v>
      </c>
      <c r="C574" s="14">
        <v>3.4500000000000003E-2</v>
      </c>
      <c r="D574" s="14">
        <v>5.1200000000000002E-2</v>
      </c>
      <c r="E574" s="14">
        <v>3.0300000000000001E-2</v>
      </c>
      <c r="F574" t="str">
        <f t="shared" si="16"/>
        <v>James Conner</v>
      </c>
      <c r="G574" t="str">
        <f t="shared" si="17"/>
        <v>PIT</v>
      </c>
      <c r="H574">
        <v>2019</v>
      </c>
    </row>
    <row r="575" spans="1:8" x14ac:dyDescent="0.45">
      <c r="A575" t="s">
        <v>1332</v>
      </c>
      <c r="B575" s="14">
        <v>0.1111</v>
      </c>
      <c r="C575" s="14">
        <v>9.2999999999999992E-3</v>
      </c>
      <c r="D575" s="14">
        <v>8.1600000000000006E-2</v>
      </c>
      <c r="E575" s="14">
        <v>1.38E-2</v>
      </c>
      <c r="F575" t="str">
        <f t="shared" si="16"/>
        <v>Jamaal Williams</v>
      </c>
      <c r="G575" t="str">
        <f t="shared" si="17"/>
        <v>GB</v>
      </c>
      <c r="H575">
        <v>2019</v>
      </c>
    </row>
    <row r="576" spans="1:8" x14ac:dyDescent="0.45">
      <c r="A576" t="s">
        <v>1375</v>
      </c>
      <c r="B576" s="14">
        <v>8.5099999999999995E-2</v>
      </c>
      <c r="C576" s="14">
        <v>2.1299999999999999E-2</v>
      </c>
      <c r="D576" s="14">
        <v>5.8900000000000001E-2</v>
      </c>
      <c r="E576" s="14">
        <v>2.8299999999999999E-2</v>
      </c>
      <c r="F576" t="str">
        <f t="shared" si="16"/>
        <v>David Johnson</v>
      </c>
      <c r="G576" t="str">
        <f t="shared" si="17"/>
        <v>ARI</v>
      </c>
      <c r="H576">
        <v>2019</v>
      </c>
    </row>
    <row r="577" spans="1:8" x14ac:dyDescent="0.45">
      <c r="A577" t="s">
        <v>1291</v>
      </c>
      <c r="B577" s="14">
        <v>7.1400000000000005E-2</v>
      </c>
      <c r="C577" s="14">
        <v>5.04E-2</v>
      </c>
      <c r="D577" s="14">
        <v>4.4600000000000001E-2</v>
      </c>
      <c r="E577" s="14">
        <v>4.7300000000000002E-2</v>
      </c>
      <c r="F577" t="str">
        <f t="shared" si="16"/>
        <v>Jordan Howard</v>
      </c>
      <c r="G577" t="str">
        <f t="shared" si="17"/>
        <v>PHI</v>
      </c>
      <c r="H577">
        <v>2019</v>
      </c>
    </row>
    <row r="578" spans="1:8" x14ac:dyDescent="0.45">
      <c r="A578" t="s">
        <v>1359</v>
      </c>
      <c r="B578" s="14">
        <v>0.02</v>
      </c>
      <c r="C578" s="14">
        <v>2.2700000000000001E-2</v>
      </c>
      <c r="D578" s="14">
        <v>2.3199999999999998E-2</v>
      </c>
      <c r="E578" s="14">
        <v>2.6499999999999999E-2</v>
      </c>
      <c r="F578" t="str">
        <f t="shared" ref="F578:F641" si="18">TRIM(LEFT(A578, FIND("(", A578) - 2))</f>
        <v>Royce Freeman</v>
      </c>
      <c r="G578" t="str">
        <f t="shared" si="17"/>
        <v>DEN</v>
      </c>
      <c r="H578">
        <v>2019</v>
      </c>
    </row>
    <row r="579" spans="1:8" x14ac:dyDescent="0.45">
      <c r="A579" t="s">
        <v>1344</v>
      </c>
      <c r="B579" s="14">
        <v>4.8399999999999999E-2</v>
      </c>
      <c r="C579" s="14">
        <v>2.41E-2</v>
      </c>
      <c r="D579" s="14">
        <v>4.5600000000000002E-2</v>
      </c>
      <c r="E579" s="14">
        <v>2.1299999999999999E-2</v>
      </c>
      <c r="F579" t="str">
        <f t="shared" si="18"/>
        <v>Duke Johnson Jr.</v>
      </c>
      <c r="G579" t="str">
        <f t="shared" ref="G579:G642" si="19">MID(A579, FIND("(", A579) + 1, FIND(")", A579) - FIND("(", A579) - 1)</f>
        <v>HOU</v>
      </c>
      <c r="H579">
        <v>2019</v>
      </c>
    </row>
    <row r="580" spans="1:8" x14ac:dyDescent="0.45">
      <c r="A580" t="s">
        <v>1376</v>
      </c>
      <c r="B580" s="14">
        <v>4.1700000000000001E-2</v>
      </c>
      <c r="C580" s="14">
        <v>3.9E-2</v>
      </c>
      <c r="D580" s="14">
        <v>3.4500000000000003E-2</v>
      </c>
      <c r="E580" s="14">
        <v>3.7499999999999999E-2</v>
      </c>
      <c r="F580" t="str">
        <f t="shared" si="18"/>
        <v>Peyton Barber</v>
      </c>
      <c r="G580" t="str">
        <f t="shared" si="19"/>
        <v>TB</v>
      </c>
      <c r="H580">
        <v>2019</v>
      </c>
    </row>
    <row r="581" spans="1:8" x14ac:dyDescent="0.45">
      <c r="A581" t="s">
        <v>1377</v>
      </c>
      <c r="B581" s="14">
        <v>2.9399999999999999E-2</v>
      </c>
      <c r="C581" s="14">
        <v>3.9600000000000003E-2</v>
      </c>
      <c r="D581" s="14">
        <v>3.1699999999999999E-2</v>
      </c>
      <c r="E581" s="14">
        <v>4.0300000000000002E-2</v>
      </c>
      <c r="F581" t="str">
        <f t="shared" si="18"/>
        <v>LeSean McCoy</v>
      </c>
      <c r="G581" t="str">
        <f t="shared" si="19"/>
        <v>KC</v>
      </c>
      <c r="H581">
        <v>2019</v>
      </c>
    </row>
    <row r="582" spans="1:8" x14ac:dyDescent="0.45">
      <c r="A582" t="s">
        <v>1378</v>
      </c>
      <c r="B582" s="14">
        <v>5.4100000000000002E-2</v>
      </c>
      <c r="C582" s="14">
        <v>4.4999999999999998E-2</v>
      </c>
      <c r="D582" s="14">
        <v>4.8899999999999999E-2</v>
      </c>
      <c r="E582" s="14">
        <v>3.4299999999999997E-2</v>
      </c>
      <c r="F582" t="str">
        <f t="shared" si="18"/>
        <v>Damien Williams</v>
      </c>
      <c r="G582" t="str">
        <f t="shared" si="19"/>
        <v>KC</v>
      </c>
      <c r="H582">
        <v>2019</v>
      </c>
    </row>
    <row r="583" spans="1:8" x14ac:dyDescent="0.45">
      <c r="A583" t="s">
        <v>1379</v>
      </c>
      <c r="B583" s="14">
        <v>4.5499999999999999E-2</v>
      </c>
      <c r="C583" s="14">
        <v>8.0999999999999996E-3</v>
      </c>
      <c r="D583" s="14">
        <v>4.1000000000000002E-2</v>
      </c>
      <c r="E583" s="14">
        <v>8.8999999999999999E-3</v>
      </c>
      <c r="F583" t="str">
        <f t="shared" si="18"/>
        <v>Matt Breida</v>
      </c>
      <c r="G583" t="str">
        <f t="shared" si="19"/>
        <v>SF</v>
      </c>
      <c r="H583">
        <v>2019</v>
      </c>
    </row>
    <row r="584" spans="1:8" x14ac:dyDescent="0.45">
      <c r="A584" t="s">
        <v>1380</v>
      </c>
      <c r="B584" s="14">
        <v>2.8799999999999999E-2</v>
      </c>
      <c r="C584" s="14">
        <v>0</v>
      </c>
      <c r="D584" s="14">
        <v>2.5100000000000001E-2</v>
      </c>
      <c r="E584" s="14">
        <v>8.8000000000000005E-3</v>
      </c>
      <c r="F584" t="str">
        <f t="shared" si="18"/>
        <v>Tarik Cohen</v>
      </c>
      <c r="G584" t="str">
        <f t="shared" si="19"/>
        <v>CHI</v>
      </c>
      <c r="H584">
        <v>2019</v>
      </c>
    </row>
    <row r="585" spans="1:8" x14ac:dyDescent="0.45">
      <c r="A585" t="s">
        <v>1381</v>
      </c>
      <c r="B585" s="14">
        <v>0</v>
      </c>
      <c r="C585" s="14">
        <v>1.2E-2</v>
      </c>
      <c r="D585" s="14">
        <v>2.5000000000000001E-3</v>
      </c>
      <c r="E585" s="14">
        <v>2.4899999999999999E-2</v>
      </c>
      <c r="F585" t="str">
        <f t="shared" si="18"/>
        <v>Frank Gore</v>
      </c>
      <c r="G585" t="str">
        <f t="shared" si="19"/>
        <v>BUF</v>
      </c>
      <c r="H585">
        <v>2019</v>
      </c>
    </row>
    <row r="586" spans="1:8" x14ac:dyDescent="0.45">
      <c r="A586" t="s">
        <v>1200</v>
      </c>
      <c r="B586" s="14">
        <v>0</v>
      </c>
      <c r="C586" s="14">
        <v>1.4999999999999999E-2</v>
      </c>
      <c r="D586" s="14">
        <v>1.77E-2</v>
      </c>
      <c r="E586" s="14">
        <v>2.4799999999999999E-2</v>
      </c>
      <c r="F586" t="str">
        <f t="shared" si="18"/>
        <v>Gus Edwards</v>
      </c>
      <c r="G586" t="str">
        <f t="shared" si="19"/>
        <v>BAL</v>
      </c>
      <c r="H586">
        <v>2019</v>
      </c>
    </row>
    <row r="587" spans="1:8" x14ac:dyDescent="0.45">
      <c r="A587" t="s">
        <v>1382</v>
      </c>
      <c r="B587" s="14">
        <v>0</v>
      </c>
      <c r="C587" s="14">
        <v>2.7799999999999998E-2</v>
      </c>
      <c r="D587" s="14">
        <v>1.0999999999999999E-2</v>
      </c>
      <c r="E587" s="14">
        <v>2.69E-2</v>
      </c>
      <c r="F587" t="str">
        <f t="shared" si="18"/>
        <v>DeAndre Washington</v>
      </c>
      <c r="G587" t="str">
        <f t="shared" si="19"/>
        <v>LVR</v>
      </c>
      <c r="H587">
        <v>2019</v>
      </c>
    </row>
    <row r="588" spans="1:8" x14ac:dyDescent="0.45">
      <c r="A588" t="s">
        <v>1278</v>
      </c>
      <c r="B588" s="14">
        <v>4.7600000000000003E-2</v>
      </c>
      <c r="C588" s="14">
        <v>6.6699999999999995E-2</v>
      </c>
      <c r="D588" s="14">
        <v>5.4100000000000002E-2</v>
      </c>
      <c r="E588" s="14">
        <v>3.85E-2</v>
      </c>
      <c r="F588" t="str">
        <f t="shared" si="18"/>
        <v>Chase Edmonds</v>
      </c>
      <c r="G588" t="str">
        <f t="shared" si="19"/>
        <v>ARI</v>
      </c>
      <c r="H588">
        <v>2019</v>
      </c>
    </row>
    <row r="589" spans="1:8" x14ac:dyDescent="0.45">
      <c r="A589" t="s">
        <v>1337</v>
      </c>
      <c r="B589" s="14">
        <v>0</v>
      </c>
      <c r="C589" s="14">
        <v>4.6199999999999998E-2</v>
      </c>
      <c r="D589" s="14">
        <v>1.54E-2</v>
      </c>
      <c r="E589" s="14">
        <v>3.5799999999999998E-2</v>
      </c>
      <c r="F589" t="str">
        <f t="shared" si="18"/>
        <v>Rex Burkhead</v>
      </c>
      <c r="G589" t="str">
        <f t="shared" si="19"/>
        <v>NE</v>
      </c>
      <c r="H589">
        <v>2019</v>
      </c>
    </row>
    <row r="590" spans="1:8" x14ac:dyDescent="0.45">
      <c r="A590" t="s">
        <v>1286</v>
      </c>
      <c r="B590" s="14">
        <v>0</v>
      </c>
      <c r="C590" s="14">
        <v>3.85E-2</v>
      </c>
      <c r="D590" s="14">
        <v>1.5800000000000002E-2</v>
      </c>
      <c r="E590" s="14">
        <v>3.7199999999999997E-2</v>
      </c>
      <c r="F590" t="str">
        <f t="shared" si="18"/>
        <v>Nyheim Miller-Hines</v>
      </c>
      <c r="G590" t="str">
        <f t="shared" si="19"/>
        <v>IND</v>
      </c>
      <c r="H590">
        <v>2019</v>
      </c>
    </row>
    <row r="591" spans="1:8" x14ac:dyDescent="0.45">
      <c r="A591" t="s">
        <v>1203</v>
      </c>
      <c r="B591" s="14">
        <v>0.05</v>
      </c>
      <c r="C591" s="14">
        <v>2.3300000000000001E-2</v>
      </c>
      <c r="D591" s="14">
        <v>4.5900000000000003E-2</v>
      </c>
      <c r="E591" s="14">
        <v>1.46E-2</v>
      </c>
      <c r="F591" t="str">
        <f t="shared" si="18"/>
        <v>Tony Pollard</v>
      </c>
      <c r="G591" t="str">
        <f t="shared" si="19"/>
        <v>DAL</v>
      </c>
      <c r="H591">
        <v>2019</v>
      </c>
    </row>
    <row r="592" spans="1:8" x14ac:dyDescent="0.45">
      <c r="A592" t="s">
        <v>1255</v>
      </c>
      <c r="B592" s="14">
        <v>9.0899999999999995E-2</v>
      </c>
      <c r="C592" s="14">
        <v>4.6199999999999998E-2</v>
      </c>
      <c r="D592" s="14">
        <v>5.9499999999999997E-2</v>
      </c>
      <c r="E592" s="14">
        <v>3.7100000000000001E-2</v>
      </c>
      <c r="F592" t="str">
        <f t="shared" si="18"/>
        <v>Rashaad Penny</v>
      </c>
      <c r="G592" t="str">
        <f t="shared" si="19"/>
        <v>SEA</v>
      </c>
      <c r="H592">
        <v>2019</v>
      </c>
    </row>
    <row r="593" spans="1:8" x14ac:dyDescent="0.45">
      <c r="A593" t="s">
        <v>1346</v>
      </c>
      <c r="B593" s="14">
        <v>6.6699999999999995E-2</v>
      </c>
      <c r="C593" s="14">
        <v>2.6499999999999999E-2</v>
      </c>
      <c r="D593" s="14">
        <v>4.0800000000000003E-2</v>
      </c>
      <c r="E593" s="14">
        <v>3.6900000000000002E-2</v>
      </c>
      <c r="F593" t="str">
        <f t="shared" si="18"/>
        <v>Kerryon Johnson</v>
      </c>
      <c r="G593" t="str">
        <f t="shared" si="19"/>
        <v>DET</v>
      </c>
      <c r="H593">
        <v>2019</v>
      </c>
    </row>
    <row r="594" spans="1:8" x14ac:dyDescent="0.45">
      <c r="A594" t="s">
        <v>1209</v>
      </c>
      <c r="B594" s="14">
        <v>2.2700000000000001E-2</v>
      </c>
      <c r="C594" s="14">
        <v>4.65E-2</v>
      </c>
      <c r="D594" s="14">
        <v>1.7899999999999999E-2</v>
      </c>
      <c r="E594" s="14">
        <v>3.2899999999999999E-2</v>
      </c>
      <c r="F594" t="str">
        <f t="shared" si="18"/>
        <v>Kareem Hunt</v>
      </c>
      <c r="G594" t="str">
        <f t="shared" si="19"/>
        <v>CLE</v>
      </c>
      <c r="H594">
        <v>2019</v>
      </c>
    </row>
    <row r="595" spans="1:8" x14ac:dyDescent="0.45">
      <c r="A595" t="s">
        <v>1210</v>
      </c>
      <c r="B595" s="14">
        <v>0</v>
      </c>
      <c r="C595" s="14">
        <v>0.01</v>
      </c>
      <c r="D595" s="14">
        <v>5.4999999999999997E-3</v>
      </c>
      <c r="E595" s="14">
        <v>2.23E-2</v>
      </c>
      <c r="F595" t="str">
        <f t="shared" si="18"/>
        <v>Alexander Mattison</v>
      </c>
      <c r="G595" t="str">
        <f t="shared" si="19"/>
        <v>MIN</v>
      </c>
      <c r="H595">
        <v>2019</v>
      </c>
    </row>
    <row r="596" spans="1:8" x14ac:dyDescent="0.45">
      <c r="A596" t="s">
        <v>1383</v>
      </c>
      <c r="B596" s="14">
        <v>1.7500000000000002E-2</v>
      </c>
      <c r="C596" s="14">
        <v>1.52E-2</v>
      </c>
      <c r="D596" s="14">
        <v>2.4199999999999999E-2</v>
      </c>
      <c r="E596" s="14">
        <v>2.3099999999999999E-2</v>
      </c>
      <c r="F596" t="str">
        <f t="shared" si="18"/>
        <v>Jaylen Samuels</v>
      </c>
      <c r="G596" t="str">
        <f t="shared" si="19"/>
        <v>PIT</v>
      </c>
      <c r="H596">
        <v>2019</v>
      </c>
    </row>
    <row r="597" spans="1:8" x14ac:dyDescent="0.45">
      <c r="A597" t="s">
        <v>1343</v>
      </c>
      <c r="B597" s="14">
        <v>7.1400000000000005E-2</v>
      </c>
      <c r="C597" s="14">
        <v>2.5600000000000001E-2</v>
      </c>
      <c r="D597" s="14">
        <v>6.0199999999999997E-2</v>
      </c>
      <c r="E597" s="14">
        <v>2.3599999999999999E-2</v>
      </c>
      <c r="F597" t="str">
        <f t="shared" si="18"/>
        <v>Brian Hill</v>
      </c>
      <c r="G597" t="str">
        <f t="shared" si="19"/>
        <v>ATL</v>
      </c>
      <c r="H597">
        <v>2019</v>
      </c>
    </row>
    <row r="598" spans="1:8" x14ac:dyDescent="0.45">
      <c r="A598" t="s">
        <v>1272</v>
      </c>
      <c r="B598" s="14">
        <v>5.2600000000000001E-2</v>
      </c>
      <c r="C598" s="14">
        <v>7.3200000000000001E-2</v>
      </c>
      <c r="D598" s="14">
        <v>4.4200000000000003E-2</v>
      </c>
      <c r="E598" s="14">
        <v>7.1900000000000006E-2</v>
      </c>
      <c r="F598" t="str">
        <f t="shared" si="18"/>
        <v>Darrel Williams</v>
      </c>
      <c r="G598" t="str">
        <f t="shared" si="19"/>
        <v>KC</v>
      </c>
      <c r="H598">
        <v>2019</v>
      </c>
    </row>
    <row r="599" spans="1:8" x14ac:dyDescent="0.45">
      <c r="A599" t="s">
        <v>1384</v>
      </c>
      <c r="B599" s="14">
        <v>0</v>
      </c>
      <c r="C599" s="14">
        <v>0</v>
      </c>
      <c r="D599" s="14">
        <v>1.18E-2</v>
      </c>
      <c r="E599" s="14">
        <v>1.67E-2</v>
      </c>
      <c r="F599" t="str">
        <f t="shared" si="18"/>
        <v>Chris Thompson</v>
      </c>
      <c r="G599" t="str">
        <f t="shared" si="19"/>
        <v>WAS</v>
      </c>
      <c r="H599">
        <v>2019</v>
      </c>
    </row>
    <row r="600" spans="1:8" x14ac:dyDescent="0.45">
      <c r="A600" t="s">
        <v>1385</v>
      </c>
      <c r="B600" s="14">
        <v>0.1111</v>
      </c>
      <c r="C600" s="14">
        <v>4.7600000000000003E-2</v>
      </c>
      <c r="D600" s="14">
        <v>6.6600000000000006E-2</v>
      </c>
      <c r="E600" s="14">
        <v>4.2500000000000003E-2</v>
      </c>
      <c r="F600" t="str">
        <f t="shared" si="18"/>
        <v>Derrius Guice</v>
      </c>
      <c r="G600" t="str">
        <f t="shared" si="19"/>
        <v>WAS</v>
      </c>
      <c r="H600">
        <v>2019</v>
      </c>
    </row>
    <row r="601" spans="1:8" x14ac:dyDescent="0.45">
      <c r="A601" t="s">
        <v>1386</v>
      </c>
      <c r="B601" s="14">
        <v>2.3800000000000002E-2</v>
      </c>
      <c r="C601" s="14">
        <v>0</v>
      </c>
      <c r="D601" s="14">
        <v>2.1499999999999998E-2</v>
      </c>
      <c r="E601" s="14">
        <v>1.12E-2</v>
      </c>
      <c r="F601" t="str">
        <f t="shared" si="18"/>
        <v>J.D. McKissic</v>
      </c>
      <c r="G601" t="str">
        <f t="shared" si="19"/>
        <v>DET</v>
      </c>
      <c r="H601">
        <v>2019</v>
      </c>
    </row>
    <row r="602" spans="1:8" x14ac:dyDescent="0.45">
      <c r="A602" t="s">
        <v>1334</v>
      </c>
      <c r="B602" s="14">
        <v>0</v>
      </c>
      <c r="C602" s="14">
        <v>7.2499999999999995E-2</v>
      </c>
      <c r="D602" s="14">
        <v>4.3E-3</v>
      </c>
      <c r="E602" s="14">
        <v>6.54E-2</v>
      </c>
      <c r="F602" t="str">
        <f t="shared" si="18"/>
        <v>Malcolm Brown</v>
      </c>
      <c r="G602" t="str">
        <f t="shared" si="19"/>
        <v>LAR</v>
      </c>
      <c r="H602">
        <v>2019</v>
      </c>
    </row>
    <row r="603" spans="1:8" x14ac:dyDescent="0.45">
      <c r="A603" t="s">
        <v>1348</v>
      </c>
      <c r="B603" s="14">
        <v>0</v>
      </c>
      <c r="C603" s="14">
        <v>3.9199999999999999E-2</v>
      </c>
      <c r="D603" s="14">
        <v>7.7000000000000002E-3</v>
      </c>
      <c r="E603" s="14">
        <v>4.5100000000000001E-2</v>
      </c>
      <c r="F603" t="str">
        <f t="shared" si="18"/>
        <v>Jordan Wilkins</v>
      </c>
      <c r="G603" t="str">
        <f t="shared" si="19"/>
        <v>IND</v>
      </c>
      <c r="H603">
        <v>2019</v>
      </c>
    </row>
    <row r="604" spans="1:8" x14ac:dyDescent="0.45">
      <c r="A604" t="s">
        <v>1297</v>
      </c>
      <c r="B604" s="14">
        <v>0.2</v>
      </c>
      <c r="C604" s="14">
        <v>0.14810000000000001</v>
      </c>
      <c r="D604" s="14">
        <v>0.13519999999999999</v>
      </c>
      <c r="E604" s="14">
        <v>0.13539999999999999</v>
      </c>
      <c r="F604" t="str">
        <f t="shared" si="18"/>
        <v>Jeff Wilson Jr.</v>
      </c>
      <c r="G604" t="str">
        <f t="shared" si="19"/>
        <v>SF</v>
      </c>
      <c r="H604">
        <v>2019</v>
      </c>
    </row>
    <row r="605" spans="1:8" x14ac:dyDescent="0.45">
      <c r="A605" t="s">
        <v>1262</v>
      </c>
      <c r="B605" s="14">
        <v>0</v>
      </c>
      <c r="C605" s="14">
        <v>8.2000000000000003E-2</v>
      </c>
      <c r="D605" s="14">
        <v>4.0000000000000001E-3</v>
      </c>
      <c r="E605" s="14">
        <v>6.1600000000000002E-2</v>
      </c>
      <c r="F605" t="str">
        <f t="shared" si="18"/>
        <v>Boston Scott</v>
      </c>
      <c r="G605" t="str">
        <f t="shared" si="19"/>
        <v>PHI</v>
      </c>
      <c r="H605">
        <v>2019</v>
      </c>
    </row>
    <row r="606" spans="1:8" x14ac:dyDescent="0.45">
      <c r="A606" t="s">
        <v>1387</v>
      </c>
      <c r="B606" s="14">
        <v>0</v>
      </c>
      <c r="C606" s="14">
        <v>0</v>
      </c>
      <c r="D606" s="14">
        <v>9.4000000000000004E-3</v>
      </c>
      <c r="E606" s="14">
        <v>3.3999999999999998E-3</v>
      </c>
      <c r="F606" t="str">
        <f t="shared" si="18"/>
        <v>Jalen Richard</v>
      </c>
      <c r="G606" t="str">
        <f t="shared" si="19"/>
        <v>LVR</v>
      </c>
      <c r="H606">
        <v>2019</v>
      </c>
    </row>
    <row r="607" spans="1:8" x14ac:dyDescent="0.45">
      <c r="A607" t="s">
        <v>1388</v>
      </c>
      <c r="B607" s="14">
        <v>3.1300000000000001E-2</v>
      </c>
      <c r="C607" s="14">
        <v>0</v>
      </c>
      <c r="D607" s="14">
        <v>2.9700000000000001E-2</v>
      </c>
      <c r="E607" s="14">
        <v>2.8999999999999998E-3</v>
      </c>
      <c r="F607" t="str">
        <f t="shared" si="18"/>
        <v>Dion Lewis</v>
      </c>
      <c r="G607" t="str">
        <f t="shared" si="19"/>
        <v>TEN</v>
      </c>
      <c r="H607">
        <v>2019</v>
      </c>
    </row>
    <row r="608" spans="1:8" x14ac:dyDescent="0.45">
      <c r="A608" t="s">
        <v>1323</v>
      </c>
      <c r="B608" s="14">
        <v>0</v>
      </c>
      <c r="C608" s="14">
        <v>1.8499999999999999E-2</v>
      </c>
      <c r="D608" s="14">
        <v>7.3000000000000001E-3</v>
      </c>
      <c r="E608" s="14">
        <v>2.3199999999999998E-2</v>
      </c>
      <c r="F608" t="str">
        <f t="shared" si="18"/>
        <v>Benny Snell Jr.</v>
      </c>
      <c r="G608" t="str">
        <f t="shared" si="19"/>
        <v>PIT</v>
      </c>
      <c r="H608">
        <v>2019</v>
      </c>
    </row>
    <row r="609" spans="1:8" x14ac:dyDescent="0.45">
      <c r="A609" t="s">
        <v>1389</v>
      </c>
      <c r="B609" s="14">
        <v>0</v>
      </c>
      <c r="C609" s="14">
        <v>1.61E-2</v>
      </c>
      <c r="D609" s="14">
        <v>1.7899999999999999E-2</v>
      </c>
      <c r="E609" s="14">
        <v>2.1399999999999999E-2</v>
      </c>
      <c r="F609" t="str">
        <f t="shared" si="18"/>
        <v>Patrick Laird</v>
      </c>
      <c r="G609" t="str">
        <f t="shared" si="19"/>
        <v>MIA</v>
      </c>
      <c r="H609">
        <v>2019</v>
      </c>
    </row>
    <row r="610" spans="1:8" x14ac:dyDescent="0.45">
      <c r="A610" t="s">
        <v>1329</v>
      </c>
      <c r="B610" s="14">
        <v>0</v>
      </c>
      <c r="C610" s="14">
        <v>0</v>
      </c>
      <c r="D610" s="14">
        <v>1.6899999999999998E-2</v>
      </c>
      <c r="E610" s="14">
        <v>1.12E-2</v>
      </c>
      <c r="F610" t="str">
        <f t="shared" si="18"/>
        <v>Giovani Bernard</v>
      </c>
      <c r="G610" t="str">
        <f t="shared" si="19"/>
        <v>CIN</v>
      </c>
      <c r="H610">
        <v>2019</v>
      </c>
    </row>
    <row r="611" spans="1:8" x14ac:dyDescent="0.45">
      <c r="A611" t="s">
        <v>1390</v>
      </c>
      <c r="B611" s="14">
        <v>0</v>
      </c>
      <c r="C611" s="14">
        <v>1.12E-2</v>
      </c>
      <c r="D611" s="14">
        <v>1.6000000000000001E-3</v>
      </c>
      <c r="E611" s="14">
        <v>1.2200000000000001E-2</v>
      </c>
      <c r="F611" t="str">
        <f t="shared" si="18"/>
        <v>Bo Scarbrough</v>
      </c>
      <c r="G611" t="str">
        <f t="shared" si="19"/>
        <v>DET</v>
      </c>
      <c r="H611">
        <v>2019</v>
      </c>
    </row>
    <row r="612" spans="1:8" x14ac:dyDescent="0.45">
      <c r="A612" t="s">
        <v>1391</v>
      </c>
      <c r="B612" s="14">
        <v>0</v>
      </c>
      <c r="C612" s="14">
        <v>4.0500000000000001E-2</v>
      </c>
      <c r="D612" s="14">
        <v>1.47E-2</v>
      </c>
      <c r="E612" s="14">
        <v>4.6800000000000001E-2</v>
      </c>
      <c r="F612" t="str">
        <f t="shared" si="18"/>
        <v>Kalen Ballage</v>
      </c>
      <c r="G612" t="str">
        <f t="shared" si="19"/>
        <v>MIA</v>
      </c>
      <c r="H612">
        <v>2019</v>
      </c>
    </row>
    <row r="613" spans="1:8" x14ac:dyDescent="0.45">
      <c r="A613" t="s">
        <v>1330</v>
      </c>
      <c r="B613" s="14">
        <v>6.6699999999999995E-2</v>
      </c>
      <c r="C613" s="14">
        <v>6.9000000000000006E-2</v>
      </c>
      <c r="D613" s="14">
        <v>5.0599999999999999E-2</v>
      </c>
      <c r="E613" s="14">
        <v>6.6100000000000006E-2</v>
      </c>
      <c r="F613" t="str">
        <f t="shared" si="18"/>
        <v>Wayne Gallman Jr.</v>
      </c>
      <c r="G613" t="str">
        <f t="shared" si="19"/>
        <v>NYG</v>
      </c>
      <c r="H613">
        <v>2019</v>
      </c>
    </row>
    <row r="614" spans="1:8" x14ac:dyDescent="0.45">
      <c r="A614" t="s">
        <v>1392</v>
      </c>
      <c r="B614" s="14">
        <v>0</v>
      </c>
      <c r="C614" s="14">
        <v>2.0400000000000001E-2</v>
      </c>
      <c r="D614" s="14">
        <v>1.6999999999999999E-3</v>
      </c>
      <c r="E614" s="14">
        <v>2.06E-2</v>
      </c>
      <c r="F614" t="str">
        <f t="shared" si="18"/>
        <v>Jonathan Williams</v>
      </c>
      <c r="G614" t="str">
        <f t="shared" si="19"/>
        <v>IND</v>
      </c>
      <c r="H614">
        <v>2019</v>
      </c>
    </row>
    <row r="615" spans="1:8" x14ac:dyDescent="0.45">
      <c r="A615" t="s">
        <v>1165</v>
      </c>
      <c r="B615" s="14">
        <v>0</v>
      </c>
      <c r="C615" s="14">
        <v>3.4500000000000003E-2</v>
      </c>
      <c r="D615" s="14">
        <v>1.9099999999999999E-2</v>
      </c>
      <c r="E615" s="14">
        <v>2.7099999999999999E-2</v>
      </c>
      <c r="F615" t="str">
        <f t="shared" si="18"/>
        <v>Justice Hill</v>
      </c>
      <c r="G615" t="str">
        <f t="shared" si="19"/>
        <v>BAL</v>
      </c>
      <c r="H615">
        <v>2019</v>
      </c>
    </row>
    <row r="616" spans="1:8" x14ac:dyDescent="0.45">
      <c r="A616" t="s">
        <v>1393</v>
      </c>
      <c r="B616" s="14">
        <v>0</v>
      </c>
      <c r="C616" s="14">
        <v>0</v>
      </c>
      <c r="D616" s="14">
        <v>9.1000000000000004E-3</v>
      </c>
      <c r="E616" s="14">
        <v>0.01</v>
      </c>
      <c r="F616" t="str">
        <f t="shared" si="18"/>
        <v>Ty Johnson</v>
      </c>
      <c r="G616" t="str">
        <f t="shared" si="19"/>
        <v>DET</v>
      </c>
      <c r="H616">
        <v>2019</v>
      </c>
    </row>
    <row r="617" spans="1:8" x14ac:dyDescent="0.45">
      <c r="A617" t="s">
        <v>1394</v>
      </c>
      <c r="B617" s="14">
        <v>0</v>
      </c>
      <c r="C617" s="14">
        <v>0</v>
      </c>
      <c r="D617" s="14">
        <v>7.4000000000000003E-3</v>
      </c>
      <c r="E617" s="14">
        <v>1.03E-2</v>
      </c>
      <c r="F617" t="str">
        <f t="shared" si="18"/>
        <v>Mark Walton</v>
      </c>
      <c r="G617" t="str">
        <f t="shared" si="19"/>
        <v>MIA</v>
      </c>
      <c r="H617">
        <v>2019</v>
      </c>
    </row>
    <row r="618" spans="1:8" x14ac:dyDescent="0.45">
      <c r="A618" t="s">
        <v>1395</v>
      </c>
      <c r="B618" s="14">
        <v>0</v>
      </c>
      <c r="C618" s="14">
        <v>6.1199999999999997E-2</v>
      </c>
      <c r="D618" s="14">
        <v>2.01E-2</v>
      </c>
      <c r="E618" s="14">
        <v>5.3199999999999997E-2</v>
      </c>
      <c r="F618" t="str">
        <f t="shared" si="18"/>
        <v>Mike Boone</v>
      </c>
      <c r="G618" t="str">
        <f t="shared" si="19"/>
        <v>MIN</v>
      </c>
      <c r="H618">
        <v>2019</v>
      </c>
    </row>
    <row r="619" spans="1:8" x14ac:dyDescent="0.45">
      <c r="A619" t="s">
        <v>1274</v>
      </c>
      <c r="B619" s="14">
        <v>0</v>
      </c>
      <c r="C619" s="14">
        <v>2.7799999999999998E-2</v>
      </c>
      <c r="D619" s="14">
        <v>2.6100000000000002E-2</v>
      </c>
      <c r="E619" s="14">
        <v>2.58E-2</v>
      </c>
      <c r="F619" t="str">
        <f t="shared" si="18"/>
        <v>Myles Gaskin</v>
      </c>
      <c r="G619" t="str">
        <f t="shared" si="19"/>
        <v>MIA</v>
      </c>
      <c r="H619">
        <v>2019</v>
      </c>
    </row>
    <row r="620" spans="1:8" x14ac:dyDescent="0.45">
      <c r="A620" t="s">
        <v>1396</v>
      </c>
      <c r="B620" s="14">
        <v>0</v>
      </c>
      <c r="C620" s="14">
        <v>0</v>
      </c>
      <c r="D620" s="14">
        <v>1.29E-2</v>
      </c>
      <c r="E620" s="14">
        <v>4.4000000000000003E-3</v>
      </c>
      <c r="F620" t="str">
        <f t="shared" si="18"/>
        <v>Bilal Powell</v>
      </c>
      <c r="G620" t="str">
        <f t="shared" si="19"/>
        <v>NYJ</v>
      </c>
      <c r="H620">
        <v>2019</v>
      </c>
    </row>
    <row r="621" spans="1:8" x14ac:dyDescent="0.45">
      <c r="A621" t="s">
        <v>1397</v>
      </c>
      <c r="B621" s="14">
        <v>8.3299999999999999E-2</v>
      </c>
      <c r="C621" s="14">
        <v>0</v>
      </c>
      <c r="D621" s="14">
        <v>6.7599999999999993E-2</v>
      </c>
      <c r="E621" s="14">
        <v>1.47E-2</v>
      </c>
      <c r="F621" t="str">
        <f t="shared" si="18"/>
        <v>Ryquell Armstead</v>
      </c>
      <c r="G621" t="str">
        <f t="shared" si="19"/>
        <v>JAC</v>
      </c>
      <c r="H621">
        <v>2019</v>
      </c>
    </row>
    <row r="622" spans="1:8" x14ac:dyDescent="0.45">
      <c r="A622" t="s">
        <v>1366</v>
      </c>
      <c r="B622" s="14">
        <v>0</v>
      </c>
      <c r="C622" s="14">
        <v>2.7E-2</v>
      </c>
      <c r="D622" s="14">
        <v>1.0699999999999999E-2</v>
      </c>
      <c r="E622" s="14">
        <v>2.7799999999999998E-2</v>
      </c>
      <c r="F622" t="str">
        <f t="shared" si="18"/>
        <v>Darwin Thompson</v>
      </c>
      <c r="G622" t="str">
        <f t="shared" si="19"/>
        <v>KC</v>
      </c>
      <c r="H622">
        <v>2019</v>
      </c>
    </row>
    <row r="623" spans="1:8" x14ac:dyDescent="0.45">
      <c r="A623" t="s">
        <v>1290</v>
      </c>
      <c r="B623" s="14">
        <v>0</v>
      </c>
      <c r="C623" s="14">
        <v>0</v>
      </c>
      <c r="D623" s="14">
        <v>2.76E-2</v>
      </c>
      <c r="E623" s="14">
        <v>7.1999999999999998E-3</v>
      </c>
      <c r="F623" t="str">
        <f t="shared" si="18"/>
        <v>Justin Jackson</v>
      </c>
      <c r="G623" t="str">
        <f t="shared" si="19"/>
        <v>LAC</v>
      </c>
      <c r="H623">
        <v>2019</v>
      </c>
    </row>
    <row r="624" spans="1:8" x14ac:dyDescent="0.45">
      <c r="A624" t="s">
        <v>1398</v>
      </c>
      <c r="B624" s="14">
        <v>0</v>
      </c>
      <c r="C624" s="14">
        <v>0</v>
      </c>
      <c r="D624" s="14">
        <v>1.34E-2</v>
      </c>
      <c r="E624" s="14">
        <v>3.2000000000000002E-3</v>
      </c>
      <c r="F624" t="str">
        <f t="shared" si="18"/>
        <v>Ty Montgomery II</v>
      </c>
      <c r="G624" t="str">
        <f t="shared" si="19"/>
        <v>NYJ</v>
      </c>
      <c r="H624">
        <v>2019</v>
      </c>
    </row>
    <row r="625" spans="1:8" x14ac:dyDescent="0.45">
      <c r="A625" t="s">
        <v>1220</v>
      </c>
      <c r="B625" s="14">
        <v>0</v>
      </c>
      <c r="C625" s="14">
        <v>0</v>
      </c>
      <c r="D625" s="14">
        <v>4.8999999999999998E-3</v>
      </c>
      <c r="E625" s="14">
        <v>1.2200000000000001E-2</v>
      </c>
      <c r="F625" t="str">
        <f t="shared" si="18"/>
        <v>Darrell Henderson Jr.</v>
      </c>
      <c r="G625" t="str">
        <f t="shared" si="19"/>
        <v>LAR</v>
      </c>
      <c r="H625">
        <v>2019</v>
      </c>
    </row>
    <row r="626" spans="1:8" x14ac:dyDescent="0.45">
      <c r="A626" t="s">
        <v>1399</v>
      </c>
      <c r="B626" s="14">
        <v>0</v>
      </c>
      <c r="C626" s="14">
        <v>0</v>
      </c>
      <c r="D626" s="14">
        <v>3.5999999999999999E-3</v>
      </c>
      <c r="E626" s="14">
        <v>1.15E-2</v>
      </c>
      <c r="F626" t="str">
        <f t="shared" si="18"/>
        <v>Jon Hilliman</v>
      </c>
      <c r="G626" t="str">
        <f t="shared" si="19"/>
        <v>NYG</v>
      </c>
      <c r="H626">
        <v>2019</v>
      </c>
    </row>
    <row r="627" spans="1:8" x14ac:dyDescent="0.45">
      <c r="A627" t="s">
        <v>1368</v>
      </c>
      <c r="B627" s="14">
        <v>4.9399999999999999E-2</v>
      </c>
      <c r="C627" s="14">
        <v>6.6400000000000001E-2</v>
      </c>
      <c r="D627" s="14">
        <v>5.0099999999999999E-2</v>
      </c>
      <c r="E627" s="14">
        <v>5.8099999999999999E-2</v>
      </c>
      <c r="F627" t="str">
        <f t="shared" si="18"/>
        <v>Todd Gurley II</v>
      </c>
      <c r="G627" t="str">
        <f t="shared" si="19"/>
        <v>LAR</v>
      </c>
      <c r="H627">
        <v>2018</v>
      </c>
    </row>
    <row r="628" spans="1:8" x14ac:dyDescent="0.45">
      <c r="A628" t="s">
        <v>1201</v>
      </c>
      <c r="B628" s="14">
        <v>3.3099999999999997E-2</v>
      </c>
      <c r="C628" s="14">
        <v>4.2099999999999999E-2</v>
      </c>
      <c r="D628" s="14">
        <v>2.98E-2</v>
      </c>
      <c r="E628" s="14">
        <v>4.1099999999999998E-2</v>
      </c>
      <c r="F628" t="str">
        <f t="shared" si="18"/>
        <v>Saquon Barkley</v>
      </c>
      <c r="G628" t="str">
        <f t="shared" si="19"/>
        <v>NYG</v>
      </c>
      <c r="H628">
        <v>2018</v>
      </c>
    </row>
    <row r="629" spans="1:8" x14ac:dyDescent="0.45">
      <c r="A629" t="s">
        <v>1280</v>
      </c>
      <c r="B629" s="14">
        <v>4.8399999999999999E-2</v>
      </c>
      <c r="C629" s="14">
        <v>3.2000000000000001E-2</v>
      </c>
      <c r="D629" s="14">
        <v>3.7600000000000001E-2</v>
      </c>
      <c r="E629" s="14">
        <v>3.7999999999999999E-2</v>
      </c>
      <c r="F629" t="str">
        <f t="shared" si="18"/>
        <v>Christian McCaffrey</v>
      </c>
      <c r="G629" t="str">
        <f t="shared" si="19"/>
        <v>CAR</v>
      </c>
      <c r="H629">
        <v>2018</v>
      </c>
    </row>
    <row r="630" spans="1:8" x14ac:dyDescent="0.45">
      <c r="A630" t="s">
        <v>1122</v>
      </c>
      <c r="B630" s="14">
        <v>3.8100000000000002E-2</v>
      </c>
      <c r="C630" s="14">
        <v>7.22E-2</v>
      </c>
      <c r="D630" s="14">
        <v>4.3200000000000002E-2</v>
      </c>
      <c r="E630" s="14">
        <v>6.25E-2</v>
      </c>
      <c r="F630" t="str">
        <f t="shared" si="18"/>
        <v>Alvin Kamara</v>
      </c>
      <c r="G630" t="str">
        <f t="shared" si="19"/>
        <v>NO</v>
      </c>
      <c r="H630">
        <v>2018</v>
      </c>
    </row>
    <row r="631" spans="1:8" x14ac:dyDescent="0.45">
      <c r="A631" t="s">
        <v>1175</v>
      </c>
      <c r="B631" s="14">
        <v>3.1600000000000003E-2</v>
      </c>
      <c r="C631" s="14">
        <v>1.9699999999999999E-2</v>
      </c>
      <c r="D631" s="14">
        <v>3.2800000000000003E-2</v>
      </c>
      <c r="E631" s="14">
        <v>2.24E-2</v>
      </c>
      <c r="F631" t="str">
        <f t="shared" si="18"/>
        <v>Ezekiel Elliott</v>
      </c>
      <c r="G631" t="str">
        <f t="shared" si="19"/>
        <v>DAL</v>
      </c>
      <c r="H631">
        <v>2018</v>
      </c>
    </row>
    <row r="632" spans="1:8" x14ac:dyDescent="0.45">
      <c r="A632" t="s">
        <v>1374</v>
      </c>
      <c r="B632" s="14">
        <v>6.0600000000000001E-2</v>
      </c>
      <c r="C632" s="14">
        <v>5.7099999999999998E-2</v>
      </c>
      <c r="D632" s="14">
        <v>5.3400000000000003E-2</v>
      </c>
      <c r="E632" s="14">
        <v>4.02E-2</v>
      </c>
      <c r="F632" t="str">
        <f t="shared" si="18"/>
        <v>Melvin Gordon III</v>
      </c>
      <c r="G632" t="str">
        <f t="shared" si="19"/>
        <v>LAC</v>
      </c>
      <c r="H632">
        <v>2018</v>
      </c>
    </row>
    <row r="633" spans="1:8" x14ac:dyDescent="0.45">
      <c r="A633" t="s">
        <v>1327</v>
      </c>
      <c r="B633" s="14">
        <v>1.41E-2</v>
      </c>
      <c r="C633" s="14">
        <v>5.5800000000000002E-2</v>
      </c>
      <c r="D633" s="14">
        <v>2.0299999999999999E-2</v>
      </c>
      <c r="E633" s="14">
        <v>4.87E-2</v>
      </c>
      <c r="F633" t="str">
        <f t="shared" si="18"/>
        <v>James Conner</v>
      </c>
      <c r="G633" t="str">
        <f t="shared" si="19"/>
        <v>PIT</v>
      </c>
      <c r="H633">
        <v>2018</v>
      </c>
    </row>
    <row r="634" spans="1:8" x14ac:dyDescent="0.45">
      <c r="A634" t="s">
        <v>1099</v>
      </c>
      <c r="B634" s="14">
        <v>0.2</v>
      </c>
      <c r="C634" s="14">
        <v>3.8699999999999998E-2</v>
      </c>
      <c r="D634" s="14">
        <v>0.13370000000000001</v>
      </c>
      <c r="E634" s="14">
        <v>3.7999999999999999E-2</v>
      </c>
      <c r="F634" t="str">
        <f t="shared" si="18"/>
        <v>Kareem Hunt</v>
      </c>
      <c r="G634" t="str">
        <f t="shared" si="19"/>
        <v>KC</v>
      </c>
      <c r="H634">
        <v>2018</v>
      </c>
    </row>
    <row r="635" spans="1:8" x14ac:dyDescent="0.45">
      <c r="A635" t="s">
        <v>1199</v>
      </c>
      <c r="B635" s="14">
        <v>1.8200000000000001E-2</v>
      </c>
      <c r="C635" s="14">
        <v>3.3799999999999997E-2</v>
      </c>
      <c r="D635" s="14">
        <v>2.5700000000000001E-2</v>
      </c>
      <c r="E635" s="14">
        <v>3.3099999999999997E-2</v>
      </c>
      <c r="F635" t="str">
        <f t="shared" si="18"/>
        <v>Joe Mixon</v>
      </c>
      <c r="G635" t="str">
        <f t="shared" si="19"/>
        <v>CIN</v>
      </c>
      <c r="H635">
        <v>2018</v>
      </c>
    </row>
    <row r="636" spans="1:8" x14ac:dyDescent="0.45">
      <c r="A636" t="s">
        <v>1375</v>
      </c>
      <c r="B636" s="14">
        <v>3.95E-2</v>
      </c>
      <c r="C636" s="14">
        <v>2.7099999999999999E-2</v>
      </c>
      <c r="D636" s="14">
        <v>3.6900000000000002E-2</v>
      </c>
      <c r="E636" s="14">
        <v>2.4899999999999999E-2</v>
      </c>
      <c r="F636" t="str">
        <f t="shared" si="18"/>
        <v>David Johnson</v>
      </c>
      <c r="G636" t="str">
        <f t="shared" si="19"/>
        <v>ARI</v>
      </c>
      <c r="H636">
        <v>2018</v>
      </c>
    </row>
    <row r="637" spans="1:8" x14ac:dyDescent="0.45">
      <c r="A637" t="s">
        <v>1340</v>
      </c>
      <c r="B637" s="14">
        <v>2.1299999999999999E-2</v>
      </c>
      <c r="C637" s="14">
        <v>4.6899999999999997E-2</v>
      </c>
      <c r="D637" s="14">
        <v>2.3699999999999999E-2</v>
      </c>
      <c r="E637" s="14">
        <v>3.73E-2</v>
      </c>
      <c r="F637" t="str">
        <f t="shared" si="18"/>
        <v>Phillip Lindsay</v>
      </c>
      <c r="G637" t="str">
        <f t="shared" si="19"/>
        <v>DEN</v>
      </c>
      <c r="H637">
        <v>2018</v>
      </c>
    </row>
    <row r="638" spans="1:8" x14ac:dyDescent="0.45">
      <c r="A638" t="s">
        <v>1342</v>
      </c>
      <c r="B638" s="14">
        <v>5.6899999999999999E-2</v>
      </c>
      <c r="C638" s="14">
        <v>5.3199999999999997E-2</v>
      </c>
      <c r="D638" s="14">
        <v>4.8500000000000001E-2</v>
      </c>
      <c r="E638" s="14">
        <v>5.3100000000000001E-2</v>
      </c>
      <c r="F638" t="str">
        <f t="shared" si="18"/>
        <v>James White</v>
      </c>
      <c r="G638" t="str">
        <f t="shared" si="19"/>
        <v>NE</v>
      </c>
      <c r="H638">
        <v>2018</v>
      </c>
    </row>
    <row r="639" spans="1:8" x14ac:dyDescent="0.45">
      <c r="A639" t="s">
        <v>1198</v>
      </c>
      <c r="B639" s="14">
        <v>0</v>
      </c>
      <c r="C639" s="14">
        <v>5.5800000000000002E-2</v>
      </c>
      <c r="D639" s="14">
        <v>9.4999999999999998E-3</v>
      </c>
      <c r="E639" s="14">
        <v>4.9299999999999997E-2</v>
      </c>
      <c r="F639" t="str">
        <f t="shared" si="18"/>
        <v>Derrick Henry</v>
      </c>
      <c r="G639" t="str">
        <f t="shared" si="19"/>
        <v>TEN</v>
      </c>
      <c r="H639">
        <v>2018</v>
      </c>
    </row>
    <row r="640" spans="1:8" x14ac:dyDescent="0.45">
      <c r="A640" t="s">
        <v>1173</v>
      </c>
      <c r="B640" s="14">
        <v>6.9000000000000006E-2</v>
      </c>
      <c r="C640" s="14">
        <v>4.1700000000000001E-2</v>
      </c>
      <c r="D640" s="14">
        <v>4.8500000000000001E-2</v>
      </c>
      <c r="E640" s="14">
        <v>3.5700000000000003E-2</v>
      </c>
      <c r="F640" t="str">
        <f t="shared" si="18"/>
        <v>Nick Chubb</v>
      </c>
      <c r="G640" t="str">
        <f t="shared" si="19"/>
        <v>CLE</v>
      </c>
      <c r="H640">
        <v>2018</v>
      </c>
    </row>
    <row r="641" spans="1:8" x14ac:dyDescent="0.45">
      <c r="A641" t="s">
        <v>1373</v>
      </c>
      <c r="B641" s="14">
        <v>3.85E-2</v>
      </c>
      <c r="C641" s="14">
        <v>2.7900000000000001E-2</v>
      </c>
      <c r="D641" s="14">
        <v>3.1399999999999997E-2</v>
      </c>
      <c r="E641" s="14">
        <v>2.5100000000000001E-2</v>
      </c>
      <c r="F641" t="str">
        <f t="shared" si="18"/>
        <v>Adrian Peterson</v>
      </c>
      <c r="G641" t="str">
        <f t="shared" si="19"/>
        <v>WAS</v>
      </c>
      <c r="H641">
        <v>2018</v>
      </c>
    </row>
    <row r="642" spans="1:8" x14ac:dyDescent="0.45">
      <c r="A642" t="s">
        <v>1300</v>
      </c>
      <c r="B642" s="14">
        <v>0</v>
      </c>
      <c r="C642" s="14">
        <v>3.6400000000000002E-2</v>
      </c>
      <c r="D642" s="14">
        <v>1.0200000000000001E-2</v>
      </c>
      <c r="E642" s="14">
        <v>3.73E-2</v>
      </c>
      <c r="F642" t="str">
        <f t="shared" ref="F642:F705" si="20">TRIM(LEFT(A642, FIND("(", A642) - 2))</f>
        <v>Chris Carson</v>
      </c>
      <c r="G642" t="str">
        <f t="shared" si="19"/>
        <v>SEA</v>
      </c>
      <c r="H642">
        <v>2018</v>
      </c>
    </row>
    <row r="643" spans="1:8" x14ac:dyDescent="0.45">
      <c r="A643" t="s">
        <v>1380</v>
      </c>
      <c r="B643" s="14">
        <v>5.4899999999999997E-2</v>
      </c>
      <c r="C643" s="14">
        <v>3.0300000000000001E-2</v>
      </c>
      <c r="D643" s="14">
        <v>4.5199999999999997E-2</v>
      </c>
      <c r="E643" s="14">
        <v>2.41E-2</v>
      </c>
      <c r="F643" t="str">
        <f t="shared" si="20"/>
        <v>Tarik Cohen</v>
      </c>
      <c r="G643" t="str">
        <f t="shared" ref="G643:G706" si="21">MID(A643, FIND("(", A643) + 1, FIND(")", A643) - FIND("(", A643) - 1)</f>
        <v>CHI</v>
      </c>
      <c r="H643">
        <v>2018</v>
      </c>
    </row>
    <row r="644" spans="1:8" x14ac:dyDescent="0.45">
      <c r="A644" t="s">
        <v>1400</v>
      </c>
      <c r="B644" s="14">
        <v>0.11360000000000001</v>
      </c>
      <c r="C644" s="14">
        <v>2.4E-2</v>
      </c>
      <c r="D644" s="14">
        <v>8.2400000000000001E-2</v>
      </c>
      <c r="E644" s="14">
        <v>2.3300000000000001E-2</v>
      </c>
      <c r="F644" t="str">
        <f t="shared" si="20"/>
        <v>Tevin Coleman</v>
      </c>
      <c r="G644" t="str">
        <f t="shared" si="21"/>
        <v>ATL</v>
      </c>
      <c r="H644">
        <v>2018</v>
      </c>
    </row>
    <row r="645" spans="1:8" x14ac:dyDescent="0.45">
      <c r="A645" t="s">
        <v>1445</v>
      </c>
      <c r="B645" s="14">
        <v>2.86E-2</v>
      </c>
      <c r="C645" s="14">
        <v>6.0199999999999997E-2</v>
      </c>
      <c r="D645" s="14">
        <v>2.3300000000000001E-2</v>
      </c>
      <c r="E645" s="14">
        <v>4.1399999999999999E-2</v>
      </c>
      <c r="F645" t="str">
        <f t="shared" si="20"/>
        <v>Aaron Jones Sr.</v>
      </c>
      <c r="G645" t="str">
        <f t="shared" si="21"/>
        <v>GB</v>
      </c>
      <c r="H645">
        <v>2018</v>
      </c>
    </row>
    <row r="646" spans="1:8" x14ac:dyDescent="0.45">
      <c r="A646" t="s">
        <v>1321</v>
      </c>
      <c r="B646" s="14">
        <v>3.85E-2</v>
      </c>
      <c r="C646" s="14">
        <v>4.6199999999999998E-2</v>
      </c>
      <c r="D646" s="14">
        <v>3.2300000000000002E-2</v>
      </c>
      <c r="E646" s="14">
        <v>4.2700000000000002E-2</v>
      </c>
      <c r="F646" t="str">
        <f t="shared" si="20"/>
        <v>Marlon Mack</v>
      </c>
      <c r="G646" t="str">
        <f t="shared" si="21"/>
        <v>IND</v>
      </c>
      <c r="H646">
        <v>2018</v>
      </c>
    </row>
    <row r="647" spans="1:8" x14ac:dyDescent="0.45">
      <c r="A647" t="s">
        <v>1401</v>
      </c>
      <c r="B647" s="14">
        <v>6.8500000000000005E-2</v>
      </c>
      <c r="C647" s="14">
        <v>3.3300000000000003E-2</v>
      </c>
      <c r="D647" s="14">
        <v>4.8500000000000001E-2</v>
      </c>
      <c r="E647" s="14">
        <v>2.3199999999999998E-2</v>
      </c>
      <c r="F647" t="str">
        <f t="shared" si="20"/>
        <v>Kenyan Drake</v>
      </c>
      <c r="G647" t="str">
        <f t="shared" si="21"/>
        <v>MIA</v>
      </c>
      <c r="H647">
        <v>2018</v>
      </c>
    </row>
    <row r="648" spans="1:8" x14ac:dyDescent="0.45">
      <c r="A648" t="s">
        <v>1402</v>
      </c>
      <c r="B648" s="14">
        <v>0</v>
      </c>
      <c r="C648" s="14">
        <v>3.5999999999999997E-2</v>
      </c>
      <c r="D648" s="14">
        <v>2.0299999999999999E-2</v>
      </c>
      <c r="E648" s="14">
        <v>3.2899999999999999E-2</v>
      </c>
      <c r="F648" t="str">
        <f t="shared" si="20"/>
        <v>Jordan Howard</v>
      </c>
      <c r="G648" t="str">
        <f t="shared" si="21"/>
        <v>CHI</v>
      </c>
      <c r="H648">
        <v>2018</v>
      </c>
    </row>
    <row r="649" spans="1:8" x14ac:dyDescent="0.45">
      <c r="A649" t="s">
        <v>1403</v>
      </c>
      <c r="B649" s="14">
        <v>2.86E-2</v>
      </c>
      <c r="C649" s="14">
        <v>2.3800000000000002E-2</v>
      </c>
      <c r="D649" s="14">
        <v>2.9499999999999998E-2</v>
      </c>
      <c r="E649" s="14">
        <v>2.4500000000000001E-2</v>
      </c>
      <c r="F649" t="str">
        <f t="shared" si="20"/>
        <v>Lamar Miller</v>
      </c>
      <c r="G649" t="str">
        <f t="shared" si="21"/>
        <v>HOU</v>
      </c>
      <c r="H649">
        <v>2018</v>
      </c>
    </row>
    <row r="650" spans="1:8" x14ac:dyDescent="0.45">
      <c r="A650" t="s">
        <v>1379</v>
      </c>
      <c r="B650" s="14">
        <v>6.4500000000000002E-2</v>
      </c>
      <c r="C650" s="14">
        <v>1.9599999999999999E-2</v>
      </c>
      <c r="D650" s="14">
        <v>4.6899999999999997E-2</v>
      </c>
      <c r="E650" s="14">
        <v>2.35E-2</v>
      </c>
      <c r="F650" t="str">
        <f t="shared" si="20"/>
        <v>Matt Breida</v>
      </c>
      <c r="G650" t="str">
        <f t="shared" si="21"/>
        <v>SF</v>
      </c>
      <c r="H650">
        <v>2018</v>
      </c>
    </row>
    <row r="651" spans="1:8" x14ac:dyDescent="0.45">
      <c r="A651" t="s">
        <v>1349</v>
      </c>
      <c r="B651" s="14">
        <v>0</v>
      </c>
      <c r="C651" s="14">
        <v>2.87E-2</v>
      </c>
      <c r="D651" s="14">
        <v>6.7999999999999996E-3</v>
      </c>
      <c r="E651" s="14">
        <v>3.4200000000000001E-2</v>
      </c>
      <c r="F651" t="str">
        <f t="shared" si="20"/>
        <v>Sony Michel</v>
      </c>
      <c r="G651" t="str">
        <f t="shared" si="21"/>
        <v>NE</v>
      </c>
      <c r="H651">
        <v>2018</v>
      </c>
    </row>
    <row r="652" spans="1:8" x14ac:dyDescent="0.45">
      <c r="A652" t="s">
        <v>1376</v>
      </c>
      <c r="B652" s="14">
        <v>3.4500000000000003E-2</v>
      </c>
      <c r="C652" s="14">
        <v>2.1399999999999999E-2</v>
      </c>
      <c r="D652" s="14">
        <v>3.5799999999999998E-2</v>
      </c>
      <c r="E652" s="14">
        <v>2.8299999999999999E-2</v>
      </c>
      <c r="F652" t="str">
        <f t="shared" si="20"/>
        <v>Peyton Barber</v>
      </c>
      <c r="G652" t="str">
        <f t="shared" si="21"/>
        <v>TB</v>
      </c>
      <c r="H652">
        <v>2018</v>
      </c>
    </row>
    <row r="653" spans="1:8" x14ac:dyDescent="0.45">
      <c r="A653" t="s">
        <v>1404</v>
      </c>
      <c r="B653" s="14">
        <v>0</v>
      </c>
      <c r="C653" s="14">
        <v>4.2000000000000003E-2</v>
      </c>
      <c r="D653" s="14">
        <v>4.8999999999999998E-3</v>
      </c>
      <c r="E653" s="14">
        <v>0.03</v>
      </c>
      <c r="F653" t="str">
        <f t="shared" si="20"/>
        <v>Isaiah Crowell</v>
      </c>
      <c r="G653" t="str">
        <f t="shared" si="21"/>
        <v>NYJ</v>
      </c>
      <c r="H653">
        <v>2018</v>
      </c>
    </row>
    <row r="654" spans="1:8" x14ac:dyDescent="0.45">
      <c r="A654" t="s">
        <v>1405</v>
      </c>
      <c r="B654" s="14">
        <v>5.1299999999999998E-2</v>
      </c>
      <c r="C654" s="14">
        <v>9.5999999999999992E-3</v>
      </c>
      <c r="D654" s="14">
        <v>3.9199999999999999E-2</v>
      </c>
      <c r="E654" s="14">
        <v>1.3299999999999999E-2</v>
      </c>
      <c r="F654" t="str">
        <f t="shared" si="20"/>
        <v>T.J. Yeldon</v>
      </c>
      <c r="G654" t="str">
        <f t="shared" si="21"/>
        <v>JAC</v>
      </c>
      <c r="H654">
        <v>2018</v>
      </c>
    </row>
    <row r="655" spans="1:8" x14ac:dyDescent="0.45">
      <c r="A655" t="s">
        <v>1206</v>
      </c>
      <c r="B655" s="14">
        <v>5.6599999999999998E-2</v>
      </c>
      <c r="C655" s="14">
        <v>2.8299999999999999E-2</v>
      </c>
      <c r="D655" s="14">
        <v>3.7499999999999999E-2</v>
      </c>
      <c r="E655" s="14">
        <v>2.8199999999999999E-2</v>
      </c>
      <c r="F655" t="str">
        <f t="shared" si="20"/>
        <v>Austin Ekeler</v>
      </c>
      <c r="G655" t="str">
        <f t="shared" si="21"/>
        <v>LAC</v>
      </c>
      <c r="H655">
        <v>2018</v>
      </c>
    </row>
    <row r="656" spans="1:8" x14ac:dyDescent="0.45">
      <c r="A656" t="s">
        <v>1261</v>
      </c>
      <c r="B656" s="14">
        <v>3.6999999999999998E-2</v>
      </c>
      <c r="C656" s="14">
        <v>4.3499999999999997E-2</v>
      </c>
      <c r="D656" s="14">
        <v>3.15E-2</v>
      </c>
      <c r="E656" s="14">
        <v>4.7899999999999998E-2</v>
      </c>
      <c r="F656" t="str">
        <f t="shared" si="20"/>
        <v>Mark Ingram II</v>
      </c>
      <c r="G656" t="str">
        <f t="shared" si="21"/>
        <v>NO</v>
      </c>
      <c r="H656">
        <v>2018</v>
      </c>
    </row>
    <row r="657" spans="1:8" x14ac:dyDescent="0.45">
      <c r="A657" t="s">
        <v>1406</v>
      </c>
      <c r="B657" s="14">
        <v>0</v>
      </c>
      <c r="C657" s="14">
        <v>4.2900000000000001E-2</v>
      </c>
      <c r="D657" s="14">
        <v>8.0999999999999996E-3</v>
      </c>
      <c r="E657" s="14">
        <v>3.3300000000000003E-2</v>
      </c>
      <c r="F657" t="str">
        <f t="shared" si="20"/>
        <v>Latavius Murray</v>
      </c>
      <c r="G657" t="str">
        <f t="shared" si="21"/>
        <v>MIN</v>
      </c>
      <c r="H657">
        <v>2018</v>
      </c>
    </row>
    <row r="658" spans="1:8" x14ac:dyDescent="0.45">
      <c r="A658" t="s">
        <v>1346</v>
      </c>
      <c r="B658" s="14">
        <v>2.5600000000000001E-2</v>
      </c>
      <c r="C658" s="14">
        <v>2.5399999999999999E-2</v>
      </c>
      <c r="D658" s="14">
        <v>2.7799999999999998E-2</v>
      </c>
      <c r="E658" s="14">
        <v>2.2200000000000001E-2</v>
      </c>
      <c r="F658" t="str">
        <f t="shared" si="20"/>
        <v>Kerryon Johnson</v>
      </c>
      <c r="G658" t="str">
        <f t="shared" si="21"/>
        <v>DET</v>
      </c>
      <c r="H658">
        <v>2018</v>
      </c>
    </row>
    <row r="659" spans="1:8" x14ac:dyDescent="0.45">
      <c r="A659" t="s">
        <v>1234</v>
      </c>
      <c r="B659" s="14">
        <v>4.0800000000000003E-2</v>
      </c>
      <c r="C659" s="14">
        <v>1.4999999999999999E-2</v>
      </c>
      <c r="D659" s="14">
        <v>2.9899999999999999E-2</v>
      </c>
      <c r="E659" s="14">
        <v>1.7399999999999999E-2</v>
      </c>
      <c r="F659" t="str">
        <f t="shared" si="20"/>
        <v>Dalvin Cook</v>
      </c>
      <c r="G659" t="str">
        <f t="shared" si="21"/>
        <v>MIN</v>
      </c>
      <c r="H659">
        <v>2018</v>
      </c>
    </row>
    <row r="660" spans="1:8" x14ac:dyDescent="0.45">
      <c r="A660" t="s">
        <v>1388</v>
      </c>
      <c r="B660" s="14">
        <v>1.49E-2</v>
      </c>
      <c r="C660" s="14">
        <v>6.4999999999999997E-3</v>
      </c>
      <c r="D660" s="14">
        <v>1.8599999999999998E-2</v>
      </c>
      <c r="E660" s="14">
        <v>1.5299999999999999E-2</v>
      </c>
      <c r="F660" t="str">
        <f t="shared" si="20"/>
        <v>Dion Lewis</v>
      </c>
      <c r="G660" t="str">
        <f t="shared" si="21"/>
        <v>TEN</v>
      </c>
      <c r="H660">
        <v>2018</v>
      </c>
    </row>
    <row r="661" spans="1:8" x14ac:dyDescent="0.45">
      <c r="A661" t="s">
        <v>1367</v>
      </c>
      <c r="B661" s="14">
        <v>3.85E-2</v>
      </c>
      <c r="C661" s="14">
        <v>3.7600000000000001E-2</v>
      </c>
      <c r="D661" s="14">
        <v>3.6700000000000003E-2</v>
      </c>
      <c r="E661" s="14">
        <v>0.04</v>
      </c>
      <c r="F661" t="str">
        <f t="shared" si="20"/>
        <v>Leonard Fournette</v>
      </c>
      <c r="G661" t="str">
        <f t="shared" si="21"/>
        <v>JAC</v>
      </c>
      <c r="H661">
        <v>2018</v>
      </c>
    </row>
    <row r="662" spans="1:8" x14ac:dyDescent="0.45">
      <c r="A662" t="s">
        <v>1286</v>
      </c>
      <c r="B662" s="14">
        <v>2.47E-2</v>
      </c>
      <c r="C662" s="14">
        <v>2.35E-2</v>
      </c>
      <c r="D662" s="14">
        <v>2.7799999999999998E-2</v>
      </c>
      <c r="E662" s="14">
        <v>2.75E-2</v>
      </c>
      <c r="F662" t="str">
        <f t="shared" si="20"/>
        <v>Nyheim Miller-Hines</v>
      </c>
      <c r="G662" t="str">
        <f t="shared" si="21"/>
        <v>IND</v>
      </c>
      <c r="H662">
        <v>2018</v>
      </c>
    </row>
    <row r="663" spans="1:8" x14ac:dyDescent="0.45">
      <c r="A663" t="s">
        <v>1407</v>
      </c>
      <c r="B663" s="14">
        <v>0</v>
      </c>
      <c r="C663" s="14">
        <v>2.3300000000000001E-2</v>
      </c>
      <c r="D663" s="14">
        <v>1.23E-2</v>
      </c>
      <c r="E663" s="14">
        <v>3.04E-2</v>
      </c>
      <c r="F663" t="str">
        <f t="shared" si="20"/>
        <v>Doug Martin</v>
      </c>
      <c r="G663" t="str">
        <f t="shared" si="21"/>
        <v>LVR</v>
      </c>
      <c r="H663">
        <v>2018</v>
      </c>
    </row>
    <row r="664" spans="1:8" x14ac:dyDescent="0.45">
      <c r="A664" t="s">
        <v>1408</v>
      </c>
      <c r="B664" s="14">
        <v>4.7600000000000003E-2</v>
      </c>
      <c r="C664" s="14">
        <v>6.1400000000000003E-2</v>
      </c>
      <c r="D664" s="14">
        <v>4.9000000000000002E-2</v>
      </c>
      <c r="E664" s="14">
        <v>4.7600000000000003E-2</v>
      </c>
      <c r="F664" t="str">
        <f t="shared" si="20"/>
        <v>Alex Collins</v>
      </c>
      <c r="G664" t="str">
        <f t="shared" si="21"/>
        <v>BAL</v>
      </c>
      <c r="H664">
        <v>2018</v>
      </c>
    </row>
    <row r="665" spans="1:8" x14ac:dyDescent="0.45">
      <c r="A665" t="s">
        <v>1409</v>
      </c>
      <c r="B665" s="14">
        <v>2.3800000000000002E-2</v>
      </c>
      <c r="C665" s="14">
        <v>3.5700000000000003E-2</v>
      </c>
      <c r="D665" s="14">
        <v>2.1899999999999999E-2</v>
      </c>
      <c r="E665" s="14">
        <v>2.9700000000000001E-2</v>
      </c>
      <c r="F665" t="str">
        <f t="shared" si="20"/>
        <v>Mike Davis</v>
      </c>
      <c r="G665" t="str">
        <f t="shared" si="21"/>
        <v>SEA</v>
      </c>
      <c r="H665">
        <v>2018</v>
      </c>
    </row>
    <row r="666" spans="1:8" x14ac:dyDescent="0.45">
      <c r="A666" t="s">
        <v>1410</v>
      </c>
      <c r="B666" s="14">
        <v>6.25E-2</v>
      </c>
      <c r="C666" s="14">
        <v>0</v>
      </c>
      <c r="D666" s="14">
        <v>4.9000000000000002E-2</v>
      </c>
      <c r="E666" s="14">
        <v>5.7000000000000002E-3</v>
      </c>
      <c r="F666" t="str">
        <f t="shared" si="20"/>
        <v>Frank Gore</v>
      </c>
      <c r="G666" t="str">
        <f t="shared" si="21"/>
        <v>MIA</v>
      </c>
      <c r="H666">
        <v>2018</v>
      </c>
    </row>
    <row r="667" spans="1:8" x14ac:dyDescent="0.45">
      <c r="A667" t="s">
        <v>1387</v>
      </c>
      <c r="B667" s="14">
        <v>0</v>
      </c>
      <c r="C667" s="14">
        <v>1.8200000000000001E-2</v>
      </c>
      <c r="D667" s="14">
        <v>7.7000000000000002E-3</v>
      </c>
      <c r="E667" s="14">
        <v>2.1700000000000001E-2</v>
      </c>
      <c r="F667" t="str">
        <f t="shared" si="20"/>
        <v>Jalen Richard</v>
      </c>
      <c r="G667" t="str">
        <f t="shared" si="21"/>
        <v>LVR</v>
      </c>
      <c r="H667">
        <v>2018</v>
      </c>
    </row>
    <row r="668" spans="1:8" x14ac:dyDescent="0.45">
      <c r="A668" t="s">
        <v>1307</v>
      </c>
      <c r="B668" s="14">
        <v>0</v>
      </c>
      <c r="C668" s="14">
        <v>2.9100000000000001E-2</v>
      </c>
      <c r="D668" s="14">
        <v>8.8999999999999999E-3</v>
      </c>
      <c r="E668" s="14">
        <v>3.2199999999999999E-2</v>
      </c>
      <c r="F668" t="str">
        <f t="shared" si="20"/>
        <v>Carlos Hyde</v>
      </c>
      <c r="G668" t="str">
        <f t="shared" si="21"/>
        <v>JAC</v>
      </c>
      <c r="H668">
        <v>2018</v>
      </c>
    </row>
    <row r="669" spans="1:8" x14ac:dyDescent="0.45">
      <c r="A669" t="s">
        <v>1332</v>
      </c>
      <c r="B669" s="14">
        <v>0</v>
      </c>
      <c r="C669" s="14">
        <v>2.4799999999999999E-2</v>
      </c>
      <c r="D669" s="14">
        <v>9.7000000000000003E-3</v>
      </c>
      <c r="E669" s="14">
        <v>2.1299999999999999E-2</v>
      </c>
      <c r="F669" t="str">
        <f t="shared" si="20"/>
        <v>Jamaal Williams</v>
      </c>
      <c r="G669" t="str">
        <f t="shared" si="21"/>
        <v>GB</v>
      </c>
      <c r="H669">
        <v>2018</v>
      </c>
    </row>
    <row r="670" spans="1:8" x14ac:dyDescent="0.45">
      <c r="A670" t="s">
        <v>1411</v>
      </c>
      <c r="B670" s="14">
        <v>0</v>
      </c>
      <c r="C670" s="14">
        <v>1.8599999999999998E-2</v>
      </c>
      <c r="D670" s="14">
        <v>7.3000000000000001E-3</v>
      </c>
      <c r="E670" s="14">
        <v>1.9800000000000002E-2</v>
      </c>
      <c r="F670" t="str">
        <f t="shared" si="20"/>
        <v>LeSean McCoy</v>
      </c>
      <c r="G670" t="str">
        <f t="shared" si="21"/>
        <v>BUF</v>
      </c>
      <c r="H670">
        <v>2018</v>
      </c>
    </row>
    <row r="671" spans="1:8" x14ac:dyDescent="0.45">
      <c r="A671" t="s">
        <v>1412</v>
      </c>
      <c r="B671" s="14">
        <v>4.8399999999999999E-2</v>
      </c>
      <c r="C671" s="14">
        <v>0</v>
      </c>
      <c r="D671" s="14">
        <v>4.0300000000000002E-2</v>
      </c>
      <c r="E671" s="14">
        <v>5.0000000000000001E-3</v>
      </c>
      <c r="F671" t="str">
        <f t="shared" si="20"/>
        <v>Duke Johnson Jr.</v>
      </c>
      <c r="G671" t="str">
        <f t="shared" si="21"/>
        <v>CLE</v>
      </c>
      <c r="H671">
        <v>2018</v>
      </c>
    </row>
    <row r="672" spans="1:8" x14ac:dyDescent="0.45">
      <c r="A672" t="s">
        <v>1413</v>
      </c>
      <c r="B672" s="14">
        <v>5.7099999999999998E-2</v>
      </c>
      <c r="C672" s="14">
        <v>3.4500000000000003E-2</v>
      </c>
      <c r="D672" s="14">
        <v>4.4200000000000003E-2</v>
      </c>
      <c r="E672" s="14">
        <v>2.8799999999999999E-2</v>
      </c>
      <c r="F672" t="str">
        <f t="shared" si="20"/>
        <v>Wendell Smallwood</v>
      </c>
      <c r="G672" t="str">
        <f t="shared" si="21"/>
        <v>PHI</v>
      </c>
      <c r="H672">
        <v>2018</v>
      </c>
    </row>
    <row r="673" spans="1:8" x14ac:dyDescent="0.45">
      <c r="A673" t="s">
        <v>1200</v>
      </c>
      <c r="B673" s="14">
        <v>0</v>
      </c>
      <c r="C673" s="14">
        <v>1.46E-2</v>
      </c>
      <c r="D673" s="14">
        <v>5.3E-3</v>
      </c>
      <c r="E673" s="14">
        <v>1.5699999999999999E-2</v>
      </c>
      <c r="F673" t="str">
        <f t="shared" si="20"/>
        <v>Gus Edwards</v>
      </c>
      <c r="G673" t="str">
        <f t="shared" si="21"/>
        <v>BAL</v>
      </c>
      <c r="H673">
        <v>2018</v>
      </c>
    </row>
    <row r="674" spans="1:8" x14ac:dyDescent="0.45">
      <c r="A674" t="s">
        <v>1359</v>
      </c>
      <c r="B674" s="14">
        <v>0</v>
      </c>
      <c r="C674" s="14">
        <v>3.85E-2</v>
      </c>
      <c r="D674" s="14">
        <v>7.7000000000000002E-3</v>
      </c>
      <c r="E674" s="14">
        <v>3.1899999999999998E-2</v>
      </c>
      <c r="F674" t="str">
        <f t="shared" si="20"/>
        <v>Royce Freeman</v>
      </c>
      <c r="G674" t="str">
        <f t="shared" si="21"/>
        <v>DEN</v>
      </c>
      <c r="H674">
        <v>2018</v>
      </c>
    </row>
    <row r="675" spans="1:8" x14ac:dyDescent="0.45">
      <c r="A675" t="s">
        <v>1414</v>
      </c>
      <c r="B675" s="14">
        <v>0</v>
      </c>
      <c r="C675" s="14">
        <v>3.2500000000000001E-2</v>
      </c>
      <c r="D675" s="14">
        <v>3.8E-3</v>
      </c>
      <c r="E675" s="14">
        <v>3.73E-2</v>
      </c>
      <c r="F675" t="str">
        <f t="shared" si="20"/>
        <v>LeGarrette Blount</v>
      </c>
      <c r="G675" t="str">
        <f t="shared" si="21"/>
        <v>DET</v>
      </c>
      <c r="H675">
        <v>2018</v>
      </c>
    </row>
    <row r="676" spans="1:8" x14ac:dyDescent="0.45">
      <c r="A676" t="s">
        <v>1415</v>
      </c>
      <c r="B676" s="14">
        <v>0</v>
      </c>
      <c r="C676" s="14">
        <v>1.3299999999999999E-2</v>
      </c>
      <c r="D676" s="14">
        <v>2.18E-2</v>
      </c>
      <c r="E676" s="14">
        <v>1.67E-2</v>
      </c>
      <c r="F676" t="str">
        <f t="shared" si="20"/>
        <v>Alfred Blue</v>
      </c>
      <c r="G676" t="str">
        <f t="shared" si="21"/>
        <v>HOU</v>
      </c>
      <c r="H676">
        <v>2018</v>
      </c>
    </row>
    <row r="677" spans="1:8" x14ac:dyDescent="0.45">
      <c r="A677" t="s">
        <v>1352</v>
      </c>
      <c r="B677" s="14">
        <v>0</v>
      </c>
      <c r="C677" s="14">
        <v>4.4400000000000002E-2</v>
      </c>
      <c r="D677" s="14">
        <v>1.3599999999999999E-2</v>
      </c>
      <c r="E677" s="14">
        <v>3.8699999999999998E-2</v>
      </c>
      <c r="F677" t="str">
        <f t="shared" si="20"/>
        <v>Ito Smith</v>
      </c>
      <c r="G677" t="str">
        <f t="shared" si="21"/>
        <v>ATL</v>
      </c>
      <c r="H677">
        <v>2018</v>
      </c>
    </row>
    <row r="678" spans="1:8" x14ac:dyDescent="0.45">
      <c r="A678" t="s">
        <v>1416</v>
      </c>
      <c r="B678" s="14">
        <v>0</v>
      </c>
      <c r="C678" s="14">
        <v>2.5000000000000001E-2</v>
      </c>
      <c r="D678" s="14">
        <v>2.8E-3</v>
      </c>
      <c r="E678" s="14">
        <v>2.76E-2</v>
      </c>
      <c r="F678" t="str">
        <f t="shared" si="20"/>
        <v>Josh Adams</v>
      </c>
      <c r="G678" t="str">
        <f t="shared" si="21"/>
        <v>PHI</v>
      </c>
      <c r="H678">
        <v>2018</v>
      </c>
    </row>
    <row r="679" spans="1:8" x14ac:dyDescent="0.45">
      <c r="A679" t="s">
        <v>1417</v>
      </c>
      <c r="B679" s="14">
        <v>0</v>
      </c>
      <c r="C679" s="14">
        <v>3.3300000000000003E-2</v>
      </c>
      <c r="D679" s="14">
        <v>3.4200000000000001E-2</v>
      </c>
      <c r="E679" s="14">
        <v>3.0599999999999999E-2</v>
      </c>
      <c r="F679" t="str">
        <f t="shared" si="20"/>
        <v>Marshawn Lynch</v>
      </c>
      <c r="G679" t="str">
        <f t="shared" si="21"/>
        <v>LVR</v>
      </c>
      <c r="H679">
        <v>2018</v>
      </c>
    </row>
    <row r="680" spans="1:8" x14ac:dyDescent="0.45">
      <c r="A680" t="s">
        <v>1378</v>
      </c>
      <c r="B680" s="14">
        <v>8.3299999999999999E-2</v>
      </c>
      <c r="C680" s="14">
        <v>0.08</v>
      </c>
      <c r="D680" s="14">
        <v>8.1900000000000001E-2</v>
      </c>
      <c r="E680" s="14">
        <v>7.17E-2</v>
      </c>
      <c r="F680" t="str">
        <f t="shared" si="20"/>
        <v>Damien Williams</v>
      </c>
      <c r="G680" t="str">
        <f t="shared" si="21"/>
        <v>KC</v>
      </c>
      <c r="H680">
        <v>2018</v>
      </c>
    </row>
    <row r="681" spans="1:8" x14ac:dyDescent="0.45">
      <c r="A681" t="s">
        <v>1418</v>
      </c>
      <c r="B681" s="14">
        <v>3.2300000000000002E-2</v>
      </c>
      <c r="C681" s="14">
        <v>3.2599999999999997E-2</v>
      </c>
      <c r="D681" s="14">
        <v>2.18E-2</v>
      </c>
      <c r="E681" s="14">
        <v>3.61E-2</v>
      </c>
      <c r="F681" t="str">
        <f t="shared" si="20"/>
        <v>Elijah McGuire</v>
      </c>
      <c r="G681" t="str">
        <f t="shared" si="21"/>
        <v>NYJ</v>
      </c>
      <c r="H681">
        <v>2018</v>
      </c>
    </row>
    <row r="682" spans="1:8" x14ac:dyDescent="0.45">
      <c r="A682" t="s">
        <v>1255</v>
      </c>
      <c r="B682" s="14">
        <v>0</v>
      </c>
      <c r="C682" s="14">
        <v>2.35E-2</v>
      </c>
      <c r="D682" s="14">
        <v>1.2699999999999999E-2</v>
      </c>
      <c r="E682" s="14">
        <v>1.8800000000000001E-2</v>
      </c>
      <c r="F682" t="str">
        <f t="shared" si="20"/>
        <v>Rashaad Penny</v>
      </c>
      <c r="G682" t="str">
        <f t="shared" si="21"/>
        <v>SEA</v>
      </c>
      <c r="H682">
        <v>2018</v>
      </c>
    </row>
    <row r="683" spans="1:8" x14ac:dyDescent="0.45">
      <c r="A683" t="s">
        <v>1329</v>
      </c>
      <c r="B683" s="14">
        <v>0</v>
      </c>
      <c r="C683" s="14">
        <v>5.3600000000000002E-2</v>
      </c>
      <c r="D683" s="14">
        <v>5.7999999999999996E-3</v>
      </c>
      <c r="E683" s="14">
        <v>4.41E-2</v>
      </c>
      <c r="F683" t="str">
        <f t="shared" si="20"/>
        <v>Giovani Bernard</v>
      </c>
      <c r="G683" t="str">
        <f t="shared" si="21"/>
        <v>CIN</v>
      </c>
      <c r="H683">
        <v>2018</v>
      </c>
    </row>
    <row r="684" spans="1:8" x14ac:dyDescent="0.45">
      <c r="A684" t="s">
        <v>1383</v>
      </c>
      <c r="B684" s="14">
        <v>0.10340000000000001</v>
      </c>
      <c r="C684" s="14">
        <v>0</v>
      </c>
      <c r="D684" s="14">
        <v>7.46E-2</v>
      </c>
      <c r="E684" s="14">
        <v>1.2200000000000001E-2</v>
      </c>
      <c r="F684" t="str">
        <f t="shared" si="20"/>
        <v>Jaylen Samuels</v>
      </c>
      <c r="G684" t="str">
        <f t="shared" si="21"/>
        <v>PIT</v>
      </c>
      <c r="H684">
        <v>2018</v>
      </c>
    </row>
    <row r="685" spans="1:8" x14ac:dyDescent="0.45">
      <c r="A685" t="s">
        <v>1419</v>
      </c>
      <c r="B685" s="14">
        <v>0</v>
      </c>
      <c r="C685" s="14">
        <v>2.9399999999999999E-2</v>
      </c>
      <c r="D685" s="14">
        <v>1.4E-2</v>
      </c>
      <c r="E685" s="14">
        <v>2.52E-2</v>
      </c>
      <c r="F685" t="str">
        <f t="shared" si="20"/>
        <v>Corey Clement</v>
      </c>
      <c r="G685" t="str">
        <f t="shared" si="21"/>
        <v>PHI</v>
      </c>
      <c r="H685">
        <v>2018</v>
      </c>
    </row>
    <row r="686" spans="1:8" x14ac:dyDescent="0.45">
      <c r="A686" t="s">
        <v>1420</v>
      </c>
      <c r="B686" s="14">
        <v>0</v>
      </c>
      <c r="C686" s="14">
        <v>3.9199999999999999E-2</v>
      </c>
      <c r="D686" s="14">
        <v>7.1999999999999998E-3</v>
      </c>
      <c r="E686" s="14">
        <v>4.65E-2</v>
      </c>
      <c r="F686" t="str">
        <f t="shared" si="20"/>
        <v>Spencer Ware</v>
      </c>
      <c r="G686" t="str">
        <f t="shared" si="21"/>
        <v>KC</v>
      </c>
      <c r="H686">
        <v>2018</v>
      </c>
    </row>
    <row r="687" spans="1:8" x14ac:dyDescent="0.45">
      <c r="A687" t="s">
        <v>1421</v>
      </c>
      <c r="B687" s="14">
        <v>4.65E-2</v>
      </c>
      <c r="C687" s="14">
        <v>7.3200000000000001E-2</v>
      </c>
      <c r="D687" s="14">
        <v>3.6999999999999998E-2</v>
      </c>
      <c r="E687" s="14">
        <v>7.2599999999999998E-2</v>
      </c>
      <c r="F687" t="str">
        <f t="shared" si="20"/>
        <v>Javorius Allen</v>
      </c>
      <c r="G687" t="str">
        <f t="shared" si="21"/>
        <v>BAL</v>
      </c>
      <c r="H687">
        <v>2018</v>
      </c>
    </row>
    <row r="688" spans="1:8" x14ac:dyDescent="0.45">
      <c r="A688" t="s">
        <v>1422</v>
      </c>
      <c r="B688" s="14">
        <v>0</v>
      </c>
      <c r="C688" s="14">
        <v>8.6999999999999994E-3</v>
      </c>
      <c r="D688" s="14">
        <v>4.1000000000000003E-3</v>
      </c>
      <c r="E688" s="14">
        <v>1.3899999999999999E-2</v>
      </c>
      <c r="F688" t="str">
        <f t="shared" si="20"/>
        <v>Chris Ivory</v>
      </c>
      <c r="G688" t="str">
        <f t="shared" si="21"/>
        <v>BUF</v>
      </c>
      <c r="H688">
        <v>2018</v>
      </c>
    </row>
    <row r="689" spans="1:8" x14ac:dyDescent="0.45">
      <c r="A689" t="s">
        <v>1423</v>
      </c>
      <c r="B689" s="14">
        <v>0</v>
      </c>
      <c r="C689" s="14">
        <v>0</v>
      </c>
      <c r="D689" s="14">
        <v>1.11E-2</v>
      </c>
      <c r="E689" s="14">
        <v>8.6E-3</v>
      </c>
      <c r="F689" t="str">
        <f t="shared" si="20"/>
        <v>Theo Riddick</v>
      </c>
      <c r="G689" t="str">
        <f t="shared" si="21"/>
        <v>DET</v>
      </c>
      <c r="H689">
        <v>2018</v>
      </c>
    </row>
    <row r="690" spans="1:8" x14ac:dyDescent="0.45">
      <c r="A690" t="s">
        <v>1396</v>
      </c>
      <c r="B690" s="14">
        <v>5.5599999999999997E-2</v>
      </c>
      <c r="C690" s="14">
        <v>0</v>
      </c>
      <c r="D690" s="14">
        <v>3.5799999999999998E-2</v>
      </c>
      <c r="E690" s="14">
        <v>7.4000000000000003E-3</v>
      </c>
      <c r="F690" t="str">
        <f t="shared" si="20"/>
        <v>Bilal Powell</v>
      </c>
      <c r="G690" t="str">
        <f t="shared" si="21"/>
        <v>NYJ</v>
      </c>
      <c r="H690">
        <v>2018</v>
      </c>
    </row>
    <row r="691" spans="1:8" x14ac:dyDescent="0.45">
      <c r="A691" t="s">
        <v>1384</v>
      </c>
      <c r="B691" s="14">
        <v>1.8200000000000001E-2</v>
      </c>
      <c r="C691" s="14">
        <v>0</v>
      </c>
      <c r="D691" s="14">
        <v>1.8599999999999998E-2</v>
      </c>
      <c r="E691" s="14">
        <v>1.21E-2</v>
      </c>
      <c r="F691" t="str">
        <f t="shared" si="20"/>
        <v>Chris Thompson</v>
      </c>
      <c r="G691" t="str">
        <f t="shared" si="21"/>
        <v>WAS</v>
      </c>
      <c r="H691">
        <v>2018</v>
      </c>
    </row>
    <row r="692" spans="1:8" x14ac:dyDescent="0.45">
      <c r="A692" t="s">
        <v>1424</v>
      </c>
      <c r="B692" s="14">
        <v>0.1071</v>
      </c>
      <c r="C692" s="14">
        <v>2.3800000000000002E-2</v>
      </c>
      <c r="D692" s="14">
        <v>7.4700000000000003E-2</v>
      </c>
      <c r="E692" s="14">
        <v>3.6299999999999999E-2</v>
      </c>
      <c r="F692" t="str">
        <f t="shared" si="20"/>
        <v>Cordarrelle Patterson</v>
      </c>
      <c r="G692" t="str">
        <f t="shared" si="21"/>
        <v>NE</v>
      </c>
      <c r="H692">
        <v>2018</v>
      </c>
    </row>
    <row r="693" spans="1:8" x14ac:dyDescent="0.45">
      <c r="A693" t="s">
        <v>1425</v>
      </c>
      <c r="B693" s="14">
        <v>0</v>
      </c>
      <c r="C693" s="14">
        <v>2.9399999999999999E-2</v>
      </c>
      <c r="D693" s="14">
        <v>1.6899999999999998E-2</v>
      </c>
      <c r="E693" s="14">
        <v>2.07E-2</v>
      </c>
      <c r="F693" t="str">
        <f t="shared" si="20"/>
        <v>Devontae Booker</v>
      </c>
      <c r="G693" t="str">
        <f t="shared" si="21"/>
        <v>DEN</v>
      </c>
      <c r="H693">
        <v>2018</v>
      </c>
    </row>
    <row r="694" spans="1:8" x14ac:dyDescent="0.45">
      <c r="A694" t="s">
        <v>1290</v>
      </c>
      <c r="B694" s="14">
        <v>0</v>
      </c>
      <c r="C694" s="14">
        <v>0.04</v>
      </c>
      <c r="D694" s="14">
        <v>1.29E-2</v>
      </c>
      <c r="E694" s="14">
        <v>3.1899999999999998E-2</v>
      </c>
      <c r="F694" t="str">
        <f t="shared" si="20"/>
        <v>Justin Jackson</v>
      </c>
      <c r="G694" t="str">
        <f t="shared" si="21"/>
        <v>LAC</v>
      </c>
      <c r="H694">
        <v>2018</v>
      </c>
    </row>
    <row r="695" spans="1:8" x14ac:dyDescent="0.45">
      <c r="A695" t="s">
        <v>1426</v>
      </c>
      <c r="B695" s="14">
        <v>0</v>
      </c>
      <c r="C695" s="14">
        <v>3.0300000000000001E-2</v>
      </c>
      <c r="D695" s="14">
        <v>1.0800000000000001E-2</v>
      </c>
      <c r="E695" s="14">
        <v>2.5899999999999999E-2</v>
      </c>
      <c r="F695" t="str">
        <f t="shared" si="20"/>
        <v>Jacquizz Rodgers</v>
      </c>
      <c r="G695" t="str">
        <f t="shared" si="21"/>
        <v>TB</v>
      </c>
      <c r="H695">
        <v>2018</v>
      </c>
    </row>
    <row r="696" spans="1:8" x14ac:dyDescent="0.45">
      <c r="A696" t="s">
        <v>1427</v>
      </c>
      <c r="B696" s="14">
        <v>0</v>
      </c>
      <c r="C696" s="14">
        <v>2.4400000000000002E-2</v>
      </c>
      <c r="D696" s="14">
        <v>1.0800000000000001E-2</v>
      </c>
      <c r="E696" s="14">
        <v>2.2800000000000001E-2</v>
      </c>
      <c r="F696" t="str">
        <f t="shared" si="20"/>
        <v>Ty Montgomery II</v>
      </c>
      <c r="G696" t="str">
        <f t="shared" si="21"/>
        <v>BAL</v>
      </c>
      <c r="H696">
        <v>2018</v>
      </c>
    </row>
    <row r="697" spans="1:8" x14ac:dyDescent="0.45">
      <c r="A697" t="s">
        <v>1428</v>
      </c>
      <c r="B697" s="14">
        <v>0</v>
      </c>
      <c r="C697" s="14">
        <v>1.7999999999999999E-2</v>
      </c>
      <c r="D697" s="14">
        <v>1.8E-3</v>
      </c>
      <c r="E697" s="14">
        <v>3.3500000000000002E-2</v>
      </c>
      <c r="F697" t="str">
        <f t="shared" si="20"/>
        <v>Alfred Morris</v>
      </c>
      <c r="G697" t="str">
        <f t="shared" si="21"/>
        <v>SF</v>
      </c>
      <c r="H697">
        <v>2018</v>
      </c>
    </row>
    <row r="698" spans="1:8" x14ac:dyDescent="0.45">
      <c r="A698" t="s">
        <v>1429</v>
      </c>
      <c r="B698" s="14">
        <v>8.6999999999999994E-2</v>
      </c>
      <c r="C698" s="14">
        <v>3.4500000000000003E-2</v>
      </c>
      <c r="D698" s="14">
        <v>7.3499999999999996E-2</v>
      </c>
      <c r="E698" s="14">
        <v>2.5499999999999998E-2</v>
      </c>
      <c r="F698" t="str">
        <f t="shared" si="20"/>
        <v>Darren Sproles</v>
      </c>
      <c r="G698" t="str">
        <f t="shared" si="21"/>
        <v>PHI</v>
      </c>
      <c r="H698">
        <v>2018</v>
      </c>
    </row>
    <row r="699" spans="1:8" x14ac:dyDescent="0.45">
      <c r="A699" t="s">
        <v>1348</v>
      </c>
      <c r="B699" s="14">
        <v>0</v>
      </c>
      <c r="C699" s="14">
        <v>1.67E-2</v>
      </c>
      <c r="D699" s="14">
        <v>3.9E-2</v>
      </c>
      <c r="E699" s="14">
        <v>1.5800000000000002E-2</v>
      </c>
      <c r="F699" t="str">
        <f t="shared" si="20"/>
        <v>Jordan Wilkins</v>
      </c>
      <c r="G699" t="str">
        <f t="shared" si="21"/>
        <v>IND</v>
      </c>
      <c r="H699">
        <v>2018</v>
      </c>
    </row>
    <row r="700" spans="1:8" x14ac:dyDescent="0.45">
      <c r="A700" t="s">
        <v>1278</v>
      </c>
      <c r="B700" s="14">
        <v>0</v>
      </c>
      <c r="C700" s="14">
        <v>3.3300000000000003E-2</v>
      </c>
      <c r="D700" s="14">
        <v>2.3E-3</v>
      </c>
      <c r="E700" s="14">
        <v>2.4299999999999999E-2</v>
      </c>
      <c r="F700" t="str">
        <f t="shared" si="20"/>
        <v>Chase Edmonds</v>
      </c>
      <c r="G700" t="str">
        <f t="shared" si="21"/>
        <v>ARI</v>
      </c>
      <c r="H700">
        <v>2018</v>
      </c>
    </row>
    <row r="701" spans="1:8" x14ac:dyDescent="0.45">
      <c r="A701" t="s">
        <v>1430</v>
      </c>
      <c r="B701" s="14">
        <v>0.1111</v>
      </c>
      <c r="C701" s="14">
        <v>2.9899999999999999E-2</v>
      </c>
      <c r="D701" s="14">
        <v>7.9899999999999999E-2</v>
      </c>
      <c r="E701" s="14">
        <v>3.2899999999999999E-2</v>
      </c>
      <c r="F701" t="str">
        <f t="shared" si="20"/>
        <v>C.J. Anderson</v>
      </c>
      <c r="G701" t="str">
        <f t="shared" si="21"/>
        <v>LAR</v>
      </c>
      <c r="H701">
        <v>2018</v>
      </c>
    </row>
    <row r="702" spans="1:8" x14ac:dyDescent="0.45">
      <c r="A702" t="s">
        <v>1431</v>
      </c>
      <c r="B702" s="14">
        <v>0</v>
      </c>
      <c r="C702" s="14">
        <v>6.6699999999999995E-2</v>
      </c>
      <c r="D702" s="14">
        <v>3.1399999999999997E-2</v>
      </c>
      <c r="E702" s="14">
        <v>5.8599999999999999E-2</v>
      </c>
      <c r="F702" t="str">
        <f t="shared" si="20"/>
        <v>Jay Ajayi</v>
      </c>
      <c r="G702" t="str">
        <f t="shared" si="21"/>
        <v>PHI</v>
      </c>
      <c r="H702">
        <v>2018</v>
      </c>
    </row>
    <row r="703" spans="1:8" x14ac:dyDescent="0.45">
      <c r="A703" t="s">
        <v>1432</v>
      </c>
      <c r="B703" s="14">
        <v>0</v>
      </c>
      <c r="C703" s="14">
        <v>3.3300000000000003E-2</v>
      </c>
      <c r="D703" s="14">
        <v>6.0000000000000001E-3</v>
      </c>
      <c r="E703" s="14">
        <v>3.04E-2</v>
      </c>
      <c r="F703" t="str">
        <f t="shared" si="20"/>
        <v>Kenneth Dixon</v>
      </c>
      <c r="G703" t="str">
        <f t="shared" si="21"/>
        <v>BAL</v>
      </c>
      <c r="H703">
        <v>2018</v>
      </c>
    </row>
    <row r="704" spans="1:8" x14ac:dyDescent="0.45">
      <c r="A704" t="s">
        <v>1334</v>
      </c>
      <c r="B704" s="14">
        <v>0.1429</v>
      </c>
      <c r="C704" s="14">
        <v>0</v>
      </c>
      <c r="D704" s="14">
        <v>8.5500000000000007E-2</v>
      </c>
      <c r="E704" s="14">
        <v>1.2E-2</v>
      </c>
      <c r="F704" t="str">
        <f t="shared" si="20"/>
        <v>Malcolm Brown</v>
      </c>
      <c r="G704" t="str">
        <f t="shared" si="21"/>
        <v>LAR</v>
      </c>
      <c r="H704">
        <v>2018</v>
      </c>
    </row>
    <row r="705" spans="1:8" x14ac:dyDescent="0.45">
      <c r="A705" t="s">
        <v>1336</v>
      </c>
      <c r="B705" s="14">
        <v>0</v>
      </c>
      <c r="C705" s="14">
        <v>2.9399999999999999E-2</v>
      </c>
      <c r="D705" s="14">
        <v>4.8999999999999998E-3</v>
      </c>
      <c r="E705" s="14">
        <v>1.7600000000000001E-2</v>
      </c>
      <c r="F705" t="str">
        <f t="shared" si="20"/>
        <v>Raheem Mostert</v>
      </c>
      <c r="G705" t="str">
        <f t="shared" si="21"/>
        <v>SF</v>
      </c>
      <c r="H705">
        <v>2018</v>
      </c>
    </row>
    <row r="706" spans="1:8" x14ac:dyDescent="0.45">
      <c r="A706" t="s">
        <v>1433</v>
      </c>
      <c r="B706" s="14">
        <v>0</v>
      </c>
      <c r="C706" s="14">
        <v>5.45E-2</v>
      </c>
      <c r="D706" s="14">
        <v>2.8999999999999998E-3</v>
      </c>
      <c r="E706" s="14">
        <v>4.5999999999999999E-2</v>
      </c>
      <c r="F706" t="str">
        <f t="shared" ref="F706:F717" si="22">TRIM(LEFT(A706, FIND("(", A706) - 2))</f>
        <v>Zach Zenner</v>
      </c>
      <c r="G706" t="str">
        <f t="shared" si="21"/>
        <v>DET</v>
      </c>
      <c r="H706">
        <v>2018</v>
      </c>
    </row>
    <row r="707" spans="1:8" x14ac:dyDescent="0.45">
      <c r="A707" t="s">
        <v>1297</v>
      </c>
      <c r="B707" s="14">
        <v>0</v>
      </c>
      <c r="C707" s="14">
        <v>0</v>
      </c>
      <c r="D707" s="14">
        <v>3.3700000000000001E-2</v>
      </c>
      <c r="E707" s="14">
        <v>6.1999999999999998E-3</v>
      </c>
      <c r="F707" t="str">
        <f t="shared" si="22"/>
        <v>Jeff Wilson Jr.</v>
      </c>
      <c r="G707" t="str">
        <f t="shared" ref="G707:G717" si="23">MID(A707, FIND("(", A707) + 1, FIND(")", A707) - FIND("(", A707) - 1)</f>
        <v>SF</v>
      </c>
      <c r="H707">
        <v>2018</v>
      </c>
    </row>
    <row r="708" spans="1:8" x14ac:dyDescent="0.45">
      <c r="A708" t="s">
        <v>1434</v>
      </c>
      <c r="B708" s="14">
        <v>0</v>
      </c>
      <c r="C708" s="14">
        <v>2.63E-2</v>
      </c>
      <c r="D708" s="14">
        <v>1.17E-2</v>
      </c>
      <c r="E708" s="14">
        <v>2.2599999999999999E-2</v>
      </c>
      <c r="F708" t="str">
        <f t="shared" si="22"/>
        <v>Trenton Cannon</v>
      </c>
      <c r="G708" t="str">
        <f t="shared" si="23"/>
        <v>NYJ</v>
      </c>
      <c r="H708">
        <v>2018</v>
      </c>
    </row>
    <row r="709" spans="1:8" x14ac:dyDescent="0.45">
      <c r="A709" t="s">
        <v>1435</v>
      </c>
      <c r="B709" s="14">
        <v>0</v>
      </c>
      <c r="C709" s="14">
        <v>0</v>
      </c>
      <c r="D709" s="14">
        <v>1.01E-2</v>
      </c>
      <c r="E709" s="14">
        <v>8.3999999999999995E-3</v>
      </c>
      <c r="F709" t="str">
        <f t="shared" si="22"/>
        <v>Marcus Murphy</v>
      </c>
      <c r="G709" t="str">
        <f t="shared" si="23"/>
        <v>BUF</v>
      </c>
      <c r="H709">
        <v>2018</v>
      </c>
    </row>
    <row r="710" spans="1:8" x14ac:dyDescent="0.45">
      <c r="A710" t="s">
        <v>1337</v>
      </c>
      <c r="B710" s="14">
        <v>0.05</v>
      </c>
      <c r="C710" s="14">
        <v>0</v>
      </c>
      <c r="D710" s="14">
        <v>4.24E-2</v>
      </c>
      <c r="E710" s="14">
        <v>3.2000000000000002E-3</v>
      </c>
      <c r="F710" t="str">
        <f t="shared" si="22"/>
        <v>Rex Burkhead</v>
      </c>
      <c r="G710" t="str">
        <f t="shared" si="23"/>
        <v>NE</v>
      </c>
      <c r="H710">
        <v>2018</v>
      </c>
    </row>
    <row r="711" spans="1:8" x14ac:dyDescent="0.45">
      <c r="A711" t="s">
        <v>1391</v>
      </c>
      <c r="B711" s="14">
        <v>0</v>
      </c>
      <c r="C711" s="14">
        <v>2.7799999999999998E-2</v>
      </c>
      <c r="D711" s="14">
        <v>1.26E-2</v>
      </c>
      <c r="E711" s="14">
        <v>1.66E-2</v>
      </c>
      <c r="F711" t="str">
        <f t="shared" si="22"/>
        <v>Kalen Ballage</v>
      </c>
      <c r="G711" t="str">
        <f t="shared" si="23"/>
        <v>MIA</v>
      </c>
      <c r="H711">
        <v>2018</v>
      </c>
    </row>
    <row r="712" spans="1:8" x14ac:dyDescent="0.45">
      <c r="A712" t="s">
        <v>1330</v>
      </c>
      <c r="B712" s="14">
        <v>0</v>
      </c>
      <c r="C712" s="14">
        <v>1.9599999999999999E-2</v>
      </c>
      <c r="D712" s="14">
        <v>1.7899999999999999E-2</v>
      </c>
      <c r="E712" s="14">
        <v>3.0599999999999999E-2</v>
      </c>
      <c r="F712" t="str">
        <f t="shared" si="22"/>
        <v>Wayne Gallman Jr.</v>
      </c>
      <c r="G712" t="str">
        <f t="shared" si="23"/>
        <v>NYG</v>
      </c>
      <c r="H712">
        <v>2018</v>
      </c>
    </row>
    <row r="713" spans="1:8" x14ac:dyDescent="0.45">
      <c r="A713" t="s">
        <v>1436</v>
      </c>
      <c r="B713" s="14">
        <v>0</v>
      </c>
      <c r="C713" s="14">
        <v>2.2700000000000001E-2</v>
      </c>
      <c r="D713" s="14">
        <v>9.4999999999999998E-3</v>
      </c>
      <c r="E713" s="14">
        <v>2.07E-2</v>
      </c>
      <c r="F713" t="str">
        <f t="shared" si="22"/>
        <v>Rod Smith</v>
      </c>
      <c r="G713" t="str">
        <f t="shared" si="23"/>
        <v>DAL</v>
      </c>
      <c r="H713">
        <v>2018</v>
      </c>
    </row>
    <row r="714" spans="1:8" x14ac:dyDescent="0.45">
      <c r="A714" t="s">
        <v>1437</v>
      </c>
      <c r="B714" s="14">
        <v>0</v>
      </c>
      <c r="C714" s="14">
        <v>3.4500000000000003E-2</v>
      </c>
      <c r="D714" s="14">
        <v>9.1999999999999998E-3</v>
      </c>
      <c r="E714" s="14">
        <v>3.4500000000000003E-2</v>
      </c>
      <c r="F714" t="str">
        <f t="shared" si="22"/>
        <v>Stevan Ridley</v>
      </c>
      <c r="G714" t="str">
        <f t="shared" si="23"/>
        <v>PIT</v>
      </c>
      <c r="H714">
        <v>2018</v>
      </c>
    </row>
    <row r="715" spans="1:8" x14ac:dyDescent="0.45">
      <c r="A715" t="s">
        <v>1382</v>
      </c>
      <c r="B715" s="14">
        <v>0</v>
      </c>
      <c r="C715" s="14">
        <v>0</v>
      </c>
      <c r="D715" s="14">
        <v>3.0000000000000001E-3</v>
      </c>
      <c r="E715" s="14">
        <v>2.1600000000000001E-2</v>
      </c>
      <c r="F715" t="str">
        <f t="shared" si="22"/>
        <v>DeAndre Washington</v>
      </c>
      <c r="G715" t="str">
        <f t="shared" si="23"/>
        <v>LVR</v>
      </c>
      <c r="H715">
        <v>2018</v>
      </c>
    </row>
    <row r="716" spans="1:8" x14ac:dyDescent="0.45">
      <c r="A716" t="s">
        <v>1438</v>
      </c>
      <c r="B716" s="14">
        <v>0</v>
      </c>
      <c r="C716" s="14">
        <v>0</v>
      </c>
      <c r="D716" s="14">
        <v>3.8E-3</v>
      </c>
      <c r="E716" s="14">
        <v>9.7000000000000003E-3</v>
      </c>
      <c r="F716" t="str">
        <f t="shared" si="22"/>
        <v>John Kelly Jr.</v>
      </c>
      <c r="G716" t="str">
        <f t="shared" si="23"/>
        <v>LAR</v>
      </c>
      <c r="H716">
        <v>2018</v>
      </c>
    </row>
    <row r="717" spans="1:8" x14ac:dyDescent="0.45">
      <c r="A717" t="s">
        <v>1439</v>
      </c>
      <c r="B717" s="14">
        <v>0</v>
      </c>
      <c r="C717" s="14">
        <v>0</v>
      </c>
      <c r="D717" s="14">
        <v>0</v>
      </c>
      <c r="E717" s="14">
        <v>3.5999999999999999E-3</v>
      </c>
      <c r="F717" t="str">
        <f t="shared" si="22"/>
        <v>Dwayne Washington</v>
      </c>
      <c r="G717" t="str">
        <f t="shared" si="23"/>
        <v>NO</v>
      </c>
      <c r="H717">
        <v>2018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RB_advTD</vt:lpstr>
      <vt:lpstr>Inside5</vt:lpstr>
      <vt:lpstr>TDrate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Michael Beckley</dc:creator>
  <cp:lastModifiedBy>Daniel Beckley</cp:lastModifiedBy>
  <dcterms:created xsi:type="dcterms:W3CDTF">2026-08-06T23:15:17Z</dcterms:created>
  <dcterms:modified xsi:type="dcterms:W3CDTF">2026-09-09T04:57:48Z</dcterms:modified>
</cp:coreProperties>
</file>