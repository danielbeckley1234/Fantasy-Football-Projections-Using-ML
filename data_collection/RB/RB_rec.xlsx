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eck\Downloads\"/>
    </mc:Choice>
  </mc:AlternateContent>
  <xr:revisionPtr revIDLastSave="0" documentId="13_ncr:1_{8151B883-D832-4FAD-8339-692C28B1A361}" xr6:coauthVersionLast="47" xr6:coauthVersionMax="47" xr10:uidLastSave="{00000000-0000-0000-0000-000000000000}"/>
  <bookViews>
    <workbookView xWindow="-98" yWindow="-98" windowWidth="21795" windowHeight="12975" xr2:uid="{1BAA5CEC-804F-443D-AECC-4F8D6ED82E98}"/>
  </bookViews>
  <sheets>
    <sheet name="RB_rec" sheetId="1" r:id="rId1"/>
    <sheet name="ESP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Q2" i="1" l="1" a="1"/>
  <c r="Q2" i="1" s="1"/>
  <c r="Q3" i="1" a="1"/>
  <c r="Q3" i="1" s="1"/>
  <c r="Q4" i="1" a="1"/>
  <c r="Q4" i="1" s="1"/>
  <c r="Q5" i="1" a="1"/>
  <c r="Q5" i="1" s="1"/>
  <c r="Q6" i="1" a="1"/>
  <c r="Q6" i="1" s="1"/>
  <c r="Q7" i="1" a="1"/>
  <c r="Q7" i="1" s="1"/>
  <c r="Q8" i="1" a="1"/>
  <c r="Q8" i="1" s="1"/>
  <c r="Q9" i="1" a="1"/>
  <c r="Q9" i="1" s="1"/>
  <c r="Q10" i="1" a="1"/>
  <c r="Q10" i="1" s="1"/>
  <c r="Q11" i="1" a="1"/>
  <c r="Q11" i="1" s="1"/>
  <c r="Q12" i="1" a="1"/>
  <c r="Q12" i="1" s="1"/>
  <c r="Q13" i="1" a="1"/>
  <c r="Q13" i="1" s="1"/>
  <c r="Q14" i="1" a="1"/>
  <c r="Q14" i="1" s="1"/>
  <c r="Q15" i="1" a="1"/>
  <c r="Q15" i="1" s="1"/>
  <c r="Q16" i="1" a="1"/>
  <c r="Q16" i="1" s="1"/>
  <c r="Q17" i="1" a="1"/>
  <c r="Q17" i="1" s="1"/>
  <c r="Q18" i="1" a="1"/>
  <c r="Q18" i="1" s="1"/>
  <c r="Q19" i="1" a="1"/>
  <c r="Q19" i="1" s="1"/>
  <c r="Q20" i="1" a="1"/>
  <c r="Q20" i="1" s="1"/>
  <c r="Q21" i="1" a="1"/>
  <c r="Q21" i="1" s="1"/>
  <c r="Q22" i="1" a="1"/>
  <c r="Q22" i="1" s="1"/>
  <c r="Q23" i="1" a="1"/>
  <c r="Q23" i="1" s="1"/>
  <c r="Q24" i="1" a="1"/>
  <c r="Q24" i="1" s="1"/>
  <c r="Q25" i="1" a="1"/>
  <c r="Q25" i="1" s="1"/>
  <c r="Q26" i="1" a="1"/>
  <c r="Q26" i="1" s="1"/>
  <c r="Q27" i="1" a="1"/>
  <c r="Q27" i="1" s="1"/>
  <c r="Q28" i="1" a="1"/>
  <c r="Q28" i="1" s="1"/>
  <c r="Q29" i="1" a="1"/>
  <c r="Q29" i="1" s="1"/>
  <c r="Q30" i="1" a="1"/>
  <c r="Q30" i="1" s="1"/>
  <c r="Q31" i="1" a="1"/>
  <c r="Q31" i="1" s="1"/>
  <c r="Q32" i="1" a="1"/>
  <c r="Q32" i="1" s="1"/>
  <c r="Q33" i="1" a="1"/>
  <c r="Q33" i="1" s="1"/>
  <c r="Q34" i="1" a="1"/>
  <c r="Q34" i="1" s="1"/>
  <c r="Q35" i="1" a="1"/>
  <c r="Q35" i="1" s="1"/>
  <c r="Q36" i="1" a="1"/>
  <c r="Q36" i="1" s="1"/>
  <c r="Q37" i="1" a="1"/>
  <c r="Q37" i="1" s="1"/>
  <c r="Q38" i="1" a="1"/>
  <c r="Q38" i="1" s="1"/>
  <c r="Q39" i="1" a="1"/>
  <c r="Q39" i="1" s="1"/>
  <c r="Q40" i="1" a="1"/>
  <c r="Q40" i="1" s="1"/>
  <c r="Q41" i="1" a="1"/>
  <c r="Q41" i="1" s="1"/>
  <c r="Q42" i="1" a="1"/>
  <c r="Q42" i="1" s="1"/>
  <c r="Q43" i="1" a="1"/>
  <c r="Q43" i="1" s="1"/>
  <c r="Q44" i="1" a="1"/>
  <c r="Q44" i="1" s="1"/>
  <c r="Q45" i="1" a="1"/>
  <c r="Q45" i="1" s="1"/>
  <c r="Q46" i="1" a="1"/>
  <c r="Q46" i="1" s="1"/>
  <c r="Q47" i="1" a="1"/>
  <c r="Q47" i="1" s="1"/>
  <c r="Q48" i="1" a="1"/>
  <c r="Q48" i="1" s="1"/>
  <c r="Q49" i="1" a="1"/>
  <c r="Q49" i="1" s="1"/>
  <c r="Q50" i="1" a="1"/>
  <c r="Q50" i="1" s="1"/>
  <c r="Q51" i="1" a="1"/>
  <c r="Q51" i="1" s="1"/>
  <c r="Q52" i="1" a="1"/>
  <c r="Q52" i="1" s="1"/>
  <c r="Q53" i="1" a="1"/>
  <c r="Q53" i="1" s="1"/>
  <c r="Q54" i="1" a="1"/>
  <c r="Q54" i="1" s="1"/>
  <c r="Q55" i="1" a="1"/>
  <c r="Q55" i="1" s="1"/>
  <c r="Q56" i="1" a="1"/>
  <c r="Q56" i="1" s="1"/>
  <c r="Q57" i="1" a="1"/>
  <c r="Q57" i="1" s="1"/>
  <c r="Q58" i="1" a="1"/>
  <c r="Q58" i="1" s="1"/>
  <c r="Q59" i="1" a="1"/>
  <c r="Q59" i="1" s="1"/>
  <c r="Q60" i="1" a="1"/>
  <c r="Q60" i="1" s="1"/>
  <c r="Q61" i="1" a="1"/>
  <c r="Q61" i="1" s="1"/>
  <c r="Q62" i="1" a="1"/>
  <c r="Q62" i="1" s="1"/>
  <c r="Q63" i="1" a="1"/>
  <c r="Q63" i="1" s="1"/>
  <c r="Q64" i="1" a="1"/>
  <c r="Q64" i="1" s="1"/>
  <c r="Q65" i="1" a="1"/>
  <c r="Q65" i="1" s="1"/>
  <c r="Q66" i="1" a="1"/>
  <c r="Q66" i="1" s="1"/>
  <c r="Q67" i="1" a="1"/>
  <c r="Q67" i="1" s="1"/>
  <c r="Q68" i="1" a="1"/>
  <c r="Q68" i="1" s="1"/>
  <c r="Q69" i="1" a="1"/>
  <c r="Q69" i="1" s="1"/>
  <c r="Q70" i="1" a="1"/>
  <c r="Q70" i="1" s="1"/>
  <c r="Q71" i="1" a="1"/>
  <c r="Q71" i="1" s="1"/>
  <c r="Q72" i="1" a="1"/>
  <c r="Q72" i="1" s="1"/>
  <c r="Q73" i="1" a="1"/>
  <c r="Q73" i="1" s="1"/>
  <c r="Q74" i="1" a="1"/>
  <c r="Q74" i="1" s="1"/>
  <c r="Q75" i="1" a="1"/>
  <c r="Q75" i="1" s="1"/>
  <c r="Q76" i="1" a="1"/>
  <c r="Q76" i="1" s="1"/>
  <c r="Q77" i="1" a="1"/>
  <c r="Q77" i="1" s="1"/>
  <c r="Q78" i="1" a="1"/>
  <c r="Q78" i="1" s="1"/>
  <c r="Q79" i="1" a="1"/>
  <c r="Q79" i="1" s="1"/>
  <c r="Q80" i="1" a="1"/>
  <c r="Q80" i="1" s="1"/>
  <c r="Q81" i="1" a="1"/>
  <c r="Q81" i="1" s="1"/>
  <c r="Q82" i="1" a="1"/>
  <c r="Q82" i="1" s="1"/>
  <c r="Q83" i="1" a="1"/>
  <c r="Q83" i="1" s="1"/>
  <c r="Q84" i="1" a="1"/>
  <c r="Q84" i="1" s="1"/>
  <c r="Q85" i="1" a="1"/>
  <c r="Q85" i="1" s="1"/>
  <c r="Q86" i="1" a="1"/>
  <c r="Q86" i="1" s="1"/>
  <c r="Q87" i="1" a="1"/>
  <c r="Q87" i="1" s="1"/>
  <c r="Q88" i="1" a="1"/>
  <c r="Q88" i="1" s="1"/>
  <c r="Q89" i="1" a="1"/>
  <c r="Q89" i="1" s="1"/>
  <c r="Q90" i="1" a="1"/>
  <c r="Q90" i="1" s="1"/>
  <c r="Q91" i="1" a="1"/>
  <c r="Q91" i="1" s="1"/>
  <c r="Q92" i="1" a="1"/>
  <c r="Q92" i="1" s="1"/>
  <c r="Q93" i="1" a="1"/>
  <c r="Q93" i="1" s="1"/>
  <c r="Q94" i="1" a="1"/>
  <c r="Q94" i="1" s="1"/>
  <c r="Q95" i="1" a="1"/>
  <c r="Q95" i="1" s="1"/>
  <c r="Q96" i="1" a="1"/>
  <c r="Q96" i="1" s="1"/>
  <c r="Q97" i="1" a="1"/>
  <c r="Q97" i="1" s="1"/>
  <c r="Q98" i="1" a="1"/>
  <c r="Q98" i="1" s="1"/>
  <c r="Q99" i="1" a="1"/>
  <c r="Q99" i="1" s="1"/>
  <c r="Q100" i="1" a="1"/>
  <c r="Q100" i="1" s="1"/>
  <c r="Q101" i="1" a="1"/>
  <c r="Q101" i="1" s="1"/>
  <c r="Q102" i="1" a="1"/>
  <c r="Q102" i="1" s="1"/>
  <c r="Q103" i="1" a="1"/>
  <c r="Q103" i="1" s="1"/>
  <c r="Q104" i="1" a="1"/>
  <c r="Q104" i="1" s="1"/>
  <c r="Q105" i="1" a="1"/>
  <c r="Q105" i="1" s="1"/>
  <c r="Q106" i="1" a="1"/>
  <c r="Q106" i="1" s="1"/>
  <c r="Q107" i="1" a="1"/>
  <c r="Q107" i="1" s="1"/>
  <c r="Q108" i="1" a="1"/>
  <c r="Q108" i="1" s="1"/>
  <c r="Q109" i="1" a="1"/>
  <c r="Q109" i="1" s="1"/>
  <c r="Q110" i="1" a="1"/>
  <c r="Q110" i="1" s="1"/>
  <c r="Q111" i="1" a="1"/>
  <c r="Q111" i="1" s="1"/>
  <c r="Q112" i="1" a="1"/>
  <c r="Q112" i="1" s="1"/>
  <c r="Q113" i="1" a="1"/>
  <c r="Q113" i="1" s="1"/>
  <c r="Q114" i="1" a="1"/>
  <c r="Q114" i="1" s="1"/>
  <c r="Q115" i="1" a="1"/>
  <c r="Q115" i="1" s="1"/>
  <c r="Q116" i="1" a="1"/>
  <c r="Q116" i="1" s="1"/>
  <c r="Q117" i="1" a="1"/>
  <c r="Q117" i="1" s="1"/>
  <c r="Q118" i="1" a="1"/>
  <c r="Q118" i="1" s="1"/>
  <c r="Q119" i="1" a="1"/>
  <c r="Q119" i="1" s="1"/>
  <c r="Q120" i="1" a="1"/>
  <c r="Q120" i="1" s="1"/>
  <c r="Q121" i="1" a="1"/>
  <c r="Q121" i="1" s="1"/>
  <c r="Q122" i="1" a="1"/>
  <c r="Q122" i="1" s="1"/>
  <c r="Q123" i="1" a="1"/>
  <c r="Q123" i="1" s="1"/>
  <c r="Q124" i="1" a="1"/>
  <c r="Q124" i="1" s="1"/>
  <c r="Q125" i="1" a="1"/>
  <c r="Q125" i="1" s="1"/>
  <c r="Q126" i="1" a="1"/>
  <c r="Q126" i="1" s="1"/>
  <c r="Q127" i="1" a="1"/>
  <c r="Q127" i="1" s="1"/>
  <c r="Q128" i="1" a="1"/>
  <c r="Q128" i="1" s="1"/>
  <c r="Q129" i="1" a="1"/>
  <c r="Q129" i="1" s="1"/>
  <c r="Q130" i="1" a="1"/>
  <c r="Q130" i="1" s="1"/>
  <c r="Q131" i="1" a="1"/>
  <c r="Q131" i="1" s="1"/>
  <c r="Q132" i="1" a="1"/>
  <c r="Q132" i="1" s="1"/>
  <c r="Q133" i="1" a="1"/>
  <c r="Q133" i="1" s="1"/>
  <c r="Q134" i="1" a="1"/>
  <c r="Q134" i="1" s="1"/>
  <c r="Q135" i="1" a="1"/>
  <c r="Q135" i="1" s="1"/>
  <c r="Q136" i="1" a="1"/>
  <c r="Q136" i="1" s="1"/>
  <c r="Q137" i="1" a="1"/>
  <c r="Q137" i="1" s="1"/>
  <c r="Q138" i="1" a="1"/>
  <c r="Q138" i="1" s="1"/>
  <c r="Q139" i="1" a="1"/>
  <c r="Q139" i="1" s="1"/>
  <c r="Q140" i="1" a="1"/>
  <c r="Q140" i="1" s="1"/>
  <c r="Q141" i="1" a="1"/>
  <c r="Q141" i="1" s="1"/>
  <c r="Q142" i="1" a="1"/>
  <c r="Q142" i="1" s="1"/>
  <c r="Q143" i="1" a="1"/>
  <c r="Q143" i="1" s="1"/>
  <c r="Q144" i="1" a="1"/>
  <c r="Q144" i="1" s="1"/>
  <c r="Q145" i="1" a="1"/>
  <c r="Q145" i="1" s="1"/>
  <c r="Q146" i="1" a="1"/>
  <c r="Q146" i="1" s="1"/>
  <c r="Q147" i="1" a="1"/>
  <c r="Q147" i="1" s="1"/>
  <c r="Q148" i="1" a="1"/>
  <c r="Q148" i="1" s="1"/>
  <c r="Q149" i="1" a="1"/>
  <c r="Q149" i="1" s="1"/>
  <c r="Q150" i="1" a="1"/>
  <c r="Q150" i="1" s="1"/>
  <c r="Q151" i="1" a="1"/>
  <c r="Q151" i="1" s="1"/>
  <c r="Q152" i="1" a="1"/>
  <c r="Q152" i="1" s="1"/>
  <c r="Q153" i="1" a="1"/>
  <c r="Q153" i="1" s="1"/>
  <c r="Q154" i="1" a="1"/>
  <c r="Q154" i="1" s="1"/>
  <c r="Q155" i="1" a="1"/>
  <c r="Q155" i="1" s="1"/>
  <c r="Q156" i="1" a="1"/>
  <c r="Q156" i="1" s="1"/>
  <c r="Q157" i="1" a="1"/>
  <c r="Q157" i="1" s="1"/>
  <c r="Q158" i="1" a="1"/>
  <c r="Q158" i="1" s="1"/>
  <c r="Q159" i="1" a="1"/>
  <c r="Q159" i="1" s="1"/>
  <c r="Q160" i="1" a="1"/>
  <c r="Q160" i="1" s="1"/>
  <c r="Q161" i="1" a="1"/>
  <c r="Q161" i="1" s="1"/>
  <c r="Q162" i="1" a="1"/>
  <c r="Q162" i="1" s="1"/>
  <c r="Q163" i="1" a="1"/>
  <c r="Q163" i="1" s="1"/>
  <c r="Q164" i="1" a="1"/>
  <c r="Q164" i="1" s="1"/>
  <c r="Q165" i="1" a="1"/>
  <c r="Q165" i="1" s="1"/>
  <c r="Q166" i="1" a="1"/>
  <c r="Q166" i="1" s="1"/>
  <c r="Q167" i="1" a="1"/>
  <c r="Q167" i="1" s="1"/>
  <c r="Q168" i="1" a="1"/>
  <c r="Q168" i="1" s="1"/>
  <c r="Q169" i="1" a="1"/>
  <c r="Q169" i="1" s="1"/>
  <c r="Q170" i="1" a="1"/>
  <c r="Q170" i="1" s="1"/>
  <c r="Q171" i="1" a="1"/>
  <c r="Q171" i="1" s="1"/>
  <c r="Q172" i="1" a="1"/>
  <c r="Q172" i="1" s="1"/>
  <c r="Q173" i="1" a="1"/>
  <c r="Q173" i="1" s="1"/>
  <c r="Q174" i="1" a="1"/>
  <c r="Q174" i="1" s="1"/>
  <c r="Q175" i="1" a="1"/>
  <c r="Q175" i="1" s="1"/>
  <c r="Q176" i="1" a="1"/>
  <c r="Q176" i="1" s="1"/>
  <c r="Q177" i="1" a="1"/>
  <c r="Q177" i="1" s="1"/>
  <c r="Q178" i="1" a="1"/>
  <c r="Q178" i="1" s="1"/>
  <c r="Q179" i="1" a="1"/>
  <c r="Q179" i="1" s="1"/>
  <c r="Q180" i="1" a="1"/>
  <c r="Q180" i="1" s="1"/>
  <c r="Q181" i="1" a="1"/>
  <c r="Q181" i="1" s="1"/>
  <c r="Q182" i="1" a="1"/>
  <c r="Q182" i="1" s="1"/>
  <c r="Q183" i="1" a="1"/>
  <c r="Q183" i="1" s="1"/>
  <c r="Q184" i="1" a="1"/>
  <c r="Q184" i="1" s="1"/>
  <c r="Q185" i="1" a="1"/>
  <c r="Q185" i="1" s="1"/>
  <c r="Q186" i="1" a="1"/>
  <c r="Q186" i="1" s="1"/>
  <c r="Q187" i="1" a="1"/>
  <c r="Q187" i="1" s="1"/>
  <c r="Q188" i="1" a="1"/>
  <c r="Q188" i="1" s="1"/>
  <c r="Q189" i="1" a="1"/>
  <c r="Q189" i="1" s="1"/>
  <c r="Q190" i="1" a="1"/>
  <c r="Q190" i="1" s="1"/>
  <c r="Q191" i="1" a="1"/>
  <c r="Q191" i="1" s="1"/>
  <c r="Q192" i="1" a="1"/>
  <c r="Q192" i="1" s="1"/>
  <c r="Q193" i="1" a="1"/>
  <c r="Q193" i="1" s="1"/>
  <c r="Q194" i="1" a="1"/>
  <c r="Q194" i="1" s="1"/>
  <c r="Q195" i="1" a="1"/>
  <c r="Q195" i="1" s="1"/>
  <c r="Q196" i="1" a="1"/>
  <c r="Q196" i="1" s="1"/>
  <c r="Q197" i="1" a="1"/>
  <c r="Q197" i="1" s="1"/>
  <c r="Q198" i="1" a="1"/>
  <c r="Q198" i="1" s="1"/>
  <c r="Q199" i="1" a="1"/>
  <c r="Q199" i="1" s="1"/>
  <c r="Q200" i="1" a="1"/>
  <c r="Q200" i="1" s="1"/>
  <c r="Q201" i="1" a="1"/>
  <c r="Q201" i="1" s="1"/>
  <c r="Q202" i="1" a="1"/>
  <c r="Q202" i="1" s="1"/>
  <c r="Q203" i="1" a="1"/>
  <c r="Q203" i="1" s="1"/>
  <c r="Q204" i="1" a="1"/>
  <c r="Q204" i="1" s="1"/>
  <c r="Q205" i="1" a="1"/>
  <c r="Q205" i="1" s="1"/>
  <c r="Q206" i="1" a="1"/>
  <c r="Q206" i="1" s="1"/>
  <c r="Q207" i="1" a="1"/>
  <c r="Q207" i="1" s="1"/>
  <c r="Q208" i="1" a="1"/>
  <c r="Q208" i="1" s="1"/>
  <c r="Q209" i="1" a="1"/>
  <c r="Q209" i="1" s="1"/>
  <c r="Q210" i="1" a="1"/>
  <c r="Q210" i="1" s="1"/>
  <c r="Q211" i="1" a="1"/>
  <c r="Q211" i="1" s="1"/>
  <c r="Q212" i="1" a="1"/>
  <c r="Q212" i="1" s="1"/>
  <c r="Q213" i="1" a="1"/>
  <c r="Q213" i="1" s="1"/>
  <c r="Q214" i="1" a="1"/>
  <c r="Q214" i="1" s="1"/>
  <c r="Q215" i="1" a="1"/>
  <c r="Q215" i="1" s="1"/>
  <c r="Q216" i="1" a="1"/>
  <c r="Q216" i="1" s="1"/>
  <c r="Q217" i="1" a="1"/>
  <c r="Q217" i="1" s="1"/>
  <c r="Q218" i="1" a="1"/>
  <c r="Q218" i="1" s="1"/>
  <c r="Q219" i="1" a="1"/>
  <c r="Q219" i="1" s="1"/>
  <c r="Q220" i="1" a="1"/>
  <c r="Q220" i="1" s="1"/>
  <c r="Q221" i="1" a="1"/>
  <c r="Q221" i="1" s="1"/>
  <c r="Q222" i="1" a="1"/>
  <c r="Q222" i="1" s="1"/>
  <c r="Q223" i="1" a="1"/>
  <c r="Q223" i="1" s="1"/>
  <c r="Q224" i="1" a="1"/>
  <c r="Q224" i="1" s="1"/>
  <c r="Q225" i="1" a="1"/>
  <c r="Q225" i="1" s="1"/>
  <c r="Q226" i="1" a="1"/>
  <c r="Q226" i="1" s="1"/>
  <c r="Q227" i="1" a="1"/>
  <c r="Q227" i="1" s="1"/>
  <c r="Q228" i="1" a="1"/>
  <c r="Q228" i="1" s="1"/>
  <c r="Q229" i="1" a="1"/>
  <c r="Q229" i="1" s="1"/>
  <c r="Q230" i="1" a="1"/>
  <c r="Q230" i="1" s="1"/>
  <c r="Q231" i="1" a="1"/>
  <c r="Q231" i="1" s="1"/>
  <c r="Q232" i="1" a="1"/>
  <c r="Q232" i="1" s="1"/>
  <c r="Q233" i="1" a="1"/>
  <c r="Q233" i="1" s="1"/>
  <c r="Q234" i="1" a="1"/>
  <c r="Q234" i="1" s="1"/>
  <c r="Q235" i="1" a="1"/>
  <c r="Q235" i="1" s="1"/>
  <c r="Q236" i="1" a="1"/>
  <c r="Q236" i="1" s="1"/>
  <c r="Q237" i="1" a="1"/>
  <c r="Q237" i="1" s="1"/>
  <c r="Q238" i="1" a="1"/>
  <c r="Q238" i="1" s="1"/>
  <c r="Q239" i="1" a="1"/>
  <c r="Q239" i="1" s="1"/>
  <c r="Q240" i="1" a="1"/>
  <c r="Q240" i="1" s="1"/>
  <c r="Q241" i="1" a="1"/>
  <c r="Q241" i="1" s="1"/>
  <c r="Q242" i="1" a="1"/>
  <c r="Q242" i="1" s="1"/>
  <c r="Q243" i="1" a="1"/>
  <c r="Q243" i="1" s="1"/>
  <c r="Q244" i="1" a="1"/>
  <c r="Q244" i="1" s="1"/>
  <c r="Q245" i="1" a="1"/>
  <c r="Q245" i="1" s="1"/>
  <c r="Q246" i="1" a="1"/>
  <c r="Q246" i="1" s="1"/>
  <c r="Q247" i="1" a="1"/>
  <c r="Q247" i="1" s="1"/>
  <c r="Q248" i="1" a="1"/>
  <c r="Q248" i="1" s="1"/>
  <c r="Q249" i="1" a="1"/>
  <c r="Q249" i="1" s="1"/>
  <c r="Q250" i="1" a="1"/>
  <c r="Q250" i="1" s="1"/>
  <c r="Q251" i="1" a="1"/>
  <c r="Q251" i="1" s="1"/>
  <c r="Q252" i="1" a="1"/>
  <c r="Q252" i="1" s="1"/>
  <c r="Q253" i="1" a="1"/>
  <c r="Q253" i="1" s="1"/>
  <c r="Q254" i="1" a="1"/>
  <c r="Q254" i="1" s="1"/>
  <c r="Q255" i="1" a="1"/>
  <c r="Q255" i="1" s="1"/>
  <c r="Q256" i="1" a="1"/>
  <c r="Q256" i="1" s="1"/>
  <c r="Q257" i="1" a="1"/>
  <c r="Q257" i="1" s="1"/>
  <c r="Q258" i="1" a="1"/>
  <c r="Q258" i="1" s="1"/>
  <c r="Q259" i="1" a="1"/>
  <c r="Q259" i="1" s="1"/>
  <c r="Q260" i="1" a="1"/>
  <c r="Q260" i="1" s="1"/>
  <c r="Q261" i="1" a="1"/>
  <c r="Q261" i="1" s="1"/>
  <c r="Q262" i="1" a="1"/>
  <c r="Q262" i="1" s="1"/>
  <c r="Q263" i="1" a="1"/>
  <c r="Q263" i="1" s="1"/>
  <c r="Q264" i="1" a="1"/>
  <c r="Q264" i="1" s="1"/>
  <c r="Q265" i="1" a="1"/>
  <c r="Q265" i="1" s="1"/>
  <c r="Q266" i="1" a="1"/>
  <c r="Q266" i="1" s="1"/>
  <c r="Q267" i="1" a="1"/>
  <c r="Q267" i="1" s="1"/>
  <c r="Q268" i="1" a="1"/>
  <c r="Q268" i="1" s="1"/>
  <c r="Q269" i="1" a="1"/>
  <c r="Q269" i="1" s="1"/>
  <c r="Q270" i="1" a="1"/>
  <c r="Q270" i="1" s="1"/>
  <c r="Q271" i="1" a="1"/>
  <c r="Q271" i="1" s="1"/>
  <c r="Q272" i="1" a="1"/>
  <c r="Q272" i="1" s="1"/>
  <c r="Q273" i="1" a="1"/>
  <c r="Q273" i="1" s="1"/>
  <c r="Q274" i="1" a="1"/>
  <c r="Q274" i="1" s="1"/>
  <c r="Q275" i="1" a="1"/>
  <c r="Q275" i="1" s="1"/>
  <c r="Q276" i="1" a="1"/>
  <c r="Q276" i="1" s="1"/>
  <c r="Q277" i="1" a="1"/>
  <c r="Q277" i="1" s="1"/>
  <c r="Q278" i="1" a="1"/>
  <c r="Q278" i="1" s="1"/>
  <c r="Q279" i="1" a="1"/>
  <c r="Q279" i="1" s="1"/>
  <c r="Q280" i="1" a="1"/>
  <c r="Q280" i="1" s="1"/>
  <c r="Q281" i="1" a="1"/>
  <c r="Q281" i="1" s="1"/>
  <c r="Q282" i="1" a="1"/>
  <c r="Q282" i="1" s="1"/>
  <c r="Q283" i="1" a="1"/>
  <c r="Q283" i="1" s="1"/>
  <c r="Q284" i="1" a="1"/>
  <c r="Q284" i="1" s="1"/>
  <c r="Q285" i="1" a="1"/>
  <c r="Q285" i="1" s="1"/>
  <c r="Q286" i="1" a="1"/>
  <c r="Q286" i="1" s="1"/>
  <c r="Q287" i="1" a="1"/>
  <c r="Q287" i="1" s="1"/>
  <c r="Q288" i="1" a="1"/>
  <c r="Q288" i="1" s="1"/>
  <c r="Q289" i="1" a="1"/>
  <c r="Q289" i="1" s="1"/>
  <c r="Q290" i="1" a="1"/>
  <c r="Q290" i="1" s="1"/>
  <c r="Q291" i="1" a="1"/>
  <c r="Q291" i="1" s="1"/>
  <c r="Q292" i="1" a="1"/>
  <c r="Q292" i="1" s="1"/>
  <c r="Q293" i="1" a="1"/>
  <c r="Q293" i="1" s="1"/>
  <c r="Q294" i="1" a="1"/>
  <c r="Q294" i="1" s="1"/>
  <c r="Q295" i="1" a="1"/>
  <c r="Q295" i="1" s="1"/>
  <c r="Q296" i="1" a="1"/>
  <c r="Q296" i="1" s="1"/>
  <c r="Q297" i="1" a="1"/>
  <c r="Q297" i="1" s="1"/>
  <c r="Q298" i="1" a="1"/>
  <c r="Q298" i="1" s="1"/>
  <c r="Q299" i="1" a="1"/>
  <c r="Q299" i="1" s="1"/>
  <c r="Q300" i="1" a="1"/>
  <c r="Q300" i="1" s="1"/>
  <c r="Q301" i="1" a="1"/>
  <c r="Q301" i="1" s="1"/>
  <c r="Q302" i="1" a="1"/>
  <c r="Q302" i="1" s="1"/>
  <c r="Q303" i="1" a="1"/>
  <c r="Q303" i="1" s="1"/>
  <c r="Q304" i="1" a="1"/>
  <c r="Q304" i="1" s="1"/>
  <c r="Q305" i="1" a="1"/>
  <c r="Q305" i="1" s="1"/>
  <c r="Q306" i="1" a="1"/>
  <c r="Q306" i="1" s="1"/>
  <c r="Q307" i="1" a="1"/>
  <c r="Q307" i="1" s="1"/>
  <c r="Q308" i="1" a="1"/>
  <c r="Q308" i="1" s="1"/>
  <c r="Q309" i="1" a="1"/>
  <c r="Q309" i="1" s="1"/>
  <c r="Q310" i="1" a="1"/>
  <c r="Q310" i="1" s="1"/>
  <c r="Q311" i="1" a="1"/>
  <c r="Q311" i="1" s="1"/>
  <c r="Q312" i="1" a="1"/>
  <c r="Q312" i="1" s="1"/>
  <c r="Q313" i="1" a="1"/>
  <c r="Q313" i="1" s="1"/>
  <c r="Q314" i="1" a="1"/>
  <c r="Q314" i="1" s="1"/>
  <c r="Q315" i="1" a="1"/>
  <c r="Q315" i="1" s="1"/>
  <c r="Q316" i="1" a="1"/>
  <c r="Q316" i="1" s="1"/>
  <c r="Q317" i="1" a="1"/>
  <c r="Q317" i="1" s="1"/>
  <c r="Q318" i="1" a="1"/>
  <c r="Q318" i="1" s="1"/>
  <c r="Q319" i="1" a="1"/>
  <c r="Q319" i="1" s="1"/>
  <c r="Q320" i="1" a="1"/>
  <c r="Q320" i="1" s="1"/>
  <c r="Q321" i="1" a="1"/>
  <c r="Q321" i="1" s="1"/>
  <c r="Q322" i="1" a="1"/>
  <c r="Q322" i="1" s="1"/>
  <c r="Q323" i="1" a="1"/>
  <c r="Q323" i="1" s="1"/>
  <c r="Q324" i="1" a="1"/>
  <c r="Q324" i="1" s="1"/>
  <c r="Q325" i="1" a="1"/>
  <c r="Q325" i="1" s="1"/>
  <c r="Q326" i="1" a="1"/>
  <c r="Q326" i="1" s="1"/>
  <c r="Q327" i="1" a="1"/>
  <c r="Q327" i="1" s="1"/>
  <c r="Q328" i="1" a="1"/>
  <c r="Q328" i="1" s="1"/>
  <c r="Q329" i="1" a="1"/>
  <c r="Q329" i="1" s="1"/>
  <c r="Q330" i="1" a="1"/>
  <c r="Q330" i="1" s="1"/>
  <c r="Q331" i="1" a="1"/>
  <c r="Q331" i="1" s="1"/>
  <c r="Q332" i="1" a="1"/>
  <c r="Q332" i="1" s="1"/>
  <c r="Q333" i="1" a="1"/>
  <c r="Q333" i="1" s="1"/>
  <c r="Q334" i="1" a="1"/>
  <c r="Q334" i="1" s="1"/>
  <c r="Q335" i="1" a="1"/>
  <c r="Q335" i="1" s="1"/>
  <c r="Q336" i="1" a="1"/>
  <c r="Q336" i="1" s="1"/>
  <c r="Q337" i="1" a="1"/>
  <c r="Q337" i="1" s="1"/>
  <c r="Q338" i="1" a="1"/>
  <c r="Q338" i="1" s="1"/>
  <c r="Q339" i="1" a="1"/>
  <c r="Q339" i="1" s="1"/>
  <c r="Q340" i="1" a="1"/>
  <c r="Q340" i="1" s="1"/>
  <c r="Q341" i="1" a="1"/>
  <c r="Q341" i="1" s="1"/>
  <c r="Q342" i="1" a="1"/>
  <c r="Q342" i="1" s="1"/>
  <c r="Q343" i="1" a="1"/>
  <c r="Q343" i="1" s="1"/>
  <c r="Q344" i="1" a="1"/>
  <c r="Q344" i="1" s="1"/>
  <c r="Q345" i="1" a="1"/>
  <c r="Q345" i="1" s="1"/>
  <c r="Q346" i="1" a="1"/>
  <c r="Q346" i="1"/>
  <c r="Q347" i="1" a="1"/>
  <c r="Q347" i="1" s="1"/>
  <c r="Q348" i="1" a="1"/>
  <c r="Q348" i="1" s="1"/>
  <c r="Q349" i="1" a="1"/>
  <c r="Q349" i="1" s="1"/>
  <c r="Q350" i="1" a="1"/>
  <c r="Q350" i="1" s="1"/>
  <c r="Q351" i="1" a="1"/>
  <c r="Q351" i="1" s="1"/>
  <c r="Q352" i="1" a="1"/>
  <c r="Q352" i="1"/>
  <c r="Q353" i="1" a="1"/>
  <c r="Q353" i="1" s="1"/>
  <c r="Q354" i="1" a="1"/>
  <c r="Q354" i="1"/>
  <c r="Q355" i="1" a="1"/>
  <c r="Q355" i="1" s="1"/>
  <c r="Q356" i="1" a="1"/>
  <c r="Q356" i="1" s="1"/>
  <c r="Q357" i="1" a="1"/>
  <c r="Q357" i="1" s="1"/>
  <c r="Q358" i="1" a="1"/>
  <c r="Q358" i="1" s="1"/>
  <c r="Q359" i="1" a="1"/>
  <c r="Q359" i="1"/>
  <c r="Q360" i="1" a="1"/>
  <c r="Q360" i="1" s="1"/>
  <c r="Q361" i="1" a="1"/>
  <c r="Q361" i="1" s="1"/>
  <c r="Q362" i="1" a="1"/>
  <c r="Q362" i="1" s="1"/>
  <c r="Q363" i="1" a="1"/>
  <c r="Q363" i="1" s="1"/>
  <c r="Q364" i="1" a="1"/>
  <c r="Q364" i="1" s="1"/>
  <c r="Q365" i="1" a="1"/>
  <c r="Q365" i="1" s="1"/>
  <c r="Q366" i="1" a="1"/>
  <c r="Q366" i="1"/>
  <c r="Q367" i="1" a="1"/>
  <c r="Q367" i="1"/>
  <c r="Q368" i="1" a="1"/>
  <c r="Q368" i="1" s="1"/>
  <c r="Q369" i="1" a="1"/>
  <c r="Q369" i="1" s="1"/>
  <c r="Q370" i="1" a="1"/>
  <c r="Q370" i="1" s="1"/>
  <c r="Q371" i="1" a="1"/>
  <c r="Q371" i="1" s="1"/>
  <c r="Q372" i="1" a="1"/>
  <c r="Q372" i="1" s="1"/>
  <c r="Q373" i="1" a="1"/>
  <c r="Q373" i="1"/>
  <c r="Q374" i="1" a="1"/>
  <c r="Q374" i="1" s="1"/>
  <c r="Q375" i="1" a="1"/>
  <c r="Q375" i="1" s="1"/>
  <c r="Q376" i="1" a="1"/>
  <c r="Q376" i="1" s="1"/>
  <c r="Q377" i="1" a="1"/>
  <c r="Q377" i="1" s="1"/>
  <c r="Q378" i="1" a="1"/>
  <c r="Q378" i="1" s="1"/>
  <c r="Q379" i="1" a="1"/>
  <c r="Q379" i="1" s="1"/>
  <c r="Q380" i="1" a="1"/>
  <c r="Q380" i="1" s="1"/>
  <c r="Q381" i="1" a="1"/>
  <c r="Q381" i="1" s="1"/>
  <c r="Q382" i="1" a="1"/>
  <c r="Q382" i="1"/>
  <c r="Q383" i="1" a="1"/>
  <c r="Q383" i="1" s="1"/>
  <c r="Q384" i="1" a="1"/>
  <c r="Q384" i="1" s="1"/>
  <c r="Q385" i="1" a="1"/>
  <c r="Q385" i="1" s="1"/>
  <c r="Q386" i="1" a="1"/>
  <c r="Q386" i="1" s="1"/>
  <c r="Q387" i="1" a="1"/>
  <c r="Q387" i="1" s="1"/>
  <c r="Q388" i="1" a="1"/>
  <c r="Q388" i="1" s="1"/>
  <c r="Q389" i="1" a="1"/>
  <c r="Q389" i="1" s="1"/>
  <c r="Q390" i="1" a="1"/>
  <c r="Q390" i="1"/>
  <c r="Q391" i="1" a="1"/>
  <c r="Q391" i="1" s="1"/>
  <c r="Q392" i="1" a="1"/>
  <c r="Q392" i="1" s="1"/>
  <c r="Q393" i="1" a="1"/>
  <c r="Q393" i="1" s="1"/>
  <c r="Q394" i="1" a="1"/>
  <c r="Q394" i="1" s="1"/>
  <c r="Q395" i="1" a="1"/>
  <c r="Q395" i="1"/>
  <c r="Q396" i="1" a="1"/>
  <c r="Q396" i="1" s="1"/>
  <c r="Q397" i="1" a="1"/>
  <c r="Q397" i="1" s="1"/>
  <c r="Q398" i="1" a="1"/>
  <c r="Q398" i="1" s="1"/>
  <c r="Q399" i="1" a="1"/>
  <c r="Q399" i="1" s="1"/>
  <c r="Q400" i="1" a="1"/>
  <c r="Q400" i="1" s="1"/>
  <c r="Q401" i="1" a="1"/>
  <c r="Q401" i="1" s="1"/>
  <c r="Q402" i="1" a="1"/>
  <c r="Q402" i="1"/>
  <c r="Q403" i="1" a="1"/>
  <c r="Q403" i="1"/>
  <c r="Q404" i="1" a="1"/>
  <c r="Q404" i="1" s="1"/>
  <c r="Q405" i="1" a="1"/>
  <c r="Q405" i="1" s="1"/>
  <c r="Q406" i="1" a="1"/>
  <c r="Q406" i="1" s="1"/>
  <c r="Q407" i="1" a="1"/>
  <c r="Q407" i="1" s="1"/>
  <c r="Q408" i="1" a="1"/>
  <c r="Q408" i="1" s="1"/>
  <c r="Q409" i="1" a="1"/>
  <c r="Q409" i="1"/>
  <c r="Q410" i="1" a="1"/>
  <c r="Q410" i="1" s="1"/>
  <c r="Q411" i="1" a="1"/>
  <c r="Q411" i="1" s="1"/>
  <c r="Q412" i="1" a="1"/>
  <c r="Q412" i="1" s="1"/>
  <c r="Q413" i="1" a="1"/>
  <c r="Q413" i="1" s="1"/>
  <c r="Q414" i="1" a="1"/>
  <c r="Q414" i="1" s="1"/>
  <c r="Q415" i="1" a="1"/>
  <c r="Q415" i="1" s="1"/>
  <c r="Q416" i="1" a="1"/>
  <c r="Q416" i="1" s="1"/>
  <c r="Q417" i="1" a="1"/>
  <c r="Q417" i="1" s="1"/>
  <c r="Q418" i="1" a="1"/>
  <c r="Q418" i="1"/>
  <c r="Q419" i="1" a="1"/>
  <c r="Q419" i="1" s="1"/>
  <c r="Q420" i="1" a="1"/>
  <c r="Q420" i="1" s="1"/>
  <c r="Q421" i="1" a="1"/>
  <c r="Q421" i="1" s="1"/>
  <c r="Q422" i="1" a="1"/>
  <c r="Q422" i="1" s="1"/>
  <c r="Q423" i="1" a="1"/>
  <c r="Q423" i="1" s="1"/>
  <c r="Q424" i="1" a="1"/>
  <c r="Q424" i="1" s="1"/>
  <c r="Q425" i="1" a="1"/>
  <c r="Q425" i="1" s="1"/>
  <c r="Q426" i="1" a="1"/>
  <c r="Q426" i="1"/>
  <c r="Q427" i="1" a="1"/>
  <c r="Q427" i="1" s="1"/>
  <c r="Q428" i="1" a="1"/>
  <c r="Q428" i="1" s="1"/>
  <c r="Q429" i="1" a="1"/>
  <c r="Q429" i="1" s="1"/>
  <c r="Q430" i="1" a="1"/>
  <c r="Q430" i="1" s="1"/>
  <c r="Q431" i="1" a="1"/>
  <c r="Q431" i="1"/>
  <c r="Q432" i="1" a="1"/>
  <c r="Q432" i="1" s="1"/>
  <c r="Q433" i="1" a="1"/>
  <c r="Q433" i="1" s="1"/>
  <c r="Q434" i="1" a="1"/>
  <c r="Q434" i="1" s="1"/>
  <c r="Q435" i="1" a="1"/>
  <c r="Q435" i="1" s="1"/>
  <c r="Q436" i="1" a="1"/>
  <c r="Q436" i="1" s="1"/>
  <c r="Q437" i="1" a="1"/>
  <c r="Q437" i="1" s="1"/>
  <c r="Q438" i="1" a="1"/>
  <c r="Q438" i="1"/>
  <c r="Q439" i="1" a="1"/>
  <c r="Q439" i="1"/>
  <c r="Q440" i="1" a="1"/>
  <c r="Q440" i="1" s="1"/>
  <c r="Q441" i="1" a="1"/>
  <c r="Q441" i="1" s="1"/>
  <c r="Q442" i="1" a="1"/>
  <c r="Q442" i="1" s="1"/>
  <c r="Q443" i="1" a="1"/>
  <c r="Q443" i="1" s="1"/>
  <c r="Q444" i="1" a="1"/>
  <c r="Q444" i="1" s="1"/>
  <c r="Q445" i="1" a="1"/>
  <c r="Q445" i="1"/>
  <c r="Q446" i="1" a="1"/>
  <c r="Q446" i="1" s="1"/>
  <c r="Q447" i="1" a="1"/>
  <c r="Q447" i="1" s="1"/>
  <c r="Q448" i="1" a="1"/>
  <c r="Q448" i="1" s="1"/>
  <c r="Q449" i="1" a="1"/>
  <c r="Q449" i="1" s="1"/>
  <c r="Q450" i="1" a="1"/>
  <c r="Q450" i="1" s="1"/>
  <c r="Q451" i="1" a="1"/>
  <c r="Q451" i="1" s="1"/>
  <c r="Q452" i="1" a="1"/>
  <c r="Q452" i="1" s="1"/>
  <c r="Q453" i="1" a="1"/>
  <c r="Q453" i="1" s="1"/>
  <c r="Q454" i="1" a="1"/>
  <c r="Q454" i="1"/>
  <c r="Q455" i="1" a="1"/>
  <c r="Q455" i="1" s="1"/>
  <c r="Q456" i="1" a="1"/>
  <c r="Q456" i="1" s="1"/>
  <c r="Q457" i="1" a="1"/>
  <c r="Q457" i="1" s="1"/>
  <c r="Q458" i="1" a="1"/>
  <c r="Q458" i="1" s="1"/>
  <c r="Q459" i="1" a="1"/>
  <c r="Q459" i="1" s="1"/>
  <c r="Q460" i="1" a="1"/>
  <c r="Q460" i="1" s="1"/>
  <c r="Q461" i="1" a="1"/>
  <c r="Q461" i="1" s="1"/>
  <c r="Q462" i="1" a="1"/>
  <c r="Q462" i="1"/>
  <c r="Q463" i="1" a="1"/>
  <c r="Q463" i="1" s="1"/>
  <c r="Q464" i="1" a="1"/>
  <c r="Q464" i="1" s="1"/>
  <c r="Q465" i="1" a="1"/>
  <c r="Q465" i="1" s="1"/>
  <c r="Q466" i="1" a="1"/>
  <c r="Q466" i="1" s="1"/>
  <c r="Q467" i="1" a="1"/>
  <c r="Q467" i="1"/>
  <c r="Q468" i="1" a="1"/>
  <c r="Q468" i="1" s="1"/>
  <c r="Q469" i="1" a="1"/>
  <c r="Q469" i="1" s="1"/>
  <c r="Q470" i="1" a="1"/>
  <c r="Q470" i="1" s="1"/>
  <c r="Q471" i="1" a="1"/>
  <c r="Q471" i="1" s="1"/>
  <c r="Q472" i="1" a="1"/>
  <c r="Q472" i="1" s="1"/>
  <c r="Q473" i="1" a="1"/>
  <c r="Q473" i="1" s="1"/>
  <c r="Q474" i="1" a="1"/>
  <c r="Q474" i="1"/>
  <c r="Q475" i="1" a="1"/>
  <c r="Q475" i="1"/>
  <c r="Q476" i="1" a="1"/>
  <c r="Q476" i="1" s="1"/>
  <c r="Q477" i="1" a="1"/>
  <c r="Q477" i="1" s="1"/>
  <c r="Q478" i="1" a="1"/>
  <c r="Q478" i="1" s="1"/>
  <c r="Q479" i="1" a="1"/>
  <c r="Q479" i="1" s="1"/>
  <c r="Q480" i="1" a="1"/>
  <c r="Q480" i="1" s="1"/>
  <c r="Q481" i="1" a="1"/>
  <c r="Q481" i="1"/>
  <c r="Q482" i="1" a="1"/>
  <c r="Q482" i="1" s="1"/>
  <c r="Q483" i="1" a="1"/>
  <c r="Q483" i="1" s="1"/>
  <c r="Q484" i="1" a="1"/>
  <c r="Q484" i="1" s="1"/>
  <c r="Q485" i="1" a="1"/>
  <c r="Q485" i="1" s="1"/>
  <c r="Q486" i="1" a="1"/>
  <c r="Q486" i="1" s="1"/>
  <c r="Q487" i="1" a="1"/>
  <c r="Q487" i="1" s="1"/>
  <c r="Q488" i="1" a="1"/>
  <c r="Q488" i="1" s="1"/>
  <c r="Q489" i="1" a="1"/>
  <c r="Q489" i="1" s="1"/>
  <c r="Q490" i="1" a="1"/>
  <c r="Q490" i="1"/>
  <c r="Q491" i="1" a="1"/>
  <c r="Q491" i="1" s="1"/>
  <c r="Q492" i="1" a="1"/>
  <c r="Q492" i="1" s="1"/>
  <c r="Q493" i="1" a="1"/>
  <c r="Q493" i="1" s="1"/>
  <c r="Q494" i="1" a="1"/>
  <c r="Q494" i="1" s="1"/>
  <c r="Q495" i="1" a="1"/>
  <c r="Q495" i="1" s="1"/>
  <c r="Q496" i="1" a="1"/>
  <c r="Q496" i="1"/>
  <c r="Q497" i="1" a="1"/>
  <c r="Q497" i="1" s="1"/>
  <c r="Q498" i="1" a="1"/>
  <c r="Q498" i="1" s="1"/>
  <c r="Q499" i="1" a="1"/>
  <c r="Q499" i="1" s="1"/>
  <c r="Q500" i="1" a="1"/>
  <c r="Q500" i="1" s="1"/>
  <c r="Q501" i="1" a="1"/>
  <c r="Q501" i="1" s="1"/>
  <c r="Q502" i="1" a="1"/>
  <c r="Q502" i="1" s="1"/>
  <c r="Q503" i="1" a="1"/>
  <c r="Q503" i="1"/>
  <c r="Q504" i="1" a="1"/>
  <c r="Q504" i="1" s="1"/>
  <c r="Q505" i="1" a="1"/>
  <c r="Q505" i="1" s="1"/>
  <c r="Q506" i="1" a="1"/>
  <c r="Q506" i="1" s="1"/>
  <c r="Q507" i="1" a="1"/>
  <c r="Q507" i="1" s="1"/>
  <c r="Q508" i="1" a="1"/>
  <c r="Q508" i="1" s="1"/>
  <c r="Q509" i="1" a="1"/>
  <c r="Q509" i="1" s="1"/>
  <c r="Q510" i="1" a="1"/>
  <c r="Q510" i="1"/>
  <c r="Q511" i="1" a="1"/>
  <c r="Q511" i="1" s="1"/>
  <c r="Q512" i="1" a="1"/>
  <c r="Q512" i="1" s="1"/>
  <c r="Q513" i="1" a="1"/>
  <c r="Q513" i="1" s="1"/>
  <c r="Q514" i="1" a="1"/>
  <c r="Q514" i="1" s="1"/>
  <c r="Q515" i="1" a="1"/>
  <c r="Q515" i="1"/>
  <c r="Q516" i="1" a="1"/>
  <c r="Q516" i="1"/>
  <c r="Q517" i="1" a="1"/>
  <c r="Q517" i="1" s="1"/>
  <c r="Q518" i="1" a="1"/>
  <c r="Q518" i="1" s="1"/>
  <c r="Q519" i="1" a="1"/>
  <c r="Q519" i="1" s="1"/>
  <c r="Q520" i="1" a="1"/>
  <c r="Q520" i="1"/>
  <c r="Q521" i="1" a="1"/>
  <c r="Q521" i="1" s="1"/>
  <c r="Q522" i="1" a="1"/>
  <c r="Q522" i="1" s="1"/>
  <c r="Q523" i="1" a="1"/>
  <c r="Q523" i="1"/>
  <c r="Q524" i="1" a="1"/>
  <c r="Q524" i="1"/>
  <c r="Q525" i="1" a="1"/>
  <c r="Q525" i="1" s="1"/>
  <c r="Q526" i="1" a="1"/>
  <c r="Q526" i="1"/>
  <c r="Q527" i="1" a="1"/>
  <c r="Q527" i="1" s="1"/>
  <c r="Q528" i="1" a="1"/>
  <c r="Q528" i="1"/>
  <c r="Q529" i="1" a="1"/>
  <c r="Q529" i="1"/>
  <c r="Q530" i="1" a="1"/>
  <c r="Q530" i="1"/>
  <c r="Q531" i="1" a="1"/>
  <c r="Q531" i="1" s="1"/>
  <c r="Q532" i="1" a="1"/>
  <c r="Q532" i="1" s="1"/>
  <c r="Q533" i="1" a="1"/>
  <c r="Q533" i="1"/>
  <c r="Q534" i="1" a="1"/>
  <c r="Q534" i="1" s="1"/>
  <c r="Q535" i="1" a="1"/>
  <c r="Q535" i="1" s="1"/>
  <c r="Q536" i="1" a="1"/>
  <c r="Q536" i="1"/>
  <c r="Q537" i="1" a="1"/>
  <c r="Q537" i="1" s="1"/>
  <c r="Q538" i="1" a="1"/>
  <c r="Q538" i="1" s="1"/>
  <c r="Q539" i="1" a="1"/>
  <c r="Q539" i="1" s="1"/>
  <c r="Q540" i="1" a="1"/>
  <c r="Q540" i="1"/>
  <c r="Q541" i="1" a="1"/>
  <c r="Q541" i="1"/>
  <c r="Q542" i="1" a="1"/>
  <c r="Q542" i="1"/>
  <c r="Q543" i="1" a="1"/>
  <c r="Q543" i="1" s="1"/>
  <c r="Q544" i="1" a="1"/>
  <c r="Q544" i="1" s="1"/>
  <c r="Q545" i="1" a="1"/>
  <c r="Q545" i="1" s="1"/>
  <c r="Q546" i="1" a="1"/>
  <c r="Q546" i="1"/>
  <c r="Q547" i="1" a="1"/>
  <c r="Q547" i="1" s="1"/>
  <c r="Q548" i="1" a="1"/>
  <c r="Q548" i="1" s="1"/>
  <c r="Q549" i="1" a="1"/>
  <c r="Q549" i="1" s="1"/>
  <c r="Q550" i="1" a="1"/>
  <c r="Q550" i="1"/>
  <c r="Q551" i="1" a="1"/>
  <c r="Q551" i="1" s="1"/>
  <c r="Q552" i="1" a="1"/>
  <c r="Q552" i="1" s="1"/>
  <c r="Q553" i="1" a="1"/>
  <c r="Q553" i="1" s="1"/>
  <c r="Q554" i="1" a="1"/>
  <c r="Q554" i="1"/>
  <c r="Q555" i="1" a="1"/>
  <c r="Q555" i="1" s="1"/>
  <c r="Q556" i="1" a="1"/>
  <c r="Q556" i="1" s="1"/>
  <c r="Q557" i="1" a="1"/>
  <c r="Q557" i="1" s="1"/>
  <c r="Q558" i="1" a="1"/>
  <c r="Q558" i="1" s="1"/>
  <c r="Q559" i="1" a="1"/>
  <c r="Q559" i="1"/>
  <c r="Q560" i="1" a="1"/>
  <c r="Q560" i="1" s="1"/>
  <c r="Q561" i="1" a="1"/>
  <c r="Q561" i="1" s="1"/>
  <c r="Q562" i="1" a="1"/>
  <c r="Q562" i="1"/>
  <c r="Q563" i="1" a="1"/>
  <c r="Q563" i="1"/>
  <c r="Q564" i="1" a="1"/>
  <c r="Q564" i="1" s="1"/>
  <c r="Q565" i="1" a="1"/>
  <c r="Q565" i="1" s="1"/>
  <c r="Q566" i="1" a="1"/>
  <c r="Q566" i="1"/>
  <c r="Q567" i="1" a="1"/>
  <c r="Q567" i="1" s="1"/>
  <c r="Q568" i="1" a="1"/>
  <c r="Q568" i="1" s="1"/>
  <c r="Q569" i="1" a="1"/>
  <c r="Q569" i="1" s="1"/>
  <c r="Q570" i="1" a="1"/>
  <c r="Q570" i="1"/>
  <c r="Q571" i="1" a="1"/>
  <c r="Q571" i="1" s="1"/>
  <c r="Q572" i="1" a="1"/>
  <c r="Q572" i="1"/>
  <c r="Q573" i="1" a="1"/>
  <c r="Q573" i="1" s="1"/>
  <c r="Q574" i="1" a="1"/>
  <c r="Q574" i="1"/>
  <c r="Q575" i="1" a="1"/>
  <c r="Q575" i="1"/>
  <c r="Q576" i="1" a="1"/>
  <c r="Q576" i="1" s="1"/>
  <c r="Q577" i="1" a="1"/>
  <c r="Q577" i="1" s="1"/>
  <c r="Q578" i="1" a="1"/>
  <c r="Q578" i="1" s="1"/>
  <c r="Q579" i="1" a="1"/>
  <c r="Q579" i="1" s="1"/>
  <c r="Q580" i="1" a="1"/>
  <c r="Q580" i="1" s="1"/>
  <c r="Q581" i="1" a="1"/>
  <c r="Q581" i="1" s="1"/>
  <c r="Q582" i="1" a="1"/>
  <c r="Q582" i="1" s="1"/>
  <c r="Q583" i="1" a="1"/>
  <c r="Q583" i="1" s="1"/>
  <c r="Q584" i="1" a="1"/>
  <c r="Q584" i="1" s="1"/>
  <c r="Q585" i="1" a="1"/>
  <c r="Q585" i="1" s="1"/>
  <c r="Q586" i="1" a="1"/>
  <c r="Q586" i="1" s="1"/>
  <c r="Q587" i="1" a="1"/>
  <c r="Q587" i="1"/>
  <c r="Q588" i="1" a="1"/>
  <c r="Q588" i="1"/>
  <c r="Q589" i="1" a="1"/>
  <c r="Q589" i="1" s="1"/>
  <c r="Q590" i="1" a="1"/>
  <c r="Q590" i="1" s="1"/>
  <c r="Q591" i="1" a="1"/>
  <c r="Q591" i="1" s="1"/>
  <c r="Q592" i="1" a="1"/>
  <c r="Q592" i="1"/>
  <c r="Q593" i="1" a="1"/>
  <c r="Q593" i="1" s="1"/>
  <c r="Q594" i="1" a="1"/>
  <c r="Q594" i="1" s="1"/>
  <c r="Q595" i="1" a="1"/>
  <c r="Q595" i="1"/>
  <c r="Q596" i="1" a="1"/>
  <c r="Q596" i="1" s="1"/>
  <c r="Q597" i="1" a="1"/>
  <c r="Q597" i="1" s="1"/>
  <c r="Q598" i="1" a="1"/>
  <c r="Q598" i="1" s="1"/>
  <c r="Q599" i="1" a="1"/>
  <c r="Q599" i="1" s="1"/>
  <c r="Q600" i="1" a="1"/>
  <c r="Q600" i="1"/>
  <c r="Q601" i="1" a="1"/>
  <c r="Q601" i="1"/>
  <c r="Q602" i="1" a="1"/>
  <c r="Q602" i="1" s="1"/>
  <c r="Q603" i="1" a="1"/>
  <c r="Q603" i="1" s="1"/>
  <c r="Q604" i="1" a="1"/>
  <c r="Q604" i="1" s="1"/>
  <c r="Q605" i="1" a="1"/>
  <c r="Q605" i="1"/>
  <c r="Q606" i="1" a="1"/>
  <c r="Q606" i="1" s="1"/>
  <c r="Q607" i="1" a="1"/>
  <c r="Q607" i="1" s="1"/>
  <c r="Q608" i="1" a="1"/>
  <c r="Q608" i="1"/>
  <c r="Q609" i="1" a="1"/>
  <c r="Q609" i="1" s="1"/>
  <c r="Q610" i="1" a="1"/>
  <c r="Q610" i="1" s="1"/>
  <c r="Q611" i="1" a="1"/>
  <c r="Q611" i="1" s="1"/>
  <c r="Q612" i="1" a="1"/>
  <c r="Q612" i="1"/>
  <c r="Q613" i="1" a="1"/>
  <c r="Q613" i="1"/>
  <c r="Q614" i="1" a="1"/>
  <c r="Q614" i="1"/>
  <c r="Q615" i="1" a="1"/>
  <c r="Q615" i="1" s="1"/>
  <c r="Q616" i="1" a="1"/>
  <c r="Q616" i="1"/>
  <c r="Q617" i="1" a="1"/>
  <c r="Q617" i="1" s="1"/>
  <c r="Q618" i="1" a="1"/>
  <c r="Q618" i="1"/>
  <c r="Q619" i="1" a="1"/>
  <c r="Q619" i="1" s="1"/>
  <c r="Q620" i="1" a="1"/>
  <c r="Q620" i="1" s="1"/>
  <c r="Q621" i="1" a="1"/>
  <c r="Q621" i="1" s="1"/>
  <c r="Q622" i="1" a="1"/>
  <c r="Q622" i="1" s="1"/>
  <c r="Q623" i="1" a="1"/>
  <c r="Q623" i="1" s="1"/>
  <c r="Q624" i="1" a="1"/>
  <c r="Q624" i="1" s="1"/>
  <c r="Q625" i="1" a="1"/>
  <c r="Q625" i="1"/>
  <c r="Q626" i="1" a="1"/>
  <c r="Q626" i="1"/>
  <c r="Q627" i="1" a="1"/>
  <c r="Q627" i="1" s="1"/>
  <c r="Q628" i="1" a="1"/>
  <c r="Q628" i="1"/>
  <c r="Q629" i="1" a="1"/>
  <c r="Q629" i="1" s="1"/>
  <c r="Q630" i="1" a="1"/>
  <c r="Q630" i="1" s="1"/>
  <c r="Q631" i="1" a="1"/>
  <c r="Q631" i="1"/>
  <c r="Q632" i="1" a="1"/>
  <c r="Q632" i="1" s="1"/>
  <c r="Q633" i="1" a="1"/>
  <c r="Q633" i="1" s="1"/>
  <c r="Q634" i="1" a="1"/>
  <c r="Q634" i="1"/>
  <c r="Q635" i="1" a="1"/>
  <c r="Q635" i="1"/>
  <c r="Q636" i="1" a="1"/>
  <c r="Q636" i="1" s="1"/>
  <c r="Q637" i="1" a="1"/>
  <c r="Q637" i="1" s="1"/>
  <c r="Q638" i="1" a="1"/>
  <c r="Q638" i="1"/>
  <c r="Q639" i="1" a="1"/>
  <c r="Q639" i="1" s="1"/>
  <c r="Q640" i="1" a="1"/>
  <c r="Q640" i="1" s="1"/>
  <c r="Q641" i="1" a="1"/>
  <c r="Q641" i="1" s="1"/>
  <c r="Q642" i="1" a="1"/>
  <c r="Q642" i="1" s="1"/>
  <c r="Q643" i="1" a="1"/>
  <c r="Q643" i="1" s="1"/>
  <c r="Q644" i="1" a="1"/>
  <c r="Q644" i="1"/>
  <c r="Q645" i="1" a="1"/>
  <c r="Q645" i="1" s="1"/>
  <c r="Q646" i="1" a="1"/>
  <c r="Q646" i="1"/>
  <c r="Q647" i="1" a="1"/>
  <c r="Q647" i="1"/>
  <c r="Q648" i="1" a="1"/>
  <c r="Q648" i="1" s="1"/>
  <c r="Q649" i="1" a="1"/>
  <c r="Q649" i="1" s="1"/>
  <c r="Q650" i="1" a="1"/>
  <c r="Q650" i="1" s="1"/>
  <c r="Q651" i="1" a="1"/>
  <c r="Q651" i="1" s="1"/>
  <c r="Q652" i="1" a="1"/>
  <c r="Q652" i="1"/>
  <c r="Q653" i="1" a="1"/>
  <c r="Q653" i="1" s="1"/>
  <c r="Q654" i="1" a="1"/>
  <c r="Q654" i="1" s="1"/>
  <c r="Q655" i="1" a="1"/>
  <c r="Q655" i="1"/>
  <c r="Q656" i="1" a="1"/>
  <c r="Q656" i="1"/>
  <c r="Q657" i="1" a="1"/>
  <c r="Q657" i="1" s="1"/>
  <c r="Q658" i="1" a="1"/>
  <c r="Q658" i="1"/>
  <c r="Q659" i="1" a="1"/>
  <c r="Q659" i="1" s="1"/>
  <c r="Q660" i="1" a="1"/>
  <c r="Q660" i="1"/>
  <c r="Q661" i="1" a="1"/>
  <c r="Q661" i="1"/>
  <c r="Q662" i="1" a="1"/>
  <c r="Q662" i="1" s="1"/>
  <c r="Q663" i="1" a="1"/>
  <c r="Q663" i="1" s="1"/>
  <c r="Q664" i="1" a="1"/>
  <c r="Q664" i="1"/>
  <c r="Q665" i="1" a="1"/>
  <c r="Q665" i="1" s="1"/>
  <c r="Q666" i="1" a="1"/>
  <c r="Q666" i="1" s="1"/>
  <c r="Q667" i="1" a="1"/>
  <c r="Q667" i="1"/>
  <c r="Q668" i="1" a="1"/>
  <c r="Q668" i="1" s="1"/>
  <c r="Q669" i="1" a="1"/>
  <c r="Q669" i="1" s="1"/>
  <c r="Q670" i="1" a="1"/>
  <c r="Q670" i="1" s="1"/>
  <c r="Q671" i="1" a="1"/>
  <c r="Q671" i="1" s="1"/>
  <c r="Q672" i="1" a="1"/>
  <c r="Q672" i="1"/>
  <c r="Q673" i="1" a="1"/>
  <c r="Q673" i="1"/>
  <c r="Q674" i="1" a="1"/>
  <c r="Q674" i="1"/>
  <c r="Q675" i="1" a="1"/>
  <c r="Q675" i="1" s="1"/>
  <c r="Q676" i="1" a="1"/>
  <c r="Q676" i="1"/>
  <c r="Q677" i="1" a="1"/>
  <c r="Q677" i="1"/>
  <c r="Q678" i="1" a="1"/>
  <c r="Q678" i="1"/>
  <c r="Q679" i="1" a="1"/>
  <c r="Q679" i="1" s="1"/>
  <c r="Q680" i="1" a="1"/>
  <c r="Q680" i="1" s="1"/>
  <c r="Q681" i="1" a="1"/>
  <c r="Q681" i="1" s="1"/>
  <c r="Q682" i="1" a="1"/>
  <c r="Q682" i="1" s="1"/>
  <c r="Q683" i="1" a="1"/>
  <c r="Q683" i="1" s="1"/>
  <c r="Q684" i="1" a="1"/>
  <c r="Q684" i="1" s="1"/>
  <c r="Q685" i="1" a="1"/>
  <c r="Q685" i="1" s="1"/>
  <c r="Q686" i="1" a="1"/>
  <c r="Q686" i="1"/>
  <c r="Q687" i="1" a="1"/>
  <c r="Q687" i="1" s="1"/>
  <c r="Q688" i="1" a="1"/>
  <c r="Q688" i="1"/>
  <c r="Q689" i="1" a="1"/>
  <c r="Q689" i="1" s="1"/>
  <c r="Q690" i="1" a="1"/>
  <c r="Q690" i="1"/>
  <c r="Q691" i="1" a="1"/>
  <c r="Q691" i="1"/>
  <c r="Q692" i="1" a="1"/>
  <c r="Q692" i="1"/>
  <c r="Q693" i="1" a="1"/>
  <c r="Q693" i="1" s="1"/>
  <c r="Q694" i="1" a="1"/>
  <c r="Q694" i="1" s="1"/>
  <c r="Q695" i="1" a="1"/>
  <c r="Q695" i="1" s="1"/>
  <c r="Q696" i="1" a="1"/>
  <c r="Q696" i="1" s="1"/>
  <c r="Q697" i="1" a="1"/>
  <c r="Q697" i="1" s="1"/>
  <c r="Q698" i="1" a="1"/>
  <c r="Q698" i="1"/>
  <c r="Q699" i="1" a="1"/>
  <c r="Q699" i="1"/>
  <c r="Q700" i="1" a="1"/>
  <c r="Q700" i="1" s="1"/>
  <c r="Q701" i="1" a="1"/>
  <c r="Q701" i="1" s="1"/>
  <c r="Q702" i="1" a="1"/>
  <c r="Q702" i="1" s="1"/>
  <c r="Q703" i="1" a="1"/>
  <c r="Q703" i="1"/>
  <c r="Q704" i="1" a="1"/>
  <c r="Q704" i="1"/>
  <c r="Q705" i="1" a="1"/>
  <c r="Q705" i="1"/>
  <c r="Q706" i="1" a="1"/>
  <c r="Q706" i="1" s="1"/>
  <c r="Q707" i="1" a="1"/>
  <c r="Q707" i="1" s="1"/>
  <c r="Q708" i="1" a="1"/>
  <c r="Q708" i="1"/>
  <c r="Q709" i="1" a="1"/>
  <c r="Q709" i="1" s="1"/>
  <c r="Q710" i="1" a="1"/>
  <c r="Q710" i="1" s="1"/>
  <c r="Q711" i="1" a="1"/>
  <c r="Q711" i="1" s="1"/>
  <c r="Q712" i="1" a="1"/>
  <c r="Q712" i="1"/>
  <c r="Q713" i="1" a="1"/>
  <c r="Q713" i="1" s="1"/>
  <c r="Q714" i="1" a="1"/>
  <c r="Q714" i="1" s="1"/>
  <c r="Q715" i="1" a="1"/>
  <c r="Q715" i="1" s="1"/>
  <c r="Q716" i="1" a="1"/>
  <c r="Q716" i="1"/>
  <c r="Q717" i="1" a="1"/>
  <c r="Q717" i="1"/>
  <c r="Q718" i="1" a="1"/>
  <c r="Q718" i="1"/>
  <c r="Q719" i="1" a="1"/>
  <c r="Q719" i="1" s="1"/>
  <c r="Q720" i="1" a="1"/>
  <c r="Q720" i="1" s="1"/>
  <c r="Q721" i="1" a="1"/>
  <c r="Q721" i="1"/>
  <c r="Q722" i="1" a="1"/>
  <c r="Q722" i="1" s="1"/>
  <c r="Q723" i="1" a="1"/>
  <c r="Q723" i="1" s="1"/>
  <c r="Q724" i="1" a="1"/>
  <c r="Q724" i="1" s="1"/>
  <c r="Q725" i="1" a="1"/>
  <c r="Q725" i="1" s="1"/>
  <c r="Q726" i="1" a="1"/>
  <c r="Q726" i="1" s="1"/>
  <c r="Q727" i="1" a="1"/>
  <c r="Q727" i="1" s="1"/>
  <c r="Q728" i="1" a="1"/>
  <c r="Q728" i="1" s="1"/>
  <c r="Q729" i="1" a="1"/>
  <c r="Q729" i="1"/>
  <c r="Q730" i="1" a="1"/>
  <c r="Q730" i="1"/>
  <c r="Q731" i="1" a="1"/>
  <c r="Q731" i="1" s="1"/>
  <c r="Q732" i="1" a="1"/>
  <c r="Q732" i="1"/>
  <c r="Q733" i="1" a="1"/>
  <c r="Q733" i="1" s="1"/>
  <c r="Q734" i="1" a="1"/>
  <c r="Q734" i="1"/>
  <c r="Q735" i="1" a="1"/>
  <c r="Q735" i="1" s="1"/>
  <c r="Q736" i="1" a="1"/>
  <c r="Q736" i="1" s="1"/>
  <c r="Q737" i="1" a="1"/>
  <c r="Q737" i="1" s="1"/>
  <c r="Q738" i="1" a="1"/>
  <c r="Q738" i="1"/>
  <c r="Q739" i="1" a="1"/>
  <c r="Q739" i="1" s="1"/>
  <c r="Q740" i="1" a="1"/>
  <c r="Q740" i="1" s="1"/>
  <c r="Q741" i="1" a="1"/>
  <c r="Q741" i="1" s="1"/>
  <c r="Q742" i="1" a="1"/>
  <c r="Q742" i="1"/>
  <c r="Q743" i="1" a="1"/>
  <c r="Q743" i="1" s="1"/>
  <c r="Q744" i="1" a="1"/>
  <c r="Q744" i="1" s="1"/>
  <c r="Q745" i="1" a="1"/>
  <c r="Q745" i="1"/>
  <c r="Q746" i="1" a="1"/>
  <c r="Q746" i="1" s="1"/>
  <c r="Q747" i="1" a="1"/>
  <c r="Q747" i="1"/>
  <c r="Q748" i="1" a="1"/>
  <c r="Q748" i="1" s="1"/>
  <c r="Q749" i="1" a="1"/>
  <c r="Q749" i="1" s="1"/>
  <c r="Q750" i="1" a="1"/>
  <c r="Q750" i="1"/>
  <c r="Q751" i="1" a="1"/>
  <c r="Q751" i="1"/>
  <c r="Q752" i="1" a="1"/>
  <c r="Q752" i="1" s="1"/>
  <c r="Q753" i="1" a="1"/>
  <c r="Q753" i="1" s="1"/>
  <c r="Q754" i="1" a="1"/>
  <c r="Q754" i="1" s="1"/>
  <c r="Q755" i="1" a="1"/>
  <c r="Q755" i="1" s="1"/>
  <c r="Q756" i="1" a="1"/>
  <c r="Q756" i="1" s="1"/>
  <c r="Q757" i="1" a="1"/>
  <c r="Q757" i="1" s="1"/>
  <c r="Q758" i="1" a="1"/>
  <c r="Q758" i="1"/>
  <c r="Q759" i="1" a="1"/>
  <c r="Q759" i="1" s="1"/>
  <c r="Q760" i="1" a="1"/>
  <c r="Q760" i="1"/>
  <c r="Q761" i="1" a="1"/>
  <c r="Q761" i="1" s="1"/>
  <c r="Q762" i="1" a="1"/>
  <c r="Q762" i="1"/>
  <c r="Q763" i="1" a="1"/>
  <c r="Q763" i="1"/>
  <c r="Q764" i="1" a="1"/>
  <c r="Q764" i="1"/>
  <c r="Q765" i="1" a="1"/>
  <c r="Q765" i="1" s="1"/>
  <c r="Q766" i="1" a="1"/>
  <c r="Q766" i="1" s="1"/>
  <c r="Q767" i="1" a="1"/>
  <c r="Q767" i="1" s="1"/>
  <c r="Q768" i="1" a="1"/>
  <c r="Q768" i="1" s="1"/>
  <c r="Q769" i="1" a="1"/>
  <c r="Q769" i="1" s="1"/>
  <c r="Q770" i="1" a="1"/>
  <c r="Q770" i="1" s="1"/>
  <c r="Q771" i="1" a="1"/>
  <c r="Q771" i="1"/>
  <c r="Q772" i="1" a="1"/>
  <c r="Q772" i="1" s="1"/>
  <c r="Q773" i="1" a="1"/>
  <c r="Q773" i="1" s="1"/>
  <c r="Q774" i="1" a="1"/>
  <c r="Q774" i="1" s="1"/>
  <c r="Q775" i="1" a="1"/>
  <c r="Q775" i="1"/>
  <c r="Q776" i="1" a="1"/>
  <c r="Q776" i="1"/>
  <c r="Q777" i="1" a="1"/>
  <c r="Q777" i="1"/>
  <c r="Q778" i="1" a="1"/>
  <c r="Q778" i="1" s="1"/>
  <c r="Q779" i="1" a="1"/>
  <c r="Q779" i="1" s="1"/>
  <c r="Q780" i="1" a="1"/>
  <c r="Q780" i="1"/>
  <c r="Q781" i="1" a="1"/>
  <c r="Q781" i="1" s="1"/>
  <c r="Q782" i="1" a="1"/>
  <c r="Q782" i="1" s="1"/>
  <c r="Q783" i="1" a="1"/>
  <c r="Q783" i="1" s="1"/>
  <c r="Q784" i="1" a="1"/>
  <c r="Q784" i="1"/>
  <c r="Q785" i="1" a="1"/>
  <c r="Q785" i="1" s="1"/>
  <c r="Q786" i="1" a="1"/>
  <c r="Q786" i="1" s="1"/>
  <c r="Q787" i="1" a="1"/>
  <c r="Q787" i="1" s="1"/>
  <c r="Q788" i="1" a="1"/>
  <c r="Q788" i="1"/>
  <c r="Q789" i="1" a="1"/>
  <c r="Q789" i="1"/>
  <c r="Q790" i="1" a="1"/>
  <c r="Q790" i="1"/>
  <c r="Q791" i="1" a="1"/>
  <c r="Q791" i="1" s="1"/>
  <c r="Q792" i="1" a="1"/>
  <c r="Q792" i="1" s="1"/>
  <c r="Q793" i="1" a="1"/>
  <c r="Q793" i="1"/>
  <c r="Q794" i="1" a="1"/>
  <c r="Q794" i="1" s="1"/>
  <c r="Q795" i="1" a="1"/>
  <c r="Q795" i="1" s="1"/>
  <c r="Q796" i="1" a="1"/>
  <c r="Q796" i="1" s="1"/>
  <c r="Q797" i="1" a="1"/>
  <c r="Q797" i="1" s="1"/>
  <c r="Q798" i="1" a="1"/>
  <c r="Q798" i="1" s="1"/>
  <c r="Q799" i="1" a="1"/>
  <c r="Q799" i="1" s="1"/>
  <c r="Q800" i="1" a="1"/>
  <c r="Q800" i="1" s="1"/>
  <c r="Q801" i="1" a="1"/>
  <c r="Q801" i="1"/>
  <c r="Q802" i="1" a="1"/>
  <c r="Q802" i="1"/>
  <c r="Q803" i="1" a="1"/>
  <c r="Q803" i="1" s="1"/>
  <c r="Q804" i="1" a="1"/>
  <c r="Q804" i="1"/>
  <c r="Q805" i="1" a="1"/>
  <c r="Q805" i="1" s="1"/>
  <c r="Q806" i="1" a="1"/>
  <c r="Q806" i="1"/>
  <c r="Q807" i="1" a="1"/>
  <c r="Q807" i="1" s="1"/>
  <c r="Q808" i="1" a="1"/>
  <c r="Q808" i="1" s="1"/>
  <c r="Q809" i="1" a="1"/>
  <c r="Q809" i="1" s="1"/>
  <c r="Q810" i="1" a="1"/>
  <c r="Q810" i="1"/>
  <c r="Q811" i="1" a="1"/>
  <c r="Q811" i="1" s="1"/>
  <c r="Q812" i="1" a="1"/>
  <c r="Q812" i="1" s="1"/>
  <c r="Q813" i="1" a="1"/>
  <c r="Q813" i="1" s="1"/>
  <c r="Q814" i="1" a="1"/>
  <c r="Q814" i="1"/>
  <c r="Q815" i="1" a="1"/>
  <c r="Q815" i="1" s="1"/>
  <c r="Q816" i="1" a="1"/>
  <c r="Q816" i="1" s="1"/>
  <c r="Q817" i="1" a="1"/>
  <c r="Q817" i="1"/>
  <c r="Q818" i="1" a="1"/>
  <c r="Q818" i="1" s="1"/>
  <c r="Q819" i="1" a="1"/>
  <c r="Q819" i="1"/>
  <c r="Q820" i="1" a="1"/>
  <c r="Q820" i="1" s="1"/>
  <c r="Q821" i="1" a="1"/>
  <c r="Q821" i="1" s="1"/>
  <c r="Q822" i="1" a="1"/>
  <c r="Q822" i="1"/>
  <c r="Q823" i="1" a="1"/>
  <c r="Q823" i="1"/>
  <c r="Q824" i="1" a="1"/>
  <c r="Q824" i="1" s="1"/>
  <c r="Q825" i="1" a="1"/>
  <c r="Q825" i="1" s="1"/>
  <c r="Q826" i="1" a="1"/>
  <c r="Q826" i="1" s="1"/>
  <c r="Q827" i="1" a="1"/>
  <c r="Q827" i="1" s="1"/>
  <c r="Q828" i="1" a="1"/>
  <c r="Q828" i="1" s="1"/>
  <c r="Q829" i="1" a="1"/>
  <c r="Q829" i="1" s="1"/>
  <c r="Q830" i="1" a="1"/>
  <c r="Q830" i="1"/>
  <c r="Q831" i="1" a="1"/>
  <c r="Q831" i="1" s="1"/>
  <c r="Q832" i="1" a="1"/>
  <c r="Q832" i="1"/>
  <c r="Q833" i="1" a="1"/>
  <c r="Q833" i="1" s="1"/>
  <c r="Q834" i="1" a="1"/>
  <c r="Q834" i="1"/>
  <c r="Q835" i="1" a="1"/>
  <c r="Q835" i="1"/>
  <c r="Q836" i="1" a="1"/>
  <c r="Q836" i="1"/>
  <c r="Q837" i="1" a="1"/>
  <c r="Q837" i="1" s="1"/>
  <c r="Q838" i="1" a="1"/>
  <c r="Q838" i="1" s="1"/>
  <c r="Q839" i="1" a="1"/>
  <c r="Q839" i="1" s="1"/>
  <c r="Q840" i="1" a="1"/>
  <c r="Q840" i="1" s="1"/>
  <c r="Q841" i="1" a="1"/>
  <c r="Q841" i="1" s="1"/>
  <c r="Q842" i="1" a="1"/>
  <c r="Q842" i="1" s="1"/>
  <c r="Q843" i="1" a="1"/>
  <c r="Q843" i="1"/>
  <c r="Q844" i="1" a="1"/>
  <c r="Q844" i="1" s="1"/>
  <c r="Q845" i="1" a="1"/>
  <c r="Q845" i="1" s="1"/>
  <c r="Q846" i="1" a="1"/>
  <c r="Q846" i="1" s="1"/>
  <c r="Q847" i="1" a="1"/>
  <c r="Q847" i="1"/>
  <c r="Q848" i="1" a="1"/>
  <c r="Q848" i="1"/>
  <c r="Q849" i="1" a="1"/>
  <c r="Q849" i="1"/>
  <c r="Q850" i="1" a="1"/>
  <c r="Q850" i="1" s="1"/>
  <c r="Q851" i="1" a="1"/>
  <c r="Q851" i="1" s="1"/>
  <c r="Q852" i="1" a="1"/>
  <c r="Q852" i="1"/>
  <c r="Q853" i="1" a="1"/>
  <c r="Q853" i="1" s="1"/>
  <c r="Q854" i="1" a="1"/>
  <c r="Q854" i="1" s="1"/>
  <c r="Q855" i="1" a="1"/>
  <c r="Q855" i="1" s="1"/>
  <c r="Q856" i="1" a="1"/>
  <c r="Q856" i="1"/>
  <c r="Q857" i="1" a="1"/>
  <c r="Q857" i="1" s="1"/>
  <c r="Q858" i="1" a="1"/>
  <c r="Q858" i="1" s="1"/>
  <c r="Q859" i="1" a="1"/>
  <c r="Q859" i="1" s="1"/>
  <c r="Q860" i="1" a="1"/>
  <c r="Q860" i="1"/>
  <c r="Q861" i="1" a="1"/>
  <c r="Q861" i="1"/>
  <c r="Q862" i="1" a="1"/>
  <c r="Q862" i="1"/>
  <c r="Q863" i="1" a="1"/>
  <c r="Q863" i="1" s="1"/>
  <c r="Q864" i="1" a="1"/>
  <c r="Q864" i="1"/>
  <c r="Q865" i="1" a="1"/>
  <c r="Q865" i="1"/>
  <c r="Q866" i="1" a="1"/>
  <c r="Q866" i="1" s="1"/>
  <c r="Q867" i="1" a="1"/>
  <c r="Q867" i="1" s="1"/>
  <c r="Q868" i="1" a="1"/>
  <c r="Q868" i="1" s="1"/>
  <c r="Q869" i="1" a="1"/>
  <c r="Q869" i="1" s="1"/>
  <c r="Q870" i="1" a="1"/>
  <c r="Q870" i="1" s="1"/>
  <c r="Q871" i="1" a="1"/>
  <c r="Q871" i="1" s="1"/>
  <c r="Q872" i="1" a="1"/>
  <c r="Q872" i="1" s="1"/>
  <c r="Q873" i="1" a="1"/>
  <c r="Q873" i="1"/>
  <c r="Q874" i="1" a="1"/>
  <c r="Q874" i="1"/>
  <c r="Q875" i="1" a="1"/>
  <c r="Q875" i="1" s="1"/>
  <c r="Q876" i="1" a="1"/>
  <c r="Q876" i="1"/>
  <c r="Q877" i="1" a="1"/>
  <c r="Q877" i="1"/>
  <c r="Q878" i="1" a="1"/>
  <c r="Q878" i="1"/>
  <c r="Q879" i="1" a="1"/>
  <c r="Q879" i="1" s="1"/>
  <c r="Q880" i="1" a="1"/>
  <c r="Q880" i="1" s="1"/>
  <c r="Q881" i="1" a="1"/>
  <c r="Q881" i="1" s="1"/>
  <c r="Q882" i="1" a="1"/>
  <c r="Q882" i="1"/>
  <c r="Q883" i="1" a="1"/>
  <c r="Q883" i="1" s="1"/>
  <c r="Q884" i="1" a="1"/>
  <c r="Q884" i="1" s="1"/>
  <c r="Q885" i="1" a="1"/>
  <c r="Q885" i="1" s="1"/>
  <c r="Q886" i="1" a="1"/>
  <c r="Q886" i="1"/>
  <c r="Q887" i="1" a="1"/>
  <c r="Q887" i="1" s="1"/>
  <c r="Q888" i="1" a="1"/>
  <c r="Q888" i="1" s="1"/>
  <c r="Q889" i="1" a="1"/>
  <c r="Q889" i="1"/>
  <c r="Q890" i="1" a="1"/>
  <c r="Q890" i="1"/>
  <c r="Q891" i="1" a="1"/>
  <c r="Q891" i="1"/>
  <c r="Q892" i="1" a="1"/>
  <c r="Q892" i="1" s="1"/>
  <c r="Q893" i="1" a="1"/>
  <c r="Q893" i="1" s="1"/>
  <c r="Q894" i="1" a="1"/>
  <c r="Q894" i="1"/>
  <c r="Q895" i="1" a="1"/>
  <c r="Q895" i="1"/>
  <c r="Q896" i="1" a="1"/>
  <c r="Q896" i="1" s="1"/>
  <c r="Q897" i="1" a="1"/>
  <c r="Q897" i="1" s="1"/>
  <c r="Q898" i="1" a="1"/>
  <c r="Q898" i="1" s="1"/>
  <c r="Q899" i="1" a="1"/>
  <c r="Q899" i="1" s="1"/>
  <c r="Q900" i="1" a="1"/>
  <c r="Q900" i="1" s="1"/>
  <c r="Q901" i="1" a="1"/>
  <c r="Q901" i="1" s="1"/>
  <c r="Q902" i="1" a="1"/>
  <c r="Q902" i="1"/>
  <c r="Q903" i="1" a="1"/>
  <c r="Q903" i="1"/>
  <c r="Q904" i="1" a="1"/>
  <c r="Q904" i="1"/>
  <c r="Q905" i="1" a="1"/>
  <c r="Q905" i="1" s="1"/>
  <c r="Q906" i="1" a="1"/>
  <c r="Q906" i="1"/>
  <c r="Q907" i="1" a="1"/>
  <c r="Q907" i="1"/>
  <c r="Q908" i="1" a="1"/>
  <c r="Q908" i="1"/>
  <c r="Q909" i="1" a="1"/>
  <c r="Q909" i="1" s="1"/>
  <c r="Q910" i="1" a="1"/>
  <c r="Q910" i="1" s="1"/>
  <c r="Q911" i="1" a="1"/>
  <c r="Q911" i="1" s="1"/>
  <c r="Q912" i="1" a="1"/>
  <c r="Q912" i="1" s="1"/>
  <c r="Q913" i="1" a="1"/>
  <c r="Q913" i="1" s="1"/>
  <c r="Q914" i="1" a="1"/>
  <c r="Q914" i="1" s="1"/>
  <c r="Q915" i="1" a="1"/>
  <c r="Q915" i="1"/>
  <c r="Q916" i="1" a="1"/>
  <c r="Q916" i="1"/>
  <c r="Q917" i="1" a="1"/>
  <c r="Q917" i="1" s="1"/>
  <c r="Q918" i="1" a="1"/>
  <c r="Q918" i="1" s="1"/>
  <c r="Q919" i="1" a="1"/>
  <c r="Q919" i="1"/>
  <c r="Q920" i="1" a="1"/>
  <c r="Q920" i="1"/>
  <c r="Q921" i="1" a="1"/>
  <c r="Q921" i="1"/>
  <c r="Q922" i="1" a="1"/>
  <c r="Q922" i="1" s="1"/>
  <c r="Q923" i="1" a="1"/>
  <c r="Q923" i="1" s="1"/>
  <c r="Q924" i="1" a="1"/>
  <c r="Q924" i="1"/>
  <c r="Q925" i="1" a="1"/>
  <c r="Q925" i="1" s="1"/>
  <c r="Q926" i="1" a="1"/>
  <c r="Q926" i="1" s="1"/>
  <c r="Q927" i="1" a="1"/>
  <c r="Q927" i="1" s="1"/>
  <c r="Q928" i="1" a="1"/>
  <c r="Q928" i="1"/>
  <c r="Q929" i="1" a="1"/>
  <c r="Q929" i="1" s="1"/>
  <c r="Q930" i="1" a="1"/>
  <c r="Q930" i="1" s="1"/>
  <c r="Q931" i="1" a="1"/>
  <c r="Q931" i="1" s="1"/>
  <c r="Q932" i="1" a="1"/>
  <c r="Q932" i="1"/>
  <c r="Q933" i="1" a="1"/>
  <c r="Q933" i="1"/>
  <c r="Q934" i="1" a="1"/>
  <c r="Q934" i="1"/>
  <c r="Q935" i="1" a="1"/>
  <c r="Q935" i="1" s="1"/>
  <c r="Q936" i="1" a="1"/>
  <c r="Q936" i="1"/>
  <c r="Q937" i="1" a="1"/>
  <c r="Q937" i="1"/>
  <c r="Q938" i="1" a="1"/>
  <c r="Q938" i="1" s="1"/>
  <c r="Q939" i="1" a="1"/>
  <c r="Q939" i="1" s="1"/>
  <c r="Q940" i="1" a="1"/>
  <c r="Q940" i="1" s="1"/>
  <c r="Q941" i="1" a="1"/>
  <c r="Q941" i="1" s="1"/>
  <c r="Q942" i="1" a="1"/>
  <c r="Q942" i="1" s="1"/>
  <c r="Q943" i="1" a="1"/>
  <c r="Q943" i="1" s="1"/>
  <c r="Q944" i="1" a="1"/>
  <c r="Q944" i="1" s="1"/>
  <c r="Q945" i="1" a="1"/>
  <c r="Q945" i="1"/>
  <c r="Q946" i="1" a="1"/>
  <c r="Q946" i="1"/>
  <c r="Q947" i="1" a="1"/>
  <c r="Q947" i="1" s="1"/>
  <c r="Q948" i="1" a="1"/>
  <c r="Q948" i="1"/>
  <c r="Q949" i="1" a="1"/>
  <c r="Q949" i="1"/>
  <c r="Q950" i="1" a="1"/>
  <c r="Q950" i="1"/>
  <c r="Q951" i="1" a="1"/>
  <c r="Q951" i="1" s="1"/>
  <c r="Q952" i="1" a="1"/>
  <c r="Q952" i="1" s="1"/>
  <c r="Q953" i="1" a="1"/>
  <c r="Q953" i="1" s="1"/>
  <c r="Q954" i="1" a="1"/>
  <c r="Q954" i="1"/>
  <c r="Q955" i="1" a="1"/>
  <c r="Q955" i="1" s="1"/>
  <c r="Q956" i="1" a="1"/>
  <c r="Q956" i="1" s="1"/>
  <c r="Q957" i="1" a="1"/>
  <c r="Q957" i="1" s="1"/>
  <c r="Q958" i="1" a="1"/>
  <c r="Q958" i="1"/>
  <c r="Q959" i="1" a="1"/>
  <c r="Q959" i="1" s="1"/>
  <c r="Q960" i="1" a="1"/>
  <c r="Q960" i="1" s="1"/>
  <c r="Q961" i="1" a="1"/>
  <c r="Q961" i="1"/>
  <c r="Q962" i="1" a="1"/>
  <c r="Q962" i="1"/>
  <c r="Q963" i="1" a="1"/>
  <c r="Q963" i="1"/>
  <c r="Q964" i="1" a="1"/>
  <c r="Q964" i="1" s="1"/>
  <c r="Q965" i="1" a="1"/>
  <c r="Q965" i="1" s="1"/>
  <c r="Q966" i="1" a="1"/>
  <c r="Q966" i="1"/>
  <c r="Q967" i="1" a="1"/>
  <c r="Q967" i="1"/>
  <c r="Q968" i="1" a="1"/>
  <c r="Q968" i="1" s="1"/>
  <c r="Q969" i="1" a="1"/>
  <c r="Q969" i="1" s="1"/>
  <c r="Q970" i="1" a="1"/>
  <c r="Q970" i="1" s="1"/>
  <c r="Q971" i="1" a="1"/>
  <c r="Q971" i="1" s="1"/>
  <c r="Q972" i="1" a="1"/>
  <c r="Q972" i="1" s="1"/>
  <c r="Q973" i="1" a="1"/>
  <c r="Q973" i="1" s="1"/>
  <c r="Q974" i="1" a="1"/>
  <c r="Q974" i="1"/>
  <c r="Q975" i="1" a="1"/>
  <c r="Q975" i="1"/>
  <c r="Q976" i="1" a="1"/>
  <c r="Q976" i="1"/>
  <c r="Q977" i="1" a="1"/>
  <c r="Q977" i="1" s="1"/>
  <c r="Q978" i="1" a="1"/>
  <c r="Q978" i="1"/>
  <c r="Q979" i="1" a="1"/>
  <c r="Q979" i="1"/>
  <c r="Q980" i="1" a="1"/>
  <c r="Q980" i="1"/>
  <c r="Q981" i="1" a="1"/>
  <c r="Q981" i="1" s="1"/>
  <c r="Q982" i="1" a="1"/>
  <c r="Q982" i="1" s="1"/>
  <c r="Q983" i="1" a="1"/>
  <c r="Q983" i="1" s="1"/>
  <c r="Q984" i="1" a="1"/>
  <c r="Q984" i="1" s="1"/>
  <c r="Q985" i="1" a="1"/>
  <c r="Q985" i="1" s="1"/>
  <c r="Q986" i="1" a="1"/>
  <c r="Q986" i="1" s="1"/>
  <c r="Q987" i="1" a="1"/>
  <c r="Q987" i="1"/>
  <c r="Q988" i="1" a="1"/>
  <c r="Q988" i="1"/>
  <c r="Q989" i="1" a="1"/>
  <c r="Q989" i="1" s="1"/>
  <c r="Q990" i="1" a="1"/>
  <c r="Q990" i="1" s="1"/>
  <c r="Q991" i="1" a="1"/>
  <c r="Q991" i="1"/>
  <c r="Q992" i="1" a="1"/>
  <c r="Q992" i="1"/>
  <c r="Q993" i="1" a="1"/>
  <c r="Q993" i="1"/>
  <c r="Q994" i="1" a="1"/>
  <c r="Q994" i="1" s="1"/>
  <c r="Q995" i="1" a="1"/>
  <c r="Q995" i="1" s="1"/>
  <c r="Q996" i="1" a="1"/>
  <c r="Q996" i="1"/>
  <c r="Q997" i="1" a="1"/>
  <c r="Q997" i="1" s="1"/>
  <c r="Q998" i="1" a="1"/>
  <c r="Q998" i="1" s="1"/>
  <c r="Q999" i="1" a="1"/>
  <c r="Q999" i="1" s="1"/>
  <c r="Q1000" i="1" a="1"/>
  <c r="Q1000" i="1"/>
  <c r="Q1001" i="1" a="1"/>
  <c r="Q1001" i="1" s="1"/>
  <c r="Q1002" i="1" a="1"/>
  <c r="Q1002" i="1" s="1"/>
  <c r="Q1003" i="1" a="1"/>
  <c r="Q1003" i="1" s="1"/>
  <c r="Q1004" i="1" a="1"/>
  <c r="Q1004" i="1"/>
  <c r="Q1005" i="1" a="1"/>
  <c r="Q1005" i="1"/>
  <c r="Q1006" i="1" a="1"/>
  <c r="Q1006" i="1"/>
  <c r="Q1007" i="1" a="1"/>
  <c r="Q1007" i="1" s="1"/>
  <c r="Q1008" i="1" a="1"/>
  <c r="Q1008" i="1"/>
  <c r="Q1009" i="1" a="1"/>
  <c r="Q1009" i="1"/>
  <c r="Q1010" i="1" a="1"/>
  <c r="Q1010" i="1" s="1"/>
  <c r="Q1011" i="1" a="1"/>
  <c r="Q1011" i="1" s="1"/>
  <c r="Q1012" i="1" a="1"/>
  <c r="Q1012" i="1" s="1"/>
  <c r="Q1013" i="1" a="1"/>
  <c r="Q1013" i="1" s="1"/>
  <c r="Q1014" i="1" a="1"/>
  <c r="Q1014" i="1" s="1"/>
  <c r="Q1015" i="1" a="1"/>
  <c r="Q1015" i="1" s="1"/>
  <c r="Q1016" i="1" a="1"/>
  <c r="Q1016" i="1" s="1"/>
  <c r="Q1017" i="1" a="1"/>
  <c r="Q1017" i="1"/>
  <c r="Q1018" i="1" a="1"/>
  <c r="Q1018" i="1"/>
  <c r="Q1019" i="1" a="1"/>
  <c r="Q1019" i="1" s="1"/>
  <c r="Q1020" i="1" a="1"/>
  <c r="Q1020" i="1"/>
  <c r="Q1021" i="1" a="1"/>
  <c r="Q1021" i="1"/>
  <c r="Q1022" i="1" a="1"/>
  <c r="Q1022" i="1"/>
  <c r="Q1023" i="1" a="1"/>
  <c r="Q1023" i="1" s="1"/>
  <c r="Q1024" i="1" a="1"/>
  <c r="Q1024" i="1" s="1"/>
  <c r="Q1025" i="1" a="1"/>
  <c r="Q1025" i="1" s="1"/>
  <c r="Q1026" i="1" a="1"/>
  <c r="Q1026" i="1"/>
  <c r="Q1027" i="1" a="1"/>
  <c r="Q1027" i="1" s="1"/>
  <c r="Q1028" i="1" a="1"/>
  <c r="Q1028" i="1" s="1"/>
  <c r="Q1029" i="1" a="1"/>
  <c r="Q1029" i="1" s="1"/>
  <c r="Q1030" i="1" a="1"/>
  <c r="Q1030" i="1"/>
  <c r="Q1031" i="1" a="1"/>
  <c r="Q1031" i="1" s="1"/>
  <c r="Q1032" i="1" a="1"/>
  <c r="Q1032" i="1" s="1"/>
  <c r="Q1033" i="1" a="1"/>
  <c r="Q1033" i="1"/>
  <c r="Q1034" i="1" a="1"/>
  <c r="Q1034" i="1"/>
  <c r="Q1035" i="1" a="1"/>
  <c r="Q1035" i="1"/>
  <c r="Q1036" i="1" a="1"/>
  <c r="Q1036" i="1" s="1"/>
  <c r="Q1037" i="1" a="1"/>
  <c r="Q1037" i="1" s="1"/>
  <c r="Q1038" i="1" a="1"/>
  <c r="Q1038" i="1"/>
  <c r="Q1039" i="1" a="1"/>
  <c r="Q1039" i="1"/>
  <c r="Q1040" i="1" a="1"/>
  <c r="Q1040" i="1" s="1"/>
  <c r="Q1041" i="1" a="1"/>
  <c r="Q1041" i="1" s="1"/>
  <c r="Q1042" i="1" a="1"/>
  <c r="Q1042" i="1" s="1"/>
  <c r="Q1043" i="1" a="1"/>
  <c r="Q1043" i="1" s="1"/>
  <c r="Q1044" i="1" a="1"/>
  <c r="Q1044" i="1" s="1"/>
  <c r="Q1045" i="1" a="1"/>
  <c r="Q1045" i="1" s="1"/>
  <c r="Q1046" i="1" a="1"/>
  <c r="Q1046" i="1"/>
  <c r="Q1047" i="1" a="1"/>
  <c r="Q1047" i="1"/>
  <c r="Q1048" i="1" a="1"/>
  <c r="Q1048" i="1"/>
  <c r="Q1049" i="1" a="1"/>
  <c r="Q1049" i="1" s="1"/>
  <c r="Q1050" i="1" a="1"/>
  <c r="Q1050" i="1"/>
  <c r="Q1051" i="1" a="1"/>
  <c r="Q1051" i="1"/>
  <c r="Q1052" i="1" a="1"/>
  <c r="Q1052" i="1"/>
  <c r="Q1053" i="1" a="1"/>
  <c r="Q1053" i="1" s="1"/>
  <c r="Q1054" i="1" a="1"/>
  <c r="Q1054" i="1" s="1"/>
  <c r="Q1055" i="1" a="1"/>
  <c r="Q1055" i="1" s="1"/>
  <c r="Q1056" i="1" a="1"/>
  <c r="Q1056" i="1" s="1"/>
  <c r="Q1057" i="1" a="1"/>
  <c r="Q1057" i="1" s="1"/>
  <c r="Q1058" i="1" a="1"/>
  <c r="Q1058" i="1" s="1"/>
  <c r="Q1059" i="1" a="1"/>
  <c r="Q1059" i="1"/>
  <c r="Q1060" i="1" a="1"/>
  <c r="Q1060" i="1"/>
  <c r="Q1061" i="1" a="1"/>
  <c r="Q1061" i="1" s="1"/>
  <c r="Q1062" i="1" a="1"/>
  <c r="Q1062" i="1" s="1"/>
  <c r="Q1063" i="1" a="1"/>
  <c r="Q1063" i="1"/>
  <c r="Q1064" i="1" a="1"/>
  <c r="Q1064" i="1"/>
  <c r="Q1065" i="1" a="1"/>
  <c r="Q1065" i="1"/>
  <c r="Q1066" i="1" a="1"/>
  <c r="Q1066" i="1" s="1"/>
  <c r="Q1067" i="1" a="1"/>
  <c r="Q1067" i="1" s="1"/>
  <c r="Q1068" i="1" a="1"/>
  <c r="Q1068" i="1"/>
  <c r="Q1069" i="1" a="1"/>
  <c r="Q1069" i="1" s="1"/>
  <c r="Q1070" i="1" a="1"/>
  <c r="Q1070" i="1" s="1"/>
  <c r="Q1071" i="1" a="1"/>
  <c r="Q1071" i="1" s="1"/>
  <c r="Q1072" i="1" a="1"/>
  <c r="Q1072" i="1"/>
  <c r="Q1073" i="1" a="1"/>
  <c r="Q1073" i="1" s="1"/>
  <c r="Q1074" i="1" a="1"/>
  <c r="Q1074" i="1" s="1"/>
  <c r="Q1075" i="1" a="1"/>
  <c r="Q1075" i="1" s="1"/>
  <c r="Q1076" i="1" a="1"/>
  <c r="Q1076" i="1"/>
  <c r="Q1077" i="1" a="1"/>
  <c r="Q1077" i="1"/>
  <c r="Q1078" i="1" a="1"/>
  <c r="Q1078" i="1"/>
  <c r="Q1079" i="1" a="1"/>
  <c r="Q1079" i="1" s="1"/>
  <c r="Q1080" i="1" a="1"/>
  <c r="Q1080" i="1"/>
  <c r="Q1081" i="1" a="1"/>
  <c r="Q1081" i="1"/>
  <c r="Q1082" i="1" a="1"/>
  <c r="Q1082" i="1" s="1"/>
  <c r="Q1083" i="1" a="1"/>
  <c r="Q1083" i="1" s="1"/>
  <c r="Q1084" i="1" a="1"/>
  <c r="Q1084" i="1" s="1"/>
  <c r="Q1085" i="1" a="1"/>
  <c r="Q1085" i="1" s="1"/>
  <c r="Q1086" i="1" a="1"/>
  <c r="Q1086" i="1" s="1"/>
  <c r="Q1087" i="1" a="1"/>
  <c r="Q1087" i="1" s="1"/>
  <c r="Q1088" i="1" a="1"/>
  <c r="Q1088" i="1" s="1"/>
  <c r="Q1089" i="1" a="1"/>
  <c r="Q1089" i="1"/>
  <c r="Q1090" i="1" a="1"/>
  <c r="Q1090" i="1"/>
  <c r="Q1091" i="1" a="1"/>
  <c r="Q1091" i="1" s="1"/>
  <c r="Q1092" i="1" a="1"/>
  <c r="Q1092" i="1" s="1"/>
  <c r="Q1093" i="1" a="1"/>
  <c r="Q1093" i="1"/>
  <c r="Q1094" i="1" a="1"/>
  <c r="Q1094" i="1"/>
  <c r="Q1095" i="1" a="1"/>
  <c r="Q1095" i="1" s="1"/>
  <c r="Q1096" i="1" a="1"/>
  <c r="Q1096" i="1" s="1"/>
  <c r="Q1097" i="1" a="1"/>
  <c r="Q1097" i="1" s="1"/>
  <c r="Q1098" i="1" a="1"/>
  <c r="Q1098" i="1"/>
  <c r="Q1099" i="1" a="1"/>
  <c r="Q1099" i="1"/>
  <c r="Q1100" i="1" a="1"/>
  <c r="Q1100" i="1" s="1"/>
  <c r="Q1101" i="1" a="1"/>
  <c r="Q1101" i="1"/>
  <c r="Q1102" i="1" a="1"/>
  <c r="Q1102" i="1"/>
  <c r="Q1103" i="1" a="1"/>
  <c r="Q1103" i="1" s="1"/>
  <c r="Q1104" i="1" a="1"/>
  <c r="Q1104" i="1" s="1"/>
  <c r="Q1105" i="1" a="1"/>
  <c r="Q1105" i="1" s="1"/>
  <c r="Q1106" i="1" a="1"/>
  <c r="Q1106" i="1"/>
  <c r="Q1107" i="1" a="1"/>
  <c r="Q1107" i="1"/>
  <c r="Q1108" i="1" a="1"/>
  <c r="Q1108" i="1" s="1"/>
  <c r="Q1109" i="1" a="1"/>
  <c r="Q1109" i="1" s="1"/>
  <c r="Q1110" i="1" a="1"/>
  <c r="Q1110" i="1"/>
  <c r="Q1111" i="1" a="1"/>
  <c r="Q1111" i="1"/>
  <c r="Q1112" i="1" a="1"/>
  <c r="Q1112" i="1" s="1"/>
  <c r="Q1113" i="1" a="1"/>
  <c r="Q1113" i="1" s="1"/>
  <c r="Q1114" i="1" a="1"/>
  <c r="Q1114" i="1"/>
  <c r="Q1115" i="1" a="1"/>
  <c r="Q1115" i="1" s="1"/>
  <c r="Q1116" i="1" a="1"/>
  <c r="Q1116" i="1" s="1"/>
  <c r="Q1117" i="1" a="1"/>
  <c r="Q1117" i="1" s="1"/>
  <c r="Q1118" i="1" a="1"/>
  <c r="Q1118" i="1" s="1"/>
  <c r="Q1119" i="1" a="1"/>
  <c r="Q1119" i="1" s="1"/>
  <c r="Q1120" i="1" a="1"/>
  <c r="Q1120" i="1"/>
  <c r="Q1121" i="1" a="1"/>
  <c r="Q1121" i="1" s="1"/>
  <c r="Q1122" i="1" a="1"/>
  <c r="Q1122" i="1"/>
  <c r="Q1123" i="1" a="1"/>
  <c r="Q1123" i="1"/>
  <c r="Q1124" i="1" a="1"/>
  <c r="Q1124" i="1"/>
  <c r="Q1125" i="1" a="1"/>
  <c r="Q1125" i="1" s="1"/>
  <c r="Q1126" i="1" a="1"/>
  <c r="Q1126" i="1" s="1"/>
  <c r="Q1127" i="1" a="1"/>
  <c r="Q1127" i="1" s="1"/>
  <c r="Q1128" i="1" a="1"/>
  <c r="Q1128" i="1"/>
  <c r="Q1129" i="1" a="1"/>
  <c r="Q1129" i="1"/>
  <c r="Q1130" i="1" a="1"/>
  <c r="Q1130" i="1"/>
  <c r="Q1131" i="1" a="1"/>
  <c r="Q1131" i="1" s="1"/>
  <c r="Q1132" i="1" a="1"/>
  <c r="Q1132" i="1" s="1"/>
  <c r="Q1133" i="1" a="1"/>
  <c r="Q1133" i="1" s="1"/>
  <c r="Q1134" i="1" a="1"/>
  <c r="Q1134" i="1"/>
  <c r="Q1135" i="1" a="1"/>
  <c r="Q1135" i="1"/>
  <c r="Q1136" i="1" a="1"/>
  <c r="Q1136" i="1"/>
  <c r="Q1137" i="1" a="1"/>
  <c r="Q1137" i="1"/>
  <c r="Q1138" i="1" a="1"/>
  <c r="Q1138" i="1" s="1"/>
  <c r="Q1139" i="1" a="1"/>
  <c r="Q1139" i="1" s="1"/>
  <c r="Q1140" i="1" a="1"/>
  <c r="Q1140" i="1"/>
  <c r="Q1141" i="1" a="1"/>
  <c r="Q1141" i="1"/>
  <c r="Q1142" i="1" a="1"/>
  <c r="Q1142" i="1"/>
  <c r="Q1143" i="1" a="1"/>
  <c r="Q1143" i="1" s="1"/>
  <c r="Q1144" i="1" a="1"/>
  <c r="Q1144" i="1" s="1"/>
  <c r="Q1145" i="1" a="1"/>
  <c r="Q1145" i="1" s="1"/>
  <c r="Q1146" i="1" a="1"/>
  <c r="Q1146" i="1"/>
  <c r="Q1147" i="1" a="1"/>
  <c r="Q1147" i="1"/>
  <c r="Q1148" i="1" a="1"/>
  <c r="Q1148" i="1"/>
  <c r="Q1149" i="1" a="1"/>
  <c r="Q1149" i="1"/>
  <c r="Q1150" i="1" a="1"/>
  <c r="Q1150" i="1" s="1"/>
  <c r="Q1151" i="1" a="1"/>
  <c r="Q1151" i="1" s="1"/>
  <c r="Q1152" i="1" a="1"/>
  <c r="Q1152" i="1" s="1"/>
  <c r="Q1153" i="1" a="1"/>
  <c r="Q1153" i="1"/>
  <c r="Q1154" i="1" a="1"/>
  <c r="Q1154" i="1"/>
  <c r="Q1155" i="1" a="1"/>
  <c r="Q1155" i="1" s="1"/>
  <c r="Q1156" i="1" a="1"/>
  <c r="Q1156" i="1" s="1"/>
  <c r="Q1157" i="1" a="1"/>
  <c r="Q1157" i="1"/>
  <c r="Q1158" i="1" a="1"/>
  <c r="Q1158" i="1" s="1"/>
  <c r="Q1159" i="1" a="1"/>
  <c r="Q1159" i="1"/>
  <c r="Q1160" i="1" a="1"/>
  <c r="Q1160" i="1"/>
  <c r="Q1161" i="1" a="1"/>
  <c r="Q1161" i="1"/>
  <c r="Q1162" i="1" a="1"/>
  <c r="Q1162" i="1" s="1"/>
  <c r="Q1163" i="1" a="1"/>
  <c r="Q1163" i="1" s="1"/>
  <c r="Q1164" i="1" a="1"/>
  <c r="Q1164" i="1" s="1"/>
  <c r="Q1165" i="1" a="1"/>
  <c r="Q1165" i="1"/>
  <c r="Q1166" i="1" a="1"/>
  <c r="Q1166" i="1"/>
  <c r="Q1167" i="1" a="1"/>
  <c r="Q1167" i="1" s="1"/>
  <c r="Q1168" i="1" a="1"/>
  <c r="Q1168" i="1" s="1"/>
  <c r="Q1169" i="1" a="1"/>
  <c r="Q1169" i="1"/>
  <c r="Q1170" i="1" a="1"/>
  <c r="Q1170" i="1"/>
  <c r="Q1171" i="1" a="1"/>
  <c r="Q1171" i="1"/>
  <c r="Q1172" i="1" a="1"/>
  <c r="Q1172" i="1"/>
  <c r="Q1173" i="1" a="1"/>
  <c r="Q1173" i="1"/>
  <c r="Q1174" i="1" a="1"/>
  <c r="Q1174" i="1" s="1"/>
  <c r="Q1175" i="1" a="1"/>
  <c r="Q1175" i="1" s="1"/>
  <c r="Q1176" i="1" a="1"/>
  <c r="Q1176" i="1" s="1"/>
  <c r="Q1177" i="1" a="1"/>
  <c r="Q1177" i="1" s="1"/>
  <c r="Q1178" i="1" a="1"/>
  <c r="Q1178" i="1"/>
  <c r="Q1179" i="1" a="1"/>
  <c r="Q1179" i="1" s="1"/>
  <c r="Q1180" i="1" a="1"/>
  <c r="Q1180" i="1" s="1"/>
  <c r="Q1181" i="1" a="1"/>
  <c r="Q1181" i="1" s="1"/>
  <c r="Q1182" i="1" a="1"/>
  <c r="Q1182" i="1" s="1"/>
  <c r="Q1183" i="1" a="1"/>
  <c r="Q1183" i="1" s="1"/>
  <c r="Q1184" i="1" a="1"/>
  <c r="Q1184" i="1"/>
  <c r="Q1185" i="1" a="1"/>
  <c r="Q1185" i="1" s="1"/>
  <c r="Q1186" i="1" a="1"/>
  <c r="Q1186" i="1" s="1"/>
  <c r="Q1187" i="1" a="1"/>
  <c r="Q1187" i="1" s="1"/>
  <c r="Q1188" i="1" a="1"/>
  <c r="Q1188" i="1" s="1"/>
  <c r="Q1189" i="1" a="1"/>
  <c r="Q1189" i="1" s="1"/>
  <c r="Q1190" i="1" a="1"/>
  <c r="Q1190" i="1"/>
  <c r="Q1191" i="1" a="1"/>
  <c r="Q1191" i="1" s="1"/>
  <c r="Q1192" i="1" a="1"/>
  <c r="Q1192" i="1" s="1"/>
  <c r="Q1193" i="1" a="1"/>
  <c r="Q1193" i="1" s="1"/>
  <c r="Q1194" i="1" a="1"/>
  <c r="Q1194" i="1" s="1"/>
  <c r="Q1195" i="1" a="1"/>
  <c r="Q1195" i="1" s="1"/>
  <c r="Q1196" i="1" a="1"/>
  <c r="Q1196" i="1"/>
  <c r="Q1197" i="1" a="1"/>
  <c r="Q1197" i="1"/>
  <c r="Q1198" i="1" a="1"/>
  <c r="Q1198" i="1" s="1"/>
  <c r="Q1199" i="1" a="1"/>
  <c r="Q1199" i="1" s="1"/>
  <c r="Q1200" i="1" a="1"/>
  <c r="Q1200" i="1" s="1"/>
  <c r="Q1201" i="1" a="1"/>
  <c r="Q1201" i="1" s="1"/>
  <c r="Q1202" i="1" a="1"/>
  <c r="Q1202" i="1"/>
  <c r="Q1203" i="1" a="1"/>
  <c r="Q1203" i="1"/>
  <c r="Q1204" i="1" a="1"/>
  <c r="Q1204" i="1" s="1"/>
  <c r="Q1205" i="1" a="1"/>
  <c r="Q1205" i="1"/>
  <c r="Q1206" i="1" a="1"/>
  <c r="Q1206" i="1" s="1"/>
  <c r="Q1207" i="1" a="1"/>
  <c r="Q1207" i="1" s="1"/>
  <c r="Q1208" i="1" a="1"/>
  <c r="Q1208" i="1"/>
  <c r="Q1209" i="1" a="1"/>
  <c r="Q1209" i="1"/>
  <c r="Q1210" i="1" a="1"/>
  <c r="Q1210" i="1" s="1"/>
  <c r="Q1211" i="1" a="1"/>
  <c r="Q1211" i="1" s="1"/>
  <c r="Q1212" i="1" a="1"/>
  <c r="Q1212" i="1" s="1"/>
  <c r="Q1213" i="1" a="1"/>
  <c r="Q1213" i="1" s="1"/>
  <c r="Q1214" i="1" a="1"/>
  <c r="Q1214" i="1"/>
  <c r="Q1215" i="1" a="1"/>
  <c r="Q1215" i="1" s="1"/>
  <c r="Q1216" i="1" a="1"/>
  <c r="Q1216" i="1" s="1"/>
  <c r="Q1217" i="1" a="1"/>
  <c r="Q1217" i="1" s="1"/>
  <c r="Q1218" i="1" a="1"/>
  <c r="Q1218" i="1" s="1"/>
  <c r="Q1219" i="1" a="1"/>
  <c r="Q1219" i="1" s="1"/>
  <c r="Q1220" i="1" a="1"/>
  <c r="Q1220" i="1"/>
  <c r="Q1221" i="1" a="1"/>
  <c r="Q1221" i="1" s="1"/>
  <c r="Q1222" i="1" a="1"/>
  <c r="Q1222" i="1" s="1"/>
  <c r="Q1223" i="1" a="1"/>
  <c r="Q1223" i="1" s="1"/>
  <c r="Q1224" i="1" a="1"/>
  <c r="Q1224" i="1" s="1"/>
  <c r="Q1225" i="1" a="1"/>
  <c r="Q1225" i="1" s="1"/>
  <c r="Q1226" i="1" a="1"/>
  <c r="Q1226" i="1"/>
  <c r="Q1227" i="1" a="1"/>
  <c r="Q1227" i="1"/>
  <c r="Q1228" i="1" a="1"/>
  <c r="Q1228" i="1" s="1"/>
  <c r="Q1229" i="1" a="1"/>
  <c r="Q1229" i="1" s="1"/>
  <c r="Q1230" i="1" a="1"/>
  <c r="Q1230" i="1" s="1"/>
  <c r="Q1231" i="1" a="1"/>
  <c r="Q1231" i="1" s="1"/>
  <c r="Q1232" i="1" a="1"/>
  <c r="Q1232" i="1"/>
  <c r="Q1233" i="1" a="1"/>
  <c r="Q1233" i="1"/>
  <c r="Q1234" i="1" a="1"/>
  <c r="Q1234" i="1" s="1"/>
  <c r="Q1235" i="1" a="1"/>
  <c r="Q1235" i="1" s="1"/>
  <c r="Q1236" i="1" a="1"/>
  <c r="Q1236" i="1" s="1"/>
  <c r="Q1237" i="1" a="1"/>
  <c r="Q1237" i="1" s="1"/>
  <c r="Q1238" i="1" a="1"/>
  <c r="Q1238" i="1"/>
  <c r="Q1239" i="1" a="1"/>
  <c r="Q1239" i="1"/>
  <c r="Q1240" i="1" a="1"/>
  <c r="Q1240" i="1" s="1"/>
  <c r="Q1241" i="1" a="1"/>
  <c r="Q1241" i="1" s="1"/>
  <c r="Q1242" i="1" a="1"/>
  <c r="Q1242" i="1" s="1"/>
  <c r="Q1243" i="1" a="1"/>
  <c r="Q1243" i="1" s="1"/>
  <c r="Q1244" i="1" a="1"/>
  <c r="Q1244" i="1" s="1"/>
  <c r="Q1245" i="1" a="1"/>
  <c r="Q1245" i="1"/>
  <c r="Q1246" i="1" a="1"/>
  <c r="Q1246" i="1" s="1"/>
  <c r="Q1247" i="1" a="1"/>
  <c r="Q1247" i="1" s="1"/>
  <c r="Q1248" i="1" a="1"/>
  <c r="Q1248" i="1" s="1"/>
  <c r="Q1249" i="1" a="1"/>
  <c r="Q1249" i="1" s="1"/>
  <c r="Q1250" i="1" a="1"/>
  <c r="Q1250" i="1" s="1"/>
  <c r="Q1251" i="1" a="1"/>
  <c r="Q1251" i="1" s="1"/>
  <c r="Q1252" i="1" a="1"/>
  <c r="Q1252" i="1" s="1"/>
  <c r="Q1253" i="1" a="1"/>
  <c r="Q1253" i="1" s="1"/>
  <c r="Q1254" i="1" a="1"/>
  <c r="Q1254" i="1" s="1"/>
  <c r="Q1255" i="1" a="1"/>
  <c r="Q1255" i="1" s="1"/>
  <c r="Q1256" i="1" a="1"/>
  <c r="Q1256" i="1"/>
  <c r="Q1257" i="1" a="1"/>
  <c r="Q1257" i="1" s="1"/>
  <c r="Q1258" i="1" a="1"/>
  <c r="Q1258" i="1" s="1"/>
  <c r="Q1259" i="1" a="1"/>
  <c r="Q1259" i="1" s="1"/>
  <c r="Q1260" i="1" a="1"/>
  <c r="Q1260" i="1" s="1"/>
  <c r="Q1261" i="1" a="1"/>
  <c r="Q1261" i="1" s="1"/>
  <c r="Q1262" i="1" a="1"/>
  <c r="Q1262" i="1"/>
  <c r="Q1263" i="1" a="1"/>
  <c r="Q1263" i="1"/>
  <c r="Q1264" i="1" a="1"/>
  <c r="Q1264" i="1" s="1"/>
  <c r="Q1265" i="1" a="1"/>
  <c r="Q1265" i="1"/>
  <c r="Q1266" i="1" a="1"/>
  <c r="Q1266" i="1" s="1"/>
  <c r="Q1267" i="1" a="1"/>
  <c r="Q1267" i="1" s="1"/>
  <c r="Q1268" i="1" a="1"/>
  <c r="Q1268" i="1"/>
  <c r="Q1269" i="1" a="1"/>
  <c r="Q1269" i="1"/>
  <c r="Q1270" i="1" a="1"/>
  <c r="Q1270" i="1" s="1"/>
  <c r="Q1271" i="1" a="1"/>
  <c r="Q1271" i="1" s="1"/>
  <c r="Q1272" i="1" a="1"/>
  <c r="Q1272" i="1" s="1"/>
  <c r="Q1273" i="1" a="1"/>
  <c r="Q1273" i="1" s="1"/>
  <c r="Q1274" i="1" a="1"/>
  <c r="Q1274" i="1"/>
  <c r="Q1275" i="1" a="1"/>
  <c r="Q1275" i="1"/>
  <c r="Q1276" i="1" a="1"/>
  <c r="Q1276" i="1" s="1"/>
  <c r="Q1277" i="1" a="1"/>
  <c r="Q1277" i="1" s="1"/>
  <c r="Q1278" i="1" a="1"/>
  <c r="Q1278" i="1" s="1"/>
  <c r="Q1279" i="1" a="1"/>
  <c r="Q1279" i="1" s="1"/>
  <c r="Q1280" i="1" a="1"/>
  <c r="Q1280" i="1" s="1"/>
  <c r="Q1281" i="1" a="1"/>
  <c r="Q1281" i="1"/>
  <c r="Q1282" i="1" a="1"/>
  <c r="Q1282" i="1" s="1"/>
  <c r="Q1283" i="1" a="1"/>
  <c r="Q1283" i="1" s="1"/>
  <c r="Q1284" i="1" a="1"/>
  <c r="Q1284" i="1" s="1"/>
  <c r="Q1285" i="1" a="1"/>
  <c r="Q1285" i="1" s="1"/>
  <c r="Q1286" i="1" a="1"/>
  <c r="Q1286" i="1" s="1"/>
  <c r="Q1287" i="1" a="1"/>
  <c r="Q1287" i="1" s="1"/>
  <c r="Q1288" i="1" a="1"/>
  <c r="Q1288" i="1" s="1"/>
  <c r="Q1289" i="1" a="1"/>
  <c r="Q1289" i="1" s="1"/>
  <c r="Q1290" i="1" a="1"/>
  <c r="Q1290" i="1" s="1"/>
  <c r="Q1291" i="1" a="1"/>
  <c r="Q1291" i="1" s="1"/>
  <c r="Q1292" i="1" a="1"/>
  <c r="Q1292" i="1"/>
  <c r="Q1293" i="1" a="1"/>
  <c r="Q1293" i="1" s="1"/>
  <c r="Q1294" i="1" a="1"/>
  <c r="Q1294" i="1" s="1"/>
  <c r="Q1295" i="1" a="1"/>
  <c r="Q1295" i="1"/>
  <c r="Q1296" i="1" a="1"/>
  <c r="Q1296" i="1" s="1"/>
  <c r="Q1297" i="1" a="1"/>
  <c r="Q1297" i="1" s="1"/>
  <c r="Q1298" i="1" a="1"/>
  <c r="Q1298" i="1"/>
  <c r="Q1299" i="1" a="1"/>
  <c r="Q1299" i="1" s="1"/>
  <c r="Q1300" i="1" a="1"/>
  <c r="Q1300" i="1" s="1"/>
  <c r="Q1301" i="1" a="1"/>
  <c r="Q1301" i="1"/>
  <c r="Q1302" i="1" a="1"/>
  <c r="Q1302" i="1" s="1"/>
  <c r="Q1303" i="1" a="1"/>
  <c r="Q1303" i="1" s="1"/>
  <c r="Q1304" i="1" a="1"/>
  <c r="Q1304" i="1"/>
  <c r="Q1305" i="1" a="1"/>
  <c r="Q1305" i="1"/>
  <c r="Q1306" i="1" a="1"/>
  <c r="Q1306" i="1" s="1"/>
  <c r="Q1307" i="1" a="1"/>
  <c r="Q1307" i="1" s="1"/>
  <c r="Q1308" i="1" a="1"/>
  <c r="Q1308" i="1" s="1"/>
  <c r="Q1309" i="1" a="1"/>
  <c r="Q1309" i="1" s="1"/>
  <c r="Q1310" i="1" a="1"/>
  <c r="Q1310" i="1"/>
  <c r="Q1311" i="1" a="1"/>
  <c r="Q1311" i="1"/>
  <c r="Q1312" i="1" a="1"/>
  <c r="Q1312" i="1" s="1"/>
  <c r="Q1313" i="1" a="1"/>
  <c r="Q1313" i="1" s="1"/>
  <c r="Q1314" i="1" a="1"/>
  <c r="Q1314" i="1" s="1"/>
  <c r="Q1315" i="1" a="1"/>
  <c r="Q1315" i="1" s="1"/>
  <c r="Q1316" i="1" a="1"/>
  <c r="Q1316" i="1" s="1"/>
  <c r="Q1317" i="1" a="1"/>
  <c r="Q1317" i="1"/>
  <c r="Q1318" i="1" a="1"/>
  <c r="Q1318" i="1" s="1"/>
  <c r="Q1319" i="1" a="1"/>
  <c r="Q1319" i="1" s="1"/>
  <c r="Q1320" i="1" a="1"/>
  <c r="Q1320" i="1" s="1"/>
  <c r="Q1321" i="1" a="1"/>
  <c r="Q1321" i="1" s="1"/>
  <c r="Q1322" i="1" a="1"/>
  <c r="Q1322" i="1" s="1"/>
  <c r="Q1323" i="1" a="1"/>
  <c r="Q1323" i="1" s="1"/>
  <c r="Q1324" i="1" a="1"/>
  <c r="Q1324" i="1" s="1"/>
  <c r="Q1325" i="1" a="1"/>
  <c r="Q1325" i="1" s="1"/>
  <c r="Q1326" i="1" a="1"/>
  <c r="Q1326" i="1" s="1"/>
  <c r="Q1327" i="1" a="1"/>
  <c r="Q1327" i="1" s="1"/>
  <c r="Q1328" i="1" a="1"/>
  <c r="Q1328" i="1"/>
  <c r="Q1329" i="1" a="1"/>
  <c r="Q1329" i="1" s="1"/>
  <c r="Q1330" i="1" a="1"/>
  <c r="Q1330" i="1" s="1"/>
  <c r="Q1331" i="1" a="1"/>
  <c r="Q1331" i="1"/>
  <c r="Q1332" i="1" a="1"/>
  <c r="Q1332" i="1" s="1"/>
  <c r="Q1333" i="1" a="1"/>
  <c r="Q1333" i="1" s="1"/>
  <c r="Q1334" i="1" a="1"/>
  <c r="Q1334" i="1"/>
  <c r="Q1335" i="1" a="1"/>
  <c r="Q1335" i="1" s="1"/>
  <c r="Q1336" i="1" a="1"/>
  <c r="Q1336" i="1" s="1"/>
  <c r="Q1337" i="1" a="1"/>
  <c r="Q1337" i="1"/>
  <c r="Q1338" i="1" a="1"/>
  <c r="Q1338" i="1" s="1"/>
  <c r="Q1339" i="1" a="1"/>
  <c r="Q1339" i="1" s="1"/>
  <c r="Q1340" i="1" a="1"/>
  <c r="Q1340" i="1"/>
  <c r="Q1341" i="1" a="1"/>
  <c r="Q1341" i="1"/>
  <c r="Q1342" i="1" a="1"/>
  <c r="Q1342" i="1" s="1"/>
  <c r="Q1343" i="1" a="1"/>
  <c r="Q1343" i="1" s="1"/>
  <c r="Q1344" i="1" a="1"/>
  <c r="Q1344" i="1"/>
  <c r="Q1345" i="1" a="1"/>
  <c r="Q1345" i="1" s="1"/>
  <c r="Q1346" i="1" a="1"/>
  <c r="Q1346" i="1"/>
  <c r="Q1347" i="1" a="1"/>
  <c r="Q1347" i="1"/>
  <c r="Q1348" i="1" a="1"/>
  <c r="Q1348" i="1" s="1"/>
  <c r="Q1349" i="1" a="1"/>
  <c r="Q1349" i="1" s="1"/>
  <c r="Q1350" i="1" a="1"/>
  <c r="Q1350" i="1" s="1"/>
  <c r="Q1351" i="1" a="1"/>
  <c r="Q1351" i="1" s="1"/>
  <c r="Q1352" i="1" a="1"/>
  <c r="Q1352" i="1" s="1"/>
  <c r="Q1353" i="1" a="1"/>
  <c r="Q1353" i="1"/>
  <c r="Q1354" i="1" a="1"/>
  <c r="Q1354" i="1" s="1"/>
  <c r="Q1355" i="1" a="1"/>
  <c r="Q1355" i="1" s="1"/>
  <c r="Q1356" i="1" a="1"/>
  <c r="Q1356" i="1" s="1"/>
  <c r="Q1357" i="1" a="1"/>
  <c r="Q1357" i="1" s="1"/>
  <c r="Q1358" i="1" a="1"/>
  <c r="Q1358" i="1" s="1"/>
  <c r="Q1359" i="1" a="1"/>
  <c r="Q1359" i="1" s="1"/>
  <c r="Q1360" i="1" a="1"/>
  <c r="Q1360" i="1" s="1"/>
  <c r="Q1361" i="1" a="1"/>
  <c r="Q1361" i="1" s="1"/>
  <c r="Q1362" i="1" a="1"/>
  <c r="Q1362" i="1" s="1"/>
  <c r="Q1363" i="1" a="1"/>
  <c r="Q1363" i="1" s="1"/>
  <c r="Q1364" i="1" a="1"/>
  <c r="Q1364" i="1"/>
  <c r="Q1365" i="1" a="1"/>
  <c r="Q1365" i="1" s="1"/>
  <c r="Q1366" i="1" a="1"/>
  <c r="Q1366" i="1" s="1"/>
  <c r="Q1367" i="1" a="1"/>
  <c r="Q1367" i="1"/>
  <c r="Q1368" i="1" a="1"/>
  <c r="Q1368" i="1" s="1"/>
  <c r="Q1369" i="1" a="1"/>
  <c r="Q1369" i="1" s="1"/>
  <c r="Q1370" i="1" a="1"/>
  <c r="Q1370" i="1"/>
  <c r="Q1371" i="1" a="1"/>
  <c r="Q1371" i="1" s="1"/>
  <c r="Q1372" i="1" a="1"/>
  <c r="Q1372" i="1" s="1"/>
  <c r="Q1373" i="1" a="1"/>
  <c r="Q1373" i="1"/>
  <c r="Q1374" i="1" a="1"/>
  <c r="Q1374" i="1"/>
  <c r="Q1375" i="1" a="1"/>
  <c r="Q1375" i="1" s="1"/>
  <c r="Q1376" i="1" a="1"/>
  <c r="Q1376" i="1"/>
  <c r="Q1377" i="1" a="1"/>
  <c r="Q1377" i="1"/>
  <c r="Q1378" i="1" a="1"/>
  <c r="Q1378" i="1" s="1"/>
  <c r="Q1379" i="1" a="1"/>
  <c r="Q1379" i="1" s="1"/>
  <c r="Q1380" i="1" a="1"/>
  <c r="Q1380" i="1"/>
  <c r="Q1381" i="1" a="1"/>
  <c r="Q1381" i="1" s="1"/>
  <c r="Q1382" i="1" a="1"/>
  <c r="Q1382" i="1"/>
  <c r="Q1383" i="1" a="1"/>
  <c r="Q1383" i="1"/>
  <c r="Q1384" i="1" a="1"/>
  <c r="Q1384" i="1" s="1"/>
  <c r="Q1385" i="1" a="1"/>
  <c r="Q1385" i="1" s="1"/>
  <c r="Q1386" i="1" a="1"/>
  <c r="Q1386" i="1" s="1"/>
  <c r="Q1387" i="1" a="1"/>
  <c r="Q1387" i="1" s="1"/>
  <c r="Q1388" i="1" a="1"/>
  <c r="Q1388" i="1" s="1"/>
  <c r="Q1389" i="1" a="1"/>
  <c r="Q1389" i="1"/>
  <c r="Q1390" i="1" a="1"/>
  <c r="Q1390" i="1" s="1"/>
  <c r="Q1391" i="1" a="1"/>
  <c r="Q1391" i="1" s="1"/>
  <c r="Q1392" i="1" a="1"/>
  <c r="Q1392" i="1" s="1"/>
  <c r="Q1393" i="1" a="1"/>
  <c r="Q1393" i="1" s="1"/>
  <c r="Q1394" i="1" a="1"/>
  <c r="Q1394" i="1" s="1"/>
  <c r="Q1395" i="1" a="1"/>
  <c r="Q1395" i="1" s="1"/>
  <c r="Q1396" i="1" a="1"/>
  <c r="Q1396" i="1" s="1"/>
  <c r="Q1397" i="1" a="1"/>
  <c r="Q1397" i="1" s="1"/>
  <c r="Q1398" i="1" a="1"/>
  <c r="Q1398" i="1" s="1"/>
  <c r="Q1399" i="1" a="1"/>
  <c r="Q1399" i="1" s="1"/>
  <c r="Q1400" i="1" a="1"/>
  <c r="Q1400" i="1" s="1"/>
  <c r="Q1401" i="1" a="1"/>
  <c r="Q1401" i="1" s="1"/>
  <c r="Q1402" i="1" a="1"/>
  <c r="Q1402" i="1" s="1"/>
  <c r="Q1403" i="1" a="1"/>
  <c r="Q1403" i="1"/>
  <c r="Q1404" i="1" a="1"/>
  <c r="Q1404" i="1" s="1"/>
  <c r="Q1405" i="1" a="1"/>
  <c r="Q1405" i="1" s="1"/>
  <c r="Q1406" i="1" a="1"/>
  <c r="Q1406" i="1"/>
  <c r="Q1407" i="1" a="1"/>
  <c r="Q1407" i="1" s="1"/>
  <c r="Q1408" i="1" a="1"/>
  <c r="Q1408" i="1" s="1"/>
  <c r="Q1409" i="1" a="1"/>
  <c r="Q1409" i="1"/>
  <c r="Q1410" i="1" a="1"/>
  <c r="Q1410" i="1"/>
  <c r="Q1411" i="1" a="1"/>
  <c r="Q1411" i="1" s="1"/>
  <c r="Q1412" i="1" a="1"/>
  <c r="Q1412" i="1"/>
  <c r="Q1413" i="1" a="1"/>
  <c r="Q1413" i="1" s="1"/>
  <c r="Q1414" i="1" a="1"/>
  <c r="Q1414" i="1" s="1"/>
  <c r="Q1415" i="1" a="1"/>
  <c r="Q1415" i="1" s="1"/>
  <c r="Q1416" i="1" a="1"/>
  <c r="Q1416" i="1"/>
  <c r="Q1417" i="1" a="1"/>
  <c r="Q1417" i="1" s="1"/>
  <c r="Q1418" i="1" a="1"/>
  <c r="Q1418" i="1"/>
  <c r="Q1419" i="1" a="1"/>
  <c r="Q1419" i="1"/>
  <c r="Q1420" i="1" a="1"/>
  <c r="Q1420" i="1" s="1"/>
  <c r="Q1421" i="1" a="1"/>
  <c r="Q1421" i="1" s="1"/>
  <c r="Q1422" i="1" a="1"/>
  <c r="Q1422" i="1" s="1"/>
  <c r="Q1423" i="1" a="1"/>
  <c r="Q1423" i="1" s="1"/>
  <c r="Q1424" i="1" a="1"/>
  <c r="Q1424" i="1" s="1"/>
  <c r="Q1425" i="1" a="1"/>
  <c r="Q1425" i="1"/>
  <c r="Q1426" i="1" a="1"/>
  <c r="Q1426" i="1"/>
  <c r="Q1427" i="1" a="1"/>
  <c r="Q1427" i="1" s="1"/>
  <c r="Q1428" i="1" a="1"/>
  <c r="Q1428" i="1" s="1"/>
  <c r="Q1429" i="1" a="1"/>
  <c r="Q1429" i="1" s="1"/>
  <c r="Q1430" i="1" a="1"/>
  <c r="Q1430" i="1"/>
  <c r="Q1431" i="1" a="1"/>
  <c r="Q1431" i="1"/>
  <c r="Q1432" i="1" a="1"/>
  <c r="Q1432" i="1" s="1"/>
  <c r="Q1433" i="1" a="1"/>
  <c r="Q1433" i="1" s="1"/>
  <c r="Q1434" i="1" a="1"/>
  <c r="Q1434" i="1" s="1"/>
  <c r="Q1435" i="1" a="1"/>
  <c r="Q1435" i="1" s="1"/>
  <c r="Q1436" i="1" a="1"/>
  <c r="Q1436" i="1" s="1"/>
  <c r="Q1437" i="1" a="1"/>
  <c r="Q1437" i="1" s="1"/>
  <c r="Q1438" i="1" a="1"/>
  <c r="Q1438" i="1"/>
  <c r="Q1439" i="1" a="1"/>
  <c r="Q1439" i="1" s="1"/>
  <c r="Q1440" i="1" a="1"/>
  <c r="Q1440" i="1" s="1"/>
  <c r="Q1441" i="1" a="1"/>
  <c r="Q1441" i="1" s="1"/>
  <c r="D1441" i="1" l="1"/>
  <c r="C1441" i="1"/>
  <c r="P1441" i="1" s="1" a="1"/>
  <c r="P1441" i="1" s="1"/>
  <c r="D1440" i="1"/>
  <c r="C1440" i="1"/>
  <c r="P1440" i="1" s="1" a="1"/>
  <c r="P1440" i="1" s="1"/>
  <c r="D1439" i="1"/>
  <c r="C1439" i="1"/>
  <c r="P1439" i="1" s="1" a="1"/>
  <c r="P1439" i="1" s="1"/>
  <c r="D1438" i="1"/>
  <c r="C1438" i="1"/>
  <c r="P1438" i="1" s="1" a="1"/>
  <c r="P1438" i="1" s="1"/>
  <c r="D1437" i="1"/>
  <c r="C1437" i="1"/>
  <c r="P1437" i="1" s="1" a="1"/>
  <c r="P1437" i="1" s="1"/>
  <c r="D1436" i="1"/>
  <c r="C1436" i="1"/>
  <c r="P1436" i="1" s="1" a="1"/>
  <c r="P1436" i="1" s="1"/>
  <c r="D1435" i="1"/>
  <c r="C1435" i="1"/>
  <c r="P1435" i="1" s="1" a="1"/>
  <c r="P1435" i="1" s="1"/>
  <c r="D1434" i="1"/>
  <c r="C1434" i="1"/>
  <c r="P1434" i="1" s="1" a="1"/>
  <c r="P1434" i="1" s="1"/>
  <c r="D1433" i="1"/>
  <c r="C1433" i="1"/>
  <c r="P1433" i="1" s="1" a="1"/>
  <c r="P1433" i="1" s="1"/>
  <c r="D1432" i="1"/>
  <c r="C1432" i="1"/>
  <c r="P1432" i="1" s="1" a="1"/>
  <c r="P1432" i="1" s="1"/>
  <c r="D1431" i="1"/>
  <c r="C1431" i="1"/>
  <c r="P1431" i="1" s="1" a="1"/>
  <c r="P1431" i="1" s="1"/>
  <c r="D1430" i="1"/>
  <c r="C1430" i="1"/>
  <c r="P1430" i="1" s="1" a="1"/>
  <c r="P1430" i="1" s="1"/>
  <c r="D1429" i="1"/>
  <c r="C1429" i="1"/>
  <c r="P1429" i="1" s="1" a="1"/>
  <c r="P1429" i="1" s="1"/>
  <c r="D1428" i="1"/>
  <c r="C1428" i="1"/>
  <c r="P1428" i="1" s="1" a="1"/>
  <c r="P1428" i="1" s="1"/>
  <c r="D1427" i="1"/>
  <c r="C1427" i="1"/>
  <c r="P1427" i="1" s="1" a="1"/>
  <c r="P1427" i="1" s="1"/>
  <c r="D1426" i="1"/>
  <c r="C1426" i="1"/>
  <c r="P1426" i="1" s="1" a="1"/>
  <c r="P1426" i="1" s="1"/>
  <c r="D1425" i="1"/>
  <c r="C1425" i="1"/>
  <c r="P1425" i="1" s="1" a="1"/>
  <c r="P1425" i="1" s="1"/>
  <c r="D1424" i="1"/>
  <c r="C1424" i="1"/>
  <c r="P1424" i="1" s="1" a="1"/>
  <c r="P1424" i="1" s="1"/>
  <c r="D1423" i="1"/>
  <c r="C1423" i="1"/>
  <c r="P1423" i="1" s="1" a="1"/>
  <c r="P1423" i="1" s="1"/>
  <c r="D1422" i="1"/>
  <c r="C1422" i="1"/>
  <c r="P1422" i="1" s="1" a="1"/>
  <c r="P1422" i="1" s="1"/>
  <c r="D1421" i="1"/>
  <c r="C1421" i="1"/>
  <c r="P1421" i="1" s="1" a="1"/>
  <c r="P1421" i="1" s="1"/>
  <c r="D1420" i="1"/>
  <c r="C1420" i="1"/>
  <c r="P1420" i="1" s="1" a="1"/>
  <c r="P1420" i="1" s="1"/>
  <c r="D1419" i="1"/>
  <c r="C1419" i="1"/>
  <c r="P1419" i="1" s="1" a="1"/>
  <c r="P1419" i="1" s="1"/>
  <c r="D1418" i="1"/>
  <c r="C1418" i="1"/>
  <c r="P1418" i="1" s="1" a="1"/>
  <c r="P1418" i="1" s="1"/>
  <c r="D1417" i="1"/>
  <c r="C1417" i="1"/>
  <c r="P1417" i="1" s="1" a="1"/>
  <c r="P1417" i="1" s="1"/>
  <c r="D1416" i="1"/>
  <c r="C1416" i="1"/>
  <c r="P1416" i="1" s="1" a="1"/>
  <c r="P1416" i="1" s="1"/>
  <c r="D1415" i="1"/>
  <c r="C1415" i="1"/>
  <c r="P1415" i="1" s="1" a="1"/>
  <c r="P1415" i="1" s="1"/>
  <c r="D1414" i="1"/>
  <c r="C1414" i="1"/>
  <c r="P1414" i="1" s="1" a="1"/>
  <c r="P1414" i="1" s="1"/>
  <c r="D1413" i="1"/>
  <c r="C1413" i="1"/>
  <c r="P1413" i="1" s="1" a="1"/>
  <c r="P1413" i="1" s="1"/>
  <c r="D1412" i="1"/>
  <c r="C1412" i="1"/>
  <c r="P1412" i="1" s="1" a="1"/>
  <c r="P1412" i="1" s="1"/>
  <c r="D1411" i="1"/>
  <c r="C1411" i="1"/>
  <c r="P1411" i="1" s="1" a="1"/>
  <c r="P1411" i="1" s="1"/>
  <c r="D1410" i="1"/>
  <c r="C1410" i="1"/>
  <c r="P1410" i="1" s="1" a="1"/>
  <c r="P1410" i="1" s="1"/>
  <c r="D1409" i="1"/>
  <c r="C1409" i="1"/>
  <c r="P1409" i="1" s="1" a="1"/>
  <c r="P1409" i="1" s="1"/>
  <c r="D1408" i="1"/>
  <c r="C1408" i="1"/>
  <c r="P1408" i="1" s="1" a="1"/>
  <c r="P1408" i="1" s="1"/>
  <c r="D1407" i="1"/>
  <c r="C1407" i="1"/>
  <c r="P1407" i="1" s="1" a="1"/>
  <c r="P1407" i="1" s="1"/>
  <c r="D1406" i="1"/>
  <c r="C1406" i="1"/>
  <c r="P1406" i="1" s="1" a="1"/>
  <c r="P1406" i="1" s="1"/>
  <c r="D1405" i="1"/>
  <c r="C1405" i="1"/>
  <c r="P1405" i="1" s="1" a="1"/>
  <c r="P1405" i="1" s="1"/>
  <c r="D1404" i="1"/>
  <c r="C1404" i="1"/>
  <c r="P1404" i="1" s="1" a="1"/>
  <c r="P1404" i="1" s="1"/>
  <c r="D1403" i="1"/>
  <c r="C1403" i="1"/>
  <c r="P1403" i="1" s="1" a="1"/>
  <c r="P1403" i="1" s="1"/>
  <c r="D1402" i="1"/>
  <c r="C1402" i="1"/>
  <c r="P1402" i="1" s="1" a="1"/>
  <c r="P1402" i="1" s="1"/>
  <c r="D1401" i="1"/>
  <c r="C1401" i="1"/>
  <c r="P1401" i="1" s="1" a="1"/>
  <c r="P1401" i="1" s="1"/>
  <c r="D1400" i="1"/>
  <c r="C1400" i="1"/>
  <c r="P1400" i="1" s="1" a="1"/>
  <c r="P1400" i="1" s="1"/>
  <c r="D1399" i="1"/>
  <c r="C1399" i="1"/>
  <c r="P1399" i="1" s="1" a="1"/>
  <c r="P1399" i="1" s="1"/>
  <c r="D1398" i="1"/>
  <c r="C1398" i="1"/>
  <c r="P1398" i="1" s="1" a="1"/>
  <c r="P1398" i="1" s="1"/>
  <c r="D1397" i="1"/>
  <c r="C1397" i="1"/>
  <c r="P1397" i="1" s="1" a="1"/>
  <c r="P1397" i="1" s="1"/>
  <c r="D1396" i="1"/>
  <c r="C1396" i="1"/>
  <c r="P1396" i="1" s="1" a="1"/>
  <c r="P1396" i="1" s="1"/>
  <c r="D1395" i="1"/>
  <c r="C1395" i="1"/>
  <c r="P1395" i="1" s="1" a="1"/>
  <c r="P1395" i="1" s="1"/>
  <c r="D1394" i="1"/>
  <c r="C1394" i="1"/>
  <c r="P1394" i="1" s="1" a="1"/>
  <c r="P1394" i="1" s="1"/>
  <c r="D1393" i="1"/>
  <c r="C1393" i="1"/>
  <c r="P1393" i="1" s="1" a="1"/>
  <c r="P1393" i="1" s="1"/>
  <c r="D1392" i="1"/>
  <c r="C1392" i="1"/>
  <c r="P1392" i="1" s="1" a="1"/>
  <c r="P1392" i="1" s="1"/>
  <c r="D1391" i="1"/>
  <c r="C1391" i="1"/>
  <c r="P1391" i="1" s="1" a="1"/>
  <c r="P1391" i="1" s="1"/>
  <c r="D1390" i="1"/>
  <c r="C1390" i="1"/>
  <c r="P1390" i="1" s="1" a="1"/>
  <c r="P1390" i="1" s="1"/>
  <c r="D1389" i="1"/>
  <c r="C1389" i="1"/>
  <c r="P1389" i="1" s="1" a="1"/>
  <c r="P1389" i="1" s="1"/>
  <c r="D1388" i="1"/>
  <c r="C1388" i="1"/>
  <c r="P1388" i="1" s="1" a="1"/>
  <c r="P1388" i="1" s="1"/>
  <c r="D1387" i="1"/>
  <c r="C1387" i="1"/>
  <c r="P1387" i="1" s="1" a="1"/>
  <c r="P1387" i="1" s="1"/>
  <c r="D1386" i="1"/>
  <c r="C1386" i="1"/>
  <c r="P1386" i="1" s="1" a="1"/>
  <c r="P1386" i="1" s="1"/>
  <c r="D1385" i="1"/>
  <c r="C1385" i="1"/>
  <c r="P1385" i="1" s="1" a="1"/>
  <c r="P1385" i="1" s="1"/>
  <c r="D1384" i="1"/>
  <c r="C1384" i="1"/>
  <c r="P1384" i="1" s="1" a="1"/>
  <c r="P1384" i="1" s="1"/>
  <c r="D1383" i="1"/>
  <c r="C1383" i="1"/>
  <c r="P1383" i="1" s="1" a="1"/>
  <c r="P1383" i="1" s="1"/>
  <c r="D1382" i="1"/>
  <c r="C1382" i="1"/>
  <c r="P1382" i="1" s="1" a="1"/>
  <c r="P1382" i="1" s="1"/>
  <c r="D1381" i="1"/>
  <c r="C1381" i="1"/>
  <c r="P1381" i="1" s="1" a="1"/>
  <c r="P1381" i="1" s="1"/>
  <c r="D1380" i="1"/>
  <c r="C1380" i="1"/>
  <c r="P1380" i="1" s="1" a="1"/>
  <c r="P1380" i="1" s="1"/>
  <c r="D1379" i="1"/>
  <c r="C1379" i="1"/>
  <c r="P1379" i="1" s="1" a="1"/>
  <c r="P1379" i="1" s="1"/>
  <c r="D1378" i="1"/>
  <c r="C1378" i="1"/>
  <c r="P1378" i="1" s="1" a="1"/>
  <c r="P1378" i="1" s="1"/>
  <c r="D1377" i="1"/>
  <c r="C1377" i="1"/>
  <c r="P1377" i="1" s="1" a="1"/>
  <c r="P1377" i="1" s="1"/>
  <c r="D1376" i="1"/>
  <c r="C1376" i="1"/>
  <c r="P1376" i="1" s="1" a="1"/>
  <c r="P1376" i="1" s="1"/>
  <c r="D1375" i="1"/>
  <c r="C1375" i="1"/>
  <c r="P1375" i="1" s="1" a="1"/>
  <c r="P1375" i="1" s="1"/>
  <c r="D1374" i="1"/>
  <c r="C1374" i="1"/>
  <c r="P1374" i="1" s="1" a="1"/>
  <c r="P1374" i="1" s="1"/>
  <c r="D1373" i="1"/>
  <c r="C1373" i="1"/>
  <c r="P1373" i="1" s="1" a="1"/>
  <c r="P1373" i="1" s="1"/>
  <c r="D1372" i="1"/>
  <c r="C1372" i="1"/>
  <c r="P1372" i="1" s="1" a="1"/>
  <c r="P1372" i="1" s="1"/>
  <c r="D1371" i="1"/>
  <c r="C1371" i="1"/>
  <c r="P1371" i="1" s="1" a="1"/>
  <c r="P1371" i="1" s="1"/>
  <c r="D1370" i="1"/>
  <c r="C1370" i="1"/>
  <c r="P1370" i="1" s="1" a="1"/>
  <c r="P1370" i="1" s="1"/>
  <c r="D1369" i="1"/>
  <c r="C1369" i="1"/>
  <c r="P1369" i="1" s="1" a="1"/>
  <c r="P1369" i="1" s="1"/>
  <c r="D1368" i="1"/>
  <c r="C1368" i="1"/>
  <c r="P1368" i="1" s="1" a="1"/>
  <c r="P1368" i="1" s="1"/>
  <c r="D1367" i="1"/>
  <c r="C1367" i="1"/>
  <c r="P1367" i="1" s="1" a="1"/>
  <c r="P1367" i="1" s="1"/>
  <c r="D1366" i="1"/>
  <c r="C1366" i="1"/>
  <c r="P1366" i="1" s="1" a="1"/>
  <c r="P1366" i="1" s="1"/>
  <c r="D1365" i="1"/>
  <c r="C1365" i="1"/>
  <c r="P1365" i="1" s="1" a="1"/>
  <c r="P1365" i="1" s="1"/>
  <c r="D1364" i="1"/>
  <c r="C1364" i="1"/>
  <c r="P1364" i="1" s="1" a="1"/>
  <c r="P1364" i="1" s="1"/>
  <c r="D1363" i="1"/>
  <c r="C1363" i="1"/>
  <c r="P1363" i="1" s="1" a="1"/>
  <c r="P1363" i="1" s="1"/>
  <c r="D1362" i="1"/>
  <c r="C1362" i="1"/>
  <c r="P1362" i="1" s="1" a="1"/>
  <c r="P1362" i="1" s="1"/>
  <c r="D1361" i="1"/>
  <c r="C1361" i="1"/>
  <c r="P1361" i="1" s="1" a="1"/>
  <c r="P1361" i="1" s="1"/>
  <c r="D1360" i="1"/>
  <c r="C1360" i="1"/>
  <c r="P1360" i="1" s="1" a="1"/>
  <c r="P1360" i="1" s="1"/>
  <c r="D1359" i="1"/>
  <c r="C1359" i="1"/>
  <c r="P1359" i="1" s="1" a="1"/>
  <c r="P1359" i="1" s="1"/>
  <c r="D1358" i="1"/>
  <c r="C1358" i="1"/>
  <c r="P1358" i="1" s="1" a="1"/>
  <c r="P1358" i="1" s="1"/>
  <c r="D1357" i="1"/>
  <c r="C1357" i="1"/>
  <c r="P1357" i="1" s="1" a="1"/>
  <c r="P1357" i="1" s="1"/>
  <c r="D1356" i="1"/>
  <c r="C1356" i="1"/>
  <c r="P1356" i="1" s="1" a="1"/>
  <c r="P1356" i="1" s="1"/>
  <c r="D1355" i="1"/>
  <c r="C1355" i="1"/>
  <c r="P1355" i="1" s="1" a="1"/>
  <c r="P1355" i="1" s="1"/>
  <c r="D1354" i="1"/>
  <c r="C1354" i="1"/>
  <c r="P1354" i="1" s="1" a="1"/>
  <c r="P1354" i="1" s="1"/>
  <c r="D1353" i="1"/>
  <c r="C1353" i="1"/>
  <c r="P1353" i="1" s="1" a="1"/>
  <c r="P1353" i="1" s="1"/>
  <c r="D1352" i="1"/>
  <c r="C1352" i="1"/>
  <c r="P1352" i="1" s="1" a="1"/>
  <c r="P1352" i="1" s="1"/>
  <c r="D1351" i="1"/>
  <c r="C1351" i="1"/>
  <c r="P1351" i="1" s="1" a="1"/>
  <c r="P1351" i="1" s="1"/>
  <c r="D1350" i="1"/>
  <c r="C1350" i="1"/>
  <c r="P1350" i="1" s="1" a="1"/>
  <c r="P1350" i="1" s="1"/>
  <c r="D1349" i="1"/>
  <c r="C1349" i="1"/>
  <c r="P1349" i="1" s="1" a="1"/>
  <c r="P1349" i="1" s="1"/>
  <c r="D1348" i="1"/>
  <c r="C1348" i="1"/>
  <c r="P1348" i="1" s="1" a="1"/>
  <c r="P1348" i="1" s="1"/>
  <c r="D1347" i="1"/>
  <c r="C1347" i="1"/>
  <c r="P1347" i="1" s="1" a="1"/>
  <c r="P1347" i="1" s="1"/>
  <c r="D1346" i="1"/>
  <c r="C1346" i="1"/>
  <c r="P1346" i="1" s="1" a="1"/>
  <c r="P1346" i="1" s="1"/>
  <c r="D1345" i="1"/>
  <c r="C1345" i="1"/>
  <c r="P1345" i="1" s="1" a="1"/>
  <c r="P1345" i="1" s="1"/>
  <c r="D1344" i="1"/>
  <c r="C1344" i="1"/>
  <c r="P1344" i="1" s="1" a="1"/>
  <c r="P1344" i="1" s="1"/>
  <c r="D1343" i="1"/>
  <c r="C1343" i="1"/>
  <c r="P1343" i="1" s="1" a="1"/>
  <c r="P1343" i="1" s="1"/>
  <c r="D1342" i="1"/>
  <c r="C1342" i="1"/>
  <c r="P1342" i="1" s="1" a="1"/>
  <c r="P1342" i="1" s="1"/>
  <c r="D1341" i="1"/>
  <c r="C1341" i="1"/>
  <c r="P1341" i="1" s="1" a="1"/>
  <c r="P1341" i="1" s="1"/>
  <c r="D1340" i="1"/>
  <c r="C1340" i="1"/>
  <c r="P1340" i="1" s="1" a="1"/>
  <c r="P1340" i="1" s="1"/>
  <c r="D1339" i="1"/>
  <c r="C1339" i="1"/>
  <c r="P1339" i="1" s="1" a="1"/>
  <c r="P1339" i="1" s="1"/>
  <c r="D1338" i="1"/>
  <c r="C1338" i="1"/>
  <c r="P1338" i="1" s="1" a="1"/>
  <c r="P1338" i="1" s="1"/>
  <c r="D1337" i="1"/>
  <c r="C1337" i="1"/>
  <c r="P1337" i="1" s="1" a="1"/>
  <c r="P1337" i="1" s="1"/>
  <c r="D1336" i="1"/>
  <c r="C1336" i="1"/>
  <c r="P1336" i="1" s="1" a="1"/>
  <c r="P1336" i="1" s="1"/>
  <c r="D1335" i="1"/>
  <c r="C1335" i="1"/>
  <c r="P1335" i="1" s="1" a="1"/>
  <c r="P1335" i="1" s="1"/>
  <c r="D1334" i="1"/>
  <c r="C1334" i="1"/>
  <c r="P1334" i="1" s="1" a="1"/>
  <c r="P1334" i="1" s="1"/>
  <c r="D1333" i="1"/>
  <c r="C1333" i="1"/>
  <c r="P1333" i="1" s="1" a="1"/>
  <c r="P1333" i="1" s="1"/>
  <c r="D1332" i="1"/>
  <c r="C1332" i="1"/>
  <c r="P1332" i="1" s="1" a="1"/>
  <c r="P1332" i="1" s="1"/>
  <c r="D1331" i="1"/>
  <c r="C1331" i="1"/>
  <c r="P1331" i="1" s="1" a="1"/>
  <c r="P1331" i="1" s="1"/>
  <c r="D1330" i="1"/>
  <c r="C1330" i="1"/>
  <c r="P1330" i="1" s="1" a="1"/>
  <c r="P1330" i="1" s="1"/>
  <c r="D1329" i="1"/>
  <c r="C1329" i="1"/>
  <c r="P1329" i="1" s="1" a="1"/>
  <c r="P1329" i="1" s="1"/>
  <c r="D1328" i="1"/>
  <c r="C1328" i="1"/>
  <c r="P1328" i="1" s="1" a="1"/>
  <c r="P1328" i="1" s="1"/>
  <c r="D1327" i="1"/>
  <c r="C1327" i="1"/>
  <c r="P1327" i="1" s="1" a="1"/>
  <c r="P1327" i="1" s="1"/>
  <c r="D1326" i="1"/>
  <c r="C1326" i="1"/>
  <c r="P1326" i="1" s="1" a="1"/>
  <c r="P1326" i="1" s="1"/>
  <c r="D1325" i="1"/>
  <c r="C1325" i="1"/>
  <c r="P1325" i="1" s="1" a="1"/>
  <c r="P1325" i="1" s="1"/>
  <c r="D1324" i="1"/>
  <c r="C1324" i="1"/>
  <c r="P1324" i="1" s="1" a="1"/>
  <c r="P1324" i="1" s="1"/>
  <c r="D1323" i="1"/>
  <c r="C1323" i="1"/>
  <c r="P1323" i="1" s="1" a="1"/>
  <c r="P1323" i="1" s="1"/>
  <c r="D1322" i="1"/>
  <c r="C1322" i="1"/>
  <c r="P1322" i="1" s="1" a="1"/>
  <c r="P1322" i="1" s="1"/>
  <c r="D1321" i="1"/>
  <c r="C1321" i="1"/>
  <c r="P1321" i="1" s="1" a="1"/>
  <c r="P1321" i="1" s="1"/>
  <c r="D1320" i="1"/>
  <c r="C1320" i="1"/>
  <c r="P1320" i="1" s="1" a="1"/>
  <c r="P1320" i="1" s="1"/>
  <c r="D1319" i="1"/>
  <c r="C1319" i="1"/>
  <c r="P1319" i="1" s="1" a="1"/>
  <c r="P1319" i="1" s="1"/>
  <c r="D1318" i="1"/>
  <c r="C1318" i="1"/>
  <c r="P1318" i="1" s="1" a="1"/>
  <c r="P1318" i="1" s="1"/>
  <c r="D1317" i="1"/>
  <c r="C1317" i="1"/>
  <c r="P1317" i="1" s="1" a="1"/>
  <c r="P1317" i="1" s="1"/>
  <c r="D1316" i="1"/>
  <c r="C1316" i="1"/>
  <c r="P1316" i="1" s="1" a="1"/>
  <c r="P1316" i="1" s="1"/>
  <c r="D1315" i="1"/>
  <c r="C1315" i="1"/>
  <c r="P1315" i="1" s="1" a="1"/>
  <c r="P1315" i="1" s="1"/>
  <c r="D1314" i="1"/>
  <c r="C1314" i="1"/>
  <c r="P1314" i="1" s="1" a="1"/>
  <c r="P1314" i="1" s="1"/>
  <c r="D1313" i="1"/>
  <c r="C1313" i="1"/>
  <c r="P1313" i="1" s="1" a="1"/>
  <c r="P1313" i="1" s="1"/>
  <c r="D1312" i="1"/>
  <c r="C1312" i="1"/>
  <c r="P1312" i="1" s="1" a="1"/>
  <c r="P1312" i="1" s="1"/>
  <c r="D1311" i="1"/>
  <c r="C1311" i="1"/>
  <c r="P1311" i="1" s="1" a="1"/>
  <c r="P1311" i="1" s="1"/>
  <c r="D1310" i="1"/>
  <c r="C1310" i="1"/>
  <c r="P1310" i="1" s="1" a="1"/>
  <c r="P1310" i="1" s="1"/>
  <c r="D1309" i="1"/>
  <c r="C1309" i="1"/>
  <c r="P1309" i="1" s="1" a="1"/>
  <c r="P1309" i="1" s="1"/>
  <c r="D1308" i="1"/>
  <c r="C1308" i="1"/>
  <c r="P1308" i="1" s="1" a="1"/>
  <c r="P1308" i="1" s="1"/>
  <c r="D1307" i="1"/>
  <c r="C1307" i="1"/>
  <c r="P1307" i="1" s="1" a="1"/>
  <c r="P1307" i="1" s="1"/>
  <c r="D1306" i="1"/>
  <c r="C1306" i="1"/>
  <c r="P1306" i="1" s="1" a="1"/>
  <c r="P1306" i="1" s="1"/>
  <c r="D1305" i="1"/>
  <c r="C1305" i="1"/>
  <c r="P1305" i="1" s="1" a="1"/>
  <c r="P1305" i="1" s="1"/>
  <c r="D1304" i="1"/>
  <c r="C1304" i="1"/>
  <c r="P1304" i="1" s="1" a="1"/>
  <c r="P1304" i="1" s="1"/>
  <c r="D1303" i="1"/>
  <c r="C1303" i="1"/>
  <c r="P1303" i="1" s="1" a="1"/>
  <c r="P1303" i="1" s="1"/>
  <c r="D1302" i="1"/>
  <c r="C1302" i="1"/>
  <c r="P1302" i="1" s="1" a="1"/>
  <c r="P1302" i="1" s="1"/>
  <c r="D1301" i="1"/>
  <c r="C1301" i="1"/>
  <c r="P1301" i="1" s="1" a="1"/>
  <c r="P1301" i="1" s="1"/>
  <c r="D1300" i="1"/>
  <c r="C1300" i="1"/>
  <c r="P1300" i="1" s="1" a="1"/>
  <c r="P1300" i="1" s="1"/>
  <c r="D1299" i="1"/>
  <c r="C1299" i="1"/>
  <c r="P1299" i="1" s="1" a="1"/>
  <c r="P1299" i="1" s="1"/>
  <c r="D1298" i="1"/>
  <c r="C1298" i="1"/>
  <c r="P1298" i="1" s="1" a="1"/>
  <c r="P1298" i="1" s="1"/>
  <c r="D1297" i="1"/>
  <c r="C1297" i="1"/>
  <c r="P1297" i="1" s="1" a="1"/>
  <c r="P1297" i="1" s="1"/>
  <c r="D1296" i="1"/>
  <c r="C1296" i="1"/>
  <c r="P1296" i="1" s="1" a="1"/>
  <c r="P1296" i="1" s="1"/>
  <c r="D1295" i="1"/>
  <c r="C1295" i="1"/>
  <c r="P1295" i="1" s="1" a="1"/>
  <c r="P1295" i="1" s="1"/>
  <c r="D1294" i="1"/>
  <c r="C1294" i="1"/>
  <c r="P1294" i="1" s="1" a="1"/>
  <c r="P1294" i="1" s="1"/>
  <c r="D1293" i="1"/>
  <c r="C1293" i="1"/>
  <c r="P1293" i="1" s="1" a="1"/>
  <c r="P1293" i="1" s="1"/>
  <c r="D1292" i="1"/>
  <c r="C1292" i="1"/>
  <c r="P1292" i="1" s="1" a="1"/>
  <c r="P1292" i="1" s="1"/>
  <c r="D1291" i="1"/>
  <c r="C1291" i="1"/>
  <c r="P1291" i="1" s="1" a="1"/>
  <c r="P1291" i="1" s="1"/>
  <c r="D1290" i="1"/>
  <c r="C1290" i="1"/>
  <c r="P1290" i="1" s="1" a="1"/>
  <c r="P1290" i="1" s="1"/>
  <c r="D1289" i="1"/>
  <c r="C1289" i="1"/>
  <c r="P1289" i="1" s="1" a="1"/>
  <c r="P1289" i="1" s="1"/>
  <c r="D1288" i="1"/>
  <c r="C1288" i="1"/>
  <c r="P1288" i="1" s="1" a="1"/>
  <c r="P1288" i="1" s="1"/>
  <c r="D1287" i="1"/>
  <c r="C1287" i="1"/>
  <c r="P1287" i="1" s="1" a="1"/>
  <c r="P1287" i="1" s="1"/>
  <c r="D1286" i="1"/>
  <c r="C1286" i="1"/>
  <c r="P1286" i="1" s="1" a="1"/>
  <c r="P1286" i="1" s="1"/>
  <c r="D1285" i="1"/>
  <c r="C1285" i="1"/>
  <c r="P1285" i="1" s="1" a="1"/>
  <c r="P1285" i="1" s="1"/>
  <c r="D1284" i="1"/>
  <c r="C1284" i="1"/>
  <c r="P1284" i="1" s="1" a="1"/>
  <c r="P1284" i="1" s="1"/>
  <c r="D1283" i="1"/>
  <c r="C1283" i="1"/>
  <c r="P1283" i="1" s="1" a="1"/>
  <c r="P1283" i="1" s="1"/>
  <c r="D1282" i="1"/>
  <c r="C1282" i="1"/>
  <c r="P1282" i="1" s="1" a="1"/>
  <c r="P1282" i="1" s="1"/>
  <c r="D1281" i="1"/>
  <c r="C1281" i="1"/>
  <c r="P1281" i="1" s="1" a="1"/>
  <c r="P1281" i="1" s="1"/>
  <c r="D1280" i="1"/>
  <c r="C1280" i="1"/>
  <c r="P1280" i="1" s="1" a="1"/>
  <c r="P1280" i="1" s="1"/>
  <c r="D1279" i="1"/>
  <c r="C1279" i="1"/>
  <c r="P1279" i="1" s="1" a="1"/>
  <c r="P1279" i="1" s="1"/>
  <c r="D1278" i="1"/>
  <c r="C1278" i="1"/>
  <c r="P1278" i="1" s="1" a="1"/>
  <c r="P1278" i="1" s="1"/>
  <c r="D1277" i="1"/>
  <c r="C1277" i="1"/>
  <c r="P1277" i="1" s="1" a="1"/>
  <c r="P1277" i="1" s="1"/>
  <c r="D1276" i="1"/>
  <c r="C1276" i="1"/>
  <c r="P1276" i="1" s="1" a="1"/>
  <c r="P1276" i="1" s="1"/>
  <c r="D1275" i="1"/>
  <c r="C1275" i="1"/>
  <c r="P1275" i="1" s="1" a="1"/>
  <c r="P1275" i="1" s="1"/>
  <c r="D1274" i="1"/>
  <c r="C1274" i="1"/>
  <c r="P1274" i="1" s="1" a="1"/>
  <c r="P1274" i="1" s="1"/>
  <c r="D1273" i="1"/>
  <c r="C1273" i="1"/>
  <c r="P1273" i="1" s="1" a="1"/>
  <c r="P1273" i="1" s="1"/>
  <c r="D1272" i="1"/>
  <c r="C1272" i="1"/>
  <c r="P1272" i="1" s="1" a="1"/>
  <c r="P1272" i="1" s="1"/>
  <c r="D1271" i="1"/>
  <c r="C1271" i="1"/>
  <c r="P1271" i="1" s="1" a="1"/>
  <c r="P1271" i="1" s="1"/>
  <c r="D1270" i="1"/>
  <c r="C1270" i="1"/>
  <c r="P1270" i="1" s="1" a="1"/>
  <c r="P1270" i="1" s="1"/>
  <c r="D1269" i="1"/>
  <c r="C1269" i="1"/>
  <c r="P1269" i="1" s="1" a="1"/>
  <c r="P1269" i="1" s="1"/>
  <c r="D1268" i="1"/>
  <c r="C1268" i="1"/>
  <c r="P1268" i="1" s="1" a="1"/>
  <c r="P1268" i="1" s="1"/>
  <c r="D1267" i="1"/>
  <c r="C1267" i="1"/>
  <c r="P1267" i="1" s="1" a="1"/>
  <c r="P1267" i="1" s="1"/>
  <c r="D1266" i="1"/>
  <c r="C1266" i="1"/>
  <c r="P1266" i="1" s="1" a="1"/>
  <c r="P1266" i="1" s="1"/>
  <c r="D1265" i="1"/>
  <c r="C1265" i="1"/>
  <c r="P1265" i="1" s="1" a="1"/>
  <c r="P1265" i="1" s="1"/>
  <c r="D1264" i="1"/>
  <c r="C1264" i="1"/>
  <c r="P1264" i="1" s="1" a="1"/>
  <c r="P1264" i="1" s="1"/>
  <c r="D1263" i="1"/>
  <c r="C1263" i="1"/>
  <c r="P1263" i="1" s="1" a="1"/>
  <c r="P1263" i="1" s="1"/>
  <c r="D1262" i="1"/>
  <c r="C1262" i="1"/>
  <c r="P1262" i="1" s="1" a="1"/>
  <c r="P1262" i="1" s="1"/>
  <c r="D1261" i="1"/>
  <c r="C1261" i="1"/>
  <c r="P1261" i="1" s="1" a="1"/>
  <c r="P1261" i="1" s="1"/>
  <c r="D1260" i="1"/>
  <c r="C1260" i="1"/>
  <c r="P1260" i="1" s="1" a="1"/>
  <c r="P1260" i="1" s="1"/>
  <c r="D1259" i="1"/>
  <c r="C1259" i="1"/>
  <c r="P1259" i="1" s="1" a="1"/>
  <c r="P1259" i="1" s="1"/>
  <c r="D1258" i="1"/>
  <c r="C1258" i="1"/>
  <c r="P1258" i="1" s="1" a="1"/>
  <c r="P1258" i="1" s="1"/>
  <c r="D1257" i="1"/>
  <c r="C1257" i="1"/>
  <c r="P1257" i="1" s="1" a="1"/>
  <c r="P1257" i="1" s="1"/>
  <c r="D1256" i="1"/>
  <c r="C1256" i="1"/>
  <c r="P1256" i="1" s="1" a="1"/>
  <c r="P1256" i="1" s="1"/>
  <c r="D1255" i="1"/>
  <c r="C1255" i="1"/>
  <c r="P1255" i="1" s="1" a="1"/>
  <c r="P1255" i="1" s="1"/>
  <c r="D1254" i="1"/>
  <c r="C1254" i="1"/>
  <c r="P1254" i="1" s="1" a="1"/>
  <c r="P1254" i="1" s="1"/>
  <c r="D1253" i="1"/>
  <c r="C1253" i="1"/>
  <c r="P1253" i="1" s="1" a="1"/>
  <c r="P1253" i="1" s="1"/>
  <c r="D1252" i="1"/>
  <c r="C1252" i="1"/>
  <c r="P1252" i="1" s="1" a="1"/>
  <c r="P1252" i="1" s="1"/>
  <c r="D1251" i="1"/>
  <c r="C1251" i="1"/>
  <c r="P1251" i="1" s="1" a="1"/>
  <c r="P1251" i="1" s="1"/>
  <c r="D1250" i="1"/>
  <c r="C1250" i="1"/>
  <c r="P1250" i="1" s="1" a="1"/>
  <c r="P1250" i="1" s="1"/>
  <c r="D1249" i="1"/>
  <c r="C1249" i="1"/>
  <c r="P1249" i="1" s="1" a="1"/>
  <c r="P1249" i="1" s="1"/>
  <c r="D1248" i="1"/>
  <c r="C1248" i="1"/>
  <c r="P1248" i="1" s="1" a="1"/>
  <c r="P1248" i="1" s="1"/>
  <c r="D1247" i="1"/>
  <c r="C1247" i="1"/>
  <c r="P1247" i="1" s="1" a="1"/>
  <c r="P1247" i="1" s="1"/>
  <c r="D1246" i="1"/>
  <c r="C1246" i="1"/>
  <c r="P1246" i="1" s="1" a="1"/>
  <c r="P1246" i="1" s="1"/>
  <c r="D1245" i="1"/>
  <c r="C1245" i="1"/>
  <c r="P1245" i="1" s="1" a="1"/>
  <c r="P1245" i="1" s="1"/>
  <c r="D1244" i="1"/>
  <c r="C1244" i="1"/>
  <c r="P1244" i="1" s="1" a="1"/>
  <c r="P1244" i="1" s="1"/>
  <c r="D1243" i="1"/>
  <c r="C1243" i="1"/>
  <c r="P1243" i="1" s="1" a="1"/>
  <c r="P1243" i="1" s="1"/>
  <c r="D1242" i="1"/>
  <c r="C1242" i="1"/>
  <c r="P1242" i="1" s="1" a="1"/>
  <c r="P1242" i="1" s="1"/>
  <c r="D1241" i="1"/>
  <c r="C1241" i="1"/>
  <c r="P1241" i="1" s="1" a="1"/>
  <c r="P1241" i="1" s="1"/>
  <c r="D1240" i="1"/>
  <c r="C1240" i="1"/>
  <c r="P1240" i="1" s="1" a="1"/>
  <c r="P1240" i="1" s="1"/>
  <c r="D1239" i="1"/>
  <c r="C1239" i="1"/>
  <c r="P1239" i="1" s="1" a="1"/>
  <c r="P1239" i="1" s="1"/>
  <c r="D1238" i="1"/>
  <c r="C1238" i="1"/>
  <c r="P1238" i="1" s="1" a="1"/>
  <c r="P1238" i="1" s="1"/>
  <c r="D1237" i="1"/>
  <c r="C1237" i="1"/>
  <c r="P1237" i="1" s="1" a="1"/>
  <c r="P1237" i="1" s="1"/>
  <c r="D1236" i="1"/>
  <c r="C1236" i="1"/>
  <c r="P1236" i="1" s="1" a="1"/>
  <c r="P1236" i="1" s="1"/>
  <c r="D1235" i="1"/>
  <c r="C1235" i="1"/>
  <c r="P1235" i="1" s="1" a="1"/>
  <c r="P1235" i="1" s="1"/>
  <c r="D1234" i="1"/>
  <c r="C1234" i="1"/>
  <c r="P1234" i="1" s="1" a="1"/>
  <c r="P1234" i="1" s="1"/>
  <c r="D1233" i="1"/>
  <c r="C1233" i="1"/>
  <c r="P1233" i="1" s="1" a="1"/>
  <c r="P1233" i="1" s="1"/>
  <c r="D1232" i="1"/>
  <c r="C1232" i="1"/>
  <c r="P1232" i="1" s="1" a="1"/>
  <c r="P1232" i="1" s="1"/>
  <c r="D1231" i="1"/>
  <c r="C1231" i="1"/>
  <c r="P1231" i="1" s="1" a="1"/>
  <c r="P1231" i="1" s="1"/>
  <c r="D1230" i="1"/>
  <c r="C1230" i="1"/>
  <c r="P1230" i="1" s="1" a="1"/>
  <c r="P1230" i="1" s="1"/>
  <c r="D1229" i="1"/>
  <c r="C1229" i="1"/>
  <c r="P1229" i="1" s="1" a="1"/>
  <c r="P1229" i="1" s="1"/>
  <c r="D1228" i="1"/>
  <c r="C1228" i="1"/>
  <c r="P1228" i="1" s="1" a="1"/>
  <c r="P1228" i="1" s="1"/>
  <c r="D1227" i="1"/>
  <c r="C1227" i="1"/>
  <c r="P1227" i="1" s="1" a="1"/>
  <c r="P1227" i="1" s="1"/>
  <c r="D1226" i="1"/>
  <c r="C1226" i="1"/>
  <c r="P1226" i="1" s="1" a="1"/>
  <c r="P1226" i="1" s="1"/>
  <c r="D1225" i="1"/>
  <c r="C1225" i="1"/>
  <c r="P1225" i="1" s="1" a="1"/>
  <c r="P1225" i="1" s="1"/>
  <c r="D1224" i="1"/>
  <c r="C1224" i="1"/>
  <c r="P1224" i="1" s="1" a="1"/>
  <c r="P1224" i="1" s="1"/>
  <c r="D1223" i="1"/>
  <c r="C1223" i="1"/>
  <c r="P1223" i="1" s="1" a="1"/>
  <c r="P1223" i="1" s="1"/>
  <c r="D1222" i="1"/>
  <c r="C1222" i="1"/>
  <c r="P1222" i="1" s="1" a="1"/>
  <c r="P1222" i="1" s="1"/>
  <c r="D1221" i="1"/>
  <c r="C1221" i="1"/>
  <c r="P1221" i="1" s="1" a="1"/>
  <c r="P1221" i="1" s="1"/>
  <c r="D1220" i="1"/>
  <c r="C1220" i="1"/>
  <c r="P1220" i="1" s="1" a="1"/>
  <c r="P1220" i="1" s="1"/>
  <c r="D1219" i="1"/>
  <c r="C1219" i="1"/>
  <c r="P1219" i="1" s="1" a="1"/>
  <c r="P1219" i="1" s="1"/>
  <c r="D1218" i="1"/>
  <c r="C1218" i="1"/>
  <c r="P1218" i="1" s="1" a="1"/>
  <c r="P1218" i="1" s="1"/>
  <c r="D1217" i="1"/>
  <c r="C1217" i="1"/>
  <c r="P1217" i="1" s="1" a="1"/>
  <c r="P1217" i="1" s="1"/>
  <c r="D1216" i="1"/>
  <c r="C1216" i="1"/>
  <c r="P1216" i="1" s="1" a="1"/>
  <c r="P1216" i="1" s="1"/>
  <c r="D1215" i="1"/>
  <c r="C1215" i="1"/>
  <c r="P1215" i="1" s="1" a="1"/>
  <c r="P1215" i="1" s="1"/>
  <c r="D1214" i="1"/>
  <c r="C1214" i="1"/>
  <c r="P1214" i="1" s="1" a="1"/>
  <c r="P1214" i="1" s="1"/>
  <c r="D1213" i="1"/>
  <c r="C1213" i="1"/>
  <c r="P1213" i="1" s="1" a="1"/>
  <c r="P1213" i="1" s="1"/>
  <c r="D1212" i="1"/>
  <c r="C1212" i="1"/>
  <c r="P1212" i="1" s="1" a="1"/>
  <c r="P1212" i="1" s="1"/>
  <c r="D1211" i="1"/>
  <c r="C1211" i="1"/>
  <c r="P1211" i="1" s="1" a="1"/>
  <c r="P1211" i="1" s="1"/>
  <c r="D1210" i="1"/>
  <c r="C1210" i="1"/>
  <c r="P1210" i="1" s="1" a="1"/>
  <c r="P1210" i="1" s="1"/>
  <c r="D1209" i="1"/>
  <c r="C1209" i="1"/>
  <c r="P1209" i="1" s="1" a="1"/>
  <c r="P1209" i="1" s="1"/>
  <c r="D1208" i="1"/>
  <c r="C1208" i="1"/>
  <c r="P1208" i="1" s="1" a="1"/>
  <c r="P1208" i="1" s="1"/>
  <c r="D1207" i="1"/>
  <c r="C1207" i="1"/>
  <c r="P1207" i="1" s="1" a="1"/>
  <c r="P1207" i="1" s="1"/>
  <c r="D1206" i="1"/>
  <c r="C1206" i="1"/>
  <c r="P1206" i="1" s="1" a="1"/>
  <c r="P1206" i="1" s="1"/>
  <c r="D1205" i="1"/>
  <c r="C1205" i="1"/>
  <c r="P1205" i="1" s="1" a="1"/>
  <c r="P1205" i="1" s="1"/>
  <c r="D1204" i="1"/>
  <c r="C1204" i="1"/>
  <c r="P1204" i="1" s="1" a="1"/>
  <c r="P1204" i="1" s="1"/>
  <c r="D1203" i="1"/>
  <c r="C1203" i="1"/>
  <c r="P1203" i="1" s="1" a="1"/>
  <c r="P1203" i="1" s="1"/>
  <c r="D1202" i="1"/>
  <c r="C1202" i="1"/>
  <c r="P1202" i="1" s="1" a="1"/>
  <c r="P1202" i="1" s="1"/>
  <c r="D1201" i="1"/>
  <c r="C1201" i="1"/>
  <c r="P1201" i="1" s="1" a="1"/>
  <c r="P1201" i="1" s="1"/>
  <c r="D1200" i="1"/>
  <c r="C1200" i="1"/>
  <c r="P1200" i="1" s="1" a="1"/>
  <c r="P1200" i="1" s="1"/>
  <c r="D1199" i="1"/>
  <c r="C1199" i="1"/>
  <c r="P1199" i="1" s="1" a="1"/>
  <c r="P1199" i="1" s="1"/>
  <c r="D1198" i="1"/>
  <c r="C1198" i="1"/>
  <c r="P1198" i="1" s="1" a="1"/>
  <c r="P1198" i="1" s="1"/>
  <c r="D1197" i="1"/>
  <c r="C1197" i="1"/>
  <c r="P1197" i="1" s="1" a="1"/>
  <c r="P1197" i="1" s="1"/>
  <c r="D1196" i="1"/>
  <c r="C1196" i="1"/>
  <c r="P1196" i="1" s="1" a="1"/>
  <c r="P1196" i="1" s="1"/>
  <c r="D1195" i="1"/>
  <c r="C1195" i="1"/>
  <c r="P1195" i="1" s="1" a="1"/>
  <c r="P1195" i="1" s="1"/>
  <c r="D1194" i="1"/>
  <c r="C1194" i="1"/>
  <c r="P1194" i="1" s="1" a="1"/>
  <c r="P1194" i="1" s="1"/>
  <c r="D1193" i="1"/>
  <c r="C1193" i="1"/>
  <c r="P1193" i="1" s="1" a="1"/>
  <c r="P1193" i="1" s="1"/>
  <c r="D1192" i="1"/>
  <c r="C1192" i="1"/>
  <c r="P1192" i="1" s="1" a="1"/>
  <c r="P1192" i="1" s="1"/>
  <c r="D1191" i="1"/>
  <c r="C1191" i="1"/>
  <c r="P1191" i="1" s="1" a="1"/>
  <c r="P1191" i="1" s="1"/>
  <c r="D1190" i="1"/>
  <c r="C1190" i="1"/>
  <c r="P1190" i="1" s="1" a="1"/>
  <c r="P1190" i="1" s="1"/>
  <c r="D1189" i="1"/>
  <c r="C1189" i="1"/>
  <c r="P1189" i="1" s="1" a="1"/>
  <c r="P1189" i="1" s="1"/>
  <c r="D1188" i="1"/>
  <c r="C1188" i="1"/>
  <c r="P1188" i="1" s="1" a="1"/>
  <c r="P1188" i="1" s="1"/>
  <c r="D1187" i="1"/>
  <c r="C1187" i="1"/>
  <c r="P1187" i="1" s="1" a="1"/>
  <c r="P1187" i="1" s="1"/>
  <c r="D1186" i="1"/>
  <c r="C1186" i="1"/>
  <c r="P1186" i="1" s="1" a="1"/>
  <c r="P1186" i="1" s="1"/>
  <c r="D1185" i="1"/>
  <c r="C1185" i="1"/>
  <c r="P1185" i="1" s="1" a="1"/>
  <c r="P1185" i="1" s="1"/>
  <c r="D1184" i="1"/>
  <c r="C1184" i="1"/>
  <c r="P1184" i="1" s="1" a="1"/>
  <c r="P1184" i="1" s="1"/>
  <c r="D1183" i="1"/>
  <c r="C1183" i="1"/>
  <c r="P1183" i="1" s="1" a="1"/>
  <c r="P1183" i="1" s="1"/>
  <c r="D1182" i="1"/>
  <c r="C1182" i="1"/>
  <c r="P1182" i="1" s="1" a="1"/>
  <c r="P1182" i="1" s="1"/>
  <c r="D1181" i="1"/>
  <c r="C1181" i="1"/>
  <c r="P1181" i="1" s="1" a="1"/>
  <c r="P1181" i="1" s="1"/>
  <c r="D1180" i="1"/>
  <c r="C1180" i="1"/>
  <c r="P1180" i="1" s="1" a="1"/>
  <c r="P1180" i="1" s="1"/>
  <c r="D1179" i="1"/>
  <c r="C1179" i="1"/>
  <c r="P1179" i="1" s="1" a="1"/>
  <c r="P1179" i="1" s="1"/>
  <c r="D1178" i="1"/>
  <c r="C1178" i="1"/>
  <c r="P1178" i="1" s="1" a="1"/>
  <c r="P1178" i="1" s="1"/>
  <c r="D1177" i="1"/>
  <c r="C1177" i="1"/>
  <c r="P1177" i="1" s="1" a="1"/>
  <c r="P1177" i="1" s="1"/>
  <c r="D1176" i="1"/>
  <c r="C1176" i="1"/>
  <c r="P1176" i="1" s="1" a="1"/>
  <c r="P1176" i="1" s="1"/>
  <c r="D1175" i="1"/>
  <c r="C1175" i="1"/>
  <c r="P1175" i="1" s="1" a="1"/>
  <c r="P1175" i="1" s="1"/>
  <c r="D1174" i="1"/>
  <c r="C1174" i="1"/>
  <c r="P1174" i="1" s="1" a="1"/>
  <c r="P1174" i="1" s="1"/>
  <c r="D1173" i="1"/>
  <c r="C1173" i="1"/>
  <c r="P1173" i="1" s="1" a="1"/>
  <c r="P1173" i="1" s="1"/>
  <c r="D1172" i="1"/>
  <c r="C1172" i="1"/>
  <c r="P1172" i="1" s="1" a="1"/>
  <c r="P1172" i="1" s="1"/>
  <c r="D1171" i="1"/>
  <c r="C1171" i="1"/>
  <c r="P1171" i="1" s="1" a="1"/>
  <c r="P1171" i="1" s="1"/>
  <c r="D1170" i="1"/>
  <c r="C1170" i="1"/>
  <c r="P1170" i="1" s="1" a="1"/>
  <c r="P1170" i="1" s="1"/>
  <c r="D1169" i="1"/>
  <c r="C1169" i="1"/>
  <c r="P1169" i="1" s="1" a="1"/>
  <c r="P1169" i="1" s="1"/>
  <c r="D1168" i="1"/>
  <c r="C1168" i="1"/>
  <c r="P1168" i="1" s="1" a="1"/>
  <c r="P1168" i="1" s="1"/>
  <c r="D1167" i="1"/>
  <c r="C1167" i="1"/>
  <c r="P1167" i="1" s="1" a="1"/>
  <c r="P1167" i="1" s="1"/>
  <c r="D1166" i="1"/>
  <c r="C1166" i="1"/>
  <c r="P1166" i="1" s="1" a="1"/>
  <c r="P1166" i="1" s="1"/>
  <c r="D1165" i="1"/>
  <c r="C1165" i="1"/>
  <c r="P1165" i="1" s="1" a="1"/>
  <c r="P1165" i="1" s="1"/>
  <c r="D1164" i="1"/>
  <c r="C1164" i="1"/>
  <c r="P1164" i="1" s="1" a="1"/>
  <c r="P1164" i="1" s="1"/>
  <c r="D1163" i="1"/>
  <c r="C1163" i="1"/>
  <c r="P1163" i="1" s="1" a="1"/>
  <c r="P1163" i="1" s="1"/>
  <c r="D1162" i="1"/>
  <c r="C1162" i="1"/>
  <c r="P1162" i="1" s="1" a="1"/>
  <c r="P1162" i="1" s="1"/>
  <c r="D1161" i="1"/>
  <c r="C1161" i="1"/>
  <c r="P1161" i="1" s="1" a="1"/>
  <c r="P1161" i="1" s="1"/>
  <c r="D1160" i="1"/>
  <c r="C1160" i="1"/>
  <c r="P1160" i="1" s="1" a="1"/>
  <c r="P1160" i="1" s="1"/>
  <c r="D1159" i="1"/>
  <c r="C1159" i="1"/>
  <c r="P1159" i="1" s="1" a="1"/>
  <c r="P1159" i="1" s="1"/>
  <c r="D1158" i="1"/>
  <c r="C1158" i="1"/>
  <c r="P1158" i="1" s="1" a="1"/>
  <c r="P1158" i="1" s="1"/>
  <c r="D1157" i="1"/>
  <c r="C1157" i="1"/>
  <c r="P1157" i="1" s="1" a="1"/>
  <c r="P1157" i="1" s="1"/>
  <c r="D1156" i="1"/>
  <c r="C1156" i="1"/>
  <c r="P1156" i="1" s="1" a="1"/>
  <c r="P1156" i="1" s="1"/>
  <c r="D1155" i="1"/>
  <c r="C1155" i="1"/>
  <c r="P1155" i="1" s="1" a="1"/>
  <c r="P1155" i="1" s="1"/>
  <c r="D1154" i="1"/>
  <c r="C1154" i="1"/>
  <c r="P1154" i="1" s="1" a="1"/>
  <c r="P1154" i="1" s="1"/>
  <c r="D1153" i="1"/>
  <c r="C1153" i="1"/>
  <c r="P1153" i="1" s="1" a="1"/>
  <c r="P1153" i="1" s="1"/>
  <c r="D1152" i="1"/>
  <c r="C1152" i="1"/>
  <c r="P1152" i="1" s="1" a="1"/>
  <c r="P1152" i="1" s="1"/>
  <c r="D1151" i="1"/>
  <c r="C1151" i="1"/>
  <c r="P1151" i="1" s="1" a="1"/>
  <c r="P1151" i="1" s="1"/>
  <c r="D1150" i="1"/>
  <c r="C1150" i="1"/>
  <c r="P1150" i="1" s="1" a="1"/>
  <c r="P1150" i="1" s="1"/>
  <c r="D1149" i="1"/>
  <c r="C1149" i="1"/>
  <c r="P1149" i="1" s="1" a="1"/>
  <c r="P1149" i="1" s="1"/>
  <c r="D1148" i="1"/>
  <c r="C1148" i="1"/>
  <c r="P1148" i="1" s="1" a="1"/>
  <c r="P1148" i="1" s="1"/>
  <c r="D1147" i="1"/>
  <c r="C1147" i="1"/>
  <c r="P1147" i="1" s="1" a="1"/>
  <c r="P1147" i="1" s="1"/>
  <c r="D1146" i="1"/>
  <c r="C1146" i="1"/>
  <c r="P1146" i="1" s="1" a="1"/>
  <c r="P1146" i="1" s="1"/>
  <c r="D1145" i="1"/>
  <c r="C1145" i="1"/>
  <c r="P1145" i="1" s="1" a="1"/>
  <c r="P1145" i="1" s="1"/>
  <c r="D1144" i="1"/>
  <c r="C1144" i="1"/>
  <c r="P1144" i="1" s="1" a="1"/>
  <c r="P1144" i="1" s="1"/>
  <c r="D1143" i="1"/>
  <c r="C1143" i="1"/>
  <c r="P1143" i="1" s="1" a="1"/>
  <c r="P1143" i="1" s="1"/>
  <c r="D1142" i="1"/>
  <c r="C1142" i="1"/>
  <c r="P1142" i="1" s="1" a="1"/>
  <c r="P1142" i="1" s="1"/>
  <c r="D1141" i="1"/>
  <c r="C1141" i="1"/>
  <c r="P1141" i="1" s="1" a="1"/>
  <c r="P1141" i="1" s="1"/>
  <c r="D1140" i="1"/>
  <c r="C1140" i="1"/>
  <c r="P1140" i="1" s="1" a="1"/>
  <c r="P1140" i="1" s="1"/>
  <c r="D1139" i="1"/>
  <c r="C1139" i="1"/>
  <c r="P1139" i="1" s="1" a="1"/>
  <c r="P1139" i="1" s="1"/>
  <c r="D1138" i="1"/>
  <c r="C1138" i="1"/>
  <c r="P1138" i="1" s="1" a="1"/>
  <c r="P1138" i="1" s="1"/>
  <c r="D1137" i="1"/>
  <c r="C1137" i="1"/>
  <c r="P1137" i="1" s="1" a="1"/>
  <c r="P1137" i="1" s="1"/>
  <c r="D1136" i="1"/>
  <c r="C1136" i="1"/>
  <c r="P1136" i="1" s="1" a="1"/>
  <c r="P1136" i="1" s="1"/>
  <c r="D1135" i="1"/>
  <c r="C1135" i="1"/>
  <c r="P1135" i="1" s="1" a="1"/>
  <c r="P1135" i="1" s="1"/>
  <c r="D1134" i="1"/>
  <c r="C1134" i="1"/>
  <c r="P1134" i="1" s="1" a="1"/>
  <c r="P1134" i="1" s="1"/>
  <c r="D1133" i="1"/>
  <c r="C1133" i="1"/>
  <c r="P1133" i="1" s="1" a="1"/>
  <c r="P1133" i="1" s="1"/>
  <c r="D1132" i="1"/>
  <c r="C1132" i="1"/>
  <c r="P1132" i="1" s="1" a="1"/>
  <c r="P1132" i="1" s="1"/>
  <c r="D1131" i="1"/>
  <c r="C1131" i="1"/>
  <c r="P1131" i="1" s="1" a="1"/>
  <c r="P1131" i="1" s="1"/>
  <c r="D1130" i="1"/>
  <c r="C1130" i="1"/>
  <c r="P1130" i="1" s="1" a="1"/>
  <c r="P1130" i="1" s="1"/>
  <c r="D1129" i="1"/>
  <c r="C1129" i="1"/>
  <c r="P1129" i="1" s="1" a="1"/>
  <c r="P1129" i="1" s="1"/>
  <c r="D1128" i="1"/>
  <c r="C1128" i="1"/>
  <c r="P1128" i="1" s="1" a="1"/>
  <c r="P1128" i="1" s="1"/>
  <c r="D1127" i="1"/>
  <c r="C1127" i="1"/>
  <c r="P1127" i="1" s="1" a="1"/>
  <c r="P1127" i="1" s="1"/>
  <c r="D1126" i="1"/>
  <c r="C1126" i="1"/>
  <c r="P1126" i="1" s="1" a="1"/>
  <c r="P1126" i="1" s="1"/>
  <c r="D1125" i="1"/>
  <c r="C1125" i="1"/>
  <c r="P1125" i="1" s="1" a="1"/>
  <c r="P1125" i="1" s="1"/>
  <c r="D1124" i="1"/>
  <c r="C1124" i="1"/>
  <c r="P1124" i="1" s="1" a="1"/>
  <c r="P1124" i="1" s="1"/>
  <c r="D1123" i="1"/>
  <c r="C1123" i="1"/>
  <c r="P1123" i="1" s="1" a="1"/>
  <c r="P1123" i="1" s="1"/>
  <c r="D1122" i="1"/>
  <c r="C1122" i="1"/>
  <c r="P1122" i="1" s="1" a="1"/>
  <c r="P1122" i="1" s="1"/>
  <c r="D1121" i="1"/>
  <c r="C1121" i="1"/>
  <c r="P1121" i="1" s="1" a="1"/>
  <c r="P1121" i="1" s="1"/>
  <c r="D1120" i="1"/>
  <c r="C1120" i="1"/>
  <c r="P1120" i="1" s="1" a="1"/>
  <c r="P1120" i="1" s="1"/>
  <c r="D1119" i="1"/>
  <c r="C1119" i="1"/>
  <c r="P1119" i="1" s="1" a="1"/>
  <c r="P1119" i="1" s="1"/>
  <c r="D1118" i="1"/>
  <c r="C1118" i="1"/>
  <c r="P1118" i="1" s="1" a="1"/>
  <c r="P1118" i="1" s="1"/>
  <c r="D1117" i="1"/>
  <c r="C1117" i="1"/>
  <c r="P1117" i="1" s="1" a="1"/>
  <c r="P1117" i="1" s="1"/>
  <c r="D1116" i="1"/>
  <c r="C1116" i="1"/>
  <c r="P1116" i="1" s="1" a="1"/>
  <c r="P1116" i="1" s="1"/>
  <c r="D1115" i="1"/>
  <c r="C1115" i="1"/>
  <c r="P1115" i="1" s="1" a="1"/>
  <c r="P1115" i="1" s="1"/>
  <c r="D1114" i="1"/>
  <c r="C1114" i="1"/>
  <c r="P1114" i="1" s="1" a="1"/>
  <c r="P1114" i="1" s="1"/>
  <c r="D1113" i="1"/>
  <c r="C1113" i="1"/>
  <c r="P1113" i="1" s="1" a="1"/>
  <c r="P1113" i="1" s="1"/>
  <c r="D1112" i="1"/>
  <c r="C1112" i="1"/>
  <c r="P1112" i="1" s="1" a="1"/>
  <c r="P1112" i="1" s="1"/>
  <c r="D1111" i="1"/>
  <c r="C1111" i="1"/>
  <c r="P1111" i="1" s="1" a="1"/>
  <c r="P1111" i="1" s="1"/>
  <c r="D1110" i="1"/>
  <c r="C1110" i="1"/>
  <c r="P1110" i="1" s="1" a="1"/>
  <c r="P1110" i="1" s="1"/>
  <c r="D1109" i="1"/>
  <c r="C1109" i="1"/>
  <c r="P1109" i="1" s="1" a="1"/>
  <c r="P1109" i="1" s="1"/>
  <c r="D1108" i="1"/>
  <c r="C1108" i="1"/>
  <c r="P1108" i="1" s="1" a="1"/>
  <c r="P1108" i="1" s="1"/>
  <c r="D1107" i="1"/>
  <c r="C1107" i="1"/>
  <c r="P1107" i="1" s="1" a="1"/>
  <c r="P1107" i="1" s="1"/>
  <c r="D1106" i="1"/>
  <c r="C1106" i="1"/>
  <c r="P1106" i="1" s="1" a="1"/>
  <c r="P1106" i="1" s="1"/>
  <c r="D1105" i="1"/>
  <c r="C1105" i="1"/>
  <c r="P1105" i="1" s="1" a="1"/>
  <c r="P1105" i="1" s="1"/>
  <c r="D1104" i="1"/>
  <c r="C1104" i="1"/>
  <c r="P1104" i="1" s="1" a="1"/>
  <c r="P1104" i="1" s="1"/>
  <c r="D1103" i="1"/>
  <c r="C1103" i="1"/>
  <c r="P1103" i="1" s="1" a="1"/>
  <c r="P1103" i="1" s="1"/>
  <c r="D1102" i="1"/>
  <c r="C1102" i="1"/>
  <c r="P1102" i="1" s="1" a="1"/>
  <c r="P1102" i="1" s="1"/>
  <c r="D1101" i="1"/>
  <c r="C1101" i="1"/>
  <c r="P1101" i="1" s="1" a="1"/>
  <c r="P1101" i="1" s="1"/>
  <c r="D1100" i="1"/>
  <c r="C1100" i="1"/>
  <c r="P1100" i="1" s="1" a="1"/>
  <c r="P1100" i="1" s="1"/>
  <c r="D1099" i="1"/>
  <c r="C1099" i="1"/>
  <c r="P1099" i="1" s="1" a="1"/>
  <c r="P1099" i="1" s="1"/>
  <c r="D1098" i="1"/>
  <c r="C1098" i="1"/>
  <c r="P1098" i="1" s="1" a="1"/>
  <c r="P1098" i="1" s="1"/>
  <c r="D1097" i="1"/>
  <c r="C1097" i="1"/>
  <c r="P1097" i="1" s="1" a="1"/>
  <c r="P1097" i="1" s="1"/>
  <c r="D1096" i="1"/>
  <c r="C1096" i="1"/>
  <c r="P1096" i="1" s="1" a="1"/>
  <c r="P1096" i="1" s="1"/>
  <c r="D1095" i="1"/>
  <c r="C1095" i="1"/>
  <c r="P1095" i="1" s="1" a="1"/>
  <c r="P1095" i="1" s="1"/>
  <c r="D1094" i="1"/>
  <c r="C1094" i="1"/>
  <c r="P1094" i="1" s="1" a="1"/>
  <c r="P1094" i="1" s="1"/>
  <c r="D1093" i="1"/>
  <c r="C1093" i="1"/>
  <c r="P1093" i="1" s="1" a="1"/>
  <c r="P1093" i="1" s="1"/>
  <c r="D1092" i="1"/>
  <c r="C1092" i="1"/>
  <c r="P1092" i="1" s="1" a="1"/>
  <c r="P1092" i="1" s="1"/>
  <c r="D1091" i="1"/>
  <c r="C1091" i="1"/>
  <c r="P1091" i="1" s="1" a="1"/>
  <c r="P1091" i="1" s="1"/>
  <c r="D1090" i="1"/>
  <c r="C1090" i="1"/>
  <c r="P1090" i="1" s="1" a="1"/>
  <c r="P1090" i="1" s="1"/>
  <c r="D1089" i="1"/>
  <c r="C1089" i="1"/>
  <c r="P1089" i="1" s="1" a="1"/>
  <c r="P1089" i="1" s="1"/>
  <c r="D1088" i="1"/>
  <c r="C1088" i="1"/>
  <c r="P1088" i="1" s="1" a="1"/>
  <c r="P1088" i="1" s="1"/>
  <c r="D1087" i="1"/>
  <c r="C1087" i="1"/>
  <c r="P1087" i="1" s="1" a="1"/>
  <c r="P1087" i="1" s="1"/>
  <c r="D1086" i="1"/>
  <c r="C1086" i="1"/>
  <c r="P1086" i="1" s="1" a="1"/>
  <c r="P1086" i="1" s="1"/>
  <c r="D1085" i="1"/>
  <c r="C1085" i="1"/>
  <c r="P1085" i="1" s="1" a="1"/>
  <c r="P1085" i="1" s="1"/>
  <c r="D1084" i="1"/>
  <c r="C1084" i="1"/>
  <c r="P1084" i="1" s="1" a="1"/>
  <c r="P1084" i="1" s="1"/>
  <c r="D1083" i="1"/>
  <c r="C1083" i="1"/>
  <c r="P1083" i="1" s="1" a="1"/>
  <c r="P1083" i="1" s="1"/>
  <c r="D1082" i="1"/>
  <c r="C1082" i="1"/>
  <c r="P1082" i="1" s="1" a="1"/>
  <c r="P1082" i="1" s="1"/>
  <c r="D1081" i="1"/>
  <c r="C1081" i="1"/>
  <c r="P1081" i="1" s="1" a="1"/>
  <c r="P1081" i="1" s="1"/>
  <c r="D1080" i="1"/>
  <c r="C1080" i="1"/>
  <c r="P1080" i="1" s="1" a="1"/>
  <c r="P1080" i="1" s="1"/>
  <c r="D1079" i="1"/>
  <c r="C1079" i="1"/>
  <c r="P1079" i="1" s="1" a="1"/>
  <c r="P1079" i="1" s="1"/>
  <c r="D1078" i="1"/>
  <c r="C1078" i="1"/>
  <c r="P1078" i="1" s="1" a="1"/>
  <c r="P1078" i="1" s="1"/>
  <c r="D1077" i="1"/>
  <c r="C1077" i="1"/>
  <c r="P1077" i="1" s="1" a="1"/>
  <c r="P1077" i="1" s="1"/>
  <c r="D1076" i="1"/>
  <c r="C1076" i="1"/>
  <c r="P1076" i="1" s="1" a="1"/>
  <c r="P1076" i="1" s="1"/>
  <c r="D1075" i="1"/>
  <c r="C1075" i="1"/>
  <c r="P1075" i="1" s="1" a="1"/>
  <c r="P1075" i="1" s="1"/>
  <c r="D1074" i="1"/>
  <c r="C1074" i="1"/>
  <c r="P1074" i="1" s="1" a="1"/>
  <c r="P1074" i="1" s="1"/>
  <c r="D1073" i="1"/>
  <c r="C1073" i="1"/>
  <c r="P1073" i="1" s="1" a="1"/>
  <c r="P1073" i="1" s="1"/>
  <c r="D1072" i="1"/>
  <c r="C1072" i="1"/>
  <c r="P1072" i="1" s="1" a="1"/>
  <c r="P1072" i="1" s="1"/>
  <c r="D1071" i="1"/>
  <c r="C1071" i="1"/>
  <c r="P1071" i="1" s="1" a="1"/>
  <c r="P1071" i="1" s="1"/>
  <c r="D1070" i="1"/>
  <c r="C1070" i="1"/>
  <c r="P1070" i="1" s="1" a="1"/>
  <c r="P1070" i="1" s="1"/>
  <c r="D1069" i="1"/>
  <c r="C1069" i="1"/>
  <c r="P1069" i="1" s="1" a="1"/>
  <c r="P1069" i="1" s="1"/>
  <c r="D1068" i="1"/>
  <c r="C1068" i="1"/>
  <c r="P1068" i="1" s="1" a="1"/>
  <c r="P1068" i="1" s="1"/>
  <c r="D1067" i="1"/>
  <c r="C1067" i="1"/>
  <c r="P1067" i="1" s="1" a="1"/>
  <c r="P1067" i="1" s="1"/>
  <c r="D1066" i="1"/>
  <c r="C1066" i="1"/>
  <c r="P1066" i="1" s="1" a="1"/>
  <c r="P1066" i="1" s="1"/>
  <c r="D1065" i="1"/>
  <c r="C1065" i="1"/>
  <c r="P1065" i="1" s="1" a="1"/>
  <c r="P1065" i="1" s="1"/>
  <c r="D1064" i="1"/>
  <c r="C1064" i="1"/>
  <c r="P1064" i="1" s="1" a="1"/>
  <c r="P1064" i="1" s="1"/>
  <c r="D1063" i="1"/>
  <c r="C1063" i="1"/>
  <c r="P1063" i="1" s="1" a="1"/>
  <c r="P1063" i="1" s="1"/>
  <c r="D1062" i="1"/>
  <c r="C1062" i="1"/>
  <c r="P1062" i="1" s="1" a="1"/>
  <c r="P1062" i="1" s="1"/>
  <c r="D1061" i="1"/>
  <c r="C1061" i="1"/>
  <c r="P1061" i="1" s="1" a="1"/>
  <c r="P1061" i="1" s="1"/>
  <c r="D1060" i="1"/>
  <c r="C1060" i="1"/>
  <c r="P1060" i="1" s="1" a="1"/>
  <c r="P1060" i="1" s="1"/>
  <c r="D1059" i="1"/>
  <c r="C1059" i="1"/>
  <c r="P1059" i="1" s="1" a="1"/>
  <c r="P1059" i="1" s="1"/>
  <c r="D1058" i="1"/>
  <c r="C1058" i="1"/>
  <c r="P1058" i="1" s="1" a="1"/>
  <c r="P1058" i="1" s="1"/>
  <c r="D1057" i="1"/>
  <c r="C1057" i="1"/>
  <c r="P1057" i="1" s="1" a="1"/>
  <c r="P1057" i="1" s="1"/>
  <c r="D1056" i="1"/>
  <c r="C1056" i="1"/>
  <c r="P1056" i="1" s="1" a="1"/>
  <c r="P1056" i="1" s="1"/>
  <c r="D1055" i="1"/>
  <c r="C1055" i="1"/>
  <c r="P1055" i="1" s="1" a="1"/>
  <c r="P1055" i="1" s="1"/>
  <c r="D1054" i="1"/>
  <c r="C1054" i="1"/>
  <c r="P1054" i="1" s="1" a="1"/>
  <c r="P1054" i="1" s="1"/>
  <c r="D1053" i="1"/>
  <c r="C1053" i="1"/>
  <c r="P1053" i="1" s="1" a="1"/>
  <c r="P1053" i="1" s="1"/>
  <c r="D1052" i="1"/>
  <c r="C1052" i="1"/>
  <c r="P1052" i="1" s="1" a="1"/>
  <c r="P1052" i="1" s="1"/>
  <c r="D1051" i="1"/>
  <c r="C1051" i="1"/>
  <c r="P1051" i="1" s="1" a="1"/>
  <c r="P1051" i="1" s="1"/>
  <c r="D1050" i="1"/>
  <c r="C1050" i="1"/>
  <c r="P1050" i="1" s="1" a="1"/>
  <c r="P1050" i="1" s="1"/>
  <c r="D1049" i="1"/>
  <c r="C1049" i="1"/>
  <c r="P1049" i="1" s="1" a="1"/>
  <c r="P1049" i="1" s="1"/>
  <c r="D1048" i="1"/>
  <c r="C1048" i="1"/>
  <c r="P1048" i="1" s="1" a="1"/>
  <c r="P1048" i="1" s="1"/>
  <c r="D1047" i="1"/>
  <c r="C1047" i="1"/>
  <c r="P1047" i="1" s="1" a="1"/>
  <c r="P1047" i="1" s="1"/>
  <c r="D1046" i="1"/>
  <c r="C1046" i="1"/>
  <c r="P1046" i="1" s="1" a="1"/>
  <c r="P1046" i="1" s="1"/>
  <c r="D1045" i="1"/>
  <c r="C1045" i="1"/>
  <c r="P1045" i="1" s="1" a="1"/>
  <c r="P1045" i="1" s="1"/>
  <c r="D1044" i="1"/>
  <c r="C1044" i="1"/>
  <c r="P1044" i="1" s="1" a="1"/>
  <c r="P1044" i="1" s="1"/>
  <c r="D1043" i="1"/>
  <c r="C1043" i="1"/>
  <c r="P1043" i="1" s="1" a="1"/>
  <c r="P1043" i="1" s="1"/>
  <c r="D1042" i="1"/>
  <c r="C1042" i="1"/>
  <c r="P1042" i="1" s="1" a="1"/>
  <c r="P1042" i="1" s="1"/>
  <c r="D1041" i="1"/>
  <c r="C1041" i="1"/>
  <c r="P1041" i="1" s="1" a="1"/>
  <c r="P1041" i="1" s="1"/>
  <c r="D1040" i="1"/>
  <c r="C1040" i="1"/>
  <c r="P1040" i="1" s="1" a="1"/>
  <c r="P1040" i="1" s="1"/>
  <c r="D1039" i="1"/>
  <c r="C1039" i="1"/>
  <c r="P1039" i="1" s="1" a="1"/>
  <c r="P1039" i="1" s="1"/>
  <c r="D1038" i="1"/>
  <c r="C1038" i="1"/>
  <c r="P1038" i="1" s="1" a="1"/>
  <c r="P1038" i="1" s="1"/>
  <c r="D1037" i="1"/>
  <c r="C1037" i="1"/>
  <c r="P1037" i="1" s="1" a="1"/>
  <c r="P1037" i="1" s="1"/>
  <c r="D1036" i="1"/>
  <c r="C1036" i="1"/>
  <c r="P1036" i="1" s="1" a="1"/>
  <c r="P1036" i="1" s="1"/>
  <c r="D1035" i="1"/>
  <c r="C1035" i="1"/>
  <c r="P1035" i="1" s="1" a="1"/>
  <c r="P1035" i="1" s="1"/>
  <c r="D1034" i="1"/>
  <c r="C1034" i="1"/>
  <c r="P1034" i="1" s="1" a="1"/>
  <c r="P1034" i="1" s="1"/>
  <c r="D1033" i="1"/>
  <c r="C1033" i="1"/>
  <c r="P1033" i="1" s="1" a="1"/>
  <c r="P1033" i="1" s="1"/>
  <c r="D1032" i="1"/>
  <c r="C1032" i="1"/>
  <c r="P1032" i="1" s="1" a="1"/>
  <c r="P1032" i="1" s="1"/>
  <c r="D1031" i="1"/>
  <c r="C1031" i="1"/>
  <c r="P1031" i="1" s="1" a="1"/>
  <c r="P1031" i="1" s="1"/>
  <c r="D1030" i="1"/>
  <c r="C1030" i="1"/>
  <c r="P1030" i="1" s="1" a="1"/>
  <c r="P1030" i="1" s="1"/>
  <c r="D1029" i="1"/>
  <c r="C1029" i="1"/>
  <c r="P1029" i="1" s="1" a="1"/>
  <c r="P1029" i="1" s="1"/>
  <c r="D1028" i="1"/>
  <c r="C1028" i="1"/>
  <c r="P1028" i="1" s="1" a="1"/>
  <c r="P1028" i="1" s="1"/>
  <c r="D1027" i="1"/>
  <c r="C1027" i="1"/>
  <c r="P1027" i="1" s="1" a="1"/>
  <c r="P1027" i="1" s="1"/>
  <c r="D1026" i="1"/>
  <c r="C1026" i="1"/>
  <c r="P1026" i="1" s="1" a="1"/>
  <c r="P1026" i="1" s="1"/>
  <c r="D1025" i="1"/>
  <c r="C1025" i="1"/>
  <c r="P1025" i="1" s="1" a="1"/>
  <c r="P1025" i="1" s="1"/>
  <c r="D1024" i="1"/>
  <c r="C1024" i="1"/>
  <c r="P1024" i="1" s="1" a="1"/>
  <c r="P1024" i="1" s="1"/>
  <c r="D1023" i="1"/>
  <c r="C1023" i="1"/>
  <c r="P1023" i="1" s="1" a="1"/>
  <c r="P1023" i="1" s="1"/>
  <c r="D1022" i="1"/>
  <c r="C1022" i="1"/>
  <c r="P1022" i="1" s="1" a="1"/>
  <c r="P1022" i="1" s="1"/>
  <c r="D1021" i="1"/>
  <c r="C1021" i="1"/>
  <c r="P1021" i="1" s="1" a="1"/>
  <c r="P1021" i="1" s="1"/>
  <c r="D1020" i="1"/>
  <c r="C1020" i="1"/>
  <c r="P1020" i="1" s="1" a="1"/>
  <c r="P1020" i="1" s="1"/>
  <c r="D1019" i="1"/>
  <c r="C1019" i="1"/>
  <c r="P1019" i="1" s="1" a="1"/>
  <c r="P1019" i="1" s="1"/>
  <c r="D1018" i="1"/>
  <c r="C1018" i="1"/>
  <c r="P1018" i="1" s="1" a="1"/>
  <c r="P1018" i="1" s="1"/>
  <c r="D1017" i="1"/>
  <c r="C1017" i="1"/>
  <c r="P1017" i="1" s="1" a="1"/>
  <c r="P1017" i="1" s="1"/>
  <c r="D1016" i="1"/>
  <c r="C1016" i="1"/>
  <c r="P1016" i="1" s="1" a="1"/>
  <c r="P1016" i="1" s="1"/>
  <c r="D1015" i="1"/>
  <c r="C1015" i="1"/>
  <c r="P1015" i="1" s="1" a="1"/>
  <c r="P1015" i="1" s="1"/>
  <c r="D1014" i="1"/>
  <c r="C1014" i="1"/>
  <c r="P1014" i="1" s="1" a="1"/>
  <c r="P1014" i="1" s="1"/>
  <c r="D1013" i="1"/>
  <c r="C1013" i="1"/>
  <c r="P1013" i="1" s="1" a="1"/>
  <c r="P1013" i="1" s="1"/>
  <c r="D1012" i="1"/>
  <c r="C1012" i="1"/>
  <c r="P1012" i="1" s="1" a="1"/>
  <c r="P1012" i="1" s="1"/>
  <c r="D1011" i="1"/>
  <c r="C1011" i="1"/>
  <c r="P1011" i="1" s="1" a="1"/>
  <c r="P1011" i="1" s="1"/>
  <c r="D1010" i="1"/>
  <c r="C1010" i="1"/>
  <c r="P1010" i="1" s="1" a="1"/>
  <c r="P1010" i="1" s="1"/>
  <c r="D1009" i="1"/>
  <c r="C1009" i="1"/>
  <c r="P1009" i="1" s="1" a="1"/>
  <c r="P1009" i="1" s="1"/>
  <c r="D1008" i="1"/>
  <c r="C1008" i="1"/>
  <c r="P1008" i="1" s="1" a="1"/>
  <c r="P1008" i="1" s="1"/>
  <c r="D1007" i="1"/>
  <c r="C1007" i="1"/>
  <c r="P1007" i="1" s="1" a="1"/>
  <c r="P1007" i="1" s="1"/>
  <c r="D1006" i="1"/>
  <c r="C1006" i="1"/>
  <c r="P1006" i="1" s="1" a="1"/>
  <c r="P1006" i="1" s="1"/>
  <c r="D1005" i="1"/>
  <c r="C1005" i="1"/>
  <c r="P1005" i="1" s="1" a="1"/>
  <c r="P1005" i="1" s="1"/>
  <c r="D1004" i="1"/>
  <c r="C1004" i="1"/>
  <c r="P1004" i="1" s="1" a="1"/>
  <c r="P1004" i="1" s="1"/>
  <c r="D1003" i="1"/>
  <c r="C1003" i="1"/>
  <c r="P1003" i="1" s="1" a="1"/>
  <c r="P1003" i="1" s="1"/>
  <c r="D1002" i="1"/>
  <c r="C1002" i="1"/>
  <c r="P1002" i="1" s="1" a="1"/>
  <c r="P1002" i="1" s="1"/>
  <c r="D1001" i="1"/>
  <c r="C1001" i="1"/>
  <c r="P1001" i="1" s="1" a="1"/>
  <c r="P1001" i="1" s="1"/>
  <c r="D1000" i="1"/>
  <c r="C1000" i="1"/>
  <c r="P1000" i="1" s="1" a="1"/>
  <c r="P1000" i="1" s="1"/>
  <c r="D999" i="1"/>
  <c r="C999" i="1"/>
  <c r="P999" i="1" s="1" a="1"/>
  <c r="P999" i="1" s="1"/>
  <c r="D998" i="1"/>
  <c r="C998" i="1"/>
  <c r="P998" i="1" s="1" a="1"/>
  <c r="P998" i="1" s="1"/>
  <c r="D997" i="1"/>
  <c r="C997" i="1"/>
  <c r="P997" i="1" s="1" a="1"/>
  <c r="P997" i="1" s="1"/>
  <c r="D996" i="1"/>
  <c r="C996" i="1"/>
  <c r="P996" i="1" s="1" a="1"/>
  <c r="P996" i="1" s="1"/>
  <c r="D995" i="1"/>
  <c r="C995" i="1"/>
  <c r="P995" i="1" s="1" a="1"/>
  <c r="P995" i="1" s="1"/>
  <c r="D994" i="1"/>
  <c r="C994" i="1"/>
  <c r="P994" i="1" s="1" a="1"/>
  <c r="P994" i="1" s="1"/>
  <c r="D993" i="1"/>
  <c r="C993" i="1"/>
  <c r="P993" i="1" s="1" a="1"/>
  <c r="P993" i="1" s="1"/>
  <c r="D992" i="1"/>
  <c r="C992" i="1"/>
  <c r="P992" i="1" s="1" a="1"/>
  <c r="P992" i="1" s="1"/>
  <c r="D991" i="1"/>
  <c r="C991" i="1"/>
  <c r="P991" i="1" s="1" a="1"/>
  <c r="P991" i="1" s="1"/>
  <c r="D990" i="1"/>
  <c r="C990" i="1"/>
  <c r="P990" i="1" s="1" a="1"/>
  <c r="P990" i="1" s="1"/>
  <c r="D989" i="1"/>
  <c r="C989" i="1"/>
  <c r="P989" i="1" s="1" a="1"/>
  <c r="P989" i="1" s="1"/>
  <c r="D988" i="1"/>
  <c r="C988" i="1"/>
  <c r="P988" i="1" s="1" a="1"/>
  <c r="P988" i="1" s="1"/>
  <c r="D987" i="1"/>
  <c r="C987" i="1"/>
  <c r="P987" i="1" s="1" a="1"/>
  <c r="P987" i="1" s="1"/>
  <c r="D986" i="1"/>
  <c r="C986" i="1"/>
  <c r="P986" i="1" s="1" a="1"/>
  <c r="P986" i="1" s="1"/>
  <c r="D985" i="1"/>
  <c r="C985" i="1"/>
  <c r="P985" i="1" s="1" a="1"/>
  <c r="P985" i="1" s="1"/>
  <c r="D984" i="1"/>
  <c r="C984" i="1"/>
  <c r="P984" i="1" s="1" a="1"/>
  <c r="P984" i="1" s="1"/>
  <c r="D983" i="1"/>
  <c r="C983" i="1"/>
  <c r="P983" i="1" s="1" a="1"/>
  <c r="P983" i="1" s="1"/>
  <c r="D982" i="1"/>
  <c r="C982" i="1"/>
  <c r="P982" i="1" s="1" a="1"/>
  <c r="P982" i="1" s="1"/>
  <c r="D981" i="1"/>
  <c r="C981" i="1"/>
  <c r="P981" i="1" s="1" a="1"/>
  <c r="P981" i="1" s="1"/>
  <c r="D980" i="1"/>
  <c r="C980" i="1"/>
  <c r="P980" i="1" s="1" a="1"/>
  <c r="P980" i="1" s="1"/>
  <c r="D979" i="1"/>
  <c r="C979" i="1"/>
  <c r="P979" i="1" s="1" a="1"/>
  <c r="P979" i="1" s="1"/>
  <c r="D978" i="1"/>
  <c r="C978" i="1"/>
  <c r="P978" i="1" s="1" a="1"/>
  <c r="P978" i="1" s="1"/>
  <c r="D977" i="1"/>
  <c r="C977" i="1"/>
  <c r="P977" i="1" s="1" a="1"/>
  <c r="P977" i="1" s="1"/>
  <c r="D976" i="1"/>
  <c r="C976" i="1"/>
  <c r="P976" i="1" s="1" a="1"/>
  <c r="P976" i="1" s="1"/>
  <c r="D975" i="1"/>
  <c r="C975" i="1"/>
  <c r="P975" i="1" s="1" a="1"/>
  <c r="P975" i="1" s="1"/>
  <c r="D974" i="1"/>
  <c r="C974" i="1"/>
  <c r="P974" i="1" s="1" a="1"/>
  <c r="P974" i="1" s="1"/>
  <c r="D973" i="1"/>
  <c r="C973" i="1"/>
  <c r="P973" i="1" s="1" a="1"/>
  <c r="P973" i="1" s="1"/>
  <c r="D972" i="1"/>
  <c r="C972" i="1"/>
  <c r="P972" i="1" s="1" a="1"/>
  <c r="P972" i="1" s="1"/>
  <c r="D971" i="1"/>
  <c r="C971" i="1"/>
  <c r="P971" i="1" s="1" a="1"/>
  <c r="P971" i="1" s="1"/>
  <c r="D970" i="1"/>
  <c r="C970" i="1"/>
  <c r="P970" i="1" s="1" a="1"/>
  <c r="P970" i="1" s="1"/>
  <c r="D969" i="1"/>
  <c r="C969" i="1"/>
  <c r="P969" i="1" s="1" a="1"/>
  <c r="P969" i="1" s="1"/>
  <c r="D968" i="1"/>
  <c r="C968" i="1"/>
  <c r="P968" i="1" s="1" a="1"/>
  <c r="P968" i="1" s="1"/>
  <c r="D967" i="1"/>
  <c r="C967" i="1"/>
  <c r="P967" i="1" s="1" a="1"/>
  <c r="P967" i="1" s="1"/>
  <c r="D966" i="1"/>
  <c r="C966" i="1"/>
  <c r="P966" i="1" s="1" a="1"/>
  <c r="P966" i="1" s="1"/>
  <c r="D965" i="1"/>
  <c r="C965" i="1"/>
  <c r="P965" i="1" s="1" a="1"/>
  <c r="P965" i="1" s="1"/>
  <c r="D964" i="1"/>
  <c r="C964" i="1"/>
  <c r="P964" i="1" s="1" a="1"/>
  <c r="P964" i="1" s="1"/>
  <c r="D963" i="1"/>
  <c r="C963" i="1"/>
  <c r="P963" i="1" s="1" a="1"/>
  <c r="P963" i="1" s="1"/>
  <c r="D962" i="1"/>
  <c r="C962" i="1"/>
  <c r="P962" i="1" s="1" a="1"/>
  <c r="P962" i="1" s="1"/>
  <c r="D961" i="1"/>
  <c r="C961" i="1"/>
  <c r="P961" i="1" s="1" a="1"/>
  <c r="P961" i="1" s="1"/>
  <c r="D960" i="1"/>
  <c r="C960" i="1"/>
  <c r="P960" i="1" s="1" a="1"/>
  <c r="P960" i="1" s="1"/>
  <c r="D959" i="1"/>
  <c r="C959" i="1"/>
  <c r="P959" i="1" s="1" a="1"/>
  <c r="P959" i="1" s="1"/>
  <c r="D958" i="1"/>
  <c r="C958" i="1"/>
  <c r="P958" i="1" s="1" a="1"/>
  <c r="P958" i="1" s="1"/>
  <c r="D957" i="1"/>
  <c r="C957" i="1"/>
  <c r="P957" i="1" s="1" a="1"/>
  <c r="P957" i="1" s="1"/>
  <c r="D956" i="1"/>
  <c r="C956" i="1"/>
  <c r="P956" i="1" s="1" a="1"/>
  <c r="P956" i="1" s="1"/>
  <c r="D955" i="1"/>
  <c r="C955" i="1"/>
  <c r="P955" i="1" s="1" a="1"/>
  <c r="P955" i="1" s="1"/>
  <c r="D954" i="1"/>
  <c r="C954" i="1"/>
  <c r="P954" i="1" s="1" a="1"/>
  <c r="P954" i="1" s="1"/>
  <c r="D953" i="1"/>
  <c r="C953" i="1"/>
  <c r="P953" i="1" s="1" a="1"/>
  <c r="P953" i="1" s="1"/>
  <c r="D952" i="1"/>
  <c r="C952" i="1"/>
  <c r="P952" i="1" s="1" a="1"/>
  <c r="P952" i="1" s="1"/>
  <c r="D951" i="1"/>
  <c r="C951" i="1"/>
  <c r="P951" i="1" s="1" a="1"/>
  <c r="P951" i="1" s="1"/>
  <c r="D950" i="1"/>
  <c r="C950" i="1"/>
  <c r="P950" i="1" s="1" a="1"/>
  <c r="P950" i="1" s="1"/>
  <c r="D949" i="1"/>
  <c r="C949" i="1"/>
  <c r="P949" i="1" s="1" a="1"/>
  <c r="P949" i="1" s="1"/>
  <c r="D948" i="1"/>
  <c r="C948" i="1"/>
  <c r="P948" i="1" s="1" a="1"/>
  <c r="P948" i="1" s="1"/>
  <c r="D947" i="1"/>
  <c r="C947" i="1"/>
  <c r="P947" i="1" s="1" a="1"/>
  <c r="P947" i="1" s="1"/>
  <c r="D946" i="1"/>
  <c r="C946" i="1"/>
  <c r="P946" i="1" s="1" a="1"/>
  <c r="P946" i="1" s="1"/>
  <c r="D945" i="1"/>
  <c r="C945" i="1"/>
  <c r="P945" i="1" s="1" a="1"/>
  <c r="P945" i="1" s="1"/>
  <c r="D944" i="1"/>
  <c r="C944" i="1"/>
  <c r="P944" i="1" s="1" a="1"/>
  <c r="P944" i="1" s="1"/>
  <c r="D943" i="1"/>
  <c r="C943" i="1"/>
  <c r="P943" i="1" s="1" a="1"/>
  <c r="P943" i="1" s="1"/>
  <c r="D942" i="1"/>
  <c r="C942" i="1"/>
  <c r="P942" i="1" s="1" a="1"/>
  <c r="P942" i="1" s="1"/>
  <c r="D941" i="1"/>
  <c r="C941" i="1"/>
  <c r="P941" i="1" s="1" a="1"/>
  <c r="P941" i="1" s="1"/>
  <c r="D940" i="1"/>
  <c r="C940" i="1"/>
  <c r="P940" i="1" s="1" a="1"/>
  <c r="P940" i="1" s="1"/>
  <c r="D939" i="1"/>
  <c r="C939" i="1"/>
  <c r="P939" i="1" s="1" a="1"/>
  <c r="P939" i="1" s="1"/>
  <c r="D938" i="1"/>
  <c r="C938" i="1"/>
  <c r="P938" i="1" s="1" a="1"/>
  <c r="P938" i="1" s="1"/>
  <c r="D937" i="1"/>
  <c r="C937" i="1"/>
  <c r="P937" i="1" s="1" a="1"/>
  <c r="P937" i="1" s="1"/>
  <c r="D936" i="1"/>
  <c r="C936" i="1"/>
  <c r="P936" i="1" s="1" a="1"/>
  <c r="P936" i="1" s="1"/>
  <c r="D935" i="1"/>
  <c r="C935" i="1"/>
  <c r="P935" i="1" s="1" a="1"/>
  <c r="P935" i="1" s="1"/>
  <c r="D934" i="1"/>
  <c r="C934" i="1"/>
  <c r="P934" i="1" s="1" a="1"/>
  <c r="P934" i="1" s="1"/>
  <c r="D933" i="1"/>
  <c r="C933" i="1"/>
  <c r="P933" i="1" s="1" a="1"/>
  <c r="P933" i="1" s="1"/>
  <c r="D932" i="1"/>
  <c r="C932" i="1"/>
  <c r="P932" i="1" s="1" a="1"/>
  <c r="P932" i="1" s="1"/>
  <c r="D931" i="1"/>
  <c r="C931" i="1"/>
  <c r="P931" i="1" s="1" a="1"/>
  <c r="P931" i="1" s="1"/>
  <c r="D930" i="1"/>
  <c r="C930" i="1"/>
  <c r="P930" i="1" s="1" a="1"/>
  <c r="P930" i="1" s="1"/>
  <c r="D929" i="1"/>
  <c r="C929" i="1"/>
  <c r="P929" i="1" s="1" a="1"/>
  <c r="P929" i="1" s="1"/>
  <c r="D928" i="1"/>
  <c r="C928" i="1"/>
  <c r="P928" i="1" s="1" a="1"/>
  <c r="P928" i="1" s="1"/>
  <c r="D927" i="1"/>
  <c r="C927" i="1"/>
  <c r="P927" i="1" s="1" a="1"/>
  <c r="P927" i="1" s="1"/>
  <c r="D926" i="1"/>
  <c r="C926" i="1"/>
  <c r="P926" i="1" s="1" a="1"/>
  <c r="P926" i="1" s="1"/>
  <c r="D925" i="1"/>
  <c r="C925" i="1"/>
  <c r="P925" i="1" s="1" a="1"/>
  <c r="P925" i="1" s="1"/>
  <c r="D924" i="1"/>
  <c r="C924" i="1"/>
  <c r="P924" i="1" s="1" a="1"/>
  <c r="P924" i="1" s="1"/>
  <c r="D923" i="1"/>
  <c r="C923" i="1"/>
  <c r="P923" i="1" s="1" a="1"/>
  <c r="P923" i="1" s="1"/>
  <c r="D922" i="1"/>
  <c r="C922" i="1"/>
  <c r="P922" i="1" s="1" a="1"/>
  <c r="P922" i="1" s="1"/>
  <c r="D921" i="1"/>
  <c r="C921" i="1"/>
  <c r="P921" i="1" s="1" a="1"/>
  <c r="P921" i="1" s="1"/>
  <c r="D920" i="1"/>
  <c r="C920" i="1"/>
  <c r="P920" i="1" s="1" a="1"/>
  <c r="P920" i="1" s="1"/>
  <c r="D919" i="1"/>
  <c r="C919" i="1"/>
  <c r="P919" i="1" s="1" a="1"/>
  <c r="P919" i="1" s="1"/>
  <c r="D918" i="1"/>
  <c r="C918" i="1"/>
  <c r="P918" i="1" s="1" a="1"/>
  <c r="P918" i="1" s="1"/>
  <c r="D917" i="1"/>
  <c r="C917" i="1"/>
  <c r="P917" i="1" s="1" a="1"/>
  <c r="P917" i="1" s="1"/>
  <c r="D916" i="1"/>
  <c r="C916" i="1"/>
  <c r="P916" i="1" s="1" a="1"/>
  <c r="P916" i="1" s="1"/>
  <c r="D915" i="1"/>
  <c r="C915" i="1"/>
  <c r="P915" i="1" s="1" a="1"/>
  <c r="P915" i="1" s="1"/>
  <c r="D914" i="1"/>
  <c r="C914" i="1"/>
  <c r="P914" i="1" s="1" a="1"/>
  <c r="P914" i="1" s="1"/>
  <c r="D913" i="1"/>
  <c r="C913" i="1"/>
  <c r="P913" i="1" s="1" a="1"/>
  <c r="P913" i="1" s="1"/>
  <c r="D912" i="1"/>
  <c r="C912" i="1"/>
  <c r="P912" i="1" s="1" a="1"/>
  <c r="P912" i="1" s="1"/>
  <c r="D911" i="1"/>
  <c r="C911" i="1"/>
  <c r="P911" i="1" s="1" a="1"/>
  <c r="P911" i="1" s="1"/>
  <c r="D910" i="1"/>
  <c r="C910" i="1"/>
  <c r="P910" i="1" s="1" a="1"/>
  <c r="P910" i="1" s="1"/>
  <c r="D909" i="1"/>
  <c r="C909" i="1"/>
  <c r="P909" i="1" s="1" a="1"/>
  <c r="P909" i="1" s="1"/>
  <c r="D908" i="1"/>
  <c r="C908" i="1"/>
  <c r="P908" i="1" s="1" a="1"/>
  <c r="P908" i="1" s="1"/>
  <c r="D907" i="1"/>
  <c r="C907" i="1"/>
  <c r="P907" i="1" s="1" a="1"/>
  <c r="P907" i="1" s="1"/>
  <c r="D906" i="1"/>
  <c r="C906" i="1"/>
  <c r="P906" i="1" s="1" a="1"/>
  <c r="P906" i="1" s="1"/>
  <c r="D905" i="1"/>
  <c r="C905" i="1"/>
  <c r="P905" i="1" s="1" a="1"/>
  <c r="P905" i="1" s="1"/>
  <c r="D904" i="1"/>
  <c r="C904" i="1"/>
  <c r="P904" i="1" s="1" a="1"/>
  <c r="P904" i="1" s="1"/>
  <c r="D903" i="1"/>
  <c r="C903" i="1"/>
  <c r="P903" i="1" s="1" a="1"/>
  <c r="P903" i="1" s="1"/>
  <c r="D902" i="1"/>
  <c r="C902" i="1"/>
  <c r="P902" i="1" s="1" a="1"/>
  <c r="P902" i="1" s="1"/>
  <c r="D901" i="1"/>
  <c r="C901" i="1"/>
  <c r="P901" i="1" s="1" a="1"/>
  <c r="P901" i="1" s="1"/>
  <c r="D900" i="1"/>
  <c r="C900" i="1"/>
  <c r="P900" i="1" s="1" a="1"/>
  <c r="P900" i="1" s="1"/>
  <c r="D899" i="1"/>
  <c r="C899" i="1"/>
  <c r="P899" i="1" s="1" a="1"/>
  <c r="P899" i="1" s="1"/>
  <c r="D898" i="1"/>
  <c r="C898" i="1"/>
  <c r="P898" i="1" s="1" a="1"/>
  <c r="P898" i="1" s="1"/>
  <c r="D897" i="1"/>
  <c r="C897" i="1"/>
  <c r="P897" i="1" s="1" a="1"/>
  <c r="P897" i="1" s="1"/>
  <c r="D896" i="1"/>
  <c r="C896" i="1"/>
  <c r="P896" i="1" s="1" a="1"/>
  <c r="P896" i="1" s="1"/>
  <c r="D895" i="1"/>
  <c r="C895" i="1"/>
  <c r="P895" i="1" s="1" a="1"/>
  <c r="P895" i="1" s="1"/>
  <c r="D894" i="1"/>
  <c r="C894" i="1"/>
  <c r="P894" i="1" s="1" a="1"/>
  <c r="P894" i="1" s="1"/>
  <c r="D893" i="1"/>
  <c r="C893" i="1"/>
  <c r="P893" i="1" s="1" a="1"/>
  <c r="P893" i="1" s="1"/>
  <c r="D892" i="1"/>
  <c r="C892" i="1"/>
  <c r="P892" i="1" s="1" a="1"/>
  <c r="P892" i="1" s="1"/>
  <c r="D891" i="1"/>
  <c r="C891" i="1"/>
  <c r="P891" i="1" s="1" a="1"/>
  <c r="P891" i="1" s="1"/>
  <c r="D890" i="1"/>
  <c r="C890" i="1"/>
  <c r="P890" i="1" s="1" a="1"/>
  <c r="P890" i="1" s="1"/>
  <c r="D889" i="1"/>
  <c r="C889" i="1"/>
  <c r="P889" i="1" s="1" a="1"/>
  <c r="P889" i="1" s="1"/>
  <c r="D888" i="1"/>
  <c r="C888" i="1"/>
  <c r="P888" i="1" s="1" a="1"/>
  <c r="P888" i="1" s="1"/>
  <c r="D887" i="1"/>
  <c r="C887" i="1"/>
  <c r="P887" i="1" s="1" a="1"/>
  <c r="P887" i="1" s="1"/>
  <c r="D886" i="1"/>
  <c r="C886" i="1"/>
  <c r="P886" i="1" s="1" a="1"/>
  <c r="P886" i="1" s="1"/>
  <c r="D885" i="1"/>
  <c r="C885" i="1"/>
  <c r="P885" i="1" s="1" a="1"/>
  <c r="P885" i="1" s="1"/>
  <c r="D884" i="1"/>
  <c r="C884" i="1"/>
  <c r="P884" i="1" s="1" a="1"/>
  <c r="P884" i="1" s="1"/>
  <c r="D883" i="1"/>
  <c r="C883" i="1"/>
  <c r="P883" i="1" s="1" a="1"/>
  <c r="P883" i="1" s="1"/>
  <c r="D882" i="1"/>
  <c r="C882" i="1"/>
  <c r="P882" i="1" s="1" a="1"/>
  <c r="P882" i="1" s="1"/>
  <c r="D881" i="1"/>
  <c r="C881" i="1"/>
  <c r="P881" i="1" s="1" a="1"/>
  <c r="P881" i="1" s="1"/>
  <c r="D880" i="1"/>
  <c r="C880" i="1"/>
  <c r="P880" i="1" s="1" a="1"/>
  <c r="P880" i="1" s="1"/>
  <c r="D879" i="1"/>
  <c r="C879" i="1"/>
  <c r="P879" i="1" s="1" a="1"/>
  <c r="P879" i="1" s="1"/>
  <c r="D878" i="1"/>
  <c r="C878" i="1"/>
  <c r="P878" i="1" s="1" a="1"/>
  <c r="P878" i="1" s="1"/>
  <c r="D877" i="1"/>
  <c r="C877" i="1"/>
  <c r="P877" i="1" s="1" a="1"/>
  <c r="P877" i="1" s="1"/>
  <c r="D876" i="1"/>
  <c r="C876" i="1"/>
  <c r="P876" i="1" s="1" a="1"/>
  <c r="P876" i="1" s="1"/>
  <c r="D875" i="1"/>
  <c r="C875" i="1"/>
  <c r="P875" i="1" s="1" a="1"/>
  <c r="P875" i="1" s="1"/>
  <c r="D874" i="1"/>
  <c r="C874" i="1"/>
  <c r="P874" i="1" s="1" a="1"/>
  <c r="P874" i="1" s="1"/>
  <c r="D873" i="1"/>
  <c r="C873" i="1"/>
  <c r="P873" i="1" s="1" a="1"/>
  <c r="P873" i="1" s="1"/>
  <c r="D872" i="1"/>
  <c r="C872" i="1"/>
  <c r="P872" i="1" s="1" a="1"/>
  <c r="P872" i="1" s="1"/>
  <c r="D871" i="1"/>
  <c r="C871" i="1"/>
  <c r="P871" i="1" s="1" a="1"/>
  <c r="P871" i="1" s="1"/>
  <c r="D870" i="1"/>
  <c r="C870" i="1"/>
  <c r="P870" i="1" s="1" a="1"/>
  <c r="P870" i="1" s="1"/>
  <c r="D869" i="1"/>
  <c r="C869" i="1"/>
  <c r="P869" i="1" s="1" a="1"/>
  <c r="P869" i="1" s="1"/>
  <c r="D868" i="1"/>
  <c r="C868" i="1"/>
  <c r="P868" i="1" s="1" a="1"/>
  <c r="P868" i="1" s="1"/>
  <c r="D867" i="1"/>
  <c r="C867" i="1"/>
  <c r="P867" i="1" s="1" a="1"/>
  <c r="P867" i="1" s="1"/>
  <c r="D866" i="1"/>
  <c r="C866" i="1"/>
  <c r="P866" i="1" s="1" a="1"/>
  <c r="P866" i="1" s="1"/>
  <c r="D865" i="1"/>
  <c r="C865" i="1"/>
  <c r="P865" i="1" s="1" a="1"/>
  <c r="P865" i="1" s="1"/>
  <c r="D864" i="1"/>
  <c r="C864" i="1"/>
  <c r="P864" i="1" s="1" a="1"/>
  <c r="P864" i="1" s="1"/>
  <c r="D863" i="1"/>
  <c r="C863" i="1"/>
  <c r="P863" i="1" s="1" a="1"/>
  <c r="P863" i="1" s="1"/>
  <c r="D862" i="1"/>
  <c r="C862" i="1"/>
  <c r="P862" i="1" s="1" a="1"/>
  <c r="P862" i="1" s="1"/>
  <c r="D861" i="1"/>
  <c r="C861" i="1"/>
  <c r="P861" i="1" s="1" a="1"/>
  <c r="P861" i="1" s="1"/>
  <c r="D860" i="1"/>
  <c r="C860" i="1"/>
  <c r="P860" i="1" s="1" a="1"/>
  <c r="P860" i="1" s="1"/>
  <c r="D859" i="1"/>
  <c r="C859" i="1"/>
  <c r="P859" i="1" s="1" a="1"/>
  <c r="P859" i="1" s="1"/>
  <c r="D858" i="1"/>
  <c r="C858" i="1"/>
  <c r="P858" i="1" s="1" a="1"/>
  <c r="P858" i="1" s="1"/>
  <c r="D857" i="1"/>
  <c r="C857" i="1"/>
  <c r="P857" i="1" s="1" a="1"/>
  <c r="P857" i="1" s="1"/>
  <c r="D856" i="1"/>
  <c r="C856" i="1"/>
  <c r="P856" i="1" s="1" a="1"/>
  <c r="P856" i="1" s="1"/>
  <c r="D855" i="1"/>
  <c r="C855" i="1"/>
  <c r="P855" i="1" s="1" a="1"/>
  <c r="P855" i="1" s="1"/>
  <c r="D854" i="1"/>
  <c r="C854" i="1"/>
  <c r="P854" i="1" s="1" a="1"/>
  <c r="P854" i="1" s="1"/>
  <c r="D853" i="1"/>
  <c r="C853" i="1"/>
  <c r="P853" i="1" s="1" a="1"/>
  <c r="P853" i="1" s="1"/>
  <c r="D852" i="1"/>
  <c r="C852" i="1"/>
  <c r="P852" i="1" s="1" a="1"/>
  <c r="P852" i="1" s="1"/>
  <c r="D851" i="1"/>
  <c r="C851" i="1"/>
  <c r="P851" i="1" s="1" a="1"/>
  <c r="P851" i="1" s="1"/>
  <c r="D850" i="1"/>
  <c r="C850" i="1"/>
  <c r="P850" i="1" s="1" a="1"/>
  <c r="P850" i="1" s="1"/>
  <c r="D849" i="1"/>
  <c r="C849" i="1"/>
  <c r="P849" i="1" s="1" a="1"/>
  <c r="P849" i="1" s="1"/>
  <c r="D848" i="1"/>
  <c r="C848" i="1"/>
  <c r="P848" i="1" s="1" a="1"/>
  <c r="P848" i="1" s="1"/>
  <c r="D847" i="1"/>
  <c r="C847" i="1"/>
  <c r="P847" i="1" s="1" a="1"/>
  <c r="P847" i="1" s="1"/>
  <c r="D846" i="1"/>
  <c r="C846" i="1"/>
  <c r="P846" i="1" s="1" a="1"/>
  <c r="P846" i="1" s="1"/>
  <c r="D845" i="1"/>
  <c r="C845" i="1"/>
  <c r="P845" i="1" s="1" a="1"/>
  <c r="P845" i="1" s="1"/>
  <c r="D844" i="1"/>
  <c r="C844" i="1"/>
  <c r="P844" i="1" s="1" a="1"/>
  <c r="P844" i="1" s="1"/>
  <c r="D843" i="1"/>
  <c r="C843" i="1"/>
  <c r="P843" i="1" s="1" a="1"/>
  <c r="P843" i="1" s="1"/>
  <c r="D842" i="1"/>
  <c r="C842" i="1"/>
  <c r="P842" i="1" s="1" a="1"/>
  <c r="P842" i="1" s="1"/>
  <c r="D841" i="1"/>
  <c r="C841" i="1"/>
  <c r="P841" i="1" s="1" a="1"/>
  <c r="P841" i="1" s="1"/>
  <c r="D840" i="1"/>
  <c r="C840" i="1"/>
  <c r="P840" i="1" s="1" a="1"/>
  <c r="P840" i="1" s="1"/>
  <c r="D839" i="1"/>
  <c r="C839" i="1"/>
  <c r="P839" i="1" s="1" a="1"/>
  <c r="P839" i="1" s="1"/>
  <c r="D838" i="1"/>
  <c r="C838" i="1"/>
  <c r="P838" i="1" s="1" a="1"/>
  <c r="P838" i="1" s="1"/>
  <c r="D837" i="1"/>
  <c r="C837" i="1"/>
  <c r="P837" i="1" s="1" a="1"/>
  <c r="P837" i="1" s="1"/>
  <c r="D836" i="1"/>
  <c r="C836" i="1"/>
  <c r="P836" i="1" s="1" a="1"/>
  <c r="P836" i="1" s="1"/>
  <c r="D835" i="1"/>
  <c r="C835" i="1"/>
  <c r="P835" i="1" s="1" a="1"/>
  <c r="P835" i="1" s="1"/>
  <c r="D834" i="1"/>
  <c r="C834" i="1"/>
  <c r="P834" i="1" s="1" a="1"/>
  <c r="P834" i="1" s="1"/>
  <c r="D833" i="1"/>
  <c r="C833" i="1"/>
  <c r="P833" i="1" s="1" a="1"/>
  <c r="P833" i="1" s="1"/>
  <c r="D832" i="1"/>
  <c r="C832" i="1"/>
  <c r="P832" i="1" s="1" a="1"/>
  <c r="P832" i="1" s="1"/>
  <c r="D831" i="1"/>
  <c r="C831" i="1"/>
  <c r="P831" i="1" s="1" a="1"/>
  <c r="P831" i="1" s="1"/>
  <c r="D830" i="1"/>
  <c r="C830" i="1"/>
  <c r="P830" i="1" s="1" a="1"/>
  <c r="P830" i="1" s="1"/>
  <c r="D829" i="1"/>
  <c r="C829" i="1"/>
  <c r="P829" i="1" s="1" a="1"/>
  <c r="P829" i="1" s="1"/>
  <c r="D828" i="1"/>
  <c r="C828" i="1"/>
  <c r="P828" i="1" s="1" a="1"/>
  <c r="P828" i="1" s="1"/>
  <c r="D827" i="1"/>
  <c r="C827" i="1"/>
  <c r="P827" i="1" s="1" a="1"/>
  <c r="P827" i="1" s="1"/>
  <c r="D826" i="1"/>
  <c r="C826" i="1"/>
  <c r="P826" i="1" s="1" a="1"/>
  <c r="P826" i="1" s="1"/>
  <c r="D825" i="1"/>
  <c r="C825" i="1"/>
  <c r="P825" i="1" s="1" a="1"/>
  <c r="P825" i="1" s="1"/>
  <c r="D824" i="1"/>
  <c r="C824" i="1"/>
  <c r="P824" i="1" s="1" a="1"/>
  <c r="P824" i="1" s="1"/>
  <c r="D823" i="1"/>
  <c r="C823" i="1"/>
  <c r="P823" i="1" s="1" a="1"/>
  <c r="P823" i="1" s="1"/>
  <c r="D822" i="1"/>
  <c r="C822" i="1"/>
  <c r="P822" i="1" s="1" a="1"/>
  <c r="P822" i="1" s="1"/>
  <c r="D821" i="1"/>
  <c r="C821" i="1"/>
  <c r="P821" i="1" s="1" a="1"/>
  <c r="P821" i="1" s="1"/>
  <c r="D820" i="1"/>
  <c r="C820" i="1"/>
  <c r="P820" i="1" s="1" a="1"/>
  <c r="P820" i="1" s="1"/>
  <c r="D819" i="1"/>
  <c r="C819" i="1"/>
  <c r="P819" i="1" s="1" a="1"/>
  <c r="P819" i="1" s="1"/>
  <c r="D818" i="1"/>
  <c r="C818" i="1"/>
  <c r="P818" i="1" s="1" a="1"/>
  <c r="P818" i="1" s="1"/>
  <c r="D817" i="1"/>
  <c r="C817" i="1"/>
  <c r="P817" i="1" s="1" a="1"/>
  <c r="P817" i="1" s="1"/>
  <c r="D816" i="1"/>
  <c r="C816" i="1"/>
  <c r="P816" i="1" s="1" a="1"/>
  <c r="P816" i="1" s="1"/>
  <c r="D815" i="1"/>
  <c r="C815" i="1"/>
  <c r="P815" i="1" s="1" a="1"/>
  <c r="P815" i="1" s="1"/>
  <c r="D814" i="1"/>
  <c r="C814" i="1"/>
  <c r="P814" i="1" s="1" a="1"/>
  <c r="P814" i="1" s="1"/>
  <c r="D813" i="1"/>
  <c r="C813" i="1"/>
  <c r="P813" i="1" s="1" a="1"/>
  <c r="P813" i="1" s="1"/>
  <c r="D812" i="1"/>
  <c r="C812" i="1"/>
  <c r="P812" i="1" s="1" a="1"/>
  <c r="P812" i="1" s="1"/>
  <c r="D811" i="1"/>
  <c r="C811" i="1"/>
  <c r="P811" i="1" s="1" a="1"/>
  <c r="P811" i="1" s="1"/>
  <c r="D810" i="1"/>
  <c r="C810" i="1"/>
  <c r="P810" i="1" s="1" a="1"/>
  <c r="P810" i="1" s="1"/>
  <c r="D809" i="1"/>
  <c r="C809" i="1"/>
  <c r="P809" i="1" s="1" a="1"/>
  <c r="P809" i="1" s="1"/>
  <c r="D808" i="1"/>
  <c r="C808" i="1"/>
  <c r="P808" i="1" s="1" a="1"/>
  <c r="P808" i="1" s="1"/>
  <c r="D807" i="1"/>
  <c r="C807" i="1"/>
  <c r="P807" i="1" s="1" a="1"/>
  <c r="P807" i="1" s="1"/>
  <c r="D806" i="1"/>
  <c r="C806" i="1"/>
  <c r="P806" i="1" s="1" a="1"/>
  <c r="P806" i="1" s="1"/>
  <c r="D805" i="1"/>
  <c r="C805" i="1"/>
  <c r="P805" i="1" s="1" a="1"/>
  <c r="P805" i="1" s="1"/>
  <c r="D804" i="1"/>
  <c r="C804" i="1"/>
  <c r="P804" i="1" s="1" a="1"/>
  <c r="P804" i="1" s="1"/>
  <c r="D803" i="1"/>
  <c r="C803" i="1"/>
  <c r="P803" i="1" s="1" a="1"/>
  <c r="P803" i="1" s="1"/>
  <c r="D802" i="1"/>
  <c r="C802" i="1"/>
  <c r="P802" i="1" s="1" a="1"/>
  <c r="P802" i="1" s="1"/>
  <c r="D801" i="1"/>
  <c r="C801" i="1"/>
  <c r="P801" i="1" s="1" a="1"/>
  <c r="P801" i="1" s="1"/>
  <c r="D800" i="1"/>
  <c r="C800" i="1"/>
  <c r="P800" i="1" s="1" a="1"/>
  <c r="P800" i="1" s="1"/>
  <c r="D799" i="1"/>
  <c r="C799" i="1"/>
  <c r="P799" i="1" s="1" a="1"/>
  <c r="P799" i="1" s="1"/>
  <c r="D798" i="1"/>
  <c r="C798" i="1"/>
  <c r="P798" i="1" s="1" a="1"/>
  <c r="P798" i="1" s="1"/>
  <c r="D797" i="1"/>
  <c r="C797" i="1"/>
  <c r="P797" i="1" s="1" a="1"/>
  <c r="P797" i="1" s="1"/>
  <c r="D796" i="1"/>
  <c r="C796" i="1"/>
  <c r="P796" i="1" s="1" a="1"/>
  <c r="P796" i="1" s="1"/>
  <c r="D795" i="1"/>
  <c r="C795" i="1"/>
  <c r="P795" i="1" s="1" a="1"/>
  <c r="P795" i="1" s="1"/>
  <c r="D794" i="1"/>
  <c r="C794" i="1"/>
  <c r="P794" i="1" s="1" a="1"/>
  <c r="P794" i="1" s="1"/>
  <c r="D793" i="1"/>
  <c r="C793" i="1"/>
  <c r="P793" i="1" s="1" a="1"/>
  <c r="P793" i="1" s="1"/>
  <c r="D792" i="1"/>
  <c r="C792" i="1"/>
  <c r="P792" i="1" s="1" a="1"/>
  <c r="P792" i="1" s="1"/>
  <c r="D791" i="1"/>
  <c r="C791" i="1"/>
  <c r="P791" i="1" s="1" a="1"/>
  <c r="P791" i="1" s="1"/>
  <c r="D790" i="1"/>
  <c r="C790" i="1"/>
  <c r="P790" i="1" s="1" a="1"/>
  <c r="P790" i="1" s="1"/>
  <c r="D789" i="1"/>
  <c r="C789" i="1"/>
  <c r="P789" i="1" s="1" a="1"/>
  <c r="P789" i="1" s="1"/>
  <c r="D788" i="1"/>
  <c r="C788" i="1"/>
  <c r="P788" i="1" s="1" a="1"/>
  <c r="P788" i="1" s="1"/>
  <c r="D787" i="1"/>
  <c r="C787" i="1"/>
  <c r="P787" i="1" s="1" a="1"/>
  <c r="P787" i="1" s="1"/>
  <c r="D786" i="1"/>
  <c r="C786" i="1"/>
  <c r="P786" i="1" s="1" a="1"/>
  <c r="P786" i="1" s="1"/>
  <c r="D785" i="1"/>
  <c r="C785" i="1"/>
  <c r="P785" i="1" s="1" a="1"/>
  <c r="P785" i="1" s="1"/>
  <c r="D784" i="1"/>
  <c r="C784" i="1"/>
  <c r="P784" i="1" s="1" a="1"/>
  <c r="P784" i="1" s="1"/>
  <c r="D783" i="1"/>
  <c r="C783" i="1"/>
  <c r="P783" i="1" s="1" a="1"/>
  <c r="P783" i="1" s="1"/>
  <c r="D782" i="1"/>
  <c r="C782" i="1"/>
  <c r="P782" i="1" s="1" a="1"/>
  <c r="P782" i="1" s="1"/>
  <c r="D781" i="1"/>
  <c r="C781" i="1"/>
  <c r="P781" i="1" s="1" a="1"/>
  <c r="P781" i="1" s="1"/>
  <c r="D780" i="1"/>
  <c r="C780" i="1"/>
  <c r="P780" i="1" s="1" a="1"/>
  <c r="P780" i="1" s="1"/>
  <c r="D779" i="1"/>
  <c r="C779" i="1"/>
  <c r="P779" i="1" s="1" a="1"/>
  <c r="P779" i="1" s="1"/>
  <c r="D778" i="1"/>
  <c r="C778" i="1"/>
  <c r="P778" i="1" s="1" a="1"/>
  <c r="P778" i="1" s="1"/>
  <c r="D777" i="1"/>
  <c r="C777" i="1"/>
  <c r="P777" i="1" s="1" a="1"/>
  <c r="P777" i="1" s="1"/>
  <c r="D776" i="1"/>
  <c r="C776" i="1"/>
  <c r="P776" i="1" s="1" a="1"/>
  <c r="P776" i="1" s="1"/>
  <c r="D775" i="1"/>
  <c r="C775" i="1"/>
  <c r="P775" i="1" s="1" a="1"/>
  <c r="P775" i="1" s="1"/>
  <c r="D774" i="1"/>
  <c r="C774" i="1"/>
  <c r="P774" i="1" s="1" a="1"/>
  <c r="P774" i="1" s="1"/>
  <c r="D773" i="1"/>
  <c r="C773" i="1"/>
  <c r="P773" i="1" s="1" a="1"/>
  <c r="P773" i="1" s="1"/>
  <c r="D772" i="1"/>
  <c r="C772" i="1"/>
  <c r="P772" i="1" s="1" a="1"/>
  <c r="P772" i="1" s="1"/>
  <c r="D771" i="1"/>
  <c r="C771" i="1"/>
  <c r="P771" i="1" s="1" a="1"/>
  <c r="P771" i="1" s="1"/>
  <c r="D770" i="1"/>
  <c r="C770" i="1"/>
  <c r="P770" i="1" s="1" a="1"/>
  <c r="P770" i="1" s="1"/>
  <c r="D769" i="1"/>
  <c r="C769" i="1"/>
  <c r="P769" i="1" s="1" a="1"/>
  <c r="P769" i="1" s="1"/>
  <c r="D768" i="1"/>
  <c r="C768" i="1"/>
  <c r="P768" i="1" s="1" a="1"/>
  <c r="P768" i="1" s="1"/>
  <c r="D767" i="1"/>
  <c r="C767" i="1"/>
  <c r="P767" i="1" s="1" a="1"/>
  <c r="P767" i="1" s="1"/>
  <c r="D766" i="1"/>
  <c r="C766" i="1"/>
  <c r="P766" i="1" s="1" a="1"/>
  <c r="P766" i="1" s="1"/>
  <c r="D765" i="1"/>
  <c r="C765" i="1"/>
  <c r="P765" i="1" s="1" a="1"/>
  <c r="P765" i="1" s="1"/>
  <c r="D764" i="1"/>
  <c r="C764" i="1"/>
  <c r="P764" i="1" s="1" a="1"/>
  <c r="P764" i="1" s="1"/>
  <c r="D763" i="1"/>
  <c r="C763" i="1"/>
  <c r="P763" i="1" s="1" a="1"/>
  <c r="P763" i="1" s="1"/>
  <c r="D762" i="1"/>
  <c r="C762" i="1"/>
  <c r="P762" i="1" s="1" a="1"/>
  <c r="P762" i="1" s="1"/>
  <c r="D761" i="1"/>
  <c r="C761" i="1"/>
  <c r="P761" i="1" s="1" a="1"/>
  <c r="P761" i="1" s="1"/>
  <c r="D760" i="1"/>
  <c r="C760" i="1"/>
  <c r="P760" i="1" s="1" a="1"/>
  <c r="P760" i="1" s="1"/>
  <c r="D759" i="1"/>
  <c r="C759" i="1"/>
  <c r="P759" i="1" s="1" a="1"/>
  <c r="P759" i="1" s="1"/>
  <c r="D758" i="1"/>
  <c r="C758" i="1"/>
  <c r="P758" i="1" s="1" a="1"/>
  <c r="P758" i="1" s="1"/>
  <c r="D757" i="1"/>
  <c r="C757" i="1"/>
  <c r="P757" i="1" s="1" a="1"/>
  <c r="P757" i="1" s="1"/>
  <c r="D756" i="1"/>
  <c r="C756" i="1"/>
  <c r="P756" i="1" s="1" a="1"/>
  <c r="P756" i="1" s="1"/>
  <c r="D755" i="1"/>
  <c r="C755" i="1"/>
  <c r="P755" i="1" s="1" a="1"/>
  <c r="P755" i="1" s="1"/>
  <c r="D754" i="1"/>
  <c r="C754" i="1"/>
  <c r="P754" i="1" s="1" a="1"/>
  <c r="P754" i="1" s="1"/>
  <c r="D753" i="1"/>
  <c r="C753" i="1"/>
  <c r="P753" i="1" s="1" a="1"/>
  <c r="P753" i="1" s="1"/>
  <c r="D752" i="1"/>
  <c r="C752" i="1"/>
  <c r="P752" i="1" s="1" a="1"/>
  <c r="P752" i="1" s="1"/>
  <c r="D751" i="1"/>
  <c r="C751" i="1"/>
  <c r="P751" i="1" s="1" a="1"/>
  <c r="P751" i="1" s="1"/>
  <c r="D750" i="1"/>
  <c r="C750" i="1"/>
  <c r="P750" i="1" s="1" a="1"/>
  <c r="P750" i="1" s="1"/>
  <c r="D749" i="1"/>
  <c r="C749" i="1"/>
  <c r="P749" i="1" s="1" a="1"/>
  <c r="P749" i="1" s="1"/>
  <c r="D748" i="1"/>
  <c r="C748" i="1"/>
  <c r="P748" i="1" s="1" a="1"/>
  <c r="P748" i="1" s="1"/>
  <c r="D747" i="1"/>
  <c r="C747" i="1"/>
  <c r="P747" i="1" s="1" a="1"/>
  <c r="P747" i="1" s="1"/>
  <c r="D746" i="1"/>
  <c r="C746" i="1"/>
  <c r="P746" i="1" s="1" a="1"/>
  <c r="P746" i="1" s="1"/>
  <c r="D745" i="1"/>
  <c r="C745" i="1"/>
  <c r="P745" i="1" s="1" a="1"/>
  <c r="P745" i="1" s="1"/>
  <c r="D744" i="1"/>
  <c r="C744" i="1"/>
  <c r="P744" i="1" s="1" a="1"/>
  <c r="P744" i="1" s="1"/>
  <c r="D743" i="1"/>
  <c r="C743" i="1"/>
  <c r="P743" i="1" s="1" a="1"/>
  <c r="P743" i="1" s="1"/>
  <c r="D742" i="1"/>
  <c r="C742" i="1"/>
  <c r="P742" i="1" s="1" a="1"/>
  <c r="P742" i="1" s="1"/>
  <c r="D741" i="1"/>
  <c r="C741" i="1"/>
  <c r="P741" i="1" s="1" a="1"/>
  <c r="P741" i="1" s="1"/>
  <c r="D740" i="1"/>
  <c r="C740" i="1"/>
  <c r="P740" i="1" s="1" a="1"/>
  <c r="P740" i="1" s="1"/>
  <c r="D739" i="1"/>
  <c r="C739" i="1"/>
  <c r="P739" i="1" s="1" a="1"/>
  <c r="P739" i="1" s="1"/>
  <c r="D738" i="1"/>
  <c r="C738" i="1"/>
  <c r="P738" i="1" s="1" a="1"/>
  <c r="P738" i="1" s="1"/>
  <c r="D737" i="1"/>
  <c r="C737" i="1"/>
  <c r="P737" i="1" s="1" a="1"/>
  <c r="P737" i="1" s="1"/>
  <c r="D736" i="1"/>
  <c r="C736" i="1"/>
  <c r="P736" i="1" s="1" a="1"/>
  <c r="P736" i="1" s="1"/>
  <c r="D735" i="1"/>
  <c r="C735" i="1"/>
  <c r="P735" i="1" s="1" a="1"/>
  <c r="P735" i="1" s="1"/>
  <c r="D734" i="1"/>
  <c r="C734" i="1"/>
  <c r="P734" i="1" s="1" a="1"/>
  <c r="P734" i="1" s="1"/>
  <c r="D733" i="1"/>
  <c r="C733" i="1"/>
  <c r="P733" i="1" s="1" a="1"/>
  <c r="P733" i="1" s="1"/>
  <c r="D732" i="1"/>
  <c r="C732" i="1"/>
  <c r="P732" i="1" s="1" a="1"/>
  <c r="P732" i="1" s="1"/>
  <c r="D731" i="1"/>
  <c r="C731" i="1"/>
  <c r="P731" i="1" s="1" a="1"/>
  <c r="P731" i="1" s="1"/>
  <c r="D730" i="1"/>
  <c r="C730" i="1"/>
  <c r="P730" i="1" s="1" a="1"/>
  <c r="P730" i="1" s="1"/>
  <c r="D729" i="1"/>
  <c r="C729" i="1"/>
  <c r="P729" i="1" s="1" a="1"/>
  <c r="P729" i="1" s="1"/>
  <c r="D728" i="1"/>
  <c r="C728" i="1"/>
  <c r="P728" i="1" s="1" a="1"/>
  <c r="P728" i="1" s="1"/>
  <c r="D727" i="1"/>
  <c r="C727" i="1"/>
  <c r="P727" i="1" s="1" a="1"/>
  <c r="P727" i="1" s="1"/>
  <c r="D726" i="1"/>
  <c r="C726" i="1"/>
  <c r="P726" i="1" s="1" a="1"/>
  <c r="P726" i="1" s="1"/>
  <c r="D725" i="1"/>
  <c r="C725" i="1"/>
  <c r="P725" i="1" s="1" a="1"/>
  <c r="P725" i="1" s="1"/>
  <c r="D724" i="1"/>
  <c r="C724" i="1"/>
  <c r="P724" i="1" s="1" a="1"/>
  <c r="P724" i="1" s="1"/>
  <c r="D723" i="1"/>
  <c r="C723" i="1"/>
  <c r="P723" i="1" s="1" a="1"/>
  <c r="P723" i="1" s="1"/>
  <c r="D722" i="1"/>
  <c r="C722" i="1"/>
  <c r="P722" i="1" s="1" a="1"/>
  <c r="P722" i="1" s="1"/>
  <c r="D721" i="1"/>
  <c r="C721" i="1"/>
  <c r="P721" i="1" s="1" a="1"/>
  <c r="P721" i="1" s="1"/>
  <c r="D720" i="1"/>
  <c r="C720" i="1"/>
  <c r="P720" i="1" s="1" a="1"/>
  <c r="P720" i="1" s="1"/>
  <c r="D719" i="1"/>
  <c r="C719" i="1"/>
  <c r="P719" i="1" s="1" a="1"/>
  <c r="P719" i="1" s="1"/>
  <c r="D718" i="1"/>
  <c r="C718" i="1"/>
  <c r="P718" i="1" s="1" a="1"/>
  <c r="P718" i="1" s="1"/>
  <c r="D717" i="1"/>
  <c r="C717" i="1"/>
  <c r="P717" i="1" s="1" a="1"/>
  <c r="P717" i="1" s="1"/>
  <c r="D716" i="1"/>
  <c r="C716" i="1"/>
  <c r="P716" i="1" s="1" a="1"/>
  <c r="P716" i="1" s="1"/>
  <c r="D715" i="1"/>
  <c r="C715" i="1"/>
  <c r="P715" i="1" s="1" a="1"/>
  <c r="P715" i="1" s="1"/>
  <c r="D714" i="1"/>
  <c r="C714" i="1"/>
  <c r="P714" i="1" s="1" a="1"/>
  <c r="P714" i="1" s="1"/>
  <c r="D713" i="1"/>
  <c r="C713" i="1"/>
  <c r="P713" i="1" s="1" a="1"/>
  <c r="P713" i="1" s="1"/>
  <c r="D712" i="1"/>
  <c r="C712" i="1"/>
  <c r="P712" i="1" s="1" a="1"/>
  <c r="P712" i="1" s="1"/>
  <c r="D711" i="1"/>
  <c r="C711" i="1"/>
  <c r="P711" i="1" s="1" a="1"/>
  <c r="P711" i="1" s="1"/>
  <c r="D710" i="1"/>
  <c r="C710" i="1"/>
  <c r="P710" i="1" s="1" a="1"/>
  <c r="P710" i="1" s="1"/>
  <c r="D709" i="1"/>
  <c r="C709" i="1"/>
  <c r="P709" i="1" s="1" a="1"/>
  <c r="P709" i="1" s="1"/>
  <c r="D708" i="1"/>
  <c r="C708" i="1"/>
  <c r="P708" i="1" s="1" a="1"/>
  <c r="P708" i="1" s="1"/>
  <c r="D707" i="1"/>
  <c r="C707" i="1"/>
  <c r="P707" i="1" s="1" a="1"/>
  <c r="P707" i="1" s="1"/>
  <c r="D706" i="1"/>
  <c r="C706" i="1"/>
  <c r="P706" i="1" s="1" a="1"/>
  <c r="P706" i="1" s="1"/>
  <c r="D705" i="1"/>
  <c r="C705" i="1"/>
  <c r="P705" i="1" s="1" a="1"/>
  <c r="P705" i="1" s="1"/>
  <c r="D704" i="1"/>
  <c r="C704" i="1"/>
  <c r="P704" i="1" s="1" a="1"/>
  <c r="P704" i="1" s="1"/>
  <c r="D703" i="1"/>
  <c r="C703" i="1"/>
  <c r="P703" i="1" s="1" a="1"/>
  <c r="P703" i="1" s="1"/>
  <c r="D702" i="1"/>
  <c r="C702" i="1"/>
  <c r="P702" i="1" s="1" a="1"/>
  <c r="P702" i="1" s="1"/>
  <c r="D701" i="1"/>
  <c r="C701" i="1"/>
  <c r="P701" i="1" s="1" a="1"/>
  <c r="P701" i="1" s="1"/>
  <c r="D700" i="1"/>
  <c r="C700" i="1"/>
  <c r="P700" i="1" s="1" a="1"/>
  <c r="P700" i="1" s="1"/>
  <c r="D699" i="1"/>
  <c r="C699" i="1"/>
  <c r="P699" i="1" s="1" a="1"/>
  <c r="P699" i="1" s="1"/>
  <c r="D698" i="1"/>
  <c r="C698" i="1"/>
  <c r="P698" i="1" s="1" a="1"/>
  <c r="P698" i="1" s="1"/>
  <c r="D697" i="1"/>
  <c r="C697" i="1"/>
  <c r="P697" i="1" s="1" a="1"/>
  <c r="P697" i="1" s="1"/>
  <c r="D696" i="1"/>
  <c r="C696" i="1"/>
  <c r="P696" i="1" s="1" a="1"/>
  <c r="P696" i="1" s="1"/>
  <c r="D695" i="1"/>
  <c r="C695" i="1"/>
  <c r="P695" i="1" s="1" a="1"/>
  <c r="P695" i="1" s="1"/>
  <c r="D694" i="1"/>
  <c r="C694" i="1"/>
  <c r="P694" i="1" s="1" a="1"/>
  <c r="P694" i="1" s="1"/>
  <c r="D693" i="1"/>
  <c r="C693" i="1"/>
  <c r="P693" i="1" s="1" a="1"/>
  <c r="P693" i="1" s="1"/>
  <c r="D692" i="1"/>
  <c r="C692" i="1"/>
  <c r="P692" i="1" s="1" a="1"/>
  <c r="P692" i="1" s="1"/>
  <c r="D691" i="1"/>
  <c r="C691" i="1"/>
  <c r="P691" i="1" s="1" a="1"/>
  <c r="P691" i="1" s="1"/>
  <c r="D690" i="1"/>
  <c r="C690" i="1"/>
  <c r="P690" i="1" s="1" a="1"/>
  <c r="P690" i="1" s="1"/>
  <c r="D689" i="1"/>
  <c r="C689" i="1"/>
  <c r="P689" i="1" s="1" a="1"/>
  <c r="P689" i="1" s="1"/>
  <c r="D688" i="1"/>
  <c r="C688" i="1"/>
  <c r="P688" i="1" s="1" a="1"/>
  <c r="P688" i="1" s="1"/>
  <c r="D687" i="1"/>
  <c r="C687" i="1"/>
  <c r="P687" i="1" s="1" a="1"/>
  <c r="P687" i="1" s="1"/>
  <c r="D686" i="1"/>
  <c r="C686" i="1"/>
  <c r="P686" i="1" s="1" a="1"/>
  <c r="P686" i="1" s="1"/>
  <c r="D685" i="1"/>
  <c r="C685" i="1"/>
  <c r="P685" i="1" s="1" a="1"/>
  <c r="P685" i="1" s="1"/>
  <c r="D684" i="1"/>
  <c r="C684" i="1"/>
  <c r="P684" i="1" s="1" a="1"/>
  <c r="P684" i="1" s="1"/>
  <c r="D683" i="1"/>
  <c r="C683" i="1"/>
  <c r="P683" i="1" s="1" a="1"/>
  <c r="P683" i="1" s="1"/>
  <c r="D682" i="1"/>
  <c r="C682" i="1"/>
  <c r="P682" i="1" s="1" a="1"/>
  <c r="P682" i="1" s="1"/>
  <c r="D681" i="1"/>
  <c r="C681" i="1"/>
  <c r="P681" i="1" s="1" a="1"/>
  <c r="P681" i="1" s="1"/>
  <c r="D680" i="1"/>
  <c r="C680" i="1"/>
  <c r="P680" i="1" s="1" a="1"/>
  <c r="P680" i="1" s="1"/>
  <c r="D679" i="1"/>
  <c r="C679" i="1"/>
  <c r="P679" i="1" s="1" a="1"/>
  <c r="P679" i="1" s="1"/>
  <c r="D678" i="1"/>
  <c r="C678" i="1"/>
  <c r="P678" i="1" s="1" a="1"/>
  <c r="P678" i="1" s="1"/>
  <c r="D677" i="1"/>
  <c r="C677" i="1"/>
  <c r="P677" i="1" s="1" a="1"/>
  <c r="P677" i="1" s="1"/>
  <c r="D676" i="1"/>
  <c r="C676" i="1"/>
  <c r="P676" i="1" s="1" a="1"/>
  <c r="P676" i="1" s="1"/>
  <c r="D675" i="1"/>
  <c r="C675" i="1"/>
  <c r="P675" i="1" s="1" a="1"/>
  <c r="P675" i="1" s="1"/>
  <c r="D674" i="1"/>
  <c r="C674" i="1"/>
  <c r="P674" i="1" s="1" a="1"/>
  <c r="P674" i="1" s="1"/>
  <c r="D673" i="1"/>
  <c r="C673" i="1"/>
  <c r="P673" i="1" s="1" a="1"/>
  <c r="P673" i="1" s="1"/>
  <c r="D672" i="1"/>
  <c r="C672" i="1"/>
  <c r="P672" i="1" s="1" a="1"/>
  <c r="P672" i="1" s="1"/>
  <c r="D671" i="1"/>
  <c r="C671" i="1"/>
  <c r="P671" i="1" s="1" a="1"/>
  <c r="P671" i="1" s="1"/>
  <c r="D670" i="1"/>
  <c r="C670" i="1"/>
  <c r="P670" i="1" s="1" a="1"/>
  <c r="P670" i="1" s="1"/>
  <c r="D669" i="1"/>
  <c r="C669" i="1"/>
  <c r="P669" i="1" s="1" a="1"/>
  <c r="P669" i="1" s="1"/>
  <c r="D668" i="1"/>
  <c r="C668" i="1"/>
  <c r="P668" i="1" s="1" a="1"/>
  <c r="P668" i="1" s="1"/>
  <c r="D667" i="1"/>
  <c r="C667" i="1"/>
  <c r="P667" i="1" s="1" a="1"/>
  <c r="P667" i="1" s="1"/>
  <c r="D666" i="1"/>
  <c r="C666" i="1"/>
  <c r="P666" i="1" s="1" a="1"/>
  <c r="P666" i="1" s="1"/>
  <c r="D665" i="1"/>
  <c r="C665" i="1"/>
  <c r="P665" i="1" s="1" a="1"/>
  <c r="P665" i="1" s="1"/>
  <c r="D664" i="1"/>
  <c r="C664" i="1"/>
  <c r="P664" i="1" s="1" a="1"/>
  <c r="P664" i="1" s="1"/>
  <c r="D663" i="1"/>
  <c r="C663" i="1"/>
  <c r="P663" i="1" s="1" a="1"/>
  <c r="P663" i="1" s="1"/>
  <c r="D662" i="1"/>
  <c r="C662" i="1"/>
  <c r="P662" i="1" s="1" a="1"/>
  <c r="P662" i="1" s="1"/>
  <c r="D661" i="1"/>
  <c r="C661" i="1"/>
  <c r="P661" i="1" s="1" a="1"/>
  <c r="P661" i="1" s="1"/>
  <c r="D660" i="1"/>
  <c r="C660" i="1"/>
  <c r="P660" i="1" s="1" a="1"/>
  <c r="P660" i="1" s="1"/>
  <c r="D659" i="1"/>
  <c r="C659" i="1"/>
  <c r="P659" i="1" s="1" a="1"/>
  <c r="P659" i="1" s="1"/>
  <c r="D658" i="1"/>
  <c r="C658" i="1"/>
  <c r="P658" i="1" s="1" a="1"/>
  <c r="P658" i="1" s="1"/>
  <c r="D657" i="1"/>
  <c r="C657" i="1"/>
  <c r="P657" i="1" s="1" a="1"/>
  <c r="P657" i="1" s="1"/>
  <c r="D656" i="1"/>
  <c r="C656" i="1"/>
  <c r="P656" i="1" s="1" a="1"/>
  <c r="P656" i="1" s="1"/>
  <c r="D655" i="1"/>
  <c r="C655" i="1"/>
  <c r="P655" i="1" s="1" a="1"/>
  <c r="P655" i="1" s="1"/>
  <c r="D654" i="1"/>
  <c r="C654" i="1"/>
  <c r="P654" i="1" s="1" a="1"/>
  <c r="P654" i="1" s="1"/>
  <c r="D653" i="1"/>
  <c r="C653" i="1"/>
  <c r="P653" i="1" s="1" a="1"/>
  <c r="P653" i="1" s="1"/>
  <c r="D652" i="1"/>
  <c r="C652" i="1"/>
  <c r="P652" i="1" s="1" a="1"/>
  <c r="P652" i="1" s="1"/>
  <c r="D651" i="1"/>
  <c r="C651" i="1"/>
  <c r="P651" i="1" s="1" a="1"/>
  <c r="P651" i="1" s="1"/>
  <c r="D650" i="1"/>
  <c r="C650" i="1"/>
  <c r="P650" i="1" s="1" a="1"/>
  <c r="P650" i="1" s="1"/>
  <c r="D649" i="1"/>
  <c r="C649" i="1"/>
  <c r="P649" i="1" s="1" a="1"/>
  <c r="P649" i="1" s="1"/>
  <c r="D648" i="1"/>
  <c r="C648" i="1"/>
  <c r="P648" i="1" s="1" a="1"/>
  <c r="P648" i="1" s="1"/>
  <c r="D647" i="1"/>
  <c r="C647" i="1"/>
  <c r="P647" i="1" s="1" a="1"/>
  <c r="P647" i="1" s="1"/>
  <c r="D646" i="1"/>
  <c r="C646" i="1"/>
  <c r="P646" i="1" s="1" a="1"/>
  <c r="P646" i="1" s="1"/>
  <c r="D645" i="1"/>
  <c r="C645" i="1"/>
  <c r="P645" i="1" s="1" a="1"/>
  <c r="P645" i="1" s="1"/>
  <c r="D644" i="1"/>
  <c r="C644" i="1"/>
  <c r="P644" i="1" s="1" a="1"/>
  <c r="P644" i="1" s="1"/>
  <c r="D643" i="1"/>
  <c r="C643" i="1"/>
  <c r="P643" i="1" s="1" a="1"/>
  <c r="P643" i="1" s="1"/>
  <c r="D642" i="1"/>
  <c r="C642" i="1"/>
  <c r="P642" i="1" s="1" a="1"/>
  <c r="P642" i="1" s="1"/>
  <c r="D641" i="1"/>
  <c r="C641" i="1"/>
  <c r="P641" i="1" s="1" a="1"/>
  <c r="P641" i="1" s="1"/>
  <c r="D640" i="1"/>
  <c r="C640" i="1"/>
  <c r="P640" i="1" s="1" a="1"/>
  <c r="P640" i="1" s="1"/>
  <c r="D639" i="1"/>
  <c r="C639" i="1"/>
  <c r="P639" i="1" s="1" a="1"/>
  <c r="P639" i="1" s="1"/>
  <c r="D638" i="1"/>
  <c r="C638" i="1"/>
  <c r="P638" i="1" s="1" a="1"/>
  <c r="P638" i="1" s="1"/>
  <c r="D637" i="1"/>
  <c r="C637" i="1"/>
  <c r="P637" i="1" s="1" a="1"/>
  <c r="P637" i="1" s="1"/>
  <c r="D636" i="1"/>
  <c r="C636" i="1"/>
  <c r="P636" i="1" s="1" a="1"/>
  <c r="P636" i="1" s="1"/>
  <c r="D635" i="1"/>
  <c r="C635" i="1"/>
  <c r="P635" i="1" s="1" a="1"/>
  <c r="P635" i="1" s="1"/>
  <c r="D634" i="1"/>
  <c r="C634" i="1"/>
  <c r="P634" i="1" s="1" a="1"/>
  <c r="P634" i="1" s="1"/>
  <c r="D633" i="1"/>
  <c r="C633" i="1"/>
  <c r="P633" i="1" s="1" a="1"/>
  <c r="P633" i="1" s="1"/>
  <c r="D632" i="1"/>
  <c r="C632" i="1"/>
  <c r="P632" i="1" s="1" a="1"/>
  <c r="P632" i="1" s="1"/>
  <c r="D631" i="1"/>
  <c r="C631" i="1"/>
  <c r="P631" i="1" s="1" a="1"/>
  <c r="P631" i="1" s="1"/>
  <c r="D630" i="1"/>
  <c r="C630" i="1"/>
  <c r="P630" i="1" s="1" a="1"/>
  <c r="P630" i="1" s="1"/>
  <c r="D629" i="1"/>
  <c r="C629" i="1"/>
  <c r="P629" i="1" s="1" a="1"/>
  <c r="P629" i="1" s="1"/>
  <c r="D628" i="1"/>
  <c r="C628" i="1"/>
  <c r="P628" i="1" s="1" a="1"/>
  <c r="P628" i="1" s="1"/>
  <c r="D627" i="1"/>
  <c r="C627" i="1"/>
  <c r="P627" i="1" s="1" a="1"/>
  <c r="P627" i="1" s="1"/>
  <c r="D626" i="1"/>
  <c r="C626" i="1"/>
  <c r="P626" i="1" s="1" a="1"/>
  <c r="P626" i="1" s="1"/>
  <c r="D625" i="1"/>
  <c r="C625" i="1"/>
  <c r="P625" i="1" s="1" a="1"/>
  <c r="P625" i="1" s="1"/>
  <c r="D624" i="1"/>
  <c r="C624" i="1"/>
  <c r="P624" i="1" s="1" a="1"/>
  <c r="P624" i="1" s="1"/>
  <c r="D623" i="1"/>
  <c r="C623" i="1"/>
  <c r="P623" i="1" s="1" a="1"/>
  <c r="P623" i="1" s="1"/>
  <c r="D622" i="1"/>
  <c r="C622" i="1"/>
  <c r="P622" i="1" s="1" a="1"/>
  <c r="P622" i="1" s="1"/>
  <c r="D621" i="1"/>
  <c r="C621" i="1"/>
  <c r="P621" i="1" s="1" a="1"/>
  <c r="P621" i="1" s="1"/>
  <c r="D620" i="1"/>
  <c r="C620" i="1"/>
  <c r="P620" i="1" s="1" a="1"/>
  <c r="P620" i="1" s="1"/>
  <c r="D619" i="1"/>
  <c r="C619" i="1"/>
  <c r="P619" i="1" s="1" a="1"/>
  <c r="P619" i="1" s="1"/>
  <c r="D618" i="1"/>
  <c r="C618" i="1"/>
  <c r="P618" i="1" s="1" a="1"/>
  <c r="P618" i="1" s="1"/>
  <c r="D617" i="1"/>
  <c r="C617" i="1"/>
  <c r="P617" i="1" s="1" a="1"/>
  <c r="P617" i="1" s="1"/>
  <c r="D616" i="1"/>
  <c r="C616" i="1"/>
  <c r="P616" i="1" s="1" a="1"/>
  <c r="P616" i="1" s="1"/>
  <c r="D615" i="1"/>
  <c r="C615" i="1"/>
  <c r="P615" i="1" s="1" a="1"/>
  <c r="P615" i="1" s="1"/>
  <c r="D614" i="1"/>
  <c r="C614" i="1"/>
  <c r="P614" i="1" s="1" a="1"/>
  <c r="P614" i="1" s="1"/>
  <c r="D613" i="1"/>
  <c r="C613" i="1"/>
  <c r="P613" i="1" s="1" a="1"/>
  <c r="P613" i="1" s="1"/>
  <c r="D612" i="1"/>
  <c r="C612" i="1"/>
  <c r="P612" i="1" s="1" a="1"/>
  <c r="P612" i="1" s="1"/>
  <c r="D611" i="1"/>
  <c r="C611" i="1"/>
  <c r="P611" i="1" s="1" a="1"/>
  <c r="P611" i="1" s="1"/>
  <c r="D610" i="1"/>
  <c r="C610" i="1"/>
  <c r="P610" i="1" s="1" a="1"/>
  <c r="P610" i="1" s="1"/>
  <c r="D609" i="1"/>
  <c r="C609" i="1"/>
  <c r="P609" i="1" s="1" a="1"/>
  <c r="P609" i="1" s="1"/>
  <c r="D608" i="1"/>
  <c r="C608" i="1"/>
  <c r="P608" i="1" s="1" a="1"/>
  <c r="P608" i="1" s="1"/>
  <c r="D607" i="1"/>
  <c r="C607" i="1"/>
  <c r="P607" i="1" s="1" a="1"/>
  <c r="P607" i="1" s="1"/>
  <c r="D606" i="1"/>
  <c r="C606" i="1"/>
  <c r="P606" i="1" s="1" a="1"/>
  <c r="P606" i="1" s="1"/>
  <c r="D605" i="1"/>
  <c r="C605" i="1"/>
  <c r="P605" i="1" s="1" a="1"/>
  <c r="P605" i="1" s="1"/>
  <c r="D604" i="1"/>
  <c r="C604" i="1"/>
  <c r="P604" i="1" s="1" a="1"/>
  <c r="P604" i="1" s="1"/>
  <c r="D603" i="1"/>
  <c r="C603" i="1"/>
  <c r="P603" i="1" s="1" a="1"/>
  <c r="P603" i="1" s="1"/>
  <c r="D602" i="1"/>
  <c r="C602" i="1"/>
  <c r="P602" i="1" s="1" a="1"/>
  <c r="P602" i="1" s="1"/>
  <c r="D601" i="1"/>
  <c r="C601" i="1"/>
  <c r="P601" i="1" s="1" a="1"/>
  <c r="P601" i="1" s="1"/>
  <c r="D600" i="1"/>
  <c r="C600" i="1"/>
  <c r="P600" i="1" s="1" a="1"/>
  <c r="P600" i="1" s="1"/>
  <c r="D599" i="1"/>
  <c r="C599" i="1"/>
  <c r="P599" i="1" s="1" a="1"/>
  <c r="P599" i="1" s="1"/>
  <c r="D598" i="1"/>
  <c r="C598" i="1"/>
  <c r="P598" i="1" s="1" a="1"/>
  <c r="P598" i="1" s="1"/>
  <c r="D597" i="1"/>
  <c r="C597" i="1"/>
  <c r="P597" i="1" s="1" a="1"/>
  <c r="P597" i="1" s="1"/>
  <c r="D596" i="1"/>
  <c r="C596" i="1"/>
  <c r="P596" i="1" s="1" a="1"/>
  <c r="P596" i="1" s="1"/>
  <c r="D595" i="1"/>
  <c r="C595" i="1"/>
  <c r="P595" i="1" s="1" a="1"/>
  <c r="P595" i="1" s="1"/>
  <c r="D594" i="1"/>
  <c r="C594" i="1"/>
  <c r="P594" i="1" s="1" a="1"/>
  <c r="P594" i="1" s="1"/>
  <c r="D593" i="1"/>
  <c r="C593" i="1"/>
  <c r="P593" i="1" s="1" a="1"/>
  <c r="P593" i="1" s="1"/>
  <c r="D592" i="1"/>
  <c r="C592" i="1"/>
  <c r="P592" i="1" s="1" a="1"/>
  <c r="P592" i="1" s="1"/>
  <c r="D591" i="1"/>
  <c r="C591" i="1"/>
  <c r="P591" i="1" s="1" a="1"/>
  <c r="P591" i="1" s="1"/>
  <c r="D590" i="1"/>
  <c r="C590" i="1"/>
  <c r="P590" i="1" s="1" a="1"/>
  <c r="P590" i="1" s="1"/>
  <c r="D589" i="1"/>
  <c r="C589" i="1"/>
  <c r="P589" i="1" s="1" a="1"/>
  <c r="P589" i="1" s="1"/>
  <c r="D588" i="1"/>
  <c r="C588" i="1"/>
  <c r="P588" i="1" s="1" a="1"/>
  <c r="P588" i="1" s="1"/>
  <c r="D587" i="1"/>
  <c r="C587" i="1"/>
  <c r="P587" i="1" s="1" a="1"/>
  <c r="P587" i="1" s="1"/>
  <c r="D586" i="1"/>
  <c r="C586" i="1"/>
  <c r="P586" i="1" s="1" a="1"/>
  <c r="P586" i="1" s="1"/>
  <c r="D585" i="1"/>
  <c r="C585" i="1"/>
  <c r="P585" i="1" s="1" a="1"/>
  <c r="P585" i="1" s="1"/>
  <c r="D584" i="1"/>
  <c r="C584" i="1"/>
  <c r="P584" i="1" s="1" a="1"/>
  <c r="P584" i="1" s="1"/>
  <c r="D583" i="1"/>
  <c r="C583" i="1"/>
  <c r="P583" i="1" s="1" a="1"/>
  <c r="P583" i="1" s="1"/>
  <c r="D582" i="1"/>
  <c r="C582" i="1"/>
  <c r="P582" i="1" s="1" a="1"/>
  <c r="P582" i="1" s="1"/>
  <c r="D581" i="1"/>
  <c r="C581" i="1"/>
  <c r="P581" i="1" s="1" a="1"/>
  <c r="P581" i="1" s="1"/>
  <c r="D580" i="1"/>
  <c r="C580" i="1"/>
  <c r="P580" i="1" s="1" a="1"/>
  <c r="P580" i="1" s="1"/>
  <c r="D579" i="1"/>
  <c r="C579" i="1"/>
  <c r="P579" i="1" s="1" a="1"/>
  <c r="P579" i="1" s="1"/>
  <c r="D578" i="1"/>
  <c r="C578" i="1"/>
  <c r="P578" i="1" s="1" a="1"/>
  <c r="P578" i="1" s="1"/>
  <c r="D577" i="1"/>
  <c r="C577" i="1"/>
  <c r="P577" i="1" s="1" a="1"/>
  <c r="P577" i="1" s="1"/>
  <c r="D576" i="1"/>
  <c r="C576" i="1"/>
  <c r="P576" i="1" s="1" a="1"/>
  <c r="P576" i="1" s="1"/>
  <c r="D575" i="1"/>
  <c r="C575" i="1"/>
  <c r="P575" i="1" s="1" a="1"/>
  <c r="P575" i="1" s="1"/>
  <c r="D574" i="1"/>
  <c r="C574" i="1"/>
  <c r="P574" i="1" s="1" a="1"/>
  <c r="P574" i="1" s="1"/>
  <c r="D573" i="1"/>
  <c r="C573" i="1"/>
  <c r="P573" i="1" s="1" a="1"/>
  <c r="P573" i="1" s="1"/>
  <c r="D572" i="1"/>
  <c r="C572" i="1"/>
  <c r="P572" i="1" s="1" a="1"/>
  <c r="P572" i="1" s="1"/>
  <c r="D571" i="1"/>
  <c r="C571" i="1"/>
  <c r="P571" i="1" s="1" a="1"/>
  <c r="P571" i="1" s="1"/>
  <c r="D570" i="1"/>
  <c r="C570" i="1"/>
  <c r="P570" i="1" s="1" a="1"/>
  <c r="P570" i="1" s="1"/>
  <c r="D569" i="1"/>
  <c r="C569" i="1"/>
  <c r="P569" i="1" s="1" a="1"/>
  <c r="P569" i="1" s="1"/>
  <c r="D568" i="1"/>
  <c r="C568" i="1"/>
  <c r="P568" i="1" s="1" a="1"/>
  <c r="P568" i="1" s="1"/>
  <c r="D567" i="1"/>
  <c r="C567" i="1"/>
  <c r="P567" i="1" s="1" a="1"/>
  <c r="P567" i="1" s="1"/>
  <c r="D566" i="1"/>
  <c r="C566" i="1"/>
  <c r="P566" i="1" s="1" a="1"/>
  <c r="P566" i="1" s="1"/>
  <c r="D565" i="1"/>
  <c r="C565" i="1"/>
  <c r="P565" i="1" s="1" a="1"/>
  <c r="P565" i="1" s="1"/>
  <c r="D564" i="1"/>
  <c r="C564" i="1"/>
  <c r="P564" i="1" s="1" a="1"/>
  <c r="P564" i="1" s="1"/>
  <c r="D563" i="1"/>
  <c r="C563" i="1"/>
  <c r="P563" i="1" s="1" a="1"/>
  <c r="P563" i="1" s="1"/>
  <c r="D562" i="1"/>
  <c r="C562" i="1"/>
  <c r="P562" i="1" s="1" a="1"/>
  <c r="P562" i="1" s="1"/>
  <c r="D561" i="1"/>
  <c r="C561" i="1"/>
  <c r="P561" i="1" s="1" a="1"/>
  <c r="P561" i="1" s="1"/>
  <c r="D560" i="1"/>
  <c r="C560" i="1"/>
  <c r="P560" i="1" s="1" a="1"/>
  <c r="P560" i="1" s="1"/>
  <c r="D559" i="1"/>
  <c r="C559" i="1"/>
  <c r="P559" i="1" s="1" a="1"/>
  <c r="P559" i="1" s="1"/>
  <c r="D558" i="1"/>
  <c r="C558" i="1"/>
  <c r="P558" i="1" s="1" a="1"/>
  <c r="P558" i="1" s="1"/>
  <c r="D557" i="1"/>
  <c r="C557" i="1"/>
  <c r="P557" i="1" s="1" a="1"/>
  <c r="P557" i="1" s="1"/>
  <c r="D556" i="1"/>
  <c r="C556" i="1"/>
  <c r="P556" i="1" s="1" a="1"/>
  <c r="P556" i="1" s="1"/>
  <c r="D555" i="1"/>
  <c r="C555" i="1"/>
  <c r="P555" i="1" s="1" a="1"/>
  <c r="P555" i="1" s="1"/>
  <c r="D554" i="1"/>
  <c r="C554" i="1"/>
  <c r="P554" i="1" s="1" a="1"/>
  <c r="P554" i="1" s="1"/>
  <c r="D553" i="1"/>
  <c r="C553" i="1"/>
  <c r="P553" i="1" s="1" a="1"/>
  <c r="P553" i="1" s="1"/>
  <c r="D552" i="1"/>
  <c r="C552" i="1"/>
  <c r="P552" i="1" s="1" a="1"/>
  <c r="P552" i="1" s="1"/>
  <c r="D551" i="1"/>
  <c r="C551" i="1"/>
  <c r="P551" i="1" s="1" a="1"/>
  <c r="P551" i="1" s="1"/>
  <c r="D550" i="1"/>
  <c r="C550" i="1"/>
  <c r="P550" i="1" s="1" a="1"/>
  <c r="P550" i="1" s="1"/>
  <c r="D549" i="1"/>
  <c r="C549" i="1"/>
  <c r="P549" i="1" s="1" a="1"/>
  <c r="P549" i="1" s="1"/>
  <c r="D548" i="1"/>
  <c r="C548" i="1"/>
  <c r="P548" i="1" s="1" a="1"/>
  <c r="P548" i="1" s="1"/>
  <c r="D547" i="1"/>
  <c r="C547" i="1"/>
  <c r="P547" i="1" s="1" a="1"/>
  <c r="P547" i="1" s="1"/>
  <c r="D546" i="1"/>
  <c r="C546" i="1"/>
  <c r="P546" i="1" s="1" a="1"/>
  <c r="P546" i="1" s="1"/>
  <c r="D545" i="1"/>
  <c r="C545" i="1"/>
  <c r="P545" i="1" s="1" a="1"/>
  <c r="P545" i="1" s="1"/>
  <c r="D544" i="1"/>
  <c r="C544" i="1"/>
  <c r="P544" i="1" s="1" a="1"/>
  <c r="P544" i="1" s="1"/>
  <c r="D543" i="1"/>
  <c r="C543" i="1"/>
  <c r="P543" i="1" s="1" a="1"/>
  <c r="P543" i="1" s="1"/>
  <c r="D542" i="1"/>
  <c r="C542" i="1"/>
  <c r="P542" i="1" s="1" a="1"/>
  <c r="P542" i="1" s="1"/>
  <c r="D541" i="1"/>
  <c r="C541" i="1"/>
  <c r="P541" i="1" s="1" a="1"/>
  <c r="P541" i="1" s="1"/>
  <c r="D540" i="1"/>
  <c r="C540" i="1"/>
  <c r="P540" i="1" s="1" a="1"/>
  <c r="P540" i="1" s="1"/>
  <c r="D539" i="1"/>
  <c r="C539" i="1"/>
  <c r="P539" i="1" s="1" a="1"/>
  <c r="P539" i="1" s="1"/>
  <c r="D538" i="1"/>
  <c r="C538" i="1"/>
  <c r="P538" i="1" s="1" a="1"/>
  <c r="P538" i="1" s="1"/>
  <c r="D537" i="1"/>
  <c r="C537" i="1"/>
  <c r="P537" i="1" s="1" a="1"/>
  <c r="P537" i="1" s="1"/>
  <c r="D536" i="1"/>
  <c r="C536" i="1"/>
  <c r="P536" i="1" s="1" a="1"/>
  <c r="P536" i="1" s="1"/>
  <c r="D535" i="1"/>
  <c r="C535" i="1"/>
  <c r="P535" i="1" s="1" a="1"/>
  <c r="P535" i="1" s="1"/>
  <c r="D534" i="1"/>
  <c r="C534" i="1"/>
  <c r="P534" i="1" s="1" a="1"/>
  <c r="P534" i="1" s="1"/>
  <c r="D533" i="1"/>
  <c r="C533" i="1"/>
  <c r="P533" i="1" s="1" a="1"/>
  <c r="P533" i="1" s="1"/>
  <c r="D532" i="1"/>
  <c r="C532" i="1"/>
  <c r="P532" i="1" s="1" a="1"/>
  <c r="P532" i="1" s="1"/>
  <c r="D531" i="1"/>
  <c r="C531" i="1"/>
  <c r="P531" i="1" s="1" a="1"/>
  <c r="P531" i="1" s="1"/>
  <c r="D530" i="1"/>
  <c r="C530" i="1"/>
  <c r="P530" i="1" s="1" a="1"/>
  <c r="P530" i="1" s="1"/>
  <c r="D529" i="1"/>
  <c r="C529" i="1"/>
  <c r="P529" i="1" s="1" a="1"/>
  <c r="P529" i="1" s="1"/>
  <c r="D528" i="1"/>
  <c r="C528" i="1"/>
  <c r="P528" i="1" s="1" a="1"/>
  <c r="P528" i="1" s="1"/>
  <c r="D527" i="1"/>
  <c r="C527" i="1"/>
  <c r="P527" i="1" s="1" a="1"/>
  <c r="P527" i="1" s="1"/>
  <c r="D526" i="1"/>
  <c r="C526" i="1"/>
  <c r="P526" i="1" s="1" a="1"/>
  <c r="P526" i="1" s="1"/>
  <c r="D525" i="1"/>
  <c r="C525" i="1"/>
  <c r="P525" i="1" s="1" a="1"/>
  <c r="P525" i="1" s="1"/>
  <c r="D524" i="1"/>
  <c r="C524" i="1"/>
  <c r="P524" i="1" s="1" a="1"/>
  <c r="P524" i="1" s="1"/>
  <c r="D523" i="1"/>
  <c r="C523" i="1"/>
  <c r="P523" i="1" s="1" a="1"/>
  <c r="P523" i="1" s="1"/>
  <c r="D522" i="1"/>
  <c r="C522" i="1"/>
  <c r="P522" i="1" s="1" a="1"/>
  <c r="P522" i="1" s="1"/>
  <c r="D521" i="1"/>
  <c r="C521" i="1"/>
  <c r="P521" i="1" s="1" a="1"/>
  <c r="P521" i="1" s="1"/>
  <c r="D520" i="1"/>
  <c r="C520" i="1"/>
  <c r="P520" i="1" s="1" a="1"/>
  <c r="P520" i="1" s="1"/>
  <c r="D519" i="1"/>
  <c r="C519" i="1"/>
  <c r="P519" i="1" s="1" a="1"/>
  <c r="P519" i="1" s="1"/>
  <c r="D518" i="1"/>
  <c r="C518" i="1"/>
  <c r="P518" i="1" s="1" a="1"/>
  <c r="P518" i="1" s="1"/>
  <c r="D517" i="1"/>
  <c r="C517" i="1"/>
  <c r="P517" i="1" s="1" a="1"/>
  <c r="P517" i="1" s="1"/>
  <c r="D516" i="1"/>
  <c r="C516" i="1"/>
  <c r="P516" i="1" s="1" a="1"/>
  <c r="P516" i="1" s="1"/>
  <c r="D515" i="1"/>
  <c r="C515" i="1"/>
  <c r="P515" i="1" s="1" a="1"/>
  <c r="P515" i="1" s="1"/>
  <c r="D514" i="1"/>
  <c r="C514" i="1"/>
  <c r="P514" i="1" s="1" a="1"/>
  <c r="P514" i="1" s="1"/>
  <c r="D513" i="1"/>
  <c r="C513" i="1"/>
  <c r="P513" i="1" s="1" a="1"/>
  <c r="P513" i="1" s="1"/>
  <c r="D512" i="1"/>
  <c r="C512" i="1"/>
  <c r="P512" i="1" s="1" a="1"/>
  <c r="P512" i="1" s="1"/>
  <c r="D511" i="1"/>
  <c r="C511" i="1"/>
  <c r="P511" i="1" s="1" a="1"/>
  <c r="P511" i="1" s="1"/>
  <c r="D510" i="1"/>
  <c r="C510" i="1"/>
  <c r="P510" i="1" s="1" a="1"/>
  <c r="P510" i="1" s="1"/>
  <c r="D509" i="1"/>
  <c r="C509" i="1"/>
  <c r="P509" i="1" s="1" a="1"/>
  <c r="P509" i="1" s="1"/>
  <c r="D508" i="1"/>
  <c r="C508" i="1"/>
  <c r="P508" i="1" s="1" a="1"/>
  <c r="P508" i="1" s="1"/>
  <c r="D507" i="1"/>
  <c r="C507" i="1"/>
  <c r="P507" i="1" s="1" a="1"/>
  <c r="P507" i="1" s="1"/>
  <c r="D506" i="1"/>
  <c r="C506" i="1"/>
  <c r="P506" i="1" s="1" a="1"/>
  <c r="P506" i="1" s="1"/>
  <c r="D505" i="1"/>
  <c r="C505" i="1"/>
  <c r="P505" i="1" s="1" a="1"/>
  <c r="P505" i="1" s="1"/>
  <c r="D504" i="1"/>
  <c r="C504" i="1"/>
  <c r="P504" i="1" s="1" a="1"/>
  <c r="P504" i="1" s="1"/>
  <c r="D503" i="1"/>
  <c r="C503" i="1"/>
  <c r="P503" i="1" s="1" a="1"/>
  <c r="P503" i="1" s="1"/>
  <c r="D502" i="1"/>
  <c r="C502" i="1"/>
  <c r="P502" i="1" s="1" a="1"/>
  <c r="P502" i="1" s="1"/>
  <c r="D501" i="1"/>
  <c r="C501" i="1"/>
  <c r="P501" i="1" s="1" a="1"/>
  <c r="P501" i="1" s="1"/>
  <c r="D500" i="1"/>
  <c r="C500" i="1"/>
  <c r="P500" i="1" s="1" a="1"/>
  <c r="P500" i="1" s="1"/>
  <c r="D499" i="1"/>
  <c r="C499" i="1"/>
  <c r="P499" i="1" s="1" a="1"/>
  <c r="P499" i="1" s="1"/>
  <c r="D498" i="1"/>
  <c r="C498" i="1"/>
  <c r="P498" i="1" s="1" a="1"/>
  <c r="P498" i="1" s="1"/>
  <c r="D497" i="1"/>
  <c r="C497" i="1"/>
  <c r="P497" i="1" s="1" a="1"/>
  <c r="P497" i="1" s="1"/>
  <c r="D496" i="1"/>
  <c r="C496" i="1"/>
  <c r="P496" i="1" s="1" a="1"/>
  <c r="P496" i="1" s="1"/>
  <c r="D495" i="1"/>
  <c r="C495" i="1"/>
  <c r="P495" i="1" s="1" a="1"/>
  <c r="P495" i="1" s="1"/>
  <c r="D494" i="1"/>
  <c r="C494" i="1"/>
  <c r="P494" i="1" s="1" a="1"/>
  <c r="P494" i="1" s="1"/>
  <c r="D493" i="1"/>
  <c r="C493" i="1"/>
  <c r="P493" i="1" s="1" a="1"/>
  <c r="P493" i="1" s="1"/>
  <c r="D492" i="1"/>
  <c r="C492" i="1"/>
  <c r="P492" i="1" s="1" a="1"/>
  <c r="P492" i="1" s="1"/>
  <c r="D491" i="1"/>
  <c r="C491" i="1"/>
  <c r="P491" i="1" s="1" a="1"/>
  <c r="P491" i="1" s="1"/>
  <c r="D490" i="1"/>
  <c r="C490" i="1"/>
  <c r="P490" i="1" s="1" a="1"/>
  <c r="P490" i="1" s="1"/>
  <c r="D489" i="1"/>
  <c r="C489" i="1"/>
  <c r="P489" i="1" s="1" a="1"/>
  <c r="P489" i="1" s="1"/>
  <c r="D488" i="1"/>
  <c r="C488" i="1"/>
  <c r="P488" i="1" s="1" a="1"/>
  <c r="P488" i="1" s="1"/>
  <c r="D487" i="1"/>
  <c r="C487" i="1"/>
  <c r="P487" i="1" s="1" a="1"/>
  <c r="P487" i="1" s="1"/>
  <c r="D486" i="1"/>
  <c r="C486" i="1"/>
  <c r="P486" i="1" s="1" a="1"/>
  <c r="P486" i="1" s="1"/>
  <c r="D485" i="1"/>
  <c r="C485" i="1"/>
  <c r="P485" i="1" s="1" a="1"/>
  <c r="P485" i="1" s="1"/>
  <c r="D484" i="1"/>
  <c r="C484" i="1"/>
  <c r="P484" i="1" s="1" a="1"/>
  <c r="P484" i="1" s="1"/>
  <c r="D483" i="1"/>
  <c r="C483" i="1"/>
  <c r="P483" i="1" s="1" a="1"/>
  <c r="P483" i="1" s="1"/>
  <c r="D482" i="1"/>
  <c r="C482" i="1"/>
  <c r="P482" i="1" s="1" a="1"/>
  <c r="P482" i="1" s="1"/>
  <c r="D481" i="1"/>
  <c r="C481" i="1"/>
  <c r="P481" i="1" s="1" a="1"/>
  <c r="P481" i="1" s="1"/>
  <c r="D480" i="1"/>
  <c r="C480" i="1"/>
  <c r="P480" i="1" s="1" a="1"/>
  <c r="P480" i="1" s="1"/>
  <c r="D479" i="1"/>
  <c r="C479" i="1"/>
  <c r="P479" i="1" s="1" a="1"/>
  <c r="P479" i="1" s="1"/>
  <c r="D478" i="1"/>
  <c r="C478" i="1"/>
  <c r="P478" i="1" s="1" a="1"/>
  <c r="P478" i="1" s="1"/>
  <c r="D477" i="1"/>
  <c r="C477" i="1"/>
  <c r="P477" i="1" s="1" a="1"/>
  <c r="P477" i="1" s="1"/>
  <c r="D476" i="1"/>
  <c r="C476" i="1"/>
  <c r="P476" i="1" s="1" a="1"/>
  <c r="P476" i="1" s="1"/>
  <c r="D475" i="1"/>
  <c r="C475" i="1"/>
  <c r="P475" i="1" s="1" a="1"/>
  <c r="P475" i="1" s="1"/>
  <c r="D474" i="1"/>
  <c r="C474" i="1"/>
  <c r="P474" i="1" s="1" a="1"/>
  <c r="P474" i="1" s="1"/>
  <c r="D473" i="1"/>
  <c r="C473" i="1"/>
  <c r="P473" i="1" s="1" a="1"/>
  <c r="P473" i="1" s="1"/>
  <c r="D472" i="1"/>
  <c r="C472" i="1"/>
  <c r="P472" i="1" s="1" a="1"/>
  <c r="P472" i="1" s="1"/>
  <c r="D471" i="1"/>
  <c r="C471" i="1"/>
  <c r="P471" i="1" s="1" a="1"/>
  <c r="P471" i="1" s="1"/>
  <c r="D470" i="1"/>
  <c r="C470" i="1"/>
  <c r="P470" i="1" s="1" a="1"/>
  <c r="P470" i="1" s="1"/>
  <c r="D469" i="1"/>
  <c r="C469" i="1"/>
  <c r="P469" i="1" s="1" a="1"/>
  <c r="P469" i="1" s="1"/>
  <c r="D468" i="1"/>
  <c r="C468" i="1"/>
  <c r="P468" i="1" s="1" a="1"/>
  <c r="P468" i="1" s="1"/>
  <c r="D467" i="1"/>
  <c r="C467" i="1"/>
  <c r="P467" i="1" s="1" a="1"/>
  <c r="P467" i="1" s="1"/>
  <c r="D466" i="1"/>
  <c r="C466" i="1"/>
  <c r="P466" i="1" s="1" a="1"/>
  <c r="P466" i="1" s="1"/>
  <c r="D465" i="1"/>
  <c r="C465" i="1"/>
  <c r="P465" i="1" s="1" a="1"/>
  <c r="P465" i="1" s="1"/>
  <c r="D464" i="1"/>
  <c r="C464" i="1"/>
  <c r="P464" i="1" s="1" a="1"/>
  <c r="P464" i="1" s="1"/>
  <c r="D463" i="1"/>
  <c r="C463" i="1"/>
  <c r="P463" i="1" s="1" a="1"/>
  <c r="P463" i="1" s="1"/>
  <c r="D462" i="1"/>
  <c r="C462" i="1"/>
  <c r="P462" i="1" s="1" a="1"/>
  <c r="P462" i="1" s="1"/>
  <c r="D461" i="1"/>
  <c r="C461" i="1"/>
  <c r="P461" i="1" s="1" a="1"/>
  <c r="P461" i="1" s="1"/>
  <c r="D460" i="1"/>
  <c r="C460" i="1"/>
  <c r="P460" i="1" s="1" a="1"/>
  <c r="P460" i="1" s="1"/>
  <c r="D459" i="1"/>
  <c r="C459" i="1"/>
  <c r="P459" i="1" s="1" a="1"/>
  <c r="P459" i="1" s="1"/>
  <c r="D458" i="1"/>
  <c r="C458" i="1"/>
  <c r="P458" i="1" s="1" a="1"/>
  <c r="P458" i="1" s="1"/>
  <c r="D457" i="1"/>
  <c r="C457" i="1"/>
  <c r="P457" i="1" s="1" a="1"/>
  <c r="P457" i="1" s="1"/>
  <c r="D456" i="1"/>
  <c r="C456" i="1"/>
  <c r="P456" i="1" s="1" a="1"/>
  <c r="P456" i="1" s="1"/>
  <c r="D455" i="1"/>
  <c r="C455" i="1"/>
  <c r="P455" i="1" s="1" a="1"/>
  <c r="P455" i="1" s="1"/>
  <c r="D454" i="1"/>
  <c r="C454" i="1"/>
  <c r="P454" i="1" s="1" a="1"/>
  <c r="P454" i="1" s="1"/>
  <c r="D453" i="1"/>
  <c r="C453" i="1"/>
  <c r="P453" i="1" s="1" a="1"/>
  <c r="P453" i="1" s="1"/>
  <c r="D452" i="1"/>
  <c r="C452" i="1"/>
  <c r="P452" i="1" s="1" a="1"/>
  <c r="P452" i="1" s="1"/>
  <c r="D451" i="1"/>
  <c r="C451" i="1"/>
  <c r="P451" i="1" s="1" a="1"/>
  <c r="P451" i="1" s="1"/>
  <c r="D450" i="1"/>
  <c r="C450" i="1"/>
  <c r="P450" i="1" s="1" a="1"/>
  <c r="P450" i="1" s="1"/>
  <c r="D449" i="1"/>
  <c r="C449" i="1"/>
  <c r="P449" i="1" s="1" a="1"/>
  <c r="P449" i="1" s="1"/>
  <c r="D448" i="1"/>
  <c r="C448" i="1"/>
  <c r="P448" i="1" s="1" a="1"/>
  <c r="P448" i="1" s="1"/>
  <c r="D447" i="1"/>
  <c r="C447" i="1"/>
  <c r="P447" i="1" s="1" a="1"/>
  <c r="P447" i="1" s="1"/>
  <c r="D446" i="1"/>
  <c r="C446" i="1"/>
  <c r="P446" i="1" s="1" a="1"/>
  <c r="P446" i="1" s="1"/>
  <c r="D445" i="1"/>
  <c r="C445" i="1"/>
  <c r="P445" i="1" s="1" a="1"/>
  <c r="P445" i="1" s="1"/>
  <c r="D444" i="1"/>
  <c r="C444" i="1"/>
  <c r="P444" i="1" s="1" a="1"/>
  <c r="P444" i="1" s="1"/>
  <c r="D443" i="1"/>
  <c r="C443" i="1"/>
  <c r="P443" i="1" s="1" a="1"/>
  <c r="P443" i="1" s="1"/>
  <c r="D442" i="1"/>
  <c r="C442" i="1"/>
  <c r="P442" i="1" s="1" a="1"/>
  <c r="P442" i="1" s="1"/>
  <c r="D441" i="1"/>
  <c r="C441" i="1"/>
  <c r="P441" i="1" s="1" a="1"/>
  <c r="P441" i="1" s="1"/>
  <c r="D440" i="1"/>
  <c r="C440" i="1"/>
  <c r="P440" i="1" s="1" a="1"/>
  <c r="P440" i="1" s="1"/>
  <c r="D439" i="1"/>
  <c r="C439" i="1"/>
  <c r="P439" i="1" s="1" a="1"/>
  <c r="P439" i="1" s="1"/>
  <c r="D438" i="1"/>
  <c r="C438" i="1"/>
  <c r="P438" i="1" s="1" a="1"/>
  <c r="P438" i="1" s="1"/>
  <c r="D437" i="1"/>
  <c r="C437" i="1"/>
  <c r="P437" i="1" s="1" a="1"/>
  <c r="P437" i="1" s="1"/>
  <c r="D436" i="1"/>
  <c r="C436" i="1"/>
  <c r="P436" i="1" s="1" a="1"/>
  <c r="P436" i="1" s="1"/>
  <c r="D435" i="1"/>
  <c r="C435" i="1"/>
  <c r="P435" i="1" s="1" a="1"/>
  <c r="P435" i="1" s="1"/>
  <c r="D434" i="1"/>
  <c r="C434" i="1"/>
  <c r="P434" i="1" s="1" a="1"/>
  <c r="P434" i="1" s="1"/>
  <c r="D433" i="1"/>
  <c r="C433" i="1"/>
  <c r="P433" i="1" s="1" a="1"/>
  <c r="P433" i="1" s="1"/>
  <c r="D432" i="1"/>
  <c r="C432" i="1"/>
  <c r="P432" i="1" s="1" a="1"/>
  <c r="P432" i="1" s="1"/>
  <c r="D431" i="1"/>
  <c r="C431" i="1"/>
  <c r="P431" i="1" s="1" a="1"/>
  <c r="P431" i="1" s="1"/>
  <c r="D430" i="1"/>
  <c r="C430" i="1"/>
  <c r="P430" i="1" s="1" a="1"/>
  <c r="P430" i="1" s="1"/>
  <c r="D429" i="1"/>
  <c r="C429" i="1"/>
  <c r="P429" i="1" s="1" a="1"/>
  <c r="P429" i="1" s="1"/>
  <c r="D428" i="1"/>
  <c r="C428" i="1"/>
  <c r="P428" i="1" s="1" a="1"/>
  <c r="P428" i="1" s="1"/>
  <c r="D427" i="1"/>
  <c r="C427" i="1"/>
  <c r="P427" i="1" s="1" a="1"/>
  <c r="P427" i="1" s="1"/>
  <c r="D426" i="1"/>
  <c r="C426" i="1"/>
  <c r="P426" i="1" s="1" a="1"/>
  <c r="P426" i="1" s="1"/>
  <c r="D425" i="1"/>
  <c r="C425" i="1"/>
  <c r="P425" i="1" s="1" a="1"/>
  <c r="P425" i="1" s="1"/>
  <c r="D424" i="1"/>
  <c r="C424" i="1"/>
  <c r="P424" i="1" s="1" a="1"/>
  <c r="P424" i="1" s="1"/>
  <c r="D423" i="1"/>
  <c r="C423" i="1"/>
  <c r="P423" i="1" s="1" a="1"/>
  <c r="P423" i="1" s="1"/>
  <c r="D422" i="1"/>
  <c r="C422" i="1"/>
  <c r="P422" i="1" s="1" a="1"/>
  <c r="P422" i="1" s="1"/>
  <c r="D421" i="1"/>
  <c r="C421" i="1"/>
  <c r="P421" i="1" s="1" a="1"/>
  <c r="P421" i="1" s="1"/>
  <c r="D420" i="1"/>
  <c r="C420" i="1"/>
  <c r="P420" i="1" s="1" a="1"/>
  <c r="P420" i="1" s="1"/>
  <c r="D419" i="1"/>
  <c r="C419" i="1"/>
  <c r="P419" i="1" s="1" a="1"/>
  <c r="P419" i="1" s="1"/>
  <c r="D418" i="1"/>
  <c r="C418" i="1"/>
  <c r="P418" i="1" s="1" a="1"/>
  <c r="P418" i="1" s="1"/>
  <c r="D417" i="1"/>
  <c r="C417" i="1"/>
  <c r="P417" i="1" s="1" a="1"/>
  <c r="P417" i="1" s="1"/>
  <c r="D416" i="1"/>
  <c r="C416" i="1"/>
  <c r="P416" i="1" s="1" a="1"/>
  <c r="P416" i="1" s="1"/>
  <c r="D415" i="1"/>
  <c r="C415" i="1"/>
  <c r="P415" i="1" s="1" a="1"/>
  <c r="P415" i="1" s="1"/>
  <c r="D414" i="1"/>
  <c r="C414" i="1"/>
  <c r="P414" i="1" s="1" a="1"/>
  <c r="P414" i="1" s="1"/>
  <c r="D413" i="1"/>
  <c r="C413" i="1"/>
  <c r="P413" i="1" s="1" a="1"/>
  <c r="P413" i="1" s="1"/>
  <c r="D412" i="1"/>
  <c r="C412" i="1"/>
  <c r="P412" i="1" s="1" a="1"/>
  <c r="P412" i="1" s="1"/>
  <c r="D411" i="1"/>
  <c r="C411" i="1"/>
  <c r="P411" i="1" s="1" a="1"/>
  <c r="P411" i="1" s="1"/>
  <c r="D410" i="1"/>
  <c r="C410" i="1"/>
  <c r="P410" i="1" s="1" a="1"/>
  <c r="P410" i="1" s="1"/>
  <c r="D409" i="1"/>
  <c r="C409" i="1"/>
  <c r="P409" i="1" s="1" a="1"/>
  <c r="P409" i="1" s="1"/>
  <c r="D408" i="1"/>
  <c r="C408" i="1"/>
  <c r="P408" i="1" s="1" a="1"/>
  <c r="P408" i="1" s="1"/>
  <c r="D407" i="1"/>
  <c r="C407" i="1"/>
  <c r="P407" i="1" s="1" a="1"/>
  <c r="P407" i="1" s="1"/>
  <c r="D406" i="1"/>
  <c r="C406" i="1"/>
  <c r="P406" i="1" s="1" a="1"/>
  <c r="P406" i="1" s="1"/>
  <c r="D405" i="1"/>
  <c r="C405" i="1"/>
  <c r="P405" i="1" s="1" a="1"/>
  <c r="P405" i="1" s="1"/>
  <c r="D404" i="1"/>
  <c r="C404" i="1"/>
  <c r="P404" i="1" s="1" a="1"/>
  <c r="P404" i="1" s="1"/>
  <c r="D403" i="1"/>
  <c r="C403" i="1"/>
  <c r="P403" i="1" s="1" a="1"/>
  <c r="P403" i="1" s="1"/>
  <c r="D402" i="1"/>
  <c r="C402" i="1"/>
  <c r="P402" i="1" s="1" a="1"/>
  <c r="P402" i="1" s="1"/>
  <c r="D401" i="1"/>
  <c r="C401" i="1"/>
  <c r="P401" i="1" s="1" a="1"/>
  <c r="P401" i="1" s="1"/>
  <c r="D400" i="1"/>
  <c r="C400" i="1"/>
  <c r="P400" i="1" s="1" a="1"/>
  <c r="P400" i="1" s="1"/>
  <c r="D399" i="1"/>
  <c r="C399" i="1"/>
  <c r="P399" i="1" s="1" a="1"/>
  <c r="P399" i="1" s="1"/>
  <c r="D398" i="1"/>
  <c r="C398" i="1"/>
  <c r="P398" i="1" s="1" a="1"/>
  <c r="P398" i="1" s="1"/>
  <c r="D397" i="1"/>
  <c r="C397" i="1"/>
  <c r="P397" i="1" s="1" a="1"/>
  <c r="P397" i="1" s="1"/>
  <c r="D396" i="1"/>
  <c r="C396" i="1"/>
  <c r="P396" i="1" s="1" a="1"/>
  <c r="P396" i="1" s="1"/>
  <c r="D395" i="1"/>
  <c r="C395" i="1"/>
  <c r="P395" i="1" s="1" a="1"/>
  <c r="P395" i="1" s="1"/>
  <c r="D394" i="1"/>
  <c r="C394" i="1"/>
  <c r="P394" i="1" s="1" a="1"/>
  <c r="P394" i="1" s="1"/>
  <c r="D393" i="1"/>
  <c r="C393" i="1"/>
  <c r="P393" i="1" s="1" a="1"/>
  <c r="P393" i="1" s="1"/>
  <c r="D392" i="1"/>
  <c r="C392" i="1"/>
  <c r="P392" i="1" s="1" a="1"/>
  <c r="P392" i="1" s="1"/>
  <c r="D391" i="1"/>
  <c r="C391" i="1"/>
  <c r="P391" i="1" s="1" a="1"/>
  <c r="P391" i="1" s="1"/>
  <c r="D390" i="1"/>
  <c r="C390" i="1"/>
  <c r="P390" i="1" s="1" a="1"/>
  <c r="P390" i="1" s="1"/>
  <c r="D389" i="1"/>
  <c r="C389" i="1"/>
  <c r="P389" i="1" s="1" a="1"/>
  <c r="P389" i="1" s="1"/>
  <c r="D388" i="1"/>
  <c r="C388" i="1"/>
  <c r="P388" i="1" s="1" a="1"/>
  <c r="P388" i="1" s="1"/>
  <c r="D387" i="1"/>
  <c r="C387" i="1"/>
  <c r="P387" i="1" s="1" a="1"/>
  <c r="P387" i="1" s="1"/>
  <c r="D386" i="1"/>
  <c r="C386" i="1"/>
  <c r="P386" i="1" s="1" a="1"/>
  <c r="P386" i="1" s="1"/>
  <c r="D385" i="1"/>
  <c r="C385" i="1"/>
  <c r="P385" i="1" s="1" a="1"/>
  <c r="P385" i="1" s="1"/>
  <c r="D384" i="1"/>
  <c r="C384" i="1"/>
  <c r="P384" i="1" s="1" a="1"/>
  <c r="P384" i="1" s="1"/>
  <c r="D383" i="1"/>
  <c r="C383" i="1"/>
  <c r="P383" i="1" s="1" a="1"/>
  <c r="P383" i="1" s="1"/>
  <c r="D382" i="1"/>
  <c r="C382" i="1"/>
  <c r="P382" i="1" s="1" a="1"/>
  <c r="P382" i="1" s="1"/>
  <c r="D381" i="1"/>
  <c r="C381" i="1"/>
  <c r="P381" i="1" s="1" a="1"/>
  <c r="P381" i="1" s="1"/>
  <c r="D380" i="1"/>
  <c r="C380" i="1"/>
  <c r="P380" i="1" s="1" a="1"/>
  <c r="P380" i="1" s="1"/>
  <c r="D379" i="1"/>
  <c r="C379" i="1"/>
  <c r="P379" i="1" s="1" a="1"/>
  <c r="P379" i="1" s="1"/>
  <c r="D378" i="1"/>
  <c r="C378" i="1"/>
  <c r="P378" i="1" s="1" a="1"/>
  <c r="P378" i="1" s="1"/>
  <c r="D377" i="1"/>
  <c r="C377" i="1"/>
  <c r="P377" i="1" s="1" a="1"/>
  <c r="P377" i="1" s="1"/>
  <c r="D376" i="1"/>
  <c r="C376" i="1"/>
  <c r="P376" i="1" s="1" a="1"/>
  <c r="P376" i="1" s="1"/>
  <c r="D375" i="1"/>
  <c r="C375" i="1"/>
  <c r="P375" i="1" s="1" a="1"/>
  <c r="P375" i="1" s="1"/>
  <c r="D374" i="1"/>
  <c r="C374" i="1"/>
  <c r="P374" i="1" s="1" a="1"/>
  <c r="P374" i="1" s="1"/>
  <c r="D373" i="1"/>
  <c r="C373" i="1"/>
  <c r="P373" i="1" s="1" a="1"/>
  <c r="P373" i="1" s="1"/>
  <c r="D372" i="1"/>
  <c r="C372" i="1"/>
  <c r="P372" i="1" s="1" a="1"/>
  <c r="P372" i="1" s="1"/>
  <c r="D371" i="1"/>
  <c r="C371" i="1"/>
  <c r="P371" i="1" s="1" a="1"/>
  <c r="P371" i="1" s="1"/>
  <c r="D370" i="1"/>
  <c r="C370" i="1"/>
  <c r="P370" i="1" s="1" a="1"/>
  <c r="P370" i="1" s="1"/>
  <c r="D369" i="1"/>
  <c r="C369" i="1"/>
  <c r="P369" i="1" s="1" a="1"/>
  <c r="P369" i="1" s="1"/>
  <c r="D368" i="1"/>
  <c r="C368" i="1"/>
  <c r="P368" i="1" s="1" a="1"/>
  <c r="P368" i="1" s="1"/>
  <c r="D367" i="1"/>
  <c r="C367" i="1"/>
  <c r="P367" i="1" s="1" a="1"/>
  <c r="P367" i="1" s="1"/>
  <c r="D366" i="1"/>
  <c r="C366" i="1"/>
  <c r="P366" i="1" s="1" a="1"/>
  <c r="P366" i="1" s="1"/>
  <c r="D365" i="1"/>
  <c r="C365" i="1"/>
  <c r="P365" i="1" s="1" a="1"/>
  <c r="P365" i="1" s="1"/>
  <c r="D364" i="1"/>
  <c r="C364" i="1"/>
  <c r="P364" i="1" s="1" a="1"/>
  <c r="P364" i="1" s="1"/>
  <c r="D363" i="1"/>
  <c r="C363" i="1"/>
  <c r="P363" i="1" s="1" a="1"/>
  <c r="P363" i="1" s="1"/>
  <c r="D362" i="1"/>
  <c r="C362" i="1"/>
  <c r="P362" i="1" s="1" a="1"/>
  <c r="P362" i="1" s="1"/>
  <c r="D361" i="1"/>
  <c r="C361" i="1"/>
  <c r="P361" i="1" s="1" a="1"/>
  <c r="P361" i="1" s="1"/>
  <c r="D360" i="1"/>
  <c r="C360" i="1"/>
  <c r="P360" i="1" s="1" a="1"/>
  <c r="P360" i="1" s="1"/>
  <c r="D359" i="1"/>
  <c r="C359" i="1"/>
  <c r="P359" i="1" s="1" a="1"/>
  <c r="P359" i="1" s="1"/>
  <c r="D358" i="1"/>
  <c r="C358" i="1"/>
  <c r="P358" i="1" s="1" a="1"/>
  <c r="P358" i="1" s="1"/>
  <c r="D357" i="1"/>
  <c r="C357" i="1"/>
  <c r="P357" i="1" s="1" a="1"/>
  <c r="P357" i="1" s="1"/>
  <c r="D356" i="1"/>
  <c r="C356" i="1"/>
  <c r="P356" i="1" s="1" a="1"/>
  <c r="P356" i="1" s="1"/>
  <c r="D355" i="1"/>
  <c r="C355" i="1"/>
  <c r="P355" i="1" s="1" a="1"/>
  <c r="P355" i="1" s="1"/>
  <c r="D354" i="1"/>
  <c r="C354" i="1"/>
  <c r="P354" i="1" s="1" a="1"/>
  <c r="P354" i="1" s="1"/>
  <c r="D353" i="1"/>
  <c r="C353" i="1"/>
  <c r="P353" i="1" s="1" a="1"/>
  <c r="P353" i="1" s="1"/>
  <c r="D352" i="1"/>
  <c r="C352" i="1"/>
  <c r="P352" i="1" s="1" a="1"/>
  <c r="P352" i="1" s="1"/>
  <c r="D351" i="1"/>
  <c r="C351" i="1"/>
  <c r="P351" i="1" s="1" a="1"/>
  <c r="P351" i="1" s="1"/>
  <c r="D350" i="1"/>
  <c r="C350" i="1"/>
  <c r="P350" i="1" s="1" a="1"/>
  <c r="P350" i="1" s="1"/>
  <c r="D349" i="1"/>
  <c r="C349" i="1"/>
  <c r="P349" i="1" s="1" a="1"/>
  <c r="P349" i="1" s="1"/>
  <c r="D348" i="1"/>
  <c r="C348" i="1"/>
  <c r="P348" i="1" s="1" a="1"/>
  <c r="P348" i="1" s="1"/>
  <c r="D347" i="1"/>
  <c r="C347" i="1"/>
  <c r="P347" i="1" s="1" a="1"/>
  <c r="P347" i="1" s="1"/>
  <c r="D346" i="1"/>
  <c r="C346" i="1"/>
  <c r="P346" i="1" s="1" a="1"/>
  <c r="P346" i="1" s="1"/>
  <c r="D345" i="1"/>
  <c r="C345" i="1"/>
  <c r="P345" i="1" s="1" a="1"/>
  <c r="P345" i="1" s="1"/>
  <c r="D344" i="1"/>
  <c r="C344" i="1"/>
  <c r="P344" i="1" s="1" a="1"/>
  <c r="P344" i="1" s="1"/>
  <c r="D343" i="1"/>
  <c r="C343" i="1"/>
  <c r="P343" i="1" s="1" a="1"/>
  <c r="P343" i="1" s="1"/>
  <c r="D342" i="1"/>
  <c r="C342" i="1"/>
  <c r="P342" i="1" s="1" a="1"/>
  <c r="P342" i="1" s="1"/>
  <c r="D341" i="1"/>
  <c r="C341" i="1"/>
  <c r="P341" i="1" s="1" a="1"/>
  <c r="P341" i="1" s="1"/>
  <c r="D340" i="1"/>
  <c r="C340" i="1"/>
  <c r="P340" i="1" s="1" a="1"/>
  <c r="P340" i="1" s="1"/>
  <c r="D339" i="1"/>
  <c r="C339" i="1"/>
  <c r="P339" i="1" s="1" a="1"/>
  <c r="P339" i="1" s="1"/>
  <c r="D338" i="1"/>
  <c r="C338" i="1"/>
  <c r="P338" i="1" s="1" a="1"/>
  <c r="P338" i="1" s="1"/>
  <c r="D337" i="1"/>
  <c r="C337" i="1"/>
  <c r="P337" i="1" s="1" a="1"/>
  <c r="P337" i="1" s="1"/>
  <c r="D336" i="1"/>
  <c r="C336" i="1"/>
  <c r="P336" i="1" s="1" a="1"/>
  <c r="P336" i="1" s="1"/>
  <c r="D335" i="1"/>
  <c r="C335" i="1"/>
  <c r="P335" i="1" s="1" a="1"/>
  <c r="P335" i="1" s="1"/>
  <c r="D334" i="1"/>
  <c r="C334" i="1"/>
  <c r="P334" i="1" s="1" a="1"/>
  <c r="P334" i="1" s="1"/>
  <c r="D333" i="1"/>
  <c r="C333" i="1"/>
  <c r="P333" i="1" s="1" a="1"/>
  <c r="P333" i="1" s="1"/>
  <c r="D332" i="1"/>
  <c r="C332" i="1"/>
  <c r="P332" i="1" s="1" a="1"/>
  <c r="P332" i="1" s="1"/>
  <c r="D331" i="1"/>
  <c r="C331" i="1"/>
  <c r="P331" i="1" s="1" a="1"/>
  <c r="P331" i="1" s="1"/>
  <c r="D330" i="1"/>
  <c r="C330" i="1"/>
  <c r="P330" i="1" s="1" a="1"/>
  <c r="P330" i="1" s="1"/>
  <c r="D329" i="1"/>
  <c r="C329" i="1"/>
  <c r="P329" i="1" s="1" a="1"/>
  <c r="P329" i="1" s="1"/>
  <c r="D328" i="1"/>
  <c r="C328" i="1"/>
  <c r="P328" i="1" s="1" a="1"/>
  <c r="P328" i="1" s="1"/>
  <c r="D327" i="1"/>
  <c r="C327" i="1"/>
  <c r="P327" i="1" s="1" a="1"/>
  <c r="P327" i="1" s="1"/>
  <c r="D326" i="1"/>
  <c r="C326" i="1"/>
  <c r="P326" i="1" s="1" a="1"/>
  <c r="P326" i="1" s="1"/>
  <c r="D325" i="1"/>
  <c r="C325" i="1"/>
  <c r="P325" i="1" s="1" a="1"/>
  <c r="P325" i="1" s="1"/>
  <c r="D324" i="1"/>
  <c r="C324" i="1"/>
  <c r="P324" i="1" s="1" a="1"/>
  <c r="P324" i="1" s="1"/>
  <c r="D323" i="1"/>
  <c r="C323" i="1"/>
  <c r="P323" i="1" s="1" a="1"/>
  <c r="P323" i="1" s="1"/>
  <c r="D322" i="1"/>
  <c r="C322" i="1"/>
  <c r="P322" i="1" s="1" a="1"/>
  <c r="P322" i="1" s="1"/>
  <c r="D321" i="1"/>
  <c r="C321" i="1"/>
  <c r="P321" i="1" s="1" a="1"/>
  <c r="P321" i="1" s="1"/>
  <c r="D320" i="1"/>
  <c r="C320" i="1"/>
  <c r="P320" i="1" s="1" a="1"/>
  <c r="P320" i="1" s="1"/>
  <c r="D319" i="1"/>
  <c r="C319" i="1"/>
  <c r="P319" i="1" s="1" a="1"/>
  <c r="P319" i="1" s="1"/>
  <c r="D318" i="1"/>
  <c r="C318" i="1"/>
  <c r="P318" i="1" s="1" a="1"/>
  <c r="P318" i="1" s="1"/>
  <c r="D317" i="1"/>
  <c r="C317" i="1"/>
  <c r="P317" i="1" s="1" a="1"/>
  <c r="P317" i="1" s="1"/>
  <c r="D316" i="1"/>
  <c r="C316" i="1"/>
  <c r="P316" i="1" s="1" a="1"/>
  <c r="P316" i="1" s="1"/>
  <c r="D315" i="1"/>
  <c r="C315" i="1"/>
  <c r="P315" i="1" s="1" a="1"/>
  <c r="P315" i="1" s="1"/>
  <c r="D314" i="1"/>
  <c r="C314" i="1"/>
  <c r="P314" i="1" s="1" a="1"/>
  <c r="P314" i="1" s="1"/>
  <c r="D313" i="1"/>
  <c r="C313" i="1"/>
  <c r="P313" i="1" s="1" a="1"/>
  <c r="P313" i="1" s="1"/>
  <c r="D312" i="1"/>
  <c r="C312" i="1"/>
  <c r="P312" i="1" s="1" a="1"/>
  <c r="P312" i="1" s="1"/>
  <c r="D311" i="1"/>
  <c r="C311" i="1"/>
  <c r="P311" i="1" s="1" a="1"/>
  <c r="P311" i="1" s="1"/>
  <c r="D310" i="1"/>
  <c r="C310" i="1"/>
  <c r="P310" i="1" s="1" a="1"/>
  <c r="P310" i="1" s="1"/>
  <c r="D309" i="1"/>
  <c r="C309" i="1"/>
  <c r="P309" i="1" s="1" a="1"/>
  <c r="P309" i="1" s="1"/>
  <c r="D308" i="1"/>
  <c r="C308" i="1"/>
  <c r="P308" i="1" s="1" a="1"/>
  <c r="P308" i="1" s="1"/>
  <c r="D307" i="1"/>
  <c r="C307" i="1"/>
  <c r="P307" i="1" s="1" a="1"/>
  <c r="P307" i="1" s="1"/>
  <c r="D306" i="1"/>
  <c r="C306" i="1"/>
  <c r="P306" i="1" s="1" a="1"/>
  <c r="P306" i="1" s="1"/>
  <c r="D305" i="1"/>
  <c r="C305" i="1"/>
  <c r="P305" i="1" s="1" a="1"/>
  <c r="P305" i="1" s="1"/>
  <c r="D304" i="1"/>
  <c r="C304" i="1"/>
  <c r="P304" i="1" s="1" a="1"/>
  <c r="P304" i="1" s="1"/>
  <c r="D303" i="1"/>
  <c r="C303" i="1"/>
  <c r="P303" i="1" s="1" a="1"/>
  <c r="P303" i="1" s="1"/>
  <c r="D302" i="1"/>
  <c r="C302" i="1"/>
  <c r="P302" i="1" s="1" a="1"/>
  <c r="P302" i="1" s="1"/>
  <c r="D301" i="1"/>
  <c r="C301" i="1"/>
  <c r="P301" i="1" s="1" a="1"/>
  <c r="P301" i="1" s="1"/>
  <c r="D300" i="1"/>
  <c r="C300" i="1"/>
  <c r="P300" i="1" s="1" a="1"/>
  <c r="P300" i="1" s="1"/>
  <c r="D299" i="1"/>
  <c r="C299" i="1"/>
  <c r="P299" i="1" s="1" a="1"/>
  <c r="P299" i="1" s="1"/>
  <c r="D298" i="1"/>
  <c r="C298" i="1"/>
  <c r="P298" i="1" s="1" a="1"/>
  <c r="P298" i="1" s="1"/>
  <c r="D297" i="1"/>
  <c r="C297" i="1"/>
  <c r="P297" i="1" s="1" a="1"/>
  <c r="P297" i="1" s="1"/>
  <c r="D296" i="1"/>
  <c r="C296" i="1"/>
  <c r="P296" i="1" s="1" a="1"/>
  <c r="P296" i="1" s="1"/>
  <c r="D295" i="1"/>
  <c r="C295" i="1"/>
  <c r="P295" i="1" s="1" a="1"/>
  <c r="P295" i="1" s="1"/>
  <c r="D294" i="1"/>
  <c r="C294" i="1"/>
  <c r="P294" i="1" s="1" a="1"/>
  <c r="P294" i="1" s="1"/>
  <c r="D293" i="1"/>
  <c r="C293" i="1"/>
  <c r="P293" i="1" s="1" a="1"/>
  <c r="P293" i="1" s="1"/>
  <c r="D292" i="1"/>
  <c r="C292" i="1"/>
  <c r="P292" i="1" s="1" a="1"/>
  <c r="P292" i="1" s="1"/>
  <c r="D291" i="1"/>
  <c r="C291" i="1"/>
  <c r="P291" i="1" s="1" a="1"/>
  <c r="P291" i="1" s="1"/>
  <c r="D290" i="1"/>
  <c r="C290" i="1"/>
  <c r="P290" i="1" s="1" a="1"/>
  <c r="P290" i="1" s="1"/>
  <c r="D289" i="1"/>
  <c r="C289" i="1"/>
  <c r="P289" i="1" s="1" a="1"/>
  <c r="P289" i="1" s="1"/>
  <c r="D288" i="1"/>
  <c r="C288" i="1"/>
  <c r="P288" i="1" s="1" a="1"/>
  <c r="P288" i="1" s="1"/>
  <c r="D287" i="1"/>
  <c r="C287" i="1"/>
  <c r="P287" i="1" s="1" a="1"/>
  <c r="P287" i="1" s="1"/>
  <c r="D286" i="1"/>
  <c r="C286" i="1"/>
  <c r="P286" i="1" s="1" a="1"/>
  <c r="P286" i="1" s="1"/>
  <c r="D285" i="1"/>
  <c r="C285" i="1"/>
  <c r="P285" i="1" s="1" a="1"/>
  <c r="P285" i="1" s="1"/>
  <c r="D284" i="1"/>
  <c r="C284" i="1"/>
  <c r="P284" i="1" s="1" a="1"/>
  <c r="P284" i="1" s="1"/>
  <c r="D283" i="1"/>
  <c r="C283" i="1"/>
  <c r="P283" i="1" s="1" a="1"/>
  <c r="P283" i="1" s="1"/>
  <c r="D282" i="1"/>
  <c r="C282" i="1"/>
  <c r="P282" i="1" s="1" a="1"/>
  <c r="P282" i="1" s="1"/>
  <c r="D281" i="1"/>
  <c r="C281" i="1"/>
  <c r="P281" i="1" s="1" a="1"/>
  <c r="P281" i="1" s="1"/>
  <c r="D280" i="1"/>
  <c r="C280" i="1"/>
  <c r="P280" i="1" s="1" a="1"/>
  <c r="P280" i="1" s="1"/>
  <c r="D279" i="1"/>
  <c r="C279" i="1"/>
  <c r="P279" i="1" s="1" a="1"/>
  <c r="P279" i="1" s="1"/>
  <c r="D278" i="1"/>
  <c r="C278" i="1"/>
  <c r="P278" i="1" s="1" a="1"/>
  <c r="P278" i="1" s="1"/>
  <c r="D277" i="1"/>
  <c r="C277" i="1"/>
  <c r="P277" i="1" s="1" a="1"/>
  <c r="P277" i="1" s="1"/>
  <c r="D276" i="1"/>
  <c r="C276" i="1"/>
  <c r="P276" i="1" s="1" a="1"/>
  <c r="P276" i="1" s="1"/>
  <c r="D275" i="1"/>
  <c r="C275" i="1"/>
  <c r="P275" i="1" s="1" a="1"/>
  <c r="P275" i="1" s="1"/>
  <c r="D274" i="1"/>
  <c r="C274" i="1"/>
  <c r="P274" i="1" s="1" a="1"/>
  <c r="P274" i="1" s="1"/>
  <c r="D273" i="1"/>
  <c r="C273" i="1"/>
  <c r="P273" i="1" s="1" a="1"/>
  <c r="P273" i="1" s="1"/>
  <c r="D272" i="1"/>
  <c r="C272" i="1"/>
  <c r="P272" i="1" s="1" a="1"/>
  <c r="P272" i="1" s="1"/>
  <c r="D271" i="1"/>
  <c r="C271" i="1"/>
  <c r="P271" i="1" s="1" a="1"/>
  <c r="P271" i="1" s="1"/>
  <c r="D270" i="1"/>
  <c r="C270" i="1"/>
  <c r="P270" i="1" s="1" a="1"/>
  <c r="P270" i="1" s="1"/>
  <c r="D269" i="1"/>
  <c r="C269" i="1"/>
  <c r="P269" i="1" s="1" a="1"/>
  <c r="P269" i="1" s="1"/>
  <c r="D268" i="1"/>
  <c r="C268" i="1"/>
  <c r="P268" i="1" s="1" a="1"/>
  <c r="P268" i="1" s="1"/>
  <c r="D267" i="1"/>
  <c r="C267" i="1"/>
  <c r="P267" i="1" s="1" a="1"/>
  <c r="P267" i="1" s="1"/>
  <c r="D266" i="1"/>
  <c r="C266" i="1"/>
  <c r="P266" i="1" s="1" a="1"/>
  <c r="P266" i="1" s="1"/>
  <c r="D265" i="1"/>
  <c r="C265" i="1"/>
  <c r="P265" i="1" s="1" a="1"/>
  <c r="P265" i="1" s="1"/>
  <c r="D264" i="1"/>
  <c r="C264" i="1"/>
  <c r="P264" i="1" s="1" a="1"/>
  <c r="P264" i="1" s="1"/>
  <c r="D263" i="1"/>
  <c r="C263" i="1"/>
  <c r="P263" i="1" s="1" a="1"/>
  <c r="P263" i="1" s="1"/>
  <c r="D262" i="1"/>
  <c r="C262" i="1"/>
  <c r="P262" i="1" s="1" a="1"/>
  <c r="P262" i="1" s="1"/>
  <c r="D261" i="1"/>
  <c r="C261" i="1"/>
  <c r="P261" i="1" s="1" a="1"/>
  <c r="P261" i="1" s="1"/>
  <c r="D260" i="1"/>
  <c r="C260" i="1"/>
  <c r="P260" i="1" s="1" a="1"/>
  <c r="P260" i="1" s="1"/>
  <c r="D259" i="1"/>
  <c r="C259" i="1"/>
  <c r="P259" i="1" s="1" a="1"/>
  <c r="P259" i="1" s="1"/>
  <c r="D258" i="1"/>
  <c r="C258" i="1"/>
  <c r="P258" i="1" s="1" a="1"/>
  <c r="P258" i="1" s="1"/>
  <c r="D257" i="1"/>
  <c r="C257" i="1"/>
  <c r="P257" i="1" s="1" a="1"/>
  <c r="P257" i="1" s="1"/>
  <c r="D256" i="1"/>
  <c r="C256" i="1"/>
  <c r="P256" i="1" s="1" a="1"/>
  <c r="P256" i="1" s="1"/>
  <c r="D255" i="1"/>
  <c r="C255" i="1"/>
  <c r="P255" i="1" s="1" a="1"/>
  <c r="P255" i="1" s="1"/>
  <c r="D254" i="1"/>
  <c r="C254" i="1"/>
  <c r="P254" i="1" s="1" a="1"/>
  <c r="P254" i="1" s="1"/>
  <c r="D253" i="1"/>
  <c r="C253" i="1"/>
  <c r="P253" i="1" s="1" a="1"/>
  <c r="P253" i="1" s="1"/>
  <c r="D252" i="1"/>
  <c r="C252" i="1"/>
  <c r="P252" i="1" s="1" a="1"/>
  <c r="P252" i="1" s="1"/>
  <c r="D251" i="1"/>
  <c r="C251" i="1"/>
  <c r="P251" i="1" s="1" a="1"/>
  <c r="P251" i="1" s="1"/>
  <c r="D250" i="1"/>
  <c r="C250" i="1"/>
  <c r="P250" i="1" s="1" a="1"/>
  <c r="P250" i="1" s="1"/>
  <c r="D249" i="1"/>
  <c r="C249" i="1"/>
  <c r="P249" i="1" s="1" a="1"/>
  <c r="P249" i="1" s="1"/>
  <c r="D248" i="1"/>
  <c r="C248" i="1"/>
  <c r="P248" i="1" s="1" a="1"/>
  <c r="P248" i="1" s="1"/>
  <c r="D247" i="1"/>
  <c r="C247" i="1"/>
  <c r="P247" i="1" s="1" a="1"/>
  <c r="P247" i="1" s="1"/>
  <c r="D246" i="1"/>
  <c r="C246" i="1"/>
  <c r="P246" i="1" s="1" a="1"/>
  <c r="P246" i="1" s="1"/>
  <c r="D245" i="1"/>
  <c r="C245" i="1"/>
  <c r="P245" i="1" s="1" a="1"/>
  <c r="P245" i="1" s="1"/>
  <c r="D244" i="1"/>
  <c r="C244" i="1"/>
  <c r="P244" i="1" s="1" a="1"/>
  <c r="P244" i="1" s="1"/>
  <c r="D243" i="1"/>
  <c r="C243" i="1"/>
  <c r="P243" i="1" s="1" a="1"/>
  <c r="P243" i="1" s="1"/>
  <c r="D242" i="1"/>
  <c r="C242" i="1"/>
  <c r="P242" i="1" s="1" a="1"/>
  <c r="P242" i="1" s="1"/>
  <c r="D241" i="1"/>
  <c r="C241" i="1"/>
  <c r="P241" i="1" s="1" a="1"/>
  <c r="P241" i="1" s="1"/>
  <c r="D240" i="1"/>
  <c r="C240" i="1"/>
  <c r="P240" i="1" s="1" a="1"/>
  <c r="P240" i="1" s="1"/>
  <c r="D239" i="1"/>
  <c r="C239" i="1"/>
  <c r="P239" i="1" s="1" a="1"/>
  <c r="P239" i="1" s="1"/>
  <c r="D238" i="1"/>
  <c r="C238" i="1"/>
  <c r="P238" i="1" s="1" a="1"/>
  <c r="P238" i="1" s="1"/>
  <c r="D237" i="1"/>
  <c r="C237" i="1"/>
  <c r="P237" i="1" s="1" a="1"/>
  <c r="P237" i="1" s="1"/>
  <c r="D236" i="1"/>
  <c r="C236" i="1"/>
  <c r="P236" i="1" s="1" a="1"/>
  <c r="P236" i="1" s="1"/>
  <c r="D235" i="1"/>
  <c r="C235" i="1"/>
  <c r="P235" i="1" s="1" a="1"/>
  <c r="P235" i="1" s="1"/>
  <c r="D234" i="1"/>
  <c r="C234" i="1"/>
  <c r="P234" i="1" s="1" a="1"/>
  <c r="P234" i="1" s="1"/>
  <c r="D233" i="1"/>
  <c r="C233" i="1"/>
  <c r="P233" i="1" s="1" a="1"/>
  <c r="P233" i="1" s="1"/>
  <c r="D232" i="1"/>
  <c r="C232" i="1"/>
  <c r="P232" i="1" s="1" a="1"/>
  <c r="P232" i="1" s="1"/>
  <c r="D231" i="1"/>
  <c r="C231" i="1"/>
  <c r="P231" i="1" s="1" a="1"/>
  <c r="P231" i="1" s="1"/>
  <c r="D230" i="1"/>
  <c r="C230" i="1"/>
  <c r="P230" i="1" s="1" a="1"/>
  <c r="P230" i="1" s="1"/>
  <c r="D229" i="1"/>
  <c r="C229" i="1"/>
  <c r="P229" i="1" s="1" a="1"/>
  <c r="P229" i="1" s="1"/>
  <c r="D228" i="1"/>
  <c r="C228" i="1"/>
  <c r="P228" i="1" s="1" a="1"/>
  <c r="P228" i="1" s="1"/>
  <c r="D227" i="1"/>
  <c r="C227" i="1"/>
  <c r="P227" i="1" s="1" a="1"/>
  <c r="P227" i="1" s="1"/>
  <c r="D226" i="1"/>
  <c r="C226" i="1"/>
  <c r="P226" i="1" s="1" a="1"/>
  <c r="P226" i="1" s="1"/>
  <c r="D225" i="1"/>
  <c r="C225" i="1"/>
  <c r="P225" i="1" s="1" a="1"/>
  <c r="P225" i="1" s="1"/>
  <c r="D224" i="1"/>
  <c r="C224" i="1"/>
  <c r="P224" i="1" s="1" a="1"/>
  <c r="P224" i="1" s="1"/>
  <c r="D223" i="1"/>
  <c r="C223" i="1"/>
  <c r="P223" i="1" s="1" a="1"/>
  <c r="P223" i="1" s="1"/>
  <c r="D222" i="1"/>
  <c r="C222" i="1"/>
  <c r="P222" i="1" s="1" a="1"/>
  <c r="P222" i="1" s="1"/>
  <c r="D221" i="1"/>
  <c r="C221" i="1"/>
  <c r="P221" i="1" s="1" a="1"/>
  <c r="P221" i="1" s="1"/>
  <c r="D220" i="1"/>
  <c r="C220" i="1"/>
  <c r="P220" i="1" s="1" a="1"/>
  <c r="P220" i="1" s="1"/>
  <c r="D219" i="1"/>
  <c r="C219" i="1"/>
  <c r="P219" i="1" s="1" a="1"/>
  <c r="P219" i="1" s="1"/>
  <c r="D218" i="1"/>
  <c r="C218" i="1"/>
  <c r="P218" i="1" s="1" a="1"/>
  <c r="P218" i="1" s="1"/>
  <c r="D217" i="1"/>
  <c r="C217" i="1"/>
  <c r="P217" i="1" s="1" a="1"/>
  <c r="P217" i="1" s="1"/>
  <c r="D216" i="1"/>
  <c r="C216" i="1"/>
  <c r="P216" i="1" s="1" a="1"/>
  <c r="P216" i="1" s="1"/>
  <c r="D215" i="1"/>
  <c r="C215" i="1"/>
  <c r="P215" i="1" s="1" a="1"/>
  <c r="P215" i="1" s="1"/>
  <c r="D214" i="1"/>
  <c r="C214" i="1"/>
  <c r="P214" i="1" s="1" a="1"/>
  <c r="P214" i="1" s="1"/>
  <c r="D213" i="1"/>
  <c r="C213" i="1"/>
  <c r="P213" i="1" s="1" a="1"/>
  <c r="P213" i="1" s="1"/>
  <c r="D212" i="1"/>
  <c r="C212" i="1"/>
  <c r="P212" i="1" s="1" a="1"/>
  <c r="P212" i="1" s="1"/>
  <c r="D211" i="1"/>
  <c r="C211" i="1"/>
  <c r="P211" i="1" s="1" a="1"/>
  <c r="P211" i="1" s="1"/>
  <c r="D210" i="1"/>
  <c r="C210" i="1"/>
  <c r="P210" i="1" s="1" a="1"/>
  <c r="P210" i="1" s="1"/>
  <c r="D209" i="1"/>
  <c r="C209" i="1"/>
  <c r="P209" i="1" s="1" a="1"/>
  <c r="P209" i="1" s="1"/>
  <c r="D208" i="1"/>
  <c r="C208" i="1"/>
  <c r="P208" i="1" s="1" a="1"/>
  <c r="P208" i="1" s="1"/>
  <c r="D207" i="1"/>
  <c r="C207" i="1"/>
  <c r="P207" i="1" s="1" a="1"/>
  <c r="P207" i="1" s="1"/>
  <c r="D206" i="1"/>
  <c r="C206" i="1"/>
  <c r="P206" i="1" s="1" a="1"/>
  <c r="P206" i="1" s="1"/>
  <c r="D205" i="1"/>
  <c r="C205" i="1"/>
  <c r="P205" i="1" s="1" a="1"/>
  <c r="P205" i="1" s="1"/>
  <c r="D204" i="1"/>
  <c r="C204" i="1"/>
  <c r="P204" i="1" s="1" a="1"/>
  <c r="P204" i="1" s="1"/>
  <c r="D203" i="1"/>
  <c r="C203" i="1"/>
  <c r="P203" i="1" s="1" a="1"/>
  <c r="P203" i="1" s="1"/>
  <c r="D202" i="1"/>
  <c r="C202" i="1"/>
  <c r="P202" i="1" s="1" a="1"/>
  <c r="P202" i="1" s="1"/>
  <c r="D201" i="1"/>
  <c r="C201" i="1"/>
  <c r="P201" i="1" s="1" a="1"/>
  <c r="P201" i="1" s="1"/>
  <c r="D200" i="1"/>
  <c r="C200" i="1"/>
  <c r="P200" i="1" s="1" a="1"/>
  <c r="P200" i="1" s="1"/>
  <c r="D199" i="1"/>
  <c r="C199" i="1"/>
  <c r="P199" i="1" s="1" a="1"/>
  <c r="P199" i="1" s="1"/>
  <c r="D198" i="1"/>
  <c r="C198" i="1"/>
  <c r="P198" i="1" s="1" a="1"/>
  <c r="P198" i="1" s="1"/>
  <c r="D197" i="1"/>
  <c r="C197" i="1"/>
  <c r="P197" i="1" s="1" a="1"/>
  <c r="P197" i="1" s="1"/>
  <c r="D196" i="1"/>
  <c r="C196" i="1"/>
  <c r="P196" i="1" s="1" a="1"/>
  <c r="P196" i="1" s="1"/>
  <c r="D195" i="1"/>
  <c r="C195" i="1"/>
  <c r="P195" i="1" s="1" a="1"/>
  <c r="P195" i="1" s="1"/>
  <c r="D194" i="1"/>
  <c r="C194" i="1"/>
  <c r="P194" i="1" s="1" a="1"/>
  <c r="P194" i="1" s="1"/>
  <c r="D193" i="1"/>
  <c r="C193" i="1"/>
  <c r="P193" i="1" s="1" a="1"/>
  <c r="P193" i="1" s="1"/>
  <c r="D192" i="1"/>
  <c r="C192" i="1"/>
  <c r="P192" i="1" s="1" a="1"/>
  <c r="P192" i="1" s="1"/>
  <c r="D191" i="1"/>
  <c r="C191" i="1"/>
  <c r="P191" i="1" s="1" a="1"/>
  <c r="P191" i="1" s="1"/>
  <c r="D190" i="1"/>
  <c r="C190" i="1"/>
  <c r="P190" i="1" s="1" a="1"/>
  <c r="P190" i="1" s="1"/>
  <c r="D189" i="1"/>
  <c r="C189" i="1"/>
  <c r="P189" i="1" s="1" a="1"/>
  <c r="P189" i="1" s="1"/>
  <c r="D188" i="1"/>
  <c r="C188" i="1"/>
  <c r="P188" i="1" s="1" a="1"/>
  <c r="P188" i="1" s="1"/>
  <c r="D187" i="1"/>
  <c r="C187" i="1"/>
  <c r="P187" i="1" s="1" a="1"/>
  <c r="P187" i="1" s="1"/>
  <c r="D186" i="1"/>
  <c r="C186" i="1"/>
  <c r="P186" i="1" s="1" a="1"/>
  <c r="P186" i="1" s="1"/>
  <c r="D185" i="1"/>
  <c r="C185" i="1"/>
  <c r="P185" i="1" s="1" a="1"/>
  <c r="P185" i="1" s="1"/>
  <c r="D184" i="1"/>
  <c r="C184" i="1"/>
  <c r="P184" i="1" s="1" a="1"/>
  <c r="P184" i="1" s="1"/>
  <c r="D183" i="1"/>
  <c r="C183" i="1"/>
  <c r="P183" i="1" s="1" a="1"/>
  <c r="P183" i="1" s="1"/>
  <c r="D182" i="1"/>
  <c r="C182" i="1"/>
  <c r="P182" i="1" s="1" a="1"/>
  <c r="P182" i="1" s="1"/>
  <c r="D181" i="1"/>
  <c r="C181" i="1"/>
  <c r="P181" i="1" s="1" a="1"/>
  <c r="P181" i="1" s="1"/>
  <c r="D180" i="1"/>
  <c r="C180" i="1"/>
  <c r="P180" i="1" s="1" a="1"/>
  <c r="P180" i="1" s="1"/>
  <c r="D179" i="1"/>
  <c r="C179" i="1"/>
  <c r="P179" i="1" s="1" a="1"/>
  <c r="P179" i="1" s="1"/>
  <c r="D178" i="1"/>
  <c r="C178" i="1"/>
  <c r="P178" i="1" s="1" a="1"/>
  <c r="P178" i="1" s="1"/>
  <c r="D177" i="1"/>
  <c r="C177" i="1"/>
  <c r="P177" i="1" s="1" a="1"/>
  <c r="P177" i="1" s="1"/>
  <c r="D176" i="1"/>
  <c r="C176" i="1"/>
  <c r="P176" i="1" s="1" a="1"/>
  <c r="P176" i="1" s="1"/>
  <c r="D175" i="1"/>
  <c r="C175" i="1"/>
  <c r="P175" i="1" s="1" a="1"/>
  <c r="P175" i="1" s="1"/>
  <c r="D174" i="1"/>
  <c r="C174" i="1"/>
  <c r="P174" i="1" s="1" a="1"/>
  <c r="P174" i="1" s="1"/>
  <c r="D173" i="1"/>
  <c r="C173" i="1"/>
  <c r="P173" i="1" s="1" a="1"/>
  <c r="P173" i="1" s="1"/>
  <c r="D172" i="1"/>
  <c r="C172" i="1"/>
  <c r="P172" i="1" s="1" a="1"/>
  <c r="P172" i="1" s="1"/>
  <c r="D171" i="1"/>
  <c r="C171" i="1"/>
  <c r="P171" i="1" s="1" a="1"/>
  <c r="P171" i="1" s="1"/>
  <c r="D170" i="1"/>
  <c r="C170" i="1"/>
  <c r="P170" i="1" s="1" a="1"/>
  <c r="P170" i="1" s="1"/>
  <c r="D169" i="1"/>
  <c r="C169" i="1"/>
  <c r="P169" i="1" s="1" a="1"/>
  <c r="P169" i="1" s="1"/>
  <c r="D168" i="1"/>
  <c r="C168" i="1"/>
  <c r="P168" i="1" s="1" a="1"/>
  <c r="P168" i="1" s="1"/>
  <c r="D167" i="1"/>
  <c r="C167" i="1"/>
  <c r="P167" i="1" s="1" a="1"/>
  <c r="P167" i="1" s="1"/>
  <c r="D166" i="1"/>
  <c r="C166" i="1"/>
  <c r="P166" i="1" s="1" a="1"/>
  <c r="P166" i="1" s="1"/>
  <c r="D165" i="1"/>
  <c r="C165" i="1"/>
  <c r="P165" i="1" s="1" a="1"/>
  <c r="P165" i="1" s="1"/>
  <c r="D164" i="1"/>
  <c r="C164" i="1"/>
  <c r="P164" i="1" s="1" a="1"/>
  <c r="P164" i="1" s="1"/>
  <c r="D163" i="1"/>
  <c r="C163" i="1"/>
  <c r="P163" i="1" s="1" a="1"/>
  <c r="P163" i="1" s="1"/>
  <c r="D162" i="1"/>
  <c r="C162" i="1"/>
  <c r="P162" i="1" s="1" a="1"/>
  <c r="P162" i="1" s="1"/>
  <c r="D161" i="1"/>
  <c r="C161" i="1"/>
  <c r="P161" i="1" s="1" a="1"/>
  <c r="P161" i="1" s="1"/>
  <c r="D160" i="1"/>
  <c r="C160" i="1"/>
  <c r="P160" i="1" s="1" a="1"/>
  <c r="P160" i="1" s="1"/>
  <c r="D159" i="1"/>
  <c r="C159" i="1"/>
  <c r="P159" i="1" s="1" a="1"/>
  <c r="P159" i="1" s="1"/>
  <c r="D158" i="1"/>
  <c r="C158" i="1"/>
  <c r="P158" i="1" s="1" a="1"/>
  <c r="P158" i="1" s="1"/>
  <c r="D157" i="1"/>
  <c r="C157" i="1"/>
  <c r="P157" i="1" s="1" a="1"/>
  <c r="P157" i="1" s="1"/>
  <c r="D156" i="1"/>
  <c r="C156" i="1"/>
  <c r="P156" i="1" s="1" a="1"/>
  <c r="P156" i="1" s="1"/>
  <c r="D155" i="1"/>
  <c r="C155" i="1"/>
  <c r="P155" i="1" s="1" a="1"/>
  <c r="P155" i="1" s="1"/>
  <c r="D154" i="1"/>
  <c r="C154" i="1"/>
  <c r="P154" i="1" s="1" a="1"/>
  <c r="P154" i="1" s="1"/>
  <c r="D153" i="1"/>
  <c r="C153" i="1"/>
  <c r="P153" i="1" s="1" a="1"/>
  <c r="P153" i="1" s="1"/>
  <c r="D152" i="1"/>
  <c r="C152" i="1"/>
  <c r="P152" i="1" s="1" a="1"/>
  <c r="P152" i="1" s="1"/>
  <c r="D151" i="1"/>
  <c r="C151" i="1"/>
  <c r="P151" i="1" s="1" a="1"/>
  <c r="P151" i="1" s="1"/>
  <c r="D150" i="1"/>
  <c r="C150" i="1"/>
  <c r="P150" i="1" s="1" a="1"/>
  <c r="P150" i="1" s="1"/>
  <c r="D149" i="1"/>
  <c r="C149" i="1"/>
  <c r="P149" i="1" s="1" a="1"/>
  <c r="P149" i="1" s="1"/>
  <c r="D148" i="1"/>
  <c r="C148" i="1"/>
  <c r="P148" i="1" s="1" a="1"/>
  <c r="P148" i="1" s="1"/>
  <c r="D147" i="1"/>
  <c r="C147" i="1"/>
  <c r="P147" i="1" s="1" a="1"/>
  <c r="P147" i="1" s="1"/>
  <c r="D146" i="1"/>
  <c r="C146" i="1"/>
  <c r="P146" i="1" s="1" a="1"/>
  <c r="P146" i="1" s="1"/>
  <c r="D145" i="1"/>
  <c r="C145" i="1"/>
  <c r="P145" i="1" s="1" a="1"/>
  <c r="P145" i="1" s="1"/>
  <c r="D144" i="1"/>
  <c r="C144" i="1"/>
  <c r="P144" i="1" s="1" a="1"/>
  <c r="P144" i="1" s="1"/>
  <c r="D143" i="1"/>
  <c r="C143" i="1"/>
  <c r="P143" i="1" s="1" a="1"/>
  <c r="P143" i="1" s="1"/>
  <c r="D142" i="1"/>
  <c r="C142" i="1"/>
  <c r="P142" i="1" s="1" a="1"/>
  <c r="P142" i="1" s="1"/>
  <c r="D141" i="1"/>
  <c r="C141" i="1"/>
  <c r="P141" i="1" s="1" a="1"/>
  <c r="P141" i="1" s="1"/>
  <c r="D140" i="1"/>
  <c r="C140" i="1"/>
  <c r="P140" i="1" s="1" a="1"/>
  <c r="P140" i="1" s="1"/>
  <c r="D139" i="1"/>
  <c r="C139" i="1"/>
  <c r="P139" i="1" s="1" a="1"/>
  <c r="P139" i="1" s="1"/>
  <c r="D138" i="1"/>
  <c r="C138" i="1"/>
  <c r="P138" i="1" s="1" a="1"/>
  <c r="P138" i="1" s="1"/>
  <c r="D137" i="1"/>
  <c r="C137" i="1"/>
  <c r="P137" i="1" s="1" a="1"/>
  <c r="P137" i="1" s="1"/>
  <c r="D136" i="1"/>
  <c r="C136" i="1"/>
  <c r="P136" i="1" s="1" a="1"/>
  <c r="P136" i="1" s="1"/>
  <c r="D135" i="1"/>
  <c r="C135" i="1"/>
  <c r="P135" i="1" s="1" a="1"/>
  <c r="P135" i="1" s="1"/>
  <c r="D134" i="1"/>
  <c r="C134" i="1"/>
  <c r="P134" i="1" s="1" a="1"/>
  <c r="P134" i="1" s="1"/>
  <c r="D133" i="1"/>
  <c r="C133" i="1"/>
  <c r="P133" i="1" s="1" a="1"/>
  <c r="P133" i="1" s="1"/>
  <c r="D132" i="1"/>
  <c r="C132" i="1"/>
  <c r="P132" i="1" s="1" a="1"/>
  <c r="P132" i="1" s="1"/>
  <c r="D131" i="1"/>
  <c r="C131" i="1"/>
  <c r="P131" i="1" s="1" a="1"/>
  <c r="P131" i="1" s="1"/>
  <c r="D130" i="1"/>
  <c r="C130" i="1"/>
  <c r="P130" i="1" s="1" a="1"/>
  <c r="P130" i="1" s="1"/>
  <c r="D129" i="1"/>
  <c r="C129" i="1"/>
  <c r="P129" i="1" s="1" a="1"/>
  <c r="P129" i="1" s="1"/>
  <c r="D128" i="1"/>
  <c r="C128" i="1"/>
  <c r="P128" i="1" s="1" a="1"/>
  <c r="P128" i="1" s="1"/>
  <c r="D127" i="1"/>
  <c r="C127" i="1"/>
  <c r="P127" i="1" s="1" a="1"/>
  <c r="P127" i="1" s="1"/>
  <c r="D126" i="1"/>
  <c r="C126" i="1"/>
  <c r="P126" i="1" s="1" a="1"/>
  <c r="P126" i="1" s="1"/>
  <c r="D125" i="1"/>
  <c r="C125" i="1"/>
  <c r="P125" i="1" s="1" a="1"/>
  <c r="P125" i="1" s="1"/>
  <c r="D124" i="1"/>
  <c r="C124" i="1"/>
  <c r="P124" i="1" s="1" a="1"/>
  <c r="P124" i="1" s="1"/>
  <c r="D123" i="1"/>
  <c r="C123" i="1"/>
  <c r="P123" i="1" s="1" a="1"/>
  <c r="P123" i="1" s="1"/>
  <c r="D122" i="1"/>
  <c r="C122" i="1"/>
  <c r="P122" i="1" s="1" a="1"/>
  <c r="P122" i="1" s="1"/>
  <c r="D121" i="1"/>
  <c r="C121" i="1"/>
  <c r="P121" i="1" s="1" a="1"/>
  <c r="P121" i="1" s="1"/>
  <c r="D120" i="1"/>
  <c r="C120" i="1"/>
  <c r="P120" i="1" s="1" a="1"/>
  <c r="P120" i="1" s="1"/>
  <c r="D119" i="1"/>
  <c r="C119" i="1"/>
  <c r="P119" i="1" s="1" a="1"/>
  <c r="P119" i="1" s="1"/>
  <c r="D118" i="1"/>
  <c r="C118" i="1"/>
  <c r="P118" i="1" s="1" a="1"/>
  <c r="P118" i="1" s="1"/>
  <c r="D117" i="1"/>
  <c r="C117" i="1"/>
  <c r="P117" i="1" s="1" a="1"/>
  <c r="P117" i="1" s="1"/>
  <c r="D116" i="1"/>
  <c r="C116" i="1"/>
  <c r="P116" i="1" s="1" a="1"/>
  <c r="P116" i="1" s="1"/>
  <c r="D115" i="1"/>
  <c r="C115" i="1"/>
  <c r="P115" i="1" s="1" a="1"/>
  <c r="P115" i="1" s="1"/>
  <c r="D114" i="1"/>
  <c r="C114" i="1"/>
  <c r="P114" i="1" s="1" a="1"/>
  <c r="P114" i="1" s="1"/>
  <c r="D113" i="1"/>
  <c r="C113" i="1"/>
  <c r="P113" i="1" s="1" a="1"/>
  <c r="P113" i="1" s="1"/>
  <c r="D112" i="1"/>
  <c r="C112" i="1"/>
  <c r="P112" i="1" s="1" a="1"/>
  <c r="P112" i="1" s="1"/>
  <c r="D111" i="1"/>
  <c r="C111" i="1"/>
  <c r="P111" i="1" s="1" a="1"/>
  <c r="P111" i="1" s="1"/>
  <c r="D110" i="1"/>
  <c r="C110" i="1"/>
  <c r="P110" i="1" s="1" a="1"/>
  <c r="P110" i="1" s="1"/>
  <c r="D109" i="1"/>
  <c r="C109" i="1"/>
  <c r="P109" i="1" s="1" a="1"/>
  <c r="P109" i="1" s="1"/>
  <c r="D108" i="1"/>
  <c r="C108" i="1"/>
  <c r="P108" i="1" s="1" a="1"/>
  <c r="P108" i="1" s="1"/>
  <c r="D107" i="1"/>
  <c r="C107" i="1"/>
  <c r="P107" i="1" s="1" a="1"/>
  <c r="P107" i="1" s="1"/>
  <c r="D106" i="1"/>
  <c r="C106" i="1"/>
  <c r="P106" i="1" s="1" a="1"/>
  <c r="P106" i="1" s="1"/>
  <c r="D105" i="1"/>
  <c r="C105" i="1"/>
  <c r="P105" i="1" s="1" a="1"/>
  <c r="P105" i="1" s="1"/>
  <c r="D104" i="1"/>
  <c r="C104" i="1"/>
  <c r="P104" i="1" s="1" a="1"/>
  <c r="P104" i="1" s="1"/>
  <c r="D103" i="1"/>
  <c r="C103" i="1"/>
  <c r="P103" i="1" s="1" a="1"/>
  <c r="P103" i="1" s="1"/>
  <c r="D102" i="1"/>
  <c r="C102" i="1"/>
  <c r="P102" i="1" s="1" a="1"/>
  <c r="P102" i="1" s="1"/>
  <c r="D101" i="1"/>
  <c r="C101" i="1"/>
  <c r="P101" i="1" s="1" a="1"/>
  <c r="P101" i="1" s="1"/>
  <c r="D100" i="1"/>
  <c r="C100" i="1"/>
  <c r="P100" i="1" s="1" a="1"/>
  <c r="P100" i="1" s="1"/>
  <c r="D99" i="1"/>
  <c r="C99" i="1"/>
  <c r="P99" i="1" s="1" a="1"/>
  <c r="P99" i="1" s="1"/>
  <c r="D98" i="1"/>
  <c r="C98" i="1"/>
  <c r="P98" i="1" s="1" a="1"/>
  <c r="P98" i="1" s="1"/>
  <c r="D97" i="1"/>
  <c r="C97" i="1"/>
  <c r="P97" i="1" s="1" a="1"/>
  <c r="P97" i="1" s="1"/>
  <c r="D96" i="1"/>
  <c r="C96" i="1"/>
  <c r="P96" i="1" s="1" a="1"/>
  <c r="P96" i="1" s="1"/>
  <c r="D95" i="1"/>
  <c r="C95" i="1"/>
  <c r="P95" i="1" s="1" a="1"/>
  <c r="P95" i="1" s="1"/>
  <c r="D94" i="1"/>
  <c r="C94" i="1"/>
  <c r="P94" i="1" s="1" a="1"/>
  <c r="P94" i="1" s="1"/>
  <c r="D93" i="1"/>
  <c r="C93" i="1"/>
  <c r="P93" i="1" s="1" a="1"/>
  <c r="P93" i="1" s="1"/>
  <c r="D92" i="1"/>
  <c r="C92" i="1"/>
  <c r="P92" i="1" s="1" a="1"/>
  <c r="P92" i="1" s="1"/>
  <c r="D91" i="1"/>
  <c r="C91" i="1"/>
  <c r="P91" i="1" s="1" a="1"/>
  <c r="P91" i="1" s="1"/>
  <c r="D90" i="1"/>
  <c r="C90" i="1"/>
  <c r="P90" i="1" s="1" a="1"/>
  <c r="P90" i="1" s="1"/>
  <c r="D89" i="1"/>
  <c r="C89" i="1"/>
  <c r="P89" i="1" s="1" a="1"/>
  <c r="P89" i="1" s="1"/>
  <c r="D88" i="1"/>
  <c r="C88" i="1"/>
  <c r="P88" i="1" s="1" a="1"/>
  <c r="P88" i="1" s="1"/>
  <c r="D87" i="1"/>
  <c r="C87" i="1"/>
  <c r="P87" i="1" s="1" a="1"/>
  <c r="P87" i="1" s="1"/>
  <c r="D86" i="1"/>
  <c r="C86" i="1"/>
  <c r="P86" i="1" s="1" a="1"/>
  <c r="P86" i="1" s="1"/>
  <c r="D85" i="1"/>
  <c r="C85" i="1"/>
  <c r="P85" i="1" s="1" a="1"/>
  <c r="P85" i="1" s="1"/>
  <c r="D84" i="1"/>
  <c r="C84" i="1"/>
  <c r="P84" i="1" s="1" a="1"/>
  <c r="P84" i="1" s="1"/>
  <c r="D83" i="1"/>
  <c r="C83" i="1"/>
  <c r="P83" i="1" s="1" a="1"/>
  <c r="P83" i="1" s="1"/>
  <c r="D82" i="1"/>
  <c r="C82" i="1"/>
  <c r="P82" i="1" s="1" a="1"/>
  <c r="P82" i="1" s="1"/>
  <c r="D81" i="1"/>
  <c r="C81" i="1"/>
  <c r="P81" i="1" s="1" a="1"/>
  <c r="P81" i="1" s="1"/>
  <c r="D80" i="1"/>
  <c r="C80" i="1"/>
  <c r="P80" i="1" s="1" a="1"/>
  <c r="P80" i="1" s="1"/>
  <c r="D79" i="1"/>
  <c r="C79" i="1"/>
  <c r="P79" i="1" s="1" a="1"/>
  <c r="P79" i="1" s="1"/>
  <c r="D78" i="1"/>
  <c r="C78" i="1"/>
  <c r="P78" i="1" s="1" a="1"/>
  <c r="P78" i="1" s="1"/>
  <c r="D77" i="1"/>
  <c r="C77" i="1"/>
  <c r="P77" i="1" s="1" a="1"/>
  <c r="P77" i="1" s="1"/>
  <c r="D76" i="1"/>
  <c r="C76" i="1"/>
  <c r="P76" i="1" s="1" a="1"/>
  <c r="P76" i="1" s="1"/>
  <c r="D75" i="1"/>
  <c r="C75" i="1"/>
  <c r="P75" i="1" s="1" a="1"/>
  <c r="P75" i="1" s="1"/>
  <c r="D74" i="1"/>
  <c r="C74" i="1"/>
  <c r="P74" i="1" s="1" a="1"/>
  <c r="P74" i="1" s="1"/>
  <c r="D73" i="1"/>
  <c r="C73" i="1"/>
  <c r="P73" i="1" s="1" a="1"/>
  <c r="P73" i="1" s="1"/>
  <c r="D72" i="1"/>
  <c r="C72" i="1"/>
  <c r="P72" i="1" s="1" a="1"/>
  <c r="P72" i="1" s="1"/>
  <c r="D71" i="1"/>
  <c r="C71" i="1"/>
  <c r="P71" i="1" s="1" a="1"/>
  <c r="P71" i="1" s="1"/>
  <c r="D70" i="1"/>
  <c r="C70" i="1"/>
  <c r="P70" i="1" s="1" a="1"/>
  <c r="P70" i="1" s="1"/>
  <c r="D69" i="1"/>
  <c r="C69" i="1"/>
  <c r="P69" i="1" s="1" a="1"/>
  <c r="P69" i="1" s="1"/>
  <c r="D68" i="1"/>
  <c r="C68" i="1"/>
  <c r="P68" i="1" s="1" a="1"/>
  <c r="P68" i="1" s="1"/>
  <c r="D67" i="1"/>
  <c r="C67" i="1"/>
  <c r="P67" i="1" s="1" a="1"/>
  <c r="P67" i="1" s="1"/>
  <c r="D66" i="1"/>
  <c r="C66" i="1"/>
  <c r="P66" i="1" s="1" a="1"/>
  <c r="P66" i="1" s="1"/>
  <c r="D65" i="1"/>
  <c r="C65" i="1"/>
  <c r="P65" i="1" s="1" a="1"/>
  <c r="P65" i="1" s="1"/>
  <c r="D64" i="1"/>
  <c r="C64" i="1"/>
  <c r="P64" i="1" s="1" a="1"/>
  <c r="P64" i="1" s="1"/>
  <c r="D63" i="1"/>
  <c r="C63" i="1"/>
  <c r="P63" i="1" s="1" a="1"/>
  <c r="P63" i="1" s="1"/>
  <c r="D62" i="1"/>
  <c r="C62" i="1"/>
  <c r="P62" i="1" s="1" a="1"/>
  <c r="P62" i="1" s="1"/>
  <c r="D61" i="1"/>
  <c r="C61" i="1"/>
  <c r="P61" i="1" s="1" a="1"/>
  <c r="P61" i="1" s="1"/>
  <c r="D60" i="1"/>
  <c r="C60" i="1"/>
  <c r="P60" i="1" s="1" a="1"/>
  <c r="P60" i="1" s="1"/>
  <c r="D59" i="1"/>
  <c r="C59" i="1"/>
  <c r="P59" i="1" s="1" a="1"/>
  <c r="P59" i="1" s="1"/>
  <c r="D58" i="1"/>
  <c r="C58" i="1"/>
  <c r="P58" i="1" s="1" a="1"/>
  <c r="P58" i="1" s="1"/>
  <c r="D57" i="1"/>
  <c r="C57" i="1"/>
  <c r="P57" i="1" s="1" a="1"/>
  <c r="P57" i="1" s="1"/>
  <c r="D56" i="1"/>
  <c r="C56" i="1"/>
  <c r="P56" i="1" s="1" a="1"/>
  <c r="P56" i="1" s="1"/>
  <c r="D55" i="1"/>
  <c r="C55" i="1"/>
  <c r="P55" i="1" s="1" a="1"/>
  <c r="P55" i="1" s="1"/>
  <c r="D54" i="1"/>
  <c r="C54" i="1"/>
  <c r="P54" i="1" s="1" a="1"/>
  <c r="P54" i="1" s="1"/>
  <c r="D53" i="1"/>
  <c r="C53" i="1"/>
  <c r="P53" i="1" s="1" a="1"/>
  <c r="P53" i="1" s="1"/>
  <c r="D52" i="1"/>
  <c r="C52" i="1"/>
  <c r="P52" i="1" s="1" a="1"/>
  <c r="P52" i="1" s="1"/>
  <c r="D51" i="1"/>
  <c r="C51" i="1"/>
  <c r="P51" i="1" s="1" a="1"/>
  <c r="P51" i="1" s="1"/>
  <c r="D50" i="1"/>
  <c r="C50" i="1"/>
  <c r="P50" i="1" s="1" a="1"/>
  <c r="P50" i="1" s="1"/>
  <c r="D49" i="1"/>
  <c r="C49" i="1"/>
  <c r="P49" i="1" s="1" a="1"/>
  <c r="P49" i="1" s="1"/>
  <c r="D48" i="1"/>
  <c r="C48" i="1"/>
  <c r="P48" i="1" s="1" a="1"/>
  <c r="P48" i="1" s="1"/>
  <c r="D47" i="1"/>
  <c r="C47" i="1"/>
  <c r="P47" i="1" s="1" a="1"/>
  <c r="P47" i="1" s="1"/>
  <c r="D46" i="1"/>
  <c r="C46" i="1"/>
  <c r="P46" i="1" s="1" a="1"/>
  <c r="P46" i="1" s="1"/>
  <c r="D45" i="1"/>
  <c r="C45" i="1"/>
  <c r="P45" i="1" s="1" a="1"/>
  <c r="P45" i="1" s="1"/>
  <c r="D44" i="1"/>
  <c r="C44" i="1"/>
  <c r="P44" i="1" s="1" a="1"/>
  <c r="P44" i="1" s="1"/>
  <c r="D43" i="1"/>
  <c r="C43" i="1"/>
  <c r="P43" i="1" s="1" a="1"/>
  <c r="P43" i="1" s="1"/>
  <c r="D42" i="1"/>
  <c r="C42" i="1"/>
  <c r="P42" i="1" s="1" a="1"/>
  <c r="P42" i="1" s="1"/>
  <c r="D41" i="1"/>
  <c r="C41" i="1"/>
  <c r="P41" i="1" s="1" a="1"/>
  <c r="P41" i="1" s="1"/>
  <c r="D40" i="1"/>
  <c r="C40" i="1"/>
  <c r="P40" i="1" s="1" a="1"/>
  <c r="P40" i="1" s="1"/>
  <c r="D39" i="1"/>
  <c r="C39" i="1"/>
  <c r="P39" i="1" s="1" a="1"/>
  <c r="P39" i="1" s="1"/>
  <c r="D38" i="1"/>
  <c r="C38" i="1"/>
  <c r="P38" i="1" s="1" a="1"/>
  <c r="P38" i="1" s="1"/>
  <c r="D37" i="1"/>
  <c r="C37" i="1"/>
  <c r="P37" i="1" s="1" a="1"/>
  <c r="P37" i="1" s="1"/>
  <c r="D36" i="1"/>
  <c r="C36" i="1"/>
  <c r="P36" i="1" s="1" a="1"/>
  <c r="P36" i="1" s="1"/>
  <c r="D35" i="1"/>
  <c r="C35" i="1"/>
  <c r="P35" i="1" s="1" a="1"/>
  <c r="P35" i="1" s="1"/>
  <c r="D34" i="1"/>
  <c r="C34" i="1"/>
  <c r="P34" i="1" s="1" a="1"/>
  <c r="P34" i="1" s="1"/>
  <c r="D33" i="1"/>
  <c r="C33" i="1"/>
  <c r="P33" i="1" s="1" a="1"/>
  <c r="P33" i="1" s="1"/>
  <c r="D32" i="1"/>
  <c r="C32" i="1"/>
  <c r="P32" i="1" s="1" a="1"/>
  <c r="P32" i="1" s="1"/>
  <c r="D31" i="1"/>
  <c r="C31" i="1"/>
  <c r="P31" i="1" s="1" a="1"/>
  <c r="P31" i="1" s="1"/>
  <c r="D30" i="1"/>
  <c r="C30" i="1"/>
  <c r="P30" i="1" s="1" a="1"/>
  <c r="P30" i="1" s="1"/>
  <c r="D29" i="1"/>
  <c r="C29" i="1"/>
  <c r="P29" i="1" s="1" a="1"/>
  <c r="P29" i="1" s="1"/>
  <c r="D28" i="1"/>
  <c r="C28" i="1"/>
  <c r="P28" i="1" s="1" a="1"/>
  <c r="P28" i="1" s="1"/>
  <c r="D27" i="1"/>
  <c r="C27" i="1"/>
  <c r="P27" i="1" s="1" a="1"/>
  <c r="P27" i="1" s="1"/>
  <c r="D26" i="1"/>
  <c r="C26" i="1"/>
  <c r="P26" i="1" s="1" a="1"/>
  <c r="P26" i="1" s="1"/>
  <c r="D25" i="1"/>
  <c r="C25" i="1"/>
  <c r="P25" i="1" s="1" a="1"/>
  <c r="P25" i="1" s="1"/>
  <c r="D24" i="1"/>
  <c r="C24" i="1"/>
  <c r="P24" i="1" s="1" a="1"/>
  <c r="P24" i="1" s="1"/>
  <c r="D23" i="1"/>
  <c r="C23" i="1"/>
  <c r="P23" i="1" s="1" a="1"/>
  <c r="P23" i="1" s="1"/>
  <c r="D22" i="1"/>
  <c r="C22" i="1"/>
  <c r="P22" i="1" s="1" a="1"/>
  <c r="P22" i="1" s="1"/>
  <c r="D21" i="1"/>
  <c r="C21" i="1"/>
  <c r="P21" i="1" s="1" a="1"/>
  <c r="P21" i="1" s="1"/>
  <c r="D20" i="1"/>
  <c r="C20" i="1"/>
  <c r="P20" i="1" s="1" a="1"/>
  <c r="P20" i="1" s="1"/>
  <c r="D19" i="1"/>
  <c r="C19" i="1"/>
  <c r="P19" i="1" s="1" a="1"/>
  <c r="P19" i="1" s="1"/>
  <c r="D18" i="1"/>
  <c r="C18" i="1"/>
  <c r="P18" i="1" s="1" a="1"/>
  <c r="P18" i="1" s="1"/>
  <c r="D17" i="1"/>
  <c r="C17" i="1"/>
  <c r="P17" i="1" s="1" a="1"/>
  <c r="P17" i="1" s="1"/>
  <c r="D16" i="1"/>
  <c r="C16" i="1"/>
  <c r="P16" i="1" s="1" a="1"/>
  <c r="P16" i="1" s="1"/>
  <c r="D15" i="1"/>
  <c r="C15" i="1"/>
  <c r="P15" i="1" s="1" a="1"/>
  <c r="P15" i="1" s="1"/>
  <c r="D14" i="1"/>
  <c r="C14" i="1"/>
  <c r="P14" i="1" s="1" a="1"/>
  <c r="P14" i="1" s="1"/>
  <c r="D13" i="1"/>
  <c r="C13" i="1"/>
  <c r="P13" i="1" s="1" a="1"/>
  <c r="P13" i="1" s="1"/>
  <c r="D12" i="1"/>
  <c r="C12" i="1"/>
  <c r="P12" i="1" s="1" a="1"/>
  <c r="P12" i="1" s="1"/>
  <c r="D11" i="1"/>
  <c r="C11" i="1"/>
  <c r="P11" i="1" s="1" a="1"/>
  <c r="P11" i="1" s="1"/>
  <c r="D10" i="1"/>
  <c r="C10" i="1"/>
  <c r="P10" i="1" s="1" a="1"/>
  <c r="P10" i="1" s="1"/>
  <c r="D9" i="1"/>
  <c r="C9" i="1"/>
  <c r="P9" i="1" s="1" a="1"/>
  <c r="P9" i="1" s="1"/>
  <c r="D8" i="1"/>
  <c r="C8" i="1"/>
  <c r="P8" i="1" s="1" a="1"/>
  <c r="P8" i="1" s="1"/>
  <c r="D7" i="1"/>
  <c r="C7" i="1"/>
  <c r="P7" i="1" s="1" a="1"/>
  <c r="P7" i="1" s="1"/>
  <c r="D6" i="1"/>
  <c r="C6" i="1"/>
  <c r="P6" i="1" s="1" a="1"/>
  <c r="P6" i="1" s="1"/>
  <c r="D5" i="1"/>
  <c r="C5" i="1"/>
  <c r="P5" i="1" s="1" a="1"/>
  <c r="P5" i="1" s="1"/>
  <c r="D4" i="1"/>
  <c r="C4" i="1"/>
  <c r="P4" i="1" s="1" a="1"/>
  <c r="P4" i="1" s="1"/>
  <c r="D3" i="1"/>
  <c r="C3" i="1"/>
  <c r="P3" i="1" s="1" a="1"/>
  <c r="P3" i="1" s="1"/>
  <c r="D2" i="1"/>
  <c r="C2" i="1"/>
  <c r="P2" i="1" s="1" a="1"/>
  <c r="P2" i="1" s="1"/>
  <c r="N1436" i="1" l="1" a="1"/>
  <c r="N1436" i="1" s="1"/>
  <c r="O1436" i="1" a="1"/>
  <c r="O1436" i="1" s="1"/>
  <c r="N663" i="1" a="1"/>
  <c r="N663" i="1" s="1"/>
  <c r="O663" i="1" a="1"/>
  <c r="O663" i="1" s="1"/>
  <c r="N657" i="1" a="1"/>
  <c r="N657" i="1" s="1"/>
  <c r="O657" i="1" a="1"/>
  <c r="O657" i="1" s="1"/>
  <c r="N38" i="1" a="1"/>
  <c r="N38" i="1" s="1"/>
  <c r="O38" i="1" a="1"/>
  <c r="O38" i="1" s="1"/>
  <c r="N86" i="1" a="1"/>
  <c r="N86" i="1" s="1"/>
  <c r="O86" i="1" a="1"/>
  <c r="O86" i="1" s="1"/>
  <c r="N116" i="1" a="1"/>
  <c r="N116" i="1" s="1"/>
  <c r="O116" i="1" a="1"/>
  <c r="O116" i="1" s="1"/>
  <c r="N140" i="1" a="1"/>
  <c r="N140" i="1" s="1"/>
  <c r="O140" i="1" a="1"/>
  <c r="O140" i="1" s="1"/>
  <c r="N164" i="1" a="1"/>
  <c r="N164" i="1" s="1"/>
  <c r="O164" i="1" a="1"/>
  <c r="O164" i="1" s="1"/>
  <c r="N218" i="1" a="1"/>
  <c r="N218" i="1" s="1"/>
  <c r="O218" i="1" a="1"/>
  <c r="O218" i="1" s="1"/>
  <c r="N338" i="1" a="1"/>
  <c r="N338" i="1" s="1"/>
  <c r="O338" i="1" a="1"/>
  <c r="O338" i="1" s="1"/>
  <c r="N368" i="1" a="1"/>
  <c r="N368" i="1" s="1"/>
  <c r="O368" i="1" a="1"/>
  <c r="O368" i="1" s="1"/>
  <c r="N392" i="1" a="1"/>
  <c r="N392" i="1" s="1"/>
  <c r="O392" i="1" a="1"/>
  <c r="O392" i="1" s="1"/>
  <c r="N422" i="1" a="1"/>
  <c r="N422" i="1" s="1"/>
  <c r="O422" i="1" a="1"/>
  <c r="O422" i="1" s="1"/>
  <c r="N452" i="1" a="1"/>
  <c r="N452" i="1" s="1"/>
  <c r="O452" i="1" a="1"/>
  <c r="O452" i="1" s="1"/>
  <c r="N494" i="1" a="1"/>
  <c r="N494" i="1" s="1"/>
  <c r="O494" i="1" a="1"/>
  <c r="O494" i="1" s="1"/>
  <c r="N542" i="1" a="1"/>
  <c r="N542" i="1" s="1"/>
  <c r="O542" i="1" a="1"/>
  <c r="O542" i="1" s="1"/>
  <c r="N578" i="1" a="1"/>
  <c r="N578" i="1" s="1"/>
  <c r="O578" i="1" a="1"/>
  <c r="O578" i="1" s="1"/>
  <c r="N626" i="1" a="1"/>
  <c r="N626" i="1" s="1"/>
  <c r="O626" i="1" a="1"/>
  <c r="O626" i="1" s="1"/>
  <c r="N668" i="1" a="1"/>
  <c r="N668" i="1" s="1"/>
  <c r="O668" i="1" a="1"/>
  <c r="O668" i="1" s="1"/>
  <c r="N716" i="1" a="1"/>
  <c r="N716" i="1" s="1"/>
  <c r="O716" i="1" a="1"/>
  <c r="O716" i="1" s="1"/>
  <c r="N752" i="1" a="1"/>
  <c r="N752" i="1" s="1"/>
  <c r="O752" i="1" a="1"/>
  <c r="O752" i="1" s="1"/>
  <c r="N800" i="1" a="1"/>
  <c r="N800" i="1" s="1"/>
  <c r="O800" i="1" a="1"/>
  <c r="O800" i="1" s="1"/>
  <c r="N836" i="1" a="1"/>
  <c r="N836" i="1" s="1"/>
  <c r="O836" i="1" a="1"/>
  <c r="O836" i="1" s="1"/>
  <c r="N884" i="1" a="1"/>
  <c r="N884" i="1" s="1"/>
  <c r="O884" i="1" a="1"/>
  <c r="O884" i="1" s="1"/>
  <c r="N926" i="1" a="1"/>
  <c r="N926" i="1" s="1"/>
  <c r="O926" i="1" a="1"/>
  <c r="O926" i="1" s="1"/>
  <c r="N974" i="1" a="1"/>
  <c r="N974" i="1" s="1"/>
  <c r="O974" i="1" a="1"/>
  <c r="O974" i="1" s="1"/>
  <c r="N1010" i="1" a="1"/>
  <c r="N1010" i="1" s="1"/>
  <c r="O1010" i="1" a="1"/>
  <c r="O1010" i="1" s="1"/>
  <c r="N1058" i="1" a="1"/>
  <c r="N1058" i="1" s="1"/>
  <c r="O1058" i="1" a="1"/>
  <c r="O1058" i="1" s="1"/>
  <c r="N1094" i="1" a="1"/>
  <c r="N1094" i="1" s="1"/>
  <c r="O1094" i="1" a="1"/>
  <c r="O1094" i="1" s="1"/>
  <c r="N1124" i="1" a="1"/>
  <c r="N1124" i="1" s="1"/>
  <c r="O1124" i="1" a="1"/>
  <c r="O1124" i="1" s="1"/>
  <c r="N1154" i="1" a="1"/>
  <c r="N1154" i="1" s="1"/>
  <c r="O1154" i="1" a="1"/>
  <c r="O1154" i="1" s="1"/>
  <c r="N1202" i="1" a="1"/>
  <c r="N1202" i="1" s="1"/>
  <c r="O1202" i="1" a="1"/>
  <c r="O1202" i="1" s="1"/>
  <c r="N1244" i="1" a="1"/>
  <c r="N1244" i="1" s="1"/>
  <c r="O1244" i="1" a="1"/>
  <c r="O1244" i="1" s="1"/>
  <c r="N1286" i="1" a="1"/>
  <c r="N1286" i="1" s="1"/>
  <c r="O1286" i="1" a="1"/>
  <c r="O1286" i="1" s="1"/>
  <c r="N1406" i="1" a="1"/>
  <c r="N1406" i="1" s="1"/>
  <c r="O1406" i="1" a="1"/>
  <c r="O1406" i="1" s="1"/>
  <c r="N9" i="1" a="1"/>
  <c r="N9" i="1" s="1"/>
  <c r="O9" i="1" a="1"/>
  <c r="O9" i="1" s="1"/>
  <c r="N45" i="1" a="1"/>
  <c r="N45" i="1" s="1"/>
  <c r="O45" i="1" a="1"/>
  <c r="O45" i="1" s="1"/>
  <c r="N87" i="1" a="1"/>
  <c r="N87" i="1" s="1"/>
  <c r="O87" i="1" a="1"/>
  <c r="O87" i="1" s="1"/>
  <c r="N117" i="1" a="1"/>
  <c r="N117" i="1" s="1"/>
  <c r="O117" i="1" a="1"/>
  <c r="O117" i="1" s="1"/>
  <c r="N159" i="1" a="1"/>
  <c r="N159" i="1" s="1"/>
  <c r="O159" i="1" a="1"/>
  <c r="O159" i="1" s="1"/>
  <c r="N213" i="1" a="1"/>
  <c r="N213" i="1" s="1"/>
  <c r="O213" i="1" a="1"/>
  <c r="O213" i="1" s="1"/>
  <c r="N315" i="1" a="1"/>
  <c r="N315" i="1" s="1"/>
  <c r="O315" i="1" a="1"/>
  <c r="O315" i="1" s="1"/>
  <c r="N351" i="1" a="1"/>
  <c r="N351" i="1" s="1"/>
  <c r="O351" i="1" a="1"/>
  <c r="O351" i="1" s="1"/>
  <c r="N387" i="1" a="1"/>
  <c r="N387" i="1" s="1"/>
  <c r="O387" i="1" a="1"/>
  <c r="O387" i="1" s="1"/>
  <c r="N423" i="1" a="1"/>
  <c r="N423" i="1" s="1"/>
  <c r="O423" i="1" a="1"/>
  <c r="O423" i="1" s="1"/>
  <c r="N453" i="1" a="1"/>
  <c r="N453" i="1" s="1"/>
  <c r="O453" i="1" a="1"/>
  <c r="O453" i="1" s="1"/>
  <c r="N495" i="1" a="1"/>
  <c r="N495" i="1" s="1"/>
  <c r="O495" i="1" a="1"/>
  <c r="O495" i="1" s="1"/>
  <c r="N537" i="1" a="1"/>
  <c r="N537" i="1" s="1"/>
  <c r="O537" i="1" a="1"/>
  <c r="O537" i="1" s="1"/>
  <c r="N651" i="1" a="1"/>
  <c r="N651" i="1" s="1"/>
  <c r="O651" i="1" a="1"/>
  <c r="O651" i="1" s="1"/>
  <c r="N8" i="1" a="1"/>
  <c r="N8" i="1" s="1"/>
  <c r="O8" i="1" a="1"/>
  <c r="O8" i="1" s="1"/>
  <c r="N44" i="1" a="1"/>
  <c r="N44" i="1" s="1"/>
  <c r="O44" i="1" a="1"/>
  <c r="O44" i="1" s="1"/>
  <c r="N74" i="1" a="1"/>
  <c r="N74" i="1" s="1"/>
  <c r="O74" i="1" a="1"/>
  <c r="O74" i="1" s="1"/>
  <c r="N110" i="1" a="1"/>
  <c r="N110" i="1" s="1"/>
  <c r="O110" i="1" a="1"/>
  <c r="O110" i="1" s="1"/>
  <c r="N134" i="1" a="1"/>
  <c r="N134" i="1" s="1"/>
  <c r="O134" i="1" a="1"/>
  <c r="O134" i="1" s="1"/>
  <c r="N158" i="1" a="1"/>
  <c r="N158" i="1" s="1"/>
  <c r="O158" i="1" a="1"/>
  <c r="O158" i="1" s="1"/>
  <c r="N194" i="1" a="1"/>
  <c r="N194" i="1" s="1"/>
  <c r="O194" i="1" a="1"/>
  <c r="O194" i="1" s="1"/>
  <c r="N236" i="1" a="1"/>
  <c r="N236" i="1" s="1"/>
  <c r="O236" i="1" a="1"/>
  <c r="O236" i="1" s="1"/>
  <c r="N266" i="1" a="1"/>
  <c r="N266" i="1" s="1"/>
  <c r="O266" i="1" a="1"/>
  <c r="O266" i="1" s="1"/>
  <c r="N296" i="1" a="1"/>
  <c r="N296" i="1" s="1"/>
  <c r="O296" i="1" a="1"/>
  <c r="O296" i="1" s="1"/>
  <c r="N326" i="1" a="1"/>
  <c r="N326" i="1" s="1"/>
  <c r="O326" i="1" a="1"/>
  <c r="O326" i="1" s="1"/>
  <c r="N362" i="1" a="1"/>
  <c r="N362" i="1" s="1"/>
  <c r="O362" i="1" a="1"/>
  <c r="O362" i="1" s="1"/>
  <c r="N386" i="1" a="1"/>
  <c r="N386" i="1" s="1"/>
  <c r="O386" i="1" a="1"/>
  <c r="O386" i="1" s="1"/>
  <c r="N410" i="1" a="1"/>
  <c r="N410" i="1" s="1"/>
  <c r="O410" i="1" a="1"/>
  <c r="O410" i="1" s="1"/>
  <c r="N440" i="1" a="1"/>
  <c r="N440" i="1" s="1"/>
  <c r="O440" i="1" a="1"/>
  <c r="O440" i="1" s="1"/>
  <c r="N482" i="1" a="1"/>
  <c r="N482" i="1" s="1"/>
  <c r="O482" i="1" a="1"/>
  <c r="O482" i="1" s="1"/>
  <c r="N518" i="1" a="1"/>
  <c r="N518" i="1" s="1"/>
  <c r="O518" i="1" a="1"/>
  <c r="O518" i="1" s="1"/>
  <c r="N572" i="1" a="1"/>
  <c r="N572" i="1" s="1"/>
  <c r="O572" i="1" a="1"/>
  <c r="O572" i="1" s="1"/>
  <c r="N608" i="1" a="1"/>
  <c r="N608" i="1" s="1"/>
  <c r="O608" i="1" a="1"/>
  <c r="O608" i="1" s="1"/>
  <c r="N656" i="1" a="1"/>
  <c r="N656" i="1" s="1"/>
  <c r="O656" i="1" a="1"/>
  <c r="O656" i="1" s="1"/>
  <c r="N692" i="1" a="1"/>
  <c r="N692" i="1" s="1"/>
  <c r="O692" i="1" a="1"/>
  <c r="O692" i="1" s="1"/>
  <c r="N740" i="1" a="1"/>
  <c r="N740" i="1" s="1"/>
  <c r="O740" i="1" a="1"/>
  <c r="O740" i="1" s="1"/>
  <c r="N776" i="1" a="1"/>
  <c r="N776" i="1" s="1"/>
  <c r="O776" i="1" a="1"/>
  <c r="O776" i="1" s="1"/>
  <c r="N830" i="1" a="1"/>
  <c r="N830" i="1" s="1"/>
  <c r="O830" i="1" a="1"/>
  <c r="O830" i="1" s="1"/>
  <c r="N866" i="1" a="1"/>
  <c r="N866" i="1" s="1"/>
  <c r="O866" i="1" a="1"/>
  <c r="O866" i="1" s="1"/>
  <c r="N914" i="1" a="1"/>
  <c r="N914" i="1" s="1"/>
  <c r="O914" i="1" a="1"/>
  <c r="O914" i="1" s="1"/>
  <c r="N956" i="1" a="1"/>
  <c r="N956" i="1" s="1"/>
  <c r="O956" i="1" a="1"/>
  <c r="O956" i="1" s="1"/>
  <c r="N1004" i="1" a="1"/>
  <c r="N1004" i="1" s="1"/>
  <c r="O1004" i="1" a="1"/>
  <c r="O1004" i="1" s="1"/>
  <c r="N1046" i="1" a="1"/>
  <c r="N1046" i="1" s="1"/>
  <c r="O1046" i="1" a="1"/>
  <c r="O1046" i="1" s="1"/>
  <c r="N1076" i="1" a="1"/>
  <c r="N1076" i="1" s="1"/>
  <c r="O1076" i="1" a="1"/>
  <c r="O1076" i="1" s="1"/>
  <c r="N1118" i="1" a="1"/>
  <c r="N1118" i="1" s="1"/>
  <c r="O1118" i="1" a="1"/>
  <c r="O1118" i="1" s="1"/>
  <c r="N1166" i="1" a="1"/>
  <c r="N1166" i="1" s="1"/>
  <c r="O1166" i="1" a="1"/>
  <c r="O1166" i="1" s="1"/>
  <c r="N1208" i="1" a="1"/>
  <c r="N1208" i="1" s="1"/>
  <c r="O1208" i="1" a="1"/>
  <c r="O1208" i="1" s="1"/>
  <c r="N1250" i="1" a="1"/>
  <c r="N1250" i="1" s="1"/>
  <c r="O1250" i="1" a="1"/>
  <c r="O1250" i="1" s="1"/>
  <c r="N1298" i="1" a="1"/>
  <c r="N1298" i="1" s="1"/>
  <c r="O1298" i="1" a="1"/>
  <c r="O1298" i="1" s="1"/>
  <c r="N1412" i="1" a="1"/>
  <c r="N1412" i="1" s="1"/>
  <c r="O1412" i="1" a="1"/>
  <c r="O1412" i="1" s="1"/>
  <c r="N27" i="1" a="1"/>
  <c r="N27" i="1" s="1"/>
  <c r="O27" i="1" a="1"/>
  <c r="O27" i="1" s="1"/>
  <c r="N63" i="1" a="1"/>
  <c r="N63" i="1" s="1"/>
  <c r="O63" i="1" a="1"/>
  <c r="O63" i="1" s="1"/>
  <c r="N93" i="1" a="1"/>
  <c r="N93" i="1" s="1"/>
  <c r="O93" i="1" a="1"/>
  <c r="O93" i="1" s="1"/>
  <c r="N135" i="1" a="1"/>
  <c r="N135" i="1" s="1"/>
  <c r="O135" i="1" a="1"/>
  <c r="O135" i="1" s="1"/>
  <c r="N165" i="1" a="1"/>
  <c r="N165" i="1" s="1"/>
  <c r="O165" i="1" a="1"/>
  <c r="O165" i="1" s="1"/>
  <c r="N195" i="1" a="1"/>
  <c r="N195" i="1" s="1"/>
  <c r="O195" i="1" a="1"/>
  <c r="O195" i="1" s="1"/>
  <c r="N237" i="1" a="1"/>
  <c r="N237" i="1" s="1"/>
  <c r="O237" i="1" a="1"/>
  <c r="O237" i="1" s="1"/>
  <c r="N261" i="1" a="1"/>
  <c r="N261" i="1" s="1"/>
  <c r="O261" i="1" a="1"/>
  <c r="O261" i="1" s="1"/>
  <c r="N291" i="1" a="1"/>
  <c r="N291" i="1" s="1"/>
  <c r="O291" i="1" a="1"/>
  <c r="O291" i="1" s="1"/>
  <c r="N327" i="1" a="1"/>
  <c r="N327" i="1" s="1"/>
  <c r="O327" i="1" a="1"/>
  <c r="O327" i="1" s="1"/>
  <c r="N363" i="1" a="1"/>
  <c r="N363" i="1" s="1"/>
  <c r="O363" i="1" a="1"/>
  <c r="O363" i="1" s="1"/>
  <c r="N405" i="1" a="1"/>
  <c r="N405" i="1" s="1"/>
  <c r="O405" i="1" a="1"/>
  <c r="O405" i="1" s="1"/>
  <c r="N435" i="1" a="1"/>
  <c r="N435" i="1" s="1"/>
  <c r="O435" i="1" a="1"/>
  <c r="O435" i="1" s="1"/>
  <c r="N471" i="1" a="1"/>
  <c r="N471" i="1" s="1"/>
  <c r="O471" i="1" a="1"/>
  <c r="O471" i="1" s="1"/>
  <c r="N513" i="1" a="1"/>
  <c r="N513" i="1" s="1"/>
  <c r="O513" i="1" a="1"/>
  <c r="O513" i="1" s="1"/>
  <c r="N543" i="1" a="1"/>
  <c r="N543" i="1" s="1"/>
  <c r="O543" i="1" a="1"/>
  <c r="O543" i="1" s="1"/>
  <c r="N579" i="1" a="1"/>
  <c r="N579" i="1" s="1"/>
  <c r="O579" i="1" a="1"/>
  <c r="O579" i="1" s="1"/>
  <c r="N693" i="1" a="1"/>
  <c r="N693" i="1" s="1"/>
  <c r="O693" i="1" a="1"/>
  <c r="O693" i="1" s="1"/>
  <c r="N669" i="1" a="1"/>
  <c r="N669" i="1" s="1"/>
  <c r="O669" i="1" a="1"/>
  <c r="O669" i="1" s="1"/>
  <c r="N675" i="1" a="1"/>
  <c r="N675" i="1" s="1"/>
  <c r="O675" i="1" a="1"/>
  <c r="O675" i="1" s="1"/>
  <c r="N470" i="1" a="1"/>
  <c r="N470" i="1" s="1"/>
  <c r="O470" i="1" a="1"/>
  <c r="O470" i="1" s="1"/>
  <c r="N506" i="1" a="1"/>
  <c r="N506" i="1" s="1"/>
  <c r="O506" i="1" a="1"/>
  <c r="O506" i="1" s="1"/>
  <c r="N530" i="1" a="1"/>
  <c r="N530" i="1" s="1"/>
  <c r="O530" i="1" a="1"/>
  <c r="O530" i="1" s="1"/>
  <c r="N554" i="1" a="1"/>
  <c r="N554" i="1" s="1"/>
  <c r="O554" i="1" a="1"/>
  <c r="O554" i="1" s="1"/>
  <c r="N596" i="1" a="1"/>
  <c r="N596" i="1" s="1"/>
  <c r="O596" i="1" a="1"/>
  <c r="O596" i="1" s="1"/>
  <c r="N620" i="1" a="1"/>
  <c r="N620" i="1" s="1"/>
  <c r="O620" i="1" a="1"/>
  <c r="O620" i="1" s="1"/>
  <c r="N644" i="1" a="1"/>
  <c r="N644" i="1" s="1"/>
  <c r="O644" i="1" a="1"/>
  <c r="O644" i="1" s="1"/>
  <c r="N674" i="1" a="1"/>
  <c r="N674" i="1" s="1"/>
  <c r="O674" i="1" a="1"/>
  <c r="O674" i="1" s="1"/>
  <c r="N710" i="1" a="1"/>
  <c r="N710" i="1" s="1"/>
  <c r="O710" i="1" a="1"/>
  <c r="O710" i="1" s="1"/>
  <c r="N734" i="1" a="1"/>
  <c r="N734" i="1" s="1"/>
  <c r="O734" i="1" a="1"/>
  <c r="O734" i="1" s="1"/>
  <c r="N764" i="1" a="1"/>
  <c r="N764" i="1" s="1"/>
  <c r="O764" i="1" a="1"/>
  <c r="O764" i="1" s="1"/>
  <c r="N788" i="1" a="1"/>
  <c r="N788" i="1" s="1"/>
  <c r="O788" i="1" a="1"/>
  <c r="O788" i="1" s="1"/>
  <c r="N812" i="1" a="1"/>
  <c r="N812" i="1" s="1"/>
  <c r="O812" i="1" a="1"/>
  <c r="O812" i="1" s="1"/>
  <c r="N842" i="1" a="1"/>
  <c r="N842" i="1" s="1"/>
  <c r="O842" i="1" a="1"/>
  <c r="O842" i="1" s="1"/>
  <c r="N878" i="1" a="1"/>
  <c r="N878" i="1" s="1"/>
  <c r="O878" i="1" a="1"/>
  <c r="O878" i="1" s="1"/>
  <c r="N902" i="1" a="1"/>
  <c r="N902" i="1" s="1"/>
  <c r="O902" i="1" a="1"/>
  <c r="O902" i="1" s="1"/>
  <c r="N938" i="1" a="1"/>
  <c r="N938" i="1" s="1"/>
  <c r="O938" i="1" a="1"/>
  <c r="O938" i="1" s="1"/>
  <c r="N968" i="1" a="1"/>
  <c r="N968" i="1" s="1"/>
  <c r="O968" i="1" a="1"/>
  <c r="O968" i="1" s="1"/>
  <c r="N992" i="1" a="1"/>
  <c r="N992" i="1" s="1"/>
  <c r="O992" i="1" a="1"/>
  <c r="O992" i="1" s="1"/>
  <c r="N1022" i="1" a="1"/>
  <c r="N1022" i="1" s="1"/>
  <c r="O1022" i="1" a="1"/>
  <c r="O1022" i="1" s="1"/>
  <c r="N1040" i="1" a="1"/>
  <c r="N1040" i="1" s="1"/>
  <c r="O1040" i="1" a="1"/>
  <c r="O1040" i="1" s="1"/>
  <c r="N1064" i="1" a="1"/>
  <c r="N1064" i="1" s="1"/>
  <c r="O1064" i="1" a="1"/>
  <c r="O1064" i="1" s="1"/>
  <c r="N1088" i="1" a="1"/>
  <c r="N1088" i="1" s="1"/>
  <c r="O1088" i="1" a="1"/>
  <c r="O1088" i="1" s="1"/>
  <c r="N1106" i="1" a="1"/>
  <c r="N1106" i="1" s="1"/>
  <c r="O1106" i="1" a="1"/>
  <c r="O1106" i="1" s="1"/>
  <c r="N1136" i="1" a="1"/>
  <c r="N1136" i="1" s="1"/>
  <c r="O1136" i="1" a="1"/>
  <c r="O1136" i="1" s="1"/>
  <c r="N1148" i="1" a="1"/>
  <c r="N1148" i="1" s="1"/>
  <c r="O1148" i="1" a="1"/>
  <c r="O1148" i="1" s="1"/>
  <c r="N1172" i="1" a="1"/>
  <c r="N1172" i="1" s="1"/>
  <c r="O1172" i="1" a="1"/>
  <c r="O1172" i="1" s="1"/>
  <c r="N1196" i="1" a="1"/>
  <c r="N1196" i="1" s="1"/>
  <c r="O1196" i="1" a="1"/>
  <c r="O1196" i="1" s="1"/>
  <c r="N1226" i="1" a="1"/>
  <c r="N1226" i="1" s="1"/>
  <c r="O1226" i="1" a="1"/>
  <c r="O1226" i="1" s="1"/>
  <c r="N1256" i="1" a="1"/>
  <c r="N1256" i="1" s="1"/>
  <c r="O1256" i="1" a="1"/>
  <c r="O1256" i="1" s="1"/>
  <c r="N1280" i="1" a="1"/>
  <c r="N1280" i="1" s="1"/>
  <c r="O1280" i="1" a="1"/>
  <c r="O1280" i="1" s="1"/>
  <c r="N1310" i="1" a="1"/>
  <c r="N1310" i="1" s="1"/>
  <c r="O1310" i="1" a="1"/>
  <c r="O1310" i="1" s="1"/>
  <c r="N1334" i="1" a="1"/>
  <c r="N1334" i="1" s="1"/>
  <c r="O1334" i="1" a="1"/>
  <c r="O1334" i="1" s="1"/>
  <c r="N1352" i="1" a="1"/>
  <c r="N1352" i="1" s="1"/>
  <c r="O1352" i="1" a="1"/>
  <c r="O1352" i="1" s="1"/>
  <c r="N1376" i="1" a="1"/>
  <c r="N1376" i="1" s="1"/>
  <c r="O1376" i="1" a="1"/>
  <c r="O1376" i="1" s="1"/>
  <c r="N1394" i="1" a="1"/>
  <c r="N1394" i="1" s="1"/>
  <c r="O1394" i="1" a="1"/>
  <c r="O1394" i="1" s="1"/>
  <c r="N1430" i="1" a="1"/>
  <c r="N1430" i="1" s="1"/>
  <c r="O1430" i="1" a="1"/>
  <c r="O1430" i="1" s="1"/>
  <c r="N3" i="1" a="1"/>
  <c r="N3" i="1" s="1"/>
  <c r="O3" i="1" a="1"/>
  <c r="O3" i="1" s="1"/>
  <c r="N21" i="1" a="1"/>
  <c r="N21" i="1" s="1"/>
  <c r="O21" i="1" a="1"/>
  <c r="O21" i="1" s="1"/>
  <c r="N39" i="1" a="1"/>
  <c r="N39" i="1" s="1"/>
  <c r="O39" i="1" a="1"/>
  <c r="O39" i="1" s="1"/>
  <c r="N57" i="1" a="1"/>
  <c r="N57" i="1" s="1"/>
  <c r="O57" i="1" a="1"/>
  <c r="O57" i="1" s="1"/>
  <c r="N81" i="1" a="1"/>
  <c r="N81" i="1" s="1"/>
  <c r="O81" i="1" a="1"/>
  <c r="O81" i="1" s="1"/>
  <c r="N105" i="1" a="1"/>
  <c r="N105" i="1" s="1"/>
  <c r="O105" i="1" a="1"/>
  <c r="O105" i="1" s="1"/>
  <c r="N123" i="1" a="1"/>
  <c r="N123" i="1" s="1"/>
  <c r="O123" i="1" a="1"/>
  <c r="O123" i="1" s="1"/>
  <c r="N147" i="1" a="1"/>
  <c r="N147" i="1" s="1"/>
  <c r="O147" i="1" a="1"/>
  <c r="O147" i="1" s="1"/>
  <c r="N171" i="1" a="1"/>
  <c r="N171" i="1" s="1"/>
  <c r="O171" i="1" a="1"/>
  <c r="O171" i="1" s="1"/>
  <c r="N189" i="1" a="1"/>
  <c r="N189" i="1" s="1"/>
  <c r="O189" i="1" a="1"/>
  <c r="O189" i="1" s="1"/>
  <c r="N207" i="1" a="1"/>
  <c r="N207" i="1" s="1"/>
  <c r="O207" i="1" a="1"/>
  <c r="O207" i="1" s="1"/>
  <c r="N231" i="1" a="1"/>
  <c r="N231" i="1" s="1"/>
  <c r="O231" i="1" a="1"/>
  <c r="O231" i="1" s="1"/>
  <c r="N249" i="1" a="1"/>
  <c r="N249" i="1" s="1"/>
  <c r="O249" i="1" a="1"/>
  <c r="O249" i="1" s="1"/>
  <c r="N273" i="1" a="1"/>
  <c r="N273" i="1" s="1"/>
  <c r="O273" i="1" a="1"/>
  <c r="O273" i="1" s="1"/>
  <c r="N285" i="1" a="1"/>
  <c r="N285" i="1" s="1"/>
  <c r="O285" i="1" a="1"/>
  <c r="O285" i="1" s="1"/>
  <c r="N309" i="1" a="1"/>
  <c r="N309" i="1" s="1"/>
  <c r="O309" i="1" a="1"/>
  <c r="O309" i="1" s="1"/>
  <c r="N333" i="1" a="1"/>
  <c r="N333" i="1" s="1"/>
  <c r="O333" i="1" a="1"/>
  <c r="O333" i="1" s="1"/>
  <c r="N345" i="1" a="1"/>
  <c r="N345" i="1" s="1"/>
  <c r="O345" i="1" a="1"/>
  <c r="O345" i="1" s="1"/>
  <c r="N375" i="1" a="1"/>
  <c r="N375" i="1" s="1"/>
  <c r="O375" i="1" a="1"/>
  <c r="O375" i="1" s="1"/>
  <c r="N393" i="1" a="1"/>
  <c r="N393" i="1" s="1"/>
  <c r="O393" i="1" a="1"/>
  <c r="O393" i="1" s="1"/>
  <c r="N417" i="1" a="1"/>
  <c r="N417" i="1" s="1"/>
  <c r="O417" i="1" a="1"/>
  <c r="O417" i="1" s="1"/>
  <c r="N441" i="1" a="1"/>
  <c r="N441" i="1" s="1"/>
  <c r="O441" i="1" a="1"/>
  <c r="O441" i="1" s="1"/>
  <c r="N465" i="1" a="1"/>
  <c r="N465" i="1" s="1"/>
  <c r="O465" i="1" a="1"/>
  <c r="O465" i="1" s="1"/>
  <c r="N483" i="1" a="1"/>
  <c r="N483" i="1" s="1"/>
  <c r="O483" i="1" a="1"/>
  <c r="O483" i="1" s="1"/>
  <c r="N501" i="1" a="1"/>
  <c r="N501" i="1" s="1"/>
  <c r="O501" i="1" a="1"/>
  <c r="O501" i="1" s="1"/>
  <c r="N525" i="1" a="1"/>
  <c r="N525" i="1" s="1"/>
  <c r="O525" i="1" a="1"/>
  <c r="O525" i="1" s="1"/>
  <c r="N549" i="1" a="1"/>
  <c r="N549" i="1" s="1"/>
  <c r="O549" i="1" a="1"/>
  <c r="O549" i="1" s="1"/>
  <c r="N567" i="1" a="1"/>
  <c r="N567" i="1" s="1"/>
  <c r="O567" i="1" a="1"/>
  <c r="O567" i="1" s="1"/>
  <c r="N585" i="1" a="1"/>
  <c r="N585" i="1" s="1"/>
  <c r="O585" i="1" a="1"/>
  <c r="O585" i="1" s="1"/>
  <c r="N597" i="1" a="1"/>
  <c r="N597" i="1" s="1"/>
  <c r="O597" i="1" a="1"/>
  <c r="O597" i="1" s="1"/>
  <c r="N609" i="1" a="1"/>
  <c r="N609" i="1" s="1"/>
  <c r="O609" i="1" a="1"/>
  <c r="O609" i="1" s="1"/>
  <c r="N621" i="1" a="1"/>
  <c r="N621" i="1" s="1"/>
  <c r="O621" i="1" a="1"/>
  <c r="O621" i="1" s="1"/>
  <c r="N633" i="1" a="1"/>
  <c r="N633" i="1" s="1"/>
  <c r="O633" i="1" a="1"/>
  <c r="O633" i="1" s="1"/>
  <c r="N681" i="1" a="1"/>
  <c r="N681" i="1" s="1"/>
  <c r="O681" i="1" a="1"/>
  <c r="O681" i="1" s="1"/>
  <c r="N687" i="1" a="1"/>
  <c r="N687" i="1" s="1"/>
  <c r="O687" i="1" a="1"/>
  <c r="O687" i="1" s="1"/>
  <c r="N14" i="1" a="1"/>
  <c r="N14" i="1" s="1"/>
  <c r="O14" i="1" a="1"/>
  <c r="O14" i="1" s="1"/>
  <c r="N32" i="1" a="1"/>
  <c r="N32" i="1" s="1"/>
  <c r="O32" i="1" a="1"/>
  <c r="O32" i="1" s="1"/>
  <c r="N56" i="1" a="1"/>
  <c r="N56" i="1" s="1"/>
  <c r="O56" i="1" a="1"/>
  <c r="O56" i="1" s="1"/>
  <c r="N68" i="1" a="1"/>
  <c r="N68" i="1" s="1"/>
  <c r="O68" i="1" a="1"/>
  <c r="O68" i="1" s="1"/>
  <c r="N98" i="1" a="1"/>
  <c r="N98" i="1" s="1"/>
  <c r="O98" i="1" a="1"/>
  <c r="O98" i="1" s="1"/>
  <c r="N176" i="1" a="1"/>
  <c r="N176" i="1" s="1"/>
  <c r="O176" i="1" a="1"/>
  <c r="O176" i="1" s="1"/>
  <c r="N188" i="1" a="1"/>
  <c r="N188" i="1" s="1"/>
  <c r="O188" i="1" a="1"/>
  <c r="O188" i="1" s="1"/>
  <c r="N206" i="1" a="1"/>
  <c r="N206" i="1" s="1"/>
  <c r="O206" i="1" a="1"/>
  <c r="O206" i="1" s="1"/>
  <c r="N224" i="1" a="1"/>
  <c r="N224" i="1" s="1"/>
  <c r="O224" i="1" a="1"/>
  <c r="O224" i="1" s="1"/>
  <c r="N242" i="1" a="1"/>
  <c r="N242" i="1" s="1"/>
  <c r="O242" i="1" a="1"/>
  <c r="O242" i="1" s="1"/>
  <c r="N260" i="1" a="1"/>
  <c r="N260" i="1" s="1"/>
  <c r="O260" i="1" a="1"/>
  <c r="O260" i="1" s="1"/>
  <c r="N278" i="1" a="1"/>
  <c r="N278" i="1" s="1"/>
  <c r="O278" i="1" a="1"/>
  <c r="O278" i="1" s="1"/>
  <c r="N290" i="1" a="1"/>
  <c r="N290" i="1" s="1"/>
  <c r="O290" i="1" a="1"/>
  <c r="O290" i="1" s="1"/>
  <c r="N308" i="1" a="1"/>
  <c r="N308" i="1" s="1"/>
  <c r="O308" i="1" a="1"/>
  <c r="O308" i="1" s="1"/>
  <c r="N332" i="1" a="1"/>
  <c r="N332" i="1" s="1"/>
  <c r="O332" i="1" a="1"/>
  <c r="O332" i="1" s="1"/>
  <c r="N350" i="1" a="1"/>
  <c r="N350" i="1" s="1"/>
  <c r="O350" i="1" a="1"/>
  <c r="O350" i="1" s="1"/>
  <c r="N434" i="1" a="1"/>
  <c r="N434" i="1" s="1"/>
  <c r="O434" i="1" a="1"/>
  <c r="O434" i="1" s="1"/>
  <c r="N458" i="1" a="1"/>
  <c r="N458" i="1" s="1"/>
  <c r="O458" i="1" a="1"/>
  <c r="O458" i="1" s="1"/>
  <c r="N476" i="1" a="1"/>
  <c r="N476" i="1" s="1"/>
  <c r="O476" i="1" a="1"/>
  <c r="O476" i="1" s="1"/>
  <c r="N512" i="1" a="1"/>
  <c r="N512" i="1" s="1"/>
  <c r="O512" i="1" a="1"/>
  <c r="O512" i="1" s="1"/>
  <c r="N536" i="1" a="1"/>
  <c r="N536" i="1" s="1"/>
  <c r="O536" i="1" a="1"/>
  <c r="O536" i="1" s="1"/>
  <c r="N560" i="1" a="1"/>
  <c r="N560" i="1" s="1"/>
  <c r="O560" i="1" a="1"/>
  <c r="O560" i="1" s="1"/>
  <c r="N590" i="1" a="1"/>
  <c r="N590" i="1" s="1"/>
  <c r="O590" i="1" a="1"/>
  <c r="O590" i="1" s="1"/>
  <c r="N614" i="1" a="1"/>
  <c r="N614" i="1" s="1"/>
  <c r="O614" i="1" a="1"/>
  <c r="O614" i="1" s="1"/>
  <c r="N650" i="1" a="1"/>
  <c r="N650" i="1" s="1"/>
  <c r="O650" i="1" a="1"/>
  <c r="O650" i="1" s="1"/>
  <c r="N680" i="1" a="1"/>
  <c r="N680" i="1" s="1"/>
  <c r="O680" i="1" a="1"/>
  <c r="O680" i="1" s="1"/>
  <c r="N698" i="1" a="1"/>
  <c r="N698" i="1" s="1"/>
  <c r="O698" i="1" a="1"/>
  <c r="O698" i="1" s="1"/>
  <c r="N728" i="1" a="1"/>
  <c r="N728" i="1" s="1"/>
  <c r="O728" i="1" a="1"/>
  <c r="O728" i="1" s="1"/>
  <c r="N758" i="1" a="1"/>
  <c r="N758" i="1" s="1"/>
  <c r="O758" i="1" a="1"/>
  <c r="O758" i="1" s="1"/>
  <c r="N794" i="1" a="1"/>
  <c r="N794" i="1" s="1"/>
  <c r="O794" i="1" a="1"/>
  <c r="O794" i="1" s="1"/>
  <c r="N818" i="1" a="1"/>
  <c r="N818" i="1" s="1"/>
  <c r="O818" i="1" a="1"/>
  <c r="O818" i="1" s="1"/>
  <c r="N854" i="1" a="1"/>
  <c r="N854" i="1" s="1"/>
  <c r="O854" i="1" a="1"/>
  <c r="O854" i="1" s="1"/>
  <c r="N872" i="1" a="1"/>
  <c r="N872" i="1" s="1"/>
  <c r="O872" i="1" a="1"/>
  <c r="O872" i="1" s="1"/>
  <c r="N908" i="1" a="1"/>
  <c r="N908" i="1" s="1"/>
  <c r="O908" i="1" a="1"/>
  <c r="O908" i="1" s="1"/>
  <c r="N932" i="1" a="1"/>
  <c r="N932" i="1" s="1"/>
  <c r="O932" i="1" a="1"/>
  <c r="O932" i="1" s="1"/>
  <c r="N950" i="1" a="1"/>
  <c r="N950" i="1" s="1"/>
  <c r="O950" i="1" a="1"/>
  <c r="O950" i="1" s="1"/>
  <c r="N986" i="1" a="1"/>
  <c r="N986" i="1" s="1"/>
  <c r="O986" i="1" a="1"/>
  <c r="O986" i="1" s="1"/>
  <c r="N1028" i="1" a="1"/>
  <c r="N1028" i="1" s="1"/>
  <c r="O1028" i="1" a="1"/>
  <c r="O1028" i="1" s="1"/>
  <c r="N1184" i="1" a="1"/>
  <c r="N1184" i="1" s="1"/>
  <c r="O1184" i="1" a="1"/>
  <c r="O1184" i="1" s="1"/>
  <c r="N1214" i="1" a="1"/>
  <c r="N1214" i="1" s="1"/>
  <c r="O1214" i="1" a="1"/>
  <c r="O1214" i="1" s="1"/>
  <c r="N1238" i="1" a="1"/>
  <c r="N1238" i="1" s="1"/>
  <c r="O1238" i="1" a="1"/>
  <c r="O1238" i="1" s="1"/>
  <c r="N1274" i="1" a="1"/>
  <c r="N1274" i="1" s="1"/>
  <c r="O1274" i="1" a="1"/>
  <c r="O1274" i="1" s="1"/>
  <c r="N1304" i="1" a="1"/>
  <c r="N1304" i="1" s="1"/>
  <c r="O1304" i="1" a="1"/>
  <c r="O1304" i="1" s="1"/>
  <c r="N1328" i="1" a="1"/>
  <c r="N1328" i="1" s="1"/>
  <c r="O1328" i="1" a="1"/>
  <c r="O1328" i="1" s="1"/>
  <c r="N1346" i="1" a="1"/>
  <c r="N1346" i="1" s="1"/>
  <c r="O1346" i="1" a="1"/>
  <c r="O1346" i="1" s="1"/>
  <c r="N1370" i="1" a="1"/>
  <c r="N1370" i="1" s="1"/>
  <c r="O1370" i="1" a="1"/>
  <c r="O1370" i="1" s="1"/>
  <c r="N1388" i="1" a="1"/>
  <c r="N1388" i="1" s="1"/>
  <c r="O1388" i="1" a="1"/>
  <c r="O1388" i="1" s="1"/>
  <c r="N1418" i="1" a="1"/>
  <c r="N1418" i="1" s="1"/>
  <c r="O1418" i="1" a="1"/>
  <c r="O1418" i="1" s="1"/>
  <c r="N711" i="1" a="1"/>
  <c r="N711" i="1" s="1"/>
  <c r="O711" i="1" a="1"/>
  <c r="O711" i="1" s="1"/>
  <c r="N2" i="1" a="1"/>
  <c r="N2" i="1" s="1"/>
  <c r="O2" i="1" a="1"/>
  <c r="O2" i="1" s="1"/>
  <c r="N20" i="1" a="1"/>
  <c r="N20" i="1" s="1"/>
  <c r="O20" i="1" a="1"/>
  <c r="O20" i="1" s="1"/>
  <c r="N26" i="1" a="1"/>
  <c r="N26" i="1" s="1"/>
  <c r="O26" i="1" a="1"/>
  <c r="O26" i="1" s="1"/>
  <c r="N50" i="1" a="1"/>
  <c r="N50" i="1" s="1"/>
  <c r="O50" i="1" a="1"/>
  <c r="O50" i="1" s="1"/>
  <c r="N62" i="1" a="1"/>
  <c r="N62" i="1" s="1"/>
  <c r="O62" i="1" a="1"/>
  <c r="O62" i="1" s="1"/>
  <c r="N80" i="1" a="1"/>
  <c r="N80" i="1" s="1"/>
  <c r="O80" i="1" a="1"/>
  <c r="O80" i="1" s="1"/>
  <c r="N92" i="1" a="1"/>
  <c r="N92" i="1" s="1"/>
  <c r="O92" i="1" a="1"/>
  <c r="O92" i="1" s="1"/>
  <c r="N104" i="1" a="1"/>
  <c r="N104" i="1" s="1"/>
  <c r="O104" i="1" a="1"/>
  <c r="O104" i="1" s="1"/>
  <c r="N122" i="1" a="1"/>
  <c r="N122" i="1" s="1"/>
  <c r="O122" i="1" a="1"/>
  <c r="O122" i="1" s="1"/>
  <c r="N128" i="1" a="1"/>
  <c r="N128" i="1" s="1"/>
  <c r="O128" i="1" a="1"/>
  <c r="O128" i="1" s="1"/>
  <c r="N146" i="1" a="1"/>
  <c r="N146" i="1" s="1"/>
  <c r="O146" i="1" a="1"/>
  <c r="O146" i="1" s="1"/>
  <c r="N152" i="1" a="1"/>
  <c r="N152" i="1" s="1"/>
  <c r="O152" i="1" a="1"/>
  <c r="O152" i="1" s="1"/>
  <c r="N170" i="1" a="1"/>
  <c r="N170" i="1" s="1"/>
  <c r="O170" i="1" a="1"/>
  <c r="O170" i="1" s="1"/>
  <c r="N182" i="1" a="1"/>
  <c r="N182" i="1" s="1"/>
  <c r="O182" i="1" a="1"/>
  <c r="O182" i="1" s="1"/>
  <c r="N200" i="1" a="1"/>
  <c r="N200" i="1" s="1"/>
  <c r="O200" i="1" a="1"/>
  <c r="O200" i="1" s="1"/>
  <c r="N212" i="1" a="1"/>
  <c r="N212" i="1" s="1"/>
  <c r="O212" i="1" a="1"/>
  <c r="O212" i="1" s="1"/>
  <c r="N230" i="1" a="1"/>
  <c r="N230" i="1" s="1"/>
  <c r="O230" i="1" a="1"/>
  <c r="O230" i="1" s="1"/>
  <c r="N248" i="1" a="1"/>
  <c r="N248" i="1" s="1"/>
  <c r="O248" i="1" a="1"/>
  <c r="O248" i="1" s="1"/>
  <c r="N254" i="1" a="1"/>
  <c r="N254" i="1" s="1"/>
  <c r="O254" i="1" a="1"/>
  <c r="O254" i="1" s="1"/>
  <c r="N272" i="1" a="1"/>
  <c r="N272" i="1" s="1"/>
  <c r="O272" i="1" a="1"/>
  <c r="O272" i="1" s="1"/>
  <c r="N284" i="1" a="1"/>
  <c r="N284" i="1" s="1"/>
  <c r="O284" i="1" a="1"/>
  <c r="O284" i="1" s="1"/>
  <c r="N302" i="1" a="1"/>
  <c r="N302" i="1" s="1"/>
  <c r="O302" i="1" a="1"/>
  <c r="O302" i="1" s="1"/>
  <c r="N314" i="1" a="1"/>
  <c r="N314" i="1" s="1"/>
  <c r="O314" i="1" a="1"/>
  <c r="O314" i="1" s="1"/>
  <c r="N320" i="1" a="1"/>
  <c r="N320" i="1" s="1"/>
  <c r="O320" i="1" a="1"/>
  <c r="O320" i="1" s="1"/>
  <c r="N344" i="1" a="1"/>
  <c r="N344" i="1" s="1"/>
  <c r="O344" i="1" a="1"/>
  <c r="O344" i="1" s="1"/>
  <c r="N356" i="1" a="1"/>
  <c r="N356" i="1" s="1"/>
  <c r="O356" i="1" a="1"/>
  <c r="O356" i="1" s="1"/>
  <c r="N374" i="1" a="1"/>
  <c r="N374" i="1" s="1"/>
  <c r="O374" i="1" a="1"/>
  <c r="O374" i="1" s="1"/>
  <c r="N380" i="1" a="1"/>
  <c r="N380" i="1" s="1"/>
  <c r="O380" i="1" a="1"/>
  <c r="O380" i="1" s="1"/>
  <c r="N398" i="1" a="1"/>
  <c r="N398" i="1" s="1"/>
  <c r="O398" i="1" a="1"/>
  <c r="O398" i="1" s="1"/>
  <c r="N404" i="1" a="1"/>
  <c r="N404" i="1" s="1"/>
  <c r="O404" i="1" a="1"/>
  <c r="O404" i="1" s="1"/>
  <c r="N416" i="1" a="1"/>
  <c r="N416" i="1" s="1"/>
  <c r="O416" i="1" a="1"/>
  <c r="O416" i="1" s="1"/>
  <c r="N428" i="1" a="1"/>
  <c r="N428" i="1" s="1"/>
  <c r="O428" i="1" a="1"/>
  <c r="O428" i="1" s="1"/>
  <c r="N446" i="1" a="1"/>
  <c r="N446" i="1" s="1"/>
  <c r="O446" i="1" a="1"/>
  <c r="O446" i="1" s="1"/>
  <c r="N464" i="1" a="1"/>
  <c r="N464" i="1" s="1"/>
  <c r="O464" i="1" a="1"/>
  <c r="O464" i="1" s="1"/>
  <c r="N488" i="1" a="1"/>
  <c r="N488" i="1" s="1"/>
  <c r="O488" i="1" a="1"/>
  <c r="O488" i="1" s="1"/>
  <c r="N500" i="1" a="1"/>
  <c r="N500" i="1" s="1"/>
  <c r="O500" i="1" a="1"/>
  <c r="O500" i="1" s="1"/>
  <c r="N524" i="1" a="1"/>
  <c r="N524" i="1" s="1"/>
  <c r="O524" i="1" a="1"/>
  <c r="O524" i="1" s="1"/>
  <c r="N548" i="1" a="1"/>
  <c r="N548" i="1" s="1"/>
  <c r="O548" i="1" a="1"/>
  <c r="O548" i="1" s="1"/>
  <c r="N566" i="1" a="1"/>
  <c r="N566" i="1" s="1"/>
  <c r="O566" i="1" a="1"/>
  <c r="O566" i="1" s="1"/>
  <c r="N584" i="1" a="1"/>
  <c r="N584" i="1" s="1"/>
  <c r="O584" i="1" a="1"/>
  <c r="O584" i="1" s="1"/>
  <c r="N602" i="1" a="1"/>
  <c r="N602" i="1" s="1"/>
  <c r="O602" i="1" a="1"/>
  <c r="O602" i="1" s="1"/>
  <c r="N632" i="1" a="1"/>
  <c r="N632" i="1" s="1"/>
  <c r="O632" i="1" a="1"/>
  <c r="O632" i="1" s="1"/>
  <c r="N638" i="1" a="1"/>
  <c r="N638" i="1" s="1"/>
  <c r="O638" i="1" a="1"/>
  <c r="O638" i="1" s="1"/>
  <c r="N662" i="1" a="1"/>
  <c r="N662" i="1" s="1"/>
  <c r="O662" i="1" a="1"/>
  <c r="O662" i="1" s="1"/>
  <c r="N686" i="1" a="1"/>
  <c r="N686" i="1" s="1"/>
  <c r="O686" i="1" a="1"/>
  <c r="O686" i="1" s="1"/>
  <c r="N704" i="1" a="1"/>
  <c r="N704" i="1" s="1"/>
  <c r="O704" i="1" a="1"/>
  <c r="O704" i="1" s="1"/>
  <c r="N722" i="1" a="1"/>
  <c r="N722" i="1" s="1"/>
  <c r="O722" i="1" a="1"/>
  <c r="O722" i="1" s="1"/>
  <c r="N746" i="1" a="1"/>
  <c r="N746" i="1" s="1"/>
  <c r="O746" i="1" a="1"/>
  <c r="O746" i="1" s="1"/>
  <c r="N770" i="1" a="1"/>
  <c r="N770" i="1" s="1"/>
  <c r="O770" i="1" a="1"/>
  <c r="O770" i="1" s="1"/>
  <c r="N782" i="1" a="1"/>
  <c r="N782" i="1" s="1"/>
  <c r="O782" i="1" a="1"/>
  <c r="O782" i="1" s="1"/>
  <c r="N806" i="1" a="1"/>
  <c r="N806" i="1" s="1"/>
  <c r="O806" i="1" a="1"/>
  <c r="O806" i="1" s="1"/>
  <c r="N824" i="1" a="1"/>
  <c r="N824" i="1" s="1"/>
  <c r="O824" i="1" a="1"/>
  <c r="O824" i="1" s="1"/>
  <c r="N848" i="1" a="1"/>
  <c r="N848" i="1" s="1"/>
  <c r="O848" i="1" a="1"/>
  <c r="O848" i="1" s="1"/>
  <c r="N860" i="1" a="1"/>
  <c r="N860" i="1" s="1"/>
  <c r="O860" i="1" a="1"/>
  <c r="O860" i="1" s="1"/>
  <c r="N890" i="1" a="1"/>
  <c r="N890" i="1" s="1"/>
  <c r="O890" i="1" a="1"/>
  <c r="O890" i="1" s="1"/>
  <c r="N896" i="1" a="1"/>
  <c r="N896" i="1" s="1"/>
  <c r="O896" i="1" a="1"/>
  <c r="O896" i="1" s="1"/>
  <c r="N920" i="1" a="1"/>
  <c r="N920" i="1" s="1"/>
  <c r="O920" i="1" a="1"/>
  <c r="O920" i="1" s="1"/>
  <c r="N944" i="1" a="1"/>
  <c r="N944" i="1" s="1"/>
  <c r="O944" i="1" a="1"/>
  <c r="O944" i="1" s="1"/>
  <c r="N962" i="1" a="1"/>
  <c r="N962" i="1" s="1"/>
  <c r="O962" i="1" a="1"/>
  <c r="O962" i="1" s="1"/>
  <c r="N980" i="1" a="1"/>
  <c r="N980" i="1" s="1"/>
  <c r="O980" i="1" a="1"/>
  <c r="O980" i="1" s="1"/>
  <c r="N998" i="1" a="1"/>
  <c r="N998" i="1" s="1"/>
  <c r="O998" i="1" a="1"/>
  <c r="O998" i="1" s="1"/>
  <c r="N1016" i="1" a="1"/>
  <c r="N1016" i="1" s="1"/>
  <c r="O1016" i="1" a="1"/>
  <c r="O1016" i="1" s="1"/>
  <c r="N1034" i="1" a="1"/>
  <c r="N1034" i="1" s="1"/>
  <c r="O1034" i="1" a="1"/>
  <c r="O1034" i="1" s="1"/>
  <c r="N1052" i="1" a="1"/>
  <c r="N1052" i="1" s="1"/>
  <c r="O1052" i="1" a="1"/>
  <c r="O1052" i="1" s="1"/>
  <c r="N1070" i="1" a="1"/>
  <c r="N1070" i="1" s="1"/>
  <c r="O1070" i="1" a="1"/>
  <c r="O1070" i="1" s="1"/>
  <c r="N1082" i="1" a="1"/>
  <c r="N1082" i="1" s="1"/>
  <c r="O1082" i="1" a="1"/>
  <c r="O1082" i="1" s="1"/>
  <c r="N1100" i="1" a="1"/>
  <c r="N1100" i="1" s="1"/>
  <c r="O1100" i="1" a="1"/>
  <c r="O1100" i="1" s="1"/>
  <c r="N1112" i="1" a="1"/>
  <c r="N1112" i="1" s="1"/>
  <c r="O1112" i="1" a="1"/>
  <c r="O1112" i="1" s="1"/>
  <c r="N1130" i="1" a="1"/>
  <c r="N1130" i="1" s="1"/>
  <c r="O1130" i="1" a="1"/>
  <c r="O1130" i="1" s="1"/>
  <c r="N1142" i="1" a="1"/>
  <c r="N1142" i="1" s="1"/>
  <c r="O1142" i="1" a="1"/>
  <c r="O1142" i="1" s="1"/>
  <c r="N1160" i="1" a="1"/>
  <c r="N1160" i="1" s="1"/>
  <c r="O1160" i="1" a="1"/>
  <c r="O1160" i="1" s="1"/>
  <c r="N1178" i="1" a="1"/>
  <c r="N1178" i="1" s="1"/>
  <c r="O1178" i="1" a="1"/>
  <c r="O1178" i="1" s="1"/>
  <c r="N1190" i="1" a="1"/>
  <c r="N1190" i="1" s="1"/>
  <c r="O1190" i="1" a="1"/>
  <c r="O1190" i="1" s="1"/>
  <c r="N1220" i="1" a="1"/>
  <c r="N1220" i="1" s="1"/>
  <c r="O1220" i="1" a="1"/>
  <c r="O1220" i="1" s="1"/>
  <c r="N1232" i="1" a="1"/>
  <c r="N1232" i="1" s="1"/>
  <c r="O1232" i="1" a="1"/>
  <c r="O1232" i="1" s="1"/>
  <c r="N1262" i="1" a="1"/>
  <c r="N1262" i="1" s="1"/>
  <c r="O1262" i="1" a="1"/>
  <c r="O1262" i="1" s="1"/>
  <c r="N1268" i="1" a="1"/>
  <c r="N1268" i="1" s="1"/>
  <c r="O1268" i="1" a="1"/>
  <c r="O1268" i="1" s="1"/>
  <c r="N1292" i="1" a="1"/>
  <c r="N1292" i="1" s="1"/>
  <c r="O1292" i="1" a="1"/>
  <c r="O1292" i="1" s="1"/>
  <c r="N1316" i="1" a="1"/>
  <c r="N1316" i="1" s="1"/>
  <c r="O1316" i="1" a="1"/>
  <c r="O1316" i="1" s="1"/>
  <c r="N1322" i="1" a="1"/>
  <c r="N1322" i="1" s="1"/>
  <c r="O1322" i="1" a="1"/>
  <c r="O1322" i="1" s="1"/>
  <c r="N1340" i="1" a="1"/>
  <c r="N1340" i="1" s="1"/>
  <c r="O1340" i="1" a="1"/>
  <c r="O1340" i="1" s="1"/>
  <c r="N1358" i="1" a="1"/>
  <c r="N1358" i="1" s="1"/>
  <c r="O1358" i="1" a="1"/>
  <c r="O1358" i="1" s="1"/>
  <c r="N1364" i="1" a="1"/>
  <c r="N1364" i="1" s="1"/>
  <c r="O1364" i="1" a="1"/>
  <c r="O1364" i="1" s="1"/>
  <c r="N1382" i="1" a="1"/>
  <c r="N1382" i="1" s="1"/>
  <c r="O1382" i="1" a="1"/>
  <c r="O1382" i="1" s="1"/>
  <c r="N1400" i="1" a="1"/>
  <c r="N1400" i="1" s="1"/>
  <c r="O1400" i="1" a="1"/>
  <c r="O1400" i="1" s="1"/>
  <c r="N1424" i="1" a="1"/>
  <c r="N1424" i="1" s="1"/>
  <c r="O1424" i="1" a="1"/>
  <c r="O1424" i="1" s="1"/>
  <c r="N15" i="1" a="1"/>
  <c r="N15" i="1" s="1"/>
  <c r="O15" i="1" a="1"/>
  <c r="O15" i="1" s="1"/>
  <c r="N33" i="1" a="1"/>
  <c r="N33" i="1" s="1"/>
  <c r="O33" i="1" a="1"/>
  <c r="O33" i="1" s="1"/>
  <c r="N51" i="1" a="1"/>
  <c r="N51" i="1" s="1"/>
  <c r="O51" i="1" a="1"/>
  <c r="O51" i="1" s="1"/>
  <c r="N69" i="1" a="1"/>
  <c r="N69" i="1" s="1"/>
  <c r="O69" i="1" a="1"/>
  <c r="O69" i="1" s="1"/>
  <c r="N75" i="1" a="1"/>
  <c r="N75" i="1" s="1"/>
  <c r="O75" i="1" a="1"/>
  <c r="O75" i="1" s="1"/>
  <c r="N99" i="1" a="1"/>
  <c r="N99" i="1" s="1"/>
  <c r="O99" i="1" a="1"/>
  <c r="O99" i="1" s="1"/>
  <c r="N111" i="1" a="1"/>
  <c r="N111" i="1" s="1"/>
  <c r="O111" i="1" a="1"/>
  <c r="O111" i="1" s="1"/>
  <c r="N129" i="1" a="1"/>
  <c r="N129" i="1" s="1"/>
  <c r="O129" i="1" a="1"/>
  <c r="O129" i="1" s="1"/>
  <c r="N141" i="1" a="1"/>
  <c r="N141" i="1" s="1"/>
  <c r="O141" i="1" a="1"/>
  <c r="O141" i="1" s="1"/>
  <c r="N153" i="1" a="1"/>
  <c r="N153" i="1" s="1"/>
  <c r="O153" i="1" a="1"/>
  <c r="O153" i="1" s="1"/>
  <c r="N177" i="1" a="1"/>
  <c r="N177" i="1" s="1"/>
  <c r="O177" i="1" a="1"/>
  <c r="O177" i="1" s="1"/>
  <c r="N183" i="1" a="1"/>
  <c r="N183" i="1" s="1"/>
  <c r="O183" i="1" a="1"/>
  <c r="O183" i="1" s="1"/>
  <c r="N201" i="1" a="1"/>
  <c r="N201" i="1" s="1"/>
  <c r="O201" i="1" a="1"/>
  <c r="O201" i="1" s="1"/>
  <c r="N219" i="1" a="1"/>
  <c r="N219" i="1" s="1"/>
  <c r="O219" i="1" a="1"/>
  <c r="O219" i="1" s="1"/>
  <c r="N225" i="1" a="1"/>
  <c r="N225" i="1" s="1"/>
  <c r="O225" i="1" a="1"/>
  <c r="O225" i="1" s="1"/>
  <c r="N243" i="1" a="1"/>
  <c r="N243" i="1" s="1"/>
  <c r="O243" i="1" a="1"/>
  <c r="O243" i="1" s="1"/>
  <c r="N255" i="1" a="1"/>
  <c r="N255" i="1" s="1"/>
  <c r="O255" i="1" a="1"/>
  <c r="O255" i="1" s="1"/>
  <c r="N267" i="1" a="1"/>
  <c r="N267" i="1" s="1"/>
  <c r="O267" i="1" a="1"/>
  <c r="O267" i="1" s="1"/>
  <c r="N279" i="1" a="1"/>
  <c r="N279" i="1" s="1"/>
  <c r="O279" i="1" a="1"/>
  <c r="O279" i="1" s="1"/>
  <c r="N297" i="1" a="1"/>
  <c r="N297" i="1" s="1"/>
  <c r="O297" i="1" a="1"/>
  <c r="O297" i="1" s="1"/>
  <c r="N303" i="1" a="1"/>
  <c r="N303" i="1" s="1"/>
  <c r="O303" i="1" a="1"/>
  <c r="O303" i="1" s="1"/>
  <c r="N321" i="1" a="1"/>
  <c r="N321" i="1" s="1"/>
  <c r="O321" i="1" a="1"/>
  <c r="O321" i="1" s="1"/>
  <c r="N339" i="1" a="1"/>
  <c r="N339" i="1" s="1"/>
  <c r="O339" i="1" a="1"/>
  <c r="O339" i="1" s="1"/>
  <c r="N357" i="1" a="1"/>
  <c r="N357" i="1" s="1"/>
  <c r="O357" i="1" a="1"/>
  <c r="O357" i="1" s="1"/>
  <c r="N369" i="1" a="1"/>
  <c r="N369" i="1" s="1"/>
  <c r="O369" i="1" a="1"/>
  <c r="O369" i="1" s="1"/>
  <c r="N381" i="1" a="1"/>
  <c r="N381" i="1" s="1"/>
  <c r="O381" i="1" a="1"/>
  <c r="O381" i="1" s="1"/>
  <c r="N399" i="1" a="1"/>
  <c r="N399" i="1" s="1"/>
  <c r="O399" i="1" a="1"/>
  <c r="O399" i="1" s="1"/>
  <c r="N411" i="1" a="1"/>
  <c r="N411" i="1" s="1"/>
  <c r="O411" i="1" a="1"/>
  <c r="O411" i="1" s="1"/>
  <c r="N429" i="1" a="1"/>
  <c r="N429" i="1" s="1"/>
  <c r="O429" i="1" a="1"/>
  <c r="O429" i="1" s="1"/>
  <c r="N447" i="1" a="1"/>
  <c r="N447" i="1" s="1"/>
  <c r="O447" i="1" a="1"/>
  <c r="O447" i="1" s="1"/>
  <c r="N459" i="1" a="1"/>
  <c r="N459" i="1" s="1"/>
  <c r="O459" i="1" a="1"/>
  <c r="O459" i="1" s="1"/>
  <c r="N477" i="1" a="1"/>
  <c r="N477" i="1" s="1"/>
  <c r="O477" i="1" a="1"/>
  <c r="O477" i="1" s="1"/>
  <c r="N489" i="1" a="1"/>
  <c r="N489" i="1" s="1"/>
  <c r="O489" i="1" a="1"/>
  <c r="O489" i="1" s="1"/>
  <c r="N507" i="1" a="1"/>
  <c r="N507" i="1" s="1"/>
  <c r="O507" i="1" a="1"/>
  <c r="O507" i="1" s="1"/>
  <c r="N519" i="1" a="1"/>
  <c r="N519" i="1" s="1"/>
  <c r="O519" i="1" a="1"/>
  <c r="O519" i="1" s="1"/>
  <c r="N531" i="1" a="1"/>
  <c r="N531" i="1" s="1"/>
  <c r="O531" i="1" a="1"/>
  <c r="O531" i="1" s="1"/>
  <c r="N555" i="1" a="1"/>
  <c r="N555" i="1" s="1"/>
  <c r="O555" i="1" a="1"/>
  <c r="O555" i="1" s="1"/>
  <c r="N561" i="1" a="1"/>
  <c r="N561" i="1" s="1"/>
  <c r="O561" i="1" a="1"/>
  <c r="O561" i="1" s="1"/>
  <c r="N573" i="1" a="1"/>
  <c r="N573" i="1" s="1"/>
  <c r="O573" i="1" a="1"/>
  <c r="O573" i="1" s="1"/>
  <c r="N591" i="1" a="1"/>
  <c r="N591" i="1" s="1"/>
  <c r="O591" i="1" a="1"/>
  <c r="O591" i="1" s="1"/>
  <c r="N603" i="1" a="1"/>
  <c r="N603" i="1" s="1"/>
  <c r="O603" i="1" a="1"/>
  <c r="O603" i="1" s="1"/>
  <c r="N615" i="1" a="1"/>
  <c r="N615" i="1" s="1"/>
  <c r="O615" i="1" a="1"/>
  <c r="O615" i="1" s="1"/>
  <c r="N627" i="1" a="1"/>
  <c r="N627" i="1" s="1"/>
  <c r="O627" i="1" a="1"/>
  <c r="O627" i="1" s="1"/>
  <c r="N639" i="1" a="1"/>
  <c r="N639" i="1" s="1"/>
  <c r="O639" i="1" a="1"/>
  <c r="O639" i="1" s="1"/>
  <c r="N645" i="1" a="1"/>
  <c r="N645" i="1" s="1"/>
  <c r="O645" i="1" a="1"/>
  <c r="O645" i="1" s="1"/>
  <c r="N699" i="1" a="1"/>
  <c r="N699" i="1" s="1"/>
  <c r="O699" i="1" a="1"/>
  <c r="O699" i="1" s="1"/>
  <c r="N735" i="1" a="1"/>
  <c r="N735" i="1" s="1"/>
  <c r="O735" i="1" a="1"/>
  <c r="O735" i="1" s="1"/>
  <c r="N783" i="1" a="1"/>
  <c r="N783" i="1" s="1"/>
  <c r="O783" i="1" a="1"/>
  <c r="O783" i="1" s="1"/>
  <c r="N837" i="1" a="1"/>
  <c r="N837" i="1" s="1"/>
  <c r="O837" i="1" a="1"/>
  <c r="O837" i="1" s="1"/>
  <c r="N1035" i="1" a="1"/>
  <c r="N1035" i="1" s="1"/>
  <c r="O1035" i="1" a="1"/>
  <c r="O1035" i="1" s="1"/>
  <c r="N1065" i="1" a="1"/>
  <c r="N1065" i="1" s="1"/>
  <c r="O1065" i="1" a="1"/>
  <c r="O1065" i="1" s="1"/>
  <c r="N1089" i="1" a="1"/>
  <c r="N1089" i="1" s="1"/>
  <c r="O1089" i="1" a="1"/>
  <c r="O1089" i="1" s="1"/>
  <c r="N1131" i="1" a="1"/>
  <c r="N1131" i="1" s="1"/>
  <c r="O1131" i="1" a="1"/>
  <c r="O1131" i="1" s="1"/>
  <c r="N1167" i="1" a="1"/>
  <c r="N1167" i="1" s="1"/>
  <c r="O1167" i="1" a="1"/>
  <c r="O1167" i="1" s="1"/>
  <c r="N1209" i="1" a="1"/>
  <c r="N1209" i="1" s="1"/>
  <c r="O1209" i="1" a="1"/>
  <c r="O1209" i="1" s="1"/>
  <c r="N1245" i="1" a="1"/>
  <c r="N1245" i="1" s="1"/>
  <c r="O1245" i="1" a="1"/>
  <c r="O1245" i="1" s="1"/>
  <c r="N1281" i="1" a="1"/>
  <c r="N1281" i="1" s="1"/>
  <c r="O1281" i="1" a="1"/>
  <c r="O1281" i="1" s="1"/>
  <c r="N1329" i="1" a="1"/>
  <c r="N1329" i="1" s="1"/>
  <c r="O1329" i="1" a="1"/>
  <c r="O1329" i="1" s="1"/>
  <c r="N1431" i="1" a="1"/>
  <c r="N1431" i="1" s="1"/>
  <c r="O1431" i="1" a="1"/>
  <c r="O1431" i="1" s="1"/>
  <c r="N4" i="1" a="1"/>
  <c r="N4" i="1" s="1"/>
  <c r="O4" i="1" a="1"/>
  <c r="O4" i="1" s="1"/>
  <c r="N40" i="1" a="1"/>
  <c r="N40" i="1" s="1"/>
  <c r="O40" i="1" a="1"/>
  <c r="O40" i="1" s="1"/>
  <c r="N82" i="1" a="1"/>
  <c r="N82" i="1" s="1"/>
  <c r="O82" i="1" a="1"/>
  <c r="O82" i="1" s="1"/>
  <c r="N112" i="1" a="1"/>
  <c r="N112" i="1" s="1"/>
  <c r="O112" i="1" a="1"/>
  <c r="O112" i="1" s="1"/>
  <c r="N154" i="1" a="1"/>
  <c r="N154" i="1" s="1"/>
  <c r="O154" i="1" a="1"/>
  <c r="O154" i="1" s="1"/>
  <c r="N202" i="1" a="1"/>
  <c r="N202" i="1" s="1"/>
  <c r="O202" i="1" a="1"/>
  <c r="O202" i="1" s="1"/>
  <c r="N238" i="1" a="1"/>
  <c r="N238" i="1" s="1"/>
  <c r="O238" i="1" a="1"/>
  <c r="O238" i="1" s="1"/>
  <c r="N274" i="1" a="1"/>
  <c r="N274" i="1" s="1"/>
  <c r="O274" i="1" a="1"/>
  <c r="O274" i="1" s="1"/>
  <c r="N316" i="1" a="1"/>
  <c r="N316" i="1" s="1"/>
  <c r="O316" i="1" a="1"/>
  <c r="O316" i="1" s="1"/>
  <c r="N358" i="1" a="1"/>
  <c r="N358" i="1" s="1"/>
  <c r="O358" i="1" a="1"/>
  <c r="O358" i="1" s="1"/>
  <c r="N388" i="1" a="1"/>
  <c r="N388" i="1" s="1"/>
  <c r="O388" i="1" a="1"/>
  <c r="O388" i="1" s="1"/>
  <c r="N436" i="1" a="1"/>
  <c r="N436" i="1" s="1"/>
  <c r="O436" i="1" a="1"/>
  <c r="O436" i="1" s="1"/>
  <c r="N472" i="1" a="1"/>
  <c r="N472" i="1" s="1"/>
  <c r="O472" i="1" a="1"/>
  <c r="O472" i="1" s="1"/>
  <c r="N508" i="1" a="1"/>
  <c r="N508" i="1" s="1"/>
  <c r="O508" i="1" a="1"/>
  <c r="O508" i="1" s="1"/>
  <c r="N550" i="1" a="1"/>
  <c r="N550" i="1" s="1"/>
  <c r="O550" i="1" a="1"/>
  <c r="O550" i="1" s="1"/>
  <c r="N580" i="1" a="1"/>
  <c r="N580" i="1" s="1"/>
  <c r="O580" i="1" a="1"/>
  <c r="O580" i="1" s="1"/>
  <c r="N622" i="1" a="1"/>
  <c r="N622" i="1" s="1"/>
  <c r="O622" i="1" a="1"/>
  <c r="O622" i="1" s="1"/>
  <c r="N652" i="1" a="1"/>
  <c r="N652" i="1" s="1"/>
  <c r="O652" i="1" a="1"/>
  <c r="O652" i="1" s="1"/>
  <c r="N694" i="1" a="1"/>
  <c r="N694" i="1" s="1"/>
  <c r="O694" i="1" a="1"/>
  <c r="O694" i="1" s="1"/>
  <c r="N730" i="1" a="1"/>
  <c r="N730" i="1" s="1"/>
  <c r="O730" i="1" a="1"/>
  <c r="O730" i="1" s="1"/>
  <c r="N772" i="1" a="1"/>
  <c r="N772" i="1" s="1"/>
  <c r="O772" i="1" a="1"/>
  <c r="O772" i="1" s="1"/>
  <c r="N796" i="1" a="1"/>
  <c r="N796" i="1" s="1"/>
  <c r="O796" i="1" a="1"/>
  <c r="O796" i="1" s="1"/>
  <c r="N832" i="1" a="1"/>
  <c r="N832" i="1" s="1"/>
  <c r="O832" i="1" a="1"/>
  <c r="O832" i="1" s="1"/>
  <c r="N880" i="1" a="1"/>
  <c r="N880" i="1" s="1"/>
  <c r="O880" i="1" a="1"/>
  <c r="O880" i="1" s="1"/>
  <c r="N916" i="1" a="1"/>
  <c r="N916" i="1" s="1"/>
  <c r="O916" i="1" a="1"/>
  <c r="O916" i="1" s="1"/>
  <c r="N952" i="1" a="1"/>
  <c r="N952" i="1" s="1"/>
  <c r="O952" i="1" a="1"/>
  <c r="O952" i="1" s="1"/>
  <c r="N988" i="1" a="1"/>
  <c r="N988" i="1" s="1"/>
  <c r="O988" i="1" a="1"/>
  <c r="O988" i="1" s="1"/>
  <c r="N1030" i="1" a="1"/>
  <c r="N1030" i="1" s="1"/>
  <c r="O1030" i="1" a="1"/>
  <c r="O1030" i="1" s="1"/>
  <c r="N1072" i="1" a="1"/>
  <c r="N1072" i="1" s="1"/>
  <c r="O1072" i="1" a="1"/>
  <c r="O1072" i="1" s="1"/>
  <c r="N1102" i="1" a="1"/>
  <c r="N1102" i="1" s="1"/>
  <c r="O1102" i="1" a="1"/>
  <c r="O1102" i="1" s="1"/>
  <c r="N1150" i="1" a="1"/>
  <c r="N1150" i="1" s="1"/>
  <c r="O1150" i="1" a="1"/>
  <c r="O1150" i="1" s="1"/>
  <c r="N1186" i="1" a="1"/>
  <c r="N1186" i="1" s="1"/>
  <c r="O1186" i="1" a="1"/>
  <c r="O1186" i="1" s="1"/>
  <c r="N1222" i="1" a="1"/>
  <c r="N1222" i="1" s="1"/>
  <c r="O1222" i="1" a="1"/>
  <c r="O1222" i="1" s="1"/>
  <c r="N1228" i="1" a="1"/>
  <c r="N1228" i="1" s="1"/>
  <c r="O1228" i="1" a="1"/>
  <c r="O1228" i="1" s="1"/>
  <c r="N1252" i="1" a="1"/>
  <c r="N1252" i="1" s="1"/>
  <c r="O1252" i="1" a="1"/>
  <c r="O1252" i="1" s="1"/>
  <c r="N1258" i="1" a="1"/>
  <c r="N1258" i="1" s="1"/>
  <c r="O1258" i="1" a="1"/>
  <c r="O1258" i="1" s="1"/>
  <c r="N1264" i="1" a="1"/>
  <c r="N1264" i="1" s="1"/>
  <c r="O1264" i="1" a="1"/>
  <c r="O1264" i="1" s="1"/>
  <c r="N1270" i="1" a="1"/>
  <c r="N1270" i="1" s="1"/>
  <c r="O1270" i="1" a="1"/>
  <c r="O1270" i="1" s="1"/>
  <c r="N1276" i="1" a="1"/>
  <c r="N1276" i="1" s="1"/>
  <c r="O1276" i="1" a="1"/>
  <c r="O1276" i="1" s="1"/>
  <c r="N1282" i="1" a="1"/>
  <c r="N1282" i="1" s="1"/>
  <c r="O1282" i="1" a="1"/>
  <c r="O1282" i="1" s="1"/>
  <c r="N1288" i="1" a="1"/>
  <c r="N1288" i="1" s="1"/>
  <c r="O1288" i="1" a="1"/>
  <c r="O1288" i="1" s="1"/>
  <c r="N1294" i="1" a="1"/>
  <c r="N1294" i="1" s="1"/>
  <c r="O1294" i="1" a="1"/>
  <c r="O1294" i="1" s="1"/>
  <c r="N1300" i="1" a="1"/>
  <c r="N1300" i="1" s="1"/>
  <c r="O1300" i="1" a="1"/>
  <c r="O1300" i="1" s="1"/>
  <c r="N1306" i="1" a="1"/>
  <c r="N1306" i="1" s="1"/>
  <c r="O1306" i="1" a="1"/>
  <c r="O1306" i="1" s="1"/>
  <c r="N1312" i="1" a="1"/>
  <c r="N1312" i="1" s="1"/>
  <c r="O1312" i="1" a="1"/>
  <c r="O1312" i="1" s="1"/>
  <c r="N1318" i="1" a="1"/>
  <c r="N1318" i="1" s="1"/>
  <c r="O1318" i="1" a="1"/>
  <c r="O1318" i="1" s="1"/>
  <c r="N1324" i="1" a="1"/>
  <c r="N1324" i="1" s="1"/>
  <c r="O1324" i="1" a="1"/>
  <c r="O1324" i="1" s="1"/>
  <c r="N1330" i="1" a="1"/>
  <c r="N1330" i="1" s="1"/>
  <c r="O1330" i="1" a="1"/>
  <c r="O1330" i="1" s="1"/>
  <c r="N1336" i="1" a="1"/>
  <c r="N1336" i="1" s="1"/>
  <c r="O1336" i="1" a="1"/>
  <c r="O1336" i="1" s="1"/>
  <c r="N1342" i="1" a="1"/>
  <c r="N1342" i="1" s="1"/>
  <c r="O1342" i="1" a="1"/>
  <c r="O1342" i="1" s="1"/>
  <c r="N1348" i="1" a="1"/>
  <c r="N1348" i="1" s="1"/>
  <c r="O1348" i="1" a="1"/>
  <c r="O1348" i="1" s="1"/>
  <c r="N1354" i="1" a="1"/>
  <c r="N1354" i="1" s="1"/>
  <c r="O1354" i="1" a="1"/>
  <c r="O1354" i="1" s="1"/>
  <c r="N1360" i="1" a="1"/>
  <c r="N1360" i="1" s="1"/>
  <c r="O1360" i="1" a="1"/>
  <c r="O1360" i="1" s="1"/>
  <c r="N1366" i="1" a="1"/>
  <c r="N1366" i="1" s="1"/>
  <c r="O1366" i="1" a="1"/>
  <c r="O1366" i="1" s="1"/>
  <c r="N1372" i="1" a="1"/>
  <c r="N1372" i="1" s="1"/>
  <c r="O1372" i="1" a="1"/>
  <c r="O1372" i="1" s="1"/>
  <c r="N1378" i="1" a="1"/>
  <c r="N1378" i="1" s="1"/>
  <c r="O1378" i="1" a="1"/>
  <c r="O1378" i="1" s="1"/>
  <c r="N1384" i="1" a="1"/>
  <c r="N1384" i="1" s="1"/>
  <c r="O1384" i="1" a="1"/>
  <c r="O1384" i="1" s="1"/>
  <c r="N1390" i="1" a="1"/>
  <c r="N1390" i="1" s="1"/>
  <c r="O1390" i="1" a="1"/>
  <c r="O1390" i="1" s="1"/>
  <c r="N1396" i="1" a="1"/>
  <c r="N1396" i="1" s="1"/>
  <c r="O1396" i="1" a="1"/>
  <c r="O1396" i="1" s="1"/>
  <c r="N1402" i="1" a="1"/>
  <c r="N1402" i="1" s="1"/>
  <c r="O1402" i="1" a="1"/>
  <c r="O1402" i="1" s="1"/>
  <c r="N1408" i="1" a="1"/>
  <c r="N1408" i="1" s="1"/>
  <c r="O1408" i="1" a="1"/>
  <c r="O1408" i="1" s="1"/>
  <c r="N1414" i="1" a="1"/>
  <c r="N1414" i="1" s="1"/>
  <c r="O1414" i="1" a="1"/>
  <c r="O1414" i="1" s="1"/>
  <c r="N1420" i="1" a="1"/>
  <c r="N1420" i="1" s="1"/>
  <c r="O1420" i="1" a="1"/>
  <c r="O1420" i="1" s="1"/>
  <c r="N1426" i="1" a="1"/>
  <c r="N1426" i="1" s="1"/>
  <c r="O1426" i="1" a="1"/>
  <c r="O1426" i="1" s="1"/>
  <c r="N1432" i="1" a="1"/>
  <c r="N1432" i="1" s="1"/>
  <c r="O1432" i="1" a="1"/>
  <c r="O1432" i="1" s="1"/>
  <c r="N1438" i="1" a="1"/>
  <c r="N1438" i="1" s="1"/>
  <c r="O1438" i="1" a="1"/>
  <c r="O1438" i="1" s="1"/>
  <c r="N705" i="1" a="1"/>
  <c r="N705" i="1" s="1"/>
  <c r="O705" i="1" a="1"/>
  <c r="O705" i="1" s="1"/>
  <c r="N729" i="1" a="1"/>
  <c r="N729" i="1" s="1"/>
  <c r="O729" i="1" a="1"/>
  <c r="O729" i="1" s="1"/>
  <c r="N753" i="1" a="1"/>
  <c r="N753" i="1" s="1"/>
  <c r="O753" i="1" a="1"/>
  <c r="O753" i="1" s="1"/>
  <c r="N777" i="1" a="1"/>
  <c r="N777" i="1" s="1"/>
  <c r="O777" i="1" a="1"/>
  <c r="O777" i="1" s="1"/>
  <c r="N795" i="1" a="1"/>
  <c r="N795" i="1" s="1"/>
  <c r="O795" i="1" a="1"/>
  <c r="O795" i="1" s="1"/>
  <c r="N807" i="1" a="1"/>
  <c r="N807" i="1" s="1"/>
  <c r="O807" i="1" a="1"/>
  <c r="O807" i="1" s="1"/>
  <c r="N831" i="1" a="1"/>
  <c r="N831" i="1" s="1"/>
  <c r="O831" i="1" a="1"/>
  <c r="O831" i="1" s="1"/>
  <c r="N855" i="1" a="1"/>
  <c r="N855" i="1" s="1"/>
  <c r="O855" i="1" a="1"/>
  <c r="O855" i="1" s="1"/>
  <c r="N879" i="1" a="1"/>
  <c r="N879" i="1" s="1"/>
  <c r="O879" i="1" a="1"/>
  <c r="O879" i="1" s="1"/>
  <c r="N897" i="1" a="1"/>
  <c r="N897" i="1" s="1"/>
  <c r="O897" i="1" a="1"/>
  <c r="O897" i="1" s="1"/>
  <c r="N915" i="1" a="1"/>
  <c r="N915" i="1" s="1"/>
  <c r="O915" i="1" a="1"/>
  <c r="O915" i="1" s="1"/>
  <c r="N939" i="1" a="1"/>
  <c r="N939" i="1" s="1"/>
  <c r="O939" i="1" a="1"/>
  <c r="O939" i="1" s="1"/>
  <c r="N957" i="1" a="1"/>
  <c r="N957" i="1" s="1"/>
  <c r="O957" i="1" a="1"/>
  <c r="O957" i="1" s="1"/>
  <c r="N981" i="1" a="1"/>
  <c r="N981" i="1" s="1"/>
  <c r="O981" i="1" a="1"/>
  <c r="O981" i="1" s="1"/>
  <c r="N1005" i="1" a="1"/>
  <c r="N1005" i="1" s="1"/>
  <c r="O1005" i="1" a="1"/>
  <c r="O1005" i="1" s="1"/>
  <c r="N1095" i="1" a="1"/>
  <c r="N1095" i="1" s="1"/>
  <c r="O1095" i="1" a="1"/>
  <c r="O1095" i="1" s="1"/>
  <c r="N1119" i="1" a="1"/>
  <c r="N1119" i="1" s="1"/>
  <c r="O1119" i="1" a="1"/>
  <c r="O1119" i="1" s="1"/>
  <c r="N1149" i="1" a="1"/>
  <c r="N1149" i="1" s="1"/>
  <c r="O1149" i="1" a="1"/>
  <c r="O1149" i="1" s="1"/>
  <c r="N1179" i="1" a="1"/>
  <c r="N1179" i="1" s="1"/>
  <c r="O1179" i="1" a="1"/>
  <c r="O1179" i="1" s="1"/>
  <c r="N1191" i="1" a="1"/>
  <c r="N1191" i="1" s="1"/>
  <c r="O1191" i="1" a="1"/>
  <c r="O1191" i="1" s="1"/>
  <c r="N1221" i="1" a="1"/>
  <c r="N1221" i="1" s="1"/>
  <c r="O1221" i="1" a="1"/>
  <c r="O1221" i="1" s="1"/>
  <c r="N1239" i="1" a="1"/>
  <c r="N1239" i="1" s="1"/>
  <c r="O1239" i="1" a="1"/>
  <c r="O1239" i="1" s="1"/>
  <c r="N1263" i="1" a="1"/>
  <c r="N1263" i="1" s="1"/>
  <c r="O1263" i="1" a="1"/>
  <c r="O1263" i="1" s="1"/>
  <c r="N1293" i="1" a="1"/>
  <c r="N1293" i="1" s="1"/>
  <c r="O1293" i="1" a="1"/>
  <c r="O1293" i="1" s="1"/>
  <c r="N1311" i="1" a="1"/>
  <c r="N1311" i="1" s="1"/>
  <c r="O1311" i="1" a="1"/>
  <c r="O1311" i="1" s="1"/>
  <c r="N1347" i="1" a="1"/>
  <c r="N1347" i="1" s="1"/>
  <c r="O1347" i="1" a="1"/>
  <c r="O1347" i="1" s="1"/>
  <c r="N1359" i="1" a="1"/>
  <c r="N1359" i="1" s="1"/>
  <c r="O1359" i="1" a="1"/>
  <c r="O1359" i="1" s="1"/>
  <c r="N1383" i="1" a="1"/>
  <c r="N1383" i="1" s="1"/>
  <c r="O1383" i="1" a="1"/>
  <c r="O1383" i="1" s="1"/>
  <c r="N1401" i="1" a="1"/>
  <c r="N1401" i="1" s="1"/>
  <c r="O1401" i="1" a="1"/>
  <c r="O1401" i="1" s="1"/>
  <c r="N1419" i="1" a="1"/>
  <c r="N1419" i="1" s="1"/>
  <c r="O1419" i="1" a="1"/>
  <c r="O1419" i="1" s="1"/>
  <c r="N16" i="1" a="1"/>
  <c r="N16" i="1" s="1"/>
  <c r="O16" i="1" a="1"/>
  <c r="O16" i="1" s="1"/>
  <c r="N46" i="1" a="1"/>
  <c r="N46" i="1" s="1"/>
  <c r="O46" i="1" a="1"/>
  <c r="O46" i="1" s="1"/>
  <c r="N76" i="1" a="1"/>
  <c r="N76" i="1" s="1"/>
  <c r="O76" i="1" a="1"/>
  <c r="O76" i="1" s="1"/>
  <c r="N100" i="1" a="1"/>
  <c r="N100" i="1" s="1"/>
  <c r="O100" i="1" a="1"/>
  <c r="O100" i="1" s="1"/>
  <c r="N130" i="1" a="1"/>
  <c r="N130" i="1" s="1"/>
  <c r="O130" i="1" a="1"/>
  <c r="O130" i="1" s="1"/>
  <c r="N148" i="1" a="1"/>
  <c r="N148" i="1" s="1"/>
  <c r="O148" i="1" a="1"/>
  <c r="O148" i="1" s="1"/>
  <c r="N172" i="1" a="1"/>
  <c r="N172" i="1" s="1"/>
  <c r="O172" i="1" a="1"/>
  <c r="O172" i="1" s="1"/>
  <c r="N196" i="1" a="1"/>
  <c r="N196" i="1" s="1"/>
  <c r="O196" i="1" a="1"/>
  <c r="O196" i="1" s="1"/>
  <c r="N220" i="1" a="1"/>
  <c r="N220" i="1" s="1"/>
  <c r="O220" i="1" a="1"/>
  <c r="O220" i="1" s="1"/>
  <c r="N250" i="1" a="1"/>
  <c r="N250" i="1" s="1"/>
  <c r="O250" i="1" a="1"/>
  <c r="O250" i="1" s="1"/>
  <c r="N268" i="1" a="1"/>
  <c r="N268" i="1" s="1"/>
  <c r="O268" i="1" a="1"/>
  <c r="O268" i="1" s="1"/>
  <c r="N298" i="1" a="1"/>
  <c r="N298" i="1" s="1"/>
  <c r="O298" i="1" a="1"/>
  <c r="O298" i="1" s="1"/>
  <c r="N322" i="1" a="1"/>
  <c r="N322" i="1" s="1"/>
  <c r="O322" i="1" a="1"/>
  <c r="O322" i="1" s="1"/>
  <c r="N346" i="1" a="1"/>
  <c r="N346" i="1" s="1"/>
  <c r="O346" i="1" a="1"/>
  <c r="O346" i="1" s="1"/>
  <c r="N370" i="1" a="1"/>
  <c r="N370" i="1" s="1"/>
  <c r="O370" i="1" a="1"/>
  <c r="O370" i="1" s="1"/>
  <c r="N394" i="1" a="1"/>
  <c r="N394" i="1" s="1"/>
  <c r="O394" i="1" a="1"/>
  <c r="O394" i="1" s="1"/>
  <c r="N418" i="1" a="1"/>
  <c r="N418" i="1" s="1"/>
  <c r="O418" i="1" a="1"/>
  <c r="O418" i="1" s="1"/>
  <c r="N442" i="1" a="1"/>
  <c r="N442" i="1" s="1"/>
  <c r="O442" i="1" a="1"/>
  <c r="O442" i="1" s="1"/>
  <c r="N460" i="1" a="1"/>
  <c r="N460" i="1" s="1"/>
  <c r="O460" i="1" a="1"/>
  <c r="O460" i="1" s="1"/>
  <c r="N496" i="1" a="1"/>
  <c r="N496" i="1" s="1"/>
  <c r="O496" i="1" a="1"/>
  <c r="O496" i="1" s="1"/>
  <c r="N520" i="1" a="1"/>
  <c r="N520" i="1" s="1"/>
  <c r="O520" i="1" a="1"/>
  <c r="O520" i="1" s="1"/>
  <c r="N544" i="1" a="1"/>
  <c r="N544" i="1" s="1"/>
  <c r="O544" i="1" a="1"/>
  <c r="O544" i="1" s="1"/>
  <c r="N562" i="1" a="1"/>
  <c r="N562" i="1" s="1"/>
  <c r="O562" i="1" a="1"/>
  <c r="O562" i="1" s="1"/>
  <c r="N586" i="1" a="1"/>
  <c r="N586" i="1" s="1"/>
  <c r="O586" i="1" a="1"/>
  <c r="O586" i="1" s="1"/>
  <c r="N610" i="1" a="1"/>
  <c r="N610" i="1" s="1"/>
  <c r="O610" i="1" a="1"/>
  <c r="O610" i="1" s="1"/>
  <c r="N640" i="1" a="1"/>
  <c r="N640" i="1" s="1"/>
  <c r="O640" i="1" a="1"/>
  <c r="O640" i="1" s="1"/>
  <c r="N670" i="1" a="1"/>
  <c r="N670" i="1" s="1"/>
  <c r="O670" i="1" a="1"/>
  <c r="O670" i="1" s="1"/>
  <c r="N688" i="1" a="1"/>
  <c r="N688" i="1" s="1"/>
  <c r="O688" i="1" a="1"/>
  <c r="O688" i="1" s="1"/>
  <c r="N712" i="1" a="1"/>
  <c r="N712" i="1" s="1"/>
  <c r="O712" i="1" a="1"/>
  <c r="O712" i="1" s="1"/>
  <c r="N736" i="1" a="1"/>
  <c r="N736" i="1" s="1"/>
  <c r="O736" i="1" a="1"/>
  <c r="O736" i="1" s="1"/>
  <c r="N760" i="1" a="1"/>
  <c r="N760" i="1" s="1"/>
  <c r="O760" i="1" a="1"/>
  <c r="O760" i="1" s="1"/>
  <c r="N778" i="1" a="1"/>
  <c r="N778" i="1" s="1"/>
  <c r="O778" i="1" a="1"/>
  <c r="O778" i="1" s="1"/>
  <c r="N790" i="1" a="1"/>
  <c r="N790" i="1" s="1"/>
  <c r="O790" i="1" a="1"/>
  <c r="O790" i="1" s="1"/>
  <c r="N814" i="1" a="1"/>
  <c r="N814" i="1" s="1"/>
  <c r="O814" i="1" a="1"/>
  <c r="O814" i="1" s="1"/>
  <c r="N838" i="1" a="1"/>
  <c r="N838" i="1" s="1"/>
  <c r="O838" i="1" a="1"/>
  <c r="O838" i="1" s="1"/>
  <c r="N862" i="1" a="1"/>
  <c r="N862" i="1" s="1"/>
  <c r="O862" i="1" a="1"/>
  <c r="O862" i="1" s="1"/>
  <c r="N886" i="1" a="1"/>
  <c r="N886" i="1" s="1"/>
  <c r="O886" i="1" a="1"/>
  <c r="O886" i="1" s="1"/>
  <c r="N910" i="1" a="1"/>
  <c r="N910" i="1" s="1"/>
  <c r="O910" i="1" a="1"/>
  <c r="O910" i="1" s="1"/>
  <c r="N940" i="1" a="1"/>
  <c r="N940" i="1" s="1"/>
  <c r="O940" i="1" a="1"/>
  <c r="O940" i="1" s="1"/>
  <c r="N970" i="1" a="1"/>
  <c r="N970" i="1" s="1"/>
  <c r="O970" i="1" a="1"/>
  <c r="O970" i="1" s="1"/>
  <c r="N994" i="1" a="1"/>
  <c r="N994" i="1" s="1"/>
  <c r="O994" i="1" a="1"/>
  <c r="O994" i="1" s="1"/>
  <c r="N1018" i="1" a="1"/>
  <c r="N1018" i="1" s="1"/>
  <c r="O1018" i="1" a="1"/>
  <c r="O1018" i="1" s="1"/>
  <c r="N1042" i="1" a="1"/>
  <c r="N1042" i="1" s="1"/>
  <c r="O1042" i="1" a="1"/>
  <c r="O1042" i="1" s="1"/>
  <c r="N1066" i="1" a="1"/>
  <c r="N1066" i="1" s="1"/>
  <c r="O1066" i="1" a="1"/>
  <c r="O1066" i="1" s="1"/>
  <c r="N1090" i="1" a="1"/>
  <c r="N1090" i="1" s="1"/>
  <c r="O1090" i="1" a="1"/>
  <c r="O1090" i="1" s="1"/>
  <c r="N1120" i="1" a="1"/>
  <c r="N1120" i="1" s="1"/>
  <c r="O1120" i="1" a="1"/>
  <c r="O1120" i="1" s="1"/>
  <c r="N1138" i="1" a="1"/>
  <c r="N1138" i="1" s="1"/>
  <c r="O1138" i="1" a="1"/>
  <c r="O1138" i="1" s="1"/>
  <c r="N1162" i="1" a="1"/>
  <c r="N1162" i="1" s="1"/>
  <c r="O1162" i="1" a="1"/>
  <c r="O1162" i="1" s="1"/>
  <c r="N1180" i="1" a="1"/>
  <c r="N1180" i="1" s="1"/>
  <c r="O1180" i="1" a="1"/>
  <c r="O1180" i="1" s="1"/>
  <c r="N1204" i="1" a="1"/>
  <c r="N1204" i="1" s="1"/>
  <c r="O1204" i="1" a="1"/>
  <c r="O1204" i="1" s="1"/>
  <c r="N1234" i="1" a="1"/>
  <c r="N1234" i="1" s="1"/>
  <c r="O1234" i="1" a="1"/>
  <c r="O1234" i="1" s="1"/>
  <c r="N11" i="1" a="1"/>
  <c r="N11" i="1" s="1"/>
  <c r="O11" i="1" a="1"/>
  <c r="O11" i="1" s="1"/>
  <c r="N29" i="1" a="1"/>
  <c r="N29" i="1" s="1"/>
  <c r="O29" i="1" a="1"/>
  <c r="O29" i="1" s="1"/>
  <c r="N47" i="1" a="1"/>
  <c r="N47" i="1" s="1"/>
  <c r="O47" i="1" a="1"/>
  <c r="O47" i="1" s="1"/>
  <c r="N71" i="1" a="1"/>
  <c r="N71" i="1" s="1"/>
  <c r="O71" i="1" a="1"/>
  <c r="O71" i="1" s="1"/>
  <c r="N89" i="1" a="1"/>
  <c r="N89" i="1" s="1"/>
  <c r="O89" i="1" a="1"/>
  <c r="O89" i="1" s="1"/>
  <c r="N107" i="1" a="1"/>
  <c r="N107" i="1" s="1"/>
  <c r="O107" i="1" a="1"/>
  <c r="O107" i="1" s="1"/>
  <c r="N131" i="1" a="1"/>
  <c r="N131" i="1" s="1"/>
  <c r="O131" i="1" a="1"/>
  <c r="O131" i="1" s="1"/>
  <c r="N155" i="1" a="1"/>
  <c r="N155" i="1" s="1"/>
  <c r="O155" i="1" a="1"/>
  <c r="O155" i="1" s="1"/>
  <c r="N173" i="1" a="1"/>
  <c r="N173" i="1" s="1"/>
  <c r="O173" i="1" a="1"/>
  <c r="O173" i="1" s="1"/>
  <c r="N191" i="1" a="1"/>
  <c r="N191" i="1" s="1"/>
  <c r="O191" i="1" a="1"/>
  <c r="O191" i="1" s="1"/>
  <c r="N209" i="1" a="1"/>
  <c r="N209" i="1" s="1"/>
  <c r="O209" i="1" a="1"/>
  <c r="O209" i="1" s="1"/>
  <c r="N233" i="1" a="1"/>
  <c r="N233" i="1" s="1"/>
  <c r="O233" i="1" a="1"/>
  <c r="O233" i="1" s="1"/>
  <c r="N251" i="1" a="1"/>
  <c r="N251" i="1" s="1"/>
  <c r="O251" i="1" a="1"/>
  <c r="O251" i="1" s="1"/>
  <c r="N275" i="1" a="1"/>
  <c r="N275" i="1" s="1"/>
  <c r="O275" i="1" a="1"/>
  <c r="O275" i="1" s="1"/>
  <c r="N293" i="1" a="1"/>
  <c r="N293" i="1" s="1"/>
  <c r="O293" i="1" a="1"/>
  <c r="O293" i="1" s="1"/>
  <c r="N317" i="1" a="1"/>
  <c r="N317" i="1" s="1"/>
  <c r="O317" i="1" a="1"/>
  <c r="O317" i="1" s="1"/>
  <c r="N335" i="1" a="1"/>
  <c r="N335" i="1" s="1"/>
  <c r="O335" i="1" a="1"/>
  <c r="O335" i="1" s="1"/>
  <c r="N353" i="1" a="1"/>
  <c r="N353" i="1" s="1"/>
  <c r="O353" i="1" a="1"/>
  <c r="O353" i="1" s="1"/>
  <c r="N371" i="1" a="1"/>
  <c r="N371" i="1" s="1"/>
  <c r="O371" i="1" a="1"/>
  <c r="O371" i="1" s="1"/>
  <c r="N395" i="1" a="1"/>
  <c r="N395" i="1" s="1"/>
  <c r="O395" i="1" a="1"/>
  <c r="O395" i="1" s="1"/>
  <c r="N413" i="1" a="1"/>
  <c r="N413" i="1" s="1"/>
  <c r="O413" i="1" a="1"/>
  <c r="O413" i="1" s="1"/>
  <c r="N431" i="1" a="1"/>
  <c r="N431" i="1" s="1"/>
  <c r="O431" i="1" a="1"/>
  <c r="O431" i="1" s="1"/>
  <c r="N455" i="1" a="1"/>
  <c r="N455" i="1" s="1"/>
  <c r="O455" i="1" a="1"/>
  <c r="O455" i="1" s="1"/>
  <c r="N473" i="1" a="1"/>
  <c r="N473" i="1" s="1"/>
  <c r="O473" i="1" a="1"/>
  <c r="O473" i="1" s="1"/>
  <c r="N503" i="1" a="1"/>
  <c r="N503" i="1" s="1"/>
  <c r="O503" i="1" a="1"/>
  <c r="O503" i="1" s="1"/>
  <c r="N527" i="1" a="1"/>
  <c r="N527" i="1" s="1"/>
  <c r="O527" i="1" a="1"/>
  <c r="O527" i="1" s="1"/>
  <c r="N539" i="1" a="1"/>
  <c r="N539" i="1" s="1"/>
  <c r="O539" i="1" a="1"/>
  <c r="O539" i="1" s="1"/>
  <c r="N557" i="1" a="1"/>
  <c r="N557" i="1" s="1"/>
  <c r="O557" i="1" a="1"/>
  <c r="O557" i="1" s="1"/>
  <c r="N581" i="1" a="1"/>
  <c r="N581" i="1" s="1"/>
  <c r="O581" i="1" a="1"/>
  <c r="O581" i="1" s="1"/>
  <c r="N599" i="1" a="1"/>
  <c r="N599" i="1" s="1"/>
  <c r="O599" i="1" a="1"/>
  <c r="O599" i="1" s="1"/>
  <c r="N623" i="1" a="1"/>
  <c r="N623" i="1" s="1"/>
  <c r="O623" i="1" a="1"/>
  <c r="O623" i="1" s="1"/>
  <c r="N647" i="1" a="1"/>
  <c r="N647" i="1" s="1"/>
  <c r="O647" i="1" a="1"/>
  <c r="O647" i="1" s="1"/>
  <c r="N671" i="1" a="1"/>
  <c r="N671" i="1" s="1"/>
  <c r="O671" i="1" a="1"/>
  <c r="O671" i="1" s="1"/>
  <c r="N689" i="1" a="1"/>
  <c r="N689" i="1" s="1"/>
  <c r="O689" i="1" a="1"/>
  <c r="O689" i="1" s="1"/>
  <c r="N713" i="1" a="1"/>
  <c r="N713" i="1" s="1"/>
  <c r="O713" i="1" a="1"/>
  <c r="O713" i="1" s="1"/>
  <c r="N731" i="1" a="1"/>
  <c r="N731" i="1" s="1"/>
  <c r="O731" i="1" a="1"/>
  <c r="O731" i="1" s="1"/>
  <c r="N755" i="1" a="1"/>
  <c r="N755" i="1" s="1"/>
  <c r="O755" i="1" a="1"/>
  <c r="O755" i="1" s="1"/>
  <c r="N791" i="1" a="1"/>
  <c r="N791" i="1" s="1"/>
  <c r="O791" i="1" a="1"/>
  <c r="O791" i="1" s="1"/>
  <c r="N815" i="1" a="1"/>
  <c r="N815" i="1" s="1"/>
  <c r="O815" i="1" a="1"/>
  <c r="O815" i="1" s="1"/>
  <c r="N833" i="1" a="1"/>
  <c r="N833" i="1" s="1"/>
  <c r="O833" i="1" a="1"/>
  <c r="O833" i="1" s="1"/>
  <c r="N857" i="1" a="1"/>
  <c r="N857" i="1" s="1"/>
  <c r="O857" i="1" a="1"/>
  <c r="O857" i="1" s="1"/>
  <c r="N875" i="1" a="1"/>
  <c r="N875" i="1" s="1"/>
  <c r="O875" i="1" a="1"/>
  <c r="O875" i="1" s="1"/>
  <c r="N899" i="1" a="1"/>
  <c r="N899" i="1" s="1"/>
  <c r="O899" i="1" a="1"/>
  <c r="O899" i="1" s="1"/>
  <c r="N917" i="1" a="1"/>
  <c r="N917" i="1" s="1"/>
  <c r="O917" i="1" a="1"/>
  <c r="O917" i="1" s="1"/>
  <c r="N941" i="1" a="1"/>
  <c r="N941" i="1" s="1"/>
  <c r="O941" i="1" a="1"/>
  <c r="O941" i="1" s="1"/>
  <c r="N959" i="1" a="1"/>
  <c r="N959" i="1" s="1"/>
  <c r="O959" i="1" a="1"/>
  <c r="O959" i="1" s="1"/>
  <c r="N989" i="1" a="1"/>
  <c r="N989" i="1" s="1"/>
  <c r="O989" i="1" a="1"/>
  <c r="O989" i="1" s="1"/>
  <c r="N1007" i="1" a="1"/>
  <c r="N1007" i="1" s="1"/>
  <c r="O1007" i="1" a="1"/>
  <c r="O1007" i="1" s="1"/>
  <c r="N1031" i="1" a="1"/>
  <c r="N1031" i="1" s="1"/>
  <c r="O1031" i="1" a="1"/>
  <c r="O1031" i="1" s="1"/>
  <c r="N1055" i="1" a="1"/>
  <c r="N1055" i="1" s="1"/>
  <c r="O1055" i="1" a="1"/>
  <c r="O1055" i="1" s="1"/>
  <c r="N1067" i="1" a="1"/>
  <c r="N1067" i="1" s="1"/>
  <c r="O1067" i="1" a="1"/>
  <c r="O1067" i="1" s="1"/>
  <c r="N1091" i="1" a="1"/>
  <c r="N1091" i="1" s="1"/>
  <c r="O1091" i="1" a="1"/>
  <c r="O1091" i="1" s="1"/>
  <c r="N1109" i="1" a="1"/>
  <c r="N1109" i="1" s="1"/>
  <c r="O1109" i="1" a="1"/>
  <c r="O1109" i="1" s="1"/>
  <c r="N1127" i="1" a="1"/>
  <c r="N1127" i="1" s="1"/>
  <c r="O1127" i="1" a="1"/>
  <c r="O1127" i="1" s="1"/>
  <c r="N1145" i="1" a="1"/>
  <c r="N1145" i="1" s="1"/>
  <c r="O1145" i="1" a="1"/>
  <c r="O1145" i="1" s="1"/>
  <c r="N1169" i="1" a="1"/>
  <c r="N1169" i="1" s="1"/>
  <c r="O1169" i="1" a="1"/>
  <c r="O1169" i="1" s="1"/>
  <c r="N1187" i="1" a="1"/>
  <c r="N1187" i="1" s="1"/>
  <c r="O1187" i="1" a="1"/>
  <c r="O1187" i="1" s="1"/>
  <c r="N1211" i="1" a="1"/>
  <c r="N1211" i="1" s="1"/>
  <c r="O1211" i="1" a="1"/>
  <c r="O1211" i="1" s="1"/>
  <c r="N1229" i="1" a="1"/>
  <c r="N1229" i="1" s="1"/>
  <c r="O1229" i="1" a="1"/>
  <c r="O1229" i="1" s="1"/>
  <c r="N1247" i="1" a="1"/>
  <c r="N1247" i="1" s="1"/>
  <c r="O1247" i="1" a="1"/>
  <c r="O1247" i="1" s="1"/>
  <c r="N1271" i="1" a="1"/>
  <c r="N1271" i="1" s="1"/>
  <c r="O1271" i="1" a="1"/>
  <c r="O1271" i="1" s="1"/>
  <c r="N1295" i="1" a="1"/>
  <c r="N1295" i="1" s="1"/>
  <c r="O1295" i="1" a="1"/>
  <c r="O1295" i="1" s="1"/>
  <c r="N1313" i="1" a="1"/>
  <c r="N1313" i="1" s="1"/>
  <c r="O1313" i="1" a="1"/>
  <c r="O1313" i="1" s="1"/>
  <c r="N1331" i="1" a="1"/>
  <c r="N1331" i="1" s="1"/>
  <c r="O1331" i="1" a="1"/>
  <c r="O1331" i="1" s="1"/>
  <c r="N1355" i="1" a="1"/>
  <c r="N1355" i="1" s="1"/>
  <c r="O1355" i="1" a="1"/>
  <c r="O1355" i="1" s="1"/>
  <c r="N1373" i="1" a="1"/>
  <c r="N1373" i="1" s="1"/>
  <c r="O1373" i="1" a="1"/>
  <c r="O1373" i="1" s="1"/>
  <c r="N1397" i="1" a="1"/>
  <c r="N1397" i="1" s="1"/>
  <c r="O1397" i="1" a="1"/>
  <c r="O1397" i="1" s="1"/>
  <c r="N1415" i="1" a="1"/>
  <c r="N1415" i="1" s="1"/>
  <c r="O1415" i="1" a="1"/>
  <c r="O1415" i="1" s="1"/>
  <c r="N1439" i="1" a="1"/>
  <c r="N1439" i="1" s="1"/>
  <c r="O1439" i="1" a="1"/>
  <c r="O1439" i="1" s="1"/>
  <c r="N18" i="1" a="1"/>
  <c r="N18" i="1" s="1"/>
  <c r="O18" i="1" a="1"/>
  <c r="O18" i="1" s="1"/>
  <c r="N36" i="1" a="1"/>
  <c r="N36" i="1" s="1"/>
  <c r="O36" i="1" a="1"/>
  <c r="O36" i="1" s="1"/>
  <c r="N60" i="1" a="1"/>
  <c r="N60" i="1" s="1"/>
  <c r="O60" i="1" a="1"/>
  <c r="O60" i="1" s="1"/>
  <c r="N78" i="1" a="1"/>
  <c r="N78" i="1" s="1"/>
  <c r="O78" i="1" a="1"/>
  <c r="O78" i="1" s="1"/>
  <c r="N96" i="1" a="1"/>
  <c r="N96" i="1" s="1"/>
  <c r="O96" i="1" a="1"/>
  <c r="O96" i="1" s="1"/>
  <c r="N120" i="1" a="1"/>
  <c r="N120" i="1" s="1"/>
  <c r="O120" i="1" a="1"/>
  <c r="O120" i="1" s="1"/>
  <c r="N144" i="1" a="1"/>
  <c r="N144" i="1" s="1"/>
  <c r="O144" i="1" a="1"/>
  <c r="O144" i="1" s="1"/>
  <c r="N162" i="1" a="1"/>
  <c r="N162" i="1" s="1"/>
  <c r="O162" i="1" a="1"/>
  <c r="O162" i="1" s="1"/>
  <c r="N186" i="1" a="1"/>
  <c r="N186" i="1" s="1"/>
  <c r="O186" i="1" a="1"/>
  <c r="O186" i="1" s="1"/>
  <c r="N210" i="1" a="1"/>
  <c r="N210" i="1" s="1"/>
  <c r="O210" i="1" a="1"/>
  <c r="O210" i="1" s="1"/>
  <c r="N234" i="1" a="1"/>
  <c r="N234" i="1" s="1"/>
  <c r="O234" i="1" a="1"/>
  <c r="O234" i="1" s="1"/>
  <c r="N252" i="1" a="1"/>
  <c r="N252" i="1" s="1"/>
  <c r="O252" i="1" a="1"/>
  <c r="O252" i="1" s="1"/>
  <c r="N270" i="1" a="1"/>
  <c r="N270" i="1" s="1"/>
  <c r="O270" i="1" a="1"/>
  <c r="O270" i="1" s="1"/>
  <c r="N294" i="1" a="1"/>
  <c r="N294" i="1" s="1"/>
  <c r="O294" i="1" a="1"/>
  <c r="O294" i="1" s="1"/>
  <c r="N312" i="1" a="1"/>
  <c r="N312" i="1" s="1"/>
  <c r="O312" i="1" a="1"/>
  <c r="O312" i="1" s="1"/>
  <c r="N336" i="1" a="1"/>
  <c r="N336" i="1" s="1"/>
  <c r="O336" i="1" a="1"/>
  <c r="O336" i="1" s="1"/>
  <c r="N354" i="1" a="1"/>
  <c r="N354" i="1" s="1"/>
  <c r="O354" i="1" a="1"/>
  <c r="O354" i="1" s="1"/>
  <c r="N378" i="1" a="1"/>
  <c r="N378" i="1" s="1"/>
  <c r="O378" i="1" a="1"/>
  <c r="O378" i="1" s="1"/>
  <c r="N390" i="1" a="1"/>
  <c r="N390" i="1" s="1"/>
  <c r="O390" i="1" a="1"/>
  <c r="O390" i="1" s="1"/>
  <c r="N414" i="1" a="1"/>
  <c r="N414" i="1" s="1"/>
  <c r="O414" i="1" a="1"/>
  <c r="O414" i="1" s="1"/>
  <c r="N432" i="1" a="1"/>
  <c r="N432" i="1" s="1"/>
  <c r="O432" i="1" a="1"/>
  <c r="O432" i="1" s="1"/>
  <c r="N456" i="1" a="1"/>
  <c r="N456" i="1" s="1"/>
  <c r="O456" i="1" a="1"/>
  <c r="O456" i="1" s="1"/>
  <c r="N474" i="1" a="1"/>
  <c r="N474" i="1" s="1"/>
  <c r="O474" i="1" a="1"/>
  <c r="O474" i="1" s="1"/>
  <c r="N498" i="1" a="1"/>
  <c r="N498" i="1" s="1"/>
  <c r="O498" i="1" a="1"/>
  <c r="O498" i="1" s="1"/>
  <c r="N516" i="1" a="1"/>
  <c r="N516" i="1" s="1"/>
  <c r="O516" i="1" a="1"/>
  <c r="O516" i="1" s="1"/>
  <c r="N534" i="1" a="1"/>
  <c r="N534" i="1" s="1"/>
  <c r="O534" i="1" a="1"/>
  <c r="O534" i="1" s="1"/>
  <c r="N558" i="1" a="1"/>
  <c r="N558" i="1" s="1"/>
  <c r="O558" i="1" a="1"/>
  <c r="O558" i="1" s="1"/>
  <c r="N576" i="1" a="1"/>
  <c r="N576" i="1" s="1"/>
  <c r="O576" i="1" a="1"/>
  <c r="O576" i="1" s="1"/>
  <c r="N594" i="1" a="1"/>
  <c r="N594" i="1" s="1"/>
  <c r="O594" i="1" a="1"/>
  <c r="O594" i="1" s="1"/>
  <c r="N624" i="1" a="1"/>
  <c r="N624" i="1" s="1"/>
  <c r="O624" i="1" a="1"/>
  <c r="O624" i="1" s="1"/>
  <c r="N642" i="1" a="1"/>
  <c r="N642" i="1" s="1"/>
  <c r="O642" i="1" a="1"/>
  <c r="O642" i="1" s="1"/>
  <c r="N660" i="1" a="1"/>
  <c r="N660" i="1" s="1"/>
  <c r="O660" i="1" a="1"/>
  <c r="O660" i="1" s="1"/>
  <c r="N678" i="1" a="1"/>
  <c r="N678" i="1" s="1"/>
  <c r="O678" i="1" a="1"/>
  <c r="O678" i="1" s="1"/>
  <c r="N702" i="1" a="1"/>
  <c r="N702" i="1" s="1"/>
  <c r="O702" i="1" a="1"/>
  <c r="O702" i="1" s="1"/>
  <c r="N720" i="1" a="1"/>
  <c r="N720" i="1" s="1"/>
  <c r="O720" i="1" a="1"/>
  <c r="O720" i="1" s="1"/>
  <c r="N744" i="1" a="1"/>
  <c r="N744" i="1" s="1"/>
  <c r="O744" i="1" a="1"/>
  <c r="O744" i="1" s="1"/>
  <c r="N762" i="1" a="1"/>
  <c r="N762" i="1" s="1"/>
  <c r="O762" i="1" a="1"/>
  <c r="O762" i="1" s="1"/>
  <c r="N780" i="1" a="1"/>
  <c r="N780" i="1" s="1"/>
  <c r="O780" i="1" a="1"/>
  <c r="O780" i="1" s="1"/>
  <c r="N804" i="1" a="1"/>
  <c r="N804" i="1" s="1"/>
  <c r="O804" i="1" a="1"/>
  <c r="O804" i="1" s="1"/>
  <c r="N822" i="1" a="1"/>
  <c r="N822" i="1" s="1"/>
  <c r="O822" i="1" a="1"/>
  <c r="O822" i="1" s="1"/>
  <c r="N840" i="1" a="1"/>
  <c r="N840" i="1" s="1"/>
  <c r="O840" i="1" a="1"/>
  <c r="O840" i="1" s="1"/>
  <c r="N864" i="1" a="1"/>
  <c r="N864" i="1" s="1"/>
  <c r="O864" i="1" a="1"/>
  <c r="O864" i="1" s="1"/>
  <c r="N882" i="1" a="1"/>
  <c r="N882" i="1" s="1"/>
  <c r="O882" i="1" a="1"/>
  <c r="O882" i="1" s="1"/>
  <c r="N906" i="1" a="1"/>
  <c r="N906" i="1" s="1"/>
  <c r="O906" i="1" a="1"/>
  <c r="O906" i="1" s="1"/>
  <c r="N924" i="1" a="1"/>
  <c r="N924" i="1" s="1"/>
  <c r="O924" i="1" a="1"/>
  <c r="O924" i="1" s="1"/>
  <c r="N942" i="1" a="1"/>
  <c r="N942" i="1" s="1"/>
  <c r="O942" i="1" a="1"/>
  <c r="O942" i="1" s="1"/>
  <c r="N966" i="1" a="1"/>
  <c r="N966" i="1" s="1"/>
  <c r="O966" i="1" a="1"/>
  <c r="O966" i="1" s="1"/>
  <c r="N990" i="1" a="1"/>
  <c r="N990" i="1" s="1"/>
  <c r="O990" i="1" a="1"/>
  <c r="O990" i="1" s="1"/>
  <c r="N1008" i="1" a="1"/>
  <c r="N1008" i="1" s="1"/>
  <c r="O1008" i="1" a="1"/>
  <c r="O1008" i="1" s="1"/>
  <c r="N1026" i="1" a="1"/>
  <c r="N1026" i="1" s="1"/>
  <c r="O1026" i="1" a="1"/>
  <c r="O1026" i="1" s="1"/>
  <c r="N1050" i="1" a="1"/>
  <c r="N1050" i="1" s="1"/>
  <c r="O1050" i="1" a="1"/>
  <c r="O1050" i="1" s="1"/>
  <c r="N1068" i="1" a="1"/>
  <c r="N1068" i="1" s="1"/>
  <c r="O1068" i="1" a="1"/>
  <c r="O1068" i="1" s="1"/>
  <c r="N1086" i="1" a="1"/>
  <c r="N1086" i="1" s="1"/>
  <c r="O1086" i="1" a="1"/>
  <c r="O1086" i="1" s="1"/>
  <c r="N1110" i="1" a="1"/>
  <c r="N1110" i="1" s="1"/>
  <c r="O1110" i="1" a="1"/>
  <c r="O1110" i="1" s="1"/>
  <c r="N1128" i="1" a="1"/>
  <c r="N1128" i="1" s="1"/>
  <c r="O1128" i="1" a="1"/>
  <c r="O1128" i="1" s="1"/>
  <c r="N1152" i="1" a="1"/>
  <c r="N1152" i="1" s="1"/>
  <c r="O1152" i="1" a="1"/>
  <c r="O1152" i="1" s="1"/>
  <c r="N1170" i="1" a="1"/>
  <c r="N1170" i="1" s="1"/>
  <c r="O1170" i="1" a="1"/>
  <c r="O1170" i="1" s="1"/>
  <c r="N1194" i="1" a="1"/>
  <c r="N1194" i="1" s="1"/>
  <c r="O1194" i="1" a="1"/>
  <c r="O1194" i="1" s="1"/>
  <c r="N1212" i="1" a="1"/>
  <c r="N1212" i="1" s="1"/>
  <c r="O1212" i="1" a="1"/>
  <c r="O1212" i="1" s="1"/>
  <c r="N1230" i="1" a="1"/>
  <c r="N1230" i="1" s="1"/>
  <c r="O1230" i="1" a="1"/>
  <c r="O1230" i="1" s="1"/>
  <c r="N1236" i="1" a="1"/>
  <c r="N1236" i="1" s="1"/>
  <c r="O1236" i="1" a="1"/>
  <c r="O1236" i="1" s="1"/>
  <c r="N1242" i="1" a="1"/>
  <c r="N1242" i="1" s="1"/>
  <c r="O1242" i="1" a="1"/>
  <c r="O1242" i="1" s="1"/>
  <c r="N1260" i="1" a="1"/>
  <c r="N1260" i="1" s="1"/>
  <c r="O1260" i="1" a="1"/>
  <c r="O1260" i="1" s="1"/>
  <c r="N1266" i="1" a="1"/>
  <c r="N1266" i="1" s="1"/>
  <c r="O1266" i="1" a="1"/>
  <c r="O1266" i="1" s="1"/>
  <c r="N1272" i="1" a="1"/>
  <c r="N1272" i="1" s="1"/>
  <c r="O1272" i="1" a="1"/>
  <c r="O1272" i="1" s="1"/>
  <c r="N1278" i="1" a="1"/>
  <c r="N1278" i="1" s="1"/>
  <c r="O1278" i="1" a="1"/>
  <c r="O1278" i="1" s="1"/>
  <c r="N1284" i="1" a="1"/>
  <c r="N1284" i="1" s="1"/>
  <c r="O1284" i="1" a="1"/>
  <c r="O1284" i="1" s="1"/>
  <c r="N1290" i="1" a="1"/>
  <c r="N1290" i="1" s="1"/>
  <c r="O1290" i="1" a="1"/>
  <c r="O1290" i="1" s="1"/>
  <c r="N1296" i="1" a="1"/>
  <c r="N1296" i="1" s="1"/>
  <c r="O1296" i="1" a="1"/>
  <c r="O1296" i="1" s="1"/>
  <c r="N1302" i="1" a="1"/>
  <c r="N1302" i="1" s="1"/>
  <c r="O1302" i="1" a="1"/>
  <c r="O1302" i="1" s="1"/>
  <c r="N1308" i="1" a="1"/>
  <c r="N1308" i="1" s="1"/>
  <c r="O1308" i="1" a="1"/>
  <c r="O1308" i="1" s="1"/>
  <c r="N1314" i="1" a="1"/>
  <c r="N1314" i="1" s="1"/>
  <c r="O1314" i="1" a="1"/>
  <c r="O1314" i="1" s="1"/>
  <c r="N1320" i="1" a="1"/>
  <c r="N1320" i="1" s="1"/>
  <c r="O1320" i="1" a="1"/>
  <c r="O1320" i="1" s="1"/>
  <c r="N1326" i="1" a="1"/>
  <c r="N1326" i="1" s="1"/>
  <c r="O1326" i="1" a="1"/>
  <c r="O1326" i="1" s="1"/>
  <c r="N1332" i="1" a="1"/>
  <c r="N1332" i="1" s="1"/>
  <c r="O1332" i="1" a="1"/>
  <c r="O1332" i="1" s="1"/>
  <c r="N1338" i="1" a="1"/>
  <c r="N1338" i="1" s="1"/>
  <c r="O1338" i="1" a="1"/>
  <c r="O1338" i="1" s="1"/>
  <c r="N1344" i="1" a="1"/>
  <c r="N1344" i="1" s="1"/>
  <c r="O1344" i="1" a="1"/>
  <c r="O1344" i="1" s="1"/>
  <c r="N1350" i="1" a="1"/>
  <c r="N1350" i="1" s="1"/>
  <c r="O1350" i="1" a="1"/>
  <c r="O1350" i="1" s="1"/>
  <c r="N1356" i="1" a="1"/>
  <c r="N1356" i="1" s="1"/>
  <c r="O1356" i="1" a="1"/>
  <c r="O1356" i="1" s="1"/>
  <c r="N1362" i="1" a="1"/>
  <c r="N1362" i="1" s="1"/>
  <c r="O1362" i="1" a="1"/>
  <c r="O1362" i="1" s="1"/>
  <c r="N1368" i="1" a="1"/>
  <c r="N1368" i="1" s="1"/>
  <c r="O1368" i="1" a="1"/>
  <c r="O1368" i="1" s="1"/>
  <c r="N1374" i="1" a="1"/>
  <c r="N1374" i="1" s="1"/>
  <c r="O1374" i="1" a="1"/>
  <c r="O1374" i="1" s="1"/>
  <c r="N1380" i="1" a="1"/>
  <c r="N1380" i="1" s="1"/>
  <c r="O1380" i="1" a="1"/>
  <c r="O1380" i="1" s="1"/>
  <c r="N1386" i="1" a="1"/>
  <c r="N1386" i="1" s="1"/>
  <c r="O1386" i="1" a="1"/>
  <c r="O1386" i="1" s="1"/>
  <c r="N1392" i="1" a="1"/>
  <c r="N1392" i="1" s="1"/>
  <c r="O1392" i="1" a="1"/>
  <c r="O1392" i="1" s="1"/>
  <c r="N1398" i="1" a="1"/>
  <c r="N1398" i="1" s="1"/>
  <c r="O1398" i="1" a="1"/>
  <c r="O1398" i="1" s="1"/>
  <c r="N1404" i="1" a="1"/>
  <c r="N1404" i="1" s="1"/>
  <c r="O1404" i="1" a="1"/>
  <c r="O1404" i="1" s="1"/>
  <c r="N1410" i="1" a="1"/>
  <c r="N1410" i="1" s="1"/>
  <c r="O1410" i="1" a="1"/>
  <c r="O1410" i="1" s="1"/>
  <c r="N1416" i="1" a="1"/>
  <c r="N1416" i="1" s="1"/>
  <c r="O1416" i="1" a="1"/>
  <c r="O1416" i="1" s="1"/>
  <c r="N1422" i="1" a="1"/>
  <c r="N1422" i="1" s="1"/>
  <c r="O1422" i="1" a="1"/>
  <c r="O1422" i="1" s="1"/>
  <c r="N1428" i="1" a="1"/>
  <c r="N1428" i="1" s="1"/>
  <c r="O1428" i="1" a="1"/>
  <c r="O1428" i="1" s="1"/>
  <c r="N1434" i="1" a="1"/>
  <c r="N1434" i="1" s="1"/>
  <c r="O1434" i="1" a="1"/>
  <c r="O1434" i="1" s="1"/>
  <c r="N1440" i="1" a="1"/>
  <c r="N1440" i="1" s="1"/>
  <c r="O1440" i="1" a="1"/>
  <c r="O1440" i="1" s="1"/>
  <c r="N723" i="1" a="1"/>
  <c r="N723" i="1" s="1"/>
  <c r="O723" i="1" a="1"/>
  <c r="O723" i="1" s="1"/>
  <c r="N741" i="1" a="1"/>
  <c r="N741" i="1" s="1"/>
  <c r="O741" i="1" a="1"/>
  <c r="O741" i="1" s="1"/>
  <c r="N759" i="1" a="1"/>
  <c r="N759" i="1" s="1"/>
  <c r="O759" i="1" a="1"/>
  <c r="O759" i="1" s="1"/>
  <c r="N771" i="1" a="1"/>
  <c r="N771" i="1" s="1"/>
  <c r="O771" i="1" a="1"/>
  <c r="O771" i="1" s="1"/>
  <c r="N789" i="1" a="1"/>
  <c r="N789" i="1" s="1"/>
  <c r="O789" i="1" a="1"/>
  <c r="O789" i="1" s="1"/>
  <c r="N801" i="1" a="1"/>
  <c r="N801" i="1" s="1"/>
  <c r="O801" i="1" a="1"/>
  <c r="O801" i="1" s="1"/>
  <c r="N813" i="1" a="1"/>
  <c r="N813" i="1" s="1"/>
  <c r="O813" i="1" a="1"/>
  <c r="O813" i="1" s="1"/>
  <c r="N825" i="1" a="1"/>
  <c r="N825" i="1" s="1"/>
  <c r="O825" i="1" a="1"/>
  <c r="O825" i="1" s="1"/>
  <c r="N849" i="1" a="1"/>
  <c r="N849" i="1" s="1"/>
  <c r="O849" i="1" a="1"/>
  <c r="O849" i="1" s="1"/>
  <c r="N861" i="1" a="1"/>
  <c r="N861" i="1" s="1"/>
  <c r="O861" i="1" a="1"/>
  <c r="O861" i="1" s="1"/>
  <c r="N873" i="1" a="1"/>
  <c r="N873" i="1" s="1"/>
  <c r="O873" i="1" a="1"/>
  <c r="O873" i="1" s="1"/>
  <c r="N891" i="1" a="1"/>
  <c r="N891" i="1" s="1"/>
  <c r="O891" i="1" a="1"/>
  <c r="O891" i="1" s="1"/>
  <c r="N909" i="1" a="1"/>
  <c r="N909" i="1" s="1"/>
  <c r="O909" i="1" a="1"/>
  <c r="O909" i="1" s="1"/>
  <c r="N921" i="1" a="1"/>
  <c r="N921" i="1" s="1"/>
  <c r="O921" i="1" a="1"/>
  <c r="O921" i="1" s="1"/>
  <c r="N933" i="1" a="1"/>
  <c r="N933" i="1" s="1"/>
  <c r="O933" i="1" a="1"/>
  <c r="O933" i="1" s="1"/>
  <c r="N951" i="1" a="1"/>
  <c r="N951" i="1" s="1"/>
  <c r="O951" i="1" a="1"/>
  <c r="O951" i="1" s="1"/>
  <c r="N969" i="1" a="1"/>
  <c r="N969" i="1" s="1"/>
  <c r="O969" i="1" a="1"/>
  <c r="O969" i="1" s="1"/>
  <c r="N975" i="1" a="1"/>
  <c r="N975" i="1" s="1"/>
  <c r="O975" i="1" a="1"/>
  <c r="O975" i="1" s="1"/>
  <c r="N993" i="1" a="1"/>
  <c r="N993" i="1" s="1"/>
  <c r="O993" i="1" a="1"/>
  <c r="O993" i="1" s="1"/>
  <c r="N1011" i="1" a="1"/>
  <c r="N1011" i="1" s="1"/>
  <c r="O1011" i="1" a="1"/>
  <c r="O1011" i="1" s="1"/>
  <c r="N1017" i="1" a="1"/>
  <c r="N1017" i="1" s="1"/>
  <c r="O1017" i="1" a="1"/>
  <c r="O1017" i="1" s="1"/>
  <c r="N1029" i="1" a="1"/>
  <c r="N1029" i="1" s="1"/>
  <c r="O1029" i="1" a="1"/>
  <c r="O1029" i="1" s="1"/>
  <c r="N1047" i="1" a="1"/>
  <c r="N1047" i="1" s="1"/>
  <c r="O1047" i="1" a="1"/>
  <c r="O1047" i="1" s="1"/>
  <c r="N1053" i="1" a="1"/>
  <c r="N1053" i="1" s="1"/>
  <c r="O1053" i="1" a="1"/>
  <c r="O1053" i="1" s="1"/>
  <c r="N1071" i="1" a="1"/>
  <c r="N1071" i="1" s="1"/>
  <c r="O1071" i="1" a="1"/>
  <c r="O1071" i="1" s="1"/>
  <c r="N1083" i="1" a="1"/>
  <c r="N1083" i="1" s="1"/>
  <c r="O1083" i="1" a="1"/>
  <c r="O1083" i="1" s="1"/>
  <c r="N1101" i="1" a="1"/>
  <c r="N1101" i="1" s="1"/>
  <c r="O1101" i="1" a="1"/>
  <c r="O1101" i="1" s="1"/>
  <c r="N1113" i="1" a="1"/>
  <c r="N1113" i="1" s="1"/>
  <c r="O1113" i="1" a="1"/>
  <c r="O1113" i="1" s="1"/>
  <c r="N1137" i="1" a="1"/>
  <c r="N1137" i="1" s="1"/>
  <c r="O1137" i="1" a="1"/>
  <c r="O1137" i="1" s="1"/>
  <c r="N1155" i="1" a="1"/>
  <c r="N1155" i="1" s="1"/>
  <c r="O1155" i="1" a="1"/>
  <c r="O1155" i="1" s="1"/>
  <c r="N1161" i="1" a="1"/>
  <c r="N1161" i="1" s="1"/>
  <c r="O1161" i="1" a="1"/>
  <c r="O1161" i="1" s="1"/>
  <c r="N1185" i="1" a="1"/>
  <c r="N1185" i="1" s="1"/>
  <c r="O1185" i="1" a="1"/>
  <c r="O1185" i="1" s="1"/>
  <c r="N1203" i="1" a="1"/>
  <c r="N1203" i="1" s="1"/>
  <c r="O1203" i="1" a="1"/>
  <c r="O1203" i="1" s="1"/>
  <c r="N1215" i="1" a="1"/>
  <c r="N1215" i="1" s="1"/>
  <c r="O1215" i="1" a="1"/>
  <c r="O1215" i="1" s="1"/>
  <c r="N1233" i="1" a="1"/>
  <c r="N1233" i="1" s="1"/>
  <c r="O1233" i="1" a="1"/>
  <c r="O1233" i="1" s="1"/>
  <c r="N1257" i="1" a="1"/>
  <c r="N1257" i="1" s="1"/>
  <c r="O1257" i="1" a="1"/>
  <c r="O1257" i="1" s="1"/>
  <c r="N1269" i="1" a="1"/>
  <c r="N1269" i="1" s="1"/>
  <c r="O1269" i="1" a="1"/>
  <c r="O1269" i="1" s="1"/>
  <c r="N1287" i="1" a="1"/>
  <c r="N1287" i="1" s="1"/>
  <c r="O1287" i="1" a="1"/>
  <c r="O1287" i="1" s="1"/>
  <c r="N1305" i="1" a="1"/>
  <c r="N1305" i="1" s="1"/>
  <c r="O1305" i="1" a="1"/>
  <c r="O1305" i="1" s="1"/>
  <c r="N1323" i="1" a="1"/>
  <c r="N1323" i="1" s="1"/>
  <c r="O1323" i="1" a="1"/>
  <c r="O1323" i="1" s="1"/>
  <c r="N1335" i="1" a="1"/>
  <c r="N1335" i="1" s="1"/>
  <c r="O1335" i="1" a="1"/>
  <c r="O1335" i="1" s="1"/>
  <c r="N1353" i="1" a="1"/>
  <c r="N1353" i="1" s="1"/>
  <c r="O1353" i="1" a="1"/>
  <c r="O1353" i="1" s="1"/>
  <c r="N1371" i="1" a="1"/>
  <c r="N1371" i="1" s="1"/>
  <c r="O1371" i="1" a="1"/>
  <c r="O1371" i="1" s="1"/>
  <c r="N1377" i="1" a="1"/>
  <c r="N1377" i="1" s="1"/>
  <c r="O1377" i="1" a="1"/>
  <c r="O1377" i="1" s="1"/>
  <c r="N1395" i="1" a="1"/>
  <c r="N1395" i="1" s="1"/>
  <c r="O1395" i="1" a="1"/>
  <c r="O1395" i="1" s="1"/>
  <c r="N1413" i="1" a="1"/>
  <c r="N1413" i="1" s="1"/>
  <c r="O1413" i="1" a="1"/>
  <c r="O1413" i="1" s="1"/>
  <c r="N1425" i="1" a="1"/>
  <c r="N1425" i="1" s="1"/>
  <c r="O1425" i="1" a="1"/>
  <c r="O1425" i="1" s="1"/>
  <c r="N10" i="1" a="1"/>
  <c r="N10" i="1" s="1"/>
  <c r="O10" i="1" a="1"/>
  <c r="O10" i="1" s="1"/>
  <c r="N22" i="1" a="1"/>
  <c r="N22" i="1" s="1"/>
  <c r="O22" i="1" a="1"/>
  <c r="O22" i="1" s="1"/>
  <c r="N34" i="1" a="1"/>
  <c r="N34" i="1" s="1"/>
  <c r="O34" i="1" a="1"/>
  <c r="O34" i="1" s="1"/>
  <c r="N58" i="1" a="1"/>
  <c r="N58" i="1" s="1"/>
  <c r="O58" i="1" a="1"/>
  <c r="O58" i="1" s="1"/>
  <c r="N70" i="1" a="1"/>
  <c r="N70" i="1" s="1"/>
  <c r="O70" i="1" a="1"/>
  <c r="O70" i="1" s="1"/>
  <c r="N88" i="1" a="1"/>
  <c r="N88" i="1" s="1"/>
  <c r="O88" i="1" a="1"/>
  <c r="O88" i="1" s="1"/>
  <c r="N106" i="1" a="1"/>
  <c r="N106" i="1" s="1"/>
  <c r="O106" i="1" a="1"/>
  <c r="O106" i="1" s="1"/>
  <c r="N124" i="1" a="1"/>
  <c r="N124" i="1" s="1"/>
  <c r="O124" i="1" a="1"/>
  <c r="O124" i="1" s="1"/>
  <c r="N136" i="1" a="1"/>
  <c r="N136" i="1" s="1"/>
  <c r="O136" i="1" a="1"/>
  <c r="O136" i="1" s="1"/>
  <c r="N160" i="1" a="1"/>
  <c r="N160" i="1" s="1"/>
  <c r="O160" i="1" a="1"/>
  <c r="O160" i="1" s="1"/>
  <c r="N178" i="1" a="1"/>
  <c r="N178" i="1" s="1"/>
  <c r="O178" i="1" a="1"/>
  <c r="O178" i="1" s="1"/>
  <c r="N190" i="1" a="1"/>
  <c r="N190" i="1" s="1"/>
  <c r="O190" i="1" a="1"/>
  <c r="O190" i="1" s="1"/>
  <c r="N208" i="1" a="1"/>
  <c r="N208" i="1" s="1"/>
  <c r="O208" i="1" a="1"/>
  <c r="O208" i="1" s="1"/>
  <c r="N226" i="1" a="1"/>
  <c r="N226" i="1" s="1"/>
  <c r="O226" i="1" a="1"/>
  <c r="O226" i="1" s="1"/>
  <c r="N244" i="1" a="1"/>
  <c r="N244" i="1" s="1"/>
  <c r="O244" i="1" a="1"/>
  <c r="O244" i="1" s="1"/>
  <c r="N262" i="1" a="1"/>
  <c r="N262" i="1" s="1"/>
  <c r="O262" i="1" a="1"/>
  <c r="O262" i="1" s="1"/>
  <c r="N280" i="1" a="1"/>
  <c r="N280" i="1" s="1"/>
  <c r="O280" i="1" a="1"/>
  <c r="O280" i="1" s="1"/>
  <c r="N292" i="1" a="1"/>
  <c r="N292" i="1" s="1"/>
  <c r="O292" i="1" a="1"/>
  <c r="O292" i="1" s="1"/>
  <c r="N310" i="1" a="1"/>
  <c r="N310" i="1" s="1"/>
  <c r="O310" i="1" a="1"/>
  <c r="O310" i="1" s="1"/>
  <c r="N328" i="1" a="1"/>
  <c r="N328" i="1" s="1"/>
  <c r="O328" i="1" a="1"/>
  <c r="O328" i="1" s="1"/>
  <c r="N340" i="1" a="1"/>
  <c r="N340" i="1" s="1"/>
  <c r="O340" i="1" a="1"/>
  <c r="O340" i="1" s="1"/>
  <c r="N364" i="1" a="1"/>
  <c r="N364" i="1" s="1"/>
  <c r="O364" i="1" a="1"/>
  <c r="O364" i="1" s="1"/>
  <c r="N382" i="1" a="1"/>
  <c r="N382" i="1" s="1"/>
  <c r="O382" i="1" a="1"/>
  <c r="O382" i="1" s="1"/>
  <c r="N400" i="1" a="1"/>
  <c r="N400" i="1" s="1"/>
  <c r="O400" i="1" a="1"/>
  <c r="O400" i="1" s="1"/>
  <c r="N412" i="1" a="1"/>
  <c r="N412" i="1" s="1"/>
  <c r="O412" i="1" a="1"/>
  <c r="O412" i="1" s="1"/>
  <c r="N430" i="1" a="1"/>
  <c r="N430" i="1" s="1"/>
  <c r="O430" i="1" a="1"/>
  <c r="O430" i="1" s="1"/>
  <c r="N454" i="1" a="1"/>
  <c r="N454" i="1" s="1"/>
  <c r="O454" i="1" a="1"/>
  <c r="O454" i="1" s="1"/>
  <c r="N466" i="1" a="1"/>
  <c r="N466" i="1" s="1"/>
  <c r="O466" i="1" a="1"/>
  <c r="O466" i="1" s="1"/>
  <c r="N484" i="1" a="1"/>
  <c r="N484" i="1" s="1"/>
  <c r="O484" i="1" a="1"/>
  <c r="O484" i="1" s="1"/>
  <c r="N502" i="1" a="1"/>
  <c r="N502" i="1" s="1"/>
  <c r="O502" i="1" a="1"/>
  <c r="O502" i="1" s="1"/>
  <c r="N526" i="1" a="1"/>
  <c r="N526" i="1" s="1"/>
  <c r="O526" i="1" a="1"/>
  <c r="O526" i="1" s="1"/>
  <c r="N532" i="1" a="1"/>
  <c r="N532" i="1" s="1"/>
  <c r="O532" i="1" a="1"/>
  <c r="O532" i="1" s="1"/>
  <c r="N556" i="1" a="1"/>
  <c r="N556" i="1" s="1"/>
  <c r="O556" i="1" a="1"/>
  <c r="O556" i="1" s="1"/>
  <c r="N574" i="1" a="1"/>
  <c r="N574" i="1" s="1"/>
  <c r="O574" i="1" a="1"/>
  <c r="O574" i="1" s="1"/>
  <c r="N598" i="1" a="1"/>
  <c r="N598" i="1" s="1"/>
  <c r="O598" i="1" a="1"/>
  <c r="O598" i="1" s="1"/>
  <c r="N604" i="1" a="1"/>
  <c r="N604" i="1" s="1"/>
  <c r="O604" i="1" a="1"/>
  <c r="O604" i="1" s="1"/>
  <c r="N628" i="1" a="1"/>
  <c r="N628" i="1" s="1"/>
  <c r="O628" i="1" a="1"/>
  <c r="O628" i="1" s="1"/>
  <c r="N646" i="1" a="1"/>
  <c r="N646" i="1" s="1"/>
  <c r="O646" i="1" a="1"/>
  <c r="O646" i="1" s="1"/>
  <c r="N658" i="1" a="1"/>
  <c r="N658" i="1" s="1"/>
  <c r="O658" i="1" a="1"/>
  <c r="O658" i="1" s="1"/>
  <c r="N676" i="1" a="1"/>
  <c r="N676" i="1" s="1"/>
  <c r="O676" i="1" a="1"/>
  <c r="O676" i="1" s="1"/>
  <c r="N700" i="1" a="1"/>
  <c r="N700" i="1" s="1"/>
  <c r="O700" i="1" a="1"/>
  <c r="O700" i="1" s="1"/>
  <c r="N706" i="1" a="1"/>
  <c r="N706" i="1" s="1"/>
  <c r="O706" i="1" a="1"/>
  <c r="O706" i="1" s="1"/>
  <c r="N724" i="1" a="1"/>
  <c r="N724" i="1" s="1"/>
  <c r="O724" i="1" a="1"/>
  <c r="O724" i="1" s="1"/>
  <c r="N742" i="1" a="1"/>
  <c r="N742" i="1" s="1"/>
  <c r="O742" i="1" a="1"/>
  <c r="O742" i="1" s="1"/>
  <c r="N754" i="1" a="1"/>
  <c r="N754" i="1" s="1"/>
  <c r="O754" i="1" a="1"/>
  <c r="O754" i="1" s="1"/>
  <c r="N808" i="1" a="1"/>
  <c r="N808" i="1" s="1"/>
  <c r="O808" i="1" a="1"/>
  <c r="O808" i="1" s="1"/>
  <c r="N820" i="1" a="1"/>
  <c r="N820" i="1" s="1"/>
  <c r="O820" i="1" a="1"/>
  <c r="O820" i="1" s="1"/>
  <c r="N844" i="1" a="1"/>
  <c r="N844" i="1" s="1"/>
  <c r="O844" i="1" a="1"/>
  <c r="O844" i="1" s="1"/>
  <c r="N856" i="1" a="1"/>
  <c r="N856" i="1" s="1"/>
  <c r="O856" i="1" a="1"/>
  <c r="O856" i="1" s="1"/>
  <c r="N874" i="1" a="1"/>
  <c r="N874" i="1" s="1"/>
  <c r="O874" i="1" a="1"/>
  <c r="O874" i="1" s="1"/>
  <c r="N892" i="1" a="1"/>
  <c r="N892" i="1" s="1"/>
  <c r="O892" i="1" a="1"/>
  <c r="O892" i="1" s="1"/>
  <c r="N904" i="1" a="1"/>
  <c r="N904" i="1" s="1"/>
  <c r="O904" i="1" a="1"/>
  <c r="O904" i="1" s="1"/>
  <c r="N928" i="1" a="1"/>
  <c r="N928" i="1" s="1"/>
  <c r="O928" i="1" a="1"/>
  <c r="O928" i="1" s="1"/>
  <c r="N946" i="1" a="1"/>
  <c r="N946" i="1" s="1"/>
  <c r="O946" i="1" a="1"/>
  <c r="O946" i="1" s="1"/>
  <c r="N958" i="1" a="1"/>
  <c r="N958" i="1" s="1"/>
  <c r="O958" i="1" a="1"/>
  <c r="O958" i="1" s="1"/>
  <c r="N976" i="1" a="1"/>
  <c r="N976" i="1" s="1"/>
  <c r="O976" i="1" a="1"/>
  <c r="O976" i="1" s="1"/>
  <c r="N1000" i="1" a="1"/>
  <c r="N1000" i="1" s="1"/>
  <c r="O1000" i="1" a="1"/>
  <c r="O1000" i="1" s="1"/>
  <c r="N1006" i="1" a="1"/>
  <c r="N1006" i="1" s="1"/>
  <c r="O1006" i="1" a="1"/>
  <c r="O1006" i="1" s="1"/>
  <c r="N1024" i="1" a="1"/>
  <c r="N1024" i="1" s="1"/>
  <c r="O1024" i="1" a="1"/>
  <c r="O1024" i="1" s="1"/>
  <c r="N1048" i="1" a="1"/>
  <c r="N1048" i="1" s="1"/>
  <c r="O1048" i="1" a="1"/>
  <c r="O1048" i="1" s="1"/>
  <c r="N1060" i="1" a="1"/>
  <c r="N1060" i="1" s="1"/>
  <c r="O1060" i="1" a="1"/>
  <c r="O1060" i="1" s="1"/>
  <c r="N1078" i="1" a="1"/>
  <c r="N1078" i="1" s="1"/>
  <c r="O1078" i="1" a="1"/>
  <c r="O1078" i="1" s="1"/>
  <c r="N1096" i="1" a="1"/>
  <c r="N1096" i="1" s="1"/>
  <c r="O1096" i="1" a="1"/>
  <c r="O1096" i="1" s="1"/>
  <c r="N1114" i="1" a="1"/>
  <c r="N1114" i="1" s="1"/>
  <c r="O1114" i="1" a="1"/>
  <c r="O1114" i="1" s="1"/>
  <c r="N1126" i="1" a="1"/>
  <c r="N1126" i="1" s="1"/>
  <c r="O1126" i="1" a="1"/>
  <c r="O1126" i="1" s="1"/>
  <c r="N1144" i="1" a="1"/>
  <c r="N1144" i="1" s="1"/>
  <c r="O1144" i="1" a="1"/>
  <c r="O1144" i="1" s="1"/>
  <c r="N1156" i="1" a="1"/>
  <c r="N1156" i="1" s="1"/>
  <c r="O1156" i="1" a="1"/>
  <c r="O1156" i="1" s="1"/>
  <c r="N1174" i="1" a="1"/>
  <c r="N1174" i="1" s="1"/>
  <c r="O1174" i="1" a="1"/>
  <c r="O1174" i="1" s="1"/>
  <c r="N1198" i="1" a="1"/>
  <c r="N1198" i="1" s="1"/>
  <c r="O1198" i="1" a="1"/>
  <c r="O1198" i="1" s="1"/>
  <c r="N1216" i="1" a="1"/>
  <c r="N1216" i="1" s="1"/>
  <c r="O1216" i="1" a="1"/>
  <c r="O1216" i="1" s="1"/>
  <c r="N1246" i="1" a="1"/>
  <c r="N1246" i="1" s="1"/>
  <c r="O1246" i="1" a="1"/>
  <c r="O1246" i="1" s="1"/>
  <c r="N5" i="1" a="1"/>
  <c r="N5" i="1" s="1"/>
  <c r="O5" i="1" a="1"/>
  <c r="O5" i="1" s="1"/>
  <c r="N23" i="1" a="1"/>
  <c r="N23" i="1" s="1"/>
  <c r="O23" i="1" a="1"/>
  <c r="O23" i="1" s="1"/>
  <c r="N35" i="1" a="1"/>
  <c r="N35" i="1" s="1"/>
  <c r="O35" i="1" a="1"/>
  <c r="O35" i="1" s="1"/>
  <c r="N53" i="1" a="1"/>
  <c r="N53" i="1" s="1"/>
  <c r="O53" i="1" a="1"/>
  <c r="O53" i="1" s="1"/>
  <c r="N65" i="1" a="1"/>
  <c r="N65" i="1" s="1"/>
  <c r="O65" i="1" a="1"/>
  <c r="O65" i="1" s="1"/>
  <c r="N83" i="1" a="1"/>
  <c r="N83" i="1" s="1"/>
  <c r="O83" i="1" a="1"/>
  <c r="O83" i="1" s="1"/>
  <c r="N101" i="1" a="1"/>
  <c r="N101" i="1" s="1"/>
  <c r="O101" i="1" a="1"/>
  <c r="O101" i="1" s="1"/>
  <c r="N113" i="1" a="1"/>
  <c r="N113" i="1" s="1"/>
  <c r="O113" i="1" a="1"/>
  <c r="O113" i="1" s="1"/>
  <c r="N125" i="1" a="1"/>
  <c r="N125" i="1" s="1"/>
  <c r="O125" i="1" a="1"/>
  <c r="O125" i="1" s="1"/>
  <c r="N143" i="1" a="1"/>
  <c r="N143" i="1" s="1"/>
  <c r="O143" i="1" a="1"/>
  <c r="O143" i="1" s="1"/>
  <c r="N149" i="1" a="1"/>
  <c r="N149" i="1" s="1"/>
  <c r="O149" i="1" a="1"/>
  <c r="O149" i="1" s="1"/>
  <c r="N167" i="1" a="1"/>
  <c r="N167" i="1" s="1"/>
  <c r="O167" i="1" a="1"/>
  <c r="O167" i="1" s="1"/>
  <c r="N185" i="1" a="1"/>
  <c r="N185" i="1" s="1"/>
  <c r="O185" i="1" a="1"/>
  <c r="O185" i="1" s="1"/>
  <c r="N197" i="1" a="1"/>
  <c r="N197" i="1" s="1"/>
  <c r="O197" i="1" a="1"/>
  <c r="O197" i="1" s="1"/>
  <c r="N215" i="1" a="1"/>
  <c r="N215" i="1" s="1"/>
  <c r="O215" i="1" a="1"/>
  <c r="O215" i="1" s="1"/>
  <c r="N227" i="1" a="1"/>
  <c r="N227" i="1" s="1"/>
  <c r="O227" i="1" a="1"/>
  <c r="O227" i="1" s="1"/>
  <c r="N245" i="1" a="1"/>
  <c r="N245" i="1" s="1"/>
  <c r="O245" i="1" a="1"/>
  <c r="O245" i="1" s="1"/>
  <c r="N257" i="1" a="1"/>
  <c r="N257" i="1" s="1"/>
  <c r="O257" i="1" a="1"/>
  <c r="O257" i="1" s="1"/>
  <c r="N269" i="1" a="1"/>
  <c r="N269" i="1" s="1"/>
  <c r="O269" i="1" a="1"/>
  <c r="O269" i="1" s="1"/>
  <c r="N287" i="1" a="1"/>
  <c r="N287" i="1" s="1"/>
  <c r="O287" i="1" a="1"/>
  <c r="O287" i="1" s="1"/>
  <c r="N299" i="1" a="1"/>
  <c r="N299" i="1" s="1"/>
  <c r="O299" i="1" a="1"/>
  <c r="O299" i="1" s="1"/>
  <c r="N311" i="1" a="1"/>
  <c r="N311" i="1" s="1"/>
  <c r="O311" i="1" a="1"/>
  <c r="O311" i="1" s="1"/>
  <c r="N329" i="1" a="1"/>
  <c r="N329" i="1" s="1"/>
  <c r="O329" i="1" a="1"/>
  <c r="O329" i="1" s="1"/>
  <c r="N347" i="1" a="1"/>
  <c r="N347" i="1" s="1"/>
  <c r="O347" i="1" a="1"/>
  <c r="O347" i="1" s="1"/>
  <c r="N359" i="1" a="1"/>
  <c r="N359" i="1" s="1"/>
  <c r="O359" i="1" a="1"/>
  <c r="O359" i="1" s="1"/>
  <c r="N377" i="1" a="1"/>
  <c r="N377" i="1" s="1"/>
  <c r="O377" i="1" a="1"/>
  <c r="O377" i="1" s="1"/>
  <c r="N389" i="1" a="1"/>
  <c r="N389" i="1" s="1"/>
  <c r="O389" i="1" a="1"/>
  <c r="O389" i="1" s="1"/>
  <c r="N407" i="1" a="1"/>
  <c r="N407" i="1" s="1"/>
  <c r="O407" i="1" a="1"/>
  <c r="O407" i="1" s="1"/>
  <c r="N419" i="1" a="1"/>
  <c r="N419" i="1" s="1"/>
  <c r="O419" i="1" a="1"/>
  <c r="O419" i="1" s="1"/>
  <c r="N437" i="1" a="1"/>
  <c r="N437" i="1" s="1"/>
  <c r="O437" i="1" a="1"/>
  <c r="O437" i="1" s="1"/>
  <c r="N449" i="1" a="1"/>
  <c r="N449" i="1" s="1"/>
  <c r="O449" i="1" a="1"/>
  <c r="O449" i="1" s="1"/>
  <c r="N467" i="1" a="1"/>
  <c r="N467" i="1" s="1"/>
  <c r="O467" i="1" a="1"/>
  <c r="O467" i="1" s="1"/>
  <c r="N479" i="1" a="1"/>
  <c r="N479" i="1" s="1"/>
  <c r="O479" i="1" a="1"/>
  <c r="O479" i="1" s="1"/>
  <c r="N491" i="1" a="1"/>
  <c r="N491" i="1" s="1"/>
  <c r="O491" i="1" a="1"/>
  <c r="O491" i="1" s="1"/>
  <c r="N509" i="1" a="1"/>
  <c r="N509" i="1" s="1"/>
  <c r="O509" i="1" a="1"/>
  <c r="O509" i="1" s="1"/>
  <c r="N521" i="1" a="1"/>
  <c r="N521" i="1" s="1"/>
  <c r="O521" i="1" a="1"/>
  <c r="O521" i="1" s="1"/>
  <c r="N533" i="1" a="1"/>
  <c r="N533" i="1" s="1"/>
  <c r="O533" i="1" a="1"/>
  <c r="O533" i="1" s="1"/>
  <c r="N551" i="1" a="1"/>
  <c r="N551" i="1" s="1"/>
  <c r="O551" i="1" a="1"/>
  <c r="O551" i="1" s="1"/>
  <c r="N569" i="1" a="1"/>
  <c r="N569" i="1" s="1"/>
  <c r="O569" i="1" a="1"/>
  <c r="O569" i="1" s="1"/>
  <c r="N575" i="1" a="1"/>
  <c r="N575" i="1" s="1"/>
  <c r="O575" i="1" a="1"/>
  <c r="O575" i="1" s="1"/>
  <c r="N593" i="1" a="1"/>
  <c r="N593" i="1" s="1"/>
  <c r="O593" i="1" a="1"/>
  <c r="O593" i="1" s="1"/>
  <c r="N611" i="1" a="1"/>
  <c r="N611" i="1" s="1"/>
  <c r="O611" i="1" a="1"/>
  <c r="O611" i="1" s="1"/>
  <c r="N617" i="1" a="1"/>
  <c r="N617" i="1" s="1"/>
  <c r="O617" i="1" a="1"/>
  <c r="O617" i="1" s="1"/>
  <c r="N635" i="1" a="1"/>
  <c r="N635" i="1" s="1"/>
  <c r="O635" i="1" a="1"/>
  <c r="O635" i="1" s="1"/>
  <c r="N653" i="1" a="1"/>
  <c r="N653" i="1" s="1"/>
  <c r="O653" i="1" a="1"/>
  <c r="O653" i="1" s="1"/>
  <c r="N665" i="1" a="1"/>
  <c r="N665" i="1" s="1"/>
  <c r="O665" i="1" a="1"/>
  <c r="O665" i="1" s="1"/>
  <c r="N677" i="1" a="1"/>
  <c r="N677" i="1" s="1"/>
  <c r="O677" i="1" a="1"/>
  <c r="O677" i="1" s="1"/>
  <c r="N695" i="1" a="1"/>
  <c r="N695" i="1" s="1"/>
  <c r="O695" i="1" a="1"/>
  <c r="O695" i="1" s="1"/>
  <c r="N707" i="1" a="1"/>
  <c r="N707" i="1" s="1"/>
  <c r="O707" i="1" a="1"/>
  <c r="O707" i="1" s="1"/>
  <c r="N719" i="1" a="1"/>
  <c r="N719" i="1" s="1"/>
  <c r="O719" i="1" a="1"/>
  <c r="O719" i="1" s="1"/>
  <c r="N737" i="1" a="1"/>
  <c r="N737" i="1" s="1"/>
  <c r="O737" i="1" a="1"/>
  <c r="O737" i="1" s="1"/>
  <c r="N749" i="1" a="1"/>
  <c r="N749" i="1" s="1"/>
  <c r="O749" i="1" a="1"/>
  <c r="O749" i="1" s="1"/>
  <c r="N761" i="1" a="1"/>
  <c r="N761" i="1" s="1"/>
  <c r="O761" i="1" a="1"/>
  <c r="O761" i="1" s="1"/>
  <c r="N773" i="1" a="1"/>
  <c r="N773" i="1" s="1"/>
  <c r="O773" i="1" a="1"/>
  <c r="O773" i="1" s="1"/>
  <c r="N785" i="1" a="1"/>
  <c r="N785" i="1" s="1"/>
  <c r="O785" i="1" a="1"/>
  <c r="O785" i="1" s="1"/>
  <c r="N797" i="1" a="1"/>
  <c r="N797" i="1" s="1"/>
  <c r="O797" i="1" a="1"/>
  <c r="O797" i="1" s="1"/>
  <c r="N809" i="1" a="1"/>
  <c r="N809" i="1" s="1"/>
  <c r="O809" i="1" a="1"/>
  <c r="O809" i="1" s="1"/>
  <c r="N827" i="1" a="1"/>
  <c r="N827" i="1" s="1"/>
  <c r="O827" i="1" a="1"/>
  <c r="O827" i="1" s="1"/>
  <c r="N839" i="1" a="1"/>
  <c r="N839" i="1" s="1"/>
  <c r="O839" i="1" a="1"/>
  <c r="O839" i="1" s="1"/>
  <c r="N851" i="1" a="1"/>
  <c r="N851" i="1" s="1"/>
  <c r="O851" i="1" a="1"/>
  <c r="O851" i="1" s="1"/>
  <c r="N869" i="1" a="1"/>
  <c r="N869" i="1" s="1"/>
  <c r="O869" i="1" a="1"/>
  <c r="O869" i="1" s="1"/>
  <c r="N881" i="1" a="1"/>
  <c r="N881" i="1" s="1"/>
  <c r="O881" i="1" a="1"/>
  <c r="O881" i="1" s="1"/>
  <c r="N893" i="1" a="1"/>
  <c r="N893" i="1" s="1"/>
  <c r="O893" i="1" a="1"/>
  <c r="O893" i="1" s="1"/>
  <c r="N911" i="1" a="1"/>
  <c r="N911" i="1" s="1"/>
  <c r="O911" i="1" a="1"/>
  <c r="O911" i="1" s="1"/>
  <c r="N929" i="1" a="1"/>
  <c r="N929" i="1" s="1"/>
  <c r="O929" i="1" a="1"/>
  <c r="O929" i="1" s="1"/>
  <c r="N935" i="1" a="1"/>
  <c r="N935" i="1" s="1"/>
  <c r="O935" i="1" a="1"/>
  <c r="O935" i="1" s="1"/>
  <c r="N953" i="1" a="1"/>
  <c r="N953" i="1" s="1"/>
  <c r="O953" i="1" a="1"/>
  <c r="O953" i="1" s="1"/>
  <c r="N971" i="1" a="1"/>
  <c r="N971" i="1" s="1"/>
  <c r="O971" i="1" a="1"/>
  <c r="O971" i="1" s="1"/>
  <c r="N977" i="1" a="1"/>
  <c r="N977" i="1" s="1"/>
  <c r="O977" i="1" a="1"/>
  <c r="O977" i="1" s="1"/>
  <c r="N995" i="1" a="1"/>
  <c r="N995" i="1" s="1"/>
  <c r="O995" i="1" a="1"/>
  <c r="O995" i="1" s="1"/>
  <c r="N1001" i="1" a="1"/>
  <c r="N1001" i="1" s="1"/>
  <c r="O1001" i="1" a="1"/>
  <c r="O1001" i="1" s="1"/>
  <c r="N1019" i="1" a="1"/>
  <c r="N1019" i="1" s="1"/>
  <c r="O1019" i="1" a="1"/>
  <c r="O1019" i="1" s="1"/>
  <c r="N1037" i="1" a="1"/>
  <c r="N1037" i="1" s="1"/>
  <c r="O1037" i="1" a="1"/>
  <c r="O1037" i="1" s="1"/>
  <c r="N1043" i="1" a="1"/>
  <c r="N1043" i="1" s="1"/>
  <c r="O1043" i="1" a="1"/>
  <c r="O1043" i="1" s="1"/>
  <c r="N1061" i="1" a="1"/>
  <c r="N1061" i="1" s="1"/>
  <c r="O1061" i="1" a="1"/>
  <c r="O1061" i="1" s="1"/>
  <c r="N1079" i="1" a="1"/>
  <c r="N1079" i="1" s="1"/>
  <c r="O1079" i="1" a="1"/>
  <c r="O1079" i="1" s="1"/>
  <c r="N1085" i="1" a="1"/>
  <c r="N1085" i="1" s="1"/>
  <c r="O1085" i="1" a="1"/>
  <c r="O1085" i="1" s="1"/>
  <c r="N1103" i="1" a="1"/>
  <c r="N1103" i="1" s="1"/>
  <c r="O1103" i="1" a="1"/>
  <c r="O1103" i="1" s="1"/>
  <c r="N1121" i="1" a="1"/>
  <c r="N1121" i="1" s="1"/>
  <c r="O1121" i="1" a="1"/>
  <c r="O1121" i="1" s="1"/>
  <c r="N1139" i="1" a="1"/>
  <c r="N1139" i="1" s="1"/>
  <c r="O1139" i="1" a="1"/>
  <c r="O1139" i="1" s="1"/>
  <c r="N1151" i="1" a="1"/>
  <c r="N1151" i="1" s="1"/>
  <c r="O1151" i="1" a="1"/>
  <c r="O1151" i="1" s="1"/>
  <c r="N1163" i="1" a="1"/>
  <c r="N1163" i="1" s="1"/>
  <c r="O1163" i="1" a="1"/>
  <c r="O1163" i="1" s="1"/>
  <c r="N1181" i="1" a="1"/>
  <c r="N1181" i="1" s="1"/>
  <c r="O1181" i="1" a="1"/>
  <c r="O1181" i="1" s="1"/>
  <c r="N1193" i="1" a="1"/>
  <c r="N1193" i="1" s="1"/>
  <c r="O1193" i="1" a="1"/>
  <c r="O1193" i="1" s="1"/>
  <c r="N1205" i="1" a="1"/>
  <c r="N1205" i="1" s="1"/>
  <c r="O1205" i="1" a="1"/>
  <c r="O1205" i="1" s="1"/>
  <c r="N1223" i="1" a="1"/>
  <c r="N1223" i="1" s="1"/>
  <c r="O1223" i="1" a="1"/>
  <c r="O1223" i="1" s="1"/>
  <c r="N1235" i="1" a="1"/>
  <c r="N1235" i="1" s="1"/>
  <c r="O1235" i="1" a="1"/>
  <c r="O1235" i="1" s="1"/>
  <c r="N1253" i="1" a="1"/>
  <c r="N1253" i="1" s="1"/>
  <c r="O1253" i="1" a="1"/>
  <c r="O1253" i="1" s="1"/>
  <c r="N1265" i="1" a="1"/>
  <c r="N1265" i="1" s="1"/>
  <c r="O1265" i="1" a="1"/>
  <c r="O1265" i="1" s="1"/>
  <c r="N1277" i="1" a="1"/>
  <c r="N1277" i="1" s="1"/>
  <c r="O1277" i="1" a="1"/>
  <c r="O1277" i="1" s="1"/>
  <c r="N1289" i="1" a="1"/>
  <c r="N1289" i="1" s="1"/>
  <c r="O1289" i="1" a="1"/>
  <c r="O1289" i="1" s="1"/>
  <c r="N1307" i="1" a="1"/>
  <c r="N1307" i="1" s="1"/>
  <c r="O1307" i="1" a="1"/>
  <c r="O1307" i="1" s="1"/>
  <c r="N1325" i="1" a="1"/>
  <c r="N1325" i="1" s="1"/>
  <c r="O1325" i="1" a="1"/>
  <c r="O1325" i="1" s="1"/>
  <c r="N1337" i="1" a="1"/>
  <c r="N1337" i="1" s="1"/>
  <c r="O1337" i="1" a="1"/>
  <c r="O1337" i="1" s="1"/>
  <c r="N1349" i="1" a="1"/>
  <c r="N1349" i="1" s="1"/>
  <c r="O1349" i="1" a="1"/>
  <c r="O1349" i="1" s="1"/>
  <c r="N1367" i="1" a="1"/>
  <c r="N1367" i="1" s="1"/>
  <c r="O1367" i="1" a="1"/>
  <c r="O1367" i="1" s="1"/>
  <c r="N1385" i="1" a="1"/>
  <c r="N1385" i="1" s="1"/>
  <c r="O1385" i="1" a="1"/>
  <c r="O1385" i="1" s="1"/>
  <c r="N1391" i="1" a="1"/>
  <c r="N1391" i="1" s="1"/>
  <c r="O1391" i="1" a="1"/>
  <c r="O1391" i="1" s="1"/>
  <c r="N1409" i="1" a="1"/>
  <c r="N1409" i="1" s="1"/>
  <c r="O1409" i="1" a="1"/>
  <c r="O1409" i="1" s="1"/>
  <c r="N1433" i="1" a="1"/>
  <c r="N1433" i="1" s="1"/>
  <c r="O1433" i="1" a="1"/>
  <c r="O1433" i="1" s="1"/>
  <c r="N12" i="1" a="1"/>
  <c r="N12" i="1" s="1"/>
  <c r="O12" i="1" a="1"/>
  <c r="O12" i="1" s="1"/>
  <c r="N24" i="1" a="1"/>
  <c r="N24" i="1" s="1"/>
  <c r="O24" i="1" a="1"/>
  <c r="O24" i="1" s="1"/>
  <c r="N42" i="1" a="1"/>
  <c r="N42" i="1" s="1"/>
  <c r="O42" i="1" a="1"/>
  <c r="O42" i="1" s="1"/>
  <c r="N54" i="1" a="1"/>
  <c r="N54" i="1" s="1"/>
  <c r="O54" i="1" a="1"/>
  <c r="O54" i="1" s="1"/>
  <c r="N72" i="1" a="1"/>
  <c r="N72" i="1" s="1"/>
  <c r="O72" i="1" a="1"/>
  <c r="O72" i="1" s="1"/>
  <c r="N90" i="1" a="1"/>
  <c r="N90" i="1" s="1"/>
  <c r="O90" i="1" a="1"/>
  <c r="O90" i="1" s="1"/>
  <c r="N102" i="1" a="1"/>
  <c r="N102" i="1" s="1"/>
  <c r="O102" i="1" a="1"/>
  <c r="O102" i="1" s="1"/>
  <c r="N114" i="1" a="1"/>
  <c r="N114" i="1" s="1"/>
  <c r="O114" i="1" a="1"/>
  <c r="O114" i="1" s="1"/>
  <c r="N132" i="1" a="1"/>
  <c r="N132" i="1" s="1"/>
  <c r="O132" i="1" a="1"/>
  <c r="O132" i="1" s="1"/>
  <c r="N138" i="1" a="1"/>
  <c r="N138" i="1" s="1"/>
  <c r="O138" i="1" a="1"/>
  <c r="O138" i="1" s="1"/>
  <c r="N156" i="1" a="1"/>
  <c r="N156" i="1" s="1"/>
  <c r="O156" i="1" a="1"/>
  <c r="O156" i="1" s="1"/>
  <c r="N174" i="1" a="1"/>
  <c r="N174" i="1" s="1"/>
  <c r="O174" i="1" a="1"/>
  <c r="O174" i="1" s="1"/>
  <c r="N180" i="1" a="1"/>
  <c r="N180" i="1" s="1"/>
  <c r="O180" i="1" a="1"/>
  <c r="O180" i="1" s="1"/>
  <c r="N198" i="1" a="1"/>
  <c r="N198" i="1" s="1"/>
  <c r="O198" i="1" a="1"/>
  <c r="O198" i="1" s="1"/>
  <c r="N216" i="1" a="1"/>
  <c r="N216" i="1" s="1"/>
  <c r="O216" i="1" a="1"/>
  <c r="O216" i="1" s="1"/>
  <c r="N228" i="1" a="1"/>
  <c r="N228" i="1" s="1"/>
  <c r="O228" i="1" a="1"/>
  <c r="O228" i="1" s="1"/>
  <c r="N240" i="1" a="1"/>
  <c r="N240" i="1" s="1"/>
  <c r="O240" i="1" a="1"/>
  <c r="O240" i="1" s="1"/>
  <c r="N258" i="1" a="1"/>
  <c r="N258" i="1" s="1"/>
  <c r="O258" i="1" a="1"/>
  <c r="O258" i="1" s="1"/>
  <c r="N276" i="1" a="1"/>
  <c r="N276" i="1" s="1"/>
  <c r="O276" i="1" a="1"/>
  <c r="O276" i="1" s="1"/>
  <c r="N282" i="1" a="1"/>
  <c r="N282" i="1" s="1"/>
  <c r="O282" i="1" a="1"/>
  <c r="O282" i="1" s="1"/>
  <c r="N300" i="1" a="1"/>
  <c r="N300" i="1" s="1"/>
  <c r="O300" i="1" a="1"/>
  <c r="O300" i="1" s="1"/>
  <c r="N318" i="1" a="1"/>
  <c r="N318" i="1" s="1"/>
  <c r="O318" i="1" a="1"/>
  <c r="O318" i="1" s="1"/>
  <c r="N324" i="1" a="1"/>
  <c r="N324" i="1" s="1"/>
  <c r="O324" i="1" a="1"/>
  <c r="O324" i="1" s="1"/>
  <c r="N342" i="1" a="1"/>
  <c r="N342" i="1" s="1"/>
  <c r="O342" i="1" a="1"/>
  <c r="O342" i="1" s="1"/>
  <c r="N360" i="1" a="1"/>
  <c r="N360" i="1" s="1"/>
  <c r="O360" i="1" a="1"/>
  <c r="O360" i="1" s="1"/>
  <c r="N366" i="1" a="1"/>
  <c r="N366" i="1" s="1"/>
  <c r="O366" i="1" a="1"/>
  <c r="O366" i="1" s="1"/>
  <c r="N384" i="1" a="1"/>
  <c r="N384" i="1" s="1"/>
  <c r="O384" i="1" a="1"/>
  <c r="O384" i="1" s="1"/>
  <c r="N402" i="1" a="1"/>
  <c r="N402" i="1" s="1"/>
  <c r="O402" i="1" a="1"/>
  <c r="O402" i="1" s="1"/>
  <c r="N408" i="1" a="1"/>
  <c r="N408" i="1" s="1"/>
  <c r="O408" i="1" a="1"/>
  <c r="O408" i="1" s="1"/>
  <c r="N426" i="1" a="1"/>
  <c r="N426" i="1" s="1"/>
  <c r="O426" i="1" a="1"/>
  <c r="O426" i="1" s="1"/>
  <c r="N444" i="1" a="1"/>
  <c r="N444" i="1" s="1"/>
  <c r="O444" i="1" a="1"/>
  <c r="O444" i="1" s="1"/>
  <c r="N450" i="1" a="1"/>
  <c r="N450" i="1" s="1"/>
  <c r="O450" i="1" a="1"/>
  <c r="O450" i="1" s="1"/>
  <c r="N468" i="1" a="1"/>
  <c r="N468" i="1" s="1"/>
  <c r="O468" i="1" a="1"/>
  <c r="O468" i="1" s="1"/>
  <c r="N486" i="1" a="1"/>
  <c r="N486" i="1" s="1"/>
  <c r="O486" i="1" a="1"/>
  <c r="O486" i="1" s="1"/>
  <c r="N492" i="1" a="1"/>
  <c r="N492" i="1" s="1"/>
  <c r="O492" i="1" a="1"/>
  <c r="O492" i="1" s="1"/>
  <c r="N510" i="1" a="1"/>
  <c r="N510" i="1" s="1"/>
  <c r="O510" i="1" a="1"/>
  <c r="O510" i="1" s="1"/>
  <c r="N528" i="1" a="1"/>
  <c r="N528" i="1" s="1"/>
  <c r="O528" i="1" a="1"/>
  <c r="O528" i="1" s="1"/>
  <c r="N540" i="1" a="1"/>
  <c r="N540" i="1" s="1"/>
  <c r="O540" i="1" a="1"/>
  <c r="O540" i="1" s="1"/>
  <c r="N552" i="1" a="1"/>
  <c r="N552" i="1" s="1"/>
  <c r="O552" i="1" a="1"/>
  <c r="O552" i="1" s="1"/>
  <c r="N570" i="1" a="1"/>
  <c r="N570" i="1" s="1"/>
  <c r="O570" i="1" a="1"/>
  <c r="O570" i="1" s="1"/>
  <c r="N588" i="1" a="1"/>
  <c r="N588" i="1" s="1"/>
  <c r="O588" i="1" a="1"/>
  <c r="O588" i="1" s="1"/>
  <c r="N600" i="1" a="1"/>
  <c r="N600" i="1" s="1"/>
  <c r="O600" i="1" a="1"/>
  <c r="O600" i="1" s="1"/>
  <c r="N612" i="1" a="1"/>
  <c r="N612" i="1" s="1"/>
  <c r="O612" i="1" a="1"/>
  <c r="O612" i="1" s="1"/>
  <c r="N630" i="1" a="1"/>
  <c r="N630" i="1" s="1"/>
  <c r="O630" i="1" a="1"/>
  <c r="O630" i="1" s="1"/>
  <c r="N636" i="1" a="1"/>
  <c r="N636" i="1" s="1"/>
  <c r="O636" i="1" a="1"/>
  <c r="O636" i="1" s="1"/>
  <c r="N654" i="1" a="1"/>
  <c r="N654" i="1" s="1"/>
  <c r="O654" i="1" a="1"/>
  <c r="O654" i="1" s="1"/>
  <c r="N672" i="1" a="1"/>
  <c r="N672" i="1" s="1"/>
  <c r="O672" i="1" a="1"/>
  <c r="O672" i="1" s="1"/>
  <c r="N690" i="1" a="1"/>
  <c r="N690" i="1" s="1"/>
  <c r="O690" i="1" a="1"/>
  <c r="O690" i="1" s="1"/>
  <c r="N696" i="1" a="1"/>
  <c r="N696" i="1" s="1"/>
  <c r="O696" i="1" a="1"/>
  <c r="O696" i="1" s="1"/>
  <c r="N714" i="1" a="1"/>
  <c r="N714" i="1" s="1"/>
  <c r="O714" i="1" a="1"/>
  <c r="O714" i="1" s="1"/>
  <c r="N732" i="1" a="1"/>
  <c r="N732" i="1" s="1"/>
  <c r="O732" i="1" a="1"/>
  <c r="O732" i="1" s="1"/>
  <c r="N738" i="1" a="1"/>
  <c r="N738" i="1" s="1"/>
  <c r="O738" i="1" a="1"/>
  <c r="O738" i="1" s="1"/>
  <c r="N756" i="1" a="1"/>
  <c r="N756" i="1" s="1"/>
  <c r="O756" i="1" a="1"/>
  <c r="O756" i="1" s="1"/>
  <c r="N774" i="1" a="1"/>
  <c r="N774" i="1" s="1"/>
  <c r="O774" i="1" a="1"/>
  <c r="O774" i="1" s="1"/>
  <c r="N786" i="1" a="1"/>
  <c r="N786" i="1" s="1"/>
  <c r="O786" i="1" a="1"/>
  <c r="O786" i="1" s="1"/>
  <c r="N798" i="1" a="1"/>
  <c r="N798" i="1" s="1"/>
  <c r="O798" i="1" a="1"/>
  <c r="O798" i="1" s="1"/>
  <c r="N816" i="1" a="1"/>
  <c r="N816" i="1" s="1"/>
  <c r="O816" i="1" a="1"/>
  <c r="O816" i="1" s="1"/>
  <c r="N834" i="1" a="1"/>
  <c r="N834" i="1" s="1"/>
  <c r="O834" i="1" a="1"/>
  <c r="O834" i="1" s="1"/>
  <c r="N852" i="1" a="1"/>
  <c r="N852" i="1" s="1"/>
  <c r="O852" i="1" a="1"/>
  <c r="O852" i="1" s="1"/>
  <c r="N858" i="1" a="1"/>
  <c r="N858" i="1" s="1"/>
  <c r="O858" i="1" a="1"/>
  <c r="O858" i="1" s="1"/>
  <c r="N876" i="1" a="1"/>
  <c r="N876" i="1" s="1"/>
  <c r="O876" i="1" a="1"/>
  <c r="O876" i="1" s="1"/>
  <c r="N894" i="1" a="1"/>
  <c r="N894" i="1" s="1"/>
  <c r="O894" i="1" a="1"/>
  <c r="O894" i="1" s="1"/>
  <c r="N900" i="1" a="1"/>
  <c r="N900" i="1" s="1"/>
  <c r="O900" i="1" a="1"/>
  <c r="O900" i="1" s="1"/>
  <c r="N918" i="1" a="1"/>
  <c r="N918" i="1" s="1"/>
  <c r="O918" i="1" a="1"/>
  <c r="O918" i="1" s="1"/>
  <c r="N936" i="1" a="1"/>
  <c r="N936" i="1" s="1"/>
  <c r="O936" i="1" a="1"/>
  <c r="O936" i="1" s="1"/>
  <c r="N948" i="1" a="1"/>
  <c r="N948" i="1" s="1"/>
  <c r="O948" i="1" a="1"/>
  <c r="O948" i="1" s="1"/>
  <c r="N960" i="1" a="1"/>
  <c r="N960" i="1" s="1"/>
  <c r="O960" i="1" a="1"/>
  <c r="O960" i="1" s="1"/>
  <c r="N978" i="1" a="1"/>
  <c r="N978" i="1" s="1"/>
  <c r="O978" i="1" a="1"/>
  <c r="O978" i="1" s="1"/>
  <c r="N984" i="1" a="1"/>
  <c r="N984" i="1" s="1"/>
  <c r="O984" i="1" a="1"/>
  <c r="O984" i="1" s="1"/>
  <c r="N1002" i="1" a="1"/>
  <c r="N1002" i="1" s="1"/>
  <c r="O1002" i="1" a="1"/>
  <c r="O1002" i="1" s="1"/>
  <c r="N1020" i="1" a="1"/>
  <c r="N1020" i="1" s="1"/>
  <c r="O1020" i="1" a="1"/>
  <c r="O1020" i="1" s="1"/>
  <c r="N1038" i="1" a="1"/>
  <c r="N1038" i="1" s="1"/>
  <c r="O1038" i="1" a="1"/>
  <c r="O1038" i="1" s="1"/>
  <c r="N1044" i="1" a="1"/>
  <c r="N1044" i="1" s="1"/>
  <c r="O1044" i="1" a="1"/>
  <c r="O1044" i="1" s="1"/>
  <c r="N1062" i="1" a="1"/>
  <c r="N1062" i="1" s="1"/>
  <c r="O1062" i="1" a="1"/>
  <c r="O1062" i="1" s="1"/>
  <c r="N1080" i="1" a="1"/>
  <c r="N1080" i="1" s="1"/>
  <c r="O1080" i="1" a="1"/>
  <c r="O1080" i="1" s="1"/>
  <c r="N1092" i="1" a="1"/>
  <c r="N1092" i="1" s="1"/>
  <c r="O1092" i="1" a="1"/>
  <c r="O1092" i="1" s="1"/>
  <c r="N1104" i="1" a="1"/>
  <c r="N1104" i="1" s="1"/>
  <c r="O1104" i="1" a="1"/>
  <c r="O1104" i="1" s="1"/>
  <c r="N1122" i="1" a="1"/>
  <c r="N1122" i="1" s="1"/>
  <c r="O1122" i="1" a="1"/>
  <c r="O1122" i="1" s="1"/>
  <c r="N1134" i="1" a="1"/>
  <c r="N1134" i="1" s="1"/>
  <c r="O1134" i="1" a="1"/>
  <c r="O1134" i="1" s="1"/>
  <c r="N1146" i="1" a="1"/>
  <c r="N1146" i="1" s="1"/>
  <c r="O1146" i="1" a="1"/>
  <c r="O1146" i="1" s="1"/>
  <c r="N1164" i="1" a="1"/>
  <c r="N1164" i="1" s="1"/>
  <c r="O1164" i="1" a="1"/>
  <c r="O1164" i="1" s="1"/>
  <c r="N1182" i="1" a="1"/>
  <c r="N1182" i="1" s="1"/>
  <c r="O1182" i="1" a="1"/>
  <c r="O1182" i="1" s="1"/>
  <c r="N1188" i="1" a="1"/>
  <c r="N1188" i="1" s="1"/>
  <c r="O1188" i="1" a="1"/>
  <c r="O1188" i="1" s="1"/>
  <c r="N1206" i="1" a="1"/>
  <c r="N1206" i="1" s="1"/>
  <c r="O1206" i="1" a="1"/>
  <c r="O1206" i="1" s="1"/>
  <c r="N1224" i="1" a="1"/>
  <c r="N1224" i="1" s="1"/>
  <c r="O1224" i="1" a="1"/>
  <c r="O1224" i="1" s="1"/>
  <c r="N1254" i="1" a="1"/>
  <c r="N1254" i="1" s="1"/>
  <c r="O1254" i="1" a="1"/>
  <c r="O1254" i="1" s="1"/>
  <c r="N7" i="1" a="1"/>
  <c r="N7" i="1" s="1"/>
  <c r="O7" i="1" a="1"/>
  <c r="O7" i="1" s="1"/>
  <c r="N19" i="1" a="1"/>
  <c r="N19" i="1" s="1"/>
  <c r="O19" i="1" a="1"/>
  <c r="O19" i="1" s="1"/>
  <c r="N31" i="1" a="1"/>
  <c r="N31" i="1" s="1"/>
  <c r="O31" i="1" a="1"/>
  <c r="O31" i="1" s="1"/>
  <c r="N37" i="1" a="1"/>
  <c r="N37" i="1" s="1"/>
  <c r="O37" i="1" a="1"/>
  <c r="O37" i="1" s="1"/>
  <c r="N49" i="1" a="1"/>
  <c r="N49" i="1" s="1"/>
  <c r="O49" i="1" a="1"/>
  <c r="O49" i="1" s="1"/>
  <c r="N61" i="1" a="1"/>
  <c r="N61" i="1" s="1"/>
  <c r="O61" i="1" a="1"/>
  <c r="O61" i="1" s="1"/>
  <c r="N67" i="1" a="1"/>
  <c r="N67" i="1" s="1"/>
  <c r="O67" i="1" a="1"/>
  <c r="O67" i="1" s="1"/>
  <c r="N79" i="1" a="1"/>
  <c r="N79" i="1" s="1"/>
  <c r="O79" i="1" a="1"/>
  <c r="O79" i="1" s="1"/>
  <c r="N91" i="1" a="1"/>
  <c r="N91" i="1" s="1"/>
  <c r="O91" i="1" a="1"/>
  <c r="O91" i="1" s="1"/>
  <c r="N97" i="1" a="1"/>
  <c r="N97" i="1" s="1"/>
  <c r="O97" i="1" a="1"/>
  <c r="O97" i="1" s="1"/>
  <c r="N109" i="1" a="1"/>
  <c r="N109" i="1" s="1"/>
  <c r="O109" i="1" a="1"/>
  <c r="O109" i="1" s="1"/>
  <c r="N121" i="1" a="1"/>
  <c r="N121" i="1" s="1"/>
  <c r="O121" i="1" a="1"/>
  <c r="O121" i="1" s="1"/>
  <c r="N127" i="1" a="1"/>
  <c r="N127" i="1" s="1"/>
  <c r="O127" i="1" a="1"/>
  <c r="O127" i="1" s="1"/>
  <c r="N139" i="1" a="1"/>
  <c r="N139" i="1" s="1"/>
  <c r="O139" i="1" a="1"/>
  <c r="O139" i="1" s="1"/>
  <c r="N151" i="1" a="1"/>
  <c r="N151" i="1" s="1"/>
  <c r="O151" i="1" a="1"/>
  <c r="O151" i="1" s="1"/>
  <c r="N157" i="1" a="1"/>
  <c r="N157" i="1" s="1"/>
  <c r="O157" i="1" a="1"/>
  <c r="O157" i="1" s="1"/>
  <c r="N169" i="1" a="1"/>
  <c r="N169" i="1" s="1"/>
  <c r="O169" i="1" a="1"/>
  <c r="O169" i="1" s="1"/>
  <c r="N181" i="1" a="1"/>
  <c r="N181" i="1" s="1"/>
  <c r="O181" i="1" a="1"/>
  <c r="O181" i="1" s="1"/>
  <c r="N193" i="1" a="1"/>
  <c r="N193" i="1" s="1"/>
  <c r="O193" i="1" a="1"/>
  <c r="O193" i="1" s="1"/>
  <c r="N199" i="1" a="1"/>
  <c r="N199" i="1" s="1"/>
  <c r="O199" i="1" a="1"/>
  <c r="O199" i="1" s="1"/>
  <c r="N211" i="1" a="1"/>
  <c r="N211" i="1" s="1"/>
  <c r="O211" i="1" a="1"/>
  <c r="O211" i="1" s="1"/>
  <c r="N223" i="1" a="1"/>
  <c r="N223" i="1" s="1"/>
  <c r="O223" i="1" a="1"/>
  <c r="O223" i="1" s="1"/>
  <c r="N235" i="1" a="1"/>
  <c r="N235" i="1" s="1"/>
  <c r="O235" i="1" a="1"/>
  <c r="O235" i="1" s="1"/>
  <c r="N247" i="1" a="1"/>
  <c r="N247" i="1" s="1"/>
  <c r="O247" i="1" a="1"/>
  <c r="O247" i="1" s="1"/>
  <c r="N253" i="1" a="1"/>
  <c r="N253" i="1" s="1"/>
  <c r="O253" i="1" a="1"/>
  <c r="O253" i="1" s="1"/>
  <c r="N265" i="1" a="1"/>
  <c r="N265" i="1" s="1"/>
  <c r="O265" i="1" a="1"/>
  <c r="O265" i="1" s="1"/>
  <c r="N277" i="1" a="1"/>
  <c r="N277" i="1" s="1"/>
  <c r="O277" i="1" a="1"/>
  <c r="O277" i="1" s="1"/>
  <c r="N283" i="1" a="1"/>
  <c r="N283" i="1" s="1"/>
  <c r="O283" i="1" a="1"/>
  <c r="O283" i="1" s="1"/>
  <c r="N295" i="1" a="1"/>
  <c r="N295" i="1" s="1"/>
  <c r="O295" i="1" a="1"/>
  <c r="O295" i="1" s="1"/>
  <c r="N307" i="1" a="1"/>
  <c r="N307" i="1" s="1"/>
  <c r="O307" i="1" a="1"/>
  <c r="O307" i="1" s="1"/>
  <c r="N319" i="1" a="1"/>
  <c r="N319" i="1" s="1"/>
  <c r="O319" i="1" a="1"/>
  <c r="O319" i="1" s="1"/>
  <c r="N325" i="1" a="1"/>
  <c r="N325" i="1" s="1"/>
  <c r="O325" i="1" a="1"/>
  <c r="O325" i="1" s="1"/>
  <c r="N337" i="1" a="1"/>
  <c r="N337" i="1" s="1"/>
  <c r="O337" i="1" a="1"/>
  <c r="O337" i="1" s="1"/>
  <c r="N349" i="1" a="1"/>
  <c r="N349" i="1" s="1"/>
  <c r="O349" i="1" a="1"/>
  <c r="O349" i="1" s="1"/>
  <c r="N355" i="1" a="1"/>
  <c r="N355" i="1" s="1"/>
  <c r="O355" i="1" a="1"/>
  <c r="O355" i="1" s="1"/>
  <c r="N367" i="1" a="1"/>
  <c r="N367" i="1" s="1"/>
  <c r="O367" i="1" a="1"/>
  <c r="O367" i="1" s="1"/>
  <c r="N373" i="1" a="1"/>
  <c r="N373" i="1" s="1"/>
  <c r="O373" i="1" a="1"/>
  <c r="O373" i="1" s="1"/>
  <c r="N385" i="1" a="1"/>
  <c r="N385" i="1" s="1"/>
  <c r="O385" i="1" a="1"/>
  <c r="O385" i="1" s="1"/>
  <c r="N397" i="1" a="1"/>
  <c r="N397" i="1" s="1"/>
  <c r="O397" i="1" a="1"/>
  <c r="O397" i="1" s="1"/>
  <c r="N409" i="1" a="1"/>
  <c r="N409" i="1" s="1"/>
  <c r="O409" i="1" a="1"/>
  <c r="O409" i="1" s="1"/>
  <c r="N421" i="1" a="1"/>
  <c r="N421" i="1" s="1"/>
  <c r="O421" i="1" a="1"/>
  <c r="O421" i="1" s="1"/>
  <c r="N433" i="1" a="1"/>
  <c r="N433" i="1" s="1"/>
  <c r="O433" i="1" a="1"/>
  <c r="O433" i="1" s="1"/>
  <c r="N439" i="1" a="1"/>
  <c r="N439" i="1" s="1"/>
  <c r="O439" i="1" a="1"/>
  <c r="O439" i="1" s="1"/>
  <c r="N451" i="1" a="1"/>
  <c r="N451" i="1" s="1"/>
  <c r="O451" i="1" a="1"/>
  <c r="O451" i="1" s="1"/>
  <c r="N463" i="1" a="1"/>
  <c r="N463" i="1" s="1"/>
  <c r="O463" i="1" a="1"/>
  <c r="O463" i="1" s="1"/>
  <c r="N469" i="1" a="1"/>
  <c r="N469" i="1" s="1"/>
  <c r="O469" i="1" a="1"/>
  <c r="O469" i="1" s="1"/>
  <c r="N481" i="1" a="1"/>
  <c r="N481" i="1" s="1"/>
  <c r="O481" i="1" a="1"/>
  <c r="O481" i="1" s="1"/>
  <c r="N487" i="1" a="1"/>
  <c r="N487" i="1" s="1"/>
  <c r="O487" i="1" a="1"/>
  <c r="O487" i="1" s="1"/>
  <c r="N493" i="1" a="1"/>
  <c r="N493" i="1" s="1"/>
  <c r="O493" i="1" a="1"/>
  <c r="O493" i="1" s="1"/>
  <c r="N499" i="1" a="1"/>
  <c r="N499" i="1" s="1"/>
  <c r="O499" i="1" a="1"/>
  <c r="O499" i="1" s="1"/>
  <c r="N511" i="1" a="1"/>
  <c r="N511" i="1" s="1"/>
  <c r="O511" i="1" a="1"/>
  <c r="O511" i="1" s="1"/>
  <c r="N517" i="1" a="1"/>
  <c r="N517" i="1" s="1"/>
  <c r="O517" i="1" a="1"/>
  <c r="O517" i="1" s="1"/>
  <c r="N523" i="1" a="1"/>
  <c r="N523" i="1" s="1"/>
  <c r="O523" i="1" a="1"/>
  <c r="O523" i="1" s="1"/>
  <c r="N529" i="1" a="1"/>
  <c r="N529" i="1" s="1"/>
  <c r="O529" i="1" a="1"/>
  <c r="O529" i="1" s="1"/>
  <c r="N535" i="1" a="1"/>
  <c r="N535" i="1" s="1"/>
  <c r="O535" i="1" a="1"/>
  <c r="O535" i="1" s="1"/>
  <c r="N541" i="1" a="1"/>
  <c r="N541" i="1" s="1"/>
  <c r="O541" i="1" a="1"/>
  <c r="O541" i="1" s="1"/>
  <c r="N547" i="1" a="1"/>
  <c r="N547" i="1" s="1"/>
  <c r="O547" i="1" a="1"/>
  <c r="O547" i="1" s="1"/>
  <c r="N553" i="1" a="1"/>
  <c r="N553" i="1" s="1"/>
  <c r="O553" i="1" a="1"/>
  <c r="O553" i="1" s="1"/>
  <c r="N559" i="1" a="1"/>
  <c r="N559" i="1" s="1"/>
  <c r="O559" i="1" a="1"/>
  <c r="O559" i="1" s="1"/>
  <c r="N565" i="1" a="1"/>
  <c r="N565" i="1" s="1"/>
  <c r="O565" i="1" a="1"/>
  <c r="O565" i="1" s="1"/>
  <c r="N571" i="1" a="1"/>
  <c r="N571" i="1" s="1"/>
  <c r="O571" i="1" a="1"/>
  <c r="O571" i="1" s="1"/>
  <c r="N577" i="1" a="1"/>
  <c r="N577" i="1" s="1"/>
  <c r="O577" i="1" a="1"/>
  <c r="O577" i="1" s="1"/>
  <c r="N583" i="1" a="1"/>
  <c r="N583" i="1" s="1"/>
  <c r="O583" i="1" a="1"/>
  <c r="O583" i="1" s="1"/>
  <c r="N589" i="1" a="1"/>
  <c r="N589" i="1" s="1"/>
  <c r="O589" i="1" a="1"/>
  <c r="O589" i="1" s="1"/>
  <c r="N595" i="1" a="1"/>
  <c r="N595" i="1" s="1"/>
  <c r="O595" i="1" a="1"/>
  <c r="O595" i="1" s="1"/>
  <c r="N601" i="1" a="1"/>
  <c r="N601" i="1" s="1"/>
  <c r="O601" i="1" a="1"/>
  <c r="O601" i="1" s="1"/>
  <c r="N607" i="1" a="1"/>
  <c r="N607" i="1" s="1"/>
  <c r="O607" i="1" a="1"/>
  <c r="O607" i="1" s="1"/>
  <c r="N613" i="1" a="1"/>
  <c r="N613" i="1" s="1"/>
  <c r="O613" i="1" a="1"/>
  <c r="O613" i="1" s="1"/>
  <c r="N619" i="1" a="1"/>
  <c r="N619" i="1" s="1"/>
  <c r="O619" i="1" a="1"/>
  <c r="O619" i="1" s="1"/>
  <c r="N625" i="1" a="1"/>
  <c r="N625" i="1" s="1"/>
  <c r="O625" i="1" a="1"/>
  <c r="O625" i="1" s="1"/>
  <c r="N631" i="1" a="1"/>
  <c r="N631" i="1" s="1"/>
  <c r="O631" i="1" a="1"/>
  <c r="O631" i="1" s="1"/>
  <c r="N637" i="1" a="1"/>
  <c r="N637" i="1" s="1"/>
  <c r="O637" i="1" a="1"/>
  <c r="O637" i="1" s="1"/>
  <c r="N643" i="1" a="1"/>
  <c r="N643" i="1" s="1"/>
  <c r="O643" i="1" a="1"/>
  <c r="O643" i="1" s="1"/>
  <c r="N649" i="1" a="1"/>
  <c r="N649" i="1" s="1"/>
  <c r="O649" i="1" a="1"/>
  <c r="O649" i="1" s="1"/>
  <c r="N655" i="1" a="1"/>
  <c r="N655" i="1" s="1"/>
  <c r="O655" i="1" a="1"/>
  <c r="O655" i="1" s="1"/>
  <c r="N661" i="1" a="1"/>
  <c r="N661" i="1" s="1"/>
  <c r="O661" i="1" a="1"/>
  <c r="O661" i="1" s="1"/>
  <c r="N667" i="1" a="1"/>
  <c r="N667" i="1" s="1"/>
  <c r="O667" i="1" a="1"/>
  <c r="O667" i="1" s="1"/>
  <c r="N673" i="1" a="1"/>
  <c r="N673" i="1" s="1"/>
  <c r="O673" i="1" a="1"/>
  <c r="O673" i="1" s="1"/>
  <c r="N679" i="1" a="1"/>
  <c r="N679" i="1" s="1"/>
  <c r="O679" i="1" a="1"/>
  <c r="O679" i="1" s="1"/>
  <c r="N685" i="1" a="1"/>
  <c r="N685" i="1" s="1"/>
  <c r="O685" i="1" a="1"/>
  <c r="O685" i="1" s="1"/>
  <c r="N691" i="1" a="1"/>
  <c r="N691" i="1" s="1"/>
  <c r="O691" i="1" a="1"/>
  <c r="O691" i="1" s="1"/>
  <c r="N697" i="1" a="1"/>
  <c r="N697" i="1" s="1"/>
  <c r="O697" i="1" a="1"/>
  <c r="O697" i="1" s="1"/>
  <c r="N703" i="1" a="1"/>
  <c r="N703" i="1" s="1"/>
  <c r="O703" i="1" a="1"/>
  <c r="O703" i="1" s="1"/>
  <c r="N709" i="1" a="1"/>
  <c r="N709" i="1" s="1"/>
  <c r="O709" i="1" a="1"/>
  <c r="O709" i="1" s="1"/>
  <c r="N715" i="1" a="1"/>
  <c r="N715" i="1" s="1"/>
  <c r="O715" i="1" a="1"/>
  <c r="O715" i="1" s="1"/>
  <c r="N721" i="1" a="1"/>
  <c r="N721" i="1" s="1"/>
  <c r="O721" i="1" a="1"/>
  <c r="O721" i="1" s="1"/>
  <c r="N727" i="1" a="1"/>
  <c r="N727" i="1" s="1"/>
  <c r="O727" i="1" a="1"/>
  <c r="O727" i="1" s="1"/>
  <c r="N733" i="1" a="1"/>
  <c r="N733" i="1" s="1"/>
  <c r="O733" i="1" a="1"/>
  <c r="O733" i="1" s="1"/>
  <c r="N739" i="1" a="1"/>
  <c r="N739" i="1" s="1"/>
  <c r="O739" i="1" a="1"/>
  <c r="O739" i="1" s="1"/>
  <c r="N745" i="1" a="1"/>
  <c r="N745" i="1" s="1"/>
  <c r="O745" i="1" a="1"/>
  <c r="O745" i="1" s="1"/>
  <c r="N751" i="1" a="1"/>
  <c r="N751" i="1" s="1"/>
  <c r="O751" i="1" a="1"/>
  <c r="O751" i="1" s="1"/>
  <c r="N757" i="1" a="1"/>
  <c r="N757" i="1" s="1"/>
  <c r="O757" i="1" a="1"/>
  <c r="O757" i="1" s="1"/>
  <c r="N763" i="1" a="1"/>
  <c r="N763" i="1" s="1"/>
  <c r="O763" i="1" a="1"/>
  <c r="O763" i="1" s="1"/>
  <c r="N769" i="1" a="1"/>
  <c r="N769" i="1" s="1"/>
  <c r="O769" i="1" a="1"/>
  <c r="O769" i="1" s="1"/>
  <c r="N775" i="1" a="1"/>
  <c r="N775" i="1" s="1"/>
  <c r="O775" i="1" a="1"/>
  <c r="O775" i="1" s="1"/>
  <c r="N781" i="1" a="1"/>
  <c r="N781" i="1" s="1"/>
  <c r="O781" i="1" a="1"/>
  <c r="O781" i="1" s="1"/>
  <c r="N787" i="1" a="1"/>
  <c r="N787" i="1" s="1"/>
  <c r="O787" i="1" a="1"/>
  <c r="O787" i="1" s="1"/>
  <c r="N793" i="1" a="1"/>
  <c r="N793" i="1" s="1"/>
  <c r="O793" i="1" a="1"/>
  <c r="O793" i="1" s="1"/>
  <c r="N799" i="1" a="1"/>
  <c r="N799" i="1" s="1"/>
  <c r="O799" i="1" a="1"/>
  <c r="O799" i="1" s="1"/>
  <c r="N805" i="1" a="1"/>
  <c r="N805" i="1" s="1"/>
  <c r="O805" i="1" a="1"/>
  <c r="O805" i="1" s="1"/>
  <c r="N811" i="1" a="1"/>
  <c r="N811" i="1" s="1"/>
  <c r="O811" i="1" a="1"/>
  <c r="O811" i="1" s="1"/>
  <c r="N817" i="1" a="1"/>
  <c r="N817" i="1" s="1"/>
  <c r="O817" i="1" a="1"/>
  <c r="O817" i="1" s="1"/>
  <c r="N823" i="1" a="1"/>
  <c r="N823" i="1" s="1"/>
  <c r="O823" i="1" a="1"/>
  <c r="O823" i="1" s="1"/>
  <c r="N829" i="1" a="1"/>
  <c r="N829" i="1" s="1"/>
  <c r="O829" i="1" a="1"/>
  <c r="O829" i="1" s="1"/>
  <c r="N835" i="1" a="1"/>
  <c r="N835" i="1" s="1"/>
  <c r="O835" i="1" a="1"/>
  <c r="O835" i="1" s="1"/>
  <c r="N841" i="1" a="1"/>
  <c r="N841" i="1" s="1"/>
  <c r="O841" i="1" a="1"/>
  <c r="O841" i="1" s="1"/>
  <c r="N847" i="1" a="1"/>
  <c r="N847" i="1" s="1"/>
  <c r="O847" i="1" a="1"/>
  <c r="O847" i="1" s="1"/>
  <c r="N853" i="1" a="1"/>
  <c r="N853" i="1" s="1"/>
  <c r="O853" i="1" a="1"/>
  <c r="O853" i="1" s="1"/>
  <c r="N859" i="1" a="1"/>
  <c r="N859" i="1" s="1"/>
  <c r="O859" i="1" a="1"/>
  <c r="O859" i="1" s="1"/>
  <c r="N865" i="1" a="1"/>
  <c r="N865" i="1" s="1"/>
  <c r="O865" i="1" a="1"/>
  <c r="O865" i="1" s="1"/>
  <c r="N871" i="1" a="1"/>
  <c r="N871" i="1" s="1"/>
  <c r="O871" i="1" a="1"/>
  <c r="O871" i="1" s="1"/>
  <c r="N877" i="1" a="1"/>
  <c r="N877" i="1" s="1"/>
  <c r="O877" i="1" a="1"/>
  <c r="O877" i="1" s="1"/>
  <c r="N883" i="1" a="1"/>
  <c r="N883" i="1" s="1"/>
  <c r="O883" i="1" a="1"/>
  <c r="O883" i="1" s="1"/>
  <c r="N889" i="1" a="1"/>
  <c r="N889" i="1" s="1"/>
  <c r="O889" i="1" a="1"/>
  <c r="O889" i="1" s="1"/>
  <c r="N895" i="1" a="1"/>
  <c r="N895" i="1" s="1"/>
  <c r="O895" i="1" a="1"/>
  <c r="O895" i="1" s="1"/>
  <c r="N901" i="1" a="1"/>
  <c r="N901" i="1" s="1"/>
  <c r="O901" i="1" a="1"/>
  <c r="O901" i="1" s="1"/>
  <c r="N907" i="1" a="1"/>
  <c r="N907" i="1" s="1"/>
  <c r="O907" i="1" a="1"/>
  <c r="O907" i="1" s="1"/>
  <c r="N913" i="1" a="1"/>
  <c r="N913" i="1" s="1"/>
  <c r="O913" i="1" a="1"/>
  <c r="O913" i="1" s="1"/>
  <c r="N919" i="1" a="1"/>
  <c r="N919" i="1" s="1"/>
  <c r="O919" i="1" a="1"/>
  <c r="O919" i="1" s="1"/>
  <c r="N925" i="1" a="1"/>
  <c r="N925" i="1" s="1"/>
  <c r="O925" i="1" a="1"/>
  <c r="O925" i="1" s="1"/>
  <c r="N931" i="1" a="1"/>
  <c r="N931" i="1" s="1"/>
  <c r="O931" i="1" a="1"/>
  <c r="O931" i="1" s="1"/>
  <c r="N937" i="1" a="1"/>
  <c r="N937" i="1" s="1"/>
  <c r="O937" i="1" a="1"/>
  <c r="O937" i="1" s="1"/>
  <c r="N943" i="1" a="1"/>
  <c r="N943" i="1" s="1"/>
  <c r="O943" i="1" a="1"/>
  <c r="O943" i="1" s="1"/>
  <c r="N949" i="1" a="1"/>
  <c r="N949" i="1" s="1"/>
  <c r="O949" i="1" a="1"/>
  <c r="O949" i="1" s="1"/>
  <c r="N955" i="1" a="1"/>
  <c r="N955" i="1" s="1"/>
  <c r="O955" i="1" a="1"/>
  <c r="O955" i="1" s="1"/>
  <c r="N961" i="1" a="1"/>
  <c r="N961" i="1" s="1"/>
  <c r="O961" i="1" a="1"/>
  <c r="O961" i="1" s="1"/>
  <c r="N967" i="1" a="1"/>
  <c r="N967" i="1" s="1"/>
  <c r="O967" i="1" a="1"/>
  <c r="O967" i="1" s="1"/>
  <c r="N973" i="1" a="1"/>
  <c r="N973" i="1" s="1"/>
  <c r="O973" i="1" a="1"/>
  <c r="O973" i="1" s="1"/>
  <c r="N979" i="1" a="1"/>
  <c r="N979" i="1" s="1"/>
  <c r="O979" i="1" a="1"/>
  <c r="O979" i="1" s="1"/>
  <c r="N985" i="1" a="1"/>
  <c r="N985" i="1" s="1"/>
  <c r="O985" i="1" a="1"/>
  <c r="O985" i="1" s="1"/>
  <c r="N991" i="1" a="1"/>
  <c r="N991" i="1" s="1"/>
  <c r="O991" i="1" a="1"/>
  <c r="O991" i="1" s="1"/>
  <c r="N997" i="1" a="1"/>
  <c r="N997" i="1" s="1"/>
  <c r="O997" i="1" a="1"/>
  <c r="O997" i="1" s="1"/>
  <c r="N1003" i="1" a="1"/>
  <c r="N1003" i="1" s="1"/>
  <c r="O1003" i="1" a="1"/>
  <c r="O1003" i="1" s="1"/>
  <c r="N1009" i="1" a="1"/>
  <c r="N1009" i="1" s="1"/>
  <c r="O1009" i="1" a="1"/>
  <c r="O1009" i="1" s="1"/>
  <c r="N1015" i="1" a="1"/>
  <c r="N1015" i="1" s="1"/>
  <c r="O1015" i="1" a="1"/>
  <c r="O1015" i="1" s="1"/>
  <c r="N1021" i="1" a="1"/>
  <c r="N1021" i="1" s="1"/>
  <c r="O1021" i="1" a="1"/>
  <c r="O1021" i="1" s="1"/>
  <c r="N1027" i="1" a="1"/>
  <c r="N1027" i="1" s="1"/>
  <c r="O1027" i="1" a="1"/>
  <c r="O1027" i="1" s="1"/>
  <c r="N1033" i="1" a="1"/>
  <c r="N1033" i="1" s="1"/>
  <c r="O1033" i="1" a="1"/>
  <c r="O1033" i="1" s="1"/>
  <c r="N1039" i="1" a="1"/>
  <c r="N1039" i="1" s="1"/>
  <c r="O1039" i="1" a="1"/>
  <c r="O1039" i="1" s="1"/>
  <c r="N1045" i="1" a="1"/>
  <c r="N1045" i="1" s="1"/>
  <c r="O1045" i="1" a="1"/>
  <c r="O1045" i="1" s="1"/>
  <c r="N1051" i="1" a="1"/>
  <c r="N1051" i="1" s="1"/>
  <c r="O1051" i="1" a="1"/>
  <c r="O1051" i="1" s="1"/>
  <c r="N1057" i="1" a="1"/>
  <c r="N1057" i="1" s="1"/>
  <c r="O1057" i="1" a="1"/>
  <c r="O1057" i="1" s="1"/>
  <c r="N1063" i="1" a="1"/>
  <c r="N1063" i="1" s="1"/>
  <c r="O1063" i="1" a="1"/>
  <c r="O1063" i="1" s="1"/>
  <c r="N1069" i="1" a="1"/>
  <c r="N1069" i="1" s="1"/>
  <c r="O1069" i="1" a="1"/>
  <c r="O1069" i="1" s="1"/>
  <c r="N1075" i="1" a="1"/>
  <c r="N1075" i="1" s="1"/>
  <c r="O1075" i="1" a="1"/>
  <c r="O1075" i="1" s="1"/>
  <c r="N1081" i="1" a="1"/>
  <c r="N1081" i="1" s="1"/>
  <c r="O1081" i="1" a="1"/>
  <c r="O1081" i="1" s="1"/>
  <c r="N1087" i="1" a="1"/>
  <c r="N1087" i="1" s="1"/>
  <c r="O1087" i="1" a="1"/>
  <c r="O1087" i="1" s="1"/>
  <c r="N1093" i="1" a="1"/>
  <c r="N1093" i="1" s="1"/>
  <c r="O1093" i="1" a="1"/>
  <c r="O1093" i="1" s="1"/>
  <c r="N1099" i="1" a="1"/>
  <c r="N1099" i="1" s="1"/>
  <c r="O1099" i="1" a="1"/>
  <c r="O1099" i="1" s="1"/>
  <c r="N1105" i="1" a="1"/>
  <c r="N1105" i="1" s="1"/>
  <c r="O1105" i="1" a="1"/>
  <c r="O1105" i="1" s="1"/>
  <c r="N1111" i="1" a="1"/>
  <c r="N1111" i="1" s="1"/>
  <c r="O1111" i="1" a="1"/>
  <c r="O1111" i="1" s="1"/>
  <c r="N1117" i="1" a="1"/>
  <c r="N1117" i="1" s="1"/>
  <c r="O1117" i="1" a="1"/>
  <c r="O1117" i="1" s="1"/>
  <c r="N1123" i="1" a="1"/>
  <c r="N1123" i="1" s="1"/>
  <c r="O1123" i="1" a="1"/>
  <c r="O1123" i="1" s="1"/>
  <c r="N1129" i="1" a="1"/>
  <c r="N1129" i="1" s="1"/>
  <c r="O1129" i="1" a="1"/>
  <c r="O1129" i="1" s="1"/>
  <c r="N1135" i="1" a="1"/>
  <c r="N1135" i="1" s="1"/>
  <c r="O1135" i="1" a="1"/>
  <c r="O1135" i="1" s="1"/>
  <c r="N1141" i="1" a="1"/>
  <c r="N1141" i="1" s="1"/>
  <c r="O1141" i="1" a="1"/>
  <c r="O1141" i="1" s="1"/>
  <c r="N1147" i="1" a="1"/>
  <c r="N1147" i="1" s="1"/>
  <c r="O1147" i="1" a="1"/>
  <c r="O1147" i="1" s="1"/>
  <c r="N1153" i="1" a="1"/>
  <c r="N1153" i="1" s="1"/>
  <c r="O1153" i="1" a="1"/>
  <c r="O1153" i="1" s="1"/>
  <c r="N1159" i="1" a="1"/>
  <c r="N1159" i="1" s="1"/>
  <c r="O1159" i="1" a="1"/>
  <c r="O1159" i="1" s="1"/>
  <c r="N1165" i="1" a="1"/>
  <c r="N1165" i="1" s="1"/>
  <c r="O1165" i="1" a="1"/>
  <c r="O1165" i="1" s="1"/>
  <c r="N1171" i="1" a="1"/>
  <c r="N1171" i="1" s="1"/>
  <c r="O1171" i="1" a="1"/>
  <c r="O1171" i="1" s="1"/>
  <c r="N1177" i="1" a="1"/>
  <c r="N1177" i="1" s="1"/>
  <c r="O1177" i="1" a="1"/>
  <c r="O1177" i="1" s="1"/>
  <c r="N1183" i="1" a="1"/>
  <c r="N1183" i="1" s="1"/>
  <c r="O1183" i="1" a="1"/>
  <c r="O1183" i="1" s="1"/>
  <c r="N1189" i="1" a="1"/>
  <c r="N1189" i="1" s="1"/>
  <c r="O1189" i="1" a="1"/>
  <c r="O1189" i="1" s="1"/>
  <c r="N1195" i="1" a="1"/>
  <c r="N1195" i="1" s="1"/>
  <c r="O1195" i="1" a="1"/>
  <c r="O1195" i="1" s="1"/>
  <c r="N1201" i="1" a="1"/>
  <c r="N1201" i="1" s="1"/>
  <c r="O1201" i="1" a="1"/>
  <c r="O1201" i="1" s="1"/>
  <c r="N1207" i="1" a="1"/>
  <c r="N1207" i="1" s="1"/>
  <c r="O1207" i="1" a="1"/>
  <c r="O1207" i="1" s="1"/>
  <c r="N1213" i="1" a="1"/>
  <c r="N1213" i="1" s="1"/>
  <c r="O1213" i="1" a="1"/>
  <c r="O1213" i="1" s="1"/>
  <c r="N1219" i="1" a="1"/>
  <c r="N1219" i="1" s="1"/>
  <c r="O1219" i="1" a="1"/>
  <c r="O1219" i="1" s="1"/>
  <c r="N1225" i="1" a="1"/>
  <c r="N1225" i="1" s="1"/>
  <c r="O1225" i="1" a="1"/>
  <c r="O1225" i="1" s="1"/>
  <c r="N1231" i="1" a="1"/>
  <c r="N1231" i="1" s="1"/>
  <c r="O1231" i="1" a="1"/>
  <c r="O1231" i="1" s="1"/>
  <c r="N1237" i="1" a="1"/>
  <c r="N1237" i="1" s="1"/>
  <c r="O1237" i="1" a="1"/>
  <c r="O1237" i="1" s="1"/>
  <c r="N1243" i="1" a="1"/>
  <c r="N1243" i="1" s="1"/>
  <c r="O1243" i="1" a="1"/>
  <c r="O1243" i="1" s="1"/>
  <c r="N1249" i="1" a="1"/>
  <c r="N1249" i="1" s="1"/>
  <c r="O1249" i="1" a="1"/>
  <c r="O1249" i="1" s="1"/>
  <c r="N1255" i="1" a="1"/>
  <c r="N1255" i="1" s="1"/>
  <c r="O1255" i="1" a="1"/>
  <c r="O1255" i="1" s="1"/>
  <c r="N1261" i="1" a="1"/>
  <c r="N1261" i="1" s="1"/>
  <c r="O1261" i="1" a="1"/>
  <c r="O1261" i="1" s="1"/>
  <c r="N1267" i="1" a="1"/>
  <c r="N1267" i="1" s="1"/>
  <c r="O1267" i="1" a="1"/>
  <c r="O1267" i="1" s="1"/>
  <c r="N1273" i="1" a="1"/>
  <c r="N1273" i="1" s="1"/>
  <c r="O1273" i="1" a="1"/>
  <c r="O1273" i="1" s="1"/>
  <c r="N1279" i="1" a="1"/>
  <c r="N1279" i="1" s="1"/>
  <c r="O1279" i="1" a="1"/>
  <c r="O1279" i="1" s="1"/>
  <c r="N1285" i="1" a="1"/>
  <c r="N1285" i="1" s="1"/>
  <c r="O1285" i="1" a="1"/>
  <c r="O1285" i="1" s="1"/>
  <c r="N1291" i="1" a="1"/>
  <c r="N1291" i="1" s="1"/>
  <c r="O1291" i="1" a="1"/>
  <c r="O1291" i="1" s="1"/>
  <c r="N1297" i="1" a="1"/>
  <c r="N1297" i="1" s="1"/>
  <c r="O1297" i="1" a="1"/>
  <c r="O1297" i="1" s="1"/>
  <c r="N1303" i="1" a="1"/>
  <c r="N1303" i="1" s="1"/>
  <c r="O1303" i="1" a="1"/>
  <c r="O1303" i="1" s="1"/>
  <c r="N1309" i="1" a="1"/>
  <c r="N1309" i="1" s="1"/>
  <c r="O1309" i="1" a="1"/>
  <c r="O1309" i="1" s="1"/>
  <c r="N1315" i="1" a="1"/>
  <c r="N1315" i="1" s="1"/>
  <c r="O1315" i="1" a="1"/>
  <c r="O1315" i="1" s="1"/>
  <c r="N1321" i="1" a="1"/>
  <c r="N1321" i="1" s="1"/>
  <c r="O1321" i="1" a="1"/>
  <c r="O1321" i="1" s="1"/>
  <c r="N1327" i="1" a="1"/>
  <c r="N1327" i="1" s="1"/>
  <c r="O1327" i="1" a="1"/>
  <c r="O1327" i="1" s="1"/>
  <c r="N1333" i="1" a="1"/>
  <c r="N1333" i="1" s="1"/>
  <c r="O1333" i="1" a="1"/>
  <c r="O1333" i="1" s="1"/>
  <c r="N1339" i="1" a="1"/>
  <c r="N1339" i="1" s="1"/>
  <c r="O1339" i="1" a="1"/>
  <c r="O1339" i="1" s="1"/>
  <c r="N1345" i="1" a="1"/>
  <c r="N1345" i="1" s="1"/>
  <c r="O1345" i="1" a="1"/>
  <c r="O1345" i="1" s="1"/>
  <c r="N1351" i="1" a="1"/>
  <c r="N1351" i="1" s="1"/>
  <c r="O1351" i="1" a="1"/>
  <c r="O1351" i="1" s="1"/>
  <c r="N1357" i="1" a="1"/>
  <c r="N1357" i="1" s="1"/>
  <c r="O1357" i="1" a="1"/>
  <c r="O1357" i="1" s="1"/>
  <c r="N1363" i="1" a="1"/>
  <c r="N1363" i="1" s="1"/>
  <c r="O1363" i="1" a="1"/>
  <c r="O1363" i="1" s="1"/>
  <c r="N1369" i="1" a="1"/>
  <c r="N1369" i="1" s="1"/>
  <c r="O1369" i="1" a="1"/>
  <c r="O1369" i="1" s="1"/>
  <c r="N1375" i="1" a="1"/>
  <c r="N1375" i="1" s="1"/>
  <c r="O1375" i="1" a="1"/>
  <c r="O1375" i="1" s="1"/>
  <c r="N1381" i="1" a="1"/>
  <c r="N1381" i="1" s="1"/>
  <c r="O1381" i="1" a="1"/>
  <c r="O1381" i="1" s="1"/>
  <c r="N1387" i="1" a="1"/>
  <c r="N1387" i="1" s="1"/>
  <c r="O1387" i="1" a="1"/>
  <c r="O1387" i="1" s="1"/>
  <c r="N1393" i="1" a="1"/>
  <c r="N1393" i="1" s="1"/>
  <c r="O1393" i="1" a="1"/>
  <c r="O1393" i="1" s="1"/>
  <c r="N1399" i="1" a="1"/>
  <c r="N1399" i="1" s="1"/>
  <c r="O1399" i="1" a="1"/>
  <c r="O1399" i="1" s="1"/>
  <c r="N1405" i="1" a="1"/>
  <c r="N1405" i="1" s="1"/>
  <c r="O1405" i="1" a="1"/>
  <c r="O1405" i="1" s="1"/>
  <c r="N1411" i="1" a="1"/>
  <c r="N1411" i="1" s="1"/>
  <c r="O1411" i="1" a="1"/>
  <c r="O1411" i="1" s="1"/>
  <c r="N1417" i="1" a="1"/>
  <c r="N1417" i="1" s="1"/>
  <c r="O1417" i="1" a="1"/>
  <c r="O1417" i="1" s="1"/>
  <c r="N1423" i="1" a="1"/>
  <c r="N1423" i="1" s="1"/>
  <c r="O1423" i="1" a="1"/>
  <c r="O1423" i="1" s="1"/>
  <c r="N1429" i="1" a="1"/>
  <c r="N1429" i="1" s="1"/>
  <c r="O1429" i="1" a="1"/>
  <c r="O1429" i="1" s="1"/>
  <c r="N1435" i="1" a="1"/>
  <c r="N1435" i="1" s="1"/>
  <c r="O1435" i="1" a="1"/>
  <c r="O1435" i="1" s="1"/>
  <c r="N1441" i="1" a="1"/>
  <c r="N1441" i="1" s="1"/>
  <c r="O1441" i="1" a="1"/>
  <c r="O1441" i="1" s="1"/>
  <c r="N717" i="1" a="1"/>
  <c r="N717" i="1" s="1"/>
  <c r="O717" i="1" a="1"/>
  <c r="O717" i="1" s="1"/>
  <c r="N747" i="1" a="1"/>
  <c r="N747" i="1" s="1"/>
  <c r="O747" i="1" a="1"/>
  <c r="O747" i="1" s="1"/>
  <c r="N765" i="1" a="1"/>
  <c r="N765" i="1" s="1"/>
  <c r="O765" i="1" a="1"/>
  <c r="O765" i="1" s="1"/>
  <c r="N819" i="1" a="1"/>
  <c r="N819" i="1" s="1"/>
  <c r="O819" i="1" a="1"/>
  <c r="O819" i="1" s="1"/>
  <c r="N843" i="1" a="1"/>
  <c r="N843" i="1" s="1"/>
  <c r="O843" i="1" a="1"/>
  <c r="O843" i="1" s="1"/>
  <c r="N867" i="1" a="1"/>
  <c r="N867" i="1" s="1"/>
  <c r="O867" i="1" a="1"/>
  <c r="O867" i="1" s="1"/>
  <c r="N885" i="1" a="1"/>
  <c r="N885" i="1" s="1"/>
  <c r="O885" i="1" a="1"/>
  <c r="O885" i="1" s="1"/>
  <c r="N903" i="1" a="1"/>
  <c r="N903" i="1" s="1"/>
  <c r="O903" i="1" a="1"/>
  <c r="O903" i="1" s="1"/>
  <c r="N927" i="1" a="1"/>
  <c r="N927" i="1" s="1"/>
  <c r="O927" i="1" a="1"/>
  <c r="O927" i="1" s="1"/>
  <c r="N945" i="1" a="1"/>
  <c r="N945" i="1" s="1"/>
  <c r="O945" i="1" a="1"/>
  <c r="O945" i="1" s="1"/>
  <c r="N963" i="1" a="1"/>
  <c r="N963" i="1" s="1"/>
  <c r="O963" i="1" a="1"/>
  <c r="O963" i="1" s="1"/>
  <c r="N987" i="1" a="1"/>
  <c r="N987" i="1" s="1"/>
  <c r="O987" i="1" a="1"/>
  <c r="O987" i="1" s="1"/>
  <c r="N999" i="1" a="1"/>
  <c r="N999" i="1" s="1"/>
  <c r="O999" i="1" a="1"/>
  <c r="O999" i="1" s="1"/>
  <c r="N1023" i="1" a="1"/>
  <c r="N1023" i="1" s="1"/>
  <c r="O1023" i="1" a="1"/>
  <c r="O1023" i="1" s="1"/>
  <c r="N1041" i="1" a="1"/>
  <c r="N1041" i="1" s="1"/>
  <c r="O1041" i="1" a="1"/>
  <c r="O1041" i="1" s="1"/>
  <c r="N1059" i="1" a="1"/>
  <c r="N1059" i="1" s="1"/>
  <c r="O1059" i="1" a="1"/>
  <c r="O1059" i="1" s="1"/>
  <c r="N1077" i="1" a="1"/>
  <c r="N1077" i="1" s="1"/>
  <c r="O1077" i="1" a="1"/>
  <c r="O1077" i="1" s="1"/>
  <c r="N1107" i="1" a="1"/>
  <c r="N1107" i="1" s="1"/>
  <c r="O1107" i="1" a="1"/>
  <c r="O1107" i="1" s="1"/>
  <c r="N1125" i="1" a="1"/>
  <c r="N1125" i="1" s="1"/>
  <c r="O1125" i="1" a="1"/>
  <c r="O1125" i="1" s="1"/>
  <c r="N1143" i="1" a="1"/>
  <c r="N1143" i="1" s="1"/>
  <c r="O1143" i="1" a="1"/>
  <c r="O1143" i="1" s="1"/>
  <c r="N1173" i="1" a="1"/>
  <c r="N1173" i="1" s="1"/>
  <c r="O1173" i="1" a="1"/>
  <c r="O1173" i="1" s="1"/>
  <c r="N1197" i="1" a="1"/>
  <c r="N1197" i="1" s="1"/>
  <c r="O1197" i="1" a="1"/>
  <c r="O1197" i="1" s="1"/>
  <c r="N1227" i="1" a="1"/>
  <c r="N1227" i="1" s="1"/>
  <c r="O1227" i="1" a="1"/>
  <c r="O1227" i="1" s="1"/>
  <c r="N1251" i="1" a="1"/>
  <c r="N1251" i="1" s="1"/>
  <c r="O1251" i="1" a="1"/>
  <c r="O1251" i="1" s="1"/>
  <c r="N1275" i="1" a="1"/>
  <c r="N1275" i="1" s="1"/>
  <c r="O1275" i="1" a="1"/>
  <c r="O1275" i="1" s="1"/>
  <c r="N1299" i="1" a="1"/>
  <c r="N1299" i="1" s="1"/>
  <c r="O1299" i="1" a="1"/>
  <c r="O1299" i="1" s="1"/>
  <c r="N1317" i="1" a="1"/>
  <c r="N1317" i="1" s="1"/>
  <c r="O1317" i="1" a="1"/>
  <c r="O1317" i="1" s="1"/>
  <c r="N1341" i="1" a="1"/>
  <c r="N1341" i="1" s="1"/>
  <c r="O1341" i="1" a="1"/>
  <c r="O1341" i="1" s="1"/>
  <c r="N1365" i="1" a="1"/>
  <c r="N1365" i="1" s="1"/>
  <c r="O1365" i="1" a="1"/>
  <c r="O1365" i="1" s="1"/>
  <c r="N1389" i="1" a="1"/>
  <c r="N1389" i="1" s="1"/>
  <c r="O1389" i="1" a="1"/>
  <c r="O1389" i="1" s="1"/>
  <c r="N1407" i="1" a="1"/>
  <c r="N1407" i="1" s="1"/>
  <c r="O1407" i="1" a="1"/>
  <c r="O1407" i="1" s="1"/>
  <c r="N1437" i="1" a="1"/>
  <c r="N1437" i="1" s="1"/>
  <c r="O1437" i="1" a="1"/>
  <c r="O1437" i="1" s="1"/>
  <c r="N28" i="1" a="1"/>
  <c r="N28" i="1" s="1"/>
  <c r="O28" i="1" a="1"/>
  <c r="O28" i="1" s="1"/>
  <c r="N52" i="1" a="1"/>
  <c r="N52" i="1" s="1"/>
  <c r="O52" i="1" a="1"/>
  <c r="O52" i="1" s="1"/>
  <c r="N64" i="1" a="1"/>
  <c r="N64" i="1" s="1"/>
  <c r="O64" i="1" a="1"/>
  <c r="O64" i="1" s="1"/>
  <c r="N94" i="1" a="1"/>
  <c r="N94" i="1" s="1"/>
  <c r="O94" i="1" a="1"/>
  <c r="O94" i="1" s="1"/>
  <c r="N118" i="1" a="1"/>
  <c r="N118" i="1" s="1"/>
  <c r="O118" i="1" a="1"/>
  <c r="O118" i="1" s="1"/>
  <c r="N142" i="1" a="1"/>
  <c r="N142" i="1" s="1"/>
  <c r="O142" i="1" a="1"/>
  <c r="O142" i="1" s="1"/>
  <c r="N166" i="1" a="1"/>
  <c r="N166" i="1" s="1"/>
  <c r="O166" i="1" a="1"/>
  <c r="O166" i="1" s="1"/>
  <c r="N184" i="1" a="1"/>
  <c r="N184" i="1" s="1"/>
  <c r="O184" i="1" a="1"/>
  <c r="O184" i="1" s="1"/>
  <c r="N214" i="1" a="1"/>
  <c r="N214" i="1" s="1"/>
  <c r="O214" i="1" a="1"/>
  <c r="O214" i="1" s="1"/>
  <c r="N232" i="1" a="1"/>
  <c r="N232" i="1" s="1"/>
  <c r="O232" i="1" a="1"/>
  <c r="O232" i="1" s="1"/>
  <c r="N256" i="1" a="1"/>
  <c r="N256" i="1" s="1"/>
  <c r="O256" i="1" a="1"/>
  <c r="O256" i="1" s="1"/>
  <c r="N286" i="1" a="1"/>
  <c r="N286" i="1" s="1"/>
  <c r="O286" i="1" a="1"/>
  <c r="O286" i="1" s="1"/>
  <c r="N304" i="1" a="1"/>
  <c r="N304" i="1" s="1"/>
  <c r="O304" i="1" a="1"/>
  <c r="O304" i="1" s="1"/>
  <c r="N334" i="1" a="1"/>
  <c r="N334" i="1" s="1"/>
  <c r="O334" i="1" a="1"/>
  <c r="O334" i="1" s="1"/>
  <c r="N352" i="1" a="1"/>
  <c r="N352" i="1" s="1"/>
  <c r="O352" i="1" a="1"/>
  <c r="O352" i="1" s="1"/>
  <c r="N376" i="1" a="1"/>
  <c r="N376" i="1" s="1"/>
  <c r="O376" i="1" a="1"/>
  <c r="O376" i="1" s="1"/>
  <c r="N406" i="1" a="1"/>
  <c r="N406" i="1" s="1"/>
  <c r="O406" i="1" a="1"/>
  <c r="O406" i="1" s="1"/>
  <c r="N424" i="1" a="1"/>
  <c r="N424" i="1" s="1"/>
  <c r="O424" i="1" a="1"/>
  <c r="O424" i="1" s="1"/>
  <c r="N448" i="1" a="1"/>
  <c r="N448" i="1" s="1"/>
  <c r="O448" i="1" a="1"/>
  <c r="O448" i="1" s="1"/>
  <c r="N478" i="1" a="1"/>
  <c r="N478" i="1" s="1"/>
  <c r="O478" i="1" a="1"/>
  <c r="O478" i="1" s="1"/>
  <c r="N490" i="1" a="1"/>
  <c r="N490" i="1" s="1"/>
  <c r="O490" i="1" a="1"/>
  <c r="O490" i="1" s="1"/>
  <c r="N514" i="1" a="1"/>
  <c r="N514" i="1" s="1"/>
  <c r="O514" i="1" a="1"/>
  <c r="O514" i="1" s="1"/>
  <c r="N538" i="1" a="1"/>
  <c r="N538" i="1" s="1"/>
  <c r="O538" i="1" a="1"/>
  <c r="O538" i="1" s="1"/>
  <c r="N568" i="1" a="1"/>
  <c r="N568" i="1" s="1"/>
  <c r="O568" i="1" a="1"/>
  <c r="O568" i="1" s="1"/>
  <c r="N592" i="1" a="1"/>
  <c r="N592" i="1" s="1"/>
  <c r="O592" i="1" a="1"/>
  <c r="O592" i="1" s="1"/>
  <c r="N616" i="1" a="1"/>
  <c r="N616" i="1" s="1"/>
  <c r="O616" i="1" a="1"/>
  <c r="O616" i="1" s="1"/>
  <c r="N634" i="1" a="1"/>
  <c r="N634" i="1" s="1"/>
  <c r="O634" i="1" a="1"/>
  <c r="O634" i="1" s="1"/>
  <c r="N664" i="1" a="1"/>
  <c r="N664" i="1" s="1"/>
  <c r="O664" i="1" a="1"/>
  <c r="O664" i="1" s="1"/>
  <c r="N682" i="1" a="1"/>
  <c r="N682" i="1" s="1"/>
  <c r="O682" i="1" a="1"/>
  <c r="O682" i="1" s="1"/>
  <c r="N718" i="1" a="1"/>
  <c r="N718" i="1" s="1"/>
  <c r="O718" i="1" a="1"/>
  <c r="O718" i="1" s="1"/>
  <c r="N748" i="1" a="1"/>
  <c r="N748" i="1" s="1"/>
  <c r="O748" i="1" a="1"/>
  <c r="O748" i="1" s="1"/>
  <c r="N766" i="1" a="1"/>
  <c r="N766" i="1" s="1"/>
  <c r="O766" i="1" a="1"/>
  <c r="O766" i="1" s="1"/>
  <c r="N784" i="1" a="1"/>
  <c r="N784" i="1" s="1"/>
  <c r="O784" i="1" a="1"/>
  <c r="O784" i="1" s="1"/>
  <c r="N802" i="1" a="1"/>
  <c r="N802" i="1" s="1"/>
  <c r="O802" i="1" a="1"/>
  <c r="O802" i="1" s="1"/>
  <c r="N826" i="1" a="1"/>
  <c r="N826" i="1" s="1"/>
  <c r="O826" i="1" a="1"/>
  <c r="O826" i="1" s="1"/>
  <c r="N850" i="1" a="1"/>
  <c r="N850" i="1" s="1"/>
  <c r="O850" i="1" a="1"/>
  <c r="O850" i="1" s="1"/>
  <c r="N868" i="1" a="1"/>
  <c r="N868" i="1" s="1"/>
  <c r="O868" i="1" a="1"/>
  <c r="O868" i="1" s="1"/>
  <c r="N898" i="1" a="1"/>
  <c r="N898" i="1" s="1"/>
  <c r="O898" i="1" a="1"/>
  <c r="O898" i="1" s="1"/>
  <c r="N922" i="1" a="1"/>
  <c r="N922" i="1" s="1"/>
  <c r="O922" i="1" a="1"/>
  <c r="O922" i="1" s="1"/>
  <c r="N934" i="1" a="1"/>
  <c r="N934" i="1" s="1"/>
  <c r="O934" i="1" a="1"/>
  <c r="O934" i="1" s="1"/>
  <c r="N964" i="1" a="1"/>
  <c r="N964" i="1" s="1"/>
  <c r="O964" i="1" a="1"/>
  <c r="O964" i="1" s="1"/>
  <c r="N982" i="1" a="1"/>
  <c r="N982" i="1" s="1"/>
  <c r="O982" i="1" a="1"/>
  <c r="O982" i="1" s="1"/>
  <c r="N1012" i="1" a="1"/>
  <c r="N1012" i="1" s="1"/>
  <c r="O1012" i="1" a="1"/>
  <c r="O1012" i="1" s="1"/>
  <c r="N1036" i="1" a="1"/>
  <c r="N1036" i="1" s="1"/>
  <c r="O1036" i="1" a="1"/>
  <c r="O1036" i="1" s="1"/>
  <c r="N1054" i="1" a="1"/>
  <c r="N1054" i="1" s="1"/>
  <c r="O1054" i="1" a="1"/>
  <c r="O1054" i="1" s="1"/>
  <c r="N1084" i="1" a="1"/>
  <c r="N1084" i="1" s="1"/>
  <c r="O1084" i="1" a="1"/>
  <c r="O1084" i="1" s="1"/>
  <c r="N1108" i="1" a="1"/>
  <c r="N1108" i="1" s="1"/>
  <c r="O1108" i="1" a="1"/>
  <c r="O1108" i="1" s="1"/>
  <c r="N1132" i="1" a="1"/>
  <c r="N1132" i="1" s="1"/>
  <c r="O1132" i="1" a="1"/>
  <c r="O1132" i="1" s="1"/>
  <c r="N1168" i="1" a="1"/>
  <c r="N1168" i="1" s="1"/>
  <c r="O1168" i="1" a="1"/>
  <c r="O1168" i="1" s="1"/>
  <c r="N1192" i="1" a="1"/>
  <c r="N1192" i="1" s="1"/>
  <c r="O1192" i="1" a="1"/>
  <c r="O1192" i="1" s="1"/>
  <c r="N1210" i="1" a="1"/>
  <c r="N1210" i="1" s="1"/>
  <c r="O1210" i="1" a="1"/>
  <c r="O1210" i="1" s="1"/>
  <c r="N1240" i="1" a="1"/>
  <c r="N1240" i="1" s="1"/>
  <c r="O1240" i="1" a="1"/>
  <c r="O1240" i="1" s="1"/>
  <c r="N17" i="1" a="1"/>
  <c r="N17" i="1" s="1"/>
  <c r="O17" i="1" a="1"/>
  <c r="O17" i="1" s="1"/>
  <c r="N41" i="1" a="1"/>
  <c r="N41" i="1" s="1"/>
  <c r="O41" i="1" a="1"/>
  <c r="O41" i="1" s="1"/>
  <c r="N59" i="1" a="1"/>
  <c r="N59" i="1" s="1"/>
  <c r="O59" i="1" a="1"/>
  <c r="O59" i="1" s="1"/>
  <c r="N77" i="1" a="1"/>
  <c r="N77" i="1" s="1"/>
  <c r="O77" i="1" a="1"/>
  <c r="O77" i="1" s="1"/>
  <c r="N95" i="1" a="1"/>
  <c r="N95" i="1" s="1"/>
  <c r="O95" i="1" a="1"/>
  <c r="O95" i="1" s="1"/>
  <c r="N119" i="1" a="1"/>
  <c r="N119" i="1" s="1"/>
  <c r="O119" i="1" a="1"/>
  <c r="O119" i="1" s="1"/>
  <c r="N137" i="1" a="1"/>
  <c r="N137" i="1" s="1"/>
  <c r="O137" i="1" a="1"/>
  <c r="O137" i="1" s="1"/>
  <c r="N161" i="1" a="1"/>
  <c r="N161" i="1" s="1"/>
  <c r="O161" i="1" a="1"/>
  <c r="O161" i="1" s="1"/>
  <c r="N179" i="1" a="1"/>
  <c r="N179" i="1" s="1"/>
  <c r="O179" i="1" a="1"/>
  <c r="O179" i="1" s="1"/>
  <c r="N203" i="1" a="1"/>
  <c r="N203" i="1" s="1"/>
  <c r="O203" i="1" a="1"/>
  <c r="O203" i="1" s="1"/>
  <c r="N221" i="1" a="1"/>
  <c r="N221" i="1" s="1"/>
  <c r="O221" i="1" a="1"/>
  <c r="O221" i="1" s="1"/>
  <c r="N239" i="1" a="1"/>
  <c r="N239" i="1" s="1"/>
  <c r="O239" i="1" a="1"/>
  <c r="O239" i="1" s="1"/>
  <c r="N263" i="1" a="1"/>
  <c r="N263" i="1" s="1"/>
  <c r="O263" i="1" a="1"/>
  <c r="O263" i="1" s="1"/>
  <c r="N281" i="1" a="1"/>
  <c r="N281" i="1" s="1"/>
  <c r="O281" i="1" a="1"/>
  <c r="O281" i="1" s="1"/>
  <c r="N305" i="1" a="1"/>
  <c r="N305" i="1" s="1"/>
  <c r="O305" i="1" a="1"/>
  <c r="O305" i="1" s="1"/>
  <c r="N323" i="1" a="1"/>
  <c r="N323" i="1" s="1"/>
  <c r="O323" i="1" a="1"/>
  <c r="O323" i="1" s="1"/>
  <c r="N341" i="1" a="1"/>
  <c r="N341" i="1" s="1"/>
  <c r="O341" i="1" a="1"/>
  <c r="O341" i="1" s="1"/>
  <c r="N365" i="1" a="1"/>
  <c r="N365" i="1" s="1"/>
  <c r="O365" i="1" a="1"/>
  <c r="O365" i="1" s="1"/>
  <c r="N383" i="1" a="1"/>
  <c r="N383" i="1" s="1"/>
  <c r="O383" i="1" a="1"/>
  <c r="O383" i="1" s="1"/>
  <c r="N401" i="1" a="1"/>
  <c r="N401" i="1" s="1"/>
  <c r="O401" i="1" a="1"/>
  <c r="O401" i="1" s="1"/>
  <c r="N425" i="1" a="1"/>
  <c r="N425" i="1" s="1"/>
  <c r="O425" i="1" a="1"/>
  <c r="O425" i="1" s="1"/>
  <c r="N443" i="1" a="1"/>
  <c r="N443" i="1" s="1"/>
  <c r="O443" i="1" a="1"/>
  <c r="O443" i="1" s="1"/>
  <c r="N461" i="1" a="1"/>
  <c r="N461" i="1" s="1"/>
  <c r="O461" i="1" a="1"/>
  <c r="O461" i="1" s="1"/>
  <c r="N485" i="1" a="1"/>
  <c r="N485" i="1" s="1"/>
  <c r="O485" i="1" a="1"/>
  <c r="O485" i="1" s="1"/>
  <c r="N497" i="1" a="1"/>
  <c r="N497" i="1" s="1"/>
  <c r="O497" i="1" a="1"/>
  <c r="O497" i="1" s="1"/>
  <c r="N515" i="1" a="1"/>
  <c r="N515" i="1" s="1"/>
  <c r="O515" i="1" a="1"/>
  <c r="O515" i="1" s="1"/>
  <c r="N545" i="1" a="1"/>
  <c r="N545" i="1" s="1"/>
  <c r="O545" i="1" a="1"/>
  <c r="O545" i="1" s="1"/>
  <c r="N563" i="1" a="1"/>
  <c r="N563" i="1" s="1"/>
  <c r="O563" i="1" a="1"/>
  <c r="O563" i="1" s="1"/>
  <c r="N587" i="1" a="1"/>
  <c r="N587" i="1" s="1"/>
  <c r="O587" i="1" a="1"/>
  <c r="O587" i="1" s="1"/>
  <c r="N605" i="1" a="1"/>
  <c r="N605" i="1" s="1"/>
  <c r="O605" i="1" a="1"/>
  <c r="O605" i="1" s="1"/>
  <c r="N629" i="1" a="1"/>
  <c r="N629" i="1" s="1"/>
  <c r="O629" i="1" a="1"/>
  <c r="O629" i="1" s="1"/>
  <c r="N641" i="1" a="1"/>
  <c r="N641" i="1" s="1"/>
  <c r="O641" i="1" a="1"/>
  <c r="O641" i="1" s="1"/>
  <c r="N659" i="1" a="1"/>
  <c r="N659" i="1" s="1"/>
  <c r="O659" i="1" a="1"/>
  <c r="O659" i="1" s="1"/>
  <c r="N683" i="1" a="1"/>
  <c r="N683" i="1" s="1"/>
  <c r="O683" i="1" a="1"/>
  <c r="O683" i="1" s="1"/>
  <c r="N701" i="1" a="1"/>
  <c r="N701" i="1" s="1"/>
  <c r="O701" i="1" a="1"/>
  <c r="O701" i="1" s="1"/>
  <c r="N725" i="1" a="1"/>
  <c r="N725" i="1" s="1"/>
  <c r="O725" i="1" a="1"/>
  <c r="O725" i="1" s="1"/>
  <c r="N743" i="1" a="1"/>
  <c r="N743" i="1" s="1"/>
  <c r="O743" i="1" a="1"/>
  <c r="O743" i="1" s="1"/>
  <c r="N767" i="1" a="1"/>
  <c r="N767" i="1" s="1"/>
  <c r="O767" i="1" a="1"/>
  <c r="O767" i="1" s="1"/>
  <c r="N779" i="1" a="1"/>
  <c r="N779" i="1" s="1"/>
  <c r="O779" i="1" a="1"/>
  <c r="O779" i="1" s="1"/>
  <c r="N803" i="1" a="1"/>
  <c r="N803" i="1" s="1"/>
  <c r="O803" i="1" a="1"/>
  <c r="O803" i="1" s="1"/>
  <c r="N821" i="1" a="1"/>
  <c r="N821" i="1" s="1"/>
  <c r="O821" i="1" a="1"/>
  <c r="O821" i="1" s="1"/>
  <c r="N845" i="1" a="1"/>
  <c r="N845" i="1" s="1"/>
  <c r="O845" i="1" a="1"/>
  <c r="O845" i="1" s="1"/>
  <c r="N863" i="1" a="1"/>
  <c r="N863" i="1" s="1"/>
  <c r="O863" i="1" a="1"/>
  <c r="O863" i="1" s="1"/>
  <c r="N887" i="1" a="1"/>
  <c r="N887" i="1" s="1"/>
  <c r="O887" i="1" a="1"/>
  <c r="O887" i="1" s="1"/>
  <c r="N905" i="1" a="1"/>
  <c r="N905" i="1" s="1"/>
  <c r="O905" i="1" a="1"/>
  <c r="O905" i="1" s="1"/>
  <c r="N923" i="1" a="1"/>
  <c r="N923" i="1" s="1"/>
  <c r="O923" i="1" a="1"/>
  <c r="O923" i="1" s="1"/>
  <c r="N947" i="1" a="1"/>
  <c r="N947" i="1" s="1"/>
  <c r="O947" i="1" a="1"/>
  <c r="O947" i="1" s="1"/>
  <c r="N965" i="1" a="1"/>
  <c r="N965" i="1" s="1"/>
  <c r="O965" i="1" a="1"/>
  <c r="O965" i="1" s="1"/>
  <c r="N983" i="1" a="1"/>
  <c r="N983" i="1" s="1"/>
  <c r="O983" i="1" a="1"/>
  <c r="O983" i="1" s="1"/>
  <c r="N1013" i="1" a="1"/>
  <c r="N1013" i="1" s="1"/>
  <c r="O1013" i="1" a="1"/>
  <c r="O1013" i="1" s="1"/>
  <c r="N1025" i="1" a="1"/>
  <c r="N1025" i="1" s="1"/>
  <c r="O1025" i="1" a="1"/>
  <c r="O1025" i="1" s="1"/>
  <c r="N1049" i="1" a="1"/>
  <c r="N1049" i="1" s="1"/>
  <c r="O1049" i="1" a="1"/>
  <c r="O1049" i="1" s="1"/>
  <c r="N1073" i="1" a="1"/>
  <c r="N1073" i="1" s="1"/>
  <c r="O1073" i="1" a="1"/>
  <c r="O1073" i="1" s="1"/>
  <c r="N1097" i="1" a="1"/>
  <c r="N1097" i="1" s="1"/>
  <c r="O1097" i="1" a="1"/>
  <c r="O1097" i="1" s="1"/>
  <c r="N1115" i="1" a="1"/>
  <c r="N1115" i="1" s="1"/>
  <c r="O1115" i="1" a="1"/>
  <c r="O1115" i="1" s="1"/>
  <c r="N1133" i="1" a="1"/>
  <c r="N1133" i="1" s="1"/>
  <c r="O1133" i="1" a="1"/>
  <c r="O1133" i="1" s="1"/>
  <c r="N1157" i="1" a="1"/>
  <c r="N1157" i="1" s="1"/>
  <c r="O1157" i="1" a="1"/>
  <c r="O1157" i="1" s="1"/>
  <c r="N1175" i="1" a="1"/>
  <c r="N1175" i="1" s="1"/>
  <c r="O1175" i="1" a="1"/>
  <c r="O1175" i="1" s="1"/>
  <c r="N1199" i="1" a="1"/>
  <c r="N1199" i="1" s="1"/>
  <c r="O1199" i="1" a="1"/>
  <c r="O1199" i="1" s="1"/>
  <c r="N1217" i="1" a="1"/>
  <c r="N1217" i="1" s="1"/>
  <c r="O1217" i="1" a="1"/>
  <c r="O1217" i="1" s="1"/>
  <c r="N1241" i="1" a="1"/>
  <c r="N1241" i="1" s="1"/>
  <c r="O1241" i="1" a="1"/>
  <c r="O1241" i="1" s="1"/>
  <c r="N1259" i="1" a="1"/>
  <c r="N1259" i="1" s="1"/>
  <c r="O1259" i="1" a="1"/>
  <c r="O1259" i="1" s="1"/>
  <c r="N1283" i="1" a="1"/>
  <c r="N1283" i="1" s="1"/>
  <c r="O1283" i="1" a="1"/>
  <c r="O1283" i="1" s="1"/>
  <c r="N1301" i="1" a="1"/>
  <c r="N1301" i="1" s="1"/>
  <c r="O1301" i="1" a="1"/>
  <c r="O1301" i="1" s="1"/>
  <c r="N1319" i="1" a="1"/>
  <c r="N1319" i="1" s="1"/>
  <c r="O1319" i="1" a="1"/>
  <c r="O1319" i="1" s="1"/>
  <c r="N1343" i="1" a="1"/>
  <c r="N1343" i="1" s="1"/>
  <c r="O1343" i="1" a="1"/>
  <c r="O1343" i="1" s="1"/>
  <c r="N1361" i="1" a="1"/>
  <c r="N1361" i="1" s="1"/>
  <c r="O1361" i="1" a="1"/>
  <c r="O1361" i="1" s="1"/>
  <c r="N1379" i="1" a="1"/>
  <c r="N1379" i="1" s="1"/>
  <c r="O1379" i="1" a="1"/>
  <c r="O1379" i="1" s="1"/>
  <c r="N1403" i="1" a="1"/>
  <c r="N1403" i="1" s="1"/>
  <c r="O1403" i="1" a="1"/>
  <c r="O1403" i="1" s="1"/>
  <c r="N1421" i="1" a="1"/>
  <c r="N1421" i="1" s="1"/>
  <c r="O1421" i="1" a="1"/>
  <c r="O1421" i="1" s="1"/>
  <c r="N1427" i="1" a="1"/>
  <c r="N1427" i="1" s="1"/>
  <c r="O1427" i="1" a="1"/>
  <c r="O1427" i="1" s="1"/>
  <c r="N6" i="1" a="1"/>
  <c r="N6" i="1" s="1"/>
  <c r="O6" i="1" a="1"/>
  <c r="O6" i="1" s="1"/>
  <c r="N30" i="1" a="1"/>
  <c r="N30" i="1" s="1"/>
  <c r="O30" i="1" a="1"/>
  <c r="O30" i="1" s="1"/>
  <c r="N48" i="1" a="1"/>
  <c r="N48" i="1" s="1"/>
  <c r="O48" i="1" a="1"/>
  <c r="O48" i="1" s="1"/>
  <c r="N66" i="1" a="1"/>
  <c r="N66" i="1" s="1"/>
  <c r="O66" i="1" a="1"/>
  <c r="O66" i="1" s="1"/>
  <c r="N84" i="1" a="1"/>
  <c r="N84" i="1" s="1"/>
  <c r="O84" i="1" a="1"/>
  <c r="O84" i="1" s="1"/>
  <c r="N108" i="1" a="1"/>
  <c r="N108" i="1" s="1"/>
  <c r="O108" i="1" a="1"/>
  <c r="O108" i="1" s="1"/>
  <c r="N126" i="1" a="1"/>
  <c r="N126" i="1" s="1"/>
  <c r="O126" i="1" a="1"/>
  <c r="O126" i="1" s="1"/>
  <c r="N150" i="1" a="1"/>
  <c r="N150" i="1" s="1"/>
  <c r="O150" i="1" a="1"/>
  <c r="O150" i="1" s="1"/>
  <c r="N168" i="1" a="1"/>
  <c r="N168" i="1" s="1"/>
  <c r="O168" i="1" a="1"/>
  <c r="O168" i="1" s="1"/>
  <c r="N192" i="1" a="1"/>
  <c r="N192" i="1" s="1"/>
  <c r="O192" i="1" a="1"/>
  <c r="O192" i="1" s="1"/>
  <c r="N204" i="1" a="1"/>
  <c r="N204" i="1" s="1"/>
  <c r="O204" i="1" a="1"/>
  <c r="O204" i="1" s="1"/>
  <c r="N222" i="1" a="1"/>
  <c r="N222" i="1" s="1"/>
  <c r="O222" i="1" a="1"/>
  <c r="O222" i="1" s="1"/>
  <c r="N246" i="1" a="1"/>
  <c r="N246" i="1" s="1"/>
  <c r="O246" i="1" a="1"/>
  <c r="O246" i="1" s="1"/>
  <c r="N264" i="1" a="1"/>
  <c r="N264" i="1" s="1"/>
  <c r="O264" i="1" a="1"/>
  <c r="O264" i="1" s="1"/>
  <c r="N288" i="1" a="1"/>
  <c r="N288" i="1" s="1"/>
  <c r="O288" i="1" a="1"/>
  <c r="O288" i="1" s="1"/>
  <c r="N306" i="1" a="1"/>
  <c r="N306" i="1" s="1"/>
  <c r="O306" i="1" a="1"/>
  <c r="O306" i="1" s="1"/>
  <c r="N330" i="1" a="1"/>
  <c r="N330" i="1" s="1"/>
  <c r="O330" i="1" a="1"/>
  <c r="O330" i="1" s="1"/>
  <c r="N348" i="1" a="1"/>
  <c r="N348" i="1" s="1"/>
  <c r="O348" i="1" a="1"/>
  <c r="O348" i="1" s="1"/>
  <c r="N372" i="1" a="1"/>
  <c r="N372" i="1" s="1"/>
  <c r="O372" i="1" a="1"/>
  <c r="O372" i="1" s="1"/>
  <c r="N396" i="1" a="1"/>
  <c r="N396" i="1" s="1"/>
  <c r="O396" i="1" a="1"/>
  <c r="O396" i="1" s="1"/>
  <c r="N420" i="1" a="1"/>
  <c r="N420" i="1" s="1"/>
  <c r="O420" i="1" a="1"/>
  <c r="O420" i="1" s="1"/>
  <c r="N438" i="1" a="1"/>
  <c r="N438" i="1" s="1"/>
  <c r="O438" i="1" a="1"/>
  <c r="O438" i="1" s="1"/>
  <c r="N462" i="1" a="1"/>
  <c r="N462" i="1" s="1"/>
  <c r="O462" i="1" a="1"/>
  <c r="O462" i="1" s="1"/>
  <c r="N480" i="1" a="1"/>
  <c r="N480" i="1" s="1"/>
  <c r="O480" i="1" a="1"/>
  <c r="O480" i="1" s="1"/>
  <c r="N504" i="1" a="1"/>
  <c r="N504" i="1" s="1"/>
  <c r="O504" i="1" a="1"/>
  <c r="O504" i="1" s="1"/>
  <c r="N522" i="1" a="1"/>
  <c r="N522" i="1" s="1"/>
  <c r="O522" i="1" a="1"/>
  <c r="O522" i="1" s="1"/>
  <c r="N546" i="1" a="1"/>
  <c r="N546" i="1" s="1"/>
  <c r="O546" i="1" a="1"/>
  <c r="O546" i="1" s="1"/>
  <c r="N564" i="1" a="1"/>
  <c r="N564" i="1" s="1"/>
  <c r="O564" i="1" a="1"/>
  <c r="O564" i="1" s="1"/>
  <c r="N582" i="1" a="1"/>
  <c r="N582" i="1" s="1"/>
  <c r="O582" i="1" a="1"/>
  <c r="O582" i="1" s="1"/>
  <c r="N606" i="1" a="1"/>
  <c r="N606" i="1" s="1"/>
  <c r="O606" i="1" a="1"/>
  <c r="O606" i="1" s="1"/>
  <c r="N618" i="1" a="1"/>
  <c r="N618" i="1" s="1"/>
  <c r="O618" i="1" a="1"/>
  <c r="O618" i="1" s="1"/>
  <c r="N648" i="1" a="1"/>
  <c r="N648" i="1" s="1"/>
  <c r="O648" i="1" a="1"/>
  <c r="O648" i="1" s="1"/>
  <c r="N666" i="1" a="1"/>
  <c r="N666" i="1" s="1"/>
  <c r="O666" i="1" a="1"/>
  <c r="O666" i="1" s="1"/>
  <c r="N684" i="1" a="1"/>
  <c r="N684" i="1" s="1"/>
  <c r="O684" i="1" a="1"/>
  <c r="O684" i="1" s="1"/>
  <c r="N708" i="1" a="1"/>
  <c r="N708" i="1" s="1"/>
  <c r="O708" i="1" a="1"/>
  <c r="O708" i="1" s="1"/>
  <c r="N726" i="1" a="1"/>
  <c r="N726" i="1" s="1"/>
  <c r="O726" i="1" a="1"/>
  <c r="O726" i="1" s="1"/>
  <c r="N750" i="1" a="1"/>
  <c r="N750" i="1" s="1"/>
  <c r="O750" i="1" a="1"/>
  <c r="O750" i="1" s="1"/>
  <c r="N768" i="1" a="1"/>
  <c r="N768" i="1" s="1"/>
  <c r="O768" i="1" a="1"/>
  <c r="O768" i="1" s="1"/>
  <c r="N792" i="1" a="1"/>
  <c r="N792" i="1" s="1"/>
  <c r="O792" i="1" a="1"/>
  <c r="O792" i="1" s="1"/>
  <c r="N810" i="1" a="1"/>
  <c r="N810" i="1" s="1"/>
  <c r="O810" i="1" a="1"/>
  <c r="O810" i="1" s="1"/>
  <c r="N828" i="1" a="1"/>
  <c r="N828" i="1" s="1"/>
  <c r="O828" i="1" a="1"/>
  <c r="O828" i="1" s="1"/>
  <c r="N846" i="1" a="1"/>
  <c r="N846" i="1" s="1"/>
  <c r="O846" i="1" a="1"/>
  <c r="O846" i="1" s="1"/>
  <c r="N870" i="1" a="1"/>
  <c r="N870" i="1" s="1"/>
  <c r="O870" i="1" a="1"/>
  <c r="O870" i="1" s="1"/>
  <c r="N888" i="1" a="1"/>
  <c r="N888" i="1" s="1"/>
  <c r="O888" i="1" a="1"/>
  <c r="O888" i="1" s="1"/>
  <c r="N912" i="1" a="1"/>
  <c r="N912" i="1" s="1"/>
  <c r="O912" i="1" a="1"/>
  <c r="O912" i="1" s="1"/>
  <c r="N930" i="1" a="1"/>
  <c r="N930" i="1" s="1"/>
  <c r="O930" i="1" a="1"/>
  <c r="O930" i="1" s="1"/>
  <c r="N954" i="1" a="1"/>
  <c r="N954" i="1" s="1"/>
  <c r="O954" i="1" a="1"/>
  <c r="O954" i="1" s="1"/>
  <c r="N972" i="1" a="1"/>
  <c r="N972" i="1" s="1"/>
  <c r="O972" i="1" a="1"/>
  <c r="O972" i="1" s="1"/>
  <c r="N996" i="1" a="1"/>
  <c r="N996" i="1" s="1"/>
  <c r="O996" i="1" a="1"/>
  <c r="O996" i="1" s="1"/>
  <c r="N1014" i="1" a="1"/>
  <c r="N1014" i="1" s="1"/>
  <c r="O1014" i="1" a="1"/>
  <c r="O1014" i="1" s="1"/>
  <c r="N1032" i="1" a="1"/>
  <c r="N1032" i="1" s="1"/>
  <c r="O1032" i="1" a="1"/>
  <c r="O1032" i="1" s="1"/>
  <c r="N1056" i="1" a="1"/>
  <c r="N1056" i="1" s="1"/>
  <c r="O1056" i="1" a="1"/>
  <c r="O1056" i="1" s="1"/>
  <c r="N1074" i="1" a="1"/>
  <c r="N1074" i="1" s="1"/>
  <c r="O1074" i="1" a="1"/>
  <c r="O1074" i="1" s="1"/>
  <c r="N1098" i="1" a="1"/>
  <c r="N1098" i="1" s="1"/>
  <c r="O1098" i="1" a="1"/>
  <c r="O1098" i="1" s="1"/>
  <c r="N1116" i="1" a="1"/>
  <c r="N1116" i="1" s="1"/>
  <c r="O1116" i="1" a="1"/>
  <c r="O1116" i="1" s="1"/>
  <c r="N1140" i="1" a="1"/>
  <c r="N1140" i="1" s="1"/>
  <c r="O1140" i="1" a="1"/>
  <c r="O1140" i="1" s="1"/>
  <c r="N1158" i="1" a="1"/>
  <c r="N1158" i="1" s="1"/>
  <c r="O1158" i="1" a="1"/>
  <c r="O1158" i="1" s="1"/>
  <c r="N1176" i="1" a="1"/>
  <c r="N1176" i="1" s="1"/>
  <c r="O1176" i="1" a="1"/>
  <c r="O1176" i="1" s="1"/>
  <c r="N1200" i="1" a="1"/>
  <c r="N1200" i="1" s="1"/>
  <c r="O1200" i="1" a="1"/>
  <c r="O1200" i="1" s="1"/>
  <c r="N1218" i="1" a="1"/>
  <c r="N1218" i="1" s="1"/>
  <c r="O1218" i="1" a="1"/>
  <c r="O1218" i="1" s="1"/>
  <c r="N1248" i="1" a="1"/>
  <c r="N1248" i="1" s="1"/>
  <c r="O1248" i="1" a="1"/>
  <c r="O1248" i="1" s="1"/>
  <c r="N13" i="1" a="1"/>
  <c r="N13" i="1" s="1"/>
  <c r="O13" i="1" a="1"/>
  <c r="O13" i="1" s="1"/>
  <c r="N25" i="1" a="1"/>
  <c r="N25" i="1" s="1"/>
  <c r="O25" i="1" a="1"/>
  <c r="O25" i="1" s="1"/>
  <c r="N43" i="1" a="1"/>
  <c r="N43" i="1" s="1"/>
  <c r="O43" i="1" a="1"/>
  <c r="O43" i="1" s="1"/>
  <c r="N55" i="1" a="1"/>
  <c r="N55" i="1" s="1"/>
  <c r="O55" i="1" a="1"/>
  <c r="O55" i="1" s="1"/>
  <c r="N73" i="1" a="1"/>
  <c r="N73" i="1" s="1"/>
  <c r="O73" i="1" a="1"/>
  <c r="O73" i="1" s="1"/>
  <c r="N85" i="1" a="1"/>
  <c r="N85" i="1" s="1"/>
  <c r="O85" i="1" a="1"/>
  <c r="O85" i="1" s="1"/>
  <c r="N103" i="1" a="1"/>
  <c r="N103" i="1" s="1"/>
  <c r="O103" i="1" a="1"/>
  <c r="O103" i="1" s="1"/>
  <c r="N115" i="1" a="1"/>
  <c r="N115" i="1" s="1"/>
  <c r="O115" i="1" a="1"/>
  <c r="O115" i="1" s="1"/>
  <c r="N133" i="1" a="1"/>
  <c r="N133" i="1" s="1"/>
  <c r="O133" i="1" a="1"/>
  <c r="O133" i="1" s="1"/>
  <c r="N145" i="1" a="1"/>
  <c r="N145" i="1" s="1"/>
  <c r="O145" i="1" a="1"/>
  <c r="O145" i="1" s="1"/>
  <c r="N163" i="1" a="1"/>
  <c r="N163" i="1" s="1"/>
  <c r="O163" i="1" a="1"/>
  <c r="O163" i="1" s="1"/>
  <c r="N175" i="1" a="1"/>
  <c r="N175" i="1" s="1"/>
  <c r="O175" i="1" a="1"/>
  <c r="O175" i="1" s="1"/>
  <c r="N187" i="1" a="1"/>
  <c r="N187" i="1" s="1"/>
  <c r="O187" i="1" a="1"/>
  <c r="O187" i="1" s="1"/>
  <c r="N205" i="1" a="1"/>
  <c r="N205" i="1" s="1"/>
  <c r="O205" i="1" a="1"/>
  <c r="O205" i="1" s="1"/>
  <c r="N217" i="1" a="1"/>
  <c r="N217" i="1" s="1"/>
  <c r="O217" i="1" a="1"/>
  <c r="O217" i="1" s="1"/>
  <c r="N229" i="1" a="1"/>
  <c r="N229" i="1" s="1"/>
  <c r="O229" i="1" a="1"/>
  <c r="O229" i="1" s="1"/>
  <c r="N241" i="1" a="1"/>
  <c r="N241" i="1" s="1"/>
  <c r="O241" i="1" a="1"/>
  <c r="O241" i="1" s="1"/>
  <c r="N259" i="1" a="1"/>
  <c r="N259" i="1" s="1"/>
  <c r="O259" i="1" a="1"/>
  <c r="O259" i="1" s="1"/>
  <c r="N271" i="1" a="1"/>
  <c r="N271" i="1" s="1"/>
  <c r="O271" i="1" a="1"/>
  <c r="O271" i="1" s="1"/>
  <c r="N289" i="1" a="1"/>
  <c r="N289" i="1" s="1"/>
  <c r="O289" i="1" a="1"/>
  <c r="O289" i="1" s="1"/>
  <c r="N301" i="1" a="1"/>
  <c r="N301" i="1" s="1"/>
  <c r="O301" i="1" a="1"/>
  <c r="O301" i="1" s="1"/>
  <c r="N313" i="1" a="1"/>
  <c r="N313" i="1" s="1"/>
  <c r="O313" i="1" a="1"/>
  <c r="O313" i="1" s="1"/>
  <c r="N331" i="1" a="1"/>
  <c r="N331" i="1" s="1"/>
  <c r="O331" i="1" a="1"/>
  <c r="O331" i="1" s="1"/>
  <c r="N343" i="1" a="1"/>
  <c r="N343" i="1" s="1"/>
  <c r="O343" i="1" a="1"/>
  <c r="O343" i="1" s="1"/>
  <c r="N361" i="1" a="1"/>
  <c r="N361" i="1" s="1"/>
  <c r="O361" i="1" a="1"/>
  <c r="O361" i="1" s="1"/>
  <c r="N379" i="1" a="1"/>
  <c r="N379" i="1" s="1"/>
  <c r="O379" i="1" a="1"/>
  <c r="O379" i="1" s="1"/>
  <c r="N391" i="1" a="1"/>
  <c r="N391" i="1" s="1"/>
  <c r="O391" i="1" a="1"/>
  <c r="O391" i="1" s="1"/>
  <c r="N403" i="1" a="1"/>
  <c r="N403" i="1" s="1"/>
  <c r="O403" i="1" a="1"/>
  <c r="O403" i="1" s="1"/>
  <c r="N415" i="1" a="1"/>
  <c r="N415" i="1" s="1"/>
  <c r="O415" i="1" a="1"/>
  <c r="O415" i="1" s="1"/>
  <c r="N427" i="1" a="1"/>
  <c r="N427" i="1" s="1"/>
  <c r="O427" i="1" a="1"/>
  <c r="O427" i="1" s="1"/>
  <c r="N445" i="1" a="1"/>
  <c r="N445" i="1" s="1"/>
  <c r="O445" i="1" a="1"/>
  <c r="O445" i="1" s="1"/>
  <c r="N457" i="1" a="1"/>
  <c r="N457" i="1" s="1"/>
  <c r="O457" i="1" a="1"/>
  <c r="O457" i="1" s="1"/>
  <c r="N475" i="1" a="1"/>
  <c r="N475" i="1" s="1"/>
  <c r="O475" i="1" a="1"/>
  <c r="O475" i="1" s="1"/>
  <c r="N505" i="1" a="1"/>
  <c r="N505" i="1" s="1"/>
  <c r="O505" i="1" a="1"/>
  <c r="O505" i="1" s="1"/>
  <c r="L1412" i="1" a="1"/>
  <c r="L1412" i="1" s="1"/>
  <c r="M1412" i="1" a="1"/>
  <c r="M1412" i="1" s="1"/>
  <c r="L1425" i="1" a="1"/>
  <c r="L1425" i="1" s="1"/>
  <c r="M1425" i="1" a="1"/>
  <c r="M1425" i="1" s="1"/>
  <c r="L1426" i="1" a="1"/>
  <c r="L1426" i="1" s="1"/>
  <c r="M1426" i="1" a="1"/>
  <c r="M1426" i="1" s="1"/>
  <c r="L1397" i="1" a="1"/>
  <c r="L1397" i="1" s="1"/>
  <c r="M1397" i="1" a="1"/>
  <c r="M1397" i="1" s="1"/>
  <c r="L1439" i="1" a="1"/>
  <c r="L1439" i="1" s="1"/>
  <c r="M1439" i="1" a="1"/>
  <c r="M1439" i="1" s="1"/>
  <c r="L1430" i="1" a="1"/>
  <c r="L1430" i="1" s="1"/>
  <c r="M1430" i="1" a="1"/>
  <c r="M1430" i="1" s="1"/>
  <c r="L1431" i="1" a="1"/>
  <c r="L1431" i="1" s="1"/>
  <c r="M1431" i="1" a="1"/>
  <c r="M1431" i="1" s="1"/>
  <c r="L1420" i="1" a="1"/>
  <c r="L1420" i="1" s="1"/>
  <c r="M1420" i="1" a="1"/>
  <c r="M1420" i="1" s="1"/>
  <c r="L1385" i="1" a="1"/>
  <c r="L1385" i="1" s="1"/>
  <c r="M1385" i="1" a="1"/>
  <c r="M1385" i="1" s="1"/>
  <c r="L1403" i="1" a="1"/>
  <c r="L1403" i="1" s="1"/>
  <c r="M1403" i="1" a="1"/>
  <c r="M1403" i="1" s="1"/>
  <c r="L1421" i="1" a="1"/>
  <c r="L1421" i="1" s="1"/>
  <c r="M1421" i="1" a="1"/>
  <c r="M1421" i="1" s="1"/>
  <c r="L1386" i="1" a="1"/>
  <c r="L1386" i="1" s="1"/>
  <c r="M1386" i="1" a="1"/>
  <c r="M1386" i="1" s="1"/>
  <c r="L1392" i="1" a="1"/>
  <c r="L1392" i="1" s="1"/>
  <c r="M1392" i="1" a="1"/>
  <c r="M1392" i="1" s="1"/>
  <c r="L1398" i="1" a="1"/>
  <c r="L1398" i="1" s="1"/>
  <c r="M1398" i="1" a="1"/>
  <c r="M1398" i="1" s="1"/>
  <c r="L1404" i="1" a="1"/>
  <c r="L1404" i="1" s="1"/>
  <c r="M1404" i="1" a="1"/>
  <c r="M1404" i="1" s="1"/>
  <c r="L1410" i="1" a="1"/>
  <c r="L1410" i="1" s="1"/>
  <c r="M1410" i="1" a="1"/>
  <c r="M1410" i="1" s="1"/>
  <c r="L1416" i="1" a="1"/>
  <c r="L1416" i="1" s="1"/>
  <c r="M1416" i="1" a="1"/>
  <c r="M1416" i="1" s="1"/>
  <c r="L1422" i="1" a="1"/>
  <c r="L1422" i="1" s="1"/>
  <c r="M1422" i="1" a="1"/>
  <c r="M1422" i="1" s="1"/>
  <c r="L1428" i="1" a="1"/>
  <c r="L1428" i="1" s="1"/>
  <c r="M1428" i="1" a="1"/>
  <c r="M1428" i="1" s="1"/>
  <c r="L1434" i="1" a="1"/>
  <c r="L1434" i="1" s="1"/>
  <c r="M1434" i="1" a="1"/>
  <c r="M1434" i="1" s="1"/>
  <c r="L1440" i="1" a="1"/>
  <c r="L1440" i="1" s="1"/>
  <c r="M1440" i="1" a="1"/>
  <c r="M1440" i="1" s="1"/>
  <c r="L1436" i="1" a="1"/>
  <c r="L1436" i="1" s="1"/>
  <c r="M1436" i="1" a="1"/>
  <c r="M1436" i="1" s="1"/>
  <c r="L1419" i="1" a="1"/>
  <c r="L1419" i="1" s="1"/>
  <c r="M1419" i="1" a="1"/>
  <c r="M1419" i="1" s="1"/>
  <c r="L1432" i="1" a="1"/>
  <c r="L1432" i="1" s="1"/>
  <c r="M1432" i="1" a="1"/>
  <c r="M1432" i="1" s="1"/>
  <c r="L1415" i="1" a="1"/>
  <c r="L1415" i="1" s="1"/>
  <c r="M1415" i="1" a="1"/>
  <c r="M1415" i="1" s="1"/>
  <c r="L1418" i="1" a="1"/>
  <c r="L1418" i="1" s="1"/>
  <c r="M1418" i="1" a="1"/>
  <c r="M1418" i="1" s="1"/>
  <c r="L1413" i="1" a="1"/>
  <c r="L1413" i="1" s="1"/>
  <c r="M1413" i="1" a="1"/>
  <c r="M1413" i="1" s="1"/>
  <c r="L1414" i="1" a="1"/>
  <c r="L1414" i="1" s="1"/>
  <c r="M1414" i="1" a="1"/>
  <c r="M1414" i="1" s="1"/>
  <c r="L1433" i="1" a="1"/>
  <c r="L1433" i="1" s="1"/>
  <c r="M1433" i="1" a="1"/>
  <c r="M1433" i="1" s="1"/>
  <c r="L1393" i="1" a="1"/>
  <c r="L1393" i="1" s="1"/>
  <c r="M1393" i="1" a="1"/>
  <c r="M1393" i="1" s="1"/>
  <c r="L1399" i="1" a="1"/>
  <c r="L1399" i="1" s="1"/>
  <c r="M1399" i="1" a="1"/>
  <c r="M1399" i="1" s="1"/>
  <c r="L1405" i="1" a="1"/>
  <c r="L1405" i="1" s="1"/>
  <c r="M1405" i="1" a="1"/>
  <c r="M1405" i="1" s="1"/>
  <c r="L1411" i="1" a="1"/>
  <c r="L1411" i="1" s="1"/>
  <c r="M1411" i="1" a="1"/>
  <c r="M1411" i="1" s="1"/>
  <c r="L1417" i="1" a="1"/>
  <c r="L1417" i="1" s="1"/>
  <c r="M1417" i="1" a="1"/>
  <c r="M1417" i="1" s="1"/>
  <c r="L1423" i="1" a="1"/>
  <c r="L1423" i="1" s="1"/>
  <c r="M1423" i="1" a="1"/>
  <c r="M1423" i="1" s="1"/>
  <c r="L1429" i="1" a="1"/>
  <c r="L1429" i="1" s="1"/>
  <c r="M1429" i="1" a="1"/>
  <c r="M1429" i="1" s="1"/>
  <c r="L1435" i="1" a="1"/>
  <c r="L1435" i="1" s="1"/>
  <c r="M1435" i="1" a="1"/>
  <c r="M1435" i="1" s="1"/>
  <c r="L1441" i="1" a="1"/>
  <c r="L1441" i="1" s="1"/>
  <c r="M1441" i="1" a="1"/>
  <c r="M1441" i="1" s="1"/>
  <c r="L1406" i="1" a="1"/>
  <c r="L1406" i="1" s="1"/>
  <c r="M1406" i="1" a="1"/>
  <c r="M1406" i="1" s="1"/>
  <c r="L1424" i="1" a="1"/>
  <c r="L1424" i="1" s="1"/>
  <c r="M1424" i="1" a="1"/>
  <c r="M1424" i="1" s="1"/>
  <c r="L1437" i="1" a="1"/>
  <c r="L1437" i="1" s="1"/>
  <c r="M1437" i="1" a="1"/>
  <c r="M1437" i="1" s="1"/>
  <c r="L1408" i="1" a="1"/>
  <c r="L1408" i="1" s="1"/>
  <c r="M1408" i="1" a="1"/>
  <c r="M1408" i="1" s="1"/>
  <c r="L1438" i="1" a="1"/>
  <c r="L1438" i="1" s="1"/>
  <c r="M1438" i="1" a="1"/>
  <c r="M1438" i="1" s="1"/>
  <c r="L1379" i="1" a="1"/>
  <c r="L1379" i="1" s="1"/>
  <c r="M1379" i="1" a="1"/>
  <c r="M1379" i="1" s="1"/>
  <c r="L1391" i="1" a="1"/>
  <c r="L1391" i="1" s="1"/>
  <c r="M1391" i="1" a="1"/>
  <c r="M1391" i="1" s="1"/>
  <c r="L1409" i="1" a="1"/>
  <c r="L1409" i="1" s="1"/>
  <c r="M1409" i="1" a="1"/>
  <c r="M1409" i="1" s="1"/>
  <c r="L1427" i="1" a="1"/>
  <c r="L1427" i="1" s="1"/>
  <c r="M1427" i="1" a="1"/>
  <c r="M1427" i="1" s="1"/>
  <c r="L1088" i="1" a="1"/>
  <c r="L1088" i="1" s="1"/>
  <c r="M1088" i="1" a="1"/>
  <c r="M1088" i="1" s="1"/>
  <c r="L1082" i="1" a="1"/>
  <c r="L1082" i="1" s="1"/>
  <c r="M1082" i="1" a="1"/>
  <c r="M1082" i="1" s="1"/>
  <c r="L1100" i="1" a="1"/>
  <c r="L1100" i="1" s="1"/>
  <c r="M1100" i="1" a="1"/>
  <c r="M1100" i="1" s="1"/>
  <c r="L1070" i="1" a="1"/>
  <c r="L1070" i="1" s="1"/>
  <c r="M1070" i="1" a="1"/>
  <c r="M1070" i="1" s="1"/>
  <c r="L1094" i="1" a="1"/>
  <c r="L1094" i="1" s="1"/>
  <c r="M1094" i="1" a="1"/>
  <c r="M1094" i="1" s="1"/>
  <c r="L1064" i="1" a="1"/>
  <c r="L1064" i="1" s="1"/>
  <c r="M1064" i="1" a="1"/>
  <c r="M1064" i="1" s="1"/>
  <c r="L1106" i="1" a="1"/>
  <c r="L1106" i="1" s="1"/>
  <c r="M1106" i="1" a="1"/>
  <c r="M1106" i="1" s="1"/>
  <c r="L20" i="1" a="1"/>
  <c r="L20" i="1" s="1"/>
  <c r="M20" i="1" a="1"/>
  <c r="M20" i="1" s="1"/>
  <c r="L44" i="1" a="1"/>
  <c r="L44" i="1" s="1"/>
  <c r="M44" i="1" a="1"/>
  <c r="M44" i="1" s="1"/>
  <c r="L68" i="1" a="1"/>
  <c r="L68" i="1" s="1"/>
  <c r="M68" i="1" a="1"/>
  <c r="M68" i="1" s="1"/>
  <c r="L92" i="1" a="1"/>
  <c r="L92" i="1" s="1"/>
  <c r="M92" i="1" a="1"/>
  <c r="M92" i="1" s="1"/>
  <c r="L116" i="1" a="1"/>
  <c r="L116" i="1" s="1"/>
  <c r="M116" i="1" a="1"/>
  <c r="M116" i="1" s="1"/>
  <c r="L140" i="1" a="1"/>
  <c r="L140" i="1" s="1"/>
  <c r="M140" i="1" a="1"/>
  <c r="M140" i="1" s="1"/>
  <c r="L164" i="1" a="1"/>
  <c r="L164" i="1" s="1"/>
  <c r="M164" i="1" a="1"/>
  <c r="M164" i="1" s="1"/>
  <c r="L188" i="1" a="1"/>
  <c r="L188" i="1" s="1"/>
  <c r="M188" i="1" a="1"/>
  <c r="M188" i="1" s="1"/>
  <c r="L212" i="1" a="1"/>
  <c r="L212" i="1" s="1"/>
  <c r="M212" i="1" a="1"/>
  <c r="M212" i="1" s="1"/>
  <c r="L236" i="1" a="1"/>
  <c r="L236" i="1" s="1"/>
  <c r="M236" i="1" a="1"/>
  <c r="M236" i="1" s="1"/>
  <c r="L266" i="1" a="1"/>
  <c r="L266" i="1" s="1"/>
  <c r="M266" i="1" a="1"/>
  <c r="M266" i="1" s="1"/>
  <c r="L296" i="1" a="1"/>
  <c r="L296" i="1" s="1"/>
  <c r="M296" i="1" a="1"/>
  <c r="M296" i="1" s="1"/>
  <c r="L320" i="1" a="1"/>
  <c r="L320" i="1" s="1"/>
  <c r="M320" i="1" a="1"/>
  <c r="M320" i="1" s="1"/>
  <c r="L350" i="1" a="1"/>
  <c r="L350" i="1" s="1"/>
  <c r="M350" i="1" a="1"/>
  <c r="M350" i="1" s="1"/>
  <c r="L380" i="1" a="1"/>
  <c r="L380" i="1" s="1"/>
  <c r="M380" i="1" a="1"/>
  <c r="M380" i="1" s="1"/>
  <c r="L410" i="1" a="1"/>
  <c r="L410" i="1" s="1"/>
  <c r="M410" i="1" a="1"/>
  <c r="M410" i="1" s="1"/>
  <c r="L434" i="1" a="1"/>
  <c r="L434" i="1" s="1"/>
  <c r="M434" i="1" a="1"/>
  <c r="M434" i="1" s="1"/>
  <c r="L470" i="1" a="1"/>
  <c r="L470" i="1" s="1"/>
  <c r="M470" i="1" a="1"/>
  <c r="M470" i="1" s="1"/>
  <c r="L494" i="1" a="1"/>
  <c r="L494" i="1" s="1"/>
  <c r="M494" i="1" a="1"/>
  <c r="M494" i="1" s="1"/>
  <c r="L518" i="1" a="1"/>
  <c r="L518" i="1" s="1"/>
  <c r="M518" i="1" a="1"/>
  <c r="M518" i="1" s="1"/>
  <c r="L536" i="1" a="1"/>
  <c r="L536" i="1" s="1"/>
  <c r="M536" i="1" a="1"/>
  <c r="M536" i="1" s="1"/>
  <c r="L560" i="1" a="1"/>
  <c r="L560" i="1" s="1"/>
  <c r="M560" i="1" a="1"/>
  <c r="M560" i="1" s="1"/>
  <c r="L608" i="1" a="1"/>
  <c r="L608" i="1" s="1"/>
  <c r="M608" i="1" a="1"/>
  <c r="M608" i="1" s="1"/>
  <c r="L626" i="1" a="1"/>
  <c r="L626" i="1" s="1"/>
  <c r="M626" i="1" a="1"/>
  <c r="M626" i="1" s="1"/>
  <c r="L644" i="1" a="1"/>
  <c r="L644" i="1" s="1"/>
  <c r="M644" i="1" a="1"/>
  <c r="M644" i="1" s="1"/>
  <c r="L650" i="1" a="1"/>
  <c r="L650" i="1" s="1"/>
  <c r="M650" i="1" a="1"/>
  <c r="M650" i="1" s="1"/>
  <c r="L668" i="1" a="1"/>
  <c r="L668" i="1" s="1"/>
  <c r="M668" i="1" a="1"/>
  <c r="M668" i="1" s="1"/>
  <c r="L674" i="1" a="1"/>
  <c r="L674" i="1" s="1"/>
  <c r="M674" i="1" a="1"/>
  <c r="M674" i="1" s="1"/>
  <c r="L680" i="1" a="1"/>
  <c r="L680" i="1" s="1"/>
  <c r="M680" i="1" a="1"/>
  <c r="M680" i="1" s="1"/>
  <c r="L686" i="1" a="1"/>
  <c r="L686" i="1" s="1"/>
  <c r="M686" i="1" a="1"/>
  <c r="M686" i="1" s="1"/>
  <c r="L692" i="1" a="1"/>
  <c r="L692" i="1" s="1"/>
  <c r="M692" i="1" a="1"/>
  <c r="M692" i="1" s="1"/>
  <c r="L698" i="1" a="1"/>
  <c r="L698" i="1" s="1"/>
  <c r="M698" i="1" a="1"/>
  <c r="M698" i="1" s="1"/>
  <c r="L704" i="1" a="1"/>
  <c r="L704" i="1" s="1"/>
  <c r="M704" i="1" a="1"/>
  <c r="M704" i="1" s="1"/>
  <c r="L710" i="1" a="1"/>
  <c r="L710" i="1" s="1"/>
  <c r="M710" i="1" a="1"/>
  <c r="M710" i="1" s="1"/>
  <c r="L716" i="1" a="1"/>
  <c r="L716" i="1" s="1"/>
  <c r="M716" i="1" a="1"/>
  <c r="M716" i="1" s="1"/>
  <c r="L722" i="1" a="1"/>
  <c r="L722" i="1" s="1"/>
  <c r="M722" i="1" a="1"/>
  <c r="M722" i="1" s="1"/>
  <c r="L728" i="1" a="1"/>
  <c r="L728" i="1" s="1"/>
  <c r="M728" i="1" a="1"/>
  <c r="M728" i="1" s="1"/>
  <c r="L734" i="1" a="1"/>
  <c r="L734" i="1" s="1"/>
  <c r="M734" i="1" a="1"/>
  <c r="M734" i="1" s="1"/>
  <c r="L740" i="1" a="1"/>
  <c r="L740" i="1" s="1"/>
  <c r="M740" i="1" a="1"/>
  <c r="M740" i="1" s="1"/>
  <c r="L746" i="1" a="1"/>
  <c r="L746" i="1" s="1"/>
  <c r="M746" i="1" a="1"/>
  <c r="M746" i="1" s="1"/>
  <c r="L752" i="1" a="1"/>
  <c r="L752" i="1" s="1"/>
  <c r="M752" i="1" a="1"/>
  <c r="M752" i="1" s="1"/>
  <c r="L758" i="1" a="1"/>
  <c r="L758" i="1" s="1"/>
  <c r="M758" i="1" a="1"/>
  <c r="M758" i="1" s="1"/>
  <c r="L764" i="1" a="1"/>
  <c r="L764" i="1" s="1"/>
  <c r="M764" i="1" a="1"/>
  <c r="M764" i="1" s="1"/>
  <c r="L770" i="1" a="1"/>
  <c r="L770" i="1" s="1"/>
  <c r="M770" i="1" a="1"/>
  <c r="M770" i="1" s="1"/>
  <c r="L776" i="1" a="1"/>
  <c r="L776" i="1" s="1"/>
  <c r="M776" i="1" a="1"/>
  <c r="M776" i="1" s="1"/>
  <c r="L782" i="1" a="1"/>
  <c r="L782" i="1" s="1"/>
  <c r="M782" i="1" a="1"/>
  <c r="M782" i="1" s="1"/>
  <c r="L788" i="1" a="1"/>
  <c r="L788" i="1" s="1"/>
  <c r="M788" i="1" a="1"/>
  <c r="M788" i="1" s="1"/>
  <c r="L794" i="1" a="1"/>
  <c r="L794" i="1" s="1"/>
  <c r="M794" i="1" a="1"/>
  <c r="M794" i="1" s="1"/>
  <c r="L800" i="1" a="1"/>
  <c r="L800" i="1" s="1"/>
  <c r="M800" i="1" a="1"/>
  <c r="M800" i="1" s="1"/>
  <c r="L806" i="1" a="1"/>
  <c r="L806" i="1" s="1"/>
  <c r="M806" i="1" a="1"/>
  <c r="M806" i="1" s="1"/>
  <c r="L812" i="1" a="1"/>
  <c r="L812" i="1" s="1"/>
  <c r="M812" i="1" a="1"/>
  <c r="M812" i="1" s="1"/>
  <c r="L818" i="1" a="1"/>
  <c r="L818" i="1" s="1"/>
  <c r="M818" i="1" a="1"/>
  <c r="M818" i="1" s="1"/>
  <c r="L824" i="1" a="1"/>
  <c r="L824" i="1" s="1"/>
  <c r="M824" i="1" a="1"/>
  <c r="M824" i="1" s="1"/>
  <c r="L830" i="1" a="1"/>
  <c r="L830" i="1" s="1"/>
  <c r="M830" i="1" a="1"/>
  <c r="M830" i="1" s="1"/>
  <c r="L836" i="1" a="1"/>
  <c r="L836" i="1" s="1"/>
  <c r="M836" i="1" a="1"/>
  <c r="M836" i="1" s="1"/>
  <c r="L842" i="1" a="1"/>
  <c r="L842" i="1" s="1"/>
  <c r="M842" i="1" a="1"/>
  <c r="M842" i="1" s="1"/>
  <c r="L848" i="1" a="1"/>
  <c r="L848" i="1" s="1"/>
  <c r="M848" i="1" a="1"/>
  <c r="M848" i="1" s="1"/>
  <c r="L854" i="1" a="1"/>
  <c r="L854" i="1" s="1"/>
  <c r="M854" i="1" a="1"/>
  <c r="M854" i="1" s="1"/>
  <c r="L860" i="1" a="1"/>
  <c r="L860" i="1" s="1"/>
  <c r="M860" i="1" a="1"/>
  <c r="M860" i="1" s="1"/>
  <c r="L866" i="1" a="1"/>
  <c r="L866" i="1" s="1"/>
  <c r="M866" i="1" a="1"/>
  <c r="M866" i="1" s="1"/>
  <c r="L872" i="1" a="1"/>
  <c r="L872" i="1" s="1"/>
  <c r="M872" i="1" a="1"/>
  <c r="M872" i="1" s="1"/>
  <c r="L878" i="1" a="1"/>
  <c r="L878" i="1" s="1"/>
  <c r="M878" i="1" a="1"/>
  <c r="M878" i="1" s="1"/>
  <c r="L884" i="1" a="1"/>
  <c r="L884" i="1" s="1"/>
  <c r="M884" i="1" a="1"/>
  <c r="M884" i="1" s="1"/>
  <c r="L890" i="1" a="1"/>
  <c r="L890" i="1" s="1"/>
  <c r="M890" i="1" a="1"/>
  <c r="M890" i="1" s="1"/>
  <c r="L896" i="1" a="1"/>
  <c r="L896" i="1" s="1"/>
  <c r="M896" i="1" a="1"/>
  <c r="M896" i="1" s="1"/>
  <c r="L902" i="1" a="1"/>
  <c r="L902" i="1" s="1"/>
  <c r="M902" i="1" a="1"/>
  <c r="M902" i="1" s="1"/>
  <c r="L908" i="1" a="1"/>
  <c r="L908" i="1" s="1"/>
  <c r="M908" i="1" a="1"/>
  <c r="M908" i="1" s="1"/>
  <c r="L914" i="1" a="1"/>
  <c r="L914" i="1" s="1"/>
  <c r="M914" i="1" a="1"/>
  <c r="M914" i="1" s="1"/>
  <c r="L920" i="1" a="1"/>
  <c r="L920" i="1" s="1"/>
  <c r="M920" i="1" a="1"/>
  <c r="M920" i="1" s="1"/>
  <c r="L926" i="1" a="1"/>
  <c r="L926" i="1" s="1"/>
  <c r="M926" i="1" a="1"/>
  <c r="M926" i="1" s="1"/>
  <c r="L932" i="1" a="1"/>
  <c r="L932" i="1" s="1"/>
  <c r="M932" i="1" a="1"/>
  <c r="M932" i="1" s="1"/>
  <c r="L938" i="1" a="1"/>
  <c r="L938" i="1" s="1"/>
  <c r="M938" i="1" a="1"/>
  <c r="M938" i="1" s="1"/>
  <c r="L944" i="1" a="1"/>
  <c r="L944" i="1" s="1"/>
  <c r="M944" i="1" a="1"/>
  <c r="M944" i="1" s="1"/>
  <c r="L950" i="1" a="1"/>
  <c r="L950" i="1" s="1"/>
  <c r="M950" i="1" a="1"/>
  <c r="M950" i="1" s="1"/>
  <c r="L956" i="1" a="1"/>
  <c r="L956" i="1" s="1"/>
  <c r="M956" i="1" a="1"/>
  <c r="M956" i="1" s="1"/>
  <c r="L962" i="1" a="1"/>
  <c r="L962" i="1" s="1"/>
  <c r="M962" i="1" a="1"/>
  <c r="M962" i="1" s="1"/>
  <c r="L968" i="1" a="1"/>
  <c r="L968" i="1" s="1"/>
  <c r="M968" i="1" a="1"/>
  <c r="M968" i="1" s="1"/>
  <c r="L974" i="1" a="1"/>
  <c r="L974" i="1" s="1"/>
  <c r="M974" i="1" a="1"/>
  <c r="M974" i="1" s="1"/>
  <c r="L980" i="1" a="1"/>
  <c r="L980" i="1" s="1"/>
  <c r="M980" i="1" a="1"/>
  <c r="M980" i="1" s="1"/>
  <c r="L986" i="1" a="1"/>
  <c r="L986" i="1" s="1"/>
  <c r="M986" i="1" a="1"/>
  <c r="M986" i="1" s="1"/>
  <c r="L992" i="1" a="1"/>
  <c r="L992" i="1" s="1"/>
  <c r="M992" i="1" a="1"/>
  <c r="M992" i="1" s="1"/>
  <c r="L998" i="1" a="1"/>
  <c r="L998" i="1" s="1"/>
  <c r="M998" i="1" a="1"/>
  <c r="M998" i="1" s="1"/>
  <c r="L1004" i="1" a="1"/>
  <c r="L1004" i="1" s="1"/>
  <c r="M1004" i="1" a="1"/>
  <c r="M1004" i="1" s="1"/>
  <c r="L1010" i="1" a="1"/>
  <c r="L1010" i="1" s="1"/>
  <c r="M1010" i="1" a="1"/>
  <c r="M1010" i="1" s="1"/>
  <c r="L1016" i="1" a="1"/>
  <c r="L1016" i="1" s="1"/>
  <c r="M1016" i="1" a="1"/>
  <c r="M1016" i="1" s="1"/>
  <c r="L1022" i="1" a="1"/>
  <c r="L1022" i="1" s="1"/>
  <c r="M1022" i="1" a="1"/>
  <c r="M1022" i="1" s="1"/>
  <c r="L1028" i="1" a="1"/>
  <c r="L1028" i="1" s="1"/>
  <c r="M1028" i="1" a="1"/>
  <c r="M1028" i="1" s="1"/>
  <c r="L1034" i="1" a="1"/>
  <c r="L1034" i="1" s="1"/>
  <c r="M1034" i="1" a="1"/>
  <c r="M1034" i="1" s="1"/>
  <c r="L1040" i="1" a="1"/>
  <c r="L1040" i="1" s="1"/>
  <c r="M1040" i="1" a="1"/>
  <c r="M1040" i="1" s="1"/>
  <c r="L1046" i="1" a="1"/>
  <c r="L1046" i="1" s="1"/>
  <c r="M1046" i="1" a="1"/>
  <c r="M1046" i="1" s="1"/>
  <c r="L1052" i="1" a="1"/>
  <c r="L1052" i="1" s="1"/>
  <c r="M1052" i="1" a="1"/>
  <c r="M1052" i="1" s="1"/>
  <c r="L1058" i="1" a="1"/>
  <c r="L1058" i="1" s="1"/>
  <c r="M1058" i="1" a="1"/>
  <c r="M1058" i="1" s="1"/>
  <c r="L1076" i="1" a="1"/>
  <c r="L1076" i="1" s="1"/>
  <c r="M1076" i="1" a="1"/>
  <c r="M1076" i="1" s="1"/>
  <c r="L14" i="1" a="1"/>
  <c r="L14" i="1" s="1"/>
  <c r="M14" i="1" a="1"/>
  <c r="M14" i="1" s="1"/>
  <c r="L38" i="1" a="1"/>
  <c r="L38" i="1" s="1"/>
  <c r="M38" i="1" a="1"/>
  <c r="M38" i="1" s="1"/>
  <c r="L56" i="1" a="1"/>
  <c r="L56" i="1" s="1"/>
  <c r="M56" i="1" a="1"/>
  <c r="M56" i="1" s="1"/>
  <c r="L74" i="1" a="1"/>
  <c r="L74" i="1" s="1"/>
  <c r="M74" i="1" a="1"/>
  <c r="M74" i="1" s="1"/>
  <c r="L98" i="1" a="1"/>
  <c r="L98" i="1" s="1"/>
  <c r="M98" i="1" a="1"/>
  <c r="M98" i="1" s="1"/>
  <c r="L128" i="1" a="1"/>
  <c r="L128" i="1" s="1"/>
  <c r="M128" i="1" a="1"/>
  <c r="M128" i="1" s="1"/>
  <c r="L158" i="1" a="1"/>
  <c r="L158" i="1" s="1"/>
  <c r="M158" i="1" a="1"/>
  <c r="M158" i="1" s="1"/>
  <c r="L182" i="1" a="1"/>
  <c r="L182" i="1" s="1"/>
  <c r="M182" i="1" a="1"/>
  <c r="M182" i="1" s="1"/>
  <c r="L206" i="1" a="1"/>
  <c r="L206" i="1" s="1"/>
  <c r="M206" i="1" a="1"/>
  <c r="M206" i="1" s="1"/>
  <c r="L230" i="1" a="1"/>
  <c r="L230" i="1" s="1"/>
  <c r="M230" i="1" a="1"/>
  <c r="M230" i="1" s="1"/>
  <c r="L260" i="1" a="1"/>
  <c r="L260" i="1" s="1"/>
  <c r="M260" i="1" a="1"/>
  <c r="M260" i="1" s="1"/>
  <c r="L284" i="1" a="1"/>
  <c r="L284" i="1" s="1"/>
  <c r="M284" i="1" a="1"/>
  <c r="M284" i="1" s="1"/>
  <c r="L314" i="1" a="1"/>
  <c r="L314" i="1" s="1"/>
  <c r="M314" i="1" a="1"/>
  <c r="M314" i="1" s="1"/>
  <c r="L344" i="1" a="1"/>
  <c r="L344" i="1" s="1"/>
  <c r="M344" i="1" a="1"/>
  <c r="M344" i="1" s="1"/>
  <c r="L374" i="1" a="1"/>
  <c r="L374" i="1" s="1"/>
  <c r="M374" i="1" a="1"/>
  <c r="M374" i="1" s="1"/>
  <c r="L398" i="1" a="1"/>
  <c r="L398" i="1" s="1"/>
  <c r="M398" i="1" a="1"/>
  <c r="M398" i="1" s="1"/>
  <c r="L422" i="1" a="1"/>
  <c r="L422" i="1" s="1"/>
  <c r="M422" i="1" a="1"/>
  <c r="M422" i="1" s="1"/>
  <c r="L452" i="1" a="1"/>
  <c r="L452" i="1" s="1"/>
  <c r="M452" i="1" a="1"/>
  <c r="M452" i="1" s="1"/>
  <c r="L476" i="1" a="1"/>
  <c r="L476" i="1" s="1"/>
  <c r="M476" i="1" a="1"/>
  <c r="M476" i="1" s="1"/>
  <c r="L512" i="1" a="1"/>
  <c r="L512" i="1" s="1"/>
  <c r="M512" i="1" a="1"/>
  <c r="M512" i="1" s="1"/>
  <c r="L548" i="1" a="1"/>
  <c r="L548" i="1" s="1"/>
  <c r="M548" i="1" a="1"/>
  <c r="M548" i="1" s="1"/>
  <c r="L54" i="1" a="1"/>
  <c r="L54" i="1" s="1"/>
  <c r="M54" i="1" a="1"/>
  <c r="M54" i="1" s="1"/>
  <c r="L66" i="1" a="1"/>
  <c r="L66" i="1" s="1"/>
  <c r="M66" i="1" a="1"/>
  <c r="M66" i="1" s="1"/>
  <c r="L78" i="1" a="1"/>
  <c r="L78" i="1" s="1"/>
  <c r="M78" i="1" a="1"/>
  <c r="M78" i="1" s="1"/>
  <c r="L90" i="1" a="1"/>
  <c r="L90" i="1" s="1"/>
  <c r="M90" i="1" a="1"/>
  <c r="M90" i="1" s="1"/>
  <c r="L102" i="1" a="1"/>
  <c r="L102" i="1" s="1"/>
  <c r="M102" i="1" a="1"/>
  <c r="M102" i="1" s="1"/>
  <c r="L168" i="1" a="1"/>
  <c r="L168" i="1" s="1"/>
  <c r="M168" i="1" a="1"/>
  <c r="M168" i="1" s="1"/>
  <c r="L180" i="1" a="1"/>
  <c r="L180" i="1" s="1"/>
  <c r="M180" i="1" a="1"/>
  <c r="M180" i="1" s="1"/>
  <c r="L192" i="1" a="1"/>
  <c r="L192" i="1" s="1"/>
  <c r="M192" i="1" a="1"/>
  <c r="M192" i="1" s="1"/>
  <c r="L210" i="1" a="1"/>
  <c r="L210" i="1" s="1"/>
  <c r="M210" i="1" a="1"/>
  <c r="M210" i="1" s="1"/>
  <c r="L222" i="1" a="1"/>
  <c r="L222" i="1" s="1"/>
  <c r="M222" i="1" a="1"/>
  <c r="M222" i="1" s="1"/>
  <c r="L234" i="1" a="1"/>
  <c r="L234" i="1" s="1"/>
  <c r="M234" i="1" a="1"/>
  <c r="M234" i="1" s="1"/>
  <c r="L252" i="1" a="1"/>
  <c r="L252" i="1" s="1"/>
  <c r="M252" i="1" a="1"/>
  <c r="M252" i="1" s="1"/>
  <c r="L258" i="1" a="1"/>
  <c r="L258" i="1" s="1"/>
  <c r="M258" i="1" a="1"/>
  <c r="M258" i="1" s="1"/>
  <c r="L270" i="1" a="1"/>
  <c r="L270" i="1" s="1"/>
  <c r="M270" i="1" a="1"/>
  <c r="M270" i="1" s="1"/>
  <c r="L282" i="1" a="1"/>
  <c r="L282" i="1" s="1"/>
  <c r="M282" i="1" a="1"/>
  <c r="M282" i="1" s="1"/>
  <c r="L294" i="1" a="1"/>
  <c r="L294" i="1" s="1"/>
  <c r="M294" i="1" a="1"/>
  <c r="M294" i="1" s="1"/>
  <c r="L300" i="1" a="1"/>
  <c r="L300" i="1" s="1"/>
  <c r="M300" i="1" a="1"/>
  <c r="M300" i="1" s="1"/>
  <c r="L312" i="1" a="1"/>
  <c r="L312" i="1" s="1"/>
  <c r="M312" i="1" a="1"/>
  <c r="M312" i="1" s="1"/>
  <c r="L324" i="1" a="1"/>
  <c r="L324" i="1" s="1"/>
  <c r="M324" i="1" a="1"/>
  <c r="M324" i="1" s="1"/>
  <c r="L330" i="1" a="1"/>
  <c r="L330" i="1" s="1"/>
  <c r="M330" i="1" a="1"/>
  <c r="M330" i="1" s="1"/>
  <c r="L342" i="1" a="1"/>
  <c r="L342" i="1" s="1"/>
  <c r="M342" i="1" a="1"/>
  <c r="M342" i="1" s="1"/>
  <c r="L348" i="1" a="1"/>
  <c r="L348" i="1" s="1"/>
  <c r="M348" i="1" a="1"/>
  <c r="M348" i="1" s="1"/>
  <c r="L366" i="1" a="1"/>
  <c r="L366" i="1" s="1"/>
  <c r="M366" i="1" a="1"/>
  <c r="M366" i="1" s="1"/>
  <c r="L372" i="1" a="1"/>
  <c r="L372" i="1" s="1"/>
  <c r="M372" i="1" a="1"/>
  <c r="M372" i="1" s="1"/>
  <c r="L378" i="1" a="1"/>
  <c r="L378" i="1" s="1"/>
  <c r="M378" i="1" a="1"/>
  <c r="M378" i="1" s="1"/>
  <c r="L390" i="1" a="1"/>
  <c r="L390" i="1" s="1"/>
  <c r="M390" i="1" a="1"/>
  <c r="M390" i="1" s="1"/>
  <c r="L396" i="1" a="1"/>
  <c r="L396" i="1" s="1"/>
  <c r="M396" i="1" a="1"/>
  <c r="M396" i="1" s="1"/>
  <c r="L402" i="1" a="1"/>
  <c r="L402" i="1" s="1"/>
  <c r="M402" i="1" a="1"/>
  <c r="M402" i="1" s="1"/>
  <c r="L414" i="1" a="1"/>
  <c r="L414" i="1" s="1"/>
  <c r="M414" i="1" a="1"/>
  <c r="M414" i="1" s="1"/>
  <c r="L420" i="1" a="1"/>
  <c r="L420" i="1" s="1"/>
  <c r="M420" i="1" a="1"/>
  <c r="M420" i="1" s="1"/>
  <c r="L426" i="1" a="1"/>
  <c r="L426" i="1" s="1"/>
  <c r="M426" i="1" a="1"/>
  <c r="M426" i="1" s="1"/>
  <c r="L438" i="1" a="1"/>
  <c r="L438" i="1" s="1"/>
  <c r="M438" i="1" a="1"/>
  <c r="M438" i="1" s="1"/>
  <c r="L444" i="1" a="1"/>
  <c r="L444" i="1" s="1"/>
  <c r="M444" i="1" a="1"/>
  <c r="M444" i="1" s="1"/>
  <c r="L450" i="1" a="1"/>
  <c r="L450" i="1" s="1"/>
  <c r="M450" i="1" a="1"/>
  <c r="M450" i="1" s="1"/>
  <c r="L456" i="1" a="1"/>
  <c r="L456" i="1" s="1"/>
  <c r="M456" i="1" a="1"/>
  <c r="M456" i="1" s="1"/>
  <c r="L468" i="1" a="1"/>
  <c r="L468" i="1" s="1"/>
  <c r="M468" i="1" a="1"/>
  <c r="M468" i="1" s="1"/>
  <c r="L474" i="1" a="1"/>
  <c r="L474" i="1" s="1"/>
  <c r="M474" i="1" a="1"/>
  <c r="M474" i="1" s="1"/>
  <c r="L480" i="1" a="1"/>
  <c r="L480" i="1" s="1"/>
  <c r="M480" i="1" a="1"/>
  <c r="M480" i="1" s="1"/>
  <c r="L486" i="1" a="1"/>
  <c r="L486" i="1" s="1"/>
  <c r="M486" i="1" a="1"/>
  <c r="M486" i="1" s="1"/>
  <c r="L498" i="1" a="1"/>
  <c r="L498" i="1" s="1"/>
  <c r="M498" i="1" a="1"/>
  <c r="M498" i="1" s="1"/>
  <c r="L504" i="1" a="1"/>
  <c r="L504" i="1" s="1"/>
  <c r="M504" i="1" a="1"/>
  <c r="M504" i="1" s="1"/>
  <c r="L510" i="1" a="1"/>
  <c r="L510" i="1" s="1"/>
  <c r="M510" i="1" a="1"/>
  <c r="M510" i="1" s="1"/>
  <c r="L516" i="1" a="1"/>
  <c r="L516" i="1" s="1"/>
  <c r="M516" i="1" a="1"/>
  <c r="M516" i="1" s="1"/>
  <c r="L522" i="1" a="1"/>
  <c r="L522" i="1" s="1"/>
  <c r="M522" i="1" a="1"/>
  <c r="M522" i="1" s="1"/>
  <c r="L528" i="1" a="1"/>
  <c r="L528" i="1" s="1"/>
  <c r="M528" i="1" a="1"/>
  <c r="M528" i="1" s="1"/>
  <c r="L534" i="1" a="1"/>
  <c r="L534" i="1" s="1"/>
  <c r="M534" i="1" a="1"/>
  <c r="M534" i="1" s="1"/>
  <c r="L540" i="1" a="1"/>
  <c r="L540" i="1" s="1"/>
  <c r="M540" i="1" a="1"/>
  <c r="M540" i="1" s="1"/>
  <c r="L546" i="1" a="1"/>
  <c r="L546" i="1" s="1"/>
  <c r="M546" i="1" a="1"/>
  <c r="M546" i="1" s="1"/>
  <c r="L552" i="1" a="1"/>
  <c r="L552" i="1" s="1"/>
  <c r="M552" i="1" a="1"/>
  <c r="M552" i="1" s="1"/>
  <c r="L558" i="1" a="1"/>
  <c r="L558" i="1" s="1"/>
  <c r="M558" i="1" a="1"/>
  <c r="M558" i="1" s="1"/>
  <c r="L564" i="1" a="1"/>
  <c r="L564" i="1" s="1"/>
  <c r="M564" i="1" a="1"/>
  <c r="M564" i="1" s="1"/>
  <c r="L570" i="1" a="1"/>
  <c r="L570" i="1" s="1"/>
  <c r="M570" i="1" a="1"/>
  <c r="M570" i="1" s="1"/>
  <c r="L576" i="1" a="1"/>
  <c r="L576" i="1" s="1"/>
  <c r="M576" i="1" a="1"/>
  <c r="M576" i="1" s="1"/>
  <c r="L588" i="1" a="1"/>
  <c r="L588" i="1" s="1"/>
  <c r="M588" i="1" a="1"/>
  <c r="M588" i="1" s="1"/>
  <c r="L8" i="1" a="1"/>
  <c r="L8" i="1" s="1"/>
  <c r="M8" i="1" a="1"/>
  <c r="M8" i="1" s="1"/>
  <c r="L26" i="1" a="1"/>
  <c r="L26" i="1" s="1"/>
  <c r="M26" i="1" a="1"/>
  <c r="M26" i="1" s="1"/>
  <c r="L50" i="1" a="1"/>
  <c r="L50" i="1" s="1"/>
  <c r="M50" i="1" a="1"/>
  <c r="M50" i="1" s="1"/>
  <c r="L86" i="1" a="1"/>
  <c r="L86" i="1" s="1"/>
  <c r="M86" i="1" a="1"/>
  <c r="M86" i="1" s="1"/>
  <c r="L122" i="1" a="1"/>
  <c r="L122" i="1" s="1"/>
  <c r="M122" i="1" a="1"/>
  <c r="M122" i="1" s="1"/>
  <c r="L242" i="1" a="1"/>
  <c r="L242" i="1" s="1"/>
  <c r="M242" i="1" a="1"/>
  <c r="M242" i="1" s="1"/>
  <c r="L272" i="1" a="1"/>
  <c r="L272" i="1" s="1"/>
  <c r="M272" i="1" a="1"/>
  <c r="M272" i="1" s="1"/>
  <c r="L302" i="1" a="1"/>
  <c r="L302" i="1" s="1"/>
  <c r="M302" i="1" a="1"/>
  <c r="M302" i="1" s="1"/>
  <c r="L332" i="1" a="1"/>
  <c r="L332" i="1" s="1"/>
  <c r="M332" i="1" a="1"/>
  <c r="M332" i="1" s="1"/>
  <c r="L356" i="1" a="1"/>
  <c r="L356" i="1" s="1"/>
  <c r="M356" i="1" a="1"/>
  <c r="M356" i="1" s="1"/>
  <c r="L386" i="1" a="1"/>
  <c r="L386" i="1" s="1"/>
  <c r="M386" i="1" a="1"/>
  <c r="M386" i="1" s="1"/>
  <c r="L404" i="1" a="1"/>
  <c r="L404" i="1" s="1"/>
  <c r="M404" i="1" a="1"/>
  <c r="M404" i="1" s="1"/>
  <c r="L428" i="1" a="1"/>
  <c r="L428" i="1" s="1"/>
  <c r="M428" i="1" a="1"/>
  <c r="M428" i="1" s="1"/>
  <c r="L458" i="1" a="1"/>
  <c r="L458" i="1" s="1"/>
  <c r="M458" i="1" a="1"/>
  <c r="M458" i="1" s="1"/>
  <c r="L482" i="1" a="1"/>
  <c r="L482" i="1" s="1"/>
  <c r="M482" i="1" a="1"/>
  <c r="M482" i="1" s="1"/>
  <c r="L500" i="1" a="1"/>
  <c r="L500" i="1" s="1"/>
  <c r="M500" i="1" a="1"/>
  <c r="M500" i="1" s="1"/>
  <c r="L524" i="1" a="1"/>
  <c r="L524" i="1" s="1"/>
  <c r="M524" i="1" a="1"/>
  <c r="M524" i="1" s="1"/>
  <c r="L542" i="1" a="1"/>
  <c r="L542" i="1" s="1"/>
  <c r="M542" i="1" a="1"/>
  <c r="M542" i="1" s="1"/>
  <c r="L566" i="1" a="1"/>
  <c r="L566" i="1" s="1"/>
  <c r="M566" i="1" a="1"/>
  <c r="M566" i="1" s="1"/>
  <c r="L578" i="1" a="1"/>
  <c r="L578" i="1" s="1"/>
  <c r="M578" i="1" a="1"/>
  <c r="M578" i="1" s="1"/>
  <c r="L590" i="1" a="1"/>
  <c r="L590" i="1" s="1"/>
  <c r="M590" i="1" a="1"/>
  <c r="M590" i="1" s="1"/>
  <c r="L602" i="1" a="1"/>
  <c r="L602" i="1" s="1"/>
  <c r="M602" i="1" a="1"/>
  <c r="M602" i="1" s="1"/>
  <c r="L620" i="1" a="1"/>
  <c r="L620" i="1" s="1"/>
  <c r="M620" i="1" a="1"/>
  <c r="M620" i="1" s="1"/>
  <c r="L638" i="1" a="1"/>
  <c r="L638" i="1" s="1"/>
  <c r="M638" i="1" a="1"/>
  <c r="M638" i="1" s="1"/>
  <c r="L656" i="1" a="1"/>
  <c r="L656" i="1" s="1"/>
  <c r="M656" i="1" a="1"/>
  <c r="M656" i="1" s="1"/>
  <c r="L12" i="1" a="1"/>
  <c r="L12" i="1" s="1"/>
  <c r="M12" i="1" a="1"/>
  <c r="M12" i="1" s="1"/>
  <c r="L24" i="1" a="1"/>
  <c r="L24" i="1" s="1"/>
  <c r="M24" i="1" a="1"/>
  <c r="M24" i="1" s="1"/>
  <c r="L36" i="1" a="1"/>
  <c r="L36" i="1" s="1"/>
  <c r="M36" i="1" a="1"/>
  <c r="M36" i="1" s="1"/>
  <c r="L48" i="1" a="1"/>
  <c r="L48" i="1" s="1"/>
  <c r="M48" i="1" a="1"/>
  <c r="M48" i="1" s="1"/>
  <c r="L72" i="1" a="1"/>
  <c r="L72" i="1" s="1"/>
  <c r="M72" i="1" a="1"/>
  <c r="M72" i="1" s="1"/>
  <c r="L96" i="1" a="1"/>
  <c r="L96" i="1" s="1"/>
  <c r="M96" i="1" a="1"/>
  <c r="M96" i="1" s="1"/>
  <c r="L108" i="1" a="1"/>
  <c r="L108" i="1" s="1"/>
  <c r="M108" i="1" a="1"/>
  <c r="M108" i="1" s="1"/>
  <c r="L138" i="1" a="1"/>
  <c r="L138" i="1" s="1"/>
  <c r="M138" i="1" a="1"/>
  <c r="M138" i="1" s="1"/>
  <c r="L162" i="1" a="1"/>
  <c r="L162" i="1" s="1"/>
  <c r="M162" i="1" a="1"/>
  <c r="M162" i="1" s="1"/>
  <c r="L204" i="1" a="1"/>
  <c r="L204" i="1" s="1"/>
  <c r="M204" i="1" a="1"/>
  <c r="M204" i="1" s="1"/>
  <c r="L246" i="1" a="1"/>
  <c r="L246" i="1" s="1"/>
  <c r="M246" i="1" a="1"/>
  <c r="M246" i="1" s="1"/>
  <c r="L276" i="1" a="1"/>
  <c r="L276" i="1" s="1"/>
  <c r="M276" i="1" a="1"/>
  <c r="M276" i="1" s="1"/>
  <c r="L306" i="1" a="1"/>
  <c r="L306" i="1" s="1"/>
  <c r="M306" i="1" a="1"/>
  <c r="M306" i="1" s="1"/>
  <c r="L336" i="1" a="1"/>
  <c r="L336" i="1" s="1"/>
  <c r="M336" i="1" a="1"/>
  <c r="M336" i="1" s="1"/>
  <c r="L354" i="1" a="1"/>
  <c r="L354" i="1" s="1"/>
  <c r="M354" i="1" a="1"/>
  <c r="M354" i="1" s="1"/>
  <c r="L384" i="1" a="1"/>
  <c r="L384" i="1" s="1"/>
  <c r="M384" i="1" a="1"/>
  <c r="M384" i="1" s="1"/>
  <c r="L408" i="1" a="1"/>
  <c r="L408" i="1" s="1"/>
  <c r="M408" i="1" a="1"/>
  <c r="M408" i="1" s="1"/>
  <c r="L432" i="1" a="1"/>
  <c r="L432" i="1" s="1"/>
  <c r="M432" i="1" a="1"/>
  <c r="M432" i="1" s="1"/>
  <c r="L462" i="1" a="1"/>
  <c r="L462" i="1" s="1"/>
  <c r="M462" i="1" a="1"/>
  <c r="M462" i="1" s="1"/>
  <c r="L492" i="1" a="1"/>
  <c r="L492" i="1" s="1"/>
  <c r="M492" i="1" a="1"/>
  <c r="M492" i="1" s="1"/>
  <c r="L582" i="1" a="1"/>
  <c r="L582" i="1" s="1"/>
  <c r="M582" i="1" a="1"/>
  <c r="M582" i="1" s="1"/>
  <c r="L2" i="1" a="1"/>
  <c r="L2" i="1" s="1"/>
  <c r="M2" i="1" a="1"/>
  <c r="M2" i="1" s="1"/>
  <c r="L32" i="1" a="1"/>
  <c r="L32" i="1" s="1"/>
  <c r="M32" i="1" a="1"/>
  <c r="M32" i="1" s="1"/>
  <c r="L62" i="1" a="1"/>
  <c r="L62" i="1" s="1"/>
  <c r="M62" i="1" a="1"/>
  <c r="M62" i="1" s="1"/>
  <c r="L80" i="1" a="1"/>
  <c r="L80" i="1" s="1"/>
  <c r="M80" i="1" a="1"/>
  <c r="M80" i="1" s="1"/>
  <c r="L110" i="1" a="1"/>
  <c r="L110" i="1" s="1"/>
  <c r="M110" i="1" a="1"/>
  <c r="M110" i="1" s="1"/>
  <c r="L146" i="1" a="1"/>
  <c r="L146" i="1" s="1"/>
  <c r="M146" i="1" a="1"/>
  <c r="M146" i="1" s="1"/>
  <c r="L170" i="1" a="1"/>
  <c r="L170" i="1" s="1"/>
  <c r="M170" i="1" a="1"/>
  <c r="M170" i="1" s="1"/>
  <c r="L194" i="1" a="1"/>
  <c r="L194" i="1" s="1"/>
  <c r="M194" i="1" a="1"/>
  <c r="M194" i="1" s="1"/>
  <c r="L218" i="1" a="1"/>
  <c r="L218" i="1" s="1"/>
  <c r="M218" i="1" a="1"/>
  <c r="M218" i="1" s="1"/>
  <c r="L248" i="1" a="1"/>
  <c r="L248" i="1" s="1"/>
  <c r="M248" i="1" a="1"/>
  <c r="M248" i="1" s="1"/>
  <c r="L290" i="1" a="1"/>
  <c r="L290" i="1" s="1"/>
  <c r="M290" i="1" a="1"/>
  <c r="M290" i="1" s="1"/>
  <c r="L326" i="1" a="1"/>
  <c r="L326" i="1" s="1"/>
  <c r="M326" i="1" a="1"/>
  <c r="M326" i="1" s="1"/>
  <c r="L362" i="1" a="1"/>
  <c r="L362" i="1" s="1"/>
  <c r="M362" i="1" a="1"/>
  <c r="M362" i="1" s="1"/>
  <c r="L446" i="1" a="1"/>
  <c r="L446" i="1" s="1"/>
  <c r="M446" i="1" a="1"/>
  <c r="M446" i="1" s="1"/>
  <c r="L120" i="1" a="1"/>
  <c r="L120" i="1" s="1"/>
  <c r="M120" i="1" a="1"/>
  <c r="M120" i="1" s="1"/>
  <c r="L126" i="1" a="1"/>
  <c r="L126" i="1" s="1"/>
  <c r="M126" i="1" a="1"/>
  <c r="M126" i="1" s="1"/>
  <c r="L132" i="1" a="1"/>
  <c r="L132" i="1" s="1"/>
  <c r="M132" i="1" a="1"/>
  <c r="M132" i="1" s="1"/>
  <c r="L144" i="1" a="1"/>
  <c r="L144" i="1" s="1"/>
  <c r="M144" i="1" a="1"/>
  <c r="M144" i="1" s="1"/>
  <c r="L150" i="1" a="1"/>
  <c r="L150" i="1" s="1"/>
  <c r="M150" i="1" a="1"/>
  <c r="M150" i="1" s="1"/>
  <c r="L156" i="1" a="1"/>
  <c r="L156" i="1" s="1"/>
  <c r="M156" i="1" a="1"/>
  <c r="M156" i="1" s="1"/>
  <c r="L174" i="1" a="1"/>
  <c r="L174" i="1" s="1"/>
  <c r="M174" i="1" a="1"/>
  <c r="M174" i="1" s="1"/>
  <c r="L186" i="1" a="1"/>
  <c r="L186" i="1" s="1"/>
  <c r="M186" i="1" a="1"/>
  <c r="M186" i="1" s="1"/>
  <c r="L198" i="1" a="1"/>
  <c r="L198" i="1" s="1"/>
  <c r="M198" i="1" a="1"/>
  <c r="M198" i="1" s="1"/>
  <c r="L216" i="1" a="1"/>
  <c r="L216" i="1" s="1"/>
  <c r="M216" i="1" a="1"/>
  <c r="M216" i="1" s="1"/>
  <c r="L228" i="1" a="1"/>
  <c r="L228" i="1" s="1"/>
  <c r="M228" i="1" a="1"/>
  <c r="M228" i="1" s="1"/>
  <c r="L240" i="1" a="1"/>
  <c r="L240" i="1" s="1"/>
  <c r="M240" i="1" a="1"/>
  <c r="M240" i="1" s="1"/>
  <c r="L264" i="1" a="1"/>
  <c r="L264" i="1" s="1"/>
  <c r="M264" i="1" a="1"/>
  <c r="M264" i="1" s="1"/>
  <c r="L288" i="1" a="1"/>
  <c r="L288" i="1" s="1"/>
  <c r="M288" i="1" a="1"/>
  <c r="M288" i="1" s="1"/>
  <c r="L7" i="1" a="1"/>
  <c r="L7" i="1" s="1"/>
  <c r="M7" i="1" a="1"/>
  <c r="M7" i="1" s="1"/>
  <c r="L13" i="1" a="1"/>
  <c r="L13" i="1" s="1"/>
  <c r="M13" i="1" a="1"/>
  <c r="M13" i="1" s="1"/>
  <c r="L19" i="1" a="1"/>
  <c r="L19" i="1" s="1"/>
  <c r="M19" i="1" a="1"/>
  <c r="M19" i="1" s="1"/>
  <c r="L25" i="1" a="1"/>
  <c r="L25" i="1" s="1"/>
  <c r="M25" i="1" a="1"/>
  <c r="M25" i="1" s="1"/>
  <c r="L31" i="1" a="1"/>
  <c r="L31" i="1" s="1"/>
  <c r="M31" i="1" a="1"/>
  <c r="M31" i="1" s="1"/>
  <c r="L37" i="1" a="1"/>
  <c r="L37" i="1" s="1"/>
  <c r="M37" i="1" a="1"/>
  <c r="M37" i="1" s="1"/>
  <c r="L43" i="1" a="1"/>
  <c r="L43" i="1" s="1"/>
  <c r="M43" i="1" a="1"/>
  <c r="M43" i="1" s="1"/>
  <c r="L49" i="1" a="1"/>
  <c r="L49" i="1" s="1"/>
  <c r="M49" i="1" a="1"/>
  <c r="M49" i="1" s="1"/>
  <c r="L61" i="1" a="1"/>
  <c r="L61" i="1" s="1"/>
  <c r="M61" i="1" a="1"/>
  <c r="M61" i="1" s="1"/>
  <c r="L67" i="1" a="1"/>
  <c r="L67" i="1" s="1"/>
  <c r="M67" i="1" a="1"/>
  <c r="M67" i="1" s="1"/>
  <c r="L73" i="1" a="1"/>
  <c r="L73" i="1" s="1"/>
  <c r="M73" i="1" a="1"/>
  <c r="M73" i="1" s="1"/>
  <c r="L85" i="1" a="1"/>
  <c r="L85" i="1" s="1"/>
  <c r="M85" i="1" a="1"/>
  <c r="M85" i="1" s="1"/>
  <c r="L91" i="1" a="1"/>
  <c r="L91" i="1" s="1"/>
  <c r="M91" i="1" a="1"/>
  <c r="M91" i="1" s="1"/>
  <c r="L97" i="1" a="1"/>
  <c r="L97" i="1" s="1"/>
  <c r="M97" i="1" a="1"/>
  <c r="M97" i="1" s="1"/>
  <c r="L109" i="1" a="1"/>
  <c r="L109" i="1" s="1"/>
  <c r="M109" i="1" a="1"/>
  <c r="M109" i="1" s="1"/>
  <c r="L104" i="1" a="1"/>
  <c r="L104" i="1" s="1"/>
  <c r="M104" i="1" a="1"/>
  <c r="M104" i="1" s="1"/>
  <c r="L134" i="1" a="1"/>
  <c r="L134" i="1" s="1"/>
  <c r="M134" i="1" a="1"/>
  <c r="M134" i="1" s="1"/>
  <c r="L152" i="1" a="1"/>
  <c r="L152" i="1" s="1"/>
  <c r="M152" i="1" a="1"/>
  <c r="M152" i="1" s="1"/>
  <c r="L176" i="1" a="1"/>
  <c r="L176" i="1" s="1"/>
  <c r="M176" i="1" a="1"/>
  <c r="M176" i="1" s="1"/>
  <c r="L200" i="1" a="1"/>
  <c r="L200" i="1" s="1"/>
  <c r="M200" i="1" a="1"/>
  <c r="M200" i="1" s="1"/>
  <c r="L224" i="1" a="1"/>
  <c r="L224" i="1" s="1"/>
  <c r="M224" i="1" a="1"/>
  <c r="M224" i="1" s="1"/>
  <c r="L254" i="1" a="1"/>
  <c r="L254" i="1" s="1"/>
  <c r="M254" i="1" a="1"/>
  <c r="M254" i="1" s="1"/>
  <c r="L278" i="1" a="1"/>
  <c r="L278" i="1" s="1"/>
  <c r="M278" i="1" a="1"/>
  <c r="M278" i="1" s="1"/>
  <c r="L308" i="1" a="1"/>
  <c r="L308" i="1" s="1"/>
  <c r="M308" i="1" a="1"/>
  <c r="M308" i="1" s="1"/>
  <c r="L338" i="1" a="1"/>
  <c r="L338" i="1" s="1"/>
  <c r="M338" i="1" a="1"/>
  <c r="M338" i="1" s="1"/>
  <c r="L368" i="1" a="1"/>
  <c r="L368" i="1" s="1"/>
  <c r="M368" i="1" a="1"/>
  <c r="M368" i="1" s="1"/>
  <c r="L392" i="1" a="1"/>
  <c r="L392" i="1" s="1"/>
  <c r="M392" i="1" a="1"/>
  <c r="M392" i="1" s="1"/>
  <c r="L416" i="1" a="1"/>
  <c r="L416" i="1" s="1"/>
  <c r="M416" i="1" a="1"/>
  <c r="M416" i="1" s="1"/>
  <c r="L440" i="1" a="1"/>
  <c r="L440" i="1" s="1"/>
  <c r="M440" i="1" a="1"/>
  <c r="M440" i="1" s="1"/>
  <c r="L464" i="1" a="1"/>
  <c r="L464" i="1" s="1"/>
  <c r="M464" i="1" a="1"/>
  <c r="M464" i="1" s="1"/>
  <c r="L488" i="1" a="1"/>
  <c r="L488" i="1" s="1"/>
  <c r="M488" i="1" a="1"/>
  <c r="M488" i="1" s="1"/>
  <c r="L506" i="1" a="1"/>
  <c r="L506" i="1" s="1"/>
  <c r="M506" i="1" a="1"/>
  <c r="M506" i="1" s="1"/>
  <c r="L530" i="1" a="1"/>
  <c r="L530" i="1" s="1"/>
  <c r="M530" i="1" a="1"/>
  <c r="M530" i="1" s="1"/>
  <c r="L554" i="1" a="1"/>
  <c r="L554" i="1" s="1"/>
  <c r="M554" i="1" a="1"/>
  <c r="M554" i="1" s="1"/>
  <c r="L572" i="1" a="1"/>
  <c r="L572" i="1" s="1"/>
  <c r="M572" i="1" a="1"/>
  <c r="M572" i="1" s="1"/>
  <c r="L584" i="1" a="1"/>
  <c r="L584" i="1" s="1"/>
  <c r="M584" i="1" a="1"/>
  <c r="M584" i="1" s="1"/>
  <c r="L596" i="1" a="1"/>
  <c r="L596" i="1" s="1"/>
  <c r="M596" i="1" a="1"/>
  <c r="M596" i="1" s="1"/>
  <c r="L614" i="1" a="1"/>
  <c r="L614" i="1" s="1"/>
  <c r="M614" i="1" a="1"/>
  <c r="M614" i="1" s="1"/>
  <c r="L632" i="1" a="1"/>
  <c r="L632" i="1" s="1"/>
  <c r="M632" i="1" a="1"/>
  <c r="M632" i="1" s="1"/>
  <c r="L662" i="1" a="1"/>
  <c r="L662" i="1" s="1"/>
  <c r="M662" i="1" a="1"/>
  <c r="M662" i="1" s="1"/>
  <c r="L6" i="1" a="1"/>
  <c r="L6" i="1" s="1"/>
  <c r="M6" i="1" a="1"/>
  <c r="M6" i="1" s="1"/>
  <c r="L18" i="1" a="1"/>
  <c r="L18" i="1" s="1"/>
  <c r="M18" i="1" a="1"/>
  <c r="M18" i="1" s="1"/>
  <c r="L30" i="1" a="1"/>
  <c r="L30" i="1" s="1"/>
  <c r="M30" i="1" a="1"/>
  <c r="M30" i="1" s="1"/>
  <c r="L42" i="1" a="1"/>
  <c r="L42" i="1" s="1"/>
  <c r="M42" i="1" a="1"/>
  <c r="M42" i="1" s="1"/>
  <c r="L60" i="1" a="1"/>
  <c r="L60" i="1" s="1"/>
  <c r="M60" i="1" a="1"/>
  <c r="M60" i="1" s="1"/>
  <c r="L84" i="1" a="1"/>
  <c r="L84" i="1" s="1"/>
  <c r="M84" i="1" a="1"/>
  <c r="M84" i="1" s="1"/>
  <c r="L114" i="1" a="1"/>
  <c r="L114" i="1" s="1"/>
  <c r="M114" i="1" a="1"/>
  <c r="M114" i="1" s="1"/>
  <c r="L318" i="1" a="1"/>
  <c r="L318" i="1" s="1"/>
  <c r="M318" i="1" a="1"/>
  <c r="M318" i="1" s="1"/>
  <c r="L360" i="1" a="1"/>
  <c r="L360" i="1" s="1"/>
  <c r="M360" i="1" a="1"/>
  <c r="M360" i="1" s="1"/>
  <c r="L55" i="1" a="1"/>
  <c r="L55" i="1" s="1"/>
  <c r="M55" i="1" a="1"/>
  <c r="M55" i="1" s="1"/>
  <c r="L79" i="1" a="1"/>
  <c r="L79" i="1" s="1"/>
  <c r="M79" i="1" a="1"/>
  <c r="M79" i="1" s="1"/>
  <c r="L103" i="1" a="1"/>
  <c r="L103" i="1" s="1"/>
  <c r="M103" i="1" a="1"/>
  <c r="M103" i="1" s="1"/>
  <c r="L115" i="1" a="1"/>
  <c r="L115" i="1" s="1"/>
  <c r="M115" i="1" a="1"/>
  <c r="M115" i="1" s="1"/>
  <c r="L1112" i="1" a="1"/>
  <c r="L1112" i="1" s="1"/>
  <c r="M1112" i="1" a="1"/>
  <c r="M1112" i="1" s="1"/>
  <c r="L1130" i="1" a="1"/>
  <c r="L1130" i="1" s="1"/>
  <c r="M1130" i="1" a="1"/>
  <c r="M1130" i="1" s="1"/>
  <c r="L1148" i="1" a="1"/>
  <c r="L1148" i="1" s="1"/>
  <c r="M1148" i="1" a="1"/>
  <c r="M1148" i="1" s="1"/>
  <c r="L1166" i="1" a="1"/>
  <c r="L1166" i="1" s="1"/>
  <c r="M1166" i="1" a="1"/>
  <c r="M1166" i="1" s="1"/>
  <c r="L1184" i="1" a="1"/>
  <c r="L1184" i="1" s="1"/>
  <c r="M1184" i="1" a="1"/>
  <c r="M1184" i="1" s="1"/>
  <c r="L1202" i="1" a="1"/>
  <c r="L1202" i="1" s="1"/>
  <c r="M1202" i="1" a="1"/>
  <c r="M1202" i="1" s="1"/>
  <c r="L1220" i="1" a="1"/>
  <c r="L1220" i="1" s="1"/>
  <c r="M1220" i="1" a="1"/>
  <c r="M1220" i="1" s="1"/>
  <c r="L1238" i="1" a="1"/>
  <c r="L1238" i="1" s="1"/>
  <c r="M1238" i="1" a="1"/>
  <c r="M1238" i="1" s="1"/>
  <c r="L1256" i="1" a="1"/>
  <c r="L1256" i="1" s="1"/>
  <c r="M1256" i="1" a="1"/>
  <c r="M1256" i="1" s="1"/>
  <c r="L1274" i="1" a="1"/>
  <c r="L1274" i="1" s="1"/>
  <c r="M1274" i="1" a="1"/>
  <c r="M1274" i="1" s="1"/>
  <c r="L1292" i="1" a="1"/>
  <c r="L1292" i="1" s="1"/>
  <c r="M1292" i="1" a="1"/>
  <c r="M1292" i="1" s="1"/>
  <c r="L1316" i="1" a="1"/>
  <c r="L1316" i="1" s="1"/>
  <c r="M1316" i="1" a="1"/>
  <c r="M1316" i="1" s="1"/>
  <c r="L1328" i="1" a="1"/>
  <c r="L1328" i="1" s="1"/>
  <c r="M1328" i="1" a="1"/>
  <c r="M1328" i="1" s="1"/>
  <c r="L1346" i="1" a="1"/>
  <c r="L1346" i="1" s="1"/>
  <c r="M1346" i="1" a="1"/>
  <c r="M1346" i="1" s="1"/>
  <c r="L1358" i="1" a="1"/>
  <c r="L1358" i="1" s="1"/>
  <c r="M1358" i="1" a="1"/>
  <c r="M1358" i="1" s="1"/>
  <c r="L1370" i="1" a="1"/>
  <c r="L1370" i="1" s="1"/>
  <c r="M1370" i="1" a="1"/>
  <c r="M1370" i="1" s="1"/>
  <c r="L1382" i="1" a="1"/>
  <c r="L1382" i="1" s="1"/>
  <c r="M1382" i="1" a="1"/>
  <c r="M1382" i="1" s="1"/>
  <c r="L1400" i="1" a="1"/>
  <c r="L1400" i="1" s="1"/>
  <c r="M1400" i="1" a="1"/>
  <c r="M1400" i="1" s="1"/>
  <c r="L87" i="1" a="1"/>
  <c r="L87" i="1" s="1"/>
  <c r="M87" i="1" a="1"/>
  <c r="M87" i="1" s="1"/>
  <c r="L105" i="1" a="1"/>
  <c r="L105" i="1" s="1"/>
  <c r="M105" i="1" a="1"/>
  <c r="M105" i="1" s="1"/>
  <c r="L123" i="1" a="1"/>
  <c r="L123" i="1" s="1"/>
  <c r="M123" i="1" a="1"/>
  <c r="M123" i="1" s="1"/>
  <c r="L141" i="1" a="1"/>
  <c r="L141" i="1" s="1"/>
  <c r="M141" i="1" a="1"/>
  <c r="M141" i="1" s="1"/>
  <c r="L159" i="1" a="1"/>
  <c r="L159" i="1" s="1"/>
  <c r="M159" i="1" a="1"/>
  <c r="M159" i="1" s="1"/>
  <c r="L177" i="1" a="1"/>
  <c r="L177" i="1" s="1"/>
  <c r="M177" i="1" a="1"/>
  <c r="M177" i="1" s="1"/>
  <c r="L189" i="1" a="1"/>
  <c r="L189" i="1" s="1"/>
  <c r="M189" i="1" a="1"/>
  <c r="M189" i="1" s="1"/>
  <c r="L207" i="1" a="1"/>
  <c r="L207" i="1" s="1"/>
  <c r="M207" i="1" a="1"/>
  <c r="M207" i="1" s="1"/>
  <c r="L225" i="1" a="1"/>
  <c r="L225" i="1" s="1"/>
  <c r="M225" i="1" a="1"/>
  <c r="M225" i="1" s="1"/>
  <c r="L243" i="1" a="1"/>
  <c r="L243" i="1" s="1"/>
  <c r="M243" i="1" a="1"/>
  <c r="M243" i="1" s="1"/>
  <c r="L261" i="1" a="1"/>
  <c r="L261" i="1" s="1"/>
  <c r="M261" i="1" a="1"/>
  <c r="M261" i="1" s="1"/>
  <c r="L279" i="1" a="1"/>
  <c r="L279" i="1" s="1"/>
  <c r="M279" i="1" a="1"/>
  <c r="M279" i="1" s="1"/>
  <c r="L297" i="1" a="1"/>
  <c r="L297" i="1" s="1"/>
  <c r="M297" i="1" a="1"/>
  <c r="M297" i="1" s="1"/>
  <c r="L315" i="1" a="1"/>
  <c r="L315" i="1" s="1"/>
  <c r="M315" i="1" a="1"/>
  <c r="M315" i="1" s="1"/>
  <c r="L333" i="1" a="1"/>
  <c r="L333" i="1" s="1"/>
  <c r="M333" i="1" a="1"/>
  <c r="M333" i="1" s="1"/>
  <c r="L351" i="1" a="1"/>
  <c r="L351" i="1" s="1"/>
  <c r="M351" i="1" a="1"/>
  <c r="M351" i="1" s="1"/>
  <c r="L363" i="1" a="1"/>
  <c r="L363" i="1" s="1"/>
  <c r="M363" i="1" a="1"/>
  <c r="M363" i="1" s="1"/>
  <c r="L381" i="1" a="1"/>
  <c r="L381" i="1" s="1"/>
  <c r="M381" i="1" a="1"/>
  <c r="M381" i="1" s="1"/>
  <c r="L399" i="1" a="1"/>
  <c r="L399" i="1" s="1"/>
  <c r="M399" i="1" a="1"/>
  <c r="M399" i="1" s="1"/>
  <c r="L417" i="1" a="1"/>
  <c r="L417" i="1" s="1"/>
  <c r="M417" i="1" a="1"/>
  <c r="M417" i="1" s="1"/>
  <c r="L435" i="1" a="1"/>
  <c r="L435" i="1" s="1"/>
  <c r="M435" i="1" a="1"/>
  <c r="M435" i="1" s="1"/>
  <c r="L453" i="1" a="1"/>
  <c r="L453" i="1" s="1"/>
  <c r="M453" i="1" a="1"/>
  <c r="M453" i="1" s="1"/>
  <c r="L471" i="1" a="1"/>
  <c r="L471" i="1" s="1"/>
  <c r="M471" i="1" a="1"/>
  <c r="M471" i="1" s="1"/>
  <c r="L489" i="1" a="1"/>
  <c r="L489" i="1" s="1"/>
  <c r="M489" i="1" a="1"/>
  <c r="M489" i="1" s="1"/>
  <c r="L501" i="1" a="1"/>
  <c r="L501" i="1" s="1"/>
  <c r="M501" i="1" a="1"/>
  <c r="M501" i="1" s="1"/>
  <c r="L519" i="1" a="1"/>
  <c r="L519" i="1" s="1"/>
  <c r="M519" i="1" a="1"/>
  <c r="M519" i="1" s="1"/>
  <c r="L531" i="1" a="1"/>
  <c r="L531" i="1" s="1"/>
  <c r="M531" i="1" a="1"/>
  <c r="M531" i="1" s="1"/>
  <c r="L543" i="1" a="1"/>
  <c r="L543" i="1" s="1"/>
  <c r="M543" i="1" a="1"/>
  <c r="M543" i="1" s="1"/>
  <c r="L585" i="1" a="1"/>
  <c r="L585" i="1" s="1"/>
  <c r="M585" i="1" a="1"/>
  <c r="M585" i="1" s="1"/>
  <c r="L597" i="1" a="1"/>
  <c r="L597" i="1" s="1"/>
  <c r="M597" i="1" a="1"/>
  <c r="M597" i="1" s="1"/>
  <c r="L609" i="1" a="1"/>
  <c r="L609" i="1" s="1"/>
  <c r="M609" i="1" a="1"/>
  <c r="M609" i="1" s="1"/>
  <c r="L621" i="1" a="1"/>
  <c r="L621" i="1" s="1"/>
  <c r="M621" i="1" a="1"/>
  <c r="M621" i="1" s="1"/>
  <c r="L633" i="1" a="1"/>
  <c r="L633" i="1" s="1"/>
  <c r="M633" i="1" a="1"/>
  <c r="M633" i="1" s="1"/>
  <c r="L645" i="1" a="1"/>
  <c r="L645" i="1" s="1"/>
  <c r="M645" i="1" a="1"/>
  <c r="M645" i="1" s="1"/>
  <c r="L651" i="1" a="1"/>
  <c r="L651" i="1" s="1"/>
  <c r="M651" i="1" a="1"/>
  <c r="M651" i="1" s="1"/>
  <c r="L657" i="1" a="1"/>
  <c r="L657" i="1" s="1"/>
  <c r="M657" i="1" a="1"/>
  <c r="M657" i="1" s="1"/>
  <c r="L663" i="1" a="1"/>
  <c r="L663" i="1" s="1"/>
  <c r="M663" i="1" a="1"/>
  <c r="M663" i="1" s="1"/>
  <c r="L669" i="1" a="1"/>
  <c r="L669" i="1" s="1"/>
  <c r="M669" i="1" a="1"/>
  <c r="M669" i="1" s="1"/>
  <c r="L675" i="1" a="1"/>
  <c r="L675" i="1" s="1"/>
  <c r="M675" i="1" a="1"/>
  <c r="M675" i="1" s="1"/>
  <c r="L681" i="1" a="1"/>
  <c r="L681" i="1" s="1"/>
  <c r="M681" i="1" a="1"/>
  <c r="M681" i="1" s="1"/>
  <c r="L687" i="1" a="1"/>
  <c r="L687" i="1" s="1"/>
  <c r="M687" i="1" a="1"/>
  <c r="M687" i="1" s="1"/>
  <c r="L693" i="1" a="1"/>
  <c r="L693" i="1" s="1"/>
  <c r="M693" i="1" a="1"/>
  <c r="M693" i="1" s="1"/>
  <c r="L699" i="1" a="1"/>
  <c r="L699" i="1" s="1"/>
  <c r="M699" i="1" a="1"/>
  <c r="M699" i="1" s="1"/>
  <c r="L705" i="1" a="1"/>
  <c r="L705" i="1" s="1"/>
  <c r="M705" i="1" a="1"/>
  <c r="M705" i="1" s="1"/>
  <c r="L711" i="1" a="1"/>
  <c r="L711" i="1" s="1"/>
  <c r="M711" i="1" a="1"/>
  <c r="M711" i="1" s="1"/>
  <c r="L717" i="1" a="1"/>
  <c r="L717" i="1" s="1"/>
  <c r="M717" i="1" a="1"/>
  <c r="M717" i="1" s="1"/>
  <c r="L723" i="1" a="1"/>
  <c r="L723" i="1" s="1"/>
  <c r="M723" i="1" a="1"/>
  <c r="M723" i="1" s="1"/>
  <c r="L729" i="1" a="1"/>
  <c r="L729" i="1" s="1"/>
  <c r="M729" i="1" a="1"/>
  <c r="M729" i="1" s="1"/>
  <c r="L735" i="1" a="1"/>
  <c r="L735" i="1" s="1"/>
  <c r="M735" i="1" a="1"/>
  <c r="M735" i="1" s="1"/>
  <c r="L741" i="1" a="1"/>
  <c r="L741" i="1" s="1"/>
  <c r="M741" i="1" a="1"/>
  <c r="M741" i="1" s="1"/>
  <c r="L747" i="1" a="1"/>
  <c r="L747" i="1" s="1"/>
  <c r="M747" i="1" a="1"/>
  <c r="M747" i="1" s="1"/>
  <c r="L753" i="1" a="1"/>
  <c r="L753" i="1" s="1"/>
  <c r="M753" i="1" a="1"/>
  <c r="M753" i="1" s="1"/>
  <c r="L759" i="1" a="1"/>
  <c r="L759" i="1" s="1"/>
  <c r="M759" i="1" a="1"/>
  <c r="M759" i="1" s="1"/>
  <c r="L765" i="1" a="1"/>
  <c r="L765" i="1" s="1"/>
  <c r="M765" i="1" a="1"/>
  <c r="M765" i="1" s="1"/>
  <c r="L771" i="1" a="1"/>
  <c r="L771" i="1" s="1"/>
  <c r="M771" i="1" a="1"/>
  <c r="M771" i="1" s="1"/>
  <c r="L777" i="1" a="1"/>
  <c r="L777" i="1" s="1"/>
  <c r="M777" i="1" a="1"/>
  <c r="M777" i="1" s="1"/>
  <c r="L783" i="1" a="1"/>
  <c r="L783" i="1" s="1"/>
  <c r="M783" i="1" a="1"/>
  <c r="M783" i="1" s="1"/>
  <c r="L789" i="1" a="1"/>
  <c r="L789" i="1" s="1"/>
  <c r="M789" i="1" a="1"/>
  <c r="M789" i="1" s="1"/>
  <c r="L795" i="1" a="1"/>
  <c r="L795" i="1" s="1"/>
  <c r="M795" i="1" a="1"/>
  <c r="M795" i="1" s="1"/>
  <c r="L801" i="1" a="1"/>
  <c r="L801" i="1" s="1"/>
  <c r="M801" i="1" a="1"/>
  <c r="M801" i="1" s="1"/>
  <c r="L807" i="1" a="1"/>
  <c r="L807" i="1" s="1"/>
  <c r="M807" i="1" a="1"/>
  <c r="M807" i="1" s="1"/>
  <c r="L813" i="1" a="1"/>
  <c r="L813" i="1" s="1"/>
  <c r="M813" i="1" a="1"/>
  <c r="M813" i="1" s="1"/>
  <c r="L819" i="1" a="1"/>
  <c r="L819" i="1" s="1"/>
  <c r="M819" i="1" a="1"/>
  <c r="M819" i="1" s="1"/>
  <c r="L825" i="1" a="1"/>
  <c r="L825" i="1" s="1"/>
  <c r="M825" i="1" a="1"/>
  <c r="M825" i="1" s="1"/>
  <c r="L831" i="1" a="1"/>
  <c r="L831" i="1" s="1"/>
  <c r="M831" i="1" a="1"/>
  <c r="M831" i="1" s="1"/>
  <c r="L837" i="1" a="1"/>
  <c r="L837" i="1" s="1"/>
  <c r="M837" i="1" a="1"/>
  <c r="M837" i="1" s="1"/>
  <c r="L843" i="1" a="1"/>
  <c r="L843" i="1" s="1"/>
  <c r="M843" i="1" a="1"/>
  <c r="M843" i="1" s="1"/>
  <c r="L849" i="1" a="1"/>
  <c r="L849" i="1" s="1"/>
  <c r="M849" i="1" a="1"/>
  <c r="M849" i="1" s="1"/>
  <c r="L855" i="1" a="1"/>
  <c r="L855" i="1" s="1"/>
  <c r="M855" i="1" a="1"/>
  <c r="M855" i="1" s="1"/>
  <c r="L861" i="1" a="1"/>
  <c r="L861" i="1" s="1"/>
  <c r="M861" i="1" a="1"/>
  <c r="M861" i="1" s="1"/>
  <c r="L867" i="1" a="1"/>
  <c r="L867" i="1" s="1"/>
  <c r="M867" i="1" a="1"/>
  <c r="M867" i="1" s="1"/>
  <c r="L873" i="1" a="1"/>
  <c r="L873" i="1" s="1"/>
  <c r="M873" i="1" a="1"/>
  <c r="M873" i="1" s="1"/>
  <c r="L879" i="1" a="1"/>
  <c r="L879" i="1" s="1"/>
  <c r="M879" i="1" a="1"/>
  <c r="M879" i="1" s="1"/>
  <c r="L885" i="1" a="1"/>
  <c r="L885" i="1" s="1"/>
  <c r="M885" i="1" a="1"/>
  <c r="M885" i="1" s="1"/>
  <c r="L891" i="1" a="1"/>
  <c r="L891" i="1" s="1"/>
  <c r="M891" i="1" a="1"/>
  <c r="M891" i="1" s="1"/>
  <c r="L897" i="1" a="1"/>
  <c r="L897" i="1" s="1"/>
  <c r="M897" i="1" a="1"/>
  <c r="M897" i="1" s="1"/>
  <c r="L903" i="1" a="1"/>
  <c r="L903" i="1" s="1"/>
  <c r="M903" i="1" a="1"/>
  <c r="M903" i="1" s="1"/>
  <c r="L909" i="1" a="1"/>
  <c r="L909" i="1" s="1"/>
  <c r="M909" i="1" a="1"/>
  <c r="M909" i="1" s="1"/>
  <c r="L915" i="1" a="1"/>
  <c r="L915" i="1" s="1"/>
  <c r="M915" i="1" a="1"/>
  <c r="M915" i="1" s="1"/>
  <c r="L921" i="1" a="1"/>
  <c r="L921" i="1" s="1"/>
  <c r="M921" i="1" a="1"/>
  <c r="M921" i="1" s="1"/>
  <c r="L927" i="1" a="1"/>
  <c r="L927" i="1" s="1"/>
  <c r="M927" i="1" a="1"/>
  <c r="M927" i="1" s="1"/>
  <c r="L933" i="1" a="1"/>
  <c r="L933" i="1" s="1"/>
  <c r="M933" i="1" a="1"/>
  <c r="M933" i="1" s="1"/>
  <c r="L939" i="1" a="1"/>
  <c r="L939" i="1" s="1"/>
  <c r="M939" i="1" a="1"/>
  <c r="M939" i="1" s="1"/>
  <c r="L945" i="1" a="1"/>
  <c r="L945" i="1" s="1"/>
  <c r="M945" i="1" a="1"/>
  <c r="M945" i="1" s="1"/>
  <c r="L951" i="1" a="1"/>
  <c r="L951" i="1" s="1"/>
  <c r="M951" i="1" a="1"/>
  <c r="M951" i="1" s="1"/>
  <c r="L957" i="1" a="1"/>
  <c r="L957" i="1" s="1"/>
  <c r="M957" i="1" a="1"/>
  <c r="M957" i="1" s="1"/>
  <c r="L963" i="1" a="1"/>
  <c r="L963" i="1" s="1"/>
  <c r="M963" i="1" a="1"/>
  <c r="M963" i="1" s="1"/>
  <c r="L969" i="1" a="1"/>
  <c r="L969" i="1" s="1"/>
  <c r="M969" i="1" a="1"/>
  <c r="M969" i="1" s="1"/>
  <c r="L975" i="1" a="1"/>
  <c r="L975" i="1" s="1"/>
  <c r="M975" i="1" a="1"/>
  <c r="M975" i="1" s="1"/>
  <c r="L981" i="1" a="1"/>
  <c r="L981" i="1" s="1"/>
  <c r="M981" i="1" a="1"/>
  <c r="M981" i="1" s="1"/>
  <c r="L987" i="1" a="1"/>
  <c r="L987" i="1" s="1"/>
  <c r="M987" i="1" a="1"/>
  <c r="M987" i="1" s="1"/>
  <c r="L993" i="1" a="1"/>
  <c r="L993" i="1" s="1"/>
  <c r="M993" i="1" a="1"/>
  <c r="M993" i="1" s="1"/>
  <c r="L999" i="1" a="1"/>
  <c r="L999" i="1" s="1"/>
  <c r="M999" i="1" a="1"/>
  <c r="M999" i="1" s="1"/>
  <c r="L1005" i="1" a="1"/>
  <c r="L1005" i="1" s="1"/>
  <c r="M1005" i="1" a="1"/>
  <c r="M1005" i="1" s="1"/>
  <c r="L1011" i="1" a="1"/>
  <c r="L1011" i="1" s="1"/>
  <c r="M1011" i="1" a="1"/>
  <c r="M1011" i="1" s="1"/>
  <c r="L1017" i="1" a="1"/>
  <c r="L1017" i="1" s="1"/>
  <c r="M1017" i="1" a="1"/>
  <c r="M1017" i="1" s="1"/>
  <c r="L1023" i="1" a="1"/>
  <c r="L1023" i="1" s="1"/>
  <c r="M1023" i="1" a="1"/>
  <c r="M1023" i="1" s="1"/>
  <c r="L1029" i="1" a="1"/>
  <c r="L1029" i="1" s="1"/>
  <c r="M1029" i="1" a="1"/>
  <c r="M1029" i="1" s="1"/>
  <c r="L1035" i="1" a="1"/>
  <c r="L1035" i="1" s="1"/>
  <c r="M1035" i="1" a="1"/>
  <c r="M1035" i="1" s="1"/>
  <c r="L1041" i="1" a="1"/>
  <c r="L1041" i="1" s="1"/>
  <c r="M1041" i="1" a="1"/>
  <c r="M1041" i="1" s="1"/>
  <c r="L1047" i="1" a="1"/>
  <c r="L1047" i="1" s="1"/>
  <c r="M1047" i="1" a="1"/>
  <c r="M1047" i="1" s="1"/>
  <c r="L1053" i="1" a="1"/>
  <c r="L1053" i="1" s="1"/>
  <c r="M1053" i="1" a="1"/>
  <c r="M1053" i="1" s="1"/>
  <c r="L1059" i="1" a="1"/>
  <c r="L1059" i="1" s="1"/>
  <c r="M1059" i="1" a="1"/>
  <c r="M1059" i="1" s="1"/>
  <c r="L1065" i="1" a="1"/>
  <c r="L1065" i="1" s="1"/>
  <c r="M1065" i="1" a="1"/>
  <c r="M1065" i="1" s="1"/>
  <c r="L1071" i="1" a="1"/>
  <c r="L1071" i="1" s="1"/>
  <c r="M1071" i="1" a="1"/>
  <c r="M1071" i="1" s="1"/>
  <c r="L1077" i="1" a="1"/>
  <c r="L1077" i="1" s="1"/>
  <c r="M1077" i="1" a="1"/>
  <c r="M1077" i="1" s="1"/>
  <c r="L1083" i="1" a="1"/>
  <c r="L1083" i="1" s="1"/>
  <c r="M1083" i="1" a="1"/>
  <c r="M1083" i="1" s="1"/>
  <c r="L1089" i="1" a="1"/>
  <c r="L1089" i="1" s="1"/>
  <c r="M1089" i="1" a="1"/>
  <c r="M1089" i="1" s="1"/>
  <c r="L1095" i="1" a="1"/>
  <c r="L1095" i="1" s="1"/>
  <c r="M1095" i="1" a="1"/>
  <c r="M1095" i="1" s="1"/>
  <c r="L1101" i="1" a="1"/>
  <c r="L1101" i="1" s="1"/>
  <c r="M1101" i="1" a="1"/>
  <c r="M1101" i="1" s="1"/>
  <c r="L1107" i="1" a="1"/>
  <c r="L1107" i="1" s="1"/>
  <c r="M1107" i="1" a="1"/>
  <c r="M1107" i="1" s="1"/>
  <c r="L1113" i="1" a="1"/>
  <c r="L1113" i="1" s="1"/>
  <c r="M1113" i="1" a="1"/>
  <c r="M1113" i="1" s="1"/>
  <c r="L1119" i="1" a="1"/>
  <c r="L1119" i="1" s="1"/>
  <c r="M1119" i="1" a="1"/>
  <c r="M1119" i="1" s="1"/>
  <c r="L1125" i="1" a="1"/>
  <c r="L1125" i="1" s="1"/>
  <c r="M1125" i="1" a="1"/>
  <c r="M1125" i="1" s="1"/>
  <c r="L1131" i="1" a="1"/>
  <c r="L1131" i="1" s="1"/>
  <c r="M1131" i="1" a="1"/>
  <c r="M1131" i="1" s="1"/>
  <c r="L1137" i="1" a="1"/>
  <c r="L1137" i="1" s="1"/>
  <c r="M1137" i="1" a="1"/>
  <c r="M1137" i="1" s="1"/>
  <c r="L1143" i="1" a="1"/>
  <c r="L1143" i="1" s="1"/>
  <c r="M1143" i="1" a="1"/>
  <c r="M1143" i="1" s="1"/>
  <c r="L1149" i="1" a="1"/>
  <c r="L1149" i="1" s="1"/>
  <c r="M1149" i="1" a="1"/>
  <c r="M1149" i="1" s="1"/>
  <c r="L1155" i="1" a="1"/>
  <c r="L1155" i="1" s="1"/>
  <c r="M1155" i="1" a="1"/>
  <c r="M1155" i="1" s="1"/>
  <c r="L1161" i="1" a="1"/>
  <c r="L1161" i="1" s="1"/>
  <c r="M1161" i="1" a="1"/>
  <c r="M1161" i="1" s="1"/>
  <c r="L1167" i="1" a="1"/>
  <c r="L1167" i="1" s="1"/>
  <c r="M1167" i="1" a="1"/>
  <c r="M1167" i="1" s="1"/>
  <c r="L1173" i="1" a="1"/>
  <c r="L1173" i="1" s="1"/>
  <c r="M1173" i="1" a="1"/>
  <c r="M1173" i="1" s="1"/>
  <c r="L1179" i="1" a="1"/>
  <c r="L1179" i="1" s="1"/>
  <c r="M1179" i="1" a="1"/>
  <c r="M1179" i="1" s="1"/>
  <c r="L1185" i="1" a="1"/>
  <c r="L1185" i="1" s="1"/>
  <c r="M1185" i="1" a="1"/>
  <c r="M1185" i="1" s="1"/>
  <c r="L1191" i="1" a="1"/>
  <c r="L1191" i="1" s="1"/>
  <c r="M1191" i="1" a="1"/>
  <c r="M1191" i="1" s="1"/>
  <c r="L1197" i="1" a="1"/>
  <c r="L1197" i="1" s="1"/>
  <c r="M1197" i="1" a="1"/>
  <c r="M1197" i="1" s="1"/>
  <c r="L1203" i="1" a="1"/>
  <c r="L1203" i="1" s="1"/>
  <c r="M1203" i="1" a="1"/>
  <c r="M1203" i="1" s="1"/>
  <c r="L1209" i="1" a="1"/>
  <c r="L1209" i="1" s="1"/>
  <c r="M1209" i="1" a="1"/>
  <c r="M1209" i="1" s="1"/>
  <c r="L1215" i="1" a="1"/>
  <c r="L1215" i="1" s="1"/>
  <c r="M1215" i="1" a="1"/>
  <c r="M1215" i="1" s="1"/>
  <c r="L1221" i="1" a="1"/>
  <c r="L1221" i="1" s="1"/>
  <c r="M1221" i="1" a="1"/>
  <c r="M1221" i="1" s="1"/>
  <c r="L1227" i="1" a="1"/>
  <c r="L1227" i="1" s="1"/>
  <c r="M1227" i="1" a="1"/>
  <c r="M1227" i="1" s="1"/>
  <c r="L1233" i="1" a="1"/>
  <c r="L1233" i="1" s="1"/>
  <c r="M1233" i="1" a="1"/>
  <c r="M1233" i="1" s="1"/>
  <c r="L1239" i="1" a="1"/>
  <c r="L1239" i="1" s="1"/>
  <c r="M1239" i="1" a="1"/>
  <c r="M1239" i="1" s="1"/>
  <c r="L1245" i="1" a="1"/>
  <c r="L1245" i="1" s="1"/>
  <c r="M1245" i="1" a="1"/>
  <c r="M1245" i="1" s="1"/>
  <c r="L1251" i="1" a="1"/>
  <c r="L1251" i="1" s="1"/>
  <c r="M1251" i="1" a="1"/>
  <c r="M1251" i="1" s="1"/>
  <c r="L1257" i="1" a="1"/>
  <c r="L1257" i="1" s="1"/>
  <c r="M1257" i="1" a="1"/>
  <c r="M1257" i="1" s="1"/>
  <c r="L1263" i="1" a="1"/>
  <c r="L1263" i="1" s="1"/>
  <c r="M1263" i="1" a="1"/>
  <c r="M1263" i="1" s="1"/>
  <c r="L1269" i="1" a="1"/>
  <c r="L1269" i="1" s="1"/>
  <c r="M1269" i="1" a="1"/>
  <c r="M1269" i="1" s="1"/>
  <c r="L1275" i="1" a="1"/>
  <c r="L1275" i="1" s="1"/>
  <c r="M1275" i="1" a="1"/>
  <c r="M1275" i="1" s="1"/>
  <c r="L1281" i="1" a="1"/>
  <c r="L1281" i="1" s="1"/>
  <c r="M1281" i="1" a="1"/>
  <c r="M1281" i="1" s="1"/>
  <c r="L1287" i="1" a="1"/>
  <c r="L1287" i="1" s="1"/>
  <c r="M1287" i="1" a="1"/>
  <c r="M1287" i="1" s="1"/>
  <c r="L1293" i="1" a="1"/>
  <c r="L1293" i="1" s="1"/>
  <c r="M1293" i="1" a="1"/>
  <c r="M1293" i="1" s="1"/>
  <c r="L1299" i="1" a="1"/>
  <c r="L1299" i="1" s="1"/>
  <c r="M1299" i="1" a="1"/>
  <c r="M1299" i="1" s="1"/>
  <c r="L1305" i="1" a="1"/>
  <c r="L1305" i="1" s="1"/>
  <c r="M1305" i="1" a="1"/>
  <c r="M1305" i="1" s="1"/>
  <c r="L1311" i="1" a="1"/>
  <c r="L1311" i="1" s="1"/>
  <c r="M1311" i="1" a="1"/>
  <c r="M1311" i="1" s="1"/>
  <c r="L1317" i="1" a="1"/>
  <c r="L1317" i="1" s="1"/>
  <c r="M1317" i="1" a="1"/>
  <c r="M1317" i="1" s="1"/>
  <c r="L1323" i="1" a="1"/>
  <c r="L1323" i="1" s="1"/>
  <c r="M1323" i="1" a="1"/>
  <c r="M1323" i="1" s="1"/>
  <c r="L1329" i="1" a="1"/>
  <c r="L1329" i="1" s="1"/>
  <c r="M1329" i="1" a="1"/>
  <c r="M1329" i="1" s="1"/>
  <c r="L1335" i="1" a="1"/>
  <c r="L1335" i="1" s="1"/>
  <c r="M1335" i="1" a="1"/>
  <c r="M1335" i="1" s="1"/>
  <c r="L1341" i="1" a="1"/>
  <c r="L1341" i="1" s="1"/>
  <c r="M1341" i="1" a="1"/>
  <c r="M1341" i="1" s="1"/>
  <c r="L1347" i="1" a="1"/>
  <c r="L1347" i="1" s="1"/>
  <c r="M1347" i="1" a="1"/>
  <c r="M1347" i="1" s="1"/>
  <c r="L1353" i="1" a="1"/>
  <c r="L1353" i="1" s="1"/>
  <c r="M1353" i="1" a="1"/>
  <c r="M1353" i="1" s="1"/>
  <c r="L1359" i="1" a="1"/>
  <c r="L1359" i="1" s="1"/>
  <c r="M1359" i="1" a="1"/>
  <c r="M1359" i="1" s="1"/>
  <c r="L1365" i="1" a="1"/>
  <c r="L1365" i="1" s="1"/>
  <c r="M1365" i="1" a="1"/>
  <c r="M1365" i="1" s="1"/>
  <c r="L1371" i="1" a="1"/>
  <c r="L1371" i="1" s="1"/>
  <c r="M1371" i="1" a="1"/>
  <c r="M1371" i="1" s="1"/>
  <c r="L1377" i="1" a="1"/>
  <c r="L1377" i="1" s="1"/>
  <c r="M1377" i="1" a="1"/>
  <c r="M1377" i="1" s="1"/>
  <c r="L1383" i="1" a="1"/>
  <c r="L1383" i="1" s="1"/>
  <c r="M1383" i="1" a="1"/>
  <c r="M1383" i="1" s="1"/>
  <c r="L1389" i="1" a="1"/>
  <c r="L1389" i="1" s="1"/>
  <c r="M1389" i="1" a="1"/>
  <c r="M1389" i="1" s="1"/>
  <c r="L1395" i="1" a="1"/>
  <c r="L1395" i="1" s="1"/>
  <c r="M1395" i="1" a="1"/>
  <c r="M1395" i="1" s="1"/>
  <c r="L1401" i="1" a="1"/>
  <c r="L1401" i="1" s="1"/>
  <c r="M1401" i="1" a="1"/>
  <c r="M1401" i="1" s="1"/>
  <c r="L1407" i="1" a="1"/>
  <c r="L1407" i="1" s="1"/>
  <c r="M1407" i="1" a="1"/>
  <c r="M1407" i="1" s="1"/>
  <c r="L1118" i="1" a="1"/>
  <c r="L1118" i="1" s="1"/>
  <c r="M1118" i="1" a="1"/>
  <c r="M1118" i="1" s="1"/>
  <c r="L1136" i="1" a="1"/>
  <c r="L1136" i="1" s="1"/>
  <c r="M1136" i="1" a="1"/>
  <c r="M1136" i="1" s="1"/>
  <c r="L1154" i="1" a="1"/>
  <c r="L1154" i="1" s="1"/>
  <c r="M1154" i="1" a="1"/>
  <c r="M1154" i="1" s="1"/>
  <c r="L1172" i="1" a="1"/>
  <c r="L1172" i="1" s="1"/>
  <c r="M1172" i="1" a="1"/>
  <c r="M1172" i="1" s="1"/>
  <c r="L1190" i="1" a="1"/>
  <c r="L1190" i="1" s="1"/>
  <c r="M1190" i="1" a="1"/>
  <c r="M1190" i="1" s="1"/>
  <c r="L1214" i="1" a="1"/>
  <c r="L1214" i="1" s="1"/>
  <c r="M1214" i="1" a="1"/>
  <c r="M1214" i="1" s="1"/>
  <c r="L1232" i="1" a="1"/>
  <c r="L1232" i="1" s="1"/>
  <c r="M1232" i="1" a="1"/>
  <c r="M1232" i="1" s="1"/>
  <c r="L1250" i="1" a="1"/>
  <c r="L1250" i="1" s="1"/>
  <c r="M1250" i="1" a="1"/>
  <c r="M1250" i="1" s="1"/>
  <c r="L1268" i="1" a="1"/>
  <c r="L1268" i="1" s="1"/>
  <c r="M1268" i="1" a="1"/>
  <c r="M1268" i="1" s="1"/>
  <c r="L1286" i="1" a="1"/>
  <c r="L1286" i="1" s="1"/>
  <c r="M1286" i="1" a="1"/>
  <c r="M1286" i="1" s="1"/>
  <c r="L1304" i="1" a="1"/>
  <c r="L1304" i="1" s="1"/>
  <c r="M1304" i="1" a="1"/>
  <c r="M1304" i="1" s="1"/>
  <c r="L1334" i="1" a="1"/>
  <c r="L1334" i="1" s="1"/>
  <c r="M1334" i="1" a="1"/>
  <c r="M1334" i="1" s="1"/>
  <c r="L1388" i="1" a="1"/>
  <c r="L1388" i="1" s="1"/>
  <c r="M1388" i="1" a="1"/>
  <c r="M1388" i="1" s="1"/>
  <c r="L3" i="1" a="1"/>
  <c r="L3" i="1" s="1"/>
  <c r="M3" i="1" a="1"/>
  <c r="M3" i="1" s="1"/>
  <c r="L15" i="1" a="1"/>
  <c r="L15" i="1" s="1"/>
  <c r="M15" i="1" a="1"/>
  <c r="M15" i="1" s="1"/>
  <c r="L27" i="1" a="1"/>
  <c r="L27" i="1" s="1"/>
  <c r="M27" i="1" a="1"/>
  <c r="M27" i="1" s="1"/>
  <c r="L39" i="1" a="1"/>
  <c r="L39" i="1" s="1"/>
  <c r="M39" i="1" a="1"/>
  <c r="M39" i="1" s="1"/>
  <c r="L51" i="1" a="1"/>
  <c r="L51" i="1" s="1"/>
  <c r="M51" i="1" a="1"/>
  <c r="M51" i="1" s="1"/>
  <c r="L69" i="1" a="1"/>
  <c r="L69" i="1" s="1"/>
  <c r="M69" i="1" a="1"/>
  <c r="M69" i="1" s="1"/>
  <c r="L81" i="1" a="1"/>
  <c r="L81" i="1" s="1"/>
  <c r="M81" i="1" a="1"/>
  <c r="M81" i="1" s="1"/>
  <c r="L99" i="1" a="1"/>
  <c r="L99" i="1" s="1"/>
  <c r="M99" i="1" a="1"/>
  <c r="M99" i="1" s="1"/>
  <c r="L117" i="1" a="1"/>
  <c r="L117" i="1" s="1"/>
  <c r="M117" i="1" a="1"/>
  <c r="M117" i="1" s="1"/>
  <c r="L135" i="1" a="1"/>
  <c r="L135" i="1" s="1"/>
  <c r="M135" i="1" a="1"/>
  <c r="M135" i="1" s="1"/>
  <c r="L153" i="1" a="1"/>
  <c r="L153" i="1" s="1"/>
  <c r="M153" i="1" a="1"/>
  <c r="M153" i="1" s="1"/>
  <c r="L171" i="1" a="1"/>
  <c r="L171" i="1" s="1"/>
  <c r="M171" i="1" a="1"/>
  <c r="M171" i="1" s="1"/>
  <c r="L201" i="1" a="1"/>
  <c r="L201" i="1" s="1"/>
  <c r="M201" i="1" a="1"/>
  <c r="M201" i="1" s="1"/>
  <c r="L219" i="1" a="1"/>
  <c r="L219" i="1" s="1"/>
  <c r="M219" i="1" a="1"/>
  <c r="M219" i="1" s="1"/>
  <c r="L237" i="1" a="1"/>
  <c r="L237" i="1" s="1"/>
  <c r="M237" i="1" a="1"/>
  <c r="M237" i="1" s="1"/>
  <c r="L255" i="1" a="1"/>
  <c r="L255" i="1" s="1"/>
  <c r="M255" i="1" a="1"/>
  <c r="M255" i="1" s="1"/>
  <c r="L273" i="1" a="1"/>
  <c r="L273" i="1" s="1"/>
  <c r="M273" i="1" a="1"/>
  <c r="M273" i="1" s="1"/>
  <c r="L291" i="1" a="1"/>
  <c r="L291" i="1" s="1"/>
  <c r="M291" i="1" a="1"/>
  <c r="M291" i="1" s="1"/>
  <c r="L309" i="1" a="1"/>
  <c r="L309" i="1" s="1"/>
  <c r="M309" i="1" a="1"/>
  <c r="M309" i="1" s="1"/>
  <c r="L327" i="1" a="1"/>
  <c r="L327" i="1" s="1"/>
  <c r="M327" i="1" a="1"/>
  <c r="M327" i="1" s="1"/>
  <c r="L345" i="1" a="1"/>
  <c r="L345" i="1" s="1"/>
  <c r="M345" i="1" a="1"/>
  <c r="M345" i="1" s="1"/>
  <c r="L375" i="1" a="1"/>
  <c r="L375" i="1" s="1"/>
  <c r="M375" i="1" a="1"/>
  <c r="M375" i="1" s="1"/>
  <c r="L393" i="1" a="1"/>
  <c r="L393" i="1" s="1"/>
  <c r="M393" i="1" a="1"/>
  <c r="M393" i="1" s="1"/>
  <c r="L411" i="1" a="1"/>
  <c r="L411" i="1" s="1"/>
  <c r="M411" i="1" a="1"/>
  <c r="M411" i="1" s="1"/>
  <c r="L429" i="1" a="1"/>
  <c r="L429" i="1" s="1"/>
  <c r="M429" i="1" a="1"/>
  <c r="M429" i="1" s="1"/>
  <c r="L447" i="1" a="1"/>
  <c r="L447" i="1" s="1"/>
  <c r="M447" i="1" a="1"/>
  <c r="M447" i="1" s="1"/>
  <c r="L465" i="1" a="1"/>
  <c r="L465" i="1" s="1"/>
  <c r="M465" i="1" a="1"/>
  <c r="M465" i="1" s="1"/>
  <c r="L483" i="1" a="1"/>
  <c r="L483" i="1" s="1"/>
  <c r="M483" i="1" a="1"/>
  <c r="M483" i="1" s="1"/>
  <c r="L513" i="1" a="1"/>
  <c r="L513" i="1" s="1"/>
  <c r="M513" i="1" a="1"/>
  <c r="M513" i="1" s="1"/>
  <c r="L561" i="1" a="1"/>
  <c r="L561" i="1" s="1"/>
  <c r="M561" i="1" a="1"/>
  <c r="M561" i="1" s="1"/>
  <c r="L573" i="1" a="1"/>
  <c r="L573" i="1" s="1"/>
  <c r="M573" i="1" a="1"/>
  <c r="M573" i="1" s="1"/>
  <c r="L591" i="1" a="1"/>
  <c r="L591" i="1" s="1"/>
  <c r="M591" i="1" a="1"/>
  <c r="M591" i="1" s="1"/>
  <c r="L627" i="1" a="1"/>
  <c r="L627" i="1" s="1"/>
  <c r="M627" i="1" a="1"/>
  <c r="M627" i="1" s="1"/>
  <c r="L4" i="1" a="1"/>
  <c r="L4" i="1" s="1"/>
  <c r="M4" i="1" a="1"/>
  <c r="M4" i="1" s="1"/>
  <c r="L16" i="1" a="1"/>
  <c r="L16" i="1" s="1"/>
  <c r="M16" i="1" a="1"/>
  <c r="M16" i="1" s="1"/>
  <c r="L28" i="1" a="1"/>
  <c r="L28" i="1" s="1"/>
  <c r="M28" i="1" a="1"/>
  <c r="M28" i="1" s="1"/>
  <c r="L40" i="1" a="1"/>
  <c r="L40" i="1" s="1"/>
  <c r="M40" i="1" a="1"/>
  <c r="M40" i="1" s="1"/>
  <c r="L58" i="1" a="1"/>
  <c r="L58" i="1" s="1"/>
  <c r="M58" i="1" a="1"/>
  <c r="M58" i="1" s="1"/>
  <c r="L70" i="1" a="1"/>
  <c r="L70" i="1" s="1"/>
  <c r="M70" i="1" a="1"/>
  <c r="M70" i="1" s="1"/>
  <c r="L82" i="1" a="1"/>
  <c r="L82" i="1" s="1"/>
  <c r="M82" i="1" a="1"/>
  <c r="M82" i="1" s="1"/>
  <c r="L94" i="1" a="1"/>
  <c r="L94" i="1" s="1"/>
  <c r="M94" i="1" a="1"/>
  <c r="M94" i="1" s="1"/>
  <c r="L106" i="1" a="1"/>
  <c r="L106" i="1" s="1"/>
  <c r="M106" i="1" a="1"/>
  <c r="M106" i="1" s="1"/>
  <c r="L118" i="1" a="1"/>
  <c r="L118" i="1" s="1"/>
  <c r="M118" i="1" a="1"/>
  <c r="M118" i="1" s="1"/>
  <c r="L130" i="1" a="1"/>
  <c r="L130" i="1" s="1"/>
  <c r="M130" i="1" a="1"/>
  <c r="M130" i="1" s="1"/>
  <c r="L142" i="1" a="1"/>
  <c r="L142" i="1" s="1"/>
  <c r="M142" i="1" a="1"/>
  <c r="M142" i="1" s="1"/>
  <c r="L154" i="1" a="1"/>
  <c r="L154" i="1" s="1"/>
  <c r="M154" i="1" a="1"/>
  <c r="M154" i="1" s="1"/>
  <c r="L172" i="1" a="1"/>
  <c r="L172" i="1" s="1"/>
  <c r="M172" i="1" a="1"/>
  <c r="M172" i="1" s="1"/>
  <c r="L184" i="1" a="1"/>
  <c r="L184" i="1" s="1"/>
  <c r="M184" i="1" a="1"/>
  <c r="M184" i="1" s="1"/>
  <c r="L196" i="1" a="1"/>
  <c r="L196" i="1" s="1"/>
  <c r="M196" i="1" a="1"/>
  <c r="M196" i="1" s="1"/>
  <c r="L208" i="1" a="1"/>
  <c r="L208" i="1" s="1"/>
  <c r="M208" i="1" a="1"/>
  <c r="M208" i="1" s="1"/>
  <c r="L220" i="1" a="1"/>
  <c r="L220" i="1" s="1"/>
  <c r="M220" i="1" a="1"/>
  <c r="M220" i="1" s="1"/>
  <c r="L232" i="1" a="1"/>
  <c r="L232" i="1" s="1"/>
  <c r="M232" i="1" a="1"/>
  <c r="M232" i="1" s="1"/>
  <c r="L244" i="1" a="1"/>
  <c r="L244" i="1" s="1"/>
  <c r="M244" i="1" a="1"/>
  <c r="M244" i="1" s="1"/>
  <c r="L256" i="1" a="1"/>
  <c r="L256" i="1" s="1"/>
  <c r="M256" i="1" a="1"/>
  <c r="M256" i="1" s="1"/>
  <c r="L268" i="1" a="1"/>
  <c r="L268" i="1" s="1"/>
  <c r="M268" i="1" a="1"/>
  <c r="M268" i="1" s="1"/>
  <c r="L286" i="1" a="1"/>
  <c r="L286" i="1" s="1"/>
  <c r="M286" i="1" a="1"/>
  <c r="M286" i="1" s="1"/>
  <c r="L298" i="1" a="1"/>
  <c r="L298" i="1" s="1"/>
  <c r="M298" i="1" a="1"/>
  <c r="M298" i="1" s="1"/>
  <c r="L310" i="1" a="1"/>
  <c r="L310" i="1" s="1"/>
  <c r="M310" i="1" a="1"/>
  <c r="M310" i="1" s="1"/>
  <c r="L322" i="1" a="1"/>
  <c r="L322" i="1" s="1"/>
  <c r="M322" i="1" a="1"/>
  <c r="M322" i="1" s="1"/>
  <c r="L334" i="1" a="1"/>
  <c r="L334" i="1" s="1"/>
  <c r="M334" i="1" a="1"/>
  <c r="M334" i="1" s="1"/>
  <c r="L346" i="1" a="1"/>
  <c r="L346" i="1" s="1"/>
  <c r="M346" i="1" a="1"/>
  <c r="M346" i="1" s="1"/>
  <c r="L352" i="1" a="1"/>
  <c r="L352" i="1" s="1"/>
  <c r="M352" i="1" a="1"/>
  <c r="M352" i="1" s="1"/>
  <c r="L358" i="1" a="1"/>
  <c r="L358" i="1" s="1"/>
  <c r="M358" i="1" a="1"/>
  <c r="M358" i="1" s="1"/>
  <c r="L364" i="1" a="1"/>
  <c r="L364" i="1" s="1"/>
  <c r="M364" i="1" a="1"/>
  <c r="M364" i="1" s="1"/>
  <c r="L370" i="1" a="1"/>
  <c r="L370" i="1" s="1"/>
  <c r="M370" i="1" a="1"/>
  <c r="M370" i="1" s="1"/>
  <c r="L376" i="1" a="1"/>
  <c r="L376" i="1" s="1"/>
  <c r="M376" i="1" a="1"/>
  <c r="M376" i="1" s="1"/>
  <c r="L388" i="1" a="1"/>
  <c r="L388" i="1" s="1"/>
  <c r="M388" i="1" a="1"/>
  <c r="M388" i="1" s="1"/>
  <c r="L406" i="1" a="1"/>
  <c r="L406" i="1" s="1"/>
  <c r="M406" i="1" a="1"/>
  <c r="M406" i="1" s="1"/>
  <c r="L418" i="1" a="1"/>
  <c r="L418" i="1" s="1"/>
  <c r="M418" i="1" a="1"/>
  <c r="M418" i="1" s="1"/>
  <c r="L430" i="1" a="1"/>
  <c r="L430" i="1" s="1"/>
  <c r="M430" i="1" a="1"/>
  <c r="M430" i="1" s="1"/>
  <c r="L442" i="1" a="1"/>
  <c r="L442" i="1" s="1"/>
  <c r="M442" i="1" a="1"/>
  <c r="M442" i="1" s="1"/>
  <c r="L454" i="1" a="1"/>
  <c r="L454" i="1" s="1"/>
  <c r="M454" i="1" a="1"/>
  <c r="M454" i="1" s="1"/>
  <c r="L466" i="1" a="1"/>
  <c r="L466" i="1" s="1"/>
  <c r="M466" i="1" a="1"/>
  <c r="M466" i="1" s="1"/>
  <c r="L478" i="1" a="1"/>
  <c r="L478" i="1" s="1"/>
  <c r="M478" i="1" a="1"/>
  <c r="M478" i="1" s="1"/>
  <c r="L490" i="1" a="1"/>
  <c r="L490" i="1" s="1"/>
  <c r="M490" i="1" a="1"/>
  <c r="M490" i="1" s="1"/>
  <c r="L508" i="1" a="1"/>
  <c r="L508" i="1" s="1"/>
  <c r="M508" i="1" a="1"/>
  <c r="M508" i="1" s="1"/>
  <c r="L520" i="1" a="1"/>
  <c r="L520" i="1" s="1"/>
  <c r="M520" i="1" a="1"/>
  <c r="M520" i="1" s="1"/>
  <c r="L532" i="1" a="1"/>
  <c r="L532" i="1" s="1"/>
  <c r="M532" i="1" a="1"/>
  <c r="M532" i="1" s="1"/>
  <c r="L544" i="1" a="1"/>
  <c r="L544" i="1" s="1"/>
  <c r="M544" i="1" a="1"/>
  <c r="M544" i="1" s="1"/>
  <c r="L556" i="1" a="1"/>
  <c r="L556" i="1" s="1"/>
  <c r="M556" i="1" a="1"/>
  <c r="M556" i="1" s="1"/>
  <c r="L568" i="1" a="1"/>
  <c r="L568" i="1" s="1"/>
  <c r="M568" i="1" a="1"/>
  <c r="M568" i="1" s="1"/>
  <c r="L586" i="1" a="1"/>
  <c r="L586" i="1" s="1"/>
  <c r="M586" i="1" a="1"/>
  <c r="M586" i="1" s="1"/>
  <c r="L598" i="1" a="1"/>
  <c r="L598" i="1" s="1"/>
  <c r="M598" i="1" a="1"/>
  <c r="M598" i="1" s="1"/>
  <c r="L604" i="1" a="1"/>
  <c r="L604" i="1" s="1"/>
  <c r="M604" i="1" a="1"/>
  <c r="M604" i="1" s="1"/>
  <c r="L610" i="1" a="1"/>
  <c r="L610" i="1" s="1"/>
  <c r="M610" i="1" a="1"/>
  <c r="M610" i="1" s="1"/>
  <c r="L616" i="1" a="1"/>
  <c r="L616" i="1" s="1"/>
  <c r="M616" i="1" a="1"/>
  <c r="M616" i="1" s="1"/>
  <c r="L622" i="1" a="1"/>
  <c r="L622" i="1" s="1"/>
  <c r="M622" i="1" a="1"/>
  <c r="M622" i="1" s="1"/>
  <c r="L628" i="1" a="1"/>
  <c r="L628" i="1" s="1"/>
  <c r="M628" i="1" a="1"/>
  <c r="M628" i="1" s="1"/>
  <c r="L634" i="1" a="1"/>
  <c r="L634" i="1" s="1"/>
  <c r="M634" i="1" a="1"/>
  <c r="M634" i="1" s="1"/>
  <c r="L640" i="1" a="1"/>
  <c r="L640" i="1" s="1"/>
  <c r="M640" i="1" a="1"/>
  <c r="M640" i="1" s="1"/>
  <c r="L646" i="1" a="1"/>
  <c r="L646" i="1" s="1"/>
  <c r="M646" i="1" a="1"/>
  <c r="M646" i="1" s="1"/>
  <c r="L652" i="1" a="1"/>
  <c r="L652" i="1" s="1"/>
  <c r="M652" i="1" a="1"/>
  <c r="M652" i="1" s="1"/>
  <c r="L658" i="1" a="1"/>
  <c r="L658" i="1" s="1"/>
  <c r="M658" i="1" a="1"/>
  <c r="M658" i="1" s="1"/>
  <c r="L664" i="1" a="1"/>
  <c r="L664" i="1" s="1"/>
  <c r="M664" i="1" a="1"/>
  <c r="M664" i="1" s="1"/>
  <c r="L670" i="1" a="1"/>
  <c r="L670" i="1" s="1"/>
  <c r="M670" i="1" a="1"/>
  <c r="M670" i="1" s="1"/>
  <c r="L676" i="1" a="1"/>
  <c r="L676" i="1" s="1"/>
  <c r="M676" i="1" a="1"/>
  <c r="M676" i="1" s="1"/>
  <c r="L682" i="1" a="1"/>
  <c r="L682" i="1" s="1"/>
  <c r="M682" i="1" a="1"/>
  <c r="M682" i="1" s="1"/>
  <c r="L688" i="1" a="1"/>
  <c r="L688" i="1" s="1"/>
  <c r="M688" i="1" a="1"/>
  <c r="M688" i="1" s="1"/>
  <c r="L694" i="1" a="1"/>
  <c r="L694" i="1" s="1"/>
  <c r="M694" i="1" a="1"/>
  <c r="M694" i="1" s="1"/>
  <c r="L700" i="1" a="1"/>
  <c r="L700" i="1" s="1"/>
  <c r="M700" i="1" a="1"/>
  <c r="M700" i="1" s="1"/>
  <c r="L706" i="1" a="1"/>
  <c r="L706" i="1" s="1"/>
  <c r="M706" i="1" a="1"/>
  <c r="M706" i="1" s="1"/>
  <c r="L712" i="1" a="1"/>
  <c r="L712" i="1" s="1"/>
  <c r="M712" i="1" a="1"/>
  <c r="M712" i="1" s="1"/>
  <c r="L718" i="1" a="1"/>
  <c r="L718" i="1" s="1"/>
  <c r="M718" i="1" a="1"/>
  <c r="M718" i="1" s="1"/>
  <c r="L724" i="1" a="1"/>
  <c r="L724" i="1" s="1"/>
  <c r="M724" i="1" a="1"/>
  <c r="M724" i="1" s="1"/>
  <c r="L730" i="1" a="1"/>
  <c r="L730" i="1" s="1"/>
  <c r="M730" i="1" a="1"/>
  <c r="M730" i="1" s="1"/>
  <c r="L736" i="1" a="1"/>
  <c r="L736" i="1" s="1"/>
  <c r="M736" i="1" a="1"/>
  <c r="M736" i="1" s="1"/>
  <c r="L742" i="1" a="1"/>
  <c r="L742" i="1" s="1"/>
  <c r="M742" i="1" a="1"/>
  <c r="M742" i="1" s="1"/>
  <c r="L748" i="1" a="1"/>
  <c r="L748" i="1" s="1"/>
  <c r="M748" i="1" a="1"/>
  <c r="M748" i="1" s="1"/>
  <c r="L754" i="1" a="1"/>
  <c r="L754" i="1" s="1"/>
  <c r="M754" i="1" a="1"/>
  <c r="M754" i="1" s="1"/>
  <c r="L760" i="1" a="1"/>
  <c r="L760" i="1" s="1"/>
  <c r="M760" i="1" a="1"/>
  <c r="M760" i="1" s="1"/>
  <c r="L766" i="1" a="1"/>
  <c r="L766" i="1" s="1"/>
  <c r="M766" i="1" a="1"/>
  <c r="M766" i="1" s="1"/>
  <c r="L772" i="1" a="1"/>
  <c r="L772" i="1" s="1"/>
  <c r="M772" i="1" a="1"/>
  <c r="M772" i="1" s="1"/>
  <c r="L778" i="1" a="1"/>
  <c r="L778" i="1" s="1"/>
  <c r="M778" i="1" a="1"/>
  <c r="M778" i="1" s="1"/>
  <c r="L784" i="1" a="1"/>
  <c r="L784" i="1" s="1"/>
  <c r="M784" i="1" a="1"/>
  <c r="M784" i="1" s="1"/>
  <c r="L790" i="1" a="1"/>
  <c r="L790" i="1" s="1"/>
  <c r="M790" i="1" a="1"/>
  <c r="M790" i="1" s="1"/>
  <c r="L796" i="1" a="1"/>
  <c r="L796" i="1" s="1"/>
  <c r="M796" i="1" a="1"/>
  <c r="M796" i="1" s="1"/>
  <c r="L802" i="1" a="1"/>
  <c r="L802" i="1" s="1"/>
  <c r="M802" i="1" a="1"/>
  <c r="M802" i="1" s="1"/>
  <c r="L808" i="1" a="1"/>
  <c r="L808" i="1" s="1"/>
  <c r="M808" i="1" a="1"/>
  <c r="M808" i="1" s="1"/>
  <c r="L814" i="1" a="1"/>
  <c r="L814" i="1" s="1"/>
  <c r="M814" i="1" a="1"/>
  <c r="M814" i="1" s="1"/>
  <c r="L820" i="1" a="1"/>
  <c r="L820" i="1" s="1"/>
  <c r="M820" i="1" a="1"/>
  <c r="M820" i="1" s="1"/>
  <c r="L826" i="1" a="1"/>
  <c r="L826" i="1" s="1"/>
  <c r="M826" i="1" a="1"/>
  <c r="M826" i="1" s="1"/>
  <c r="L832" i="1" a="1"/>
  <c r="L832" i="1" s="1"/>
  <c r="M832" i="1" a="1"/>
  <c r="M832" i="1" s="1"/>
  <c r="L838" i="1" a="1"/>
  <c r="L838" i="1" s="1"/>
  <c r="M838" i="1" a="1"/>
  <c r="M838" i="1" s="1"/>
  <c r="L844" i="1" a="1"/>
  <c r="L844" i="1" s="1"/>
  <c r="M844" i="1" a="1"/>
  <c r="M844" i="1" s="1"/>
  <c r="L850" i="1" a="1"/>
  <c r="L850" i="1" s="1"/>
  <c r="M850" i="1" a="1"/>
  <c r="M850" i="1" s="1"/>
  <c r="L856" i="1" a="1"/>
  <c r="L856" i="1" s="1"/>
  <c r="M856" i="1" a="1"/>
  <c r="M856" i="1" s="1"/>
  <c r="L862" i="1" a="1"/>
  <c r="L862" i="1" s="1"/>
  <c r="M862" i="1" a="1"/>
  <c r="M862" i="1" s="1"/>
  <c r="L868" i="1" a="1"/>
  <c r="L868" i="1" s="1"/>
  <c r="M868" i="1" a="1"/>
  <c r="M868" i="1" s="1"/>
  <c r="L874" i="1" a="1"/>
  <c r="L874" i="1" s="1"/>
  <c r="M874" i="1" a="1"/>
  <c r="M874" i="1" s="1"/>
  <c r="L880" i="1" a="1"/>
  <c r="L880" i="1" s="1"/>
  <c r="M880" i="1" a="1"/>
  <c r="M880" i="1" s="1"/>
  <c r="L886" i="1" a="1"/>
  <c r="L886" i="1" s="1"/>
  <c r="M886" i="1" a="1"/>
  <c r="M886" i="1" s="1"/>
  <c r="L892" i="1" a="1"/>
  <c r="L892" i="1" s="1"/>
  <c r="M892" i="1" a="1"/>
  <c r="M892" i="1" s="1"/>
  <c r="L898" i="1" a="1"/>
  <c r="L898" i="1" s="1"/>
  <c r="M898" i="1" a="1"/>
  <c r="M898" i="1" s="1"/>
  <c r="L904" i="1" a="1"/>
  <c r="L904" i="1" s="1"/>
  <c r="M904" i="1" a="1"/>
  <c r="M904" i="1" s="1"/>
  <c r="L910" i="1" a="1"/>
  <c r="L910" i="1" s="1"/>
  <c r="M910" i="1" a="1"/>
  <c r="M910" i="1" s="1"/>
  <c r="L916" i="1" a="1"/>
  <c r="L916" i="1" s="1"/>
  <c r="M916" i="1" a="1"/>
  <c r="M916" i="1" s="1"/>
  <c r="L922" i="1" a="1"/>
  <c r="L922" i="1" s="1"/>
  <c r="M922" i="1" a="1"/>
  <c r="M922" i="1" s="1"/>
  <c r="L928" i="1" a="1"/>
  <c r="L928" i="1" s="1"/>
  <c r="M928" i="1" a="1"/>
  <c r="M928" i="1" s="1"/>
  <c r="L934" i="1" a="1"/>
  <c r="L934" i="1" s="1"/>
  <c r="M934" i="1" a="1"/>
  <c r="M934" i="1" s="1"/>
  <c r="L940" i="1" a="1"/>
  <c r="L940" i="1" s="1"/>
  <c r="M940" i="1" a="1"/>
  <c r="M940" i="1" s="1"/>
  <c r="L946" i="1" a="1"/>
  <c r="L946" i="1" s="1"/>
  <c r="M946" i="1" a="1"/>
  <c r="M946" i="1" s="1"/>
  <c r="L952" i="1" a="1"/>
  <c r="L952" i="1" s="1"/>
  <c r="M952" i="1" a="1"/>
  <c r="M952" i="1" s="1"/>
  <c r="L958" i="1" a="1"/>
  <c r="L958" i="1" s="1"/>
  <c r="M958" i="1" a="1"/>
  <c r="M958" i="1" s="1"/>
  <c r="L964" i="1" a="1"/>
  <c r="L964" i="1" s="1"/>
  <c r="M964" i="1" a="1"/>
  <c r="M964" i="1" s="1"/>
  <c r="L970" i="1" a="1"/>
  <c r="L970" i="1" s="1"/>
  <c r="M970" i="1" a="1"/>
  <c r="M970" i="1" s="1"/>
  <c r="L976" i="1" a="1"/>
  <c r="L976" i="1" s="1"/>
  <c r="M976" i="1" a="1"/>
  <c r="M976" i="1" s="1"/>
  <c r="L982" i="1" a="1"/>
  <c r="L982" i="1" s="1"/>
  <c r="M982" i="1" a="1"/>
  <c r="M982" i="1" s="1"/>
  <c r="L988" i="1" a="1"/>
  <c r="L988" i="1" s="1"/>
  <c r="M988" i="1" a="1"/>
  <c r="M988" i="1" s="1"/>
  <c r="L994" i="1" a="1"/>
  <c r="L994" i="1" s="1"/>
  <c r="M994" i="1" a="1"/>
  <c r="M994" i="1" s="1"/>
  <c r="L1000" i="1" a="1"/>
  <c r="L1000" i="1" s="1"/>
  <c r="M1000" i="1" a="1"/>
  <c r="M1000" i="1" s="1"/>
  <c r="L1006" i="1" a="1"/>
  <c r="L1006" i="1" s="1"/>
  <c r="M1006" i="1" a="1"/>
  <c r="M1006" i="1" s="1"/>
  <c r="L1012" i="1" a="1"/>
  <c r="L1012" i="1" s="1"/>
  <c r="M1012" i="1" a="1"/>
  <c r="M1012" i="1" s="1"/>
  <c r="L1018" i="1" a="1"/>
  <c r="L1018" i="1" s="1"/>
  <c r="M1018" i="1" a="1"/>
  <c r="M1018" i="1" s="1"/>
  <c r="L1024" i="1" a="1"/>
  <c r="L1024" i="1" s="1"/>
  <c r="M1024" i="1" a="1"/>
  <c r="M1024" i="1" s="1"/>
  <c r="L1030" i="1" a="1"/>
  <c r="L1030" i="1" s="1"/>
  <c r="M1030" i="1" a="1"/>
  <c r="M1030" i="1" s="1"/>
  <c r="L1036" i="1" a="1"/>
  <c r="L1036" i="1" s="1"/>
  <c r="M1036" i="1" a="1"/>
  <c r="M1036" i="1" s="1"/>
  <c r="L1042" i="1" a="1"/>
  <c r="L1042" i="1" s="1"/>
  <c r="M1042" i="1" a="1"/>
  <c r="M1042" i="1" s="1"/>
  <c r="L1048" i="1" a="1"/>
  <c r="L1048" i="1" s="1"/>
  <c r="M1048" i="1" a="1"/>
  <c r="M1048" i="1" s="1"/>
  <c r="L1054" i="1" a="1"/>
  <c r="L1054" i="1" s="1"/>
  <c r="M1054" i="1" a="1"/>
  <c r="M1054" i="1" s="1"/>
  <c r="L1060" i="1" a="1"/>
  <c r="L1060" i="1" s="1"/>
  <c r="M1060" i="1" a="1"/>
  <c r="M1060" i="1" s="1"/>
  <c r="L1066" i="1" a="1"/>
  <c r="L1066" i="1" s="1"/>
  <c r="M1066" i="1" a="1"/>
  <c r="M1066" i="1" s="1"/>
  <c r="L1072" i="1" a="1"/>
  <c r="L1072" i="1" s="1"/>
  <c r="M1072" i="1" a="1"/>
  <c r="M1072" i="1" s="1"/>
  <c r="L1078" i="1" a="1"/>
  <c r="L1078" i="1" s="1"/>
  <c r="M1078" i="1" a="1"/>
  <c r="M1078" i="1" s="1"/>
  <c r="L1084" i="1" a="1"/>
  <c r="L1084" i="1" s="1"/>
  <c r="M1084" i="1" a="1"/>
  <c r="M1084" i="1" s="1"/>
  <c r="L1090" i="1" a="1"/>
  <c r="L1090" i="1" s="1"/>
  <c r="M1090" i="1" a="1"/>
  <c r="M1090" i="1" s="1"/>
  <c r="L1096" i="1" a="1"/>
  <c r="L1096" i="1" s="1"/>
  <c r="M1096" i="1" a="1"/>
  <c r="M1096" i="1" s="1"/>
  <c r="L1102" i="1" a="1"/>
  <c r="L1102" i="1" s="1"/>
  <c r="M1102" i="1" a="1"/>
  <c r="M1102" i="1" s="1"/>
  <c r="L1108" i="1" a="1"/>
  <c r="L1108" i="1" s="1"/>
  <c r="M1108" i="1" a="1"/>
  <c r="M1108" i="1" s="1"/>
  <c r="L1114" i="1" a="1"/>
  <c r="L1114" i="1" s="1"/>
  <c r="M1114" i="1" a="1"/>
  <c r="M1114" i="1" s="1"/>
  <c r="L1120" i="1" a="1"/>
  <c r="L1120" i="1" s="1"/>
  <c r="M1120" i="1" a="1"/>
  <c r="M1120" i="1" s="1"/>
  <c r="L1126" i="1" a="1"/>
  <c r="L1126" i="1" s="1"/>
  <c r="M1126" i="1" a="1"/>
  <c r="M1126" i="1" s="1"/>
  <c r="L1132" i="1" a="1"/>
  <c r="L1132" i="1" s="1"/>
  <c r="M1132" i="1" a="1"/>
  <c r="M1132" i="1" s="1"/>
  <c r="L1138" i="1" a="1"/>
  <c r="L1138" i="1" s="1"/>
  <c r="M1138" i="1" a="1"/>
  <c r="M1138" i="1" s="1"/>
  <c r="L1144" i="1" a="1"/>
  <c r="L1144" i="1" s="1"/>
  <c r="M1144" i="1" a="1"/>
  <c r="M1144" i="1" s="1"/>
  <c r="L1150" i="1" a="1"/>
  <c r="L1150" i="1" s="1"/>
  <c r="M1150" i="1" a="1"/>
  <c r="M1150" i="1" s="1"/>
  <c r="L1156" i="1" a="1"/>
  <c r="L1156" i="1" s="1"/>
  <c r="M1156" i="1" a="1"/>
  <c r="M1156" i="1" s="1"/>
  <c r="L1162" i="1" a="1"/>
  <c r="L1162" i="1" s="1"/>
  <c r="M1162" i="1" a="1"/>
  <c r="M1162" i="1" s="1"/>
  <c r="L1168" i="1" a="1"/>
  <c r="L1168" i="1" s="1"/>
  <c r="M1168" i="1" a="1"/>
  <c r="M1168" i="1" s="1"/>
  <c r="L1174" i="1" a="1"/>
  <c r="L1174" i="1" s="1"/>
  <c r="M1174" i="1" a="1"/>
  <c r="M1174" i="1" s="1"/>
  <c r="L1180" i="1" a="1"/>
  <c r="L1180" i="1" s="1"/>
  <c r="M1180" i="1" a="1"/>
  <c r="M1180" i="1" s="1"/>
  <c r="L1186" i="1" a="1"/>
  <c r="L1186" i="1" s="1"/>
  <c r="M1186" i="1" a="1"/>
  <c r="M1186" i="1" s="1"/>
  <c r="L1192" i="1" a="1"/>
  <c r="L1192" i="1" s="1"/>
  <c r="M1192" i="1" a="1"/>
  <c r="M1192" i="1" s="1"/>
  <c r="L1198" i="1" a="1"/>
  <c r="L1198" i="1" s="1"/>
  <c r="M1198" i="1" a="1"/>
  <c r="M1198" i="1" s="1"/>
  <c r="L1204" i="1" a="1"/>
  <c r="L1204" i="1" s="1"/>
  <c r="M1204" i="1" a="1"/>
  <c r="M1204" i="1" s="1"/>
  <c r="L1210" i="1" a="1"/>
  <c r="L1210" i="1" s="1"/>
  <c r="M1210" i="1" a="1"/>
  <c r="M1210" i="1" s="1"/>
  <c r="L1216" i="1" a="1"/>
  <c r="L1216" i="1" s="1"/>
  <c r="M1216" i="1" a="1"/>
  <c r="M1216" i="1" s="1"/>
  <c r="L1222" i="1" a="1"/>
  <c r="L1222" i="1" s="1"/>
  <c r="M1222" i="1" a="1"/>
  <c r="M1222" i="1" s="1"/>
  <c r="L1228" i="1" a="1"/>
  <c r="L1228" i="1" s="1"/>
  <c r="M1228" i="1" a="1"/>
  <c r="M1228" i="1" s="1"/>
  <c r="L1234" i="1" a="1"/>
  <c r="L1234" i="1" s="1"/>
  <c r="M1234" i="1" a="1"/>
  <c r="M1234" i="1" s="1"/>
  <c r="L1240" i="1" a="1"/>
  <c r="L1240" i="1" s="1"/>
  <c r="M1240" i="1" a="1"/>
  <c r="M1240" i="1" s="1"/>
  <c r="L1246" i="1" a="1"/>
  <c r="L1246" i="1" s="1"/>
  <c r="M1246" i="1" a="1"/>
  <c r="M1246" i="1" s="1"/>
  <c r="L1252" i="1" a="1"/>
  <c r="L1252" i="1" s="1"/>
  <c r="M1252" i="1" a="1"/>
  <c r="M1252" i="1" s="1"/>
  <c r="L1258" i="1" a="1"/>
  <c r="L1258" i="1" s="1"/>
  <c r="M1258" i="1" a="1"/>
  <c r="M1258" i="1" s="1"/>
  <c r="L1264" i="1" a="1"/>
  <c r="L1264" i="1" s="1"/>
  <c r="M1264" i="1" a="1"/>
  <c r="M1264" i="1" s="1"/>
  <c r="L1270" i="1" a="1"/>
  <c r="L1270" i="1" s="1"/>
  <c r="M1270" i="1" a="1"/>
  <c r="M1270" i="1" s="1"/>
  <c r="L1276" i="1" a="1"/>
  <c r="L1276" i="1" s="1"/>
  <c r="M1276" i="1" a="1"/>
  <c r="M1276" i="1" s="1"/>
  <c r="L1282" i="1" a="1"/>
  <c r="L1282" i="1" s="1"/>
  <c r="M1282" i="1" a="1"/>
  <c r="M1282" i="1" s="1"/>
  <c r="L1288" i="1" a="1"/>
  <c r="L1288" i="1" s="1"/>
  <c r="M1288" i="1" a="1"/>
  <c r="M1288" i="1" s="1"/>
  <c r="L1294" i="1" a="1"/>
  <c r="L1294" i="1" s="1"/>
  <c r="M1294" i="1" a="1"/>
  <c r="M1294" i="1" s="1"/>
  <c r="L1300" i="1" a="1"/>
  <c r="L1300" i="1" s="1"/>
  <c r="M1300" i="1" a="1"/>
  <c r="M1300" i="1" s="1"/>
  <c r="L1306" i="1" a="1"/>
  <c r="L1306" i="1" s="1"/>
  <c r="M1306" i="1" a="1"/>
  <c r="M1306" i="1" s="1"/>
  <c r="L1312" i="1" a="1"/>
  <c r="L1312" i="1" s="1"/>
  <c r="M1312" i="1" a="1"/>
  <c r="M1312" i="1" s="1"/>
  <c r="L1318" i="1" a="1"/>
  <c r="L1318" i="1" s="1"/>
  <c r="M1318" i="1" a="1"/>
  <c r="M1318" i="1" s="1"/>
  <c r="L1324" i="1" a="1"/>
  <c r="L1324" i="1" s="1"/>
  <c r="M1324" i="1" a="1"/>
  <c r="M1324" i="1" s="1"/>
  <c r="L1330" i="1" a="1"/>
  <c r="L1330" i="1" s="1"/>
  <c r="M1330" i="1" a="1"/>
  <c r="M1330" i="1" s="1"/>
  <c r="L1336" i="1" a="1"/>
  <c r="L1336" i="1" s="1"/>
  <c r="M1336" i="1" a="1"/>
  <c r="M1336" i="1" s="1"/>
  <c r="L1342" i="1" a="1"/>
  <c r="L1342" i="1" s="1"/>
  <c r="M1342" i="1" a="1"/>
  <c r="M1342" i="1" s="1"/>
  <c r="L1348" i="1" a="1"/>
  <c r="L1348" i="1" s="1"/>
  <c r="M1348" i="1" a="1"/>
  <c r="M1348" i="1" s="1"/>
  <c r="L1354" i="1" a="1"/>
  <c r="L1354" i="1" s="1"/>
  <c r="M1354" i="1" a="1"/>
  <c r="M1354" i="1" s="1"/>
  <c r="L1360" i="1" a="1"/>
  <c r="L1360" i="1" s="1"/>
  <c r="M1360" i="1" a="1"/>
  <c r="M1360" i="1" s="1"/>
  <c r="L1366" i="1" a="1"/>
  <c r="L1366" i="1" s="1"/>
  <c r="M1366" i="1" a="1"/>
  <c r="M1366" i="1" s="1"/>
  <c r="L1372" i="1" a="1"/>
  <c r="L1372" i="1" s="1"/>
  <c r="M1372" i="1" a="1"/>
  <c r="M1372" i="1" s="1"/>
  <c r="L1378" i="1" a="1"/>
  <c r="L1378" i="1" s="1"/>
  <c r="M1378" i="1" a="1"/>
  <c r="M1378" i="1" s="1"/>
  <c r="L1384" i="1" a="1"/>
  <c r="L1384" i="1" s="1"/>
  <c r="M1384" i="1" a="1"/>
  <c r="M1384" i="1" s="1"/>
  <c r="L1390" i="1" a="1"/>
  <c r="L1390" i="1" s="1"/>
  <c r="M1390" i="1" a="1"/>
  <c r="M1390" i="1" s="1"/>
  <c r="L1396" i="1" a="1"/>
  <c r="L1396" i="1" s="1"/>
  <c r="M1396" i="1" a="1"/>
  <c r="M1396" i="1" s="1"/>
  <c r="L1402" i="1" a="1"/>
  <c r="L1402" i="1" s="1"/>
  <c r="M1402" i="1" a="1"/>
  <c r="M1402" i="1" s="1"/>
  <c r="L1124" i="1" a="1"/>
  <c r="L1124" i="1" s="1"/>
  <c r="M1124" i="1" a="1"/>
  <c r="M1124" i="1" s="1"/>
  <c r="L1142" i="1" a="1"/>
  <c r="L1142" i="1" s="1"/>
  <c r="M1142" i="1" a="1"/>
  <c r="M1142" i="1" s="1"/>
  <c r="L1160" i="1" a="1"/>
  <c r="L1160" i="1" s="1"/>
  <c r="M1160" i="1" a="1"/>
  <c r="M1160" i="1" s="1"/>
  <c r="L1178" i="1" a="1"/>
  <c r="L1178" i="1" s="1"/>
  <c r="M1178" i="1" a="1"/>
  <c r="M1178" i="1" s="1"/>
  <c r="L1196" i="1" a="1"/>
  <c r="L1196" i="1" s="1"/>
  <c r="M1196" i="1" a="1"/>
  <c r="M1196" i="1" s="1"/>
  <c r="L1208" i="1" a="1"/>
  <c r="L1208" i="1" s="1"/>
  <c r="M1208" i="1" a="1"/>
  <c r="M1208" i="1" s="1"/>
  <c r="L1226" i="1" a="1"/>
  <c r="L1226" i="1" s="1"/>
  <c r="M1226" i="1" a="1"/>
  <c r="M1226" i="1" s="1"/>
  <c r="L1244" i="1" a="1"/>
  <c r="L1244" i="1" s="1"/>
  <c r="M1244" i="1" a="1"/>
  <c r="M1244" i="1" s="1"/>
  <c r="L1262" i="1" a="1"/>
  <c r="L1262" i="1" s="1"/>
  <c r="M1262" i="1" a="1"/>
  <c r="M1262" i="1" s="1"/>
  <c r="L1280" i="1" a="1"/>
  <c r="L1280" i="1" s="1"/>
  <c r="M1280" i="1" a="1"/>
  <c r="M1280" i="1" s="1"/>
  <c r="L1298" i="1" a="1"/>
  <c r="L1298" i="1" s="1"/>
  <c r="M1298" i="1" a="1"/>
  <c r="M1298" i="1" s="1"/>
  <c r="L1310" i="1" a="1"/>
  <c r="L1310" i="1" s="1"/>
  <c r="M1310" i="1" a="1"/>
  <c r="M1310" i="1" s="1"/>
  <c r="L1322" i="1" a="1"/>
  <c r="L1322" i="1" s="1"/>
  <c r="M1322" i="1" a="1"/>
  <c r="M1322" i="1" s="1"/>
  <c r="L1340" i="1" a="1"/>
  <c r="L1340" i="1" s="1"/>
  <c r="M1340" i="1" a="1"/>
  <c r="M1340" i="1" s="1"/>
  <c r="L1352" i="1" a="1"/>
  <c r="L1352" i="1" s="1"/>
  <c r="M1352" i="1" a="1"/>
  <c r="M1352" i="1" s="1"/>
  <c r="L1364" i="1" a="1"/>
  <c r="L1364" i="1" s="1"/>
  <c r="M1364" i="1" a="1"/>
  <c r="M1364" i="1" s="1"/>
  <c r="L1376" i="1" a="1"/>
  <c r="L1376" i="1" s="1"/>
  <c r="M1376" i="1" a="1"/>
  <c r="M1376" i="1" s="1"/>
  <c r="L1394" i="1" a="1"/>
  <c r="L1394" i="1" s="1"/>
  <c r="M1394" i="1" a="1"/>
  <c r="M1394" i="1" s="1"/>
  <c r="L9" i="1" a="1"/>
  <c r="L9" i="1" s="1"/>
  <c r="M9" i="1" a="1"/>
  <c r="M9" i="1" s="1"/>
  <c r="L21" i="1" a="1"/>
  <c r="L21" i="1" s="1"/>
  <c r="M21" i="1" a="1"/>
  <c r="M21" i="1" s="1"/>
  <c r="L33" i="1" a="1"/>
  <c r="L33" i="1" s="1"/>
  <c r="M33" i="1" a="1"/>
  <c r="M33" i="1" s="1"/>
  <c r="L45" i="1" a="1"/>
  <c r="L45" i="1" s="1"/>
  <c r="M45" i="1" a="1"/>
  <c r="M45" i="1" s="1"/>
  <c r="L57" i="1" a="1"/>
  <c r="L57" i="1" s="1"/>
  <c r="M57" i="1" a="1"/>
  <c r="M57" i="1" s="1"/>
  <c r="L63" i="1" a="1"/>
  <c r="L63" i="1" s="1"/>
  <c r="M63" i="1" a="1"/>
  <c r="M63" i="1" s="1"/>
  <c r="L75" i="1" a="1"/>
  <c r="L75" i="1" s="1"/>
  <c r="M75" i="1" a="1"/>
  <c r="M75" i="1" s="1"/>
  <c r="L93" i="1" a="1"/>
  <c r="L93" i="1" s="1"/>
  <c r="M93" i="1" a="1"/>
  <c r="M93" i="1" s="1"/>
  <c r="L111" i="1" a="1"/>
  <c r="L111" i="1" s="1"/>
  <c r="M111" i="1" a="1"/>
  <c r="M111" i="1" s="1"/>
  <c r="L129" i="1" a="1"/>
  <c r="L129" i="1" s="1"/>
  <c r="M129" i="1" a="1"/>
  <c r="M129" i="1" s="1"/>
  <c r="L147" i="1" a="1"/>
  <c r="L147" i="1" s="1"/>
  <c r="M147" i="1" a="1"/>
  <c r="M147" i="1" s="1"/>
  <c r="L165" i="1" a="1"/>
  <c r="L165" i="1" s="1"/>
  <c r="M165" i="1" a="1"/>
  <c r="M165" i="1" s="1"/>
  <c r="L183" i="1" a="1"/>
  <c r="L183" i="1" s="1"/>
  <c r="M183" i="1" a="1"/>
  <c r="M183" i="1" s="1"/>
  <c r="L195" i="1" a="1"/>
  <c r="L195" i="1" s="1"/>
  <c r="M195" i="1" a="1"/>
  <c r="M195" i="1" s="1"/>
  <c r="L213" i="1" a="1"/>
  <c r="L213" i="1" s="1"/>
  <c r="M213" i="1" a="1"/>
  <c r="M213" i="1" s="1"/>
  <c r="L231" i="1" a="1"/>
  <c r="L231" i="1" s="1"/>
  <c r="M231" i="1" a="1"/>
  <c r="M231" i="1" s="1"/>
  <c r="L249" i="1" a="1"/>
  <c r="L249" i="1" s="1"/>
  <c r="M249" i="1" a="1"/>
  <c r="M249" i="1" s="1"/>
  <c r="L267" i="1" a="1"/>
  <c r="L267" i="1" s="1"/>
  <c r="M267" i="1" a="1"/>
  <c r="M267" i="1" s="1"/>
  <c r="L285" i="1" a="1"/>
  <c r="L285" i="1" s="1"/>
  <c r="M285" i="1" a="1"/>
  <c r="M285" i="1" s="1"/>
  <c r="L303" i="1" a="1"/>
  <c r="L303" i="1" s="1"/>
  <c r="M303" i="1" a="1"/>
  <c r="M303" i="1" s="1"/>
  <c r="L321" i="1" a="1"/>
  <c r="L321" i="1" s="1"/>
  <c r="M321" i="1" a="1"/>
  <c r="M321" i="1" s="1"/>
  <c r="L339" i="1" a="1"/>
  <c r="L339" i="1" s="1"/>
  <c r="M339" i="1" a="1"/>
  <c r="M339" i="1" s="1"/>
  <c r="L357" i="1" a="1"/>
  <c r="L357" i="1" s="1"/>
  <c r="M357" i="1" a="1"/>
  <c r="M357" i="1" s="1"/>
  <c r="L369" i="1" a="1"/>
  <c r="L369" i="1" s="1"/>
  <c r="M369" i="1" a="1"/>
  <c r="M369" i="1" s="1"/>
  <c r="L387" i="1" a="1"/>
  <c r="L387" i="1" s="1"/>
  <c r="M387" i="1" a="1"/>
  <c r="M387" i="1" s="1"/>
  <c r="L405" i="1" a="1"/>
  <c r="L405" i="1" s="1"/>
  <c r="M405" i="1" a="1"/>
  <c r="M405" i="1" s="1"/>
  <c r="L423" i="1" a="1"/>
  <c r="L423" i="1" s="1"/>
  <c r="M423" i="1" a="1"/>
  <c r="M423" i="1" s="1"/>
  <c r="L441" i="1" a="1"/>
  <c r="L441" i="1" s="1"/>
  <c r="M441" i="1" a="1"/>
  <c r="M441" i="1" s="1"/>
  <c r="L459" i="1" a="1"/>
  <c r="L459" i="1" s="1"/>
  <c r="M459" i="1" a="1"/>
  <c r="M459" i="1" s="1"/>
  <c r="L477" i="1" a="1"/>
  <c r="L477" i="1" s="1"/>
  <c r="M477" i="1" a="1"/>
  <c r="M477" i="1" s="1"/>
  <c r="L495" i="1" a="1"/>
  <c r="L495" i="1" s="1"/>
  <c r="M495" i="1" a="1"/>
  <c r="M495" i="1" s="1"/>
  <c r="L507" i="1" a="1"/>
  <c r="L507" i="1" s="1"/>
  <c r="M507" i="1" a="1"/>
  <c r="M507" i="1" s="1"/>
  <c r="L525" i="1" a="1"/>
  <c r="L525" i="1" s="1"/>
  <c r="M525" i="1" a="1"/>
  <c r="M525" i="1" s="1"/>
  <c r="L537" i="1" a="1"/>
  <c r="L537" i="1" s="1"/>
  <c r="M537" i="1" a="1"/>
  <c r="M537" i="1" s="1"/>
  <c r="L549" i="1" a="1"/>
  <c r="L549" i="1" s="1"/>
  <c r="M549" i="1" a="1"/>
  <c r="M549" i="1" s="1"/>
  <c r="L555" i="1" a="1"/>
  <c r="L555" i="1" s="1"/>
  <c r="M555" i="1" a="1"/>
  <c r="M555" i="1" s="1"/>
  <c r="L567" i="1" a="1"/>
  <c r="L567" i="1" s="1"/>
  <c r="M567" i="1" a="1"/>
  <c r="M567" i="1" s="1"/>
  <c r="L579" i="1" a="1"/>
  <c r="L579" i="1" s="1"/>
  <c r="M579" i="1" a="1"/>
  <c r="M579" i="1" s="1"/>
  <c r="L603" i="1" a="1"/>
  <c r="L603" i="1" s="1"/>
  <c r="M603" i="1" a="1"/>
  <c r="M603" i="1" s="1"/>
  <c r="L615" i="1" a="1"/>
  <c r="L615" i="1" s="1"/>
  <c r="M615" i="1" a="1"/>
  <c r="M615" i="1" s="1"/>
  <c r="L639" i="1" a="1"/>
  <c r="L639" i="1" s="1"/>
  <c r="M639" i="1" a="1"/>
  <c r="M639" i="1" s="1"/>
  <c r="L10" i="1" a="1"/>
  <c r="L10" i="1" s="1"/>
  <c r="M10" i="1" a="1"/>
  <c r="M10" i="1" s="1"/>
  <c r="L22" i="1" a="1"/>
  <c r="L22" i="1" s="1"/>
  <c r="M22" i="1" a="1"/>
  <c r="M22" i="1" s="1"/>
  <c r="L34" i="1" a="1"/>
  <c r="L34" i="1" s="1"/>
  <c r="M34" i="1" a="1"/>
  <c r="M34" i="1" s="1"/>
  <c r="L46" i="1" a="1"/>
  <c r="L46" i="1" s="1"/>
  <c r="M46" i="1" a="1"/>
  <c r="M46" i="1" s="1"/>
  <c r="L52" i="1" a="1"/>
  <c r="L52" i="1" s="1"/>
  <c r="M52" i="1" a="1"/>
  <c r="M52" i="1" s="1"/>
  <c r="L64" i="1" a="1"/>
  <c r="L64" i="1" s="1"/>
  <c r="M64" i="1" a="1"/>
  <c r="M64" i="1" s="1"/>
  <c r="L76" i="1" a="1"/>
  <c r="L76" i="1" s="1"/>
  <c r="M76" i="1" a="1"/>
  <c r="M76" i="1" s="1"/>
  <c r="L88" i="1" a="1"/>
  <c r="L88" i="1" s="1"/>
  <c r="M88" i="1" a="1"/>
  <c r="M88" i="1" s="1"/>
  <c r="L100" i="1" a="1"/>
  <c r="L100" i="1" s="1"/>
  <c r="M100" i="1" a="1"/>
  <c r="M100" i="1" s="1"/>
  <c r="L112" i="1" a="1"/>
  <c r="L112" i="1" s="1"/>
  <c r="M112" i="1" a="1"/>
  <c r="M112" i="1" s="1"/>
  <c r="L124" i="1" a="1"/>
  <c r="L124" i="1" s="1"/>
  <c r="M124" i="1" a="1"/>
  <c r="M124" i="1" s="1"/>
  <c r="L136" i="1" a="1"/>
  <c r="L136" i="1" s="1"/>
  <c r="M136" i="1" a="1"/>
  <c r="M136" i="1" s="1"/>
  <c r="L148" i="1" a="1"/>
  <c r="L148" i="1" s="1"/>
  <c r="M148" i="1" a="1"/>
  <c r="M148" i="1" s="1"/>
  <c r="L160" i="1" a="1"/>
  <c r="L160" i="1" s="1"/>
  <c r="M160" i="1" a="1"/>
  <c r="M160" i="1" s="1"/>
  <c r="L166" i="1" a="1"/>
  <c r="L166" i="1" s="1"/>
  <c r="M166" i="1" a="1"/>
  <c r="M166" i="1" s="1"/>
  <c r="L178" i="1" a="1"/>
  <c r="L178" i="1" s="1"/>
  <c r="M178" i="1" a="1"/>
  <c r="M178" i="1" s="1"/>
  <c r="L190" i="1" a="1"/>
  <c r="L190" i="1" s="1"/>
  <c r="M190" i="1" a="1"/>
  <c r="M190" i="1" s="1"/>
  <c r="L202" i="1" a="1"/>
  <c r="L202" i="1" s="1"/>
  <c r="M202" i="1" a="1"/>
  <c r="M202" i="1" s="1"/>
  <c r="L214" i="1" a="1"/>
  <c r="L214" i="1" s="1"/>
  <c r="M214" i="1" a="1"/>
  <c r="M214" i="1" s="1"/>
  <c r="L226" i="1" a="1"/>
  <c r="L226" i="1" s="1"/>
  <c r="M226" i="1" a="1"/>
  <c r="M226" i="1" s="1"/>
  <c r="L238" i="1" a="1"/>
  <c r="L238" i="1" s="1"/>
  <c r="M238" i="1" a="1"/>
  <c r="M238" i="1" s="1"/>
  <c r="L250" i="1" a="1"/>
  <c r="L250" i="1" s="1"/>
  <c r="M250" i="1" a="1"/>
  <c r="M250" i="1" s="1"/>
  <c r="L262" i="1" a="1"/>
  <c r="L262" i="1" s="1"/>
  <c r="M262" i="1" a="1"/>
  <c r="M262" i="1" s="1"/>
  <c r="L274" i="1" a="1"/>
  <c r="L274" i="1" s="1"/>
  <c r="M274" i="1" a="1"/>
  <c r="M274" i="1" s="1"/>
  <c r="L280" i="1" a="1"/>
  <c r="L280" i="1" s="1"/>
  <c r="M280" i="1" a="1"/>
  <c r="M280" i="1" s="1"/>
  <c r="L292" i="1" a="1"/>
  <c r="L292" i="1" s="1"/>
  <c r="M292" i="1" a="1"/>
  <c r="M292" i="1" s="1"/>
  <c r="L304" i="1" a="1"/>
  <c r="L304" i="1" s="1"/>
  <c r="M304" i="1" a="1"/>
  <c r="M304" i="1" s="1"/>
  <c r="L316" i="1" a="1"/>
  <c r="L316" i="1" s="1"/>
  <c r="M316" i="1" a="1"/>
  <c r="M316" i="1" s="1"/>
  <c r="L328" i="1" a="1"/>
  <c r="L328" i="1" s="1"/>
  <c r="M328" i="1" a="1"/>
  <c r="M328" i="1" s="1"/>
  <c r="L340" i="1" a="1"/>
  <c r="L340" i="1" s="1"/>
  <c r="M340" i="1" a="1"/>
  <c r="M340" i="1" s="1"/>
  <c r="L382" i="1" a="1"/>
  <c r="L382" i="1" s="1"/>
  <c r="M382" i="1" a="1"/>
  <c r="M382" i="1" s="1"/>
  <c r="L394" i="1" a="1"/>
  <c r="L394" i="1" s="1"/>
  <c r="M394" i="1" a="1"/>
  <c r="M394" i="1" s="1"/>
  <c r="L400" i="1" a="1"/>
  <c r="L400" i="1" s="1"/>
  <c r="M400" i="1" a="1"/>
  <c r="M400" i="1" s="1"/>
  <c r="L412" i="1" a="1"/>
  <c r="L412" i="1" s="1"/>
  <c r="M412" i="1" a="1"/>
  <c r="M412" i="1" s="1"/>
  <c r="L424" i="1" a="1"/>
  <c r="L424" i="1" s="1"/>
  <c r="M424" i="1" a="1"/>
  <c r="M424" i="1" s="1"/>
  <c r="L436" i="1" a="1"/>
  <c r="L436" i="1" s="1"/>
  <c r="M436" i="1" a="1"/>
  <c r="M436" i="1" s="1"/>
  <c r="L448" i="1" a="1"/>
  <c r="L448" i="1" s="1"/>
  <c r="M448" i="1" a="1"/>
  <c r="M448" i="1" s="1"/>
  <c r="L460" i="1" a="1"/>
  <c r="L460" i="1" s="1"/>
  <c r="M460" i="1" a="1"/>
  <c r="M460" i="1" s="1"/>
  <c r="L472" i="1" a="1"/>
  <c r="L472" i="1" s="1"/>
  <c r="M472" i="1" a="1"/>
  <c r="M472" i="1" s="1"/>
  <c r="L484" i="1" a="1"/>
  <c r="L484" i="1" s="1"/>
  <c r="M484" i="1" a="1"/>
  <c r="M484" i="1" s="1"/>
  <c r="L496" i="1" a="1"/>
  <c r="L496" i="1" s="1"/>
  <c r="M496" i="1" a="1"/>
  <c r="M496" i="1" s="1"/>
  <c r="L502" i="1" a="1"/>
  <c r="L502" i="1" s="1"/>
  <c r="M502" i="1" a="1"/>
  <c r="M502" i="1" s="1"/>
  <c r="L514" i="1" a="1"/>
  <c r="L514" i="1" s="1"/>
  <c r="M514" i="1" a="1"/>
  <c r="M514" i="1" s="1"/>
  <c r="L526" i="1" a="1"/>
  <c r="L526" i="1" s="1"/>
  <c r="M526" i="1" a="1"/>
  <c r="M526" i="1" s="1"/>
  <c r="L538" i="1" a="1"/>
  <c r="L538" i="1" s="1"/>
  <c r="M538" i="1" a="1"/>
  <c r="M538" i="1" s="1"/>
  <c r="L550" i="1" a="1"/>
  <c r="L550" i="1" s="1"/>
  <c r="M550" i="1" a="1"/>
  <c r="M550" i="1" s="1"/>
  <c r="L562" i="1" a="1"/>
  <c r="L562" i="1" s="1"/>
  <c r="M562" i="1" a="1"/>
  <c r="M562" i="1" s="1"/>
  <c r="L574" i="1" a="1"/>
  <c r="L574" i="1" s="1"/>
  <c r="M574" i="1" a="1"/>
  <c r="M574" i="1" s="1"/>
  <c r="L580" i="1" a="1"/>
  <c r="L580" i="1" s="1"/>
  <c r="M580" i="1" a="1"/>
  <c r="M580" i="1" s="1"/>
  <c r="L592" i="1" a="1"/>
  <c r="L592" i="1" s="1"/>
  <c r="M592" i="1" a="1"/>
  <c r="M592" i="1" s="1"/>
  <c r="L5" i="1" a="1"/>
  <c r="L5" i="1" s="1"/>
  <c r="M5" i="1" a="1"/>
  <c r="M5" i="1" s="1"/>
  <c r="L11" i="1" a="1"/>
  <c r="L11" i="1" s="1"/>
  <c r="M11" i="1" a="1"/>
  <c r="M11" i="1" s="1"/>
  <c r="L17" i="1" a="1"/>
  <c r="L17" i="1" s="1"/>
  <c r="M17" i="1" a="1"/>
  <c r="M17" i="1" s="1"/>
  <c r="L23" i="1" a="1"/>
  <c r="L23" i="1" s="1"/>
  <c r="M23" i="1" a="1"/>
  <c r="M23" i="1" s="1"/>
  <c r="L29" i="1" a="1"/>
  <c r="L29" i="1" s="1"/>
  <c r="M29" i="1" a="1"/>
  <c r="M29" i="1" s="1"/>
  <c r="L35" i="1" a="1"/>
  <c r="L35" i="1" s="1"/>
  <c r="M35" i="1" a="1"/>
  <c r="M35" i="1" s="1"/>
  <c r="L41" i="1" a="1"/>
  <c r="L41" i="1" s="1"/>
  <c r="M41" i="1" a="1"/>
  <c r="M41" i="1" s="1"/>
  <c r="L47" i="1" a="1"/>
  <c r="L47" i="1" s="1"/>
  <c r="M47" i="1" a="1"/>
  <c r="M47" i="1" s="1"/>
  <c r="L53" i="1" a="1"/>
  <c r="L53" i="1" s="1"/>
  <c r="M53" i="1" a="1"/>
  <c r="M53" i="1" s="1"/>
  <c r="L59" i="1" a="1"/>
  <c r="L59" i="1" s="1"/>
  <c r="M59" i="1" a="1"/>
  <c r="M59" i="1" s="1"/>
  <c r="L65" i="1" a="1"/>
  <c r="L65" i="1" s="1"/>
  <c r="M65" i="1" a="1"/>
  <c r="M65" i="1" s="1"/>
  <c r="L71" i="1" a="1"/>
  <c r="L71" i="1" s="1"/>
  <c r="M71" i="1" a="1"/>
  <c r="M71" i="1" s="1"/>
  <c r="L77" i="1" a="1"/>
  <c r="L77" i="1" s="1"/>
  <c r="M77" i="1" a="1"/>
  <c r="M77" i="1" s="1"/>
  <c r="L83" i="1" a="1"/>
  <c r="L83" i="1" s="1"/>
  <c r="M83" i="1" a="1"/>
  <c r="M83" i="1" s="1"/>
  <c r="L89" i="1" a="1"/>
  <c r="L89" i="1" s="1"/>
  <c r="M89" i="1" a="1"/>
  <c r="M89" i="1" s="1"/>
  <c r="L95" i="1" a="1"/>
  <c r="L95" i="1" s="1"/>
  <c r="M95" i="1" a="1"/>
  <c r="M95" i="1" s="1"/>
  <c r="L101" i="1" a="1"/>
  <c r="L101" i="1" s="1"/>
  <c r="M101" i="1" a="1"/>
  <c r="M101" i="1" s="1"/>
  <c r="L107" i="1" a="1"/>
  <c r="L107" i="1" s="1"/>
  <c r="M107" i="1" a="1"/>
  <c r="M107" i="1" s="1"/>
  <c r="L113" i="1" a="1"/>
  <c r="L113" i="1" s="1"/>
  <c r="M113" i="1" a="1"/>
  <c r="M113" i="1" s="1"/>
  <c r="L119" i="1" a="1"/>
  <c r="L119" i="1" s="1"/>
  <c r="M119" i="1" a="1"/>
  <c r="M119" i="1" s="1"/>
  <c r="L125" i="1" a="1"/>
  <c r="L125" i="1" s="1"/>
  <c r="M125" i="1" a="1"/>
  <c r="M125" i="1" s="1"/>
  <c r="L131" i="1" a="1"/>
  <c r="L131" i="1" s="1"/>
  <c r="M131" i="1" a="1"/>
  <c r="M131" i="1" s="1"/>
  <c r="L137" i="1" a="1"/>
  <c r="L137" i="1" s="1"/>
  <c r="M137" i="1" a="1"/>
  <c r="M137" i="1" s="1"/>
  <c r="L143" i="1" a="1"/>
  <c r="L143" i="1" s="1"/>
  <c r="M143" i="1" a="1"/>
  <c r="M143" i="1" s="1"/>
  <c r="L149" i="1" a="1"/>
  <c r="L149" i="1" s="1"/>
  <c r="M149" i="1" a="1"/>
  <c r="M149" i="1" s="1"/>
  <c r="L155" i="1" a="1"/>
  <c r="L155" i="1" s="1"/>
  <c r="M155" i="1" a="1"/>
  <c r="M155" i="1" s="1"/>
  <c r="L161" i="1" a="1"/>
  <c r="L161" i="1" s="1"/>
  <c r="M161" i="1" a="1"/>
  <c r="M161" i="1" s="1"/>
  <c r="L167" i="1" a="1"/>
  <c r="L167" i="1" s="1"/>
  <c r="M167" i="1" a="1"/>
  <c r="M167" i="1" s="1"/>
  <c r="L173" i="1" a="1"/>
  <c r="L173" i="1" s="1"/>
  <c r="M173" i="1" a="1"/>
  <c r="M173" i="1" s="1"/>
  <c r="L179" i="1" a="1"/>
  <c r="L179" i="1" s="1"/>
  <c r="M179" i="1" a="1"/>
  <c r="M179" i="1" s="1"/>
  <c r="L185" i="1" a="1"/>
  <c r="L185" i="1" s="1"/>
  <c r="M185" i="1" a="1"/>
  <c r="M185" i="1" s="1"/>
  <c r="L191" i="1" a="1"/>
  <c r="L191" i="1" s="1"/>
  <c r="M191" i="1" a="1"/>
  <c r="M191" i="1" s="1"/>
  <c r="L197" i="1" a="1"/>
  <c r="L197" i="1" s="1"/>
  <c r="M197" i="1" a="1"/>
  <c r="M197" i="1" s="1"/>
  <c r="L203" i="1" a="1"/>
  <c r="L203" i="1" s="1"/>
  <c r="M203" i="1" a="1"/>
  <c r="M203" i="1" s="1"/>
  <c r="L209" i="1" a="1"/>
  <c r="L209" i="1" s="1"/>
  <c r="M209" i="1" a="1"/>
  <c r="M209" i="1" s="1"/>
  <c r="L215" i="1" a="1"/>
  <c r="L215" i="1" s="1"/>
  <c r="M215" i="1" a="1"/>
  <c r="M215" i="1" s="1"/>
  <c r="L221" i="1" a="1"/>
  <c r="L221" i="1" s="1"/>
  <c r="M221" i="1" a="1"/>
  <c r="M221" i="1" s="1"/>
  <c r="L227" i="1" a="1"/>
  <c r="L227" i="1" s="1"/>
  <c r="M227" i="1" a="1"/>
  <c r="M227" i="1" s="1"/>
  <c r="L233" i="1" a="1"/>
  <c r="L233" i="1" s="1"/>
  <c r="M233" i="1" a="1"/>
  <c r="M233" i="1" s="1"/>
  <c r="L239" i="1" a="1"/>
  <c r="L239" i="1" s="1"/>
  <c r="M239" i="1" a="1"/>
  <c r="M239" i="1" s="1"/>
  <c r="L245" i="1" a="1"/>
  <c r="L245" i="1" s="1"/>
  <c r="M245" i="1" a="1"/>
  <c r="M245" i="1" s="1"/>
  <c r="L251" i="1" a="1"/>
  <c r="L251" i="1" s="1"/>
  <c r="M251" i="1" a="1"/>
  <c r="M251" i="1" s="1"/>
  <c r="L257" i="1" a="1"/>
  <c r="L257" i="1" s="1"/>
  <c r="M257" i="1" a="1"/>
  <c r="M257" i="1" s="1"/>
  <c r="L263" i="1" a="1"/>
  <c r="L263" i="1" s="1"/>
  <c r="M263" i="1" a="1"/>
  <c r="M263" i="1" s="1"/>
  <c r="L269" i="1" a="1"/>
  <c r="L269" i="1" s="1"/>
  <c r="M269" i="1" a="1"/>
  <c r="M269" i="1" s="1"/>
  <c r="L275" i="1" a="1"/>
  <c r="L275" i="1" s="1"/>
  <c r="M275" i="1" a="1"/>
  <c r="M275" i="1" s="1"/>
  <c r="L281" i="1" a="1"/>
  <c r="L281" i="1" s="1"/>
  <c r="M281" i="1" a="1"/>
  <c r="M281" i="1" s="1"/>
  <c r="L287" i="1" a="1"/>
  <c r="L287" i="1" s="1"/>
  <c r="M287" i="1" a="1"/>
  <c r="M287" i="1" s="1"/>
  <c r="L293" i="1" a="1"/>
  <c r="L293" i="1" s="1"/>
  <c r="M293" i="1" a="1"/>
  <c r="M293" i="1" s="1"/>
  <c r="L299" i="1" a="1"/>
  <c r="L299" i="1" s="1"/>
  <c r="M299" i="1" a="1"/>
  <c r="M299" i="1" s="1"/>
  <c r="L305" i="1" a="1"/>
  <c r="L305" i="1" s="1"/>
  <c r="M305" i="1" a="1"/>
  <c r="M305" i="1" s="1"/>
  <c r="L311" i="1" a="1"/>
  <c r="L311" i="1" s="1"/>
  <c r="M311" i="1" a="1"/>
  <c r="M311" i="1" s="1"/>
  <c r="L317" i="1" a="1"/>
  <c r="L317" i="1" s="1"/>
  <c r="M317" i="1" a="1"/>
  <c r="M317" i="1" s="1"/>
  <c r="L323" i="1" a="1"/>
  <c r="L323" i="1" s="1"/>
  <c r="M323" i="1" a="1"/>
  <c r="M323" i="1" s="1"/>
  <c r="L329" i="1" a="1"/>
  <c r="L329" i="1" s="1"/>
  <c r="M329" i="1" a="1"/>
  <c r="M329" i="1" s="1"/>
  <c r="L335" i="1" a="1"/>
  <c r="L335" i="1" s="1"/>
  <c r="M335" i="1" a="1"/>
  <c r="M335" i="1" s="1"/>
  <c r="L341" i="1" a="1"/>
  <c r="L341" i="1" s="1"/>
  <c r="M341" i="1" a="1"/>
  <c r="M341" i="1" s="1"/>
  <c r="L347" i="1" a="1"/>
  <c r="L347" i="1" s="1"/>
  <c r="M347" i="1" a="1"/>
  <c r="M347" i="1" s="1"/>
  <c r="L353" i="1" a="1"/>
  <c r="L353" i="1" s="1"/>
  <c r="M353" i="1" a="1"/>
  <c r="M353" i="1" s="1"/>
  <c r="L359" i="1" a="1"/>
  <c r="L359" i="1" s="1"/>
  <c r="M359" i="1" a="1"/>
  <c r="M359" i="1" s="1"/>
  <c r="L365" i="1" a="1"/>
  <c r="L365" i="1" s="1"/>
  <c r="M365" i="1" a="1"/>
  <c r="M365" i="1" s="1"/>
  <c r="L371" i="1" a="1"/>
  <c r="L371" i="1" s="1"/>
  <c r="M371" i="1" a="1"/>
  <c r="M371" i="1" s="1"/>
  <c r="L377" i="1" a="1"/>
  <c r="L377" i="1" s="1"/>
  <c r="M377" i="1" a="1"/>
  <c r="M377" i="1" s="1"/>
  <c r="L383" i="1" a="1"/>
  <c r="L383" i="1" s="1"/>
  <c r="M383" i="1" a="1"/>
  <c r="M383" i="1" s="1"/>
  <c r="L389" i="1" a="1"/>
  <c r="L389" i="1" s="1"/>
  <c r="M389" i="1" a="1"/>
  <c r="M389" i="1" s="1"/>
  <c r="L395" i="1" a="1"/>
  <c r="L395" i="1" s="1"/>
  <c r="M395" i="1" a="1"/>
  <c r="M395" i="1" s="1"/>
  <c r="L401" i="1" a="1"/>
  <c r="L401" i="1" s="1"/>
  <c r="M401" i="1" a="1"/>
  <c r="M401" i="1" s="1"/>
  <c r="L407" i="1" a="1"/>
  <c r="L407" i="1" s="1"/>
  <c r="M407" i="1" a="1"/>
  <c r="M407" i="1" s="1"/>
  <c r="L413" i="1" a="1"/>
  <c r="L413" i="1" s="1"/>
  <c r="M413" i="1" a="1"/>
  <c r="M413" i="1" s="1"/>
  <c r="L419" i="1" a="1"/>
  <c r="L419" i="1" s="1"/>
  <c r="M419" i="1" a="1"/>
  <c r="M419" i="1" s="1"/>
  <c r="L425" i="1" a="1"/>
  <c r="L425" i="1" s="1"/>
  <c r="M425" i="1" a="1"/>
  <c r="M425" i="1" s="1"/>
  <c r="L431" i="1" a="1"/>
  <c r="L431" i="1" s="1"/>
  <c r="M431" i="1" a="1"/>
  <c r="M431" i="1" s="1"/>
  <c r="L437" i="1" a="1"/>
  <c r="L437" i="1" s="1"/>
  <c r="M437" i="1" a="1"/>
  <c r="M437" i="1" s="1"/>
  <c r="L443" i="1" a="1"/>
  <c r="L443" i="1" s="1"/>
  <c r="M443" i="1" a="1"/>
  <c r="M443" i="1" s="1"/>
  <c r="L449" i="1" a="1"/>
  <c r="L449" i="1" s="1"/>
  <c r="M449" i="1" a="1"/>
  <c r="M449" i="1" s="1"/>
  <c r="L455" i="1" a="1"/>
  <c r="L455" i="1" s="1"/>
  <c r="M455" i="1" a="1"/>
  <c r="M455" i="1" s="1"/>
  <c r="L461" i="1" a="1"/>
  <c r="L461" i="1" s="1"/>
  <c r="M461" i="1" a="1"/>
  <c r="M461" i="1" s="1"/>
  <c r="L467" i="1" a="1"/>
  <c r="L467" i="1" s="1"/>
  <c r="M467" i="1" a="1"/>
  <c r="M467" i="1" s="1"/>
  <c r="L473" i="1" a="1"/>
  <c r="L473" i="1" s="1"/>
  <c r="M473" i="1" a="1"/>
  <c r="M473" i="1" s="1"/>
  <c r="L479" i="1" a="1"/>
  <c r="L479" i="1" s="1"/>
  <c r="M479" i="1" a="1"/>
  <c r="M479" i="1" s="1"/>
  <c r="L485" i="1" a="1"/>
  <c r="L485" i="1" s="1"/>
  <c r="M485" i="1" a="1"/>
  <c r="M485" i="1" s="1"/>
  <c r="L491" i="1" a="1"/>
  <c r="L491" i="1" s="1"/>
  <c r="M491" i="1" a="1"/>
  <c r="M491" i="1" s="1"/>
  <c r="L497" i="1" a="1"/>
  <c r="L497" i="1" s="1"/>
  <c r="M497" i="1" a="1"/>
  <c r="M497" i="1" s="1"/>
  <c r="L503" i="1" a="1"/>
  <c r="L503" i="1" s="1"/>
  <c r="M503" i="1" a="1"/>
  <c r="M503" i="1" s="1"/>
  <c r="L509" i="1" a="1"/>
  <c r="L509" i="1" s="1"/>
  <c r="M509" i="1" a="1"/>
  <c r="M509" i="1" s="1"/>
  <c r="L515" i="1" a="1"/>
  <c r="L515" i="1" s="1"/>
  <c r="M515" i="1" a="1"/>
  <c r="M515" i="1" s="1"/>
  <c r="L521" i="1" a="1"/>
  <c r="L521" i="1" s="1"/>
  <c r="M521" i="1" a="1"/>
  <c r="M521" i="1" s="1"/>
  <c r="L527" i="1" a="1"/>
  <c r="L527" i="1" s="1"/>
  <c r="M527" i="1" a="1"/>
  <c r="M527" i="1" s="1"/>
  <c r="L533" i="1" a="1"/>
  <c r="L533" i="1" s="1"/>
  <c r="M533" i="1" a="1"/>
  <c r="M533" i="1" s="1"/>
  <c r="L539" i="1" a="1"/>
  <c r="L539" i="1" s="1"/>
  <c r="M539" i="1" a="1"/>
  <c r="M539" i="1" s="1"/>
  <c r="L545" i="1" a="1"/>
  <c r="L545" i="1" s="1"/>
  <c r="M545" i="1" a="1"/>
  <c r="M545" i="1" s="1"/>
  <c r="L551" i="1" a="1"/>
  <c r="L551" i="1" s="1"/>
  <c r="M551" i="1" a="1"/>
  <c r="M551" i="1" s="1"/>
  <c r="L557" i="1" a="1"/>
  <c r="L557" i="1" s="1"/>
  <c r="M557" i="1" a="1"/>
  <c r="M557" i="1" s="1"/>
  <c r="L563" i="1" a="1"/>
  <c r="L563" i="1" s="1"/>
  <c r="M563" i="1" a="1"/>
  <c r="M563" i="1" s="1"/>
  <c r="L569" i="1" a="1"/>
  <c r="L569" i="1" s="1"/>
  <c r="M569" i="1" a="1"/>
  <c r="M569" i="1" s="1"/>
  <c r="L575" i="1" a="1"/>
  <c r="L575" i="1" s="1"/>
  <c r="M575" i="1" a="1"/>
  <c r="M575" i="1" s="1"/>
  <c r="L581" i="1" a="1"/>
  <c r="L581" i="1" s="1"/>
  <c r="M581" i="1" a="1"/>
  <c r="M581" i="1" s="1"/>
  <c r="L587" i="1" a="1"/>
  <c r="L587" i="1" s="1"/>
  <c r="M587" i="1" a="1"/>
  <c r="M587" i="1" s="1"/>
  <c r="L593" i="1" a="1"/>
  <c r="L593" i="1" s="1"/>
  <c r="M593" i="1" a="1"/>
  <c r="M593" i="1" s="1"/>
  <c r="L599" i="1" a="1"/>
  <c r="L599" i="1" s="1"/>
  <c r="M599" i="1" a="1"/>
  <c r="M599" i="1" s="1"/>
  <c r="L605" i="1" a="1"/>
  <c r="L605" i="1" s="1"/>
  <c r="M605" i="1" a="1"/>
  <c r="M605" i="1" s="1"/>
  <c r="L611" i="1" a="1"/>
  <c r="L611" i="1" s="1"/>
  <c r="M611" i="1" a="1"/>
  <c r="M611" i="1" s="1"/>
  <c r="L617" i="1" a="1"/>
  <c r="L617" i="1" s="1"/>
  <c r="M617" i="1" a="1"/>
  <c r="M617" i="1" s="1"/>
  <c r="L623" i="1" a="1"/>
  <c r="L623" i="1" s="1"/>
  <c r="M623" i="1" a="1"/>
  <c r="M623" i="1" s="1"/>
  <c r="L629" i="1" a="1"/>
  <c r="L629" i="1" s="1"/>
  <c r="M629" i="1" a="1"/>
  <c r="M629" i="1" s="1"/>
  <c r="L635" i="1" a="1"/>
  <c r="L635" i="1" s="1"/>
  <c r="M635" i="1" a="1"/>
  <c r="M635" i="1" s="1"/>
  <c r="L641" i="1" a="1"/>
  <c r="L641" i="1" s="1"/>
  <c r="M641" i="1" a="1"/>
  <c r="M641" i="1" s="1"/>
  <c r="L647" i="1" a="1"/>
  <c r="L647" i="1" s="1"/>
  <c r="M647" i="1" a="1"/>
  <c r="M647" i="1" s="1"/>
  <c r="L653" i="1" a="1"/>
  <c r="L653" i="1" s="1"/>
  <c r="M653" i="1" a="1"/>
  <c r="M653" i="1" s="1"/>
  <c r="L659" i="1" a="1"/>
  <c r="L659" i="1" s="1"/>
  <c r="M659" i="1" a="1"/>
  <c r="M659" i="1" s="1"/>
  <c r="L665" i="1" a="1"/>
  <c r="L665" i="1" s="1"/>
  <c r="M665" i="1" a="1"/>
  <c r="M665" i="1" s="1"/>
  <c r="L671" i="1" a="1"/>
  <c r="L671" i="1" s="1"/>
  <c r="M671" i="1" a="1"/>
  <c r="M671" i="1" s="1"/>
  <c r="L677" i="1" a="1"/>
  <c r="L677" i="1" s="1"/>
  <c r="M677" i="1" a="1"/>
  <c r="M677" i="1" s="1"/>
  <c r="L683" i="1" a="1"/>
  <c r="L683" i="1" s="1"/>
  <c r="M683" i="1" a="1"/>
  <c r="M683" i="1" s="1"/>
  <c r="L689" i="1" a="1"/>
  <c r="L689" i="1" s="1"/>
  <c r="M689" i="1" a="1"/>
  <c r="M689" i="1" s="1"/>
  <c r="L695" i="1" a="1"/>
  <c r="L695" i="1" s="1"/>
  <c r="M695" i="1" a="1"/>
  <c r="M695" i="1" s="1"/>
  <c r="L701" i="1" a="1"/>
  <c r="L701" i="1" s="1"/>
  <c r="M701" i="1" a="1"/>
  <c r="M701" i="1" s="1"/>
  <c r="L707" i="1" a="1"/>
  <c r="L707" i="1" s="1"/>
  <c r="M707" i="1" a="1"/>
  <c r="M707" i="1" s="1"/>
  <c r="L713" i="1" a="1"/>
  <c r="L713" i="1" s="1"/>
  <c r="M713" i="1" a="1"/>
  <c r="M713" i="1" s="1"/>
  <c r="L719" i="1" a="1"/>
  <c r="L719" i="1" s="1"/>
  <c r="M719" i="1" a="1"/>
  <c r="M719" i="1" s="1"/>
  <c r="L725" i="1" a="1"/>
  <c r="L725" i="1" s="1"/>
  <c r="M725" i="1" a="1"/>
  <c r="M725" i="1" s="1"/>
  <c r="L731" i="1" a="1"/>
  <c r="L731" i="1" s="1"/>
  <c r="M731" i="1" a="1"/>
  <c r="M731" i="1" s="1"/>
  <c r="L737" i="1" a="1"/>
  <c r="L737" i="1" s="1"/>
  <c r="M737" i="1" a="1"/>
  <c r="M737" i="1" s="1"/>
  <c r="L743" i="1" a="1"/>
  <c r="L743" i="1" s="1"/>
  <c r="M743" i="1" a="1"/>
  <c r="M743" i="1" s="1"/>
  <c r="L749" i="1" a="1"/>
  <c r="L749" i="1" s="1"/>
  <c r="M749" i="1" a="1"/>
  <c r="M749" i="1" s="1"/>
  <c r="L755" i="1" a="1"/>
  <c r="L755" i="1" s="1"/>
  <c r="M755" i="1" a="1"/>
  <c r="M755" i="1" s="1"/>
  <c r="L761" i="1" a="1"/>
  <c r="L761" i="1" s="1"/>
  <c r="M761" i="1" a="1"/>
  <c r="M761" i="1" s="1"/>
  <c r="L767" i="1" a="1"/>
  <c r="L767" i="1" s="1"/>
  <c r="M767" i="1" a="1"/>
  <c r="M767" i="1" s="1"/>
  <c r="L773" i="1" a="1"/>
  <c r="L773" i="1" s="1"/>
  <c r="M773" i="1" a="1"/>
  <c r="M773" i="1" s="1"/>
  <c r="L779" i="1" a="1"/>
  <c r="L779" i="1" s="1"/>
  <c r="M779" i="1" a="1"/>
  <c r="M779" i="1" s="1"/>
  <c r="L785" i="1" a="1"/>
  <c r="L785" i="1" s="1"/>
  <c r="M785" i="1" a="1"/>
  <c r="M785" i="1" s="1"/>
  <c r="L791" i="1" a="1"/>
  <c r="L791" i="1" s="1"/>
  <c r="M791" i="1" a="1"/>
  <c r="M791" i="1" s="1"/>
  <c r="L797" i="1" a="1"/>
  <c r="L797" i="1" s="1"/>
  <c r="M797" i="1" a="1"/>
  <c r="M797" i="1" s="1"/>
  <c r="L803" i="1" a="1"/>
  <c r="L803" i="1" s="1"/>
  <c r="M803" i="1" a="1"/>
  <c r="M803" i="1" s="1"/>
  <c r="L809" i="1" a="1"/>
  <c r="L809" i="1" s="1"/>
  <c r="M809" i="1" a="1"/>
  <c r="M809" i="1" s="1"/>
  <c r="L815" i="1" a="1"/>
  <c r="L815" i="1" s="1"/>
  <c r="M815" i="1" a="1"/>
  <c r="M815" i="1" s="1"/>
  <c r="L821" i="1" a="1"/>
  <c r="L821" i="1" s="1"/>
  <c r="M821" i="1" a="1"/>
  <c r="M821" i="1" s="1"/>
  <c r="L827" i="1" a="1"/>
  <c r="L827" i="1" s="1"/>
  <c r="M827" i="1" a="1"/>
  <c r="M827" i="1" s="1"/>
  <c r="L833" i="1" a="1"/>
  <c r="L833" i="1" s="1"/>
  <c r="M833" i="1" a="1"/>
  <c r="M833" i="1" s="1"/>
  <c r="L839" i="1" a="1"/>
  <c r="L839" i="1" s="1"/>
  <c r="M839" i="1" a="1"/>
  <c r="M839" i="1" s="1"/>
  <c r="L845" i="1" a="1"/>
  <c r="L845" i="1" s="1"/>
  <c r="M845" i="1" a="1"/>
  <c r="M845" i="1" s="1"/>
  <c r="L851" i="1" a="1"/>
  <c r="L851" i="1" s="1"/>
  <c r="M851" i="1" a="1"/>
  <c r="M851" i="1" s="1"/>
  <c r="L857" i="1" a="1"/>
  <c r="L857" i="1" s="1"/>
  <c r="M857" i="1" a="1"/>
  <c r="M857" i="1" s="1"/>
  <c r="L863" i="1" a="1"/>
  <c r="L863" i="1" s="1"/>
  <c r="M863" i="1" a="1"/>
  <c r="M863" i="1" s="1"/>
  <c r="L869" i="1" a="1"/>
  <c r="L869" i="1" s="1"/>
  <c r="M869" i="1" a="1"/>
  <c r="M869" i="1" s="1"/>
  <c r="L875" i="1" a="1"/>
  <c r="L875" i="1" s="1"/>
  <c r="M875" i="1" a="1"/>
  <c r="M875" i="1" s="1"/>
  <c r="L881" i="1" a="1"/>
  <c r="L881" i="1" s="1"/>
  <c r="M881" i="1" a="1"/>
  <c r="M881" i="1" s="1"/>
  <c r="L887" i="1" a="1"/>
  <c r="L887" i="1" s="1"/>
  <c r="M887" i="1" a="1"/>
  <c r="M887" i="1" s="1"/>
  <c r="L893" i="1" a="1"/>
  <c r="L893" i="1" s="1"/>
  <c r="M893" i="1" a="1"/>
  <c r="M893" i="1" s="1"/>
  <c r="L899" i="1" a="1"/>
  <c r="L899" i="1" s="1"/>
  <c r="M899" i="1" a="1"/>
  <c r="M899" i="1" s="1"/>
  <c r="L905" i="1" a="1"/>
  <c r="L905" i="1" s="1"/>
  <c r="M905" i="1" a="1"/>
  <c r="M905" i="1" s="1"/>
  <c r="L911" i="1" a="1"/>
  <c r="L911" i="1" s="1"/>
  <c r="M911" i="1" a="1"/>
  <c r="M911" i="1" s="1"/>
  <c r="L917" i="1" a="1"/>
  <c r="L917" i="1" s="1"/>
  <c r="M917" i="1" a="1"/>
  <c r="M917" i="1" s="1"/>
  <c r="L923" i="1" a="1"/>
  <c r="L923" i="1" s="1"/>
  <c r="M923" i="1" a="1"/>
  <c r="M923" i="1" s="1"/>
  <c r="L929" i="1" a="1"/>
  <c r="L929" i="1" s="1"/>
  <c r="M929" i="1" a="1"/>
  <c r="M929" i="1" s="1"/>
  <c r="L935" i="1" a="1"/>
  <c r="L935" i="1" s="1"/>
  <c r="M935" i="1" a="1"/>
  <c r="M935" i="1" s="1"/>
  <c r="L941" i="1" a="1"/>
  <c r="L941" i="1" s="1"/>
  <c r="M941" i="1" a="1"/>
  <c r="M941" i="1" s="1"/>
  <c r="L947" i="1" a="1"/>
  <c r="L947" i="1" s="1"/>
  <c r="M947" i="1" a="1"/>
  <c r="M947" i="1" s="1"/>
  <c r="L953" i="1" a="1"/>
  <c r="L953" i="1" s="1"/>
  <c r="M953" i="1" a="1"/>
  <c r="M953" i="1" s="1"/>
  <c r="L959" i="1" a="1"/>
  <c r="L959" i="1" s="1"/>
  <c r="M959" i="1" a="1"/>
  <c r="M959" i="1" s="1"/>
  <c r="L965" i="1" a="1"/>
  <c r="L965" i="1" s="1"/>
  <c r="M965" i="1" a="1"/>
  <c r="M965" i="1" s="1"/>
  <c r="L971" i="1" a="1"/>
  <c r="L971" i="1" s="1"/>
  <c r="M971" i="1" a="1"/>
  <c r="M971" i="1" s="1"/>
  <c r="L977" i="1" a="1"/>
  <c r="L977" i="1" s="1"/>
  <c r="M977" i="1" a="1"/>
  <c r="M977" i="1" s="1"/>
  <c r="L983" i="1" a="1"/>
  <c r="L983" i="1" s="1"/>
  <c r="M983" i="1" a="1"/>
  <c r="M983" i="1" s="1"/>
  <c r="L989" i="1" a="1"/>
  <c r="L989" i="1" s="1"/>
  <c r="M989" i="1" a="1"/>
  <c r="M989" i="1" s="1"/>
  <c r="L995" i="1" a="1"/>
  <c r="L995" i="1" s="1"/>
  <c r="M995" i="1" a="1"/>
  <c r="M995" i="1" s="1"/>
  <c r="L1001" i="1" a="1"/>
  <c r="L1001" i="1" s="1"/>
  <c r="M1001" i="1" a="1"/>
  <c r="M1001" i="1" s="1"/>
  <c r="L1007" i="1" a="1"/>
  <c r="L1007" i="1" s="1"/>
  <c r="M1007" i="1" a="1"/>
  <c r="M1007" i="1" s="1"/>
  <c r="L1013" i="1" a="1"/>
  <c r="L1013" i="1" s="1"/>
  <c r="M1013" i="1" a="1"/>
  <c r="M1013" i="1" s="1"/>
  <c r="L1019" i="1" a="1"/>
  <c r="L1019" i="1" s="1"/>
  <c r="M1019" i="1" a="1"/>
  <c r="M1019" i="1" s="1"/>
  <c r="L1025" i="1" a="1"/>
  <c r="L1025" i="1" s="1"/>
  <c r="M1025" i="1" a="1"/>
  <c r="M1025" i="1" s="1"/>
  <c r="L1031" i="1" a="1"/>
  <c r="L1031" i="1" s="1"/>
  <c r="M1031" i="1" a="1"/>
  <c r="M1031" i="1" s="1"/>
  <c r="L1037" i="1" a="1"/>
  <c r="L1037" i="1" s="1"/>
  <c r="M1037" i="1" a="1"/>
  <c r="M1037" i="1" s="1"/>
  <c r="L1043" i="1" a="1"/>
  <c r="L1043" i="1" s="1"/>
  <c r="M1043" i="1" a="1"/>
  <c r="M1043" i="1" s="1"/>
  <c r="L1049" i="1" a="1"/>
  <c r="L1049" i="1" s="1"/>
  <c r="M1049" i="1" a="1"/>
  <c r="M1049" i="1" s="1"/>
  <c r="L1055" i="1" a="1"/>
  <c r="L1055" i="1" s="1"/>
  <c r="M1055" i="1" a="1"/>
  <c r="M1055" i="1" s="1"/>
  <c r="L1061" i="1" a="1"/>
  <c r="L1061" i="1" s="1"/>
  <c r="M1061" i="1" a="1"/>
  <c r="M1061" i="1" s="1"/>
  <c r="L1067" i="1" a="1"/>
  <c r="L1067" i="1" s="1"/>
  <c r="M1067" i="1" a="1"/>
  <c r="M1067" i="1" s="1"/>
  <c r="L1073" i="1" a="1"/>
  <c r="L1073" i="1" s="1"/>
  <c r="M1073" i="1" a="1"/>
  <c r="M1073" i="1" s="1"/>
  <c r="L1079" i="1" a="1"/>
  <c r="L1079" i="1" s="1"/>
  <c r="M1079" i="1" a="1"/>
  <c r="M1079" i="1" s="1"/>
  <c r="L1085" i="1" a="1"/>
  <c r="L1085" i="1" s="1"/>
  <c r="M1085" i="1" a="1"/>
  <c r="M1085" i="1" s="1"/>
  <c r="L1091" i="1" a="1"/>
  <c r="L1091" i="1" s="1"/>
  <c r="M1091" i="1" a="1"/>
  <c r="M1091" i="1" s="1"/>
  <c r="L1097" i="1" a="1"/>
  <c r="L1097" i="1" s="1"/>
  <c r="M1097" i="1" a="1"/>
  <c r="M1097" i="1" s="1"/>
  <c r="L1103" i="1" a="1"/>
  <c r="L1103" i="1" s="1"/>
  <c r="M1103" i="1" a="1"/>
  <c r="M1103" i="1" s="1"/>
  <c r="L1109" i="1" a="1"/>
  <c r="L1109" i="1" s="1"/>
  <c r="M1109" i="1" a="1"/>
  <c r="M1109" i="1" s="1"/>
  <c r="L1115" i="1" a="1"/>
  <c r="L1115" i="1" s="1"/>
  <c r="M1115" i="1" a="1"/>
  <c r="M1115" i="1" s="1"/>
  <c r="L1121" i="1" a="1"/>
  <c r="L1121" i="1" s="1"/>
  <c r="M1121" i="1" a="1"/>
  <c r="M1121" i="1" s="1"/>
  <c r="L1127" i="1" a="1"/>
  <c r="L1127" i="1" s="1"/>
  <c r="M1127" i="1" a="1"/>
  <c r="M1127" i="1" s="1"/>
  <c r="L1133" i="1" a="1"/>
  <c r="L1133" i="1" s="1"/>
  <c r="M1133" i="1" a="1"/>
  <c r="M1133" i="1" s="1"/>
  <c r="L1139" i="1" a="1"/>
  <c r="L1139" i="1" s="1"/>
  <c r="M1139" i="1" a="1"/>
  <c r="M1139" i="1" s="1"/>
  <c r="L1145" i="1" a="1"/>
  <c r="L1145" i="1" s="1"/>
  <c r="M1145" i="1" a="1"/>
  <c r="M1145" i="1" s="1"/>
  <c r="L1151" i="1" a="1"/>
  <c r="L1151" i="1" s="1"/>
  <c r="M1151" i="1" a="1"/>
  <c r="M1151" i="1" s="1"/>
  <c r="L1157" i="1" a="1"/>
  <c r="L1157" i="1" s="1"/>
  <c r="M1157" i="1" a="1"/>
  <c r="M1157" i="1" s="1"/>
  <c r="L1163" i="1" a="1"/>
  <c r="L1163" i="1" s="1"/>
  <c r="M1163" i="1" a="1"/>
  <c r="M1163" i="1" s="1"/>
  <c r="L1169" i="1" a="1"/>
  <c r="L1169" i="1" s="1"/>
  <c r="M1169" i="1" a="1"/>
  <c r="M1169" i="1" s="1"/>
  <c r="L1175" i="1" a="1"/>
  <c r="L1175" i="1" s="1"/>
  <c r="M1175" i="1" a="1"/>
  <c r="M1175" i="1" s="1"/>
  <c r="L1181" i="1" a="1"/>
  <c r="L1181" i="1" s="1"/>
  <c r="M1181" i="1" a="1"/>
  <c r="M1181" i="1" s="1"/>
  <c r="L1187" i="1" a="1"/>
  <c r="L1187" i="1" s="1"/>
  <c r="M1187" i="1" a="1"/>
  <c r="M1187" i="1" s="1"/>
  <c r="L1193" i="1" a="1"/>
  <c r="L1193" i="1" s="1"/>
  <c r="M1193" i="1" a="1"/>
  <c r="M1193" i="1" s="1"/>
  <c r="L1199" i="1" a="1"/>
  <c r="L1199" i="1" s="1"/>
  <c r="M1199" i="1" a="1"/>
  <c r="M1199" i="1" s="1"/>
  <c r="L1205" i="1" a="1"/>
  <c r="L1205" i="1" s="1"/>
  <c r="M1205" i="1" a="1"/>
  <c r="M1205" i="1" s="1"/>
  <c r="L1211" i="1" a="1"/>
  <c r="L1211" i="1" s="1"/>
  <c r="M1211" i="1" a="1"/>
  <c r="M1211" i="1" s="1"/>
  <c r="L1217" i="1" a="1"/>
  <c r="L1217" i="1" s="1"/>
  <c r="M1217" i="1" a="1"/>
  <c r="M1217" i="1" s="1"/>
  <c r="L1223" i="1" a="1"/>
  <c r="L1223" i="1" s="1"/>
  <c r="M1223" i="1" a="1"/>
  <c r="M1223" i="1" s="1"/>
  <c r="L1229" i="1" a="1"/>
  <c r="L1229" i="1" s="1"/>
  <c r="M1229" i="1" a="1"/>
  <c r="M1229" i="1" s="1"/>
  <c r="L1235" i="1" a="1"/>
  <c r="L1235" i="1" s="1"/>
  <c r="M1235" i="1" a="1"/>
  <c r="M1235" i="1" s="1"/>
  <c r="L1241" i="1" a="1"/>
  <c r="L1241" i="1" s="1"/>
  <c r="M1241" i="1" a="1"/>
  <c r="M1241" i="1" s="1"/>
  <c r="L1247" i="1" a="1"/>
  <c r="L1247" i="1" s="1"/>
  <c r="M1247" i="1" a="1"/>
  <c r="M1247" i="1" s="1"/>
  <c r="L1253" i="1" a="1"/>
  <c r="L1253" i="1" s="1"/>
  <c r="M1253" i="1" a="1"/>
  <c r="M1253" i="1" s="1"/>
  <c r="L1259" i="1" a="1"/>
  <c r="L1259" i="1" s="1"/>
  <c r="M1259" i="1" a="1"/>
  <c r="M1259" i="1" s="1"/>
  <c r="L1265" i="1" a="1"/>
  <c r="L1265" i="1" s="1"/>
  <c r="M1265" i="1" a="1"/>
  <c r="M1265" i="1" s="1"/>
  <c r="L1271" i="1" a="1"/>
  <c r="L1271" i="1" s="1"/>
  <c r="M1271" i="1" a="1"/>
  <c r="M1271" i="1" s="1"/>
  <c r="L1277" i="1" a="1"/>
  <c r="L1277" i="1" s="1"/>
  <c r="M1277" i="1" a="1"/>
  <c r="M1277" i="1" s="1"/>
  <c r="L1283" i="1" a="1"/>
  <c r="L1283" i="1" s="1"/>
  <c r="M1283" i="1" a="1"/>
  <c r="M1283" i="1" s="1"/>
  <c r="L1289" i="1" a="1"/>
  <c r="L1289" i="1" s="1"/>
  <c r="M1289" i="1" a="1"/>
  <c r="M1289" i="1" s="1"/>
  <c r="L1295" i="1" a="1"/>
  <c r="L1295" i="1" s="1"/>
  <c r="M1295" i="1" a="1"/>
  <c r="M1295" i="1" s="1"/>
  <c r="L1301" i="1" a="1"/>
  <c r="L1301" i="1" s="1"/>
  <c r="M1301" i="1" a="1"/>
  <c r="M1301" i="1" s="1"/>
  <c r="L1307" i="1" a="1"/>
  <c r="L1307" i="1" s="1"/>
  <c r="M1307" i="1" a="1"/>
  <c r="M1307" i="1" s="1"/>
  <c r="L1313" i="1" a="1"/>
  <c r="L1313" i="1" s="1"/>
  <c r="M1313" i="1" a="1"/>
  <c r="M1313" i="1" s="1"/>
  <c r="L1319" i="1" a="1"/>
  <c r="L1319" i="1" s="1"/>
  <c r="M1319" i="1" a="1"/>
  <c r="M1319" i="1" s="1"/>
  <c r="L1325" i="1" a="1"/>
  <c r="L1325" i="1" s="1"/>
  <c r="M1325" i="1" a="1"/>
  <c r="M1325" i="1" s="1"/>
  <c r="L1331" i="1" a="1"/>
  <c r="L1331" i="1" s="1"/>
  <c r="M1331" i="1" a="1"/>
  <c r="M1331" i="1" s="1"/>
  <c r="L1337" i="1" a="1"/>
  <c r="L1337" i="1" s="1"/>
  <c r="M1337" i="1" a="1"/>
  <c r="M1337" i="1" s="1"/>
  <c r="L1343" i="1" a="1"/>
  <c r="L1343" i="1" s="1"/>
  <c r="M1343" i="1" a="1"/>
  <c r="M1343" i="1" s="1"/>
  <c r="L1349" i="1" a="1"/>
  <c r="L1349" i="1" s="1"/>
  <c r="M1349" i="1" a="1"/>
  <c r="M1349" i="1" s="1"/>
  <c r="L1355" i="1" a="1"/>
  <c r="L1355" i="1" s="1"/>
  <c r="M1355" i="1" a="1"/>
  <c r="M1355" i="1" s="1"/>
  <c r="L1361" i="1" a="1"/>
  <c r="L1361" i="1" s="1"/>
  <c r="M1361" i="1" a="1"/>
  <c r="M1361" i="1" s="1"/>
  <c r="L1367" i="1" a="1"/>
  <c r="L1367" i="1" s="1"/>
  <c r="M1367" i="1" a="1"/>
  <c r="M1367" i="1" s="1"/>
  <c r="L1373" i="1" a="1"/>
  <c r="L1373" i="1" s="1"/>
  <c r="M1373" i="1" a="1"/>
  <c r="M1373" i="1" s="1"/>
  <c r="L594" i="1" a="1"/>
  <c r="L594" i="1" s="1"/>
  <c r="M594" i="1" a="1"/>
  <c r="M594" i="1" s="1"/>
  <c r="L600" i="1" a="1"/>
  <c r="L600" i="1" s="1"/>
  <c r="M600" i="1" a="1"/>
  <c r="M600" i="1" s="1"/>
  <c r="L606" i="1" a="1"/>
  <c r="L606" i="1" s="1"/>
  <c r="M606" i="1" a="1"/>
  <c r="M606" i="1" s="1"/>
  <c r="L612" i="1" a="1"/>
  <c r="L612" i="1" s="1"/>
  <c r="M612" i="1" a="1"/>
  <c r="M612" i="1" s="1"/>
  <c r="L618" i="1" a="1"/>
  <c r="L618" i="1" s="1"/>
  <c r="M618" i="1" a="1"/>
  <c r="M618" i="1" s="1"/>
  <c r="L624" i="1" a="1"/>
  <c r="L624" i="1" s="1"/>
  <c r="M624" i="1" a="1"/>
  <c r="M624" i="1" s="1"/>
  <c r="L630" i="1" a="1"/>
  <c r="L630" i="1" s="1"/>
  <c r="M630" i="1" a="1"/>
  <c r="M630" i="1" s="1"/>
  <c r="L636" i="1" a="1"/>
  <c r="L636" i="1" s="1"/>
  <c r="M636" i="1" a="1"/>
  <c r="M636" i="1" s="1"/>
  <c r="L642" i="1" a="1"/>
  <c r="L642" i="1" s="1"/>
  <c r="M642" i="1" a="1"/>
  <c r="M642" i="1" s="1"/>
  <c r="L648" i="1" a="1"/>
  <c r="L648" i="1" s="1"/>
  <c r="M648" i="1" a="1"/>
  <c r="M648" i="1" s="1"/>
  <c r="L654" i="1" a="1"/>
  <c r="L654" i="1" s="1"/>
  <c r="M654" i="1" a="1"/>
  <c r="M654" i="1" s="1"/>
  <c r="L660" i="1" a="1"/>
  <c r="L660" i="1" s="1"/>
  <c r="M660" i="1" a="1"/>
  <c r="M660" i="1" s="1"/>
  <c r="L666" i="1" a="1"/>
  <c r="L666" i="1" s="1"/>
  <c r="M666" i="1" a="1"/>
  <c r="M666" i="1" s="1"/>
  <c r="L672" i="1" a="1"/>
  <c r="L672" i="1" s="1"/>
  <c r="M672" i="1" a="1"/>
  <c r="M672" i="1" s="1"/>
  <c r="L678" i="1" a="1"/>
  <c r="L678" i="1" s="1"/>
  <c r="M678" i="1" a="1"/>
  <c r="M678" i="1" s="1"/>
  <c r="L684" i="1" a="1"/>
  <c r="L684" i="1" s="1"/>
  <c r="M684" i="1" a="1"/>
  <c r="M684" i="1" s="1"/>
  <c r="L690" i="1" a="1"/>
  <c r="L690" i="1" s="1"/>
  <c r="M690" i="1" a="1"/>
  <c r="M690" i="1" s="1"/>
  <c r="L696" i="1" a="1"/>
  <c r="L696" i="1" s="1"/>
  <c r="M696" i="1" a="1"/>
  <c r="M696" i="1" s="1"/>
  <c r="L702" i="1" a="1"/>
  <c r="L702" i="1" s="1"/>
  <c r="M702" i="1" a="1"/>
  <c r="M702" i="1" s="1"/>
  <c r="L708" i="1" a="1"/>
  <c r="L708" i="1" s="1"/>
  <c r="M708" i="1" a="1"/>
  <c r="M708" i="1" s="1"/>
  <c r="L714" i="1" a="1"/>
  <c r="L714" i="1" s="1"/>
  <c r="M714" i="1" a="1"/>
  <c r="M714" i="1" s="1"/>
  <c r="L720" i="1" a="1"/>
  <c r="L720" i="1" s="1"/>
  <c r="M720" i="1" a="1"/>
  <c r="M720" i="1" s="1"/>
  <c r="L726" i="1" a="1"/>
  <c r="L726" i="1" s="1"/>
  <c r="M726" i="1" a="1"/>
  <c r="M726" i="1" s="1"/>
  <c r="L732" i="1" a="1"/>
  <c r="L732" i="1" s="1"/>
  <c r="M732" i="1" a="1"/>
  <c r="M732" i="1" s="1"/>
  <c r="L738" i="1" a="1"/>
  <c r="L738" i="1" s="1"/>
  <c r="M738" i="1" a="1"/>
  <c r="M738" i="1" s="1"/>
  <c r="L744" i="1" a="1"/>
  <c r="L744" i="1" s="1"/>
  <c r="M744" i="1" a="1"/>
  <c r="M744" i="1" s="1"/>
  <c r="L756" i="1" a="1"/>
  <c r="L756" i="1" s="1"/>
  <c r="M756" i="1" a="1"/>
  <c r="M756" i="1" s="1"/>
  <c r="L762" i="1" a="1"/>
  <c r="L762" i="1" s="1"/>
  <c r="M762" i="1" a="1"/>
  <c r="M762" i="1" s="1"/>
  <c r="L774" i="1" a="1"/>
  <c r="L774" i="1" s="1"/>
  <c r="M774" i="1" a="1"/>
  <c r="M774" i="1" s="1"/>
  <c r="L786" i="1" a="1"/>
  <c r="L786" i="1" s="1"/>
  <c r="M786" i="1" a="1"/>
  <c r="M786" i="1" s="1"/>
  <c r="L798" i="1" a="1"/>
  <c r="L798" i="1" s="1"/>
  <c r="M798" i="1" a="1"/>
  <c r="M798" i="1" s="1"/>
  <c r="L810" i="1" a="1"/>
  <c r="L810" i="1" s="1"/>
  <c r="M810" i="1" a="1"/>
  <c r="M810" i="1" s="1"/>
  <c r="L822" i="1" a="1"/>
  <c r="L822" i="1" s="1"/>
  <c r="M822" i="1" a="1"/>
  <c r="M822" i="1" s="1"/>
  <c r="L834" i="1" a="1"/>
  <c r="L834" i="1" s="1"/>
  <c r="M834" i="1" a="1"/>
  <c r="M834" i="1" s="1"/>
  <c r="L846" i="1" a="1"/>
  <c r="L846" i="1" s="1"/>
  <c r="M846" i="1" a="1"/>
  <c r="M846" i="1" s="1"/>
  <c r="L858" i="1" a="1"/>
  <c r="L858" i="1" s="1"/>
  <c r="M858" i="1" a="1"/>
  <c r="M858" i="1" s="1"/>
  <c r="L870" i="1" a="1"/>
  <c r="L870" i="1" s="1"/>
  <c r="M870" i="1" a="1"/>
  <c r="M870" i="1" s="1"/>
  <c r="L882" i="1" a="1"/>
  <c r="L882" i="1" s="1"/>
  <c r="M882" i="1" a="1"/>
  <c r="M882" i="1" s="1"/>
  <c r="L894" i="1" a="1"/>
  <c r="L894" i="1" s="1"/>
  <c r="M894" i="1" a="1"/>
  <c r="M894" i="1" s="1"/>
  <c r="L906" i="1" a="1"/>
  <c r="L906" i="1" s="1"/>
  <c r="M906" i="1" a="1"/>
  <c r="M906" i="1" s="1"/>
  <c r="L918" i="1" a="1"/>
  <c r="L918" i="1" s="1"/>
  <c r="M918" i="1" a="1"/>
  <c r="M918" i="1" s="1"/>
  <c r="L930" i="1" a="1"/>
  <c r="L930" i="1" s="1"/>
  <c r="M930" i="1" a="1"/>
  <c r="M930" i="1" s="1"/>
  <c r="L942" i="1" a="1"/>
  <c r="L942" i="1" s="1"/>
  <c r="M942" i="1" a="1"/>
  <c r="M942" i="1" s="1"/>
  <c r="L954" i="1" a="1"/>
  <c r="L954" i="1" s="1"/>
  <c r="M954" i="1" a="1"/>
  <c r="M954" i="1" s="1"/>
  <c r="L966" i="1" a="1"/>
  <c r="L966" i="1" s="1"/>
  <c r="M966" i="1" a="1"/>
  <c r="M966" i="1" s="1"/>
  <c r="L978" i="1" a="1"/>
  <c r="L978" i="1" s="1"/>
  <c r="M978" i="1" a="1"/>
  <c r="M978" i="1" s="1"/>
  <c r="L990" i="1" a="1"/>
  <c r="L990" i="1" s="1"/>
  <c r="M990" i="1" a="1"/>
  <c r="M990" i="1" s="1"/>
  <c r="L1002" i="1" a="1"/>
  <c r="L1002" i="1" s="1"/>
  <c r="M1002" i="1" a="1"/>
  <c r="M1002" i="1" s="1"/>
  <c r="L1008" i="1" a="1"/>
  <c r="L1008" i="1" s="1"/>
  <c r="M1008" i="1" a="1"/>
  <c r="M1008" i="1" s="1"/>
  <c r="L1026" i="1" a="1"/>
  <c r="L1026" i="1" s="1"/>
  <c r="M1026" i="1" a="1"/>
  <c r="M1026" i="1" s="1"/>
  <c r="L1038" i="1" a="1"/>
  <c r="L1038" i="1" s="1"/>
  <c r="M1038" i="1" a="1"/>
  <c r="M1038" i="1" s="1"/>
  <c r="L1050" i="1" a="1"/>
  <c r="L1050" i="1" s="1"/>
  <c r="M1050" i="1" a="1"/>
  <c r="M1050" i="1" s="1"/>
  <c r="L1062" i="1" a="1"/>
  <c r="L1062" i="1" s="1"/>
  <c r="M1062" i="1" a="1"/>
  <c r="M1062" i="1" s="1"/>
  <c r="L1074" i="1" a="1"/>
  <c r="L1074" i="1" s="1"/>
  <c r="M1074" i="1" a="1"/>
  <c r="M1074" i="1" s="1"/>
  <c r="L1086" i="1" a="1"/>
  <c r="L1086" i="1" s="1"/>
  <c r="M1086" i="1" a="1"/>
  <c r="M1086" i="1" s="1"/>
  <c r="L1092" i="1" a="1"/>
  <c r="L1092" i="1" s="1"/>
  <c r="M1092" i="1" a="1"/>
  <c r="M1092" i="1" s="1"/>
  <c r="L1104" i="1" a="1"/>
  <c r="L1104" i="1" s="1"/>
  <c r="M1104" i="1" a="1"/>
  <c r="M1104" i="1" s="1"/>
  <c r="L1116" i="1" a="1"/>
  <c r="L1116" i="1" s="1"/>
  <c r="M1116" i="1" a="1"/>
  <c r="M1116" i="1" s="1"/>
  <c r="L1128" i="1" a="1"/>
  <c r="L1128" i="1" s="1"/>
  <c r="M1128" i="1" a="1"/>
  <c r="M1128" i="1" s="1"/>
  <c r="L1140" i="1" a="1"/>
  <c r="L1140" i="1" s="1"/>
  <c r="M1140" i="1" a="1"/>
  <c r="M1140" i="1" s="1"/>
  <c r="L1152" i="1" a="1"/>
  <c r="L1152" i="1" s="1"/>
  <c r="M1152" i="1" a="1"/>
  <c r="M1152" i="1" s="1"/>
  <c r="L1164" i="1" a="1"/>
  <c r="L1164" i="1" s="1"/>
  <c r="M1164" i="1" a="1"/>
  <c r="M1164" i="1" s="1"/>
  <c r="L1176" i="1" a="1"/>
  <c r="L1176" i="1" s="1"/>
  <c r="M1176" i="1" a="1"/>
  <c r="M1176" i="1" s="1"/>
  <c r="L1188" i="1" a="1"/>
  <c r="L1188" i="1" s="1"/>
  <c r="M1188" i="1" a="1"/>
  <c r="M1188" i="1" s="1"/>
  <c r="L1200" i="1" a="1"/>
  <c r="L1200" i="1" s="1"/>
  <c r="M1200" i="1" a="1"/>
  <c r="M1200" i="1" s="1"/>
  <c r="L1212" i="1" a="1"/>
  <c r="L1212" i="1" s="1"/>
  <c r="M1212" i="1" a="1"/>
  <c r="M1212" i="1" s="1"/>
  <c r="L1224" i="1" a="1"/>
  <c r="L1224" i="1" s="1"/>
  <c r="M1224" i="1" a="1"/>
  <c r="M1224" i="1" s="1"/>
  <c r="L1236" i="1" a="1"/>
  <c r="L1236" i="1" s="1"/>
  <c r="M1236" i="1" a="1"/>
  <c r="M1236" i="1" s="1"/>
  <c r="L1248" i="1" a="1"/>
  <c r="L1248" i="1" s="1"/>
  <c r="M1248" i="1" a="1"/>
  <c r="M1248" i="1" s="1"/>
  <c r="L1260" i="1" a="1"/>
  <c r="L1260" i="1" s="1"/>
  <c r="M1260" i="1" a="1"/>
  <c r="M1260" i="1" s="1"/>
  <c r="L1272" i="1" a="1"/>
  <c r="L1272" i="1" s="1"/>
  <c r="M1272" i="1" a="1"/>
  <c r="M1272" i="1" s="1"/>
  <c r="L1284" i="1" a="1"/>
  <c r="L1284" i="1" s="1"/>
  <c r="M1284" i="1" a="1"/>
  <c r="M1284" i="1" s="1"/>
  <c r="L1296" i="1" a="1"/>
  <c r="L1296" i="1" s="1"/>
  <c r="M1296" i="1" a="1"/>
  <c r="M1296" i="1" s="1"/>
  <c r="L1308" i="1" a="1"/>
  <c r="L1308" i="1" s="1"/>
  <c r="M1308" i="1" a="1"/>
  <c r="M1308" i="1" s="1"/>
  <c r="L1320" i="1" a="1"/>
  <c r="L1320" i="1" s="1"/>
  <c r="M1320" i="1" a="1"/>
  <c r="M1320" i="1" s="1"/>
  <c r="L1332" i="1" a="1"/>
  <c r="L1332" i="1" s="1"/>
  <c r="M1332" i="1" a="1"/>
  <c r="M1332" i="1" s="1"/>
  <c r="L1344" i="1" a="1"/>
  <c r="L1344" i="1" s="1"/>
  <c r="M1344" i="1" a="1"/>
  <c r="M1344" i="1" s="1"/>
  <c r="L1356" i="1" a="1"/>
  <c r="L1356" i="1" s="1"/>
  <c r="M1356" i="1" a="1"/>
  <c r="M1356" i="1" s="1"/>
  <c r="L1362" i="1" a="1"/>
  <c r="L1362" i="1" s="1"/>
  <c r="M1362" i="1" a="1"/>
  <c r="M1362" i="1" s="1"/>
  <c r="L1368" i="1" a="1"/>
  <c r="L1368" i="1" s="1"/>
  <c r="M1368" i="1" a="1"/>
  <c r="M1368" i="1" s="1"/>
  <c r="L1380" i="1" a="1"/>
  <c r="L1380" i="1" s="1"/>
  <c r="M1380" i="1" a="1"/>
  <c r="M1380" i="1" s="1"/>
  <c r="L750" i="1" a="1"/>
  <c r="L750" i="1" s="1"/>
  <c r="M750" i="1" a="1"/>
  <c r="M750" i="1" s="1"/>
  <c r="L768" i="1" a="1"/>
  <c r="L768" i="1" s="1"/>
  <c r="M768" i="1" a="1"/>
  <c r="M768" i="1" s="1"/>
  <c r="L780" i="1" a="1"/>
  <c r="L780" i="1" s="1"/>
  <c r="M780" i="1" a="1"/>
  <c r="M780" i="1" s="1"/>
  <c r="L792" i="1" a="1"/>
  <c r="L792" i="1" s="1"/>
  <c r="M792" i="1" a="1"/>
  <c r="M792" i="1" s="1"/>
  <c r="L804" i="1" a="1"/>
  <c r="L804" i="1" s="1"/>
  <c r="M804" i="1" a="1"/>
  <c r="M804" i="1" s="1"/>
  <c r="L816" i="1" a="1"/>
  <c r="L816" i="1" s="1"/>
  <c r="M816" i="1" a="1"/>
  <c r="M816" i="1" s="1"/>
  <c r="L828" i="1" a="1"/>
  <c r="L828" i="1" s="1"/>
  <c r="M828" i="1" a="1"/>
  <c r="M828" i="1" s="1"/>
  <c r="L840" i="1" a="1"/>
  <c r="L840" i="1" s="1"/>
  <c r="M840" i="1" a="1"/>
  <c r="M840" i="1" s="1"/>
  <c r="L852" i="1" a="1"/>
  <c r="L852" i="1" s="1"/>
  <c r="M852" i="1" a="1"/>
  <c r="M852" i="1" s="1"/>
  <c r="L864" i="1" a="1"/>
  <c r="L864" i="1" s="1"/>
  <c r="M864" i="1" a="1"/>
  <c r="M864" i="1" s="1"/>
  <c r="L876" i="1" a="1"/>
  <c r="L876" i="1" s="1"/>
  <c r="M876" i="1" a="1"/>
  <c r="M876" i="1" s="1"/>
  <c r="L888" i="1" a="1"/>
  <c r="L888" i="1" s="1"/>
  <c r="M888" i="1" a="1"/>
  <c r="M888" i="1" s="1"/>
  <c r="L900" i="1" a="1"/>
  <c r="L900" i="1" s="1"/>
  <c r="M900" i="1" a="1"/>
  <c r="M900" i="1" s="1"/>
  <c r="L912" i="1" a="1"/>
  <c r="L912" i="1" s="1"/>
  <c r="M912" i="1" a="1"/>
  <c r="M912" i="1" s="1"/>
  <c r="L924" i="1" a="1"/>
  <c r="L924" i="1" s="1"/>
  <c r="M924" i="1" a="1"/>
  <c r="M924" i="1" s="1"/>
  <c r="L936" i="1" a="1"/>
  <c r="L936" i="1" s="1"/>
  <c r="M936" i="1" a="1"/>
  <c r="M936" i="1" s="1"/>
  <c r="L948" i="1" a="1"/>
  <c r="L948" i="1" s="1"/>
  <c r="M948" i="1" a="1"/>
  <c r="M948" i="1" s="1"/>
  <c r="L960" i="1" a="1"/>
  <c r="L960" i="1" s="1"/>
  <c r="M960" i="1" a="1"/>
  <c r="M960" i="1" s="1"/>
  <c r="L972" i="1" a="1"/>
  <c r="L972" i="1" s="1"/>
  <c r="M972" i="1" a="1"/>
  <c r="M972" i="1" s="1"/>
  <c r="L984" i="1" a="1"/>
  <c r="L984" i="1" s="1"/>
  <c r="M984" i="1" a="1"/>
  <c r="M984" i="1" s="1"/>
  <c r="L996" i="1" a="1"/>
  <c r="L996" i="1" s="1"/>
  <c r="M996" i="1" a="1"/>
  <c r="M996" i="1" s="1"/>
  <c r="L1014" i="1" a="1"/>
  <c r="L1014" i="1" s="1"/>
  <c r="M1014" i="1" a="1"/>
  <c r="M1014" i="1" s="1"/>
  <c r="L1020" i="1" a="1"/>
  <c r="L1020" i="1" s="1"/>
  <c r="M1020" i="1" a="1"/>
  <c r="M1020" i="1" s="1"/>
  <c r="L1032" i="1" a="1"/>
  <c r="L1032" i="1" s="1"/>
  <c r="M1032" i="1" a="1"/>
  <c r="M1032" i="1" s="1"/>
  <c r="L1044" i="1" a="1"/>
  <c r="L1044" i="1" s="1"/>
  <c r="M1044" i="1" a="1"/>
  <c r="M1044" i="1" s="1"/>
  <c r="L1056" i="1" a="1"/>
  <c r="L1056" i="1" s="1"/>
  <c r="M1056" i="1" a="1"/>
  <c r="M1056" i="1" s="1"/>
  <c r="L1068" i="1" a="1"/>
  <c r="L1068" i="1" s="1"/>
  <c r="M1068" i="1" a="1"/>
  <c r="M1068" i="1" s="1"/>
  <c r="L1080" i="1" a="1"/>
  <c r="L1080" i="1" s="1"/>
  <c r="M1080" i="1" a="1"/>
  <c r="M1080" i="1" s="1"/>
  <c r="L1098" i="1" a="1"/>
  <c r="L1098" i="1" s="1"/>
  <c r="M1098" i="1" a="1"/>
  <c r="M1098" i="1" s="1"/>
  <c r="L1110" i="1" a="1"/>
  <c r="L1110" i="1" s="1"/>
  <c r="M1110" i="1" a="1"/>
  <c r="M1110" i="1" s="1"/>
  <c r="L1122" i="1" a="1"/>
  <c r="L1122" i="1" s="1"/>
  <c r="M1122" i="1" a="1"/>
  <c r="M1122" i="1" s="1"/>
  <c r="L1134" i="1" a="1"/>
  <c r="L1134" i="1" s="1"/>
  <c r="M1134" i="1" a="1"/>
  <c r="M1134" i="1" s="1"/>
  <c r="L1146" i="1" a="1"/>
  <c r="L1146" i="1" s="1"/>
  <c r="M1146" i="1" a="1"/>
  <c r="M1146" i="1" s="1"/>
  <c r="L1158" i="1" a="1"/>
  <c r="L1158" i="1" s="1"/>
  <c r="M1158" i="1" a="1"/>
  <c r="M1158" i="1" s="1"/>
  <c r="L1170" i="1" a="1"/>
  <c r="L1170" i="1" s="1"/>
  <c r="M1170" i="1" a="1"/>
  <c r="M1170" i="1" s="1"/>
  <c r="L1182" i="1" a="1"/>
  <c r="L1182" i="1" s="1"/>
  <c r="M1182" i="1" a="1"/>
  <c r="M1182" i="1" s="1"/>
  <c r="L1194" i="1" a="1"/>
  <c r="L1194" i="1" s="1"/>
  <c r="M1194" i="1" a="1"/>
  <c r="M1194" i="1" s="1"/>
  <c r="L1206" i="1" a="1"/>
  <c r="L1206" i="1" s="1"/>
  <c r="M1206" i="1" a="1"/>
  <c r="M1206" i="1" s="1"/>
  <c r="L1218" i="1" a="1"/>
  <c r="L1218" i="1" s="1"/>
  <c r="M1218" i="1" a="1"/>
  <c r="M1218" i="1" s="1"/>
  <c r="L1230" i="1" a="1"/>
  <c r="L1230" i="1" s="1"/>
  <c r="M1230" i="1" a="1"/>
  <c r="M1230" i="1" s="1"/>
  <c r="L1242" i="1" a="1"/>
  <c r="L1242" i="1" s="1"/>
  <c r="M1242" i="1" a="1"/>
  <c r="M1242" i="1" s="1"/>
  <c r="L1254" i="1" a="1"/>
  <c r="L1254" i="1" s="1"/>
  <c r="M1254" i="1" a="1"/>
  <c r="M1254" i="1" s="1"/>
  <c r="L1266" i="1" a="1"/>
  <c r="L1266" i="1" s="1"/>
  <c r="M1266" i="1" a="1"/>
  <c r="M1266" i="1" s="1"/>
  <c r="L1278" i="1" a="1"/>
  <c r="L1278" i="1" s="1"/>
  <c r="M1278" i="1" a="1"/>
  <c r="M1278" i="1" s="1"/>
  <c r="L1290" i="1" a="1"/>
  <c r="L1290" i="1" s="1"/>
  <c r="M1290" i="1" a="1"/>
  <c r="M1290" i="1" s="1"/>
  <c r="L1302" i="1" a="1"/>
  <c r="L1302" i="1" s="1"/>
  <c r="M1302" i="1" a="1"/>
  <c r="M1302" i="1" s="1"/>
  <c r="L1314" i="1" a="1"/>
  <c r="L1314" i="1" s="1"/>
  <c r="M1314" i="1" a="1"/>
  <c r="M1314" i="1" s="1"/>
  <c r="L1326" i="1" a="1"/>
  <c r="L1326" i="1" s="1"/>
  <c r="M1326" i="1" a="1"/>
  <c r="M1326" i="1" s="1"/>
  <c r="L1338" i="1" a="1"/>
  <c r="L1338" i="1" s="1"/>
  <c r="M1338" i="1" a="1"/>
  <c r="M1338" i="1" s="1"/>
  <c r="L1350" i="1" a="1"/>
  <c r="L1350" i="1" s="1"/>
  <c r="M1350" i="1" a="1"/>
  <c r="M1350" i="1" s="1"/>
  <c r="L1374" i="1" a="1"/>
  <c r="L1374" i="1" s="1"/>
  <c r="M1374" i="1" a="1"/>
  <c r="M1374" i="1" s="1"/>
  <c r="L739" i="1" a="1"/>
  <c r="L739" i="1" s="1"/>
  <c r="M739" i="1" a="1"/>
  <c r="M739" i="1" s="1"/>
  <c r="L751" i="1" a="1"/>
  <c r="L751" i="1" s="1"/>
  <c r="M751" i="1" a="1"/>
  <c r="M751" i="1" s="1"/>
  <c r="L763" i="1" a="1"/>
  <c r="L763" i="1" s="1"/>
  <c r="M763" i="1" a="1"/>
  <c r="M763" i="1" s="1"/>
  <c r="L775" i="1" a="1"/>
  <c r="L775" i="1" s="1"/>
  <c r="M775" i="1" a="1"/>
  <c r="M775" i="1" s="1"/>
  <c r="L787" i="1" a="1"/>
  <c r="L787" i="1" s="1"/>
  <c r="M787" i="1" a="1"/>
  <c r="M787" i="1" s="1"/>
  <c r="L799" i="1" a="1"/>
  <c r="L799" i="1" s="1"/>
  <c r="M799" i="1" a="1"/>
  <c r="M799" i="1" s="1"/>
  <c r="L811" i="1" a="1"/>
  <c r="L811" i="1" s="1"/>
  <c r="M811" i="1" a="1"/>
  <c r="M811" i="1" s="1"/>
  <c r="L823" i="1" a="1"/>
  <c r="L823" i="1" s="1"/>
  <c r="M823" i="1" a="1"/>
  <c r="M823" i="1" s="1"/>
  <c r="L835" i="1" a="1"/>
  <c r="L835" i="1" s="1"/>
  <c r="M835" i="1" a="1"/>
  <c r="M835" i="1" s="1"/>
  <c r="L847" i="1" a="1"/>
  <c r="L847" i="1" s="1"/>
  <c r="M847" i="1" a="1"/>
  <c r="M847" i="1" s="1"/>
  <c r="L865" i="1" a="1"/>
  <c r="L865" i="1" s="1"/>
  <c r="M865" i="1" a="1"/>
  <c r="M865" i="1" s="1"/>
  <c r="L877" i="1" a="1"/>
  <c r="L877" i="1" s="1"/>
  <c r="M877" i="1" a="1"/>
  <c r="M877" i="1" s="1"/>
  <c r="L889" i="1" a="1"/>
  <c r="L889" i="1" s="1"/>
  <c r="M889" i="1" a="1"/>
  <c r="M889" i="1" s="1"/>
  <c r="L901" i="1" a="1"/>
  <c r="L901" i="1" s="1"/>
  <c r="M901" i="1" a="1"/>
  <c r="M901" i="1" s="1"/>
  <c r="L913" i="1" a="1"/>
  <c r="L913" i="1" s="1"/>
  <c r="M913" i="1" a="1"/>
  <c r="M913" i="1" s="1"/>
  <c r="L925" i="1" a="1"/>
  <c r="L925" i="1" s="1"/>
  <c r="M925" i="1" a="1"/>
  <c r="M925" i="1" s="1"/>
  <c r="L937" i="1" a="1"/>
  <c r="L937" i="1" s="1"/>
  <c r="M937" i="1" a="1"/>
  <c r="M937" i="1" s="1"/>
  <c r="L955" i="1" a="1"/>
  <c r="L955" i="1" s="1"/>
  <c r="M955" i="1" a="1"/>
  <c r="M955" i="1" s="1"/>
  <c r="L967" i="1" a="1"/>
  <c r="L967" i="1" s="1"/>
  <c r="M967" i="1" a="1"/>
  <c r="M967" i="1" s="1"/>
  <c r="L979" i="1" a="1"/>
  <c r="L979" i="1" s="1"/>
  <c r="M979" i="1" a="1"/>
  <c r="M979" i="1" s="1"/>
  <c r="L991" i="1" a="1"/>
  <c r="L991" i="1" s="1"/>
  <c r="M991" i="1" a="1"/>
  <c r="M991" i="1" s="1"/>
  <c r="L1003" i="1" a="1"/>
  <c r="L1003" i="1" s="1"/>
  <c r="M1003" i="1" a="1"/>
  <c r="M1003" i="1" s="1"/>
  <c r="L1015" i="1" a="1"/>
  <c r="L1015" i="1" s="1"/>
  <c r="M1015" i="1" a="1"/>
  <c r="M1015" i="1" s="1"/>
  <c r="L1027" i="1" a="1"/>
  <c r="L1027" i="1" s="1"/>
  <c r="M1027" i="1" a="1"/>
  <c r="M1027" i="1" s="1"/>
  <c r="L1039" i="1" a="1"/>
  <c r="L1039" i="1" s="1"/>
  <c r="M1039" i="1" a="1"/>
  <c r="M1039" i="1" s="1"/>
  <c r="L1051" i="1" a="1"/>
  <c r="L1051" i="1" s="1"/>
  <c r="M1051" i="1" a="1"/>
  <c r="M1051" i="1" s="1"/>
  <c r="L1063" i="1" a="1"/>
  <c r="L1063" i="1" s="1"/>
  <c r="M1063" i="1" a="1"/>
  <c r="M1063" i="1" s="1"/>
  <c r="L1075" i="1" a="1"/>
  <c r="L1075" i="1" s="1"/>
  <c r="M1075" i="1" a="1"/>
  <c r="M1075" i="1" s="1"/>
  <c r="L1087" i="1" a="1"/>
  <c r="L1087" i="1" s="1"/>
  <c r="M1087" i="1" a="1"/>
  <c r="M1087" i="1" s="1"/>
  <c r="L1105" i="1" a="1"/>
  <c r="L1105" i="1" s="1"/>
  <c r="M1105" i="1" a="1"/>
  <c r="M1105" i="1" s="1"/>
  <c r="L1117" i="1" a="1"/>
  <c r="L1117" i="1" s="1"/>
  <c r="M1117" i="1" a="1"/>
  <c r="M1117" i="1" s="1"/>
  <c r="L1129" i="1" a="1"/>
  <c r="L1129" i="1" s="1"/>
  <c r="M1129" i="1" a="1"/>
  <c r="M1129" i="1" s="1"/>
  <c r="L1141" i="1" a="1"/>
  <c r="L1141" i="1" s="1"/>
  <c r="M1141" i="1" a="1"/>
  <c r="M1141" i="1" s="1"/>
  <c r="L1153" i="1" a="1"/>
  <c r="L1153" i="1" s="1"/>
  <c r="M1153" i="1" a="1"/>
  <c r="M1153" i="1" s="1"/>
  <c r="L1165" i="1" a="1"/>
  <c r="L1165" i="1" s="1"/>
  <c r="M1165" i="1" a="1"/>
  <c r="M1165" i="1" s="1"/>
  <c r="L1177" i="1" a="1"/>
  <c r="L1177" i="1" s="1"/>
  <c r="M1177" i="1" a="1"/>
  <c r="M1177" i="1" s="1"/>
  <c r="L1189" i="1" a="1"/>
  <c r="L1189" i="1" s="1"/>
  <c r="M1189" i="1" a="1"/>
  <c r="M1189" i="1" s="1"/>
  <c r="L1201" i="1" a="1"/>
  <c r="L1201" i="1" s="1"/>
  <c r="M1201" i="1" a="1"/>
  <c r="M1201" i="1" s="1"/>
  <c r="L1219" i="1" a="1"/>
  <c r="L1219" i="1" s="1"/>
  <c r="M1219" i="1" a="1"/>
  <c r="M1219" i="1" s="1"/>
  <c r="L1231" i="1" a="1"/>
  <c r="L1231" i="1" s="1"/>
  <c r="M1231" i="1" a="1"/>
  <c r="M1231" i="1" s="1"/>
  <c r="L1243" i="1" a="1"/>
  <c r="L1243" i="1" s="1"/>
  <c r="M1243" i="1" a="1"/>
  <c r="M1243" i="1" s="1"/>
  <c r="L1255" i="1" a="1"/>
  <c r="L1255" i="1" s="1"/>
  <c r="M1255" i="1" a="1"/>
  <c r="M1255" i="1" s="1"/>
  <c r="L1267" i="1" a="1"/>
  <c r="L1267" i="1" s="1"/>
  <c r="M1267" i="1" a="1"/>
  <c r="M1267" i="1" s="1"/>
  <c r="L1279" i="1" a="1"/>
  <c r="L1279" i="1" s="1"/>
  <c r="M1279" i="1" a="1"/>
  <c r="M1279" i="1" s="1"/>
  <c r="L1291" i="1" a="1"/>
  <c r="L1291" i="1" s="1"/>
  <c r="M1291" i="1" a="1"/>
  <c r="M1291" i="1" s="1"/>
  <c r="L1303" i="1" a="1"/>
  <c r="L1303" i="1" s="1"/>
  <c r="M1303" i="1" a="1"/>
  <c r="M1303" i="1" s="1"/>
  <c r="L1315" i="1" a="1"/>
  <c r="L1315" i="1" s="1"/>
  <c r="M1315" i="1" a="1"/>
  <c r="M1315" i="1" s="1"/>
  <c r="L1327" i="1" a="1"/>
  <c r="L1327" i="1" s="1"/>
  <c r="M1327" i="1" a="1"/>
  <c r="M1327" i="1" s="1"/>
  <c r="L1345" i="1" a="1"/>
  <c r="L1345" i="1" s="1"/>
  <c r="M1345" i="1" a="1"/>
  <c r="M1345" i="1" s="1"/>
  <c r="L1357" i="1" a="1"/>
  <c r="L1357" i="1" s="1"/>
  <c r="M1357" i="1" a="1"/>
  <c r="M1357" i="1" s="1"/>
  <c r="L1369" i="1" a="1"/>
  <c r="L1369" i="1" s="1"/>
  <c r="M1369" i="1" a="1"/>
  <c r="M1369" i="1" s="1"/>
  <c r="L1387" i="1" a="1"/>
  <c r="L1387" i="1" s="1"/>
  <c r="M1387" i="1" a="1"/>
  <c r="M1387" i="1" s="1"/>
  <c r="L121" i="1" a="1"/>
  <c r="L121" i="1" s="1"/>
  <c r="M121" i="1" a="1"/>
  <c r="M121" i="1" s="1"/>
  <c r="L127" i="1" a="1"/>
  <c r="L127" i="1" s="1"/>
  <c r="M127" i="1" a="1"/>
  <c r="M127" i="1" s="1"/>
  <c r="L133" i="1" a="1"/>
  <c r="L133" i="1" s="1"/>
  <c r="M133" i="1" a="1"/>
  <c r="M133" i="1" s="1"/>
  <c r="L139" i="1" a="1"/>
  <c r="L139" i="1" s="1"/>
  <c r="M139" i="1" a="1"/>
  <c r="M139" i="1" s="1"/>
  <c r="L145" i="1" a="1"/>
  <c r="L145" i="1" s="1"/>
  <c r="M145" i="1" a="1"/>
  <c r="M145" i="1" s="1"/>
  <c r="L151" i="1" a="1"/>
  <c r="L151" i="1" s="1"/>
  <c r="M151" i="1" a="1"/>
  <c r="M151" i="1" s="1"/>
  <c r="L157" i="1" a="1"/>
  <c r="L157" i="1" s="1"/>
  <c r="M157" i="1" a="1"/>
  <c r="M157" i="1" s="1"/>
  <c r="L163" i="1" a="1"/>
  <c r="L163" i="1" s="1"/>
  <c r="M163" i="1" a="1"/>
  <c r="M163" i="1" s="1"/>
  <c r="L169" i="1" a="1"/>
  <c r="L169" i="1" s="1"/>
  <c r="M169" i="1" a="1"/>
  <c r="M169" i="1" s="1"/>
  <c r="L175" i="1" a="1"/>
  <c r="L175" i="1" s="1"/>
  <c r="M175" i="1" a="1"/>
  <c r="M175" i="1" s="1"/>
  <c r="L181" i="1" a="1"/>
  <c r="L181" i="1" s="1"/>
  <c r="M181" i="1" a="1"/>
  <c r="M181" i="1" s="1"/>
  <c r="L187" i="1" a="1"/>
  <c r="L187" i="1" s="1"/>
  <c r="M187" i="1" a="1"/>
  <c r="M187" i="1" s="1"/>
  <c r="L193" i="1" a="1"/>
  <c r="L193" i="1" s="1"/>
  <c r="M193" i="1" a="1"/>
  <c r="M193" i="1" s="1"/>
  <c r="L199" i="1" a="1"/>
  <c r="L199" i="1" s="1"/>
  <c r="M199" i="1" a="1"/>
  <c r="M199" i="1" s="1"/>
  <c r="L205" i="1" a="1"/>
  <c r="L205" i="1" s="1"/>
  <c r="M205" i="1" a="1"/>
  <c r="M205" i="1" s="1"/>
  <c r="L211" i="1" a="1"/>
  <c r="L211" i="1" s="1"/>
  <c r="M211" i="1" a="1"/>
  <c r="M211" i="1" s="1"/>
  <c r="L217" i="1" a="1"/>
  <c r="L217" i="1" s="1"/>
  <c r="M217" i="1" a="1"/>
  <c r="M217" i="1" s="1"/>
  <c r="L223" i="1" a="1"/>
  <c r="L223" i="1" s="1"/>
  <c r="M223" i="1" a="1"/>
  <c r="M223" i="1" s="1"/>
  <c r="L229" i="1" a="1"/>
  <c r="L229" i="1" s="1"/>
  <c r="M229" i="1" a="1"/>
  <c r="M229" i="1" s="1"/>
  <c r="L235" i="1" a="1"/>
  <c r="L235" i="1" s="1"/>
  <c r="M235" i="1" a="1"/>
  <c r="M235" i="1" s="1"/>
  <c r="L241" i="1" a="1"/>
  <c r="L241" i="1" s="1"/>
  <c r="M241" i="1" a="1"/>
  <c r="M241" i="1" s="1"/>
  <c r="L247" i="1" a="1"/>
  <c r="L247" i="1" s="1"/>
  <c r="M247" i="1" a="1"/>
  <c r="M247" i="1" s="1"/>
  <c r="L253" i="1" a="1"/>
  <c r="L253" i="1" s="1"/>
  <c r="M253" i="1" a="1"/>
  <c r="M253" i="1" s="1"/>
  <c r="L259" i="1" a="1"/>
  <c r="L259" i="1" s="1"/>
  <c r="M259" i="1" a="1"/>
  <c r="M259" i="1" s="1"/>
  <c r="L265" i="1" a="1"/>
  <c r="L265" i="1" s="1"/>
  <c r="M265" i="1" a="1"/>
  <c r="M265" i="1" s="1"/>
  <c r="L271" i="1" a="1"/>
  <c r="L271" i="1" s="1"/>
  <c r="M271" i="1" a="1"/>
  <c r="M271" i="1" s="1"/>
  <c r="L277" i="1" a="1"/>
  <c r="L277" i="1" s="1"/>
  <c r="M277" i="1" a="1"/>
  <c r="M277" i="1" s="1"/>
  <c r="L283" i="1" a="1"/>
  <c r="L283" i="1" s="1"/>
  <c r="M283" i="1" a="1"/>
  <c r="M283" i="1" s="1"/>
  <c r="L289" i="1" a="1"/>
  <c r="L289" i="1" s="1"/>
  <c r="M289" i="1" a="1"/>
  <c r="M289" i="1" s="1"/>
  <c r="L295" i="1" a="1"/>
  <c r="L295" i="1" s="1"/>
  <c r="M295" i="1" a="1"/>
  <c r="M295" i="1" s="1"/>
  <c r="L301" i="1" a="1"/>
  <c r="L301" i="1" s="1"/>
  <c r="M301" i="1" a="1"/>
  <c r="M301" i="1" s="1"/>
  <c r="L307" i="1" a="1"/>
  <c r="L307" i="1" s="1"/>
  <c r="M307" i="1" a="1"/>
  <c r="M307" i="1" s="1"/>
  <c r="L313" i="1" a="1"/>
  <c r="L313" i="1" s="1"/>
  <c r="M313" i="1" a="1"/>
  <c r="M313" i="1" s="1"/>
  <c r="L319" i="1" a="1"/>
  <c r="L319" i="1" s="1"/>
  <c r="M319" i="1" a="1"/>
  <c r="M319" i="1" s="1"/>
  <c r="L325" i="1" a="1"/>
  <c r="L325" i="1" s="1"/>
  <c r="M325" i="1" a="1"/>
  <c r="M325" i="1" s="1"/>
  <c r="L331" i="1" a="1"/>
  <c r="L331" i="1" s="1"/>
  <c r="M331" i="1" a="1"/>
  <c r="M331" i="1" s="1"/>
  <c r="L337" i="1" a="1"/>
  <c r="L337" i="1" s="1"/>
  <c r="M337" i="1" a="1"/>
  <c r="M337" i="1" s="1"/>
  <c r="L343" i="1" a="1"/>
  <c r="L343" i="1" s="1"/>
  <c r="M343" i="1" a="1"/>
  <c r="M343" i="1" s="1"/>
  <c r="L349" i="1" a="1"/>
  <c r="L349" i="1" s="1"/>
  <c r="M349" i="1" a="1"/>
  <c r="M349" i="1" s="1"/>
  <c r="L355" i="1" a="1"/>
  <c r="L355" i="1" s="1"/>
  <c r="M355" i="1" a="1"/>
  <c r="M355" i="1" s="1"/>
  <c r="L361" i="1" a="1"/>
  <c r="L361" i="1" s="1"/>
  <c r="M361" i="1" a="1"/>
  <c r="M361" i="1" s="1"/>
  <c r="L367" i="1" a="1"/>
  <c r="L367" i="1" s="1"/>
  <c r="M367" i="1" a="1"/>
  <c r="M367" i="1" s="1"/>
  <c r="L373" i="1" a="1"/>
  <c r="L373" i="1" s="1"/>
  <c r="M373" i="1" a="1"/>
  <c r="M373" i="1" s="1"/>
  <c r="L379" i="1" a="1"/>
  <c r="L379" i="1" s="1"/>
  <c r="M379" i="1" a="1"/>
  <c r="M379" i="1" s="1"/>
  <c r="L385" i="1" a="1"/>
  <c r="L385" i="1" s="1"/>
  <c r="M385" i="1" a="1"/>
  <c r="M385" i="1" s="1"/>
  <c r="L391" i="1" a="1"/>
  <c r="L391" i="1" s="1"/>
  <c r="M391" i="1" a="1"/>
  <c r="M391" i="1" s="1"/>
  <c r="L397" i="1" a="1"/>
  <c r="L397" i="1" s="1"/>
  <c r="M397" i="1" a="1"/>
  <c r="M397" i="1" s="1"/>
  <c r="L403" i="1" a="1"/>
  <c r="L403" i="1" s="1"/>
  <c r="M403" i="1" a="1"/>
  <c r="M403" i="1" s="1"/>
  <c r="L409" i="1" a="1"/>
  <c r="L409" i="1" s="1"/>
  <c r="M409" i="1" a="1"/>
  <c r="M409" i="1" s="1"/>
  <c r="L415" i="1" a="1"/>
  <c r="L415" i="1" s="1"/>
  <c r="M415" i="1" a="1"/>
  <c r="M415" i="1" s="1"/>
  <c r="L421" i="1" a="1"/>
  <c r="L421" i="1" s="1"/>
  <c r="M421" i="1" a="1"/>
  <c r="M421" i="1" s="1"/>
  <c r="L427" i="1" a="1"/>
  <c r="L427" i="1" s="1"/>
  <c r="M427" i="1" a="1"/>
  <c r="M427" i="1" s="1"/>
  <c r="L433" i="1" a="1"/>
  <c r="L433" i="1" s="1"/>
  <c r="M433" i="1" a="1"/>
  <c r="M433" i="1" s="1"/>
  <c r="L439" i="1" a="1"/>
  <c r="L439" i="1" s="1"/>
  <c r="M439" i="1" a="1"/>
  <c r="M439" i="1" s="1"/>
  <c r="L445" i="1" a="1"/>
  <c r="L445" i="1" s="1"/>
  <c r="M445" i="1" a="1"/>
  <c r="M445" i="1" s="1"/>
  <c r="L451" i="1" a="1"/>
  <c r="L451" i="1" s="1"/>
  <c r="M451" i="1" a="1"/>
  <c r="M451" i="1" s="1"/>
  <c r="L457" i="1" a="1"/>
  <c r="L457" i="1" s="1"/>
  <c r="M457" i="1" a="1"/>
  <c r="M457" i="1" s="1"/>
  <c r="L463" i="1" a="1"/>
  <c r="L463" i="1" s="1"/>
  <c r="M463" i="1" a="1"/>
  <c r="M463" i="1" s="1"/>
  <c r="L469" i="1" a="1"/>
  <c r="L469" i="1" s="1"/>
  <c r="M469" i="1" a="1"/>
  <c r="M469" i="1" s="1"/>
  <c r="L475" i="1" a="1"/>
  <c r="L475" i="1" s="1"/>
  <c r="M475" i="1" a="1"/>
  <c r="M475" i="1" s="1"/>
  <c r="L481" i="1" a="1"/>
  <c r="L481" i="1" s="1"/>
  <c r="M481" i="1" a="1"/>
  <c r="M481" i="1" s="1"/>
  <c r="L487" i="1" a="1"/>
  <c r="L487" i="1" s="1"/>
  <c r="M487" i="1" a="1"/>
  <c r="M487" i="1" s="1"/>
  <c r="L493" i="1" a="1"/>
  <c r="L493" i="1" s="1"/>
  <c r="M493" i="1" a="1"/>
  <c r="M493" i="1" s="1"/>
  <c r="L499" i="1" a="1"/>
  <c r="L499" i="1" s="1"/>
  <c r="M499" i="1" a="1"/>
  <c r="M499" i="1" s="1"/>
  <c r="L505" i="1" a="1"/>
  <c r="L505" i="1" s="1"/>
  <c r="M505" i="1" a="1"/>
  <c r="M505" i="1" s="1"/>
  <c r="L511" i="1" a="1"/>
  <c r="L511" i="1" s="1"/>
  <c r="M511" i="1" a="1"/>
  <c r="M511" i="1" s="1"/>
  <c r="L517" i="1" a="1"/>
  <c r="L517" i="1" s="1"/>
  <c r="M517" i="1" a="1"/>
  <c r="M517" i="1" s="1"/>
  <c r="L523" i="1" a="1"/>
  <c r="L523" i="1" s="1"/>
  <c r="M523" i="1" a="1"/>
  <c r="M523" i="1" s="1"/>
  <c r="L529" i="1" a="1"/>
  <c r="L529" i="1" s="1"/>
  <c r="M529" i="1" a="1"/>
  <c r="M529" i="1" s="1"/>
  <c r="L535" i="1" a="1"/>
  <c r="L535" i="1" s="1"/>
  <c r="M535" i="1" a="1"/>
  <c r="M535" i="1" s="1"/>
  <c r="L541" i="1" a="1"/>
  <c r="L541" i="1" s="1"/>
  <c r="M541" i="1" a="1"/>
  <c r="M541" i="1" s="1"/>
  <c r="L547" i="1" a="1"/>
  <c r="L547" i="1" s="1"/>
  <c r="M547" i="1" a="1"/>
  <c r="M547" i="1" s="1"/>
  <c r="L553" i="1" a="1"/>
  <c r="L553" i="1" s="1"/>
  <c r="M553" i="1" a="1"/>
  <c r="M553" i="1" s="1"/>
  <c r="L559" i="1" a="1"/>
  <c r="L559" i="1" s="1"/>
  <c r="M559" i="1" a="1"/>
  <c r="M559" i="1" s="1"/>
  <c r="L565" i="1" a="1"/>
  <c r="L565" i="1" s="1"/>
  <c r="M565" i="1" a="1"/>
  <c r="M565" i="1" s="1"/>
  <c r="L571" i="1" a="1"/>
  <c r="L571" i="1" s="1"/>
  <c r="M571" i="1" a="1"/>
  <c r="M571" i="1" s="1"/>
  <c r="L577" i="1" a="1"/>
  <c r="L577" i="1" s="1"/>
  <c r="M577" i="1" a="1"/>
  <c r="M577" i="1" s="1"/>
  <c r="L583" i="1" a="1"/>
  <c r="L583" i="1" s="1"/>
  <c r="M583" i="1" a="1"/>
  <c r="M583" i="1" s="1"/>
  <c r="L589" i="1" a="1"/>
  <c r="L589" i="1" s="1"/>
  <c r="M589" i="1" a="1"/>
  <c r="M589" i="1" s="1"/>
  <c r="L595" i="1" a="1"/>
  <c r="L595" i="1" s="1"/>
  <c r="M595" i="1" a="1"/>
  <c r="M595" i="1" s="1"/>
  <c r="L601" i="1" a="1"/>
  <c r="L601" i="1" s="1"/>
  <c r="M601" i="1" a="1"/>
  <c r="M601" i="1" s="1"/>
  <c r="L607" i="1" a="1"/>
  <c r="L607" i="1" s="1"/>
  <c r="M607" i="1" a="1"/>
  <c r="M607" i="1" s="1"/>
  <c r="L613" i="1" a="1"/>
  <c r="L613" i="1" s="1"/>
  <c r="M613" i="1" a="1"/>
  <c r="M613" i="1" s="1"/>
  <c r="L619" i="1" a="1"/>
  <c r="L619" i="1" s="1"/>
  <c r="M619" i="1" a="1"/>
  <c r="M619" i="1" s="1"/>
  <c r="L625" i="1" a="1"/>
  <c r="L625" i="1" s="1"/>
  <c r="M625" i="1" a="1"/>
  <c r="M625" i="1" s="1"/>
  <c r="L631" i="1" a="1"/>
  <c r="L631" i="1" s="1"/>
  <c r="M631" i="1" a="1"/>
  <c r="M631" i="1" s="1"/>
  <c r="L637" i="1" a="1"/>
  <c r="L637" i="1" s="1"/>
  <c r="M637" i="1" a="1"/>
  <c r="M637" i="1" s="1"/>
  <c r="L643" i="1" a="1"/>
  <c r="L643" i="1" s="1"/>
  <c r="M643" i="1" a="1"/>
  <c r="M643" i="1" s="1"/>
  <c r="L649" i="1" a="1"/>
  <c r="L649" i="1" s="1"/>
  <c r="M649" i="1" a="1"/>
  <c r="M649" i="1" s="1"/>
  <c r="L655" i="1" a="1"/>
  <c r="L655" i="1" s="1"/>
  <c r="M655" i="1" a="1"/>
  <c r="M655" i="1" s="1"/>
  <c r="L661" i="1" a="1"/>
  <c r="L661" i="1" s="1"/>
  <c r="M661" i="1" a="1"/>
  <c r="M661" i="1" s="1"/>
  <c r="L667" i="1" a="1"/>
  <c r="L667" i="1" s="1"/>
  <c r="M667" i="1" a="1"/>
  <c r="M667" i="1" s="1"/>
  <c r="L673" i="1" a="1"/>
  <c r="L673" i="1" s="1"/>
  <c r="M673" i="1" a="1"/>
  <c r="M673" i="1" s="1"/>
  <c r="L679" i="1" a="1"/>
  <c r="L679" i="1" s="1"/>
  <c r="M679" i="1" a="1"/>
  <c r="M679" i="1" s="1"/>
  <c r="L685" i="1" a="1"/>
  <c r="L685" i="1" s="1"/>
  <c r="M685" i="1" a="1"/>
  <c r="M685" i="1" s="1"/>
  <c r="L691" i="1" a="1"/>
  <c r="L691" i="1" s="1"/>
  <c r="M691" i="1" a="1"/>
  <c r="M691" i="1" s="1"/>
  <c r="L697" i="1" a="1"/>
  <c r="L697" i="1" s="1"/>
  <c r="M697" i="1" a="1"/>
  <c r="M697" i="1" s="1"/>
  <c r="L703" i="1" a="1"/>
  <c r="L703" i="1" s="1"/>
  <c r="M703" i="1" a="1"/>
  <c r="M703" i="1" s="1"/>
  <c r="L709" i="1" a="1"/>
  <c r="L709" i="1" s="1"/>
  <c r="M709" i="1" a="1"/>
  <c r="M709" i="1" s="1"/>
  <c r="L715" i="1" a="1"/>
  <c r="L715" i="1" s="1"/>
  <c r="M715" i="1" a="1"/>
  <c r="M715" i="1" s="1"/>
  <c r="L721" i="1" a="1"/>
  <c r="L721" i="1" s="1"/>
  <c r="M721" i="1" a="1"/>
  <c r="M721" i="1" s="1"/>
  <c r="L727" i="1" a="1"/>
  <c r="L727" i="1" s="1"/>
  <c r="M727" i="1" a="1"/>
  <c r="M727" i="1" s="1"/>
  <c r="L733" i="1" a="1"/>
  <c r="L733" i="1" s="1"/>
  <c r="M733" i="1" a="1"/>
  <c r="M733" i="1" s="1"/>
  <c r="L745" i="1" a="1"/>
  <c r="L745" i="1" s="1"/>
  <c r="M745" i="1" a="1"/>
  <c r="M745" i="1" s="1"/>
  <c r="L757" i="1" a="1"/>
  <c r="L757" i="1" s="1"/>
  <c r="M757" i="1" a="1"/>
  <c r="M757" i="1" s="1"/>
  <c r="L769" i="1" a="1"/>
  <c r="L769" i="1" s="1"/>
  <c r="M769" i="1" a="1"/>
  <c r="M769" i="1" s="1"/>
  <c r="L781" i="1" a="1"/>
  <c r="L781" i="1" s="1"/>
  <c r="M781" i="1" a="1"/>
  <c r="M781" i="1" s="1"/>
  <c r="L793" i="1" a="1"/>
  <c r="L793" i="1" s="1"/>
  <c r="M793" i="1" a="1"/>
  <c r="M793" i="1" s="1"/>
  <c r="L805" i="1" a="1"/>
  <c r="L805" i="1" s="1"/>
  <c r="M805" i="1" a="1"/>
  <c r="M805" i="1" s="1"/>
  <c r="L817" i="1" a="1"/>
  <c r="L817" i="1" s="1"/>
  <c r="M817" i="1" a="1"/>
  <c r="M817" i="1" s="1"/>
  <c r="L829" i="1" a="1"/>
  <c r="L829" i="1" s="1"/>
  <c r="M829" i="1" a="1"/>
  <c r="M829" i="1" s="1"/>
  <c r="L841" i="1" a="1"/>
  <c r="L841" i="1" s="1"/>
  <c r="M841" i="1" a="1"/>
  <c r="M841" i="1" s="1"/>
  <c r="L853" i="1" a="1"/>
  <c r="L853" i="1" s="1"/>
  <c r="M853" i="1" a="1"/>
  <c r="M853" i="1" s="1"/>
  <c r="L859" i="1" a="1"/>
  <c r="L859" i="1" s="1"/>
  <c r="M859" i="1" a="1"/>
  <c r="M859" i="1" s="1"/>
  <c r="L871" i="1" a="1"/>
  <c r="L871" i="1" s="1"/>
  <c r="M871" i="1" a="1"/>
  <c r="M871" i="1" s="1"/>
  <c r="L883" i="1" a="1"/>
  <c r="L883" i="1" s="1"/>
  <c r="M883" i="1" a="1"/>
  <c r="M883" i="1" s="1"/>
  <c r="L895" i="1" a="1"/>
  <c r="L895" i="1" s="1"/>
  <c r="M895" i="1" a="1"/>
  <c r="M895" i="1" s="1"/>
  <c r="L907" i="1" a="1"/>
  <c r="L907" i="1" s="1"/>
  <c r="M907" i="1" a="1"/>
  <c r="M907" i="1" s="1"/>
  <c r="L919" i="1" a="1"/>
  <c r="L919" i="1" s="1"/>
  <c r="M919" i="1" a="1"/>
  <c r="M919" i="1" s="1"/>
  <c r="L931" i="1" a="1"/>
  <c r="L931" i="1" s="1"/>
  <c r="M931" i="1" a="1"/>
  <c r="M931" i="1" s="1"/>
  <c r="L943" i="1" a="1"/>
  <c r="L943" i="1" s="1"/>
  <c r="M943" i="1" a="1"/>
  <c r="M943" i="1" s="1"/>
  <c r="L949" i="1" a="1"/>
  <c r="L949" i="1" s="1"/>
  <c r="M949" i="1" a="1"/>
  <c r="M949" i="1" s="1"/>
  <c r="L961" i="1" a="1"/>
  <c r="L961" i="1" s="1"/>
  <c r="M961" i="1" a="1"/>
  <c r="M961" i="1" s="1"/>
  <c r="L973" i="1" a="1"/>
  <c r="L973" i="1" s="1"/>
  <c r="M973" i="1" a="1"/>
  <c r="M973" i="1" s="1"/>
  <c r="L985" i="1" a="1"/>
  <c r="L985" i="1" s="1"/>
  <c r="M985" i="1" a="1"/>
  <c r="M985" i="1" s="1"/>
  <c r="L997" i="1" a="1"/>
  <c r="L997" i="1" s="1"/>
  <c r="M997" i="1" a="1"/>
  <c r="M997" i="1" s="1"/>
  <c r="L1009" i="1" a="1"/>
  <c r="L1009" i="1" s="1"/>
  <c r="M1009" i="1" a="1"/>
  <c r="M1009" i="1" s="1"/>
  <c r="L1021" i="1" a="1"/>
  <c r="L1021" i="1" s="1"/>
  <c r="M1021" i="1" a="1"/>
  <c r="M1021" i="1" s="1"/>
  <c r="L1033" i="1" a="1"/>
  <c r="L1033" i="1" s="1"/>
  <c r="M1033" i="1" a="1"/>
  <c r="M1033" i="1" s="1"/>
  <c r="L1045" i="1" a="1"/>
  <c r="L1045" i="1" s="1"/>
  <c r="M1045" i="1" a="1"/>
  <c r="M1045" i="1" s="1"/>
  <c r="L1057" i="1" a="1"/>
  <c r="L1057" i="1" s="1"/>
  <c r="M1057" i="1" a="1"/>
  <c r="M1057" i="1" s="1"/>
  <c r="L1069" i="1" a="1"/>
  <c r="L1069" i="1" s="1"/>
  <c r="M1069" i="1" a="1"/>
  <c r="M1069" i="1" s="1"/>
  <c r="L1081" i="1" a="1"/>
  <c r="L1081" i="1" s="1"/>
  <c r="M1081" i="1" a="1"/>
  <c r="M1081" i="1" s="1"/>
  <c r="L1093" i="1" a="1"/>
  <c r="L1093" i="1" s="1"/>
  <c r="M1093" i="1" a="1"/>
  <c r="M1093" i="1" s="1"/>
  <c r="L1099" i="1" a="1"/>
  <c r="L1099" i="1" s="1"/>
  <c r="M1099" i="1" a="1"/>
  <c r="M1099" i="1" s="1"/>
  <c r="L1111" i="1" a="1"/>
  <c r="L1111" i="1" s="1"/>
  <c r="M1111" i="1" a="1"/>
  <c r="M1111" i="1" s="1"/>
  <c r="L1123" i="1" a="1"/>
  <c r="L1123" i="1" s="1"/>
  <c r="M1123" i="1" a="1"/>
  <c r="M1123" i="1" s="1"/>
  <c r="L1135" i="1" a="1"/>
  <c r="L1135" i="1" s="1"/>
  <c r="M1135" i="1" a="1"/>
  <c r="M1135" i="1" s="1"/>
  <c r="L1147" i="1" a="1"/>
  <c r="L1147" i="1" s="1"/>
  <c r="M1147" i="1" a="1"/>
  <c r="M1147" i="1" s="1"/>
  <c r="L1159" i="1" a="1"/>
  <c r="L1159" i="1" s="1"/>
  <c r="M1159" i="1" a="1"/>
  <c r="M1159" i="1" s="1"/>
  <c r="L1171" i="1" a="1"/>
  <c r="L1171" i="1" s="1"/>
  <c r="M1171" i="1" a="1"/>
  <c r="M1171" i="1" s="1"/>
  <c r="L1183" i="1" a="1"/>
  <c r="L1183" i="1" s="1"/>
  <c r="M1183" i="1" a="1"/>
  <c r="M1183" i="1" s="1"/>
  <c r="L1195" i="1" a="1"/>
  <c r="L1195" i="1" s="1"/>
  <c r="M1195" i="1" a="1"/>
  <c r="M1195" i="1" s="1"/>
  <c r="L1207" i="1" a="1"/>
  <c r="L1207" i="1" s="1"/>
  <c r="M1207" i="1" a="1"/>
  <c r="M1207" i="1" s="1"/>
  <c r="L1213" i="1" a="1"/>
  <c r="L1213" i="1" s="1"/>
  <c r="M1213" i="1" a="1"/>
  <c r="M1213" i="1" s="1"/>
  <c r="L1225" i="1" a="1"/>
  <c r="L1225" i="1" s="1"/>
  <c r="M1225" i="1" a="1"/>
  <c r="M1225" i="1" s="1"/>
  <c r="L1237" i="1" a="1"/>
  <c r="L1237" i="1" s="1"/>
  <c r="M1237" i="1" a="1"/>
  <c r="M1237" i="1" s="1"/>
  <c r="L1249" i="1" a="1"/>
  <c r="L1249" i="1" s="1"/>
  <c r="M1249" i="1" a="1"/>
  <c r="M1249" i="1" s="1"/>
  <c r="L1261" i="1" a="1"/>
  <c r="L1261" i="1" s="1"/>
  <c r="M1261" i="1" a="1"/>
  <c r="M1261" i="1" s="1"/>
  <c r="L1273" i="1" a="1"/>
  <c r="L1273" i="1" s="1"/>
  <c r="M1273" i="1" a="1"/>
  <c r="M1273" i="1" s="1"/>
  <c r="L1285" i="1" a="1"/>
  <c r="L1285" i="1" s="1"/>
  <c r="M1285" i="1" a="1"/>
  <c r="M1285" i="1" s="1"/>
  <c r="L1297" i="1" a="1"/>
  <c r="L1297" i="1" s="1"/>
  <c r="M1297" i="1" a="1"/>
  <c r="M1297" i="1" s="1"/>
  <c r="L1309" i="1" a="1"/>
  <c r="L1309" i="1" s="1"/>
  <c r="M1309" i="1" a="1"/>
  <c r="M1309" i="1" s="1"/>
  <c r="L1321" i="1" a="1"/>
  <c r="L1321" i="1" s="1"/>
  <c r="M1321" i="1" a="1"/>
  <c r="M1321" i="1" s="1"/>
  <c r="L1333" i="1" a="1"/>
  <c r="L1333" i="1" s="1"/>
  <c r="M1333" i="1" a="1"/>
  <c r="M1333" i="1" s="1"/>
  <c r="L1339" i="1" a="1"/>
  <c r="L1339" i="1" s="1"/>
  <c r="M1339" i="1" a="1"/>
  <c r="M1339" i="1" s="1"/>
  <c r="L1351" i="1" a="1"/>
  <c r="L1351" i="1" s="1"/>
  <c r="M1351" i="1" a="1"/>
  <c r="M1351" i="1" s="1"/>
  <c r="L1363" i="1" a="1"/>
  <c r="L1363" i="1" s="1"/>
  <c r="M1363" i="1" a="1"/>
  <c r="M1363" i="1" s="1"/>
  <c r="L1375" i="1" a="1"/>
  <c r="L1375" i="1" s="1"/>
  <c r="M1375" i="1" a="1"/>
  <c r="M1375" i="1" s="1"/>
  <c r="L1381" i="1" a="1"/>
  <c r="L1381" i="1" s="1"/>
  <c r="M1381" i="1" a="1"/>
  <c r="M138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<sst xmlns="http://schemas.openxmlformats.org/spreadsheetml/2006/main" count="2248" uniqueCount="965">
  <si>
    <t>Year</t>
  </si>
  <si>
    <t>Player (TM)</t>
  </si>
  <si>
    <t>Player</t>
  </si>
  <si>
    <t>TM</t>
  </si>
  <si>
    <t>James Cook III (BUF)</t>
  </si>
  <si>
    <t>Derrick Henry (BAL)</t>
  </si>
  <si>
    <t>Jonathan Taylor (IND)</t>
  </si>
  <si>
    <t>Bijan Robinson (ATL)</t>
  </si>
  <si>
    <t>De'Von Achane (MIA)</t>
  </si>
  <si>
    <t>Kyren Williams (LAR)</t>
  </si>
  <si>
    <t>Jahmyr Gibbs (DET)</t>
  </si>
  <si>
    <t>Christian McCaffrey (SF)</t>
  </si>
  <si>
    <t>Javonte Williams (DAL)</t>
  </si>
  <si>
    <t>Saquon Barkley (PHI)</t>
  </si>
  <si>
    <t>Travis Etienne Jr. (JAC)</t>
  </si>
  <si>
    <t>D'Andre Swift (CHI)</t>
  </si>
  <si>
    <t>Tony Pollard (TEN)</t>
  </si>
  <si>
    <t>Rico Dowdle (CAR)</t>
  </si>
  <si>
    <t>Breece Hall (NYJ)</t>
  </si>
  <si>
    <t>Kenneth Walker III (SEA)</t>
  </si>
  <si>
    <t>Chase Brown (CIN)</t>
  </si>
  <si>
    <t>Ashton Jeanty (LV)</t>
  </si>
  <si>
    <t>Jaylen Warren (PIT)</t>
  </si>
  <si>
    <t>Josh Jacobs (GB)</t>
  </si>
  <si>
    <t>TreVeyon Henderson (NE)</t>
  </si>
  <si>
    <t>Quinshon Judkins (CLE)</t>
  </si>
  <si>
    <t>Jacory Croskey-Merritt (WAS)</t>
  </si>
  <si>
    <t>Kyle Monangai (CHI)</t>
  </si>
  <si>
    <t>J.K. Dobbins (DEN)</t>
  </si>
  <si>
    <t>Jordan Mason (MIN)</t>
  </si>
  <si>
    <t>Blake Corum (LAR)</t>
  </si>
  <si>
    <t>Tyrone Tracy Jr. (NYG)</t>
  </si>
  <si>
    <t>Zach Charbonnet (SEA)</t>
  </si>
  <si>
    <t>David Montgomery (DET)</t>
  </si>
  <si>
    <t>Woody Marks (HOU)</t>
  </si>
  <si>
    <t>Kimani Vidal (LAC)</t>
  </si>
  <si>
    <t>Kareem Hunt (KC)</t>
  </si>
  <si>
    <t>Rhamondre Stevenson (NE)</t>
  </si>
  <si>
    <t>Bucky Irving (TB)</t>
  </si>
  <si>
    <t>Rachaad White (TB)</t>
  </si>
  <si>
    <t>Aaron Jones Sr. (MIN)</t>
  </si>
  <si>
    <t>Omarion Hampton (LAC)</t>
  </si>
  <si>
    <t>RJ Harvey (DEN)</t>
  </si>
  <si>
    <t>Kenny Gainwell (PIT)</t>
  </si>
  <si>
    <t>Tyler Allgeier (ATL)</t>
  </si>
  <si>
    <t>Chuba Hubbard (CAR)</t>
  </si>
  <si>
    <t>Nick Chubb (HOU)</t>
  </si>
  <si>
    <t>Chris Rodriguez Jr. (WAS)</t>
  </si>
  <si>
    <t>Emanuel Wilson (GB)</t>
  </si>
  <si>
    <t>Alvin Kamara (NO)</t>
  </si>
  <si>
    <t>Isiah Pacheco (KC)</t>
  </si>
  <si>
    <t>Devin Singletary (NYG)</t>
  </si>
  <si>
    <t>Cam Skattebo (NYG)</t>
  </si>
  <si>
    <t>Brian Robinson Jr. (SF)</t>
  </si>
  <si>
    <t>Samaje Perine (CIN)</t>
  </si>
  <si>
    <t>Tank Bigsby (PHI)</t>
  </si>
  <si>
    <t>Keaton Mitchell (BAL)</t>
  </si>
  <si>
    <t>Michael Carter (ARI)</t>
  </si>
  <si>
    <t>Sean Tucker (TB)</t>
  </si>
  <si>
    <t>Emari Demercado (ARI)</t>
  </si>
  <si>
    <t>Bhayshul Tuten (JAC)</t>
  </si>
  <si>
    <t>Jaylen Wright (MIA)</t>
  </si>
  <si>
    <t>Tyjae Spears (TEN)</t>
  </si>
  <si>
    <t>Ray Davis (BUF)</t>
  </si>
  <si>
    <t>Bam Knight (ARI)</t>
  </si>
  <si>
    <t>Malik Davis (DAL)</t>
  </si>
  <si>
    <t>Isaiah Davis (NYJ)</t>
  </si>
  <si>
    <t>Jeremy McNichols (WAS)</t>
  </si>
  <si>
    <t>Devin Neal (NO)</t>
  </si>
  <si>
    <t>Ty Johnson (BUF)</t>
  </si>
  <si>
    <t>Ollie Gordon II (MIA)</t>
  </si>
  <si>
    <t>Audric Estime (NO)</t>
  </si>
  <si>
    <t>Kendre Miller (NO)</t>
  </si>
  <si>
    <t>Jawhar Jordan (HOU)</t>
  </si>
  <si>
    <t>Jaleel McLaughlin (DEN)</t>
  </si>
  <si>
    <t>Dylan Sampson (CLE)</t>
  </si>
  <si>
    <t>Trey Benson (ARI)</t>
  </si>
  <si>
    <t>Jaret Patterson (LAC)</t>
  </si>
  <si>
    <t>Brashard Smith (KC)</t>
  </si>
  <si>
    <t>Jaydon Blue (DAL)</t>
  </si>
  <si>
    <t>Miles Sanders (DAL)</t>
  </si>
  <si>
    <t>Zavier Scott (MIN)</t>
  </si>
  <si>
    <t>Chris Brooks (GB)</t>
  </si>
  <si>
    <t>Antonio Gibson (NE)</t>
  </si>
  <si>
    <t>Raheem Mostert (LV)</t>
  </si>
  <si>
    <t>DJ Giddens (IND)</t>
  </si>
  <si>
    <t>James Conner (ARI)</t>
  </si>
  <si>
    <t>Trevor Etienne (CAR)</t>
  </si>
  <si>
    <t>LeQuint Allen Jr. (JAC)</t>
  </si>
  <si>
    <t>Justice Hill (BAL)</t>
  </si>
  <si>
    <t>Raheim Sanders (CLE)</t>
  </si>
  <si>
    <t>British Brooks (HOU)</t>
  </si>
  <si>
    <t>Braelon Allen (NYJ)</t>
  </si>
  <si>
    <t>Terrell Jennings (NE)</t>
  </si>
  <si>
    <t>Jerome Ford (CLE)</t>
  </si>
  <si>
    <t>George Holani (SEA)</t>
  </si>
  <si>
    <t>Hunter Luepke (DAL)</t>
  </si>
  <si>
    <t>Kaleb Johnson (PIT)</t>
  </si>
  <si>
    <t>Najee Harris (LAC)</t>
  </si>
  <si>
    <t>Nathan Carter (ATL)</t>
  </si>
  <si>
    <t>Ameer Abdullah (IND)</t>
  </si>
  <si>
    <t>AJ Dillon (PHI)</t>
  </si>
  <si>
    <t>Corey Kiner (ARI)</t>
  </si>
  <si>
    <t>Khalil Herbert (NYJ)</t>
  </si>
  <si>
    <t>Will Shipley (PHI)</t>
  </si>
  <si>
    <t>Kene Nwangwu (NYJ)</t>
  </si>
  <si>
    <t>Evan Hull (NO)</t>
  </si>
  <si>
    <t>Ty Chandler (MIN)</t>
  </si>
  <si>
    <t>Hassan Haskins (LAC)</t>
  </si>
  <si>
    <t>Ronnie Rivers (LAR)</t>
  </si>
  <si>
    <t>Tahj Brooks (CIN)</t>
  </si>
  <si>
    <t>Adam Prentice (DEN)</t>
  </si>
  <si>
    <t>Connor Heyward (PIT)</t>
  </si>
  <si>
    <t>Austin Ekeler (WAS)</t>
  </si>
  <si>
    <t>Julius Chestnut (TEN)</t>
  </si>
  <si>
    <t>Brittain Brown (CHI)</t>
  </si>
  <si>
    <t>Trayveon Williams (CLE)</t>
  </si>
  <si>
    <t>Dameon Pierce (KC)</t>
  </si>
  <si>
    <t>Zamir White (LV)</t>
  </si>
  <si>
    <t>Velus Jones Jr. (SEA)</t>
  </si>
  <si>
    <t>Dare Ogunbowale (HOU)</t>
  </si>
  <si>
    <t>D'Ernest Johnson (NE)</t>
  </si>
  <si>
    <t>Tyler Goodson (IND)</t>
  </si>
  <si>
    <t>Rasheen Ali (BAL)</t>
  </si>
  <si>
    <t>Tyler Badie (DEN)</t>
  </si>
  <si>
    <t>DeeJay Dallas (JAC)</t>
  </si>
  <si>
    <t>Jacardia Wright (SEA)</t>
  </si>
  <si>
    <t>Cam Akers (SEA)</t>
  </si>
  <si>
    <t>Phil Mafah (DAL)</t>
  </si>
  <si>
    <t>Roschon Johnson (CHI)</t>
  </si>
  <si>
    <t>Clyde Edwards-Helaire (KC)</t>
  </si>
  <si>
    <t>Josh Williams (TB)</t>
  </si>
  <si>
    <t>Jacob Saylors (DET)</t>
  </si>
  <si>
    <t>Dylan Laube (LV)</t>
  </si>
  <si>
    <t>Alec Ingold (MIA)</t>
  </si>
  <si>
    <t>Amar Johnson (LAC)</t>
  </si>
  <si>
    <t>Kalel Mullings (TEN)</t>
  </si>
  <si>
    <t>Owen Wright (TB)</t>
  </si>
  <si>
    <t>Myles Gaskin (SEA)</t>
  </si>
  <si>
    <t>C.J. Ham (MIN)</t>
  </si>
  <si>
    <t>Andrew Beck (NYJ)</t>
  </si>
  <si>
    <t>Sione Vaki (DET)</t>
  </si>
  <si>
    <t>Reggie Gilliam (BUF)</t>
  </si>
  <si>
    <t>Craig Reynolds (DET)</t>
  </si>
  <si>
    <t>Patrick Ricard (BAL)</t>
  </si>
  <si>
    <t>Kendall Milton (CIN)</t>
  </si>
  <si>
    <t>Xazavian Valladay (MIN)</t>
  </si>
  <si>
    <t>Ulysses Bentley IV (IND)</t>
  </si>
  <si>
    <t>Trey Sermon (PIT)</t>
  </si>
  <si>
    <t>Sincere McCormick (SF)</t>
  </si>
  <si>
    <t>Scott Matlock (LAC)</t>
  </si>
  <si>
    <t>Robbie Ouzts (SEA)</t>
  </si>
  <si>
    <t>Raheem Blackshear (PIT)</t>
  </si>
  <si>
    <t>Michael Burton (DEN)</t>
  </si>
  <si>
    <t>Lew Nichols III (PIT)</t>
  </si>
  <si>
    <t>Kye Robichaux (DET)</t>
  </si>
  <si>
    <t>Keilan Robinson (NYJ)</t>
  </si>
  <si>
    <t>Keaontay Ingram (KC)</t>
  </si>
  <si>
    <t>Jordan Mims (TEN)</t>
  </si>
  <si>
    <t>Jordan James (SF)</t>
  </si>
  <si>
    <t>Jeff Wilson Jr. (MIA)</t>
  </si>
  <si>
    <t>Jashaun Corbin (NE)</t>
  </si>
  <si>
    <t>Jakob Johnson (HOU)</t>
  </si>
  <si>
    <t>Jack Westover (NE)</t>
  </si>
  <si>
    <t>Isaac Guerendo (SF)</t>
  </si>
  <si>
    <t>Gary Brightwell (CIN)</t>
  </si>
  <si>
    <t>Eric Gray (NYG)</t>
  </si>
  <si>
    <t>Elijah Mitchell (KC)</t>
  </si>
  <si>
    <t>Deion Hankins (CHI)</t>
  </si>
  <si>
    <t>Chris Collier (LV)</t>
  </si>
  <si>
    <t>Chase Edmonds (WAS)</t>
  </si>
  <si>
    <t>Brady Russell (SEA)</t>
  </si>
  <si>
    <t>Avery Williams (NYJ)</t>
  </si>
  <si>
    <t>Alexander Mattison (MIA)</t>
  </si>
  <si>
    <t>Travis Homer (CHI)</t>
  </si>
  <si>
    <t>Nyheim Miller-Hines (NO)</t>
  </si>
  <si>
    <t>Kyle Juszczyk (SF)</t>
  </si>
  <si>
    <t>Joe Mixon (HOU)</t>
  </si>
  <si>
    <t>Najee Harris (PIT)</t>
  </si>
  <si>
    <t>J.K. Dobbins (LAC)</t>
  </si>
  <si>
    <t>Rico Dowdle (DAL)</t>
  </si>
  <si>
    <t>Brian Robinson Jr. (WAS)</t>
  </si>
  <si>
    <t>Tank Bigsby (JAC)</t>
  </si>
  <si>
    <t>Javonte Williams (DEN)</t>
  </si>
  <si>
    <t>Jordan Mason (SF)</t>
  </si>
  <si>
    <t>Alexander Mattison (LV)</t>
  </si>
  <si>
    <t>Ameer Abdullah (LV)</t>
  </si>
  <si>
    <t>Cam Akers (MIN)</t>
  </si>
  <si>
    <t>Gus Edwards (LAC)</t>
  </si>
  <si>
    <t>Zack Moss (CIN)</t>
  </si>
  <si>
    <t>Nick Chubb (CLE)</t>
  </si>
  <si>
    <t>Samaje Perine (KC)</t>
  </si>
  <si>
    <t>Miles Sanders (CAR)</t>
  </si>
  <si>
    <t>Raheem Mostert (MIA)</t>
  </si>
  <si>
    <t>Kenny Gainwell (PHI)</t>
  </si>
  <si>
    <t>Ezekiel Elliott (DAL)</t>
  </si>
  <si>
    <t>Audric Estime (DEN)</t>
  </si>
  <si>
    <t>Dameon Pierce (HOU)</t>
  </si>
  <si>
    <t>Trey Sermon (IND)</t>
  </si>
  <si>
    <t>Jamaal Williams (NO)</t>
  </si>
  <si>
    <t>Patrick Taylor Jr. (SF)</t>
  </si>
  <si>
    <t>D'Onta Foreman (CLE)</t>
  </si>
  <si>
    <t>Cordarrelle Patterson (PIT)</t>
  </si>
  <si>
    <t>D'Ernest Johnson (JAC)</t>
  </si>
  <si>
    <t>Khalil Herbert (CIN)</t>
  </si>
  <si>
    <t>Sincere McCormick (LV)</t>
  </si>
  <si>
    <t>Pierre Strong Jr. (CLE)</t>
  </si>
  <si>
    <t>Kenny McIntosh (SEA)</t>
  </si>
  <si>
    <t>JaMycal Hasty (NE)</t>
  </si>
  <si>
    <t>DeeJay Dallas (ARI)</t>
  </si>
  <si>
    <t>Carson Steele (KC)</t>
  </si>
  <si>
    <t>Jordan Mims (NO)</t>
  </si>
  <si>
    <t>Tony Jones Jr. (ARI)</t>
  </si>
  <si>
    <t>Deuce Vaughn (DAL)</t>
  </si>
  <si>
    <t>Raheem Blackshear (CAR)</t>
  </si>
  <si>
    <t>Clyde Edwards-Helaire (NO)</t>
  </si>
  <si>
    <t>Mike Boone (CAR)</t>
  </si>
  <si>
    <t>Jonathon Brooks (CAR)</t>
  </si>
  <si>
    <t>J.J. Taylor (HOU)</t>
  </si>
  <si>
    <t>Jacob Kibodi (CLE)</t>
  </si>
  <si>
    <t>Jermar Jefferson (DET)</t>
  </si>
  <si>
    <t>Jase McClellan (ATL)</t>
  </si>
  <si>
    <t>Dalvin Cook (DAL)</t>
  </si>
  <si>
    <t>Blake Watson (DEN)</t>
  </si>
  <si>
    <t>Jonathan Ward (PIT)</t>
  </si>
  <si>
    <t>MarShawn Lloyd (GB)</t>
  </si>
  <si>
    <t>Aaron Shampklin (PIT)</t>
  </si>
  <si>
    <t>Tyreik McAllister (LV)</t>
  </si>
  <si>
    <t>Myles Gaskin (MIN)</t>
  </si>
  <si>
    <t>Cody Schrader (LAR)</t>
  </si>
  <si>
    <t>Tyrion Davis-Price (PHI)</t>
  </si>
  <si>
    <t>Ke'Shawn Vaughn (SF)</t>
  </si>
  <si>
    <t>Darrynton Evans (CHI)</t>
  </si>
  <si>
    <t>Joshua Kelley (TEN)</t>
  </si>
  <si>
    <t>Nyheim Miller-Hines (CLE)</t>
  </si>
  <si>
    <t>John Kelly Jr. (BAL)</t>
  </si>
  <si>
    <t>Trayveon Williams (CIN)</t>
  </si>
  <si>
    <t>Jakob Johnson (NYG)</t>
  </si>
  <si>
    <t>Andrew Beck (HOU)</t>
  </si>
  <si>
    <t>Khari Blasingame (CHI)</t>
  </si>
  <si>
    <t>La'Mical Perine (PIT)</t>
  </si>
  <si>
    <t>Keilan Robinson (JAC)</t>
  </si>
  <si>
    <t>D.J. Williams (TB)</t>
  </si>
  <si>
    <t>Avery Williams (ATL)</t>
  </si>
  <si>
    <t>Gary Brightwell (CLE)</t>
  </si>
  <si>
    <t>Adam Prentice (NO)</t>
  </si>
  <si>
    <t>Velus Jones Jr. (CAR)</t>
  </si>
  <si>
    <t>Jabari Small (TEN)</t>
  </si>
  <si>
    <t>Troy Hairston II (HOU)</t>
  </si>
  <si>
    <t>Kazmeir Allen (WAS)</t>
  </si>
  <si>
    <t>Ben VanSumeren (PHI)</t>
  </si>
  <si>
    <t>Dante Miller (NYG)</t>
  </si>
  <si>
    <t>Derrick Henry (TEN)</t>
  </si>
  <si>
    <t>Joe Mixon (CIN)</t>
  </si>
  <si>
    <t>Saquon Barkley (NYG)</t>
  </si>
  <si>
    <t>Gus Edwards (BAL)</t>
  </si>
  <si>
    <t>Tony Pollard (DAL)</t>
  </si>
  <si>
    <t>D'Andre Swift (PHI)</t>
  </si>
  <si>
    <t>Josh Jacobs (LV)</t>
  </si>
  <si>
    <t>Zack Moss (IND)</t>
  </si>
  <si>
    <t>Devin Singletary (HOU)</t>
  </si>
  <si>
    <t>Austin Ekeler (LAC)</t>
  </si>
  <si>
    <t>Ezekiel Elliott (NE)</t>
  </si>
  <si>
    <t>Aaron Jones Sr. (GB)</t>
  </si>
  <si>
    <t>Kareem Hunt (CLE)</t>
  </si>
  <si>
    <t>Alexander Mattison (MIN)</t>
  </si>
  <si>
    <t>AJ Dillon (GB)</t>
  </si>
  <si>
    <t>Khalil Herbert (CHI)</t>
  </si>
  <si>
    <t>D'Onta Foreman (CHI)</t>
  </si>
  <si>
    <t>Antonio Gibson (WAS)</t>
  </si>
  <si>
    <t>Samaje Perine (DEN)</t>
  </si>
  <si>
    <t>Latavius Murray (BUF)</t>
  </si>
  <si>
    <t>Jerick McKinnon (KC)</t>
  </si>
  <si>
    <t>Joshua Kelley (LAC)</t>
  </si>
  <si>
    <t>Royce Freeman (LAR)</t>
  </si>
  <si>
    <t>Elijah Mitchell (SF)</t>
  </si>
  <si>
    <t>Darrell Henderson Jr. (LAR)</t>
  </si>
  <si>
    <t>Matt Breida (NYG)</t>
  </si>
  <si>
    <t>Cordarrelle Patterson (ATL)</t>
  </si>
  <si>
    <t>Salvon Ahmed (MIA)</t>
  </si>
  <si>
    <t>Chase Edmonds (TB)</t>
  </si>
  <si>
    <t>Dalvin Cook (NYJ)</t>
  </si>
  <si>
    <t>Darrynton Evans (MIA)</t>
  </si>
  <si>
    <t>Patrick Taylor Jr. (GB)</t>
  </si>
  <si>
    <t>Kevin Harris (NE)</t>
  </si>
  <si>
    <t>Damien Harris (BUF)</t>
  </si>
  <si>
    <t>Melvin Gordon III (BAL)</t>
  </si>
  <si>
    <t>Isaiah Spiller (LAC)</t>
  </si>
  <si>
    <t>Boston Scott (PHI)</t>
  </si>
  <si>
    <t>Brandon Bolden (LV)</t>
  </si>
  <si>
    <t>La'Mical Perine (KC)</t>
  </si>
  <si>
    <t>Chris Brooks (MIA)</t>
  </si>
  <si>
    <t>Keaontay Ingram (ARI)</t>
  </si>
  <si>
    <t>J.K. Dobbins (BAL)</t>
  </si>
  <si>
    <t>Israel Abanikanda (NYJ)</t>
  </si>
  <si>
    <t>Nick Bawden (NYJ)</t>
  </si>
  <si>
    <t>Gary Brightwell (NYG)</t>
  </si>
  <si>
    <t>Mike Boone (HOU)</t>
  </si>
  <si>
    <t>Damien Williams (ARI)</t>
  </si>
  <si>
    <t>Ty Montgomery II (NE)</t>
  </si>
  <si>
    <t>Ke'Shawn Vaughn (TB)</t>
  </si>
  <si>
    <t>Leonard Fournette (BUF)</t>
  </si>
  <si>
    <t>Rashaad Penny (PHI)</t>
  </si>
  <si>
    <t>Keith Smith (ATL)</t>
  </si>
  <si>
    <t>Derrick Gore (WAS)</t>
  </si>
  <si>
    <t>DeeJay Dallas (SEA)</t>
  </si>
  <si>
    <t>Jake Funk (IND)</t>
  </si>
  <si>
    <t>Tyrion Davis-Price (SF)</t>
  </si>
  <si>
    <t>Bam Knight (DET)</t>
  </si>
  <si>
    <t>Zach Evans (LAR)</t>
  </si>
  <si>
    <t>Elijah Dotson (LAC)</t>
  </si>
  <si>
    <t>Alex Armah Jr. (WAS)</t>
  </si>
  <si>
    <t>Devine Ozigbo (DET)</t>
  </si>
  <si>
    <t>Jashaun Corbin (NYG)</t>
  </si>
  <si>
    <t>Kene Nwangwu (MIN)</t>
  </si>
  <si>
    <t>Jakob Johnson (LV)</t>
  </si>
  <si>
    <t>Kenyan Drake (GB)</t>
  </si>
  <si>
    <t>Anthony McFarland Jr. (PIT)</t>
  </si>
  <si>
    <t>Jonathan Ward (TEN)</t>
  </si>
  <si>
    <t>Chris Evans (CIN)</t>
  </si>
  <si>
    <t>Evan Hull (IND)</t>
  </si>
  <si>
    <t>Dwayne Washington (DEN)</t>
  </si>
  <si>
    <t>Marlon Mack (ARI)</t>
  </si>
  <si>
    <t>Jeremy McNichols (SF)</t>
  </si>
  <si>
    <t>Corey Clement (ARI)</t>
  </si>
  <si>
    <t>Godwin Igwebuike (PIT)</t>
  </si>
  <si>
    <t>Jason Cabinda (DET)</t>
  </si>
  <si>
    <t>Patrick Laird (TB)</t>
  </si>
  <si>
    <t>Austin Walter (LV)</t>
  </si>
  <si>
    <t>JaMycal Hasty (JAC)</t>
  </si>
  <si>
    <t>James Robinson (GB)</t>
  </si>
  <si>
    <t>Kirk Merritt (NO)</t>
  </si>
  <si>
    <t>Mohamed Ibrahim (DET)</t>
  </si>
  <si>
    <t>Bryant Koback (PHI)</t>
  </si>
  <si>
    <t>Velus Jones Jr. (CHI)</t>
  </si>
  <si>
    <t>Brittain Brown (LV)</t>
  </si>
  <si>
    <t>Derek Parish (JAC)</t>
  </si>
  <si>
    <t>SaRodorick Thompson Jr. (SEA)</t>
  </si>
  <si>
    <t>Henry Pearson (GB)</t>
  </si>
  <si>
    <t>Jonathan Williams (WAS)</t>
  </si>
  <si>
    <t>Deon Jackson (NYG)</t>
  </si>
  <si>
    <t>Jamaal Williams (DET)</t>
  </si>
  <si>
    <t>Dalvin Cook (MIN)</t>
  </si>
  <si>
    <t>Miles Sanders (PHI)</t>
  </si>
  <si>
    <t>Leonard Fournette (TB)</t>
  </si>
  <si>
    <t>David Montgomery (CHI)</t>
  </si>
  <si>
    <t>D'Andre Swift (DET)</t>
  </si>
  <si>
    <t>Devin Singletary (BUF)</t>
  </si>
  <si>
    <t>Cam Akers (LAR)</t>
  </si>
  <si>
    <t>Latavius Murray (DEN)</t>
  </si>
  <si>
    <t>D'Onta Foreman (CAR)</t>
  </si>
  <si>
    <t>Kenyan Drake (BAL)</t>
  </si>
  <si>
    <t>Michael Carter (NYJ)</t>
  </si>
  <si>
    <t>James Robinson (NYJ)</t>
  </si>
  <si>
    <t>Damien Harris (NE)</t>
  </si>
  <si>
    <t>Eno Benjamin (NO)</t>
  </si>
  <si>
    <t>Melvin Gordon III (DEN)</t>
  </si>
  <si>
    <t>Chase Edmonds (DEN)</t>
  </si>
  <si>
    <t>Dontrell Hilliard (TEN)</t>
  </si>
  <si>
    <t>Deon Jackson (IND)</t>
  </si>
  <si>
    <t>Nyheim Miller-Hines (BUF)</t>
  </si>
  <si>
    <t>Rashaad Penny (SEA)</t>
  </si>
  <si>
    <t>Bam Knight (NYJ)</t>
  </si>
  <si>
    <t>Caleb Huntley (ATL)</t>
  </si>
  <si>
    <t>Justin Jackson (DET)</t>
  </si>
  <si>
    <t>Rex Burkhead (HOU)</t>
  </si>
  <si>
    <t>Mark Ingram II (NO)</t>
  </si>
  <si>
    <t>Ty Johnson (NYJ)</t>
  </si>
  <si>
    <t>Marlon Mack (DEN)</t>
  </si>
  <si>
    <t>J.D. McKissic (WAS)</t>
  </si>
  <si>
    <t>Travis Homer (SEA)</t>
  </si>
  <si>
    <t>Pierre Strong Jr. (NE)</t>
  </si>
  <si>
    <t>Mike Boone (DEN)</t>
  </si>
  <si>
    <t>Tevin Coleman (SF)</t>
  </si>
  <si>
    <t>Malcolm Brown (LAR)</t>
  </si>
  <si>
    <t>Darrel Williams (ARI)</t>
  </si>
  <si>
    <t>Benny Snell Jr. (PIT)</t>
  </si>
  <si>
    <t>Sony Michel (LAC)</t>
  </si>
  <si>
    <t>Derek Watt (PIT)</t>
  </si>
  <si>
    <t>Ronald Jones II (KC)</t>
  </si>
  <si>
    <t>Hassan Haskins (TEN)</t>
  </si>
  <si>
    <t>Zander Horvath (LAC)</t>
  </si>
  <si>
    <t>Royce Freeman (HOU)</t>
  </si>
  <si>
    <t>Snoop Conner (JAC)</t>
  </si>
  <si>
    <t>Phillip Lindsay (IND)</t>
  </si>
  <si>
    <t>Jordan Wilkins (IND)</t>
  </si>
  <si>
    <t>Jaret Patterson (WAS)</t>
  </si>
  <si>
    <t>Myles Gaskin (MIA)</t>
  </si>
  <si>
    <t>Tony Jones Jr. (SEA)</t>
  </si>
  <si>
    <t>Spencer Brown (CAR)</t>
  </si>
  <si>
    <t>David Johnson (NO)</t>
  </si>
  <si>
    <t>Dwayne Washington (NO)</t>
  </si>
  <si>
    <t>Trestan Ebner (CHI)</t>
  </si>
  <si>
    <t>Larry Rountree III (LAC)</t>
  </si>
  <si>
    <t>Giovani Bernard (TB)</t>
  </si>
  <si>
    <t>D'Ernest Johnson (CLE)</t>
  </si>
  <si>
    <t>Mike Davis (BAL)</t>
  </si>
  <si>
    <t>Trey Sermon (PHI)</t>
  </si>
  <si>
    <t>Michael Burton (KC)</t>
  </si>
  <si>
    <t>J.J. Taylor (NE)</t>
  </si>
  <si>
    <t>Reggie Bonnafon (WAS)</t>
  </si>
  <si>
    <t>Godwin Igwebuike (SEA)</t>
  </si>
  <si>
    <t>Devine Ozigbo (DEN)</t>
  </si>
  <si>
    <t>Kylin Hill (GB)</t>
  </si>
  <si>
    <t>Ty'Son Williams (ARI)</t>
  </si>
  <si>
    <t>Duke Johnson Jr. (BUF)</t>
  </si>
  <si>
    <t>Demetric Felton Jr. (CLE)</t>
  </si>
  <si>
    <t>Damien Williams (ATL)</t>
  </si>
  <si>
    <t>Jordan Howard (NO)</t>
  </si>
  <si>
    <t>Kenjon Barner (TB)</t>
  </si>
  <si>
    <t>J.P. Holtz (NO)</t>
  </si>
  <si>
    <t>Brandin Bryant (BUF)</t>
  </si>
  <si>
    <t>Trenton Cannon (TEN)</t>
  </si>
  <si>
    <t>Qadree Ollison (DAL)</t>
  </si>
  <si>
    <t>Cullen Gillaspia (SEA)</t>
  </si>
  <si>
    <t>Andrew Beck (DEN)</t>
  </si>
  <si>
    <t>La'Mical Perine (MIA)</t>
  </si>
  <si>
    <t>Sandro Platzgummer (NYG)</t>
  </si>
  <si>
    <t>Jake Funk (LAR)</t>
  </si>
  <si>
    <t>Ben Mason (BAL)</t>
  </si>
  <si>
    <t>Bryant Koback (MIN)</t>
  </si>
  <si>
    <t>John Lovett (CAR)</t>
  </si>
  <si>
    <t>Taiwan Jones (BUF)</t>
  </si>
  <si>
    <t>Darrel Williams (KC)</t>
  </si>
  <si>
    <t>James Robinson (JAC)</t>
  </si>
  <si>
    <t>Sony Michel (LAR)</t>
  </si>
  <si>
    <t>Devonta Freeman (BAL)</t>
  </si>
  <si>
    <t>Devontae Booker (NYG)</t>
  </si>
  <si>
    <t>Chase Edmonds (ARI)</t>
  </si>
  <si>
    <t>Mike Davis (ATL)</t>
  </si>
  <si>
    <t>Latavius Murray (BAL)</t>
  </si>
  <si>
    <t>Christian McCaffrey (CAR)</t>
  </si>
  <si>
    <t>D'Onta Foreman (TEN)</t>
  </si>
  <si>
    <t>Brandon Bolden (NE)</t>
  </si>
  <si>
    <t>Zack Moss (BUF)</t>
  </si>
  <si>
    <t>Nyheim Miller-Hines (IND)</t>
  </si>
  <si>
    <t>Kenyan Drake (LV)</t>
  </si>
  <si>
    <t>Ronald Jones II (TB)</t>
  </si>
  <si>
    <t>Justin Jackson (LAC)</t>
  </si>
  <si>
    <t>Jordan Howard (PHI)</t>
  </si>
  <si>
    <t>Alex Collins (SEA)</t>
  </si>
  <si>
    <t>Duke Johnson Jr. (MIA)</t>
  </si>
  <si>
    <t>Ameer Abdullah (CAR)</t>
  </si>
  <si>
    <t>David Johnson (HOU)</t>
  </si>
  <si>
    <t>Derrick Gore (KC)</t>
  </si>
  <si>
    <t>Jeremy McNichols (TEN)</t>
  </si>
  <si>
    <t>Damien Williams (CHI)</t>
  </si>
  <si>
    <t>Jeff Wilson Jr. (SF)</t>
  </si>
  <si>
    <t>Chris Carson (SEA)</t>
  </si>
  <si>
    <t>Phillip Lindsay (MIA)</t>
  </si>
  <si>
    <t>Tevin Coleman (NYJ)</t>
  </si>
  <si>
    <t>Peyton Barber (LV)</t>
  </si>
  <si>
    <t>Dare Ogunbowale (JAC)</t>
  </si>
  <si>
    <t>Matt Breida (BUF)</t>
  </si>
  <si>
    <t>Carlos Hyde (JAC)</t>
  </si>
  <si>
    <t>Le'Veon Bell (TB)</t>
  </si>
  <si>
    <t>Ty'Son Williams (BAL)</t>
  </si>
  <si>
    <t>Elijhaa Penny (NYG)</t>
  </si>
  <si>
    <t>JaMycal Hasty (SF)</t>
  </si>
  <si>
    <t>Trey Sermon (SF)</t>
  </si>
  <si>
    <t>Corey Clement (DAL)</t>
  </si>
  <si>
    <t>Adrian Peterson (SEA)</t>
  </si>
  <si>
    <t>Eno Benjamin (ARI)</t>
  </si>
  <si>
    <t>Godwin Igwebuike (DET)</t>
  </si>
  <si>
    <t>Malcolm Brown (MIA)</t>
  </si>
  <si>
    <t>James White (NE)</t>
  </si>
  <si>
    <t>Tony Jones Jr. (NO)</t>
  </si>
  <si>
    <t>Austin Walter (NYJ)</t>
  </si>
  <si>
    <t>Qadree Ollison (ATL)</t>
  </si>
  <si>
    <t>Alec Ingold (LV)</t>
  </si>
  <si>
    <t>Ty Montgomery II (NO)</t>
  </si>
  <si>
    <t>Wayne Gallman Jr. (MIN)</t>
  </si>
  <si>
    <t>Jalen Richard (LV)</t>
  </si>
  <si>
    <t>Marlon Mack (IND)</t>
  </si>
  <si>
    <t>Ryquell Armstead (JAC)</t>
  </si>
  <si>
    <t>Andy Janovich (CLE)</t>
  </si>
  <si>
    <t>JaQuan Hardy (DAL)</t>
  </si>
  <si>
    <t>Johnny Stanton IV (CLE)</t>
  </si>
  <si>
    <t>Jonathan Ward (ARI)</t>
  </si>
  <si>
    <t>Ito Smith (DAL)</t>
  </si>
  <si>
    <t>Jason Huntley (PHI)</t>
  </si>
  <si>
    <t>Rodney Smith (CAR)</t>
  </si>
  <si>
    <t>Wendell Smallwood (WAS)</t>
  </si>
  <si>
    <t>Kalen Ballage (PIT)</t>
  </si>
  <si>
    <t>Jakob Johnson (NE)</t>
  </si>
  <si>
    <t>La'Mical Perine (NYJ)</t>
  </si>
  <si>
    <t>Gabe Nabers (LAC)</t>
  </si>
  <si>
    <t>Jaylen Samuels (HOU)</t>
  </si>
  <si>
    <t>Scottie Phillips (HOU)</t>
  </si>
  <si>
    <t>Patrick Laird (MIA)</t>
  </si>
  <si>
    <t>Raheem Mostert (SF)</t>
  </si>
  <si>
    <t>Darrynton Evans (TEN)</t>
  </si>
  <si>
    <t>Reggie Bonnafon (CAR)</t>
  </si>
  <si>
    <t>Trey Ragas (LV)</t>
  </si>
  <si>
    <t>John Kelly Jr. (CLE)</t>
  </si>
  <si>
    <t>Jacques Patrick (SF)</t>
  </si>
  <si>
    <t>Buddy Howell (LAR)</t>
  </si>
  <si>
    <t>Mekhi Sargent (JAC)</t>
  </si>
  <si>
    <t>Ryan Nall (CHI)</t>
  </si>
  <si>
    <t>Damarea Crockett (DEN)</t>
  </si>
  <si>
    <t>Devine Ozigbo (JAC)</t>
  </si>
  <si>
    <t>Nathan Cottrell (JAC)</t>
  </si>
  <si>
    <t>J.P. Holtz (CHI)</t>
  </si>
  <si>
    <t>Brian Hill (SF)</t>
  </si>
  <si>
    <t>Tarik Cohen (CHI)</t>
  </si>
  <si>
    <t>Elijah McGuire (KC)</t>
  </si>
  <si>
    <t>Cethan Carter (MIA)</t>
  </si>
  <si>
    <t>Trey Edmunds (PIT)</t>
  </si>
  <si>
    <t>Jordan Wilkins (TEN)</t>
  </si>
  <si>
    <t>Darwin Thompson (TB)</t>
  </si>
  <si>
    <t>Sutton Smith (LV)</t>
  </si>
  <si>
    <t>Cullen Gillaspia (NYG)</t>
  </si>
  <si>
    <t>LeVante Bellamy (DEN)</t>
  </si>
  <si>
    <t>Darius Bradwell (LAC)</t>
  </si>
  <si>
    <t>Artavis Pierce (CHI)</t>
  </si>
  <si>
    <t>Sewo Olonilua (DAL)</t>
  </si>
  <si>
    <t>Kirk Merritt (MIA)</t>
  </si>
  <si>
    <t>Pooka Williams Jr. (CIN)</t>
  </si>
  <si>
    <t>Gerrid Doaks (MIA)</t>
  </si>
  <si>
    <t>Tory Carter (TEN)</t>
  </si>
  <si>
    <t>Nick Ralston (DAL)</t>
  </si>
  <si>
    <t>B.J. Emmons (SEA)</t>
  </si>
  <si>
    <t>Josh Johnson (SEA)</t>
  </si>
  <si>
    <t>Nate McCrary (BAL)</t>
  </si>
  <si>
    <t>Khari Blasingame (TEN)</t>
  </si>
  <si>
    <t>Trenton Cannon (SF)</t>
  </si>
  <si>
    <t>Kenyan Drake (ARI)</t>
  </si>
  <si>
    <t>Mike Davis (CAR)</t>
  </si>
  <si>
    <t>Todd Gurley II (ATL)</t>
  </si>
  <si>
    <t>James Conner (PIT)</t>
  </si>
  <si>
    <t>Wayne Gallman Jr. (NYG)</t>
  </si>
  <si>
    <t>Latavius Murray (NO)</t>
  </si>
  <si>
    <t>Adrian Peterson (DET)</t>
  </si>
  <si>
    <t>Giovani Bernard (CIN)</t>
  </si>
  <si>
    <t>Jamaal Williams (GB)</t>
  </si>
  <si>
    <t>Jerick McKinnon (SF)</t>
  </si>
  <si>
    <t>Frank Gore (NYJ)</t>
  </si>
  <si>
    <t>Rex Burkhead (NE)</t>
  </si>
  <si>
    <t>Brian Hill (ATL)</t>
  </si>
  <si>
    <t>Carlos Hyde (SEA)</t>
  </si>
  <si>
    <t>Devontae Booker (LV)</t>
  </si>
  <si>
    <t>Sony Michel (NE)</t>
  </si>
  <si>
    <t>Kalen Ballage (LAC)</t>
  </si>
  <si>
    <t>Phillip Lindsay (DEN)</t>
  </si>
  <si>
    <t>Le'Veon Bell (KC)</t>
  </si>
  <si>
    <t>Duke Johnson Jr. (HOU)</t>
  </si>
  <si>
    <t>Kerryon Johnson (DET)</t>
  </si>
  <si>
    <t>Peyton Barber (WAS)</t>
  </si>
  <si>
    <t>Mark Ingram II (BAL)</t>
  </si>
  <si>
    <t>Ito Smith (ATL)</t>
  </si>
  <si>
    <t>Dion Lewis (NYG)</t>
  </si>
  <si>
    <t>Alfred Morris (NYG)</t>
  </si>
  <si>
    <t>Cordarrelle Patterson (CHI)</t>
  </si>
  <si>
    <t>Matt Breida (MIA)</t>
  </si>
  <si>
    <t>Josh Adams (NYJ)</t>
  </si>
  <si>
    <t>Devonta Freeman (NYG)</t>
  </si>
  <si>
    <t>Darwin Thompson (KC)</t>
  </si>
  <si>
    <t>Royce Freeman (DEN)</t>
  </si>
  <si>
    <t>Chris Thompson (JAC)</t>
  </si>
  <si>
    <t>Ameer Abdullah (MIN)</t>
  </si>
  <si>
    <t>Antonio Williams (BUF)</t>
  </si>
  <si>
    <t>Corey Clement (PHI)</t>
  </si>
  <si>
    <t>T.J. Yeldon (BUF)</t>
  </si>
  <si>
    <t>Tyler Ervin (GB)</t>
  </si>
  <si>
    <t>LeSean McCoy (TB)</t>
  </si>
  <si>
    <t>Mike Boone (MIN)</t>
  </si>
  <si>
    <t>DeAndre Washington (MIA)</t>
  </si>
  <si>
    <t>Troymaine Pope (LAC)</t>
  </si>
  <si>
    <t>C.J. Prosise (HOU)</t>
  </si>
  <si>
    <t>Jaylen Samuels (PIT)</t>
  </si>
  <si>
    <t>Anthony Sherman (KC)</t>
  </si>
  <si>
    <t>Buddy Howell (HOU)</t>
  </si>
  <si>
    <t>Theo Riddick (LV)</t>
  </si>
  <si>
    <t>Dontrell Hilliard (HOU)</t>
  </si>
  <si>
    <t>Trenton Cannon (CAR)</t>
  </si>
  <si>
    <t>Michael Burton (NO)</t>
  </si>
  <si>
    <t>Bo Scarbrough (SEA)</t>
  </si>
  <si>
    <t>Austin Walter (SF)</t>
  </si>
  <si>
    <t>Alex Armah Jr. (CAR)</t>
  </si>
  <si>
    <t>Senorise Perry (TEN)</t>
  </si>
  <si>
    <t>D.J. Foster (ARI)</t>
  </si>
  <si>
    <t>Chandler Cox (MIA)</t>
  </si>
  <si>
    <t>Dexter Williams (GB)</t>
  </si>
  <si>
    <t>Craig Reynolds (JAC)</t>
  </si>
  <si>
    <t>Lamar Miller (CHI)</t>
  </si>
  <si>
    <t>Jonathan Williams (DET)</t>
  </si>
  <si>
    <t>Cullen Gillaspia (HOU)</t>
  </si>
  <si>
    <t>Tony Brooks-James (ATL)</t>
  </si>
  <si>
    <t>Bruce Miller (JAC)</t>
  </si>
  <si>
    <t>Wendell Smallwood (PIT)</t>
  </si>
  <si>
    <t>Cethan Carter (CIN)</t>
  </si>
  <si>
    <t>Elijah Holyfield (PHI)</t>
  </si>
  <si>
    <t>John Lovett (GB)</t>
  </si>
  <si>
    <t>Jeremy Cox (DEN)</t>
  </si>
  <si>
    <t>Michael Warren II (WAS)</t>
  </si>
  <si>
    <t>Javon Leake (WAS)</t>
  </si>
  <si>
    <t>Xavier Jones (LAR)</t>
  </si>
  <si>
    <t>Raymond Calais (LAR)</t>
  </si>
  <si>
    <t>Jake Bargas (MIN)</t>
  </si>
  <si>
    <t>Adrian Killins Jr. (PHI)</t>
  </si>
  <si>
    <t>Todd Gurley II (LAR)</t>
  </si>
  <si>
    <t>Leonard Fournette (JAC)</t>
  </si>
  <si>
    <t>Josh Jacobs (OAK)</t>
  </si>
  <si>
    <t>Le'Veon Bell (NYJ)</t>
  </si>
  <si>
    <t>Carlos Hyde (HOU)</t>
  </si>
  <si>
    <t>Melvin Gordon III (LAC)</t>
  </si>
  <si>
    <t>Devonta Freeman (ATL)</t>
  </si>
  <si>
    <t>Adrian Peterson (WAS)</t>
  </si>
  <si>
    <t>Damien Williams (KC)</t>
  </si>
  <si>
    <t>David Johnson (ARI)</t>
  </si>
  <si>
    <t>Peyton Barber (TB)</t>
  </si>
  <si>
    <t>LeSean McCoy (KC)</t>
  </si>
  <si>
    <t>DeAndre Washington (OAK)</t>
  </si>
  <si>
    <t>Matt Breida (SF)</t>
  </si>
  <si>
    <t>Frank Gore (BUF)</t>
  </si>
  <si>
    <t>Chris Thompson (WAS)</t>
  </si>
  <si>
    <t>Derrius Guice (WAS)</t>
  </si>
  <si>
    <t>J.D. McKissic (DET)</t>
  </si>
  <si>
    <t>Jalen Richard (OAK)</t>
  </si>
  <si>
    <t>Bo Scarbrough (DET)</t>
  </si>
  <si>
    <t>Dion Lewis (TEN)</t>
  </si>
  <si>
    <t>Dare Ogunbowale (TB)</t>
  </si>
  <si>
    <t>Kalen Ballage (MIA)</t>
  </si>
  <si>
    <t>Ty Johnson (DET)</t>
  </si>
  <si>
    <t>Jonathan Williams (IND)</t>
  </si>
  <si>
    <t>Mark Walton (MIA)</t>
  </si>
  <si>
    <t>Bilal Powell (NYJ)</t>
  </si>
  <si>
    <t>Dontrell Hilliard (CLE)</t>
  </si>
  <si>
    <t>Ty Montgomery II (NYJ)</t>
  </si>
  <si>
    <t>C.J. Prosise (SEA)</t>
  </si>
  <si>
    <t>Wes Hills (DET)</t>
  </si>
  <si>
    <t>Kerrith Whyte Jr. (PIT)</t>
  </si>
  <si>
    <t>Alec Ingold (OAK)</t>
  </si>
  <si>
    <t>Darren Sproles (PHI)</t>
  </si>
  <si>
    <t>Javorius Allen (NYG)</t>
  </si>
  <si>
    <t>Andy Janovich (DEN)</t>
  </si>
  <si>
    <t>Derek Watt (LAC)</t>
  </si>
  <si>
    <t>Danny Vitale (GB)</t>
  </si>
  <si>
    <t>Marshawn Lynch (SEA)</t>
  </si>
  <si>
    <t>Kenjon Barner (ATL)</t>
  </si>
  <si>
    <t>Spencer Ware (KC)</t>
  </si>
  <si>
    <t>Devontae Booker (DEN)</t>
  </si>
  <si>
    <t>Tra Carson (DET)</t>
  </si>
  <si>
    <t>Zach Line (NO)</t>
  </si>
  <si>
    <t>Jon Hilliman (NYG)</t>
  </si>
  <si>
    <t>Taiwan Jones (HOU)</t>
  </si>
  <si>
    <t>Patrick DiMarco (BUF)</t>
  </si>
  <si>
    <t>C.J. Anderson (DET)</t>
  </si>
  <si>
    <t>Paul Perkins (DET)</t>
  </si>
  <si>
    <t>Jay Ajayi (PHI)</t>
  </si>
  <si>
    <t>Dalyn Dawkins (TEN)</t>
  </si>
  <si>
    <t>T.J. Logan (TB)</t>
  </si>
  <si>
    <t>Zach Zenner (MIA)</t>
  </si>
  <si>
    <t>Nick Bawden (DET)</t>
  </si>
  <si>
    <t>Samaje Perine (MIA)</t>
  </si>
  <si>
    <t>Josh Ferguson (WAS)</t>
  </si>
  <si>
    <t>John Kelly Jr. (LAR)</t>
  </si>
  <si>
    <t>Jordan Scarlett (CAR)</t>
  </si>
  <si>
    <t>Ricky Ortiz (NO)</t>
  </si>
  <si>
    <t>Tony Brooks-James (PIT)</t>
  </si>
  <si>
    <t>De'Lance Turner (MIA)</t>
  </si>
  <si>
    <t>Alfred Morris (ARI)</t>
  </si>
  <si>
    <t>Senorise Perry (BUF)</t>
  </si>
  <si>
    <t>Roosevelt Nix (PIT)</t>
  </si>
  <si>
    <t>James Develin (NE)</t>
  </si>
  <si>
    <t>Jamaal Charles (JAC)</t>
  </si>
  <si>
    <t>Jonathan Stewart (NYG)</t>
  </si>
  <si>
    <t>LeGarrette Blount (DET)</t>
  </si>
  <si>
    <t>Chris Ivory (BUF)</t>
  </si>
  <si>
    <t>Stevan Ridley (PIT)</t>
  </si>
  <si>
    <t>DuJuan Harris (CIN)</t>
  </si>
  <si>
    <t>Lamar Miller (HOU)</t>
  </si>
  <si>
    <t>Robert Turbin (SEA)</t>
  </si>
  <si>
    <t>Travaris Cadet (CAR)</t>
  </si>
  <si>
    <t>Jamize Olawale (DAL)</t>
  </si>
  <si>
    <t>Mike Gillislee (NO)</t>
  </si>
  <si>
    <t>Christine Michael (IND)</t>
  </si>
  <si>
    <t>Derrick Coleman (ARI)</t>
  </si>
  <si>
    <t>Jeremy Hill (NE)</t>
  </si>
  <si>
    <t>David Fluellen (TEN)</t>
  </si>
  <si>
    <t>Cameron Artis-Payne (CAR)</t>
  </si>
  <si>
    <t>Jeremy Langford (ATL)</t>
  </si>
  <si>
    <t>Michael Burton (WAS)</t>
  </si>
  <si>
    <t>Rod Smith (OAK)</t>
  </si>
  <si>
    <t>Alex Collins (BAL)</t>
  </si>
  <si>
    <t>Kenneth Dixon (BAL)</t>
  </si>
  <si>
    <t>Brandin Bryant (CLE)</t>
  </si>
  <si>
    <t>Tre Madden (SEA)</t>
  </si>
  <si>
    <t>Jeremy McNichols (JAC)</t>
  </si>
  <si>
    <t>Joe Williams (NO)</t>
  </si>
  <si>
    <t>Justin Davis (LAR)</t>
  </si>
  <si>
    <t>Lavon Coleman (GB)</t>
  </si>
  <si>
    <t>Trenton Cannon (NYJ)</t>
  </si>
  <si>
    <t>Detrez Newsome (LAC)</t>
  </si>
  <si>
    <t>Jordan Chunn (DAL)</t>
  </si>
  <si>
    <t>Donnie Ernsberger (TB)</t>
  </si>
  <si>
    <t>Bryce Love (WAS)</t>
  </si>
  <si>
    <t>Austin Walter (NYG)</t>
  </si>
  <si>
    <t>Craig Reynolds (WAS)</t>
  </si>
  <si>
    <t>Tevin Coleman (ATL)</t>
  </si>
  <si>
    <t>Jordan Howard (CHI)</t>
  </si>
  <si>
    <t>Kenyan Drake (MIA)</t>
  </si>
  <si>
    <t>Isaiah Crowell (NYJ)</t>
  </si>
  <si>
    <t>T.J. Yeldon (JAC)</t>
  </si>
  <si>
    <t>Latavius Murray (MIN)</t>
  </si>
  <si>
    <t>Mike Davis (SEA)</t>
  </si>
  <si>
    <t>Doug Martin (OAK)</t>
  </si>
  <si>
    <t>LeSean McCoy (BUF)</t>
  </si>
  <si>
    <t>Frank Gore (MIA)</t>
  </si>
  <si>
    <t>Wendell Smallwood (PHI)</t>
  </si>
  <si>
    <t>Duke Johnson Jr. (CLE)</t>
  </si>
  <si>
    <t>Alfred Blue (HOU)</t>
  </si>
  <si>
    <t>Josh Adams (PHI)</t>
  </si>
  <si>
    <t>Elijah McGuire (NYJ)</t>
  </si>
  <si>
    <t>Marshawn Lynch (OAK)</t>
  </si>
  <si>
    <t>C.J. Anderson (LAR)</t>
  </si>
  <si>
    <t>Alfred Morris (SF)</t>
  </si>
  <si>
    <t>Javorius Allen (BAL)</t>
  </si>
  <si>
    <t>Theo Riddick (DET)</t>
  </si>
  <si>
    <t>Zach Zenner (DET)</t>
  </si>
  <si>
    <t>Cordarrelle Patterson (NE)</t>
  </si>
  <si>
    <t>Ty Montgomery II (BAL)</t>
  </si>
  <si>
    <t>Kapri Bibbs (GB)</t>
  </si>
  <si>
    <t>Jacquizz Rodgers (TB)</t>
  </si>
  <si>
    <t>Marcus Murphy (BUF)</t>
  </si>
  <si>
    <t>Brandon Bolden (MIA)</t>
  </si>
  <si>
    <t>Rod Smith (DAL)</t>
  </si>
  <si>
    <t>Taquan Mizzell (CHI)</t>
  </si>
  <si>
    <t>Corey Grant (JAC)</t>
  </si>
  <si>
    <t>Keith Ford (BUF)</t>
  </si>
  <si>
    <t>Charcandrick West (KC)</t>
  </si>
  <si>
    <t>D'Onta Foreman (HOU)</t>
  </si>
  <si>
    <t>Mark Walton (CIN)</t>
  </si>
  <si>
    <t>Kenjon Barner (CAR)</t>
  </si>
  <si>
    <t>Ryan Hewitt (IND)</t>
  </si>
  <si>
    <t>Roc Thomas (MIN)</t>
  </si>
  <si>
    <t>Tommy Bohanon (JAC)</t>
  </si>
  <si>
    <t>Byron Marshall (WAS)</t>
  </si>
  <si>
    <t>T.J. Logan (ARI)</t>
  </si>
  <si>
    <t>Samaje Perine (WAS)</t>
  </si>
  <si>
    <t>David Williams (JAC)</t>
  </si>
  <si>
    <t>Tyler Ervin (HOU)</t>
  </si>
  <si>
    <t>Shaun Wilson (TB)</t>
  </si>
  <si>
    <t>Benny Cunningham Jr. (CHI)</t>
  </si>
  <si>
    <t>Keith Smith (OAK)</t>
  </si>
  <si>
    <t>De'Lance Turner (BAL)</t>
  </si>
  <si>
    <t>Darius Jackson (DAL)</t>
  </si>
  <si>
    <t>Brandon Wilds (JAC)</t>
  </si>
  <si>
    <t>Ricky Ortiz (ATL)</t>
  </si>
  <si>
    <t>Robert Kelley (WAS)</t>
  </si>
  <si>
    <t>J.D. McKissic (SEA)</t>
  </si>
  <si>
    <t>Michael Burton (CHI)</t>
  </si>
  <si>
    <t>Jeremy McNichols (IND)</t>
  </si>
  <si>
    <t>Jonathan Williams (NO)</t>
  </si>
  <si>
    <t>Senorise Perry (MIA)</t>
  </si>
  <si>
    <t>Thomas Rawls (CIN)</t>
  </si>
  <si>
    <t>Tra Carson (GB)</t>
  </si>
  <si>
    <t>Matt Dayes (SF)</t>
  </si>
  <si>
    <t>Shane Smith (NYG)</t>
  </si>
  <si>
    <t>Godwin Igwebuike (SF)</t>
  </si>
  <si>
    <t>Jason Cabinda (OAK)</t>
  </si>
  <si>
    <t>De'Angelo Henderson Sr. (NYJ)</t>
  </si>
  <si>
    <t>Robert Turbin (IND)</t>
  </si>
  <si>
    <t>Tm</t>
  </si>
  <si>
    <t>Routes</t>
  </si>
  <si>
    <t>Targets</t>
  </si>
  <si>
    <t>Yds</t>
  </si>
  <si>
    <t>YPRR</t>
  </si>
  <si>
    <t>Open</t>
  </si>
  <si>
    <t>Catch</t>
  </si>
  <si>
    <t>YAC</t>
  </si>
  <si>
    <t>Overall</t>
  </si>
  <si>
    <t>Kareem Hunt</t>
  </si>
  <si>
    <t>KC</t>
  </si>
  <si>
    <t>Christian McCaffrey</t>
  </si>
  <si>
    <t>CAR</t>
  </si>
  <si>
    <t>Tevin Coleman</t>
  </si>
  <si>
    <t>ATL</t>
  </si>
  <si>
    <t>Tarik Cohen</t>
  </si>
  <si>
    <t>CHI</t>
  </si>
  <si>
    <t>Matt Breida</t>
  </si>
  <si>
    <t>SF</t>
  </si>
  <si>
    <t>Alvin Kamara</t>
  </si>
  <si>
    <t>NO</t>
  </si>
  <si>
    <t>Adrian Peterson</t>
  </si>
  <si>
    <t>WAS</t>
  </si>
  <si>
    <t>Rex Burkhead</t>
  </si>
  <si>
    <t>NE</t>
  </si>
  <si>
    <t>Jalen Richard</t>
  </si>
  <si>
    <t>LV</t>
  </si>
  <si>
    <t>Damien Williams</t>
  </si>
  <si>
    <t>Austin Ekeler</t>
  </si>
  <si>
    <t>LAC</t>
  </si>
  <si>
    <t>Dalvin Cook</t>
  </si>
  <si>
    <t>MIN</t>
  </si>
  <si>
    <t>Dion Lewis</t>
  </si>
  <si>
    <t>TEN</t>
  </si>
  <si>
    <t>James Conner</t>
  </si>
  <si>
    <t>PIT</t>
  </si>
  <si>
    <t>Ezekiel Elliott</t>
  </si>
  <si>
    <t>DAL</t>
  </si>
  <si>
    <t>Phillip Lindsay</t>
  </si>
  <si>
    <t>DEN</t>
  </si>
  <si>
    <t>Kerryon Johnson</t>
  </si>
  <si>
    <t>DET</t>
  </si>
  <si>
    <t>James White</t>
  </si>
  <si>
    <t>Elijah McGuire</t>
  </si>
  <si>
    <t>NYJ</t>
  </si>
  <si>
    <t>Alfred Blue</t>
  </si>
  <si>
    <t>HOU</t>
  </si>
  <si>
    <t>Kenyan Drake</t>
  </si>
  <si>
    <t>MIA</t>
  </si>
  <si>
    <t>Javorius Allen</t>
  </si>
  <si>
    <t>BAL</t>
  </si>
  <si>
    <t>LA</t>
  </si>
  <si>
    <t>CLE</t>
  </si>
  <si>
    <t>GB</t>
  </si>
  <si>
    <t>Darren Sproles</t>
  </si>
  <si>
    <t>PHI</t>
  </si>
  <si>
    <t>Theo Riddick</t>
  </si>
  <si>
    <t>IND</t>
  </si>
  <si>
    <t>Lamar Miller</t>
  </si>
  <si>
    <t>Jacquizz Rodgers</t>
  </si>
  <si>
    <t>TB</t>
  </si>
  <si>
    <t>Kyle Juszczyk</t>
  </si>
  <si>
    <t>David Johnson</t>
  </si>
  <si>
    <t>ARI</t>
  </si>
  <si>
    <t>LeSean McCoy</t>
  </si>
  <si>
    <t>BUF</t>
  </si>
  <si>
    <t>Mike Davis</t>
  </si>
  <si>
    <t>SEA</t>
  </si>
  <si>
    <t>Jamaal Williams</t>
  </si>
  <si>
    <t>T.J. Yeldon</t>
  </si>
  <si>
    <t>JAX</t>
  </si>
  <si>
    <t>Wendell Smallwood</t>
  </si>
  <si>
    <t>Devontae Booker</t>
  </si>
  <si>
    <t>Trenton Cannon</t>
  </si>
  <si>
    <t>Jordan Howard</t>
  </si>
  <si>
    <t>Ito Smith</t>
  </si>
  <si>
    <t>Chris Carson</t>
  </si>
  <si>
    <t>Doug Martin</t>
  </si>
  <si>
    <t>Peyton Barber</t>
  </si>
  <si>
    <t>Marlon Mack</t>
  </si>
  <si>
    <t>Chris Thompson</t>
  </si>
  <si>
    <t>Miles Sanders</t>
  </si>
  <si>
    <t>Latavius Murray</t>
  </si>
  <si>
    <t>Le'Veon Bell</t>
  </si>
  <si>
    <t>Josh Jacobs</t>
  </si>
  <si>
    <t>DeAndre Washington</t>
  </si>
  <si>
    <t>Leonard Fournette</t>
  </si>
  <si>
    <t>Ryquell Armstead</t>
  </si>
  <si>
    <t>Devonta Freeman</t>
  </si>
  <si>
    <t>Nick Chubb</t>
  </si>
  <si>
    <t>J.D. McKissic</t>
  </si>
  <si>
    <t>Royce Freeman</t>
  </si>
  <si>
    <t>Patrick Laird</t>
  </si>
  <si>
    <t>Devin Singletary</t>
  </si>
  <si>
    <t>David Montgomery</t>
  </si>
  <si>
    <t>Jaylen Samuels</t>
  </si>
  <si>
    <t>Dare Ogunbowale</t>
  </si>
  <si>
    <t>Ty Johnson</t>
  </si>
  <si>
    <t>Myles Gaskin</t>
  </si>
  <si>
    <t>Chase Edmonds</t>
  </si>
  <si>
    <t>Tony Pollard</t>
  </si>
  <si>
    <t>James Robinson</t>
  </si>
  <si>
    <t>Joshua Kelley</t>
  </si>
  <si>
    <t>Giovani Bernard</t>
  </si>
  <si>
    <t>CIN</t>
  </si>
  <si>
    <t>D'Andre Swift</t>
  </si>
  <si>
    <t>Boston Scott</t>
  </si>
  <si>
    <t>Jonathan Taylor</t>
  </si>
  <si>
    <t>Antonio Gibson</t>
  </si>
  <si>
    <t>Clyde Edwards-Helaire</t>
  </si>
  <si>
    <t>Brian Hill</t>
  </si>
  <si>
    <t>Kalen Ballage</t>
  </si>
  <si>
    <t>NYG</t>
  </si>
  <si>
    <t>Jerick McKinnon</t>
  </si>
  <si>
    <t>Malcolm Brown</t>
  </si>
  <si>
    <t>J.K. Dobbins</t>
  </si>
  <si>
    <t>Derrick Henry</t>
  </si>
  <si>
    <t>Darrel Williams</t>
  </si>
  <si>
    <t>Cordarrelle Patterson</t>
  </si>
  <si>
    <t>Elijah Mitchell</t>
  </si>
  <si>
    <t>Michael Carter</t>
  </si>
  <si>
    <t>Justin Jackson</t>
  </si>
  <si>
    <t>Brandon Bolden</t>
  </si>
  <si>
    <t>Jeremy McNichols</t>
  </si>
  <si>
    <t>Samaje Perine</t>
  </si>
  <si>
    <t>Javonte Williams</t>
  </si>
  <si>
    <t>Joe Mixon</t>
  </si>
  <si>
    <t>Alexander Mattison</t>
  </si>
  <si>
    <t>Zack Moss</t>
  </si>
  <si>
    <t>Ameer Abdullah</t>
  </si>
  <si>
    <t>Najee Harris</t>
  </si>
  <si>
    <t>Sony Michel</t>
  </si>
  <si>
    <t>Saquon Barkley</t>
  </si>
  <si>
    <t>Chuba Hubbard</t>
  </si>
  <si>
    <t>Jaylen Warren</t>
  </si>
  <si>
    <t>Deon Jackson</t>
  </si>
  <si>
    <t>Breece Hall</t>
  </si>
  <si>
    <t>Rachaad White</t>
  </si>
  <si>
    <t>Dontrell Hilliard</t>
  </si>
  <si>
    <t>Dameon Pierce</t>
  </si>
  <si>
    <t>Raheem Mostert</t>
  </si>
  <si>
    <t>Damien Harris</t>
  </si>
  <si>
    <t>Eno Benjamin</t>
  </si>
  <si>
    <t>Rhamondre Stevenson</t>
  </si>
  <si>
    <t>Tyjae Spears</t>
  </si>
  <si>
    <t>Zach Charbonnet</t>
  </si>
  <si>
    <t>Isiah Pacheco</t>
  </si>
  <si>
    <t>Justice Hill</t>
  </si>
  <si>
    <t>Jaleel McLaughlin</t>
  </si>
  <si>
    <t>Jerome Ford</t>
  </si>
  <si>
    <t>Khalil Herbert</t>
  </si>
  <si>
    <t>Roschon Johnson</t>
  </si>
  <si>
    <t>Bijan Robinson</t>
  </si>
  <si>
    <t>Kyren Williams</t>
  </si>
  <si>
    <t>Jahmyr Gibbs</t>
  </si>
  <si>
    <t>Emari Demercado</t>
  </si>
  <si>
    <t>Bucky Irving</t>
  </si>
  <si>
    <t>Chase Brown</t>
  </si>
  <si>
    <t>Tyrone Tracy Jr.</t>
  </si>
  <si>
    <t>Braelon Allen</t>
  </si>
  <si>
    <t>Rico Dowdle</t>
  </si>
  <si>
    <t>Dylan Sampson</t>
  </si>
  <si>
    <t>Omarion Hampton</t>
  </si>
  <si>
    <t>Ashton Jeanty</t>
  </si>
  <si>
    <t>RJ Harvey</t>
  </si>
  <si>
    <t>Kimani Vidal</t>
  </si>
  <si>
    <t>Cam Skattebo</t>
  </si>
  <si>
    <t>LAR</t>
  </si>
  <si>
    <t>Kyle Monangai</t>
  </si>
  <si>
    <t>Woody Marks</t>
  </si>
  <si>
    <t>Tyler Badie</t>
  </si>
  <si>
    <t>Quinshon Judkins</t>
  </si>
  <si>
    <t>Isaiah Davis</t>
  </si>
  <si>
    <t>Bam Knight</t>
  </si>
  <si>
    <t>TreVeyon Henderson</t>
  </si>
  <si>
    <t>G</t>
  </si>
  <si>
    <t>TGT</t>
  </si>
  <si>
    <t>REC</t>
  </si>
  <si>
    <t>Y/R</t>
  </si>
  <si>
    <t>FL</t>
  </si>
  <si>
    <t>RecYDS</t>
  </si>
  <si>
    <t>RecTD</t>
  </si>
  <si>
    <t>Melvin Gordon III</t>
  </si>
  <si>
    <t>Mark Ingram II</t>
  </si>
  <si>
    <t>Todd Gurley II</t>
  </si>
  <si>
    <t>Duke Johnson Jr.</t>
  </si>
  <si>
    <t>Aaron Jones Sr.</t>
  </si>
  <si>
    <t>Nyheim Miller-Hines</t>
  </si>
  <si>
    <t>Ty Montgomery II</t>
  </si>
  <si>
    <t>Ronald Jones II</t>
  </si>
  <si>
    <t>Wayne Gallman Jr.</t>
  </si>
  <si>
    <t>Jeff Wilson Jr.</t>
  </si>
  <si>
    <t>AJ Dillon</t>
  </si>
  <si>
    <t>JaMycal Hasty</t>
  </si>
  <si>
    <t>Kenny Gainwell</t>
  </si>
  <si>
    <t>Darrell Henderson Jr.</t>
  </si>
  <si>
    <t>Kenneth Walker III</t>
  </si>
  <si>
    <t>Travis Etienne Jr.</t>
  </si>
  <si>
    <t>James Cook III</t>
  </si>
  <si>
    <t>Brian Robinson Jr.</t>
  </si>
  <si>
    <t>De'Von Achane</t>
  </si>
  <si>
    <t>Y/RR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</si>
</sst>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16191D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2E2E2"/>
        <bgColor indexed="64"/>
      </patternFill>
    </fill>
  </fills>
  <borders count="11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1" fillId="2" borderId="0" xfId="0" applyFont="1" applyFill="1" applyBorder="1"/>
    <xf numFmtId="0" fontId="0" fillId="3" borderId="3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5" borderId="6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3" fontId="2" fillId="5" borderId="6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/>
    <xf numFmtId="0" fontId="1" fillId="2" borderId="10" xfId="0" applyFont="1" applyFill="1" applyBorder="1"/>
    <xf numFmtId="0" fontId="1" fillId="2" borderId="8" xfId="0" applyFont="1" applyFill="1" applyBorder="1"/>
    <xf numFmtId="0" fontId="1" fillId="2" borderId="7" xfId="0" applyFont="1" applyFill="1" applyBorder="1"/>
    <xf numFmtId="0" fontId="0" fillId="0" borderId="0" xfId="0"/>
    <xf numFmtId="0" fontId="2" fillId="5" borderId="0" xfId="0" applyFont="1" applyFill="1" applyBorder="1" applyAlignment="1">
      <alignment horizontal="center" vertical="center" wrapText="1"/>
    </xf>
    <xf numFmtId="0" fontId="0" fillId="0" borderId="0" xfId="0"/>
    <xf numFmtId="0" fontId="1" fillId="2" borderId="0" xfId="0" applyFont="1" applyFill="1"/>
    <xf numFmtId="0" fontId="2" fillId="5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91D"/>
        <name val="Aptos Narrow"/>
        <family val="2"/>
        <scheme val="none"/>
      </font>
      <numFmt numFmtId="0" formatCode="General"/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91D"/>
        <name val="Aptos Narrow"/>
        <family val="2"/>
        <scheme val="none"/>
      </font>
      <numFmt numFmtId="0" formatCode="General"/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91D"/>
        <name val="Aptos Narrow"/>
        <family val="2"/>
        <scheme val="none"/>
      </font>
      <numFmt numFmtId="0" formatCode="General"/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91D"/>
        <name val="Aptos Narrow"/>
        <family val="2"/>
        <scheme val="none"/>
      </font>
      <numFmt numFmtId="0" formatCode="General"/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91D"/>
        <name val="Aptos Narrow"/>
        <family val="2"/>
        <scheme val="none"/>
      </font>
      <numFmt numFmtId="0" formatCode="General"/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91D"/>
        <name val="Aptos Narrow"/>
        <family val="2"/>
        <scheme val="none"/>
      </font>
      <numFmt numFmtId="0" formatCode="General"/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91D"/>
        <name val="Aptos Narrow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91D"/>
        <name val="Aptos Narrow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91D"/>
        <name val="Aptos Narrow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91D"/>
        <name val="Aptos Narrow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91D"/>
        <name val="Aptos Narrow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91D"/>
        <name val="Aptos Narrow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91D"/>
        <name val="Aptos Narrow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8C94508-12D4-4210-843A-C6C956E05AA3}" name="Table5" displayName="Table5" ref="A1:Q1441" totalsRowShown="0" headerRowDxfId="6" dataDxfId="7" tableBorderDxfId="19">
  <autoFilter ref="A1:Q1441" xr:uid="{68C94508-12D4-4210-843A-C6C956E05AA3}"/>
  <tableColumns count="17">
    <tableColumn id="1" xr3:uid="{95FCAD34-E7A5-4645-95D2-0FFAE74228EE}" name="Year" dataDxfId="18"/>
    <tableColumn id="2" xr3:uid="{92E9FFD2-0CD9-438C-8527-FC7632CA0FBE}" name="Player (TM)" dataDxfId="17"/>
    <tableColumn id="3" xr3:uid="{002F2498-7FF2-4A9F-A7DE-027CE4E15560}" name="Player" dataDxfId="16">
      <calculatedColumnFormula>TRIM(LEFT(B2, LEN(B2) - LEN(TRIM(RIGHT(SUBSTITUTE(TRIM(B2)," ",REPT(" ",100)),100)))))</calculatedColumnFormula>
    </tableColumn>
    <tableColumn id="4" xr3:uid="{2CD549C8-AB0C-429C-A8DC-2EBC6D7F7280}" name="TM" dataDxfId="15">
      <calculatedColumnFormula>MID(B2, FIND("(", B2) + 1, FIND(")", B2) - FIND("(", B2) - 1)</calculatedColumnFormula>
    </tableColumn>
    <tableColumn id="5" xr3:uid="{DBC38884-20BF-4FF1-86FA-25BC6DA34EE9}" name="G" dataDxfId="14"/>
    <tableColumn id="6" xr3:uid="{48AFCA54-3936-4DF2-838F-59B4845F1AD1}" name="TGT" dataDxfId="13"/>
    <tableColumn id="7" xr3:uid="{9C4351D7-D151-4138-8A83-7711562016BE}" name="REC" dataDxfId="12"/>
    <tableColumn id="8" xr3:uid="{82BB2E29-FB94-4CEE-9EA9-0A3CA93D33FE}" name="RecYDS" dataDxfId="11"/>
    <tableColumn id="9" xr3:uid="{E0B99CA2-7820-4A15-859E-F38CBC560EBA}" name="Y/R" dataDxfId="10"/>
    <tableColumn id="10" xr3:uid="{3B4DF4F1-0DB7-412E-BA46-6D27CAB6335E}" name="RecTD" dataDxfId="9"/>
    <tableColumn id="11" xr3:uid="{52CCFDB4-A6F3-4B5F-B55F-1A2C69D08073}" name="FL" dataDxfId="8"/>
    <tableColumn id="12" xr3:uid="{5B58EAD9-94EE-41BC-9E9D-E2D2B5A463E9}" name="Routes" dataDxfId="5">
      <calculatedColumnFormula array="1">IFERROR(_xlfn.XLOOKUP(C2&amp;A2, ESPN!A:A&amp;ESPN!C:C, ESPN!D:D), "N/A")</calculatedColumnFormula>
    </tableColumn>
    <tableColumn id="13" xr3:uid="{1ED4EB87-132A-4DA6-87E6-EA006A160474}" name="Y/RR" dataDxfId="4">
      <calculatedColumnFormula array="1">IFERROR(_xlfn.XLOOKUP(C2&amp;A2, ESPN!A:A&amp;ESPN!C:C, ESPN!G:G), "N/A")</calculatedColumnFormula>
    </tableColumn>
    <tableColumn id="14" xr3:uid="{67C4E018-0C37-4F10-BAA9-303B8226A825}" name="Open" dataDxfId="3">
      <calculatedColumnFormula array="1">IFERROR(_xlfn.XLOOKUP(C2&amp;A2, ESPN!A:A&amp;ESPN!C:C, ESPN!H:H), "N/A")</calculatedColumnFormula>
    </tableColumn>
    <tableColumn id="15" xr3:uid="{06E4A98F-37CF-4852-9F87-00CF41327A5F}" name="Catch" dataDxfId="2">
      <calculatedColumnFormula array="1">IFERROR(_xlfn.XLOOKUP(C2&amp;A2, ESPN!A:A&amp;ESPN!C:C, ESPN!I:I), "N/A")</calculatedColumnFormula>
    </tableColumn>
    <tableColumn id="16" xr3:uid="{6D0AA5FE-F914-4D2D-A06A-3D5BA831126D}" name="YAC" dataDxfId="1">
      <calculatedColumnFormula array="1">IFERROR(_xlfn.XLOOKUP(C2&amp;A2, ESPN!A:A&amp;ESPN!C:C, ESPN!J:J), "N/A")</calculatedColumnFormula>
    </tableColumn>
    <tableColumn id="17" xr3:uid="{71A1D6DA-4C89-42AE-8D54-469A40D35E2E}" name="Overall" dataDxfId="0">
      <calculatedColumnFormula array="1">IFERROR(_xlfn.XLOOKUP(C2&amp;A2, ESPN!A:A&amp;ESPN!C:C, ESPN!K:K), "N/A")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70FC90-CDBC-409A-AE93-01EE11B10F99}" name="Table4" displayName="Table4" ref="A1:K391" totalsRowShown="0">
  <autoFilter ref="A1:K391" xr:uid="{4170FC90-CDBC-409A-AE93-01EE11B10F99}"/>
  <tableColumns count="11">
    <tableColumn id="1" xr3:uid="{B57F964A-7622-493E-8C33-CEA5334C9CBE}" name="Player"/>
    <tableColumn id="2" xr3:uid="{3863186E-6B65-4E38-8F24-BDEA4B13E718}" name="Tm"/>
    <tableColumn id="4" xr3:uid="{86FAF70B-D841-4A65-B5BF-B87E702B74B1}" name="Year"/>
    <tableColumn id="5" xr3:uid="{7FD3E1BD-CEB0-4512-BA12-5F94404F8044}" name="Routes"/>
    <tableColumn id="6" xr3:uid="{0C6CFE1D-1300-42D5-8B45-2D089E661543}" name="Targets"/>
    <tableColumn id="7" xr3:uid="{78291EA1-9E63-4677-ADC5-2E7C98020900}" name="Yds"/>
    <tableColumn id="8" xr3:uid="{C8DD6959-32F4-419C-932E-C1E1169FB758}" name="YPRR"/>
    <tableColumn id="9" xr3:uid="{13975ED5-D21B-407B-A3F8-ECE253FD728B}" name="Open"/>
    <tableColumn id="10" xr3:uid="{CAD46EAC-FF5F-4D71-B971-AE47167CDFFB}" name="Catch"/>
    <tableColumn id="11" xr3:uid="{26F5A3CC-4750-4261-99EA-FE447824B6E4}" name="YAC"/>
    <tableColumn id="12" xr3:uid="{EA016C63-605F-4235-A53C-00F5E9CFF1BD}" name="Overa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238B0-B9E5-4019-8302-A776DF83FEAE}">
  <dimension ref="A1:Q1441"/>
  <sheetViews>
    <sheetView tabSelected="1" workbookViewId="0">
      <selection activeCell="Q3" sqref="Q3"/>
    </sheetView>
  </sheetViews>
  <sheetFormatPr defaultRowHeight="14.25" x14ac:dyDescent="0.45"/>
  <cols>
    <col min="1" max="1" width="9.265625" customWidth="1"/>
    <col min="2" max="2" width="19.73046875" customWidth="1"/>
    <col min="3" max="3" width="19.3984375" customWidth="1"/>
    <col min="4" max="4" width="6.06640625" customWidth="1"/>
    <col min="5" max="5" width="4.6640625" customWidth="1"/>
    <col min="6" max="7" width="5.9296875" customWidth="1"/>
    <col min="8" max="8" width="8.9296875" customWidth="1"/>
    <col min="9" max="9" width="5.3984375" customWidth="1"/>
    <col min="10" max="10" width="7.73046875" customWidth="1"/>
    <col min="11" max="11" width="6.265625" customWidth="1"/>
    <col min="12" max="12" width="8.19921875" customWidth="1"/>
  </cols>
  <sheetData>
    <row r="1" spans="1:17" x14ac:dyDescent="0.45">
      <c r="A1" s="18" t="s">
        <v>0</v>
      </c>
      <c r="B1" s="19" t="s">
        <v>1</v>
      </c>
      <c r="C1" s="20" t="s">
        <v>2</v>
      </c>
      <c r="D1" s="20" t="s">
        <v>3</v>
      </c>
      <c r="E1" s="20" t="s">
        <v>938</v>
      </c>
      <c r="F1" s="21" t="s">
        <v>939</v>
      </c>
      <c r="G1" s="5" t="s">
        <v>940</v>
      </c>
      <c r="H1" s="5" t="s">
        <v>943</v>
      </c>
      <c r="I1" s="5" t="s">
        <v>941</v>
      </c>
      <c r="J1" s="5" t="s">
        <v>944</v>
      </c>
      <c r="K1" s="5" t="s">
        <v>942</v>
      </c>
      <c r="L1" s="5" t="s">
        <v>764</v>
      </c>
      <c r="M1" s="25" t="s">
        <v>964</v>
      </c>
      <c r="N1" s="25" t="s">
        <v>768</v>
      </c>
      <c r="O1" s="25" t="s">
        <v>769</v>
      </c>
      <c r="P1" s="25" t="s">
        <v>770</v>
      </c>
      <c r="Q1" s="25" t="s">
        <v>771</v>
      </c>
    </row>
    <row r="2" spans="1:17" x14ac:dyDescent="0.45">
      <c r="A2" s="6">
        <v>2025</v>
      </c>
      <c r="B2" s="1" t="s">
        <v>4</v>
      </c>
      <c r="C2" s="2" t="str">
        <f t="shared" ref="C2:C65" si="0">TRIM(LEFT(B2, LEN(B2) - LEN(TRIM(RIGHT(SUBSTITUTE(TRIM(B2)," ",REPT(" ",100)),100)))))</f>
        <v>James Cook III</v>
      </c>
      <c r="D2" s="2" t="str">
        <f t="shared" ref="D2:D65" si="1">MID(B2, FIND("(", B2) + 1, FIND(")", B2) - FIND("(", B2) - 1)</f>
        <v>BUF</v>
      </c>
      <c r="E2" s="2">
        <v>17</v>
      </c>
      <c r="F2" s="12">
        <v>40</v>
      </c>
      <c r="G2" s="11">
        <v>33</v>
      </c>
      <c r="H2" s="11">
        <v>291</v>
      </c>
      <c r="I2" s="11">
        <v>8.8000000000000007</v>
      </c>
      <c r="J2" s="11">
        <v>2</v>
      </c>
      <c r="K2" s="11">
        <v>3</v>
      </c>
      <c r="L2" s="11" cm="1">
        <f t="array" ref="L2">IFERROR(_xlfn.XLOOKUP(C2&amp;A2, ESPN!A:A&amp;ESPN!C:C, ESPN!D:D), "N/A")</f>
        <v>254</v>
      </c>
      <c r="M2" s="23" cm="1">
        <f t="array" ref="M2">IFERROR(_xlfn.XLOOKUP(C2&amp;A2, ESPN!A:A&amp;ESPN!C:C, ESPN!G:G), "N/A")</f>
        <v>1.26</v>
      </c>
      <c r="N2" s="23" cm="1">
        <f t="array" ref="N2">IFERROR(_xlfn.XLOOKUP(C2&amp;A2, ESPN!A:A&amp;ESPN!C:C, ESPN!H:H), "N/A")</f>
        <v>46</v>
      </c>
      <c r="O2" s="26" cm="1">
        <f t="array" ref="O2">IFERROR(_xlfn.XLOOKUP(C2&amp;A2, ESPN!A:A&amp;ESPN!C:C, ESPN!I:I), "N/A")</f>
        <v>72</v>
      </c>
      <c r="P2" s="26" cm="1">
        <f t="array" ref="P2">IFERROR(_xlfn.XLOOKUP(C2&amp;A2, ESPN!A:A&amp;ESPN!C:C, ESPN!J:J), "N/A")</f>
        <v>19</v>
      </c>
      <c r="Q2" s="26" cm="1">
        <f t="array" ref="Q2">IFERROR(_xlfn.XLOOKUP(C2&amp;A2, ESPN!A:A&amp;ESPN!C:C, ESPN!K:K), "N/A")</f>
        <v>33</v>
      </c>
    </row>
    <row r="3" spans="1:17" x14ac:dyDescent="0.45">
      <c r="A3" s="7">
        <v>2025</v>
      </c>
      <c r="B3" s="3" t="s">
        <v>5</v>
      </c>
      <c r="C3" s="4" t="str">
        <f t="shared" si="0"/>
        <v>Derrick Henry</v>
      </c>
      <c r="D3" s="4" t="str">
        <f t="shared" si="1"/>
        <v>BAL</v>
      </c>
      <c r="E3" s="4">
        <v>17</v>
      </c>
      <c r="F3" s="13">
        <v>21</v>
      </c>
      <c r="G3" s="14">
        <v>15</v>
      </c>
      <c r="H3" s="14">
        <v>150</v>
      </c>
      <c r="I3" s="14">
        <v>10</v>
      </c>
      <c r="J3" s="14">
        <v>0</v>
      </c>
      <c r="K3" s="14">
        <v>3</v>
      </c>
      <c r="L3" s="11" t="str" cm="1">
        <f t="array" ref="L3">IFERROR(_xlfn.XLOOKUP(C3&amp;A3, ESPN!A:A&amp;ESPN!C:C, ESPN!D:D), "N/A")</f>
        <v>N/A</v>
      </c>
      <c r="M3" s="23" t="str" cm="1">
        <f t="array" ref="M3">IFERROR(_xlfn.XLOOKUP(C3&amp;A3, ESPN!A:A&amp;ESPN!C:C, ESPN!G:G), "N/A")</f>
        <v>N/A</v>
      </c>
      <c r="N3" s="23" t="str" cm="1">
        <f t="array" ref="N3">IFERROR(_xlfn.XLOOKUP(C3&amp;A3, ESPN!A:A&amp;ESPN!C:C, ESPN!H:H), "N/A")</f>
        <v>N/A</v>
      </c>
      <c r="O3" s="26" t="str" cm="1">
        <f t="array" ref="O3">IFERROR(_xlfn.XLOOKUP(C3&amp;A3, ESPN!A:A&amp;ESPN!C:C, ESPN!I:I), "N/A")</f>
        <v>N/A</v>
      </c>
      <c r="P3" s="26" t="str" cm="1">
        <f t="array" ref="P3">IFERROR(_xlfn.XLOOKUP(C3&amp;A3, ESPN!A:A&amp;ESPN!C:C, ESPN!J:J), "N/A")</f>
        <v>N/A</v>
      </c>
      <c r="Q3" s="26" t="str" cm="1">
        <f t="array" ref="Q3">IFERROR(_xlfn.XLOOKUP(C3&amp;A3, ESPN!A:A&amp;ESPN!C:C, ESPN!K:K), "N/A")</f>
        <v>N/A</v>
      </c>
    </row>
    <row r="4" spans="1:17" x14ac:dyDescent="0.45">
      <c r="A4" s="6">
        <v>2025</v>
      </c>
      <c r="B4" s="1" t="s">
        <v>6</v>
      </c>
      <c r="C4" s="2" t="str">
        <f t="shared" si="0"/>
        <v>Jonathan Taylor</v>
      </c>
      <c r="D4" s="2" t="str">
        <f t="shared" si="1"/>
        <v>IND</v>
      </c>
      <c r="E4" s="2">
        <v>17</v>
      </c>
      <c r="F4" s="15">
        <v>55</v>
      </c>
      <c r="G4" s="16">
        <v>46</v>
      </c>
      <c r="H4" s="16">
        <v>378</v>
      </c>
      <c r="I4" s="16">
        <v>8.1999999999999993</v>
      </c>
      <c r="J4" s="16">
        <v>2</v>
      </c>
      <c r="K4" s="16">
        <v>1</v>
      </c>
      <c r="L4" s="11" cm="1">
        <f t="array" ref="L4">IFERROR(_xlfn.XLOOKUP(C4&amp;A4, ESPN!A:A&amp;ESPN!C:C, ESPN!D:D), "N/A")</f>
        <v>337</v>
      </c>
      <c r="M4" s="23" cm="1">
        <f t="array" ref="M4">IFERROR(_xlfn.XLOOKUP(C4&amp;A4, ESPN!A:A&amp;ESPN!C:C, ESPN!G:G), "N/A")</f>
        <v>1.1200000000000001</v>
      </c>
      <c r="N4" s="23" cm="1">
        <f t="array" ref="N4">IFERROR(_xlfn.XLOOKUP(C4&amp;A4, ESPN!A:A&amp;ESPN!C:C, ESPN!H:H), "N/A")</f>
        <v>52</v>
      </c>
      <c r="O4" s="26" cm="1">
        <f t="array" ref="O4">IFERROR(_xlfn.XLOOKUP(C4&amp;A4, ESPN!A:A&amp;ESPN!C:C, ESPN!I:I), "N/A")</f>
        <v>80</v>
      </c>
      <c r="P4" s="26" cm="1">
        <f t="array" ref="P4">IFERROR(_xlfn.XLOOKUP(C4&amp;A4, ESPN!A:A&amp;ESPN!C:C, ESPN!J:J), "N/A")</f>
        <v>55</v>
      </c>
      <c r="Q4" s="26" cm="1">
        <f t="array" ref="Q4">IFERROR(_xlfn.XLOOKUP(C4&amp;A4, ESPN!A:A&amp;ESPN!C:C, ESPN!K:K), "N/A")</f>
        <v>69</v>
      </c>
    </row>
    <row r="5" spans="1:17" x14ac:dyDescent="0.45">
      <c r="A5" s="7">
        <v>2025</v>
      </c>
      <c r="B5" s="3" t="s">
        <v>7</v>
      </c>
      <c r="C5" s="4" t="str">
        <f t="shared" si="0"/>
        <v>Bijan Robinson</v>
      </c>
      <c r="D5" s="4" t="str">
        <f t="shared" si="1"/>
        <v>ATL</v>
      </c>
      <c r="E5" s="4">
        <v>17</v>
      </c>
      <c r="F5" s="13">
        <v>103</v>
      </c>
      <c r="G5" s="14">
        <v>79</v>
      </c>
      <c r="H5" s="14">
        <v>820</v>
      </c>
      <c r="I5" s="14">
        <v>10.4</v>
      </c>
      <c r="J5" s="14">
        <v>4</v>
      </c>
      <c r="K5" s="14">
        <v>3</v>
      </c>
      <c r="L5" s="11" cm="1">
        <f t="array" ref="L5">IFERROR(_xlfn.XLOOKUP(C5&amp;A5, ESPN!A:A&amp;ESPN!C:C, ESPN!D:D), "N/A")</f>
        <v>377</v>
      </c>
      <c r="M5" s="23" cm="1">
        <f t="array" ref="M5">IFERROR(_xlfn.XLOOKUP(C5&amp;A5, ESPN!A:A&amp;ESPN!C:C, ESPN!G:G), "N/A")</f>
        <v>2.1800000000000002</v>
      </c>
      <c r="N5" s="23" cm="1">
        <f t="array" ref="N5">IFERROR(_xlfn.XLOOKUP(C5&amp;A5, ESPN!A:A&amp;ESPN!C:C, ESPN!H:H), "N/A")</f>
        <v>52</v>
      </c>
      <c r="O5" s="26" cm="1">
        <f t="array" ref="O5">IFERROR(_xlfn.XLOOKUP(C5&amp;A5, ESPN!A:A&amp;ESPN!C:C, ESPN!I:I), "N/A")</f>
        <v>95</v>
      </c>
      <c r="P5" s="26" cm="1">
        <f t="array" ref="P5">IFERROR(_xlfn.XLOOKUP(C5&amp;A5, ESPN!A:A&amp;ESPN!C:C, ESPN!J:J), "N/A")</f>
        <v>75</v>
      </c>
      <c r="Q5" s="26" cm="1">
        <f t="array" ref="Q5">IFERROR(_xlfn.XLOOKUP(C5&amp;A5, ESPN!A:A&amp;ESPN!C:C, ESPN!K:K), "N/A")</f>
        <v>94</v>
      </c>
    </row>
    <row r="6" spans="1:17" x14ac:dyDescent="0.45">
      <c r="A6" s="6">
        <v>2025</v>
      </c>
      <c r="B6" s="1" t="s">
        <v>8</v>
      </c>
      <c r="C6" s="2" t="str">
        <f t="shared" si="0"/>
        <v>De'Von Achane</v>
      </c>
      <c r="D6" s="2" t="str">
        <f t="shared" si="1"/>
        <v>MIA</v>
      </c>
      <c r="E6" s="2">
        <v>16</v>
      </c>
      <c r="F6" s="12">
        <v>85</v>
      </c>
      <c r="G6" s="11">
        <v>67</v>
      </c>
      <c r="H6" s="11">
        <v>488</v>
      </c>
      <c r="I6" s="11">
        <v>7.3</v>
      </c>
      <c r="J6" s="11">
        <v>4</v>
      </c>
      <c r="K6" s="11">
        <v>0</v>
      </c>
      <c r="L6" s="11" cm="1">
        <f t="array" ref="L6">IFERROR(_xlfn.XLOOKUP(C6&amp;A6, ESPN!A:A&amp;ESPN!C:C, ESPN!D:D), "N/A")</f>
        <v>284</v>
      </c>
      <c r="M6" s="23" cm="1">
        <f t="array" ref="M6">IFERROR(_xlfn.XLOOKUP(C6&amp;A6, ESPN!A:A&amp;ESPN!C:C, ESPN!G:G), "N/A")</f>
        <v>1.72</v>
      </c>
      <c r="N6" s="23" cm="1">
        <f t="array" ref="N6">IFERROR(_xlfn.XLOOKUP(C6&amp;A6, ESPN!A:A&amp;ESPN!C:C, ESPN!H:H), "N/A")</f>
        <v>45</v>
      </c>
      <c r="O6" s="26" cm="1">
        <f t="array" ref="O6">IFERROR(_xlfn.XLOOKUP(C6&amp;A6, ESPN!A:A&amp;ESPN!C:C, ESPN!I:I), "N/A")</f>
        <v>74</v>
      </c>
      <c r="P6" s="26" cm="1">
        <f t="array" ref="P6">IFERROR(_xlfn.XLOOKUP(C6&amp;A6, ESPN!A:A&amp;ESPN!C:C, ESPN!J:J), "N/A")</f>
        <v>29</v>
      </c>
      <c r="Q6" s="26" cm="1">
        <f t="array" ref="Q6">IFERROR(_xlfn.XLOOKUP(C6&amp;A6, ESPN!A:A&amp;ESPN!C:C, ESPN!K:K), "N/A")</f>
        <v>42</v>
      </c>
    </row>
    <row r="7" spans="1:17" x14ac:dyDescent="0.45">
      <c r="A7" s="7">
        <v>2025</v>
      </c>
      <c r="B7" s="3" t="s">
        <v>9</v>
      </c>
      <c r="C7" s="4" t="str">
        <f t="shared" si="0"/>
        <v>Kyren Williams</v>
      </c>
      <c r="D7" s="4" t="str">
        <f t="shared" si="1"/>
        <v>LAR</v>
      </c>
      <c r="E7" s="4">
        <v>17</v>
      </c>
      <c r="F7" s="13">
        <v>50</v>
      </c>
      <c r="G7" s="14">
        <v>36</v>
      </c>
      <c r="H7" s="14">
        <v>281</v>
      </c>
      <c r="I7" s="14">
        <v>7.8</v>
      </c>
      <c r="J7" s="14">
        <v>3</v>
      </c>
      <c r="K7" s="14">
        <v>2</v>
      </c>
      <c r="L7" s="11" cm="1">
        <f t="array" ref="L7">IFERROR(_xlfn.XLOOKUP(C7&amp;A7, ESPN!A:A&amp;ESPN!C:C, ESPN!D:D), "N/A")</f>
        <v>335</v>
      </c>
      <c r="M7" s="23" cm="1">
        <f t="array" ref="M7">IFERROR(_xlfn.XLOOKUP(C7&amp;A7, ESPN!A:A&amp;ESPN!C:C, ESPN!G:G), "N/A")</f>
        <v>1.05</v>
      </c>
      <c r="N7" s="23" cm="1">
        <f t="array" ref="N7">IFERROR(_xlfn.XLOOKUP(C7&amp;A7, ESPN!A:A&amp;ESPN!C:C, ESPN!H:H), "N/A")</f>
        <v>60</v>
      </c>
      <c r="O7" s="26" cm="1">
        <f t="array" ref="O7">IFERROR(_xlfn.XLOOKUP(C7&amp;A7, ESPN!A:A&amp;ESPN!C:C, ESPN!I:I), "N/A")</f>
        <v>99</v>
      </c>
      <c r="P7" s="26" cm="1">
        <f t="array" ref="P7">IFERROR(_xlfn.XLOOKUP(C7&amp;A7, ESPN!A:A&amp;ESPN!C:C, ESPN!J:J), "N/A")</f>
        <v>20</v>
      </c>
      <c r="Q7" s="26" cm="1">
        <f t="array" ref="Q7">IFERROR(_xlfn.XLOOKUP(C7&amp;A7, ESPN!A:A&amp;ESPN!C:C, ESPN!K:K), "N/A")</f>
        <v>52</v>
      </c>
    </row>
    <row r="8" spans="1:17" x14ac:dyDescent="0.45">
      <c r="A8" s="6">
        <v>2025</v>
      </c>
      <c r="B8" s="1" t="s">
        <v>10</v>
      </c>
      <c r="C8" s="2" t="str">
        <f t="shared" si="0"/>
        <v>Jahmyr Gibbs</v>
      </c>
      <c r="D8" s="2" t="str">
        <f t="shared" si="1"/>
        <v>DET</v>
      </c>
      <c r="E8" s="2">
        <v>17</v>
      </c>
      <c r="F8" s="12">
        <v>94</v>
      </c>
      <c r="G8" s="11">
        <v>77</v>
      </c>
      <c r="H8" s="11">
        <v>616</v>
      </c>
      <c r="I8" s="11">
        <v>8</v>
      </c>
      <c r="J8" s="11">
        <v>5</v>
      </c>
      <c r="K8" s="11">
        <v>1</v>
      </c>
      <c r="L8" s="11" cm="1">
        <f t="array" ref="L8">IFERROR(_xlfn.XLOOKUP(C8&amp;A8, ESPN!A:A&amp;ESPN!C:C, ESPN!D:D), "N/A")</f>
        <v>314</v>
      </c>
      <c r="M8" s="23" cm="1">
        <f t="array" ref="M8">IFERROR(_xlfn.XLOOKUP(C8&amp;A8, ESPN!A:A&amp;ESPN!C:C, ESPN!G:G), "N/A")</f>
        <v>1.96</v>
      </c>
      <c r="N8" s="23" cm="1">
        <f t="array" ref="N8">IFERROR(_xlfn.XLOOKUP(C8&amp;A8, ESPN!A:A&amp;ESPN!C:C, ESPN!H:H), "N/A")</f>
        <v>71</v>
      </c>
      <c r="O8" s="26" cm="1">
        <f t="array" ref="O8">IFERROR(_xlfn.XLOOKUP(C8&amp;A8, ESPN!A:A&amp;ESPN!C:C, ESPN!I:I), "N/A")</f>
        <v>89</v>
      </c>
      <c r="P8" s="26" cm="1">
        <f t="array" ref="P8">IFERROR(_xlfn.XLOOKUP(C8&amp;A8, ESPN!A:A&amp;ESPN!C:C, ESPN!J:J), "N/A")</f>
        <v>46</v>
      </c>
      <c r="Q8" s="26" cm="1">
        <f t="array" ref="Q8">IFERROR(_xlfn.XLOOKUP(C8&amp;A8, ESPN!A:A&amp;ESPN!C:C, ESPN!K:K), "N/A")</f>
        <v>73</v>
      </c>
    </row>
    <row r="9" spans="1:17" x14ac:dyDescent="0.45">
      <c r="A9" s="7">
        <v>2025</v>
      </c>
      <c r="B9" s="3" t="s">
        <v>11</v>
      </c>
      <c r="C9" s="4" t="str">
        <f t="shared" si="0"/>
        <v>Christian McCaffrey</v>
      </c>
      <c r="D9" s="4" t="str">
        <f t="shared" si="1"/>
        <v>SF</v>
      </c>
      <c r="E9" s="4">
        <v>17</v>
      </c>
      <c r="F9" s="13">
        <v>129</v>
      </c>
      <c r="G9" s="14">
        <v>102</v>
      </c>
      <c r="H9" s="14">
        <v>924</v>
      </c>
      <c r="I9" s="14">
        <v>9.1</v>
      </c>
      <c r="J9" s="14">
        <v>7</v>
      </c>
      <c r="K9" s="14">
        <v>0</v>
      </c>
      <c r="L9" s="11" cm="1">
        <f t="array" ref="L9">IFERROR(_xlfn.XLOOKUP(C9&amp;A9, ESPN!A:A&amp;ESPN!C:C, ESPN!D:D), "N/A")</f>
        <v>494</v>
      </c>
      <c r="M9" s="23" cm="1">
        <f t="array" ref="M9">IFERROR(_xlfn.XLOOKUP(C9&amp;A9, ESPN!A:A&amp;ESPN!C:C, ESPN!G:G), "N/A")</f>
        <v>2.08</v>
      </c>
      <c r="N9" s="23" cm="1">
        <f t="array" ref="N9">IFERROR(_xlfn.XLOOKUP(C9&amp;A9, ESPN!A:A&amp;ESPN!C:C, ESPN!H:H), "N/A")</f>
        <v>59</v>
      </c>
      <c r="O9" s="26" cm="1">
        <f t="array" ref="O9">IFERROR(_xlfn.XLOOKUP(C9&amp;A9, ESPN!A:A&amp;ESPN!C:C, ESPN!I:I), "N/A")</f>
        <v>99</v>
      </c>
      <c r="P9" s="26" cm="1">
        <f t="array" ref="P9">IFERROR(_xlfn.XLOOKUP(C9&amp;A9, ESPN!A:A&amp;ESPN!C:C, ESPN!J:J), "N/A")</f>
        <v>51</v>
      </c>
      <c r="Q9" s="26" cm="1">
        <f t="array" ref="Q9">IFERROR(_xlfn.XLOOKUP(C9&amp;A9, ESPN!A:A&amp;ESPN!C:C, ESPN!K:K), "N/A")</f>
        <v>99</v>
      </c>
    </row>
    <row r="10" spans="1:17" x14ac:dyDescent="0.45">
      <c r="A10" s="6">
        <v>2025</v>
      </c>
      <c r="B10" s="1" t="s">
        <v>12</v>
      </c>
      <c r="C10" s="2" t="str">
        <f t="shared" si="0"/>
        <v>Javonte Williams</v>
      </c>
      <c r="D10" s="2" t="str">
        <f t="shared" si="1"/>
        <v>DAL</v>
      </c>
      <c r="E10" s="2">
        <v>16</v>
      </c>
      <c r="F10" s="12">
        <v>51</v>
      </c>
      <c r="G10" s="11">
        <v>35</v>
      </c>
      <c r="H10" s="11">
        <v>137</v>
      </c>
      <c r="I10" s="11">
        <v>3.9</v>
      </c>
      <c r="J10" s="11">
        <v>2</v>
      </c>
      <c r="K10" s="11">
        <v>2</v>
      </c>
      <c r="L10" s="11" cm="1">
        <f t="array" ref="L10">IFERROR(_xlfn.XLOOKUP(C10&amp;A10, ESPN!A:A&amp;ESPN!C:C, ESPN!D:D), "N/A")</f>
        <v>297</v>
      </c>
      <c r="M10" s="23" cm="1">
        <f t="array" ref="M10">IFERROR(_xlfn.XLOOKUP(C10&amp;A10, ESPN!A:A&amp;ESPN!C:C, ESPN!G:G), "N/A")</f>
        <v>0.46</v>
      </c>
      <c r="N10" s="23" cm="1">
        <f t="array" ref="N10">IFERROR(_xlfn.XLOOKUP(C10&amp;A10, ESPN!A:A&amp;ESPN!C:C, ESPN!H:H), "N/A")</f>
        <v>53</v>
      </c>
      <c r="O10" s="26" cm="1">
        <f t="array" ref="O10">IFERROR(_xlfn.XLOOKUP(C10&amp;A10, ESPN!A:A&amp;ESPN!C:C, ESPN!I:I), "N/A")</f>
        <v>57</v>
      </c>
      <c r="P10" s="26" cm="1">
        <f t="array" ref="P10">IFERROR(_xlfn.XLOOKUP(C10&amp;A10, ESPN!A:A&amp;ESPN!C:C, ESPN!J:J), "N/A")</f>
        <v>17</v>
      </c>
      <c r="Q10" s="26" cm="1">
        <f t="array" ref="Q10">IFERROR(_xlfn.XLOOKUP(C10&amp;A10, ESPN!A:A&amp;ESPN!C:C, ESPN!K:K), "N/A")</f>
        <v>27</v>
      </c>
    </row>
    <row r="11" spans="1:17" x14ac:dyDescent="0.45">
      <c r="A11" s="7">
        <v>2025</v>
      </c>
      <c r="B11" s="3" t="s">
        <v>13</v>
      </c>
      <c r="C11" s="4" t="str">
        <f t="shared" si="0"/>
        <v>Saquon Barkley</v>
      </c>
      <c r="D11" s="4" t="str">
        <f t="shared" si="1"/>
        <v>PHI</v>
      </c>
      <c r="E11" s="4">
        <v>16</v>
      </c>
      <c r="F11" s="13">
        <v>50</v>
      </c>
      <c r="G11" s="14">
        <v>37</v>
      </c>
      <c r="H11" s="14">
        <v>273</v>
      </c>
      <c r="I11" s="14">
        <v>7.4</v>
      </c>
      <c r="J11" s="14">
        <v>2</v>
      </c>
      <c r="K11" s="14">
        <v>1</v>
      </c>
      <c r="L11" s="11" cm="1">
        <f t="array" ref="L11">IFERROR(_xlfn.XLOOKUP(C11&amp;A11, ESPN!A:A&amp;ESPN!C:C, ESPN!D:D), "N/A")</f>
        <v>301</v>
      </c>
      <c r="M11" s="23" cm="1">
        <f t="array" ref="M11">IFERROR(_xlfn.XLOOKUP(C11&amp;A11, ESPN!A:A&amp;ESPN!C:C, ESPN!G:G), "N/A")</f>
        <v>0.99</v>
      </c>
      <c r="N11" s="23" cm="1">
        <f t="array" ref="N11">IFERROR(_xlfn.XLOOKUP(C11&amp;A11, ESPN!A:A&amp;ESPN!C:C, ESPN!H:H), "N/A")</f>
        <v>64</v>
      </c>
      <c r="O11" s="26" cm="1">
        <f t="array" ref="O11">IFERROR(_xlfn.XLOOKUP(C11&amp;A11, ESPN!A:A&amp;ESPN!C:C, ESPN!I:I), "N/A")</f>
        <v>64</v>
      </c>
      <c r="P11" s="26" cm="1">
        <f t="array" ref="P11">IFERROR(_xlfn.XLOOKUP(C11&amp;A11, ESPN!A:A&amp;ESPN!C:C, ESPN!J:J), "N/A")</f>
        <v>39</v>
      </c>
      <c r="Q11" s="26" cm="1">
        <f t="array" ref="Q11">IFERROR(_xlfn.XLOOKUP(C11&amp;A11, ESPN!A:A&amp;ESPN!C:C, ESPN!K:K), "N/A")</f>
        <v>53</v>
      </c>
    </row>
    <row r="12" spans="1:17" x14ac:dyDescent="0.45">
      <c r="A12" s="6">
        <v>2025</v>
      </c>
      <c r="B12" s="1" t="s">
        <v>14</v>
      </c>
      <c r="C12" s="2" t="str">
        <f t="shared" si="0"/>
        <v>Travis Etienne Jr.</v>
      </c>
      <c r="D12" s="2" t="str">
        <f t="shared" si="1"/>
        <v>JAC</v>
      </c>
      <c r="E12" s="2">
        <v>17</v>
      </c>
      <c r="F12" s="12">
        <v>52</v>
      </c>
      <c r="G12" s="11">
        <v>36</v>
      </c>
      <c r="H12" s="11">
        <v>292</v>
      </c>
      <c r="I12" s="11">
        <v>8.1</v>
      </c>
      <c r="J12" s="11">
        <v>6</v>
      </c>
      <c r="K12" s="11">
        <v>0</v>
      </c>
      <c r="L12" s="11" cm="1">
        <f t="array" ref="L12">IFERROR(_xlfn.XLOOKUP(C12&amp;A12, ESPN!A:A&amp;ESPN!C:C, ESPN!D:D), "N/A")</f>
        <v>228</v>
      </c>
      <c r="M12" s="23" cm="1">
        <f t="array" ref="M12">IFERROR(_xlfn.XLOOKUP(C12&amp;A12, ESPN!A:A&amp;ESPN!C:C, ESPN!G:G), "N/A")</f>
        <v>1.5</v>
      </c>
      <c r="N12" s="23" cm="1">
        <f t="array" ref="N12">IFERROR(_xlfn.XLOOKUP(C12&amp;A12, ESPN!A:A&amp;ESPN!C:C, ESPN!H:H), "N/A")</f>
        <v>73</v>
      </c>
      <c r="O12" s="26" cm="1">
        <f t="array" ref="O12">IFERROR(_xlfn.XLOOKUP(C12&amp;A12, ESPN!A:A&amp;ESPN!C:C, ESPN!I:I), "N/A")</f>
        <v>70</v>
      </c>
      <c r="P12" s="26" cm="1">
        <f t="array" ref="P12">IFERROR(_xlfn.XLOOKUP(C12&amp;A12, ESPN!A:A&amp;ESPN!C:C, ESPN!J:J), "N/A")</f>
        <v>48</v>
      </c>
      <c r="Q12" s="26" cm="1">
        <f t="array" ref="Q12">IFERROR(_xlfn.XLOOKUP(C12&amp;A12, ESPN!A:A&amp;ESPN!C:C, ESPN!K:K), "N/A")</f>
        <v>66</v>
      </c>
    </row>
    <row r="13" spans="1:17" x14ac:dyDescent="0.45">
      <c r="A13" s="7">
        <v>2025</v>
      </c>
      <c r="B13" s="3" t="s">
        <v>15</v>
      </c>
      <c r="C13" s="4" t="str">
        <f t="shared" si="0"/>
        <v>D'Andre Swift</v>
      </c>
      <c r="D13" s="4" t="str">
        <f t="shared" si="1"/>
        <v>CHI</v>
      </c>
      <c r="E13" s="4">
        <v>16</v>
      </c>
      <c r="F13" s="13">
        <v>48</v>
      </c>
      <c r="G13" s="14">
        <v>34</v>
      </c>
      <c r="H13" s="14">
        <v>299</v>
      </c>
      <c r="I13" s="14">
        <v>8.8000000000000007</v>
      </c>
      <c r="J13" s="14">
        <v>1</v>
      </c>
      <c r="K13" s="14">
        <v>2</v>
      </c>
      <c r="L13" s="11" cm="1">
        <f t="array" ref="L13">IFERROR(_xlfn.XLOOKUP(C13&amp;A13, ESPN!A:A&amp;ESPN!C:C, ESPN!D:D), "N/A")</f>
        <v>302</v>
      </c>
      <c r="M13" s="23" cm="1">
        <f t="array" ref="M13">IFERROR(_xlfn.XLOOKUP(C13&amp;A13, ESPN!A:A&amp;ESPN!C:C, ESPN!G:G), "N/A")</f>
        <v>1.1200000000000001</v>
      </c>
      <c r="N13" s="23" cm="1">
        <f t="array" ref="N13">IFERROR(_xlfn.XLOOKUP(C13&amp;A13, ESPN!A:A&amp;ESPN!C:C, ESPN!H:H), "N/A")</f>
        <v>63</v>
      </c>
      <c r="O13" s="26" cm="1">
        <f t="array" ref="O13">IFERROR(_xlfn.XLOOKUP(C13&amp;A13, ESPN!A:A&amp;ESPN!C:C, ESPN!I:I), "N/A")</f>
        <v>77</v>
      </c>
      <c r="P13" s="26" cm="1">
        <f t="array" ref="P13">IFERROR(_xlfn.XLOOKUP(C13&amp;A13, ESPN!A:A&amp;ESPN!C:C, ESPN!J:J), "N/A")</f>
        <v>46</v>
      </c>
      <c r="Q13" s="26" cm="1">
        <f t="array" ref="Q13">IFERROR(_xlfn.XLOOKUP(C13&amp;A13, ESPN!A:A&amp;ESPN!C:C, ESPN!K:K), "N/A")</f>
        <v>64</v>
      </c>
    </row>
    <row r="14" spans="1:17" x14ac:dyDescent="0.45">
      <c r="A14" s="6">
        <v>2025</v>
      </c>
      <c r="B14" s="1" t="s">
        <v>16</v>
      </c>
      <c r="C14" s="2" t="str">
        <f t="shared" si="0"/>
        <v>Tony Pollard</v>
      </c>
      <c r="D14" s="2" t="str">
        <f t="shared" si="1"/>
        <v>TEN</v>
      </c>
      <c r="E14" s="2">
        <v>17</v>
      </c>
      <c r="F14" s="12">
        <v>41</v>
      </c>
      <c r="G14" s="11">
        <v>33</v>
      </c>
      <c r="H14" s="11">
        <v>206</v>
      </c>
      <c r="I14" s="11">
        <v>6.2</v>
      </c>
      <c r="J14" s="11">
        <v>0</v>
      </c>
      <c r="K14" s="11">
        <v>3</v>
      </c>
      <c r="L14" s="11" cm="1">
        <f t="array" ref="L14">IFERROR(_xlfn.XLOOKUP(C14&amp;A14, ESPN!A:A&amp;ESPN!C:C, ESPN!D:D), "N/A")</f>
        <v>243</v>
      </c>
      <c r="M14" s="23" cm="1">
        <f t="array" ref="M14">IFERROR(_xlfn.XLOOKUP(C14&amp;A14, ESPN!A:A&amp;ESPN!C:C, ESPN!G:G), "N/A")</f>
        <v>0.85</v>
      </c>
      <c r="N14" s="23" cm="1">
        <f t="array" ref="N14">IFERROR(_xlfn.XLOOKUP(C14&amp;A14, ESPN!A:A&amp;ESPN!C:C, ESPN!H:H), "N/A")</f>
        <v>68</v>
      </c>
      <c r="O14" s="26" cm="1">
        <f t="array" ref="O14">IFERROR(_xlfn.XLOOKUP(C14&amp;A14, ESPN!A:A&amp;ESPN!C:C, ESPN!I:I), "N/A")</f>
        <v>73</v>
      </c>
      <c r="P14" s="26" cm="1">
        <f t="array" ref="P14">IFERROR(_xlfn.XLOOKUP(C14&amp;A14, ESPN!A:A&amp;ESPN!C:C, ESPN!J:J), "N/A")</f>
        <v>19</v>
      </c>
      <c r="Q14" s="26" cm="1">
        <f t="array" ref="Q14">IFERROR(_xlfn.XLOOKUP(C14&amp;A14, ESPN!A:A&amp;ESPN!C:C, ESPN!K:K), "N/A")</f>
        <v>41</v>
      </c>
    </row>
    <row r="15" spans="1:17" x14ac:dyDescent="0.45">
      <c r="A15" s="7">
        <v>2025</v>
      </c>
      <c r="B15" s="3" t="s">
        <v>17</v>
      </c>
      <c r="C15" s="4" t="str">
        <f t="shared" si="0"/>
        <v>Rico Dowdle</v>
      </c>
      <c r="D15" s="4" t="str">
        <f t="shared" si="1"/>
        <v>CAR</v>
      </c>
      <c r="E15" s="4">
        <v>17</v>
      </c>
      <c r="F15" s="13">
        <v>50</v>
      </c>
      <c r="G15" s="14">
        <v>39</v>
      </c>
      <c r="H15" s="14">
        <v>297</v>
      </c>
      <c r="I15" s="14">
        <v>7.6</v>
      </c>
      <c r="J15" s="14">
        <v>1</v>
      </c>
      <c r="K15" s="14">
        <v>1</v>
      </c>
      <c r="L15" s="11" cm="1">
        <f t="array" ref="L15">IFERROR(_xlfn.XLOOKUP(C15&amp;A15, ESPN!A:A&amp;ESPN!C:C, ESPN!D:D), "N/A")</f>
        <v>239</v>
      </c>
      <c r="M15" s="23" cm="1">
        <f t="array" ref="M15">IFERROR(_xlfn.XLOOKUP(C15&amp;A15, ESPN!A:A&amp;ESPN!C:C, ESPN!G:G), "N/A")</f>
        <v>1.27</v>
      </c>
      <c r="N15" s="23" cm="1">
        <f t="array" ref="N15">IFERROR(_xlfn.XLOOKUP(C15&amp;A15, ESPN!A:A&amp;ESPN!C:C, ESPN!H:H), "N/A")</f>
        <v>48</v>
      </c>
      <c r="O15" s="26" cm="1">
        <f t="array" ref="O15">IFERROR(_xlfn.XLOOKUP(C15&amp;A15, ESPN!A:A&amp;ESPN!C:C, ESPN!I:I), "N/A")</f>
        <v>82</v>
      </c>
      <c r="P15" s="26" cm="1">
        <f t="array" ref="P15">IFERROR(_xlfn.XLOOKUP(C15&amp;A15, ESPN!A:A&amp;ESPN!C:C, ESPN!J:J), "N/A")</f>
        <v>43</v>
      </c>
      <c r="Q15" s="26" cm="1">
        <f t="array" ref="Q15">IFERROR(_xlfn.XLOOKUP(C15&amp;A15, ESPN!A:A&amp;ESPN!C:C, ESPN!K:K), "N/A")</f>
        <v>58</v>
      </c>
    </row>
    <row r="16" spans="1:17" x14ac:dyDescent="0.45">
      <c r="A16" s="6">
        <v>2025</v>
      </c>
      <c r="B16" s="1" t="s">
        <v>18</v>
      </c>
      <c r="C16" s="2" t="str">
        <f t="shared" si="0"/>
        <v>Breece Hall</v>
      </c>
      <c r="D16" s="2" t="str">
        <f t="shared" si="1"/>
        <v>NYJ</v>
      </c>
      <c r="E16" s="2">
        <v>16</v>
      </c>
      <c r="F16" s="12">
        <v>48</v>
      </c>
      <c r="G16" s="11">
        <v>36</v>
      </c>
      <c r="H16" s="11">
        <v>350</v>
      </c>
      <c r="I16" s="11">
        <v>9.6999999999999993</v>
      </c>
      <c r="J16" s="11">
        <v>1</v>
      </c>
      <c r="K16" s="11">
        <v>2</v>
      </c>
      <c r="L16" s="11" cm="1">
        <f t="array" ref="L16">IFERROR(_xlfn.XLOOKUP(C16&amp;A16, ESPN!A:A&amp;ESPN!C:C, ESPN!D:D), "N/A")</f>
        <v>222</v>
      </c>
      <c r="M16" s="23" cm="1">
        <f t="array" ref="M16">IFERROR(_xlfn.XLOOKUP(C16&amp;A16, ESPN!A:A&amp;ESPN!C:C, ESPN!G:G), "N/A")</f>
        <v>1.58</v>
      </c>
      <c r="N16" s="23" cm="1">
        <f t="array" ref="N16">IFERROR(_xlfn.XLOOKUP(C16&amp;A16, ESPN!A:A&amp;ESPN!C:C, ESPN!H:H), "N/A")</f>
        <v>46</v>
      </c>
      <c r="O16" s="26" cm="1">
        <f t="array" ref="O16">IFERROR(_xlfn.XLOOKUP(C16&amp;A16, ESPN!A:A&amp;ESPN!C:C, ESPN!I:I), "N/A")</f>
        <v>83</v>
      </c>
      <c r="P16" s="26" cm="1">
        <f t="array" ref="P16">IFERROR(_xlfn.XLOOKUP(C16&amp;A16, ESPN!A:A&amp;ESPN!C:C, ESPN!J:J), "N/A")</f>
        <v>68</v>
      </c>
      <c r="Q16" s="26" cm="1">
        <f t="array" ref="Q16">IFERROR(_xlfn.XLOOKUP(C16&amp;A16, ESPN!A:A&amp;ESPN!C:C, ESPN!K:K), "N/A")</f>
        <v>79</v>
      </c>
    </row>
    <row r="17" spans="1:17" x14ac:dyDescent="0.45">
      <c r="A17" s="7">
        <v>2025</v>
      </c>
      <c r="B17" s="3" t="s">
        <v>19</v>
      </c>
      <c r="C17" s="4" t="str">
        <f t="shared" si="0"/>
        <v>Kenneth Walker III</v>
      </c>
      <c r="D17" s="4" t="str">
        <f t="shared" si="1"/>
        <v>SEA</v>
      </c>
      <c r="E17" s="4">
        <v>17</v>
      </c>
      <c r="F17" s="13">
        <v>36</v>
      </c>
      <c r="G17" s="14">
        <v>31</v>
      </c>
      <c r="H17" s="14">
        <v>282</v>
      </c>
      <c r="I17" s="14">
        <v>9.1</v>
      </c>
      <c r="J17" s="14">
        <v>0</v>
      </c>
      <c r="K17" s="14">
        <v>0</v>
      </c>
      <c r="L17" s="11" cm="1">
        <f t="array" ref="L17">IFERROR(_xlfn.XLOOKUP(C17&amp;A17, ESPN!A:A&amp;ESPN!C:C, ESPN!D:D), "N/A")</f>
        <v>197</v>
      </c>
      <c r="M17" s="23" cm="1">
        <f t="array" ref="M17">IFERROR(_xlfn.XLOOKUP(C17&amp;A17, ESPN!A:A&amp;ESPN!C:C, ESPN!G:G), "N/A")</f>
        <v>1.96</v>
      </c>
      <c r="N17" s="23" cm="1">
        <f t="array" ref="N17">IFERROR(_xlfn.XLOOKUP(C17&amp;A17, ESPN!A:A&amp;ESPN!C:C, ESPN!H:H), "N/A")</f>
        <v>58</v>
      </c>
      <c r="O17" s="26" cm="1">
        <f t="array" ref="O17">IFERROR(_xlfn.XLOOKUP(C17&amp;A17, ESPN!A:A&amp;ESPN!C:C, ESPN!I:I), "N/A")</f>
        <v>72</v>
      </c>
      <c r="P17" s="26" cm="1">
        <f t="array" ref="P17">IFERROR(_xlfn.XLOOKUP(C17&amp;A17, ESPN!A:A&amp;ESPN!C:C, ESPN!J:J), "N/A")</f>
        <v>78</v>
      </c>
      <c r="Q17" s="26" cm="1">
        <f t="array" ref="Q17">IFERROR(_xlfn.XLOOKUP(C17&amp;A17, ESPN!A:A&amp;ESPN!C:C, ESPN!K:K), "N/A")</f>
        <v>88</v>
      </c>
    </row>
    <row r="18" spans="1:17" x14ac:dyDescent="0.45">
      <c r="A18" s="6">
        <v>2025</v>
      </c>
      <c r="B18" s="1" t="s">
        <v>20</v>
      </c>
      <c r="C18" s="2" t="str">
        <f t="shared" si="0"/>
        <v>Chase Brown</v>
      </c>
      <c r="D18" s="2" t="str">
        <f t="shared" si="1"/>
        <v>CIN</v>
      </c>
      <c r="E18" s="2">
        <v>17</v>
      </c>
      <c r="F18" s="12">
        <v>88</v>
      </c>
      <c r="G18" s="11">
        <v>69</v>
      </c>
      <c r="H18" s="11">
        <v>437</v>
      </c>
      <c r="I18" s="11">
        <v>6.3</v>
      </c>
      <c r="J18" s="11">
        <v>5</v>
      </c>
      <c r="K18" s="11">
        <v>0</v>
      </c>
      <c r="L18" s="11" cm="1">
        <f t="array" ref="L18">IFERROR(_xlfn.XLOOKUP(C18&amp;A18, ESPN!A:A&amp;ESPN!C:C, ESPN!D:D), "N/A")</f>
        <v>354</v>
      </c>
      <c r="M18" s="23" cm="1">
        <f t="array" ref="M18">IFERROR(_xlfn.XLOOKUP(C18&amp;A18, ESPN!A:A&amp;ESPN!C:C, ESPN!G:G), "N/A")</f>
        <v>1.23</v>
      </c>
      <c r="N18" s="23" cm="1">
        <f t="array" ref="N18">IFERROR(_xlfn.XLOOKUP(C18&amp;A18, ESPN!A:A&amp;ESPN!C:C, ESPN!H:H), "N/A")</f>
        <v>61</v>
      </c>
      <c r="O18" s="26" cm="1">
        <f t="array" ref="O18">IFERROR(_xlfn.XLOOKUP(C18&amp;A18, ESPN!A:A&amp;ESPN!C:C, ESPN!I:I), "N/A")</f>
        <v>78</v>
      </c>
      <c r="P18" s="26" cm="1">
        <f t="array" ref="P18">IFERROR(_xlfn.XLOOKUP(C18&amp;A18, ESPN!A:A&amp;ESPN!C:C, ESPN!J:J), "N/A")</f>
        <v>23</v>
      </c>
      <c r="Q18" s="26" cm="1">
        <f t="array" ref="Q18">IFERROR(_xlfn.XLOOKUP(C18&amp;A18, ESPN!A:A&amp;ESPN!C:C, ESPN!K:K), "N/A")</f>
        <v>45</v>
      </c>
    </row>
    <row r="19" spans="1:17" x14ac:dyDescent="0.45">
      <c r="A19" s="7">
        <v>2025</v>
      </c>
      <c r="B19" s="3" t="s">
        <v>21</v>
      </c>
      <c r="C19" s="4" t="str">
        <f t="shared" si="0"/>
        <v>Ashton Jeanty</v>
      </c>
      <c r="D19" s="4" t="str">
        <f t="shared" si="1"/>
        <v>LV</v>
      </c>
      <c r="E19" s="4">
        <v>17</v>
      </c>
      <c r="F19" s="13">
        <v>73</v>
      </c>
      <c r="G19" s="14">
        <v>55</v>
      </c>
      <c r="H19" s="14">
        <v>346</v>
      </c>
      <c r="I19" s="14">
        <v>6.3</v>
      </c>
      <c r="J19" s="14">
        <v>5</v>
      </c>
      <c r="K19" s="14">
        <v>1</v>
      </c>
      <c r="L19" s="11" cm="1">
        <f t="array" ref="L19">IFERROR(_xlfn.XLOOKUP(C19&amp;A19, ESPN!A:A&amp;ESPN!C:C, ESPN!D:D), "N/A")</f>
        <v>297</v>
      </c>
      <c r="M19" s="23" cm="1">
        <f t="array" ref="M19">IFERROR(_xlfn.XLOOKUP(C19&amp;A19, ESPN!A:A&amp;ESPN!C:C, ESPN!G:G), "N/A")</f>
        <v>1.1599999999999999</v>
      </c>
      <c r="N19" s="23" cm="1">
        <f t="array" ref="N19">IFERROR(_xlfn.XLOOKUP(C19&amp;A19, ESPN!A:A&amp;ESPN!C:C, ESPN!H:H), "N/A")</f>
        <v>62</v>
      </c>
      <c r="O19" s="26" cm="1">
        <f t="array" ref="O19">IFERROR(_xlfn.XLOOKUP(C19&amp;A19, ESPN!A:A&amp;ESPN!C:C, ESPN!I:I), "N/A")</f>
        <v>70</v>
      </c>
      <c r="P19" s="26" cm="1">
        <f t="array" ref="P19">IFERROR(_xlfn.XLOOKUP(C19&amp;A19, ESPN!A:A&amp;ESPN!C:C, ESPN!J:J), "N/A")</f>
        <v>52</v>
      </c>
      <c r="Q19" s="26" cm="1">
        <f t="array" ref="Q19">IFERROR(_xlfn.XLOOKUP(C19&amp;A19, ESPN!A:A&amp;ESPN!C:C, ESPN!K:K), "N/A")</f>
        <v>66</v>
      </c>
    </row>
    <row r="20" spans="1:17" x14ac:dyDescent="0.45">
      <c r="A20" s="6">
        <v>2025</v>
      </c>
      <c r="B20" s="1" t="s">
        <v>22</v>
      </c>
      <c r="C20" s="2" t="str">
        <f t="shared" si="0"/>
        <v>Jaylen Warren</v>
      </c>
      <c r="D20" s="2" t="str">
        <f t="shared" si="1"/>
        <v>PIT</v>
      </c>
      <c r="E20" s="2">
        <v>16</v>
      </c>
      <c r="F20" s="12">
        <v>45</v>
      </c>
      <c r="G20" s="11">
        <v>40</v>
      </c>
      <c r="H20" s="11">
        <v>333</v>
      </c>
      <c r="I20" s="11">
        <v>8.3000000000000007</v>
      </c>
      <c r="J20" s="11">
        <v>2</v>
      </c>
      <c r="K20" s="11">
        <v>0</v>
      </c>
      <c r="L20" s="11" cm="1">
        <f t="array" ref="L20">IFERROR(_xlfn.XLOOKUP(C20&amp;A20, ESPN!A:A&amp;ESPN!C:C, ESPN!D:D), "N/A")</f>
        <v>163</v>
      </c>
      <c r="M20" s="23" cm="1">
        <f t="array" ref="M20">IFERROR(_xlfn.XLOOKUP(C20&amp;A20, ESPN!A:A&amp;ESPN!C:C, ESPN!G:G), "N/A")</f>
        <v>2.0699999999999998</v>
      </c>
      <c r="N20" s="23" cm="1">
        <f t="array" ref="N20">IFERROR(_xlfn.XLOOKUP(C20&amp;A20, ESPN!A:A&amp;ESPN!C:C, ESPN!H:H), "N/A")</f>
        <v>56</v>
      </c>
      <c r="O20" s="26" cm="1">
        <f t="array" ref="O20">IFERROR(_xlfn.XLOOKUP(C20&amp;A20, ESPN!A:A&amp;ESPN!C:C, ESPN!I:I), "N/A")</f>
        <v>75</v>
      </c>
      <c r="P20" s="26" cm="1">
        <f t="array" ref="P20">IFERROR(_xlfn.XLOOKUP(C20&amp;A20, ESPN!A:A&amp;ESPN!C:C, ESPN!J:J), "N/A")</f>
        <v>64</v>
      </c>
      <c r="Q20" s="26" cm="1">
        <f t="array" ref="Q20">IFERROR(_xlfn.XLOOKUP(C20&amp;A20, ESPN!A:A&amp;ESPN!C:C, ESPN!K:K), "N/A")</f>
        <v>76</v>
      </c>
    </row>
    <row r="21" spans="1:17" x14ac:dyDescent="0.45">
      <c r="A21" s="7">
        <v>2025</v>
      </c>
      <c r="B21" s="3" t="s">
        <v>23</v>
      </c>
      <c r="C21" s="4" t="str">
        <f t="shared" si="0"/>
        <v>Josh Jacobs</v>
      </c>
      <c r="D21" s="4" t="str">
        <f t="shared" si="1"/>
        <v>GB</v>
      </c>
      <c r="E21" s="4">
        <v>15</v>
      </c>
      <c r="F21" s="13">
        <v>44</v>
      </c>
      <c r="G21" s="14">
        <v>36</v>
      </c>
      <c r="H21" s="14">
        <v>282</v>
      </c>
      <c r="I21" s="14">
        <v>7.8</v>
      </c>
      <c r="J21" s="14">
        <v>1</v>
      </c>
      <c r="K21" s="14">
        <v>2</v>
      </c>
      <c r="L21" s="11" cm="1">
        <f t="array" ref="L21">IFERROR(_xlfn.XLOOKUP(C21&amp;A21, ESPN!A:A&amp;ESPN!C:C, ESPN!D:D), "N/A")</f>
        <v>177</v>
      </c>
      <c r="M21" s="23" cm="1">
        <f t="array" ref="M21">IFERROR(_xlfn.XLOOKUP(C21&amp;A21, ESPN!A:A&amp;ESPN!C:C, ESPN!G:G), "N/A")</f>
        <v>1.61</v>
      </c>
      <c r="N21" s="23" cm="1">
        <f t="array" ref="N21">IFERROR(_xlfn.XLOOKUP(C21&amp;A21, ESPN!A:A&amp;ESPN!C:C, ESPN!H:H), "N/A")</f>
        <v>65</v>
      </c>
      <c r="O21" s="26" cm="1">
        <f t="array" ref="O21">IFERROR(_xlfn.XLOOKUP(C21&amp;A21, ESPN!A:A&amp;ESPN!C:C, ESPN!I:I), "N/A")</f>
        <v>81</v>
      </c>
      <c r="P21" s="26" cm="1">
        <f t="array" ref="P21">IFERROR(_xlfn.XLOOKUP(C21&amp;A21, ESPN!A:A&amp;ESPN!C:C, ESPN!J:J), "N/A")</f>
        <v>48</v>
      </c>
      <c r="Q21" s="26" cm="1">
        <f t="array" ref="Q21">IFERROR(_xlfn.XLOOKUP(C21&amp;A21, ESPN!A:A&amp;ESPN!C:C, ESPN!K:K), "N/A")</f>
        <v>69</v>
      </c>
    </row>
    <row r="22" spans="1:17" x14ac:dyDescent="0.45">
      <c r="A22" s="6">
        <v>2025</v>
      </c>
      <c r="B22" s="1" t="s">
        <v>24</v>
      </c>
      <c r="C22" s="2" t="str">
        <f t="shared" si="0"/>
        <v>TreVeyon Henderson</v>
      </c>
      <c r="D22" s="2" t="str">
        <f t="shared" si="1"/>
        <v>NE</v>
      </c>
      <c r="E22" s="2">
        <v>17</v>
      </c>
      <c r="F22" s="12">
        <v>42</v>
      </c>
      <c r="G22" s="11">
        <v>35</v>
      </c>
      <c r="H22" s="11">
        <v>221</v>
      </c>
      <c r="I22" s="11">
        <v>6.3</v>
      </c>
      <c r="J22" s="11">
        <v>1</v>
      </c>
      <c r="K22" s="11">
        <v>1</v>
      </c>
      <c r="L22" s="11" cm="1">
        <f t="array" ref="L22">IFERROR(_xlfn.XLOOKUP(C22&amp;A22, ESPN!A:A&amp;ESPN!C:C, ESPN!D:D), "N/A")</f>
        <v>246</v>
      </c>
      <c r="M22" s="23" cm="1">
        <f t="array" ref="M22">IFERROR(_xlfn.XLOOKUP(C22&amp;A22, ESPN!A:A&amp;ESPN!C:C, ESPN!G:G), "N/A")</f>
        <v>1.03</v>
      </c>
      <c r="N22" s="23" cm="1">
        <f t="array" ref="N22">IFERROR(_xlfn.XLOOKUP(C22&amp;A22, ESPN!A:A&amp;ESPN!C:C, ESPN!H:H), "N/A")</f>
        <v>78</v>
      </c>
      <c r="O22" s="26" cm="1">
        <f t="array" ref="O22">IFERROR(_xlfn.XLOOKUP(C22&amp;A22, ESPN!A:A&amp;ESPN!C:C, ESPN!I:I), "N/A")</f>
        <v>68</v>
      </c>
      <c r="P22" s="26" cm="1">
        <f t="array" ref="P22">IFERROR(_xlfn.XLOOKUP(C22&amp;A22, ESPN!A:A&amp;ESPN!C:C, ESPN!J:J), "N/A")</f>
        <v>25</v>
      </c>
      <c r="Q22" s="26" cm="1">
        <f t="array" ref="Q22">IFERROR(_xlfn.XLOOKUP(C22&amp;A22, ESPN!A:A&amp;ESPN!C:C, ESPN!K:K), "N/A")</f>
        <v>48</v>
      </c>
    </row>
    <row r="23" spans="1:17" x14ac:dyDescent="0.45">
      <c r="A23" s="7">
        <v>2025</v>
      </c>
      <c r="B23" s="3" t="s">
        <v>25</v>
      </c>
      <c r="C23" s="4" t="str">
        <f t="shared" si="0"/>
        <v>Quinshon Judkins</v>
      </c>
      <c r="D23" s="4" t="str">
        <f t="shared" si="1"/>
        <v>CLE</v>
      </c>
      <c r="E23" s="4">
        <v>14</v>
      </c>
      <c r="F23" s="13">
        <v>36</v>
      </c>
      <c r="G23" s="14">
        <v>26</v>
      </c>
      <c r="H23" s="14">
        <v>171</v>
      </c>
      <c r="I23" s="14">
        <v>6.6</v>
      </c>
      <c r="J23" s="14">
        <v>0</v>
      </c>
      <c r="K23" s="14">
        <v>0</v>
      </c>
      <c r="L23" s="11" cm="1">
        <f t="array" ref="L23">IFERROR(_xlfn.XLOOKUP(C23&amp;A23, ESPN!A:A&amp;ESPN!C:C, ESPN!D:D), "N/A")</f>
        <v>133</v>
      </c>
      <c r="M23" s="23" cm="1">
        <f t="array" ref="M23">IFERROR(_xlfn.XLOOKUP(C23&amp;A23, ESPN!A:A&amp;ESPN!C:C, ESPN!G:G), "N/A")</f>
        <v>1.29</v>
      </c>
      <c r="N23" s="23" cm="1">
        <f t="array" ref="N23">IFERROR(_xlfn.XLOOKUP(C23&amp;A23, ESPN!A:A&amp;ESPN!C:C, ESPN!H:H), "N/A")</f>
        <v>65</v>
      </c>
      <c r="O23" s="26" cm="1">
        <f t="array" ref="O23">IFERROR(_xlfn.XLOOKUP(C23&amp;A23, ESPN!A:A&amp;ESPN!C:C, ESPN!I:I), "N/A")</f>
        <v>48</v>
      </c>
      <c r="P23" s="26" cm="1">
        <f t="array" ref="P23">IFERROR(_xlfn.XLOOKUP(C23&amp;A23, ESPN!A:A&amp;ESPN!C:C, ESPN!J:J), "N/A")</f>
        <v>45</v>
      </c>
      <c r="Q23" s="26" cm="1">
        <f t="array" ref="Q23">IFERROR(_xlfn.XLOOKUP(C23&amp;A23, ESPN!A:A&amp;ESPN!C:C, ESPN!K:K), "N/A")</f>
        <v>50</v>
      </c>
    </row>
    <row r="24" spans="1:17" x14ac:dyDescent="0.45">
      <c r="A24" s="6">
        <v>2025</v>
      </c>
      <c r="B24" s="1" t="s">
        <v>26</v>
      </c>
      <c r="C24" s="2" t="str">
        <f t="shared" si="0"/>
        <v>Jacory Croskey-Merritt</v>
      </c>
      <c r="D24" s="2" t="str">
        <f t="shared" si="1"/>
        <v>WAS</v>
      </c>
      <c r="E24" s="2">
        <v>17</v>
      </c>
      <c r="F24" s="12">
        <v>13</v>
      </c>
      <c r="G24" s="11">
        <v>9</v>
      </c>
      <c r="H24" s="11">
        <v>68</v>
      </c>
      <c r="I24" s="11">
        <v>7.6</v>
      </c>
      <c r="J24" s="11">
        <v>0</v>
      </c>
      <c r="K24" s="11">
        <v>2</v>
      </c>
      <c r="L24" s="11" t="str" cm="1">
        <f t="array" ref="L24">IFERROR(_xlfn.XLOOKUP(C24&amp;A24, ESPN!A:A&amp;ESPN!C:C, ESPN!D:D), "N/A")</f>
        <v>N/A</v>
      </c>
      <c r="M24" s="23" t="str" cm="1">
        <f t="array" ref="M24">IFERROR(_xlfn.XLOOKUP(C24&amp;A24, ESPN!A:A&amp;ESPN!C:C, ESPN!G:G), "N/A")</f>
        <v>N/A</v>
      </c>
      <c r="N24" s="23" t="str" cm="1">
        <f t="array" ref="N24">IFERROR(_xlfn.XLOOKUP(C24&amp;A24, ESPN!A:A&amp;ESPN!C:C, ESPN!H:H), "N/A")</f>
        <v>N/A</v>
      </c>
      <c r="O24" s="26" t="str" cm="1">
        <f t="array" ref="O24">IFERROR(_xlfn.XLOOKUP(C24&amp;A24, ESPN!A:A&amp;ESPN!C:C, ESPN!I:I), "N/A")</f>
        <v>N/A</v>
      </c>
      <c r="P24" s="26" t="str" cm="1">
        <f t="array" ref="P24">IFERROR(_xlfn.XLOOKUP(C24&amp;A24, ESPN!A:A&amp;ESPN!C:C, ESPN!J:J), "N/A")</f>
        <v>N/A</v>
      </c>
      <c r="Q24" s="26" t="str" cm="1">
        <f t="array" ref="Q24">IFERROR(_xlfn.XLOOKUP(C24&amp;A24, ESPN!A:A&amp;ESPN!C:C, ESPN!K:K), "N/A")</f>
        <v>N/A</v>
      </c>
    </row>
    <row r="25" spans="1:17" x14ac:dyDescent="0.45">
      <c r="A25" s="7">
        <v>2025</v>
      </c>
      <c r="B25" s="3" t="s">
        <v>27</v>
      </c>
      <c r="C25" s="4" t="str">
        <f t="shared" si="0"/>
        <v>Kyle Monangai</v>
      </c>
      <c r="D25" s="4" t="str">
        <f t="shared" si="1"/>
        <v>CHI</v>
      </c>
      <c r="E25" s="4">
        <v>17</v>
      </c>
      <c r="F25" s="13">
        <v>30</v>
      </c>
      <c r="G25" s="14">
        <v>18</v>
      </c>
      <c r="H25" s="14">
        <v>164</v>
      </c>
      <c r="I25" s="14">
        <v>9.1</v>
      </c>
      <c r="J25" s="14">
        <v>0</v>
      </c>
      <c r="K25" s="14">
        <v>0</v>
      </c>
      <c r="L25" s="11" cm="1">
        <f t="array" ref="L25">IFERROR(_xlfn.XLOOKUP(C25&amp;A25, ESPN!A:A&amp;ESPN!C:C, ESPN!D:D), "N/A")</f>
        <v>214</v>
      </c>
      <c r="M25" s="23" cm="1">
        <f t="array" ref="M25">IFERROR(_xlfn.XLOOKUP(C25&amp;A25, ESPN!A:A&amp;ESPN!C:C, ESPN!G:G), "N/A")</f>
        <v>1.04</v>
      </c>
      <c r="N25" s="23" cm="1">
        <f t="array" ref="N25">IFERROR(_xlfn.XLOOKUP(C25&amp;A25, ESPN!A:A&amp;ESPN!C:C, ESPN!H:H), "N/A")</f>
        <v>54</v>
      </c>
      <c r="O25" s="26" cm="1">
        <f t="array" ref="O25">IFERROR(_xlfn.XLOOKUP(C25&amp;A25, ESPN!A:A&amp;ESPN!C:C, ESPN!I:I), "N/A")</f>
        <v>41</v>
      </c>
      <c r="P25" s="26" cm="1">
        <f t="array" ref="P25">IFERROR(_xlfn.XLOOKUP(C25&amp;A25, ESPN!A:A&amp;ESPN!C:C, ESPN!J:J), "N/A")</f>
        <v>56</v>
      </c>
      <c r="Q25" s="26" cm="1">
        <f t="array" ref="Q25">IFERROR(_xlfn.XLOOKUP(C25&amp;A25, ESPN!A:A&amp;ESPN!C:C, ESPN!K:K), "N/A")</f>
        <v>52</v>
      </c>
    </row>
    <row r="26" spans="1:17" x14ac:dyDescent="0.45">
      <c r="A26" s="6">
        <v>2025</v>
      </c>
      <c r="B26" s="1" t="s">
        <v>28</v>
      </c>
      <c r="C26" s="2" t="str">
        <f t="shared" si="0"/>
        <v>J.K. Dobbins</v>
      </c>
      <c r="D26" s="2" t="str">
        <f t="shared" si="1"/>
        <v>DEN</v>
      </c>
      <c r="E26" s="2">
        <v>10</v>
      </c>
      <c r="F26" s="12">
        <v>14</v>
      </c>
      <c r="G26" s="11">
        <v>11</v>
      </c>
      <c r="H26" s="11">
        <v>37</v>
      </c>
      <c r="I26" s="11">
        <v>3.4</v>
      </c>
      <c r="J26" s="11">
        <v>0</v>
      </c>
      <c r="K26" s="11">
        <v>0</v>
      </c>
      <c r="L26" s="11" t="str" cm="1">
        <f t="array" ref="L26">IFERROR(_xlfn.XLOOKUP(C26&amp;A26, ESPN!A:A&amp;ESPN!C:C, ESPN!D:D), "N/A")</f>
        <v>N/A</v>
      </c>
      <c r="M26" s="23" t="str" cm="1">
        <f t="array" ref="M26">IFERROR(_xlfn.XLOOKUP(C26&amp;A26, ESPN!A:A&amp;ESPN!C:C, ESPN!G:G), "N/A")</f>
        <v>N/A</v>
      </c>
      <c r="N26" s="23" t="str" cm="1">
        <f t="array" ref="N26">IFERROR(_xlfn.XLOOKUP(C26&amp;A26, ESPN!A:A&amp;ESPN!C:C, ESPN!H:H), "N/A")</f>
        <v>N/A</v>
      </c>
      <c r="O26" s="26" t="str" cm="1">
        <f t="array" ref="O26">IFERROR(_xlfn.XLOOKUP(C26&amp;A26, ESPN!A:A&amp;ESPN!C:C, ESPN!I:I), "N/A")</f>
        <v>N/A</v>
      </c>
      <c r="P26" s="26" t="str" cm="1">
        <f t="array" ref="P26">IFERROR(_xlfn.XLOOKUP(C26&amp;A26, ESPN!A:A&amp;ESPN!C:C, ESPN!J:J), "N/A")</f>
        <v>N/A</v>
      </c>
      <c r="Q26" s="26" t="str" cm="1">
        <f t="array" ref="Q26">IFERROR(_xlfn.XLOOKUP(C26&amp;A26, ESPN!A:A&amp;ESPN!C:C, ESPN!K:K), "N/A")</f>
        <v>N/A</v>
      </c>
    </row>
    <row r="27" spans="1:17" x14ac:dyDescent="0.45">
      <c r="A27" s="7">
        <v>2025</v>
      </c>
      <c r="B27" s="3" t="s">
        <v>29</v>
      </c>
      <c r="C27" s="4" t="str">
        <f t="shared" si="0"/>
        <v>Jordan Mason</v>
      </c>
      <c r="D27" s="4" t="str">
        <f t="shared" si="1"/>
        <v>MIN</v>
      </c>
      <c r="E27" s="4">
        <v>16</v>
      </c>
      <c r="F27" s="13">
        <v>16</v>
      </c>
      <c r="G27" s="14">
        <v>14</v>
      </c>
      <c r="H27" s="14">
        <v>51</v>
      </c>
      <c r="I27" s="14">
        <v>3.6</v>
      </c>
      <c r="J27" s="14">
        <v>0</v>
      </c>
      <c r="K27" s="14">
        <v>1</v>
      </c>
      <c r="L27" s="11" t="str" cm="1">
        <f t="array" ref="L27">IFERROR(_xlfn.XLOOKUP(C27&amp;A27, ESPN!A:A&amp;ESPN!C:C, ESPN!D:D), "N/A")</f>
        <v>N/A</v>
      </c>
      <c r="M27" s="23" t="str" cm="1">
        <f t="array" ref="M27">IFERROR(_xlfn.XLOOKUP(C27&amp;A27, ESPN!A:A&amp;ESPN!C:C, ESPN!G:G), "N/A")</f>
        <v>N/A</v>
      </c>
      <c r="N27" s="23" t="str" cm="1">
        <f t="array" ref="N27">IFERROR(_xlfn.XLOOKUP(C27&amp;A27, ESPN!A:A&amp;ESPN!C:C, ESPN!H:H), "N/A")</f>
        <v>N/A</v>
      </c>
      <c r="O27" s="26" t="str" cm="1">
        <f t="array" ref="O27">IFERROR(_xlfn.XLOOKUP(C27&amp;A27, ESPN!A:A&amp;ESPN!C:C, ESPN!I:I), "N/A")</f>
        <v>N/A</v>
      </c>
      <c r="P27" s="26" t="str" cm="1">
        <f t="array" ref="P27">IFERROR(_xlfn.XLOOKUP(C27&amp;A27, ESPN!A:A&amp;ESPN!C:C, ESPN!J:J), "N/A")</f>
        <v>N/A</v>
      </c>
      <c r="Q27" s="26" t="str" cm="1">
        <f t="array" ref="Q27">IFERROR(_xlfn.XLOOKUP(C27&amp;A27, ESPN!A:A&amp;ESPN!C:C, ESPN!K:K), "N/A")</f>
        <v>N/A</v>
      </c>
    </row>
    <row r="28" spans="1:17" x14ac:dyDescent="0.45">
      <c r="A28" s="6">
        <v>2025</v>
      </c>
      <c r="B28" s="1" t="s">
        <v>30</v>
      </c>
      <c r="C28" s="2" t="str">
        <f t="shared" si="0"/>
        <v>Blake Corum</v>
      </c>
      <c r="D28" s="2" t="str">
        <f t="shared" si="1"/>
        <v>LAR</v>
      </c>
      <c r="E28" s="2">
        <v>17</v>
      </c>
      <c r="F28" s="12">
        <v>14</v>
      </c>
      <c r="G28" s="11">
        <v>8</v>
      </c>
      <c r="H28" s="11">
        <v>36</v>
      </c>
      <c r="I28" s="11">
        <v>4.5</v>
      </c>
      <c r="J28" s="11">
        <v>0</v>
      </c>
      <c r="K28" s="11">
        <v>0</v>
      </c>
      <c r="L28" s="11" t="str" cm="1">
        <f t="array" ref="L28">IFERROR(_xlfn.XLOOKUP(C28&amp;A28, ESPN!A:A&amp;ESPN!C:C, ESPN!D:D), "N/A")</f>
        <v>N/A</v>
      </c>
      <c r="M28" s="23" t="str" cm="1">
        <f t="array" ref="M28">IFERROR(_xlfn.XLOOKUP(C28&amp;A28, ESPN!A:A&amp;ESPN!C:C, ESPN!G:G), "N/A")</f>
        <v>N/A</v>
      </c>
      <c r="N28" s="23" t="str" cm="1">
        <f t="array" ref="N28">IFERROR(_xlfn.XLOOKUP(C28&amp;A28, ESPN!A:A&amp;ESPN!C:C, ESPN!H:H), "N/A")</f>
        <v>N/A</v>
      </c>
      <c r="O28" s="26" t="str" cm="1">
        <f t="array" ref="O28">IFERROR(_xlfn.XLOOKUP(C28&amp;A28, ESPN!A:A&amp;ESPN!C:C, ESPN!I:I), "N/A")</f>
        <v>N/A</v>
      </c>
      <c r="P28" s="26" t="str" cm="1">
        <f t="array" ref="P28">IFERROR(_xlfn.XLOOKUP(C28&amp;A28, ESPN!A:A&amp;ESPN!C:C, ESPN!J:J), "N/A")</f>
        <v>N/A</v>
      </c>
      <c r="Q28" s="26" t="str" cm="1">
        <f t="array" ref="Q28">IFERROR(_xlfn.XLOOKUP(C28&amp;A28, ESPN!A:A&amp;ESPN!C:C, ESPN!K:K), "N/A")</f>
        <v>N/A</v>
      </c>
    </row>
    <row r="29" spans="1:17" x14ac:dyDescent="0.45">
      <c r="A29" s="7">
        <v>2025</v>
      </c>
      <c r="B29" s="3" t="s">
        <v>31</v>
      </c>
      <c r="C29" s="4" t="str">
        <f t="shared" si="0"/>
        <v>Tyrone Tracy Jr.</v>
      </c>
      <c r="D29" s="4" t="str">
        <f t="shared" si="1"/>
        <v>NYG</v>
      </c>
      <c r="E29" s="4">
        <v>15</v>
      </c>
      <c r="F29" s="13">
        <v>48</v>
      </c>
      <c r="G29" s="14">
        <v>36</v>
      </c>
      <c r="H29" s="14">
        <v>288</v>
      </c>
      <c r="I29" s="14">
        <v>8</v>
      </c>
      <c r="J29" s="14">
        <v>2</v>
      </c>
      <c r="K29" s="14">
        <v>1</v>
      </c>
      <c r="L29" s="11" cm="1">
        <f t="array" ref="L29">IFERROR(_xlfn.XLOOKUP(C29&amp;A29, ESPN!A:A&amp;ESPN!C:C, ESPN!D:D), "N/A")</f>
        <v>238</v>
      </c>
      <c r="M29" s="23" cm="1">
        <f t="array" ref="M29">IFERROR(_xlfn.XLOOKUP(C29&amp;A29, ESPN!A:A&amp;ESPN!C:C, ESPN!G:G), "N/A")</f>
        <v>1.21</v>
      </c>
      <c r="N29" s="23" cm="1">
        <f t="array" ref="N29">IFERROR(_xlfn.XLOOKUP(C29&amp;A29, ESPN!A:A&amp;ESPN!C:C, ESPN!H:H), "N/A")</f>
        <v>37</v>
      </c>
      <c r="O29" s="26" cm="1">
        <f t="array" ref="O29">IFERROR(_xlfn.XLOOKUP(C29&amp;A29, ESPN!A:A&amp;ESPN!C:C, ESPN!I:I), "N/A")</f>
        <v>73</v>
      </c>
      <c r="P29" s="26" cm="1">
        <f t="array" ref="P29">IFERROR(_xlfn.XLOOKUP(C29&amp;A29, ESPN!A:A&amp;ESPN!C:C, ESPN!J:J), "N/A")</f>
        <v>27</v>
      </c>
      <c r="Q29" s="26" cm="1">
        <f t="array" ref="Q29">IFERROR(_xlfn.XLOOKUP(C29&amp;A29, ESPN!A:A&amp;ESPN!C:C, ESPN!K:K), "N/A")</f>
        <v>37</v>
      </c>
    </row>
    <row r="30" spans="1:17" x14ac:dyDescent="0.45">
      <c r="A30" s="6">
        <v>2025</v>
      </c>
      <c r="B30" s="1" t="s">
        <v>32</v>
      </c>
      <c r="C30" s="2" t="str">
        <f t="shared" si="0"/>
        <v>Zach Charbonnet</v>
      </c>
      <c r="D30" s="2" t="str">
        <f t="shared" si="1"/>
        <v>SEA</v>
      </c>
      <c r="E30" s="2">
        <v>16</v>
      </c>
      <c r="F30" s="12">
        <v>24</v>
      </c>
      <c r="G30" s="11">
        <v>20</v>
      </c>
      <c r="H30" s="11">
        <v>144</v>
      </c>
      <c r="I30" s="11">
        <v>7.2</v>
      </c>
      <c r="J30" s="11">
        <v>0</v>
      </c>
      <c r="K30" s="11">
        <v>0</v>
      </c>
      <c r="L30" s="11" t="str" cm="1">
        <f t="array" ref="L30">IFERROR(_xlfn.XLOOKUP(C30&amp;A30, ESPN!A:A&amp;ESPN!C:C, ESPN!D:D), "N/A")</f>
        <v>N/A</v>
      </c>
      <c r="M30" s="23" t="str" cm="1">
        <f t="array" ref="M30">IFERROR(_xlfn.XLOOKUP(C30&amp;A30, ESPN!A:A&amp;ESPN!C:C, ESPN!G:G), "N/A")</f>
        <v>N/A</v>
      </c>
      <c r="N30" s="23" t="str" cm="1">
        <f t="array" ref="N30">IFERROR(_xlfn.XLOOKUP(C30&amp;A30, ESPN!A:A&amp;ESPN!C:C, ESPN!H:H), "N/A")</f>
        <v>N/A</v>
      </c>
      <c r="O30" s="26" t="str" cm="1">
        <f t="array" ref="O30">IFERROR(_xlfn.XLOOKUP(C30&amp;A30, ESPN!A:A&amp;ESPN!C:C, ESPN!I:I), "N/A")</f>
        <v>N/A</v>
      </c>
      <c r="P30" s="26" t="str" cm="1">
        <f t="array" ref="P30">IFERROR(_xlfn.XLOOKUP(C30&amp;A30, ESPN!A:A&amp;ESPN!C:C, ESPN!J:J), "N/A")</f>
        <v>N/A</v>
      </c>
      <c r="Q30" s="26" t="str" cm="1">
        <f t="array" ref="Q30">IFERROR(_xlfn.XLOOKUP(C30&amp;A30, ESPN!A:A&amp;ESPN!C:C, ESPN!K:K), "N/A")</f>
        <v>N/A</v>
      </c>
    </row>
    <row r="31" spans="1:17" x14ac:dyDescent="0.45">
      <c r="A31" s="7">
        <v>2025</v>
      </c>
      <c r="B31" s="3" t="s">
        <v>33</v>
      </c>
      <c r="C31" s="4" t="str">
        <f t="shared" si="0"/>
        <v>David Montgomery</v>
      </c>
      <c r="D31" s="4" t="str">
        <f t="shared" si="1"/>
        <v>DET</v>
      </c>
      <c r="E31" s="4">
        <v>17</v>
      </c>
      <c r="F31" s="13">
        <v>29</v>
      </c>
      <c r="G31" s="14">
        <v>24</v>
      </c>
      <c r="H31" s="14">
        <v>192</v>
      </c>
      <c r="I31" s="14">
        <v>8</v>
      </c>
      <c r="J31" s="14">
        <v>0</v>
      </c>
      <c r="K31" s="14">
        <v>1</v>
      </c>
      <c r="L31" s="11" cm="1">
        <f t="array" ref="L31">IFERROR(_xlfn.XLOOKUP(C31&amp;A31, ESPN!A:A&amp;ESPN!C:C, ESPN!D:D), "N/A")</f>
        <v>144</v>
      </c>
      <c r="M31" s="23" cm="1">
        <f t="array" ref="M31">IFERROR(_xlfn.XLOOKUP(C31&amp;A31, ESPN!A:A&amp;ESPN!C:C, ESPN!G:G), "N/A")</f>
        <v>1.33</v>
      </c>
      <c r="N31" s="23" cm="1">
        <f t="array" ref="N31">IFERROR(_xlfn.XLOOKUP(C31&amp;A31, ESPN!A:A&amp;ESPN!C:C, ESPN!H:H), "N/A")</f>
        <v>50</v>
      </c>
      <c r="O31" s="26" cm="1">
        <f t="array" ref="O31">IFERROR(_xlfn.XLOOKUP(C31&amp;A31, ESPN!A:A&amp;ESPN!C:C, ESPN!I:I), "N/A")</f>
        <v>67</v>
      </c>
      <c r="P31" s="26" cm="1">
        <f t="array" ref="P31">IFERROR(_xlfn.XLOOKUP(C31&amp;A31, ESPN!A:A&amp;ESPN!C:C, ESPN!J:J), "N/A")</f>
        <v>41</v>
      </c>
      <c r="Q31" s="26" cm="1">
        <f t="array" ref="Q31">IFERROR(_xlfn.XLOOKUP(C31&amp;A31, ESPN!A:A&amp;ESPN!C:C, ESPN!K:K), "N/A")</f>
        <v>51</v>
      </c>
    </row>
    <row r="32" spans="1:17" x14ac:dyDescent="0.45">
      <c r="A32" s="6">
        <v>2025</v>
      </c>
      <c r="B32" s="1" t="s">
        <v>34</v>
      </c>
      <c r="C32" s="2" t="str">
        <f t="shared" si="0"/>
        <v>Woody Marks</v>
      </c>
      <c r="D32" s="2" t="str">
        <f t="shared" si="1"/>
        <v>HOU</v>
      </c>
      <c r="E32" s="2">
        <v>16</v>
      </c>
      <c r="F32" s="12">
        <v>36</v>
      </c>
      <c r="G32" s="11">
        <v>24</v>
      </c>
      <c r="H32" s="11">
        <v>208</v>
      </c>
      <c r="I32" s="11">
        <v>8.6999999999999993</v>
      </c>
      <c r="J32" s="11">
        <v>3</v>
      </c>
      <c r="K32" s="11">
        <v>0</v>
      </c>
      <c r="L32" s="11" cm="1">
        <f t="array" ref="L32">IFERROR(_xlfn.XLOOKUP(C32&amp;A32, ESPN!A:A&amp;ESPN!C:C, ESPN!D:D), "N/A")</f>
        <v>250</v>
      </c>
      <c r="M32" s="23" cm="1">
        <f t="array" ref="M32">IFERROR(_xlfn.XLOOKUP(C32&amp;A32, ESPN!A:A&amp;ESPN!C:C, ESPN!G:G), "N/A")</f>
        <v>0.91</v>
      </c>
      <c r="N32" s="23" cm="1">
        <f t="array" ref="N32">IFERROR(_xlfn.XLOOKUP(C32&amp;A32, ESPN!A:A&amp;ESPN!C:C, ESPN!H:H), "N/A")</f>
        <v>57</v>
      </c>
      <c r="O32" s="26" cm="1">
        <f t="array" ref="O32">IFERROR(_xlfn.XLOOKUP(C32&amp;A32, ESPN!A:A&amp;ESPN!C:C, ESPN!I:I), "N/A")</f>
        <v>45</v>
      </c>
      <c r="P32" s="26" cm="1">
        <f t="array" ref="P32">IFERROR(_xlfn.XLOOKUP(C32&amp;A32, ESPN!A:A&amp;ESPN!C:C, ESPN!J:J), "N/A")</f>
        <v>52</v>
      </c>
      <c r="Q32" s="26" cm="1">
        <f t="array" ref="Q32">IFERROR(_xlfn.XLOOKUP(C32&amp;A32, ESPN!A:A&amp;ESPN!C:C, ESPN!K:K), "N/A")</f>
        <v>52</v>
      </c>
    </row>
    <row r="33" spans="1:17" x14ac:dyDescent="0.45">
      <c r="A33" s="7">
        <v>2025</v>
      </c>
      <c r="B33" s="3" t="s">
        <v>35</v>
      </c>
      <c r="C33" s="4" t="str">
        <f t="shared" si="0"/>
        <v>Kimani Vidal</v>
      </c>
      <c r="D33" s="4" t="str">
        <f t="shared" si="1"/>
        <v>LAC</v>
      </c>
      <c r="E33" s="4">
        <v>13</v>
      </c>
      <c r="F33" s="13">
        <v>22</v>
      </c>
      <c r="G33" s="14">
        <v>16</v>
      </c>
      <c r="H33" s="14">
        <v>136</v>
      </c>
      <c r="I33" s="14">
        <v>8.5</v>
      </c>
      <c r="J33" s="14">
        <v>1</v>
      </c>
      <c r="K33" s="14">
        <v>0</v>
      </c>
      <c r="L33" s="11" cm="1">
        <f t="array" ref="L33">IFERROR(_xlfn.XLOOKUP(C33&amp;A33, ESPN!A:A&amp;ESPN!C:C, ESPN!D:D), "N/A")</f>
        <v>197</v>
      </c>
      <c r="M33" s="23" cm="1">
        <f t="array" ref="M33">IFERROR(_xlfn.XLOOKUP(C33&amp;A33, ESPN!A:A&amp;ESPN!C:C, ESPN!G:G), "N/A")</f>
        <v>0.79</v>
      </c>
      <c r="N33" s="23" cm="1">
        <f t="array" ref="N33">IFERROR(_xlfn.XLOOKUP(C33&amp;A33, ESPN!A:A&amp;ESPN!C:C, ESPN!H:H), "N/A")</f>
        <v>45</v>
      </c>
      <c r="O33" s="26" cm="1">
        <f t="array" ref="O33">IFERROR(_xlfn.XLOOKUP(C33&amp;A33, ESPN!A:A&amp;ESPN!C:C, ESPN!I:I), "N/A")</f>
        <v>60</v>
      </c>
      <c r="P33" s="26" cm="1">
        <f t="array" ref="P33">IFERROR(_xlfn.XLOOKUP(C33&amp;A33, ESPN!A:A&amp;ESPN!C:C, ESPN!J:J), "N/A")</f>
        <v>55</v>
      </c>
      <c r="Q33" s="26" cm="1">
        <f t="array" ref="Q33">IFERROR(_xlfn.XLOOKUP(C33&amp;A33, ESPN!A:A&amp;ESPN!C:C, ESPN!K:K), "N/A")</f>
        <v>57</v>
      </c>
    </row>
    <row r="34" spans="1:17" x14ac:dyDescent="0.45">
      <c r="A34" s="6">
        <v>2025</v>
      </c>
      <c r="B34" s="1" t="s">
        <v>36</v>
      </c>
      <c r="C34" s="2" t="str">
        <f t="shared" si="0"/>
        <v>Kareem Hunt</v>
      </c>
      <c r="D34" s="2" t="str">
        <f t="shared" si="1"/>
        <v>KC</v>
      </c>
      <c r="E34" s="2">
        <v>17</v>
      </c>
      <c r="F34" s="12">
        <v>25</v>
      </c>
      <c r="G34" s="11">
        <v>18</v>
      </c>
      <c r="H34" s="11">
        <v>143</v>
      </c>
      <c r="I34" s="11">
        <v>7.9</v>
      </c>
      <c r="J34" s="11">
        <v>1</v>
      </c>
      <c r="K34" s="11">
        <v>1</v>
      </c>
      <c r="L34" s="11" t="str" cm="1">
        <f t="array" ref="L34">IFERROR(_xlfn.XLOOKUP(C34&amp;A34, ESPN!A:A&amp;ESPN!C:C, ESPN!D:D), "N/A")</f>
        <v>N/A</v>
      </c>
      <c r="M34" s="23" t="str" cm="1">
        <f t="array" ref="M34">IFERROR(_xlfn.XLOOKUP(C34&amp;A34, ESPN!A:A&amp;ESPN!C:C, ESPN!G:G), "N/A")</f>
        <v>N/A</v>
      </c>
      <c r="N34" s="23" t="str" cm="1">
        <f t="array" ref="N34">IFERROR(_xlfn.XLOOKUP(C34&amp;A34, ESPN!A:A&amp;ESPN!C:C, ESPN!H:H), "N/A")</f>
        <v>N/A</v>
      </c>
      <c r="O34" s="26" t="str" cm="1">
        <f t="array" ref="O34">IFERROR(_xlfn.XLOOKUP(C34&amp;A34, ESPN!A:A&amp;ESPN!C:C, ESPN!I:I), "N/A")</f>
        <v>N/A</v>
      </c>
      <c r="P34" s="26" t="str" cm="1">
        <f t="array" ref="P34">IFERROR(_xlfn.XLOOKUP(C34&amp;A34, ESPN!A:A&amp;ESPN!C:C, ESPN!J:J), "N/A")</f>
        <v>N/A</v>
      </c>
      <c r="Q34" s="26" t="str" cm="1">
        <f t="array" ref="Q34">IFERROR(_xlfn.XLOOKUP(C34&amp;A34, ESPN!A:A&amp;ESPN!C:C, ESPN!K:K), "N/A")</f>
        <v>N/A</v>
      </c>
    </row>
    <row r="35" spans="1:17" x14ac:dyDescent="0.45">
      <c r="A35" s="7">
        <v>2025</v>
      </c>
      <c r="B35" s="3" t="s">
        <v>37</v>
      </c>
      <c r="C35" s="4" t="str">
        <f t="shared" si="0"/>
        <v>Rhamondre Stevenson</v>
      </c>
      <c r="D35" s="4" t="str">
        <f t="shared" si="1"/>
        <v>NE</v>
      </c>
      <c r="E35" s="4">
        <v>14</v>
      </c>
      <c r="F35" s="13">
        <v>37</v>
      </c>
      <c r="G35" s="14">
        <v>32</v>
      </c>
      <c r="H35" s="14">
        <v>345</v>
      </c>
      <c r="I35" s="14">
        <v>10.8</v>
      </c>
      <c r="J35" s="14">
        <v>2</v>
      </c>
      <c r="K35" s="14">
        <v>3</v>
      </c>
      <c r="L35" s="11" cm="1">
        <f t="array" ref="L35">IFERROR(_xlfn.XLOOKUP(C35&amp;A35, ESPN!A:A&amp;ESPN!C:C, ESPN!D:D), "N/A")</f>
        <v>315</v>
      </c>
      <c r="M35" s="23" cm="1">
        <f t="array" ref="M35">IFERROR(_xlfn.XLOOKUP(C35&amp;A35, ESPN!A:A&amp;ESPN!C:C, ESPN!G:G), "N/A")</f>
        <v>1.5</v>
      </c>
      <c r="N35" s="23" cm="1">
        <f t="array" ref="N35">IFERROR(_xlfn.XLOOKUP(C35&amp;A35, ESPN!A:A&amp;ESPN!C:C, ESPN!H:H), "N/A")</f>
        <v>65</v>
      </c>
      <c r="O35" s="26" cm="1">
        <f t="array" ref="O35">IFERROR(_xlfn.XLOOKUP(C35&amp;A35, ESPN!A:A&amp;ESPN!C:C, ESPN!I:I), "N/A")</f>
        <v>99</v>
      </c>
      <c r="P35" s="26" cm="1">
        <f t="array" ref="P35">IFERROR(_xlfn.XLOOKUP(C35&amp;A35, ESPN!A:A&amp;ESPN!C:C, ESPN!J:J), "N/A")</f>
        <v>53</v>
      </c>
      <c r="Q35" s="26" cm="1">
        <f t="array" ref="Q35">IFERROR(_xlfn.XLOOKUP(C35&amp;A35, ESPN!A:A&amp;ESPN!C:C, ESPN!K:K), "N/A")</f>
        <v>87</v>
      </c>
    </row>
    <row r="36" spans="1:17" x14ac:dyDescent="0.45">
      <c r="A36" s="6">
        <v>2025</v>
      </c>
      <c r="B36" s="1" t="s">
        <v>38</v>
      </c>
      <c r="C36" s="2" t="str">
        <f t="shared" si="0"/>
        <v>Bucky Irving</v>
      </c>
      <c r="D36" s="2" t="str">
        <f t="shared" si="1"/>
        <v>TB</v>
      </c>
      <c r="E36" s="2">
        <v>10</v>
      </c>
      <c r="F36" s="12">
        <v>35</v>
      </c>
      <c r="G36" s="11">
        <v>30</v>
      </c>
      <c r="H36" s="11">
        <v>277</v>
      </c>
      <c r="I36" s="11">
        <v>9.1999999999999993</v>
      </c>
      <c r="J36" s="11">
        <v>3</v>
      </c>
      <c r="K36" s="11">
        <v>1</v>
      </c>
      <c r="L36" s="11" cm="1">
        <f t="array" ref="L36">IFERROR(_xlfn.XLOOKUP(C36&amp;A36, ESPN!A:A&amp;ESPN!C:C, ESPN!D:D), "N/A")</f>
        <v>153</v>
      </c>
      <c r="M36" s="23" cm="1">
        <f t="array" ref="M36">IFERROR(_xlfn.XLOOKUP(C36&amp;A36, ESPN!A:A&amp;ESPN!C:C, ESPN!G:G), "N/A")</f>
        <v>1.81</v>
      </c>
      <c r="N36" s="23" cm="1">
        <f t="array" ref="N36">IFERROR(_xlfn.XLOOKUP(C36&amp;A36, ESPN!A:A&amp;ESPN!C:C, ESPN!H:H), "N/A")</f>
        <v>49</v>
      </c>
      <c r="O36" s="26" cm="1">
        <f t="array" ref="O36">IFERROR(_xlfn.XLOOKUP(C36&amp;A36, ESPN!A:A&amp;ESPN!C:C, ESPN!I:I), "N/A")</f>
        <v>61</v>
      </c>
      <c r="P36" s="26" cm="1">
        <f t="array" ref="P36">IFERROR(_xlfn.XLOOKUP(C36&amp;A36, ESPN!A:A&amp;ESPN!C:C, ESPN!J:J), "N/A")</f>
        <v>85</v>
      </c>
      <c r="Q36" s="26" cm="1">
        <f t="array" ref="Q36">IFERROR(_xlfn.XLOOKUP(C36&amp;A36, ESPN!A:A&amp;ESPN!C:C, ESPN!K:K), "N/A")</f>
        <v>84</v>
      </c>
    </row>
    <row r="37" spans="1:17" x14ac:dyDescent="0.45">
      <c r="A37" s="7">
        <v>2025</v>
      </c>
      <c r="B37" s="3" t="s">
        <v>39</v>
      </c>
      <c r="C37" s="4" t="str">
        <f t="shared" si="0"/>
        <v>Rachaad White</v>
      </c>
      <c r="D37" s="4" t="str">
        <f t="shared" si="1"/>
        <v>TB</v>
      </c>
      <c r="E37" s="4">
        <v>17</v>
      </c>
      <c r="F37" s="13">
        <v>45</v>
      </c>
      <c r="G37" s="14">
        <v>40</v>
      </c>
      <c r="H37" s="14">
        <v>218</v>
      </c>
      <c r="I37" s="14">
        <v>5.5</v>
      </c>
      <c r="J37" s="14">
        <v>0</v>
      </c>
      <c r="K37" s="14">
        <v>0</v>
      </c>
      <c r="L37" s="11" t="str" cm="1">
        <f t="array" ref="L37">IFERROR(_xlfn.XLOOKUP(C37&amp;A37, ESPN!A:A&amp;ESPN!C:C, ESPN!D:D), "N/A")</f>
        <v>N/A</v>
      </c>
      <c r="M37" s="23" t="str" cm="1">
        <f t="array" ref="M37">IFERROR(_xlfn.XLOOKUP(C37&amp;A37, ESPN!A:A&amp;ESPN!C:C, ESPN!G:G), "N/A")</f>
        <v>N/A</v>
      </c>
      <c r="N37" s="23" t="str" cm="1">
        <f t="array" ref="N37">IFERROR(_xlfn.XLOOKUP(C37&amp;A37, ESPN!A:A&amp;ESPN!C:C, ESPN!H:H), "N/A")</f>
        <v>N/A</v>
      </c>
      <c r="O37" s="26" t="str" cm="1">
        <f t="array" ref="O37">IFERROR(_xlfn.XLOOKUP(C37&amp;A37, ESPN!A:A&amp;ESPN!C:C, ESPN!I:I), "N/A")</f>
        <v>N/A</v>
      </c>
      <c r="P37" s="26" t="str" cm="1">
        <f t="array" ref="P37">IFERROR(_xlfn.XLOOKUP(C37&amp;A37, ESPN!A:A&amp;ESPN!C:C, ESPN!J:J), "N/A")</f>
        <v>N/A</v>
      </c>
      <c r="Q37" s="26" t="str" cm="1">
        <f t="array" ref="Q37">IFERROR(_xlfn.XLOOKUP(C37&amp;A37, ESPN!A:A&amp;ESPN!C:C, ESPN!K:K), "N/A")</f>
        <v>N/A</v>
      </c>
    </row>
    <row r="38" spans="1:17" x14ac:dyDescent="0.45">
      <c r="A38" s="6">
        <v>2025</v>
      </c>
      <c r="B38" s="1" t="s">
        <v>40</v>
      </c>
      <c r="C38" s="2" t="str">
        <f t="shared" si="0"/>
        <v>Aaron Jones Sr.</v>
      </c>
      <c r="D38" s="2" t="str">
        <f t="shared" si="1"/>
        <v>MIN</v>
      </c>
      <c r="E38" s="2">
        <v>12</v>
      </c>
      <c r="F38" s="12">
        <v>41</v>
      </c>
      <c r="G38" s="11">
        <v>28</v>
      </c>
      <c r="H38" s="11">
        <v>199</v>
      </c>
      <c r="I38" s="11">
        <v>7.1</v>
      </c>
      <c r="J38" s="11">
        <v>1</v>
      </c>
      <c r="K38" s="11">
        <v>1</v>
      </c>
      <c r="L38" s="11" cm="1">
        <f t="array" ref="L38">IFERROR(_xlfn.XLOOKUP(C38&amp;A38, ESPN!A:A&amp;ESPN!C:C, ESPN!D:D), "N/A")</f>
        <v>153</v>
      </c>
      <c r="M38" s="23" cm="1">
        <f t="array" ref="M38">IFERROR(_xlfn.XLOOKUP(C38&amp;A38, ESPN!A:A&amp;ESPN!C:C, ESPN!G:G), "N/A")</f>
        <v>1.3</v>
      </c>
      <c r="N38" s="23" cm="1">
        <f t="array" ref="N38">IFERROR(_xlfn.XLOOKUP(C38&amp;A38, ESPN!A:A&amp;ESPN!C:C, ESPN!H:H), "N/A")</f>
        <v>64</v>
      </c>
      <c r="O38" s="26" cm="1">
        <f t="array" ref="O38">IFERROR(_xlfn.XLOOKUP(C38&amp;A38, ESPN!A:A&amp;ESPN!C:C, ESPN!I:I), "N/A")</f>
        <v>69</v>
      </c>
      <c r="P38" s="26" cm="1">
        <f t="array" ref="P38">IFERROR(_xlfn.XLOOKUP(C38&amp;A38, ESPN!A:A&amp;ESPN!C:C, ESPN!J:J), "N/A")</f>
        <v>47</v>
      </c>
      <c r="Q38" s="26" cm="1">
        <f t="array" ref="Q38">IFERROR(_xlfn.XLOOKUP(C38&amp;A38, ESPN!A:A&amp;ESPN!C:C, ESPN!K:K), "N/A")</f>
        <v>61</v>
      </c>
    </row>
    <row r="39" spans="1:17" x14ac:dyDescent="0.45">
      <c r="A39" s="7">
        <v>2025</v>
      </c>
      <c r="B39" s="3" t="s">
        <v>41</v>
      </c>
      <c r="C39" s="4" t="str">
        <f t="shared" si="0"/>
        <v>Omarion Hampton</v>
      </c>
      <c r="D39" s="4" t="str">
        <f t="shared" si="1"/>
        <v>LAC</v>
      </c>
      <c r="E39" s="4">
        <v>9</v>
      </c>
      <c r="F39" s="13">
        <v>35</v>
      </c>
      <c r="G39" s="14">
        <v>32</v>
      </c>
      <c r="H39" s="14">
        <v>192</v>
      </c>
      <c r="I39" s="14">
        <v>6</v>
      </c>
      <c r="J39" s="14">
        <v>1</v>
      </c>
      <c r="K39" s="14">
        <v>0</v>
      </c>
      <c r="L39" s="11" cm="1">
        <f t="array" ref="L39">IFERROR(_xlfn.XLOOKUP(C39&amp;A39, ESPN!A:A&amp;ESPN!C:C, ESPN!D:D), "N/A")</f>
        <v>159</v>
      </c>
      <c r="M39" s="23" cm="1">
        <f t="array" ref="M39">IFERROR(_xlfn.XLOOKUP(C39&amp;A39, ESPN!A:A&amp;ESPN!C:C, ESPN!G:G), "N/A")</f>
        <v>1.21</v>
      </c>
      <c r="N39" s="23" cm="1">
        <f t="array" ref="N39">IFERROR(_xlfn.XLOOKUP(C39&amp;A39, ESPN!A:A&amp;ESPN!C:C, ESPN!H:H), "N/A")</f>
        <v>62</v>
      </c>
      <c r="O39" s="26" cm="1">
        <f t="array" ref="O39">IFERROR(_xlfn.XLOOKUP(C39&amp;A39, ESPN!A:A&amp;ESPN!C:C, ESPN!I:I), "N/A")</f>
        <v>78</v>
      </c>
      <c r="P39" s="26" cm="1">
        <f t="array" ref="P39">IFERROR(_xlfn.XLOOKUP(C39&amp;A39, ESPN!A:A&amp;ESPN!C:C, ESPN!J:J), "N/A")</f>
        <v>50</v>
      </c>
      <c r="Q39" s="26" cm="1">
        <f t="array" ref="Q39">IFERROR(_xlfn.XLOOKUP(C39&amp;A39, ESPN!A:A&amp;ESPN!C:C, ESPN!K:K), "N/A")</f>
        <v>68</v>
      </c>
    </row>
    <row r="40" spans="1:17" x14ac:dyDescent="0.45">
      <c r="A40" s="6">
        <v>2025</v>
      </c>
      <c r="B40" s="1" t="s">
        <v>42</v>
      </c>
      <c r="C40" s="2" t="str">
        <f t="shared" si="0"/>
        <v>RJ Harvey</v>
      </c>
      <c r="D40" s="2" t="str">
        <f t="shared" si="1"/>
        <v>DEN</v>
      </c>
      <c r="E40" s="2">
        <v>17</v>
      </c>
      <c r="F40" s="12">
        <v>58</v>
      </c>
      <c r="G40" s="11">
        <v>47</v>
      </c>
      <c r="H40" s="11">
        <v>356</v>
      </c>
      <c r="I40" s="11">
        <v>7.6</v>
      </c>
      <c r="J40" s="11">
        <v>5</v>
      </c>
      <c r="K40" s="11">
        <v>1</v>
      </c>
      <c r="L40" s="11" cm="1">
        <f t="array" ref="L40">IFERROR(_xlfn.XLOOKUP(C40&amp;A40, ESPN!A:A&amp;ESPN!C:C, ESPN!D:D), "N/A")</f>
        <v>245</v>
      </c>
      <c r="M40" s="23" cm="1">
        <f t="array" ref="M40">IFERROR(_xlfn.XLOOKUP(C40&amp;A40, ESPN!A:A&amp;ESPN!C:C, ESPN!G:G), "N/A")</f>
        <v>1.73</v>
      </c>
      <c r="N40" s="23" cm="1">
        <f t="array" ref="N40">IFERROR(_xlfn.XLOOKUP(C40&amp;A40, ESPN!A:A&amp;ESPN!C:C, ESPN!H:H), "N/A")</f>
        <v>47</v>
      </c>
      <c r="O40" s="26" cm="1">
        <f t="array" ref="O40">IFERROR(_xlfn.XLOOKUP(C40&amp;A40, ESPN!A:A&amp;ESPN!C:C, ESPN!I:I), "N/A")</f>
        <v>84</v>
      </c>
      <c r="P40" s="26" cm="1">
        <f t="array" ref="P40">IFERROR(_xlfn.XLOOKUP(C40&amp;A40, ESPN!A:A&amp;ESPN!C:C, ESPN!J:J), "N/A")</f>
        <v>49</v>
      </c>
      <c r="Q40" s="26" cm="1">
        <f t="array" ref="Q40">IFERROR(_xlfn.XLOOKUP(C40&amp;A40, ESPN!A:A&amp;ESPN!C:C, ESPN!K:K), "N/A")</f>
        <v>65</v>
      </c>
    </row>
    <row r="41" spans="1:17" x14ac:dyDescent="0.45">
      <c r="A41" s="7">
        <v>2025</v>
      </c>
      <c r="B41" s="3" t="s">
        <v>43</v>
      </c>
      <c r="C41" s="4" t="str">
        <f t="shared" si="0"/>
        <v>Kenny Gainwell</v>
      </c>
      <c r="D41" s="4" t="str">
        <f t="shared" si="1"/>
        <v>PIT</v>
      </c>
      <c r="E41" s="4">
        <v>17</v>
      </c>
      <c r="F41" s="13">
        <v>85</v>
      </c>
      <c r="G41" s="14">
        <v>73</v>
      </c>
      <c r="H41" s="14">
        <v>486</v>
      </c>
      <c r="I41" s="14">
        <v>6.7</v>
      </c>
      <c r="J41" s="14">
        <v>3</v>
      </c>
      <c r="K41" s="14">
        <v>1</v>
      </c>
      <c r="L41" s="11" cm="1">
        <f t="array" ref="L41">IFERROR(_xlfn.XLOOKUP(C41&amp;A41, ESPN!A:A&amp;ESPN!C:C, ESPN!D:D), "N/A")</f>
        <v>280</v>
      </c>
      <c r="M41" s="23" cm="1">
        <f t="array" ref="M41">IFERROR(_xlfn.XLOOKUP(C41&amp;A41, ESPN!A:A&amp;ESPN!C:C, ESPN!G:G), "N/A")</f>
        <v>1.83</v>
      </c>
      <c r="N41" s="23" cm="1">
        <f t="array" ref="N41">IFERROR(_xlfn.XLOOKUP(C41&amp;A41, ESPN!A:A&amp;ESPN!C:C, ESPN!H:H), "N/A")</f>
        <v>68</v>
      </c>
      <c r="O41" s="26" cm="1">
        <f t="array" ref="O41">IFERROR(_xlfn.XLOOKUP(C41&amp;A41, ESPN!A:A&amp;ESPN!C:C, ESPN!I:I), "N/A")</f>
        <v>99</v>
      </c>
      <c r="P41" s="26" cm="1">
        <f t="array" ref="P41">IFERROR(_xlfn.XLOOKUP(C41&amp;A41, ESPN!A:A&amp;ESPN!C:C, ESPN!J:J), "N/A")</f>
        <v>40</v>
      </c>
      <c r="Q41" s="26" cm="1">
        <f t="array" ref="Q41">IFERROR(_xlfn.XLOOKUP(C41&amp;A41, ESPN!A:A&amp;ESPN!C:C, ESPN!K:K), "N/A")</f>
        <v>80</v>
      </c>
    </row>
    <row r="42" spans="1:17" x14ac:dyDescent="0.45">
      <c r="A42" s="6">
        <v>2025</v>
      </c>
      <c r="B42" s="1" t="s">
        <v>44</v>
      </c>
      <c r="C42" s="2" t="str">
        <f t="shared" si="0"/>
        <v>Tyler Allgeier</v>
      </c>
      <c r="D42" s="2" t="str">
        <f t="shared" si="1"/>
        <v>ATL</v>
      </c>
      <c r="E42" s="2">
        <v>17</v>
      </c>
      <c r="F42" s="12">
        <v>16</v>
      </c>
      <c r="G42" s="11">
        <v>14</v>
      </c>
      <c r="H42" s="11">
        <v>96</v>
      </c>
      <c r="I42" s="11">
        <v>6.9</v>
      </c>
      <c r="J42" s="11">
        <v>0</v>
      </c>
      <c r="K42" s="11">
        <v>0</v>
      </c>
      <c r="L42" s="11" t="str" cm="1">
        <f t="array" ref="L42">IFERROR(_xlfn.XLOOKUP(C42&amp;A42, ESPN!A:A&amp;ESPN!C:C, ESPN!D:D), "N/A")</f>
        <v>N/A</v>
      </c>
      <c r="M42" s="23" t="str" cm="1">
        <f t="array" ref="M42">IFERROR(_xlfn.XLOOKUP(C42&amp;A42, ESPN!A:A&amp;ESPN!C:C, ESPN!G:G), "N/A")</f>
        <v>N/A</v>
      </c>
      <c r="N42" s="23" t="str" cm="1">
        <f t="array" ref="N42">IFERROR(_xlfn.XLOOKUP(C42&amp;A42, ESPN!A:A&amp;ESPN!C:C, ESPN!H:H), "N/A")</f>
        <v>N/A</v>
      </c>
      <c r="O42" s="26" t="str" cm="1">
        <f t="array" ref="O42">IFERROR(_xlfn.XLOOKUP(C42&amp;A42, ESPN!A:A&amp;ESPN!C:C, ESPN!I:I), "N/A")</f>
        <v>N/A</v>
      </c>
      <c r="P42" s="26" t="str" cm="1">
        <f t="array" ref="P42">IFERROR(_xlfn.XLOOKUP(C42&amp;A42, ESPN!A:A&amp;ESPN!C:C, ESPN!J:J), "N/A")</f>
        <v>N/A</v>
      </c>
      <c r="Q42" s="26" t="str" cm="1">
        <f t="array" ref="Q42">IFERROR(_xlfn.XLOOKUP(C42&amp;A42, ESPN!A:A&amp;ESPN!C:C, ESPN!K:K), "N/A")</f>
        <v>N/A</v>
      </c>
    </row>
    <row r="43" spans="1:17" x14ac:dyDescent="0.45">
      <c r="A43" s="7">
        <v>2025</v>
      </c>
      <c r="B43" s="3" t="s">
        <v>45</v>
      </c>
      <c r="C43" s="4" t="str">
        <f t="shared" si="0"/>
        <v>Chuba Hubbard</v>
      </c>
      <c r="D43" s="4" t="str">
        <f t="shared" si="1"/>
        <v>CAR</v>
      </c>
      <c r="E43" s="4">
        <v>15</v>
      </c>
      <c r="F43" s="13">
        <v>39</v>
      </c>
      <c r="G43" s="14">
        <v>30</v>
      </c>
      <c r="H43" s="14">
        <v>223</v>
      </c>
      <c r="I43" s="14">
        <v>7.4</v>
      </c>
      <c r="J43" s="14">
        <v>3</v>
      </c>
      <c r="K43" s="14">
        <v>1</v>
      </c>
      <c r="L43" s="11" cm="1">
        <f t="array" ref="L43">IFERROR(_xlfn.XLOOKUP(C43&amp;A43, ESPN!A:A&amp;ESPN!C:C, ESPN!D:D), "N/A")</f>
        <v>213</v>
      </c>
      <c r="M43" s="23" cm="1">
        <f t="array" ref="M43">IFERROR(_xlfn.XLOOKUP(C43&amp;A43, ESPN!A:A&amp;ESPN!C:C, ESPN!G:G), "N/A")</f>
        <v>1.1100000000000001</v>
      </c>
      <c r="N43" s="23" cm="1">
        <f t="array" ref="N43">IFERROR(_xlfn.XLOOKUP(C43&amp;A43, ESPN!A:A&amp;ESPN!C:C, ESPN!H:H), "N/A")</f>
        <v>71</v>
      </c>
      <c r="O43" s="26" cm="1">
        <f t="array" ref="O43">IFERROR(_xlfn.XLOOKUP(C43&amp;A43, ESPN!A:A&amp;ESPN!C:C, ESPN!I:I), "N/A")</f>
        <v>46</v>
      </c>
      <c r="P43" s="26" cm="1">
        <f t="array" ref="P43">IFERROR(_xlfn.XLOOKUP(C43&amp;A43, ESPN!A:A&amp;ESPN!C:C, ESPN!J:J), "N/A")</f>
        <v>68</v>
      </c>
      <c r="Q43" s="26" cm="1">
        <f t="array" ref="Q43">IFERROR(_xlfn.XLOOKUP(C43&amp;A43, ESPN!A:A&amp;ESPN!C:C, ESPN!K:K), "N/A")</f>
        <v>71</v>
      </c>
    </row>
    <row r="44" spans="1:17" x14ac:dyDescent="0.45">
      <c r="A44" s="6">
        <v>2025</v>
      </c>
      <c r="B44" s="1" t="s">
        <v>46</v>
      </c>
      <c r="C44" s="2" t="str">
        <f t="shared" si="0"/>
        <v>Nick Chubb</v>
      </c>
      <c r="D44" s="2" t="str">
        <f t="shared" si="1"/>
        <v>HOU</v>
      </c>
      <c r="E44" s="2">
        <v>15</v>
      </c>
      <c r="F44" s="12">
        <v>20</v>
      </c>
      <c r="G44" s="11">
        <v>13</v>
      </c>
      <c r="H44" s="11">
        <v>67</v>
      </c>
      <c r="I44" s="11">
        <v>5.2</v>
      </c>
      <c r="J44" s="11">
        <v>0</v>
      </c>
      <c r="K44" s="11">
        <v>0</v>
      </c>
      <c r="L44" s="11" t="str" cm="1">
        <f t="array" ref="L44">IFERROR(_xlfn.XLOOKUP(C44&amp;A44, ESPN!A:A&amp;ESPN!C:C, ESPN!D:D), "N/A")</f>
        <v>N/A</v>
      </c>
      <c r="M44" s="23" t="str" cm="1">
        <f t="array" ref="M44">IFERROR(_xlfn.XLOOKUP(C44&amp;A44, ESPN!A:A&amp;ESPN!C:C, ESPN!G:G), "N/A")</f>
        <v>N/A</v>
      </c>
      <c r="N44" s="23" t="str" cm="1">
        <f t="array" ref="N44">IFERROR(_xlfn.XLOOKUP(C44&amp;A44, ESPN!A:A&amp;ESPN!C:C, ESPN!H:H), "N/A")</f>
        <v>N/A</v>
      </c>
      <c r="O44" s="26" t="str" cm="1">
        <f t="array" ref="O44">IFERROR(_xlfn.XLOOKUP(C44&amp;A44, ESPN!A:A&amp;ESPN!C:C, ESPN!I:I), "N/A")</f>
        <v>N/A</v>
      </c>
      <c r="P44" s="26" t="str" cm="1">
        <f t="array" ref="P44">IFERROR(_xlfn.XLOOKUP(C44&amp;A44, ESPN!A:A&amp;ESPN!C:C, ESPN!J:J), "N/A")</f>
        <v>N/A</v>
      </c>
      <c r="Q44" s="26" t="str" cm="1">
        <f t="array" ref="Q44">IFERROR(_xlfn.XLOOKUP(C44&amp;A44, ESPN!A:A&amp;ESPN!C:C, ESPN!K:K), "N/A")</f>
        <v>N/A</v>
      </c>
    </row>
    <row r="45" spans="1:17" x14ac:dyDescent="0.45">
      <c r="A45" s="7">
        <v>2025</v>
      </c>
      <c r="B45" s="3" t="s">
        <v>47</v>
      </c>
      <c r="C45" s="4" t="str">
        <f t="shared" si="0"/>
        <v>Chris Rodriguez Jr.</v>
      </c>
      <c r="D45" s="4" t="str">
        <f t="shared" si="1"/>
        <v>WAS</v>
      </c>
      <c r="E45" s="4">
        <v>13</v>
      </c>
      <c r="F45" s="13">
        <v>4</v>
      </c>
      <c r="G45" s="14">
        <v>3</v>
      </c>
      <c r="H45" s="14">
        <v>30</v>
      </c>
      <c r="I45" s="14">
        <v>10</v>
      </c>
      <c r="J45" s="14">
        <v>0</v>
      </c>
      <c r="K45" s="14">
        <v>0</v>
      </c>
      <c r="L45" s="11" t="str" cm="1">
        <f t="array" ref="L45">IFERROR(_xlfn.XLOOKUP(C45&amp;A45, ESPN!A:A&amp;ESPN!C:C, ESPN!D:D), "N/A")</f>
        <v>N/A</v>
      </c>
      <c r="M45" s="23" t="str" cm="1">
        <f t="array" ref="M45">IFERROR(_xlfn.XLOOKUP(C45&amp;A45, ESPN!A:A&amp;ESPN!C:C, ESPN!G:G), "N/A")</f>
        <v>N/A</v>
      </c>
      <c r="N45" s="23" t="str" cm="1">
        <f t="array" ref="N45">IFERROR(_xlfn.XLOOKUP(C45&amp;A45, ESPN!A:A&amp;ESPN!C:C, ESPN!H:H), "N/A")</f>
        <v>N/A</v>
      </c>
      <c r="O45" s="26" t="str" cm="1">
        <f t="array" ref="O45">IFERROR(_xlfn.XLOOKUP(C45&amp;A45, ESPN!A:A&amp;ESPN!C:C, ESPN!I:I), "N/A")</f>
        <v>N/A</v>
      </c>
      <c r="P45" s="26" t="str" cm="1">
        <f t="array" ref="P45">IFERROR(_xlfn.XLOOKUP(C45&amp;A45, ESPN!A:A&amp;ESPN!C:C, ESPN!J:J), "N/A")</f>
        <v>N/A</v>
      </c>
      <c r="Q45" s="26" t="str" cm="1">
        <f t="array" ref="Q45">IFERROR(_xlfn.XLOOKUP(C45&amp;A45, ESPN!A:A&amp;ESPN!C:C, ESPN!K:K), "N/A")</f>
        <v>N/A</v>
      </c>
    </row>
    <row r="46" spans="1:17" x14ac:dyDescent="0.45">
      <c r="A46" s="6">
        <v>2025</v>
      </c>
      <c r="B46" s="1" t="s">
        <v>48</v>
      </c>
      <c r="C46" s="2" t="str">
        <f t="shared" si="0"/>
        <v>Emanuel Wilson</v>
      </c>
      <c r="D46" s="2" t="str">
        <f t="shared" si="1"/>
        <v>GB</v>
      </c>
      <c r="E46" s="2">
        <v>17</v>
      </c>
      <c r="F46" s="12">
        <v>17</v>
      </c>
      <c r="G46" s="11">
        <v>15</v>
      </c>
      <c r="H46" s="11">
        <v>99</v>
      </c>
      <c r="I46" s="11">
        <v>6.6</v>
      </c>
      <c r="J46" s="11">
        <v>0</v>
      </c>
      <c r="K46" s="11">
        <v>0</v>
      </c>
      <c r="L46" s="11" t="str" cm="1">
        <f t="array" ref="L46">IFERROR(_xlfn.XLOOKUP(C46&amp;A46, ESPN!A:A&amp;ESPN!C:C, ESPN!D:D), "N/A")</f>
        <v>N/A</v>
      </c>
      <c r="M46" s="23" t="str" cm="1">
        <f t="array" ref="M46">IFERROR(_xlfn.XLOOKUP(C46&amp;A46, ESPN!A:A&amp;ESPN!C:C, ESPN!G:G), "N/A")</f>
        <v>N/A</v>
      </c>
      <c r="N46" s="23" t="str" cm="1">
        <f t="array" ref="N46">IFERROR(_xlfn.XLOOKUP(C46&amp;A46, ESPN!A:A&amp;ESPN!C:C, ESPN!H:H), "N/A")</f>
        <v>N/A</v>
      </c>
      <c r="O46" s="26" t="str" cm="1">
        <f t="array" ref="O46">IFERROR(_xlfn.XLOOKUP(C46&amp;A46, ESPN!A:A&amp;ESPN!C:C, ESPN!I:I), "N/A")</f>
        <v>N/A</v>
      </c>
      <c r="P46" s="26" t="str" cm="1">
        <f t="array" ref="P46">IFERROR(_xlfn.XLOOKUP(C46&amp;A46, ESPN!A:A&amp;ESPN!C:C, ESPN!J:J), "N/A")</f>
        <v>N/A</v>
      </c>
      <c r="Q46" s="26" t="str" cm="1">
        <f t="array" ref="Q46">IFERROR(_xlfn.XLOOKUP(C46&amp;A46, ESPN!A:A&amp;ESPN!C:C, ESPN!K:K), "N/A")</f>
        <v>N/A</v>
      </c>
    </row>
    <row r="47" spans="1:17" x14ac:dyDescent="0.45">
      <c r="A47" s="7">
        <v>2025</v>
      </c>
      <c r="B47" s="3" t="s">
        <v>49</v>
      </c>
      <c r="C47" s="4" t="str">
        <f t="shared" si="0"/>
        <v>Alvin Kamara</v>
      </c>
      <c r="D47" s="4" t="str">
        <f t="shared" si="1"/>
        <v>NO</v>
      </c>
      <c r="E47" s="4">
        <v>11</v>
      </c>
      <c r="F47" s="13">
        <v>39</v>
      </c>
      <c r="G47" s="14">
        <v>33</v>
      </c>
      <c r="H47" s="14">
        <v>186</v>
      </c>
      <c r="I47" s="14">
        <v>5.6</v>
      </c>
      <c r="J47" s="14">
        <v>0</v>
      </c>
      <c r="K47" s="14">
        <v>2</v>
      </c>
      <c r="L47" s="11" cm="1">
        <f t="array" ref="L47">IFERROR(_xlfn.XLOOKUP(C47&amp;A47, ESPN!A:A&amp;ESPN!C:C, ESPN!D:D), "N/A")</f>
        <v>187</v>
      </c>
      <c r="M47" s="23" cm="1">
        <f t="array" ref="M47">IFERROR(_xlfn.XLOOKUP(C47&amp;A47, ESPN!A:A&amp;ESPN!C:C, ESPN!G:G), "N/A")</f>
        <v>0.99</v>
      </c>
      <c r="N47" s="23" cm="1">
        <f t="array" ref="N47">IFERROR(_xlfn.XLOOKUP(C47&amp;A47, ESPN!A:A&amp;ESPN!C:C, ESPN!H:H), "N/A")</f>
        <v>56</v>
      </c>
      <c r="O47" s="26" cm="1">
        <f t="array" ref="O47">IFERROR(_xlfn.XLOOKUP(C47&amp;A47, ESPN!A:A&amp;ESPN!C:C, ESPN!I:I), "N/A")</f>
        <v>70</v>
      </c>
      <c r="P47" s="26" cm="1">
        <f t="array" ref="P47">IFERROR(_xlfn.XLOOKUP(C47&amp;A47, ESPN!A:A&amp;ESPN!C:C, ESPN!J:J), "N/A")</f>
        <v>27</v>
      </c>
      <c r="Q47" s="26" cm="1">
        <f t="array" ref="Q47">IFERROR(_xlfn.XLOOKUP(C47&amp;A47, ESPN!A:A&amp;ESPN!C:C, ESPN!K:K), "N/A")</f>
        <v>42</v>
      </c>
    </row>
    <row r="48" spans="1:17" x14ac:dyDescent="0.45">
      <c r="A48" s="6">
        <v>2025</v>
      </c>
      <c r="B48" s="1" t="s">
        <v>50</v>
      </c>
      <c r="C48" s="2" t="str">
        <f t="shared" si="0"/>
        <v>Isiah Pacheco</v>
      </c>
      <c r="D48" s="2" t="str">
        <f t="shared" si="1"/>
        <v>KC</v>
      </c>
      <c r="E48" s="2">
        <v>13</v>
      </c>
      <c r="F48" s="12">
        <v>26</v>
      </c>
      <c r="G48" s="11">
        <v>19</v>
      </c>
      <c r="H48" s="11">
        <v>101</v>
      </c>
      <c r="I48" s="11">
        <v>5.3</v>
      </c>
      <c r="J48" s="11">
        <v>1</v>
      </c>
      <c r="K48" s="11">
        <v>0</v>
      </c>
      <c r="L48" s="11" cm="1">
        <f t="array" ref="L48">IFERROR(_xlfn.XLOOKUP(C48&amp;A48, ESPN!A:A&amp;ESPN!C:C, ESPN!D:D), "N/A")</f>
        <v>195</v>
      </c>
      <c r="M48" s="23" cm="1">
        <f t="array" ref="M48">IFERROR(_xlfn.XLOOKUP(C48&amp;A48, ESPN!A:A&amp;ESPN!C:C, ESPN!G:G), "N/A")</f>
        <v>0.52</v>
      </c>
      <c r="N48" s="23" cm="1">
        <f t="array" ref="N48">IFERROR(_xlfn.XLOOKUP(C48&amp;A48, ESPN!A:A&amp;ESPN!C:C, ESPN!H:H), "N/A")</f>
        <v>32</v>
      </c>
      <c r="O48" s="26" cm="1">
        <f t="array" ref="O48">IFERROR(_xlfn.XLOOKUP(C48&amp;A48, ESPN!A:A&amp;ESPN!C:C, ESPN!I:I), "N/A")</f>
        <v>45</v>
      </c>
      <c r="P48" s="26" cm="1">
        <f t="array" ref="P48">IFERROR(_xlfn.XLOOKUP(C48&amp;A48, ESPN!A:A&amp;ESPN!C:C, ESPN!J:J), "N/A")</f>
        <v>18</v>
      </c>
      <c r="Q48" s="26" cm="1">
        <f t="array" ref="Q48">IFERROR(_xlfn.XLOOKUP(C48&amp;A48, ESPN!A:A&amp;ESPN!C:C, ESPN!K:K), "N/A")</f>
        <v>14</v>
      </c>
    </row>
    <row r="49" spans="1:17" x14ac:dyDescent="0.45">
      <c r="A49" s="7">
        <v>2025</v>
      </c>
      <c r="B49" s="3" t="s">
        <v>51</v>
      </c>
      <c r="C49" s="4" t="str">
        <f t="shared" si="0"/>
        <v>Devin Singletary</v>
      </c>
      <c r="D49" s="4" t="str">
        <f t="shared" si="1"/>
        <v>NYG</v>
      </c>
      <c r="E49" s="4">
        <v>17</v>
      </c>
      <c r="F49" s="13">
        <v>19</v>
      </c>
      <c r="G49" s="14">
        <v>18</v>
      </c>
      <c r="H49" s="14">
        <v>151</v>
      </c>
      <c r="I49" s="14">
        <v>8.4</v>
      </c>
      <c r="J49" s="14">
        <v>0</v>
      </c>
      <c r="K49" s="14">
        <v>0</v>
      </c>
      <c r="L49" s="11" t="str" cm="1">
        <f t="array" ref="L49">IFERROR(_xlfn.XLOOKUP(C49&amp;A49, ESPN!A:A&amp;ESPN!C:C, ESPN!D:D), "N/A")</f>
        <v>N/A</v>
      </c>
      <c r="M49" s="23" t="str" cm="1">
        <f t="array" ref="M49">IFERROR(_xlfn.XLOOKUP(C49&amp;A49, ESPN!A:A&amp;ESPN!C:C, ESPN!G:G), "N/A")</f>
        <v>N/A</v>
      </c>
      <c r="N49" s="23" t="str" cm="1">
        <f t="array" ref="N49">IFERROR(_xlfn.XLOOKUP(C49&amp;A49, ESPN!A:A&amp;ESPN!C:C, ESPN!H:H), "N/A")</f>
        <v>N/A</v>
      </c>
      <c r="O49" s="26" t="str" cm="1">
        <f t="array" ref="O49">IFERROR(_xlfn.XLOOKUP(C49&amp;A49, ESPN!A:A&amp;ESPN!C:C, ESPN!I:I), "N/A")</f>
        <v>N/A</v>
      </c>
      <c r="P49" s="26" t="str" cm="1">
        <f t="array" ref="P49">IFERROR(_xlfn.XLOOKUP(C49&amp;A49, ESPN!A:A&amp;ESPN!C:C, ESPN!J:J), "N/A")</f>
        <v>N/A</v>
      </c>
      <c r="Q49" s="26" t="str" cm="1">
        <f t="array" ref="Q49">IFERROR(_xlfn.XLOOKUP(C49&amp;A49, ESPN!A:A&amp;ESPN!C:C, ESPN!K:K), "N/A")</f>
        <v>N/A</v>
      </c>
    </row>
    <row r="50" spans="1:17" x14ac:dyDescent="0.45">
      <c r="A50" s="6">
        <v>2025</v>
      </c>
      <c r="B50" s="1" t="s">
        <v>52</v>
      </c>
      <c r="C50" s="2" t="str">
        <f t="shared" si="0"/>
        <v>Cam Skattebo</v>
      </c>
      <c r="D50" s="2" t="str">
        <f t="shared" si="1"/>
        <v>NYG</v>
      </c>
      <c r="E50" s="2">
        <v>8</v>
      </c>
      <c r="F50" s="12">
        <v>32</v>
      </c>
      <c r="G50" s="11">
        <v>24</v>
      </c>
      <c r="H50" s="11">
        <v>207</v>
      </c>
      <c r="I50" s="11">
        <v>8.6</v>
      </c>
      <c r="J50" s="11">
        <v>2</v>
      </c>
      <c r="K50" s="11">
        <v>1</v>
      </c>
      <c r="L50" s="11" cm="1">
        <f t="array" ref="L50">IFERROR(_xlfn.XLOOKUP(C50&amp;A50, ESPN!A:A&amp;ESPN!C:C, ESPN!D:D), "N/A")</f>
        <v>113</v>
      </c>
      <c r="M50" s="23" cm="1">
        <f t="array" ref="M50">IFERROR(_xlfn.XLOOKUP(C50&amp;A50, ESPN!A:A&amp;ESPN!C:C, ESPN!G:G), "N/A")</f>
        <v>1.83</v>
      </c>
      <c r="N50" s="23" cm="1">
        <f t="array" ref="N50">IFERROR(_xlfn.XLOOKUP(C50&amp;A50, ESPN!A:A&amp;ESPN!C:C, ESPN!H:H), "N/A")</f>
        <v>60</v>
      </c>
      <c r="O50" s="26" cm="1">
        <f t="array" ref="O50">IFERROR(_xlfn.XLOOKUP(C50&amp;A50, ESPN!A:A&amp;ESPN!C:C, ESPN!I:I), "N/A")</f>
        <v>61</v>
      </c>
      <c r="P50" s="26" cm="1">
        <f t="array" ref="P50">IFERROR(_xlfn.XLOOKUP(C50&amp;A50, ESPN!A:A&amp;ESPN!C:C, ESPN!J:J), "N/A")</f>
        <v>45</v>
      </c>
      <c r="Q50" s="26" cm="1">
        <f t="array" ref="Q50">IFERROR(_xlfn.XLOOKUP(C50&amp;A50, ESPN!A:A&amp;ESPN!C:C, ESPN!K:K), "N/A")</f>
        <v>55</v>
      </c>
    </row>
    <row r="51" spans="1:17" x14ac:dyDescent="0.45">
      <c r="A51" s="7">
        <v>2025</v>
      </c>
      <c r="B51" s="3" t="s">
        <v>53</v>
      </c>
      <c r="C51" s="4" t="str">
        <f t="shared" si="0"/>
        <v>Brian Robinson Jr.</v>
      </c>
      <c r="D51" s="4" t="str">
        <f t="shared" si="1"/>
        <v>SF</v>
      </c>
      <c r="E51" s="4">
        <v>17</v>
      </c>
      <c r="F51" s="13">
        <v>12</v>
      </c>
      <c r="G51" s="14">
        <v>8</v>
      </c>
      <c r="H51" s="14">
        <v>25</v>
      </c>
      <c r="I51" s="14">
        <v>3.1</v>
      </c>
      <c r="J51" s="14">
        <v>0</v>
      </c>
      <c r="K51" s="14">
        <v>0</v>
      </c>
      <c r="L51" s="11" t="str" cm="1">
        <f t="array" ref="L51">IFERROR(_xlfn.XLOOKUP(C51&amp;A51, ESPN!A:A&amp;ESPN!C:C, ESPN!D:D), "N/A")</f>
        <v>N/A</v>
      </c>
      <c r="M51" s="23" t="str" cm="1">
        <f t="array" ref="M51">IFERROR(_xlfn.XLOOKUP(C51&amp;A51, ESPN!A:A&amp;ESPN!C:C, ESPN!G:G), "N/A")</f>
        <v>N/A</v>
      </c>
      <c r="N51" s="23" t="str" cm="1">
        <f t="array" ref="N51">IFERROR(_xlfn.XLOOKUP(C51&amp;A51, ESPN!A:A&amp;ESPN!C:C, ESPN!H:H), "N/A")</f>
        <v>N/A</v>
      </c>
      <c r="O51" s="26" t="str" cm="1">
        <f t="array" ref="O51">IFERROR(_xlfn.XLOOKUP(C51&amp;A51, ESPN!A:A&amp;ESPN!C:C, ESPN!I:I), "N/A")</f>
        <v>N/A</v>
      </c>
      <c r="P51" s="26" t="str" cm="1">
        <f t="array" ref="P51">IFERROR(_xlfn.XLOOKUP(C51&amp;A51, ESPN!A:A&amp;ESPN!C:C, ESPN!J:J), "N/A")</f>
        <v>N/A</v>
      </c>
      <c r="Q51" s="26" t="str" cm="1">
        <f t="array" ref="Q51">IFERROR(_xlfn.XLOOKUP(C51&amp;A51, ESPN!A:A&amp;ESPN!C:C, ESPN!K:K), "N/A")</f>
        <v>N/A</v>
      </c>
    </row>
    <row r="52" spans="1:17" x14ac:dyDescent="0.45">
      <c r="A52" s="6">
        <v>2025</v>
      </c>
      <c r="B52" s="1" t="s">
        <v>54</v>
      </c>
      <c r="C52" s="2" t="str">
        <f t="shared" si="0"/>
        <v>Samaje Perine</v>
      </c>
      <c r="D52" s="2" t="str">
        <f t="shared" si="1"/>
        <v>CIN</v>
      </c>
      <c r="E52" s="2">
        <v>15</v>
      </c>
      <c r="F52" s="12">
        <v>21</v>
      </c>
      <c r="G52" s="11">
        <v>17</v>
      </c>
      <c r="H52" s="11">
        <v>87</v>
      </c>
      <c r="I52" s="11">
        <v>5.0999999999999996</v>
      </c>
      <c r="J52" s="11">
        <v>0</v>
      </c>
      <c r="K52" s="11">
        <v>2</v>
      </c>
      <c r="L52" s="11" t="str" cm="1">
        <f t="array" ref="L52">IFERROR(_xlfn.XLOOKUP(C52&amp;A52, ESPN!A:A&amp;ESPN!C:C, ESPN!D:D), "N/A")</f>
        <v>N/A</v>
      </c>
      <c r="M52" s="23" t="str" cm="1">
        <f t="array" ref="M52">IFERROR(_xlfn.XLOOKUP(C52&amp;A52, ESPN!A:A&amp;ESPN!C:C, ESPN!G:G), "N/A")</f>
        <v>N/A</v>
      </c>
      <c r="N52" s="23" t="str" cm="1">
        <f t="array" ref="N52">IFERROR(_xlfn.XLOOKUP(C52&amp;A52, ESPN!A:A&amp;ESPN!C:C, ESPN!H:H), "N/A")</f>
        <v>N/A</v>
      </c>
      <c r="O52" s="26" t="str" cm="1">
        <f t="array" ref="O52">IFERROR(_xlfn.XLOOKUP(C52&amp;A52, ESPN!A:A&amp;ESPN!C:C, ESPN!I:I), "N/A")</f>
        <v>N/A</v>
      </c>
      <c r="P52" s="26" t="str" cm="1">
        <f t="array" ref="P52">IFERROR(_xlfn.XLOOKUP(C52&amp;A52, ESPN!A:A&amp;ESPN!C:C, ESPN!J:J), "N/A")</f>
        <v>N/A</v>
      </c>
      <c r="Q52" s="26" t="str" cm="1">
        <f t="array" ref="Q52">IFERROR(_xlfn.XLOOKUP(C52&amp;A52, ESPN!A:A&amp;ESPN!C:C, ESPN!K:K), "N/A")</f>
        <v>N/A</v>
      </c>
    </row>
    <row r="53" spans="1:17" x14ac:dyDescent="0.45">
      <c r="A53" s="7">
        <v>2025</v>
      </c>
      <c r="B53" s="3" t="s">
        <v>55</v>
      </c>
      <c r="C53" s="4" t="str">
        <f t="shared" si="0"/>
        <v>Tank Bigsby</v>
      </c>
      <c r="D53" s="4" t="str">
        <f t="shared" si="1"/>
        <v>PHI</v>
      </c>
      <c r="E53" s="4">
        <v>16</v>
      </c>
      <c r="F53" s="13">
        <v>4</v>
      </c>
      <c r="G53" s="14">
        <v>3</v>
      </c>
      <c r="H53" s="14">
        <v>32</v>
      </c>
      <c r="I53" s="14">
        <v>10.7</v>
      </c>
      <c r="J53" s="14">
        <v>0</v>
      </c>
      <c r="K53" s="14">
        <v>0</v>
      </c>
      <c r="L53" s="11" t="str" cm="1">
        <f t="array" ref="L53">IFERROR(_xlfn.XLOOKUP(C53&amp;A53, ESPN!A:A&amp;ESPN!C:C, ESPN!D:D), "N/A")</f>
        <v>N/A</v>
      </c>
      <c r="M53" s="23" t="str" cm="1">
        <f t="array" ref="M53">IFERROR(_xlfn.XLOOKUP(C53&amp;A53, ESPN!A:A&amp;ESPN!C:C, ESPN!G:G), "N/A")</f>
        <v>N/A</v>
      </c>
      <c r="N53" s="23" t="str" cm="1">
        <f t="array" ref="N53">IFERROR(_xlfn.XLOOKUP(C53&amp;A53, ESPN!A:A&amp;ESPN!C:C, ESPN!H:H), "N/A")</f>
        <v>N/A</v>
      </c>
      <c r="O53" s="26" t="str" cm="1">
        <f t="array" ref="O53">IFERROR(_xlfn.XLOOKUP(C53&amp;A53, ESPN!A:A&amp;ESPN!C:C, ESPN!I:I), "N/A")</f>
        <v>N/A</v>
      </c>
      <c r="P53" s="26" t="str" cm="1">
        <f t="array" ref="P53">IFERROR(_xlfn.XLOOKUP(C53&amp;A53, ESPN!A:A&amp;ESPN!C:C, ESPN!J:J), "N/A")</f>
        <v>N/A</v>
      </c>
      <c r="Q53" s="26" t="str" cm="1">
        <f t="array" ref="Q53">IFERROR(_xlfn.XLOOKUP(C53&amp;A53, ESPN!A:A&amp;ESPN!C:C, ESPN!K:K), "N/A")</f>
        <v>N/A</v>
      </c>
    </row>
    <row r="54" spans="1:17" x14ac:dyDescent="0.45">
      <c r="A54" s="6">
        <v>2025</v>
      </c>
      <c r="B54" s="1" t="s">
        <v>56</v>
      </c>
      <c r="C54" s="2" t="str">
        <f t="shared" si="0"/>
        <v>Keaton Mitchell</v>
      </c>
      <c r="D54" s="2" t="str">
        <f t="shared" si="1"/>
        <v>BAL</v>
      </c>
      <c r="E54" s="2">
        <v>13</v>
      </c>
      <c r="F54" s="12">
        <v>12</v>
      </c>
      <c r="G54" s="11">
        <v>9</v>
      </c>
      <c r="H54" s="11">
        <v>63</v>
      </c>
      <c r="I54" s="11">
        <v>7</v>
      </c>
      <c r="J54" s="11">
        <v>0</v>
      </c>
      <c r="K54" s="11">
        <v>0</v>
      </c>
      <c r="L54" s="11" t="str" cm="1">
        <f t="array" ref="L54">IFERROR(_xlfn.XLOOKUP(C54&amp;A54, ESPN!A:A&amp;ESPN!C:C, ESPN!D:D), "N/A")</f>
        <v>N/A</v>
      </c>
      <c r="M54" s="23" t="str" cm="1">
        <f t="array" ref="M54">IFERROR(_xlfn.XLOOKUP(C54&amp;A54, ESPN!A:A&amp;ESPN!C:C, ESPN!G:G), "N/A")</f>
        <v>N/A</v>
      </c>
      <c r="N54" s="23" t="str" cm="1">
        <f t="array" ref="N54">IFERROR(_xlfn.XLOOKUP(C54&amp;A54, ESPN!A:A&amp;ESPN!C:C, ESPN!H:H), "N/A")</f>
        <v>N/A</v>
      </c>
      <c r="O54" s="26" t="str" cm="1">
        <f t="array" ref="O54">IFERROR(_xlfn.XLOOKUP(C54&amp;A54, ESPN!A:A&amp;ESPN!C:C, ESPN!I:I), "N/A")</f>
        <v>N/A</v>
      </c>
      <c r="P54" s="26" t="str" cm="1">
        <f t="array" ref="P54">IFERROR(_xlfn.XLOOKUP(C54&amp;A54, ESPN!A:A&amp;ESPN!C:C, ESPN!J:J), "N/A")</f>
        <v>N/A</v>
      </c>
      <c r="Q54" s="26" t="str" cm="1">
        <f t="array" ref="Q54">IFERROR(_xlfn.XLOOKUP(C54&amp;A54, ESPN!A:A&amp;ESPN!C:C, ESPN!K:K), "N/A")</f>
        <v>N/A</v>
      </c>
    </row>
    <row r="55" spans="1:17" x14ac:dyDescent="0.45">
      <c r="A55" s="7">
        <v>2025</v>
      </c>
      <c r="B55" s="3" t="s">
        <v>57</v>
      </c>
      <c r="C55" s="4" t="str">
        <f t="shared" si="0"/>
        <v>Michael Carter</v>
      </c>
      <c r="D55" s="4" t="str">
        <f t="shared" si="1"/>
        <v>ARI</v>
      </c>
      <c r="E55" s="4">
        <v>13</v>
      </c>
      <c r="F55" s="13">
        <v>45</v>
      </c>
      <c r="G55" s="14">
        <v>33</v>
      </c>
      <c r="H55" s="14">
        <v>267</v>
      </c>
      <c r="I55" s="14">
        <v>8.1</v>
      </c>
      <c r="J55" s="14">
        <v>0</v>
      </c>
      <c r="K55" s="14">
        <v>0</v>
      </c>
      <c r="L55" s="11" cm="1">
        <f t="array" ref="L55">IFERROR(_xlfn.XLOOKUP(C55&amp;A55, ESPN!A:A&amp;ESPN!C:C, ESPN!D:D), "N/A")</f>
        <v>211</v>
      </c>
      <c r="M55" s="23" cm="1">
        <f t="array" ref="M55">IFERROR(_xlfn.XLOOKUP(C55&amp;A55, ESPN!A:A&amp;ESPN!C:C, ESPN!G:G), "N/A")</f>
        <v>1.27</v>
      </c>
      <c r="N55" s="23" cm="1">
        <f t="array" ref="N55">IFERROR(_xlfn.XLOOKUP(C55&amp;A55, ESPN!A:A&amp;ESPN!C:C, ESPN!H:H), "N/A")</f>
        <v>84</v>
      </c>
      <c r="O55" s="26" cm="1">
        <f t="array" ref="O55">IFERROR(_xlfn.XLOOKUP(C55&amp;A55, ESPN!A:A&amp;ESPN!C:C, ESPN!I:I), "N/A")</f>
        <v>65</v>
      </c>
      <c r="P55" s="26" cm="1">
        <f t="array" ref="P55">IFERROR(_xlfn.XLOOKUP(C55&amp;A55, ESPN!A:A&amp;ESPN!C:C, ESPN!J:J), "N/A")</f>
        <v>49</v>
      </c>
      <c r="Q55" s="26" cm="1">
        <f t="array" ref="Q55">IFERROR(_xlfn.XLOOKUP(C55&amp;A55, ESPN!A:A&amp;ESPN!C:C, ESPN!K:K), "N/A")</f>
        <v>69</v>
      </c>
    </row>
    <row r="56" spans="1:17" x14ac:dyDescent="0.45">
      <c r="A56" s="6">
        <v>2025</v>
      </c>
      <c r="B56" s="1" t="s">
        <v>58</v>
      </c>
      <c r="C56" s="2" t="str">
        <f t="shared" si="0"/>
        <v>Sean Tucker</v>
      </c>
      <c r="D56" s="2" t="str">
        <f t="shared" si="1"/>
        <v>TB</v>
      </c>
      <c r="E56" s="2">
        <v>17</v>
      </c>
      <c r="F56" s="12">
        <v>11</v>
      </c>
      <c r="G56" s="11">
        <v>8</v>
      </c>
      <c r="H56" s="11">
        <v>34</v>
      </c>
      <c r="I56" s="11">
        <v>4.3</v>
      </c>
      <c r="J56" s="11">
        <v>1</v>
      </c>
      <c r="K56" s="11">
        <v>0</v>
      </c>
      <c r="L56" s="11" t="str" cm="1">
        <f t="array" ref="L56">IFERROR(_xlfn.XLOOKUP(C56&amp;A56, ESPN!A:A&amp;ESPN!C:C, ESPN!D:D), "N/A")</f>
        <v>N/A</v>
      </c>
      <c r="M56" s="23" t="str" cm="1">
        <f t="array" ref="M56">IFERROR(_xlfn.XLOOKUP(C56&amp;A56, ESPN!A:A&amp;ESPN!C:C, ESPN!G:G), "N/A")</f>
        <v>N/A</v>
      </c>
      <c r="N56" s="23" t="str" cm="1">
        <f t="array" ref="N56">IFERROR(_xlfn.XLOOKUP(C56&amp;A56, ESPN!A:A&amp;ESPN!C:C, ESPN!H:H), "N/A")</f>
        <v>N/A</v>
      </c>
      <c r="O56" s="26" t="str" cm="1">
        <f t="array" ref="O56">IFERROR(_xlfn.XLOOKUP(C56&amp;A56, ESPN!A:A&amp;ESPN!C:C, ESPN!I:I), "N/A")</f>
        <v>N/A</v>
      </c>
      <c r="P56" s="26" t="str" cm="1">
        <f t="array" ref="P56">IFERROR(_xlfn.XLOOKUP(C56&amp;A56, ESPN!A:A&amp;ESPN!C:C, ESPN!J:J), "N/A")</f>
        <v>N/A</v>
      </c>
      <c r="Q56" s="26" t="str" cm="1">
        <f t="array" ref="Q56">IFERROR(_xlfn.XLOOKUP(C56&amp;A56, ESPN!A:A&amp;ESPN!C:C, ESPN!K:K), "N/A")</f>
        <v>N/A</v>
      </c>
    </row>
    <row r="57" spans="1:17" x14ac:dyDescent="0.45">
      <c r="A57" s="7">
        <v>2025</v>
      </c>
      <c r="B57" s="3" t="s">
        <v>59</v>
      </c>
      <c r="C57" s="4" t="str">
        <f t="shared" si="0"/>
        <v>Emari Demercado</v>
      </c>
      <c r="D57" s="4" t="str">
        <f t="shared" si="1"/>
        <v>ARI</v>
      </c>
      <c r="E57" s="4">
        <v>13</v>
      </c>
      <c r="F57" s="13">
        <v>20</v>
      </c>
      <c r="G57" s="14">
        <v>13</v>
      </c>
      <c r="H57" s="14">
        <v>101</v>
      </c>
      <c r="I57" s="14">
        <v>7.8</v>
      </c>
      <c r="J57" s="14">
        <v>1</v>
      </c>
      <c r="K57" s="14">
        <v>1</v>
      </c>
      <c r="L57" s="11" t="str" cm="1">
        <f t="array" ref="L57">IFERROR(_xlfn.XLOOKUP(C57&amp;A57, ESPN!A:A&amp;ESPN!C:C, ESPN!D:D), "N/A")</f>
        <v>N/A</v>
      </c>
      <c r="M57" s="23" t="str" cm="1">
        <f t="array" ref="M57">IFERROR(_xlfn.XLOOKUP(C57&amp;A57, ESPN!A:A&amp;ESPN!C:C, ESPN!G:G), "N/A")</f>
        <v>N/A</v>
      </c>
      <c r="N57" s="23" t="str" cm="1">
        <f t="array" ref="N57">IFERROR(_xlfn.XLOOKUP(C57&amp;A57, ESPN!A:A&amp;ESPN!C:C, ESPN!H:H), "N/A")</f>
        <v>N/A</v>
      </c>
      <c r="O57" s="26" t="str" cm="1">
        <f t="array" ref="O57">IFERROR(_xlfn.XLOOKUP(C57&amp;A57, ESPN!A:A&amp;ESPN!C:C, ESPN!I:I), "N/A")</f>
        <v>N/A</v>
      </c>
      <c r="P57" s="26" t="str" cm="1">
        <f t="array" ref="P57">IFERROR(_xlfn.XLOOKUP(C57&amp;A57, ESPN!A:A&amp;ESPN!C:C, ESPN!J:J), "N/A")</f>
        <v>N/A</v>
      </c>
      <c r="Q57" s="26" t="str" cm="1">
        <f t="array" ref="Q57">IFERROR(_xlfn.XLOOKUP(C57&amp;A57, ESPN!A:A&amp;ESPN!C:C, ESPN!K:K), "N/A")</f>
        <v>N/A</v>
      </c>
    </row>
    <row r="58" spans="1:17" x14ac:dyDescent="0.45">
      <c r="A58" s="6">
        <v>2025</v>
      </c>
      <c r="B58" s="1" t="s">
        <v>60</v>
      </c>
      <c r="C58" s="2" t="str">
        <f t="shared" si="0"/>
        <v>Bhayshul Tuten</v>
      </c>
      <c r="D58" s="2" t="str">
        <f t="shared" si="1"/>
        <v>JAC</v>
      </c>
      <c r="E58" s="2">
        <v>15</v>
      </c>
      <c r="F58" s="12">
        <v>14</v>
      </c>
      <c r="G58" s="11">
        <v>10</v>
      </c>
      <c r="H58" s="11">
        <v>79</v>
      </c>
      <c r="I58" s="11">
        <v>7.9</v>
      </c>
      <c r="J58" s="11">
        <v>2</v>
      </c>
      <c r="K58" s="11">
        <v>1</v>
      </c>
      <c r="L58" s="11" t="str" cm="1">
        <f t="array" ref="L58">IFERROR(_xlfn.XLOOKUP(C58&amp;A58, ESPN!A:A&amp;ESPN!C:C, ESPN!D:D), "N/A")</f>
        <v>N/A</v>
      </c>
      <c r="M58" s="23" t="str" cm="1">
        <f t="array" ref="M58">IFERROR(_xlfn.XLOOKUP(C58&amp;A58, ESPN!A:A&amp;ESPN!C:C, ESPN!G:G), "N/A")</f>
        <v>N/A</v>
      </c>
      <c r="N58" s="23" t="str" cm="1">
        <f t="array" ref="N58">IFERROR(_xlfn.XLOOKUP(C58&amp;A58, ESPN!A:A&amp;ESPN!C:C, ESPN!H:H), "N/A")</f>
        <v>N/A</v>
      </c>
      <c r="O58" s="26" t="str" cm="1">
        <f t="array" ref="O58">IFERROR(_xlfn.XLOOKUP(C58&amp;A58, ESPN!A:A&amp;ESPN!C:C, ESPN!I:I), "N/A")</f>
        <v>N/A</v>
      </c>
      <c r="P58" s="26" t="str" cm="1">
        <f t="array" ref="P58">IFERROR(_xlfn.XLOOKUP(C58&amp;A58, ESPN!A:A&amp;ESPN!C:C, ESPN!J:J), "N/A")</f>
        <v>N/A</v>
      </c>
      <c r="Q58" s="26" t="str" cm="1">
        <f t="array" ref="Q58">IFERROR(_xlfn.XLOOKUP(C58&amp;A58, ESPN!A:A&amp;ESPN!C:C, ESPN!K:K), "N/A")</f>
        <v>N/A</v>
      </c>
    </row>
    <row r="59" spans="1:17" x14ac:dyDescent="0.45">
      <c r="A59" s="7">
        <v>2025</v>
      </c>
      <c r="B59" s="3" t="s">
        <v>61</v>
      </c>
      <c r="C59" s="4" t="str">
        <f t="shared" si="0"/>
        <v>Jaylen Wright</v>
      </c>
      <c r="D59" s="4" t="str">
        <f t="shared" si="1"/>
        <v>MIA</v>
      </c>
      <c r="E59" s="4">
        <v>11</v>
      </c>
      <c r="F59" s="13">
        <v>9</v>
      </c>
      <c r="G59" s="14">
        <v>5</v>
      </c>
      <c r="H59" s="14">
        <v>44</v>
      </c>
      <c r="I59" s="14">
        <v>8.8000000000000007</v>
      </c>
      <c r="J59" s="14">
        <v>0</v>
      </c>
      <c r="K59" s="14">
        <v>1</v>
      </c>
      <c r="L59" s="11" t="str" cm="1">
        <f t="array" ref="L59">IFERROR(_xlfn.XLOOKUP(C59&amp;A59, ESPN!A:A&amp;ESPN!C:C, ESPN!D:D), "N/A")</f>
        <v>N/A</v>
      </c>
      <c r="M59" s="23" t="str" cm="1">
        <f t="array" ref="M59">IFERROR(_xlfn.XLOOKUP(C59&amp;A59, ESPN!A:A&amp;ESPN!C:C, ESPN!G:G), "N/A")</f>
        <v>N/A</v>
      </c>
      <c r="N59" s="23" t="str" cm="1">
        <f t="array" ref="N59">IFERROR(_xlfn.XLOOKUP(C59&amp;A59, ESPN!A:A&amp;ESPN!C:C, ESPN!H:H), "N/A")</f>
        <v>N/A</v>
      </c>
      <c r="O59" s="26" t="str" cm="1">
        <f t="array" ref="O59">IFERROR(_xlfn.XLOOKUP(C59&amp;A59, ESPN!A:A&amp;ESPN!C:C, ESPN!I:I), "N/A")</f>
        <v>N/A</v>
      </c>
      <c r="P59" s="26" t="str" cm="1">
        <f t="array" ref="P59">IFERROR(_xlfn.XLOOKUP(C59&amp;A59, ESPN!A:A&amp;ESPN!C:C, ESPN!J:J), "N/A")</f>
        <v>N/A</v>
      </c>
      <c r="Q59" s="26" t="str" cm="1">
        <f t="array" ref="Q59">IFERROR(_xlfn.XLOOKUP(C59&amp;A59, ESPN!A:A&amp;ESPN!C:C, ESPN!K:K), "N/A")</f>
        <v>N/A</v>
      </c>
    </row>
    <row r="60" spans="1:17" x14ac:dyDescent="0.45">
      <c r="A60" s="6">
        <v>2025</v>
      </c>
      <c r="B60" s="1" t="s">
        <v>62</v>
      </c>
      <c r="C60" s="2" t="str">
        <f t="shared" si="0"/>
        <v>Tyjae Spears</v>
      </c>
      <c r="D60" s="2" t="str">
        <f t="shared" si="1"/>
        <v>TEN</v>
      </c>
      <c r="E60" s="2">
        <v>13</v>
      </c>
      <c r="F60" s="12">
        <v>50</v>
      </c>
      <c r="G60" s="11">
        <v>45</v>
      </c>
      <c r="H60" s="11">
        <v>264</v>
      </c>
      <c r="I60" s="11">
        <v>5.9</v>
      </c>
      <c r="J60" s="11">
        <v>0</v>
      </c>
      <c r="K60" s="11">
        <v>0</v>
      </c>
      <c r="L60" s="11" cm="1">
        <f t="array" ref="L60">IFERROR(_xlfn.XLOOKUP(C60&amp;A60, ESPN!A:A&amp;ESPN!C:C, ESPN!D:D), "N/A")</f>
        <v>168</v>
      </c>
      <c r="M60" s="23" cm="1">
        <f t="array" ref="M60">IFERROR(_xlfn.XLOOKUP(C60&amp;A60, ESPN!A:A&amp;ESPN!C:C, ESPN!G:G), "N/A")</f>
        <v>1.57</v>
      </c>
      <c r="N60" s="23" cm="1">
        <f t="array" ref="N60">IFERROR(_xlfn.XLOOKUP(C60&amp;A60, ESPN!A:A&amp;ESPN!C:C, ESPN!H:H), "N/A")</f>
        <v>79</v>
      </c>
      <c r="O60" s="26" cm="1">
        <f t="array" ref="O60">IFERROR(_xlfn.XLOOKUP(C60&amp;A60, ESPN!A:A&amp;ESPN!C:C, ESPN!I:I), "N/A")</f>
        <v>88</v>
      </c>
      <c r="P60" s="26" cm="1">
        <f t="array" ref="P60">IFERROR(_xlfn.XLOOKUP(C60&amp;A60, ESPN!A:A&amp;ESPN!C:C, ESPN!J:J), "N/A")</f>
        <v>53</v>
      </c>
      <c r="Q60" s="26" cm="1">
        <f t="array" ref="Q60">IFERROR(_xlfn.XLOOKUP(C60&amp;A60, ESPN!A:A&amp;ESPN!C:C, ESPN!K:K), "N/A")</f>
        <v>81</v>
      </c>
    </row>
    <row r="61" spans="1:17" x14ac:dyDescent="0.45">
      <c r="A61" s="7">
        <v>2025</v>
      </c>
      <c r="B61" s="3" t="s">
        <v>63</v>
      </c>
      <c r="C61" s="4" t="str">
        <f t="shared" si="0"/>
        <v>Ray Davis</v>
      </c>
      <c r="D61" s="4" t="str">
        <f t="shared" si="1"/>
        <v>BUF</v>
      </c>
      <c r="E61" s="4">
        <v>17</v>
      </c>
      <c r="F61" s="13">
        <v>13</v>
      </c>
      <c r="G61" s="14">
        <v>10</v>
      </c>
      <c r="H61" s="14">
        <v>86</v>
      </c>
      <c r="I61" s="14">
        <v>8.6</v>
      </c>
      <c r="J61" s="14">
        <v>2</v>
      </c>
      <c r="K61" s="14">
        <v>0</v>
      </c>
      <c r="L61" s="11" t="str" cm="1">
        <f t="array" ref="L61">IFERROR(_xlfn.XLOOKUP(C61&amp;A61, ESPN!A:A&amp;ESPN!C:C, ESPN!D:D), "N/A")</f>
        <v>N/A</v>
      </c>
      <c r="M61" s="23" t="str" cm="1">
        <f t="array" ref="M61">IFERROR(_xlfn.XLOOKUP(C61&amp;A61, ESPN!A:A&amp;ESPN!C:C, ESPN!G:G), "N/A")</f>
        <v>N/A</v>
      </c>
      <c r="N61" s="23" t="str" cm="1">
        <f t="array" ref="N61">IFERROR(_xlfn.XLOOKUP(C61&amp;A61, ESPN!A:A&amp;ESPN!C:C, ESPN!H:H), "N/A")</f>
        <v>N/A</v>
      </c>
      <c r="O61" s="26" t="str" cm="1">
        <f t="array" ref="O61">IFERROR(_xlfn.XLOOKUP(C61&amp;A61, ESPN!A:A&amp;ESPN!C:C, ESPN!I:I), "N/A")</f>
        <v>N/A</v>
      </c>
      <c r="P61" s="26" t="str" cm="1">
        <f t="array" ref="P61">IFERROR(_xlfn.XLOOKUP(C61&amp;A61, ESPN!A:A&amp;ESPN!C:C, ESPN!J:J), "N/A")</f>
        <v>N/A</v>
      </c>
      <c r="Q61" s="26" t="str" cm="1">
        <f t="array" ref="Q61">IFERROR(_xlfn.XLOOKUP(C61&amp;A61, ESPN!A:A&amp;ESPN!C:C, ESPN!K:K), "N/A")</f>
        <v>N/A</v>
      </c>
    </row>
    <row r="62" spans="1:17" x14ac:dyDescent="0.45">
      <c r="A62" s="6">
        <v>2025</v>
      </c>
      <c r="B62" s="1" t="s">
        <v>64</v>
      </c>
      <c r="C62" s="2" t="str">
        <f t="shared" si="0"/>
        <v>Bam Knight</v>
      </c>
      <c r="D62" s="2" t="str">
        <f t="shared" si="1"/>
        <v>ARI</v>
      </c>
      <c r="E62" s="2">
        <v>12</v>
      </c>
      <c r="F62" s="12">
        <v>31</v>
      </c>
      <c r="G62" s="11">
        <v>22</v>
      </c>
      <c r="H62" s="11">
        <v>160</v>
      </c>
      <c r="I62" s="11">
        <v>7.3</v>
      </c>
      <c r="J62" s="11">
        <v>1</v>
      </c>
      <c r="K62" s="11">
        <v>1</v>
      </c>
      <c r="L62" s="11" cm="1">
        <f t="array" ref="L62">IFERROR(_xlfn.XLOOKUP(C62&amp;A62, ESPN!A:A&amp;ESPN!C:C, ESPN!D:D), "N/A")</f>
        <v>112</v>
      </c>
      <c r="M62" s="23" cm="1">
        <f t="array" ref="M62">IFERROR(_xlfn.XLOOKUP(C62&amp;A62, ESPN!A:A&amp;ESPN!C:C, ESPN!G:G), "N/A")</f>
        <v>1.43</v>
      </c>
      <c r="N62" s="23" cm="1">
        <f t="array" ref="N62">IFERROR(_xlfn.XLOOKUP(C62&amp;A62, ESPN!A:A&amp;ESPN!C:C, ESPN!H:H), "N/A")</f>
        <v>73</v>
      </c>
      <c r="O62" s="26" cm="1">
        <f t="array" ref="O62">IFERROR(_xlfn.XLOOKUP(C62&amp;A62, ESPN!A:A&amp;ESPN!C:C, ESPN!I:I), "N/A")</f>
        <v>64</v>
      </c>
      <c r="P62" s="26" cm="1">
        <f t="array" ref="P62">IFERROR(_xlfn.XLOOKUP(C62&amp;A62, ESPN!A:A&amp;ESPN!C:C, ESPN!J:J), "N/A")</f>
        <v>30</v>
      </c>
      <c r="Q62" s="26" cm="1">
        <f t="array" ref="Q62">IFERROR(_xlfn.XLOOKUP(C62&amp;A62, ESPN!A:A&amp;ESPN!C:C, ESPN!K:K), "N/A")</f>
        <v>48</v>
      </c>
    </row>
    <row r="63" spans="1:17" x14ac:dyDescent="0.45">
      <c r="A63" s="7">
        <v>2025</v>
      </c>
      <c r="B63" s="3" t="s">
        <v>65</v>
      </c>
      <c r="C63" s="4" t="str">
        <f t="shared" si="0"/>
        <v>Malik Davis</v>
      </c>
      <c r="D63" s="4" t="str">
        <f t="shared" si="1"/>
        <v>DAL</v>
      </c>
      <c r="E63" s="4">
        <v>10</v>
      </c>
      <c r="F63" s="13">
        <v>5</v>
      </c>
      <c r="G63" s="14">
        <v>2</v>
      </c>
      <c r="H63" s="14">
        <v>16</v>
      </c>
      <c r="I63" s="14">
        <v>8</v>
      </c>
      <c r="J63" s="14">
        <v>0</v>
      </c>
      <c r="K63" s="14">
        <v>0</v>
      </c>
      <c r="L63" s="11" t="str" cm="1">
        <f t="array" ref="L63">IFERROR(_xlfn.XLOOKUP(C63&amp;A63, ESPN!A:A&amp;ESPN!C:C, ESPN!D:D), "N/A")</f>
        <v>N/A</v>
      </c>
      <c r="M63" s="23" t="str" cm="1">
        <f t="array" ref="M63">IFERROR(_xlfn.XLOOKUP(C63&amp;A63, ESPN!A:A&amp;ESPN!C:C, ESPN!G:G), "N/A")</f>
        <v>N/A</v>
      </c>
      <c r="N63" s="23" t="str" cm="1">
        <f t="array" ref="N63">IFERROR(_xlfn.XLOOKUP(C63&amp;A63, ESPN!A:A&amp;ESPN!C:C, ESPN!H:H), "N/A")</f>
        <v>N/A</v>
      </c>
      <c r="O63" s="26" t="str" cm="1">
        <f t="array" ref="O63">IFERROR(_xlfn.XLOOKUP(C63&amp;A63, ESPN!A:A&amp;ESPN!C:C, ESPN!I:I), "N/A")</f>
        <v>N/A</v>
      </c>
      <c r="P63" s="26" t="str" cm="1">
        <f t="array" ref="P63">IFERROR(_xlfn.XLOOKUP(C63&amp;A63, ESPN!A:A&amp;ESPN!C:C, ESPN!J:J), "N/A")</f>
        <v>N/A</v>
      </c>
      <c r="Q63" s="26" t="str" cm="1">
        <f t="array" ref="Q63">IFERROR(_xlfn.XLOOKUP(C63&amp;A63, ESPN!A:A&amp;ESPN!C:C, ESPN!K:K), "N/A")</f>
        <v>N/A</v>
      </c>
    </row>
    <row r="64" spans="1:17" x14ac:dyDescent="0.45">
      <c r="A64" s="6">
        <v>2025</v>
      </c>
      <c r="B64" s="1" t="s">
        <v>66</v>
      </c>
      <c r="C64" s="2" t="str">
        <f t="shared" si="0"/>
        <v>Isaiah Davis</v>
      </c>
      <c r="D64" s="2" t="str">
        <f t="shared" si="1"/>
        <v>NYJ</v>
      </c>
      <c r="E64" s="2">
        <v>16</v>
      </c>
      <c r="F64" s="12">
        <v>28</v>
      </c>
      <c r="G64" s="11">
        <v>21</v>
      </c>
      <c r="H64" s="11">
        <v>186</v>
      </c>
      <c r="I64" s="11">
        <v>8.9</v>
      </c>
      <c r="J64" s="11">
        <v>0</v>
      </c>
      <c r="K64" s="11">
        <v>0</v>
      </c>
      <c r="L64" s="11" cm="1">
        <f t="array" ref="L64">IFERROR(_xlfn.XLOOKUP(C64&amp;A64, ESPN!A:A&amp;ESPN!C:C, ESPN!D:D), "N/A")</f>
        <v>141</v>
      </c>
      <c r="M64" s="23" cm="1">
        <f t="array" ref="M64">IFERROR(_xlfn.XLOOKUP(C64&amp;A64, ESPN!A:A&amp;ESPN!C:C, ESPN!G:G), "N/A")</f>
        <v>1.32</v>
      </c>
      <c r="N64" s="23" cm="1">
        <f t="array" ref="N64">IFERROR(_xlfn.XLOOKUP(C64&amp;A64, ESPN!A:A&amp;ESPN!C:C, ESPN!H:H), "N/A")</f>
        <v>55</v>
      </c>
      <c r="O64" s="26" cm="1">
        <f t="array" ref="O64">IFERROR(_xlfn.XLOOKUP(C64&amp;A64, ESPN!A:A&amp;ESPN!C:C, ESPN!I:I), "N/A")</f>
        <v>67</v>
      </c>
      <c r="P64" s="26" cm="1">
        <f t="array" ref="P64">IFERROR(_xlfn.XLOOKUP(C64&amp;A64, ESPN!A:A&amp;ESPN!C:C, ESPN!J:J), "N/A")</f>
        <v>37</v>
      </c>
      <c r="Q64" s="26" cm="1">
        <f t="array" ref="Q64">IFERROR(_xlfn.XLOOKUP(C64&amp;A64, ESPN!A:A&amp;ESPN!C:C, ESPN!K:K), "N/A")</f>
        <v>49</v>
      </c>
    </row>
    <row r="65" spans="1:17" x14ac:dyDescent="0.45">
      <c r="A65" s="7">
        <v>2025</v>
      </c>
      <c r="B65" s="3" t="s">
        <v>67</v>
      </c>
      <c r="C65" s="4" t="str">
        <f t="shared" si="0"/>
        <v>Jeremy McNichols</v>
      </c>
      <c r="D65" s="4" t="str">
        <f t="shared" si="1"/>
        <v>WAS</v>
      </c>
      <c r="E65" s="4">
        <v>17</v>
      </c>
      <c r="F65" s="13">
        <v>31</v>
      </c>
      <c r="G65" s="14">
        <v>25</v>
      </c>
      <c r="H65" s="14">
        <v>196</v>
      </c>
      <c r="I65" s="14">
        <v>7.8</v>
      </c>
      <c r="J65" s="14">
        <v>0</v>
      </c>
      <c r="K65" s="14">
        <v>1</v>
      </c>
      <c r="L65" s="11" cm="1">
        <f t="array" ref="L65">IFERROR(_xlfn.XLOOKUP(C65&amp;A65, ESPN!A:A&amp;ESPN!C:C, ESPN!D:D), "N/A")</f>
        <v>168</v>
      </c>
      <c r="M65" s="23" cm="1">
        <f t="array" ref="M65">IFERROR(_xlfn.XLOOKUP(C65&amp;A65, ESPN!A:A&amp;ESPN!C:C, ESPN!G:G), "N/A")</f>
        <v>1.17</v>
      </c>
      <c r="N65" s="23" cm="1">
        <f t="array" ref="N65">IFERROR(_xlfn.XLOOKUP(C65&amp;A65, ESPN!A:A&amp;ESPN!C:C, ESPN!H:H), "N/A")</f>
        <v>87</v>
      </c>
      <c r="O65" s="26" cm="1">
        <f t="array" ref="O65">IFERROR(_xlfn.XLOOKUP(C65&amp;A65, ESPN!A:A&amp;ESPN!C:C, ESPN!I:I), "N/A")</f>
        <v>68</v>
      </c>
      <c r="P65" s="26" cm="1">
        <f t="array" ref="P65">IFERROR(_xlfn.XLOOKUP(C65&amp;A65, ESPN!A:A&amp;ESPN!C:C, ESPN!J:J), "N/A")</f>
        <v>52</v>
      </c>
      <c r="Q65" s="26" cm="1">
        <f t="array" ref="Q65">IFERROR(_xlfn.XLOOKUP(C65&amp;A65, ESPN!A:A&amp;ESPN!C:C, ESPN!K:K), "N/A")</f>
        <v>74</v>
      </c>
    </row>
    <row r="66" spans="1:17" x14ac:dyDescent="0.45">
      <c r="A66" s="6">
        <v>2025</v>
      </c>
      <c r="B66" s="1" t="s">
        <v>68</v>
      </c>
      <c r="C66" s="2" t="str">
        <f t="shared" ref="C66:C129" si="2">TRIM(LEFT(B66, LEN(B66) - LEN(TRIM(RIGHT(SUBSTITUTE(TRIM(B66)," ",REPT(" ",100)),100)))))</f>
        <v>Devin Neal</v>
      </c>
      <c r="D66" s="2" t="str">
        <f t="shared" ref="D66:D129" si="3">MID(B66, FIND("(", B66) + 1, FIND(")", B66) - FIND("(", B66) - 1)</f>
        <v>NO</v>
      </c>
      <c r="E66" s="2">
        <v>9</v>
      </c>
      <c r="F66" s="12">
        <v>19</v>
      </c>
      <c r="G66" s="11">
        <v>17</v>
      </c>
      <c r="H66" s="11">
        <v>104</v>
      </c>
      <c r="I66" s="11">
        <v>6.1</v>
      </c>
      <c r="J66" s="11">
        <v>0</v>
      </c>
      <c r="K66" s="11">
        <v>0</v>
      </c>
      <c r="L66" s="11" t="str" cm="1">
        <f t="array" ref="L66">IFERROR(_xlfn.XLOOKUP(C66&amp;A66, ESPN!A:A&amp;ESPN!C:C, ESPN!D:D), "N/A")</f>
        <v>N/A</v>
      </c>
      <c r="M66" s="23" t="str" cm="1">
        <f t="array" ref="M66">IFERROR(_xlfn.XLOOKUP(C66&amp;A66, ESPN!A:A&amp;ESPN!C:C, ESPN!G:G), "N/A")</f>
        <v>N/A</v>
      </c>
      <c r="N66" s="23" t="str" cm="1">
        <f t="array" ref="N66">IFERROR(_xlfn.XLOOKUP(C66&amp;A66, ESPN!A:A&amp;ESPN!C:C, ESPN!H:H), "N/A")</f>
        <v>N/A</v>
      </c>
      <c r="O66" s="26" t="str" cm="1">
        <f t="array" ref="O66">IFERROR(_xlfn.XLOOKUP(C66&amp;A66, ESPN!A:A&amp;ESPN!C:C, ESPN!I:I), "N/A")</f>
        <v>N/A</v>
      </c>
      <c r="P66" s="26" t="str" cm="1">
        <f t="array" ref="P66">IFERROR(_xlfn.XLOOKUP(C66&amp;A66, ESPN!A:A&amp;ESPN!C:C, ESPN!J:J), "N/A")</f>
        <v>N/A</v>
      </c>
      <c r="Q66" s="26" t="str" cm="1">
        <f t="array" ref="Q66">IFERROR(_xlfn.XLOOKUP(C66&amp;A66, ESPN!A:A&amp;ESPN!C:C, ESPN!K:K), "N/A")</f>
        <v>N/A</v>
      </c>
    </row>
    <row r="67" spans="1:17" x14ac:dyDescent="0.45">
      <c r="A67" s="7">
        <v>2025</v>
      </c>
      <c r="B67" s="3" t="s">
        <v>69</v>
      </c>
      <c r="C67" s="4" t="str">
        <f t="shared" si="2"/>
        <v>Ty Johnson</v>
      </c>
      <c r="D67" s="4" t="str">
        <f t="shared" si="3"/>
        <v>BUF</v>
      </c>
      <c r="E67" s="4">
        <v>17</v>
      </c>
      <c r="F67" s="13">
        <v>33</v>
      </c>
      <c r="G67" s="14">
        <v>24</v>
      </c>
      <c r="H67" s="14">
        <v>263</v>
      </c>
      <c r="I67" s="14">
        <v>11</v>
      </c>
      <c r="J67" s="14">
        <v>2</v>
      </c>
      <c r="K67" s="14">
        <v>0</v>
      </c>
      <c r="L67" s="11" t="str" cm="1">
        <f t="array" ref="L67">IFERROR(_xlfn.XLOOKUP(C67&amp;A67, ESPN!A:A&amp;ESPN!C:C, ESPN!D:D), "N/A")</f>
        <v>N/A</v>
      </c>
      <c r="M67" s="23" t="str" cm="1">
        <f t="array" ref="M67">IFERROR(_xlfn.XLOOKUP(C67&amp;A67, ESPN!A:A&amp;ESPN!C:C, ESPN!G:G), "N/A")</f>
        <v>N/A</v>
      </c>
      <c r="N67" s="23" t="str" cm="1">
        <f t="array" ref="N67">IFERROR(_xlfn.XLOOKUP(C67&amp;A67, ESPN!A:A&amp;ESPN!C:C, ESPN!H:H), "N/A")</f>
        <v>N/A</v>
      </c>
      <c r="O67" s="26" t="str" cm="1">
        <f t="array" ref="O67">IFERROR(_xlfn.XLOOKUP(C67&amp;A67, ESPN!A:A&amp;ESPN!C:C, ESPN!I:I), "N/A")</f>
        <v>N/A</v>
      </c>
      <c r="P67" s="26" t="str" cm="1">
        <f t="array" ref="P67">IFERROR(_xlfn.XLOOKUP(C67&amp;A67, ESPN!A:A&amp;ESPN!C:C, ESPN!J:J), "N/A")</f>
        <v>N/A</v>
      </c>
      <c r="Q67" s="26" t="str" cm="1">
        <f t="array" ref="Q67">IFERROR(_xlfn.XLOOKUP(C67&amp;A67, ESPN!A:A&amp;ESPN!C:C, ESPN!K:K), "N/A")</f>
        <v>N/A</v>
      </c>
    </row>
    <row r="68" spans="1:17" x14ac:dyDescent="0.45">
      <c r="A68" s="6">
        <v>2025</v>
      </c>
      <c r="B68" s="1" t="s">
        <v>70</v>
      </c>
      <c r="C68" s="2" t="str">
        <f t="shared" si="2"/>
        <v>Ollie Gordon II</v>
      </c>
      <c r="D68" s="2" t="str">
        <f t="shared" si="3"/>
        <v>MIA</v>
      </c>
      <c r="E68" s="2">
        <v>17</v>
      </c>
      <c r="F68" s="12">
        <v>9</v>
      </c>
      <c r="G68" s="11">
        <v>7</v>
      </c>
      <c r="H68" s="11">
        <v>32</v>
      </c>
      <c r="I68" s="11">
        <v>4.5999999999999996</v>
      </c>
      <c r="J68" s="11">
        <v>1</v>
      </c>
      <c r="K68" s="11">
        <v>0</v>
      </c>
      <c r="L68" s="11" t="str" cm="1">
        <f t="array" ref="L68">IFERROR(_xlfn.XLOOKUP(C68&amp;A68, ESPN!A:A&amp;ESPN!C:C, ESPN!D:D), "N/A")</f>
        <v>N/A</v>
      </c>
      <c r="M68" s="23" t="str" cm="1">
        <f t="array" ref="M68">IFERROR(_xlfn.XLOOKUP(C68&amp;A68, ESPN!A:A&amp;ESPN!C:C, ESPN!G:G), "N/A")</f>
        <v>N/A</v>
      </c>
      <c r="N68" s="23" t="str" cm="1">
        <f t="array" ref="N68">IFERROR(_xlfn.XLOOKUP(C68&amp;A68, ESPN!A:A&amp;ESPN!C:C, ESPN!H:H), "N/A")</f>
        <v>N/A</v>
      </c>
      <c r="O68" s="26" t="str" cm="1">
        <f t="array" ref="O68">IFERROR(_xlfn.XLOOKUP(C68&amp;A68, ESPN!A:A&amp;ESPN!C:C, ESPN!I:I), "N/A")</f>
        <v>N/A</v>
      </c>
      <c r="P68" s="26" t="str" cm="1">
        <f t="array" ref="P68">IFERROR(_xlfn.XLOOKUP(C68&amp;A68, ESPN!A:A&amp;ESPN!C:C, ESPN!J:J), "N/A")</f>
        <v>N/A</v>
      </c>
      <c r="Q68" s="26" t="str" cm="1">
        <f t="array" ref="Q68">IFERROR(_xlfn.XLOOKUP(C68&amp;A68, ESPN!A:A&amp;ESPN!C:C, ESPN!K:K), "N/A")</f>
        <v>N/A</v>
      </c>
    </row>
    <row r="69" spans="1:17" x14ac:dyDescent="0.45">
      <c r="A69" s="7">
        <v>2025</v>
      </c>
      <c r="B69" s="3" t="s">
        <v>71</v>
      </c>
      <c r="C69" s="4" t="str">
        <f t="shared" si="2"/>
        <v>Audric Estime</v>
      </c>
      <c r="D69" s="4" t="str">
        <f t="shared" si="3"/>
        <v>NO</v>
      </c>
      <c r="E69" s="4">
        <v>7</v>
      </c>
      <c r="F69" s="13">
        <v>13</v>
      </c>
      <c r="G69" s="14">
        <v>12</v>
      </c>
      <c r="H69" s="14">
        <v>103</v>
      </c>
      <c r="I69" s="14">
        <v>8.6</v>
      </c>
      <c r="J69" s="14">
        <v>0</v>
      </c>
      <c r="K69" s="14">
        <v>0</v>
      </c>
      <c r="L69" s="11" t="str" cm="1">
        <f t="array" ref="L69">IFERROR(_xlfn.XLOOKUP(C69&amp;A69, ESPN!A:A&amp;ESPN!C:C, ESPN!D:D), "N/A")</f>
        <v>N/A</v>
      </c>
      <c r="M69" s="23" t="str" cm="1">
        <f t="array" ref="M69">IFERROR(_xlfn.XLOOKUP(C69&amp;A69, ESPN!A:A&amp;ESPN!C:C, ESPN!G:G), "N/A")</f>
        <v>N/A</v>
      </c>
      <c r="N69" s="23" t="str" cm="1">
        <f t="array" ref="N69">IFERROR(_xlfn.XLOOKUP(C69&amp;A69, ESPN!A:A&amp;ESPN!C:C, ESPN!H:H), "N/A")</f>
        <v>N/A</v>
      </c>
      <c r="O69" s="26" t="str" cm="1">
        <f t="array" ref="O69">IFERROR(_xlfn.XLOOKUP(C69&amp;A69, ESPN!A:A&amp;ESPN!C:C, ESPN!I:I), "N/A")</f>
        <v>N/A</v>
      </c>
      <c r="P69" s="26" t="str" cm="1">
        <f t="array" ref="P69">IFERROR(_xlfn.XLOOKUP(C69&amp;A69, ESPN!A:A&amp;ESPN!C:C, ESPN!J:J), "N/A")</f>
        <v>N/A</v>
      </c>
      <c r="Q69" s="26" t="str" cm="1">
        <f t="array" ref="Q69">IFERROR(_xlfn.XLOOKUP(C69&amp;A69, ESPN!A:A&amp;ESPN!C:C, ESPN!K:K), "N/A")</f>
        <v>N/A</v>
      </c>
    </row>
    <row r="70" spans="1:17" x14ac:dyDescent="0.45">
      <c r="A70" s="6">
        <v>2025</v>
      </c>
      <c r="B70" s="1" t="s">
        <v>72</v>
      </c>
      <c r="C70" s="2" t="str">
        <f t="shared" si="2"/>
        <v>Kendre Miller</v>
      </c>
      <c r="D70" s="2" t="str">
        <f t="shared" si="3"/>
        <v>NO</v>
      </c>
      <c r="E70" s="2">
        <v>7</v>
      </c>
      <c r="F70" s="12">
        <v>5</v>
      </c>
      <c r="G70" s="11">
        <v>5</v>
      </c>
      <c r="H70" s="11">
        <v>30</v>
      </c>
      <c r="I70" s="11">
        <v>6</v>
      </c>
      <c r="J70" s="11">
        <v>0</v>
      </c>
      <c r="K70" s="11">
        <v>0</v>
      </c>
      <c r="L70" s="11" t="str" cm="1">
        <f t="array" ref="L70">IFERROR(_xlfn.XLOOKUP(C70&amp;A70, ESPN!A:A&amp;ESPN!C:C, ESPN!D:D), "N/A")</f>
        <v>N/A</v>
      </c>
      <c r="M70" s="23" t="str" cm="1">
        <f t="array" ref="M70">IFERROR(_xlfn.XLOOKUP(C70&amp;A70, ESPN!A:A&amp;ESPN!C:C, ESPN!G:G), "N/A")</f>
        <v>N/A</v>
      </c>
      <c r="N70" s="23" t="str" cm="1">
        <f t="array" ref="N70">IFERROR(_xlfn.XLOOKUP(C70&amp;A70, ESPN!A:A&amp;ESPN!C:C, ESPN!H:H), "N/A")</f>
        <v>N/A</v>
      </c>
      <c r="O70" s="26" t="str" cm="1">
        <f t="array" ref="O70">IFERROR(_xlfn.XLOOKUP(C70&amp;A70, ESPN!A:A&amp;ESPN!C:C, ESPN!I:I), "N/A")</f>
        <v>N/A</v>
      </c>
      <c r="P70" s="26" t="str" cm="1">
        <f t="array" ref="P70">IFERROR(_xlfn.XLOOKUP(C70&amp;A70, ESPN!A:A&amp;ESPN!C:C, ESPN!J:J), "N/A")</f>
        <v>N/A</v>
      </c>
      <c r="Q70" s="26" t="str" cm="1">
        <f t="array" ref="Q70">IFERROR(_xlfn.XLOOKUP(C70&amp;A70, ESPN!A:A&amp;ESPN!C:C, ESPN!K:K), "N/A")</f>
        <v>N/A</v>
      </c>
    </row>
    <row r="71" spans="1:17" x14ac:dyDescent="0.45">
      <c r="A71" s="7">
        <v>2025</v>
      </c>
      <c r="B71" s="3" t="s">
        <v>73</v>
      </c>
      <c r="C71" s="4" t="str">
        <f t="shared" si="2"/>
        <v>Jawhar Jordan</v>
      </c>
      <c r="D71" s="4" t="str">
        <f t="shared" si="3"/>
        <v>HOU</v>
      </c>
      <c r="E71" s="4">
        <v>4</v>
      </c>
      <c r="F71" s="13">
        <v>7</v>
      </c>
      <c r="G71" s="14">
        <v>7</v>
      </c>
      <c r="H71" s="14">
        <v>34</v>
      </c>
      <c r="I71" s="14">
        <v>4.9000000000000004</v>
      </c>
      <c r="J71" s="14">
        <v>0</v>
      </c>
      <c r="K71" s="14">
        <v>0</v>
      </c>
      <c r="L71" s="11" t="str" cm="1">
        <f t="array" ref="L71">IFERROR(_xlfn.XLOOKUP(C71&amp;A71, ESPN!A:A&amp;ESPN!C:C, ESPN!D:D), "N/A")</f>
        <v>N/A</v>
      </c>
      <c r="M71" s="23" t="str" cm="1">
        <f t="array" ref="M71">IFERROR(_xlfn.XLOOKUP(C71&amp;A71, ESPN!A:A&amp;ESPN!C:C, ESPN!G:G), "N/A")</f>
        <v>N/A</v>
      </c>
      <c r="N71" s="23" t="str" cm="1">
        <f t="array" ref="N71">IFERROR(_xlfn.XLOOKUP(C71&amp;A71, ESPN!A:A&amp;ESPN!C:C, ESPN!H:H), "N/A")</f>
        <v>N/A</v>
      </c>
      <c r="O71" s="26" t="str" cm="1">
        <f t="array" ref="O71">IFERROR(_xlfn.XLOOKUP(C71&amp;A71, ESPN!A:A&amp;ESPN!C:C, ESPN!I:I), "N/A")</f>
        <v>N/A</v>
      </c>
      <c r="P71" s="26" t="str" cm="1">
        <f t="array" ref="P71">IFERROR(_xlfn.XLOOKUP(C71&amp;A71, ESPN!A:A&amp;ESPN!C:C, ESPN!J:J), "N/A")</f>
        <v>N/A</v>
      </c>
      <c r="Q71" s="26" t="str" cm="1">
        <f t="array" ref="Q71">IFERROR(_xlfn.XLOOKUP(C71&amp;A71, ESPN!A:A&amp;ESPN!C:C, ESPN!K:K), "N/A")</f>
        <v>N/A</v>
      </c>
    </row>
    <row r="72" spans="1:17" x14ac:dyDescent="0.45">
      <c r="A72" s="6">
        <v>2025</v>
      </c>
      <c r="B72" s="1" t="s">
        <v>74</v>
      </c>
      <c r="C72" s="2" t="str">
        <f t="shared" si="2"/>
        <v>Jaleel McLaughlin</v>
      </c>
      <c r="D72" s="2" t="str">
        <f t="shared" si="3"/>
        <v>DEN</v>
      </c>
      <c r="E72" s="2">
        <v>8</v>
      </c>
      <c r="F72" s="12">
        <v>6</v>
      </c>
      <c r="G72" s="11">
        <v>4</v>
      </c>
      <c r="H72" s="11">
        <v>27</v>
      </c>
      <c r="I72" s="11">
        <v>6.8</v>
      </c>
      <c r="J72" s="11">
        <v>0</v>
      </c>
      <c r="K72" s="11">
        <v>0</v>
      </c>
      <c r="L72" s="11" t="str" cm="1">
        <f t="array" ref="L72">IFERROR(_xlfn.XLOOKUP(C72&amp;A72, ESPN!A:A&amp;ESPN!C:C, ESPN!D:D), "N/A")</f>
        <v>N/A</v>
      </c>
      <c r="M72" s="23" t="str" cm="1">
        <f t="array" ref="M72">IFERROR(_xlfn.XLOOKUP(C72&amp;A72, ESPN!A:A&amp;ESPN!C:C, ESPN!G:G), "N/A")</f>
        <v>N/A</v>
      </c>
      <c r="N72" s="23" t="str" cm="1">
        <f t="array" ref="N72">IFERROR(_xlfn.XLOOKUP(C72&amp;A72, ESPN!A:A&amp;ESPN!C:C, ESPN!H:H), "N/A")</f>
        <v>N/A</v>
      </c>
      <c r="O72" s="26" t="str" cm="1">
        <f t="array" ref="O72">IFERROR(_xlfn.XLOOKUP(C72&amp;A72, ESPN!A:A&amp;ESPN!C:C, ESPN!I:I), "N/A")</f>
        <v>N/A</v>
      </c>
      <c r="P72" s="26" t="str" cm="1">
        <f t="array" ref="P72">IFERROR(_xlfn.XLOOKUP(C72&amp;A72, ESPN!A:A&amp;ESPN!C:C, ESPN!J:J), "N/A")</f>
        <v>N/A</v>
      </c>
      <c r="Q72" s="26" t="str" cm="1">
        <f t="array" ref="Q72">IFERROR(_xlfn.XLOOKUP(C72&amp;A72, ESPN!A:A&amp;ESPN!C:C, ESPN!K:K), "N/A")</f>
        <v>N/A</v>
      </c>
    </row>
    <row r="73" spans="1:17" x14ac:dyDescent="0.45">
      <c r="A73" s="7">
        <v>2025</v>
      </c>
      <c r="B73" s="3" t="s">
        <v>75</v>
      </c>
      <c r="C73" s="4" t="str">
        <f t="shared" si="2"/>
        <v>Dylan Sampson</v>
      </c>
      <c r="D73" s="4" t="str">
        <f t="shared" si="3"/>
        <v>CLE</v>
      </c>
      <c r="E73" s="4">
        <v>15</v>
      </c>
      <c r="F73" s="13">
        <v>40</v>
      </c>
      <c r="G73" s="14">
        <v>33</v>
      </c>
      <c r="H73" s="14">
        <v>271</v>
      </c>
      <c r="I73" s="14">
        <v>8.1999999999999993</v>
      </c>
      <c r="J73" s="14">
        <v>2</v>
      </c>
      <c r="K73" s="14">
        <v>1</v>
      </c>
      <c r="L73" s="11" cm="1">
        <f t="array" ref="L73">IFERROR(_xlfn.XLOOKUP(C73&amp;A73, ESPN!A:A&amp;ESPN!C:C, ESPN!D:D), "N/A")</f>
        <v>115</v>
      </c>
      <c r="M73" s="23" cm="1">
        <f t="array" ref="M73">IFERROR(_xlfn.XLOOKUP(C73&amp;A73, ESPN!A:A&amp;ESPN!C:C, ESPN!G:G), "N/A")</f>
        <v>2.36</v>
      </c>
      <c r="N73" s="23" cm="1">
        <f t="array" ref="N73">IFERROR(_xlfn.XLOOKUP(C73&amp;A73, ESPN!A:A&amp;ESPN!C:C, ESPN!H:H), "N/A")</f>
        <v>76</v>
      </c>
      <c r="O73" s="26" cm="1">
        <f t="array" ref="O73">IFERROR(_xlfn.XLOOKUP(C73&amp;A73, ESPN!A:A&amp;ESPN!C:C, ESPN!I:I), "N/A")</f>
        <v>74</v>
      </c>
      <c r="P73" s="26" cm="1">
        <f t="array" ref="P73">IFERROR(_xlfn.XLOOKUP(C73&amp;A73, ESPN!A:A&amp;ESPN!C:C, ESPN!J:J), "N/A")</f>
        <v>62</v>
      </c>
      <c r="Q73" s="26" cm="1">
        <f t="array" ref="Q73">IFERROR(_xlfn.XLOOKUP(C73&amp;A73, ESPN!A:A&amp;ESPN!C:C, ESPN!K:K), "N/A")</f>
        <v>82</v>
      </c>
    </row>
    <row r="74" spans="1:17" x14ac:dyDescent="0.45">
      <c r="A74" s="6">
        <v>2025</v>
      </c>
      <c r="B74" s="1" t="s">
        <v>76</v>
      </c>
      <c r="C74" s="2" t="str">
        <f t="shared" si="2"/>
        <v>Trey Benson</v>
      </c>
      <c r="D74" s="2" t="str">
        <f t="shared" si="3"/>
        <v>ARI</v>
      </c>
      <c r="E74" s="2">
        <v>5</v>
      </c>
      <c r="F74" s="12">
        <v>16</v>
      </c>
      <c r="G74" s="11">
        <v>13</v>
      </c>
      <c r="H74" s="11">
        <v>64</v>
      </c>
      <c r="I74" s="11">
        <v>4.9000000000000004</v>
      </c>
      <c r="J74" s="11">
        <v>0</v>
      </c>
      <c r="K74" s="11">
        <v>0</v>
      </c>
      <c r="L74" s="11" t="str" cm="1">
        <f t="array" ref="L74">IFERROR(_xlfn.XLOOKUP(C74&amp;A74, ESPN!A:A&amp;ESPN!C:C, ESPN!D:D), "N/A")</f>
        <v>N/A</v>
      </c>
      <c r="M74" s="23" t="str" cm="1">
        <f t="array" ref="M74">IFERROR(_xlfn.XLOOKUP(C74&amp;A74, ESPN!A:A&amp;ESPN!C:C, ESPN!G:G), "N/A")</f>
        <v>N/A</v>
      </c>
      <c r="N74" s="23" t="str" cm="1">
        <f t="array" ref="N74">IFERROR(_xlfn.XLOOKUP(C74&amp;A74, ESPN!A:A&amp;ESPN!C:C, ESPN!H:H), "N/A")</f>
        <v>N/A</v>
      </c>
      <c r="O74" s="26" t="str" cm="1">
        <f t="array" ref="O74">IFERROR(_xlfn.XLOOKUP(C74&amp;A74, ESPN!A:A&amp;ESPN!C:C, ESPN!I:I), "N/A")</f>
        <v>N/A</v>
      </c>
      <c r="P74" s="26" t="str" cm="1">
        <f t="array" ref="P74">IFERROR(_xlfn.XLOOKUP(C74&amp;A74, ESPN!A:A&amp;ESPN!C:C, ESPN!J:J), "N/A")</f>
        <v>N/A</v>
      </c>
      <c r="Q74" s="26" t="str" cm="1">
        <f t="array" ref="Q74">IFERROR(_xlfn.XLOOKUP(C74&amp;A74, ESPN!A:A&amp;ESPN!C:C, ESPN!K:K), "N/A")</f>
        <v>N/A</v>
      </c>
    </row>
    <row r="75" spans="1:17" x14ac:dyDescent="0.45">
      <c r="A75" s="7">
        <v>2025</v>
      </c>
      <c r="B75" s="3" t="s">
        <v>77</v>
      </c>
      <c r="C75" s="4" t="str">
        <f t="shared" si="2"/>
        <v>Jaret Patterson</v>
      </c>
      <c r="D75" s="4" t="str">
        <f t="shared" si="3"/>
        <v>LAC</v>
      </c>
      <c r="E75" s="4">
        <v>6</v>
      </c>
      <c r="F75" s="13">
        <v>4</v>
      </c>
      <c r="G75" s="14">
        <v>3</v>
      </c>
      <c r="H75" s="14">
        <v>8</v>
      </c>
      <c r="I75" s="14">
        <v>2.7</v>
      </c>
      <c r="J75" s="14">
        <v>0</v>
      </c>
      <c r="K75" s="14">
        <v>0</v>
      </c>
      <c r="L75" s="11" t="str" cm="1">
        <f t="array" ref="L75">IFERROR(_xlfn.XLOOKUP(C75&amp;A75, ESPN!A:A&amp;ESPN!C:C, ESPN!D:D), "N/A")</f>
        <v>N/A</v>
      </c>
      <c r="M75" s="23" t="str" cm="1">
        <f t="array" ref="M75">IFERROR(_xlfn.XLOOKUP(C75&amp;A75, ESPN!A:A&amp;ESPN!C:C, ESPN!G:G), "N/A")</f>
        <v>N/A</v>
      </c>
      <c r="N75" s="23" t="str" cm="1">
        <f t="array" ref="N75">IFERROR(_xlfn.XLOOKUP(C75&amp;A75, ESPN!A:A&amp;ESPN!C:C, ESPN!H:H), "N/A")</f>
        <v>N/A</v>
      </c>
      <c r="O75" s="26" t="str" cm="1">
        <f t="array" ref="O75">IFERROR(_xlfn.XLOOKUP(C75&amp;A75, ESPN!A:A&amp;ESPN!C:C, ESPN!I:I), "N/A")</f>
        <v>N/A</v>
      </c>
      <c r="P75" s="26" t="str" cm="1">
        <f t="array" ref="P75">IFERROR(_xlfn.XLOOKUP(C75&amp;A75, ESPN!A:A&amp;ESPN!C:C, ESPN!J:J), "N/A")</f>
        <v>N/A</v>
      </c>
      <c r="Q75" s="26" t="str" cm="1">
        <f t="array" ref="Q75">IFERROR(_xlfn.XLOOKUP(C75&amp;A75, ESPN!A:A&amp;ESPN!C:C, ESPN!K:K), "N/A")</f>
        <v>N/A</v>
      </c>
    </row>
    <row r="76" spans="1:17" x14ac:dyDescent="0.45">
      <c r="A76" s="6">
        <v>2025</v>
      </c>
      <c r="B76" s="1" t="s">
        <v>78</v>
      </c>
      <c r="C76" s="2" t="str">
        <f t="shared" si="2"/>
        <v>Brashard Smith</v>
      </c>
      <c r="D76" s="2" t="str">
        <f t="shared" si="3"/>
        <v>KC</v>
      </c>
      <c r="E76" s="2">
        <v>17</v>
      </c>
      <c r="F76" s="12">
        <v>35</v>
      </c>
      <c r="G76" s="11">
        <v>25</v>
      </c>
      <c r="H76" s="11">
        <v>172</v>
      </c>
      <c r="I76" s="11">
        <v>6.9</v>
      </c>
      <c r="J76" s="11">
        <v>1</v>
      </c>
      <c r="K76" s="11">
        <v>0</v>
      </c>
      <c r="L76" s="11" t="str" cm="1">
        <f t="array" ref="L76">IFERROR(_xlfn.XLOOKUP(C76&amp;A76, ESPN!A:A&amp;ESPN!C:C, ESPN!D:D), "N/A")</f>
        <v>N/A</v>
      </c>
      <c r="M76" s="23" t="str" cm="1">
        <f t="array" ref="M76">IFERROR(_xlfn.XLOOKUP(C76&amp;A76, ESPN!A:A&amp;ESPN!C:C, ESPN!G:G), "N/A")</f>
        <v>N/A</v>
      </c>
      <c r="N76" s="23" t="str" cm="1">
        <f t="array" ref="N76">IFERROR(_xlfn.XLOOKUP(C76&amp;A76, ESPN!A:A&amp;ESPN!C:C, ESPN!H:H), "N/A")</f>
        <v>N/A</v>
      </c>
      <c r="O76" s="26" t="str" cm="1">
        <f t="array" ref="O76">IFERROR(_xlfn.XLOOKUP(C76&amp;A76, ESPN!A:A&amp;ESPN!C:C, ESPN!I:I), "N/A")</f>
        <v>N/A</v>
      </c>
      <c r="P76" s="26" t="str" cm="1">
        <f t="array" ref="P76">IFERROR(_xlfn.XLOOKUP(C76&amp;A76, ESPN!A:A&amp;ESPN!C:C, ESPN!J:J), "N/A")</f>
        <v>N/A</v>
      </c>
      <c r="Q76" s="26" t="str" cm="1">
        <f t="array" ref="Q76">IFERROR(_xlfn.XLOOKUP(C76&amp;A76, ESPN!A:A&amp;ESPN!C:C, ESPN!K:K), "N/A")</f>
        <v>N/A</v>
      </c>
    </row>
    <row r="77" spans="1:17" x14ac:dyDescent="0.45">
      <c r="A77" s="7">
        <v>2025</v>
      </c>
      <c r="B77" s="3" t="s">
        <v>79</v>
      </c>
      <c r="C77" s="4" t="str">
        <f t="shared" si="2"/>
        <v>Jaydon Blue</v>
      </c>
      <c r="D77" s="4" t="str">
        <f t="shared" si="3"/>
        <v>DAL</v>
      </c>
      <c r="E77" s="4">
        <v>5</v>
      </c>
      <c r="F77" s="13">
        <v>1</v>
      </c>
      <c r="G77" s="14">
        <v>1</v>
      </c>
      <c r="H77" s="14">
        <v>5</v>
      </c>
      <c r="I77" s="14">
        <v>5</v>
      </c>
      <c r="J77" s="14">
        <v>0</v>
      </c>
      <c r="K77" s="14">
        <v>0</v>
      </c>
      <c r="L77" s="11" t="str" cm="1">
        <f t="array" ref="L77">IFERROR(_xlfn.XLOOKUP(C77&amp;A77, ESPN!A:A&amp;ESPN!C:C, ESPN!D:D), "N/A")</f>
        <v>N/A</v>
      </c>
      <c r="M77" s="23" t="str" cm="1">
        <f t="array" ref="M77">IFERROR(_xlfn.XLOOKUP(C77&amp;A77, ESPN!A:A&amp;ESPN!C:C, ESPN!G:G), "N/A")</f>
        <v>N/A</v>
      </c>
      <c r="N77" s="23" t="str" cm="1">
        <f t="array" ref="N77">IFERROR(_xlfn.XLOOKUP(C77&amp;A77, ESPN!A:A&amp;ESPN!C:C, ESPN!H:H), "N/A")</f>
        <v>N/A</v>
      </c>
      <c r="O77" s="26" t="str" cm="1">
        <f t="array" ref="O77">IFERROR(_xlfn.XLOOKUP(C77&amp;A77, ESPN!A:A&amp;ESPN!C:C, ESPN!I:I), "N/A")</f>
        <v>N/A</v>
      </c>
      <c r="P77" s="26" t="str" cm="1">
        <f t="array" ref="P77">IFERROR(_xlfn.XLOOKUP(C77&amp;A77, ESPN!A:A&amp;ESPN!C:C, ESPN!J:J), "N/A")</f>
        <v>N/A</v>
      </c>
      <c r="Q77" s="26" t="str" cm="1">
        <f t="array" ref="Q77">IFERROR(_xlfn.XLOOKUP(C77&amp;A77, ESPN!A:A&amp;ESPN!C:C, ESPN!K:K), "N/A")</f>
        <v>N/A</v>
      </c>
    </row>
    <row r="78" spans="1:17" x14ac:dyDescent="0.45">
      <c r="A78" s="6">
        <v>2025</v>
      </c>
      <c r="B78" s="1" t="s">
        <v>80</v>
      </c>
      <c r="C78" s="2" t="str">
        <f t="shared" si="2"/>
        <v>Miles Sanders</v>
      </c>
      <c r="D78" s="2" t="str">
        <f t="shared" si="3"/>
        <v>DAL</v>
      </c>
      <c r="E78" s="2">
        <v>4</v>
      </c>
      <c r="F78" s="12">
        <v>8</v>
      </c>
      <c r="G78" s="11">
        <v>8</v>
      </c>
      <c r="H78" s="11">
        <v>30</v>
      </c>
      <c r="I78" s="11">
        <v>3.8</v>
      </c>
      <c r="J78" s="11">
        <v>0</v>
      </c>
      <c r="K78" s="11">
        <v>1</v>
      </c>
      <c r="L78" s="11" t="str" cm="1">
        <f t="array" ref="L78">IFERROR(_xlfn.XLOOKUP(C78&amp;A78, ESPN!A:A&amp;ESPN!C:C, ESPN!D:D), "N/A")</f>
        <v>N/A</v>
      </c>
      <c r="M78" s="23" t="str" cm="1">
        <f t="array" ref="M78">IFERROR(_xlfn.XLOOKUP(C78&amp;A78, ESPN!A:A&amp;ESPN!C:C, ESPN!G:G), "N/A")</f>
        <v>N/A</v>
      </c>
      <c r="N78" s="23" t="str" cm="1">
        <f t="array" ref="N78">IFERROR(_xlfn.XLOOKUP(C78&amp;A78, ESPN!A:A&amp;ESPN!C:C, ESPN!H:H), "N/A")</f>
        <v>N/A</v>
      </c>
      <c r="O78" s="26" t="str" cm="1">
        <f t="array" ref="O78">IFERROR(_xlfn.XLOOKUP(C78&amp;A78, ESPN!A:A&amp;ESPN!C:C, ESPN!I:I), "N/A")</f>
        <v>N/A</v>
      </c>
      <c r="P78" s="26" t="str" cm="1">
        <f t="array" ref="P78">IFERROR(_xlfn.XLOOKUP(C78&amp;A78, ESPN!A:A&amp;ESPN!C:C, ESPN!J:J), "N/A")</f>
        <v>N/A</v>
      </c>
      <c r="Q78" s="26" t="str" cm="1">
        <f t="array" ref="Q78">IFERROR(_xlfn.XLOOKUP(C78&amp;A78, ESPN!A:A&amp;ESPN!C:C, ESPN!K:K), "N/A")</f>
        <v>N/A</v>
      </c>
    </row>
    <row r="79" spans="1:17" x14ac:dyDescent="0.45">
      <c r="A79" s="7">
        <v>2025</v>
      </c>
      <c r="B79" s="3" t="s">
        <v>81</v>
      </c>
      <c r="C79" s="4" t="str">
        <f t="shared" si="2"/>
        <v>Zavier Scott</v>
      </c>
      <c r="D79" s="4" t="str">
        <f t="shared" si="3"/>
        <v>MIN</v>
      </c>
      <c r="E79" s="4">
        <v>11</v>
      </c>
      <c r="F79" s="13">
        <v>16</v>
      </c>
      <c r="G79" s="14">
        <v>14</v>
      </c>
      <c r="H79" s="14">
        <v>98</v>
      </c>
      <c r="I79" s="14">
        <v>7</v>
      </c>
      <c r="J79" s="14">
        <v>1</v>
      </c>
      <c r="K79" s="14">
        <v>1</v>
      </c>
      <c r="L79" s="11" t="str" cm="1">
        <f t="array" ref="L79">IFERROR(_xlfn.XLOOKUP(C79&amp;A79, ESPN!A:A&amp;ESPN!C:C, ESPN!D:D), "N/A")</f>
        <v>N/A</v>
      </c>
      <c r="M79" s="23" t="str" cm="1">
        <f t="array" ref="M79">IFERROR(_xlfn.XLOOKUP(C79&amp;A79, ESPN!A:A&amp;ESPN!C:C, ESPN!G:G), "N/A")</f>
        <v>N/A</v>
      </c>
      <c r="N79" s="23" t="str" cm="1">
        <f t="array" ref="N79">IFERROR(_xlfn.XLOOKUP(C79&amp;A79, ESPN!A:A&amp;ESPN!C:C, ESPN!H:H), "N/A")</f>
        <v>N/A</v>
      </c>
      <c r="O79" s="26" t="str" cm="1">
        <f t="array" ref="O79">IFERROR(_xlfn.XLOOKUP(C79&amp;A79, ESPN!A:A&amp;ESPN!C:C, ESPN!I:I), "N/A")</f>
        <v>N/A</v>
      </c>
      <c r="P79" s="26" t="str" cm="1">
        <f t="array" ref="P79">IFERROR(_xlfn.XLOOKUP(C79&amp;A79, ESPN!A:A&amp;ESPN!C:C, ESPN!J:J), "N/A")</f>
        <v>N/A</v>
      </c>
      <c r="Q79" s="26" t="str" cm="1">
        <f t="array" ref="Q79">IFERROR(_xlfn.XLOOKUP(C79&amp;A79, ESPN!A:A&amp;ESPN!C:C, ESPN!K:K), "N/A")</f>
        <v>N/A</v>
      </c>
    </row>
    <row r="80" spans="1:17" x14ac:dyDescent="0.45">
      <c r="A80" s="6">
        <v>2025</v>
      </c>
      <c r="B80" s="1" t="s">
        <v>82</v>
      </c>
      <c r="C80" s="2" t="str">
        <f t="shared" si="2"/>
        <v>Chris Brooks</v>
      </c>
      <c r="D80" s="2" t="str">
        <f t="shared" si="3"/>
        <v>GB</v>
      </c>
      <c r="E80" s="2">
        <v>17</v>
      </c>
      <c r="F80" s="12">
        <v>3</v>
      </c>
      <c r="G80" s="11">
        <v>2</v>
      </c>
      <c r="H80" s="11">
        <v>6</v>
      </c>
      <c r="I80" s="11">
        <v>3</v>
      </c>
      <c r="J80" s="11">
        <v>0</v>
      </c>
      <c r="K80" s="11">
        <v>1</v>
      </c>
      <c r="L80" s="11" t="str" cm="1">
        <f t="array" ref="L80">IFERROR(_xlfn.XLOOKUP(C80&amp;A80, ESPN!A:A&amp;ESPN!C:C, ESPN!D:D), "N/A")</f>
        <v>N/A</v>
      </c>
      <c r="M80" s="23" t="str" cm="1">
        <f t="array" ref="M80">IFERROR(_xlfn.XLOOKUP(C80&amp;A80, ESPN!A:A&amp;ESPN!C:C, ESPN!G:G), "N/A")</f>
        <v>N/A</v>
      </c>
      <c r="N80" s="23" t="str" cm="1">
        <f t="array" ref="N80">IFERROR(_xlfn.XLOOKUP(C80&amp;A80, ESPN!A:A&amp;ESPN!C:C, ESPN!H:H), "N/A")</f>
        <v>N/A</v>
      </c>
      <c r="O80" s="26" t="str" cm="1">
        <f t="array" ref="O80">IFERROR(_xlfn.XLOOKUP(C80&amp;A80, ESPN!A:A&amp;ESPN!C:C, ESPN!I:I), "N/A")</f>
        <v>N/A</v>
      </c>
      <c r="P80" s="26" t="str" cm="1">
        <f t="array" ref="P80">IFERROR(_xlfn.XLOOKUP(C80&amp;A80, ESPN!A:A&amp;ESPN!C:C, ESPN!J:J), "N/A")</f>
        <v>N/A</v>
      </c>
      <c r="Q80" s="26" t="str" cm="1">
        <f t="array" ref="Q80">IFERROR(_xlfn.XLOOKUP(C80&amp;A80, ESPN!A:A&amp;ESPN!C:C, ESPN!K:K), "N/A")</f>
        <v>N/A</v>
      </c>
    </row>
    <row r="81" spans="1:17" x14ac:dyDescent="0.45">
      <c r="A81" s="7">
        <v>2025</v>
      </c>
      <c r="B81" s="3" t="s">
        <v>83</v>
      </c>
      <c r="C81" s="4" t="str">
        <f t="shared" si="2"/>
        <v>Antonio Gibson</v>
      </c>
      <c r="D81" s="4" t="str">
        <f t="shared" si="3"/>
        <v>NE</v>
      </c>
      <c r="E81" s="4">
        <v>5</v>
      </c>
      <c r="F81" s="13">
        <v>17</v>
      </c>
      <c r="G81" s="14">
        <v>13</v>
      </c>
      <c r="H81" s="14">
        <v>91</v>
      </c>
      <c r="I81" s="14">
        <v>7</v>
      </c>
      <c r="J81" s="14">
        <v>0</v>
      </c>
      <c r="K81" s="14">
        <v>0</v>
      </c>
      <c r="L81" s="11" t="str" cm="1">
        <f t="array" ref="L81">IFERROR(_xlfn.XLOOKUP(C81&amp;A81, ESPN!A:A&amp;ESPN!C:C, ESPN!D:D), "N/A")</f>
        <v>N/A</v>
      </c>
      <c r="M81" s="23" t="str" cm="1">
        <f t="array" ref="M81">IFERROR(_xlfn.XLOOKUP(C81&amp;A81, ESPN!A:A&amp;ESPN!C:C, ESPN!G:G), "N/A")</f>
        <v>N/A</v>
      </c>
      <c r="N81" s="23" t="str" cm="1">
        <f t="array" ref="N81">IFERROR(_xlfn.XLOOKUP(C81&amp;A81, ESPN!A:A&amp;ESPN!C:C, ESPN!H:H), "N/A")</f>
        <v>N/A</v>
      </c>
      <c r="O81" s="26" t="str" cm="1">
        <f t="array" ref="O81">IFERROR(_xlfn.XLOOKUP(C81&amp;A81, ESPN!A:A&amp;ESPN!C:C, ESPN!I:I), "N/A")</f>
        <v>N/A</v>
      </c>
      <c r="P81" s="26" t="str" cm="1">
        <f t="array" ref="P81">IFERROR(_xlfn.XLOOKUP(C81&amp;A81, ESPN!A:A&amp;ESPN!C:C, ESPN!J:J), "N/A")</f>
        <v>N/A</v>
      </c>
      <c r="Q81" s="26" t="str" cm="1">
        <f t="array" ref="Q81">IFERROR(_xlfn.XLOOKUP(C81&amp;A81, ESPN!A:A&amp;ESPN!C:C, ESPN!K:K), "N/A")</f>
        <v>N/A</v>
      </c>
    </row>
    <row r="82" spans="1:17" x14ac:dyDescent="0.45">
      <c r="A82" s="6">
        <v>2025</v>
      </c>
      <c r="B82" s="1" t="s">
        <v>84</v>
      </c>
      <c r="C82" s="2" t="str">
        <f t="shared" si="2"/>
        <v>Raheem Mostert</v>
      </c>
      <c r="D82" s="2" t="str">
        <f t="shared" si="3"/>
        <v>LV</v>
      </c>
      <c r="E82" s="2">
        <v>12</v>
      </c>
      <c r="F82" s="12">
        <v>12</v>
      </c>
      <c r="G82" s="11">
        <v>12</v>
      </c>
      <c r="H82" s="11">
        <v>70</v>
      </c>
      <c r="I82" s="11">
        <v>5.8</v>
      </c>
      <c r="J82" s="11">
        <v>0</v>
      </c>
      <c r="K82" s="11">
        <v>0</v>
      </c>
      <c r="L82" s="11" t="str" cm="1">
        <f t="array" ref="L82">IFERROR(_xlfn.XLOOKUP(C82&amp;A82, ESPN!A:A&amp;ESPN!C:C, ESPN!D:D), "N/A")</f>
        <v>N/A</v>
      </c>
      <c r="M82" s="23" t="str" cm="1">
        <f t="array" ref="M82">IFERROR(_xlfn.XLOOKUP(C82&amp;A82, ESPN!A:A&amp;ESPN!C:C, ESPN!G:G), "N/A")</f>
        <v>N/A</v>
      </c>
      <c r="N82" s="23" t="str" cm="1">
        <f t="array" ref="N82">IFERROR(_xlfn.XLOOKUP(C82&amp;A82, ESPN!A:A&amp;ESPN!C:C, ESPN!H:H), "N/A")</f>
        <v>N/A</v>
      </c>
      <c r="O82" s="26" t="str" cm="1">
        <f t="array" ref="O82">IFERROR(_xlfn.XLOOKUP(C82&amp;A82, ESPN!A:A&amp;ESPN!C:C, ESPN!I:I), "N/A")</f>
        <v>N/A</v>
      </c>
      <c r="P82" s="26" t="str" cm="1">
        <f t="array" ref="P82">IFERROR(_xlfn.XLOOKUP(C82&amp;A82, ESPN!A:A&amp;ESPN!C:C, ESPN!J:J), "N/A")</f>
        <v>N/A</v>
      </c>
      <c r="Q82" s="26" t="str" cm="1">
        <f t="array" ref="Q82">IFERROR(_xlfn.XLOOKUP(C82&amp;A82, ESPN!A:A&amp;ESPN!C:C, ESPN!K:K), "N/A")</f>
        <v>N/A</v>
      </c>
    </row>
    <row r="83" spans="1:17" x14ac:dyDescent="0.45">
      <c r="A83" s="7">
        <v>2025</v>
      </c>
      <c r="B83" s="3" t="s">
        <v>85</v>
      </c>
      <c r="C83" s="4" t="str">
        <f t="shared" si="2"/>
        <v>DJ Giddens</v>
      </c>
      <c r="D83" s="4" t="str">
        <f t="shared" si="3"/>
        <v>IND</v>
      </c>
      <c r="E83" s="4">
        <v>9</v>
      </c>
      <c r="F83" s="13">
        <v>2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1" t="str" cm="1">
        <f t="array" ref="L83">IFERROR(_xlfn.XLOOKUP(C83&amp;A83, ESPN!A:A&amp;ESPN!C:C, ESPN!D:D), "N/A")</f>
        <v>N/A</v>
      </c>
      <c r="M83" s="23" t="str" cm="1">
        <f t="array" ref="M83">IFERROR(_xlfn.XLOOKUP(C83&amp;A83, ESPN!A:A&amp;ESPN!C:C, ESPN!G:G), "N/A")</f>
        <v>N/A</v>
      </c>
      <c r="N83" s="23" t="str" cm="1">
        <f t="array" ref="N83">IFERROR(_xlfn.XLOOKUP(C83&amp;A83, ESPN!A:A&amp;ESPN!C:C, ESPN!H:H), "N/A")</f>
        <v>N/A</v>
      </c>
      <c r="O83" s="26" t="str" cm="1">
        <f t="array" ref="O83">IFERROR(_xlfn.XLOOKUP(C83&amp;A83, ESPN!A:A&amp;ESPN!C:C, ESPN!I:I), "N/A")</f>
        <v>N/A</v>
      </c>
      <c r="P83" s="26" t="str" cm="1">
        <f t="array" ref="P83">IFERROR(_xlfn.XLOOKUP(C83&amp;A83, ESPN!A:A&amp;ESPN!C:C, ESPN!J:J), "N/A")</f>
        <v>N/A</v>
      </c>
      <c r="Q83" s="26" t="str" cm="1">
        <f t="array" ref="Q83">IFERROR(_xlfn.XLOOKUP(C83&amp;A83, ESPN!A:A&amp;ESPN!C:C, ESPN!K:K), "N/A")</f>
        <v>N/A</v>
      </c>
    </row>
    <row r="84" spans="1:17" x14ac:dyDescent="0.45">
      <c r="A84" s="6">
        <v>2025</v>
      </c>
      <c r="B84" s="1" t="s">
        <v>86</v>
      </c>
      <c r="C84" s="2" t="str">
        <f t="shared" si="2"/>
        <v>James Conner</v>
      </c>
      <c r="D84" s="2" t="str">
        <f t="shared" si="3"/>
        <v>ARI</v>
      </c>
      <c r="E84" s="2">
        <v>4</v>
      </c>
      <c r="F84" s="12">
        <v>9</v>
      </c>
      <c r="G84" s="11">
        <v>8</v>
      </c>
      <c r="H84" s="11">
        <v>38</v>
      </c>
      <c r="I84" s="11">
        <v>4.8</v>
      </c>
      <c r="J84" s="11">
        <v>1</v>
      </c>
      <c r="K84" s="11">
        <v>0</v>
      </c>
      <c r="L84" s="11" t="str" cm="1">
        <f t="array" ref="L84">IFERROR(_xlfn.XLOOKUP(C84&amp;A84, ESPN!A:A&amp;ESPN!C:C, ESPN!D:D), "N/A")</f>
        <v>N/A</v>
      </c>
      <c r="M84" s="23" t="str" cm="1">
        <f t="array" ref="M84">IFERROR(_xlfn.XLOOKUP(C84&amp;A84, ESPN!A:A&amp;ESPN!C:C, ESPN!G:G), "N/A")</f>
        <v>N/A</v>
      </c>
      <c r="N84" s="23" t="str" cm="1">
        <f t="array" ref="N84">IFERROR(_xlfn.XLOOKUP(C84&amp;A84, ESPN!A:A&amp;ESPN!C:C, ESPN!H:H), "N/A")</f>
        <v>N/A</v>
      </c>
      <c r="O84" s="26" t="str" cm="1">
        <f t="array" ref="O84">IFERROR(_xlfn.XLOOKUP(C84&amp;A84, ESPN!A:A&amp;ESPN!C:C, ESPN!I:I), "N/A")</f>
        <v>N/A</v>
      </c>
      <c r="P84" s="26" t="str" cm="1">
        <f t="array" ref="P84">IFERROR(_xlfn.XLOOKUP(C84&amp;A84, ESPN!A:A&amp;ESPN!C:C, ESPN!J:J), "N/A")</f>
        <v>N/A</v>
      </c>
      <c r="Q84" s="26" t="str" cm="1">
        <f t="array" ref="Q84">IFERROR(_xlfn.XLOOKUP(C84&amp;A84, ESPN!A:A&amp;ESPN!C:C, ESPN!K:K), "N/A")</f>
        <v>N/A</v>
      </c>
    </row>
    <row r="85" spans="1:17" x14ac:dyDescent="0.45">
      <c r="A85" s="7">
        <v>2025</v>
      </c>
      <c r="B85" s="3" t="s">
        <v>87</v>
      </c>
      <c r="C85" s="4" t="str">
        <f t="shared" si="2"/>
        <v>Trevor Etienne</v>
      </c>
      <c r="D85" s="4" t="str">
        <f t="shared" si="3"/>
        <v>CAR</v>
      </c>
      <c r="E85" s="4">
        <v>17</v>
      </c>
      <c r="F85" s="13">
        <v>11</v>
      </c>
      <c r="G85" s="14">
        <v>10</v>
      </c>
      <c r="H85" s="14">
        <v>54</v>
      </c>
      <c r="I85" s="14">
        <v>5.4</v>
      </c>
      <c r="J85" s="14">
        <v>0</v>
      </c>
      <c r="K85" s="14">
        <v>0</v>
      </c>
      <c r="L85" s="11" t="str" cm="1">
        <f t="array" ref="L85">IFERROR(_xlfn.XLOOKUP(C85&amp;A85, ESPN!A:A&amp;ESPN!C:C, ESPN!D:D), "N/A")</f>
        <v>N/A</v>
      </c>
      <c r="M85" s="23" t="str" cm="1">
        <f t="array" ref="M85">IFERROR(_xlfn.XLOOKUP(C85&amp;A85, ESPN!A:A&amp;ESPN!C:C, ESPN!G:G), "N/A")</f>
        <v>N/A</v>
      </c>
      <c r="N85" s="23" t="str" cm="1">
        <f t="array" ref="N85">IFERROR(_xlfn.XLOOKUP(C85&amp;A85, ESPN!A:A&amp;ESPN!C:C, ESPN!H:H), "N/A")</f>
        <v>N/A</v>
      </c>
      <c r="O85" s="26" t="str" cm="1">
        <f t="array" ref="O85">IFERROR(_xlfn.XLOOKUP(C85&amp;A85, ESPN!A:A&amp;ESPN!C:C, ESPN!I:I), "N/A")</f>
        <v>N/A</v>
      </c>
      <c r="P85" s="26" t="str" cm="1">
        <f t="array" ref="P85">IFERROR(_xlfn.XLOOKUP(C85&amp;A85, ESPN!A:A&amp;ESPN!C:C, ESPN!J:J), "N/A")</f>
        <v>N/A</v>
      </c>
      <c r="Q85" s="26" t="str" cm="1">
        <f t="array" ref="Q85">IFERROR(_xlfn.XLOOKUP(C85&amp;A85, ESPN!A:A&amp;ESPN!C:C, ESPN!K:K), "N/A")</f>
        <v>N/A</v>
      </c>
    </row>
    <row r="86" spans="1:17" x14ac:dyDescent="0.45">
      <c r="A86" s="6">
        <v>2025</v>
      </c>
      <c r="B86" s="1" t="s">
        <v>88</v>
      </c>
      <c r="C86" s="2" t="str">
        <f t="shared" si="2"/>
        <v>LeQuint Allen Jr.</v>
      </c>
      <c r="D86" s="2" t="str">
        <f t="shared" si="3"/>
        <v>JAC</v>
      </c>
      <c r="E86" s="2">
        <v>17</v>
      </c>
      <c r="F86" s="12">
        <v>3</v>
      </c>
      <c r="G86" s="11">
        <v>3</v>
      </c>
      <c r="H86" s="11">
        <v>13</v>
      </c>
      <c r="I86" s="11">
        <v>4.3</v>
      </c>
      <c r="J86" s="11">
        <v>0</v>
      </c>
      <c r="K86" s="11">
        <v>1</v>
      </c>
      <c r="L86" s="11" t="str" cm="1">
        <f t="array" ref="L86">IFERROR(_xlfn.XLOOKUP(C86&amp;A86, ESPN!A:A&amp;ESPN!C:C, ESPN!D:D), "N/A")</f>
        <v>N/A</v>
      </c>
      <c r="M86" s="23" t="str" cm="1">
        <f t="array" ref="M86">IFERROR(_xlfn.XLOOKUP(C86&amp;A86, ESPN!A:A&amp;ESPN!C:C, ESPN!G:G), "N/A")</f>
        <v>N/A</v>
      </c>
      <c r="N86" s="23" t="str" cm="1">
        <f t="array" ref="N86">IFERROR(_xlfn.XLOOKUP(C86&amp;A86, ESPN!A:A&amp;ESPN!C:C, ESPN!H:H), "N/A")</f>
        <v>N/A</v>
      </c>
      <c r="O86" s="26" t="str" cm="1">
        <f t="array" ref="O86">IFERROR(_xlfn.XLOOKUP(C86&amp;A86, ESPN!A:A&amp;ESPN!C:C, ESPN!I:I), "N/A")</f>
        <v>N/A</v>
      </c>
      <c r="P86" s="26" t="str" cm="1">
        <f t="array" ref="P86">IFERROR(_xlfn.XLOOKUP(C86&amp;A86, ESPN!A:A&amp;ESPN!C:C, ESPN!J:J), "N/A")</f>
        <v>N/A</v>
      </c>
      <c r="Q86" s="26" t="str" cm="1">
        <f t="array" ref="Q86">IFERROR(_xlfn.XLOOKUP(C86&amp;A86, ESPN!A:A&amp;ESPN!C:C, ESPN!K:K), "N/A")</f>
        <v>N/A</v>
      </c>
    </row>
    <row r="87" spans="1:17" x14ac:dyDescent="0.45">
      <c r="A87" s="7">
        <v>2025</v>
      </c>
      <c r="B87" s="3" t="s">
        <v>89</v>
      </c>
      <c r="C87" s="4" t="str">
        <f t="shared" si="2"/>
        <v>Justice Hill</v>
      </c>
      <c r="D87" s="4" t="str">
        <f t="shared" si="3"/>
        <v>BAL</v>
      </c>
      <c r="E87" s="4">
        <v>10</v>
      </c>
      <c r="F87" s="13">
        <v>27</v>
      </c>
      <c r="G87" s="14">
        <v>21</v>
      </c>
      <c r="H87" s="14">
        <v>169</v>
      </c>
      <c r="I87" s="14">
        <v>8</v>
      </c>
      <c r="J87" s="14">
        <v>1</v>
      </c>
      <c r="K87" s="14">
        <v>0</v>
      </c>
      <c r="L87" s="11" cm="1">
        <f t="array" ref="L87">IFERROR(_xlfn.XLOOKUP(C87&amp;A87, ESPN!A:A&amp;ESPN!C:C, ESPN!D:D), "N/A")</f>
        <v>101</v>
      </c>
      <c r="M87" s="23" cm="1">
        <f t="array" ref="M87">IFERROR(_xlfn.XLOOKUP(C87&amp;A87, ESPN!A:A&amp;ESPN!C:C, ESPN!G:G), "N/A")</f>
        <v>1.67</v>
      </c>
      <c r="N87" s="23" cm="1">
        <f t="array" ref="N87">IFERROR(_xlfn.XLOOKUP(C87&amp;A87, ESPN!A:A&amp;ESPN!C:C, ESPN!H:H), "N/A")</f>
        <v>58</v>
      </c>
      <c r="O87" s="26" cm="1">
        <f t="array" ref="O87">IFERROR(_xlfn.XLOOKUP(C87&amp;A87, ESPN!A:A&amp;ESPN!C:C, ESPN!I:I), "N/A")</f>
        <v>53</v>
      </c>
      <c r="P87" s="26" cm="1">
        <f t="array" ref="P87">IFERROR(_xlfn.XLOOKUP(C87&amp;A87, ESPN!A:A&amp;ESPN!C:C, ESPN!J:J), "N/A")</f>
        <v>55</v>
      </c>
      <c r="Q87" s="26" cm="1">
        <f t="array" ref="Q87">IFERROR(_xlfn.XLOOKUP(C87&amp;A87, ESPN!A:A&amp;ESPN!C:C, ESPN!K:K), "N/A")</f>
        <v>58</v>
      </c>
    </row>
    <row r="88" spans="1:17" x14ac:dyDescent="0.45">
      <c r="A88" s="6">
        <v>2025</v>
      </c>
      <c r="B88" s="1" t="s">
        <v>90</v>
      </c>
      <c r="C88" s="2" t="str">
        <f t="shared" si="2"/>
        <v>Raheim Sanders</v>
      </c>
      <c r="D88" s="2" t="str">
        <f t="shared" si="3"/>
        <v>CLE</v>
      </c>
      <c r="E88" s="2">
        <v>5</v>
      </c>
      <c r="F88" s="12">
        <v>4</v>
      </c>
      <c r="G88" s="11">
        <v>3</v>
      </c>
      <c r="H88" s="11">
        <v>21</v>
      </c>
      <c r="I88" s="11">
        <v>7</v>
      </c>
      <c r="J88" s="11">
        <v>0</v>
      </c>
      <c r="K88" s="11">
        <v>0</v>
      </c>
      <c r="L88" s="11" t="str" cm="1">
        <f t="array" ref="L88">IFERROR(_xlfn.XLOOKUP(C88&amp;A88, ESPN!A:A&amp;ESPN!C:C, ESPN!D:D), "N/A")</f>
        <v>N/A</v>
      </c>
      <c r="M88" s="23" t="str" cm="1">
        <f t="array" ref="M88">IFERROR(_xlfn.XLOOKUP(C88&amp;A88, ESPN!A:A&amp;ESPN!C:C, ESPN!G:G), "N/A")</f>
        <v>N/A</v>
      </c>
      <c r="N88" s="23" t="str" cm="1">
        <f t="array" ref="N88">IFERROR(_xlfn.XLOOKUP(C88&amp;A88, ESPN!A:A&amp;ESPN!C:C, ESPN!H:H), "N/A")</f>
        <v>N/A</v>
      </c>
      <c r="O88" s="26" t="str" cm="1">
        <f t="array" ref="O88">IFERROR(_xlfn.XLOOKUP(C88&amp;A88, ESPN!A:A&amp;ESPN!C:C, ESPN!I:I), "N/A")</f>
        <v>N/A</v>
      </c>
      <c r="P88" s="26" t="str" cm="1">
        <f t="array" ref="P88">IFERROR(_xlfn.XLOOKUP(C88&amp;A88, ESPN!A:A&amp;ESPN!C:C, ESPN!J:J), "N/A")</f>
        <v>N/A</v>
      </c>
      <c r="Q88" s="26" t="str" cm="1">
        <f t="array" ref="Q88">IFERROR(_xlfn.XLOOKUP(C88&amp;A88, ESPN!A:A&amp;ESPN!C:C, ESPN!K:K), "N/A")</f>
        <v>N/A</v>
      </c>
    </row>
    <row r="89" spans="1:17" x14ac:dyDescent="0.45">
      <c r="A89" s="7">
        <v>2025</v>
      </c>
      <c r="B89" s="3" t="s">
        <v>91</v>
      </c>
      <c r="C89" s="4" t="str">
        <f t="shared" si="2"/>
        <v>British Brooks</v>
      </c>
      <c r="D89" s="4" t="str">
        <f t="shared" si="3"/>
        <v>HOU</v>
      </c>
      <c r="E89" s="4">
        <v>13</v>
      </c>
      <c r="F89" s="13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1" t="str" cm="1">
        <f t="array" ref="L89">IFERROR(_xlfn.XLOOKUP(C89&amp;A89, ESPN!A:A&amp;ESPN!C:C, ESPN!D:D), "N/A")</f>
        <v>N/A</v>
      </c>
      <c r="M89" s="23" t="str" cm="1">
        <f t="array" ref="M89">IFERROR(_xlfn.XLOOKUP(C89&amp;A89, ESPN!A:A&amp;ESPN!C:C, ESPN!G:G), "N/A")</f>
        <v>N/A</v>
      </c>
      <c r="N89" s="23" t="str" cm="1">
        <f t="array" ref="N89">IFERROR(_xlfn.XLOOKUP(C89&amp;A89, ESPN!A:A&amp;ESPN!C:C, ESPN!H:H), "N/A")</f>
        <v>N/A</v>
      </c>
      <c r="O89" s="26" t="str" cm="1">
        <f t="array" ref="O89">IFERROR(_xlfn.XLOOKUP(C89&amp;A89, ESPN!A:A&amp;ESPN!C:C, ESPN!I:I), "N/A")</f>
        <v>N/A</v>
      </c>
      <c r="P89" s="26" t="str" cm="1">
        <f t="array" ref="P89">IFERROR(_xlfn.XLOOKUP(C89&amp;A89, ESPN!A:A&amp;ESPN!C:C, ESPN!J:J), "N/A")</f>
        <v>N/A</v>
      </c>
      <c r="Q89" s="26" t="str" cm="1">
        <f t="array" ref="Q89">IFERROR(_xlfn.XLOOKUP(C89&amp;A89, ESPN!A:A&amp;ESPN!C:C, ESPN!K:K), "N/A")</f>
        <v>N/A</v>
      </c>
    </row>
    <row r="90" spans="1:17" x14ac:dyDescent="0.45">
      <c r="A90" s="6">
        <v>2025</v>
      </c>
      <c r="B90" s="1" t="s">
        <v>92</v>
      </c>
      <c r="C90" s="2" t="str">
        <f t="shared" si="2"/>
        <v>Braelon Allen</v>
      </c>
      <c r="D90" s="2" t="str">
        <f t="shared" si="3"/>
        <v>NYJ</v>
      </c>
      <c r="E90" s="2">
        <v>4</v>
      </c>
      <c r="F90" s="12">
        <v>3</v>
      </c>
      <c r="G90" s="11">
        <v>2</v>
      </c>
      <c r="H90" s="11">
        <v>17</v>
      </c>
      <c r="I90" s="11">
        <v>8.5</v>
      </c>
      <c r="J90" s="11">
        <v>0</v>
      </c>
      <c r="K90" s="11">
        <v>1</v>
      </c>
      <c r="L90" s="11" t="str" cm="1">
        <f t="array" ref="L90">IFERROR(_xlfn.XLOOKUP(C90&amp;A90, ESPN!A:A&amp;ESPN!C:C, ESPN!D:D), "N/A")</f>
        <v>N/A</v>
      </c>
      <c r="M90" s="23" t="str" cm="1">
        <f t="array" ref="M90">IFERROR(_xlfn.XLOOKUP(C90&amp;A90, ESPN!A:A&amp;ESPN!C:C, ESPN!G:G), "N/A")</f>
        <v>N/A</v>
      </c>
      <c r="N90" s="23" t="str" cm="1">
        <f t="array" ref="N90">IFERROR(_xlfn.XLOOKUP(C90&amp;A90, ESPN!A:A&amp;ESPN!C:C, ESPN!H:H), "N/A")</f>
        <v>N/A</v>
      </c>
      <c r="O90" s="26" t="str" cm="1">
        <f t="array" ref="O90">IFERROR(_xlfn.XLOOKUP(C90&amp;A90, ESPN!A:A&amp;ESPN!C:C, ESPN!I:I), "N/A")</f>
        <v>N/A</v>
      </c>
      <c r="P90" s="26" t="str" cm="1">
        <f t="array" ref="P90">IFERROR(_xlfn.XLOOKUP(C90&amp;A90, ESPN!A:A&amp;ESPN!C:C, ESPN!J:J), "N/A")</f>
        <v>N/A</v>
      </c>
      <c r="Q90" s="26" t="str" cm="1">
        <f t="array" ref="Q90">IFERROR(_xlfn.XLOOKUP(C90&amp;A90, ESPN!A:A&amp;ESPN!C:C, ESPN!K:K), "N/A")</f>
        <v>N/A</v>
      </c>
    </row>
    <row r="91" spans="1:17" x14ac:dyDescent="0.45">
      <c r="A91" s="7">
        <v>2025</v>
      </c>
      <c r="B91" s="3" t="s">
        <v>93</v>
      </c>
      <c r="C91" s="4" t="str">
        <f t="shared" si="2"/>
        <v>Terrell Jennings</v>
      </c>
      <c r="D91" s="4" t="str">
        <f t="shared" si="3"/>
        <v>NE</v>
      </c>
      <c r="E91" s="4">
        <v>6</v>
      </c>
      <c r="F91" s="13">
        <v>2</v>
      </c>
      <c r="G91" s="14">
        <v>2</v>
      </c>
      <c r="H91" s="14">
        <v>15</v>
      </c>
      <c r="I91" s="14">
        <v>7.5</v>
      </c>
      <c r="J91" s="14">
        <v>0</v>
      </c>
      <c r="K91" s="14">
        <v>1</v>
      </c>
      <c r="L91" s="11" t="str" cm="1">
        <f t="array" ref="L91">IFERROR(_xlfn.XLOOKUP(C91&amp;A91, ESPN!A:A&amp;ESPN!C:C, ESPN!D:D), "N/A")</f>
        <v>N/A</v>
      </c>
      <c r="M91" s="23" t="str" cm="1">
        <f t="array" ref="M91">IFERROR(_xlfn.XLOOKUP(C91&amp;A91, ESPN!A:A&amp;ESPN!C:C, ESPN!G:G), "N/A")</f>
        <v>N/A</v>
      </c>
      <c r="N91" s="23" t="str" cm="1">
        <f t="array" ref="N91">IFERROR(_xlfn.XLOOKUP(C91&amp;A91, ESPN!A:A&amp;ESPN!C:C, ESPN!H:H), "N/A")</f>
        <v>N/A</v>
      </c>
      <c r="O91" s="26" t="str" cm="1">
        <f t="array" ref="O91">IFERROR(_xlfn.XLOOKUP(C91&amp;A91, ESPN!A:A&amp;ESPN!C:C, ESPN!I:I), "N/A")</f>
        <v>N/A</v>
      </c>
      <c r="P91" s="26" t="str" cm="1">
        <f t="array" ref="P91">IFERROR(_xlfn.XLOOKUP(C91&amp;A91, ESPN!A:A&amp;ESPN!C:C, ESPN!J:J), "N/A")</f>
        <v>N/A</v>
      </c>
      <c r="Q91" s="26" t="str" cm="1">
        <f t="array" ref="Q91">IFERROR(_xlfn.XLOOKUP(C91&amp;A91, ESPN!A:A&amp;ESPN!C:C, ESPN!K:K), "N/A")</f>
        <v>N/A</v>
      </c>
    </row>
    <row r="92" spans="1:17" x14ac:dyDescent="0.45">
      <c r="A92" s="6">
        <v>2025</v>
      </c>
      <c r="B92" s="1" t="s">
        <v>94</v>
      </c>
      <c r="C92" s="2" t="str">
        <f t="shared" si="2"/>
        <v>Jerome Ford</v>
      </c>
      <c r="D92" s="2" t="str">
        <f t="shared" si="3"/>
        <v>CLE</v>
      </c>
      <c r="E92" s="2">
        <v>13</v>
      </c>
      <c r="F92" s="12">
        <v>32</v>
      </c>
      <c r="G92" s="11">
        <v>26</v>
      </c>
      <c r="H92" s="11">
        <v>103</v>
      </c>
      <c r="I92" s="11">
        <v>4</v>
      </c>
      <c r="J92" s="11">
        <v>0</v>
      </c>
      <c r="K92" s="11">
        <v>0</v>
      </c>
      <c r="L92" s="11" cm="1">
        <f t="array" ref="L92">IFERROR(_xlfn.XLOOKUP(C92&amp;A92, ESPN!A:A&amp;ESPN!C:C, ESPN!D:D), "N/A")</f>
        <v>148</v>
      </c>
      <c r="M92" s="23" cm="1">
        <f t="array" ref="M92">IFERROR(_xlfn.XLOOKUP(C92&amp;A92, ESPN!A:A&amp;ESPN!C:C, ESPN!G:G), "N/A")</f>
        <v>0.7</v>
      </c>
      <c r="N92" s="23" cm="1">
        <f t="array" ref="N92">IFERROR(_xlfn.XLOOKUP(C92&amp;A92, ESPN!A:A&amp;ESPN!C:C, ESPN!H:H), "N/A")</f>
        <v>66</v>
      </c>
      <c r="O92" s="26" cm="1">
        <f t="array" ref="O92">IFERROR(_xlfn.XLOOKUP(C92&amp;A92, ESPN!A:A&amp;ESPN!C:C, ESPN!I:I), "N/A")</f>
        <v>58</v>
      </c>
      <c r="P92" s="26" cm="1">
        <f t="array" ref="P92">IFERROR(_xlfn.XLOOKUP(C92&amp;A92, ESPN!A:A&amp;ESPN!C:C, ESPN!J:J), "N/A")</f>
        <v>21</v>
      </c>
      <c r="Q92" s="26" cm="1">
        <f t="array" ref="Q92">IFERROR(_xlfn.XLOOKUP(C92&amp;A92, ESPN!A:A&amp;ESPN!C:C, ESPN!K:K), "N/A")</f>
        <v>35</v>
      </c>
    </row>
    <row r="93" spans="1:17" x14ac:dyDescent="0.45">
      <c r="A93" s="7">
        <v>2025</v>
      </c>
      <c r="B93" s="3" t="s">
        <v>95</v>
      </c>
      <c r="C93" s="4" t="str">
        <f t="shared" si="2"/>
        <v>George Holani</v>
      </c>
      <c r="D93" s="4" t="str">
        <f t="shared" si="3"/>
        <v>SEA</v>
      </c>
      <c r="E93" s="4">
        <v>10</v>
      </c>
      <c r="F93" s="13">
        <v>1</v>
      </c>
      <c r="G93" s="14">
        <v>1</v>
      </c>
      <c r="H93" s="14">
        <v>9</v>
      </c>
      <c r="I93" s="14">
        <v>9</v>
      </c>
      <c r="J93" s="14">
        <v>0</v>
      </c>
      <c r="K93" s="14">
        <v>0</v>
      </c>
      <c r="L93" s="11" t="str" cm="1">
        <f t="array" ref="L93">IFERROR(_xlfn.XLOOKUP(C93&amp;A93, ESPN!A:A&amp;ESPN!C:C, ESPN!D:D), "N/A")</f>
        <v>N/A</v>
      </c>
      <c r="M93" s="23" t="str" cm="1">
        <f t="array" ref="M93">IFERROR(_xlfn.XLOOKUP(C93&amp;A93, ESPN!A:A&amp;ESPN!C:C, ESPN!G:G), "N/A")</f>
        <v>N/A</v>
      </c>
      <c r="N93" s="23" t="str" cm="1">
        <f t="array" ref="N93">IFERROR(_xlfn.XLOOKUP(C93&amp;A93, ESPN!A:A&amp;ESPN!C:C, ESPN!H:H), "N/A")</f>
        <v>N/A</v>
      </c>
      <c r="O93" s="26" t="str" cm="1">
        <f t="array" ref="O93">IFERROR(_xlfn.XLOOKUP(C93&amp;A93, ESPN!A:A&amp;ESPN!C:C, ESPN!I:I), "N/A")</f>
        <v>N/A</v>
      </c>
      <c r="P93" s="26" t="str" cm="1">
        <f t="array" ref="P93">IFERROR(_xlfn.XLOOKUP(C93&amp;A93, ESPN!A:A&amp;ESPN!C:C, ESPN!J:J), "N/A")</f>
        <v>N/A</v>
      </c>
      <c r="Q93" s="26" t="str" cm="1">
        <f t="array" ref="Q93">IFERROR(_xlfn.XLOOKUP(C93&amp;A93, ESPN!A:A&amp;ESPN!C:C, ESPN!K:K), "N/A")</f>
        <v>N/A</v>
      </c>
    </row>
    <row r="94" spans="1:17" x14ac:dyDescent="0.45">
      <c r="A94" s="6">
        <v>2025</v>
      </c>
      <c r="B94" s="1" t="s">
        <v>96</v>
      </c>
      <c r="C94" s="2" t="str">
        <f t="shared" si="2"/>
        <v>Hunter Luepke</v>
      </c>
      <c r="D94" s="2" t="str">
        <f t="shared" si="3"/>
        <v>DAL</v>
      </c>
      <c r="E94" s="2">
        <v>17</v>
      </c>
      <c r="F94" s="12">
        <v>15</v>
      </c>
      <c r="G94" s="11">
        <v>13</v>
      </c>
      <c r="H94" s="11">
        <v>109</v>
      </c>
      <c r="I94" s="11">
        <v>8.4</v>
      </c>
      <c r="J94" s="11">
        <v>1</v>
      </c>
      <c r="K94" s="11">
        <v>0</v>
      </c>
      <c r="L94" s="11" t="str" cm="1">
        <f t="array" ref="L94">IFERROR(_xlfn.XLOOKUP(C94&amp;A94, ESPN!A:A&amp;ESPN!C:C, ESPN!D:D), "N/A")</f>
        <v>N/A</v>
      </c>
      <c r="M94" s="23" t="str" cm="1">
        <f t="array" ref="M94">IFERROR(_xlfn.XLOOKUP(C94&amp;A94, ESPN!A:A&amp;ESPN!C:C, ESPN!G:G), "N/A")</f>
        <v>N/A</v>
      </c>
      <c r="N94" s="23" t="str" cm="1">
        <f t="array" ref="N94">IFERROR(_xlfn.XLOOKUP(C94&amp;A94, ESPN!A:A&amp;ESPN!C:C, ESPN!H:H), "N/A")</f>
        <v>N/A</v>
      </c>
      <c r="O94" s="26" t="str" cm="1">
        <f t="array" ref="O94">IFERROR(_xlfn.XLOOKUP(C94&amp;A94, ESPN!A:A&amp;ESPN!C:C, ESPN!I:I), "N/A")</f>
        <v>N/A</v>
      </c>
      <c r="P94" s="26" t="str" cm="1">
        <f t="array" ref="P94">IFERROR(_xlfn.XLOOKUP(C94&amp;A94, ESPN!A:A&amp;ESPN!C:C, ESPN!J:J), "N/A")</f>
        <v>N/A</v>
      </c>
      <c r="Q94" s="26" t="str" cm="1">
        <f t="array" ref="Q94">IFERROR(_xlfn.XLOOKUP(C94&amp;A94, ESPN!A:A&amp;ESPN!C:C, ESPN!K:K), "N/A")</f>
        <v>N/A</v>
      </c>
    </row>
    <row r="95" spans="1:17" x14ac:dyDescent="0.45">
      <c r="A95" s="7">
        <v>2025</v>
      </c>
      <c r="B95" s="3" t="s">
        <v>97</v>
      </c>
      <c r="C95" s="4" t="str">
        <f t="shared" si="2"/>
        <v>Kaleb Johnson</v>
      </c>
      <c r="D95" s="4" t="str">
        <f t="shared" si="3"/>
        <v>PIT</v>
      </c>
      <c r="E95" s="4">
        <v>10</v>
      </c>
      <c r="F95" s="13">
        <v>2</v>
      </c>
      <c r="G95" s="14">
        <v>1</v>
      </c>
      <c r="H95" s="14">
        <v>9</v>
      </c>
      <c r="I95" s="14">
        <v>9</v>
      </c>
      <c r="J95" s="14">
        <v>0</v>
      </c>
      <c r="K95" s="14">
        <v>0</v>
      </c>
      <c r="L95" s="11" t="str" cm="1">
        <f t="array" ref="L95">IFERROR(_xlfn.XLOOKUP(C95&amp;A95, ESPN!A:A&amp;ESPN!C:C, ESPN!D:D), "N/A")</f>
        <v>N/A</v>
      </c>
      <c r="M95" s="23" t="str" cm="1">
        <f t="array" ref="M95">IFERROR(_xlfn.XLOOKUP(C95&amp;A95, ESPN!A:A&amp;ESPN!C:C, ESPN!G:G), "N/A")</f>
        <v>N/A</v>
      </c>
      <c r="N95" s="23" t="str" cm="1">
        <f t="array" ref="N95">IFERROR(_xlfn.XLOOKUP(C95&amp;A95, ESPN!A:A&amp;ESPN!C:C, ESPN!H:H), "N/A")</f>
        <v>N/A</v>
      </c>
      <c r="O95" s="26" t="str" cm="1">
        <f t="array" ref="O95">IFERROR(_xlfn.XLOOKUP(C95&amp;A95, ESPN!A:A&amp;ESPN!C:C, ESPN!I:I), "N/A")</f>
        <v>N/A</v>
      </c>
      <c r="P95" s="26" t="str" cm="1">
        <f t="array" ref="P95">IFERROR(_xlfn.XLOOKUP(C95&amp;A95, ESPN!A:A&amp;ESPN!C:C, ESPN!J:J), "N/A")</f>
        <v>N/A</v>
      </c>
      <c r="Q95" s="26" t="str" cm="1">
        <f t="array" ref="Q95">IFERROR(_xlfn.XLOOKUP(C95&amp;A95, ESPN!A:A&amp;ESPN!C:C, ESPN!K:K), "N/A")</f>
        <v>N/A</v>
      </c>
    </row>
    <row r="96" spans="1:17" x14ac:dyDescent="0.45">
      <c r="A96" s="6">
        <v>2025</v>
      </c>
      <c r="B96" s="1" t="s">
        <v>98</v>
      </c>
      <c r="C96" s="2" t="str">
        <f t="shared" si="2"/>
        <v>Najee Harris</v>
      </c>
      <c r="D96" s="2" t="str">
        <f t="shared" si="3"/>
        <v>LAC</v>
      </c>
      <c r="E96" s="2">
        <v>3</v>
      </c>
      <c r="F96" s="12">
        <v>3</v>
      </c>
      <c r="G96" s="11">
        <v>3</v>
      </c>
      <c r="H96" s="11">
        <v>25</v>
      </c>
      <c r="I96" s="11">
        <v>8.3000000000000007</v>
      </c>
      <c r="J96" s="11">
        <v>0</v>
      </c>
      <c r="K96" s="11">
        <v>0</v>
      </c>
      <c r="L96" s="11" t="str" cm="1">
        <f t="array" ref="L96">IFERROR(_xlfn.XLOOKUP(C96&amp;A96, ESPN!A:A&amp;ESPN!C:C, ESPN!D:D), "N/A")</f>
        <v>N/A</v>
      </c>
      <c r="M96" s="23" t="str" cm="1">
        <f t="array" ref="M96">IFERROR(_xlfn.XLOOKUP(C96&amp;A96, ESPN!A:A&amp;ESPN!C:C, ESPN!G:G), "N/A")</f>
        <v>N/A</v>
      </c>
      <c r="N96" s="23" t="str" cm="1">
        <f t="array" ref="N96">IFERROR(_xlfn.XLOOKUP(C96&amp;A96, ESPN!A:A&amp;ESPN!C:C, ESPN!H:H), "N/A")</f>
        <v>N/A</v>
      </c>
      <c r="O96" s="26" t="str" cm="1">
        <f t="array" ref="O96">IFERROR(_xlfn.XLOOKUP(C96&amp;A96, ESPN!A:A&amp;ESPN!C:C, ESPN!I:I), "N/A")</f>
        <v>N/A</v>
      </c>
      <c r="P96" s="26" t="str" cm="1">
        <f t="array" ref="P96">IFERROR(_xlfn.XLOOKUP(C96&amp;A96, ESPN!A:A&amp;ESPN!C:C, ESPN!J:J), "N/A")</f>
        <v>N/A</v>
      </c>
      <c r="Q96" s="26" t="str" cm="1">
        <f t="array" ref="Q96">IFERROR(_xlfn.XLOOKUP(C96&amp;A96, ESPN!A:A&amp;ESPN!C:C, ESPN!K:K), "N/A")</f>
        <v>N/A</v>
      </c>
    </row>
    <row r="97" spans="1:17" x14ac:dyDescent="0.45">
      <c r="A97" s="7">
        <v>2025</v>
      </c>
      <c r="B97" s="3" t="s">
        <v>99</v>
      </c>
      <c r="C97" s="4" t="str">
        <f t="shared" si="2"/>
        <v>Nathan Carter</v>
      </c>
      <c r="D97" s="4" t="str">
        <f t="shared" si="3"/>
        <v>ATL</v>
      </c>
      <c r="E97" s="4">
        <v>4</v>
      </c>
      <c r="F97" s="13">
        <v>17</v>
      </c>
      <c r="G97" s="14">
        <v>16</v>
      </c>
      <c r="H97" s="14">
        <v>99</v>
      </c>
      <c r="I97" s="14">
        <v>6.2</v>
      </c>
      <c r="J97" s="14">
        <v>0</v>
      </c>
      <c r="K97" s="14">
        <v>1</v>
      </c>
      <c r="L97" s="11" t="str" cm="1">
        <f t="array" ref="L97">IFERROR(_xlfn.XLOOKUP(C97&amp;A97, ESPN!A:A&amp;ESPN!C:C, ESPN!D:D), "N/A")</f>
        <v>N/A</v>
      </c>
      <c r="M97" s="23" t="str" cm="1">
        <f t="array" ref="M97">IFERROR(_xlfn.XLOOKUP(C97&amp;A97, ESPN!A:A&amp;ESPN!C:C, ESPN!G:G), "N/A")</f>
        <v>N/A</v>
      </c>
      <c r="N97" s="23" t="str" cm="1">
        <f t="array" ref="N97">IFERROR(_xlfn.XLOOKUP(C97&amp;A97, ESPN!A:A&amp;ESPN!C:C, ESPN!H:H), "N/A")</f>
        <v>N/A</v>
      </c>
      <c r="O97" s="26" t="str" cm="1">
        <f t="array" ref="O97">IFERROR(_xlfn.XLOOKUP(C97&amp;A97, ESPN!A:A&amp;ESPN!C:C, ESPN!I:I), "N/A")</f>
        <v>N/A</v>
      </c>
      <c r="P97" s="26" t="str" cm="1">
        <f t="array" ref="P97">IFERROR(_xlfn.XLOOKUP(C97&amp;A97, ESPN!A:A&amp;ESPN!C:C, ESPN!J:J), "N/A")</f>
        <v>N/A</v>
      </c>
      <c r="Q97" s="26" t="str" cm="1">
        <f t="array" ref="Q97">IFERROR(_xlfn.XLOOKUP(C97&amp;A97, ESPN!A:A&amp;ESPN!C:C, ESPN!K:K), "N/A")</f>
        <v>N/A</v>
      </c>
    </row>
    <row r="98" spans="1:17" x14ac:dyDescent="0.45">
      <c r="A98" s="6">
        <v>2025</v>
      </c>
      <c r="B98" s="1" t="s">
        <v>100</v>
      </c>
      <c r="C98" s="2" t="str">
        <f t="shared" si="2"/>
        <v>Ameer Abdullah</v>
      </c>
      <c r="D98" s="2" t="str">
        <f t="shared" si="3"/>
        <v>IND</v>
      </c>
      <c r="E98" s="2">
        <v>13</v>
      </c>
      <c r="F98" s="12">
        <v>3</v>
      </c>
      <c r="G98" s="11">
        <v>3</v>
      </c>
      <c r="H98" s="11">
        <v>21</v>
      </c>
      <c r="I98" s="11">
        <v>7</v>
      </c>
      <c r="J98" s="11">
        <v>0</v>
      </c>
      <c r="K98" s="11">
        <v>1</v>
      </c>
      <c r="L98" s="11" t="str" cm="1">
        <f t="array" ref="L98">IFERROR(_xlfn.XLOOKUP(C98&amp;A98, ESPN!A:A&amp;ESPN!C:C, ESPN!D:D), "N/A")</f>
        <v>N/A</v>
      </c>
      <c r="M98" s="23" t="str" cm="1">
        <f t="array" ref="M98">IFERROR(_xlfn.XLOOKUP(C98&amp;A98, ESPN!A:A&amp;ESPN!C:C, ESPN!G:G), "N/A")</f>
        <v>N/A</v>
      </c>
      <c r="N98" s="23" t="str" cm="1">
        <f t="array" ref="N98">IFERROR(_xlfn.XLOOKUP(C98&amp;A98, ESPN!A:A&amp;ESPN!C:C, ESPN!H:H), "N/A")</f>
        <v>N/A</v>
      </c>
      <c r="O98" s="26" t="str" cm="1">
        <f t="array" ref="O98">IFERROR(_xlfn.XLOOKUP(C98&amp;A98, ESPN!A:A&amp;ESPN!C:C, ESPN!I:I), "N/A")</f>
        <v>N/A</v>
      </c>
      <c r="P98" s="26" t="str" cm="1">
        <f t="array" ref="P98">IFERROR(_xlfn.XLOOKUP(C98&amp;A98, ESPN!A:A&amp;ESPN!C:C, ESPN!J:J), "N/A")</f>
        <v>N/A</v>
      </c>
      <c r="Q98" s="26" t="str" cm="1">
        <f t="array" ref="Q98">IFERROR(_xlfn.XLOOKUP(C98&amp;A98, ESPN!A:A&amp;ESPN!C:C, ESPN!K:K), "N/A")</f>
        <v>N/A</v>
      </c>
    </row>
    <row r="99" spans="1:17" x14ac:dyDescent="0.45">
      <c r="A99" s="7">
        <v>2025</v>
      </c>
      <c r="B99" s="3" t="s">
        <v>101</v>
      </c>
      <c r="C99" s="4" t="str">
        <f t="shared" si="2"/>
        <v>AJ Dillon</v>
      </c>
      <c r="D99" s="4" t="str">
        <f t="shared" si="3"/>
        <v>PHI</v>
      </c>
      <c r="E99" s="4">
        <v>7</v>
      </c>
      <c r="F99" s="13">
        <v>0</v>
      </c>
      <c r="G99" s="14">
        <v>0</v>
      </c>
      <c r="H99" s="14">
        <v>0</v>
      </c>
      <c r="I99" s="14">
        <v>0</v>
      </c>
      <c r="J99" s="14">
        <v>0</v>
      </c>
      <c r="K99" s="14">
        <v>1</v>
      </c>
      <c r="L99" s="11" t="str" cm="1">
        <f t="array" ref="L99">IFERROR(_xlfn.XLOOKUP(C99&amp;A99, ESPN!A:A&amp;ESPN!C:C, ESPN!D:D), "N/A")</f>
        <v>N/A</v>
      </c>
      <c r="M99" s="23" t="str" cm="1">
        <f t="array" ref="M99">IFERROR(_xlfn.XLOOKUP(C99&amp;A99, ESPN!A:A&amp;ESPN!C:C, ESPN!G:G), "N/A")</f>
        <v>N/A</v>
      </c>
      <c r="N99" s="23" t="str" cm="1">
        <f t="array" ref="N99">IFERROR(_xlfn.XLOOKUP(C99&amp;A99, ESPN!A:A&amp;ESPN!C:C, ESPN!H:H), "N/A")</f>
        <v>N/A</v>
      </c>
      <c r="O99" s="26" t="str" cm="1">
        <f t="array" ref="O99">IFERROR(_xlfn.XLOOKUP(C99&amp;A99, ESPN!A:A&amp;ESPN!C:C, ESPN!I:I), "N/A")</f>
        <v>N/A</v>
      </c>
      <c r="P99" s="26" t="str" cm="1">
        <f t="array" ref="P99">IFERROR(_xlfn.XLOOKUP(C99&amp;A99, ESPN!A:A&amp;ESPN!C:C, ESPN!J:J), "N/A")</f>
        <v>N/A</v>
      </c>
      <c r="Q99" s="26" t="str" cm="1">
        <f t="array" ref="Q99">IFERROR(_xlfn.XLOOKUP(C99&amp;A99, ESPN!A:A&amp;ESPN!C:C, ESPN!K:K), "N/A")</f>
        <v>N/A</v>
      </c>
    </row>
    <row r="100" spans="1:17" x14ac:dyDescent="0.45">
      <c r="A100" s="6">
        <v>2025</v>
      </c>
      <c r="B100" s="1" t="s">
        <v>102</v>
      </c>
      <c r="C100" s="2" t="str">
        <f t="shared" si="2"/>
        <v>Corey Kiner</v>
      </c>
      <c r="D100" s="2" t="str">
        <f t="shared" si="3"/>
        <v>ARI</v>
      </c>
      <c r="E100" s="2">
        <v>4</v>
      </c>
      <c r="F100" s="12">
        <v>3</v>
      </c>
      <c r="G100" s="11">
        <v>2</v>
      </c>
      <c r="H100" s="11">
        <v>15</v>
      </c>
      <c r="I100" s="11">
        <v>7.5</v>
      </c>
      <c r="J100" s="11">
        <v>0</v>
      </c>
      <c r="K100" s="11">
        <v>0</v>
      </c>
      <c r="L100" s="11" t="str" cm="1">
        <f t="array" ref="L100">IFERROR(_xlfn.XLOOKUP(C100&amp;A100, ESPN!A:A&amp;ESPN!C:C, ESPN!D:D), "N/A")</f>
        <v>N/A</v>
      </c>
      <c r="M100" s="23" t="str" cm="1">
        <f t="array" ref="M100">IFERROR(_xlfn.XLOOKUP(C100&amp;A100, ESPN!A:A&amp;ESPN!C:C, ESPN!G:G), "N/A")</f>
        <v>N/A</v>
      </c>
      <c r="N100" s="23" t="str" cm="1">
        <f t="array" ref="N100">IFERROR(_xlfn.XLOOKUP(C100&amp;A100, ESPN!A:A&amp;ESPN!C:C, ESPN!H:H), "N/A")</f>
        <v>N/A</v>
      </c>
      <c r="O100" s="26" t="str" cm="1">
        <f t="array" ref="O100">IFERROR(_xlfn.XLOOKUP(C100&amp;A100, ESPN!A:A&amp;ESPN!C:C, ESPN!I:I), "N/A")</f>
        <v>N/A</v>
      </c>
      <c r="P100" s="26" t="str" cm="1">
        <f t="array" ref="P100">IFERROR(_xlfn.XLOOKUP(C100&amp;A100, ESPN!A:A&amp;ESPN!C:C, ESPN!J:J), "N/A")</f>
        <v>N/A</v>
      </c>
      <c r="Q100" s="26" t="str" cm="1">
        <f t="array" ref="Q100">IFERROR(_xlfn.XLOOKUP(C100&amp;A100, ESPN!A:A&amp;ESPN!C:C, ESPN!K:K), "N/A")</f>
        <v>N/A</v>
      </c>
    </row>
    <row r="101" spans="1:17" x14ac:dyDescent="0.45">
      <c r="A101" s="7">
        <v>2025</v>
      </c>
      <c r="B101" s="3" t="s">
        <v>103</v>
      </c>
      <c r="C101" s="4" t="str">
        <f t="shared" si="2"/>
        <v>Khalil Herbert</v>
      </c>
      <c r="D101" s="4" t="str">
        <f t="shared" si="3"/>
        <v>NYJ</v>
      </c>
      <c r="E101" s="4">
        <v>5</v>
      </c>
      <c r="F101" s="13">
        <v>4</v>
      </c>
      <c r="G101" s="14">
        <v>1</v>
      </c>
      <c r="H101" s="14">
        <v>4</v>
      </c>
      <c r="I101" s="14">
        <v>4</v>
      </c>
      <c r="J101" s="14">
        <v>0</v>
      </c>
      <c r="K101" s="14">
        <v>0</v>
      </c>
      <c r="L101" s="11" t="str" cm="1">
        <f t="array" ref="L101">IFERROR(_xlfn.XLOOKUP(C101&amp;A101, ESPN!A:A&amp;ESPN!C:C, ESPN!D:D), "N/A")</f>
        <v>N/A</v>
      </c>
      <c r="M101" s="23" t="str" cm="1">
        <f t="array" ref="M101">IFERROR(_xlfn.XLOOKUP(C101&amp;A101, ESPN!A:A&amp;ESPN!C:C, ESPN!G:G), "N/A")</f>
        <v>N/A</v>
      </c>
      <c r="N101" s="23" t="str" cm="1">
        <f t="array" ref="N101">IFERROR(_xlfn.XLOOKUP(C101&amp;A101, ESPN!A:A&amp;ESPN!C:C, ESPN!H:H), "N/A")</f>
        <v>N/A</v>
      </c>
      <c r="O101" s="26" t="str" cm="1">
        <f t="array" ref="O101">IFERROR(_xlfn.XLOOKUP(C101&amp;A101, ESPN!A:A&amp;ESPN!C:C, ESPN!I:I), "N/A")</f>
        <v>N/A</v>
      </c>
      <c r="P101" s="26" t="str" cm="1">
        <f t="array" ref="P101">IFERROR(_xlfn.XLOOKUP(C101&amp;A101, ESPN!A:A&amp;ESPN!C:C, ESPN!J:J), "N/A")</f>
        <v>N/A</v>
      </c>
      <c r="Q101" s="26" t="str" cm="1">
        <f t="array" ref="Q101">IFERROR(_xlfn.XLOOKUP(C101&amp;A101, ESPN!A:A&amp;ESPN!C:C, ESPN!K:K), "N/A")</f>
        <v>N/A</v>
      </c>
    </row>
    <row r="102" spans="1:17" x14ac:dyDescent="0.45">
      <c r="A102" s="6">
        <v>2025</v>
      </c>
      <c r="B102" s="1" t="s">
        <v>104</v>
      </c>
      <c r="C102" s="2" t="str">
        <f t="shared" si="2"/>
        <v>Will Shipley</v>
      </c>
      <c r="D102" s="2" t="str">
        <f t="shared" si="3"/>
        <v>PHI</v>
      </c>
      <c r="E102" s="2">
        <v>15</v>
      </c>
      <c r="F102" s="12">
        <v>1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 t="str" cm="1">
        <f t="array" ref="L102">IFERROR(_xlfn.XLOOKUP(C102&amp;A102, ESPN!A:A&amp;ESPN!C:C, ESPN!D:D), "N/A")</f>
        <v>N/A</v>
      </c>
      <c r="M102" s="23" t="str" cm="1">
        <f t="array" ref="M102">IFERROR(_xlfn.XLOOKUP(C102&amp;A102, ESPN!A:A&amp;ESPN!C:C, ESPN!G:G), "N/A")</f>
        <v>N/A</v>
      </c>
      <c r="N102" s="23" t="str" cm="1">
        <f t="array" ref="N102">IFERROR(_xlfn.XLOOKUP(C102&amp;A102, ESPN!A:A&amp;ESPN!C:C, ESPN!H:H), "N/A")</f>
        <v>N/A</v>
      </c>
      <c r="O102" s="26" t="str" cm="1">
        <f t="array" ref="O102">IFERROR(_xlfn.XLOOKUP(C102&amp;A102, ESPN!A:A&amp;ESPN!C:C, ESPN!I:I), "N/A")</f>
        <v>N/A</v>
      </c>
      <c r="P102" s="26" t="str" cm="1">
        <f t="array" ref="P102">IFERROR(_xlfn.XLOOKUP(C102&amp;A102, ESPN!A:A&amp;ESPN!C:C, ESPN!J:J), "N/A")</f>
        <v>N/A</v>
      </c>
      <c r="Q102" s="26" t="str" cm="1">
        <f t="array" ref="Q102">IFERROR(_xlfn.XLOOKUP(C102&amp;A102, ESPN!A:A&amp;ESPN!C:C, ESPN!K:K), "N/A")</f>
        <v>N/A</v>
      </c>
    </row>
    <row r="103" spans="1:17" x14ac:dyDescent="0.45">
      <c r="A103" s="7">
        <v>2025</v>
      </c>
      <c r="B103" s="3" t="s">
        <v>105</v>
      </c>
      <c r="C103" s="4" t="str">
        <f t="shared" si="2"/>
        <v>Kene Nwangwu</v>
      </c>
      <c r="D103" s="4" t="str">
        <f t="shared" si="3"/>
        <v>NYJ</v>
      </c>
      <c r="E103" s="4">
        <v>10</v>
      </c>
      <c r="F103" s="13">
        <v>12</v>
      </c>
      <c r="G103" s="14">
        <v>9</v>
      </c>
      <c r="H103" s="14">
        <v>56</v>
      </c>
      <c r="I103" s="14">
        <v>6.2</v>
      </c>
      <c r="J103" s="14">
        <v>0</v>
      </c>
      <c r="K103" s="14">
        <v>1</v>
      </c>
      <c r="L103" s="11" t="str" cm="1">
        <f t="array" ref="L103">IFERROR(_xlfn.XLOOKUP(C103&amp;A103, ESPN!A:A&amp;ESPN!C:C, ESPN!D:D), "N/A")</f>
        <v>N/A</v>
      </c>
      <c r="M103" s="23" t="str" cm="1">
        <f t="array" ref="M103">IFERROR(_xlfn.XLOOKUP(C103&amp;A103, ESPN!A:A&amp;ESPN!C:C, ESPN!G:G), "N/A")</f>
        <v>N/A</v>
      </c>
      <c r="N103" s="23" t="str" cm="1">
        <f t="array" ref="N103">IFERROR(_xlfn.XLOOKUP(C103&amp;A103, ESPN!A:A&amp;ESPN!C:C, ESPN!H:H), "N/A")</f>
        <v>N/A</v>
      </c>
      <c r="O103" s="26" t="str" cm="1">
        <f t="array" ref="O103">IFERROR(_xlfn.XLOOKUP(C103&amp;A103, ESPN!A:A&amp;ESPN!C:C, ESPN!I:I), "N/A")</f>
        <v>N/A</v>
      </c>
      <c r="P103" s="26" t="str" cm="1">
        <f t="array" ref="P103">IFERROR(_xlfn.XLOOKUP(C103&amp;A103, ESPN!A:A&amp;ESPN!C:C, ESPN!J:J), "N/A")</f>
        <v>N/A</v>
      </c>
      <c r="Q103" s="26" t="str" cm="1">
        <f t="array" ref="Q103">IFERROR(_xlfn.XLOOKUP(C103&amp;A103, ESPN!A:A&amp;ESPN!C:C, ESPN!K:K), "N/A")</f>
        <v>N/A</v>
      </c>
    </row>
    <row r="104" spans="1:17" x14ac:dyDescent="0.45">
      <c r="A104" s="6">
        <v>2025</v>
      </c>
      <c r="B104" s="1" t="s">
        <v>106</v>
      </c>
      <c r="C104" s="2" t="str">
        <f t="shared" si="2"/>
        <v>Evan Hull</v>
      </c>
      <c r="D104" s="2" t="str">
        <f t="shared" si="3"/>
        <v>NO</v>
      </c>
      <c r="E104" s="2">
        <v>6</v>
      </c>
      <c r="F104" s="12">
        <v>1</v>
      </c>
      <c r="G104" s="11">
        <v>1</v>
      </c>
      <c r="H104" s="11">
        <v>6</v>
      </c>
      <c r="I104" s="11">
        <v>6</v>
      </c>
      <c r="J104" s="11">
        <v>0</v>
      </c>
      <c r="K104" s="11">
        <v>0</v>
      </c>
      <c r="L104" s="11" t="str" cm="1">
        <f t="array" ref="L104">IFERROR(_xlfn.XLOOKUP(C104&amp;A104, ESPN!A:A&amp;ESPN!C:C, ESPN!D:D), "N/A")</f>
        <v>N/A</v>
      </c>
      <c r="M104" s="23" t="str" cm="1">
        <f t="array" ref="M104">IFERROR(_xlfn.XLOOKUP(C104&amp;A104, ESPN!A:A&amp;ESPN!C:C, ESPN!G:G), "N/A")</f>
        <v>N/A</v>
      </c>
      <c r="N104" s="23" t="str" cm="1">
        <f t="array" ref="N104">IFERROR(_xlfn.XLOOKUP(C104&amp;A104, ESPN!A:A&amp;ESPN!C:C, ESPN!H:H), "N/A")</f>
        <v>N/A</v>
      </c>
      <c r="O104" s="26" t="str" cm="1">
        <f t="array" ref="O104">IFERROR(_xlfn.XLOOKUP(C104&amp;A104, ESPN!A:A&amp;ESPN!C:C, ESPN!I:I), "N/A")</f>
        <v>N/A</v>
      </c>
      <c r="P104" s="26" t="str" cm="1">
        <f t="array" ref="P104">IFERROR(_xlfn.XLOOKUP(C104&amp;A104, ESPN!A:A&amp;ESPN!C:C, ESPN!J:J), "N/A")</f>
        <v>N/A</v>
      </c>
      <c r="Q104" s="26" t="str" cm="1">
        <f t="array" ref="Q104">IFERROR(_xlfn.XLOOKUP(C104&amp;A104, ESPN!A:A&amp;ESPN!C:C, ESPN!K:K), "N/A")</f>
        <v>N/A</v>
      </c>
    </row>
    <row r="105" spans="1:17" x14ac:dyDescent="0.45">
      <c r="A105" s="7">
        <v>2025</v>
      </c>
      <c r="B105" s="3" t="s">
        <v>107</v>
      </c>
      <c r="C105" s="4" t="str">
        <f t="shared" si="2"/>
        <v>Ty Chandler</v>
      </c>
      <c r="D105" s="4" t="str">
        <f t="shared" si="3"/>
        <v>MIN</v>
      </c>
      <c r="E105" s="4">
        <v>3</v>
      </c>
      <c r="F105" s="13">
        <v>4</v>
      </c>
      <c r="G105" s="14">
        <v>4</v>
      </c>
      <c r="H105" s="14">
        <v>13</v>
      </c>
      <c r="I105" s="14">
        <v>3.3</v>
      </c>
      <c r="J105" s="14">
        <v>0</v>
      </c>
      <c r="K105" s="14">
        <v>0</v>
      </c>
      <c r="L105" s="11" t="str" cm="1">
        <f t="array" ref="L105">IFERROR(_xlfn.XLOOKUP(C105&amp;A105, ESPN!A:A&amp;ESPN!C:C, ESPN!D:D), "N/A")</f>
        <v>N/A</v>
      </c>
      <c r="M105" s="23" t="str" cm="1">
        <f t="array" ref="M105">IFERROR(_xlfn.XLOOKUP(C105&amp;A105, ESPN!A:A&amp;ESPN!C:C, ESPN!G:G), "N/A")</f>
        <v>N/A</v>
      </c>
      <c r="N105" s="23" t="str" cm="1">
        <f t="array" ref="N105">IFERROR(_xlfn.XLOOKUP(C105&amp;A105, ESPN!A:A&amp;ESPN!C:C, ESPN!H:H), "N/A")</f>
        <v>N/A</v>
      </c>
      <c r="O105" s="26" t="str" cm="1">
        <f t="array" ref="O105">IFERROR(_xlfn.XLOOKUP(C105&amp;A105, ESPN!A:A&amp;ESPN!C:C, ESPN!I:I), "N/A")</f>
        <v>N/A</v>
      </c>
      <c r="P105" s="26" t="str" cm="1">
        <f t="array" ref="P105">IFERROR(_xlfn.XLOOKUP(C105&amp;A105, ESPN!A:A&amp;ESPN!C:C, ESPN!J:J), "N/A")</f>
        <v>N/A</v>
      </c>
      <c r="Q105" s="26" t="str" cm="1">
        <f t="array" ref="Q105">IFERROR(_xlfn.XLOOKUP(C105&amp;A105, ESPN!A:A&amp;ESPN!C:C, ESPN!K:K), "N/A")</f>
        <v>N/A</v>
      </c>
    </row>
    <row r="106" spans="1:17" x14ac:dyDescent="0.45">
      <c r="A106" s="6">
        <v>2025</v>
      </c>
      <c r="B106" s="1" t="s">
        <v>108</v>
      </c>
      <c r="C106" s="2" t="str">
        <f t="shared" si="2"/>
        <v>Hassan Haskins</v>
      </c>
      <c r="D106" s="2" t="str">
        <f t="shared" si="3"/>
        <v>LAC</v>
      </c>
      <c r="E106" s="2">
        <v>13</v>
      </c>
      <c r="F106" s="12">
        <v>4</v>
      </c>
      <c r="G106" s="11">
        <v>3</v>
      </c>
      <c r="H106" s="11">
        <v>11</v>
      </c>
      <c r="I106" s="11">
        <v>3.7</v>
      </c>
      <c r="J106" s="11">
        <v>0</v>
      </c>
      <c r="K106" s="11">
        <v>0</v>
      </c>
      <c r="L106" s="11" t="str" cm="1">
        <f t="array" ref="L106">IFERROR(_xlfn.XLOOKUP(C106&amp;A106, ESPN!A:A&amp;ESPN!C:C, ESPN!D:D), "N/A")</f>
        <v>N/A</v>
      </c>
      <c r="M106" s="23" t="str" cm="1">
        <f t="array" ref="M106">IFERROR(_xlfn.XLOOKUP(C106&amp;A106, ESPN!A:A&amp;ESPN!C:C, ESPN!G:G), "N/A")</f>
        <v>N/A</v>
      </c>
      <c r="N106" s="23" t="str" cm="1">
        <f t="array" ref="N106">IFERROR(_xlfn.XLOOKUP(C106&amp;A106, ESPN!A:A&amp;ESPN!C:C, ESPN!H:H), "N/A")</f>
        <v>N/A</v>
      </c>
      <c r="O106" s="26" t="str" cm="1">
        <f t="array" ref="O106">IFERROR(_xlfn.XLOOKUP(C106&amp;A106, ESPN!A:A&amp;ESPN!C:C, ESPN!I:I), "N/A")</f>
        <v>N/A</v>
      </c>
      <c r="P106" s="26" t="str" cm="1">
        <f t="array" ref="P106">IFERROR(_xlfn.XLOOKUP(C106&amp;A106, ESPN!A:A&amp;ESPN!C:C, ESPN!J:J), "N/A")</f>
        <v>N/A</v>
      </c>
      <c r="Q106" s="26" t="str" cm="1">
        <f t="array" ref="Q106">IFERROR(_xlfn.XLOOKUP(C106&amp;A106, ESPN!A:A&amp;ESPN!C:C, ESPN!K:K), "N/A")</f>
        <v>N/A</v>
      </c>
    </row>
    <row r="107" spans="1:17" x14ac:dyDescent="0.45">
      <c r="A107" s="7">
        <v>2025</v>
      </c>
      <c r="B107" s="3" t="s">
        <v>109</v>
      </c>
      <c r="C107" s="4" t="str">
        <f t="shared" si="2"/>
        <v>Ronnie Rivers</v>
      </c>
      <c r="D107" s="4" t="str">
        <f t="shared" si="3"/>
        <v>LAR</v>
      </c>
      <c r="E107" s="4">
        <v>7</v>
      </c>
      <c r="F107" s="13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</v>
      </c>
      <c r="L107" s="11" t="str" cm="1">
        <f t="array" ref="L107">IFERROR(_xlfn.XLOOKUP(C107&amp;A107, ESPN!A:A&amp;ESPN!C:C, ESPN!D:D), "N/A")</f>
        <v>N/A</v>
      </c>
      <c r="M107" s="23" t="str" cm="1">
        <f t="array" ref="M107">IFERROR(_xlfn.XLOOKUP(C107&amp;A107, ESPN!A:A&amp;ESPN!C:C, ESPN!G:G), "N/A")</f>
        <v>N/A</v>
      </c>
      <c r="N107" s="23" t="str" cm="1">
        <f t="array" ref="N107">IFERROR(_xlfn.XLOOKUP(C107&amp;A107, ESPN!A:A&amp;ESPN!C:C, ESPN!H:H), "N/A")</f>
        <v>N/A</v>
      </c>
      <c r="O107" s="26" t="str" cm="1">
        <f t="array" ref="O107">IFERROR(_xlfn.XLOOKUP(C107&amp;A107, ESPN!A:A&amp;ESPN!C:C, ESPN!I:I), "N/A")</f>
        <v>N/A</v>
      </c>
      <c r="P107" s="26" t="str" cm="1">
        <f t="array" ref="P107">IFERROR(_xlfn.XLOOKUP(C107&amp;A107, ESPN!A:A&amp;ESPN!C:C, ESPN!J:J), "N/A")</f>
        <v>N/A</v>
      </c>
      <c r="Q107" s="26" t="str" cm="1">
        <f t="array" ref="Q107">IFERROR(_xlfn.XLOOKUP(C107&amp;A107, ESPN!A:A&amp;ESPN!C:C, ESPN!K:K), "N/A")</f>
        <v>N/A</v>
      </c>
    </row>
    <row r="108" spans="1:17" x14ac:dyDescent="0.45">
      <c r="A108" s="6">
        <v>2025</v>
      </c>
      <c r="B108" s="1" t="s">
        <v>110</v>
      </c>
      <c r="C108" s="2" t="str">
        <f t="shared" si="2"/>
        <v>Tahj Brooks</v>
      </c>
      <c r="D108" s="2" t="str">
        <f t="shared" si="3"/>
        <v>CIN</v>
      </c>
      <c r="E108" s="2">
        <v>12</v>
      </c>
      <c r="F108" s="12">
        <v>2</v>
      </c>
      <c r="G108" s="11">
        <v>1</v>
      </c>
      <c r="H108" s="11">
        <v>9</v>
      </c>
      <c r="I108" s="11">
        <v>9</v>
      </c>
      <c r="J108" s="11">
        <v>0</v>
      </c>
      <c r="K108" s="11">
        <v>0</v>
      </c>
      <c r="L108" s="11" t="str" cm="1">
        <f t="array" ref="L108">IFERROR(_xlfn.XLOOKUP(C108&amp;A108, ESPN!A:A&amp;ESPN!C:C, ESPN!D:D), "N/A")</f>
        <v>N/A</v>
      </c>
      <c r="M108" s="23" t="str" cm="1">
        <f t="array" ref="M108">IFERROR(_xlfn.XLOOKUP(C108&amp;A108, ESPN!A:A&amp;ESPN!C:C, ESPN!G:G), "N/A")</f>
        <v>N/A</v>
      </c>
      <c r="N108" s="23" t="str" cm="1">
        <f t="array" ref="N108">IFERROR(_xlfn.XLOOKUP(C108&amp;A108, ESPN!A:A&amp;ESPN!C:C, ESPN!H:H), "N/A")</f>
        <v>N/A</v>
      </c>
      <c r="O108" s="26" t="str" cm="1">
        <f t="array" ref="O108">IFERROR(_xlfn.XLOOKUP(C108&amp;A108, ESPN!A:A&amp;ESPN!C:C, ESPN!I:I), "N/A")</f>
        <v>N/A</v>
      </c>
      <c r="P108" s="26" t="str" cm="1">
        <f t="array" ref="P108">IFERROR(_xlfn.XLOOKUP(C108&amp;A108, ESPN!A:A&amp;ESPN!C:C, ESPN!J:J), "N/A")</f>
        <v>N/A</v>
      </c>
      <c r="Q108" s="26" t="str" cm="1">
        <f t="array" ref="Q108">IFERROR(_xlfn.XLOOKUP(C108&amp;A108, ESPN!A:A&amp;ESPN!C:C, ESPN!K:K), "N/A")</f>
        <v>N/A</v>
      </c>
    </row>
    <row r="109" spans="1:17" x14ac:dyDescent="0.45">
      <c r="A109" s="7">
        <v>2025</v>
      </c>
      <c r="B109" s="3" t="s">
        <v>111</v>
      </c>
      <c r="C109" s="4" t="str">
        <f t="shared" si="2"/>
        <v>Adam Prentice</v>
      </c>
      <c r="D109" s="4" t="str">
        <f t="shared" si="3"/>
        <v>DEN</v>
      </c>
      <c r="E109" s="4">
        <v>17</v>
      </c>
      <c r="F109" s="13">
        <v>8</v>
      </c>
      <c r="G109" s="14">
        <v>6</v>
      </c>
      <c r="H109" s="14">
        <v>53</v>
      </c>
      <c r="I109" s="14">
        <v>8.8000000000000007</v>
      </c>
      <c r="J109" s="14">
        <v>0</v>
      </c>
      <c r="K109" s="14">
        <v>0</v>
      </c>
      <c r="L109" s="11" t="str" cm="1">
        <f t="array" ref="L109">IFERROR(_xlfn.XLOOKUP(C109&amp;A109, ESPN!A:A&amp;ESPN!C:C, ESPN!D:D), "N/A")</f>
        <v>N/A</v>
      </c>
      <c r="M109" s="23" t="str" cm="1">
        <f t="array" ref="M109">IFERROR(_xlfn.XLOOKUP(C109&amp;A109, ESPN!A:A&amp;ESPN!C:C, ESPN!G:G), "N/A")</f>
        <v>N/A</v>
      </c>
      <c r="N109" s="23" t="str" cm="1">
        <f t="array" ref="N109">IFERROR(_xlfn.XLOOKUP(C109&amp;A109, ESPN!A:A&amp;ESPN!C:C, ESPN!H:H), "N/A")</f>
        <v>N/A</v>
      </c>
      <c r="O109" s="26" t="str" cm="1">
        <f t="array" ref="O109">IFERROR(_xlfn.XLOOKUP(C109&amp;A109, ESPN!A:A&amp;ESPN!C:C, ESPN!I:I), "N/A")</f>
        <v>N/A</v>
      </c>
      <c r="P109" s="26" t="str" cm="1">
        <f t="array" ref="P109">IFERROR(_xlfn.XLOOKUP(C109&amp;A109, ESPN!A:A&amp;ESPN!C:C, ESPN!J:J), "N/A")</f>
        <v>N/A</v>
      </c>
      <c r="Q109" s="26" t="str" cm="1">
        <f t="array" ref="Q109">IFERROR(_xlfn.XLOOKUP(C109&amp;A109, ESPN!A:A&amp;ESPN!C:C, ESPN!K:K), "N/A")</f>
        <v>N/A</v>
      </c>
    </row>
    <row r="110" spans="1:17" x14ac:dyDescent="0.45">
      <c r="A110" s="6">
        <v>2025</v>
      </c>
      <c r="B110" s="1" t="s">
        <v>112</v>
      </c>
      <c r="C110" s="2" t="str">
        <f t="shared" si="2"/>
        <v>Connor Heyward</v>
      </c>
      <c r="D110" s="2" t="str">
        <f t="shared" si="3"/>
        <v>PIT</v>
      </c>
      <c r="E110" s="2">
        <v>16</v>
      </c>
      <c r="F110" s="12">
        <v>7</v>
      </c>
      <c r="G110" s="11">
        <v>5</v>
      </c>
      <c r="H110" s="11">
        <v>38</v>
      </c>
      <c r="I110" s="11">
        <v>7.6</v>
      </c>
      <c r="J110" s="11">
        <v>0</v>
      </c>
      <c r="K110" s="11">
        <v>0</v>
      </c>
      <c r="L110" s="11" t="str" cm="1">
        <f t="array" ref="L110">IFERROR(_xlfn.XLOOKUP(C110&amp;A110, ESPN!A:A&amp;ESPN!C:C, ESPN!D:D), "N/A")</f>
        <v>N/A</v>
      </c>
      <c r="M110" s="23" t="str" cm="1">
        <f t="array" ref="M110">IFERROR(_xlfn.XLOOKUP(C110&amp;A110, ESPN!A:A&amp;ESPN!C:C, ESPN!G:G), "N/A")</f>
        <v>N/A</v>
      </c>
      <c r="N110" s="23" t="str" cm="1">
        <f t="array" ref="N110">IFERROR(_xlfn.XLOOKUP(C110&amp;A110, ESPN!A:A&amp;ESPN!C:C, ESPN!H:H), "N/A")</f>
        <v>N/A</v>
      </c>
      <c r="O110" s="26" t="str" cm="1">
        <f t="array" ref="O110">IFERROR(_xlfn.XLOOKUP(C110&amp;A110, ESPN!A:A&amp;ESPN!C:C, ESPN!I:I), "N/A")</f>
        <v>N/A</v>
      </c>
      <c r="P110" s="26" t="str" cm="1">
        <f t="array" ref="P110">IFERROR(_xlfn.XLOOKUP(C110&amp;A110, ESPN!A:A&amp;ESPN!C:C, ESPN!J:J), "N/A")</f>
        <v>N/A</v>
      </c>
      <c r="Q110" s="26" t="str" cm="1">
        <f t="array" ref="Q110">IFERROR(_xlfn.XLOOKUP(C110&amp;A110, ESPN!A:A&amp;ESPN!C:C, ESPN!K:K), "N/A")</f>
        <v>N/A</v>
      </c>
    </row>
    <row r="111" spans="1:17" x14ac:dyDescent="0.45">
      <c r="A111" s="7">
        <v>2025</v>
      </c>
      <c r="B111" s="3" t="s">
        <v>113</v>
      </c>
      <c r="C111" s="4" t="str">
        <f t="shared" si="2"/>
        <v>Austin Ekeler</v>
      </c>
      <c r="D111" s="4" t="str">
        <f t="shared" si="3"/>
        <v>WAS</v>
      </c>
      <c r="E111" s="4">
        <v>3</v>
      </c>
      <c r="F111" s="13">
        <v>4</v>
      </c>
      <c r="G111" s="14">
        <v>3</v>
      </c>
      <c r="H111" s="14">
        <v>21</v>
      </c>
      <c r="I111" s="14">
        <v>7</v>
      </c>
      <c r="J111" s="14">
        <v>1</v>
      </c>
      <c r="K111" s="14">
        <v>0</v>
      </c>
      <c r="L111" s="11" t="str" cm="1">
        <f t="array" ref="L111">IFERROR(_xlfn.XLOOKUP(C111&amp;A111, ESPN!A:A&amp;ESPN!C:C, ESPN!D:D), "N/A")</f>
        <v>N/A</v>
      </c>
      <c r="M111" s="23" t="str" cm="1">
        <f t="array" ref="M111">IFERROR(_xlfn.XLOOKUP(C111&amp;A111, ESPN!A:A&amp;ESPN!C:C, ESPN!G:G), "N/A")</f>
        <v>N/A</v>
      </c>
      <c r="N111" s="23" t="str" cm="1">
        <f t="array" ref="N111">IFERROR(_xlfn.XLOOKUP(C111&amp;A111, ESPN!A:A&amp;ESPN!C:C, ESPN!H:H), "N/A")</f>
        <v>N/A</v>
      </c>
      <c r="O111" s="26" t="str" cm="1">
        <f t="array" ref="O111">IFERROR(_xlfn.XLOOKUP(C111&amp;A111, ESPN!A:A&amp;ESPN!C:C, ESPN!I:I), "N/A")</f>
        <v>N/A</v>
      </c>
      <c r="P111" s="26" t="str" cm="1">
        <f t="array" ref="P111">IFERROR(_xlfn.XLOOKUP(C111&amp;A111, ESPN!A:A&amp;ESPN!C:C, ESPN!J:J), "N/A")</f>
        <v>N/A</v>
      </c>
      <c r="Q111" s="26" t="str" cm="1">
        <f t="array" ref="Q111">IFERROR(_xlfn.XLOOKUP(C111&amp;A111, ESPN!A:A&amp;ESPN!C:C, ESPN!K:K), "N/A")</f>
        <v>N/A</v>
      </c>
    </row>
    <row r="112" spans="1:17" x14ac:dyDescent="0.45">
      <c r="A112" s="6">
        <v>2025</v>
      </c>
      <c r="B112" s="1" t="s">
        <v>114</v>
      </c>
      <c r="C112" s="2" t="str">
        <f t="shared" si="2"/>
        <v>Julius Chestnut</v>
      </c>
      <c r="D112" s="2" t="str">
        <f t="shared" si="3"/>
        <v>TEN</v>
      </c>
      <c r="E112" s="2">
        <v>17</v>
      </c>
      <c r="F112" s="12">
        <v>2</v>
      </c>
      <c r="G112" s="11">
        <v>0</v>
      </c>
      <c r="H112" s="11">
        <v>0</v>
      </c>
      <c r="I112" s="11">
        <v>0</v>
      </c>
      <c r="J112" s="11">
        <v>0</v>
      </c>
      <c r="K112" s="11">
        <v>0</v>
      </c>
      <c r="L112" s="11" t="str" cm="1">
        <f t="array" ref="L112">IFERROR(_xlfn.XLOOKUP(C112&amp;A112, ESPN!A:A&amp;ESPN!C:C, ESPN!D:D), "N/A")</f>
        <v>N/A</v>
      </c>
      <c r="M112" s="23" t="str" cm="1">
        <f t="array" ref="M112">IFERROR(_xlfn.XLOOKUP(C112&amp;A112, ESPN!A:A&amp;ESPN!C:C, ESPN!G:G), "N/A")</f>
        <v>N/A</v>
      </c>
      <c r="N112" s="23" t="str" cm="1">
        <f t="array" ref="N112">IFERROR(_xlfn.XLOOKUP(C112&amp;A112, ESPN!A:A&amp;ESPN!C:C, ESPN!H:H), "N/A")</f>
        <v>N/A</v>
      </c>
      <c r="O112" s="26" t="str" cm="1">
        <f t="array" ref="O112">IFERROR(_xlfn.XLOOKUP(C112&amp;A112, ESPN!A:A&amp;ESPN!C:C, ESPN!I:I), "N/A")</f>
        <v>N/A</v>
      </c>
      <c r="P112" s="26" t="str" cm="1">
        <f t="array" ref="P112">IFERROR(_xlfn.XLOOKUP(C112&amp;A112, ESPN!A:A&amp;ESPN!C:C, ESPN!J:J), "N/A")</f>
        <v>N/A</v>
      </c>
      <c r="Q112" s="26" t="str" cm="1">
        <f t="array" ref="Q112">IFERROR(_xlfn.XLOOKUP(C112&amp;A112, ESPN!A:A&amp;ESPN!C:C, ESPN!K:K), "N/A")</f>
        <v>N/A</v>
      </c>
    </row>
    <row r="113" spans="1:17" x14ac:dyDescent="0.45">
      <c r="A113" s="7">
        <v>2025</v>
      </c>
      <c r="B113" s="3" t="s">
        <v>115</v>
      </c>
      <c r="C113" s="4" t="str">
        <f t="shared" si="2"/>
        <v>Brittain Brown</v>
      </c>
      <c r="D113" s="4" t="str">
        <f t="shared" si="3"/>
        <v>CHI</v>
      </c>
      <c r="E113" s="4">
        <v>2</v>
      </c>
      <c r="F113" s="13">
        <v>1</v>
      </c>
      <c r="G113" s="14">
        <v>0</v>
      </c>
      <c r="H113" s="14">
        <v>0</v>
      </c>
      <c r="I113" s="14">
        <v>0</v>
      </c>
      <c r="J113" s="14">
        <v>0</v>
      </c>
      <c r="K113" s="14">
        <v>0</v>
      </c>
      <c r="L113" s="11" t="str" cm="1">
        <f t="array" ref="L113">IFERROR(_xlfn.XLOOKUP(C113&amp;A113, ESPN!A:A&amp;ESPN!C:C, ESPN!D:D), "N/A")</f>
        <v>N/A</v>
      </c>
      <c r="M113" s="23" t="str" cm="1">
        <f t="array" ref="M113">IFERROR(_xlfn.XLOOKUP(C113&amp;A113, ESPN!A:A&amp;ESPN!C:C, ESPN!G:G), "N/A")</f>
        <v>N/A</v>
      </c>
      <c r="N113" s="23" t="str" cm="1">
        <f t="array" ref="N113">IFERROR(_xlfn.XLOOKUP(C113&amp;A113, ESPN!A:A&amp;ESPN!C:C, ESPN!H:H), "N/A")</f>
        <v>N/A</v>
      </c>
      <c r="O113" s="26" t="str" cm="1">
        <f t="array" ref="O113">IFERROR(_xlfn.XLOOKUP(C113&amp;A113, ESPN!A:A&amp;ESPN!C:C, ESPN!I:I), "N/A")</f>
        <v>N/A</v>
      </c>
      <c r="P113" s="26" t="str" cm="1">
        <f t="array" ref="P113">IFERROR(_xlfn.XLOOKUP(C113&amp;A113, ESPN!A:A&amp;ESPN!C:C, ESPN!J:J), "N/A")</f>
        <v>N/A</v>
      </c>
      <c r="Q113" s="26" t="str" cm="1">
        <f t="array" ref="Q113">IFERROR(_xlfn.XLOOKUP(C113&amp;A113, ESPN!A:A&amp;ESPN!C:C, ESPN!K:K), "N/A")</f>
        <v>N/A</v>
      </c>
    </row>
    <row r="114" spans="1:17" x14ac:dyDescent="0.45">
      <c r="A114" s="6">
        <v>2025</v>
      </c>
      <c r="B114" s="1" t="s">
        <v>116</v>
      </c>
      <c r="C114" s="2" t="str">
        <f t="shared" si="2"/>
        <v>Trayveon Williams</v>
      </c>
      <c r="D114" s="2" t="str">
        <f t="shared" si="3"/>
        <v>CLE</v>
      </c>
      <c r="E114" s="2">
        <v>7</v>
      </c>
      <c r="F114" s="12">
        <v>9</v>
      </c>
      <c r="G114" s="11">
        <v>8</v>
      </c>
      <c r="H114" s="11">
        <v>55</v>
      </c>
      <c r="I114" s="11">
        <v>6.9</v>
      </c>
      <c r="J114" s="11">
        <v>0</v>
      </c>
      <c r="K114" s="11">
        <v>0</v>
      </c>
      <c r="L114" s="11" t="str" cm="1">
        <f t="array" ref="L114">IFERROR(_xlfn.XLOOKUP(C114&amp;A114, ESPN!A:A&amp;ESPN!C:C, ESPN!D:D), "N/A")</f>
        <v>N/A</v>
      </c>
      <c r="M114" s="23" t="str" cm="1">
        <f t="array" ref="M114">IFERROR(_xlfn.XLOOKUP(C114&amp;A114, ESPN!A:A&amp;ESPN!C:C, ESPN!G:G), "N/A")</f>
        <v>N/A</v>
      </c>
      <c r="N114" s="23" t="str" cm="1">
        <f t="array" ref="N114">IFERROR(_xlfn.XLOOKUP(C114&amp;A114, ESPN!A:A&amp;ESPN!C:C, ESPN!H:H), "N/A")</f>
        <v>N/A</v>
      </c>
      <c r="O114" s="26" t="str" cm="1">
        <f t="array" ref="O114">IFERROR(_xlfn.XLOOKUP(C114&amp;A114, ESPN!A:A&amp;ESPN!C:C, ESPN!I:I), "N/A")</f>
        <v>N/A</v>
      </c>
      <c r="P114" s="26" t="str" cm="1">
        <f t="array" ref="P114">IFERROR(_xlfn.XLOOKUP(C114&amp;A114, ESPN!A:A&amp;ESPN!C:C, ESPN!J:J), "N/A")</f>
        <v>N/A</v>
      </c>
      <c r="Q114" s="26" t="str" cm="1">
        <f t="array" ref="Q114">IFERROR(_xlfn.XLOOKUP(C114&amp;A114, ESPN!A:A&amp;ESPN!C:C, ESPN!K:K), "N/A")</f>
        <v>N/A</v>
      </c>
    </row>
    <row r="115" spans="1:17" x14ac:dyDescent="0.45">
      <c r="A115" s="7">
        <v>2025</v>
      </c>
      <c r="B115" s="3" t="s">
        <v>117</v>
      </c>
      <c r="C115" s="4" t="str">
        <f t="shared" si="2"/>
        <v>Dameon Pierce</v>
      </c>
      <c r="D115" s="4" t="str">
        <f t="shared" si="3"/>
        <v>KC</v>
      </c>
      <c r="E115" s="4">
        <v>5</v>
      </c>
      <c r="F115" s="13">
        <v>1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1" t="str" cm="1">
        <f t="array" ref="L115">IFERROR(_xlfn.XLOOKUP(C115&amp;A115, ESPN!A:A&amp;ESPN!C:C, ESPN!D:D), "N/A")</f>
        <v>N/A</v>
      </c>
      <c r="M115" s="23" t="str" cm="1">
        <f t="array" ref="M115">IFERROR(_xlfn.XLOOKUP(C115&amp;A115, ESPN!A:A&amp;ESPN!C:C, ESPN!G:G), "N/A")</f>
        <v>N/A</v>
      </c>
      <c r="N115" s="23" t="str" cm="1">
        <f t="array" ref="N115">IFERROR(_xlfn.XLOOKUP(C115&amp;A115, ESPN!A:A&amp;ESPN!C:C, ESPN!H:H), "N/A")</f>
        <v>N/A</v>
      </c>
      <c r="O115" s="26" t="str" cm="1">
        <f t="array" ref="O115">IFERROR(_xlfn.XLOOKUP(C115&amp;A115, ESPN!A:A&amp;ESPN!C:C, ESPN!I:I), "N/A")</f>
        <v>N/A</v>
      </c>
      <c r="P115" s="26" t="str" cm="1">
        <f t="array" ref="P115">IFERROR(_xlfn.XLOOKUP(C115&amp;A115, ESPN!A:A&amp;ESPN!C:C, ESPN!J:J), "N/A")</f>
        <v>N/A</v>
      </c>
      <c r="Q115" s="26" t="str" cm="1">
        <f t="array" ref="Q115">IFERROR(_xlfn.XLOOKUP(C115&amp;A115, ESPN!A:A&amp;ESPN!C:C, ESPN!K:K), "N/A")</f>
        <v>N/A</v>
      </c>
    </row>
    <row r="116" spans="1:17" x14ac:dyDescent="0.45">
      <c r="A116" s="6">
        <v>2025</v>
      </c>
      <c r="B116" s="1" t="s">
        <v>118</v>
      </c>
      <c r="C116" s="2" t="str">
        <f t="shared" si="2"/>
        <v>Zamir White</v>
      </c>
      <c r="D116" s="2" t="str">
        <f t="shared" si="3"/>
        <v>LV</v>
      </c>
      <c r="E116" s="2">
        <v>5</v>
      </c>
      <c r="F116" s="12">
        <v>6</v>
      </c>
      <c r="G116" s="11">
        <v>4</v>
      </c>
      <c r="H116" s="11">
        <v>24</v>
      </c>
      <c r="I116" s="11">
        <v>6</v>
      </c>
      <c r="J116" s="11">
        <v>0</v>
      </c>
      <c r="K116" s="11">
        <v>0</v>
      </c>
      <c r="L116" s="11" t="str" cm="1">
        <f t="array" ref="L116">IFERROR(_xlfn.XLOOKUP(C116&amp;A116, ESPN!A:A&amp;ESPN!C:C, ESPN!D:D), "N/A")</f>
        <v>N/A</v>
      </c>
      <c r="M116" s="23" t="str" cm="1">
        <f t="array" ref="M116">IFERROR(_xlfn.XLOOKUP(C116&amp;A116, ESPN!A:A&amp;ESPN!C:C, ESPN!G:G), "N/A")</f>
        <v>N/A</v>
      </c>
      <c r="N116" s="23" t="str" cm="1">
        <f t="array" ref="N116">IFERROR(_xlfn.XLOOKUP(C116&amp;A116, ESPN!A:A&amp;ESPN!C:C, ESPN!H:H), "N/A")</f>
        <v>N/A</v>
      </c>
      <c r="O116" s="26" t="str" cm="1">
        <f t="array" ref="O116">IFERROR(_xlfn.XLOOKUP(C116&amp;A116, ESPN!A:A&amp;ESPN!C:C, ESPN!I:I), "N/A")</f>
        <v>N/A</v>
      </c>
      <c r="P116" s="26" t="str" cm="1">
        <f t="array" ref="P116">IFERROR(_xlfn.XLOOKUP(C116&amp;A116, ESPN!A:A&amp;ESPN!C:C, ESPN!J:J), "N/A")</f>
        <v>N/A</v>
      </c>
      <c r="Q116" s="26" t="str" cm="1">
        <f t="array" ref="Q116">IFERROR(_xlfn.XLOOKUP(C116&amp;A116, ESPN!A:A&amp;ESPN!C:C, ESPN!K:K), "N/A")</f>
        <v>N/A</v>
      </c>
    </row>
    <row r="117" spans="1:17" x14ac:dyDescent="0.45">
      <c r="A117" s="7">
        <v>2025</v>
      </c>
      <c r="B117" s="3" t="s">
        <v>119</v>
      </c>
      <c r="C117" s="4" t="str">
        <f t="shared" si="2"/>
        <v>Velus Jones Jr.</v>
      </c>
      <c r="D117" s="4" t="str">
        <f t="shared" si="3"/>
        <v>SEA</v>
      </c>
      <c r="E117" s="4">
        <v>6</v>
      </c>
      <c r="F117" s="13">
        <v>0</v>
      </c>
      <c r="G117" s="14">
        <v>0</v>
      </c>
      <c r="H117" s="14">
        <v>0</v>
      </c>
      <c r="I117" s="14">
        <v>0</v>
      </c>
      <c r="J117" s="14">
        <v>0</v>
      </c>
      <c r="K117" s="14">
        <v>0</v>
      </c>
      <c r="L117" s="11" t="str" cm="1">
        <f t="array" ref="L117">IFERROR(_xlfn.XLOOKUP(C117&amp;A117, ESPN!A:A&amp;ESPN!C:C, ESPN!D:D), "N/A")</f>
        <v>N/A</v>
      </c>
      <c r="M117" s="23" t="str" cm="1">
        <f t="array" ref="M117">IFERROR(_xlfn.XLOOKUP(C117&amp;A117, ESPN!A:A&amp;ESPN!C:C, ESPN!G:G), "N/A")</f>
        <v>N/A</v>
      </c>
      <c r="N117" s="23" t="str" cm="1">
        <f t="array" ref="N117">IFERROR(_xlfn.XLOOKUP(C117&amp;A117, ESPN!A:A&amp;ESPN!C:C, ESPN!H:H), "N/A")</f>
        <v>N/A</v>
      </c>
      <c r="O117" s="26" t="str" cm="1">
        <f t="array" ref="O117">IFERROR(_xlfn.XLOOKUP(C117&amp;A117, ESPN!A:A&amp;ESPN!C:C, ESPN!I:I), "N/A")</f>
        <v>N/A</v>
      </c>
      <c r="P117" s="26" t="str" cm="1">
        <f t="array" ref="P117">IFERROR(_xlfn.XLOOKUP(C117&amp;A117, ESPN!A:A&amp;ESPN!C:C, ESPN!J:J), "N/A")</f>
        <v>N/A</v>
      </c>
      <c r="Q117" s="26" t="str" cm="1">
        <f t="array" ref="Q117">IFERROR(_xlfn.XLOOKUP(C117&amp;A117, ESPN!A:A&amp;ESPN!C:C, ESPN!K:K), "N/A")</f>
        <v>N/A</v>
      </c>
    </row>
    <row r="118" spans="1:17" x14ac:dyDescent="0.45">
      <c r="A118" s="6">
        <v>2025</v>
      </c>
      <c r="B118" s="1" t="s">
        <v>120</v>
      </c>
      <c r="C118" s="2" t="str">
        <f t="shared" si="2"/>
        <v>Dare Ogunbowale</v>
      </c>
      <c r="D118" s="2" t="str">
        <f t="shared" si="3"/>
        <v>HOU</v>
      </c>
      <c r="E118" s="2">
        <v>17</v>
      </c>
      <c r="F118" s="12">
        <v>13</v>
      </c>
      <c r="G118" s="11">
        <v>10</v>
      </c>
      <c r="H118" s="11">
        <v>76</v>
      </c>
      <c r="I118" s="11">
        <v>7.6</v>
      </c>
      <c r="J118" s="11">
        <v>0</v>
      </c>
      <c r="K118" s="11">
        <v>1</v>
      </c>
      <c r="L118" s="11" t="str" cm="1">
        <f t="array" ref="L118">IFERROR(_xlfn.XLOOKUP(C118&amp;A118, ESPN!A:A&amp;ESPN!C:C, ESPN!D:D), "N/A")</f>
        <v>N/A</v>
      </c>
      <c r="M118" s="23" t="str" cm="1">
        <f t="array" ref="M118">IFERROR(_xlfn.XLOOKUP(C118&amp;A118, ESPN!A:A&amp;ESPN!C:C, ESPN!G:G), "N/A")</f>
        <v>N/A</v>
      </c>
      <c r="N118" s="23" t="str" cm="1">
        <f t="array" ref="N118">IFERROR(_xlfn.XLOOKUP(C118&amp;A118, ESPN!A:A&amp;ESPN!C:C, ESPN!H:H), "N/A")</f>
        <v>N/A</v>
      </c>
      <c r="O118" s="26" t="str" cm="1">
        <f t="array" ref="O118">IFERROR(_xlfn.XLOOKUP(C118&amp;A118, ESPN!A:A&amp;ESPN!C:C, ESPN!I:I), "N/A")</f>
        <v>N/A</v>
      </c>
      <c r="P118" s="26" t="str" cm="1">
        <f t="array" ref="P118">IFERROR(_xlfn.XLOOKUP(C118&amp;A118, ESPN!A:A&amp;ESPN!C:C, ESPN!J:J), "N/A")</f>
        <v>N/A</v>
      </c>
      <c r="Q118" s="26" t="str" cm="1">
        <f t="array" ref="Q118">IFERROR(_xlfn.XLOOKUP(C118&amp;A118, ESPN!A:A&amp;ESPN!C:C, ESPN!K:K), "N/A")</f>
        <v>N/A</v>
      </c>
    </row>
    <row r="119" spans="1:17" x14ac:dyDescent="0.45">
      <c r="A119" s="7">
        <v>2025</v>
      </c>
      <c r="B119" s="3" t="s">
        <v>121</v>
      </c>
      <c r="C119" s="4" t="str">
        <f t="shared" si="2"/>
        <v>D'Ernest Johnson</v>
      </c>
      <c r="D119" s="4" t="str">
        <f t="shared" si="3"/>
        <v>NE</v>
      </c>
      <c r="E119" s="4">
        <v>6</v>
      </c>
      <c r="F119" s="13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1" t="str" cm="1">
        <f t="array" ref="L119">IFERROR(_xlfn.XLOOKUP(C119&amp;A119, ESPN!A:A&amp;ESPN!C:C, ESPN!D:D), "N/A")</f>
        <v>N/A</v>
      </c>
      <c r="M119" s="23" t="str" cm="1">
        <f t="array" ref="M119">IFERROR(_xlfn.XLOOKUP(C119&amp;A119, ESPN!A:A&amp;ESPN!C:C, ESPN!G:G), "N/A")</f>
        <v>N/A</v>
      </c>
      <c r="N119" s="23" t="str" cm="1">
        <f t="array" ref="N119">IFERROR(_xlfn.XLOOKUP(C119&amp;A119, ESPN!A:A&amp;ESPN!C:C, ESPN!H:H), "N/A")</f>
        <v>N/A</v>
      </c>
      <c r="O119" s="26" t="str" cm="1">
        <f t="array" ref="O119">IFERROR(_xlfn.XLOOKUP(C119&amp;A119, ESPN!A:A&amp;ESPN!C:C, ESPN!I:I), "N/A")</f>
        <v>N/A</v>
      </c>
      <c r="P119" s="26" t="str" cm="1">
        <f t="array" ref="P119">IFERROR(_xlfn.XLOOKUP(C119&amp;A119, ESPN!A:A&amp;ESPN!C:C, ESPN!J:J), "N/A")</f>
        <v>N/A</v>
      </c>
      <c r="Q119" s="26" t="str" cm="1">
        <f t="array" ref="Q119">IFERROR(_xlfn.XLOOKUP(C119&amp;A119, ESPN!A:A&amp;ESPN!C:C, ESPN!K:K), "N/A")</f>
        <v>N/A</v>
      </c>
    </row>
    <row r="120" spans="1:17" x14ac:dyDescent="0.45">
      <c r="A120" s="6">
        <v>2025</v>
      </c>
      <c r="B120" s="1" t="s">
        <v>122</v>
      </c>
      <c r="C120" s="2" t="str">
        <f t="shared" si="2"/>
        <v>Tyler Goodson</v>
      </c>
      <c r="D120" s="2" t="str">
        <f t="shared" si="3"/>
        <v>IND</v>
      </c>
      <c r="E120" s="2">
        <v>11</v>
      </c>
      <c r="F120" s="12">
        <v>11</v>
      </c>
      <c r="G120" s="11">
        <v>9</v>
      </c>
      <c r="H120" s="11">
        <v>68</v>
      </c>
      <c r="I120" s="11">
        <v>7.6</v>
      </c>
      <c r="J120" s="11">
        <v>1</v>
      </c>
      <c r="K120" s="11">
        <v>0</v>
      </c>
      <c r="L120" s="11" t="str" cm="1">
        <f t="array" ref="L120">IFERROR(_xlfn.XLOOKUP(C120&amp;A120, ESPN!A:A&amp;ESPN!C:C, ESPN!D:D), "N/A")</f>
        <v>N/A</v>
      </c>
      <c r="M120" s="23" t="str" cm="1">
        <f t="array" ref="M120">IFERROR(_xlfn.XLOOKUP(C120&amp;A120, ESPN!A:A&amp;ESPN!C:C, ESPN!G:G), "N/A")</f>
        <v>N/A</v>
      </c>
      <c r="N120" s="23" t="str" cm="1">
        <f t="array" ref="N120">IFERROR(_xlfn.XLOOKUP(C120&amp;A120, ESPN!A:A&amp;ESPN!C:C, ESPN!H:H), "N/A")</f>
        <v>N/A</v>
      </c>
      <c r="O120" s="26" t="str" cm="1">
        <f t="array" ref="O120">IFERROR(_xlfn.XLOOKUP(C120&amp;A120, ESPN!A:A&amp;ESPN!C:C, ESPN!I:I), "N/A")</f>
        <v>N/A</v>
      </c>
      <c r="P120" s="26" t="str" cm="1">
        <f t="array" ref="P120">IFERROR(_xlfn.XLOOKUP(C120&amp;A120, ESPN!A:A&amp;ESPN!C:C, ESPN!J:J), "N/A")</f>
        <v>N/A</v>
      </c>
      <c r="Q120" s="26" t="str" cm="1">
        <f t="array" ref="Q120">IFERROR(_xlfn.XLOOKUP(C120&amp;A120, ESPN!A:A&amp;ESPN!C:C, ESPN!K:K), "N/A")</f>
        <v>N/A</v>
      </c>
    </row>
    <row r="121" spans="1:17" x14ac:dyDescent="0.45">
      <c r="A121" s="7">
        <v>2025</v>
      </c>
      <c r="B121" s="3" t="s">
        <v>123</v>
      </c>
      <c r="C121" s="4" t="str">
        <f t="shared" si="2"/>
        <v>Rasheen Ali</v>
      </c>
      <c r="D121" s="4" t="str">
        <f t="shared" si="3"/>
        <v>BAL</v>
      </c>
      <c r="E121" s="4">
        <v>15</v>
      </c>
      <c r="F121" s="13">
        <v>3</v>
      </c>
      <c r="G121" s="14">
        <v>2</v>
      </c>
      <c r="H121" s="14">
        <v>8</v>
      </c>
      <c r="I121" s="14">
        <v>4</v>
      </c>
      <c r="J121" s="14">
        <v>0</v>
      </c>
      <c r="K121" s="14">
        <v>0</v>
      </c>
      <c r="L121" s="11" t="str" cm="1">
        <f t="array" ref="L121">IFERROR(_xlfn.XLOOKUP(C121&amp;A121, ESPN!A:A&amp;ESPN!C:C, ESPN!D:D), "N/A")</f>
        <v>N/A</v>
      </c>
      <c r="M121" s="23" t="str" cm="1">
        <f t="array" ref="M121">IFERROR(_xlfn.XLOOKUP(C121&amp;A121, ESPN!A:A&amp;ESPN!C:C, ESPN!G:G), "N/A")</f>
        <v>N/A</v>
      </c>
      <c r="N121" s="23" t="str" cm="1">
        <f t="array" ref="N121">IFERROR(_xlfn.XLOOKUP(C121&amp;A121, ESPN!A:A&amp;ESPN!C:C, ESPN!H:H), "N/A")</f>
        <v>N/A</v>
      </c>
      <c r="O121" s="26" t="str" cm="1">
        <f t="array" ref="O121">IFERROR(_xlfn.XLOOKUP(C121&amp;A121, ESPN!A:A&amp;ESPN!C:C, ESPN!I:I), "N/A")</f>
        <v>N/A</v>
      </c>
      <c r="P121" s="26" t="str" cm="1">
        <f t="array" ref="P121">IFERROR(_xlfn.XLOOKUP(C121&amp;A121, ESPN!A:A&amp;ESPN!C:C, ESPN!J:J), "N/A")</f>
        <v>N/A</v>
      </c>
      <c r="Q121" s="26" t="str" cm="1">
        <f t="array" ref="Q121">IFERROR(_xlfn.XLOOKUP(C121&amp;A121, ESPN!A:A&amp;ESPN!C:C, ESPN!K:K), "N/A")</f>
        <v>N/A</v>
      </c>
    </row>
    <row r="122" spans="1:17" x14ac:dyDescent="0.45">
      <c r="A122" s="6">
        <v>2025</v>
      </c>
      <c r="B122" s="1" t="s">
        <v>124</v>
      </c>
      <c r="C122" s="2" t="str">
        <f t="shared" si="2"/>
        <v>Tyler Badie</v>
      </c>
      <c r="D122" s="2" t="str">
        <f t="shared" si="3"/>
        <v>DEN</v>
      </c>
      <c r="E122" s="2">
        <v>16</v>
      </c>
      <c r="F122" s="12">
        <v>31</v>
      </c>
      <c r="G122" s="11">
        <v>19</v>
      </c>
      <c r="H122" s="11">
        <v>141</v>
      </c>
      <c r="I122" s="11">
        <v>7.4</v>
      </c>
      <c r="J122" s="11">
        <v>0</v>
      </c>
      <c r="K122" s="11">
        <v>0</v>
      </c>
      <c r="L122" s="11" cm="1">
        <f t="array" ref="L122">IFERROR(_xlfn.XLOOKUP(C122&amp;A122, ESPN!A:A&amp;ESPN!C:C, ESPN!D:D), "N/A")</f>
        <v>127</v>
      </c>
      <c r="M122" s="23" cm="1">
        <f t="array" ref="M122">IFERROR(_xlfn.XLOOKUP(C122&amp;A122, ESPN!A:A&amp;ESPN!C:C, ESPN!G:G), "N/A")</f>
        <v>1.17</v>
      </c>
      <c r="N122" s="23" cm="1">
        <f t="array" ref="N122">IFERROR(_xlfn.XLOOKUP(C122&amp;A122, ESPN!A:A&amp;ESPN!C:C, ESPN!H:H), "N/A")</f>
        <v>77</v>
      </c>
      <c r="O122" s="26" cm="1">
        <f t="array" ref="O122">IFERROR(_xlfn.XLOOKUP(C122&amp;A122, ESPN!A:A&amp;ESPN!C:C, ESPN!I:I), "N/A")</f>
        <v>32</v>
      </c>
      <c r="P122" s="26" cm="1">
        <f t="array" ref="P122">IFERROR(_xlfn.XLOOKUP(C122&amp;A122, ESPN!A:A&amp;ESPN!C:C, ESPN!J:J), "N/A")</f>
        <v>51</v>
      </c>
      <c r="Q122" s="26" cm="1">
        <f t="array" ref="Q122">IFERROR(_xlfn.XLOOKUP(C122&amp;A122, ESPN!A:A&amp;ESPN!C:C, ESPN!K:K), "N/A")</f>
        <v>51</v>
      </c>
    </row>
    <row r="123" spans="1:17" x14ac:dyDescent="0.45">
      <c r="A123" s="7">
        <v>2025</v>
      </c>
      <c r="B123" s="3" t="s">
        <v>125</v>
      </c>
      <c r="C123" s="4" t="str">
        <f t="shared" si="2"/>
        <v>DeeJay Dallas</v>
      </c>
      <c r="D123" s="4" t="str">
        <f t="shared" si="3"/>
        <v>JAC</v>
      </c>
      <c r="E123" s="4">
        <v>5</v>
      </c>
      <c r="F123" s="13">
        <v>1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1" t="str" cm="1">
        <f t="array" ref="L123">IFERROR(_xlfn.XLOOKUP(C123&amp;A123, ESPN!A:A&amp;ESPN!C:C, ESPN!D:D), "N/A")</f>
        <v>N/A</v>
      </c>
      <c r="M123" s="23" t="str" cm="1">
        <f t="array" ref="M123">IFERROR(_xlfn.XLOOKUP(C123&amp;A123, ESPN!A:A&amp;ESPN!C:C, ESPN!G:G), "N/A")</f>
        <v>N/A</v>
      </c>
      <c r="N123" s="23" t="str" cm="1">
        <f t="array" ref="N123">IFERROR(_xlfn.XLOOKUP(C123&amp;A123, ESPN!A:A&amp;ESPN!C:C, ESPN!H:H), "N/A")</f>
        <v>N/A</v>
      </c>
      <c r="O123" s="26" t="str" cm="1">
        <f t="array" ref="O123">IFERROR(_xlfn.XLOOKUP(C123&amp;A123, ESPN!A:A&amp;ESPN!C:C, ESPN!I:I), "N/A")</f>
        <v>N/A</v>
      </c>
      <c r="P123" s="26" t="str" cm="1">
        <f t="array" ref="P123">IFERROR(_xlfn.XLOOKUP(C123&amp;A123, ESPN!A:A&amp;ESPN!C:C, ESPN!J:J), "N/A")</f>
        <v>N/A</v>
      </c>
      <c r="Q123" s="26" t="str" cm="1">
        <f t="array" ref="Q123">IFERROR(_xlfn.XLOOKUP(C123&amp;A123, ESPN!A:A&amp;ESPN!C:C, ESPN!K:K), "N/A")</f>
        <v>N/A</v>
      </c>
    </row>
    <row r="124" spans="1:17" x14ac:dyDescent="0.45">
      <c r="A124" s="6">
        <v>2025</v>
      </c>
      <c r="B124" s="1" t="s">
        <v>126</v>
      </c>
      <c r="C124" s="2" t="str">
        <f t="shared" si="2"/>
        <v>Jacardia Wright</v>
      </c>
      <c r="D124" s="2" t="str">
        <f t="shared" si="3"/>
        <v>SEA</v>
      </c>
      <c r="E124" s="2">
        <v>1</v>
      </c>
      <c r="F124" s="12">
        <v>0</v>
      </c>
      <c r="G124" s="11">
        <v>0</v>
      </c>
      <c r="H124" s="11">
        <v>0</v>
      </c>
      <c r="I124" s="11">
        <v>0</v>
      </c>
      <c r="J124" s="11">
        <v>0</v>
      </c>
      <c r="K124" s="11">
        <v>0</v>
      </c>
      <c r="L124" s="11" t="str" cm="1">
        <f t="array" ref="L124">IFERROR(_xlfn.XLOOKUP(C124&amp;A124, ESPN!A:A&amp;ESPN!C:C, ESPN!D:D), "N/A")</f>
        <v>N/A</v>
      </c>
      <c r="M124" s="23" t="str" cm="1">
        <f t="array" ref="M124">IFERROR(_xlfn.XLOOKUP(C124&amp;A124, ESPN!A:A&amp;ESPN!C:C, ESPN!G:G), "N/A")</f>
        <v>N/A</v>
      </c>
      <c r="N124" s="23" t="str" cm="1">
        <f t="array" ref="N124">IFERROR(_xlfn.XLOOKUP(C124&amp;A124, ESPN!A:A&amp;ESPN!C:C, ESPN!H:H), "N/A")</f>
        <v>N/A</v>
      </c>
      <c r="O124" s="26" t="str" cm="1">
        <f t="array" ref="O124">IFERROR(_xlfn.XLOOKUP(C124&amp;A124, ESPN!A:A&amp;ESPN!C:C, ESPN!I:I), "N/A")</f>
        <v>N/A</v>
      </c>
      <c r="P124" s="26" t="str" cm="1">
        <f t="array" ref="P124">IFERROR(_xlfn.XLOOKUP(C124&amp;A124, ESPN!A:A&amp;ESPN!C:C, ESPN!J:J), "N/A")</f>
        <v>N/A</v>
      </c>
      <c r="Q124" s="26" t="str" cm="1">
        <f t="array" ref="Q124">IFERROR(_xlfn.XLOOKUP(C124&amp;A124, ESPN!A:A&amp;ESPN!C:C, ESPN!K:K), "N/A")</f>
        <v>N/A</v>
      </c>
    </row>
    <row r="125" spans="1:17" x14ac:dyDescent="0.45">
      <c r="A125" s="7">
        <v>2025</v>
      </c>
      <c r="B125" s="3" t="s">
        <v>127</v>
      </c>
      <c r="C125" s="4" t="str">
        <f t="shared" si="2"/>
        <v>Cam Akers</v>
      </c>
      <c r="D125" s="4" t="str">
        <f t="shared" si="3"/>
        <v>SEA</v>
      </c>
      <c r="E125" s="4">
        <v>4</v>
      </c>
      <c r="F125" s="13">
        <v>1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1" t="str" cm="1">
        <f t="array" ref="L125">IFERROR(_xlfn.XLOOKUP(C125&amp;A125, ESPN!A:A&amp;ESPN!C:C, ESPN!D:D), "N/A")</f>
        <v>N/A</v>
      </c>
      <c r="M125" s="23" t="str" cm="1">
        <f t="array" ref="M125">IFERROR(_xlfn.XLOOKUP(C125&amp;A125, ESPN!A:A&amp;ESPN!C:C, ESPN!G:G), "N/A")</f>
        <v>N/A</v>
      </c>
      <c r="N125" s="23" t="str" cm="1">
        <f t="array" ref="N125">IFERROR(_xlfn.XLOOKUP(C125&amp;A125, ESPN!A:A&amp;ESPN!C:C, ESPN!H:H), "N/A")</f>
        <v>N/A</v>
      </c>
      <c r="O125" s="26" t="str" cm="1">
        <f t="array" ref="O125">IFERROR(_xlfn.XLOOKUP(C125&amp;A125, ESPN!A:A&amp;ESPN!C:C, ESPN!I:I), "N/A")</f>
        <v>N/A</v>
      </c>
      <c r="P125" s="26" t="str" cm="1">
        <f t="array" ref="P125">IFERROR(_xlfn.XLOOKUP(C125&amp;A125, ESPN!A:A&amp;ESPN!C:C, ESPN!J:J), "N/A")</f>
        <v>N/A</v>
      </c>
      <c r="Q125" s="26" t="str" cm="1">
        <f t="array" ref="Q125">IFERROR(_xlfn.XLOOKUP(C125&amp;A125, ESPN!A:A&amp;ESPN!C:C, ESPN!K:K), "N/A")</f>
        <v>N/A</v>
      </c>
    </row>
    <row r="126" spans="1:17" x14ac:dyDescent="0.45">
      <c r="A126" s="6">
        <v>2025</v>
      </c>
      <c r="B126" s="1" t="s">
        <v>128</v>
      </c>
      <c r="C126" s="2" t="str">
        <f t="shared" si="2"/>
        <v>Phil Mafah</v>
      </c>
      <c r="D126" s="2" t="str">
        <f t="shared" si="3"/>
        <v>DAL</v>
      </c>
      <c r="E126" s="2">
        <v>1</v>
      </c>
      <c r="F126" s="12">
        <v>2</v>
      </c>
      <c r="G126" s="11">
        <v>2</v>
      </c>
      <c r="H126" s="11">
        <v>11</v>
      </c>
      <c r="I126" s="11">
        <v>5.5</v>
      </c>
      <c r="J126" s="11">
        <v>0</v>
      </c>
      <c r="K126" s="11">
        <v>0</v>
      </c>
      <c r="L126" s="11" t="str" cm="1">
        <f t="array" ref="L126">IFERROR(_xlfn.XLOOKUP(C126&amp;A126, ESPN!A:A&amp;ESPN!C:C, ESPN!D:D), "N/A")</f>
        <v>N/A</v>
      </c>
      <c r="M126" s="23" t="str" cm="1">
        <f t="array" ref="M126">IFERROR(_xlfn.XLOOKUP(C126&amp;A126, ESPN!A:A&amp;ESPN!C:C, ESPN!G:G), "N/A")</f>
        <v>N/A</v>
      </c>
      <c r="N126" s="23" t="str" cm="1">
        <f t="array" ref="N126">IFERROR(_xlfn.XLOOKUP(C126&amp;A126, ESPN!A:A&amp;ESPN!C:C, ESPN!H:H), "N/A")</f>
        <v>N/A</v>
      </c>
      <c r="O126" s="26" t="str" cm="1">
        <f t="array" ref="O126">IFERROR(_xlfn.XLOOKUP(C126&amp;A126, ESPN!A:A&amp;ESPN!C:C, ESPN!I:I), "N/A")</f>
        <v>N/A</v>
      </c>
      <c r="P126" s="26" t="str" cm="1">
        <f t="array" ref="P126">IFERROR(_xlfn.XLOOKUP(C126&amp;A126, ESPN!A:A&amp;ESPN!C:C, ESPN!J:J), "N/A")</f>
        <v>N/A</v>
      </c>
      <c r="Q126" s="26" t="str" cm="1">
        <f t="array" ref="Q126">IFERROR(_xlfn.XLOOKUP(C126&amp;A126, ESPN!A:A&amp;ESPN!C:C, ESPN!K:K), "N/A")</f>
        <v>N/A</v>
      </c>
    </row>
    <row r="127" spans="1:17" x14ac:dyDescent="0.45">
      <c r="A127" s="7">
        <v>2025</v>
      </c>
      <c r="B127" s="3" t="s">
        <v>129</v>
      </c>
      <c r="C127" s="4" t="str">
        <f t="shared" si="2"/>
        <v>Roschon Johnson</v>
      </c>
      <c r="D127" s="4" t="str">
        <f t="shared" si="3"/>
        <v>CHI</v>
      </c>
      <c r="E127" s="4">
        <v>6</v>
      </c>
      <c r="F127" s="13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1" t="str" cm="1">
        <f t="array" ref="L127">IFERROR(_xlfn.XLOOKUP(C127&amp;A127, ESPN!A:A&amp;ESPN!C:C, ESPN!D:D), "N/A")</f>
        <v>N/A</v>
      </c>
      <c r="M127" s="23" t="str" cm="1">
        <f t="array" ref="M127">IFERROR(_xlfn.XLOOKUP(C127&amp;A127, ESPN!A:A&amp;ESPN!C:C, ESPN!G:G), "N/A")</f>
        <v>N/A</v>
      </c>
      <c r="N127" s="23" t="str" cm="1">
        <f t="array" ref="N127">IFERROR(_xlfn.XLOOKUP(C127&amp;A127, ESPN!A:A&amp;ESPN!C:C, ESPN!H:H), "N/A")</f>
        <v>N/A</v>
      </c>
      <c r="O127" s="26" t="str" cm="1">
        <f t="array" ref="O127">IFERROR(_xlfn.XLOOKUP(C127&amp;A127, ESPN!A:A&amp;ESPN!C:C, ESPN!I:I), "N/A")</f>
        <v>N/A</v>
      </c>
      <c r="P127" s="26" t="str" cm="1">
        <f t="array" ref="P127">IFERROR(_xlfn.XLOOKUP(C127&amp;A127, ESPN!A:A&amp;ESPN!C:C, ESPN!J:J), "N/A")</f>
        <v>N/A</v>
      </c>
      <c r="Q127" s="26" t="str" cm="1">
        <f t="array" ref="Q127">IFERROR(_xlfn.XLOOKUP(C127&amp;A127, ESPN!A:A&amp;ESPN!C:C, ESPN!K:K), "N/A")</f>
        <v>N/A</v>
      </c>
    </row>
    <row r="128" spans="1:17" x14ac:dyDescent="0.45">
      <c r="A128" s="6">
        <v>2025</v>
      </c>
      <c r="B128" s="1" t="s">
        <v>130</v>
      </c>
      <c r="C128" s="2" t="str">
        <f t="shared" si="2"/>
        <v>Clyde Edwards-Helaire</v>
      </c>
      <c r="D128" s="2" t="str">
        <f t="shared" si="3"/>
        <v>KC</v>
      </c>
      <c r="E128" s="2">
        <v>2</v>
      </c>
      <c r="F128" s="12">
        <v>2</v>
      </c>
      <c r="G128" s="11">
        <v>2</v>
      </c>
      <c r="H128" s="11">
        <v>9</v>
      </c>
      <c r="I128" s="11">
        <v>4.5</v>
      </c>
      <c r="J128" s="11">
        <v>0</v>
      </c>
      <c r="K128" s="11">
        <v>0</v>
      </c>
      <c r="L128" s="11" t="str" cm="1">
        <f t="array" ref="L128">IFERROR(_xlfn.XLOOKUP(C128&amp;A128, ESPN!A:A&amp;ESPN!C:C, ESPN!D:D), "N/A")</f>
        <v>N/A</v>
      </c>
      <c r="M128" s="23" t="str" cm="1">
        <f t="array" ref="M128">IFERROR(_xlfn.XLOOKUP(C128&amp;A128, ESPN!A:A&amp;ESPN!C:C, ESPN!G:G), "N/A")</f>
        <v>N/A</v>
      </c>
      <c r="N128" s="23" t="str" cm="1">
        <f t="array" ref="N128">IFERROR(_xlfn.XLOOKUP(C128&amp;A128, ESPN!A:A&amp;ESPN!C:C, ESPN!H:H), "N/A")</f>
        <v>N/A</v>
      </c>
      <c r="O128" s="26" t="str" cm="1">
        <f t="array" ref="O128">IFERROR(_xlfn.XLOOKUP(C128&amp;A128, ESPN!A:A&amp;ESPN!C:C, ESPN!I:I), "N/A")</f>
        <v>N/A</v>
      </c>
      <c r="P128" s="26" t="str" cm="1">
        <f t="array" ref="P128">IFERROR(_xlfn.XLOOKUP(C128&amp;A128, ESPN!A:A&amp;ESPN!C:C, ESPN!J:J), "N/A")</f>
        <v>N/A</v>
      </c>
      <c r="Q128" s="26" t="str" cm="1">
        <f t="array" ref="Q128">IFERROR(_xlfn.XLOOKUP(C128&amp;A128, ESPN!A:A&amp;ESPN!C:C, ESPN!K:K), "N/A")</f>
        <v>N/A</v>
      </c>
    </row>
    <row r="129" spans="1:17" x14ac:dyDescent="0.45">
      <c r="A129" s="7">
        <v>2025</v>
      </c>
      <c r="B129" s="3" t="s">
        <v>131</v>
      </c>
      <c r="C129" s="4" t="str">
        <f t="shared" si="2"/>
        <v>Josh Williams</v>
      </c>
      <c r="D129" s="4" t="str">
        <f t="shared" si="3"/>
        <v>TB</v>
      </c>
      <c r="E129" s="4">
        <v>2</v>
      </c>
      <c r="F129" s="13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1" t="str" cm="1">
        <f t="array" ref="L129">IFERROR(_xlfn.XLOOKUP(C129&amp;A129, ESPN!A:A&amp;ESPN!C:C, ESPN!D:D), "N/A")</f>
        <v>N/A</v>
      </c>
      <c r="M129" s="23" t="str" cm="1">
        <f t="array" ref="M129">IFERROR(_xlfn.XLOOKUP(C129&amp;A129, ESPN!A:A&amp;ESPN!C:C, ESPN!G:G), "N/A")</f>
        <v>N/A</v>
      </c>
      <c r="N129" s="23" t="str" cm="1">
        <f t="array" ref="N129">IFERROR(_xlfn.XLOOKUP(C129&amp;A129, ESPN!A:A&amp;ESPN!C:C, ESPN!H:H), "N/A")</f>
        <v>N/A</v>
      </c>
      <c r="O129" s="26" t="str" cm="1">
        <f t="array" ref="O129">IFERROR(_xlfn.XLOOKUP(C129&amp;A129, ESPN!A:A&amp;ESPN!C:C, ESPN!I:I), "N/A")</f>
        <v>N/A</v>
      </c>
      <c r="P129" s="26" t="str" cm="1">
        <f t="array" ref="P129">IFERROR(_xlfn.XLOOKUP(C129&amp;A129, ESPN!A:A&amp;ESPN!C:C, ESPN!J:J), "N/A")</f>
        <v>N/A</v>
      </c>
      <c r="Q129" s="26" t="str" cm="1">
        <f t="array" ref="Q129">IFERROR(_xlfn.XLOOKUP(C129&amp;A129, ESPN!A:A&amp;ESPN!C:C, ESPN!K:K), "N/A")</f>
        <v>N/A</v>
      </c>
    </row>
    <row r="130" spans="1:17" x14ac:dyDescent="0.45">
      <c r="A130" s="6">
        <v>2025</v>
      </c>
      <c r="B130" s="1" t="s">
        <v>132</v>
      </c>
      <c r="C130" s="2" t="str">
        <f t="shared" ref="C130:C193" si="4">TRIM(LEFT(B130, LEN(B130) - LEN(TRIM(RIGHT(SUBSTITUTE(TRIM(B130)," ",REPT(" ",100)),100)))))</f>
        <v>Jacob Saylors</v>
      </c>
      <c r="D130" s="2" t="str">
        <f t="shared" ref="D130:D193" si="5">MID(B130, FIND("(", B130) + 1, FIND(")", B130) - FIND("(", B130) - 1)</f>
        <v>DET</v>
      </c>
      <c r="E130" s="2">
        <v>11</v>
      </c>
      <c r="F130" s="12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 t="str" cm="1">
        <f t="array" ref="L130">IFERROR(_xlfn.XLOOKUP(C130&amp;A130, ESPN!A:A&amp;ESPN!C:C, ESPN!D:D), "N/A")</f>
        <v>N/A</v>
      </c>
      <c r="M130" s="23" t="str" cm="1">
        <f t="array" ref="M130">IFERROR(_xlfn.XLOOKUP(C130&amp;A130, ESPN!A:A&amp;ESPN!C:C, ESPN!G:G), "N/A")</f>
        <v>N/A</v>
      </c>
      <c r="N130" s="23" t="str" cm="1">
        <f t="array" ref="N130">IFERROR(_xlfn.XLOOKUP(C130&amp;A130, ESPN!A:A&amp;ESPN!C:C, ESPN!H:H), "N/A")</f>
        <v>N/A</v>
      </c>
      <c r="O130" s="26" t="str" cm="1">
        <f t="array" ref="O130">IFERROR(_xlfn.XLOOKUP(C130&amp;A130, ESPN!A:A&amp;ESPN!C:C, ESPN!I:I), "N/A")</f>
        <v>N/A</v>
      </c>
      <c r="P130" s="26" t="str" cm="1">
        <f t="array" ref="P130">IFERROR(_xlfn.XLOOKUP(C130&amp;A130, ESPN!A:A&amp;ESPN!C:C, ESPN!J:J), "N/A")</f>
        <v>N/A</v>
      </c>
      <c r="Q130" s="26" t="str" cm="1">
        <f t="array" ref="Q130">IFERROR(_xlfn.XLOOKUP(C130&amp;A130, ESPN!A:A&amp;ESPN!C:C, ESPN!K:K), "N/A")</f>
        <v>N/A</v>
      </c>
    </row>
    <row r="131" spans="1:17" x14ac:dyDescent="0.45">
      <c r="A131" s="7">
        <v>2025</v>
      </c>
      <c r="B131" s="3" t="s">
        <v>133</v>
      </c>
      <c r="C131" s="4" t="str">
        <f t="shared" si="4"/>
        <v>Dylan Laube</v>
      </c>
      <c r="D131" s="4" t="str">
        <f t="shared" si="5"/>
        <v>LV</v>
      </c>
      <c r="E131" s="4">
        <v>17</v>
      </c>
      <c r="F131" s="13">
        <v>11</v>
      </c>
      <c r="G131" s="14">
        <v>8</v>
      </c>
      <c r="H131" s="14">
        <v>52</v>
      </c>
      <c r="I131" s="14">
        <v>6.5</v>
      </c>
      <c r="J131" s="14">
        <v>0</v>
      </c>
      <c r="K131" s="14">
        <v>0</v>
      </c>
      <c r="L131" s="11" t="str" cm="1">
        <f t="array" ref="L131">IFERROR(_xlfn.XLOOKUP(C131&amp;A131, ESPN!A:A&amp;ESPN!C:C, ESPN!D:D), "N/A")</f>
        <v>N/A</v>
      </c>
      <c r="M131" s="23" t="str" cm="1">
        <f t="array" ref="M131">IFERROR(_xlfn.XLOOKUP(C131&amp;A131, ESPN!A:A&amp;ESPN!C:C, ESPN!G:G), "N/A")</f>
        <v>N/A</v>
      </c>
      <c r="N131" s="23" t="str" cm="1">
        <f t="array" ref="N131">IFERROR(_xlfn.XLOOKUP(C131&amp;A131, ESPN!A:A&amp;ESPN!C:C, ESPN!H:H), "N/A")</f>
        <v>N/A</v>
      </c>
      <c r="O131" s="26" t="str" cm="1">
        <f t="array" ref="O131">IFERROR(_xlfn.XLOOKUP(C131&amp;A131, ESPN!A:A&amp;ESPN!C:C, ESPN!I:I), "N/A")</f>
        <v>N/A</v>
      </c>
      <c r="P131" s="26" t="str" cm="1">
        <f t="array" ref="P131">IFERROR(_xlfn.XLOOKUP(C131&amp;A131, ESPN!A:A&amp;ESPN!C:C, ESPN!J:J), "N/A")</f>
        <v>N/A</v>
      </c>
      <c r="Q131" s="26" t="str" cm="1">
        <f t="array" ref="Q131">IFERROR(_xlfn.XLOOKUP(C131&amp;A131, ESPN!A:A&amp;ESPN!C:C, ESPN!K:K), "N/A")</f>
        <v>N/A</v>
      </c>
    </row>
    <row r="132" spans="1:17" x14ac:dyDescent="0.45">
      <c r="A132" s="6">
        <v>2025</v>
      </c>
      <c r="B132" s="1" t="s">
        <v>134</v>
      </c>
      <c r="C132" s="2" t="str">
        <f t="shared" si="4"/>
        <v>Alec Ingold</v>
      </c>
      <c r="D132" s="2" t="str">
        <f t="shared" si="5"/>
        <v>MIA</v>
      </c>
      <c r="E132" s="2">
        <v>17</v>
      </c>
      <c r="F132" s="12">
        <v>4</v>
      </c>
      <c r="G132" s="11">
        <v>3</v>
      </c>
      <c r="H132" s="11">
        <v>18</v>
      </c>
      <c r="I132" s="11">
        <v>6</v>
      </c>
      <c r="J132" s="11">
        <v>0</v>
      </c>
      <c r="K132" s="11">
        <v>1</v>
      </c>
      <c r="L132" s="11" t="str" cm="1">
        <f t="array" ref="L132">IFERROR(_xlfn.XLOOKUP(C132&amp;A132, ESPN!A:A&amp;ESPN!C:C, ESPN!D:D), "N/A")</f>
        <v>N/A</v>
      </c>
      <c r="M132" s="23" t="str" cm="1">
        <f t="array" ref="M132">IFERROR(_xlfn.XLOOKUP(C132&amp;A132, ESPN!A:A&amp;ESPN!C:C, ESPN!G:G), "N/A")</f>
        <v>N/A</v>
      </c>
      <c r="N132" s="23" t="str" cm="1">
        <f t="array" ref="N132">IFERROR(_xlfn.XLOOKUP(C132&amp;A132, ESPN!A:A&amp;ESPN!C:C, ESPN!H:H), "N/A")</f>
        <v>N/A</v>
      </c>
      <c r="O132" s="26" t="str" cm="1">
        <f t="array" ref="O132">IFERROR(_xlfn.XLOOKUP(C132&amp;A132, ESPN!A:A&amp;ESPN!C:C, ESPN!I:I), "N/A")</f>
        <v>N/A</v>
      </c>
      <c r="P132" s="26" t="str" cm="1">
        <f t="array" ref="P132">IFERROR(_xlfn.XLOOKUP(C132&amp;A132, ESPN!A:A&amp;ESPN!C:C, ESPN!J:J), "N/A")</f>
        <v>N/A</v>
      </c>
      <c r="Q132" s="26" t="str" cm="1">
        <f t="array" ref="Q132">IFERROR(_xlfn.XLOOKUP(C132&amp;A132, ESPN!A:A&amp;ESPN!C:C, ESPN!K:K), "N/A")</f>
        <v>N/A</v>
      </c>
    </row>
    <row r="133" spans="1:17" x14ac:dyDescent="0.45">
      <c r="A133" s="7">
        <v>2025</v>
      </c>
      <c r="B133" s="3" t="s">
        <v>135</v>
      </c>
      <c r="C133" s="4" t="str">
        <f t="shared" si="4"/>
        <v>Amar Johnson</v>
      </c>
      <c r="D133" s="4" t="str">
        <f t="shared" si="5"/>
        <v>LAC</v>
      </c>
      <c r="E133" s="4">
        <v>1</v>
      </c>
      <c r="F133" s="13">
        <v>1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1" t="str" cm="1">
        <f t="array" ref="L133">IFERROR(_xlfn.XLOOKUP(C133&amp;A133, ESPN!A:A&amp;ESPN!C:C, ESPN!D:D), "N/A")</f>
        <v>N/A</v>
      </c>
      <c r="M133" s="23" t="str" cm="1">
        <f t="array" ref="M133">IFERROR(_xlfn.XLOOKUP(C133&amp;A133, ESPN!A:A&amp;ESPN!C:C, ESPN!G:G), "N/A")</f>
        <v>N/A</v>
      </c>
      <c r="N133" s="23" t="str" cm="1">
        <f t="array" ref="N133">IFERROR(_xlfn.XLOOKUP(C133&amp;A133, ESPN!A:A&amp;ESPN!C:C, ESPN!H:H), "N/A")</f>
        <v>N/A</v>
      </c>
      <c r="O133" s="26" t="str" cm="1">
        <f t="array" ref="O133">IFERROR(_xlfn.XLOOKUP(C133&amp;A133, ESPN!A:A&amp;ESPN!C:C, ESPN!I:I), "N/A")</f>
        <v>N/A</v>
      </c>
      <c r="P133" s="26" t="str" cm="1">
        <f t="array" ref="P133">IFERROR(_xlfn.XLOOKUP(C133&amp;A133, ESPN!A:A&amp;ESPN!C:C, ESPN!J:J), "N/A")</f>
        <v>N/A</v>
      </c>
      <c r="Q133" s="26" t="str" cm="1">
        <f t="array" ref="Q133">IFERROR(_xlfn.XLOOKUP(C133&amp;A133, ESPN!A:A&amp;ESPN!C:C, ESPN!K:K), "N/A")</f>
        <v>N/A</v>
      </c>
    </row>
    <row r="134" spans="1:17" x14ac:dyDescent="0.45">
      <c r="A134" s="6">
        <v>2025</v>
      </c>
      <c r="B134" s="1" t="s">
        <v>136</v>
      </c>
      <c r="C134" s="2" t="str">
        <f t="shared" si="4"/>
        <v>Kalel Mullings</v>
      </c>
      <c r="D134" s="2" t="str">
        <f t="shared" si="5"/>
        <v>TEN</v>
      </c>
      <c r="E134" s="2">
        <v>5</v>
      </c>
      <c r="F134" s="12">
        <v>0</v>
      </c>
      <c r="G134" s="11">
        <v>0</v>
      </c>
      <c r="H134" s="11">
        <v>0</v>
      </c>
      <c r="I134" s="11">
        <v>0</v>
      </c>
      <c r="J134" s="11">
        <v>0</v>
      </c>
      <c r="K134" s="11">
        <v>0</v>
      </c>
      <c r="L134" s="11" t="str" cm="1">
        <f t="array" ref="L134">IFERROR(_xlfn.XLOOKUP(C134&amp;A134, ESPN!A:A&amp;ESPN!C:C, ESPN!D:D), "N/A")</f>
        <v>N/A</v>
      </c>
      <c r="M134" s="23" t="str" cm="1">
        <f t="array" ref="M134">IFERROR(_xlfn.XLOOKUP(C134&amp;A134, ESPN!A:A&amp;ESPN!C:C, ESPN!G:G), "N/A")</f>
        <v>N/A</v>
      </c>
      <c r="N134" s="23" t="str" cm="1">
        <f t="array" ref="N134">IFERROR(_xlfn.XLOOKUP(C134&amp;A134, ESPN!A:A&amp;ESPN!C:C, ESPN!H:H), "N/A")</f>
        <v>N/A</v>
      </c>
      <c r="O134" s="26" t="str" cm="1">
        <f t="array" ref="O134">IFERROR(_xlfn.XLOOKUP(C134&amp;A134, ESPN!A:A&amp;ESPN!C:C, ESPN!I:I), "N/A")</f>
        <v>N/A</v>
      </c>
      <c r="P134" s="26" t="str" cm="1">
        <f t="array" ref="P134">IFERROR(_xlfn.XLOOKUP(C134&amp;A134, ESPN!A:A&amp;ESPN!C:C, ESPN!J:J), "N/A")</f>
        <v>N/A</v>
      </c>
      <c r="Q134" s="26" t="str" cm="1">
        <f t="array" ref="Q134">IFERROR(_xlfn.XLOOKUP(C134&amp;A134, ESPN!A:A&amp;ESPN!C:C, ESPN!K:K), "N/A")</f>
        <v>N/A</v>
      </c>
    </row>
    <row r="135" spans="1:17" x14ac:dyDescent="0.45">
      <c r="A135" s="7">
        <v>2025</v>
      </c>
      <c r="B135" s="3" t="s">
        <v>137</v>
      </c>
      <c r="C135" s="4" t="str">
        <f t="shared" si="4"/>
        <v>Owen Wright</v>
      </c>
      <c r="D135" s="4" t="str">
        <f t="shared" si="5"/>
        <v>TB</v>
      </c>
      <c r="E135" s="4">
        <v>3</v>
      </c>
      <c r="F135" s="13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1" t="str" cm="1">
        <f t="array" ref="L135">IFERROR(_xlfn.XLOOKUP(C135&amp;A135, ESPN!A:A&amp;ESPN!C:C, ESPN!D:D), "N/A")</f>
        <v>N/A</v>
      </c>
      <c r="M135" s="23" t="str" cm="1">
        <f t="array" ref="M135">IFERROR(_xlfn.XLOOKUP(C135&amp;A135, ESPN!A:A&amp;ESPN!C:C, ESPN!G:G), "N/A")</f>
        <v>N/A</v>
      </c>
      <c r="N135" s="23" t="str" cm="1">
        <f t="array" ref="N135">IFERROR(_xlfn.XLOOKUP(C135&amp;A135, ESPN!A:A&amp;ESPN!C:C, ESPN!H:H), "N/A")</f>
        <v>N/A</v>
      </c>
      <c r="O135" s="26" t="str" cm="1">
        <f t="array" ref="O135">IFERROR(_xlfn.XLOOKUP(C135&amp;A135, ESPN!A:A&amp;ESPN!C:C, ESPN!I:I), "N/A")</f>
        <v>N/A</v>
      </c>
      <c r="P135" s="26" t="str" cm="1">
        <f t="array" ref="P135">IFERROR(_xlfn.XLOOKUP(C135&amp;A135, ESPN!A:A&amp;ESPN!C:C, ESPN!J:J), "N/A")</f>
        <v>N/A</v>
      </c>
      <c r="Q135" s="26" t="str" cm="1">
        <f t="array" ref="Q135">IFERROR(_xlfn.XLOOKUP(C135&amp;A135, ESPN!A:A&amp;ESPN!C:C, ESPN!K:K), "N/A")</f>
        <v>N/A</v>
      </c>
    </row>
    <row r="136" spans="1:17" x14ac:dyDescent="0.45">
      <c r="A136" s="6">
        <v>2025</v>
      </c>
      <c r="B136" s="1" t="s">
        <v>138</v>
      </c>
      <c r="C136" s="2" t="str">
        <f t="shared" si="4"/>
        <v>Myles Gaskin</v>
      </c>
      <c r="D136" s="2" t="str">
        <f t="shared" si="5"/>
        <v>SEA</v>
      </c>
      <c r="E136" s="2">
        <v>1</v>
      </c>
      <c r="F136" s="12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 t="str" cm="1">
        <f t="array" ref="L136">IFERROR(_xlfn.XLOOKUP(C136&amp;A136, ESPN!A:A&amp;ESPN!C:C, ESPN!D:D), "N/A")</f>
        <v>N/A</v>
      </c>
      <c r="M136" s="23" t="str" cm="1">
        <f t="array" ref="M136">IFERROR(_xlfn.XLOOKUP(C136&amp;A136, ESPN!A:A&amp;ESPN!C:C, ESPN!G:G), "N/A")</f>
        <v>N/A</v>
      </c>
      <c r="N136" s="23" t="str" cm="1">
        <f t="array" ref="N136">IFERROR(_xlfn.XLOOKUP(C136&amp;A136, ESPN!A:A&amp;ESPN!C:C, ESPN!H:H), "N/A")</f>
        <v>N/A</v>
      </c>
      <c r="O136" s="26" t="str" cm="1">
        <f t="array" ref="O136">IFERROR(_xlfn.XLOOKUP(C136&amp;A136, ESPN!A:A&amp;ESPN!C:C, ESPN!I:I), "N/A")</f>
        <v>N/A</v>
      </c>
      <c r="P136" s="26" t="str" cm="1">
        <f t="array" ref="P136">IFERROR(_xlfn.XLOOKUP(C136&amp;A136, ESPN!A:A&amp;ESPN!C:C, ESPN!J:J), "N/A")</f>
        <v>N/A</v>
      </c>
      <c r="Q136" s="26" t="str" cm="1">
        <f t="array" ref="Q136">IFERROR(_xlfn.XLOOKUP(C136&amp;A136, ESPN!A:A&amp;ESPN!C:C, ESPN!K:K), "N/A")</f>
        <v>N/A</v>
      </c>
    </row>
    <row r="137" spans="1:17" x14ac:dyDescent="0.45">
      <c r="A137" s="7">
        <v>2025</v>
      </c>
      <c r="B137" s="3" t="s">
        <v>139</v>
      </c>
      <c r="C137" s="4" t="str">
        <f t="shared" si="4"/>
        <v>C.J. Ham</v>
      </c>
      <c r="D137" s="4" t="str">
        <f t="shared" si="5"/>
        <v>MIN</v>
      </c>
      <c r="E137" s="4">
        <v>11</v>
      </c>
      <c r="F137" s="13">
        <v>2</v>
      </c>
      <c r="G137" s="14">
        <v>2</v>
      </c>
      <c r="H137" s="14">
        <v>11</v>
      </c>
      <c r="I137" s="14">
        <v>5.5</v>
      </c>
      <c r="J137" s="14">
        <v>0</v>
      </c>
      <c r="K137" s="14">
        <v>0</v>
      </c>
      <c r="L137" s="11" t="str" cm="1">
        <f t="array" ref="L137">IFERROR(_xlfn.XLOOKUP(C137&amp;A137, ESPN!A:A&amp;ESPN!C:C, ESPN!D:D), "N/A")</f>
        <v>N/A</v>
      </c>
      <c r="M137" s="23" t="str" cm="1">
        <f t="array" ref="M137">IFERROR(_xlfn.XLOOKUP(C137&amp;A137, ESPN!A:A&amp;ESPN!C:C, ESPN!G:G), "N/A")</f>
        <v>N/A</v>
      </c>
      <c r="N137" s="23" t="str" cm="1">
        <f t="array" ref="N137">IFERROR(_xlfn.XLOOKUP(C137&amp;A137, ESPN!A:A&amp;ESPN!C:C, ESPN!H:H), "N/A")</f>
        <v>N/A</v>
      </c>
      <c r="O137" s="26" t="str" cm="1">
        <f t="array" ref="O137">IFERROR(_xlfn.XLOOKUP(C137&amp;A137, ESPN!A:A&amp;ESPN!C:C, ESPN!I:I), "N/A")</f>
        <v>N/A</v>
      </c>
      <c r="P137" s="26" t="str" cm="1">
        <f t="array" ref="P137">IFERROR(_xlfn.XLOOKUP(C137&amp;A137, ESPN!A:A&amp;ESPN!C:C, ESPN!J:J), "N/A")</f>
        <v>N/A</v>
      </c>
      <c r="Q137" s="26" t="str" cm="1">
        <f t="array" ref="Q137">IFERROR(_xlfn.XLOOKUP(C137&amp;A137, ESPN!A:A&amp;ESPN!C:C, ESPN!K:K), "N/A")</f>
        <v>N/A</v>
      </c>
    </row>
    <row r="138" spans="1:17" x14ac:dyDescent="0.45">
      <c r="A138" s="6">
        <v>2025</v>
      </c>
      <c r="B138" s="1" t="s">
        <v>140</v>
      </c>
      <c r="C138" s="2" t="str">
        <f t="shared" si="4"/>
        <v>Andrew Beck</v>
      </c>
      <c r="D138" s="2" t="str">
        <f t="shared" si="5"/>
        <v>NYJ</v>
      </c>
      <c r="E138" s="2">
        <v>17</v>
      </c>
      <c r="F138" s="12">
        <v>9</v>
      </c>
      <c r="G138" s="11">
        <v>6</v>
      </c>
      <c r="H138" s="11">
        <v>45</v>
      </c>
      <c r="I138" s="11">
        <v>7.5</v>
      </c>
      <c r="J138" s="11">
        <v>2</v>
      </c>
      <c r="K138" s="11">
        <v>0</v>
      </c>
      <c r="L138" s="11" t="str" cm="1">
        <f t="array" ref="L138">IFERROR(_xlfn.XLOOKUP(C138&amp;A138, ESPN!A:A&amp;ESPN!C:C, ESPN!D:D), "N/A")</f>
        <v>N/A</v>
      </c>
      <c r="M138" s="23" t="str" cm="1">
        <f t="array" ref="M138">IFERROR(_xlfn.XLOOKUP(C138&amp;A138, ESPN!A:A&amp;ESPN!C:C, ESPN!G:G), "N/A")</f>
        <v>N/A</v>
      </c>
      <c r="N138" s="23" t="str" cm="1">
        <f t="array" ref="N138">IFERROR(_xlfn.XLOOKUP(C138&amp;A138, ESPN!A:A&amp;ESPN!C:C, ESPN!H:H), "N/A")</f>
        <v>N/A</v>
      </c>
      <c r="O138" s="26" t="str" cm="1">
        <f t="array" ref="O138">IFERROR(_xlfn.XLOOKUP(C138&amp;A138, ESPN!A:A&amp;ESPN!C:C, ESPN!I:I), "N/A")</f>
        <v>N/A</v>
      </c>
      <c r="P138" s="26" t="str" cm="1">
        <f t="array" ref="P138">IFERROR(_xlfn.XLOOKUP(C138&amp;A138, ESPN!A:A&amp;ESPN!C:C, ESPN!J:J), "N/A")</f>
        <v>N/A</v>
      </c>
      <c r="Q138" s="26" t="str" cm="1">
        <f t="array" ref="Q138">IFERROR(_xlfn.XLOOKUP(C138&amp;A138, ESPN!A:A&amp;ESPN!C:C, ESPN!K:K), "N/A")</f>
        <v>N/A</v>
      </c>
    </row>
    <row r="139" spans="1:17" x14ac:dyDescent="0.45">
      <c r="A139" s="7">
        <v>2025</v>
      </c>
      <c r="B139" s="3" t="s">
        <v>141</v>
      </c>
      <c r="C139" s="4" t="str">
        <f t="shared" si="4"/>
        <v>Sione Vaki</v>
      </c>
      <c r="D139" s="4" t="str">
        <f t="shared" si="5"/>
        <v>DET</v>
      </c>
      <c r="E139" s="4">
        <v>8</v>
      </c>
      <c r="F139" s="13">
        <v>2</v>
      </c>
      <c r="G139" s="14">
        <v>2</v>
      </c>
      <c r="H139" s="14">
        <v>24</v>
      </c>
      <c r="I139" s="14">
        <v>12</v>
      </c>
      <c r="J139" s="14">
        <v>0</v>
      </c>
      <c r="K139" s="14">
        <v>0</v>
      </c>
      <c r="L139" s="11" t="str" cm="1">
        <f t="array" ref="L139">IFERROR(_xlfn.XLOOKUP(C139&amp;A139, ESPN!A:A&amp;ESPN!C:C, ESPN!D:D), "N/A")</f>
        <v>N/A</v>
      </c>
      <c r="M139" s="23" t="str" cm="1">
        <f t="array" ref="M139">IFERROR(_xlfn.XLOOKUP(C139&amp;A139, ESPN!A:A&amp;ESPN!C:C, ESPN!G:G), "N/A")</f>
        <v>N/A</v>
      </c>
      <c r="N139" s="23" t="str" cm="1">
        <f t="array" ref="N139">IFERROR(_xlfn.XLOOKUP(C139&amp;A139, ESPN!A:A&amp;ESPN!C:C, ESPN!H:H), "N/A")</f>
        <v>N/A</v>
      </c>
      <c r="O139" s="26" t="str" cm="1">
        <f t="array" ref="O139">IFERROR(_xlfn.XLOOKUP(C139&amp;A139, ESPN!A:A&amp;ESPN!C:C, ESPN!I:I), "N/A")</f>
        <v>N/A</v>
      </c>
      <c r="P139" s="26" t="str" cm="1">
        <f t="array" ref="P139">IFERROR(_xlfn.XLOOKUP(C139&amp;A139, ESPN!A:A&amp;ESPN!C:C, ESPN!J:J), "N/A")</f>
        <v>N/A</v>
      </c>
      <c r="Q139" s="26" t="str" cm="1">
        <f t="array" ref="Q139">IFERROR(_xlfn.XLOOKUP(C139&amp;A139, ESPN!A:A&amp;ESPN!C:C, ESPN!K:K), "N/A")</f>
        <v>N/A</v>
      </c>
    </row>
    <row r="140" spans="1:17" x14ac:dyDescent="0.45">
      <c r="A140" s="6">
        <v>2025</v>
      </c>
      <c r="B140" s="1" t="s">
        <v>142</v>
      </c>
      <c r="C140" s="2" t="str">
        <f t="shared" si="4"/>
        <v>Reggie Gilliam</v>
      </c>
      <c r="D140" s="2" t="str">
        <f t="shared" si="5"/>
        <v>BUF</v>
      </c>
      <c r="E140" s="2">
        <v>17</v>
      </c>
      <c r="F140" s="12">
        <v>0</v>
      </c>
      <c r="G140" s="11">
        <v>0</v>
      </c>
      <c r="H140" s="11">
        <v>0</v>
      </c>
      <c r="I140" s="11">
        <v>0</v>
      </c>
      <c r="J140" s="11">
        <v>0</v>
      </c>
      <c r="K140" s="11">
        <v>0</v>
      </c>
      <c r="L140" s="11" t="str" cm="1">
        <f t="array" ref="L140">IFERROR(_xlfn.XLOOKUP(C140&amp;A140, ESPN!A:A&amp;ESPN!C:C, ESPN!D:D), "N/A")</f>
        <v>N/A</v>
      </c>
      <c r="M140" s="23" t="str" cm="1">
        <f t="array" ref="M140">IFERROR(_xlfn.XLOOKUP(C140&amp;A140, ESPN!A:A&amp;ESPN!C:C, ESPN!G:G), "N/A")</f>
        <v>N/A</v>
      </c>
      <c r="N140" s="23" t="str" cm="1">
        <f t="array" ref="N140">IFERROR(_xlfn.XLOOKUP(C140&amp;A140, ESPN!A:A&amp;ESPN!C:C, ESPN!H:H), "N/A")</f>
        <v>N/A</v>
      </c>
      <c r="O140" s="26" t="str" cm="1">
        <f t="array" ref="O140">IFERROR(_xlfn.XLOOKUP(C140&amp;A140, ESPN!A:A&amp;ESPN!C:C, ESPN!I:I), "N/A")</f>
        <v>N/A</v>
      </c>
      <c r="P140" s="26" t="str" cm="1">
        <f t="array" ref="P140">IFERROR(_xlfn.XLOOKUP(C140&amp;A140, ESPN!A:A&amp;ESPN!C:C, ESPN!J:J), "N/A")</f>
        <v>N/A</v>
      </c>
      <c r="Q140" s="26" t="str" cm="1">
        <f t="array" ref="Q140">IFERROR(_xlfn.XLOOKUP(C140&amp;A140, ESPN!A:A&amp;ESPN!C:C, ESPN!K:K), "N/A")</f>
        <v>N/A</v>
      </c>
    </row>
    <row r="141" spans="1:17" x14ac:dyDescent="0.45">
      <c r="A141" s="7">
        <v>2025</v>
      </c>
      <c r="B141" s="3" t="s">
        <v>143</v>
      </c>
      <c r="C141" s="4" t="str">
        <f t="shared" si="4"/>
        <v>Craig Reynolds</v>
      </c>
      <c r="D141" s="4" t="str">
        <f t="shared" si="5"/>
        <v>DET</v>
      </c>
      <c r="E141" s="4">
        <v>6</v>
      </c>
      <c r="F141" s="13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1" t="str" cm="1">
        <f t="array" ref="L141">IFERROR(_xlfn.XLOOKUP(C141&amp;A141, ESPN!A:A&amp;ESPN!C:C, ESPN!D:D), "N/A")</f>
        <v>N/A</v>
      </c>
      <c r="M141" s="23" t="str" cm="1">
        <f t="array" ref="M141">IFERROR(_xlfn.XLOOKUP(C141&amp;A141, ESPN!A:A&amp;ESPN!C:C, ESPN!G:G), "N/A")</f>
        <v>N/A</v>
      </c>
      <c r="N141" s="23" t="str" cm="1">
        <f t="array" ref="N141">IFERROR(_xlfn.XLOOKUP(C141&amp;A141, ESPN!A:A&amp;ESPN!C:C, ESPN!H:H), "N/A")</f>
        <v>N/A</v>
      </c>
      <c r="O141" s="26" t="str" cm="1">
        <f t="array" ref="O141">IFERROR(_xlfn.XLOOKUP(C141&amp;A141, ESPN!A:A&amp;ESPN!C:C, ESPN!I:I), "N/A")</f>
        <v>N/A</v>
      </c>
      <c r="P141" s="26" t="str" cm="1">
        <f t="array" ref="P141">IFERROR(_xlfn.XLOOKUP(C141&amp;A141, ESPN!A:A&amp;ESPN!C:C, ESPN!J:J), "N/A")</f>
        <v>N/A</v>
      </c>
      <c r="Q141" s="26" t="str" cm="1">
        <f t="array" ref="Q141">IFERROR(_xlfn.XLOOKUP(C141&amp;A141, ESPN!A:A&amp;ESPN!C:C, ESPN!K:K), "N/A")</f>
        <v>N/A</v>
      </c>
    </row>
    <row r="142" spans="1:17" x14ac:dyDescent="0.45">
      <c r="A142" s="6">
        <v>2025</v>
      </c>
      <c r="B142" s="1" t="s">
        <v>144</v>
      </c>
      <c r="C142" s="2" t="str">
        <f t="shared" si="4"/>
        <v>Patrick Ricard</v>
      </c>
      <c r="D142" s="2" t="str">
        <f t="shared" si="5"/>
        <v>BAL</v>
      </c>
      <c r="E142" s="2">
        <v>12</v>
      </c>
      <c r="F142" s="12">
        <v>2</v>
      </c>
      <c r="G142" s="11">
        <v>1</v>
      </c>
      <c r="H142" s="11">
        <v>8</v>
      </c>
      <c r="I142" s="11">
        <v>8</v>
      </c>
      <c r="J142" s="11">
        <v>0</v>
      </c>
      <c r="K142" s="11">
        <v>0</v>
      </c>
      <c r="L142" s="11" t="str" cm="1">
        <f t="array" ref="L142">IFERROR(_xlfn.XLOOKUP(C142&amp;A142, ESPN!A:A&amp;ESPN!C:C, ESPN!D:D), "N/A")</f>
        <v>N/A</v>
      </c>
      <c r="M142" s="23" t="str" cm="1">
        <f t="array" ref="M142">IFERROR(_xlfn.XLOOKUP(C142&amp;A142, ESPN!A:A&amp;ESPN!C:C, ESPN!G:G), "N/A")</f>
        <v>N/A</v>
      </c>
      <c r="N142" s="23" t="str" cm="1">
        <f t="array" ref="N142">IFERROR(_xlfn.XLOOKUP(C142&amp;A142, ESPN!A:A&amp;ESPN!C:C, ESPN!H:H), "N/A")</f>
        <v>N/A</v>
      </c>
      <c r="O142" s="26" t="str" cm="1">
        <f t="array" ref="O142">IFERROR(_xlfn.XLOOKUP(C142&amp;A142, ESPN!A:A&amp;ESPN!C:C, ESPN!I:I), "N/A")</f>
        <v>N/A</v>
      </c>
      <c r="P142" s="26" t="str" cm="1">
        <f t="array" ref="P142">IFERROR(_xlfn.XLOOKUP(C142&amp;A142, ESPN!A:A&amp;ESPN!C:C, ESPN!J:J), "N/A")</f>
        <v>N/A</v>
      </c>
      <c r="Q142" s="26" t="str" cm="1">
        <f t="array" ref="Q142">IFERROR(_xlfn.XLOOKUP(C142&amp;A142, ESPN!A:A&amp;ESPN!C:C, ESPN!K:K), "N/A")</f>
        <v>N/A</v>
      </c>
    </row>
    <row r="143" spans="1:17" x14ac:dyDescent="0.45">
      <c r="A143" s="7">
        <v>2025</v>
      </c>
      <c r="B143" s="3" t="s">
        <v>145</v>
      </c>
      <c r="C143" s="4" t="str">
        <f t="shared" si="4"/>
        <v>Kendall Milton</v>
      </c>
      <c r="D143" s="4" t="str">
        <f t="shared" si="5"/>
        <v>CIN</v>
      </c>
      <c r="E143" s="4">
        <v>1</v>
      </c>
      <c r="F143" s="13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1" t="str" cm="1">
        <f t="array" ref="L143">IFERROR(_xlfn.XLOOKUP(C143&amp;A143, ESPN!A:A&amp;ESPN!C:C, ESPN!D:D), "N/A")</f>
        <v>N/A</v>
      </c>
      <c r="M143" s="23" t="str" cm="1">
        <f t="array" ref="M143">IFERROR(_xlfn.XLOOKUP(C143&amp;A143, ESPN!A:A&amp;ESPN!C:C, ESPN!G:G), "N/A")</f>
        <v>N/A</v>
      </c>
      <c r="N143" s="23" t="str" cm="1">
        <f t="array" ref="N143">IFERROR(_xlfn.XLOOKUP(C143&amp;A143, ESPN!A:A&amp;ESPN!C:C, ESPN!H:H), "N/A")</f>
        <v>N/A</v>
      </c>
      <c r="O143" s="26" t="str" cm="1">
        <f t="array" ref="O143">IFERROR(_xlfn.XLOOKUP(C143&amp;A143, ESPN!A:A&amp;ESPN!C:C, ESPN!I:I), "N/A")</f>
        <v>N/A</v>
      </c>
      <c r="P143" s="26" t="str" cm="1">
        <f t="array" ref="P143">IFERROR(_xlfn.XLOOKUP(C143&amp;A143, ESPN!A:A&amp;ESPN!C:C, ESPN!J:J), "N/A")</f>
        <v>N/A</v>
      </c>
      <c r="Q143" s="26" t="str" cm="1">
        <f t="array" ref="Q143">IFERROR(_xlfn.XLOOKUP(C143&amp;A143, ESPN!A:A&amp;ESPN!C:C, ESPN!K:K), "N/A")</f>
        <v>N/A</v>
      </c>
    </row>
    <row r="144" spans="1:17" x14ac:dyDescent="0.45">
      <c r="A144" s="6">
        <v>2025</v>
      </c>
      <c r="B144" s="1" t="s">
        <v>146</v>
      </c>
      <c r="C144" s="2" t="str">
        <f t="shared" si="4"/>
        <v>Xazavian Valladay</v>
      </c>
      <c r="D144" s="2" t="str">
        <f t="shared" si="5"/>
        <v>MIN</v>
      </c>
      <c r="E144" s="2">
        <v>1</v>
      </c>
      <c r="F144" s="12">
        <v>0</v>
      </c>
      <c r="G144" s="11">
        <v>0</v>
      </c>
      <c r="H144" s="11">
        <v>0</v>
      </c>
      <c r="I144" s="11">
        <v>0</v>
      </c>
      <c r="J144" s="11">
        <v>0</v>
      </c>
      <c r="K144" s="11">
        <v>0</v>
      </c>
      <c r="L144" s="11" t="str" cm="1">
        <f t="array" ref="L144">IFERROR(_xlfn.XLOOKUP(C144&amp;A144, ESPN!A:A&amp;ESPN!C:C, ESPN!D:D), "N/A")</f>
        <v>N/A</v>
      </c>
      <c r="M144" s="23" t="str" cm="1">
        <f t="array" ref="M144">IFERROR(_xlfn.XLOOKUP(C144&amp;A144, ESPN!A:A&amp;ESPN!C:C, ESPN!G:G), "N/A")</f>
        <v>N/A</v>
      </c>
      <c r="N144" s="23" t="str" cm="1">
        <f t="array" ref="N144">IFERROR(_xlfn.XLOOKUP(C144&amp;A144, ESPN!A:A&amp;ESPN!C:C, ESPN!H:H), "N/A")</f>
        <v>N/A</v>
      </c>
      <c r="O144" s="26" t="str" cm="1">
        <f t="array" ref="O144">IFERROR(_xlfn.XLOOKUP(C144&amp;A144, ESPN!A:A&amp;ESPN!C:C, ESPN!I:I), "N/A")</f>
        <v>N/A</v>
      </c>
      <c r="P144" s="26" t="str" cm="1">
        <f t="array" ref="P144">IFERROR(_xlfn.XLOOKUP(C144&amp;A144, ESPN!A:A&amp;ESPN!C:C, ESPN!J:J), "N/A")</f>
        <v>N/A</v>
      </c>
      <c r="Q144" s="26" t="str" cm="1">
        <f t="array" ref="Q144">IFERROR(_xlfn.XLOOKUP(C144&amp;A144, ESPN!A:A&amp;ESPN!C:C, ESPN!K:K), "N/A")</f>
        <v>N/A</v>
      </c>
    </row>
    <row r="145" spans="1:17" x14ac:dyDescent="0.45">
      <c r="A145" s="7">
        <v>2025</v>
      </c>
      <c r="B145" s="3" t="s">
        <v>147</v>
      </c>
      <c r="C145" s="4" t="str">
        <f t="shared" si="4"/>
        <v>Ulysses Bentley IV</v>
      </c>
      <c r="D145" s="4" t="str">
        <f t="shared" si="5"/>
        <v>IND</v>
      </c>
      <c r="E145" s="4">
        <v>1</v>
      </c>
      <c r="F145" s="13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1" t="str" cm="1">
        <f t="array" ref="L145">IFERROR(_xlfn.XLOOKUP(C145&amp;A145, ESPN!A:A&amp;ESPN!C:C, ESPN!D:D), "N/A")</f>
        <v>N/A</v>
      </c>
      <c r="M145" s="23" t="str" cm="1">
        <f t="array" ref="M145">IFERROR(_xlfn.XLOOKUP(C145&amp;A145, ESPN!A:A&amp;ESPN!C:C, ESPN!G:G), "N/A")</f>
        <v>N/A</v>
      </c>
      <c r="N145" s="23" t="str" cm="1">
        <f t="array" ref="N145">IFERROR(_xlfn.XLOOKUP(C145&amp;A145, ESPN!A:A&amp;ESPN!C:C, ESPN!H:H), "N/A")</f>
        <v>N/A</v>
      </c>
      <c r="O145" s="26" t="str" cm="1">
        <f t="array" ref="O145">IFERROR(_xlfn.XLOOKUP(C145&amp;A145, ESPN!A:A&amp;ESPN!C:C, ESPN!I:I), "N/A")</f>
        <v>N/A</v>
      </c>
      <c r="P145" s="26" t="str" cm="1">
        <f t="array" ref="P145">IFERROR(_xlfn.XLOOKUP(C145&amp;A145, ESPN!A:A&amp;ESPN!C:C, ESPN!J:J), "N/A")</f>
        <v>N/A</v>
      </c>
      <c r="Q145" s="26" t="str" cm="1">
        <f t="array" ref="Q145">IFERROR(_xlfn.XLOOKUP(C145&amp;A145, ESPN!A:A&amp;ESPN!C:C, ESPN!K:K), "N/A")</f>
        <v>N/A</v>
      </c>
    </row>
    <row r="146" spans="1:17" x14ac:dyDescent="0.45">
      <c r="A146" s="6">
        <v>2025</v>
      </c>
      <c r="B146" s="1" t="s">
        <v>148</v>
      </c>
      <c r="C146" s="2" t="str">
        <f t="shared" si="4"/>
        <v>Trey Sermon</v>
      </c>
      <c r="D146" s="2" t="str">
        <f t="shared" si="5"/>
        <v>PIT</v>
      </c>
      <c r="E146" s="2">
        <v>3</v>
      </c>
      <c r="F146" s="12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 t="str" cm="1">
        <f t="array" ref="L146">IFERROR(_xlfn.XLOOKUP(C146&amp;A146, ESPN!A:A&amp;ESPN!C:C, ESPN!D:D), "N/A")</f>
        <v>N/A</v>
      </c>
      <c r="M146" s="23" t="str" cm="1">
        <f t="array" ref="M146">IFERROR(_xlfn.XLOOKUP(C146&amp;A146, ESPN!A:A&amp;ESPN!C:C, ESPN!G:G), "N/A")</f>
        <v>N/A</v>
      </c>
      <c r="N146" s="23" t="str" cm="1">
        <f t="array" ref="N146">IFERROR(_xlfn.XLOOKUP(C146&amp;A146, ESPN!A:A&amp;ESPN!C:C, ESPN!H:H), "N/A")</f>
        <v>N/A</v>
      </c>
      <c r="O146" s="26" t="str" cm="1">
        <f t="array" ref="O146">IFERROR(_xlfn.XLOOKUP(C146&amp;A146, ESPN!A:A&amp;ESPN!C:C, ESPN!I:I), "N/A")</f>
        <v>N/A</v>
      </c>
      <c r="P146" s="26" t="str" cm="1">
        <f t="array" ref="P146">IFERROR(_xlfn.XLOOKUP(C146&amp;A146, ESPN!A:A&amp;ESPN!C:C, ESPN!J:J), "N/A")</f>
        <v>N/A</v>
      </c>
      <c r="Q146" s="26" t="str" cm="1">
        <f t="array" ref="Q146">IFERROR(_xlfn.XLOOKUP(C146&amp;A146, ESPN!A:A&amp;ESPN!C:C, ESPN!K:K), "N/A")</f>
        <v>N/A</v>
      </c>
    </row>
    <row r="147" spans="1:17" x14ac:dyDescent="0.45">
      <c r="A147" s="7">
        <v>2025</v>
      </c>
      <c r="B147" s="3" t="s">
        <v>149</v>
      </c>
      <c r="C147" s="4" t="str">
        <f t="shared" si="4"/>
        <v>Sincere McCormick</v>
      </c>
      <c r="D147" s="4" t="str">
        <f t="shared" si="5"/>
        <v>SF</v>
      </c>
      <c r="E147" s="4">
        <v>1</v>
      </c>
      <c r="F147" s="13">
        <v>0</v>
      </c>
      <c r="G147" s="14">
        <v>0</v>
      </c>
      <c r="H147" s="14">
        <v>0</v>
      </c>
      <c r="I147" s="14">
        <v>0</v>
      </c>
      <c r="J147" s="14">
        <v>0</v>
      </c>
      <c r="K147" s="14">
        <v>0</v>
      </c>
      <c r="L147" s="11" t="str" cm="1">
        <f t="array" ref="L147">IFERROR(_xlfn.XLOOKUP(C147&amp;A147, ESPN!A:A&amp;ESPN!C:C, ESPN!D:D), "N/A")</f>
        <v>N/A</v>
      </c>
      <c r="M147" s="23" t="str" cm="1">
        <f t="array" ref="M147">IFERROR(_xlfn.XLOOKUP(C147&amp;A147, ESPN!A:A&amp;ESPN!C:C, ESPN!G:G), "N/A")</f>
        <v>N/A</v>
      </c>
      <c r="N147" s="23" t="str" cm="1">
        <f t="array" ref="N147">IFERROR(_xlfn.XLOOKUP(C147&amp;A147, ESPN!A:A&amp;ESPN!C:C, ESPN!H:H), "N/A")</f>
        <v>N/A</v>
      </c>
      <c r="O147" s="26" t="str" cm="1">
        <f t="array" ref="O147">IFERROR(_xlfn.XLOOKUP(C147&amp;A147, ESPN!A:A&amp;ESPN!C:C, ESPN!I:I), "N/A")</f>
        <v>N/A</v>
      </c>
      <c r="P147" s="26" t="str" cm="1">
        <f t="array" ref="P147">IFERROR(_xlfn.XLOOKUP(C147&amp;A147, ESPN!A:A&amp;ESPN!C:C, ESPN!J:J), "N/A")</f>
        <v>N/A</v>
      </c>
      <c r="Q147" s="26" t="str" cm="1">
        <f t="array" ref="Q147">IFERROR(_xlfn.XLOOKUP(C147&amp;A147, ESPN!A:A&amp;ESPN!C:C, ESPN!K:K), "N/A")</f>
        <v>N/A</v>
      </c>
    </row>
    <row r="148" spans="1:17" x14ac:dyDescent="0.45">
      <c r="A148" s="6">
        <v>2025</v>
      </c>
      <c r="B148" s="1" t="s">
        <v>150</v>
      </c>
      <c r="C148" s="2" t="str">
        <f t="shared" si="4"/>
        <v>Scott Matlock</v>
      </c>
      <c r="D148" s="2" t="str">
        <f t="shared" si="5"/>
        <v>LAC</v>
      </c>
      <c r="E148" s="2">
        <v>16</v>
      </c>
      <c r="F148" s="12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 t="str" cm="1">
        <f t="array" ref="L148">IFERROR(_xlfn.XLOOKUP(C148&amp;A148, ESPN!A:A&amp;ESPN!C:C, ESPN!D:D), "N/A")</f>
        <v>N/A</v>
      </c>
      <c r="M148" s="23" t="str" cm="1">
        <f t="array" ref="M148">IFERROR(_xlfn.XLOOKUP(C148&amp;A148, ESPN!A:A&amp;ESPN!C:C, ESPN!G:G), "N/A")</f>
        <v>N/A</v>
      </c>
      <c r="N148" s="23" t="str" cm="1">
        <f t="array" ref="N148">IFERROR(_xlfn.XLOOKUP(C148&amp;A148, ESPN!A:A&amp;ESPN!C:C, ESPN!H:H), "N/A")</f>
        <v>N/A</v>
      </c>
      <c r="O148" s="26" t="str" cm="1">
        <f t="array" ref="O148">IFERROR(_xlfn.XLOOKUP(C148&amp;A148, ESPN!A:A&amp;ESPN!C:C, ESPN!I:I), "N/A")</f>
        <v>N/A</v>
      </c>
      <c r="P148" s="26" t="str" cm="1">
        <f t="array" ref="P148">IFERROR(_xlfn.XLOOKUP(C148&amp;A148, ESPN!A:A&amp;ESPN!C:C, ESPN!J:J), "N/A")</f>
        <v>N/A</v>
      </c>
      <c r="Q148" s="26" t="str" cm="1">
        <f t="array" ref="Q148">IFERROR(_xlfn.XLOOKUP(C148&amp;A148, ESPN!A:A&amp;ESPN!C:C, ESPN!K:K), "N/A")</f>
        <v>N/A</v>
      </c>
    </row>
    <row r="149" spans="1:17" x14ac:dyDescent="0.45">
      <c r="A149" s="7">
        <v>2025</v>
      </c>
      <c r="B149" s="3" t="s">
        <v>151</v>
      </c>
      <c r="C149" s="4" t="str">
        <f t="shared" si="4"/>
        <v>Robbie Ouzts</v>
      </c>
      <c r="D149" s="4" t="str">
        <f t="shared" si="5"/>
        <v>SEA</v>
      </c>
      <c r="E149" s="4">
        <v>12</v>
      </c>
      <c r="F149" s="13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1" t="str" cm="1">
        <f t="array" ref="L149">IFERROR(_xlfn.XLOOKUP(C149&amp;A149, ESPN!A:A&amp;ESPN!C:C, ESPN!D:D), "N/A")</f>
        <v>N/A</v>
      </c>
      <c r="M149" s="23" t="str" cm="1">
        <f t="array" ref="M149">IFERROR(_xlfn.XLOOKUP(C149&amp;A149, ESPN!A:A&amp;ESPN!C:C, ESPN!G:G), "N/A")</f>
        <v>N/A</v>
      </c>
      <c r="N149" s="23" t="str" cm="1">
        <f t="array" ref="N149">IFERROR(_xlfn.XLOOKUP(C149&amp;A149, ESPN!A:A&amp;ESPN!C:C, ESPN!H:H), "N/A")</f>
        <v>N/A</v>
      </c>
      <c r="O149" s="26" t="str" cm="1">
        <f t="array" ref="O149">IFERROR(_xlfn.XLOOKUP(C149&amp;A149, ESPN!A:A&amp;ESPN!C:C, ESPN!I:I), "N/A")</f>
        <v>N/A</v>
      </c>
      <c r="P149" s="26" t="str" cm="1">
        <f t="array" ref="P149">IFERROR(_xlfn.XLOOKUP(C149&amp;A149, ESPN!A:A&amp;ESPN!C:C, ESPN!J:J), "N/A")</f>
        <v>N/A</v>
      </c>
      <c r="Q149" s="26" t="str" cm="1">
        <f t="array" ref="Q149">IFERROR(_xlfn.XLOOKUP(C149&amp;A149, ESPN!A:A&amp;ESPN!C:C, ESPN!K:K), "N/A")</f>
        <v>N/A</v>
      </c>
    </row>
    <row r="150" spans="1:17" x14ac:dyDescent="0.45">
      <c r="A150" s="6">
        <v>2025</v>
      </c>
      <c r="B150" s="1" t="s">
        <v>152</v>
      </c>
      <c r="C150" s="2" t="str">
        <f t="shared" si="4"/>
        <v>Raheem Blackshear</v>
      </c>
      <c r="D150" s="2" t="str">
        <f t="shared" si="5"/>
        <v>PIT</v>
      </c>
      <c r="E150" s="2">
        <v>1</v>
      </c>
      <c r="F150" s="12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 t="str" cm="1">
        <f t="array" ref="L150">IFERROR(_xlfn.XLOOKUP(C150&amp;A150, ESPN!A:A&amp;ESPN!C:C, ESPN!D:D), "N/A")</f>
        <v>N/A</v>
      </c>
      <c r="M150" s="23" t="str" cm="1">
        <f t="array" ref="M150">IFERROR(_xlfn.XLOOKUP(C150&amp;A150, ESPN!A:A&amp;ESPN!C:C, ESPN!G:G), "N/A")</f>
        <v>N/A</v>
      </c>
      <c r="N150" s="23" t="str" cm="1">
        <f t="array" ref="N150">IFERROR(_xlfn.XLOOKUP(C150&amp;A150, ESPN!A:A&amp;ESPN!C:C, ESPN!H:H), "N/A")</f>
        <v>N/A</v>
      </c>
      <c r="O150" s="26" t="str" cm="1">
        <f t="array" ref="O150">IFERROR(_xlfn.XLOOKUP(C150&amp;A150, ESPN!A:A&amp;ESPN!C:C, ESPN!I:I), "N/A")</f>
        <v>N/A</v>
      </c>
      <c r="P150" s="26" t="str" cm="1">
        <f t="array" ref="P150">IFERROR(_xlfn.XLOOKUP(C150&amp;A150, ESPN!A:A&amp;ESPN!C:C, ESPN!J:J), "N/A")</f>
        <v>N/A</v>
      </c>
      <c r="Q150" s="26" t="str" cm="1">
        <f t="array" ref="Q150">IFERROR(_xlfn.XLOOKUP(C150&amp;A150, ESPN!A:A&amp;ESPN!C:C, ESPN!K:K), "N/A")</f>
        <v>N/A</v>
      </c>
    </row>
    <row r="151" spans="1:17" x14ac:dyDescent="0.45">
      <c r="A151" s="7">
        <v>2025</v>
      </c>
      <c r="B151" s="3" t="s">
        <v>153</v>
      </c>
      <c r="C151" s="4" t="str">
        <f t="shared" si="4"/>
        <v>Michael Burton</v>
      </c>
      <c r="D151" s="4" t="str">
        <f t="shared" si="5"/>
        <v>DEN</v>
      </c>
      <c r="E151" s="4">
        <v>1</v>
      </c>
      <c r="F151" s="13">
        <v>1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1" t="str" cm="1">
        <f t="array" ref="L151">IFERROR(_xlfn.XLOOKUP(C151&amp;A151, ESPN!A:A&amp;ESPN!C:C, ESPN!D:D), "N/A")</f>
        <v>N/A</v>
      </c>
      <c r="M151" s="23" t="str" cm="1">
        <f t="array" ref="M151">IFERROR(_xlfn.XLOOKUP(C151&amp;A151, ESPN!A:A&amp;ESPN!C:C, ESPN!G:G), "N/A")</f>
        <v>N/A</v>
      </c>
      <c r="N151" s="23" t="str" cm="1">
        <f t="array" ref="N151">IFERROR(_xlfn.XLOOKUP(C151&amp;A151, ESPN!A:A&amp;ESPN!C:C, ESPN!H:H), "N/A")</f>
        <v>N/A</v>
      </c>
      <c r="O151" s="26" t="str" cm="1">
        <f t="array" ref="O151">IFERROR(_xlfn.XLOOKUP(C151&amp;A151, ESPN!A:A&amp;ESPN!C:C, ESPN!I:I), "N/A")</f>
        <v>N/A</v>
      </c>
      <c r="P151" s="26" t="str" cm="1">
        <f t="array" ref="P151">IFERROR(_xlfn.XLOOKUP(C151&amp;A151, ESPN!A:A&amp;ESPN!C:C, ESPN!J:J), "N/A")</f>
        <v>N/A</v>
      </c>
      <c r="Q151" s="26" t="str" cm="1">
        <f t="array" ref="Q151">IFERROR(_xlfn.XLOOKUP(C151&amp;A151, ESPN!A:A&amp;ESPN!C:C, ESPN!K:K), "N/A")</f>
        <v>N/A</v>
      </c>
    </row>
    <row r="152" spans="1:17" x14ac:dyDescent="0.45">
      <c r="A152" s="6">
        <v>2025</v>
      </c>
      <c r="B152" s="1" t="s">
        <v>154</v>
      </c>
      <c r="C152" s="2" t="str">
        <f t="shared" si="4"/>
        <v>Lew Nichols III</v>
      </c>
      <c r="D152" s="2" t="str">
        <f t="shared" si="5"/>
        <v>PIT</v>
      </c>
      <c r="E152" s="2">
        <v>2</v>
      </c>
      <c r="F152" s="12">
        <v>0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 t="str" cm="1">
        <f t="array" ref="L152">IFERROR(_xlfn.XLOOKUP(C152&amp;A152, ESPN!A:A&amp;ESPN!C:C, ESPN!D:D), "N/A")</f>
        <v>N/A</v>
      </c>
      <c r="M152" s="23" t="str" cm="1">
        <f t="array" ref="M152">IFERROR(_xlfn.XLOOKUP(C152&amp;A152, ESPN!A:A&amp;ESPN!C:C, ESPN!G:G), "N/A")</f>
        <v>N/A</v>
      </c>
      <c r="N152" s="23" t="str" cm="1">
        <f t="array" ref="N152">IFERROR(_xlfn.XLOOKUP(C152&amp;A152, ESPN!A:A&amp;ESPN!C:C, ESPN!H:H), "N/A")</f>
        <v>N/A</v>
      </c>
      <c r="O152" s="26" t="str" cm="1">
        <f t="array" ref="O152">IFERROR(_xlfn.XLOOKUP(C152&amp;A152, ESPN!A:A&amp;ESPN!C:C, ESPN!I:I), "N/A")</f>
        <v>N/A</v>
      </c>
      <c r="P152" s="26" t="str" cm="1">
        <f t="array" ref="P152">IFERROR(_xlfn.XLOOKUP(C152&amp;A152, ESPN!A:A&amp;ESPN!C:C, ESPN!J:J), "N/A")</f>
        <v>N/A</v>
      </c>
      <c r="Q152" s="26" t="str" cm="1">
        <f t="array" ref="Q152">IFERROR(_xlfn.XLOOKUP(C152&amp;A152, ESPN!A:A&amp;ESPN!C:C, ESPN!K:K), "N/A")</f>
        <v>N/A</v>
      </c>
    </row>
    <row r="153" spans="1:17" x14ac:dyDescent="0.45">
      <c r="A153" s="7">
        <v>2025</v>
      </c>
      <c r="B153" s="3" t="s">
        <v>155</v>
      </c>
      <c r="C153" s="4" t="str">
        <f t="shared" si="4"/>
        <v>Kye Robichaux</v>
      </c>
      <c r="D153" s="4" t="str">
        <f t="shared" si="5"/>
        <v>DET</v>
      </c>
      <c r="E153" s="4">
        <v>1</v>
      </c>
      <c r="F153" s="13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1" t="str" cm="1">
        <f t="array" ref="L153">IFERROR(_xlfn.XLOOKUP(C153&amp;A153, ESPN!A:A&amp;ESPN!C:C, ESPN!D:D), "N/A")</f>
        <v>N/A</v>
      </c>
      <c r="M153" s="23" t="str" cm="1">
        <f t="array" ref="M153">IFERROR(_xlfn.XLOOKUP(C153&amp;A153, ESPN!A:A&amp;ESPN!C:C, ESPN!G:G), "N/A")</f>
        <v>N/A</v>
      </c>
      <c r="N153" s="23" t="str" cm="1">
        <f t="array" ref="N153">IFERROR(_xlfn.XLOOKUP(C153&amp;A153, ESPN!A:A&amp;ESPN!C:C, ESPN!H:H), "N/A")</f>
        <v>N/A</v>
      </c>
      <c r="O153" s="26" t="str" cm="1">
        <f t="array" ref="O153">IFERROR(_xlfn.XLOOKUP(C153&amp;A153, ESPN!A:A&amp;ESPN!C:C, ESPN!I:I), "N/A")</f>
        <v>N/A</v>
      </c>
      <c r="P153" s="26" t="str" cm="1">
        <f t="array" ref="P153">IFERROR(_xlfn.XLOOKUP(C153&amp;A153, ESPN!A:A&amp;ESPN!C:C, ESPN!J:J), "N/A")</f>
        <v>N/A</v>
      </c>
      <c r="Q153" s="26" t="str" cm="1">
        <f t="array" ref="Q153">IFERROR(_xlfn.XLOOKUP(C153&amp;A153, ESPN!A:A&amp;ESPN!C:C, ESPN!K:K), "N/A")</f>
        <v>N/A</v>
      </c>
    </row>
    <row r="154" spans="1:17" x14ac:dyDescent="0.45">
      <c r="A154" s="6">
        <v>2025</v>
      </c>
      <c r="B154" s="1" t="s">
        <v>156</v>
      </c>
      <c r="C154" s="2" t="str">
        <f t="shared" si="4"/>
        <v>Keilan Robinson</v>
      </c>
      <c r="D154" s="2" t="str">
        <f t="shared" si="5"/>
        <v>NYJ</v>
      </c>
      <c r="E154" s="2">
        <v>1</v>
      </c>
      <c r="F154" s="12">
        <v>0</v>
      </c>
      <c r="G154" s="11">
        <v>0</v>
      </c>
      <c r="H154" s="11">
        <v>0</v>
      </c>
      <c r="I154" s="11">
        <v>0</v>
      </c>
      <c r="J154" s="11">
        <v>0</v>
      </c>
      <c r="K154" s="11">
        <v>0</v>
      </c>
      <c r="L154" s="11" t="str" cm="1">
        <f t="array" ref="L154">IFERROR(_xlfn.XLOOKUP(C154&amp;A154, ESPN!A:A&amp;ESPN!C:C, ESPN!D:D), "N/A")</f>
        <v>N/A</v>
      </c>
      <c r="M154" s="23" t="str" cm="1">
        <f t="array" ref="M154">IFERROR(_xlfn.XLOOKUP(C154&amp;A154, ESPN!A:A&amp;ESPN!C:C, ESPN!G:G), "N/A")</f>
        <v>N/A</v>
      </c>
      <c r="N154" s="23" t="str" cm="1">
        <f t="array" ref="N154">IFERROR(_xlfn.XLOOKUP(C154&amp;A154, ESPN!A:A&amp;ESPN!C:C, ESPN!H:H), "N/A")</f>
        <v>N/A</v>
      </c>
      <c r="O154" s="26" t="str" cm="1">
        <f t="array" ref="O154">IFERROR(_xlfn.XLOOKUP(C154&amp;A154, ESPN!A:A&amp;ESPN!C:C, ESPN!I:I), "N/A")</f>
        <v>N/A</v>
      </c>
      <c r="P154" s="26" t="str" cm="1">
        <f t="array" ref="P154">IFERROR(_xlfn.XLOOKUP(C154&amp;A154, ESPN!A:A&amp;ESPN!C:C, ESPN!J:J), "N/A")</f>
        <v>N/A</v>
      </c>
      <c r="Q154" s="26" t="str" cm="1">
        <f t="array" ref="Q154">IFERROR(_xlfn.XLOOKUP(C154&amp;A154, ESPN!A:A&amp;ESPN!C:C, ESPN!K:K), "N/A")</f>
        <v>N/A</v>
      </c>
    </row>
    <row r="155" spans="1:17" x14ac:dyDescent="0.45">
      <c r="A155" s="7">
        <v>2025</v>
      </c>
      <c r="B155" s="3" t="s">
        <v>157</v>
      </c>
      <c r="C155" s="4" t="str">
        <f t="shared" si="4"/>
        <v>Keaontay Ingram</v>
      </c>
      <c r="D155" s="4" t="str">
        <f t="shared" si="5"/>
        <v>KC</v>
      </c>
      <c r="E155" s="4">
        <v>2</v>
      </c>
      <c r="F155" s="13">
        <v>0</v>
      </c>
      <c r="G155" s="14">
        <v>0</v>
      </c>
      <c r="H155" s="14">
        <v>0</v>
      </c>
      <c r="I155" s="14">
        <v>0</v>
      </c>
      <c r="J155" s="14">
        <v>0</v>
      </c>
      <c r="K155" s="14">
        <v>0</v>
      </c>
      <c r="L155" s="11" t="str" cm="1">
        <f t="array" ref="L155">IFERROR(_xlfn.XLOOKUP(C155&amp;A155, ESPN!A:A&amp;ESPN!C:C, ESPN!D:D), "N/A")</f>
        <v>N/A</v>
      </c>
      <c r="M155" s="23" t="str" cm="1">
        <f t="array" ref="M155">IFERROR(_xlfn.XLOOKUP(C155&amp;A155, ESPN!A:A&amp;ESPN!C:C, ESPN!G:G), "N/A")</f>
        <v>N/A</v>
      </c>
      <c r="N155" s="23" t="str" cm="1">
        <f t="array" ref="N155">IFERROR(_xlfn.XLOOKUP(C155&amp;A155, ESPN!A:A&amp;ESPN!C:C, ESPN!H:H), "N/A")</f>
        <v>N/A</v>
      </c>
      <c r="O155" s="26" t="str" cm="1">
        <f t="array" ref="O155">IFERROR(_xlfn.XLOOKUP(C155&amp;A155, ESPN!A:A&amp;ESPN!C:C, ESPN!I:I), "N/A")</f>
        <v>N/A</v>
      </c>
      <c r="P155" s="26" t="str" cm="1">
        <f t="array" ref="P155">IFERROR(_xlfn.XLOOKUP(C155&amp;A155, ESPN!A:A&amp;ESPN!C:C, ESPN!J:J), "N/A")</f>
        <v>N/A</v>
      </c>
      <c r="Q155" s="26" t="str" cm="1">
        <f t="array" ref="Q155">IFERROR(_xlfn.XLOOKUP(C155&amp;A155, ESPN!A:A&amp;ESPN!C:C, ESPN!K:K), "N/A")</f>
        <v>N/A</v>
      </c>
    </row>
    <row r="156" spans="1:17" x14ac:dyDescent="0.45">
      <c r="A156" s="6">
        <v>2025</v>
      </c>
      <c r="B156" s="1" t="s">
        <v>158</v>
      </c>
      <c r="C156" s="2" t="str">
        <f t="shared" si="4"/>
        <v>Jordan Mims</v>
      </c>
      <c r="D156" s="2" t="str">
        <f t="shared" si="5"/>
        <v>TEN</v>
      </c>
      <c r="E156" s="2">
        <v>1</v>
      </c>
      <c r="F156" s="12">
        <v>0</v>
      </c>
      <c r="G156" s="11">
        <v>0</v>
      </c>
      <c r="H156" s="11">
        <v>0</v>
      </c>
      <c r="I156" s="11">
        <v>0</v>
      </c>
      <c r="J156" s="11">
        <v>0</v>
      </c>
      <c r="K156" s="11">
        <v>0</v>
      </c>
      <c r="L156" s="11" t="str" cm="1">
        <f t="array" ref="L156">IFERROR(_xlfn.XLOOKUP(C156&amp;A156, ESPN!A:A&amp;ESPN!C:C, ESPN!D:D), "N/A")</f>
        <v>N/A</v>
      </c>
      <c r="M156" s="23" t="str" cm="1">
        <f t="array" ref="M156">IFERROR(_xlfn.XLOOKUP(C156&amp;A156, ESPN!A:A&amp;ESPN!C:C, ESPN!G:G), "N/A")</f>
        <v>N/A</v>
      </c>
      <c r="N156" s="23" t="str" cm="1">
        <f t="array" ref="N156">IFERROR(_xlfn.XLOOKUP(C156&amp;A156, ESPN!A:A&amp;ESPN!C:C, ESPN!H:H), "N/A")</f>
        <v>N/A</v>
      </c>
      <c r="O156" s="26" t="str" cm="1">
        <f t="array" ref="O156">IFERROR(_xlfn.XLOOKUP(C156&amp;A156, ESPN!A:A&amp;ESPN!C:C, ESPN!I:I), "N/A")</f>
        <v>N/A</v>
      </c>
      <c r="P156" s="26" t="str" cm="1">
        <f t="array" ref="P156">IFERROR(_xlfn.XLOOKUP(C156&amp;A156, ESPN!A:A&amp;ESPN!C:C, ESPN!J:J), "N/A")</f>
        <v>N/A</v>
      </c>
      <c r="Q156" s="26" t="str" cm="1">
        <f t="array" ref="Q156">IFERROR(_xlfn.XLOOKUP(C156&amp;A156, ESPN!A:A&amp;ESPN!C:C, ESPN!K:K), "N/A")</f>
        <v>N/A</v>
      </c>
    </row>
    <row r="157" spans="1:17" x14ac:dyDescent="0.45">
      <c r="A157" s="7">
        <v>2025</v>
      </c>
      <c r="B157" s="3" t="s">
        <v>159</v>
      </c>
      <c r="C157" s="4" t="str">
        <f t="shared" si="4"/>
        <v>Jordan James</v>
      </c>
      <c r="D157" s="4" t="str">
        <f t="shared" si="5"/>
        <v>SF</v>
      </c>
      <c r="E157" s="4">
        <v>2</v>
      </c>
      <c r="F157" s="13">
        <v>0</v>
      </c>
      <c r="G157" s="14">
        <v>0</v>
      </c>
      <c r="H157" s="14">
        <v>0</v>
      </c>
      <c r="I157" s="14">
        <v>0</v>
      </c>
      <c r="J157" s="14">
        <v>0</v>
      </c>
      <c r="K157" s="14">
        <v>0</v>
      </c>
      <c r="L157" s="11" t="str" cm="1">
        <f t="array" ref="L157">IFERROR(_xlfn.XLOOKUP(C157&amp;A157, ESPN!A:A&amp;ESPN!C:C, ESPN!D:D), "N/A")</f>
        <v>N/A</v>
      </c>
      <c r="M157" s="23" t="str" cm="1">
        <f t="array" ref="M157">IFERROR(_xlfn.XLOOKUP(C157&amp;A157, ESPN!A:A&amp;ESPN!C:C, ESPN!G:G), "N/A")</f>
        <v>N/A</v>
      </c>
      <c r="N157" s="23" t="str" cm="1">
        <f t="array" ref="N157">IFERROR(_xlfn.XLOOKUP(C157&amp;A157, ESPN!A:A&amp;ESPN!C:C, ESPN!H:H), "N/A")</f>
        <v>N/A</v>
      </c>
      <c r="O157" s="26" t="str" cm="1">
        <f t="array" ref="O157">IFERROR(_xlfn.XLOOKUP(C157&amp;A157, ESPN!A:A&amp;ESPN!C:C, ESPN!I:I), "N/A")</f>
        <v>N/A</v>
      </c>
      <c r="P157" s="26" t="str" cm="1">
        <f t="array" ref="P157">IFERROR(_xlfn.XLOOKUP(C157&amp;A157, ESPN!A:A&amp;ESPN!C:C, ESPN!J:J), "N/A")</f>
        <v>N/A</v>
      </c>
      <c r="Q157" s="26" t="str" cm="1">
        <f t="array" ref="Q157">IFERROR(_xlfn.XLOOKUP(C157&amp;A157, ESPN!A:A&amp;ESPN!C:C, ESPN!K:K), "N/A")</f>
        <v>N/A</v>
      </c>
    </row>
    <row r="158" spans="1:17" x14ac:dyDescent="0.45">
      <c r="A158" s="6">
        <v>2025</v>
      </c>
      <c r="B158" s="1" t="s">
        <v>160</v>
      </c>
      <c r="C158" s="2" t="str">
        <f t="shared" si="4"/>
        <v>Jeff Wilson Jr.</v>
      </c>
      <c r="D158" s="2" t="str">
        <f t="shared" si="5"/>
        <v>MIA</v>
      </c>
      <c r="E158" s="2">
        <v>2</v>
      </c>
      <c r="F158" s="12">
        <v>0</v>
      </c>
      <c r="G158" s="11">
        <v>0</v>
      </c>
      <c r="H158" s="11">
        <v>0</v>
      </c>
      <c r="I158" s="11">
        <v>0</v>
      </c>
      <c r="J158" s="11">
        <v>0</v>
      </c>
      <c r="K158" s="11">
        <v>0</v>
      </c>
      <c r="L158" s="11" t="str" cm="1">
        <f t="array" ref="L158">IFERROR(_xlfn.XLOOKUP(C158&amp;A158, ESPN!A:A&amp;ESPN!C:C, ESPN!D:D), "N/A")</f>
        <v>N/A</v>
      </c>
      <c r="M158" s="23" t="str" cm="1">
        <f t="array" ref="M158">IFERROR(_xlfn.XLOOKUP(C158&amp;A158, ESPN!A:A&amp;ESPN!C:C, ESPN!G:G), "N/A")</f>
        <v>N/A</v>
      </c>
      <c r="N158" s="23" t="str" cm="1">
        <f t="array" ref="N158">IFERROR(_xlfn.XLOOKUP(C158&amp;A158, ESPN!A:A&amp;ESPN!C:C, ESPN!H:H), "N/A")</f>
        <v>N/A</v>
      </c>
      <c r="O158" s="26" t="str" cm="1">
        <f t="array" ref="O158">IFERROR(_xlfn.XLOOKUP(C158&amp;A158, ESPN!A:A&amp;ESPN!C:C, ESPN!I:I), "N/A")</f>
        <v>N/A</v>
      </c>
      <c r="P158" s="26" t="str" cm="1">
        <f t="array" ref="P158">IFERROR(_xlfn.XLOOKUP(C158&amp;A158, ESPN!A:A&amp;ESPN!C:C, ESPN!J:J), "N/A")</f>
        <v>N/A</v>
      </c>
      <c r="Q158" s="26" t="str" cm="1">
        <f t="array" ref="Q158">IFERROR(_xlfn.XLOOKUP(C158&amp;A158, ESPN!A:A&amp;ESPN!C:C, ESPN!K:K), "N/A")</f>
        <v>N/A</v>
      </c>
    </row>
    <row r="159" spans="1:17" x14ac:dyDescent="0.45">
      <c r="A159" s="7">
        <v>2025</v>
      </c>
      <c r="B159" s="3" t="s">
        <v>161</v>
      </c>
      <c r="C159" s="4" t="str">
        <f t="shared" si="4"/>
        <v>Jashaun Corbin</v>
      </c>
      <c r="D159" s="4" t="str">
        <f t="shared" si="5"/>
        <v>NE</v>
      </c>
      <c r="E159" s="4">
        <v>1</v>
      </c>
      <c r="F159" s="13">
        <v>0</v>
      </c>
      <c r="G159" s="14">
        <v>0</v>
      </c>
      <c r="H159" s="14">
        <v>0</v>
      </c>
      <c r="I159" s="14">
        <v>0</v>
      </c>
      <c r="J159" s="14">
        <v>0</v>
      </c>
      <c r="K159" s="14">
        <v>0</v>
      </c>
      <c r="L159" s="11" t="str" cm="1">
        <f t="array" ref="L159">IFERROR(_xlfn.XLOOKUP(C159&amp;A159, ESPN!A:A&amp;ESPN!C:C, ESPN!D:D), "N/A")</f>
        <v>N/A</v>
      </c>
      <c r="M159" s="23" t="str" cm="1">
        <f t="array" ref="M159">IFERROR(_xlfn.XLOOKUP(C159&amp;A159, ESPN!A:A&amp;ESPN!C:C, ESPN!G:G), "N/A")</f>
        <v>N/A</v>
      </c>
      <c r="N159" s="23" t="str" cm="1">
        <f t="array" ref="N159">IFERROR(_xlfn.XLOOKUP(C159&amp;A159, ESPN!A:A&amp;ESPN!C:C, ESPN!H:H), "N/A")</f>
        <v>N/A</v>
      </c>
      <c r="O159" s="26" t="str" cm="1">
        <f t="array" ref="O159">IFERROR(_xlfn.XLOOKUP(C159&amp;A159, ESPN!A:A&amp;ESPN!C:C, ESPN!I:I), "N/A")</f>
        <v>N/A</v>
      </c>
      <c r="P159" s="26" t="str" cm="1">
        <f t="array" ref="P159">IFERROR(_xlfn.XLOOKUP(C159&amp;A159, ESPN!A:A&amp;ESPN!C:C, ESPN!J:J), "N/A")</f>
        <v>N/A</v>
      </c>
      <c r="Q159" s="26" t="str" cm="1">
        <f t="array" ref="Q159">IFERROR(_xlfn.XLOOKUP(C159&amp;A159, ESPN!A:A&amp;ESPN!C:C, ESPN!K:K), "N/A")</f>
        <v>N/A</v>
      </c>
    </row>
    <row r="160" spans="1:17" x14ac:dyDescent="0.45">
      <c r="A160" s="6">
        <v>2025</v>
      </c>
      <c r="B160" s="1" t="s">
        <v>162</v>
      </c>
      <c r="C160" s="2" t="str">
        <f t="shared" si="4"/>
        <v>Jakob Johnson</v>
      </c>
      <c r="D160" s="2" t="str">
        <f t="shared" si="5"/>
        <v>HOU</v>
      </c>
      <c r="E160" s="2">
        <v>7</v>
      </c>
      <c r="F160" s="12">
        <v>0</v>
      </c>
      <c r="G160" s="11">
        <v>0</v>
      </c>
      <c r="H160" s="11">
        <v>0</v>
      </c>
      <c r="I160" s="11">
        <v>0</v>
      </c>
      <c r="J160" s="11">
        <v>0</v>
      </c>
      <c r="K160" s="11">
        <v>0</v>
      </c>
      <c r="L160" s="11" t="str" cm="1">
        <f t="array" ref="L160">IFERROR(_xlfn.XLOOKUP(C160&amp;A160, ESPN!A:A&amp;ESPN!C:C, ESPN!D:D), "N/A")</f>
        <v>N/A</v>
      </c>
      <c r="M160" s="23" t="str" cm="1">
        <f t="array" ref="M160">IFERROR(_xlfn.XLOOKUP(C160&amp;A160, ESPN!A:A&amp;ESPN!C:C, ESPN!G:G), "N/A")</f>
        <v>N/A</v>
      </c>
      <c r="N160" s="23" t="str" cm="1">
        <f t="array" ref="N160">IFERROR(_xlfn.XLOOKUP(C160&amp;A160, ESPN!A:A&amp;ESPN!C:C, ESPN!H:H), "N/A")</f>
        <v>N/A</v>
      </c>
      <c r="O160" s="26" t="str" cm="1">
        <f t="array" ref="O160">IFERROR(_xlfn.XLOOKUP(C160&amp;A160, ESPN!A:A&amp;ESPN!C:C, ESPN!I:I), "N/A")</f>
        <v>N/A</v>
      </c>
      <c r="P160" s="26" t="str" cm="1">
        <f t="array" ref="P160">IFERROR(_xlfn.XLOOKUP(C160&amp;A160, ESPN!A:A&amp;ESPN!C:C, ESPN!J:J), "N/A")</f>
        <v>N/A</v>
      </c>
      <c r="Q160" s="26" t="str" cm="1">
        <f t="array" ref="Q160">IFERROR(_xlfn.XLOOKUP(C160&amp;A160, ESPN!A:A&amp;ESPN!C:C, ESPN!K:K), "N/A")</f>
        <v>N/A</v>
      </c>
    </row>
    <row r="161" spans="1:17" x14ac:dyDescent="0.45">
      <c r="A161" s="7">
        <v>2025</v>
      </c>
      <c r="B161" s="3" t="s">
        <v>163</v>
      </c>
      <c r="C161" s="4" t="str">
        <f t="shared" si="4"/>
        <v>Jack Westover</v>
      </c>
      <c r="D161" s="4" t="str">
        <f t="shared" si="5"/>
        <v>NE</v>
      </c>
      <c r="E161" s="4">
        <v>17</v>
      </c>
      <c r="F161" s="13">
        <v>0</v>
      </c>
      <c r="G161" s="14">
        <v>0</v>
      </c>
      <c r="H161" s="14">
        <v>0</v>
      </c>
      <c r="I161" s="14">
        <v>0</v>
      </c>
      <c r="J161" s="14">
        <v>0</v>
      </c>
      <c r="K161" s="14">
        <v>0</v>
      </c>
      <c r="L161" s="11" t="str" cm="1">
        <f t="array" ref="L161">IFERROR(_xlfn.XLOOKUP(C161&amp;A161, ESPN!A:A&amp;ESPN!C:C, ESPN!D:D), "N/A")</f>
        <v>N/A</v>
      </c>
      <c r="M161" s="23" t="str" cm="1">
        <f t="array" ref="M161">IFERROR(_xlfn.XLOOKUP(C161&amp;A161, ESPN!A:A&amp;ESPN!C:C, ESPN!G:G), "N/A")</f>
        <v>N/A</v>
      </c>
      <c r="N161" s="23" t="str" cm="1">
        <f t="array" ref="N161">IFERROR(_xlfn.XLOOKUP(C161&amp;A161, ESPN!A:A&amp;ESPN!C:C, ESPN!H:H), "N/A")</f>
        <v>N/A</v>
      </c>
      <c r="O161" s="26" t="str" cm="1">
        <f t="array" ref="O161">IFERROR(_xlfn.XLOOKUP(C161&amp;A161, ESPN!A:A&amp;ESPN!C:C, ESPN!I:I), "N/A")</f>
        <v>N/A</v>
      </c>
      <c r="P161" s="26" t="str" cm="1">
        <f t="array" ref="P161">IFERROR(_xlfn.XLOOKUP(C161&amp;A161, ESPN!A:A&amp;ESPN!C:C, ESPN!J:J), "N/A")</f>
        <v>N/A</v>
      </c>
      <c r="Q161" s="26" t="str" cm="1">
        <f t="array" ref="Q161">IFERROR(_xlfn.XLOOKUP(C161&amp;A161, ESPN!A:A&amp;ESPN!C:C, ESPN!K:K), "N/A")</f>
        <v>N/A</v>
      </c>
    </row>
    <row r="162" spans="1:17" x14ac:dyDescent="0.45">
      <c r="A162" s="6">
        <v>2025</v>
      </c>
      <c r="B162" s="1" t="s">
        <v>164</v>
      </c>
      <c r="C162" s="2" t="str">
        <f t="shared" si="4"/>
        <v>Isaac Guerendo</v>
      </c>
      <c r="D162" s="2" t="str">
        <f t="shared" si="5"/>
        <v>SF</v>
      </c>
      <c r="E162" s="2">
        <v>8</v>
      </c>
      <c r="F162" s="12">
        <v>4</v>
      </c>
      <c r="G162" s="11">
        <v>4</v>
      </c>
      <c r="H162" s="11">
        <v>12</v>
      </c>
      <c r="I162" s="11">
        <v>3</v>
      </c>
      <c r="J162" s="11">
        <v>1</v>
      </c>
      <c r="K162" s="11">
        <v>0</v>
      </c>
      <c r="L162" s="11" t="str" cm="1">
        <f t="array" ref="L162">IFERROR(_xlfn.XLOOKUP(C162&amp;A162, ESPN!A:A&amp;ESPN!C:C, ESPN!D:D), "N/A")</f>
        <v>N/A</v>
      </c>
      <c r="M162" s="23" t="str" cm="1">
        <f t="array" ref="M162">IFERROR(_xlfn.XLOOKUP(C162&amp;A162, ESPN!A:A&amp;ESPN!C:C, ESPN!G:G), "N/A")</f>
        <v>N/A</v>
      </c>
      <c r="N162" s="23" t="str" cm="1">
        <f t="array" ref="N162">IFERROR(_xlfn.XLOOKUP(C162&amp;A162, ESPN!A:A&amp;ESPN!C:C, ESPN!H:H), "N/A")</f>
        <v>N/A</v>
      </c>
      <c r="O162" s="26" t="str" cm="1">
        <f t="array" ref="O162">IFERROR(_xlfn.XLOOKUP(C162&amp;A162, ESPN!A:A&amp;ESPN!C:C, ESPN!I:I), "N/A")</f>
        <v>N/A</v>
      </c>
      <c r="P162" s="26" t="str" cm="1">
        <f t="array" ref="P162">IFERROR(_xlfn.XLOOKUP(C162&amp;A162, ESPN!A:A&amp;ESPN!C:C, ESPN!J:J), "N/A")</f>
        <v>N/A</v>
      </c>
      <c r="Q162" s="26" t="str" cm="1">
        <f t="array" ref="Q162">IFERROR(_xlfn.XLOOKUP(C162&amp;A162, ESPN!A:A&amp;ESPN!C:C, ESPN!K:K), "N/A")</f>
        <v>N/A</v>
      </c>
    </row>
    <row r="163" spans="1:17" x14ac:dyDescent="0.45">
      <c r="A163" s="7">
        <v>2025</v>
      </c>
      <c r="B163" s="3" t="s">
        <v>165</v>
      </c>
      <c r="C163" s="4" t="str">
        <f t="shared" si="4"/>
        <v>Gary Brightwell</v>
      </c>
      <c r="D163" s="4" t="str">
        <f t="shared" si="5"/>
        <v>CIN</v>
      </c>
      <c r="E163" s="4">
        <v>2</v>
      </c>
      <c r="F163" s="13">
        <v>1</v>
      </c>
      <c r="G163" s="14">
        <v>0</v>
      </c>
      <c r="H163" s="14">
        <v>0</v>
      </c>
      <c r="I163" s="14">
        <v>0</v>
      </c>
      <c r="J163" s="14">
        <v>0</v>
      </c>
      <c r="K163" s="14">
        <v>0</v>
      </c>
      <c r="L163" s="11" t="str" cm="1">
        <f t="array" ref="L163">IFERROR(_xlfn.XLOOKUP(C163&amp;A163, ESPN!A:A&amp;ESPN!C:C, ESPN!D:D), "N/A")</f>
        <v>N/A</v>
      </c>
      <c r="M163" s="23" t="str" cm="1">
        <f t="array" ref="M163">IFERROR(_xlfn.XLOOKUP(C163&amp;A163, ESPN!A:A&amp;ESPN!C:C, ESPN!G:G), "N/A")</f>
        <v>N/A</v>
      </c>
      <c r="N163" s="23" t="str" cm="1">
        <f t="array" ref="N163">IFERROR(_xlfn.XLOOKUP(C163&amp;A163, ESPN!A:A&amp;ESPN!C:C, ESPN!H:H), "N/A")</f>
        <v>N/A</v>
      </c>
      <c r="O163" s="26" t="str" cm="1">
        <f t="array" ref="O163">IFERROR(_xlfn.XLOOKUP(C163&amp;A163, ESPN!A:A&amp;ESPN!C:C, ESPN!I:I), "N/A")</f>
        <v>N/A</v>
      </c>
      <c r="P163" s="26" t="str" cm="1">
        <f t="array" ref="P163">IFERROR(_xlfn.XLOOKUP(C163&amp;A163, ESPN!A:A&amp;ESPN!C:C, ESPN!J:J), "N/A")</f>
        <v>N/A</v>
      </c>
      <c r="Q163" s="26" t="str" cm="1">
        <f t="array" ref="Q163">IFERROR(_xlfn.XLOOKUP(C163&amp;A163, ESPN!A:A&amp;ESPN!C:C, ESPN!K:K), "N/A")</f>
        <v>N/A</v>
      </c>
    </row>
    <row r="164" spans="1:17" x14ac:dyDescent="0.45">
      <c r="A164" s="6">
        <v>2025</v>
      </c>
      <c r="B164" s="1" t="s">
        <v>166</v>
      </c>
      <c r="C164" s="2" t="str">
        <f t="shared" si="4"/>
        <v>Eric Gray</v>
      </c>
      <c r="D164" s="2" t="str">
        <f t="shared" si="5"/>
        <v>NYG</v>
      </c>
      <c r="E164" s="2">
        <v>3</v>
      </c>
      <c r="F164" s="12">
        <v>0</v>
      </c>
      <c r="G164" s="11">
        <v>0</v>
      </c>
      <c r="H164" s="11">
        <v>0</v>
      </c>
      <c r="I164" s="11">
        <v>0</v>
      </c>
      <c r="J164" s="11">
        <v>0</v>
      </c>
      <c r="K164" s="11">
        <v>0</v>
      </c>
      <c r="L164" s="11" t="str" cm="1">
        <f t="array" ref="L164">IFERROR(_xlfn.XLOOKUP(C164&amp;A164, ESPN!A:A&amp;ESPN!C:C, ESPN!D:D), "N/A")</f>
        <v>N/A</v>
      </c>
      <c r="M164" s="23" t="str" cm="1">
        <f t="array" ref="M164">IFERROR(_xlfn.XLOOKUP(C164&amp;A164, ESPN!A:A&amp;ESPN!C:C, ESPN!G:G), "N/A")</f>
        <v>N/A</v>
      </c>
      <c r="N164" s="23" t="str" cm="1">
        <f t="array" ref="N164">IFERROR(_xlfn.XLOOKUP(C164&amp;A164, ESPN!A:A&amp;ESPN!C:C, ESPN!H:H), "N/A")</f>
        <v>N/A</v>
      </c>
      <c r="O164" s="26" t="str" cm="1">
        <f t="array" ref="O164">IFERROR(_xlfn.XLOOKUP(C164&amp;A164, ESPN!A:A&amp;ESPN!C:C, ESPN!I:I), "N/A")</f>
        <v>N/A</v>
      </c>
      <c r="P164" s="26" t="str" cm="1">
        <f t="array" ref="P164">IFERROR(_xlfn.XLOOKUP(C164&amp;A164, ESPN!A:A&amp;ESPN!C:C, ESPN!J:J), "N/A")</f>
        <v>N/A</v>
      </c>
      <c r="Q164" s="26" t="str" cm="1">
        <f t="array" ref="Q164">IFERROR(_xlfn.XLOOKUP(C164&amp;A164, ESPN!A:A&amp;ESPN!C:C, ESPN!K:K), "N/A")</f>
        <v>N/A</v>
      </c>
    </row>
    <row r="165" spans="1:17" x14ac:dyDescent="0.45">
      <c r="A165" s="7">
        <v>2025</v>
      </c>
      <c r="B165" s="3" t="s">
        <v>167</v>
      </c>
      <c r="C165" s="4" t="str">
        <f t="shared" si="4"/>
        <v>Elijah Mitchell</v>
      </c>
      <c r="D165" s="4" t="str">
        <f t="shared" si="5"/>
        <v>KC</v>
      </c>
      <c r="E165" s="4">
        <v>1</v>
      </c>
      <c r="F165" s="13">
        <v>0</v>
      </c>
      <c r="G165" s="14">
        <v>0</v>
      </c>
      <c r="H165" s="14">
        <v>0</v>
      </c>
      <c r="I165" s="14">
        <v>0</v>
      </c>
      <c r="J165" s="14">
        <v>0</v>
      </c>
      <c r="K165" s="14">
        <v>0</v>
      </c>
      <c r="L165" s="11" t="str" cm="1">
        <f t="array" ref="L165">IFERROR(_xlfn.XLOOKUP(C165&amp;A165, ESPN!A:A&amp;ESPN!C:C, ESPN!D:D), "N/A")</f>
        <v>N/A</v>
      </c>
      <c r="M165" s="23" t="str" cm="1">
        <f t="array" ref="M165">IFERROR(_xlfn.XLOOKUP(C165&amp;A165, ESPN!A:A&amp;ESPN!C:C, ESPN!G:G), "N/A")</f>
        <v>N/A</v>
      </c>
      <c r="N165" s="23" t="str" cm="1">
        <f t="array" ref="N165">IFERROR(_xlfn.XLOOKUP(C165&amp;A165, ESPN!A:A&amp;ESPN!C:C, ESPN!H:H), "N/A")</f>
        <v>N/A</v>
      </c>
      <c r="O165" s="26" t="str" cm="1">
        <f t="array" ref="O165">IFERROR(_xlfn.XLOOKUP(C165&amp;A165, ESPN!A:A&amp;ESPN!C:C, ESPN!I:I), "N/A")</f>
        <v>N/A</v>
      </c>
      <c r="P165" s="26" t="str" cm="1">
        <f t="array" ref="P165">IFERROR(_xlfn.XLOOKUP(C165&amp;A165, ESPN!A:A&amp;ESPN!C:C, ESPN!J:J), "N/A")</f>
        <v>N/A</v>
      </c>
      <c r="Q165" s="26" t="str" cm="1">
        <f t="array" ref="Q165">IFERROR(_xlfn.XLOOKUP(C165&amp;A165, ESPN!A:A&amp;ESPN!C:C, ESPN!K:K), "N/A")</f>
        <v>N/A</v>
      </c>
    </row>
    <row r="166" spans="1:17" x14ac:dyDescent="0.45">
      <c r="A166" s="6">
        <v>2025</v>
      </c>
      <c r="B166" s="1" t="s">
        <v>168</v>
      </c>
      <c r="C166" s="2" t="str">
        <f t="shared" si="4"/>
        <v>Deion Hankins</v>
      </c>
      <c r="D166" s="2" t="str">
        <f t="shared" si="5"/>
        <v>CHI</v>
      </c>
      <c r="E166" s="2">
        <v>1</v>
      </c>
      <c r="F166" s="12">
        <v>2</v>
      </c>
      <c r="G166" s="11">
        <v>1</v>
      </c>
      <c r="H166" s="11">
        <v>0</v>
      </c>
      <c r="I166" s="11">
        <v>0</v>
      </c>
      <c r="J166" s="11">
        <v>0</v>
      </c>
      <c r="K166" s="11">
        <v>0</v>
      </c>
      <c r="L166" s="11" t="str" cm="1">
        <f t="array" ref="L166">IFERROR(_xlfn.XLOOKUP(C166&amp;A166, ESPN!A:A&amp;ESPN!C:C, ESPN!D:D), "N/A")</f>
        <v>N/A</v>
      </c>
      <c r="M166" s="23" t="str" cm="1">
        <f t="array" ref="M166">IFERROR(_xlfn.XLOOKUP(C166&amp;A166, ESPN!A:A&amp;ESPN!C:C, ESPN!G:G), "N/A")</f>
        <v>N/A</v>
      </c>
      <c r="N166" s="23" t="str" cm="1">
        <f t="array" ref="N166">IFERROR(_xlfn.XLOOKUP(C166&amp;A166, ESPN!A:A&amp;ESPN!C:C, ESPN!H:H), "N/A")</f>
        <v>N/A</v>
      </c>
      <c r="O166" s="26" t="str" cm="1">
        <f t="array" ref="O166">IFERROR(_xlfn.XLOOKUP(C166&amp;A166, ESPN!A:A&amp;ESPN!C:C, ESPN!I:I), "N/A")</f>
        <v>N/A</v>
      </c>
      <c r="P166" s="26" t="str" cm="1">
        <f t="array" ref="P166">IFERROR(_xlfn.XLOOKUP(C166&amp;A166, ESPN!A:A&amp;ESPN!C:C, ESPN!J:J), "N/A")</f>
        <v>N/A</v>
      </c>
      <c r="Q166" s="26" t="str" cm="1">
        <f t="array" ref="Q166">IFERROR(_xlfn.XLOOKUP(C166&amp;A166, ESPN!A:A&amp;ESPN!C:C, ESPN!K:K), "N/A")</f>
        <v>N/A</v>
      </c>
    </row>
    <row r="167" spans="1:17" x14ac:dyDescent="0.45">
      <c r="A167" s="7">
        <v>2025</v>
      </c>
      <c r="B167" s="3" t="s">
        <v>169</v>
      </c>
      <c r="C167" s="4" t="str">
        <f t="shared" si="4"/>
        <v>Chris Collier</v>
      </c>
      <c r="D167" s="4" t="str">
        <f t="shared" si="5"/>
        <v>LV</v>
      </c>
      <c r="E167" s="4">
        <v>1</v>
      </c>
      <c r="F167" s="13">
        <v>0</v>
      </c>
      <c r="G167" s="14">
        <v>0</v>
      </c>
      <c r="H167" s="14">
        <v>0</v>
      </c>
      <c r="I167" s="14">
        <v>0</v>
      </c>
      <c r="J167" s="14">
        <v>0</v>
      </c>
      <c r="K167" s="14">
        <v>0</v>
      </c>
      <c r="L167" s="11" t="str" cm="1">
        <f t="array" ref="L167">IFERROR(_xlfn.XLOOKUP(C167&amp;A167, ESPN!A:A&amp;ESPN!C:C, ESPN!D:D), "N/A")</f>
        <v>N/A</v>
      </c>
      <c r="M167" s="23" t="str" cm="1">
        <f t="array" ref="M167">IFERROR(_xlfn.XLOOKUP(C167&amp;A167, ESPN!A:A&amp;ESPN!C:C, ESPN!G:G), "N/A")</f>
        <v>N/A</v>
      </c>
      <c r="N167" s="23" t="str" cm="1">
        <f t="array" ref="N167">IFERROR(_xlfn.XLOOKUP(C167&amp;A167, ESPN!A:A&amp;ESPN!C:C, ESPN!H:H), "N/A")</f>
        <v>N/A</v>
      </c>
      <c r="O167" s="26" t="str" cm="1">
        <f t="array" ref="O167">IFERROR(_xlfn.XLOOKUP(C167&amp;A167, ESPN!A:A&amp;ESPN!C:C, ESPN!I:I), "N/A")</f>
        <v>N/A</v>
      </c>
      <c r="P167" s="26" t="str" cm="1">
        <f t="array" ref="P167">IFERROR(_xlfn.XLOOKUP(C167&amp;A167, ESPN!A:A&amp;ESPN!C:C, ESPN!J:J), "N/A")</f>
        <v>N/A</v>
      </c>
      <c r="Q167" s="26" t="str" cm="1">
        <f t="array" ref="Q167">IFERROR(_xlfn.XLOOKUP(C167&amp;A167, ESPN!A:A&amp;ESPN!C:C, ESPN!K:K), "N/A")</f>
        <v>N/A</v>
      </c>
    </row>
    <row r="168" spans="1:17" x14ac:dyDescent="0.45">
      <c r="A168" s="6">
        <v>2025</v>
      </c>
      <c r="B168" s="1" t="s">
        <v>170</v>
      </c>
      <c r="C168" s="2" t="str">
        <f t="shared" si="4"/>
        <v>Chase Edmonds</v>
      </c>
      <c r="D168" s="2" t="str">
        <f t="shared" si="5"/>
        <v>WAS</v>
      </c>
      <c r="E168" s="2">
        <v>3</v>
      </c>
      <c r="F168" s="12">
        <v>0</v>
      </c>
      <c r="G168" s="11">
        <v>0</v>
      </c>
      <c r="H168" s="11">
        <v>0</v>
      </c>
      <c r="I168" s="11">
        <v>0</v>
      </c>
      <c r="J168" s="11">
        <v>0</v>
      </c>
      <c r="K168" s="11">
        <v>0</v>
      </c>
      <c r="L168" s="11" t="str" cm="1">
        <f t="array" ref="L168">IFERROR(_xlfn.XLOOKUP(C168&amp;A168, ESPN!A:A&amp;ESPN!C:C, ESPN!D:D), "N/A")</f>
        <v>N/A</v>
      </c>
      <c r="M168" s="23" t="str" cm="1">
        <f t="array" ref="M168">IFERROR(_xlfn.XLOOKUP(C168&amp;A168, ESPN!A:A&amp;ESPN!C:C, ESPN!G:G), "N/A")</f>
        <v>N/A</v>
      </c>
      <c r="N168" s="23" t="str" cm="1">
        <f t="array" ref="N168">IFERROR(_xlfn.XLOOKUP(C168&amp;A168, ESPN!A:A&amp;ESPN!C:C, ESPN!H:H), "N/A")</f>
        <v>N/A</v>
      </c>
      <c r="O168" s="26" t="str" cm="1">
        <f t="array" ref="O168">IFERROR(_xlfn.XLOOKUP(C168&amp;A168, ESPN!A:A&amp;ESPN!C:C, ESPN!I:I), "N/A")</f>
        <v>N/A</v>
      </c>
      <c r="P168" s="26" t="str" cm="1">
        <f t="array" ref="P168">IFERROR(_xlfn.XLOOKUP(C168&amp;A168, ESPN!A:A&amp;ESPN!C:C, ESPN!J:J), "N/A")</f>
        <v>N/A</v>
      </c>
      <c r="Q168" s="26" t="str" cm="1">
        <f t="array" ref="Q168">IFERROR(_xlfn.XLOOKUP(C168&amp;A168, ESPN!A:A&amp;ESPN!C:C, ESPN!K:K), "N/A")</f>
        <v>N/A</v>
      </c>
    </row>
    <row r="169" spans="1:17" x14ac:dyDescent="0.45">
      <c r="A169" s="7">
        <v>2025</v>
      </c>
      <c r="B169" s="3" t="s">
        <v>171</v>
      </c>
      <c r="C169" s="4" t="str">
        <f t="shared" si="4"/>
        <v>Brady Russell</v>
      </c>
      <c r="D169" s="4" t="str">
        <f t="shared" si="5"/>
        <v>SEA</v>
      </c>
      <c r="E169" s="4">
        <v>16</v>
      </c>
      <c r="F169" s="13">
        <v>0</v>
      </c>
      <c r="G169" s="14">
        <v>0</v>
      </c>
      <c r="H169" s="14">
        <v>0</v>
      </c>
      <c r="I169" s="14">
        <v>0</v>
      </c>
      <c r="J169" s="14">
        <v>0</v>
      </c>
      <c r="K169" s="14">
        <v>0</v>
      </c>
      <c r="L169" s="11" t="str" cm="1">
        <f t="array" ref="L169">IFERROR(_xlfn.XLOOKUP(C169&amp;A169, ESPN!A:A&amp;ESPN!C:C, ESPN!D:D), "N/A")</f>
        <v>N/A</v>
      </c>
      <c r="M169" s="23" t="str" cm="1">
        <f t="array" ref="M169">IFERROR(_xlfn.XLOOKUP(C169&amp;A169, ESPN!A:A&amp;ESPN!C:C, ESPN!G:G), "N/A")</f>
        <v>N/A</v>
      </c>
      <c r="N169" s="23" t="str" cm="1">
        <f t="array" ref="N169">IFERROR(_xlfn.XLOOKUP(C169&amp;A169, ESPN!A:A&amp;ESPN!C:C, ESPN!H:H), "N/A")</f>
        <v>N/A</v>
      </c>
      <c r="O169" s="26" t="str" cm="1">
        <f t="array" ref="O169">IFERROR(_xlfn.XLOOKUP(C169&amp;A169, ESPN!A:A&amp;ESPN!C:C, ESPN!I:I), "N/A")</f>
        <v>N/A</v>
      </c>
      <c r="P169" s="26" t="str" cm="1">
        <f t="array" ref="P169">IFERROR(_xlfn.XLOOKUP(C169&amp;A169, ESPN!A:A&amp;ESPN!C:C, ESPN!J:J), "N/A")</f>
        <v>N/A</v>
      </c>
      <c r="Q169" s="26" t="str" cm="1">
        <f t="array" ref="Q169">IFERROR(_xlfn.XLOOKUP(C169&amp;A169, ESPN!A:A&amp;ESPN!C:C, ESPN!K:K), "N/A")</f>
        <v>N/A</v>
      </c>
    </row>
    <row r="170" spans="1:17" x14ac:dyDescent="0.45">
      <c r="A170" s="6">
        <v>2025</v>
      </c>
      <c r="B170" s="1" t="s">
        <v>172</v>
      </c>
      <c r="C170" s="2" t="str">
        <f t="shared" si="4"/>
        <v>Avery Williams</v>
      </c>
      <c r="D170" s="2" t="str">
        <f t="shared" si="5"/>
        <v>NYJ</v>
      </c>
      <c r="E170" s="2">
        <v>1</v>
      </c>
      <c r="F170" s="12">
        <v>0</v>
      </c>
      <c r="G170" s="11">
        <v>0</v>
      </c>
      <c r="H170" s="11">
        <v>0</v>
      </c>
      <c r="I170" s="11">
        <v>0</v>
      </c>
      <c r="J170" s="11">
        <v>0</v>
      </c>
      <c r="K170" s="11">
        <v>0</v>
      </c>
      <c r="L170" s="11" t="str" cm="1">
        <f t="array" ref="L170">IFERROR(_xlfn.XLOOKUP(C170&amp;A170, ESPN!A:A&amp;ESPN!C:C, ESPN!D:D), "N/A")</f>
        <v>N/A</v>
      </c>
      <c r="M170" s="23" t="str" cm="1">
        <f t="array" ref="M170">IFERROR(_xlfn.XLOOKUP(C170&amp;A170, ESPN!A:A&amp;ESPN!C:C, ESPN!G:G), "N/A")</f>
        <v>N/A</v>
      </c>
      <c r="N170" s="23" t="str" cm="1">
        <f t="array" ref="N170">IFERROR(_xlfn.XLOOKUP(C170&amp;A170, ESPN!A:A&amp;ESPN!C:C, ESPN!H:H), "N/A")</f>
        <v>N/A</v>
      </c>
      <c r="O170" s="26" t="str" cm="1">
        <f t="array" ref="O170">IFERROR(_xlfn.XLOOKUP(C170&amp;A170, ESPN!A:A&amp;ESPN!C:C, ESPN!I:I), "N/A")</f>
        <v>N/A</v>
      </c>
      <c r="P170" s="26" t="str" cm="1">
        <f t="array" ref="P170">IFERROR(_xlfn.XLOOKUP(C170&amp;A170, ESPN!A:A&amp;ESPN!C:C, ESPN!J:J), "N/A")</f>
        <v>N/A</v>
      </c>
      <c r="Q170" s="26" t="str" cm="1">
        <f t="array" ref="Q170">IFERROR(_xlfn.XLOOKUP(C170&amp;A170, ESPN!A:A&amp;ESPN!C:C, ESPN!K:K), "N/A")</f>
        <v>N/A</v>
      </c>
    </row>
    <row r="171" spans="1:17" x14ac:dyDescent="0.45">
      <c r="A171" s="7">
        <v>2025</v>
      </c>
      <c r="B171" s="3" t="s">
        <v>173</v>
      </c>
      <c r="C171" s="4" t="str">
        <f t="shared" si="4"/>
        <v>Alexander Mattison</v>
      </c>
      <c r="D171" s="4" t="str">
        <f t="shared" si="5"/>
        <v>MIA</v>
      </c>
      <c r="E171" s="4">
        <v>2</v>
      </c>
      <c r="F171" s="13">
        <v>0</v>
      </c>
      <c r="G171" s="14">
        <v>0</v>
      </c>
      <c r="H171" s="14">
        <v>0</v>
      </c>
      <c r="I171" s="14">
        <v>0</v>
      </c>
      <c r="J171" s="14">
        <v>0</v>
      </c>
      <c r="K171" s="14">
        <v>0</v>
      </c>
      <c r="L171" s="11" t="str" cm="1">
        <f t="array" ref="L171">IFERROR(_xlfn.XLOOKUP(C171&amp;A171, ESPN!A:A&amp;ESPN!C:C, ESPN!D:D), "N/A")</f>
        <v>N/A</v>
      </c>
      <c r="M171" s="23" t="str" cm="1">
        <f t="array" ref="M171">IFERROR(_xlfn.XLOOKUP(C171&amp;A171, ESPN!A:A&amp;ESPN!C:C, ESPN!G:G), "N/A")</f>
        <v>N/A</v>
      </c>
      <c r="N171" s="23" t="str" cm="1">
        <f t="array" ref="N171">IFERROR(_xlfn.XLOOKUP(C171&amp;A171, ESPN!A:A&amp;ESPN!C:C, ESPN!H:H), "N/A")</f>
        <v>N/A</v>
      </c>
      <c r="O171" s="26" t="str" cm="1">
        <f t="array" ref="O171">IFERROR(_xlfn.XLOOKUP(C171&amp;A171, ESPN!A:A&amp;ESPN!C:C, ESPN!I:I), "N/A")</f>
        <v>N/A</v>
      </c>
      <c r="P171" s="26" t="str" cm="1">
        <f t="array" ref="P171">IFERROR(_xlfn.XLOOKUP(C171&amp;A171, ESPN!A:A&amp;ESPN!C:C, ESPN!J:J), "N/A")</f>
        <v>N/A</v>
      </c>
      <c r="Q171" s="26" t="str" cm="1">
        <f t="array" ref="Q171">IFERROR(_xlfn.XLOOKUP(C171&amp;A171, ESPN!A:A&amp;ESPN!C:C, ESPN!K:K), "N/A")</f>
        <v>N/A</v>
      </c>
    </row>
    <row r="172" spans="1:17" x14ac:dyDescent="0.45">
      <c r="A172" s="6">
        <v>2025</v>
      </c>
      <c r="B172" s="1" t="s">
        <v>174</v>
      </c>
      <c r="C172" s="2" t="str">
        <f t="shared" si="4"/>
        <v>Travis Homer</v>
      </c>
      <c r="D172" s="2" t="str">
        <f t="shared" si="5"/>
        <v>CHI</v>
      </c>
      <c r="E172" s="2">
        <v>8</v>
      </c>
      <c r="F172" s="12">
        <v>0</v>
      </c>
      <c r="G172" s="11">
        <v>0</v>
      </c>
      <c r="H172" s="11">
        <v>0</v>
      </c>
      <c r="I172" s="11">
        <v>0</v>
      </c>
      <c r="J172" s="11">
        <v>0</v>
      </c>
      <c r="K172" s="11">
        <v>0</v>
      </c>
      <c r="L172" s="11" t="str" cm="1">
        <f t="array" ref="L172">IFERROR(_xlfn.XLOOKUP(C172&amp;A172, ESPN!A:A&amp;ESPN!C:C, ESPN!D:D), "N/A")</f>
        <v>N/A</v>
      </c>
      <c r="M172" s="23" t="str" cm="1">
        <f t="array" ref="M172">IFERROR(_xlfn.XLOOKUP(C172&amp;A172, ESPN!A:A&amp;ESPN!C:C, ESPN!G:G), "N/A")</f>
        <v>N/A</v>
      </c>
      <c r="N172" s="23" t="str" cm="1">
        <f t="array" ref="N172">IFERROR(_xlfn.XLOOKUP(C172&amp;A172, ESPN!A:A&amp;ESPN!C:C, ESPN!H:H), "N/A")</f>
        <v>N/A</v>
      </c>
      <c r="O172" s="26" t="str" cm="1">
        <f t="array" ref="O172">IFERROR(_xlfn.XLOOKUP(C172&amp;A172, ESPN!A:A&amp;ESPN!C:C, ESPN!I:I), "N/A")</f>
        <v>N/A</v>
      </c>
      <c r="P172" s="26" t="str" cm="1">
        <f t="array" ref="P172">IFERROR(_xlfn.XLOOKUP(C172&amp;A172, ESPN!A:A&amp;ESPN!C:C, ESPN!J:J), "N/A")</f>
        <v>N/A</v>
      </c>
      <c r="Q172" s="26" t="str" cm="1">
        <f t="array" ref="Q172">IFERROR(_xlfn.XLOOKUP(C172&amp;A172, ESPN!A:A&amp;ESPN!C:C, ESPN!K:K), "N/A")</f>
        <v>N/A</v>
      </c>
    </row>
    <row r="173" spans="1:17" x14ac:dyDescent="0.45">
      <c r="A173" s="7">
        <v>2025</v>
      </c>
      <c r="B173" s="3" t="s">
        <v>175</v>
      </c>
      <c r="C173" s="4" t="str">
        <f t="shared" si="4"/>
        <v>Nyheim Miller-Hines</v>
      </c>
      <c r="D173" s="4" t="str">
        <f t="shared" si="5"/>
        <v>NO</v>
      </c>
      <c r="E173" s="4">
        <v>4</v>
      </c>
      <c r="F173" s="13">
        <v>0</v>
      </c>
      <c r="G173" s="14">
        <v>0</v>
      </c>
      <c r="H173" s="14">
        <v>0</v>
      </c>
      <c r="I173" s="14">
        <v>0</v>
      </c>
      <c r="J173" s="14">
        <v>0</v>
      </c>
      <c r="K173" s="14">
        <v>0</v>
      </c>
      <c r="L173" s="11" t="str" cm="1">
        <f t="array" ref="L173">IFERROR(_xlfn.XLOOKUP(C173&amp;A173, ESPN!A:A&amp;ESPN!C:C, ESPN!D:D), "N/A")</f>
        <v>N/A</v>
      </c>
      <c r="M173" s="23" t="str" cm="1">
        <f t="array" ref="M173">IFERROR(_xlfn.XLOOKUP(C173&amp;A173, ESPN!A:A&amp;ESPN!C:C, ESPN!G:G), "N/A")</f>
        <v>N/A</v>
      </c>
      <c r="N173" s="23" t="str" cm="1">
        <f t="array" ref="N173">IFERROR(_xlfn.XLOOKUP(C173&amp;A173, ESPN!A:A&amp;ESPN!C:C, ESPN!H:H), "N/A")</f>
        <v>N/A</v>
      </c>
      <c r="O173" s="26" t="str" cm="1">
        <f t="array" ref="O173">IFERROR(_xlfn.XLOOKUP(C173&amp;A173, ESPN!A:A&amp;ESPN!C:C, ESPN!I:I), "N/A")</f>
        <v>N/A</v>
      </c>
      <c r="P173" s="26" t="str" cm="1">
        <f t="array" ref="P173">IFERROR(_xlfn.XLOOKUP(C173&amp;A173, ESPN!A:A&amp;ESPN!C:C, ESPN!J:J), "N/A")</f>
        <v>N/A</v>
      </c>
      <c r="Q173" s="26" t="str" cm="1">
        <f t="array" ref="Q173">IFERROR(_xlfn.XLOOKUP(C173&amp;A173, ESPN!A:A&amp;ESPN!C:C, ESPN!K:K), "N/A")</f>
        <v>N/A</v>
      </c>
    </row>
    <row r="174" spans="1:17" x14ac:dyDescent="0.45">
      <c r="A174" s="6">
        <v>2025</v>
      </c>
      <c r="B174" s="1" t="s">
        <v>176</v>
      </c>
      <c r="C174" s="2" t="str">
        <f t="shared" si="4"/>
        <v>Kyle Juszczyk</v>
      </c>
      <c r="D174" s="2" t="str">
        <f t="shared" si="5"/>
        <v>SF</v>
      </c>
      <c r="E174" s="2">
        <v>17</v>
      </c>
      <c r="F174" s="12">
        <v>28</v>
      </c>
      <c r="G174" s="11">
        <v>24</v>
      </c>
      <c r="H174" s="11">
        <v>213</v>
      </c>
      <c r="I174" s="11">
        <v>8.9</v>
      </c>
      <c r="J174" s="11">
        <v>2</v>
      </c>
      <c r="K174" s="11">
        <v>0</v>
      </c>
      <c r="L174" s="11" t="str" cm="1">
        <f t="array" ref="L174">IFERROR(_xlfn.XLOOKUP(C174&amp;A174, ESPN!A:A&amp;ESPN!C:C, ESPN!D:D), "N/A")</f>
        <v>N/A</v>
      </c>
      <c r="M174" s="23" t="str" cm="1">
        <f t="array" ref="M174">IFERROR(_xlfn.XLOOKUP(C174&amp;A174, ESPN!A:A&amp;ESPN!C:C, ESPN!G:G), "N/A")</f>
        <v>N/A</v>
      </c>
      <c r="N174" s="23" t="str" cm="1">
        <f t="array" ref="N174">IFERROR(_xlfn.XLOOKUP(C174&amp;A174, ESPN!A:A&amp;ESPN!C:C, ESPN!H:H), "N/A")</f>
        <v>N/A</v>
      </c>
      <c r="O174" s="26" t="str" cm="1">
        <f t="array" ref="O174">IFERROR(_xlfn.XLOOKUP(C174&amp;A174, ESPN!A:A&amp;ESPN!C:C, ESPN!I:I), "N/A")</f>
        <v>N/A</v>
      </c>
      <c r="P174" s="26" t="str" cm="1">
        <f t="array" ref="P174">IFERROR(_xlfn.XLOOKUP(C174&amp;A174, ESPN!A:A&amp;ESPN!C:C, ESPN!J:J), "N/A")</f>
        <v>N/A</v>
      </c>
      <c r="Q174" s="26" t="str" cm="1">
        <f t="array" ref="Q174">IFERROR(_xlfn.XLOOKUP(C174&amp;A174, ESPN!A:A&amp;ESPN!C:C, ESPN!K:K), "N/A")</f>
        <v>N/A</v>
      </c>
    </row>
    <row r="175" spans="1:17" x14ac:dyDescent="0.45">
      <c r="A175" s="7">
        <v>2024</v>
      </c>
      <c r="B175" s="3" t="s">
        <v>13</v>
      </c>
      <c r="C175" s="4" t="str">
        <f t="shared" si="4"/>
        <v>Saquon Barkley</v>
      </c>
      <c r="D175" s="4" t="str">
        <f t="shared" si="5"/>
        <v>PHI</v>
      </c>
      <c r="E175" s="4">
        <v>16</v>
      </c>
      <c r="F175" s="12">
        <v>43</v>
      </c>
      <c r="G175" s="11">
        <v>33</v>
      </c>
      <c r="H175" s="11">
        <v>278</v>
      </c>
      <c r="I175" s="11">
        <v>8.4</v>
      </c>
      <c r="J175" s="11">
        <v>2</v>
      </c>
      <c r="K175" s="11">
        <v>1</v>
      </c>
      <c r="L175" s="11" cm="1">
        <f t="array" ref="L175">IFERROR(_xlfn.XLOOKUP(C175&amp;A175, ESPN!A:A&amp;ESPN!C:C, ESPN!D:D), "N/A")</f>
        <v>315</v>
      </c>
      <c r="M175" s="23" cm="1">
        <f t="array" ref="M175">IFERROR(_xlfn.XLOOKUP(C175&amp;A175, ESPN!A:A&amp;ESPN!C:C, ESPN!G:G), "N/A")</f>
        <v>1.1200000000000001</v>
      </c>
      <c r="N175" s="23" cm="1">
        <f t="array" ref="N175">IFERROR(_xlfn.XLOOKUP(C175&amp;A175, ESPN!A:A&amp;ESPN!C:C, ESPN!H:H), "N/A")</f>
        <v>42</v>
      </c>
      <c r="O175" s="26" cm="1">
        <f t="array" ref="O175">IFERROR(_xlfn.XLOOKUP(C175&amp;A175, ESPN!A:A&amp;ESPN!C:C, ESPN!I:I), "N/A")</f>
        <v>80</v>
      </c>
      <c r="P175" s="26" cm="1">
        <f t="array" ref="P175">IFERROR(_xlfn.XLOOKUP(C175&amp;A175, ESPN!A:A&amp;ESPN!C:C, ESPN!J:J), "N/A")</f>
        <v>48</v>
      </c>
      <c r="Q175" s="26" cm="1">
        <f t="array" ref="Q175">IFERROR(_xlfn.XLOOKUP(C175&amp;A175, ESPN!A:A&amp;ESPN!C:C, ESPN!K:K), "N/A")</f>
        <v>60</v>
      </c>
    </row>
    <row r="176" spans="1:17" x14ac:dyDescent="0.45">
      <c r="A176" s="6">
        <v>2024</v>
      </c>
      <c r="B176" s="1" t="s">
        <v>5</v>
      </c>
      <c r="C176" s="2" t="str">
        <f t="shared" si="4"/>
        <v>Derrick Henry</v>
      </c>
      <c r="D176" s="2" t="str">
        <f t="shared" si="5"/>
        <v>BAL</v>
      </c>
      <c r="E176" s="2">
        <v>17</v>
      </c>
      <c r="F176" s="13">
        <v>22</v>
      </c>
      <c r="G176" s="14">
        <v>19</v>
      </c>
      <c r="H176" s="14">
        <v>193</v>
      </c>
      <c r="I176" s="14">
        <v>10.199999999999999</v>
      </c>
      <c r="J176" s="14">
        <v>2</v>
      </c>
      <c r="K176" s="14">
        <v>1</v>
      </c>
      <c r="L176" s="11" cm="1">
        <f t="array" ref="L176">IFERROR(_xlfn.XLOOKUP(C176&amp;A176, ESPN!A:A&amp;ESPN!C:C, ESPN!D:D), "N/A")</f>
        <v>166</v>
      </c>
      <c r="M176" s="23" cm="1">
        <f t="array" ref="M176">IFERROR(_xlfn.XLOOKUP(C176&amp;A176, ESPN!A:A&amp;ESPN!C:C, ESPN!G:G), "N/A")</f>
        <v>1.1599999999999999</v>
      </c>
      <c r="N176" s="23" cm="1">
        <f t="array" ref="N176">IFERROR(_xlfn.XLOOKUP(C176&amp;A176, ESPN!A:A&amp;ESPN!C:C, ESPN!H:H), "N/A")</f>
        <v>48</v>
      </c>
      <c r="O176" s="26" cm="1">
        <f t="array" ref="O176">IFERROR(_xlfn.XLOOKUP(C176&amp;A176, ESPN!A:A&amp;ESPN!C:C, ESPN!I:I), "N/A")</f>
        <v>55</v>
      </c>
      <c r="P176" s="26" cm="1">
        <f t="array" ref="P176">IFERROR(_xlfn.XLOOKUP(C176&amp;A176, ESPN!A:A&amp;ESPN!C:C, ESPN!J:J), "N/A")</f>
        <v>68</v>
      </c>
      <c r="Q176" s="26" cm="1">
        <f t="array" ref="Q176">IFERROR(_xlfn.XLOOKUP(C176&amp;A176, ESPN!A:A&amp;ESPN!C:C, ESPN!K:K), "N/A")</f>
        <v>67</v>
      </c>
    </row>
    <row r="177" spans="1:17" x14ac:dyDescent="0.45">
      <c r="A177" s="7">
        <v>2024</v>
      </c>
      <c r="B177" s="3" t="s">
        <v>10</v>
      </c>
      <c r="C177" s="4" t="str">
        <f t="shared" si="4"/>
        <v>Jahmyr Gibbs</v>
      </c>
      <c r="D177" s="4" t="str">
        <f t="shared" si="5"/>
        <v>DET</v>
      </c>
      <c r="E177" s="4">
        <v>17</v>
      </c>
      <c r="F177" s="12">
        <v>63</v>
      </c>
      <c r="G177" s="11">
        <v>52</v>
      </c>
      <c r="H177" s="11">
        <v>517</v>
      </c>
      <c r="I177" s="11">
        <v>9.9</v>
      </c>
      <c r="J177" s="11">
        <v>4</v>
      </c>
      <c r="K177" s="11">
        <v>1</v>
      </c>
      <c r="L177" s="11" cm="1">
        <f t="array" ref="L177">IFERROR(_xlfn.XLOOKUP(C177&amp;A177, ESPN!A:A&amp;ESPN!C:C, ESPN!D:D), "N/A")</f>
        <v>288</v>
      </c>
      <c r="M177" s="23" cm="1">
        <f t="array" ref="M177">IFERROR(_xlfn.XLOOKUP(C177&amp;A177, ESPN!A:A&amp;ESPN!C:C, ESPN!G:G), "N/A")</f>
        <v>2.04</v>
      </c>
      <c r="N177" s="23" cm="1">
        <f t="array" ref="N177">IFERROR(_xlfn.XLOOKUP(C177&amp;A177, ESPN!A:A&amp;ESPN!C:C, ESPN!H:H), "N/A")</f>
        <v>63</v>
      </c>
      <c r="O177" s="26" cm="1">
        <f t="array" ref="O177">IFERROR(_xlfn.XLOOKUP(C177&amp;A177, ESPN!A:A&amp;ESPN!C:C, ESPN!I:I), "N/A")</f>
        <v>69</v>
      </c>
      <c r="P177" s="26" cm="1">
        <f t="array" ref="P177">IFERROR(_xlfn.XLOOKUP(C177&amp;A177, ESPN!A:A&amp;ESPN!C:C, ESPN!J:J), "N/A")</f>
        <v>49</v>
      </c>
      <c r="Q177" s="26" cm="1">
        <f t="array" ref="Q177">IFERROR(_xlfn.XLOOKUP(C177&amp;A177, ESPN!A:A&amp;ESPN!C:C, ESPN!K:K), "N/A")</f>
        <v>63</v>
      </c>
    </row>
    <row r="178" spans="1:17" x14ac:dyDescent="0.45">
      <c r="A178" s="6">
        <v>2024</v>
      </c>
      <c r="B178" s="1" t="s">
        <v>7</v>
      </c>
      <c r="C178" s="2" t="str">
        <f t="shared" si="4"/>
        <v>Bijan Robinson</v>
      </c>
      <c r="D178" s="2" t="str">
        <f t="shared" si="5"/>
        <v>ATL</v>
      </c>
      <c r="E178" s="2">
        <v>17</v>
      </c>
      <c r="F178" s="13">
        <v>72</v>
      </c>
      <c r="G178" s="14">
        <v>61</v>
      </c>
      <c r="H178" s="14">
        <v>431</v>
      </c>
      <c r="I178" s="14">
        <v>7.1</v>
      </c>
      <c r="J178" s="14">
        <v>1</v>
      </c>
      <c r="K178" s="14">
        <v>0</v>
      </c>
      <c r="L178" s="11" cm="1">
        <f t="array" ref="L178">IFERROR(_xlfn.XLOOKUP(C178&amp;A178, ESPN!A:A&amp;ESPN!C:C, ESPN!D:D), "N/A")</f>
        <v>315</v>
      </c>
      <c r="M178" s="23" cm="1">
        <f t="array" ref="M178">IFERROR(_xlfn.XLOOKUP(C178&amp;A178, ESPN!A:A&amp;ESPN!C:C, ESPN!G:G), "N/A")</f>
        <v>1.37</v>
      </c>
      <c r="N178" s="23" cm="1">
        <f t="array" ref="N178">IFERROR(_xlfn.XLOOKUP(C178&amp;A178, ESPN!A:A&amp;ESPN!C:C, ESPN!H:H), "N/A")</f>
        <v>60</v>
      </c>
      <c r="O178" s="26" cm="1">
        <f t="array" ref="O178">IFERROR(_xlfn.XLOOKUP(C178&amp;A178, ESPN!A:A&amp;ESPN!C:C, ESPN!I:I), "N/A")</f>
        <v>73</v>
      </c>
      <c r="P178" s="26" cm="1">
        <f t="array" ref="P178">IFERROR(_xlfn.XLOOKUP(C178&amp;A178, ESPN!A:A&amp;ESPN!C:C, ESPN!J:J), "N/A")</f>
        <v>63</v>
      </c>
      <c r="Q178" s="26" cm="1">
        <f t="array" ref="Q178">IFERROR(_xlfn.XLOOKUP(C178&amp;A178, ESPN!A:A&amp;ESPN!C:C, ESPN!K:K), "N/A")</f>
        <v>75</v>
      </c>
    </row>
    <row r="179" spans="1:17" x14ac:dyDescent="0.45">
      <c r="A179" s="7">
        <v>2024</v>
      </c>
      <c r="B179" s="3" t="s">
        <v>23</v>
      </c>
      <c r="C179" s="4" t="str">
        <f t="shared" si="4"/>
        <v>Josh Jacobs</v>
      </c>
      <c r="D179" s="4" t="str">
        <f t="shared" si="5"/>
        <v>GB</v>
      </c>
      <c r="E179" s="4">
        <v>17</v>
      </c>
      <c r="F179" s="12">
        <v>43</v>
      </c>
      <c r="G179" s="11">
        <v>36</v>
      </c>
      <c r="H179" s="11">
        <v>342</v>
      </c>
      <c r="I179" s="11">
        <v>9.5</v>
      </c>
      <c r="J179" s="11">
        <v>1</v>
      </c>
      <c r="K179" s="11">
        <v>3</v>
      </c>
      <c r="L179" s="11" cm="1">
        <f t="array" ref="L179">IFERROR(_xlfn.XLOOKUP(C179&amp;A179, ESPN!A:A&amp;ESPN!C:C, ESPN!D:D), "N/A")</f>
        <v>210</v>
      </c>
      <c r="M179" s="23" cm="1">
        <f t="array" ref="M179">IFERROR(_xlfn.XLOOKUP(C179&amp;A179, ESPN!A:A&amp;ESPN!C:C, ESPN!G:G), "N/A")</f>
        <v>1.82</v>
      </c>
      <c r="N179" s="23" cm="1">
        <f t="array" ref="N179">IFERROR(_xlfn.XLOOKUP(C179&amp;A179, ESPN!A:A&amp;ESPN!C:C, ESPN!H:H), "N/A")</f>
        <v>39</v>
      </c>
      <c r="O179" s="26" cm="1">
        <f t="array" ref="O179">IFERROR(_xlfn.XLOOKUP(C179&amp;A179, ESPN!A:A&amp;ESPN!C:C, ESPN!I:I), "N/A")</f>
        <v>66</v>
      </c>
      <c r="P179" s="26" cm="1">
        <f t="array" ref="P179">IFERROR(_xlfn.XLOOKUP(C179&amp;A179, ESPN!A:A&amp;ESPN!C:C, ESPN!J:J), "N/A")</f>
        <v>78</v>
      </c>
      <c r="Q179" s="26" cm="1">
        <f t="array" ref="Q179">IFERROR(_xlfn.XLOOKUP(C179&amp;A179, ESPN!A:A&amp;ESPN!C:C, ESPN!K:K), "N/A")</f>
        <v>78</v>
      </c>
    </row>
    <row r="180" spans="1:17" x14ac:dyDescent="0.45">
      <c r="A180" s="6">
        <v>2024</v>
      </c>
      <c r="B180" s="1" t="s">
        <v>9</v>
      </c>
      <c r="C180" s="2" t="str">
        <f t="shared" si="4"/>
        <v>Kyren Williams</v>
      </c>
      <c r="D180" s="2" t="str">
        <f t="shared" si="5"/>
        <v>LAR</v>
      </c>
      <c r="E180" s="2">
        <v>16</v>
      </c>
      <c r="F180" s="13">
        <v>40</v>
      </c>
      <c r="G180" s="14">
        <v>34</v>
      </c>
      <c r="H180" s="14">
        <v>182</v>
      </c>
      <c r="I180" s="14">
        <v>5.4</v>
      </c>
      <c r="J180" s="14">
        <v>2</v>
      </c>
      <c r="K180" s="14">
        <v>3</v>
      </c>
      <c r="L180" s="11" cm="1">
        <f t="array" ref="L180">IFERROR(_xlfn.XLOOKUP(C180&amp;A180, ESPN!A:A&amp;ESPN!C:C, ESPN!D:D), "N/A")</f>
        <v>316</v>
      </c>
      <c r="M180" s="23" cm="1">
        <f t="array" ref="M180">IFERROR(_xlfn.XLOOKUP(C180&amp;A180, ESPN!A:A&amp;ESPN!C:C, ESPN!G:G), "N/A")</f>
        <v>0.62</v>
      </c>
      <c r="N180" s="23" cm="1">
        <f t="array" ref="N180">IFERROR(_xlfn.XLOOKUP(C180&amp;A180, ESPN!A:A&amp;ESPN!C:C, ESPN!H:H), "N/A")</f>
        <v>40</v>
      </c>
      <c r="O180" s="26" cm="1">
        <f t="array" ref="O180">IFERROR(_xlfn.XLOOKUP(C180&amp;A180, ESPN!A:A&amp;ESPN!C:C, ESPN!I:I), "N/A")</f>
        <v>64</v>
      </c>
      <c r="P180" s="26" cm="1">
        <f t="array" ref="P180">IFERROR(_xlfn.XLOOKUP(C180&amp;A180, ESPN!A:A&amp;ESPN!C:C, ESPN!J:J), "N/A")</f>
        <v>21</v>
      </c>
      <c r="Q180" s="26" cm="1">
        <f t="array" ref="Q180">IFERROR(_xlfn.XLOOKUP(C180&amp;A180, ESPN!A:A&amp;ESPN!C:C, ESPN!K:K), "N/A")</f>
        <v>29</v>
      </c>
    </row>
    <row r="181" spans="1:17" x14ac:dyDescent="0.45">
      <c r="A181" s="7">
        <v>2024</v>
      </c>
      <c r="B181" s="3" t="s">
        <v>4</v>
      </c>
      <c r="C181" s="4" t="str">
        <f t="shared" si="4"/>
        <v>James Cook III</v>
      </c>
      <c r="D181" s="4" t="str">
        <f t="shared" si="5"/>
        <v>BUF</v>
      </c>
      <c r="E181" s="4">
        <v>16</v>
      </c>
      <c r="F181" s="12">
        <v>38</v>
      </c>
      <c r="G181" s="11">
        <v>32</v>
      </c>
      <c r="H181" s="11">
        <v>258</v>
      </c>
      <c r="I181" s="11">
        <v>8.1</v>
      </c>
      <c r="J181" s="11">
        <v>2</v>
      </c>
      <c r="K181" s="11">
        <v>0</v>
      </c>
      <c r="L181" s="11" cm="1">
        <f t="array" ref="L181">IFERROR(_xlfn.XLOOKUP(C181&amp;A181, ESPN!A:A&amp;ESPN!C:C, ESPN!D:D), "N/A")</f>
        <v>199</v>
      </c>
      <c r="M181" s="23" cm="1">
        <f t="array" ref="M181">IFERROR(_xlfn.XLOOKUP(C181&amp;A181, ESPN!A:A&amp;ESPN!C:C, ESPN!G:G), "N/A")</f>
        <v>1.62</v>
      </c>
      <c r="N181" s="23" cm="1">
        <f t="array" ref="N181">IFERROR(_xlfn.XLOOKUP(C181&amp;A181, ESPN!A:A&amp;ESPN!C:C, ESPN!H:H), "N/A")</f>
        <v>75</v>
      </c>
      <c r="O181" s="26" cm="1">
        <f t="array" ref="O181">IFERROR(_xlfn.XLOOKUP(C181&amp;A181, ESPN!A:A&amp;ESPN!C:C, ESPN!I:I), "N/A")</f>
        <v>63</v>
      </c>
      <c r="P181" s="26" cm="1">
        <f t="array" ref="P181">IFERROR(_xlfn.XLOOKUP(C181&amp;A181, ESPN!A:A&amp;ESPN!C:C, ESPN!J:J), "N/A")</f>
        <v>24</v>
      </c>
      <c r="Q181" s="26" cm="1">
        <f t="array" ref="Q181">IFERROR(_xlfn.XLOOKUP(C181&amp;A181, ESPN!A:A&amp;ESPN!C:C, ESPN!K:K), "N/A")</f>
        <v>43</v>
      </c>
    </row>
    <row r="182" spans="1:17" x14ac:dyDescent="0.45">
      <c r="A182" s="6">
        <v>2024</v>
      </c>
      <c r="B182" s="1" t="s">
        <v>6</v>
      </c>
      <c r="C182" s="2" t="str">
        <f t="shared" si="4"/>
        <v>Jonathan Taylor</v>
      </c>
      <c r="D182" s="2" t="str">
        <f t="shared" si="5"/>
        <v>IND</v>
      </c>
      <c r="E182" s="2">
        <v>14</v>
      </c>
      <c r="F182" s="13">
        <v>31</v>
      </c>
      <c r="G182" s="14">
        <v>18</v>
      </c>
      <c r="H182" s="14">
        <v>136</v>
      </c>
      <c r="I182" s="14">
        <v>7.6</v>
      </c>
      <c r="J182" s="14">
        <v>1</v>
      </c>
      <c r="K182" s="14">
        <v>1</v>
      </c>
      <c r="L182" s="11" cm="1">
        <f t="array" ref="L182">IFERROR(_xlfn.XLOOKUP(C182&amp;A182, ESPN!A:A&amp;ESPN!C:C, ESPN!D:D), "N/A")</f>
        <v>232</v>
      </c>
      <c r="M182" s="23" cm="1">
        <f t="array" ref="M182">IFERROR(_xlfn.XLOOKUP(C182&amp;A182, ESPN!A:A&amp;ESPN!C:C, ESPN!G:G), "N/A")</f>
        <v>0.59</v>
      </c>
      <c r="N182" s="23" cm="1">
        <f t="array" ref="N182">IFERROR(_xlfn.XLOOKUP(C182&amp;A182, ESPN!A:A&amp;ESPN!C:C, ESPN!H:H), "N/A")</f>
        <v>57</v>
      </c>
      <c r="O182" s="26" cm="1">
        <f t="array" ref="O182">IFERROR(_xlfn.XLOOKUP(C182&amp;A182, ESPN!A:A&amp;ESPN!C:C, ESPN!I:I), "N/A")</f>
        <v>48</v>
      </c>
      <c r="P182" s="26" cm="1">
        <f t="array" ref="P182">IFERROR(_xlfn.XLOOKUP(C182&amp;A182, ESPN!A:A&amp;ESPN!C:C, ESPN!J:J), "N/A")</f>
        <v>48</v>
      </c>
      <c r="Q182" s="26" cm="1">
        <f t="array" ref="Q182">IFERROR(_xlfn.XLOOKUP(C182&amp;A182, ESPN!A:A&amp;ESPN!C:C, ESPN!K:K), "N/A")</f>
        <v>50</v>
      </c>
    </row>
    <row r="183" spans="1:17" x14ac:dyDescent="0.45">
      <c r="A183" s="7">
        <v>2024</v>
      </c>
      <c r="B183" s="3" t="s">
        <v>8</v>
      </c>
      <c r="C183" s="4" t="str">
        <f t="shared" si="4"/>
        <v>De'Von Achane</v>
      </c>
      <c r="D183" s="4" t="str">
        <f t="shared" si="5"/>
        <v>MIA</v>
      </c>
      <c r="E183" s="4">
        <v>17</v>
      </c>
      <c r="F183" s="12">
        <v>87</v>
      </c>
      <c r="G183" s="11">
        <v>78</v>
      </c>
      <c r="H183" s="11">
        <v>592</v>
      </c>
      <c r="I183" s="11">
        <v>7.6</v>
      </c>
      <c r="J183" s="11">
        <v>6</v>
      </c>
      <c r="K183" s="11">
        <v>0</v>
      </c>
      <c r="L183" s="11" cm="1">
        <f t="array" ref="L183">IFERROR(_xlfn.XLOOKUP(C183&amp;A183, ESPN!A:A&amp;ESPN!C:C, ESPN!D:D), "N/A")</f>
        <v>320</v>
      </c>
      <c r="M183" s="23" cm="1">
        <f t="array" ref="M183">IFERROR(_xlfn.XLOOKUP(C183&amp;A183, ESPN!A:A&amp;ESPN!C:C, ESPN!G:G), "N/A")</f>
        <v>1.85</v>
      </c>
      <c r="N183" s="23" cm="1">
        <f t="array" ref="N183">IFERROR(_xlfn.XLOOKUP(C183&amp;A183, ESPN!A:A&amp;ESPN!C:C, ESPN!H:H), "N/A")</f>
        <v>38</v>
      </c>
      <c r="O183" s="26" cm="1">
        <f t="array" ref="O183">IFERROR(_xlfn.XLOOKUP(C183&amp;A183, ESPN!A:A&amp;ESPN!C:C, ESPN!I:I), "N/A")</f>
        <v>75</v>
      </c>
      <c r="P183" s="26" cm="1">
        <f t="array" ref="P183">IFERROR(_xlfn.XLOOKUP(C183&amp;A183, ESPN!A:A&amp;ESPN!C:C, ESPN!J:J), "N/A")</f>
        <v>39</v>
      </c>
      <c r="Q183" s="26" cm="1">
        <f t="array" ref="Q183">IFERROR(_xlfn.XLOOKUP(C183&amp;A183, ESPN!A:A&amp;ESPN!C:C, ESPN!K:K), "N/A")</f>
        <v>48</v>
      </c>
    </row>
    <row r="184" spans="1:17" x14ac:dyDescent="0.45">
      <c r="A184" s="6">
        <v>2024</v>
      </c>
      <c r="B184" s="1" t="s">
        <v>86</v>
      </c>
      <c r="C184" s="2" t="str">
        <f t="shared" si="4"/>
        <v>James Conner</v>
      </c>
      <c r="D184" s="2" t="str">
        <f t="shared" si="5"/>
        <v>ARI</v>
      </c>
      <c r="E184" s="2">
        <v>16</v>
      </c>
      <c r="F184" s="13">
        <v>55</v>
      </c>
      <c r="G184" s="14">
        <v>47</v>
      </c>
      <c r="H184" s="14">
        <v>414</v>
      </c>
      <c r="I184" s="14">
        <v>8.8000000000000007</v>
      </c>
      <c r="J184" s="14">
        <v>1</v>
      </c>
      <c r="K184" s="14">
        <v>1</v>
      </c>
      <c r="L184" s="11" cm="1">
        <f t="array" ref="L184">IFERROR(_xlfn.XLOOKUP(C184&amp;A184, ESPN!A:A&amp;ESPN!C:C, ESPN!D:D), "N/A")</f>
        <v>216</v>
      </c>
      <c r="M184" s="23" cm="1">
        <f t="array" ref="M184">IFERROR(_xlfn.XLOOKUP(C184&amp;A184, ESPN!A:A&amp;ESPN!C:C, ESPN!G:G), "N/A")</f>
        <v>1.92</v>
      </c>
      <c r="N184" s="23" cm="1">
        <f t="array" ref="N184">IFERROR(_xlfn.XLOOKUP(C184&amp;A184, ESPN!A:A&amp;ESPN!C:C, ESPN!H:H), "N/A")</f>
        <v>34</v>
      </c>
      <c r="O184" s="26" cm="1">
        <f t="array" ref="O184">IFERROR(_xlfn.XLOOKUP(C184&amp;A184, ESPN!A:A&amp;ESPN!C:C, ESPN!I:I), "N/A")</f>
        <v>53</v>
      </c>
      <c r="P184" s="26" cm="1">
        <f t="array" ref="P184">IFERROR(_xlfn.XLOOKUP(C184&amp;A184, ESPN!A:A&amp;ESPN!C:C, ESPN!J:J), "N/A")</f>
        <v>74</v>
      </c>
      <c r="Q184" s="26" cm="1">
        <f t="array" ref="Q184">IFERROR(_xlfn.XLOOKUP(C184&amp;A184, ESPN!A:A&amp;ESPN!C:C, ESPN!K:K), "N/A")</f>
        <v>66</v>
      </c>
    </row>
    <row r="185" spans="1:17" x14ac:dyDescent="0.45">
      <c r="A185" s="7">
        <v>2024</v>
      </c>
      <c r="B185" s="3" t="s">
        <v>177</v>
      </c>
      <c r="C185" s="4" t="str">
        <f t="shared" si="4"/>
        <v>Joe Mixon</v>
      </c>
      <c r="D185" s="4" t="str">
        <f t="shared" si="5"/>
        <v>HOU</v>
      </c>
      <c r="E185" s="4">
        <v>14</v>
      </c>
      <c r="F185" s="12">
        <v>52</v>
      </c>
      <c r="G185" s="11">
        <v>36</v>
      </c>
      <c r="H185" s="11">
        <v>309</v>
      </c>
      <c r="I185" s="11">
        <v>8.6</v>
      </c>
      <c r="J185" s="11">
        <v>1</v>
      </c>
      <c r="K185" s="11">
        <v>0</v>
      </c>
      <c r="L185" s="11" cm="1">
        <f t="array" ref="L185">IFERROR(_xlfn.XLOOKUP(C185&amp;A185, ESPN!A:A&amp;ESPN!C:C, ESPN!D:D), "N/A")</f>
        <v>228</v>
      </c>
      <c r="M185" s="23" cm="1">
        <f t="array" ref="M185">IFERROR(_xlfn.XLOOKUP(C185&amp;A185, ESPN!A:A&amp;ESPN!C:C, ESPN!G:G), "N/A")</f>
        <v>1.46</v>
      </c>
      <c r="N185" s="23" cm="1">
        <f t="array" ref="N185">IFERROR(_xlfn.XLOOKUP(C185&amp;A185, ESPN!A:A&amp;ESPN!C:C, ESPN!H:H), "N/A")</f>
        <v>55</v>
      </c>
      <c r="O185" s="26" cm="1">
        <f t="array" ref="O185">IFERROR(_xlfn.XLOOKUP(C185&amp;A185, ESPN!A:A&amp;ESPN!C:C, ESPN!I:I), "N/A")</f>
        <v>53</v>
      </c>
      <c r="P185" s="26" cm="1">
        <f t="array" ref="P185">IFERROR(_xlfn.XLOOKUP(C185&amp;A185, ESPN!A:A&amp;ESPN!C:C, ESPN!J:J), "N/A")</f>
        <v>63</v>
      </c>
      <c r="Q185" s="26" cm="1">
        <f t="array" ref="Q185">IFERROR(_xlfn.XLOOKUP(C185&amp;A185, ESPN!A:A&amp;ESPN!C:C, ESPN!K:K), "N/A")</f>
        <v>65</v>
      </c>
    </row>
    <row r="186" spans="1:17" x14ac:dyDescent="0.45">
      <c r="A186" s="6">
        <v>2024</v>
      </c>
      <c r="B186" s="1" t="s">
        <v>20</v>
      </c>
      <c r="C186" s="2" t="str">
        <f t="shared" si="4"/>
        <v>Chase Brown</v>
      </c>
      <c r="D186" s="2" t="str">
        <f t="shared" si="5"/>
        <v>CIN</v>
      </c>
      <c r="E186" s="2">
        <v>16</v>
      </c>
      <c r="F186" s="13">
        <v>65</v>
      </c>
      <c r="G186" s="14">
        <v>54</v>
      </c>
      <c r="H186" s="14">
        <v>360</v>
      </c>
      <c r="I186" s="14">
        <v>6.7</v>
      </c>
      <c r="J186" s="14">
        <v>4</v>
      </c>
      <c r="K186" s="14">
        <v>1</v>
      </c>
      <c r="L186" s="11" cm="1">
        <f t="array" ref="L186">IFERROR(_xlfn.XLOOKUP(C186&amp;A186, ESPN!A:A&amp;ESPN!C:C, ESPN!D:D), "N/A")</f>
        <v>279</v>
      </c>
      <c r="M186" s="23" cm="1">
        <f t="array" ref="M186">IFERROR(_xlfn.XLOOKUP(C186&amp;A186, ESPN!A:A&amp;ESPN!C:C, ESPN!G:G), "N/A")</f>
        <v>1.29</v>
      </c>
      <c r="N186" s="23" cm="1">
        <f t="array" ref="N186">IFERROR(_xlfn.XLOOKUP(C186&amp;A186, ESPN!A:A&amp;ESPN!C:C, ESPN!H:H), "N/A")</f>
        <v>56</v>
      </c>
      <c r="O186" s="26" cm="1">
        <f t="array" ref="O186">IFERROR(_xlfn.XLOOKUP(C186&amp;A186, ESPN!A:A&amp;ESPN!C:C, ESPN!I:I), "N/A")</f>
        <v>47</v>
      </c>
      <c r="P186" s="26" cm="1">
        <f t="array" ref="P186">IFERROR(_xlfn.XLOOKUP(C186&amp;A186, ESPN!A:A&amp;ESPN!C:C, ESPN!J:J), "N/A")</f>
        <v>47</v>
      </c>
      <c r="Q186" s="26" cm="1">
        <f t="array" ref="Q186">IFERROR(_xlfn.XLOOKUP(C186&amp;A186, ESPN!A:A&amp;ESPN!C:C, ESPN!K:K), "N/A")</f>
        <v>49</v>
      </c>
    </row>
    <row r="187" spans="1:17" x14ac:dyDescent="0.45">
      <c r="A187" s="7">
        <v>2024</v>
      </c>
      <c r="B187" s="3" t="s">
        <v>45</v>
      </c>
      <c r="C187" s="4" t="str">
        <f t="shared" si="4"/>
        <v>Chuba Hubbard</v>
      </c>
      <c r="D187" s="4" t="str">
        <f t="shared" si="5"/>
        <v>CAR</v>
      </c>
      <c r="E187" s="4">
        <v>15</v>
      </c>
      <c r="F187" s="12">
        <v>54</v>
      </c>
      <c r="G187" s="11">
        <v>43</v>
      </c>
      <c r="H187" s="11">
        <v>171</v>
      </c>
      <c r="I187" s="11">
        <v>4</v>
      </c>
      <c r="J187" s="11">
        <v>1</v>
      </c>
      <c r="K187" s="11">
        <v>3</v>
      </c>
      <c r="L187" s="11" cm="1">
        <f t="array" ref="L187">IFERROR(_xlfn.XLOOKUP(C187&amp;A187, ESPN!A:A&amp;ESPN!C:C, ESPN!D:D), "N/A")</f>
        <v>296</v>
      </c>
      <c r="M187" s="23" cm="1">
        <f t="array" ref="M187">IFERROR(_xlfn.XLOOKUP(C187&amp;A187, ESPN!A:A&amp;ESPN!C:C, ESPN!G:G), "N/A")</f>
        <v>0.57999999999999996</v>
      </c>
      <c r="N187" s="23" cm="1">
        <f t="array" ref="N187">IFERROR(_xlfn.XLOOKUP(C187&amp;A187, ESPN!A:A&amp;ESPN!C:C, ESPN!H:H), "N/A")</f>
        <v>44</v>
      </c>
      <c r="O187" s="26" cm="1">
        <f t="array" ref="O187">IFERROR(_xlfn.XLOOKUP(C187&amp;A187, ESPN!A:A&amp;ESPN!C:C, ESPN!I:I), "N/A")</f>
        <v>63</v>
      </c>
      <c r="P187" s="26" cm="1">
        <f t="array" ref="P187">IFERROR(_xlfn.XLOOKUP(C187&amp;A187, ESPN!A:A&amp;ESPN!C:C, ESPN!J:J), "N/A")</f>
        <v>31</v>
      </c>
      <c r="Q187" s="26" cm="1">
        <f t="array" ref="Q187">IFERROR(_xlfn.XLOOKUP(C187&amp;A187, ESPN!A:A&amp;ESPN!C:C, ESPN!K:K), "N/A")</f>
        <v>38</v>
      </c>
    </row>
    <row r="188" spans="1:17" x14ac:dyDescent="0.45">
      <c r="A188" s="6">
        <v>2024</v>
      </c>
      <c r="B188" s="1" t="s">
        <v>38</v>
      </c>
      <c r="C188" s="2" t="str">
        <f t="shared" si="4"/>
        <v>Bucky Irving</v>
      </c>
      <c r="D188" s="2" t="str">
        <f t="shared" si="5"/>
        <v>TB</v>
      </c>
      <c r="E188" s="2">
        <v>17</v>
      </c>
      <c r="F188" s="13">
        <v>52</v>
      </c>
      <c r="G188" s="14">
        <v>47</v>
      </c>
      <c r="H188" s="14">
        <v>392</v>
      </c>
      <c r="I188" s="14">
        <v>8.3000000000000007</v>
      </c>
      <c r="J188" s="14">
        <v>0</v>
      </c>
      <c r="K188" s="14">
        <v>1</v>
      </c>
      <c r="L188" s="11" cm="1">
        <f t="array" ref="L188">IFERROR(_xlfn.XLOOKUP(C188&amp;A188, ESPN!A:A&amp;ESPN!C:C, ESPN!D:D), "N/A")</f>
        <v>195</v>
      </c>
      <c r="M188" s="23" cm="1">
        <f t="array" ref="M188">IFERROR(_xlfn.XLOOKUP(C188&amp;A188, ESPN!A:A&amp;ESPN!C:C, ESPN!G:G), "N/A")</f>
        <v>2.04</v>
      </c>
      <c r="N188" s="23" cm="1">
        <f t="array" ref="N188">IFERROR(_xlfn.XLOOKUP(C188&amp;A188, ESPN!A:A&amp;ESPN!C:C, ESPN!H:H), "N/A")</f>
        <v>76</v>
      </c>
      <c r="O188" s="26" cm="1">
        <f t="array" ref="O188">IFERROR(_xlfn.XLOOKUP(C188&amp;A188, ESPN!A:A&amp;ESPN!C:C, ESPN!I:I), "N/A")</f>
        <v>54</v>
      </c>
      <c r="P188" s="26" cm="1">
        <f t="array" ref="P188">IFERROR(_xlfn.XLOOKUP(C188&amp;A188, ESPN!A:A&amp;ESPN!C:C, ESPN!J:J), "N/A")</f>
        <v>77</v>
      </c>
      <c r="Q188" s="26" cm="1">
        <f t="array" ref="Q188">IFERROR(_xlfn.XLOOKUP(C188&amp;A188, ESPN!A:A&amp;ESPN!C:C, ESPN!K:K), "N/A")</f>
        <v>84</v>
      </c>
    </row>
    <row r="189" spans="1:17" x14ac:dyDescent="0.45">
      <c r="A189" s="7">
        <v>2024</v>
      </c>
      <c r="B189" s="3" t="s">
        <v>49</v>
      </c>
      <c r="C189" s="4" t="str">
        <f t="shared" si="4"/>
        <v>Alvin Kamara</v>
      </c>
      <c r="D189" s="4" t="str">
        <f t="shared" si="5"/>
        <v>NO</v>
      </c>
      <c r="E189" s="4">
        <v>14</v>
      </c>
      <c r="F189" s="12">
        <v>89</v>
      </c>
      <c r="G189" s="11">
        <v>68</v>
      </c>
      <c r="H189" s="11">
        <v>543</v>
      </c>
      <c r="I189" s="11">
        <v>8</v>
      </c>
      <c r="J189" s="11">
        <v>2</v>
      </c>
      <c r="K189" s="11">
        <v>0</v>
      </c>
      <c r="L189" s="11" cm="1">
        <f t="array" ref="L189">IFERROR(_xlfn.XLOOKUP(C189&amp;A189, ESPN!A:A&amp;ESPN!C:C, ESPN!D:D), "N/A")</f>
        <v>258</v>
      </c>
      <c r="M189" s="23" cm="1">
        <f t="array" ref="M189">IFERROR(_xlfn.XLOOKUP(C189&amp;A189, ESPN!A:A&amp;ESPN!C:C, ESPN!G:G), "N/A")</f>
        <v>2.1</v>
      </c>
      <c r="N189" s="23" cm="1">
        <f t="array" ref="N189">IFERROR(_xlfn.XLOOKUP(C189&amp;A189, ESPN!A:A&amp;ESPN!C:C, ESPN!H:H), "N/A")</f>
        <v>30</v>
      </c>
      <c r="O189" s="26" cm="1">
        <f t="array" ref="O189">IFERROR(_xlfn.XLOOKUP(C189&amp;A189, ESPN!A:A&amp;ESPN!C:C, ESPN!I:I), "N/A")</f>
        <v>66</v>
      </c>
      <c r="P189" s="26" cm="1">
        <f t="array" ref="P189">IFERROR(_xlfn.XLOOKUP(C189&amp;A189, ESPN!A:A&amp;ESPN!C:C, ESPN!J:J), "N/A")</f>
        <v>53</v>
      </c>
      <c r="Q189" s="26" cm="1">
        <f t="array" ref="Q189">IFERROR(_xlfn.XLOOKUP(C189&amp;A189, ESPN!A:A&amp;ESPN!C:C, ESPN!K:K), "N/A")</f>
        <v>53</v>
      </c>
    </row>
    <row r="190" spans="1:17" x14ac:dyDescent="0.45">
      <c r="A190" s="6">
        <v>2024</v>
      </c>
      <c r="B190" s="1" t="s">
        <v>40</v>
      </c>
      <c r="C190" s="2" t="str">
        <f t="shared" si="4"/>
        <v>Aaron Jones Sr.</v>
      </c>
      <c r="D190" s="2" t="str">
        <f t="shared" si="5"/>
        <v>MIN</v>
      </c>
      <c r="E190" s="2">
        <v>17</v>
      </c>
      <c r="F190" s="13">
        <v>62</v>
      </c>
      <c r="G190" s="14">
        <v>51</v>
      </c>
      <c r="H190" s="14">
        <v>408</v>
      </c>
      <c r="I190" s="14">
        <v>8</v>
      </c>
      <c r="J190" s="14">
        <v>2</v>
      </c>
      <c r="K190" s="14">
        <v>3</v>
      </c>
      <c r="L190" s="11" cm="1">
        <f t="array" ref="L190">IFERROR(_xlfn.XLOOKUP(C190&amp;A190, ESPN!A:A&amp;ESPN!C:C, ESPN!D:D), "N/A")</f>
        <v>289</v>
      </c>
      <c r="M190" s="23" cm="1">
        <f t="array" ref="M190">IFERROR(_xlfn.XLOOKUP(C190&amp;A190, ESPN!A:A&amp;ESPN!C:C, ESPN!G:G), "N/A")</f>
        <v>1.45</v>
      </c>
      <c r="N190" s="23" cm="1">
        <f t="array" ref="N190">IFERROR(_xlfn.XLOOKUP(C190&amp;A190, ESPN!A:A&amp;ESPN!C:C, ESPN!H:H), "N/A")</f>
        <v>73</v>
      </c>
      <c r="O190" s="26" cm="1">
        <f t="array" ref="O190">IFERROR(_xlfn.XLOOKUP(C190&amp;A190, ESPN!A:A&amp;ESPN!C:C, ESPN!I:I), "N/A")</f>
        <v>61</v>
      </c>
      <c r="P190" s="26" cm="1">
        <f t="array" ref="P190">IFERROR(_xlfn.XLOOKUP(C190&amp;A190, ESPN!A:A&amp;ESPN!C:C, ESPN!J:J), "N/A")</f>
        <v>44</v>
      </c>
      <c r="Q190" s="26" cm="1">
        <f t="array" ref="Q190">IFERROR(_xlfn.XLOOKUP(C190&amp;A190, ESPN!A:A&amp;ESPN!C:C, ESPN!K:K), "N/A")</f>
        <v>59</v>
      </c>
    </row>
    <row r="191" spans="1:17" x14ac:dyDescent="0.45">
      <c r="A191" s="7">
        <v>2024</v>
      </c>
      <c r="B191" s="3" t="s">
        <v>33</v>
      </c>
      <c r="C191" s="4" t="str">
        <f t="shared" si="4"/>
        <v>David Montgomery</v>
      </c>
      <c r="D191" s="4" t="str">
        <f t="shared" si="5"/>
        <v>DET</v>
      </c>
      <c r="E191" s="4">
        <v>14</v>
      </c>
      <c r="F191" s="12">
        <v>38</v>
      </c>
      <c r="G191" s="11">
        <v>36</v>
      </c>
      <c r="H191" s="11">
        <v>341</v>
      </c>
      <c r="I191" s="11">
        <v>9.5</v>
      </c>
      <c r="J191" s="11">
        <v>0</v>
      </c>
      <c r="K191" s="11">
        <v>1</v>
      </c>
      <c r="L191" s="11" cm="1">
        <f t="array" ref="L191">IFERROR(_xlfn.XLOOKUP(C191&amp;A191, ESPN!A:A&amp;ESPN!C:C, ESPN!D:D), "N/A")</f>
        <v>136</v>
      </c>
      <c r="M191" s="23" cm="1">
        <f t="array" ref="M191">IFERROR(_xlfn.XLOOKUP(C191&amp;A191, ESPN!A:A&amp;ESPN!C:C, ESPN!G:G), "N/A")</f>
        <v>2.5099999999999998</v>
      </c>
      <c r="N191" s="23" cm="1">
        <f t="array" ref="N191">IFERROR(_xlfn.XLOOKUP(C191&amp;A191, ESPN!A:A&amp;ESPN!C:C, ESPN!H:H), "N/A")</f>
        <v>68</v>
      </c>
      <c r="O191" s="26" cm="1">
        <f t="array" ref="O191">IFERROR(_xlfn.XLOOKUP(C191&amp;A191, ESPN!A:A&amp;ESPN!C:C, ESPN!I:I), "N/A")</f>
        <v>83</v>
      </c>
      <c r="P191" s="26" cm="1">
        <f t="array" ref="P191">IFERROR(_xlfn.XLOOKUP(C191&amp;A191, ESPN!A:A&amp;ESPN!C:C, ESPN!J:J), "N/A")</f>
        <v>60</v>
      </c>
      <c r="Q191" s="26" cm="1">
        <f t="array" ref="Q191">IFERROR(_xlfn.XLOOKUP(C191&amp;A191, ESPN!A:A&amp;ESPN!C:C, ESPN!K:K), "N/A")</f>
        <v>80</v>
      </c>
    </row>
    <row r="192" spans="1:17" x14ac:dyDescent="0.45">
      <c r="A192" s="6">
        <v>2024</v>
      </c>
      <c r="B192" s="1" t="s">
        <v>18</v>
      </c>
      <c r="C192" s="2" t="str">
        <f t="shared" si="4"/>
        <v>Breece Hall</v>
      </c>
      <c r="D192" s="2" t="str">
        <f t="shared" si="5"/>
        <v>NYJ</v>
      </c>
      <c r="E192" s="2">
        <v>16</v>
      </c>
      <c r="F192" s="13">
        <v>76</v>
      </c>
      <c r="G192" s="14">
        <v>57</v>
      </c>
      <c r="H192" s="14">
        <v>483</v>
      </c>
      <c r="I192" s="14">
        <v>8.5</v>
      </c>
      <c r="J192" s="14">
        <v>3</v>
      </c>
      <c r="K192" s="14">
        <v>2</v>
      </c>
      <c r="L192" s="11" cm="1">
        <f t="array" ref="L192">IFERROR(_xlfn.XLOOKUP(C192&amp;A192, ESPN!A:A&amp;ESPN!C:C, ESPN!D:D), "N/A")</f>
        <v>304</v>
      </c>
      <c r="M192" s="23" cm="1">
        <f t="array" ref="M192">IFERROR(_xlfn.XLOOKUP(C192&amp;A192, ESPN!A:A&amp;ESPN!C:C, ESPN!G:G), "N/A")</f>
        <v>1.59</v>
      </c>
      <c r="N192" s="23" cm="1">
        <f t="array" ref="N192">IFERROR(_xlfn.XLOOKUP(C192&amp;A192, ESPN!A:A&amp;ESPN!C:C, ESPN!H:H), "N/A")</f>
        <v>61</v>
      </c>
      <c r="O192" s="26" cm="1">
        <f t="array" ref="O192">IFERROR(_xlfn.XLOOKUP(C192&amp;A192, ESPN!A:A&amp;ESPN!C:C, ESPN!I:I), "N/A")</f>
        <v>40</v>
      </c>
      <c r="P192" s="26" cm="1">
        <f t="array" ref="P192">IFERROR(_xlfn.XLOOKUP(C192&amp;A192, ESPN!A:A&amp;ESPN!C:C, ESPN!J:J), "N/A")</f>
        <v>53</v>
      </c>
      <c r="Q192" s="26" cm="1">
        <f t="array" ref="Q192">IFERROR(_xlfn.XLOOKUP(C192&amp;A192, ESPN!A:A&amp;ESPN!C:C, ESPN!K:K), "N/A")</f>
        <v>51</v>
      </c>
    </row>
    <row r="193" spans="1:17" x14ac:dyDescent="0.45">
      <c r="A193" s="7">
        <v>2024</v>
      </c>
      <c r="B193" s="3" t="s">
        <v>15</v>
      </c>
      <c r="C193" s="4" t="str">
        <f t="shared" si="4"/>
        <v>D'Andre Swift</v>
      </c>
      <c r="D193" s="4" t="str">
        <f t="shared" si="5"/>
        <v>CHI</v>
      </c>
      <c r="E193" s="4">
        <v>17</v>
      </c>
      <c r="F193" s="12">
        <v>52</v>
      </c>
      <c r="G193" s="11">
        <v>42</v>
      </c>
      <c r="H193" s="11">
        <v>386</v>
      </c>
      <c r="I193" s="11">
        <v>9.1999999999999993</v>
      </c>
      <c r="J193" s="11">
        <v>0</v>
      </c>
      <c r="K193" s="11">
        <v>0</v>
      </c>
      <c r="L193" s="11" cm="1">
        <f t="array" ref="L193">IFERROR(_xlfn.XLOOKUP(C193&amp;A193, ESPN!A:A&amp;ESPN!C:C, ESPN!D:D), "N/A")</f>
        <v>277</v>
      </c>
      <c r="M193" s="23" cm="1">
        <f t="array" ref="M193">IFERROR(_xlfn.XLOOKUP(C193&amp;A193, ESPN!A:A&amp;ESPN!C:C, ESPN!G:G), "N/A")</f>
        <v>1.39</v>
      </c>
      <c r="N193" s="23" cm="1">
        <f t="array" ref="N193">IFERROR(_xlfn.XLOOKUP(C193&amp;A193, ESPN!A:A&amp;ESPN!C:C, ESPN!H:H), "N/A")</f>
        <v>50</v>
      </c>
      <c r="O193" s="26" cm="1">
        <f t="array" ref="O193">IFERROR(_xlfn.XLOOKUP(C193&amp;A193, ESPN!A:A&amp;ESPN!C:C, ESPN!I:I), "N/A")</f>
        <v>68</v>
      </c>
      <c r="P193" s="26" cm="1">
        <f t="array" ref="P193">IFERROR(_xlfn.XLOOKUP(C193&amp;A193, ESPN!A:A&amp;ESPN!C:C, ESPN!J:J), "N/A")</f>
        <v>63</v>
      </c>
      <c r="Q193" s="26" cm="1">
        <f t="array" ref="Q193">IFERROR(_xlfn.XLOOKUP(C193&amp;A193, ESPN!A:A&amp;ESPN!C:C, ESPN!K:K), "N/A")</f>
        <v>70</v>
      </c>
    </row>
    <row r="194" spans="1:17" x14ac:dyDescent="0.45">
      <c r="A194" s="6">
        <v>2024</v>
      </c>
      <c r="B194" s="1" t="s">
        <v>178</v>
      </c>
      <c r="C194" s="2" t="str">
        <f t="shared" ref="C194:C257" si="6">TRIM(LEFT(B194, LEN(B194) - LEN(TRIM(RIGHT(SUBSTITUTE(TRIM(B194)," ",REPT(" ",100)),100)))))</f>
        <v>Najee Harris</v>
      </c>
      <c r="D194" s="2" t="str">
        <f t="shared" ref="D194:D257" si="7">MID(B194, FIND("(", B194) + 1, FIND(")", B194) - FIND("(", B194) - 1)</f>
        <v>PIT</v>
      </c>
      <c r="E194" s="2">
        <v>17</v>
      </c>
      <c r="F194" s="13">
        <v>48</v>
      </c>
      <c r="G194" s="14">
        <v>36</v>
      </c>
      <c r="H194" s="14">
        <v>283</v>
      </c>
      <c r="I194" s="14">
        <v>7.9</v>
      </c>
      <c r="J194" s="14">
        <v>0</v>
      </c>
      <c r="K194" s="14">
        <v>0</v>
      </c>
      <c r="L194" s="11" cm="1">
        <f t="array" ref="L194">IFERROR(_xlfn.XLOOKUP(C194&amp;A194, ESPN!A:A&amp;ESPN!C:C, ESPN!D:D), "N/A")</f>
        <v>199</v>
      </c>
      <c r="M194" s="23" cm="1">
        <f t="array" ref="M194">IFERROR(_xlfn.XLOOKUP(C194&amp;A194, ESPN!A:A&amp;ESPN!C:C, ESPN!G:G), "N/A")</f>
        <v>1.63</v>
      </c>
      <c r="N194" s="23" cm="1">
        <f t="array" ref="N194">IFERROR(_xlfn.XLOOKUP(C194&amp;A194, ESPN!A:A&amp;ESPN!C:C, ESPN!H:H), "N/A")</f>
        <v>59</v>
      </c>
      <c r="O194" s="26" cm="1">
        <f t="array" ref="O194">IFERROR(_xlfn.XLOOKUP(C194&amp;A194, ESPN!A:A&amp;ESPN!C:C, ESPN!I:I), "N/A")</f>
        <v>43</v>
      </c>
      <c r="P194" s="26" cm="1">
        <f t="array" ref="P194">IFERROR(_xlfn.XLOOKUP(C194&amp;A194, ESPN!A:A&amp;ESPN!C:C, ESPN!J:J), "N/A")</f>
        <v>63</v>
      </c>
      <c r="Q194" s="26" cm="1">
        <f t="array" ref="Q194">IFERROR(_xlfn.XLOOKUP(C194&amp;A194, ESPN!A:A&amp;ESPN!C:C, ESPN!K:K), "N/A")</f>
        <v>61</v>
      </c>
    </row>
    <row r="195" spans="1:17" x14ac:dyDescent="0.45">
      <c r="A195" s="7">
        <v>2024</v>
      </c>
      <c r="B195" s="3" t="s">
        <v>179</v>
      </c>
      <c r="C195" s="4" t="str">
        <f t="shared" si="6"/>
        <v>J.K. Dobbins</v>
      </c>
      <c r="D195" s="4" t="str">
        <f t="shared" si="7"/>
        <v>LAC</v>
      </c>
      <c r="E195" s="4">
        <v>13</v>
      </c>
      <c r="F195" s="12">
        <v>38</v>
      </c>
      <c r="G195" s="11">
        <v>32</v>
      </c>
      <c r="H195" s="11">
        <v>153</v>
      </c>
      <c r="I195" s="11">
        <v>4.8</v>
      </c>
      <c r="J195" s="11">
        <v>0</v>
      </c>
      <c r="K195" s="11">
        <v>0</v>
      </c>
      <c r="L195" s="11" cm="1">
        <f t="array" ref="L195">IFERROR(_xlfn.XLOOKUP(C195&amp;A195, ESPN!A:A&amp;ESPN!C:C, ESPN!D:D), "N/A")</f>
        <v>183</v>
      </c>
      <c r="M195" s="23" cm="1">
        <f t="array" ref="M195">IFERROR(_xlfn.XLOOKUP(C195&amp;A195, ESPN!A:A&amp;ESPN!C:C, ESPN!G:G), "N/A")</f>
        <v>0.84</v>
      </c>
      <c r="N195" s="23" cm="1">
        <f t="array" ref="N195">IFERROR(_xlfn.XLOOKUP(C195&amp;A195, ESPN!A:A&amp;ESPN!C:C, ESPN!H:H), "N/A")</f>
        <v>65</v>
      </c>
      <c r="O195" s="26" cm="1">
        <f t="array" ref="O195">IFERROR(_xlfn.XLOOKUP(C195&amp;A195, ESPN!A:A&amp;ESPN!C:C, ESPN!I:I), "N/A")</f>
        <v>59</v>
      </c>
      <c r="P195" s="26" cm="1">
        <f t="array" ref="P195">IFERROR(_xlfn.XLOOKUP(C195&amp;A195, ESPN!A:A&amp;ESPN!C:C, ESPN!J:J), "N/A")</f>
        <v>3</v>
      </c>
      <c r="Q195" s="26" cm="1">
        <f t="array" ref="Q195">IFERROR(_xlfn.XLOOKUP(C195&amp;A195, ESPN!A:A&amp;ESPN!C:C, ESPN!K:K), "N/A")</f>
        <v>20</v>
      </c>
    </row>
    <row r="196" spans="1:17" x14ac:dyDescent="0.45">
      <c r="A196" s="6">
        <v>2024</v>
      </c>
      <c r="B196" s="1" t="s">
        <v>16</v>
      </c>
      <c r="C196" s="2" t="str">
        <f t="shared" si="6"/>
        <v>Tony Pollard</v>
      </c>
      <c r="D196" s="2" t="str">
        <f t="shared" si="7"/>
        <v>TEN</v>
      </c>
      <c r="E196" s="2">
        <v>16</v>
      </c>
      <c r="F196" s="13">
        <v>57</v>
      </c>
      <c r="G196" s="14">
        <v>41</v>
      </c>
      <c r="H196" s="14">
        <v>238</v>
      </c>
      <c r="I196" s="14">
        <v>5.8</v>
      </c>
      <c r="J196" s="14">
        <v>0</v>
      </c>
      <c r="K196" s="14">
        <v>2</v>
      </c>
      <c r="L196" s="11" cm="1">
        <f t="array" ref="L196">IFERROR(_xlfn.XLOOKUP(C196&amp;A196, ESPN!A:A&amp;ESPN!C:C, ESPN!D:D), "N/A")</f>
        <v>242</v>
      </c>
      <c r="M196" s="23" cm="1">
        <f t="array" ref="M196">IFERROR(_xlfn.XLOOKUP(C196&amp;A196, ESPN!A:A&amp;ESPN!C:C, ESPN!G:G), "N/A")</f>
        <v>0.98</v>
      </c>
      <c r="N196" s="23" cm="1">
        <f t="array" ref="N196">IFERROR(_xlfn.XLOOKUP(C196&amp;A196, ESPN!A:A&amp;ESPN!C:C, ESPN!H:H), "N/A")</f>
        <v>47</v>
      </c>
      <c r="O196" s="26" cm="1">
        <f t="array" ref="O196">IFERROR(_xlfn.XLOOKUP(C196&amp;A196, ESPN!A:A&amp;ESPN!C:C, ESPN!I:I), "N/A")</f>
        <v>43</v>
      </c>
      <c r="P196" s="26" cm="1">
        <f t="array" ref="P196">IFERROR(_xlfn.XLOOKUP(C196&amp;A196, ESPN!A:A&amp;ESPN!C:C, ESPN!J:J), "N/A")</f>
        <v>18</v>
      </c>
      <c r="Q196" s="26" cm="1">
        <f t="array" ref="Q196">IFERROR(_xlfn.XLOOKUP(C196&amp;A196, ESPN!A:A&amp;ESPN!C:C, ESPN!K:K), "N/A")</f>
        <v>18</v>
      </c>
    </row>
    <row r="197" spans="1:17" x14ac:dyDescent="0.45">
      <c r="A197" s="7">
        <v>2024</v>
      </c>
      <c r="B197" s="3" t="s">
        <v>180</v>
      </c>
      <c r="C197" s="4" t="str">
        <f t="shared" si="6"/>
        <v>Rico Dowdle</v>
      </c>
      <c r="D197" s="4" t="str">
        <f t="shared" si="7"/>
        <v>DAL</v>
      </c>
      <c r="E197" s="4">
        <v>16</v>
      </c>
      <c r="F197" s="12">
        <v>49</v>
      </c>
      <c r="G197" s="11">
        <v>39</v>
      </c>
      <c r="H197" s="11">
        <v>249</v>
      </c>
      <c r="I197" s="11">
        <v>6.4</v>
      </c>
      <c r="J197" s="11">
        <v>3</v>
      </c>
      <c r="K197" s="11">
        <v>2</v>
      </c>
      <c r="L197" s="11" cm="1">
        <f t="array" ref="L197">IFERROR(_xlfn.XLOOKUP(C197&amp;A197, ESPN!A:A&amp;ESPN!C:C, ESPN!D:D), "N/A")</f>
        <v>210</v>
      </c>
      <c r="M197" s="23" cm="1">
        <f t="array" ref="M197">IFERROR(_xlfn.XLOOKUP(C197&amp;A197, ESPN!A:A&amp;ESPN!C:C, ESPN!G:G), "N/A")</f>
        <v>1.19</v>
      </c>
      <c r="N197" s="23" cm="1">
        <f t="array" ref="N197">IFERROR(_xlfn.XLOOKUP(C197&amp;A197, ESPN!A:A&amp;ESPN!C:C, ESPN!H:H), "N/A")</f>
        <v>41</v>
      </c>
      <c r="O197" s="26" cm="1">
        <f t="array" ref="O197">IFERROR(_xlfn.XLOOKUP(C197&amp;A197, ESPN!A:A&amp;ESPN!C:C, ESPN!I:I), "N/A")</f>
        <v>54</v>
      </c>
      <c r="P197" s="26" cm="1">
        <f t="array" ref="P197">IFERROR(_xlfn.XLOOKUP(C197&amp;A197, ESPN!A:A&amp;ESPN!C:C, ESPN!J:J), "N/A")</f>
        <v>27</v>
      </c>
      <c r="Q197" s="26" cm="1">
        <f t="array" ref="Q197">IFERROR(_xlfn.XLOOKUP(C197&amp;A197, ESPN!A:A&amp;ESPN!C:C, ESPN!K:K), "N/A")</f>
        <v>29</v>
      </c>
    </row>
    <row r="198" spans="1:17" x14ac:dyDescent="0.45">
      <c r="A198" s="6">
        <v>2024</v>
      </c>
      <c r="B198" s="1" t="s">
        <v>39</v>
      </c>
      <c r="C198" s="2" t="str">
        <f t="shared" si="6"/>
        <v>Rachaad White</v>
      </c>
      <c r="D198" s="2" t="str">
        <f t="shared" si="7"/>
        <v>TB</v>
      </c>
      <c r="E198" s="2">
        <v>16</v>
      </c>
      <c r="F198" s="13">
        <v>57</v>
      </c>
      <c r="G198" s="14">
        <v>51</v>
      </c>
      <c r="H198" s="14">
        <v>393</v>
      </c>
      <c r="I198" s="14">
        <v>7.7</v>
      </c>
      <c r="J198" s="14">
        <v>6</v>
      </c>
      <c r="K198" s="14">
        <v>3</v>
      </c>
      <c r="L198" s="11" cm="1">
        <f t="array" ref="L198">IFERROR(_xlfn.XLOOKUP(C198&amp;A198, ESPN!A:A&amp;ESPN!C:C, ESPN!D:D), "N/A")</f>
        <v>245</v>
      </c>
      <c r="M198" s="23" cm="1">
        <f t="array" ref="M198">IFERROR(_xlfn.XLOOKUP(C198&amp;A198, ESPN!A:A&amp;ESPN!C:C, ESPN!G:G), "N/A")</f>
        <v>1.66</v>
      </c>
      <c r="N198" s="23" cm="1">
        <f t="array" ref="N198">IFERROR(_xlfn.XLOOKUP(C198&amp;A198, ESPN!A:A&amp;ESPN!C:C, ESPN!H:H), "N/A")</f>
        <v>38</v>
      </c>
      <c r="O198" s="26" cm="1">
        <f t="array" ref="O198">IFERROR(_xlfn.XLOOKUP(C198&amp;A198, ESPN!A:A&amp;ESPN!C:C, ESPN!I:I), "N/A")</f>
        <v>75</v>
      </c>
      <c r="P198" s="26" cm="1">
        <f t="array" ref="P198">IFERROR(_xlfn.XLOOKUP(C198&amp;A198, ESPN!A:A&amp;ESPN!C:C, ESPN!J:J), "N/A")</f>
        <v>69</v>
      </c>
      <c r="Q198" s="26" cm="1">
        <f t="array" ref="Q198">IFERROR(_xlfn.XLOOKUP(C198&amp;A198, ESPN!A:A&amp;ESPN!C:C, ESPN!K:K), "N/A")</f>
        <v>73</v>
      </c>
    </row>
    <row r="199" spans="1:17" x14ac:dyDescent="0.45">
      <c r="A199" s="7">
        <v>2024</v>
      </c>
      <c r="B199" s="3" t="s">
        <v>32</v>
      </c>
      <c r="C199" s="4" t="str">
        <f t="shared" si="6"/>
        <v>Zach Charbonnet</v>
      </c>
      <c r="D199" s="4" t="str">
        <f t="shared" si="7"/>
        <v>SEA</v>
      </c>
      <c r="E199" s="4">
        <v>17</v>
      </c>
      <c r="F199" s="12">
        <v>52</v>
      </c>
      <c r="G199" s="11">
        <v>42</v>
      </c>
      <c r="H199" s="11">
        <v>340</v>
      </c>
      <c r="I199" s="11">
        <v>8.1</v>
      </c>
      <c r="J199" s="11">
        <v>1</v>
      </c>
      <c r="K199" s="11">
        <v>0</v>
      </c>
      <c r="L199" s="11" cm="1">
        <f t="array" ref="L199">IFERROR(_xlfn.XLOOKUP(C199&amp;A199, ESPN!A:A&amp;ESPN!C:C, ESPN!D:D), "N/A")</f>
        <v>235</v>
      </c>
      <c r="M199" s="23" cm="1">
        <f t="array" ref="M199">IFERROR(_xlfn.XLOOKUP(C199&amp;A199, ESPN!A:A&amp;ESPN!C:C, ESPN!G:G), "N/A")</f>
        <v>1.45</v>
      </c>
      <c r="N199" s="23" cm="1">
        <f t="array" ref="N199">IFERROR(_xlfn.XLOOKUP(C199&amp;A199, ESPN!A:A&amp;ESPN!C:C, ESPN!H:H), "N/A")</f>
        <v>71</v>
      </c>
      <c r="O199" s="26" cm="1">
        <f t="array" ref="O199">IFERROR(_xlfn.XLOOKUP(C199&amp;A199, ESPN!A:A&amp;ESPN!C:C, ESPN!I:I), "N/A")</f>
        <v>59</v>
      </c>
      <c r="P199" s="26" cm="1">
        <f t="array" ref="P199">IFERROR(_xlfn.XLOOKUP(C199&amp;A199, ESPN!A:A&amp;ESPN!C:C, ESPN!J:J), "N/A")</f>
        <v>38</v>
      </c>
      <c r="Q199" s="26" cm="1">
        <f t="array" ref="Q199">IFERROR(_xlfn.XLOOKUP(C199&amp;A199, ESPN!A:A&amp;ESPN!C:C, ESPN!K:K), "N/A")</f>
        <v>52</v>
      </c>
    </row>
    <row r="200" spans="1:17" x14ac:dyDescent="0.45">
      <c r="A200" s="6">
        <v>2024</v>
      </c>
      <c r="B200" s="1" t="s">
        <v>31</v>
      </c>
      <c r="C200" s="2" t="str">
        <f t="shared" si="6"/>
        <v>Tyrone Tracy Jr.</v>
      </c>
      <c r="D200" s="2" t="str">
        <f t="shared" si="7"/>
        <v>NYG</v>
      </c>
      <c r="E200" s="2">
        <v>17</v>
      </c>
      <c r="F200" s="13">
        <v>53</v>
      </c>
      <c r="G200" s="14">
        <v>38</v>
      </c>
      <c r="H200" s="14">
        <v>284</v>
      </c>
      <c r="I200" s="14">
        <v>7.5</v>
      </c>
      <c r="J200" s="14">
        <v>1</v>
      </c>
      <c r="K200" s="14">
        <v>2</v>
      </c>
      <c r="L200" s="11" cm="1">
        <f t="array" ref="L200">IFERROR(_xlfn.XLOOKUP(C200&amp;A200, ESPN!A:A&amp;ESPN!C:C, ESPN!D:D), "N/A")</f>
        <v>257</v>
      </c>
      <c r="M200" s="23" cm="1">
        <f t="array" ref="M200">IFERROR(_xlfn.XLOOKUP(C200&amp;A200, ESPN!A:A&amp;ESPN!C:C, ESPN!G:G), "N/A")</f>
        <v>1.1100000000000001</v>
      </c>
      <c r="N200" s="23" cm="1">
        <f t="array" ref="N200">IFERROR(_xlfn.XLOOKUP(C200&amp;A200, ESPN!A:A&amp;ESPN!C:C, ESPN!H:H), "N/A")</f>
        <v>50</v>
      </c>
      <c r="O200" s="26" cm="1">
        <f t="array" ref="O200">IFERROR(_xlfn.XLOOKUP(C200&amp;A200, ESPN!A:A&amp;ESPN!C:C, ESPN!I:I), "N/A")</f>
        <v>55</v>
      </c>
      <c r="P200" s="26" cm="1">
        <f t="array" ref="P200">IFERROR(_xlfn.XLOOKUP(C200&amp;A200, ESPN!A:A&amp;ESPN!C:C, ESPN!J:J), "N/A")</f>
        <v>36</v>
      </c>
      <c r="Q200" s="26" cm="1">
        <f t="array" ref="Q200">IFERROR(_xlfn.XLOOKUP(C200&amp;A200, ESPN!A:A&amp;ESPN!C:C, ESPN!K:K), "N/A")</f>
        <v>40</v>
      </c>
    </row>
    <row r="201" spans="1:17" x14ac:dyDescent="0.45">
      <c r="A201" s="7">
        <v>2024</v>
      </c>
      <c r="B201" s="3" t="s">
        <v>37</v>
      </c>
      <c r="C201" s="4" t="str">
        <f t="shared" si="6"/>
        <v>Rhamondre Stevenson</v>
      </c>
      <c r="D201" s="4" t="str">
        <f t="shared" si="7"/>
        <v>NE</v>
      </c>
      <c r="E201" s="4">
        <v>15</v>
      </c>
      <c r="F201" s="12">
        <v>41</v>
      </c>
      <c r="G201" s="11">
        <v>33</v>
      </c>
      <c r="H201" s="11">
        <v>168</v>
      </c>
      <c r="I201" s="11">
        <v>5.0999999999999996</v>
      </c>
      <c r="J201" s="11">
        <v>1</v>
      </c>
      <c r="K201" s="11">
        <v>3</v>
      </c>
      <c r="L201" s="11" cm="1">
        <f t="array" ref="L201">IFERROR(_xlfn.XLOOKUP(C201&amp;A201, ESPN!A:A&amp;ESPN!C:C, ESPN!D:D), "N/A")</f>
        <v>236</v>
      </c>
      <c r="M201" s="23" cm="1">
        <f t="array" ref="M201">IFERROR(_xlfn.XLOOKUP(C201&amp;A201, ESPN!A:A&amp;ESPN!C:C, ESPN!G:G), "N/A")</f>
        <v>0.71</v>
      </c>
      <c r="N201" s="23" cm="1">
        <f t="array" ref="N201">IFERROR(_xlfn.XLOOKUP(C201&amp;A201, ESPN!A:A&amp;ESPN!C:C, ESPN!H:H), "N/A")</f>
        <v>32</v>
      </c>
      <c r="O201" s="26" cm="1">
        <f t="array" ref="O201">IFERROR(_xlfn.XLOOKUP(C201&amp;A201, ESPN!A:A&amp;ESPN!C:C, ESPN!I:I), "N/A")</f>
        <v>61</v>
      </c>
      <c r="P201" s="26" cm="1">
        <f t="array" ref="P201">IFERROR(_xlfn.XLOOKUP(C201&amp;A201, ESPN!A:A&amp;ESPN!C:C, ESPN!J:J), "N/A")</f>
        <v>31</v>
      </c>
      <c r="Q201" s="26" cm="1">
        <f t="array" ref="Q201">IFERROR(_xlfn.XLOOKUP(C201&amp;A201, ESPN!A:A&amp;ESPN!C:C, ESPN!K:K), "N/A")</f>
        <v>33</v>
      </c>
    </row>
    <row r="202" spans="1:17" x14ac:dyDescent="0.45">
      <c r="A202" s="6">
        <v>2024</v>
      </c>
      <c r="B202" s="1" t="s">
        <v>181</v>
      </c>
      <c r="C202" s="2" t="str">
        <f t="shared" si="6"/>
        <v>Brian Robinson Jr.</v>
      </c>
      <c r="D202" s="2" t="str">
        <f t="shared" si="7"/>
        <v>WAS</v>
      </c>
      <c r="E202" s="2">
        <v>14</v>
      </c>
      <c r="F202" s="13">
        <v>25</v>
      </c>
      <c r="G202" s="14">
        <v>20</v>
      </c>
      <c r="H202" s="14">
        <v>159</v>
      </c>
      <c r="I202" s="14">
        <v>8</v>
      </c>
      <c r="J202" s="14">
        <v>0</v>
      </c>
      <c r="K202" s="14">
        <v>2</v>
      </c>
      <c r="L202" s="11" cm="1">
        <f t="array" ref="L202">IFERROR(_xlfn.XLOOKUP(C202&amp;A202, ESPN!A:A&amp;ESPN!C:C, ESPN!D:D), "N/A")</f>
        <v>170</v>
      </c>
      <c r="M202" s="23" cm="1">
        <f t="array" ref="M202">IFERROR(_xlfn.XLOOKUP(C202&amp;A202, ESPN!A:A&amp;ESPN!C:C, ESPN!G:G), "N/A")</f>
        <v>1.06</v>
      </c>
      <c r="N202" s="23" cm="1">
        <f t="array" ref="N202">IFERROR(_xlfn.XLOOKUP(C202&amp;A202, ESPN!A:A&amp;ESPN!C:C, ESPN!H:H), "N/A")</f>
        <v>59</v>
      </c>
      <c r="O202" s="26" cm="1">
        <f t="array" ref="O202">IFERROR(_xlfn.XLOOKUP(C202&amp;A202, ESPN!A:A&amp;ESPN!C:C, ESPN!I:I), "N/A")</f>
        <v>60</v>
      </c>
      <c r="P202" s="26" cm="1">
        <f t="array" ref="P202">IFERROR(_xlfn.XLOOKUP(C202&amp;A202, ESPN!A:A&amp;ESPN!C:C, ESPN!J:J), "N/A")</f>
        <v>40</v>
      </c>
      <c r="Q202" s="26" cm="1">
        <f t="array" ref="Q202">IFERROR(_xlfn.XLOOKUP(C202&amp;A202, ESPN!A:A&amp;ESPN!C:C, ESPN!K:K), "N/A")</f>
        <v>50</v>
      </c>
    </row>
    <row r="203" spans="1:17" x14ac:dyDescent="0.45">
      <c r="A203" s="7">
        <v>2024</v>
      </c>
      <c r="B203" s="3" t="s">
        <v>19</v>
      </c>
      <c r="C203" s="4" t="str">
        <f t="shared" si="6"/>
        <v>Kenneth Walker III</v>
      </c>
      <c r="D203" s="4" t="str">
        <f t="shared" si="7"/>
        <v>SEA</v>
      </c>
      <c r="E203" s="4">
        <v>11</v>
      </c>
      <c r="F203" s="12">
        <v>53</v>
      </c>
      <c r="G203" s="11">
        <v>46</v>
      </c>
      <c r="H203" s="11">
        <v>299</v>
      </c>
      <c r="I203" s="11">
        <v>6.5</v>
      </c>
      <c r="J203" s="11">
        <v>1</v>
      </c>
      <c r="K203" s="11">
        <v>0</v>
      </c>
      <c r="L203" s="11" cm="1">
        <f t="array" ref="L203">IFERROR(_xlfn.XLOOKUP(C203&amp;A203, ESPN!A:A&amp;ESPN!C:C, ESPN!D:D), "N/A")</f>
        <v>180</v>
      </c>
      <c r="M203" s="23" cm="1">
        <f t="array" ref="M203">IFERROR(_xlfn.XLOOKUP(C203&amp;A203, ESPN!A:A&amp;ESPN!C:C, ESPN!G:G), "N/A")</f>
        <v>1.66</v>
      </c>
      <c r="N203" s="23" cm="1">
        <f t="array" ref="N203">IFERROR(_xlfn.XLOOKUP(C203&amp;A203, ESPN!A:A&amp;ESPN!C:C, ESPN!H:H), "N/A")</f>
        <v>58</v>
      </c>
      <c r="O203" s="26" cm="1">
        <f t="array" ref="O203">IFERROR(_xlfn.XLOOKUP(C203&amp;A203, ESPN!A:A&amp;ESPN!C:C, ESPN!I:I), "N/A")</f>
        <v>57</v>
      </c>
      <c r="P203" s="26" cm="1">
        <f t="array" ref="P203">IFERROR(_xlfn.XLOOKUP(C203&amp;A203, ESPN!A:A&amp;ESPN!C:C, ESPN!J:J), "N/A")</f>
        <v>45</v>
      </c>
      <c r="Q203" s="26" cm="1">
        <f t="array" ref="Q203">IFERROR(_xlfn.XLOOKUP(C203&amp;A203, ESPN!A:A&amp;ESPN!C:C, ESPN!K:K), "N/A")</f>
        <v>52</v>
      </c>
    </row>
    <row r="204" spans="1:17" x14ac:dyDescent="0.45">
      <c r="A204" s="6">
        <v>2024</v>
      </c>
      <c r="B204" s="1" t="s">
        <v>36</v>
      </c>
      <c r="C204" s="2" t="str">
        <f t="shared" si="6"/>
        <v>Kareem Hunt</v>
      </c>
      <c r="D204" s="2" t="str">
        <f t="shared" si="7"/>
        <v>KC</v>
      </c>
      <c r="E204" s="2">
        <v>13</v>
      </c>
      <c r="F204" s="13">
        <v>32</v>
      </c>
      <c r="G204" s="14">
        <v>23</v>
      </c>
      <c r="H204" s="14">
        <v>176</v>
      </c>
      <c r="I204" s="14">
        <v>7.7</v>
      </c>
      <c r="J204" s="14">
        <v>0</v>
      </c>
      <c r="K204" s="14">
        <v>0</v>
      </c>
      <c r="L204" s="11" cm="1">
        <f t="array" ref="L204">IFERROR(_xlfn.XLOOKUP(C204&amp;A204, ESPN!A:A&amp;ESPN!C:C, ESPN!D:D), "N/A")</f>
        <v>181</v>
      </c>
      <c r="M204" s="23" cm="1">
        <f t="array" ref="M204">IFERROR(_xlfn.XLOOKUP(C204&amp;A204, ESPN!A:A&amp;ESPN!C:C, ESPN!G:G), "N/A")</f>
        <v>1.04</v>
      </c>
      <c r="N204" s="23" cm="1">
        <f t="array" ref="N204">IFERROR(_xlfn.XLOOKUP(C204&amp;A204, ESPN!A:A&amp;ESPN!C:C, ESPN!H:H), "N/A")</f>
        <v>45</v>
      </c>
      <c r="O204" s="26" cm="1">
        <f t="array" ref="O204">IFERROR(_xlfn.XLOOKUP(C204&amp;A204, ESPN!A:A&amp;ESPN!C:C, ESPN!I:I), "N/A")</f>
        <v>58</v>
      </c>
      <c r="P204" s="26" cm="1">
        <f t="array" ref="P204">IFERROR(_xlfn.XLOOKUP(C204&amp;A204, ESPN!A:A&amp;ESPN!C:C, ESPN!J:J), "N/A")</f>
        <v>41</v>
      </c>
      <c r="Q204" s="26" cm="1">
        <f t="array" ref="Q204">IFERROR(_xlfn.XLOOKUP(C204&amp;A204, ESPN!A:A&amp;ESPN!C:C, ESPN!K:K), "N/A")</f>
        <v>45</v>
      </c>
    </row>
    <row r="205" spans="1:17" x14ac:dyDescent="0.45">
      <c r="A205" s="7">
        <v>2024</v>
      </c>
      <c r="B205" s="3" t="s">
        <v>182</v>
      </c>
      <c r="C205" s="4" t="str">
        <f t="shared" si="6"/>
        <v>Tank Bigsby</v>
      </c>
      <c r="D205" s="4" t="str">
        <f t="shared" si="7"/>
        <v>JAC</v>
      </c>
      <c r="E205" s="4">
        <v>16</v>
      </c>
      <c r="F205" s="12">
        <v>12</v>
      </c>
      <c r="G205" s="11">
        <v>7</v>
      </c>
      <c r="H205" s="11">
        <v>54</v>
      </c>
      <c r="I205" s="11">
        <v>7.7</v>
      </c>
      <c r="J205" s="11">
        <v>0</v>
      </c>
      <c r="K205" s="11">
        <v>1</v>
      </c>
      <c r="L205" s="11" t="str" cm="1">
        <f t="array" ref="L205">IFERROR(_xlfn.XLOOKUP(C205&amp;A205, ESPN!A:A&amp;ESPN!C:C, ESPN!D:D), "N/A")</f>
        <v>N/A</v>
      </c>
      <c r="M205" s="23" t="str" cm="1">
        <f t="array" ref="M205">IFERROR(_xlfn.XLOOKUP(C205&amp;A205, ESPN!A:A&amp;ESPN!C:C, ESPN!G:G), "N/A")</f>
        <v>N/A</v>
      </c>
      <c r="N205" s="23" t="str" cm="1">
        <f t="array" ref="N205">IFERROR(_xlfn.XLOOKUP(C205&amp;A205, ESPN!A:A&amp;ESPN!C:C, ESPN!H:H), "N/A")</f>
        <v>N/A</v>
      </c>
      <c r="O205" s="26" t="str" cm="1">
        <f t="array" ref="O205">IFERROR(_xlfn.XLOOKUP(C205&amp;A205, ESPN!A:A&amp;ESPN!C:C, ESPN!I:I), "N/A")</f>
        <v>N/A</v>
      </c>
      <c r="P205" s="26" t="str" cm="1">
        <f t="array" ref="P205">IFERROR(_xlfn.XLOOKUP(C205&amp;A205, ESPN!A:A&amp;ESPN!C:C, ESPN!J:J), "N/A")</f>
        <v>N/A</v>
      </c>
      <c r="Q205" s="26" t="str" cm="1">
        <f t="array" ref="Q205">IFERROR(_xlfn.XLOOKUP(C205&amp;A205, ESPN!A:A&amp;ESPN!C:C, ESPN!K:K), "N/A")</f>
        <v>N/A</v>
      </c>
    </row>
    <row r="206" spans="1:17" x14ac:dyDescent="0.45">
      <c r="A206" s="6">
        <v>2024</v>
      </c>
      <c r="B206" s="1" t="s">
        <v>183</v>
      </c>
      <c r="C206" s="2" t="str">
        <f t="shared" si="6"/>
        <v>Javonte Williams</v>
      </c>
      <c r="D206" s="2" t="str">
        <f t="shared" si="7"/>
        <v>DEN</v>
      </c>
      <c r="E206" s="2">
        <v>17</v>
      </c>
      <c r="F206" s="13">
        <v>70</v>
      </c>
      <c r="G206" s="14">
        <v>52</v>
      </c>
      <c r="H206" s="14">
        <v>346</v>
      </c>
      <c r="I206" s="14">
        <v>6.7</v>
      </c>
      <c r="J206" s="14">
        <v>0</v>
      </c>
      <c r="K206" s="14">
        <v>2</v>
      </c>
      <c r="L206" s="11" cm="1">
        <f t="array" ref="L206">IFERROR(_xlfn.XLOOKUP(C206&amp;A206, ESPN!A:A&amp;ESPN!C:C, ESPN!D:D), "N/A")</f>
        <v>257</v>
      </c>
      <c r="M206" s="23" cm="1">
        <f t="array" ref="M206">IFERROR(_xlfn.XLOOKUP(C206&amp;A206, ESPN!A:A&amp;ESPN!C:C, ESPN!G:G), "N/A")</f>
        <v>1.4</v>
      </c>
      <c r="N206" s="23" cm="1">
        <f t="array" ref="N206">IFERROR(_xlfn.XLOOKUP(C206&amp;A206, ESPN!A:A&amp;ESPN!C:C, ESPN!H:H), "N/A")</f>
        <v>63</v>
      </c>
      <c r="O206" s="26" cm="1">
        <f t="array" ref="O206">IFERROR(_xlfn.XLOOKUP(C206&amp;A206, ESPN!A:A&amp;ESPN!C:C, ESPN!I:I), "N/A")</f>
        <v>57</v>
      </c>
      <c r="P206" s="26" cm="1">
        <f t="array" ref="P206">IFERROR(_xlfn.XLOOKUP(C206&amp;A206, ESPN!A:A&amp;ESPN!C:C, ESPN!J:J), "N/A")</f>
        <v>19</v>
      </c>
      <c r="Q206" s="26" cm="1">
        <f t="array" ref="Q206">IFERROR(_xlfn.XLOOKUP(C206&amp;A206, ESPN!A:A&amp;ESPN!C:C, ESPN!K:K), "N/A")</f>
        <v>32</v>
      </c>
    </row>
    <row r="207" spans="1:17" x14ac:dyDescent="0.45">
      <c r="A207" s="7">
        <v>2024</v>
      </c>
      <c r="B207" s="3" t="s">
        <v>184</v>
      </c>
      <c r="C207" s="4" t="str">
        <f t="shared" si="6"/>
        <v>Jordan Mason</v>
      </c>
      <c r="D207" s="4" t="str">
        <f t="shared" si="7"/>
        <v>SF</v>
      </c>
      <c r="E207" s="4">
        <v>12</v>
      </c>
      <c r="F207" s="12">
        <v>14</v>
      </c>
      <c r="G207" s="11">
        <v>11</v>
      </c>
      <c r="H207" s="11">
        <v>91</v>
      </c>
      <c r="I207" s="11">
        <v>8.3000000000000007</v>
      </c>
      <c r="J207" s="11">
        <v>0</v>
      </c>
      <c r="K207" s="11">
        <v>1</v>
      </c>
      <c r="L207" s="11" t="str" cm="1">
        <f t="array" ref="L207">IFERROR(_xlfn.XLOOKUP(C207&amp;A207, ESPN!A:A&amp;ESPN!C:C, ESPN!D:D), "N/A")</f>
        <v>N/A</v>
      </c>
      <c r="M207" s="23" t="str" cm="1">
        <f t="array" ref="M207">IFERROR(_xlfn.XLOOKUP(C207&amp;A207, ESPN!A:A&amp;ESPN!C:C, ESPN!G:G), "N/A")</f>
        <v>N/A</v>
      </c>
      <c r="N207" s="23" t="str" cm="1">
        <f t="array" ref="N207">IFERROR(_xlfn.XLOOKUP(C207&amp;A207, ESPN!A:A&amp;ESPN!C:C, ESPN!H:H), "N/A")</f>
        <v>N/A</v>
      </c>
      <c r="O207" s="26" t="str" cm="1">
        <f t="array" ref="O207">IFERROR(_xlfn.XLOOKUP(C207&amp;A207, ESPN!A:A&amp;ESPN!C:C, ESPN!I:I), "N/A")</f>
        <v>N/A</v>
      </c>
      <c r="P207" s="26" t="str" cm="1">
        <f t="array" ref="P207">IFERROR(_xlfn.XLOOKUP(C207&amp;A207, ESPN!A:A&amp;ESPN!C:C, ESPN!J:J), "N/A")</f>
        <v>N/A</v>
      </c>
      <c r="Q207" s="26" t="str" cm="1">
        <f t="array" ref="Q207">IFERROR(_xlfn.XLOOKUP(C207&amp;A207, ESPN!A:A&amp;ESPN!C:C, ESPN!K:K), "N/A")</f>
        <v>N/A</v>
      </c>
    </row>
    <row r="208" spans="1:17" x14ac:dyDescent="0.45">
      <c r="A208" s="6">
        <v>2024</v>
      </c>
      <c r="B208" s="1" t="s">
        <v>185</v>
      </c>
      <c r="C208" s="2" t="str">
        <f t="shared" si="6"/>
        <v>Alexander Mattison</v>
      </c>
      <c r="D208" s="2" t="str">
        <f t="shared" si="7"/>
        <v>LV</v>
      </c>
      <c r="E208" s="2">
        <v>14</v>
      </c>
      <c r="F208" s="13">
        <v>48</v>
      </c>
      <c r="G208" s="14">
        <v>36</v>
      </c>
      <c r="H208" s="14">
        <v>294</v>
      </c>
      <c r="I208" s="14">
        <v>8.1999999999999993</v>
      </c>
      <c r="J208" s="14">
        <v>1</v>
      </c>
      <c r="K208" s="14">
        <v>1</v>
      </c>
      <c r="L208" s="11" cm="1">
        <f t="array" ref="L208">IFERROR(_xlfn.XLOOKUP(C208&amp;A208, ESPN!A:A&amp;ESPN!C:C, ESPN!D:D), "N/A")</f>
        <v>187</v>
      </c>
      <c r="M208" s="23" cm="1">
        <f t="array" ref="M208">IFERROR(_xlfn.XLOOKUP(C208&amp;A208, ESPN!A:A&amp;ESPN!C:C, ESPN!G:G), "N/A")</f>
        <v>1.57</v>
      </c>
      <c r="N208" s="23" cm="1">
        <f t="array" ref="N208">IFERROR(_xlfn.XLOOKUP(C208&amp;A208, ESPN!A:A&amp;ESPN!C:C, ESPN!H:H), "N/A")</f>
        <v>71</v>
      </c>
      <c r="O208" s="26" cm="1">
        <f t="array" ref="O208">IFERROR(_xlfn.XLOOKUP(C208&amp;A208, ESPN!A:A&amp;ESPN!C:C, ESPN!I:I), "N/A")</f>
        <v>42</v>
      </c>
      <c r="P208" s="26" cm="1">
        <f t="array" ref="P208">IFERROR(_xlfn.XLOOKUP(C208&amp;A208, ESPN!A:A&amp;ESPN!C:C, ESPN!J:J), "N/A")</f>
        <v>61</v>
      </c>
      <c r="Q208" s="26" cm="1">
        <f t="array" ref="Q208">IFERROR(_xlfn.XLOOKUP(C208&amp;A208, ESPN!A:A&amp;ESPN!C:C, ESPN!K:K), "N/A")</f>
        <v>63</v>
      </c>
    </row>
    <row r="209" spans="1:17" x14ac:dyDescent="0.45">
      <c r="A209" s="7">
        <v>2024</v>
      </c>
      <c r="B209" s="3" t="s">
        <v>63</v>
      </c>
      <c r="C209" s="4" t="str">
        <f t="shared" si="6"/>
        <v>Ray Davis</v>
      </c>
      <c r="D209" s="4" t="str">
        <f t="shared" si="7"/>
        <v>BUF</v>
      </c>
      <c r="E209" s="4">
        <v>17</v>
      </c>
      <c r="F209" s="12">
        <v>19</v>
      </c>
      <c r="G209" s="11">
        <v>17</v>
      </c>
      <c r="H209" s="11">
        <v>189</v>
      </c>
      <c r="I209" s="11">
        <v>11.1</v>
      </c>
      <c r="J209" s="11">
        <v>3</v>
      </c>
      <c r="K209" s="11">
        <v>0</v>
      </c>
      <c r="L209" s="11" t="str" cm="1">
        <f t="array" ref="L209">IFERROR(_xlfn.XLOOKUP(C209&amp;A209, ESPN!A:A&amp;ESPN!C:C, ESPN!D:D), "N/A")</f>
        <v>N/A</v>
      </c>
      <c r="M209" s="23" t="str" cm="1">
        <f t="array" ref="M209">IFERROR(_xlfn.XLOOKUP(C209&amp;A209, ESPN!A:A&amp;ESPN!C:C, ESPN!G:G), "N/A")</f>
        <v>N/A</v>
      </c>
      <c r="N209" s="23" t="str" cm="1">
        <f t="array" ref="N209">IFERROR(_xlfn.XLOOKUP(C209&amp;A209, ESPN!A:A&amp;ESPN!C:C, ESPN!H:H), "N/A")</f>
        <v>N/A</v>
      </c>
      <c r="O209" s="26" t="str" cm="1">
        <f t="array" ref="O209">IFERROR(_xlfn.XLOOKUP(C209&amp;A209, ESPN!A:A&amp;ESPN!C:C, ESPN!I:I), "N/A")</f>
        <v>N/A</v>
      </c>
      <c r="P209" s="26" t="str" cm="1">
        <f t="array" ref="P209">IFERROR(_xlfn.XLOOKUP(C209&amp;A209, ESPN!A:A&amp;ESPN!C:C, ESPN!J:J), "N/A")</f>
        <v>N/A</v>
      </c>
      <c r="Q209" s="26" t="str" cm="1">
        <f t="array" ref="Q209">IFERROR(_xlfn.XLOOKUP(C209&amp;A209, ESPN!A:A&amp;ESPN!C:C, ESPN!K:K), "N/A")</f>
        <v>N/A</v>
      </c>
    </row>
    <row r="210" spans="1:17" x14ac:dyDescent="0.45">
      <c r="A210" s="6">
        <v>2024</v>
      </c>
      <c r="B210" s="1" t="s">
        <v>113</v>
      </c>
      <c r="C210" s="2" t="str">
        <f t="shared" si="6"/>
        <v>Austin Ekeler</v>
      </c>
      <c r="D210" s="2" t="str">
        <f t="shared" si="7"/>
        <v>WAS</v>
      </c>
      <c r="E210" s="2">
        <v>12</v>
      </c>
      <c r="F210" s="13">
        <v>41</v>
      </c>
      <c r="G210" s="14">
        <v>35</v>
      </c>
      <c r="H210" s="14">
        <v>366</v>
      </c>
      <c r="I210" s="14">
        <v>10.5</v>
      </c>
      <c r="J210" s="14">
        <v>0</v>
      </c>
      <c r="K210" s="14">
        <v>0</v>
      </c>
      <c r="L210" s="11" cm="1">
        <f t="array" ref="L210">IFERROR(_xlfn.XLOOKUP(C210&amp;A210, ESPN!A:A&amp;ESPN!C:C, ESPN!D:D), "N/A")</f>
        <v>225</v>
      </c>
      <c r="M210" s="23" cm="1">
        <f t="array" ref="M210">IFERROR(_xlfn.XLOOKUP(C210&amp;A210, ESPN!A:A&amp;ESPN!C:C, ESPN!G:G), "N/A")</f>
        <v>2</v>
      </c>
      <c r="N210" s="23" cm="1">
        <f t="array" ref="N210">IFERROR(_xlfn.XLOOKUP(C210&amp;A210, ESPN!A:A&amp;ESPN!C:C, ESPN!H:H), "N/A")</f>
        <v>63</v>
      </c>
      <c r="O210" s="26" cm="1">
        <f t="array" ref="O210">IFERROR(_xlfn.XLOOKUP(C210&amp;A210, ESPN!A:A&amp;ESPN!C:C, ESPN!I:I), "N/A")</f>
        <v>65</v>
      </c>
      <c r="P210" s="26" cm="1">
        <f t="array" ref="P210">IFERROR(_xlfn.XLOOKUP(C210&amp;A210, ESPN!A:A&amp;ESPN!C:C, ESPN!J:J), "N/A")</f>
        <v>84</v>
      </c>
      <c r="Q210" s="26" cm="1">
        <f t="array" ref="Q210">IFERROR(_xlfn.XLOOKUP(C210&amp;A210, ESPN!A:A&amp;ESPN!C:C, ESPN!K:K), "N/A")</f>
        <v>91</v>
      </c>
    </row>
    <row r="211" spans="1:17" x14ac:dyDescent="0.45">
      <c r="A211" s="7">
        <v>2024</v>
      </c>
      <c r="B211" s="3" t="s">
        <v>94</v>
      </c>
      <c r="C211" s="4" t="str">
        <f t="shared" si="6"/>
        <v>Jerome Ford</v>
      </c>
      <c r="D211" s="4" t="str">
        <f t="shared" si="7"/>
        <v>CLE</v>
      </c>
      <c r="E211" s="4">
        <v>14</v>
      </c>
      <c r="F211" s="12">
        <v>43</v>
      </c>
      <c r="G211" s="11">
        <v>37</v>
      </c>
      <c r="H211" s="11">
        <v>225</v>
      </c>
      <c r="I211" s="11">
        <v>6.1</v>
      </c>
      <c r="J211" s="11">
        <v>0</v>
      </c>
      <c r="K211" s="11">
        <v>0</v>
      </c>
      <c r="L211" s="11" cm="1">
        <f t="array" ref="L211">IFERROR(_xlfn.XLOOKUP(C211&amp;A211, ESPN!A:A&amp;ESPN!C:C, ESPN!D:D), "N/A")</f>
        <v>264</v>
      </c>
      <c r="M211" s="23" cm="1">
        <f t="array" ref="M211">IFERROR(_xlfn.XLOOKUP(C211&amp;A211, ESPN!A:A&amp;ESPN!C:C, ESPN!G:G), "N/A")</f>
        <v>0.85</v>
      </c>
      <c r="N211" s="23" cm="1">
        <f t="array" ref="N211">IFERROR(_xlfn.XLOOKUP(C211&amp;A211, ESPN!A:A&amp;ESPN!C:C, ESPN!H:H), "N/A")</f>
        <v>50</v>
      </c>
      <c r="O211" s="26" cm="1">
        <f t="array" ref="O211">IFERROR(_xlfn.XLOOKUP(C211&amp;A211, ESPN!A:A&amp;ESPN!C:C, ESPN!I:I), "N/A")</f>
        <v>78</v>
      </c>
      <c r="P211" s="26" cm="1">
        <f t="array" ref="P211">IFERROR(_xlfn.XLOOKUP(C211&amp;A211, ESPN!A:A&amp;ESPN!C:C, ESPN!J:J), "N/A")</f>
        <v>43</v>
      </c>
      <c r="Q211" s="26" cm="1">
        <f t="array" ref="Q211">IFERROR(_xlfn.XLOOKUP(C211&amp;A211, ESPN!A:A&amp;ESPN!C:C, ESPN!K:K), "N/A")</f>
        <v>57</v>
      </c>
    </row>
    <row r="212" spans="1:17" x14ac:dyDescent="0.45">
      <c r="A212" s="6">
        <v>2024</v>
      </c>
      <c r="B212" s="1" t="s">
        <v>44</v>
      </c>
      <c r="C212" s="2" t="str">
        <f t="shared" si="6"/>
        <v>Tyler Allgeier</v>
      </c>
      <c r="D212" s="2" t="str">
        <f t="shared" si="7"/>
        <v>ATL</v>
      </c>
      <c r="E212" s="2">
        <v>17</v>
      </c>
      <c r="F212" s="13">
        <v>13</v>
      </c>
      <c r="G212" s="14">
        <v>13</v>
      </c>
      <c r="H212" s="14">
        <v>88</v>
      </c>
      <c r="I212" s="14">
        <v>6.8</v>
      </c>
      <c r="J212" s="14">
        <v>0</v>
      </c>
      <c r="K212" s="14">
        <v>0</v>
      </c>
      <c r="L212" s="11" t="str" cm="1">
        <f t="array" ref="L212">IFERROR(_xlfn.XLOOKUP(C212&amp;A212, ESPN!A:A&amp;ESPN!C:C, ESPN!D:D), "N/A")</f>
        <v>N/A</v>
      </c>
      <c r="M212" s="23" t="str" cm="1">
        <f t="array" ref="M212">IFERROR(_xlfn.XLOOKUP(C212&amp;A212, ESPN!A:A&amp;ESPN!C:C, ESPN!G:G), "N/A")</f>
        <v>N/A</v>
      </c>
      <c r="N212" s="23" t="str" cm="1">
        <f t="array" ref="N212">IFERROR(_xlfn.XLOOKUP(C212&amp;A212, ESPN!A:A&amp;ESPN!C:C, ESPN!H:H), "N/A")</f>
        <v>N/A</v>
      </c>
      <c r="O212" s="26" t="str" cm="1">
        <f t="array" ref="O212">IFERROR(_xlfn.XLOOKUP(C212&amp;A212, ESPN!A:A&amp;ESPN!C:C, ESPN!I:I), "N/A")</f>
        <v>N/A</v>
      </c>
      <c r="P212" s="26" t="str" cm="1">
        <f t="array" ref="P212">IFERROR(_xlfn.XLOOKUP(C212&amp;A212, ESPN!A:A&amp;ESPN!C:C, ESPN!J:J), "N/A")</f>
        <v>N/A</v>
      </c>
      <c r="Q212" s="26" t="str" cm="1">
        <f t="array" ref="Q212">IFERROR(_xlfn.XLOOKUP(C212&amp;A212, ESPN!A:A&amp;ESPN!C:C, ESPN!K:K), "N/A")</f>
        <v>N/A</v>
      </c>
    </row>
    <row r="213" spans="1:17" x14ac:dyDescent="0.45">
      <c r="A213" s="7">
        <v>2024</v>
      </c>
      <c r="B213" s="3" t="s">
        <v>14</v>
      </c>
      <c r="C213" s="4" t="str">
        <f t="shared" si="6"/>
        <v>Travis Etienne Jr.</v>
      </c>
      <c r="D213" s="4" t="str">
        <f t="shared" si="7"/>
        <v>JAC</v>
      </c>
      <c r="E213" s="4">
        <v>15</v>
      </c>
      <c r="F213" s="12">
        <v>52</v>
      </c>
      <c r="G213" s="11">
        <v>39</v>
      </c>
      <c r="H213" s="11">
        <v>254</v>
      </c>
      <c r="I213" s="11">
        <v>6.5</v>
      </c>
      <c r="J213" s="11">
        <v>0</v>
      </c>
      <c r="K213" s="11">
        <v>1</v>
      </c>
      <c r="L213" s="11" cm="1">
        <f t="array" ref="L213">IFERROR(_xlfn.XLOOKUP(C213&amp;A213, ESPN!A:A&amp;ESPN!C:C, ESPN!D:D), "N/A")</f>
        <v>204</v>
      </c>
      <c r="M213" s="23" cm="1">
        <f t="array" ref="M213">IFERROR(_xlfn.XLOOKUP(C213&amp;A213, ESPN!A:A&amp;ESPN!C:C, ESPN!G:G), "N/A")</f>
        <v>1.25</v>
      </c>
      <c r="N213" s="23" cm="1">
        <f t="array" ref="N213">IFERROR(_xlfn.XLOOKUP(C213&amp;A213, ESPN!A:A&amp;ESPN!C:C, ESPN!H:H), "N/A")</f>
        <v>57</v>
      </c>
      <c r="O213" s="26" cm="1">
        <f t="array" ref="O213">IFERROR(_xlfn.XLOOKUP(C213&amp;A213, ESPN!A:A&amp;ESPN!C:C, ESPN!I:I), "N/A")</f>
        <v>40</v>
      </c>
      <c r="P213" s="26" cm="1">
        <f t="array" ref="P213">IFERROR(_xlfn.XLOOKUP(C213&amp;A213, ESPN!A:A&amp;ESPN!C:C, ESPN!J:J), "N/A")</f>
        <v>25</v>
      </c>
      <c r="Q213" s="26" cm="1">
        <f t="array" ref="Q213">IFERROR(_xlfn.XLOOKUP(C213&amp;A213, ESPN!A:A&amp;ESPN!C:C, ESPN!K:K), "N/A")</f>
        <v>27</v>
      </c>
    </row>
    <row r="214" spans="1:17" x14ac:dyDescent="0.45">
      <c r="A214" s="6">
        <v>2024</v>
      </c>
      <c r="B214" s="1" t="s">
        <v>22</v>
      </c>
      <c r="C214" s="2" t="str">
        <f t="shared" si="6"/>
        <v>Jaylen Warren</v>
      </c>
      <c r="D214" s="2" t="str">
        <f t="shared" si="7"/>
        <v>PIT</v>
      </c>
      <c r="E214" s="2">
        <v>15</v>
      </c>
      <c r="F214" s="13">
        <v>47</v>
      </c>
      <c r="G214" s="14">
        <v>38</v>
      </c>
      <c r="H214" s="14">
        <v>310</v>
      </c>
      <c r="I214" s="14">
        <v>8.1999999999999993</v>
      </c>
      <c r="J214" s="14">
        <v>0</v>
      </c>
      <c r="K214" s="14">
        <v>1</v>
      </c>
      <c r="L214" s="11" cm="1">
        <f t="array" ref="L214">IFERROR(_xlfn.XLOOKUP(C214&amp;A214, ESPN!A:A&amp;ESPN!C:C, ESPN!D:D), "N/A")</f>
        <v>193</v>
      </c>
      <c r="M214" s="23" cm="1">
        <f t="array" ref="M214">IFERROR(_xlfn.XLOOKUP(C214&amp;A214, ESPN!A:A&amp;ESPN!C:C, ESPN!G:G), "N/A")</f>
        <v>1.7</v>
      </c>
      <c r="N214" s="23" cm="1">
        <f t="array" ref="N214">IFERROR(_xlfn.XLOOKUP(C214&amp;A214, ESPN!A:A&amp;ESPN!C:C, ESPN!H:H), "N/A")</f>
        <v>75</v>
      </c>
      <c r="O214" s="26" cm="1">
        <f t="array" ref="O214">IFERROR(_xlfn.XLOOKUP(C214&amp;A214, ESPN!A:A&amp;ESPN!C:C, ESPN!I:I), "N/A")</f>
        <v>50</v>
      </c>
      <c r="P214" s="26" cm="1">
        <f t="array" ref="P214">IFERROR(_xlfn.XLOOKUP(C214&amp;A214, ESPN!A:A&amp;ESPN!C:C, ESPN!J:J), "N/A")</f>
        <v>33</v>
      </c>
      <c r="Q214" s="26" cm="1">
        <f t="array" ref="Q214">IFERROR(_xlfn.XLOOKUP(C214&amp;A214, ESPN!A:A&amp;ESPN!C:C, ESPN!K:K), "N/A")</f>
        <v>45</v>
      </c>
    </row>
    <row r="215" spans="1:17" x14ac:dyDescent="0.45">
      <c r="A215" s="7">
        <v>2024</v>
      </c>
      <c r="B215" s="3" t="s">
        <v>186</v>
      </c>
      <c r="C215" s="4" t="str">
        <f t="shared" si="6"/>
        <v>Ameer Abdullah</v>
      </c>
      <c r="D215" s="4" t="str">
        <f t="shared" si="7"/>
        <v>LV</v>
      </c>
      <c r="E215" s="4">
        <v>15</v>
      </c>
      <c r="F215" s="12">
        <v>47</v>
      </c>
      <c r="G215" s="11">
        <v>40</v>
      </c>
      <c r="H215" s="11">
        <v>261</v>
      </c>
      <c r="I215" s="11">
        <v>6.5</v>
      </c>
      <c r="J215" s="11">
        <v>3</v>
      </c>
      <c r="K215" s="11">
        <v>1</v>
      </c>
      <c r="L215" s="11" cm="1">
        <f t="array" ref="L215">IFERROR(_xlfn.XLOOKUP(C215&amp;A215, ESPN!A:A&amp;ESPN!C:C, ESPN!D:D), "N/A")</f>
        <v>222</v>
      </c>
      <c r="M215" s="23" cm="1">
        <f t="array" ref="M215">IFERROR(_xlfn.XLOOKUP(C215&amp;A215, ESPN!A:A&amp;ESPN!C:C, ESPN!G:G), "N/A")</f>
        <v>1.18</v>
      </c>
      <c r="N215" s="23" cm="1">
        <f t="array" ref="N215">IFERROR(_xlfn.XLOOKUP(C215&amp;A215, ESPN!A:A&amp;ESPN!C:C, ESPN!H:H), "N/A")</f>
        <v>52</v>
      </c>
      <c r="O215" s="26" cm="1">
        <f t="array" ref="O215">IFERROR(_xlfn.XLOOKUP(C215&amp;A215, ESPN!A:A&amp;ESPN!C:C, ESPN!I:I), "N/A")</f>
        <v>78</v>
      </c>
      <c r="P215" s="26" cm="1">
        <f t="array" ref="P215">IFERROR(_xlfn.XLOOKUP(C215&amp;A215, ESPN!A:A&amp;ESPN!C:C, ESPN!J:J), "N/A")</f>
        <v>43</v>
      </c>
      <c r="Q215" s="26" cm="1">
        <f t="array" ref="Q215">IFERROR(_xlfn.XLOOKUP(C215&amp;A215, ESPN!A:A&amp;ESPN!C:C, ESPN!K:K), "N/A")</f>
        <v>58</v>
      </c>
    </row>
    <row r="216" spans="1:17" x14ac:dyDescent="0.45">
      <c r="A216" s="6">
        <v>2024</v>
      </c>
      <c r="B216" s="1" t="s">
        <v>89</v>
      </c>
      <c r="C216" s="2" t="str">
        <f t="shared" si="6"/>
        <v>Justice Hill</v>
      </c>
      <c r="D216" s="2" t="str">
        <f t="shared" si="7"/>
        <v>BAL</v>
      </c>
      <c r="E216" s="2">
        <v>15</v>
      </c>
      <c r="F216" s="13">
        <v>51</v>
      </c>
      <c r="G216" s="14">
        <v>42</v>
      </c>
      <c r="H216" s="14">
        <v>383</v>
      </c>
      <c r="I216" s="14">
        <v>9.1</v>
      </c>
      <c r="J216" s="14">
        <v>3</v>
      </c>
      <c r="K216" s="14">
        <v>0</v>
      </c>
      <c r="L216" s="11" cm="1">
        <f t="array" ref="L216">IFERROR(_xlfn.XLOOKUP(C216&amp;A216, ESPN!A:A&amp;ESPN!C:C, ESPN!D:D), "N/A")</f>
        <v>215</v>
      </c>
      <c r="M216" s="23" cm="1">
        <f t="array" ref="M216">IFERROR(_xlfn.XLOOKUP(C216&amp;A216, ESPN!A:A&amp;ESPN!C:C, ESPN!G:G), "N/A")</f>
        <v>1.87</v>
      </c>
      <c r="N216" s="23" cm="1">
        <f t="array" ref="N216">IFERROR(_xlfn.XLOOKUP(C216&amp;A216, ESPN!A:A&amp;ESPN!C:C, ESPN!H:H), "N/A")</f>
        <v>78</v>
      </c>
      <c r="O216" s="26" cm="1">
        <f t="array" ref="O216">IFERROR(_xlfn.XLOOKUP(C216&amp;A216, ESPN!A:A&amp;ESPN!C:C, ESPN!I:I), "N/A")</f>
        <v>71</v>
      </c>
      <c r="P216" s="26" cm="1">
        <f t="array" ref="P216">IFERROR(_xlfn.XLOOKUP(C216&amp;A216, ESPN!A:A&amp;ESPN!C:C, ESPN!J:J), "N/A")</f>
        <v>34</v>
      </c>
      <c r="Q216" s="26" cm="1">
        <f t="array" ref="Q216">IFERROR(_xlfn.XLOOKUP(C216&amp;A216, ESPN!A:A&amp;ESPN!C:C, ESPN!K:K), "N/A")</f>
        <v>57</v>
      </c>
    </row>
    <row r="217" spans="1:17" x14ac:dyDescent="0.45">
      <c r="A217" s="7">
        <v>2024</v>
      </c>
      <c r="B217" s="3" t="s">
        <v>48</v>
      </c>
      <c r="C217" s="4" t="str">
        <f t="shared" si="6"/>
        <v>Emanuel Wilson</v>
      </c>
      <c r="D217" s="4" t="str">
        <f t="shared" si="7"/>
        <v>GB</v>
      </c>
      <c r="E217" s="4">
        <v>17</v>
      </c>
      <c r="F217" s="12">
        <v>14</v>
      </c>
      <c r="G217" s="11">
        <v>11</v>
      </c>
      <c r="H217" s="11">
        <v>48</v>
      </c>
      <c r="I217" s="11">
        <v>4.4000000000000004</v>
      </c>
      <c r="J217" s="11">
        <v>1</v>
      </c>
      <c r="K217" s="11">
        <v>0</v>
      </c>
      <c r="L217" s="11" t="str" cm="1">
        <f t="array" ref="L217">IFERROR(_xlfn.XLOOKUP(C217&amp;A217, ESPN!A:A&amp;ESPN!C:C, ESPN!D:D), "N/A")</f>
        <v>N/A</v>
      </c>
      <c r="M217" s="23" t="str" cm="1">
        <f t="array" ref="M217">IFERROR(_xlfn.XLOOKUP(C217&amp;A217, ESPN!A:A&amp;ESPN!C:C, ESPN!G:G), "N/A")</f>
        <v>N/A</v>
      </c>
      <c r="N217" s="23" t="str" cm="1">
        <f t="array" ref="N217">IFERROR(_xlfn.XLOOKUP(C217&amp;A217, ESPN!A:A&amp;ESPN!C:C, ESPN!H:H), "N/A")</f>
        <v>N/A</v>
      </c>
      <c r="O217" s="26" t="str" cm="1">
        <f t="array" ref="O217">IFERROR(_xlfn.XLOOKUP(C217&amp;A217, ESPN!A:A&amp;ESPN!C:C, ESPN!I:I), "N/A")</f>
        <v>N/A</v>
      </c>
      <c r="P217" s="26" t="str" cm="1">
        <f t="array" ref="P217">IFERROR(_xlfn.XLOOKUP(C217&amp;A217, ESPN!A:A&amp;ESPN!C:C, ESPN!J:J), "N/A")</f>
        <v>N/A</v>
      </c>
      <c r="Q217" s="26" t="str" cm="1">
        <f t="array" ref="Q217">IFERROR(_xlfn.XLOOKUP(C217&amp;A217, ESPN!A:A&amp;ESPN!C:C, ESPN!K:K), "N/A")</f>
        <v>N/A</v>
      </c>
    </row>
    <row r="218" spans="1:17" x14ac:dyDescent="0.45">
      <c r="A218" s="6">
        <v>2024</v>
      </c>
      <c r="B218" s="1" t="s">
        <v>62</v>
      </c>
      <c r="C218" s="2" t="str">
        <f t="shared" si="6"/>
        <v>Tyjae Spears</v>
      </c>
      <c r="D218" s="2" t="str">
        <f t="shared" si="7"/>
        <v>TEN</v>
      </c>
      <c r="E218" s="2">
        <v>12</v>
      </c>
      <c r="F218" s="13">
        <v>35</v>
      </c>
      <c r="G218" s="14">
        <v>30</v>
      </c>
      <c r="H218" s="14">
        <v>224</v>
      </c>
      <c r="I218" s="14">
        <v>7.5</v>
      </c>
      <c r="J218" s="14">
        <v>1</v>
      </c>
      <c r="K218" s="14">
        <v>0</v>
      </c>
      <c r="L218" s="11" cm="1">
        <f t="array" ref="L218">IFERROR(_xlfn.XLOOKUP(C218&amp;A218, ESPN!A:A&amp;ESPN!C:C, ESPN!D:D), "N/A")</f>
        <v>137</v>
      </c>
      <c r="M218" s="23" cm="1">
        <f t="array" ref="M218">IFERROR(_xlfn.XLOOKUP(C218&amp;A218, ESPN!A:A&amp;ESPN!C:C, ESPN!G:G), "N/A")</f>
        <v>1.64</v>
      </c>
      <c r="N218" s="23" cm="1">
        <f t="array" ref="N218">IFERROR(_xlfn.XLOOKUP(C218&amp;A218, ESPN!A:A&amp;ESPN!C:C, ESPN!H:H), "N/A")</f>
        <v>73</v>
      </c>
      <c r="O218" s="26" cm="1">
        <f t="array" ref="O218">IFERROR(_xlfn.XLOOKUP(C218&amp;A218, ESPN!A:A&amp;ESPN!C:C, ESPN!I:I), "N/A")</f>
        <v>58</v>
      </c>
      <c r="P218" s="26" cm="1">
        <f t="array" ref="P218">IFERROR(_xlfn.XLOOKUP(C218&amp;A218, ESPN!A:A&amp;ESPN!C:C, ESPN!J:J), "N/A")</f>
        <v>66</v>
      </c>
      <c r="Q218" s="26" cm="1">
        <f t="array" ref="Q218">IFERROR(_xlfn.XLOOKUP(C218&amp;A218, ESPN!A:A&amp;ESPN!C:C, ESPN!K:K), "N/A")</f>
        <v>76</v>
      </c>
    </row>
    <row r="219" spans="1:17" x14ac:dyDescent="0.45">
      <c r="A219" s="7">
        <v>2024</v>
      </c>
      <c r="B219" s="3" t="s">
        <v>83</v>
      </c>
      <c r="C219" s="4" t="str">
        <f t="shared" si="6"/>
        <v>Antonio Gibson</v>
      </c>
      <c r="D219" s="4" t="str">
        <f t="shared" si="7"/>
        <v>NE</v>
      </c>
      <c r="E219" s="4">
        <v>17</v>
      </c>
      <c r="F219" s="12">
        <v>29</v>
      </c>
      <c r="G219" s="11">
        <v>23</v>
      </c>
      <c r="H219" s="11">
        <v>206</v>
      </c>
      <c r="I219" s="11">
        <v>9</v>
      </c>
      <c r="J219" s="11">
        <v>0</v>
      </c>
      <c r="K219" s="11">
        <v>0</v>
      </c>
      <c r="L219" s="11" cm="1">
        <f t="array" ref="L219">IFERROR(_xlfn.XLOOKUP(C219&amp;A219, ESPN!A:A&amp;ESPN!C:C, ESPN!D:D), "N/A")</f>
        <v>132</v>
      </c>
      <c r="M219" s="23" cm="1">
        <f t="array" ref="M219">IFERROR(_xlfn.XLOOKUP(C219&amp;A219, ESPN!A:A&amp;ESPN!C:C, ESPN!G:G), "N/A")</f>
        <v>1.56</v>
      </c>
      <c r="N219" s="23" cm="1">
        <f t="array" ref="N219">IFERROR(_xlfn.XLOOKUP(C219&amp;A219, ESPN!A:A&amp;ESPN!C:C, ESPN!H:H), "N/A")</f>
        <v>52</v>
      </c>
      <c r="O219" s="26" cm="1">
        <f t="array" ref="O219">IFERROR(_xlfn.XLOOKUP(C219&amp;A219, ESPN!A:A&amp;ESPN!C:C, ESPN!I:I), "N/A")</f>
        <v>69</v>
      </c>
      <c r="P219" s="26" cm="1">
        <f t="array" ref="P219">IFERROR(_xlfn.XLOOKUP(C219&amp;A219, ESPN!A:A&amp;ESPN!C:C, ESPN!J:J), "N/A")</f>
        <v>42</v>
      </c>
      <c r="Q219" s="26" cm="1">
        <f t="array" ref="Q219">IFERROR(_xlfn.XLOOKUP(C219&amp;A219, ESPN!A:A&amp;ESPN!C:C, ESPN!K:K), "N/A")</f>
        <v>53</v>
      </c>
    </row>
    <row r="220" spans="1:17" x14ac:dyDescent="0.45">
      <c r="A220" s="6">
        <v>2024</v>
      </c>
      <c r="B220" s="1" t="s">
        <v>187</v>
      </c>
      <c r="C220" s="2" t="str">
        <f t="shared" si="6"/>
        <v>Cam Akers</v>
      </c>
      <c r="D220" s="2" t="str">
        <f t="shared" si="7"/>
        <v>MIN</v>
      </c>
      <c r="E220" s="2">
        <v>16</v>
      </c>
      <c r="F220" s="13">
        <v>18</v>
      </c>
      <c r="G220" s="14">
        <v>14</v>
      </c>
      <c r="H220" s="14">
        <v>68</v>
      </c>
      <c r="I220" s="14">
        <v>4.9000000000000004</v>
      </c>
      <c r="J220" s="14">
        <v>3</v>
      </c>
      <c r="K220" s="14">
        <v>1</v>
      </c>
      <c r="L220" s="11" t="str" cm="1">
        <f t="array" ref="L220">IFERROR(_xlfn.XLOOKUP(C220&amp;A220, ESPN!A:A&amp;ESPN!C:C, ESPN!D:D), "N/A")</f>
        <v>N/A</v>
      </c>
      <c r="M220" s="23" t="str" cm="1">
        <f t="array" ref="M220">IFERROR(_xlfn.XLOOKUP(C220&amp;A220, ESPN!A:A&amp;ESPN!C:C, ESPN!G:G), "N/A")</f>
        <v>N/A</v>
      </c>
      <c r="N220" s="23" t="str" cm="1">
        <f t="array" ref="N220">IFERROR(_xlfn.XLOOKUP(C220&amp;A220, ESPN!A:A&amp;ESPN!C:C, ESPN!H:H), "N/A")</f>
        <v>N/A</v>
      </c>
      <c r="O220" s="26" t="str" cm="1">
        <f t="array" ref="O220">IFERROR(_xlfn.XLOOKUP(C220&amp;A220, ESPN!A:A&amp;ESPN!C:C, ESPN!I:I), "N/A")</f>
        <v>N/A</v>
      </c>
      <c r="P220" s="26" t="str" cm="1">
        <f t="array" ref="P220">IFERROR(_xlfn.XLOOKUP(C220&amp;A220, ESPN!A:A&amp;ESPN!C:C, ESPN!J:J), "N/A")</f>
        <v>N/A</v>
      </c>
      <c r="Q220" s="26" t="str" cm="1">
        <f t="array" ref="Q220">IFERROR(_xlfn.XLOOKUP(C220&amp;A220, ESPN!A:A&amp;ESPN!C:C, ESPN!K:K), "N/A")</f>
        <v>N/A</v>
      </c>
    </row>
    <row r="221" spans="1:17" x14ac:dyDescent="0.45">
      <c r="A221" s="7">
        <v>2024</v>
      </c>
      <c r="B221" s="3" t="s">
        <v>164</v>
      </c>
      <c r="C221" s="4" t="str">
        <f t="shared" si="6"/>
        <v>Isaac Guerendo</v>
      </c>
      <c r="D221" s="4" t="str">
        <f t="shared" si="7"/>
        <v>SF</v>
      </c>
      <c r="E221" s="4">
        <v>16</v>
      </c>
      <c r="F221" s="12">
        <v>16</v>
      </c>
      <c r="G221" s="11">
        <v>15</v>
      </c>
      <c r="H221" s="11">
        <v>152</v>
      </c>
      <c r="I221" s="11">
        <v>10.1</v>
      </c>
      <c r="J221" s="11">
        <v>0</v>
      </c>
      <c r="K221" s="11">
        <v>1</v>
      </c>
      <c r="L221" s="11" t="str" cm="1">
        <f t="array" ref="L221">IFERROR(_xlfn.XLOOKUP(C221&amp;A221, ESPN!A:A&amp;ESPN!C:C, ESPN!D:D), "N/A")</f>
        <v>N/A</v>
      </c>
      <c r="M221" s="23" t="str" cm="1">
        <f t="array" ref="M221">IFERROR(_xlfn.XLOOKUP(C221&amp;A221, ESPN!A:A&amp;ESPN!C:C, ESPN!G:G), "N/A")</f>
        <v>N/A</v>
      </c>
      <c r="N221" s="23" t="str" cm="1">
        <f t="array" ref="N221">IFERROR(_xlfn.XLOOKUP(C221&amp;A221, ESPN!A:A&amp;ESPN!C:C, ESPN!H:H), "N/A")</f>
        <v>N/A</v>
      </c>
      <c r="O221" s="26" t="str" cm="1">
        <f t="array" ref="O221">IFERROR(_xlfn.XLOOKUP(C221&amp;A221, ESPN!A:A&amp;ESPN!C:C, ESPN!I:I), "N/A")</f>
        <v>N/A</v>
      </c>
      <c r="P221" s="26" t="str" cm="1">
        <f t="array" ref="P221">IFERROR(_xlfn.XLOOKUP(C221&amp;A221, ESPN!A:A&amp;ESPN!C:C, ESPN!J:J), "N/A")</f>
        <v>N/A</v>
      </c>
      <c r="Q221" s="26" t="str" cm="1">
        <f t="array" ref="Q221">IFERROR(_xlfn.XLOOKUP(C221&amp;A221, ESPN!A:A&amp;ESPN!C:C, ESPN!K:K), "N/A")</f>
        <v>N/A</v>
      </c>
    </row>
    <row r="222" spans="1:17" x14ac:dyDescent="0.45">
      <c r="A222" s="6">
        <v>2024</v>
      </c>
      <c r="B222" s="1" t="s">
        <v>51</v>
      </c>
      <c r="C222" s="2" t="str">
        <f t="shared" si="6"/>
        <v>Devin Singletary</v>
      </c>
      <c r="D222" s="2" t="str">
        <f t="shared" si="7"/>
        <v>NYG</v>
      </c>
      <c r="E222" s="2">
        <v>16</v>
      </c>
      <c r="F222" s="13">
        <v>24</v>
      </c>
      <c r="G222" s="14">
        <v>21</v>
      </c>
      <c r="H222" s="14">
        <v>119</v>
      </c>
      <c r="I222" s="14">
        <v>5.7</v>
      </c>
      <c r="J222" s="14">
        <v>0</v>
      </c>
      <c r="K222" s="14">
        <v>2</v>
      </c>
      <c r="L222" s="11" t="str" cm="1">
        <f t="array" ref="L222">IFERROR(_xlfn.XLOOKUP(C222&amp;A222, ESPN!A:A&amp;ESPN!C:C, ESPN!D:D), "N/A")</f>
        <v>N/A</v>
      </c>
      <c r="M222" s="23" t="str" cm="1">
        <f t="array" ref="M222">IFERROR(_xlfn.XLOOKUP(C222&amp;A222, ESPN!A:A&amp;ESPN!C:C, ESPN!G:G), "N/A")</f>
        <v>N/A</v>
      </c>
      <c r="N222" s="23" t="str" cm="1">
        <f t="array" ref="N222">IFERROR(_xlfn.XLOOKUP(C222&amp;A222, ESPN!A:A&amp;ESPN!C:C, ESPN!H:H), "N/A")</f>
        <v>N/A</v>
      </c>
      <c r="O222" s="26" t="str" cm="1">
        <f t="array" ref="O222">IFERROR(_xlfn.XLOOKUP(C222&amp;A222, ESPN!A:A&amp;ESPN!C:C, ESPN!I:I), "N/A")</f>
        <v>N/A</v>
      </c>
      <c r="P222" s="26" t="str" cm="1">
        <f t="array" ref="P222">IFERROR(_xlfn.XLOOKUP(C222&amp;A222, ESPN!A:A&amp;ESPN!C:C, ESPN!J:J), "N/A")</f>
        <v>N/A</v>
      </c>
      <c r="Q222" s="26" t="str" cm="1">
        <f t="array" ref="Q222">IFERROR(_xlfn.XLOOKUP(C222&amp;A222, ESPN!A:A&amp;ESPN!C:C, ESPN!K:K), "N/A")</f>
        <v>N/A</v>
      </c>
    </row>
    <row r="223" spans="1:17" x14ac:dyDescent="0.45">
      <c r="A223" s="7">
        <v>2024</v>
      </c>
      <c r="B223" s="3" t="s">
        <v>69</v>
      </c>
      <c r="C223" s="4" t="str">
        <f t="shared" si="6"/>
        <v>Ty Johnson</v>
      </c>
      <c r="D223" s="4" t="str">
        <f t="shared" si="7"/>
        <v>BUF</v>
      </c>
      <c r="E223" s="4">
        <v>17</v>
      </c>
      <c r="F223" s="12">
        <v>25</v>
      </c>
      <c r="G223" s="11">
        <v>18</v>
      </c>
      <c r="H223" s="11">
        <v>284</v>
      </c>
      <c r="I223" s="11">
        <v>15.8</v>
      </c>
      <c r="J223" s="11">
        <v>3</v>
      </c>
      <c r="K223" s="11">
        <v>0</v>
      </c>
      <c r="L223" s="11" cm="1">
        <f t="array" ref="L223">IFERROR(_xlfn.XLOOKUP(C223&amp;A223, ESPN!A:A&amp;ESPN!C:C, ESPN!D:D), "N/A")</f>
        <v>200</v>
      </c>
      <c r="M223" s="23" cm="1">
        <f t="array" ref="M223">IFERROR(_xlfn.XLOOKUP(C223&amp;A223, ESPN!A:A&amp;ESPN!C:C, ESPN!G:G), "N/A")</f>
        <v>1.59</v>
      </c>
      <c r="N223" s="23" cm="1">
        <f t="array" ref="N223">IFERROR(_xlfn.XLOOKUP(C223&amp;A223, ESPN!A:A&amp;ESPN!C:C, ESPN!H:H), "N/A")</f>
        <v>15</v>
      </c>
      <c r="O223" s="26" cm="1">
        <f t="array" ref="O223">IFERROR(_xlfn.XLOOKUP(C223&amp;A223, ESPN!A:A&amp;ESPN!C:C, ESPN!I:I), "N/A")</f>
        <v>69</v>
      </c>
      <c r="P223" s="26" cm="1">
        <f t="array" ref="P223">IFERROR(_xlfn.XLOOKUP(C223&amp;A223, ESPN!A:A&amp;ESPN!C:C, ESPN!J:J), "N/A")</f>
        <v>46</v>
      </c>
      <c r="Q223" s="26" cm="1">
        <f t="array" ref="Q223">IFERROR(_xlfn.XLOOKUP(C223&amp;A223, ESPN!A:A&amp;ESPN!C:C, ESPN!K:K), "N/A")</f>
        <v>43</v>
      </c>
    </row>
    <row r="224" spans="1:17" x14ac:dyDescent="0.45">
      <c r="A224" s="6">
        <v>2024</v>
      </c>
      <c r="B224" s="1" t="s">
        <v>74</v>
      </c>
      <c r="C224" s="2" t="str">
        <f t="shared" si="6"/>
        <v>Jaleel McLaughlin</v>
      </c>
      <c r="D224" s="2" t="str">
        <f t="shared" si="7"/>
        <v>DEN</v>
      </c>
      <c r="E224" s="2">
        <v>16</v>
      </c>
      <c r="F224" s="13">
        <v>27</v>
      </c>
      <c r="G224" s="14">
        <v>24</v>
      </c>
      <c r="H224" s="14">
        <v>76</v>
      </c>
      <c r="I224" s="14">
        <v>3.2</v>
      </c>
      <c r="J224" s="14">
        <v>2</v>
      </c>
      <c r="K224" s="14">
        <v>1</v>
      </c>
      <c r="L224" s="11" cm="1">
        <f t="array" ref="L224">IFERROR(_xlfn.XLOOKUP(C224&amp;A224, ESPN!A:A&amp;ESPN!C:C, ESPN!D:D), "N/A")</f>
        <v>111</v>
      </c>
      <c r="M224" s="23" cm="1">
        <f t="array" ref="M224">IFERROR(_xlfn.XLOOKUP(C224&amp;A224, ESPN!A:A&amp;ESPN!C:C, ESPN!G:G), "N/A")</f>
        <v>0.68</v>
      </c>
      <c r="N224" s="23" cm="1">
        <f t="array" ref="N224">IFERROR(_xlfn.XLOOKUP(C224&amp;A224, ESPN!A:A&amp;ESPN!C:C, ESPN!H:H), "N/A")</f>
        <v>75</v>
      </c>
      <c r="O224" s="26" cm="1">
        <f t="array" ref="O224">IFERROR(_xlfn.XLOOKUP(C224&amp;A224, ESPN!A:A&amp;ESPN!C:C, ESPN!I:I), "N/A")</f>
        <v>66</v>
      </c>
      <c r="P224" s="26" cm="1">
        <f t="array" ref="P224">IFERROR(_xlfn.XLOOKUP(C224&amp;A224, ESPN!A:A&amp;ESPN!C:C, ESPN!J:J), "N/A")</f>
        <v>26</v>
      </c>
      <c r="Q224" s="26" cm="1">
        <f t="array" ref="Q224">IFERROR(_xlfn.XLOOKUP(C224&amp;A224, ESPN!A:A&amp;ESPN!C:C, ESPN!K:K), "N/A")</f>
        <v>46</v>
      </c>
    </row>
    <row r="225" spans="1:17" x14ac:dyDescent="0.45">
      <c r="A225" s="7">
        <v>2024</v>
      </c>
      <c r="B225" s="3" t="s">
        <v>92</v>
      </c>
      <c r="C225" s="4" t="str">
        <f t="shared" si="6"/>
        <v>Braelon Allen</v>
      </c>
      <c r="D225" s="4" t="str">
        <f t="shared" si="7"/>
        <v>NYJ</v>
      </c>
      <c r="E225" s="4">
        <v>17</v>
      </c>
      <c r="F225" s="12">
        <v>27</v>
      </c>
      <c r="G225" s="11">
        <v>19</v>
      </c>
      <c r="H225" s="11">
        <v>148</v>
      </c>
      <c r="I225" s="11">
        <v>7.8</v>
      </c>
      <c r="J225" s="11">
        <v>1</v>
      </c>
      <c r="K225" s="11">
        <v>0</v>
      </c>
      <c r="L225" s="11" cm="1">
        <f t="array" ref="L225">IFERROR(_xlfn.XLOOKUP(C225&amp;A225, ESPN!A:A&amp;ESPN!C:C, ESPN!D:D), "N/A")</f>
        <v>109</v>
      </c>
      <c r="M225" s="23" cm="1">
        <f t="array" ref="M225">IFERROR(_xlfn.XLOOKUP(C225&amp;A225, ESPN!A:A&amp;ESPN!C:C, ESPN!G:G), "N/A")</f>
        <v>1.36</v>
      </c>
      <c r="N225" s="23" cm="1">
        <f t="array" ref="N225">IFERROR(_xlfn.XLOOKUP(C225&amp;A225, ESPN!A:A&amp;ESPN!C:C, ESPN!H:H), "N/A")</f>
        <v>45</v>
      </c>
      <c r="O225" s="26" cm="1">
        <f t="array" ref="O225">IFERROR(_xlfn.XLOOKUP(C225&amp;A225, ESPN!A:A&amp;ESPN!C:C, ESPN!I:I), "N/A")</f>
        <v>38</v>
      </c>
      <c r="P225" s="26" cm="1">
        <f t="array" ref="P225">IFERROR(_xlfn.XLOOKUP(C225&amp;A225, ESPN!A:A&amp;ESPN!C:C, ESPN!J:J), "N/A")</f>
        <v>42</v>
      </c>
      <c r="Q225" s="26" cm="1">
        <f t="array" ref="Q225">IFERROR(_xlfn.XLOOKUP(C225&amp;A225, ESPN!A:A&amp;ESPN!C:C, ESPN!K:K), "N/A")</f>
        <v>36</v>
      </c>
    </row>
    <row r="226" spans="1:17" x14ac:dyDescent="0.45">
      <c r="A226" s="6">
        <v>2024</v>
      </c>
      <c r="B226" s="1" t="s">
        <v>129</v>
      </c>
      <c r="C226" s="2" t="str">
        <f t="shared" si="6"/>
        <v>Roschon Johnson</v>
      </c>
      <c r="D226" s="2" t="str">
        <f t="shared" si="7"/>
        <v>CHI</v>
      </c>
      <c r="E226" s="2">
        <v>13</v>
      </c>
      <c r="F226" s="13">
        <v>20</v>
      </c>
      <c r="G226" s="14">
        <v>16</v>
      </c>
      <c r="H226" s="14">
        <v>104</v>
      </c>
      <c r="I226" s="14">
        <v>6.5</v>
      </c>
      <c r="J226" s="14">
        <v>0</v>
      </c>
      <c r="K226" s="14">
        <v>0</v>
      </c>
      <c r="L226" s="11" t="str" cm="1">
        <f t="array" ref="L226">IFERROR(_xlfn.XLOOKUP(C226&amp;A226, ESPN!A:A&amp;ESPN!C:C, ESPN!D:D), "N/A")</f>
        <v>N/A</v>
      </c>
      <c r="M226" s="23" t="str" cm="1">
        <f t="array" ref="M226">IFERROR(_xlfn.XLOOKUP(C226&amp;A226, ESPN!A:A&amp;ESPN!C:C, ESPN!G:G), "N/A")</f>
        <v>N/A</v>
      </c>
      <c r="N226" s="23" t="str" cm="1">
        <f t="array" ref="N226">IFERROR(_xlfn.XLOOKUP(C226&amp;A226, ESPN!A:A&amp;ESPN!C:C, ESPN!H:H), "N/A")</f>
        <v>N/A</v>
      </c>
      <c r="O226" s="26" t="str" cm="1">
        <f t="array" ref="O226">IFERROR(_xlfn.XLOOKUP(C226&amp;A226, ESPN!A:A&amp;ESPN!C:C, ESPN!I:I), "N/A")</f>
        <v>N/A</v>
      </c>
      <c r="P226" s="26" t="str" cm="1">
        <f t="array" ref="P226">IFERROR(_xlfn.XLOOKUP(C226&amp;A226, ESPN!A:A&amp;ESPN!C:C, ESPN!J:J), "N/A")</f>
        <v>N/A</v>
      </c>
      <c r="Q226" s="26" t="str" cm="1">
        <f t="array" ref="Q226">IFERROR(_xlfn.XLOOKUP(C226&amp;A226, ESPN!A:A&amp;ESPN!C:C, ESPN!K:K), "N/A")</f>
        <v>N/A</v>
      </c>
    </row>
    <row r="227" spans="1:17" x14ac:dyDescent="0.45">
      <c r="A227" s="7">
        <v>2024</v>
      </c>
      <c r="B227" s="3" t="s">
        <v>188</v>
      </c>
      <c r="C227" s="4" t="str">
        <f t="shared" si="6"/>
        <v>Gus Edwards</v>
      </c>
      <c r="D227" s="4" t="str">
        <f t="shared" si="7"/>
        <v>LAC</v>
      </c>
      <c r="E227" s="4">
        <v>11</v>
      </c>
      <c r="F227" s="12">
        <v>5</v>
      </c>
      <c r="G227" s="11">
        <v>3</v>
      </c>
      <c r="H227" s="11">
        <v>6</v>
      </c>
      <c r="I227" s="11">
        <v>2</v>
      </c>
      <c r="J227" s="11">
        <v>0</v>
      </c>
      <c r="K227" s="11">
        <v>0</v>
      </c>
      <c r="L227" s="11" t="str" cm="1">
        <f t="array" ref="L227">IFERROR(_xlfn.XLOOKUP(C227&amp;A227, ESPN!A:A&amp;ESPN!C:C, ESPN!D:D), "N/A")</f>
        <v>N/A</v>
      </c>
      <c r="M227" s="23" t="str" cm="1">
        <f t="array" ref="M227">IFERROR(_xlfn.XLOOKUP(C227&amp;A227, ESPN!A:A&amp;ESPN!C:C, ESPN!G:G), "N/A")</f>
        <v>N/A</v>
      </c>
      <c r="N227" s="23" t="str" cm="1">
        <f t="array" ref="N227">IFERROR(_xlfn.XLOOKUP(C227&amp;A227, ESPN!A:A&amp;ESPN!C:C, ESPN!H:H), "N/A")</f>
        <v>N/A</v>
      </c>
      <c r="O227" s="26" t="str" cm="1">
        <f t="array" ref="O227">IFERROR(_xlfn.XLOOKUP(C227&amp;A227, ESPN!A:A&amp;ESPN!C:C, ESPN!I:I), "N/A")</f>
        <v>N/A</v>
      </c>
      <c r="P227" s="26" t="str" cm="1">
        <f t="array" ref="P227">IFERROR(_xlfn.XLOOKUP(C227&amp;A227, ESPN!A:A&amp;ESPN!C:C, ESPN!J:J), "N/A")</f>
        <v>N/A</v>
      </c>
      <c r="Q227" s="26" t="str" cm="1">
        <f t="array" ref="Q227">IFERROR(_xlfn.XLOOKUP(C227&amp;A227, ESPN!A:A&amp;ESPN!C:C, ESPN!K:K), "N/A")</f>
        <v>N/A</v>
      </c>
    </row>
    <row r="228" spans="1:17" x14ac:dyDescent="0.45">
      <c r="A228" s="6">
        <v>2024</v>
      </c>
      <c r="B228" s="1" t="s">
        <v>58</v>
      </c>
      <c r="C228" s="2" t="str">
        <f t="shared" si="6"/>
        <v>Sean Tucker</v>
      </c>
      <c r="D228" s="2" t="str">
        <f t="shared" si="7"/>
        <v>TB</v>
      </c>
      <c r="E228" s="2">
        <v>17</v>
      </c>
      <c r="F228" s="13">
        <v>12</v>
      </c>
      <c r="G228" s="14">
        <v>9</v>
      </c>
      <c r="H228" s="14">
        <v>109</v>
      </c>
      <c r="I228" s="14">
        <v>12.1</v>
      </c>
      <c r="J228" s="14">
        <v>1</v>
      </c>
      <c r="K228" s="14">
        <v>0</v>
      </c>
      <c r="L228" s="11" t="str" cm="1">
        <f t="array" ref="L228">IFERROR(_xlfn.XLOOKUP(C228&amp;A228, ESPN!A:A&amp;ESPN!C:C, ESPN!D:D), "N/A")</f>
        <v>N/A</v>
      </c>
      <c r="M228" s="23" t="str" cm="1">
        <f t="array" ref="M228">IFERROR(_xlfn.XLOOKUP(C228&amp;A228, ESPN!A:A&amp;ESPN!C:C, ESPN!G:G), "N/A")</f>
        <v>N/A</v>
      </c>
      <c r="N228" s="23" t="str" cm="1">
        <f t="array" ref="N228">IFERROR(_xlfn.XLOOKUP(C228&amp;A228, ESPN!A:A&amp;ESPN!C:C, ESPN!H:H), "N/A")</f>
        <v>N/A</v>
      </c>
      <c r="O228" s="26" t="str" cm="1">
        <f t="array" ref="O228">IFERROR(_xlfn.XLOOKUP(C228&amp;A228, ESPN!A:A&amp;ESPN!C:C, ESPN!I:I), "N/A")</f>
        <v>N/A</v>
      </c>
      <c r="P228" s="26" t="str" cm="1">
        <f t="array" ref="P228">IFERROR(_xlfn.XLOOKUP(C228&amp;A228, ESPN!A:A&amp;ESPN!C:C, ESPN!J:J), "N/A")</f>
        <v>N/A</v>
      </c>
      <c r="Q228" s="26" t="str" cm="1">
        <f t="array" ref="Q228">IFERROR(_xlfn.XLOOKUP(C228&amp;A228, ESPN!A:A&amp;ESPN!C:C, ESPN!K:K), "N/A")</f>
        <v>N/A</v>
      </c>
    </row>
    <row r="229" spans="1:17" x14ac:dyDescent="0.45">
      <c r="A229" s="7">
        <v>2024</v>
      </c>
      <c r="B229" s="3" t="s">
        <v>189</v>
      </c>
      <c r="C229" s="4" t="str">
        <f t="shared" si="6"/>
        <v>Zack Moss</v>
      </c>
      <c r="D229" s="4" t="str">
        <f t="shared" si="7"/>
        <v>CIN</v>
      </c>
      <c r="E229" s="4">
        <v>9</v>
      </c>
      <c r="F229" s="12">
        <v>27</v>
      </c>
      <c r="G229" s="11">
        <v>23</v>
      </c>
      <c r="H229" s="11">
        <v>187</v>
      </c>
      <c r="I229" s="11">
        <v>8.1</v>
      </c>
      <c r="J229" s="11">
        <v>1</v>
      </c>
      <c r="K229" s="11">
        <v>1</v>
      </c>
      <c r="L229" s="11" t="str" cm="1">
        <f t="array" ref="L229">IFERROR(_xlfn.XLOOKUP(C229&amp;A229, ESPN!A:A&amp;ESPN!C:C, ESPN!D:D), "N/A")</f>
        <v>N/A</v>
      </c>
      <c r="M229" s="23" t="str" cm="1">
        <f t="array" ref="M229">IFERROR(_xlfn.XLOOKUP(C229&amp;A229, ESPN!A:A&amp;ESPN!C:C, ESPN!G:G), "N/A")</f>
        <v>N/A</v>
      </c>
      <c r="N229" s="23" t="str" cm="1">
        <f t="array" ref="N229">IFERROR(_xlfn.XLOOKUP(C229&amp;A229, ESPN!A:A&amp;ESPN!C:C, ESPN!H:H), "N/A")</f>
        <v>N/A</v>
      </c>
      <c r="O229" s="26" t="str" cm="1">
        <f t="array" ref="O229">IFERROR(_xlfn.XLOOKUP(C229&amp;A229, ESPN!A:A&amp;ESPN!C:C, ESPN!I:I), "N/A")</f>
        <v>N/A</v>
      </c>
      <c r="P229" s="26" t="str" cm="1">
        <f t="array" ref="P229">IFERROR(_xlfn.XLOOKUP(C229&amp;A229, ESPN!A:A&amp;ESPN!C:C, ESPN!J:J), "N/A")</f>
        <v>N/A</v>
      </c>
      <c r="Q229" s="26" t="str" cm="1">
        <f t="array" ref="Q229">IFERROR(_xlfn.XLOOKUP(C229&amp;A229, ESPN!A:A&amp;ESPN!C:C, ESPN!K:K), "N/A")</f>
        <v>N/A</v>
      </c>
    </row>
    <row r="230" spans="1:17" x14ac:dyDescent="0.45">
      <c r="A230" s="6">
        <v>2024</v>
      </c>
      <c r="B230" s="1" t="s">
        <v>190</v>
      </c>
      <c r="C230" s="2" t="str">
        <f t="shared" si="6"/>
        <v>Nick Chubb</v>
      </c>
      <c r="D230" s="2" t="str">
        <f t="shared" si="7"/>
        <v>CLE</v>
      </c>
      <c r="E230" s="2">
        <v>8</v>
      </c>
      <c r="F230" s="13">
        <v>11</v>
      </c>
      <c r="G230" s="14">
        <v>5</v>
      </c>
      <c r="H230" s="14">
        <v>31</v>
      </c>
      <c r="I230" s="14">
        <v>6.2</v>
      </c>
      <c r="J230" s="14">
        <v>1</v>
      </c>
      <c r="K230" s="14">
        <v>1</v>
      </c>
      <c r="L230" s="11" t="str" cm="1">
        <f t="array" ref="L230">IFERROR(_xlfn.XLOOKUP(C230&amp;A230, ESPN!A:A&amp;ESPN!C:C, ESPN!D:D), "N/A")</f>
        <v>N/A</v>
      </c>
      <c r="M230" s="23" t="str" cm="1">
        <f t="array" ref="M230">IFERROR(_xlfn.XLOOKUP(C230&amp;A230, ESPN!A:A&amp;ESPN!C:C, ESPN!G:G), "N/A")</f>
        <v>N/A</v>
      </c>
      <c r="N230" s="23" t="str" cm="1">
        <f t="array" ref="N230">IFERROR(_xlfn.XLOOKUP(C230&amp;A230, ESPN!A:A&amp;ESPN!C:C, ESPN!H:H), "N/A")</f>
        <v>N/A</v>
      </c>
      <c r="O230" s="26" t="str" cm="1">
        <f t="array" ref="O230">IFERROR(_xlfn.XLOOKUP(C230&amp;A230, ESPN!A:A&amp;ESPN!C:C, ESPN!I:I), "N/A")</f>
        <v>N/A</v>
      </c>
      <c r="P230" s="26" t="str" cm="1">
        <f t="array" ref="P230">IFERROR(_xlfn.XLOOKUP(C230&amp;A230, ESPN!A:A&amp;ESPN!C:C, ESPN!J:J), "N/A")</f>
        <v>N/A</v>
      </c>
      <c r="Q230" s="26" t="str" cm="1">
        <f t="array" ref="Q230">IFERROR(_xlfn.XLOOKUP(C230&amp;A230, ESPN!A:A&amp;ESPN!C:C, ESPN!K:K), "N/A")</f>
        <v>N/A</v>
      </c>
    </row>
    <row r="231" spans="1:17" x14ac:dyDescent="0.45">
      <c r="A231" s="7">
        <v>2024</v>
      </c>
      <c r="B231" s="3" t="s">
        <v>67</v>
      </c>
      <c r="C231" s="4" t="str">
        <f t="shared" si="6"/>
        <v>Jeremy McNichols</v>
      </c>
      <c r="D231" s="4" t="str">
        <f t="shared" si="7"/>
        <v>WAS</v>
      </c>
      <c r="E231" s="4">
        <v>17</v>
      </c>
      <c r="F231" s="12">
        <v>12</v>
      </c>
      <c r="G231" s="11">
        <v>9</v>
      </c>
      <c r="H231" s="11">
        <v>27</v>
      </c>
      <c r="I231" s="11">
        <v>3</v>
      </c>
      <c r="J231" s="11">
        <v>0</v>
      </c>
      <c r="K231" s="11">
        <v>0</v>
      </c>
      <c r="L231" s="11" t="str" cm="1">
        <f t="array" ref="L231">IFERROR(_xlfn.XLOOKUP(C231&amp;A231, ESPN!A:A&amp;ESPN!C:C, ESPN!D:D), "N/A")</f>
        <v>N/A</v>
      </c>
      <c r="M231" s="23" t="str" cm="1">
        <f t="array" ref="M231">IFERROR(_xlfn.XLOOKUP(C231&amp;A231, ESPN!A:A&amp;ESPN!C:C, ESPN!G:G), "N/A")</f>
        <v>N/A</v>
      </c>
      <c r="N231" s="23" t="str" cm="1">
        <f t="array" ref="N231">IFERROR(_xlfn.XLOOKUP(C231&amp;A231, ESPN!A:A&amp;ESPN!C:C, ESPN!H:H), "N/A")</f>
        <v>N/A</v>
      </c>
      <c r="O231" s="26" t="str" cm="1">
        <f t="array" ref="O231">IFERROR(_xlfn.XLOOKUP(C231&amp;A231, ESPN!A:A&amp;ESPN!C:C, ESPN!I:I), "N/A")</f>
        <v>N/A</v>
      </c>
      <c r="P231" s="26" t="str" cm="1">
        <f t="array" ref="P231">IFERROR(_xlfn.XLOOKUP(C231&amp;A231, ESPN!A:A&amp;ESPN!C:C, ESPN!J:J), "N/A")</f>
        <v>N/A</v>
      </c>
      <c r="Q231" s="26" t="str" cm="1">
        <f t="array" ref="Q231">IFERROR(_xlfn.XLOOKUP(C231&amp;A231, ESPN!A:A&amp;ESPN!C:C, ESPN!K:K), "N/A")</f>
        <v>N/A</v>
      </c>
    </row>
    <row r="232" spans="1:17" x14ac:dyDescent="0.45">
      <c r="A232" s="6">
        <v>2024</v>
      </c>
      <c r="B232" s="1" t="s">
        <v>191</v>
      </c>
      <c r="C232" s="2" t="str">
        <f t="shared" si="6"/>
        <v>Samaje Perine</v>
      </c>
      <c r="D232" s="2" t="str">
        <f t="shared" si="7"/>
        <v>KC</v>
      </c>
      <c r="E232" s="2">
        <v>17</v>
      </c>
      <c r="F232" s="13">
        <v>35</v>
      </c>
      <c r="G232" s="14">
        <v>28</v>
      </c>
      <c r="H232" s="14">
        <v>322</v>
      </c>
      <c r="I232" s="14">
        <v>11.5</v>
      </c>
      <c r="J232" s="14">
        <v>1</v>
      </c>
      <c r="K232" s="14">
        <v>0</v>
      </c>
      <c r="L232" s="11" cm="1">
        <f t="array" ref="L232">IFERROR(_xlfn.XLOOKUP(C232&amp;A232, ESPN!A:A&amp;ESPN!C:C, ESPN!D:D), "N/A")</f>
        <v>204</v>
      </c>
      <c r="M232" s="23" cm="1">
        <f t="array" ref="M232">IFERROR(_xlfn.XLOOKUP(C232&amp;A232, ESPN!A:A&amp;ESPN!C:C, ESPN!G:G), "N/A")</f>
        <v>1.66</v>
      </c>
      <c r="N232" s="23" cm="1">
        <f t="array" ref="N232">IFERROR(_xlfn.XLOOKUP(C232&amp;A232, ESPN!A:A&amp;ESPN!C:C, ESPN!H:H), "N/A")</f>
        <v>50</v>
      </c>
      <c r="O232" s="26" cm="1">
        <f t="array" ref="O232">IFERROR(_xlfn.XLOOKUP(C232&amp;A232, ESPN!A:A&amp;ESPN!C:C, ESPN!I:I), "N/A")</f>
        <v>36</v>
      </c>
      <c r="P232" s="26" cm="1">
        <f t="array" ref="P232">IFERROR(_xlfn.XLOOKUP(C232&amp;A232, ESPN!A:A&amp;ESPN!C:C, ESPN!J:J), "N/A")</f>
        <v>50</v>
      </c>
      <c r="Q232" s="26" cm="1">
        <f t="array" ref="Q232">IFERROR(_xlfn.XLOOKUP(C232&amp;A232, ESPN!A:A&amp;ESPN!C:C, ESPN!K:K), "N/A")</f>
        <v>43</v>
      </c>
    </row>
    <row r="233" spans="1:17" x14ac:dyDescent="0.45">
      <c r="A233" s="7">
        <v>2024</v>
      </c>
      <c r="B233" s="3" t="s">
        <v>192</v>
      </c>
      <c r="C233" s="4" t="str">
        <f t="shared" si="6"/>
        <v>Miles Sanders</v>
      </c>
      <c r="D233" s="4" t="str">
        <f t="shared" si="7"/>
        <v>CAR</v>
      </c>
      <c r="E233" s="4">
        <v>11</v>
      </c>
      <c r="F233" s="12">
        <v>30</v>
      </c>
      <c r="G233" s="11">
        <v>24</v>
      </c>
      <c r="H233" s="11">
        <v>148</v>
      </c>
      <c r="I233" s="11">
        <v>6.2</v>
      </c>
      <c r="J233" s="11">
        <v>1</v>
      </c>
      <c r="K233" s="11">
        <v>0</v>
      </c>
      <c r="L233" s="11" cm="1">
        <f t="array" ref="L233">IFERROR(_xlfn.XLOOKUP(C233&amp;A233, ESPN!A:A&amp;ESPN!C:C, ESPN!D:D), "N/A")</f>
        <v>109</v>
      </c>
      <c r="M233" s="23" cm="1">
        <f t="array" ref="M233">IFERROR(_xlfn.XLOOKUP(C233&amp;A233, ESPN!A:A&amp;ESPN!C:C, ESPN!G:G), "N/A")</f>
        <v>1.36</v>
      </c>
      <c r="N233" s="23" cm="1">
        <f t="array" ref="N233">IFERROR(_xlfn.XLOOKUP(C233&amp;A233, ESPN!A:A&amp;ESPN!C:C, ESPN!H:H), "N/A")</f>
        <v>56</v>
      </c>
      <c r="O233" s="26" cm="1">
        <f t="array" ref="O233">IFERROR(_xlfn.XLOOKUP(C233&amp;A233, ESPN!A:A&amp;ESPN!C:C, ESPN!I:I), "N/A")</f>
        <v>65</v>
      </c>
      <c r="P233" s="26" cm="1">
        <f t="array" ref="P233">IFERROR(_xlfn.XLOOKUP(C233&amp;A233, ESPN!A:A&amp;ESPN!C:C, ESPN!J:J), "N/A")</f>
        <v>22</v>
      </c>
      <c r="Q233" s="26" cm="1">
        <f t="array" ref="Q233">IFERROR(_xlfn.XLOOKUP(C233&amp;A233, ESPN!A:A&amp;ESPN!C:C, ESPN!K:K), "N/A")</f>
        <v>36</v>
      </c>
    </row>
    <row r="234" spans="1:17" x14ac:dyDescent="0.45">
      <c r="A234" s="6">
        <v>2024</v>
      </c>
      <c r="B234" s="1" t="s">
        <v>193</v>
      </c>
      <c r="C234" s="2" t="str">
        <f t="shared" si="6"/>
        <v>Raheem Mostert</v>
      </c>
      <c r="D234" s="2" t="str">
        <f t="shared" si="7"/>
        <v>MIA</v>
      </c>
      <c r="E234" s="2">
        <v>13</v>
      </c>
      <c r="F234" s="13">
        <v>23</v>
      </c>
      <c r="G234" s="14">
        <v>19</v>
      </c>
      <c r="H234" s="14">
        <v>161</v>
      </c>
      <c r="I234" s="14">
        <v>8.5</v>
      </c>
      <c r="J234" s="14">
        <v>0</v>
      </c>
      <c r="K234" s="14">
        <v>2</v>
      </c>
      <c r="L234" s="11" cm="1">
        <f t="array" ref="L234">IFERROR(_xlfn.XLOOKUP(C234&amp;A234, ESPN!A:A&amp;ESPN!C:C, ESPN!D:D), "N/A")</f>
        <v>114</v>
      </c>
      <c r="M234" s="23" cm="1">
        <f t="array" ref="M234">IFERROR(_xlfn.XLOOKUP(C234&amp;A234, ESPN!A:A&amp;ESPN!C:C, ESPN!G:G), "N/A")</f>
        <v>1.41</v>
      </c>
      <c r="N234" s="23" cm="1">
        <f t="array" ref="N234">IFERROR(_xlfn.XLOOKUP(C234&amp;A234, ESPN!A:A&amp;ESPN!C:C, ESPN!H:H), "N/A")</f>
        <v>58</v>
      </c>
      <c r="O234" s="26" cm="1">
        <f t="array" ref="O234">IFERROR(_xlfn.XLOOKUP(C234&amp;A234, ESPN!A:A&amp;ESPN!C:C, ESPN!I:I), "N/A")</f>
        <v>58</v>
      </c>
      <c r="P234" s="26" cm="1">
        <f t="array" ref="P234">IFERROR(_xlfn.XLOOKUP(C234&amp;A234, ESPN!A:A&amp;ESPN!C:C, ESPN!J:J), "N/A")</f>
        <v>32</v>
      </c>
      <c r="Q234" s="26" cm="1">
        <f t="array" ref="Q234">IFERROR(_xlfn.XLOOKUP(C234&amp;A234, ESPN!A:A&amp;ESPN!C:C, ESPN!K:K), "N/A")</f>
        <v>42</v>
      </c>
    </row>
    <row r="235" spans="1:17" x14ac:dyDescent="0.45">
      <c r="A235" s="7">
        <v>2024</v>
      </c>
      <c r="B235" s="3" t="s">
        <v>194</v>
      </c>
      <c r="C235" s="4" t="str">
        <f t="shared" si="6"/>
        <v>Kenny Gainwell</v>
      </c>
      <c r="D235" s="4" t="str">
        <f t="shared" si="7"/>
        <v>PHI</v>
      </c>
      <c r="E235" s="4">
        <v>17</v>
      </c>
      <c r="F235" s="12">
        <v>22</v>
      </c>
      <c r="G235" s="11">
        <v>16</v>
      </c>
      <c r="H235" s="11">
        <v>116</v>
      </c>
      <c r="I235" s="11">
        <v>7.3</v>
      </c>
      <c r="J235" s="11">
        <v>0</v>
      </c>
      <c r="K235" s="11">
        <v>0</v>
      </c>
      <c r="L235" s="11" cm="1">
        <f t="array" ref="L235">IFERROR(_xlfn.XLOOKUP(C235&amp;A235, ESPN!A:A&amp;ESPN!C:C, ESPN!D:D), "N/A")</f>
        <v>119</v>
      </c>
      <c r="M235" s="23" cm="1">
        <f t="array" ref="M235">IFERROR(_xlfn.XLOOKUP(C235&amp;A235, ESPN!A:A&amp;ESPN!C:C, ESPN!G:G), "N/A")</f>
        <v>1.19</v>
      </c>
      <c r="N235" s="23" cm="1">
        <f t="array" ref="N235">IFERROR(_xlfn.XLOOKUP(C235&amp;A235, ESPN!A:A&amp;ESPN!C:C, ESPN!H:H), "N/A")</f>
        <v>64</v>
      </c>
      <c r="O235" s="26" cm="1">
        <f t="array" ref="O235">IFERROR(_xlfn.XLOOKUP(C235&amp;A235, ESPN!A:A&amp;ESPN!C:C, ESPN!I:I), "N/A")</f>
        <v>49</v>
      </c>
      <c r="P235" s="26" cm="1">
        <f t="array" ref="P235">IFERROR(_xlfn.XLOOKUP(C235&amp;A235, ESPN!A:A&amp;ESPN!C:C, ESPN!J:J), "N/A")</f>
        <v>53</v>
      </c>
      <c r="Q235" s="26" cm="1">
        <f t="array" ref="Q235">IFERROR(_xlfn.XLOOKUP(C235&amp;A235, ESPN!A:A&amp;ESPN!C:C, ESPN!K:K), "N/A")</f>
        <v>57</v>
      </c>
    </row>
    <row r="236" spans="1:17" x14ac:dyDescent="0.45">
      <c r="A236" s="6">
        <v>2024</v>
      </c>
      <c r="B236" s="1" t="s">
        <v>195</v>
      </c>
      <c r="C236" s="2" t="str">
        <f t="shared" si="6"/>
        <v>Ezekiel Elliott</v>
      </c>
      <c r="D236" s="2" t="str">
        <f t="shared" si="7"/>
        <v>DAL</v>
      </c>
      <c r="E236" s="2">
        <v>15</v>
      </c>
      <c r="F236" s="13">
        <v>15</v>
      </c>
      <c r="G236" s="14">
        <v>12</v>
      </c>
      <c r="H236" s="14">
        <v>69</v>
      </c>
      <c r="I236" s="14">
        <v>5.8</v>
      </c>
      <c r="J236" s="14">
        <v>0</v>
      </c>
      <c r="K236" s="14">
        <v>1</v>
      </c>
      <c r="L236" s="11" t="str" cm="1">
        <f t="array" ref="L236">IFERROR(_xlfn.XLOOKUP(C236&amp;A236, ESPN!A:A&amp;ESPN!C:C, ESPN!D:D), "N/A")</f>
        <v>N/A</v>
      </c>
      <c r="M236" s="23" t="str" cm="1">
        <f t="array" ref="M236">IFERROR(_xlfn.XLOOKUP(C236&amp;A236, ESPN!A:A&amp;ESPN!C:C, ESPN!G:G), "N/A")</f>
        <v>N/A</v>
      </c>
      <c r="N236" s="23" t="str" cm="1">
        <f t="array" ref="N236">IFERROR(_xlfn.XLOOKUP(C236&amp;A236, ESPN!A:A&amp;ESPN!C:C, ESPN!H:H), "N/A")</f>
        <v>N/A</v>
      </c>
      <c r="O236" s="26" t="str" cm="1">
        <f t="array" ref="O236">IFERROR(_xlfn.XLOOKUP(C236&amp;A236, ESPN!A:A&amp;ESPN!C:C, ESPN!I:I), "N/A")</f>
        <v>N/A</v>
      </c>
      <c r="P236" s="26" t="str" cm="1">
        <f t="array" ref="P236">IFERROR(_xlfn.XLOOKUP(C236&amp;A236, ESPN!A:A&amp;ESPN!C:C, ESPN!J:J), "N/A")</f>
        <v>N/A</v>
      </c>
      <c r="Q236" s="26" t="str" cm="1">
        <f t="array" ref="Q236">IFERROR(_xlfn.XLOOKUP(C236&amp;A236, ESPN!A:A&amp;ESPN!C:C, ESPN!K:K), "N/A")</f>
        <v>N/A</v>
      </c>
    </row>
    <row r="237" spans="1:17" x14ac:dyDescent="0.45">
      <c r="A237" s="7">
        <v>2024</v>
      </c>
      <c r="B237" s="3" t="s">
        <v>50</v>
      </c>
      <c r="C237" s="4" t="str">
        <f t="shared" si="6"/>
        <v>Isiah Pacheco</v>
      </c>
      <c r="D237" s="4" t="str">
        <f t="shared" si="7"/>
        <v>KC</v>
      </c>
      <c r="E237" s="4">
        <v>7</v>
      </c>
      <c r="F237" s="12">
        <v>16</v>
      </c>
      <c r="G237" s="11">
        <v>12</v>
      </c>
      <c r="H237" s="11">
        <v>79</v>
      </c>
      <c r="I237" s="11">
        <v>6.6</v>
      </c>
      <c r="J237" s="11">
        <v>0</v>
      </c>
      <c r="K237" s="11">
        <v>0</v>
      </c>
      <c r="L237" s="11" t="str" cm="1">
        <f t="array" ref="L237">IFERROR(_xlfn.XLOOKUP(C237&amp;A237, ESPN!A:A&amp;ESPN!C:C, ESPN!D:D), "N/A")</f>
        <v>N/A</v>
      </c>
      <c r="M237" s="23" t="str" cm="1">
        <f t="array" ref="M237">IFERROR(_xlfn.XLOOKUP(C237&amp;A237, ESPN!A:A&amp;ESPN!C:C, ESPN!G:G), "N/A")</f>
        <v>N/A</v>
      </c>
      <c r="N237" s="23" t="str" cm="1">
        <f t="array" ref="N237">IFERROR(_xlfn.XLOOKUP(C237&amp;A237, ESPN!A:A&amp;ESPN!C:C, ESPN!H:H), "N/A")</f>
        <v>N/A</v>
      </c>
      <c r="O237" s="26" t="str" cm="1">
        <f t="array" ref="O237">IFERROR(_xlfn.XLOOKUP(C237&amp;A237, ESPN!A:A&amp;ESPN!C:C, ESPN!I:I), "N/A")</f>
        <v>N/A</v>
      </c>
      <c r="P237" s="26" t="str" cm="1">
        <f t="array" ref="P237">IFERROR(_xlfn.XLOOKUP(C237&amp;A237, ESPN!A:A&amp;ESPN!C:C, ESPN!J:J), "N/A")</f>
        <v>N/A</v>
      </c>
      <c r="Q237" s="26" t="str" cm="1">
        <f t="array" ref="Q237">IFERROR(_xlfn.XLOOKUP(C237&amp;A237, ESPN!A:A&amp;ESPN!C:C, ESPN!K:K), "N/A")</f>
        <v>N/A</v>
      </c>
    </row>
    <row r="238" spans="1:17" x14ac:dyDescent="0.45">
      <c r="A238" s="6">
        <v>2024</v>
      </c>
      <c r="B238" s="1" t="s">
        <v>196</v>
      </c>
      <c r="C238" s="2" t="str">
        <f t="shared" si="6"/>
        <v>Audric Estime</v>
      </c>
      <c r="D238" s="2" t="str">
        <f t="shared" si="7"/>
        <v>DEN</v>
      </c>
      <c r="E238" s="2">
        <v>13</v>
      </c>
      <c r="F238" s="13">
        <v>5</v>
      </c>
      <c r="G238" s="14">
        <v>5</v>
      </c>
      <c r="H238" s="14">
        <v>27</v>
      </c>
      <c r="I238" s="14">
        <v>5.4</v>
      </c>
      <c r="J238" s="14">
        <v>0</v>
      </c>
      <c r="K238" s="14">
        <v>1</v>
      </c>
      <c r="L238" s="11" t="str" cm="1">
        <f t="array" ref="L238">IFERROR(_xlfn.XLOOKUP(C238&amp;A238, ESPN!A:A&amp;ESPN!C:C, ESPN!D:D), "N/A")</f>
        <v>N/A</v>
      </c>
      <c r="M238" s="23" t="str" cm="1">
        <f t="array" ref="M238">IFERROR(_xlfn.XLOOKUP(C238&amp;A238, ESPN!A:A&amp;ESPN!C:C, ESPN!G:G), "N/A")</f>
        <v>N/A</v>
      </c>
      <c r="N238" s="23" t="str" cm="1">
        <f t="array" ref="N238">IFERROR(_xlfn.XLOOKUP(C238&amp;A238, ESPN!A:A&amp;ESPN!C:C, ESPN!H:H), "N/A")</f>
        <v>N/A</v>
      </c>
      <c r="O238" s="26" t="str" cm="1">
        <f t="array" ref="O238">IFERROR(_xlfn.XLOOKUP(C238&amp;A238, ESPN!A:A&amp;ESPN!C:C, ESPN!I:I), "N/A")</f>
        <v>N/A</v>
      </c>
      <c r="P238" s="26" t="str" cm="1">
        <f t="array" ref="P238">IFERROR(_xlfn.XLOOKUP(C238&amp;A238, ESPN!A:A&amp;ESPN!C:C, ESPN!J:J), "N/A")</f>
        <v>N/A</v>
      </c>
      <c r="Q238" s="26" t="str" cm="1">
        <f t="array" ref="Q238">IFERROR(_xlfn.XLOOKUP(C238&amp;A238, ESPN!A:A&amp;ESPN!C:C, ESPN!K:K), "N/A")</f>
        <v>N/A</v>
      </c>
    </row>
    <row r="239" spans="1:17" x14ac:dyDescent="0.45">
      <c r="A239" s="7">
        <v>2024</v>
      </c>
      <c r="B239" s="3" t="s">
        <v>197</v>
      </c>
      <c r="C239" s="4" t="str">
        <f t="shared" si="6"/>
        <v>Dameon Pierce</v>
      </c>
      <c r="D239" s="4" t="str">
        <f t="shared" si="7"/>
        <v>HOU</v>
      </c>
      <c r="E239" s="4">
        <v>11</v>
      </c>
      <c r="F239" s="12">
        <v>4</v>
      </c>
      <c r="G239" s="11">
        <v>2</v>
      </c>
      <c r="H239" s="11">
        <v>2</v>
      </c>
      <c r="I239" s="11">
        <v>1</v>
      </c>
      <c r="J239" s="11">
        <v>0</v>
      </c>
      <c r="K239" s="11">
        <v>0</v>
      </c>
      <c r="L239" s="11" t="str" cm="1">
        <f t="array" ref="L239">IFERROR(_xlfn.XLOOKUP(C239&amp;A239, ESPN!A:A&amp;ESPN!C:C, ESPN!D:D), "N/A")</f>
        <v>N/A</v>
      </c>
      <c r="M239" s="23" t="str" cm="1">
        <f t="array" ref="M239">IFERROR(_xlfn.XLOOKUP(C239&amp;A239, ESPN!A:A&amp;ESPN!C:C, ESPN!G:G), "N/A")</f>
        <v>N/A</v>
      </c>
      <c r="N239" s="23" t="str" cm="1">
        <f t="array" ref="N239">IFERROR(_xlfn.XLOOKUP(C239&amp;A239, ESPN!A:A&amp;ESPN!C:C, ESPN!H:H), "N/A")</f>
        <v>N/A</v>
      </c>
      <c r="O239" s="26" t="str" cm="1">
        <f t="array" ref="O239">IFERROR(_xlfn.XLOOKUP(C239&amp;A239, ESPN!A:A&amp;ESPN!C:C, ESPN!I:I), "N/A")</f>
        <v>N/A</v>
      </c>
      <c r="P239" s="26" t="str" cm="1">
        <f t="array" ref="P239">IFERROR(_xlfn.XLOOKUP(C239&amp;A239, ESPN!A:A&amp;ESPN!C:C, ESPN!J:J), "N/A")</f>
        <v>N/A</v>
      </c>
      <c r="Q239" s="26" t="str" cm="1">
        <f t="array" ref="Q239">IFERROR(_xlfn.XLOOKUP(C239&amp;A239, ESPN!A:A&amp;ESPN!C:C, ESPN!K:K), "N/A")</f>
        <v>N/A</v>
      </c>
    </row>
    <row r="240" spans="1:17" x14ac:dyDescent="0.45">
      <c r="A240" s="6">
        <v>2024</v>
      </c>
      <c r="B240" s="1" t="s">
        <v>76</v>
      </c>
      <c r="C240" s="2" t="str">
        <f t="shared" si="6"/>
        <v>Trey Benson</v>
      </c>
      <c r="D240" s="2" t="str">
        <f t="shared" si="7"/>
        <v>ARI</v>
      </c>
      <c r="E240" s="2">
        <v>13</v>
      </c>
      <c r="F240" s="13">
        <v>6</v>
      </c>
      <c r="G240" s="14">
        <v>6</v>
      </c>
      <c r="H240" s="14">
        <v>59</v>
      </c>
      <c r="I240" s="14">
        <v>9.8000000000000007</v>
      </c>
      <c r="J240" s="14">
        <v>0</v>
      </c>
      <c r="K240" s="14">
        <v>0</v>
      </c>
      <c r="L240" s="11" t="str" cm="1">
        <f t="array" ref="L240">IFERROR(_xlfn.XLOOKUP(C240&amp;A240, ESPN!A:A&amp;ESPN!C:C, ESPN!D:D), "N/A")</f>
        <v>N/A</v>
      </c>
      <c r="M240" s="23" t="str" cm="1">
        <f t="array" ref="M240">IFERROR(_xlfn.XLOOKUP(C240&amp;A240, ESPN!A:A&amp;ESPN!C:C, ESPN!G:G), "N/A")</f>
        <v>N/A</v>
      </c>
      <c r="N240" s="23" t="str" cm="1">
        <f t="array" ref="N240">IFERROR(_xlfn.XLOOKUP(C240&amp;A240, ESPN!A:A&amp;ESPN!C:C, ESPN!H:H), "N/A")</f>
        <v>N/A</v>
      </c>
      <c r="O240" s="26" t="str" cm="1">
        <f t="array" ref="O240">IFERROR(_xlfn.XLOOKUP(C240&amp;A240, ESPN!A:A&amp;ESPN!C:C, ESPN!I:I), "N/A")</f>
        <v>N/A</v>
      </c>
      <c r="P240" s="26" t="str" cm="1">
        <f t="array" ref="P240">IFERROR(_xlfn.XLOOKUP(C240&amp;A240, ESPN!A:A&amp;ESPN!C:C, ESPN!J:J), "N/A")</f>
        <v>N/A</v>
      </c>
      <c r="Q240" s="26" t="str" cm="1">
        <f t="array" ref="Q240">IFERROR(_xlfn.XLOOKUP(C240&amp;A240, ESPN!A:A&amp;ESPN!C:C, ESPN!K:K), "N/A")</f>
        <v>N/A</v>
      </c>
    </row>
    <row r="241" spans="1:17" x14ac:dyDescent="0.45">
      <c r="A241" s="7">
        <v>2024</v>
      </c>
      <c r="B241" s="3" t="s">
        <v>59</v>
      </c>
      <c r="C241" s="4" t="str">
        <f t="shared" si="6"/>
        <v>Emari Demercado</v>
      </c>
      <c r="D241" s="4" t="str">
        <f t="shared" si="7"/>
        <v>ARI</v>
      </c>
      <c r="E241" s="4">
        <v>13</v>
      </c>
      <c r="F241" s="12">
        <v>20</v>
      </c>
      <c r="G241" s="11">
        <v>16</v>
      </c>
      <c r="H241" s="11">
        <v>104</v>
      </c>
      <c r="I241" s="11">
        <v>6.5</v>
      </c>
      <c r="J241" s="11">
        <v>0</v>
      </c>
      <c r="K241" s="11">
        <v>0</v>
      </c>
      <c r="L241" s="11" t="str" cm="1">
        <f t="array" ref="L241">IFERROR(_xlfn.XLOOKUP(C241&amp;A241, ESPN!A:A&amp;ESPN!C:C, ESPN!D:D), "N/A")</f>
        <v>N/A</v>
      </c>
      <c r="M241" s="23" t="str" cm="1">
        <f t="array" ref="M241">IFERROR(_xlfn.XLOOKUP(C241&amp;A241, ESPN!A:A&amp;ESPN!C:C, ESPN!G:G), "N/A")</f>
        <v>N/A</v>
      </c>
      <c r="N241" s="23" t="str" cm="1">
        <f t="array" ref="N241">IFERROR(_xlfn.XLOOKUP(C241&amp;A241, ESPN!A:A&amp;ESPN!C:C, ESPN!H:H), "N/A")</f>
        <v>N/A</v>
      </c>
      <c r="O241" s="26" t="str" cm="1">
        <f t="array" ref="O241">IFERROR(_xlfn.XLOOKUP(C241&amp;A241, ESPN!A:A&amp;ESPN!C:C, ESPN!I:I), "N/A")</f>
        <v>N/A</v>
      </c>
      <c r="P241" s="26" t="str" cm="1">
        <f t="array" ref="P241">IFERROR(_xlfn.XLOOKUP(C241&amp;A241, ESPN!A:A&amp;ESPN!C:C, ESPN!J:J), "N/A")</f>
        <v>N/A</v>
      </c>
      <c r="Q241" s="26" t="str" cm="1">
        <f t="array" ref="Q241">IFERROR(_xlfn.XLOOKUP(C241&amp;A241, ESPN!A:A&amp;ESPN!C:C, ESPN!K:K), "N/A")</f>
        <v>N/A</v>
      </c>
    </row>
    <row r="242" spans="1:17" x14ac:dyDescent="0.45">
      <c r="A242" s="6">
        <v>2024</v>
      </c>
      <c r="B242" s="1" t="s">
        <v>176</v>
      </c>
      <c r="C242" s="2" t="str">
        <f t="shared" si="6"/>
        <v>Kyle Juszczyk</v>
      </c>
      <c r="D242" s="2" t="str">
        <f t="shared" si="7"/>
        <v>SF</v>
      </c>
      <c r="E242" s="2">
        <v>17</v>
      </c>
      <c r="F242" s="13">
        <v>31</v>
      </c>
      <c r="G242" s="14">
        <v>19</v>
      </c>
      <c r="H242" s="14">
        <v>200</v>
      </c>
      <c r="I242" s="14">
        <v>10.5</v>
      </c>
      <c r="J242" s="14">
        <v>2</v>
      </c>
      <c r="K242" s="14">
        <v>1</v>
      </c>
      <c r="L242" s="11" t="str" cm="1">
        <f t="array" ref="L242">IFERROR(_xlfn.XLOOKUP(C242&amp;A242, ESPN!A:A&amp;ESPN!C:C, ESPN!D:D), "N/A")</f>
        <v>N/A</v>
      </c>
      <c r="M242" s="23" t="str" cm="1">
        <f t="array" ref="M242">IFERROR(_xlfn.XLOOKUP(C242&amp;A242, ESPN!A:A&amp;ESPN!C:C, ESPN!G:G), "N/A")</f>
        <v>N/A</v>
      </c>
      <c r="N242" s="23" t="str" cm="1">
        <f t="array" ref="N242">IFERROR(_xlfn.XLOOKUP(C242&amp;A242, ESPN!A:A&amp;ESPN!C:C, ESPN!H:H), "N/A")</f>
        <v>N/A</v>
      </c>
      <c r="O242" s="26" t="str" cm="1">
        <f t="array" ref="O242">IFERROR(_xlfn.XLOOKUP(C242&amp;A242, ESPN!A:A&amp;ESPN!C:C, ESPN!I:I), "N/A")</f>
        <v>N/A</v>
      </c>
      <c r="P242" s="26" t="str" cm="1">
        <f t="array" ref="P242">IFERROR(_xlfn.XLOOKUP(C242&amp;A242, ESPN!A:A&amp;ESPN!C:C, ESPN!J:J), "N/A")</f>
        <v>N/A</v>
      </c>
      <c r="Q242" s="26" t="str" cm="1">
        <f t="array" ref="Q242">IFERROR(_xlfn.XLOOKUP(C242&amp;A242, ESPN!A:A&amp;ESPN!C:C, ESPN!K:K), "N/A")</f>
        <v>N/A</v>
      </c>
    </row>
    <row r="243" spans="1:17" x14ac:dyDescent="0.45">
      <c r="A243" s="7">
        <v>2024</v>
      </c>
      <c r="B243" s="3" t="s">
        <v>198</v>
      </c>
      <c r="C243" s="4" t="str">
        <f t="shared" si="6"/>
        <v>Trey Sermon</v>
      </c>
      <c r="D243" s="4" t="str">
        <f t="shared" si="7"/>
        <v>IND</v>
      </c>
      <c r="E243" s="4">
        <v>15</v>
      </c>
      <c r="F243" s="12">
        <v>19</v>
      </c>
      <c r="G243" s="11">
        <v>16</v>
      </c>
      <c r="H243" s="11">
        <v>99</v>
      </c>
      <c r="I243" s="11">
        <v>6.2</v>
      </c>
      <c r="J243" s="11">
        <v>0</v>
      </c>
      <c r="K243" s="11">
        <v>0</v>
      </c>
      <c r="L243" s="11" t="str" cm="1">
        <f t="array" ref="L243">IFERROR(_xlfn.XLOOKUP(C243&amp;A243, ESPN!A:A&amp;ESPN!C:C, ESPN!D:D), "N/A")</f>
        <v>N/A</v>
      </c>
      <c r="M243" s="23" t="str" cm="1">
        <f t="array" ref="M243">IFERROR(_xlfn.XLOOKUP(C243&amp;A243, ESPN!A:A&amp;ESPN!C:C, ESPN!G:G), "N/A")</f>
        <v>N/A</v>
      </c>
      <c r="N243" s="23" t="str" cm="1">
        <f t="array" ref="N243">IFERROR(_xlfn.XLOOKUP(C243&amp;A243, ESPN!A:A&amp;ESPN!C:C, ESPN!H:H), "N/A")</f>
        <v>N/A</v>
      </c>
      <c r="O243" s="26" t="str" cm="1">
        <f t="array" ref="O243">IFERROR(_xlfn.XLOOKUP(C243&amp;A243, ESPN!A:A&amp;ESPN!C:C, ESPN!I:I), "N/A")</f>
        <v>N/A</v>
      </c>
      <c r="P243" s="26" t="str" cm="1">
        <f t="array" ref="P243">IFERROR(_xlfn.XLOOKUP(C243&amp;A243, ESPN!A:A&amp;ESPN!C:C, ESPN!J:J), "N/A")</f>
        <v>N/A</v>
      </c>
      <c r="Q243" s="26" t="str" cm="1">
        <f t="array" ref="Q243">IFERROR(_xlfn.XLOOKUP(C243&amp;A243, ESPN!A:A&amp;ESPN!C:C, ESPN!K:K), "N/A")</f>
        <v>N/A</v>
      </c>
    </row>
    <row r="244" spans="1:17" x14ac:dyDescent="0.45">
      <c r="A244" s="6">
        <v>2024</v>
      </c>
      <c r="B244" s="1" t="s">
        <v>120</v>
      </c>
      <c r="C244" s="2" t="str">
        <f t="shared" si="6"/>
        <v>Dare Ogunbowale</v>
      </c>
      <c r="D244" s="2" t="str">
        <f t="shared" si="7"/>
        <v>HOU</v>
      </c>
      <c r="E244" s="2">
        <v>17</v>
      </c>
      <c r="F244" s="13">
        <v>28</v>
      </c>
      <c r="G244" s="14">
        <v>19</v>
      </c>
      <c r="H244" s="14">
        <v>198</v>
      </c>
      <c r="I244" s="14">
        <v>10.4</v>
      </c>
      <c r="J244" s="14">
        <v>1</v>
      </c>
      <c r="K244" s="14">
        <v>0</v>
      </c>
      <c r="L244" s="11" cm="1">
        <f t="array" ref="L244">IFERROR(_xlfn.XLOOKUP(C244&amp;A244, ESPN!A:A&amp;ESPN!C:C, ESPN!D:D), "N/A")</f>
        <v>181</v>
      </c>
      <c r="M244" s="23" cm="1">
        <f t="array" ref="M244">IFERROR(_xlfn.XLOOKUP(C244&amp;A244, ESPN!A:A&amp;ESPN!C:C, ESPN!G:G), "N/A")</f>
        <v>1.0900000000000001</v>
      </c>
      <c r="N244" s="23" cm="1">
        <f t="array" ref="N244">IFERROR(_xlfn.XLOOKUP(C244&amp;A244, ESPN!A:A&amp;ESPN!C:C, ESPN!H:H), "N/A")</f>
        <v>74</v>
      </c>
      <c r="O244" s="26" cm="1">
        <f t="array" ref="O244">IFERROR(_xlfn.XLOOKUP(C244&amp;A244, ESPN!A:A&amp;ESPN!C:C, ESPN!I:I), "N/A")</f>
        <v>66</v>
      </c>
      <c r="P244" s="26" cm="1">
        <f t="array" ref="P244">IFERROR(_xlfn.XLOOKUP(C244&amp;A244, ESPN!A:A&amp;ESPN!C:C, ESPN!J:J), "N/A")</f>
        <v>50</v>
      </c>
      <c r="Q244" s="26" cm="1">
        <f t="array" ref="Q244">IFERROR(_xlfn.XLOOKUP(C244&amp;A244, ESPN!A:A&amp;ESPN!C:C, ESPN!K:K), "N/A")</f>
        <v>67</v>
      </c>
    </row>
    <row r="245" spans="1:17" x14ac:dyDescent="0.45">
      <c r="A245" s="7">
        <v>2024</v>
      </c>
      <c r="B245" s="3" t="s">
        <v>66</v>
      </c>
      <c r="C245" s="4" t="str">
        <f t="shared" si="6"/>
        <v>Isaiah Davis</v>
      </c>
      <c r="D245" s="4" t="str">
        <f t="shared" si="7"/>
        <v>NYJ</v>
      </c>
      <c r="E245" s="4">
        <v>14</v>
      </c>
      <c r="F245" s="12">
        <v>12</v>
      </c>
      <c r="G245" s="11">
        <v>9</v>
      </c>
      <c r="H245" s="11">
        <v>75</v>
      </c>
      <c r="I245" s="11">
        <v>8.3000000000000007</v>
      </c>
      <c r="J245" s="11">
        <v>1</v>
      </c>
      <c r="K245" s="11">
        <v>0</v>
      </c>
      <c r="L245" s="11" t="str" cm="1">
        <f t="array" ref="L245">IFERROR(_xlfn.XLOOKUP(C245&amp;A245, ESPN!A:A&amp;ESPN!C:C, ESPN!D:D), "N/A")</f>
        <v>N/A</v>
      </c>
      <c r="M245" s="23" t="str" cm="1">
        <f t="array" ref="M245">IFERROR(_xlfn.XLOOKUP(C245&amp;A245, ESPN!A:A&amp;ESPN!C:C, ESPN!G:G), "N/A")</f>
        <v>N/A</v>
      </c>
      <c r="N245" s="23" t="str" cm="1">
        <f t="array" ref="N245">IFERROR(_xlfn.XLOOKUP(C245&amp;A245, ESPN!A:A&amp;ESPN!C:C, ESPN!H:H), "N/A")</f>
        <v>N/A</v>
      </c>
      <c r="O245" s="26" t="str" cm="1">
        <f t="array" ref="O245">IFERROR(_xlfn.XLOOKUP(C245&amp;A245, ESPN!A:A&amp;ESPN!C:C, ESPN!I:I), "N/A")</f>
        <v>N/A</v>
      </c>
      <c r="P245" s="26" t="str" cm="1">
        <f t="array" ref="P245">IFERROR(_xlfn.XLOOKUP(C245&amp;A245, ESPN!A:A&amp;ESPN!C:C, ESPN!J:J), "N/A")</f>
        <v>N/A</v>
      </c>
      <c r="Q245" s="26" t="str" cm="1">
        <f t="array" ref="Q245">IFERROR(_xlfn.XLOOKUP(C245&amp;A245, ESPN!A:A&amp;ESPN!C:C, ESPN!K:K), "N/A")</f>
        <v>N/A</v>
      </c>
    </row>
    <row r="246" spans="1:17" x14ac:dyDescent="0.45">
      <c r="A246" s="6">
        <v>2024</v>
      </c>
      <c r="B246" s="1" t="s">
        <v>122</v>
      </c>
      <c r="C246" s="2" t="str">
        <f t="shared" si="6"/>
        <v>Tyler Goodson</v>
      </c>
      <c r="D246" s="2" t="str">
        <f t="shared" si="7"/>
        <v>IND</v>
      </c>
      <c r="E246" s="2">
        <v>16</v>
      </c>
      <c r="F246" s="13">
        <v>15</v>
      </c>
      <c r="G246" s="14">
        <v>11</v>
      </c>
      <c r="H246" s="14">
        <v>61</v>
      </c>
      <c r="I246" s="14">
        <v>5.5</v>
      </c>
      <c r="J246" s="14">
        <v>1</v>
      </c>
      <c r="K246" s="14">
        <v>0</v>
      </c>
      <c r="L246" s="11" t="str" cm="1">
        <f t="array" ref="L246">IFERROR(_xlfn.XLOOKUP(C246&amp;A246, ESPN!A:A&amp;ESPN!C:C, ESPN!D:D), "N/A")</f>
        <v>N/A</v>
      </c>
      <c r="M246" s="23" t="str" cm="1">
        <f t="array" ref="M246">IFERROR(_xlfn.XLOOKUP(C246&amp;A246, ESPN!A:A&amp;ESPN!C:C, ESPN!G:G), "N/A")</f>
        <v>N/A</v>
      </c>
      <c r="N246" s="23" t="str" cm="1">
        <f t="array" ref="N246">IFERROR(_xlfn.XLOOKUP(C246&amp;A246, ESPN!A:A&amp;ESPN!C:C, ESPN!H:H), "N/A")</f>
        <v>N/A</v>
      </c>
      <c r="O246" s="26" t="str" cm="1">
        <f t="array" ref="O246">IFERROR(_xlfn.XLOOKUP(C246&amp;A246, ESPN!A:A&amp;ESPN!C:C, ESPN!I:I), "N/A")</f>
        <v>N/A</v>
      </c>
      <c r="P246" s="26" t="str" cm="1">
        <f t="array" ref="P246">IFERROR(_xlfn.XLOOKUP(C246&amp;A246, ESPN!A:A&amp;ESPN!C:C, ESPN!J:J), "N/A")</f>
        <v>N/A</v>
      </c>
      <c r="Q246" s="26" t="str" cm="1">
        <f t="array" ref="Q246">IFERROR(_xlfn.XLOOKUP(C246&amp;A246, ESPN!A:A&amp;ESPN!C:C, ESPN!K:K), "N/A")</f>
        <v>N/A</v>
      </c>
    </row>
    <row r="247" spans="1:17" x14ac:dyDescent="0.45">
      <c r="A247" s="7">
        <v>2024</v>
      </c>
      <c r="B247" s="3" t="s">
        <v>11</v>
      </c>
      <c r="C247" s="4" t="str">
        <f t="shared" si="6"/>
        <v>Christian McCaffrey</v>
      </c>
      <c r="D247" s="4" t="str">
        <f t="shared" si="7"/>
        <v>SF</v>
      </c>
      <c r="E247" s="4">
        <v>4</v>
      </c>
      <c r="F247" s="12">
        <v>19</v>
      </c>
      <c r="G247" s="11">
        <v>15</v>
      </c>
      <c r="H247" s="11">
        <v>146</v>
      </c>
      <c r="I247" s="11">
        <v>9.6999999999999993</v>
      </c>
      <c r="J247" s="11">
        <v>0</v>
      </c>
      <c r="K247" s="11">
        <v>1</v>
      </c>
      <c r="L247" s="11" t="str" cm="1">
        <f t="array" ref="L247">IFERROR(_xlfn.XLOOKUP(C247&amp;A247, ESPN!A:A&amp;ESPN!C:C, ESPN!D:D), "N/A")</f>
        <v>N/A</v>
      </c>
      <c r="M247" s="23" t="str" cm="1">
        <f t="array" ref="M247">IFERROR(_xlfn.XLOOKUP(C247&amp;A247, ESPN!A:A&amp;ESPN!C:C, ESPN!G:G), "N/A")</f>
        <v>N/A</v>
      </c>
      <c r="N247" s="23" t="str" cm="1">
        <f t="array" ref="N247">IFERROR(_xlfn.XLOOKUP(C247&amp;A247, ESPN!A:A&amp;ESPN!C:C, ESPN!H:H), "N/A")</f>
        <v>N/A</v>
      </c>
      <c r="O247" s="26" t="str" cm="1">
        <f t="array" ref="O247">IFERROR(_xlfn.XLOOKUP(C247&amp;A247, ESPN!A:A&amp;ESPN!C:C, ESPN!I:I), "N/A")</f>
        <v>N/A</v>
      </c>
      <c r="P247" s="26" t="str" cm="1">
        <f t="array" ref="P247">IFERROR(_xlfn.XLOOKUP(C247&amp;A247, ESPN!A:A&amp;ESPN!C:C, ESPN!J:J), "N/A")</f>
        <v>N/A</v>
      </c>
      <c r="Q247" s="26" t="str" cm="1">
        <f t="array" ref="Q247">IFERROR(_xlfn.XLOOKUP(C247&amp;A247, ESPN!A:A&amp;ESPN!C:C, ESPN!K:K), "N/A")</f>
        <v>N/A</v>
      </c>
    </row>
    <row r="248" spans="1:17" x14ac:dyDescent="0.45">
      <c r="A248" s="6">
        <v>2024</v>
      </c>
      <c r="B248" s="1" t="s">
        <v>82</v>
      </c>
      <c r="C248" s="2" t="str">
        <f t="shared" si="6"/>
        <v>Chris Brooks</v>
      </c>
      <c r="D248" s="2" t="str">
        <f t="shared" si="7"/>
        <v>GB</v>
      </c>
      <c r="E248" s="2">
        <v>13</v>
      </c>
      <c r="F248" s="13">
        <v>13</v>
      </c>
      <c r="G248" s="14">
        <v>11</v>
      </c>
      <c r="H248" s="14">
        <v>69</v>
      </c>
      <c r="I248" s="14">
        <v>6.3</v>
      </c>
      <c r="J248" s="14">
        <v>0</v>
      </c>
      <c r="K248" s="14">
        <v>0</v>
      </c>
      <c r="L248" s="11" t="str" cm="1">
        <f t="array" ref="L248">IFERROR(_xlfn.XLOOKUP(C248&amp;A248, ESPN!A:A&amp;ESPN!C:C, ESPN!D:D), "N/A")</f>
        <v>N/A</v>
      </c>
      <c r="M248" s="23" t="str" cm="1">
        <f t="array" ref="M248">IFERROR(_xlfn.XLOOKUP(C248&amp;A248, ESPN!A:A&amp;ESPN!C:C, ESPN!G:G), "N/A")</f>
        <v>N/A</v>
      </c>
      <c r="N248" s="23" t="str" cm="1">
        <f t="array" ref="N248">IFERROR(_xlfn.XLOOKUP(C248&amp;A248, ESPN!A:A&amp;ESPN!C:C, ESPN!H:H), "N/A")</f>
        <v>N/A</v>
      </c>
      <c r="O248" s="26" t="str" cm="1">
        <f t="array" ref="O248">IFERROR(_xlfn.XLOOKUP(C248&amp;A248, ESPN!A:A&amp;ESPN!C:C, ESPN!I:I), "N/A")</f>
        <v>N/A</v>
      </c>
      <c r="P248" s="26" t="str" cm="1">
        <f t="array" ref="P248">IFERROR(_xlfn.XLOOKUP(C248&amp;A248, ESPN!A:A&amp;ESPN!C:C, ESPN!J:J), "N/A")</f>
        <v>N/A</v>
      </c>
      <c r="Q248" s="26" t="str" cm="1">
        <f t="array" ref="Q248">IFERROR(_xlfn.XLOOKUP(C248&amp;A248, ESPN!A:A&amp;ESPN!C:C, ESPN!K:K), "N/A")</f>
        <v>N/A</v>
      </c>
    </row>
    <row r="249" spans="1:17" x14ac:dyDescent="0.45">
      <c r="A249" s="7">
        <v>2024</v>
      </c>
      <c r="B249" s="3" t="s">
        <v>47</v>
      </c>
      <c r="C249" s="4" t="str">
        <f t="shared" si="6"/>
        <v>Chris Rodriguez Jr.</v>
      </c>
      <c r="D249" s="4" t="str">
        <f t="shared" si="7"/>
        <v>WAS</v>
      </c>
      <c r="E249" s="4">
        <v>8</v>
      </c>
      <c r="F249" s="12">
        <v>1</v>
      </c>
      <c r="G249" s="11">
        <v>1</v>
      </c>
      <c r="H249" s="11">
        <v>12</v>
      </c>
      <c r="I249" s="11">
        <v>12</v>
      </c>
      <c r="J249" s="11">
        <v>0</v>
      </c>
      <c r="K249" s="11">
        <v>0</v>
      </c>
      <c r="L249" s="11" t="str" cm="1">
        <f t="array" ref="L249">IFERROR(_xlfn.XLOOKUP(C249&amp;A249, ESPN!A:A&amp;ESPN!C:C, ESPN!D:D), "N/A")</f>
        <v>N/A</v>
      </c>
      <c r="M249" s="23" t="str" cm="1">
        <f t="array" ref="M249">IFERROR(_xlfn.XLOOKUP(C249&amp;A249, ESPN!A:A&amp;ESPN!C:C, ESPN!G:G), "N/A")</f>
        <v>N/A</v>
      </c>
      <c r="N249" s="23" t="str" cm="1">
        <f t="array" ref="N249">IFERROR(_xlfn.XLOOKUP(C249&amp;A249, ESPN!A:A&amp;ESPN!C:C, ESPN!H:H), "N/A")</f>
        <v>N/A</v>
      </c>
      <c r="O249" s="26" t="str" cm="1">
        <f t="array" ref="O249">IFERROR(_xlfn.XLOOKUP(C249&amp;A249, ESPN!A:A&amp;ESPN!C:C, ESPN!I:I), "N/A")</f>
        <v>N/A</v>
      </c>
      <c r="P249" s="26" t="str" cm="1">
        <f t="array" ref="P249">IFERROR(_xlfn.XLOOKUP(C249&amp;A249, ESPN!A:A&amp;ESPN!C:C, ESPN!J:J), "N/A")</f>
        <v>N/A</v>
      </c>
      <c r="Q249" s="26" t="str" cm="1">
        <f t="array" ref="Q249">IFERROR(_xlfn.XLOOKUP(C249&amp;A249, ESPN!A:A&amp;ESPN!C:C, ESPN!K:K), "N/A")</f>
        <v>N/A</v>
      </c>
    </row>
    <row r="250" spans="1:17" x14ac:dyDescent="0.45">
      <c r="A250" s="6">
        <v>2024</v>
      </c>
      <c r="B250" s="1" t="s">
        <v>108</v>
      </c>
      <c r="C250" s="2" t="str">
        <f t="shared" si="6"/>
        <v>Hassan Haskins</v>
      </c>
      <c r="D250" s="2" t="str">
        <f t="shared" si="7"/>
        <v>LAC</v>
      </c>
      <c r="E250" s="2">
        <v>15</v>
      </c>
      <c r="F250" s="13">
        <v>3</v>
      </c>
      <c r="G250" s="14">
        <v>3</v>
      </c>
      <c r="H250" s="14">
        <v>49</v>
      </c>
      <c r="I250" s="14">
        <v>16.3</v>
      </c>
      <c r="J250" s="14">
        <v>1</v>
      </c>
      <c r="K250" s="14">
        <v>1</v>
      </c>
      <c r="L250" s="11" t="str" cm="1">
        <f t="array" ref="L250">IFERROR(_xlfn.XLOOKUP(C250&amp;A250, ESPN!A:A&amp;ESPN!C:C, ESPN!D:D), "N/A")</f>
        <v>N/A</v>
      </c>
      <c r="M250" s="23" t="str" cm="1">
        <f t="array" ref="M250">IFERROR(_xlfn.XLOOKUP(C250&amp;A250, ESPN!A:A&amp;ESPN!C:C, ESPN!G:G), "N/A")</f>
        <v>N/A</v>
      </c>
      <c r="N250" s="23" t="str" cm="1">
        <f t="array" ref="N250">IFERROR(_xlfn.XLOOKUP(C250&amp;A250, ESPN!A:A&amp;ESPN!C:C, ESPN!H:H), "N/A")</f>
        <v>N/A</v>
      </c>
      <c r="O250" s="26" t="str" cm="1">
        <f t="array" ref="O250">IFERROR(_xlfn.XLOOKUP(C250&amp;A250, ESPN!A:A&amp;ESPN!C:C, ESPN!I:I), "N/A")</f>
        <v>N/A</v>
      </c>
      <c r="P250" s="26" t="str" cm="1">
        <f t="array" ref="P250">IFERROR(_xlfn.XLOOKUP(C250&amp;A250, ESPN!A:A&amp;ESPN!C:C, ESPN!J:J), "N/A")</f>
        <v>N/A</v>
      </c>
      <c r="Q250" s="26" t="str" cm="1">
        <f t="array" ref="Q250">IFERROR(_xlfn.XLOOKUP(C250&amp;A250, ESPN!A:A&amp;ESPN!C:C, ESPN!K:K), "N/A")</f>
        <v>N/A</v>
      </c>
    </row>
    <row r="251" spans="1:17" x14ac:dyDescent="0.45">
      <c r="A251" s="7">
        <v>2024</v>
      </c>
      <c r="B251" s="3" t="s">
        <v>199</v>
      </c>
      <c r="C251" s="4" t="str">
        <f t="shared" si="6"/>
        <v>Jamaal Williams</v>
      </c>
      <c r="D251" s="4" t="str">
        <f t="shared" si="7"/>
        <v>NO</v>
      </c>
      <c r="E251" s="4">
        <v>14</v>
      </c>
      <c r="F251" s="12">
        <v>11</v>
      </c>
      <c r="G251" s="11">
        <v>9</v>
      </c>
      <c r="H251" s="11">
        <v>57</v>
      </c>
      <c r="I251" s="11">
        <v>6.3</v>
      </c>
      <c r="J251" s="11">
        <v>0</v>
      </c>
      <c r="K251" s="11">
        <v>0</v>
      </c>
      <c r="L251" s="11" t="str" cm="1">
        <f t="array" ref="L251">IFERROR(_xlfn.XLOOKUP(C251&amp;A251, ESPN!A:A&amp;ESPN!C:C, ESPN!D:D), "N/A")</f>
        <v>N/A</v>
      </c>
      <c r="M251" s="23" t="str" cm="1">
        <f t="array" ref="M251">IFERROR(_xlfn.XLOOKUP(C251&amp;A251, ESPN!A:A&amp;ESPN!C:C, ESPN!G:G), "N/A")</f>
        <v>N/A</v>
      </c>
      <c r="N251" s="23" t="str" cm="1">
        <f t="array" ref="N251">IFERROR(_xlfn.XLOOKUP(C251&amp;A251, ESPN!A:A&amp;ESPN!C:C, ESPN!H:H), "N/A")</f>
        <v>N/A</v>
      </c>
      <c r="O251" s="26" t="str" cm="1">
        <f t="array" ref="O251">IFERROR(_xlfn.XLOOKUP(C251&amp;A251, ESPN!A:A&amp;ESPN!C:C, ESPN!I:I), "N/A")</f>
        <v>N/A</v>
      </c>
      <c r="P251" s="26" t="str" cm="1">
        <f t="array" ref="P251">IFERROR(_xlfn.XLOOKUP(C251&amp;A251, ESPN!A:A&amp;ESPN!C:C, ESPN!J:J), "N/A")</f>
        <v>N/A</v>
      </c>
      <c r="Q251" s="26" t="str" cm="1">
        <f t="array" ref="Q251">IFERROR(_xlfn.XLOOKUP(C251&amp;A251, ESPN!A:A&amp;ESPN!C:C, ESPN!K:K), "N/A")</f>
        <v>N/A</v>
      </c>
    </row>
    <row r="252" spans="1:17" x14ac:dyDescent="0.45">
      <c r="A252" s="6">
        <v>2024</v>
      </c>
      <c r="B252" s="1" t="s">
        <v>35</v>
      </c>
      <c r="C252" s="2" t="str">
        <f t="shared" si="6"/>
        <v>Kimani Vidal</v>
      </c>
      <c r="D252" s="2" t="str">
        <f t="shared" si="7"/>
        <v>LAC</v>
      </c>
      <c r="E252" s="2">
        <v>10</v>
      </c>
      <c r="F252" s="13">
        <v>9</v>
      </c>
      <c r="G252" s="14">
        <v>5</v>
      </c>
      <c r="H252" s="14">
        <v>62</v>
      </c>
      <c r="I252" s="14">
        <v>12.4</v>
      </c>
      <c r="J252" s="14">
        <v>1</v>
      </c>
      <c r="K252" s="14">
        <v>0</v>
      </c>
      <c r="L252" s="11" t="str" cm="1">
        <f t="array" ref="L252">IFERROR(_xlfn.XLOOKUP(C252&amp;A252, ESPN!A:A&amp;ESPN!C:C, ESPN!D:D), "N/A")</f>
        <v>N/A</v>
      </c>
      <c r="M252" s="23" t="str" cm="1">
        <f t="array" ref="M252">IFERROR(_xlfn.XLOOKUP(C252&amp;A252, ESPN!A:A&amp;ESPN!C:C, ESPN!G:G), "N/A")</f>
        <v>N/A</v>
      </c>
      <c r="N252" s="23" t="str" cm="1">
        <f t="array" ref="N252">IFERROR(_xlfn.XLOOKUP(C252&amp;A252, ESPN!A:A&amp;ESPN!C:C, ESPN!H:H), "N/A")</f>
        <v>N/A</v>
      </c>
      <c r="O252" s="26" t="str" cm="1">
        <f t="array" ref="O252">IFERROR(_xlfn.XLOOKUP(C252&amp;A252, ESPN!A:A&amp;ESPN!C:C, ESPN!I:I), "N/A")</f>
        <v>N/A</v>
      </c>
      <c r="P252" s="26" t="str" cm="1">
        <f t="array" ref="P252">IFERROR(_xlfn.XLOOKUP(C252&amp;A252, ESPN!A:A&amp;ESPN!C:C, ESPN!J:J), "N/A")</f>
        <v>N/A</v>
      </c>
      <c r="Q252" s="26" t="str" cm="1">
        <f t="array" ref="Q252">IFERROR(_xlfn.XLOOKUP(C252&amp;A252, ESPN!A:A&amp;ESPN!C:C, ESPN!K:K), "N/A")</f>
        <v>N/A</v>
      </c>
    </row>
    <row r="253" spans="1:17" x14ac:dyDescent="0.45">
      <c r="A253" s="7">
        <v>2024</v>
      </c>
      <c r="B253" s="3" t="s">
        <v>200</v>
      </c>
      <c r="C253" s="4" t="str">
        <f t="shared" si="6"/>
        <v>Patrick Taylor Jr.</v>
      </c>
      <c r="D253" s="4" t="str">
        <f t="shared" si="7"/>
        <v>SF</v>
      </c>
      <c r="E253" s="4">
        <v>9</v>
      </c>
      <c r="F253" s="12">
        <v>11</v>
      </c>
      <c r="G253" s="11">
        <v>3</v>
      </c>
      <c r="H253" s="11">
        <v>25</v>
      </c>
      <c r="I253" s="11">
        <v>8.3000000000000007</v>
      </c>
      <c r="J253" s="11">
        <v>0</v>
      </c>
      <c r="K253" s="11">
        <v>0</v>
      </c>
      <c r="L253" s="11" t="str" cm="1">
        <f t="array" ref="L253">IFERROR(_xlfn.XLOOKUP(C253&amp;A253, ESPN!A:A&amp;ESPN!C:C, ESPN!D:D), "N/A")</f>
        <v>N/A</v>
      </c>
      <c r="M253" s="23" t="str" cm="1">
        <f t="array" ref="M253">IFERROR(_xlfn.XLOOKUP(C253&amp;A253, ESPN!A:A&amp;ESPN!C:C, ESPN!G:G), "N/A")</f>
        <v>N/A</v>
      </c>
      <c r="N253" s="23" t="str" cm="1">
        <f t="array" ref="N253">IFERROR(_xlfn.XLOOKUP(C253&amp;A253, ESPN!A:A&amp;ESPN!C:C, ESPN!H:H), "N/A")</f>
        <v>N/A</v>
      </c>
      <c r="O253" s="26" t="str" cm="1">
        <f t="array" ref="O253">IFERROR(_xlfn.XLOOKUP(C253&amp;A253, ESPN!A:A&amp;ESPN!C:C, ESPN!I:I), "N/A")</f>
        <v>N/A</v>
      </c>
      <c r="P253" s="26" t="str" cm="1">
        <f t="array" ref="P253">IFERROR(_xlfn.XLOOKUP(C253&amp;A253, ESPN!A:A&amp;ESPN!C:C, ESPN!J:J), "N/A")</f>
        <v>N/A</v>
      </c>
      <c r="Q253" s="26" t="str" cm="1">
        <f t="array" ref="Q253">IFERROR(_xlfn.XLOOKUP(C253&amp;A253, ESPN!A:A&amp;ESPN!C:C, ESPN!K:K), "N/A")</f>
        <v>N/A</v>
      </c>
    </row>
    <row r="254" spans="1:17" x14ac:dyDescent="0.45">
      <c r="A254" s="6">
        <v>2024</v>
      </c>
      <c r="B254" s="1" t="s">
        <v>201</v>
      </c>
      <c r="C254" s="2" t="str">
        <f t="shared" si="6"/>
        <v>D'Onta Foreman</v>
      </c>
      <c r="D254" s="2" t="str">
        <f t="shared" si="7"/>
        <v>CLE</v>
      </c>
      <c r="E254" s="2">
        <v>10</v>
      </c>
      <c r="F254" s="13">
        <v>8</v>
      </c>
      <c r="G254" s="14">
        <v>6</v>
      </c>
      <c r="H254" s="14">
        <v>54</v>
      </c>
      <c r="I254" s="14">
        <v>9</v>
      </c>
      <c r="J254" s="14">
        <v>0</v>
      </c>
      <c r="K254" s="14">
        <v>1</v>
      </c>
      <c r="L254" s="11" t="str" cm="1">
        <f t="array" ref="L254">IFERROR(_xlfn.XLOOKUP(C254&amp;A254, ESPN!A:A&amp;ESPN!C:C, ESPN!D:D), "N/A")</f>
        <v>N/A</v>
      </c>
      <c r="M254" s="23" t="str" cm="1">
        <f t="array" ref="M254">IFERROR(_xlfn.XLOOKUP(C254&amp;A254, ESPN!A:A&amp;ESPN!C:C, ESPN!G:G), "N/A")</f>
        <v>N/A</v>
      </c>
      <c r="N254" s="23" t="str" cm="1">
        <f t="array" ref="N254">IFERROR(_xlfn.XLOOKUP(C254&amp;A254, ESPN!A:A&amp;ESPN!C:C, ESPN!H:H), "N/A")</f>
        <v>N/A</v>
      </c>
      <c r="O254" s="26" t="str" cm="1">
        <f t="array" ref="O254">IFERROR(_xlfn.XLOOKUP(C254&amp;A254, ESPN!A:A&amp;ESPN!C:C, ESPN!I:I), "N/A")</f>
        <v>N/A</v>
      </c>
      <c r="P254" s="26" t="str" cm="1">
        <f t="array" ref="P254">IFERROR(_xlfn.XLOOKUP(C254&amp;A254, ESPN!A:A&amp;ESPN!C:C, ESPN!J:J), "N/A")</f>
        <v>N/A</v>
      </c>
      <c r="Q254" s="26" t="str" cm="1">
        <f t="array" ref="Q254">IFERROR(_xlfn.XLOOKUP(C254&amp;A254, ESPN!A:A&amp;ESPN!C:C, ESPN!K:K), "N/A")</f>
        <v>N/A</v>
      </c>
    </row>
    <row r="255" spans="1:17" x14ac:dyDescent="0.45">
      <c r="A255" s="7">
        <v>2024</v>
      </c>
      <c r="B255" s="3" t="s">
        <v>30</v>
      </c>
      <c r="C255" s="4" t="str">
        <f t="shared" si="6"/>
        <v>Blake Corum</v>
      </c>
      <c r="D255" s="4" t="str">
        <f t="shared" si="7"/>
        <v>LAR</v>
      </c>
      <c r="E255" s="4">
        <v>15</v>
      </c>
      <c r="F255" s="12">
        <v>8</v>
      </c>
      <c r="G255" s="11">
        <v>7</v>
      </c>
      <c r="H255" s="11">
        <v>58</v>
      </c>
      <c r="I255" s="11">
        <v>8.3000000000000007</v>
      </c>
      <c r="J255" s="11">
        <v>0</v>
      </c>
      <c r="K255" s="11">
        <v>0</v>
      </c>
      <c r="L255" s="11" t="str" cm="1">
        <f t="array" ref="L255">IFERROR(_xlfn.XLOOKUP(C255&amp;A255, ESPN!A:A&amp;ESPN!C:C, ESPN!D:D), "N/A")</f>
        <v>N/A</v>
      </c>
      <c r="M255" s="23" t="str" cm="1">
        <f t="array" ref="M255">IFERROR(_xlfn.XLOOKUP(C255&amp;A255, ESPN!A:A&amp;ESPN!C:C, ESPN!G:G), "N/A")</f>
        <v>N/A</v>
      </c>
      <c r="N255" s="23" t="str" cm="1">
        <f t="array" ref="N255">IFERROR(_xlfn.XLOOKUP(C255&amp;A255, ESPN!A:A&amp;ESPN!C:C, ESPN!H:H), "N/A")</f>
        <v>N/A</v>
      </c>
      <c r="O255" s="26" t="str" cm="1">
        <f t="array" ref="O255">IFERROR(_xlfn.XLOOKUP(C255&amp;A255, ESPN!A:A&amp;ESPN!C:C, ESPN!I:I), "N/A")</f>
        <v>N/A</v>
      </c>
      <c r="P255" s="26" t="str" cm="1">
        <f t="array" ref="P255">IFERROR(_xlfn.XLOOKUP(C255&amp;A255, ESPN!A:A&amp;ESPN!C:C, ESPN!J:J), "N/A")</f>
        <v>N/A</v>
      </c>
      <c r="Q255" s="26" t="str" cm="1">
        <f t="array" ref="Q255">IFERROR(_xlfn.XLOOKUP(C255&amp;A255, ESPN!A:A&amp;ESPN!C:C, ESPN!K:K), "N/A")</f>
        <v>N/A</v>
      </c>
    </row>
    <row r="256" spans="1:17" x14ac:dyDescent="0.45">
      <c r="A256" s="6">
        <v>2024</v>
      </c>
      <c r="B256" s="1" t="s">
        <v>202</v>
      </c>
      <c r="C256" s="2" t="str">
        <f t="shared" si="6"/>
        <v>Cordarrelle Patterson</v>
      </c>
      <c r="D256" s="2" t="str">
        <f t="shared" si="7"/>
        <v>PIT</v>
      </c>
      <c r="E256" s="2">
        <v>13</v>
      </c>
      <c r="F256" s="13">
        <v>14</v>
      </c>
      <c r="G256" s="14">
        <v>12</v>
      </c>
      <c r="H256" s="14">
        <v>80</v>
      </c>
      <c r="I256" s="14">
        <v>6.7</v>
      </c>
      <c r="J256" s="14">
        <v>1</v>
      </c>
      <c r="K256" s="14">
        <v>1</v>
      </c>
      <c r="L256" s="11" t="str" cm="1">
        <f t="array" ref="L256">IFERROR(_xlfn.XLOOKUP(C256&amp;A256, ESPN!A:A&amp;ESPN!C:C, ESPN!D:D), "N/A")</f>
        <v>N/A</v>
      </c>
      <c r="M256" s="23" t="str" cm="1">
        <f t="array" ref="M256">IFERROR(_xlfn.XLOOKUP(C256&amp;A256, ESPN!A:A&amp;ESPN!C:C, ESPN!G:G), "N/A")</f>
        <v>N/A</v>
      </c>
      <c r="N256" s="23" t="str" cm="1">
        <f t="array" ref="N256">IFERROR(_xlfn.XLOOKUP(C256&amp;A256, ESPN!A:A&amp;ESPN!C:C, ESPN!H:H), "N/A")</f>
        <v>N/A</v>
      </c>
      <c r="O256" s="26" t="str" cm="1">
        <f t="array" ref="O256">IFERROR(_xlfn.XLOOKUP(C256&amp;A256, ESPN!A:A&amp;ESPN!C:C, ESPN!I:I), "N/A")</f>
        <v>N/A</v>
      </c>
      <c r="P256" s="26" t="str" cm="1">
        <f t="array" ref="P256">IFERROR(_xlfn.XLOOKUP(C256&amp;A256, ESPN!A:A&amp;ESPN!C:C, ESPN!J:J), "N/A")</f>
        <v>N/A</v>
      </c>
      <c r="Q256" s="26" t="str" cm="1">
        <f t="array" ref="Q256">IFERROR(_xlfn.XLOOKUP(C256&amp;A256, ESPN!A:A&amp;ESPN!C:C, ESPN!K:K), "N/A")</f>
        <v>N/A</v>
      </c>
    </row>
    <row r="257" spans="1:17" x14ac:dyDescent="0.45">
      <c r="A257" s="7">
        <v>2024</v>
      </c>
      <c r="B257" s="3" t="s">
        <v>57</v>
      </c>
      <c r="C257" s="4" t="str">
        <f t="shared" si="6"/>
        <v>Michael Carter</v>
      </c>
      <c r="D257" s="4" t="str">
        <f t="shared" si="7"/>
        <v>ARI</v>
      </c>
      <c r="E257" s="4">
        <v>4</v>
      </c>
      <c r="F257" s="12">
        <v>11</v>
      </c>
      <c r="G257" s="11">
        <v>11</v>
      </c>
      <c r="H257" s="11">
        <v>57</v>
      </c>
      <c r="I257" s="11">
        <v>5.2</v>
      </c>
      <c r="J257" s="11">
        <v>0</v>
      </c>
      <c r="K257" s="11">
        <v>0</v>
      </c>
      <c r="L257" s="11" t="str" cm="1">
        <f t="array" ref="L257">IFERROR(_xlfn.XLOOKUP(C257&amp;A257, ESPN!A:A&amp;ESPN!C:C, ESPN!D:D), "N/A")</f>
        <v>N/A</v>
      </c>
      <c r="M257" s="23" t="str" cm="1">
        <f t="array" ref="M257">IFERROR(_xlfn.XLOOKUP(C257&amp;A257, ESPN!A:A&amp;ESPN!C:C, ESPN!G:G), "N/A")</f>
        <v>N/A</v>
      </c>
      <c r="N257" s="23" t="str" cm="1">
        <f t="array" ref="N257">IFERROR(_xlfn.XLOOKUP(C257&amp;A257, ESPN!A:A&amp;ESPN!C:C, ESPN!H:H), "N/A")</f>
        <v>N/A</v>
      </c>
      <c r="O257" s="26" t="str" cm="1">
        <f t="array" ref="O257">IFERROR(_xlfn.XLOOKUP(C257&amp;A257, ESPN!A:A&amp;ESPN!C:C, ESPN!I:I), "N/A")</f>
        <v>N/A</v>
      </c>
      <c r="P257" s="26" t="str" cm="1">
        <f t="array" ref="P257">IFERROR(_xlfn.XLOOKUP(C257&amp;A257, ESPN!A:A&amp;ESPN!C:C, ESPN!J:J), "N/A")</f>
        <v>N/A</v>
      </c>
      <c r="Q257" s="26" t="str" cm="1">
        <f t="array" ref="Q257">IFERROR(_xlfn.XLOOKUP(C257&amp;A257, ESPN!A:A&amp;ESPN!C:C, ESPN!K:K), "N/A")</f>
        <v>N/A</v>
      </c>
    </row>
    <row r="258" spans="1:17" x14ac:dyDescent="0.45">
      <c r="A258" s="6">
        <v>2024</v>
      </c>
      <c r="B258" s="1" t="s">
        <v>72</v>
      </c>
      <c r="C258" s="2" t="str">
        <f t="shared" ref="C258:C321" si="8">TRIM(LEFT(B258, LEN(B258) - LEN(TRIM(RIGHT(SUBSTITUTE(TRIM(B258)," ",REPT(" ",100)),100)))))</f>
        <v>Kendre Miller</v>
      </c>
      <c r="D258" s="2" t="str">
        <f t="shared" ref="D258:D321" si="9">MID(B258, FIND("(", B258) + 1, FIND(")", B258) - FIND("(", B258) - 1)</f>
        <v>NO</v>
      </c>
      <c r="E258" s="2">
        <v>7</v>
      </c>
      <c r="F258" s="13">
        <v>8</v>
      </c>
      <c r="G258" s="14">
        <v>5</v>
      </c>
      <c r="H258" s="14">
        <v>33</v>
      </c>
      <c r="I258" s="14">
        <v>6.6</v>
      </c>
      <c r="J258" s="14">
        <v>0</v>
      </c>
      <c r="K258" s="14">
        <v>0</v>
      </c>
      <c r="L258" s="11" t="str" cm="1">
        <f t="array" ref="L258">IFERROR(_xlfn.XLOOKUP(C258&amp;A258, ESPN!A:A&amp;ESPN!C:C, ESPN!D:D), "N/A")</f>
        <v>N/A</v>
      </c>
      <c r="M258" s="23" t="str" cm="1">
        <f t="array" ref="M258">IFERROR(_xlfn.XLOOKUP(C258&amp;A258, ESPN!A:A&amp;ESPN!C:C, ESPN!G:G), "N/A")</f>
        <v>N/A</v>
      </c>
      <c r="N258" s="23" t="str" cm="1">
        <f t="array" ref="N258">IFERROR(_xlfn.XLOOKUP(C258&amp;A258, ESPN!A:A&amp;ESPN!C:C, ESPN!H:H), "N/A")</f>
        <v>N/A</v>
      </c>
      <c r="O258" s="26" t="str" cm="1">
        <f t="array" ref="O258">IFERROR(_xlfn.XLOOKUP(C258&amp;A258, ESPN!A:A&amp;ESPN!C:C, ESPN!I:I), "N/A")</f>
        <v>N/A</v>
      </c>
      <c r="P258" s="26" t="str" cm="1">
        <f t="array" ref="P258">IFERROR(_xlfn.XLOOKUP(C258&amp;A258, ESPN!A:A&amp;ESPN!C:C, ESPN!J:J), "N/A")</f>
        <v>N/A</v>
      </c>
      <c r="Q258" s="26" t="str" cm="1">
        <f t="array" ref="Q258">IFERROR(_xlfn.XLOOKUP(C258&amp;A258, ESPN!A:A&amp;ESPN!C:C, ESPN!K:K), "N/A")</f>
        <v>N/A</v>
      </c>
    </row>
    <row r="259" spans="1:17" x14ac:dyDescent="0.45">
      <c r="A259" s="7">
        <v>2024</v>
      </c>
      <c r="B259" s="3" t="s">
        <v>203</v>
      </c>
      <c r="C259" s="4" t="str">
        <f t="shared" si="8"/>
        <v>D'Ernest Johnson</v>
      </c>
      <c r="D259" s="4" t="str">
        <f t="shared" si="9"/>
        <v>JAC</v>
      </c>
      <c r="E259" s="4">
        <v>12</v>
      </c>
      <c r="F259" s="12">
        <v>19</v>
      </c>
      <c r="G259" s="11">
        <v>12</v>
      </c>
      <c r="H259" s="11">
        <v>96</v>
      </c>
      <c r="I259" s="11">
        <v>8</v>
      </c>
      <c r="J259" s="11">
        <v>0</v>
      </c>
      <c r="K259" s="11">
        <v>0</v>
      </c>
      <c r="L259" s="11" t="str" cm="1">
        <f t="array" ref="L259">IFERROR(_xlfn.XLOOKUP(C259&amp;A259, ESPN!A:A&amp;ESPN!C:C, ESPN!D:D), "N/A")</f>
        <v>N/A</v>
      </c>
      <c r="M259" s="23" t="str" cm="1">
        <f t="array" ref="M259">IFERROR(_xlfn.XLOOKUP(C259&amp;A259, ESPN!A:A&amp;ESPN!C:C, ESPN!G:G), "N/A")</f>
        <v>N/A</v>
      </c>
      <c r="N259" s="23" t="str" cm="1">
        <f t="array" ref="N259">IFERROR(_xlfn.XLOOKUP(C259&amp;A259, ESPN!A:A&amp;ESPN!C:C, ESPN!H:H), "N/A")</f>
        <v>N/A</v>
      </c>
      <c r="O259" s="26" t="str" cm="1">
        <f t="array" ref="O259">IFERROR(_xlfn.XLOOKUP(C259&amp;A259, ESPN!A:A&amp;ESPN!C:C, ESPN!I:I), "N/A")</f>
        <v>N/A</v>
      </c>
      <c r="P259" s="26" t="str" cm="1">
        <f t="array" ref="P259">IFERROR(_xlfn.XLOOKUP(C259&amp;A259, ESPN!A:A&amp;ESPN!C:C, ESPN!J:J), "N/A")</f>
        <v>N/A</v>
      </c>
      <c r="Q259" s="26" t="str" cm="1">
        <f t="array" ref="Q259">IFERROR(_xlfn.XLOOKUP(C259&amp;A259, ESPN!A:A&amp;ESPN!C:C, ESPN!K:K), "N/A")</f>
        <v>N/A</v>
      </c>
    </row>
    <row r="260" spans="1:17" x14ac:dyDescent="0.45">
      <c r="A260" s="6">
        <v>2024</v>
      </c>
      <c r="B260" s="1" t="s">
        <v>61</v>
      </c>
      <c r="C260" s="2" t="str">
        <f t="shared" si="8"/>
        <v>Jaylen Wright</v>
      </c>
      <c r="D260" s="2" t="str">
        <f t="shared" si="9"/>
        <v>MIA</v>
      </c>
      <c r="E260" s="2">
        <v>15</v>
      </c>
      <c r="F260" s="13">
        <v>6</v>
      </c>
      <c r="G260" s="14">
        <v>3</v>
      </c>
      <c r="H260" s="14">
        <v>8</v>
      </c>
      <c r="I260" s="14">
        <v>2.7</v>
      </c>
      <c r="J260" s="14">
        <v>0</v>
      </c>
      <c r="K260" s="14">
        <v>1</v>
      </c>
      <c r="L260" s="11" t="str" cm="1">
        <f t="array" ref="L260">IFERROR(_xlfn.XLOOKUP(C260&amp;A260, ESPN!A:A&amp;ESPN!C:C, ESPN!D:D), "N/A")</f>
        <v>N/A</v>
      </c>
      <c r="M260" s="23" t="str" cm="1">
        <f t="array" ref="M260">IFERROR(_xlfn.XLOOKUP(C260&amp;A260, ESPN!A:A&amp;ESPN!C:C, ESPN!G:G), "N/A")</f>
        <v>N/A</v>
      </c>
      <c r="N260" s="23" t="str" cm="1">
        <f t="array" ref="N260">IFERROR(_xlfn.XLOOKUP(C260&amp;A260, ESPN!A:A&amp;ESPN!C:C, ESPN!H:H), "N/A")</f>
        <v>N/A</v>
      </c>
      <c r="O260" s="26" t="str" cm="1">
        <f t="array" ref="O260">IFERROR(_xlfn.XLOOKUP(C260&amp;A260, ESPN!A:A&amp;ESPN!C:C, ESPN!I:I), "N/A")</f>
        <v>N/A</v>
      </c>
      <c r="P260" s="26" t="str" cm="1">
        <f t="array" ref="P260">IFERROR(_xlfn.XLOOKUP(C260&amp;A260, ESPN!A:A&amp;ESPN!C:C, ESPN!J:J), "N/A")</f>
        <v>N/A</v>
      </c>
      <c r="Q260" s="26" t="str" cm="1">
        <f t="array" ref="Q260">IFERROR(_xlfn.XLOOKUP(C260&amp;A260, ESPN!A:A&amp;ESPN!C:C, ESPN!K:K), "N/A")</f>
        <v>N/A</v>
      </c>
    </row>
    <row r="261" spans="1:17" x14ac:dyDescent="0.45">
      <c r="A261" s="7">
        <v>2024</v>
      </c>
      <c r="B261" s="3" t="s">
        <v>118</v>
      </c>
      <c r="C261" s="4" t="str">
        <f t="shared" si="8"/>
        <v>Zamir White</v>
      </c>
      <c r="D261" s="4" t="str">
        <f t="shared" si="9"/>
        <v>LV</v>
      </c>
      <c r="E261" s="4">
        <v>8</v>
      </c>
      <c r="F261" s="12">
        <v>8</v>
      </c>
      <c r="G261" s="11">
        <v>6</v>
      </c>
      <c r="H261" s="11">
        <v>30</v>
      </c>
      <c r="I261" s="11">
        <v>5</v>
      </c>
      <c r="J261" s="11">
        <v>0</v>
      </c>
      <c r="K261" s="11">
        <v>2</v>
      </c>
      <c r="L261" s="11" t="str" cm="1">
        <f t="array" ref="L261">IFERROR(_xlfn.XLOOKUP(C261&amp;A261, ESPN!A:A&amp;ESPN!C:C, ESPN!D:D), "N/A")</f>
        <v>N/A</v>
      </c>
      <c r="M261" s="23" t="str" cm="1">
        <f t="array" ref="M261">IFERROR(_xlfn.XLOOKUP(C261&amp;A261, ESPN!A:A&amp;ESPN!C:C, ESPN!G:G), "N/A")</f>
        <v>N/A</v>
      </c>
      <c r="N261" s="23" t="str" cm="1">
        <f t="array" ref="N261">IFERROR(_xlfn.XLOOKUP(C261&amp;A261, ESPN!A:A&amp;ESPN!C:C, ESPN!H:H), "N/A")</f>
        <v>N/A</v>
      </c>
      <c r="O261" s="26" t="str" cm="1">
        <f t="array" ref="O261">IFERROR(_xlfn.XLOOKUP(C261&amp;A261, ESPN!A:A&amp;ESPN!C:C, ESPN!I:I), "N/A")</f>
        <v>N/A</v>
      </c>
      <c r="P261" s="26" t="str" cm="1">
        <f t="array" ref="P261">IFERROR(_xlfn.XLOOKUP(C261&amp;A261, ESPN!A:A&amp;ESPN!C:C, ESPN!J:J), "N/A")</f>
        <v>N/A</v>
      </c>
      <c r="Q261" s="26" t="str" cm="1">
        <f t="array" ref="Q261">IFERROR(_xlfn.XLOOKUP(C261&amp;A261, ESPN!A:A&amp;ESPN!C:C, ESPN!K:K), "N/A")</f>
        <v>N/A</v>
      </c>
    </row>
    <row r="262" spans="1:17" x14ac:dyDescent="0.45">
      <c r="A262" s="6">
        <v>2024</v>
      </c>
      <c r="B262" s="1" t="s">
        <v>107</v>
      </c>
      <c r="C262" s="2" t="str">
        <f t="shared" si="8"/>
        <v>Ty Chandler</v>
      </c>
      <c r="D262" s="2" t="str">
        <f t="shared" si="9"/>
        <v>MIN</v>
      </c>
      <c r="E262" s="2">
        <v>15</v>
      </c>
      <c r="F262" s="13">
        <v>6</v>
      </c>
      <c r="G262" s="14">
        <v>6</v>
      </c>
      <c r="H262" s="14">
        <v>42</v>
      </c>
      <c r="I262" s="14">
        <v>7</v>
      </c>
      <c r="J262" s="14">
        <v>0</v>
      </c>
      <c r="K262" s="14">
        <v>0</v>
      </c>
      <c r="L262" s="11" t="str" cm="1">
        <f t="array" ref="L262">IFERROR(_xlfn.XLOOKUP(C262&amp;A262, ESPN!A:A&amp;ESPN!C:C, ESPN!D:D), "N/A")</f>
        <v>N/A</v>
      </c>
      <c r="M262" s="23" t="str" cm="1">
        <f t="array" ref="M262">IFERROR(_xlfn.XLOOKUP(C262&amp;A262, ESPN!A:A&amp;ESPN!C:C, ESPN!G:G), "N/A")</f>
        <v>N/A</v>
      </c>
      <c r="N262" s="23" t="str" cm="1">
        <f t="array" ref="N262">IFERROR(_xlfn.XLOOKUP(C262&amp;A262, ESPN!A:A&amp;ESPN!C:C, ESPN!H:H), "N/A")</f>
        <v>N/A</v>
      </c>
      <c r="O262" s="26" t="str" cm="1">
        <f t="array" ref="O262">IFERROR(_xlfn.XLOOKUP(C262&amp;A262, ESPN!A:A&amp;ESPN!C:C, ESPN!I:I), "N/A")</f>
        <v>N/A</v>
      </c>
      <c r="P262" s="26" t="str" cm="1">
        <f t="array" ref="P262">IFERROR(_xlfn.XLOOKUP(C262&amp;A262, ESPN!A:A&amp;ESPN!C:C, ESPN!J:J), "N/A")</f>
        <v>N/A</v>
      </c>
      <c r="Q262" s="26" t="str" cm="1">
        <f t="array" ref="Q262">IFERROR(_xlfn.XLOOKUP(C262&amp;A262, ESPN!A:A&amp;ESPN!C:C, ESPN!K:K), "N/A")</f>
        <v>N/A</v>
      </c>
    </row>
    <row r="263" spans="1:17" x14ac:dyDescent="0.45">
      <c r="A263" s="7">
        <v>2024</v>
      </c>
      <c r="B263" s="3" t="s">
        <v>204</v>
      </c>
      <c r="C263" s="4" t="str">
        <f t="shared" si="8"/>
        <v>Khalil Herbert</v>
      </c>
      <c r="D263" s="4" t="str">
        <f t="shared" si="9"/>
        <v>CIN</v>
      </c>
      <c r="E263" s="4">
        <v>12</v>
      </c>
      <c r="F263" s="12">
        <v>11</v>
      </c>
      <c r="G263" s="11">
        <v>10</v>
      </c>
      <c r="H263" s="11">
        <v>25</v>
      </c>
      <c r="I263" s="11">
        <v>2.5</v>
      </c>
      <c r="J263" s="11">
        <v>0</v>
      </c>
      <c r="K263" s="11">
        <v>0</v>
      </c>
      <c r="L263" s="11" t="str" cm="1">
        <f t="array" ref="L263">IFERROR(_xlfn.XLOOKUP(C263&amp;A263, ESPN!A:A&amp;ESPN!C:C, ESPN!D:D), "N/A")</f>
        <v>N/A</v>
      </c>
      <c r="M263" s="23" t="str" cm="1">
        <f t="array" ref="M263">IFERROR(_xlfn.XLOOKUP(C263&amp;A263, ESPN!A:A&amp;ESPN!C:C, ESPN!G:G), "N/A")</f>
        <v>N/A</v>
      </c>
      <c r="N263" s="23" t="str" cm="1">
        <f t="array" ref="N263">IFERROR(_xlfn.XLOOKUP(C263&amp;A263, ESPN!A:A&amp;ESPN!C:C, ESPN!H:H), "N/A")</f>
        <v>N/A</v>
      </c>
      <c r="O263" s="26" t="str" cm="1">
        <f t="array" ref="O263">IFERROR(_xlfn.XLOOKUP(C263&amp;A263, ESPN!A:A&amp;ESPN!C:C, ESPN!I:I), "N/A")</f>
        <v>N/A</v>
      </c>
      <c r="P263" s="26" t="str" cm="1">
        <f t="array" ref="P263">IFERROR(_xlfn.XLOOKUP(C263&amp;A263, ESPN!A:A&amp;ESPN!C:C, ESPN!J:J), "N/A")</f>
        <v>N/A</v>
      </c>
      <c r="Q263" s="26" t="str" cm="1">
        <f t="array" ref="Q263">IFERROR(_xlfn.XLOOKUP(C263&amp;A263, ESPN!A:A&amp;ESPN!C:C, ESPN!K:K), "N/A")</f>
        <v>N/A</v>
      </c>
    </row>
    <row r="264" spans="1:17" x14ac:dyDescent="0.45">
      <c r="A264" s="6">
        <v>2024</v>
      </c>
      <c r="B264" s="1" t="s">
        <v>205</v>
      </c>
      <c r="C264" s="2" t="str">
        <f t="shared" si="8"/>
        <v>Sincere McCormick</v>
      </c>
      <c r="D264" s="2" t="str">
        <f t="shared" si="9"/>
        <v>LV</v>
      </c>
      <c r="E264" s="2">
        <v>4</v>
      </c>
      <c r="F264" s="13">
        <v>7</v>
      </c>
      <c r="G264" s="14">
        <v>6</v>
      </c>
      <c r="H264" s="14">
        <v>29</v>
      </c>
      <c r="I264" s="14">
        <v>4.8</v>
      </c>
      <c r="J264" s="14">
        <v>0</v>
      </c>
      <c r="K264" s="14">
        <v>0</v>
      </c>
      <c r="L264" s="11" t="str" cm="1">
        <f t="array" ref="L264">IFERROR(_xlfn.XLOOKUP(C264&amp;A264, ESPN!A:A&amp;ESPN!C:C, ESPN!D:D), "N/A")</f>
        <v>N/A</v>
      </c>
      <c r="M264" s="23" t="str" cm="1">
        <f t="array" ref="M264">IFERROR(_xlfn.XLOOKUP(C264&amp;A264, ESPN!A:A&amp;ESPN!C:C, ESPN!G:G), "N/A")</f>
        <v>N/A</v>
      </c>
      <c r="N264" s="23" t="str" cm="1">
        <f t="array" ref="N264">IFERROR(_xlfn.XLOOKUP(C264&amp;A264, ESPN!A:A&amp;ESPN!C:C, ESPN!H:H), "N/A")</f>
        <v>N/A</v>
      </c>
      <c r="O264" s="26" t="str" cm="1">
        <f t="array" ref="O264">IFERROR(_xlfn.XLOOKUP(C264&amp;A264, ESPN!A:A&amp;ESPN!C:C, ESPN!I:I), "N/A")</f>
        <v>N/A</v>
      </c>
      <c r="P264" s="26" t="str" cm="1">
        <f t="array" ref="P264">IFERROR(_xlfn.XLOOKUP(C264&amp;A264, ESPN!A:A&amp;ESPN!C:C, ESPN!J:J), "N/A")</f>
        <v>N/A</v>
      </c>
      <c r="Q264" s="26" t="str" cm="1">
        <f t="array" ref="Q264">IFERROR(_xlfn.XLOOKUP(C264&amp;A264, ESPN!A:A&amp;ESPN!C:C, ESPN!K:K), "N/A")</f>
        <v>N/A</v>
      </c>
    </row>
    <row r="265" spans="1:17" x14ac:dyDescent="0.45">
      <c r="A265" s="7">
        <v>2024</v>
      </c>
      <c r="B265" s="3" t="s">
        <v>206</v>
      </c>
      <c r="C265" s="4" t="str">
        <f t="shared" si="8"/>
        <v>Pierre Strong Jr.</v>
      </c>
      <c r="D265" s="4" t="str">
        <f t="shared" si="9"/>
        <v>CLE</v>
      </c>
      <c r="E265" s="4">
        <v>13</v>
      </c>
      <c r="F265" s="12">
        <v>22</v>
      </c>
      <c r="G265" s="11">
        <v>14</v>
      </c>
      <c r="H265" s="11">
        <v>104</v>
      </c>
      <c r="I265" s="11">
        <v>7.4</v>
      </c>
      <c r="J265" s="11">
        <v>0</v>
      </c>
      <c r="K265" s="11">
        <v>0</v>
      </c>
      <c r="L265" s="11" t="str" cm="1">
        <f t="array" ref="L265">IFERROR(_xlfn.XLOOKUP(C265&amp;A265, ESPN!A:A&amp;ESPN!C:C, ESPN!D:D), "N/A")</f>
        <v>N/A</v>
      </c>
      <c r="M265" s="23" t="str" cm="1">
        <f t="array" ref="M265">IFERROR(_xlfn.XLOOKUP(C265&amp;A265, ESPN!A:A&amp;ESPN!C:C, ESPN!G:G), "N/A")</f>
        <v>N/A</v>
      </c>
      <c r="N265" s="23" t="str" cm="1">
        <f t="array" ref="N265">IFERROR(_xlfn.XLOOKUP(C265&amp;A265, ESPN!A:A&amp;ESPN!C:C, ESPN!H:H), "N/A")</f>
        <v>N/A</v>
      </c>
      <c r="O265" s="26" t="str" cm="1">
        <f t="array" ref="O265">IFERROR(_xlfn.XLOOKUP(C265&amp;A265, ESPN!A:A&amp;ESPN!C:C, ESPN!I:I), "N/A")</f>
        <v>N/A</v>
      </c>
      <c r="P265" s="26" t="str" cm="1">
        <f t="array" ref="P265">IFERROR(_xlfn.XLOOKUP(C265&amp;A265, ESPN!A:A&amp;ESPN!C:C, ESPN!J:J), "N/A")</f>
        <v>N/A</v>
      </c>
      <c r="Q265" s="26" t="str" cm="1">
        <f t="array" ref="Q265">IFERROR(_xlfn.XLOOKUP(C265&amp;A265, ESPN!A:A&amp;ESPN!C:C, ESPN!K:K), "N/A")</f>
        <v>N/A</v>
      </c>
    </row>
    <row r="266" spans="1:17" x14ac:dyDescent="0.45">
      <c r="A266" s="6">
        <v>2024</v>
      </c>
      <c r="B266" s="1" t="s">
        <v>207</v>
      </c>
      <c r="C266" s="2" t="str">
        <f t="shared" si="8"/>
        <v>Kenny McIntosh</v>
      </c>
      <c r="D266" s="2" t="str">
        <f t="shared" si="9"/>
        <v>SEA</v>
      </c>
      <c r="E266" s="2">
        <v>12</v>
      </c>
      <c r="F266" s="13">
        <v>4</v>
      </c>
      <c r="G266" s="14">
        <v>3</v>
      </c>
      <c r="H266" s="14">
        <v>22</v>
      </c>
      <c r="I266" s="14">
        <v>7.3</v>
      </c>
      <c r="J266" s="14">
        <v>0</v>
      </c>
      <c r="K266" s="14">
        <v>0</v>
      </c>
      <c r="L266" s="11" t="str" cm="1">
        <f t="array" ref="L266">IFERROR(_xlfn.XLOOKUP(C266&amp;A266, ESPN!A:A&amp;ESPN!C:C, ESPN!D:D), "N/A")</f>
        <v>N/A</v>
      </c>
      <c r="M266" s="23" t="str" cm="1">
        <f t="array" ref="M266">IFERROR(_xlfn.XLOOKUP(C266&amp;A266, ESPN!A:A&amp;ESPN!C:C, ESPN!G:G), "N/A")</f>
        <v>N/A</v>
      </c>
      <c r="N266" s="23" t="str" cm="1">
        <f t="array" ref="N266">IFERROR(_xlfn.XLOOKUP(C266&amp;A266, ESPN!A:A&amp;ESPN!C:C, ESPN!H:H), "N/A")</f>
        <v>N/A</v>
      </c>
      <c r="O266" s="26" t="str" cm="1">
        <f t="array" ref="O266">IFERROR(_xlfn.XLOOKUP(C266&amp;A266, ESPN!A:A&amp;ESPN!C:C, ESPN!I:I), "N/A")</f>
        <v>N/A</v>
      </c>
      <c r="P266" s="26" t="str" cm="1">
        <f t="array" ref="P266">IFERROR(_xlfn.XLOOKUP(C266&amp;A266, ESPN!A:A&amp;ESPN!C:C, ESPN!J:J), "N/A")</f>
        <v>N/A</v>
      </c>
      <c r="Q266" s="26" t="str" cm="1">
        <f t="array" ref="Q266">IFERROR(_xlfn.XLOOKUP(C266&amp;A266, ESPN!A:A&amp;ESPN!C:C, ESPN!K:K), "N/A")</f>
        <v>N/A</v>
      </c>
    </row>
    <row r="267" spans="1:17" x14ac:dyDescent="0.45">
      <c r="A267" s="7">
        <v>2024</v>
      </c>
      <c r="B267" s="3" t="s">
        <v>153</v>
      </c>
      <c r="C267" s="4" t="str">
        <f t="shared" si="8"/>
        <v>Michael Burton</v>
      </c>
      <c r="D267" s="4" t="str">
        <f t="shared" si="9"/>
        <v>DEN</v>
      </c>
      <c r="E267" s="4">
        <v>17</v>
      </c>
      <c r="F267" s="12">
        <v>10</v>
      </c>
      <c r="G267" s="11">
        <v>10</v>
      </c>
      <c r="H267" s="11">
        <v>65</v>
      </c>
      <c r="I267" s="11">
        <v>6.5</v>
      </c>
      <c r="J267" s="11">
        <v>1</v>
      </c>
      <c r="K267" s="11">
        <v>0</v>
      </c>
      <c r="L267" s="11" t="str" cm="1">
        <f t="array" ref="L267">IFERROR(_xlfn.XLOOKUP(C267&amp;A267, ESPN!A:A&amp;ESPN!C:C, ESPN!D:D), "N/A")</f>
        <v>N/A</v>
      </c>
      <c r="M267" s="23" t="str" cm="1">
        <f t="array" ref="M267">IFERROR(_xlfn.XLOOKUP(C267&amp;A267, ESPN!A:A&amp;ESPN!C:C, ESPN!G:G), "N/A")</f>
        <v>N/A</v>
      </c>
      <c r="N267" s="23" t="str" cm="1">
        <f t="array" ref="N267">IFERROR(_xlfn.XLOOKUP(C267&amp;A267, ESPN!A:A&amp;ESPN!C:C, ESPN!H:H), "N/A")</f>
        <v>N/A</v>
      </c>
      <c r="O267" s="26" t="str" cm="1">
        <f t="array" ref="O267">IFERROR(_xlfn.XLOOKUP(C267&amp;A267, ESPN!A:A&amp;ESPN!C:C, ESPN!I:I), "N/A")</f>
        <v>N/A</v>
      </c>
      <c r="P267" s="26" t="str" cm="1">
        <f t="array" ref="P267">IFERROR(_xlfn.XLOOKUP(C267&amp;A267, ESPN!A:A&amp;ESPN!C:C, ESPN!J:J), "N/A")</f>
        <v>N/A</v>
      </c>
      <c r="Q267" s="26" t="str" cm="1">
        <f t="array" ref="Q267">IFERROR(_xlfn.XLOOKUP(C267&amp;A267, ESPN!A:A&amp;ESPN!C:C, ESPN!K:K), "N/A")</f>
        <v>N/A</v>
      </c>
    </row>
    <row r="268" spans="1:17" x14ac:dyDescent="0.45">
      <c r="A268" s="6">
        <v>2024</v>
      </c>
      <c r="B268" s="1" t="s">
        <v>208</v>
      </c>
      <c r="C268" s="2" t="str">
        <f t="shared" si="8"/>
        <v>JaMycal Hasty</v>
      </c>
      <c r="D268" s="2" t="str">
        <f t="shared" si="9"/>
        <v>NE</v>
      </c>
      <c r="E268" s="2">
        <v>12</v>
      </c>
      <c r="F268" s="13">
        <v>12</v>
      </c>
      <c r="G268" s="14">
        <v>10</v>
      </c>
      <c r="H268" s="14">
        <v>59</v>
      </c>
      <c r="I268" s="14">
        <v>5.9</v>
      </c>
      <c r="J268" s="14">
        <v>1</v>
      </c>
      <c r="K268" s="14">
        <v>0</v>
      </c>
      <c r="L268" s="11" t="str" cm="1">
        <f t="array" ref="L268">IFERROR(_xlfn.XLOOKUP(C268&amp;A268, ESPN!A:A&amp;ESPN!C:C, ESPN!D:D), "N/A")</f>
        <v>N/A</v>
      </c>
      <c r="M268" s="23" t="str" cm="1">
        <f t="array" ref="M268">IFERROR(_xlfn.XLOOKUP(C268&amp;A268, ESPN!A:A&amp;ESPN!C:C, ESPN!G:G), "N/A")</f>
        <v>N/A</v>
      </c>
      <c r="N268" s="23" t="str" cm="1">
        <f t="array" ref="N268">IFERROR(_xlfn.XLOOKUP(C268&amp;A268, ESPN!A:A&amp;ESPN!C:C, ESPN!H:H), "N/A")</f>
        <v>N/A</v>
      </c>
      <c r="O268" s="26" t="str" cm="1">
        <f t="array" ref="O268">IFERROR(_xlfn.XLOOKUP(C268&amp;A268, ESPN!A:A&amp;ESPN!C:C, ESPN!I:I), "N/A")</f>
        <v>N/A</v>
      </c>
      <c r="P268" s="26" t="str" cm="1">
        <f t="array" ref="P268">IFERROR(_xlfn.XLOOKUP(C268&amp;A268, ESPN!A:A&amp;ESPN!C:C, ESPN!J:J), "N/A")</f>
        <v>N/A</v>
      </c>
      <c r="Q268" s="26" t="str" cm="1">
        <f t="array" ref="Q268">IFERROR(_xlfn.XLOOKUP(C268&amp;A268, ESPN!A:A&amp;ESPN!C:C, ESPN!K:K), "N/A")</f>
        <v>N/A</v>
      </c>
    </row>
    <row r="269" spans="1:17" x14ac:dyDescent="0.45">
      <c r="A269" s="7">
        <v>2024</v>
      </c>
      <c r="B269" s="3" t="s">
        <v>209</v>
      </c>
      <c r="C269" s="4" t="str">
        <f t="shared" si="8"/>
        <v>DeeJay Dallas</v>
      </c>
      <c r="D269" s="4" t="str">
        <f t="shared" si="9"/>
        <v>ARI</v>
      </c>
      <c r="E269" s="4">
        <v>16</v>
      </c>
      <c r="F269" s="12">
        <v>3</v>
      </c>
      <c r="G269" s="11">
        <v>3</v>
      </c>
      <c r="H269" s="11">
        <v>11</v>
      </c>
      <c r="I269" s="11">
        <v>3.7</v>
      </c>
      <c r="J269" s="11">
        <v>1</v>
      </c>
      <c r="K269" s="11">
        <v>0</v>
      </c>
      <c r="L269" s="11" t="str" cm="1">
        <f t="array" ref="L269">IFERROR(_xlfn.XLOOKUP(C269&amp;A269, ESPN!A:A&amp;ESPN!C:C, ESPN!D:D), "N/A")</f>
        <v>N/A</v>
      </c>
      <c r="M269" s="23" t="str" cm="1">
        <f t="array" ref="M269">IFERROR(_xlfn.XLOOKUP(C269&amp;A269, ESPN!A:A&amp;ESPN!C:C, ESPN!G:G), "N/A")</f>
        <v>N/A</v>
      </c>
      <c r="N269" s="23" t="str" cm="1">
        <f t="array" ref="N269">IFERROR(_xlfn.XLOOKUP(C269&amp;A269, ESPN!A:A&amp;ESPN!C:C, ESPN!H:H), "N/A")</f>
        <v>N/A</v>
      </c>
      <c r="O269" s="26" t="str" cm="1">
        <f t="array" ref="O269">IFERROR(_xlfn.XLOOKUP(C269&amp;A269, ESPN!A:A&amp;ESPN!C:C, ESPN!I:I), "N/A")</f>
        <v>N/A</v>
      </c>
      <c r="P269" s="26" t="str" cm="1">
        <f t="array" ref="P269">IFERROR(_xlfn.XLOOKUP(C269&amp;A269, ESPN!A:A&amp;ESPN!C:C, ESPN!J:J), "N/A")</f>
        <v>N/A</v>
      </c>
      <c r="Q269" s="26" t="str" cm="1">
        <f t="array" ref="Q269">IFERROR(_xlfn.XLOOKUP(C269&amp;A269, ESPN!A:A&amp;ESPN!C:C, ESPN!K:K), "N/A")</f>
        <v>N/A</v>
      </c>
    </row>
    <row r="270" spans="1:17" x14ac:dyDescent="0.45">
      <c r="A270" s="6">
        <v>2024</v>
      </c>
      <c r="B270" s="1" t="s">
        <v>143</v>
      </c>
      <c r="C270" s="2" t="str">
        <f t="shared" si="8"/>
        <v>Craig Reynolds</v>
      </c>
      <c r="D270" s="2" t="str">
        <f t="shared" si="9"/>
        <v>DET</v>
      </c>
      <c r="E270" s="2">
        <v>14</v>
      </c>
      <c r="F270" s="13">
        <v>5</v>
      </c>
      <c r="G270" s="14">
        <v>3</v>
      </c>
      <c r="H270" s="14">
        <v>40</v>
      </c>
      <c r="I270" s="14">
        <v>13.3</v>
      </c>
      <c r="J270" s="14">
        <v>0</v>
      </c>
      <c r="K270" s="14">
        <v>0</v>
      </c>
      <c r="L270" s="11" t="str" cm="1">
        <f t="array" ref="L270">IFERROR(_xlfn.XLOOKUP(C270&amp;A270, ESPN!A:A&amp;ESPN!C:C, ESPN!D:D), "N/A")</f>
        <v>N/A</v>
      </c>
      <c r="M270" s="23" t="str" cm="1">
        <f t="array" ref="M270">IFERROR(_xlfn.XLOOKUP(C270&amp;A270, ESPN!A:A&amp;ESPN!C:C, ESPN!G:G), "N/A")</f>
        <v>N/A</v>
      </c>
      <c r="N270" s="23" t="str" cm="1">
        <f t="array" ref="N270">IFERROR(_xlfn.XLOOKUP(C270&amp;A270, ESPN!A:A&amp;ESPN!C:C, ESPN!H:H), "N/A")</f>
        <v>N/A</v>
      </c>
      <c r="O270" s="26" t="str" cm="1">
        <f t="array" ref="O270">IFERROR(_xlfn.XLOOKUP(C270&amp;A270, ESPN!A:A&amp;ESPN!C:C, ESPN!I:I), "N/A")</f>
        <v>N/A</v>
      </c>
      <c r="P270" s="26" t="str" cm="1">
        <f t="array" ref="P270">IFERROR(_xlfn.XLOOKUP(C270&amp;A270, ESPN!A:A&amp;ESPN!C:C, ESPN!J:J), "N/A")</f>
        <v>N/A</v>
      </c>
      <c r="Q270" s="26" t="str" cm="1">
        <f t="array" ref="Q270">IFERROR(_xlfn.XLOOKUP(C270&amp;A270, ESPN!A:A&amp;ESPN!C:C, ESPN!K:K), "N/A")</f>
        <v>N/A</v>
      </c>
    </row>
    <row r="271" spans="1:17" x14ac:dyDescent="0.45">
      <c r="A271" s="7">
        <v>2024</v>
      </c>
      <c r="B271" s="3" t="s">
        <v>210</v>
      </c>
      <c r="C271" s="4" t="str">
        <f t="shared" si="8"/>
        <v>Carson Steele</v>
      </c>
      <c r="D271" s="4" t="str">
        <f t="shared" si="9"/>
        <v>KC</v>
      </c>
      <c r="E271" s="4">
        <v>16</v>
      </c>
      <c r="F271" s="12">
        <v>11</v>
      </c>
      <c r="G271" s="11">
        <v>7</v>
      </c>
      <c r="H271" s="11">
        <v>26</v>
      </c>
      <c r="I271" s="11">
        <v>3.7</v>
      </c>
      <c r="J271" s="11">
        <v>0</v>
      </c>
      <c r="K271" s="11">
        <v>2</v>
      </c>
      <c r="L271" s="11" t="str" cm="1">
        <f t="array" ref="L271">IFERROR(_xlfn.XLOOKUP(C271&amp;A271, ESPN!A:A&amp;ESPN!C:C, ESPN!D:D), "N/A")</f>
        <v>N/A</v>
      </c>
      <c r="M271" s="23" t="str" cm="1">
        <f t="array" ref="M271">IFERROR(_xlfn.XLOOKUP(C271&amp;A271, ESPN!A:A&amp;ESPN!C:C, ESPN!G:G), "N/A")</f>
        <v>N/A</v>
      </c>
      <c r="N271" s="23" t="str" cm="1">
        <f t="array" ref="N271">IFERROR(_xlfn.XLOOKUP(C271&amp;A271, ESPN!A:A&amp;ESPN!C:C, ESPN!H:H), "N/A")</f>
        <v>N/A</v>
      </c>
      <c r="O271" s="26" t="str" cm="1">
        <f t="array" ref="O271">IFERROR(_xlfn.XLOOKUP(C271&amp;A271, ESPN!A:A&amp;ESPN!C:C, ESPN!I:I), "N/A")</f>
        <v>N/A</v>
      </c>
      <c r="P271" s="26" t="str" cm="1">
        <f t="array" ref="P271">IFERROR(_xlfn.XLOOKUP(C271&amp;A271, ESPN!A:A&amp;ESPN!C:C, ESPN!J:J), "N/A")</f>
        <v>N/A</v>
      </c>
      <c r="Q271" s="26" t="str" cm="1">
        <f t="array" ref="Q271">IFERROR(_xlfn.XLOOKUP(C271&amp;A271, ESPN!A:A&amp;ESPN!C:C, ESPN!K:K), "N/A")</f>
        <v>N/A</v>
      </c>
    </row>
    <row r="272" spans="1:17" x14ac:dyDescent="0.45">
      <c r="A272" s="6">
        <v>2024</v>
      </c>
      <c r="B272" s="1" t="s">
        <v>134</v>
      </c>
      <c r="C272" s="2" t="str">
        <f t="shared" si="8"/>
        <v>Alec Ingold</v>
      </c>
      <c r="D272" s="2" t="str">
        <f t="shared" si="9"/>
        <v>MIA</v>
      </c>
      <c r="E272" s="2">
        <v>15</v>
      </c>
      <c r="F272" s="13">
        <v>12</v>
      </c>
      <c r="G272" s="14">
        <v>11</v>
      </c>
      <c r="H272" s="14">
        <v>96</v>
      </c>
      <c r="I272" s="14">
        <v>8.6999999999999993</v>
      </c>
      <c r="J272" s="14">
        <v>0</v>
      </c>
      <c r="K272" s="14">
        <v>1</v>
      </c>
      <c r="L272" s="11" t="str" cm="1">
        <f t="array" ref="L272">IFERROR(_xlfn.XLOOKUP(C272&amp;A272, ESPN!A:A&amp;ESPN!C:C, ESPN!D:D), "N/A")</f>
        <v>N/A</v>
      </c>
      <c r="M272" s="23" t="str" cm="1">
        <f t="array" ref="M272">IFERROR(_xlfn.XLOOKUP(C272&amp;A272, ESPN!A:A&amp;ESPN!C:C, ESPN!G:G), "N/A")</f>
        <v>N/A</v>
      </c>
      <c r="N272" s="23" t="str" cm="1">
        <f t="array" ref="N272">IFERROR(_xlfn.XLOOKUP(C272&amp;A272, ESPN!A:A&amp;ESPN!C:C, ESPN!H:H), "N/A")</f>
        <v>N/A</v>
      </c>
      <c r="O272" s="26" t="str" cm="1">
        <f t="array" ref="O272">IFERROR(_xlfn.XLOOKUP(C272&amp;A272, ESPN!A:A&amp;ESPN!C:C, ESPN!I:I), "N/A")</f>
        <v>N/A</v>
      </c>
      <c r="P272" s="26" t="str" cm="1">
        <f t="array" ref="P272">IFERROR(_xlfn.XLOOKUP(C272&amp;A272, ESPN!A:A&amp;ESPN!C:C, ESPN!J:J), "N/A")</f>
        <v>N/A</v>
      </c>
      <c r="Q272" s="26" t="str" cm="1">
        <f t="array" ref="Q272">IFERROR(_xlfn.XLOOKUP(C272&amp;A272, ESPN!A:A&amp;ESPN!C:C, ESPN!K:K), "N/A")</f>
        <v>N/A</v>
      </c>
    </row>
    <row r="273" spans="1:17" x14ac:dyDescent="0.45">
      <c r="A273" s="7">
        <v>2024</v>
      </c>
      <c r="B273" s="3" t="s">
        <v>96</v>
      </c>
      <c r="C273" s="4" t="str">
        <f t="shared" si="8"/>
        <v>Hunter Luepke</v>
      </c>
      <c r="D273" s="4" t="str">
        <f t="shared" si="9"/>
        <v>DAL</v>
      </c>
      <c r="E273" s="4">
        <v>16</v>
      </c>
      <c r="F273" s="12">
        <v>16</v>
      </c>
      <c r="G273" s="11">
        <v>12</v>
      </c>
      <c r="H273" s="11">
        <v>111</v>
      </c>
      <c r="I273" s="11">
        <v>9.3000000000000007</v>
      </c>
      <c r="J273" s="11">
        <v>0</v>
      </c>
      <c r="K273" s="11">
        <v>0</v>
      </c>
      <c r="L273" s="11" t="str" cm="1">
        <f t="array" ref="L273">IFERROR(_xlfn.XLOOKUP(C273&amp;A273, ESPN!A:A&amp;ESPN!C:C, ESPN!D:D), "N/A")</f>
        <v>N/A</v>
      </c>
      <c r="M273" s="23" t="str" cm="1">
        <f t="array" ref="M273">IFERROR(_xlfn.XLOOKUP(C273&amp;A273, ESPN!A:A&amp;ESPN!C:C, ESPN!G:G), "N/A")</f>
        <v>N/A</v>
      </c>
      <c r="N273" s="23" t="str" cm="1">
        <f t="array" ref="N273">IFERROR(_xlfn.XLOOKUP(C273&amp;A273, ESPN!A:A&amp;ESPN!C:C, ESPN!H:H), "N/A")</f>
        <v>N/A</v>
      </c>
      <c r="O273" s="26" t="str" cm="1">
        <f t="array" ref="O273">IFERROR(_xlfn.XLOOKUP(C273&amp;A273, ESPN!A:A&amp;ESPN!C:C, ESPN!I:I), "N/A")</f>
        <v>N/A</v>
      </c>
      <c r="P273" s="26" t="str" cm="1">
        <f t="array" ref="P273">IFERROR(_xlfn.XLOOKUP(C273&amp;A273, ESPN!A:A&amp;ESPN!C:C, ESPN!J:J), "N/A")</f>
        <v>N/A</v>
      </c>
      <c r="Q273" s="26" t="str" cm="1">
        <f t="array" ref="Q273">IFERROR(_xlfn.XLOOKUP(C273&amp;A273, ESPN!A:A&amp;ESPN!C:C, ESPN!K:K), "N/A")</f>
        <v>N/A</v>
      </c>
    </row>
    <row r="274" spans="1:17" x14ac:dyDescent="0.45">
      <c r="A274" s="6">
        <v>2024</v>
      </c>
      <c r="B274" s="1" t="s">
        <v>144</v>
      </c>
      <c r="C274" s="2" t="str">
        <f t="shared" si="8"/>
        <v>Patrick Ricard</v>
      </c>
      <c r="D274" s="2" t="str">
        <f t="shared" si="9"/>
        <v>BAL</v>
      </c>
      <c r="E274" s="2">
        <v>17</v>
      </c>
      <c r="F274" s="13">
        <v>5</v>
      </c>
      <c r="G274" s="14">
        <v>3</v>
      </c>
      <c r="H274" s="14">
        <v>22</v>
      </c>
      <c r="I274" s="14">
        <v>7.3</v>
      </c>
      <c r="J274" s="14">
        <v>1</v>
      </c>
      <c r="K274" s="14">
        <v>0</v>
      </c>
      <c r="L274" s="11" t="str" cm="1">
        <f t="array" ref="L274">IFERROR(_xlfn.XLOOKUP(C274&amp;A274, ESPN!A:A&amp;ESPN!C:C, ESPN!D:D), "N/A")</f>
        <v>N/A</v>
      </c>
      <c r="M274" s="23" t="str" cm="1">
        <f t="array" ref="M274">IFERROR(_xlfn.XLOOKUP(C274&amp;A274, ESPN!A:A&amp;ESPN!C:C, ESPN!G:G), "N/A")</f>
        <v>N/A</v>
      </c>
      <c r="N274" s="23" t="str" cm="1">
        <f t="array" ref="N274">IFERROR(_xlfn.XLOOKUP(C274&amp;A274, ESPN!A:A&amp;ESPN!C:C, ESPN!H:H), "N/A")</f>
        <v>N/A</v>
      </c>
      <c r="O274" s="26" t="str" cm="1">
        <f t="array" ref="O274">IFERROR(_xlfn.XLOOKUP(C274&amp;A274, ESPN!A:A&amp;ESPN!C:C, ESPN!I:I), "N/A")</f>
        <v>N/A</v>
      </c>
      <c r="P274" s="26" t="str" cm="1">
        <f t="array" ref="P274">IFERROR(_xlfn.XLOOKUP(C274&amp;A274, ESPN!A:A&amp;ESPN!C:C, ESPN!J:J), "N/A")</f>
        <v>N/A</v>
      </c>
      <c r="Q274" s="26" t="str" cm="1">
        <f t="array" ref="Q274">IFERROR(_xlfn.XLOOKUP(C274&amp;A274, ESPN!A:A&amp;ESPN!C:C, ESPN!K:K), "N/A")</f>
        <v>N/A</v>
      </c>
    </row>
    <row r="275" spans="1:17" x14ac:dyDescent="0.45">
      <c r="A275" s="7">
        <v>2024</v>
      </c>
      <c r="B275" s="3" t="s">
        <v>211</v>
      </c>
      <c r="C275" s="4" t="str">
        <f t="shared" si="8"/>
        <v>Jordan Mims</v>
      </c>
      <c r="D275" s="4" t="str">
        <f t="shared" si="9"/>
        <v>NO</v>
      </c>
      <c r="E275" s="4">
        <v>8</v>
      </c>
      <c r="F275" s="12">
        <v>18</v>
      </c>
      <c r="G275" s="11">
        <v>12</v>
      </c>
      <c r="H275" s="11">
        <v>71</v>
      </c>
      <c r="I275" s="11">
        <v>5.9</v>
      </c>
      <c r="J275" s="11">
        <v>0</v>
      </c>
      <c r="K275" s="11">
        <v>0</v>
      </c>
      <c r="L275" s="11" t="str" cm="1">
        <f t="array" ref="L275">IFERROR(_xlfn.XLOOKUP(C275&amp;A275, ESPN!A:A&amp;ESPN!C:C, ESPN!D:D), "N/A")</f>
        <v>N/A</v>
      </c>
      <c r="M275" s="23" t="str" cm="1">
        <f t="array" ref="M275">IFERROR(_xlfn.XLOOKUP(C275&amp;A275, ESPN!A:A&amp;ESPN!C:C, ESPN!G:G), "N/A")</f>
        <v>N/A</v>
      </c>
      <c r="N275" s="23" t="str" cm="1">
        <f t="array" ref="N275">IFERROR(_xlfn.XLOOKUP(C275&amp;A275, ESPN!A:A&amp;ESPN!C:C, ESPN!H:H), "N/A")</f>
        <v>N/A</v>
      </c>
      <c r="O275" s="26" t="str" cm="1">
        <f t="array" ref="O275">IFERROR(_xlfn.XLOOKUP(C275&amp;A275, ESPN!A:A&amp;ESPN!C:C, ESPN!I:I), "N/A")</f>
        <v>N/A</v>
      </c>
      <c r="P275" s="26" t="str" cm="1">
        <f t="array" ref="P275">IFERROR(_xlfn.XLOOKUP(C275&amp;A275, ESPN!A:A&amp;ESPN!C:C, ESPN!J:J), "N/A")</f>
        <v>N/A</v>
      </c>
      <c r="Q275" s="26" t="str" cm="1">
        <f t="array" ref="Q275">IFERROR(_xlfn.XLOOKUP(C275&amp;A275, ESPN!A:A&amp;ESPN!C:C, ESPN!K:K), "N/A")</f>
        <v>N/A</v>
      </c>
    </row>
    <row r="276" spans="1:17" x14ac:dyDescent="0.45">
      <c r="A276" s="6">
        <v>2024</v>
      </c>
      <c r="B276" s="1" t="s">
        <v>109</v>
      </c>
      <c r="C276" s="2" t="str">
        <f t="shared" si="8"/>
        <v>Ronnie Rivers</v>
      </c>
      <c r="D276" s="2" t="str">
        <f t="shared" si="9"/>
        <v>LAR</v>
      </c>
      <c r="E276" s="2">
        <v>7</v>
      </c>
      <c r="F276" s="13">
        <v>6</v>
      </c>
      <c r="G276" s="14">
        <v>5</v>
      </c>
      <c r="H276" s="14">
        <v>34</v>
      </c>
      <c r="I276" s="14">
        <v>6.8</v>
      </c>
      <c r="J276" s="14">
        <v>0</v>
      </c>
      <c r="K276" s="14">
        <v>0</v>
      </c>
      <c r="L276" s="11" t="str" cm="1">
        <f t="array" ref="L276">IFERROR(_xlfn.XLOOKUP(C276&amp;A276, ESPN!A:A&amp;ESPN!C:C, ESPN!D:D), "N/A")</f>
        <v>N/A</v>
      </c>
      <c r="M276" s="23" t="str" cm="1">
        <f t="array" ref="M276">IFERROR(_xlfn.XLOOKUP(C276&amp;A276, ESPN!A:A&amp;ESPN!C:C, ESPN!G:G), "N/A")</f>
        <v>N/A</v>
      </c>
      <c r="N276" s="23" t="str" cm="1">
        <f t="array" ref="N276">IFERROR(_xlfn.XLOOKUP(C276&amp;A276, ESPN!A:A&amp;ESPN!C:C, ESPN!H:H), "N/A")</f>
        <v>N/A</v>
      </c>
      <c r="O276" s="26" t="str" cm="1">
        <f t="array" ref="O276">IFERROR(_xlfn.XLOOKUP(C276&amp;A276, ESPN!A:A&amp;ESPN!C:C, ESPN!I:I), "N/A")</f>
        <v>N/A</v>
      </c>
      <c r="P276" s="26" t="str" cm="1">
        <f t="array" ref="P276">IFERROR(_xlfn.XLOOKUP(C276&amp;A276, ESPN!A:A&amp;ESPN!C:C, ESPN!J:J), "N/A")</f>
        <v>N/A</v>
      </c>
      <c r="Q276" s="26" t="str" cm="1">
        <f t="array" ref="Q276">IFERROR(_xlfn.XLOOKUP(C276&amp;A276, ESPN!A:A&amp;ESPN!C:C, ESPN!K:K), "N/A")</f>
        <v>N/A</v>
      </c>
    </row>
    <row r="277" spans="1:17" x14ac:dyDescent="0.45">
      <c r="A277" s="7">
        <v>2024</v>
      </c>
      <c r="B277" s="3" t="s">
        <v>104</v>
      </c>
      <c r="C277" s="4" t="str">
        <f t="shared" si="8"/>
        <v>Will Shipley</v>
      </c>
      <c r="D277" s="4" t="str">
        <f t="shared" si="9"/>
        <v>PHI</v>
      </c>
      <c r="E277" s="4">
        <v>13</v>
      </c>
      <c r="F277" s="12">
        <v>4</v>
      </c>
      <c r="G277" s="11">
        <v>4</v>
      </c>
      <c r="H277" s="11">
        <v>35</v>
      </c>
      <c r="I277" s="11">
        <v>8.8000000000000007</v>
      </c>
      <c r="J277" s="11">
        <v>0</v>
      </c>
      <c r="K277" s="11">
        <v>0</v>
      </c>
      <c r="L277" s="11" t="str" cm="1">
        <f t="array" ref="L277">IFERROR(_xlfn.XLOOKUP(C277&amp;A277, ESPN!A:A&amp;ESPN!C:C, ESPN!D:D), "N/A")</f>
        <v>N/A</v>
      </c>
      <c r="M277" s="23" t="str" cm="1">
        <f t="array" ref="M277">IFERROR(_xlfn.XLOOKUP(C277&amp;A277, ESPN!A:A&amp;ESPN!C:C, ESPN!G:G), "N/A")</f>
        <v>N/A</v>
      </c>
      <c r="N277" s="23" t="str" cm="1">
        <f t="array" ref="N277">IFERROR(_xlfn.XLOOKUP(C277&amp;A277, ESPN!A:A&amp;ESPN!C:C, ESPN!H:H), "N/A")</f>
        <v>N/A</v>
      </c>
      <c r="O277" s="26" t="str" cm="1">
        <f t="array" ref="O277">IFERROR(_xlfn.XLOOKUP(C277&amp;A277, ESPN!A:A&amp;ESPN!C:C, ESPN!I:I), "N/A")</f>
        <v>N/A</v>
      </c>
      <c r="P277" s="26" t="str" cm="1">
        <f t="array" ref="P277">IFERROR(_xlfn.XLOOKUP(C277&amp;A277, ESPN!A:A&amp;ESPN!C:C, ESPN!J:J), "N/A")</f>
        <v>N/A</v>
      </c>
      <c r="Q277" s="26" t="str" cm="1">
        <f t="array" ref="Q277">IFERROR(_xlfn.XLOOKUP(C277&amp;A277, ESPN!A:A&amp;ESPN!C:C, ESPN!K:K), "N/A")</f>
        <v>N/A</v>
      </c>
    </row>
    <row r="278" spans="1:17" x14ac:dyDescent="0.45">
      <c r="A278" s="6">
        <v>2024</v>
      </c>
      <c r="B278" s="1" t="s">
        <v>212</v>
      </c>
      <c r="C278" s="2" t="str">
        <f t="shared" si="8"/>
        <v>Tony Jones Jr.</v>
      </c>
      <c r="D278" s="2" t="str">
        <f t="shared" si="9"/>
        <v>ARI</v>
      </c>
      <c r="E278" s="2">
        <v>1</v>
      </c>
      <c r="F278" s="13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1" t="str" cm="1">
        <f t="array" ref="L278">IFERROR(_xlfn.XLOOKUP(C278&amp;A278, ESPN!A:A&amp;ESPN!C:C, ESPN!D:D), "N/A")</f>
        <v>N/A</v>
      </c>
      <c r="M278" s="23" t="str" cm="1">
        <f t="array" ref="M278">IFERROR(_xlfn.XLOOKUP(C278&amp;A278, ESPN!A:A&amp;ESPN!C:C, ESPN!G:G), "N/A")</f>
        <v>N/A</v>
      </c>
      <c r="N278" s="23" t="str" cm="1">
        <f t="array" ref="N278">IFERROR(_xlfn.XLOOKUP(C278&amp;A278, ESPN!A:A&amp;ESPN!C:C, ESPN!H:H), "N/A")</f>
        <v>N/A</v>
      </c>
      <c r="O278" s="26" t="str" cm="1">
        <f t="array" ref="O278">IFERROR(_xlfn.XLOOKUP(C278&amp;A278, ESPN!A:A&amp;ESPN!C:C, ESPN!I:I), "N/A")</f>
        <v>N/A</v>
      </c>
      <c r="P278" s="26" t="str" cm="1">
        <f t="array" ref="P278">IFERROR(_xlfn.XLOOKUP(C278&amp;A278, ESPN!A:A&amp;ESPN!C:C, ESPN!J:J), "N/A")</f>
        <v>N/A</v>
      </c>
      <c r="Q278" s="26" t="str" cm="1">
        <f t="array" ref="Q278">IFERROR(_xlfn.XLOOKUP(C278&amp;A278, ESPN!A:A&amp;ESPN!C:C, ESPN!K:K), "N/A")</f>
        <v>N/A</v>
      </c>
    </row>
    <row r="279" spans="1:17" x14ac:dyDescent="0.45">
      <c r="A279" s="7">
        <v>2024</v>
      </c>
      <c r="B279" s="3" t="s">
        <v>114</v>
      </c>
      <c r="C279" s="4" t="str">
        <f t="shared" si="8"/>
        <v>Julius Chestnut</v>
      </c>
      <c r="D279" s="4" t="str">
        <f t="shared" si="9"/>
        <v>TEN</v>
      </c>
      <c r="E279" s="4">
        <v>14</v>
      </c>
      <c r="F279" s="12">
        <v>3</v>
      </c>
      <c r="G279" s="11">
        <v>2</v>
      </c>
      <c r="H279" s="11">
        <v>11</v>
      </c>
      <c r="I279" s="11">
        <v>5.5</v>
      </c>
      <c r="J279" s="11">
        <v>0</v>
      </c>
      <c r="K279" s="11">
        <v>0</v>
      </c>
      <c r="L279" s="11" t="str" cm="1">
        <f t="array" ref="L279">IFERROR(_xlfn.XLOOKUP(C279&amp;A279, ESPN!A:A&amp;ESPN!C:C, ESPN!D:D), "N/A")</f>
        <v>N/A</v>
      </c>
      <c r="M279" s="23" t="str" cm="1">
        <f t="array" ref="M279">IFERROR(_xlfn.XLOOKUP(C279&amp;A279, ESPN!A:A&amp;ESPN!C:C, ESPN!G:G), "N/A")</f>
        <v>N/A</v>
      </c>
      <c r="N279" s="23" t="str" cm="1">
        <f t="array" ref="N279">IFERROR(_xlfn.XLOOKUP(C279&amp;A279, ESPN!A:A&amp;ESPN!C:C, ESPN!H:H), "N/A")</f>
        <v>N/A</v>
      </c>
      <c r="O279" s="26" t="str" cm="1">
        <f t="array" ref="O279">IFERROR(_xlfn.XLOOKUP(C279&amp;A279, ESPN!A:A&amp;ESPN!C:C, ESPN!I:I), "N/A")</f>
        <v>N/A</v>
      </c>
      <c r="P279" s="26" t="str" cm="1">
        <f t="array" ref="P279">IFERROR(_xlfn.XLOOKUP(C279&amp;A279, ESPN!A:A&amp;ESPN!C:C, ESPN!J:J), "N/A")</f>
        <v>N/A</v>
      </c>
      <c r="Q279" s="26" t="str" cm="1">
        <f t="array" ref="Q279">IFERROR(_xlfn.XLOOKUP(C279&amp;A279, ESPN!A:A&amp;ESPN!C:C, ESPN!K:K), "N/A")</f>
        <v>N/A</v>
      </c>
    </row>
    <row r="280" spans="1:17" x14ac:dyDescent="0.45">
      <c r="A280" s="6">
        <v>2024</v>
      </c>
      <c r="B280" s="1" t="s">
        <v>213</v>
      </c>
      <c r="C280" s="2" t="str">
        <f t="shared" si="8"/>
        <v>Deuce Vaughn</v>
      </c>
      <c r="D280" s="2" t="str">
        <f t="shared" si="9"/>
        <v>DAL</v>
      </c>
      <c r="E280" s="2">
        <v>6</v>
      </c>
      <c r="F280" s="13">
        <v>5</v>
      </c>
      <c r="G280" s="14">
        <v>3</v>
      </c>
      <c r="H280" s="14">
        <v>18</v>
      </c>
      <c r="I280" s="14">
        <v>6</v>
      </c>
      <c r="J280" s="14">
        <v>0</v>
      </c>
      <c r="K280" s="14">
        <v>0</v>
      </c>
      <c r="L280" s="11" t="str" cm="1">
        <f t="array" ref="L280">IFERROR(_xlfn.XLOOKUP(C280&amp;A280, ESPN!A:A&amp;ESPN!C:C, ESPN!D:D), "N/A")</f>
        <v>N/A</v>
      </c>
      <c r="M280" s="23" t="str" cm="1">
        <f t="array" ref="M280">IFERROR(_xlfn.XLOOKUP(C280&amp;A280, ESPN!A:A&amp;ESPN!C:C, ESPN!G:G), "N/A")</f>
        <v>N/A</v>
      </c>
      <c r="N280" s="23" t="str" cm="1">
        <f t="array" ref="N280">IFERROR(_xlfn.XLOOKUP(C280&amp;A280, ESPN!A:A&amp;ESPN!C:C, ESPN!H:H), "N/A")</f>
        <v>N/A</v>
      </c>
      <c r="O280" s="26" t="str" cm="1">
        <f t="array" ref="O280">IFERROR(_xlfn.XLOOKUP(C280&amp;A280, ESPN!A:A&amp;ESPN!C:C, ESPN!I:I), "N/A")</f>
        <v>N/A</v>
      </c>
      <c r="P280" s="26" t="str" cm="1">
        <f t="array" ref="P280">IFERROR(_xlfn.XLOOKUP(C280&amp;A280, ESPN!A:A&amp;ESPN!C:C, ESPN!J:J), "N/A")</f>
        <v>N/A</v>
      </c>
      <c r="Q280" s="26" t="str" cm="1">
        <f t="array" ref="Q280">IFERROR(_xlfn.XLOOKUP(C280&amp;A280, ESPN!A:A&amp;ESPN!C:C, ESPN!K:K), "N/A")</f>
        <v>N/A</v>
      </c>
    </row>
    <row r="281" spans="1:17" x14ac:dyDescent="0.45">
      <c r="A281" s="7">
        <v>2024</v>
      </c>
      <c r="B281" s="3" t="s">
        <v>139</v>
      </c>
      <c r="C281" s="4" t="str">
        <f t="shared" si="8"/>
        <v>C.J. Ham</v>
      </c>
      <c r="D281" s="4" t="str">
        <f t="shared" si="9"/>
        <v>MIN</v>
      </c>
      <c r="E281" s="4">
        <v>17</v>
      </c>
      <c r="F281" s="12">
        <v>6</v>
      </c>
      <c r="G281" s="11">
        <v>5</v>
      </c>
      <c r="H281" s="11">
        <v>35</v>
      </c>
      <c r="I281" s="11">
        <v>7</v>
      </c>
      <c r="J281" s="11">
        <v>0</v>
      </c>
      <c r="K281" s="11">
        <v>1</v>
      </c>
      <c r="L281" s="11" t="str" cm="1">
        <f t="array" ref="L281">IFERROR(_xlfn.XLOOKUP(C281&amp;A281, ESPN!A:A&amp;ESPN!C:C, ESPN!D:D), "N/A")</f>
        <v>N/A</v>
      </c>
      <c r="M281" s="23" t="str" cm="1">
        <f t="array" ref="M281">IFERROR(_xlfn.XLOOKUP(C281&amp;A281, ESPN!A:A&amp;ESPN!C:C, ESPN!G:G), "N/A")</f>
        <v>N/A</v>
      </c>
      <c r="N281" s="23" t="str" cm="1">
        <f t="array" ref="N281">IFERROR(_xlfn.XLOOKUP(C281&amp;A281, ESPN!A:A&amp;ESPN!C:C, ESPN!H:H), "N/A")</f>
        <v>N/A</v>
      </c>
      <c r="O281" s="26" t="str" cm="1">
        <f t="array" ref="O281">IFERROR(_xlfn.XLOOKUP(C281&amp;A281, ESPN!A:A&amp;ESPN!C:C, ESPN!I:I), "N/A")</f>
        <v>N/A</v>
      </c>
      <c r="P281" s="26" t="str" cm="1">
        <f t="array" ref="P281">IFERROR(_xlfn.XLOOKUP(C281&amp;A281, ESPN!A:A&amp;ESPN!C:C, ESPN!J:J), "N/A")</f>
        <v>N/A</v>
      </c>
      <c r="Q281" s="26" t="str" cm="1">
        <f t="array" ref="Q281">IFERROR(_xlfn.XLOOKUP(C281&amp;A281, ESPN!A:A&amp;ESPN!C:C, ESPN!K:K), "N/A")</f>
        <v>N/A</v>
      </c>
    </row>
    <row r="282" spans="1:17" x14ac:dyDescent="0.45">
      <c r="A282" s="6">
        <v>2024</v>
      </c>
      <c r="B282" s="1" t="s">
        <v>214</v>
      </c>
      <c r="C282" s="2" t="str">
        <f t="shared" si="8"/>
        <v>Raheem Blackshear</v>
      </c>
      <c r="D282" s="2" t="str">
        <f t="shared" si="9"/>
        <v>CAR</v>
      </c>
      <c r="E282" s="2">
        <v>16</v>
      </c>
      <c r="F282" s="13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1" t="str" cm="1">
        <f t="array" ref="L282">IFERROR(_xlfn.XLOOKUP(C282&amp;A282, ESPN!A:A&amp;ESPN!C:C, ESPN!D:D), "N/A")</f>
        <v>N/A</v>
      </c>
      <c r="M282" s="23" t="str" cm="1">
        <f t="array" ref="M282">IFERROR(_xlfn.XLOOKUP(C282&amp;A282, ESPN!A:A&amp;ESPN!C:C, ESPN!G:G), "N/A")</f>
        <v>N/A</v>
      </c>
      <c r="N282" s="23" t="str" cm="1">
        <f t="array" ref="N282">IFERROR(_xlfn.XLOOKUP(C282&amp;A282, ESPN!A:A&amp;ESPN!C:C, ESPN!H:H), "N/A")</f>
        <v>N/A</v>
      </c>
      <c r="O282" s="26" t="str" cm="1">
        <f t="array" ref="O282">IFERROR(_xlfn.XLOOKUP(C282&amp;A282, ESPN!A:A&amp;ESPN!C:C, ESPN!I:I), "N/A")</f>
        <v>N/A</v>
      </c>
      <c r="P282" s="26" t="str" cm="1">
        <f t="array" ref="P282">IFERROR(_xlfn.XLOOKUP(C282&amp;A282, ESPN!A:A&amp;ESPN!C:C, ESPN!J:J), "N/A")</f>
        <v>N/A</v>
      </c>
      <c r="Q282" s="26" t="str" cm="1">
        <f t="array" ref="Q282">IFERROR(_xlfn.XLOOKUP(C282&amp;A282, ESPN!A:A&amp;ESPN!C:C, ESPN!K:K), "N/A")</f>
        <v>N/A</v>
      </c>
    </row>
    <row r="283" spans="1:17" x14ac:dyDescent="0.45">
      <c r="A283" s="7">
        <v>2024</v>
      </c>
      <c r="B283" s="3" t="s">
        <v>160</v>
      </c>
      <c r="C283" s="4" t="str">
        <f t="shared" si="8"/>
        <v>Jeff Wilson Jr.</v>
      </c>
      <c r="D283" s="4" t="str">
        <f t="shared" si="9"/>
        <v>MIA</v>
      </c>
      <c r="E283" s="4">
        <v>7</v>
      </c>
      <c r="F283" s="12">
        <v>3</v>
      </c>
      <c r="G283" s="11">
        <v>3</v>
      </c>
      <c r="H283" s="11">
        <v>19</v>
      </c>
      <c r="I283" s="11">
        <v>6.3</v>
      </c>
      <c r="J283" s="11">
        <v>0</v>
      </c>
      <c r="K283" s="11">
        <v>0</v>
      </c>
      <c r="L283" s="11" t="str" cm="1">
        <f t="array" ref="L283">IFERROR(_xlfn.XLOOKUP(C283&amp;A283, ESPN!A:A&amp;ESPN!C:C, ESPN!D:D), "N/A")</f>
        <v>N/A</v>
      </c>
      <c r="M283" s="23" t="str" cm="1">
        <f t="array" ref="M283">IFERROR(_xlfn.XLOOKUP(C283&amp;A283, ESPN!A:A&amp;ESPN!C:C, ESPN!G:G), "N/A")</f>
        <v>N/A</v>
      </c>
      <c r="N283" s="23" t="str" cm="1">
        <f t="array" ref="N283">IFERROR(_xlfn.XLOOKUP(C283&amp;A283, ESPN!A:A&amp;ESPN!C:C, ESPN!H:H), "N/A")</f>
        <v>N/A</v>
      </c>
      <c r="O283" s="26" t="str" cm="1">
        <f t="array" ref="O283">IFERROR(_xlfn.XLOOKUP(C283&amp;A283, ESPN!A:A&amp;ESPN!C:C, ESPN!I:I), "N/A")</f>
        <v>N/A</v>
      </c>
      <c r="P283" s="26" t="str" cm="1">
        <f t="array" ref="P283">IFERROR(_xlfn.XLOOKUP(C283&amp;A283, ESPN!A:A&amp;ESPN!C:C, ESPN!J:J), "N/A")</f>
        <v>N/A</v>
      </c>
      <c r="Q283" s="26" t="str" cm="1">
        <f t="array" ref="Q283">IFERROR(_xlfn.XLOOKUP(C283&amp;A283, ESPN!A:A&amp;ESPN!C:C, ESPN!K:K), "N/A")</f>
        <v>N/A</v>
      </c>
    </row>
    <row r="284" spans="1:17" x14ac:dyDescent="0.45">
      <c r="A284" s="6">
        <v>2024</v>
      </c>
      <c r="B284" s="1" t="s">
        <v>166</v>
      </c>
      <c r="C284" s="2" t="str">
        <f t="shared" si="8"/>
        <v>Eric Gray</v>
      </c>
      <c r="D284" s="2" t="str">
        <f t="shared" si="9"/>
        <v>NYG</v>
      </c>
      <c r="E284" s="2">
        <v>16</v>
      </c>
      <c r="F284" s="13">
        <v>11</v>
      </c>
      <c r="G284" s="14">
        <v>10</v>
      </c>
      <c r="H284" s="14">
        <v>82</v>
      </c>
      <c r="I284" s="14">
        <v>8.1999999999999993</v>
      </c>
      <c r="J284" s="14">
        <v>0</v>
      </c>
      <c r="K284" s="14">
        <v>2</v>
      </c>
      <c r="L284" s="11" t="str" cm="1">
        <f t="array" ref="L284">IFERROR(_xlfn.XLOOKUP(C284&amp;A284, ESPN!A:A&amp;ESPN!C:C, ESPN!D:D), "N/A")</f>
        <v>N/A</v>
      </c>
      <c r="M284" s="23" t="str" cm="1">
        <f t="array" ref="M284">IFERROR(_xlfn.XLOOKUP(C284&amp;A284, ESPN!A:A&amp;ESPN!C:C, ESPN!G:G), "N/A")</f>
        <v>N/A</v>
      </c>
      <c r="N284" s="23" t="str" cm="1">
        <f t="array" ref="N284">IFERROR(_xlfn.XLOOKUP(C284&amp;A284, ESPN!A:A&amp;ESPN!C:C, ESPN!H:H), "N/A")</f>
        <v>N/A</v>
      </c>
      <c r="O284" s="26" t="str" cm="1">
        <f t="array" ref="O284">IFERROR(_xlfn.XLOOKUP(C284&amp;A284, ESPN!A:A&amp;ESPN!C:C, ESPN!I:I), "N/A")</f>
        <v>N/A</v>
      </c>
      <c r="P284" s="26" t="str" cm="1">
        <f t="array" ref="P284">IFERROR(_xlfn.XLOOKUP(C284&amp;A284, ESPN!A:A&amp;ESPN!C:C, ESPN!J:J), "N/A")</f>
        <v>N/A</v>
      </c>
      <c r="Q284" s="26" t="str" cm="1">
        <f t="array" ref="Q284">IFERROR(_xlfn.XLOOKUP(C284&amp;A284, ESPN!A:A&amp;ESPN!C:C, ESPN!K:K), "N/A")</f>
        <v>N/A</v>
      </c>
    </row>
    <row r="285" spans="1:17" x14ac:dyDescent="0.45">
      <c r="A285" s="7">
        <v>2024</v>
      </c>
      <c r="B285" s="3" t="s">
        <v>215</v>
      </c>
      <c r="C285" s="4" t="str">
        <f t="shared" si="8"/>
        <v>Clyde Edwards-Helaire</v>
      </c>
      <c r="D285" s="4" t="str">
        <f t="shared" si="9"/>
        <v>NO</v>
      </c>
      <c r="E285" s="4">
        <v>2</v>
      </c>
      <c r="F285" s="12">
        <v>5</v>
      </c>
      <c r="G285" s="11">
        <v>3</v>
      </c>
      <c r="H285" s="11">
        <v>24</v>
      </c>
      <c r="I285" s="11">
        <v>8</v>
      </c>
      <c r="J285" s="11">
        <v>0</v>
      </c>
      <c r="K285" s="11">
        <v>0</v>
      </c>
      <c r="L285" s="11" t="str" cm="1">
        <f t="array" ref="L285">IFERROR(_xlfn.XLOOKUP(C285&amp;A285, ESPN!A:A&amp;ESPN!C:C, ESPN!D:D), "N/A")</f>
        <v>N/A</v>
      </c>
      <c r="M285" s="23" t="str" cm="1">
        <f t="array" ref="M285">IFERROR(_xlfn.XLOOKUP(C285&amp;A285, ESPN!A:A&amp;ESPN!C:C, ESPN!G:G), "N/A")</f>
        <v>N/A</v>
      </c>
      <c r="N285" s="23" t="str" cm="1">
        <f t="array" ref="N285">IFERROR(_xlfn.XLOOKUP(C285&amp;A285, ESPN!A:A&amp;ESPN!C:C, ESPN!H:H), "N/A")</f>
        <v>N/A</v>
      </c>
      <c r="O285" s="26" t="str" cm="1">
        <f t="array" ref="O285">IFERROR(_xlfn.XLOOKUP(C285&amp;A285, ESPN!A:A&amp;ESPN!C:C, ESPN!I:I), "N/A")</f>
        <v>N/A</v>
      </c>
      <c r="P285" s="26" t="str" cm="1">
        <f t="array" ref="P285">IFERROR(_xlfn.XLOOKUP(C285&amp;A285, ESPN!A:A&amp;ESPN!C:C, ESPN!J:J), "N/A")</f>
        <v>N/A</v>
      </c>
      <c r="Q285" s="26" t="str" cm="1">
        <f t="array" ref="Q285">IFERROR(_xlfn.XLOOKUP(C285&amp;A285, ESPN!A:A&amp;ESPN!C:C, ESPN!K:K), "N/A")</f>
        <v>N/A</v>
      </c>
    </row>
    <row r="286" spans="1:17" x14ac:dyDescent="0.45">
      <c r="A286" s="6">
        <v>2024</v>
      </c>
      <c r="B286" s="1" t="s">
        <v>124</v>
      </c>
      <c r="C286" s="2" t="str">
        <f t="shared" si="8"/>
        <v>Tyler Badie</v>
      </c>
      <c r="D286" s="2" t="str">
        <f t="shared" si="9"/>
        <v>DEN</v>
      </c>
      <c r="E286" s="2">
        <v>3</v>
      </c>
      <c r="F286" s="13">
        <v>3</v>
      </c>
      <c r="G286" s="14">
        <v>3</v>
      </c>
      <c r="H286" s="14">
        <v>-2</v>
      </c>
      <c r="I286" s="14">
        <v>-0.7</v>
      </c>
      <c r="J286" s="14">
        <v>0</v>
      </c>
      <c r="K286" s="14">
        <v>1</v>
      </c>
      <c r="L286" s="11" t="str" cm="1">
        <f t="array" ref="L286">IFERROR(_xlfn.XLOOKUP(C286&amp;A286, ESPN!A:A&amp;ESPN!C:C, ESPN!D:D), "N/A")</f>
        <v>N/A</v>
      </c>
      <c r="M286" s="23" t="str" cm="1">
        <f t="array" ref="M286">IFERROR(_xlfn.XLOOKUP(C286&amp;A286, ESPN!A:A&amp;ESPN!C:C, ESPN!G:G), "N/A")</f>
        <v>N/A</v>
      </c>
      <c r="N286" s="23" t="str" cm="1">
        <f t="array" ref="N286">IFERROR(_xlfn.XLOOKUP(C286&amp;A286, ESPN!A:A&amp;ESPN!C:C, ESPN!H:H), "N/A")</f>
        <v>N/A</v>
      </c>
      <c r="O286" s="26" t="str" cm="1">
        <f t="array" ref="O286">IFERROR(_xlfn.XLOOKUP(C286&amp;A286, ESPN!A:A&amp;ESPN!C:C, ESPN!I:I), "N/A")</f>
        <v>N/A</v>
      </c>
      <c r="P286" s="26" t="str" cm="1">
        <f t="array" ref="P286">IFERROR(_xlfn.XLOOKUP(C286&amp;A286, ESPN!A:A&amp;ESPN!C:C, ESPN!J:J), "N/A")</f>
        <v>N/A</v>
      </c>
      <c r="Q286" s="26" t="str" cm="1">
        <f t="array" ref="Q286">IFERROR(_xlfn.XLOOKUP(C286&amp;A286, ESPN!A:A&amp;ESPN!C:C, ESPN!K:K), "N/A")</f>
        <v>N/A</v>
      </c>
    </row>
    <row r="287" spans="1:17" x14ac:dyDescent="0.45">
      <c r="A287" s="7">
        <v>2024</v>
      </c>
      <c r="B287" s="3" t="s">
        <v>105</v>
      </c>
      <c r="C287" s="4" t="str">
        <f t="shared" si="8"/>
        <v>Kene Nwangwu</v>
      </c>
      <c r="D287" s="4" t="str">
        <f t="shared" si="9"/>
        <v>NYJ</v>
      </c>
      <c r="E287" s="4">
        <v>2</v>
      </c>
      <c r="F287" s="12">
        <v>0</v>
      </c>
      <c r="G287" s="11">
        <v>0</v>
      </c>
      <c r="H287" s="11">
        <v>0</v>
      </c>
      <c r="I287" s="11">
        <v>0</v>
      </c>
      <c r="J287" s="11">
        <v>0</v>
      </c>
      <c r="K287" s="11">
        <v>0</v>
      </c>
      <c r="L287" s="11" t="str" cm="1">
        <f t="array" ref="L287">IFERROR(_xlfn.XLOOKUP(C287&amp;A287, ESPN!A:A&amp;ESPN!C:C, ESPN!D:D), "N/A")</f>
        <v>N/A</v>
      </c>
      <c r="M287" s="23" t="str" cm="1">
        <f t="array" ref="M287">IFERROR(_xlfn.XLOOKUP(C287&amp;A287, ESPN!A:A&amp;ESPN!C:C, ESPN!G:G), "N/A")</f>
        <v>N/A</v>
      </c>
      <c r="N287" s="23" t="str" cm="1">
        <f t="array" ref="N287">IFERROR(_xlfn.XLOOKUP(C287&amp;A287, ESPN!A:A&amp;ESPN!C:C, ESPN!H:H), "N/A")</f>
        <v>N/A</v>
      </c>
      <c r="O287" s="26" t="str" cm="1">
        <f t="array" ref="O287">IFERROR(_xlfn.XLOOKUP(C287&amp;A287, ESPN!A:A&amp;ESPN!C:C, ESPN!I:I), "N/A")</f>
        <v>N/A</v>
      </c>
      <c r="P287" s="26" t="str" cm="1">
        <f t="array" ref="P287">IFERROR(_xlfn.XLOOKUP(C287&amp;A287, ESPN!A:A&amp;ESPN!C:C, ESPN!J:J), "N/A")</f>
        <v>N/A</v>
      </c>
      <c r="Q287" s="26" t="str" cm="1">
        <f t="array" ref="Q287">IFERROR(_xlfn.XLOOKUP(C287&amp;A287, ESPN!A:A&amp;ESPN!C:C, ESPN!K:K), "N/A")</f>
        <v>N/A</v>
      </c>
    </row>
    <row r="288" spans="1:17" x14ac:dyDescent="0.45">
      <c r="A288" s="6">
        <v>2024</v>
      </c>
      <c r="B288" s="1" t="s">
        <v>56</v>
      </c>
      <c r="C288" s="2" t="str">
        <f t="shared" si="8"/>
        <v>Keaton Mitchell</v>
      </c>
      <c r="D288" s="2" t="str">
        <f t="shared" si="9"/>
        <v>BAL</v>
      </c>
      <c r="E288" s="2">
        <v>4</v>
      </c>
      <c r="F288" s="13">
        <v>1</v>
      </c>
      <c r="G288" s="14">
        <v>1</v>
      </c>
      <c r="H288" s="14">
        <v>28</v>
      </c>
      <c r="I288" s="14">
        <v>28</v>
      </c>
      <c r="J288" s="14">
        <v>0</v>
      </c>
      <c r="K288" s="14">
        <v>0</v>
      </c>
      <c r="L288" s="11" t="str" cm="1">
        <f t="array" ref="L288">IFERROR(_xlfn.XLOOKUP(C288&amp;A288, ESPN!A:A&amp;ESPN!C:C, ESPN!D:D), "N/A")</f>
        <v>N/A</v>
      </c>
      <c r="M288" s="23" t="str" cm="1">
        <f t="array" ref="M288">IFERROR(_xlfn.XLOOKUP(C288&amp;A288, ESPN!A:A&amp;ESPN!C:C, ESPN!G:G), "N/A")</f>
        <v>N/A</v>
      </c>
      <c r="N288" s="23" t="str" cm="1">
        <f t="array" ref="N288">IFERROR(_xlfn.XLOOKUP(C288&amp;A288, ESPN!A:A&amp;ESPN!C:C, ESPN!H:H), "N/A")</f>
        <v>N/A</v>
      </c>
      <c r="O288" s="26" t="str" cm="1">
        <f t="array" ref="O288">IFERROR(_xlfn.XLOOKUP(C288&amp;A288, ESPN!A:A&amp;ESPN!C:C, ESPN!I:I), "N/A")</f>
        <v>N/A</v>
      </c>
      <c r="P288" s="26" t="str" cm="1">
        <f t="array" ref="P288">IFERROR(_xlfn.XLOOKUP(C288&amp;A288, ESPN!A:A&amp;ESPN!C:C, ESPN!J:J), "N/A")</f>
        <v>N/A</v>
      </c>
      <c r="Q288" s="26" t="str" cm="1">
        <f t="array" ref="Q288">IFERROR(_xlfn.XLOOKUP(C288&amp;A288, ESPN!A:A&amp;ESPN!C:C, ESPN!K:K), "N/A")</f>
        <v>N/A</v>
      </c>
    </row>
    <row r="289" spans="1:17" x14ac:dyDescent="0.45">
      <c r="A289" s="7">
        <v>2024</v>
      </c>
      <c r="B289" s="3" t="s">
        <v>141</v>
      </c>
      <c r="C289" s="4" t="str">
        <f t="shared" si="8"/>
        <v>Sione Vaki</v>
      </c>
      <c r="D289" s="4" t="str">
        <f t="shared" si="9"/>
        <v>DET</v>
      </c>
      <c r="E289" s="4">
        <v>12</v>
      </c>
      <c r="F289" s="12">
        <v>3</v>
      </c>
      <c r="G289" s="11">
        <v>3</v>
      </c>
      <c r="H289" s="11">
        <v>37</v>
      </c>
      <c r="I289" s="11">
        <v>12.3</v>
      </c>
      <c r="J289" s="11">
        <v>0</v>
      </c>
      <c r="K289" s="11">
        <v>0</v>
      </c>
      <c r="L289" s="11" t="str" cm="1">
        <f t="array" ref="L289">IFERROR(_xlfn.XLOOKUP(C289&amp;A289, ESPN!A:A&amp;ESPN!C:C, ESPN!D:D), "N/A")</f>
        <v>N/A</v>
      </c>
      <c r="M289" s="23" t="str" cm="1">
        <f t="array" ref="M289">IFERROR(_xlfn.XLOOKUP(C289&amp;A289, ESPN!A:A&amp;ESPN!C:C, ESPN!G:G), "N/A")</f>
        <v>N/A</v>
      </c>
      <c r="N289" s="23" t="str" cm="1">
        <f t="array" ref="N289">IFERROR(_xlfn.XLOOKUP(C289&amp;A289, ESPN!A:A&amp;ESPN!C:C, ESPN!H:H), "N/A")</f>
        <v>N/A</v>
      </c>
      <c r="O289" s="26" t="str" cm="1">
        <f t="array" ref="O289">IFERROR(_xlfn.XLOOKUP(C289&amp;A289, ESPN!A:A&amp;ESPN!C:C, ESPN!I:I), "N/A")</f>
        <v>N/A</v>
      </c>
      <c r="P289" s="26" t="str" cm="1">
        <f t="array" ref="P289">IFERROR(_xlfn.XLOOKUP(C289&amp;A289, ESPN!A:A&amp;ESPN!C:C, ESPN!J:J), "N/A")</f>
        <v>N/A</v>
      </c>
      <c r="Q289" s="26" t="str" cm="1">
        <f t="array" ref="Q289">IFERROR(_xlfn.XLOOKUP(C289&amp;A289, ESPN!A:A&amp;ESPN!C:C, ESPN!K:K), "N/A")</f>
        <v>N/A</v>
      </c>
    </row>
    <row r="290" spans="1:17" x14ac:dyDescent="0.45">
      <c r="A290" s="6">
        <v>2024</v>
      </c>
      <c r="B290" s="1" t="s">
        <v>216</v>
      </c>
      <c r="C290" s="2" t="str">
        <f t="shared" si="8"/>
        <v>Mike Boone</v>
      </c>
      <c r="D290" s="2" t="str">
        <f t="shared" si="9"/>
        <v>CAR</v>
      </c>
      <c r="E290" s="2">
        <v>5</v>
      </c>
      <c r="F290" s="13">
        <v>3</v>
      </c>
      <c r="G290" s="14">
        <v>1</v>
      </c>
      <c r="H290" s="14">
        <v>-2</v>
      </c>
      <c r="I290" s="14">
        <v>-2</v>
      </c>
      <c r="J290" s="14">
        <v>0</v>
      </c>
      <c r="K290" s="14">
        <v>0</v>
      </c>
      <c r="L290" s="11" t="str" cm="1">
        <f t="array" ref="L290">IFERROR(_xlfn.XLOOKUP(C290&amp;A290, ESPN!A:A&amp;ESPN!C:C, ESPN!D:D), "N/A")</f>
        <v>N/A</v>
      </c>
      <c r="M290" s="23" t="str" cm="1">
        <f t="array" ref="M290">IFERROR(_xlfn.XLOOKUP(C290&amp;A290, ESPN!A:A&amp;ESPN!C:C, ESPN!G:G), "N/A")</f>
        <v>N/A</v>
      </c>
      <c r="N290" s="23" t="str" cm="1">
        <f t="array" ref="N290">IFERROR(_xlfn.XLOOKUP(C290&amp;A290, ESPN!A:A&amp;ESPN!C:C, ESPN!H:H), "N/A")</f>
        <v>N/A</v>
      </c>
      <c r="O290" s="26" t="str" cm="1">
        <f t="array" ref="O290">IFERROR(_xlfn.XLOOKUP(C290&amp;A290, ESPN!A:A&amp;ESPN!C:C, ESPN!I:I), "N/A")</f>
        <v>N/A</v>
      </c>
      <c r="P290" s="26" t="str" cm="1">
        <f t="array" ref="P290">IFERROR(_xlfn.XLOOKUP(C290&amp;A290, ESPN!A:A&amp;ESPN!C:C, ESPN!J:J), "N/A")</f>
        <v>N/A</v>
      </c>
      <c r="Q290" s="26" t="str" cm="1">
        <f t="array" ref="Q290">IFERROR(_xlfn.XLOOKUP(C290&amp;A290, ESPN!A:A&amp;ESPN!C:C, ESPN!K:K), "N/A")</f>
        <v>N/A</v>
      </c>
    </row>
    <row r="291" spans="1:17" x14ac:dyDescent="0.45">
      <c r="A291" s="7">
        <v>2024</v>
      </c>
      <c r="B291" s="3" t="s">
        <v>217</v>
      </c>
      <c r="C291" s="4" t="str">
        <f t="shared" si="8"/>
        <v>Jonathon Brooks</v>
      </c>
      <c r="D291" s="4" t="str">
        <f t="shared" si="9"/>
        <v>CAR</v>
      </c>
      <c r="E291" s="4">
        <v>3</v>
      </c>
      <c r="F291" s="12">
        <v>3</v>
      </c>
      <c r="G291" s="11">
        <v>3</v>
      </c>
      <c r="H291" s="11">
        <v>23</v>
      </c>
      <c r="I291" s="11">
        <v>7.7</v>
      </c>
      <c r="J291" s="11">
        <v>0</v>
      </c>
      <c r="K291" s="11">
        <v>0</v>
      </c>
      <c r="L291" s="11" t="str" cm="1">
        <f t="array" ref="L291">IFERROR(_xlfn.XLOOKUP(C291&amp;A291, ESPN!A:A&amp;ESPN!C:C, ESPN!D:D), "N/A")</f>
        <v>N/A</v>
      </c>
      <c r="M291" s="23" t="str" cm="1">
        <f t="array" ref="M291">IFERROR(_xlfn.XLOOKUP(C291&amp;A291, ESPN!A:A&amp;ESPN!C:C, ESPN!G:G), "N/A")</f>
        <v>N/A</v>
      </c>
      <c r="N291" s="23" t="str" cm="1">
        <f t="array" ref="N291">IFERROR(_xlfn.XLOOKUP(C291&amp;A291, ESPN!A:A&amp;ESPN!C:C, ESPN!H:H), "N/A")</f>
        <v>N/A</v>
      </c>
      <c r="O291" s="26" t="str" cm="1">
        <f t="array" ref="O291">IFERROR(_xlfn.XLOOKUP(C291&amp;A291, ESPN!A:A&amp;ESPN!C:C, ESPN!I:I), "N/A")</f>
        <v>N/A</v>
      </c>
      <c r="P291" s="26" t="str" cm="1">
        <f t="array" ref="P291">IFERROR(_xlfn.XLOOKUP(C291&amp;A291, ESPN!A:A&amp;ESPN!C:C, ESPN!J:J), "N/A")</f>
        <v>N/A</v>
      </c>
      <c r="Q291" s="26" t="str" cm="1">
        <f t="array" ref="Q291">IFERROR(_xlfn.XLOOKUP(C291&amp;A291, ESPN!A:A&amp;ESPN!C:C, ESPN!K:K), "N/A")</f>
        <v>N/A</v>
      </c>
    </row>
    <row r="292" spans="1:17" x14ac:dyDescent="0.45">
      <c r="A292" s="6">
        <v>2024</v>
      </c>
      <c r="B292" s="1" t="s">
        <v>218</v>
      </c>
      <c r="C292" s="2" t="str">
        <f t="shared" si="8"/>
        <v>J.J. Taylor</v>
      </c>
      <c r="D292" s="2" t="str">
        <f t="shared" si="9"/>
        <v>HOU</v>
      </c>
      <c r="E292" s="2">
        <v>4</v>
      </c>
      <c r="F292" s="13">
        <v>3</v>
      </c>
      <c r="G292" s="14">
        <v>2</v>
      </c>
      <c r="H292" s="14">
        <v>0</v>
      </c>
      <c r="I292" s="14">
        <v>0</v>
      </c>
      <c r="J292" s="14">
        <v>0</v>
      </c>
      <c r="K292" s="14">
        <v>0</v>
      </c>
      <c r="L292" s="11" t="str" cm="1">
        <f t="array" ref="L292">IFERROR(_xlfn.XLOOKUP(C292&amp;A292, ESPN!A:A&amp;ESPN!C:C, ESPN!D:D), "N/A")</f>
        <v>N/A</v>
      </c>
      <c r="M292" s="23" t="str" cm="1">
        <f t="array" ref="M292">IFERROR(_xlfn.XLOOKUP(C292&amp;A292, ESPN!A:A&amp;ESPN!C:C, ESPN!G:G), "N/A")</f>
        <v>N/A</v>
      </c>
      <c r="N292" s="23" t="str" cm="1">
        <f t="array" ref="N292">IFERROR(_xlfn.XLOOKUP(C292&amp;A292, ESPN!A:A&amp;ESPN!C:C, ESPN!H:H), "N/A")</f>
        <v>N/A</v>
      </c>
      <c r="O292" s="26" t="str" cm="1">
        <f t="array" ref="O292">IFERROR(_xlfn.XLOOKUP(C292&amp;A292, ESPN!A:A&amp;ESPN!C:C, ESPN!I:I), "N/A")</f>
        <v>N/A</v>
      </c>
      <c r="P292" s="26" t="str" cm="1">
        <f t="array" ref="P292">IFERROR(_xlfn.XLOOKUP(C292&amp;A292, ESPN!A:A&amp;ESPN!C:C, ESPN!J:J), "N/A")</f>
        <v>N/A</v>
      </c>
      <c r="Q292" s="26" t="str" cm="1">
        <f t="array" ref="Q292">IFERROR(_xlfn.XLOOKUP(C292&amp;A292, ESPN!A:A&amp;ESPN!C:C, ESPN!K:K), "N/A")</f>
        <v>N/A</v>
      </c>
    </row>
    <row r="293" spans="1:17" x14ac:dyDescent="0.45">
      <c r="A293" s="7">
        <v>2024</v>
      </c>
      <c r="B293" s="3" t="s">
        <v>219</v>
      </c>
      <c r="C293" s="4" t="str">
        <f t="shared" si="8"/>
        <v>Jacob Kibodi</v>
      </c>
      <c r="D293" s="4" t="str">
        <f t="shared" si="9"/>
        <v>CLE</v>
      </c>
      <c r="E293" s="4">
        <v>1</v>
      </c>
      <c r="F293" s="12">
        <v>3</v>
      </c>
      <c r="G293" s="11">
        <v>1</v>
      </c>
      <c r="H293" s="11">
        <v>15</v>
      </c>
      <c r="I293" s="11">
        <v>15</v>
      </c>
      <c r="J293" s="11">
        <v>0</v>
      </c>
      <c r="K293" s="11">
        <v>0</v>
      </c>
      <c r="L293" s="11" t="str" cm="1">
        <f t="array" ref="L293">IFERROR(_xlfn.XLOOKUP(C293&amp;A293, ESPN!A:A&amp;ESPN!C:C, ESPN!D:D), "N/A")</f>
        <v>N/A</v>
      </c>
      <c r="M293" s="23" t="str" cm="1">
        <f t="array" ref="M293">IFERROR(_xlfn.XLOOKUP(C293&amp;A293, ESPN!A:A&amp;ESPN!C:C, ESPN!G:G), "N/A")</f>
        <v>N/A</v>
      </c>
      <c r="N293" s="23" t="str" cm="1">
        <f t="array" ref="N293">IFERROR(_xlfn.XLOOKUP(C293&amp;A293, ESPN!A:A&amp;ESPN!C:C, ESPN!H:H), "N/A")</f>
        <v>N/A</v>
      </c>
      <c r="O293" s="26" t="str" cm="1">
        <f t="array" ref="O293">IFERROR(_xlfn.XLOOKUP(C293&amp;A293, ESPN!A:A&amp;ESPN!C:C, ESPN!I:I), "N/A")</f>
        <v>N/A</v>
      </c>
      <c r="P293" s="26" t="str" cm="1">
        <f t="array" ref="P293">IFERROR(_xlfn.XLOOKUP(C293&amp;A293, ESPN!A:A&amp;ESPN!C:C, ESPN!J:J), "N/A")</f>
        <v>N/A</v>
      </c>
      <c r="Q293" s="26" t="str" cm="1">
        <f t="array" ref="Q293">IFERROR(_xlfn.XLOOKUP(C293&amp;A293, ESPN!A:A&amp;ESPN!C:C, ESPN!K:K), "N/A")</f>
        <v>N/A</v>
      </c>
    </row>
    <row r="294" spans="1:17" x14ac:dyDescent="0.45">
      <c r="A294" s="6">
        <v>2024</v>
      </c>
      <c r="B294" s="1" t="s">
        <v>174</v>
      </c>
      <c r="C294" s="2" t="str">
        <f t="shared" si="8"/>
        <v>Travis Homer</v>
      </c>
      <c r="D294" s="2" t="str">
        <f t="shared" si="9"/>
        <v>CHI</v>
      </c>
      <c r="E294" s="2">
        <v>9</v>
      </c>
      <c r="F294" s="13">
        <v>3</v>
      </c>
      <c r="G294" s="14">
        <v>3</v>
      </c>
      <c r="H294" s="14">
        <v>11</v>
      </c>
      <c r="I294" s="14">
        <v>3.7</v>
      </c>
      <c r="J294" s="14">
        <v>0</v>
      </c>
      <c r="K294" s="14">
        <v>0</v>
      </c>
      <c r="L294" s="11" t="str" cm="1">
        <f t="array" ref="L294">IFERROR(_xlfn.XLOOKUP(C294&amp;A294, ESPN!A:A&amp;ESPN!C:C, ESPN!D:D), "N/A")</f>
        <v>N/A</v>
      </c>
      <c r="M294" s="23" t="str" cm="1">
        <f t="array" ref="M294">IFERROR(_xlfn.XLOOKUP(C294&amp;A294, ESPN!A:A&amp;ESPN!C:C, ESPN!G:G), "N/A")</f>
        <v>N/A</v>
      </c>
      <c r="N294" s="23" t="str" cm="1">
        <f t="array" ref="N294">IFERROR(_xlfn.XLOOKUP(C294&amp;A294, ESPN!A:A&amp;ESPN!C:C, ESPN!H:H), "N/A")</f>
        <v>N/A</v>
      </c>
      <c r="O294" s="26" t="str" cm="1">
        <f t="array" ref="O294">IFERROR(_xlfn.XLOOKUP(C294&amp;A294, ESPN!A:A&amp;ESPN!C:C, ESPN!I:I), "N/A")</f>
        <v>N/A</v>
      </c>
      <c r="P294" s="26" t="str" cm="1">
        <f t="array" ref="P294">IFERROR(_xlfn.XLOOKUP(C294&amp;A294, ESPN!A:A&amp;ESPN!C:C, ESPN!J:J), "N/A")</f>
        <v>N/A</v>
      </c>
      <c r="Q294" s="26" t="str" cm="1">
        <f t="array" ref="Q294">IFERROR(_xlfn.XLOOKUP(C294&amp;A294, ESPN!A:A&amp;ESPN!C:C, ESPN!K:K), "N/A")</f>
        <v>N/A</v>
      </c>
    </row>
    <row r="295" spans="1:17" x14ac:dyDescent="0.45">
      <c r="A295" s="7">
        <v>2024</v>
      </c>
      <c r="B295" s="3" t="s">
        <v>93</v>
      </c>
      <c r="C295" s="4" t="str">
        <f t="shared" si="8"/>
        <v>Terrell Jennings</v>
      </c>
      <c r="D295" s="4" t="str">
        <f t="shared" si="9"/>
        <v>NE</v>
      </c>
      <c r="E295" s="4">
        <v>2</v>
      </c>
      <c r="F295" s="12">
        <v>1</v>
      </c>
      <c r="G295" s="11">
        <v>0</v>
      </c>
      <c r="H295" s="11">
        <v>0</v>
      </c>
      <c r="I295" s="11">
        <v>0</v>
      </c>
      <c r="J295" s="11">
        <v>0</v>
      </c>
      <c r="K295" s="11">
        <v>0</v>
      </c>
      <c r="L295" s="11" t="str" cm="1">
        <f t="array" ref="L295">IFERROR(_xlfn.XLOOKUP(C295&amp;A295, ESPN!A:A&amp;ESPN!C:C, ESPN!D:D), "N/A")</f>
        <v>N/A</v>
      </c>
      <c r="M295" s="23" t="str" cm="1">
        <f t="array" ref="M295">IFERROR(_xlfn.XLOOKUP(C295&amp;A295, ESPN!A:A&amp;ESPN!C:C, ESPN!G:G), "N/A")</f>
        <v>N/A</v>
      </c>
      <c r="N295" s="23" t="str" cm="1">
        <f t="array" ref="N295">IFERROR(_xlfn.XLOOKUP(C295&amp;A295, ESPN!A:A&amp;ESPN!C:C, ESPN!H:H), "N/A")</f>
        <v>N/A</v>
      </c>
      <c r="O295" s="26" t="str" cm="1">
        <f t="array" ref="O295">IFERROR(_xlfn.XLOOKUP(C295&amp;A295, ESPN!A:A&amp;ESPN!C:C, ESPN!I:I), "N/A")</f>
        <v>N/A</v>
      </c>
      <c r="P295" s="26" t="str" cm="1">
        <f t="array" ref="P295">IFERROR(_xlfn.XLOOKUP(C295&amp;A295, ESPN!A:A&amp;ESPN!C:C, ESPN!J:J), "N/A")</f>
        <v>N/A</v>
      </c>
      <c r="Q295" s="26" t="str" cm="1">
        <f t="array" ref="Q295">IFERROR(_xlfn.XLOOKUP(C295&amp;A295, ESPN!A:A&amp;ESPN!C:C, ESPN!K:K), "N/A")</f>
        <v>N/A</v>
      </c>
    </row>
    <row r="296" spans="1:17" x14ac:dyDescent="0.45">
      <c r="A296" s="6">
        <v>2024</v>
      </c>
      <c r="B296" s="1" t="s">
        <v>220</v>
      </c>
      <c r="C296" s="2" t="str">
        <f t="shared" si="8"/>
        <v>Jermar Jefferson</v>
      </c>
      <c r="D296" s="2" t="str">
        <f t="shared" si="9"/>
        <v>DET</v>
      </c>
      <c r="E296" s="2">
        <v>2</v>
      </c>
      <c r="F296" s="13">
        <v>1</v>
      </c>
      <c r="G296" s="14">
        <v>1</v>
      </c>
      <c r="H296" s="14">
        <v>10</v>
      </c>
      <c r="I296" s="14">
        <v>10</v>
      </c>
      <c r="J296" s="14">
        <v>0</v>
      </c>
      <c r="K296" s="14">
        <v>0</v>
      </c>
      <c r="L296" s="11" t="str" cm="1">
        <f t="array" ref="L296">IFERROR(_xlfn.XLOOKUP(C296&amp;A296, ESPN!A:A&amp;ESPN!C:C, ESPN!D:D), "N/A")</f>
        <v>N/A</v>
      </c>
      <c r="M296" s="23" t="str" cm="1">
        <f t="array" ref="M296">IFERROR(_xlfn.XLOOKUP(C296&amp;A296, ESPN!A:A&amp;ESPN!C:C, ESPN!G:G), "N/A")</f>
        <v>N/A</v>
      </c>
      <c r="N296" s="23" t="str" cm="1">
        <f t="array" ref="N296">IFERROR(_xlfn.XLOOKUP(C296&amp;A296, ESPN!A:A&amp;ESPN!C:C, ESPN!H:H), "N/A")</f>
        <v>N/A</v>
      </c>
      <c r="O296" s="26" t="str" cm="1">
        <f t="array" ref="O296">IFERROR(_xlfn.XLOOKUP(C296&amp;A296, ESPN!A:A&amp;ESPN!C:C, ESPN!I:I), "N/A")</f>
        <v>N/A</v>
      </c>
      <c r="P296" s="26" t="str" cm="1">
        <f t="array" ref="P296">IFERROR(_xlfn.XLOOKUP(C296&amp;A296, ESPN!A:A&amp;ESPN!C:C, ESPN!J:J), "N/A")</f>
        <v>N/A</v>
      </c>
      <c r="Q296" s="26" t="str" cm="1">
        <f t="array" ref="Q296">IFERROR(_xlfn.XLOOKUP(C296&amp;A296, ESPN!A:A&amp;ESPN!C:C, ESPN!K:K), "N/A")</f>
        <v>N/A</v>
      </c>
    </row>
    <row r="297" spans="1:17" x14ac:dyDescent="0.45">
      <c r="A297" s="7">
        <v>2024</v>
      </c>
      <c r="B297" s="3" t="s">
        <v>221</v>
      </c>
      <c r="C297" s="4" t="str">
        <f t="shared" si="8"/>
        <v>Jase McClellan</v>
      </c>
      <c r="D297" s="4" t="str">
        <f t="shared" si="9"/>
        <v>ATL</v>
      </c>
      <c r="E297" s="4">
        <v>3</v>
      </c>
      <c r="F297" s="12">
        <v>0</v>
      </c>
      <c r="G297" s="11">
        <v>0</v>
      </c>
      <c r="H297" s="11">
        <v>0</v>
      </c>
      <c r="I297" s="11">
        <v>0</v>
      </c>
      <c r="J297" s="11">
        <v>0</v>
      </c>
      <c r="K297" s="11">
        <v>0</v>
      </c>
      <c r="L297" s="11" t="str" cm="1">
        <f t="array" ref="L297">IFERROR(_xlfn.XLOOKUP(C297&amp;A297, ESPN!A:A&amp;ESPN!C:C, ESPN!D:D), "N/A")</f>
        <v>N/A</v>
      </c>
      <c r="M297" s="23" t="str" cm="1">
        <f t="array" ref="M297">IFERROR(_xlfn.XLOOKUP(C297&amp;A297, ESPN!A:A&amp;ESPN!C:C, ESPN!G:G), "N/A")</f>
        <v>N/A</v>
      </c>
      <c r="N297" s="23" t="str" cm="1">
        <f t="array" ref="N297">IFERROR(_xlfn.XLOOKUP(C297&amp;A297, ESPN!A:A&amp;ESPN!C:C, ESPN!H:H), "N/A")</f>
        <v>N/A</v>
      </c>
      <c r="O297" s="26" t="str" cm="1">
        <f t="array" ref="O297">IFERROR(_xlfn.XLOOKUP(C297&amp;A297, ESPN!A:A&amp;ESPN!C:C, ESPN!I:I), "N/A")</f>
        <v>N/A</v>
      </c>
      <c r="P297" s="26" t="str" cm="1">
        <f t="array" ref="P297">IFERROR(_xlfn.XLOOKUP(C297&amp;A297, ESPN!A:A&amp;ESPN!C:C, ESPN!J:J), "N/A")</f>
        <v>N/A</v>
      </c>
      <c r="Q297" s="26" t="str" cm="1">
        <f t="array" ref="Q297">IFERROR(_xlfn.XLOOKUP(C297&amp;A297, ESPN!A:A&amp;ESPN!C:C, ESPN!K:K), "N/A")</f>
        <v>N/A</v>
      </c>
    </row>
    <row r="298" spans="1:17" x14ac:dyDescent="0.45">
      <c r="A298" s="6">
        <v>2024</v>
      </c>
      <c r="B298" s="1" t="s">
        <v>123</v>
      </c>
      <c r="C298" s="2" t="str">
        <f t="shared" si="8"/>
        <v>Rasheen Ali</v>
      </c>
      <c r="D298" s="2" t="str">
        <f t="shared" si="9"/>
        <v>BAL</v>
      </c>
      <c r="E298" s="2">
        <v>5</v>
      </c>
      <c r="F298" s="13">
        <v>2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1" t="str" cm="1">
        <f t="array" ref="L298">IFERROR(_xlfn.XLOOKUP(C298&amp;A298, ESPN!A:A&amp;ESPN!C:C, ESPN!D:D), "N/A")</f>
        <v>N/A</v>
      </c>
      <c r="M298" s="23" t="str" cm="1">
        <f t="array" ref="M298">IFERROR(_xlfn.XLOOKUP(C298&amp;A298, ESPN!A:A&amp;ESPN!C:C, ESPN!G:G), "N/A")</f>
        <v>N/A</v>
      </c>
      <c r="N298" s="23" t="str" cm="1">
        <f t="array" ref="N298">IFERROR(_xlfn.XLOOKUP(C298&amp;A298, ESPN!A:A&amp;ESPN!C:C, ESPN!H:H), "N/A")</f>
        <v>N/A</v>
      </c>
      <c r="O298" s="26" t="str" cm="1">
        <f t="array" ref="O298">IFERROR(_xlfn.XLOOKUP(C298&amp;A298, ESPN!A:A&amp;ESPN!C:C, ESPN!I:I), "N/A")</f>
        <v>N/A</v>
      </c>
      <c r="P298" s="26" t="str" cm="1">
        <f t="array" ref="P298">IFERROR(_xlfn.XLOOKUP(C298&amp;A298, ESPN!A:A&amp;ESPN!C:C, ESPN!J:J), "N/A")</f>
        <v>N/A</v>
      </c>
      <c r="Q298" s="26" t="str" cm="1">
        <f t="array" ref="Q298">IFERROR(_xlfn.XLOOKUP(C298&amp;A298, ESPN!A:A&amp;ESPN!C:C, ESPN!K:K), "N/A")</f>
        <v>N/A</v>
      </c>
    </row>
    <row r="299" spans="1:17" x14ac:dyDescent="0.45">
      <c r="A299" s="7">
        <v>2024</v>
      </c>
      <c r="B299" s="3" t="s">
        <v>222</v>
      </c>
      <c r="C299" s="4" t="str">
        <f t="shared" si="8"/>
        <v>Dalvin Cook</v>
      </c>
      <c r="D299" s="4" t="str">
        <f t="shared" si="9"/>
        <v>DAL</v>
      </c>
      <c r="E299" s="4">
        <v>2</v>
      </c>
      <c r="F299" s="12">
        <v>1</v>
      </c>
      <c r="G299" s="11">
        <v>1</v>
      </c>
      <c r="H299" s="11">
        <v>10</v>
      </c>
      <c r="I299" s="11">
        <v>10</v>
      </c>
      <c r="J299" s="11">
        <v>0</v>
      </c>
      <c r="K299" s="11">
        <v>0</v>
      </c>
      <c r="L299" s="11" t="str" cm="1">
        <f t="array" ref="L299">IFERROR(_xlfn.XLOOKUP(C299&amp;A299, ESPN!A:A&amp;ESPN!C:C, ESPN!D:D), "N/A")</f>
        <v>N/A</v>
      </c>
      <c r="M299" s="23" t="str" cm="1">
        <f t="array" ref="M299">IFERROR(_xlfn.XLOOKUP(C299&amp;A299, ESPN!A:A&amp;ESPN!C:C, ESPN!G:G), "N/A")</f>
        <v>N/A</v>
      </c>
      <c r="N299" s="23" t="str" cm="1">
        <f t="array" ref="N299">IFERROR(_xlfn.XLOOKUP(C299&amp;A299, ESPN!A:A&amp;ESPN!C:C, ESPN!H:H), "N/A")</f>
        <v>N/A</v>
      </c>
      <c r="O299" s="26" t="str" cm="1">
        <f t="array" ref="O299">IFERROR(_xlfn.XLOOKUP(C299&amp;A299, ESPN!A:A&amp;ESPN!C:C, ESPN!I:I), "N/A")</f>
        <v>N/A</v>
      </c>
      <c r="P299" s="26" t="str" cm="1">
        <f t="array" ref="P299">IFERROR(_xlfn.XLOOKUP(C299&amp;A299, ESPN!A:A&amp;ESPN!C:C, ESPN!J:J), "N/A")</f>
        <v>N/A</v>
      </c>
      <c r="Q299" s="26" t="str" cm="1">
        <f t="array" ref="Q299">IFERROR(_xlfn.XLOOKUP(C299&amp;A299, ESPN!A:A&amp;ESPN!C:C, ESPN!K:K), "N/A")</f>
        <v>N/A</v>
      </c>
    </row>
    <row r="300" spans="1:17" x14ac:dyDescent="0.45">
      <c r="A300" s="6">
        <v>2024</v>
      </c>
      <c r="B300" s="1" t="s">
        <v>223</v>
      </c>
      <c r="C300" s="2" t="str">
        <f t="shared" si="8"/>
        <v>Blake Watson</v>
      </c>
      <c r="D300" s="2" t="str">
        <f t="shared" si="9"/>
        <v>DEN</v>
      </c>
      <c r="E300" s="2">
        <v>3</v>
      </c>
      <c r="F300" s="13">
        <v>2</v>
      </c>
      <c r="G300" s="14">
        <v>1</v>
      </c>
      <c r="H300" s="14">
        <v>13</v>
      </c>
      <c r="I300" s="14">
        <v>13</v>
      </c>
      <c r="J300" s="14">
        <v>0</v>
      </c>
      <c r="K300" s="14">
        <v>0</v>
      </c>
      <c r="L300" s="11" t="str" cm="1">
        <f t="array" ref="L300">IFERROR(_xlfn.XLOOKUP(C300&amp;A300, ESPN!A:A&amp;ESPN!C:C, ESPN!D:D), "N/A")</f>
        <v>N/A</v>
      </c>
      <c r="M300" s="23" t="str" cm="1">
        <f t="array" ref="M300">IFERROR(_xlfn.XLOOKUP(C300&amp;A300, ESPN!A:A&amp;ESPN!C:C, ESPN!G:G), "N/A")</f>
        <v>N/A</v>
      </c>
      <c r="N300" s="23" t="str" cm="1">
        <f t="array" ref="N300">IFERROR(_xlfn.XLOOKUP(C300&amp;A300, ESPN!A:A&amp;ESPN!C:C, ESPN!H:H), "N/A")</f>
        <v>N/A</v>
      </c>
      <c r="O300" s="26" t="str" cm="1">
        <f t="array" ref="O300">IFERROR(_xlfn.XLOOKUP(C300&amp;A300, ESPN!A:A&amp;ESPN!C:C, ESPN!I:I), "N/A")</f>
        <v>N/A</v>
      </c>
      <c r="P300" s="26" t="str" cm="1">
        <f t="array" ref="P300">IFERROR(_xlfn.XLOOKUP(C300&amp;A300, ESPN!A:A&amp;ESPN!C:C, ESPN!J:J), "N/A")</f>
        <v>N/A</v>
      </c>
      <c r="Q300" s="26" t="str" cm="1">
        <f t="array" ref="Q300">IFERROR(_xlfn.XLOOKUP(C300&amp;A300, ESPN!A:A&amp;ESPN!C:C, ESPN!K:K), "N/A")</f>
        <v>N/A</v>
      </c>
    </row>
    <row r="301" spans="1:17" x14ac:dyDescent="0.45">
      <c r="A301" s="7">
        <v>2024</v>
      </c>
      <c r="B301" s="3" t="s">
        <v>224</v>
      </c>
      <c r="C301" s="4" t="str">
        <f t="shared" si="8"/>
        <v>Jonathan Ward</v>
      </c>
      <c r="D301" s="4" t="str">
        <f t="shared" si="9"/>
        <v>PIT</v>
      </c>
      <c r="E301" s="4">
        <v>4</v>
      </c>
      <c r="F301" s="12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 t="str" cm="1">
        <f t="array" ref="L301">IFERROR(_xlfn.XLOOKUP(C301&amp;A301, ESPN!A:A&amp;ESPN!C:C, ESPN!D:D), "N/A")</f>
        <v>N/A</v>
      </c>
      <c r="M301" s="23" t="str" cm="1">
        <f t="array" ref="M301">IFERROR(_xlfn.XLOOKUP(C301&amp;A301, ESPN!A:A&amp;ESPN!C:C, ESPN!G:G), "N/A")</f>
        <v>N/A</v>
      </c>
      <c r="N301" s="23" t="str" cm="1">
        <f t="array" ref="N301">IFERROR(_xlfn.XLOOKUP(C301&amp;A301, ESPN!A:A&amp;ESPN!C:C, ESPN!H:H), "N/A")</f>
        <v>N/A</v>
      </c>
      <c r="O301" s="26" t="str" cm="1">
        <f t="array" ref="O301">IFERROR(_xlfn.XLOOKUP(C301&amp;A301, ESPN!A:A&amp;ESPN!C:C, ESPN!I:I), "N/A")</f>
        <v>N/A</v>
      </c>
      <c r="P301" s="26" t="str" cm="1">
        <f t="array" ref="P301">IFERROR(_xlfn.XLOOKUP(C301&amp;A301, ESPN!A:A&amp;ESPN!C:C, ESPN!J:J), "N/A")</f>
        <v>N/A</v>
      </c>
      <c r="Q301" s="26" t="str" cm="1">
        <f t="array" ref="Q301">IFERROR(_xlfn.XLOOKUP(C301&amp;A301, ESPN!A:A&amp;ESPN!C:C, ESPN!K:K), "N/A")</f>
        <v>N/A</v>
      </c>
    </row>
    <row r="302" spans="1:17" x14ac:dyDescent="0.45">
      <c r="A302" s="6">
        <v>2024</v>
      </c>
      <c r="B302" s="1" t="s">
        <v>225</v>
      </c>
      <c r="C302" s="2" t="str">
        <f t="shared" si="8"/>
        <v>MarShawn Lloyd</v>
      </c>
      <c r="D302" s="2" t="str">
        <f t="shared" si="9"/>
        <v>GB</v>
      </c>
      <c r="E302" s="2">
        <v>1</v>
      </c>
      <c r="F302" s="13">
        <v>1</v>
      </c>
      <c r="G302" s="14">
        <v>1</v>
      </c>
      <c r="H302" s="14">
        <v>3</v>
      </c>
      <c r="I302" s="14">
        <v>3</v>
      </c>
      <c r="J302" s="14">
        <v>0</v>
      </c>
      <c r="K302" s="14">
        <v>0</v>
      </c>
      <c r="L302" s="11" t="str" cm="1">
        <f t="array" ref="L302">IFERROR(_xlfn.XLOOKUP(C302&amp;A302, ESPN!A:A&amp;ESPN!C:C, ESPN!D:D), "N/A")</f>
        <v>N/A</v>
      </c>
      <c r="M302" s="23" t="str" cm="1">
        <f t="array" ref="M302">IFERROR(_xlfn.XLOOKUP(C302&amp;A302, ESPN!A:A&amp;ESPN!C:C, ESPN!G:G), "N/A")</f>
        <v>N/A</v>
      </c>
      <c r="N302" s="23" t="str" cm="1">
        <f t="array" ref="N302">IFERROR(_xlfn.XLOOKUP(C302&amp;A302, ESPN!A:A&amp;ESPN!C:C, ESPN!H:H), "N/A")</f>
        <v>N/A</v>
      </c>
      <c r="O302" s="26" t="str" cm="1">
        <f t="array" ref="O302">IFERROR(_xlfn.XLOOKUP(C302&amp;A302, ESPN!A:A&amp;ESPN!C:C, ESPN!I:I), "N/A")</f>
        <v>N/A</v>
      </c>
      <c r="P302" s="26" t="str" cm="1">
        <f t="array" ref="P302">IFERROR(_xlfn.XLOOKUP(C302&amp;A302, ESPN!A:A&amp;ESPN!C:C, ESPN!J:J), "N/A")</f>
        <v>N/A</v>
      </c>
      <c r="Q302" s="26" t="str" cm="1">
        <f t="array" ref="Q302">IFERROR(_xlfn.XLOOKUP(C302&amp;A302, ESPN!A:A&amp;ESPN!C:C, ESPN!K:K), "N/A")</f>
        <v>N/A</v>
      </c>
    </row>
    <row r="303" spans="1:17" x14ac:dyDescent="0.45">
      <c r="A303" s="7">
        <v>2024</v>
      </c>
      <c r="B303" s="3" t="s">
        <v>226</v>
      </c>
      <c r="C303" s="4" t="str">
        <f t="shared" si="8"/>
        <v>Aaron Shampklin</v>
      </c>
      <c r="D303" s="4" t="str">
        <f t="shared" si="9"/>
        <v>PIT</v>
      </c>
      <c r="E303" s="4">
        <v>3</v>
      </c>
      <c r="F303" s="12">
        <v>0</v>
      </c>
      <c r="G303" s="11">
        <v>0</v>
      </c>
      <c r="H303" s="11">
        <v>0</v>
      </c>
      <c r="I303" s="11">
        <v>0</v>
      </c>
      <c r="J303" s="11">
        <v>0</v>
      </c>
      <c r="K303" s="11">
        <v>0</v>
      </c>
      <c r="L303" s="11" t="str" cm="1">
        <f t="array" ref="L303">IFERROR(_xlfn.XLOOKUP(C303&amp;A303, ESPN!A:A&amp;ESPN!C:C, ESPN!D:D), "N/A")</f>
        <v>N/A</v>
      </c>
      <c r="M303" s="23" t="str" cm="1">
        <f t="array" ref="M303">IFERROR(_xlfn.XLOOKUP(C303&amp;A303, ESPN!A:A&amp;ESPN!C:C, ESPN!G:G), "N/A")</f>
        <v>N/A</v>
      </c>
      <c r="N303" s="23" t="str" cm="1">
        <f t="array" ref="N303">IFERROR(_xlfn.XLOOKUP(C303&amp;A303, ESPN!A:A&amp;ESPN!C:C, ESPN!H:H), "N/A")</f>
        <v>N/A</v>
      </c>
      <c r="O303" s="26" t="str" cm="1">
        <f t="array" ref="O303">IFERROR(_xlfn.XLOOKUP(C303&amp;A303, ESPN!A:A&amp;ESPN!C:C, ESPN!I:I), "N/A")</f>
        <v>N/A</v>
      </c>
      <c r="P303" s="26" t="str" cm="1">
        <f t="array" ref="P303">IFERROR(_xlfn.XLOOKUP(C303&amp;A303, ESPN!A:A&amp;ESPN!C:C, ESPN!J:J), "N/A")</f>
        <v>N/A</v>
      </c>
      <c r="Q303" s="26" t="str" cm="1">
        <f t="array" ref="Q303">IFERROR(_xlfn.XLOOKUP(C303&amp;A303, ESPN!A:A&amp;ESPN!C:C, ESPN!K:K), "N/A")</f>
        <v>N/A</v>
      </c>
    </row>
    <row r="304" spans="1:17" x14ac:dyDescent="0.45">
      <c r="A304" s="6">
        <v>2024</v>
      </c>
      <c r="B304" s="1" t="s">
        <v>227</v>
      </c>
      <c r="C304" s="2" t="str">
        <f t="shared" si="8"/>
        <v>Tyreik McAllister</v>
      </c>
      <c r="D304" s="2" t="str">
        <f t="shared" si="9"/>
        <v>LV</v>
      </c>
      <c r="E304" s="2">
        <v>2</v>
      </c>
      <c r="F304" s="13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1" t="str" cm="1">
        <f t="array" ref="L304">IFERROR(_xlfn.XLOOKUP(C304&amp;A304, ESPN!A:A&amp;ESPN!C:C, ESPN!D:D), "N/A")</f>
        <v>N/A</v>
      </c>
      <c r="M304" s="23" t="str" cm="1">
        <f t="array" ref="M304">IFERROR(_xlfn.XLOOKUP(C304&amp;A304, ESPN!A:A&amp;ESPN!C:C, ESPN!G:G), "N/A")</f>
        <v>N/A</v>
      </c>
      <c r="N304" s="23" t="str" cm="1">
        <f t="array" ref="N304">IFERROR(_xlfn.XLOOKUP(C304&amp;A304, ESPN!A:A&amp;ESPN!C:C, ESPN!H:H), "N/A")</f>
        <v>N/A</v>
      </c>
      <c r="O304" s="26" t="str" cm="1">
        <f t="array" ref="O304">IFERROR(_xlfn.XLOOKUP(C304&amp;A304, ESPN!A:A&amp;ESPN!C:C, ESPN!I:I), "N/A")</f>
        <v>N/A</v>
      </c>
      <c r="P304" s="26" t="str" cm="1">
        <f t="array" ref="P304">IFERROR(_xlfn.XLOOKUP(C304&amp;A304, ESPN!A:A&amp;ESPN!C:C, ESPN!J:J), "N/A")</f>
        <v>N/A</v>
      </c>
      <c r="Q304" s="26" t="str" cm="1">
        <f t="array" ref="Q304">IFERROR(_xlfn.XLOOKUP(C304&amp;A304, ESPN!A:A&amp;ESPN!C:C, ESPN!K:K), "N/A")</f>
        <v>N/A</v>
      </c>
    </row>
    <row r="305" spans="1:17" x14ac:dyDescent="0.45">
      <c r="A305" s="7">
        <v>2024</v>
      </c>
      <c r="B305" s="3" t="s">
        <v>228</v>
      </c>
      <c r="C305" s="4" t="str">
        <f t="shared" si="8"/>
        <v>Myles Gaskin</v>
      </c>
      <c r="D305" s="4" t="str">
        <f t="shared" si="9"/>
        <v>MIN</v>
      </c>
      <c r="E305" s="4">
        <v>4</v>
      </c>
      <c r="F305" s="12">
        <v>1</v>
      </c>
      <c r="G305" s="11">
        <v>1</v>
      </c>
      <c r="H305" s="11">
        <v>11</v>
      </c>
      <c r="I305" s="11">
        <v>11</v>
      </c>
      <c r="J305" s="11">
        <v>0</v>
      </c>
      <c r="K305" s="11">
        <v>0</v>
      </c>
      <c r="L305" s="11" t="str" cm="1">
        <f t="array" ref="L305">IFERROR(_xlfn.XLOOKUP(C305&amp;A305, ESPN!A:A&amp;ESPN!C:C, ESPN!D:D), "N/A")</f>
        <v>N/A</v>
      </c>
      <c r="M305" s="23" t="str" cm="1">
        <f t="array" ref="M305">IFERROR(_xlfn.XLOOKUP(C305&amp;A305, ESPN!A:A&amp;ESPN!C:C, ESPN!G:G), "N/A")</f>
        <v>N/A</v>
      </c>
      <c r="N305" s="23" t="str" cm="1">
        <f t="array" ref="N305">IFERROR(_xlfn.XLOOKUP(C305&amp;A305, ESPN!A:A&amp;ESPN!C:C, ESPN!H:H), "N/A")</f>
        <v>N/A</v>
      </c>
      <c r="O305" s="26" t="str" cm="1">
        <f t="array" ref="O305">IFERROR(_xlfn.XLOOKUP(C305&amp;A305, ESPN!A:A&amp;ESPN!C:C, ESPN!I:I), "N/A")</f>
        <v>N/A</v>
      </c>
      <c r="P305" s="26" t="str" cm="1">
        <f t="array" ref="P305">IFERROR(_xlfn.XLOOKUP(C305&amp;A305, ESPN!A:A&amp;ESPN!C:C, ESPN!J:J), "N/A")</f>
        <v>N/A</v>
      </c>
      <c r="Q305" s="26" t="str" cm="1">
        <f t="array" ref="Q305">IFERROR(_xlfn.XLOOKUP(C305&amp;A305, ESPN!A:A&amp;ESPN!C:C, ESPN!K:K), "N/A")</f>
        <v>N/A</v>
      </c>
    </row>
    <row r="306" spans="1:17" x14ac:dyDescent="0.45">
      <c r="A306" s="6">
        <v>2024</v>
      </c>
      <c r="B306" s="1" t="s">
        <v>95</v>
      </c>
      <c r="C306" s="2" t="str">
        <f t="shared" si="8"/>
        <v>George Holani</v>
      </c>
      <c r="D306" s="2" t="str">
        <f t="shared" si="9"/>
        <v>SEA</v>
      </c>
      <c r="E306" s="2">
        <v>3</v>
      </c>
      <c r="F306" s="13">
        <v>1</v>
      </c>
      <c r="G306" s="14">
        <v>1</v>
      </c>
      <c r="H306" s="14">
        <v>-1</v>
      </c>
      <c r="I306" s="14">
        <v>-1</v>
      </c>
      <c r="J306" s="14">
        <v>0</v>
      </c>
      <c r="K306" s="14">
        <v>0</v>
      </c>
      <c r="L306" s="11" t="str" cm="1">
        <f t="array" ref="L306">IFERROR(_xlfn.XLOOKUP(C306&amp;A306, ESPN!A:A&amp;ESPN!C:C, ESPN!D:D), "N/A")</f>
        <v>N/A</v>
      </c>
      <c r="M306" s="23" t="str" cm="1">
        <f t="array" ref="M306">IFERROR(_xlfn.XLOOKUP(C306&amp;A306, ESPN!A:A&amp;ESPN!C:C, ESPN!G:G), "N/A")</f>
        <v>N/A</v>
      </c>
      <c r="N306" s="23" t="str" cm="1">
        <f t="array" ref="N306">IFERROR(_xlfn.XLOOKUP(C306&amp;A306, ESPN!A:A&amp;ESPN!C:C, ESPN!H:H), "N/A")</f>
        <v>N/A</v>
      </c>
      <c r="O306" s="26" t="str" cm="1">
        <f t="array" ref="O306">IFERROR(_xlfn.XLOOKUP(C306&amp;A306, ESPN!A:A&amp;ESPN!C:C, ESPN!I:I), "N/A")</f>
        <v>N/A</v>
      </c>
      <c r="P306" s="26" t="str" cm="1">
        <f t="array" ref="P306">IFERROR(_xlfn.XLOOKUP(C306&amp;A306, ESPN!A:A&amp;ESPN!C:C, ESPN!J:J), "N/A")</f>
        <v>N/A</v>
      </c>
      <c r="Q306" s="26" t="str" cm="1">
        <f t="array" ref="Q306">IFERROR(_xlfn.XLOOKUP(C306&amp;A306, ESPN!A:A&amp;ESPN!C:C, ESPN!K:K), "N/A")</f>
        <v>N/A</v>
      </c>
    </row>
    <row r="307" spans="1:17" x14ac:dyDescent="0.45">
      <c r="A307" s="7">
        <v>2024</v>
      </c>
      <c r="B307" s="3" t="s">
        <v>229</v>
      </c>
      <c r="C307" s="4" t="str">
        <f t="shared" si="8"/>
        <v>Cody Schrader</v>
      </c>
      <c r="D307" s="4" t="str">
        <f t="shared" si="9"/>
        <v>LAR</v>
      </c>
      <c r="E307" s="4">
        <v>1</v>
      </c>
      <c r="F307" s="12">
        <v>1</v>
      </c>
      <c r="G307" s="11">
        <v>1</v>
      </c>
      <c r="H307" s="11">
        <v>6</v>
      </c>
      <c r="I307" s="11">
        <v>6</v>
      </c>
      <c r="J307" s="11">
        <v>0</v>
      </c>
      <c r="K307" s="11">
        <v>0</v>
      </c>
      <c r="L307" s="11" t="str" cm="1">
        <f t="array" ref="L307">IFERROR(_xlfn.XLOOKUP(C307&amp;A307, ESPN!A:A&amp;ESPN!C:C, ESPN!D:D), "N/A")</f>
        <v>N/A</v>
      </c>
      <c r="M307" s="23" t="str" cm="1">
        <f t="array" ref="M307">IFERROR(_xlfn.XLOOKUP(C307&amp;A307, ESPN!A:A&amp;ESPN!C:C, ESPN!G:G), "N/A")</f>
        <v>N/A</v>
      </c>
      <c r="N307" s="23" t="str" cm="1">
        <f t="array" ref="N307">IFERROR(_xlfn.XLOOKUP(C307&amp;A307, ESPN!A:A&amp;ESPN!C:C, ESPN!H:H), "N/A")</f>
        <v>N/A</v>
      </c>
      <c r="O307" s="26" t="str" cm="1">
        <f t="array" ref="O307">IFERROR(_xlfn.XLOOKUP(C307&amp;A307, ESPN!A:A&amp;ESPN!C:C, ESPN!I:I), "N/A")</f>
        <v>N/A</v>
      </c>
      <c r="P307" s="26" t="str" cm="1">
        <f t="array" ref="P307">IFERROR(_xlfn.XLOOKUP(C307&amp;A307, ESPN!A:A&amp;ESPN!C:C, ESPN!J:J), "N/A")</f>
        <v>N/A</v>
      </c>
      <c r="Q307" s="26" t="str" cm="1">
        <f t="array" ref="Q307">IFERROR(_xlfn.XLOOKUP(C307&amp;A307, ESPN!A:A&amp;ESPN!C:C, ESPN!K:K), "N/A")</f>
        <v>N/A</v>
      </c>
    </row>
    <row r="308" spans="1:17" x14ac:dyDescent="0.45">
      <c r="A308" s="6">
        <v>2024</v>
      </c>
      <c r="B308" s="1" t="s">
        <v>169</v>
      </c>
      <c r="C308" s="2" t="str">
        <f t="shared" si="8"/>
        <v>Chris Collier</v>
      </c>
      <c r="D308" s="2" t="str">
        <f t="shared" si="9"/>
        <v>LV</v>
      </c>
      <c r="E308" s="2">
        <v>6</v>
      </c>
      <c r="F308" s="13">
        <v>2</v>
      </c>
      <c r="G308" s="14">
        <v>1</v>
      </c>
      <c r="H308" s="14">
        <v>-4</v>
      </c>
      <c r="I308" s="14">
        <v>-4</v>
      </c>
      <c r="J308" s="14">
        <v>0</v>
      </c>
      <c r="K308" s="14">
        <v>0</v>
      </c>
      <c r="L308" s="11" t="str" cm="1">
        <f t="array" ref="L308">IFERROR(_xlfn.XLOOKUP(C308&amp;A308, ESPN!A:A&amp;ESPN!C:C, ESPN!D:D), "N/A")</f>
        <v>N/A</v>
      </c>
      <c r="M308" s="23" t="str" cm="1">
        <f t="array" ref="M308">IFERROR(_xlfn.XLOOKUP(C308&amp;A308, ESPN!A:A&amp;ESPN!C:C, ESPN!G:G), "N/A")</f>
        <v>N/A</v>
      </c>
      <c r="N308" s="23" t="str" cm="1">
        <f t="array" ref="N308">IFERROR(_xlfn.XLOOKUP(C308&amp;A308, ESPN!A:A&amp;ESPN!C:C, ESPN!H:H), "N/A")</f>
        <v>N/A</v>
      </c>
      <c r="O308" s="26" t="str" cm="1">
        <f t="array" ref="O308">IFERROR(_xlfn.XLOOKUP(C308&amp;A308, ESPN!A:A&amp;ESPN!C:C, ESPN!I:I), "N/A")</f>
        <v>N/A</v>
      </c>
      <c r="P308" s="26" t="str" cm="1">
        <f t="array" ref="P308">IFERROR(_xlfn.XLOOKUP(C308&amp;A308, ESPN!A:A&amp;ESPN!C:C, ESPN!J:J), "N/A")</f>
        <v>N/A</v>
      </c>
      <c r="Q308" s="26" t="str" cm="1">
        <f t="array" ref="Q308">IFERROR(_xlfn.XLOOKUP(C308&amp;A308, ESPN!A:A&amp;ESPN!C:C, ESPN!K:K), "N/A")</f>
        <v>N/A</v>
      </c>
    </row>
    <row r="309" spans="1:17" x14ac:dyDescent="0.45">
      <c r="A309" s="7">
        <v>2024</v>
      </c>
      <c r="B309" s="3" t="s">
        <v>142</v>
      </c>
      <c r="C309" s="4" t="str">
        <f t="shared" si="8"/>
        <v>Reggie Gilliam</v>
      </c>
      <c r="D309" s="4" t="str">
        <f t="shared" si="9"/>
        <v>BUF</v>
      </c>
      <c r="E309" s="4">
        <v>14</v>
      </c>
      <c r="F309" s="12">
        <v>0</v>
      </c>
      <c r="G309" s="11">
        <v>0</v>
      </c>
      <c r="H309" s="11">
        <v>0</v>
      </c>
      <c r="I309" s="11">
        <v>0</v>
      </c>
      <c r="J309" s="11">
        <v>0</v>
      </c>
      <c r="K309" s="11">
        <v>0</v>
      </c>
      <c r="L309" s="11" t="str" cm="1">
        <f t="array" ref="L309">IFERROR(_xlfn.XLOOKUP(C309&amp;A309, ESPN!A:A&amp;ESPN!C:C, ESPN!D:D), "N/A")</f>
        <v>N/A</v>
      </c>
      <c r="M309" s="23" t="str" cm="1">
        <f t="array" ref="M309">IFERROR(_xlfn.XLOOKUP(C309&amp;A309, ESPN!A:A&amp;ESPN!C:C, ESPN!G:G), "N/A")</f>
        <v>N/A</v>
      </c>
      <c r="N309" s="23" t="str" cm="1">
        <f t="array" ref="N309">IFERROR(_xlfn.XLOOKUP(C309&amp;A309, ESPN!A:A&amp;ESPN!C:C, ESPN!H:H), "N/A")</f>
        <v>N/A</v>
      </c>
      <c r="O309" s="26" t="str" cm="1">
        <f t="array" ref="O309">IFERROR(_xlfn.XLOOKUP(C309&amp;A309, ESPN!A:A&amp;ESPN!C:C, ESPN!I:I), "N/A")</f>
        <v>N/A</v>
      </c>
      <c r="P309" s="26" t="str" cm="1">
        <f t="array" ref="P309">IFERROR(_xlfn.XLOOKUP(C309&amp;A309, ESPN!A:A&amp;ESPN!C:C, ESPN!J:J), "N/A")</f>
        <v>N/A</v>
      </c>
      <c r="Q309" s="26" t="str" cm="1">
        <f t="array" ref="Q309">IFERROR(_xlfn.XLOOKUP(C309&amp;A309, ESPN!A:A&amp;ESPN!C:C, ESPN!K:K), "N/A")</f>
        <v>N/A</v>
      </c>
    </row>
    <row r="310" spans="1:17" x14ac:dyDescent="0.45">
      <c r="A310" s="6">
        <v>2024</v>
      </c>
      <c r="B310" s="1" t="s">
        <v>230</v>
      </c>
      <c r="C310" s="2" t="str">
        <f t="shared" si="8"/>
        <v>Tyrion Davis-Price</v>
      </c>
      <c r="D310" s="2" t="str">
        <f t="shared" si="9"/>
        <v>PHI</v>
      </c>
      <c r="E310" s="2">
        <v>1</v>
      </c>
      <c r="F310" s="13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1" t="str" cm="1">
        <f t="array" ref="L310">IFERROR(_xlfn.XLOOKUP(C310&amp;A310, ESPN!A:A&amp;ESPN!C:C, ESPN!D:D), "N/A")</f>
        <v>N/A</v>
      </c>
      <c r="M310" s="23" t="str" cm="1">
        <f t="array" ref="M310">IFERROR(_xlfn.XLOOKUP(C310&amp;A310, ESPN!A:A&amp;ESPN!C:C, ESPN!G:G), "N/A")</f>
        <v>N/A</v>
      </c>
      <c r="N310" s="23" t="str" cm="1">
        <f t="array" ref="N310">IFERROR(_xlfn.XLOOKUP(C310&amp;A310, ESPN!A:A&amp;ESPN!C:C, ESPN!H:H), "N/A")</f>
        <v>N/A</v>
      </c>
      <c r="O310" s="26" t="str" cm="1">
        <f t="array" ref="O310">IFERROR(_xlfn.XLOOKUP(C310&amp;A310, ESPN!A:A&amp;ESPN!C:C, ESPN!I:I), "N/A")</f>
        <v>N/A</v>
      </c>
      <c r="P310" s="26" t="str" cm="1">
        <f t="array" ref="P310">IFERROR(_xlfn.XLOOKUP(C310&amp;A310, ESPN!A:A&amp;ESPN!C:C, ESPN!J:J), "N/A")</f>
        <v>N/A</v>
      </c>
      <c r="Q310" s="26" t="str" cm="1">
        <f t="array" ref="Q310">IFERROR(_xlfn.XLOOKUP(C310&amp;A310, ESPN!A:A&amp;ESPN!C:C, ESPN!K:K), "N/A")</f>
        <v>N/A</v>
      </c>
    </row>
    <row r="311" spans="1:17" x14ac:dyDescent="0.45">
      <c r="A311" s="7">
        <v>2024</v>
      </c>
      <c r="B311" s="3" t="s">
        <v>231</v>
      </c>
      <c r="C311" s="4" t="str">
        <f t="shared" si="8"/>
        <v>Ke'Shawn Vaughn</v>
      </c>
      <c r="D311" s="4" t="str">
        <f t="shared" si="9"/>
        <v>SF</v>
      </c>
      <c r="E311" s="4">
        <v>1</v>
      </c>
      <c r="F311" s="12">
        <v>0</v>
      </c>
      <c r="G311" s="11">
        <v>0</v>
      </c>
      <c r="H311" s="11">
        <v>0</v>
      </c>
      <c r="I311" s="11">
        <v>0</v>
      </c>
      <c r="J311" s="11">
        <v>0</v>
      </c>
      <c r="K311" s="11">
        <v>0</v>
      </c>
      <c r="L311" s="11" t="str" cm="1">
        <f t="array" ref="L311">IFERROR(_xlfn.XLOOKUP(C311&amp;A311, ESPN!A:A&amp;ESPN!C:C, ESPN!D:D), "N/A")</f>
        <v>N/A</v>
      </c>
      <c r="M311" s="23" t="str" cm="1">
        <f t="array" ref="M311">IFERROR(_xlfn.XLOOKUP(C311&amp;A311, ESPN!A:A&amp;ESPN!C:C, ESPN!G:G), "N/A")</f>
        <v>N/A</v>
      </c>
      <c r="N311" s="23" t="str" cm="1">
        <f t="array" ref="N311">IFERROR(_xlfn.XLOOKUP(C311&amp;A311, ESPN!A:A&amp;ESPN!C:C, ESPN!H:H), "N/A")</f>
        <v>N/A</v>
      </c>
      <c r="O311" s="26" t="str" cm="1">
        <f t="array" ref="O311">IFERROR(_xlfn.XLOOKUP(C311&amp;A311, ESPN!A:A&amp;ESPN!C:C, ESPN!I:I), "N/A")</f>
        <v>N/A</v>
      </c>
      <c r="P311" s="26" t="str" cm="1">
        <f t="array" ref="P311">IFERROR(_xlfn.XLOOKUP(C311&amp;A311, ESPN!A:A&amp;ESPN!C:C, ESPN!J:J), "N/A")</f>
        <v>N/A</v>
      </c>
      <c r="Q311" s="26" t="str" cm="1">
        <f t="array" ref="Q311">IFERROR(_xlfn.XLOOKUP(C311&amp;A311, ESPN!A:A&amp;ESPN!C:C, ESPN!K:K), "N/A")</f>
        <v>N/A</v>
      </c>
    </row>
    <row r="312" spans="1:17" x14ac:dyDescent="0.45">
      <c r="A312" s="6">
        <v>2024</v>
      </c>
      <c r="B312" s="1" t="s">
        <v>232</v>
      </c>
      <c r="C312" s="2" t="str">
        <f t="shared" si="8"/>
        <v>Darrynton Evans</v>
      </c>
      <c r="D312" s="2" t="str">
        <f t="shared" si="9"/>
        <v>CHI</v>
      </c>
      <c r="E312" s="2">
        <v>2</v>
      </c>
      <c r="F312" s="13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1" t="str" cm="1">
        <f t="array" ref="L312">IFERROR(_xlfn.XLOOKUP(C312&amp;A312, ESPN!A:A&amp;ESPN!C:C, ESPN!D:D), "N/A")</f>
        <v>N/A</v>
      </c>
      <c r="M312" s="23" t="str" cm="1">
        <f t="array" ref="M312">IFERROR(_xlfn.XLOOKUP(C312&amp;A312, ESPN!A:A&amp;ESPN!C:C, ESPN!G:G), "N/A")</f>
        <v>N/A</v>
      </c>
      <c r="N312" s="23" t="str" cm="1">
        <f t="array" ref="N312">IFERROR(_xlfn.XLOOKUP(C312&amp;A312, ESPN!A:A&amp;ESPN!C:C, ESPN!H:H), "N/A")</f>
        <v>N/A</v>
      </c>
      <c r="O312" s="26" t="str" cm="1">
        <f t="array" ref="O312">IFERROR(_xlfn.XLOOKUP(C312&amp;A312, ESPN!A:A&amp;ESPN!C:C, ESPN!I:I), "N/A")</f>
        <v>N/A</v>
      </c>
      <c r="P312" s="26" t="str" cm="1">
        <f t="array" ref="P312">IFERROR(_xlfn.XLOOKUP(C312&amp;A312, ESPN!A:A&amp;ESPN!C:C, ESPN!J:J), "N/A")</f>
        <v>N/A</v>
      </c>
      <c r="Q312" s="26" t="str" cm="1">
        <f t="array" ref="Q312">IFERROR(_xlfn.XLOOKUP(C312&amp;A312, ESPN!A:A&amp;ESPN!C:C, ESPN!K:K), "N/A")</f>
        <v>N/A</v>
      </c>
    </row>
    <row r="313" spans="1:17" x14ac:dyDescent="0.45">
      <c r="A313" s="7">
        <v>2024</v>
      </c>
      <c r="B313" s="3" t="s">
        <v>233</v>
      </c>
      <c r="C313" s="4" t="str">
        <f t="shared" si="8"/>
        <v>Joshua Kelley</v>
      </c>
      <c r="D313" s="4" t="str">
        <f t="shared" si="9"/>
        <v>TEN</v>
      </c>
      <c r="E313" s="4">
        <v>1</v>
      </c>
      <c r="F313" s="12">
        <v>0</v>
      </c>
      <c r="G313" s="11">
        <v>0</v>
      </c>
      <c r="H313" s="11">
        <v>0</v>
      </c>
      <c r="I313" s="11">
        <v>0</v>
      </c>
      <c r="J313" s="11">
        <v>0</v>
      </c>
      <c r="K313" s="11">
        <v>0</v>
      </c>
      <c r="L313" s="11" t="str" cm="1">
        <f t="array" ref="L313">IFERROR(_xlfn.XLOOKUP(C313&amp;A313, ESPN!A:A&amp;ESPN!C:C, ESPN!D:D), "N/A")</f>
        <v>N/A</v>
      </c>
      <c r="M313" s="23" t="str" cm="1">
        <f t="array" ref="M313">IFERROR(_xlfn.XLOOKUP(C313&amp;A313, ESPN!A:A&amp;ESPN!C:C, ESPN!G:G), "N/A")</f>
        <v>N/A</v>
      </c>
      <c r="N313" s="23" t="str" cm="1">
        <f t="array" ref="N313">IFERROR(_xlfn.XLOOKUP(C313&amp;A313, ESPN!A:A&amp;ESPN!C:C, ESPN!H:H), "N/A")</f>
        <v>N/A</v>
      </c>
      <c r="O313" s="26" t="str" cm="1">
        <f t="array" ref="O313">IFERROR(_xlfn.XLOOKUP(C313&amp;A313, ESPN!A:A&amp;ESPN!C:C, ESPN!I:I), "N/A")</f>
        <v>N/A</v>
      </c>
      <c r="P313" s="26" t="str" cm="1">
        <f t="array" ref="P313">IFERROR(_xlfn.XLOOKUP(C313&amp;A313, ESPN!A:A&amp;ESPN!C:C, ESPN!J:J), "N/A")</f>
        <v>N/A</v>
      </c>
      <c r="Q313" s="26" t="str" cm="1">
        <f t="array" ref="Q313">IFERROR(_xlfn.XLOOKUP(C313&amp;A313, ESPN!A:A&amp;ESPN!C:C, ESPN!K:K), "N/A")</f>
        <v>N/A</v>
      </c>
    </row>
    <row r="314" spans="1:17" x14ac:dyDescent="0.45">
      <c r="A314" s="6">
        <v>2024</v>
      </c>
      <c r="B314" s="1" t="s">
        <v>91</v>
      </c>
      <c r="C314" s="2" t="str">
        <f t="shared" si="8"/>
        <v>British Brooks</v>
      </c>
      <c r="D314" s="2" t="str">
        <f t="shared" si="9"/>
        <v>HOU</v>
      </c>
      <c r="E314" s="2">
        <v>3</v>
      </c>
      <c r="F314" s="13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1" t="str" cm="1">
        <f t="array" ref="L314">IFERROR(_xlfn.XLOOKUP(C314&amp;A314, ESPN!A:A&amp;ESPN!C:C, ESPN!D:D), "N/A")</f>
        <v>N/A</v>
      </c>
      <c r="M314" s="23" t="str" cm="1">
        <f t="array" ref="M314">IFERROR(_xlfn.XLOOKUP(C314&amp;A314, ESPN!A:A&amp;ESPN!C:C, ESPN!G:G), "N/A")</f>
        <v>N/A</v>
      </c>
      <c r="N314" s="23" t="str" cm="1">
        <f t="array" ref="N314">IFERROR(_xlfn.XLOOKUP(C314&amp;A314, ESPN!A:A&amp;ESPN!C:C, ESPN!H:H), "N/A")</f>
        <v>N/A</v>
      </c>
      <c r="O314" s="26" t="str" cm="1">
        <f t="array" ref="O314">IFERROR(_xlfn.XLOOKUP(C314&amp;A314, ESPN!A:A&amp;ESPN!C:C, ESPN!I:I), "N/A")</f>
        <v>N/A</v>
      </c>
      <c r="P314" s="26" t="str" cm="1">
        <f t="array" ref="P314">IFERROR(_xlfn.XLOOKUP(C314&amp;A314, ESPN!A:A&amp;ESPN!C:C, ESPN!J:J), "N/A")</f>
        <v>N/A</v>
      </c>
      <c r="Q314" s="26" t="str" cm="1">
        <f t="array" ref="Q314">IFERROR(_xlfn.XLOOKUP(C314&amp;A314, ESPN!A:A&amp;ESPN!C:C, ESPN!K:K), "N/A")</f>
        <v>N/A</v>
      </c>
    </row>
    <row r="315" spans="1:17" x14ac:dyDescent="0.45">
      <c r="A315" s="7">
        <v>2024</v>
      </c>
      <c r="B315" s="3" t="s">
        <v>234</v>
      </c>
      <c r="C315" s="4" t="str">
        <f t="shared" si="8"/>
        <v>Nyheim Miller-Hines</v>
      </c>
      <c r="D315" s="4" t="str">
        <f t="shared" si="9"/>
        <v>CLE</v>
      </c>
      <c r="E315" s="4">
        <v>2</v>
      </c>
      <c r="F315" s="12">
        <v>0</v>
      </c>
      <c r="G315" s="11">
        <v>0</v>
      </c>
      <c r="H315" s="11">
        <v>0</v>
      </c>
      <c r="I315" s="11">
        <v>0</v>
      </c>
      <c r="J315" s="11">
        <v>0</v>
      </c>
      <c r="K315" s="11">
        <v>0</v>
      </c>
      <c r="L315" s="11" t="str" cm="1">
        <f t="array" ref="L315">IFERROR(_xlfn.XLOOKUP(C315&amp;A315, ESPN!A:A&amp;ESPN!C:C, ESPN!D:D), "N/A")</f>
        <v>N/A</v>
      </c>
      <c r="M315" s="23" t="str" cm="1">
        <f t="array" ref="M315">IFERROR(_xlfn.XLOOKUP(C315&amp;A315, ESPN!A:A&amp;ESPN!C:C, ESPN!G:G), "N/A")</f>
        <v>N/A</v>
      </c>
      <c r="N315" s="23" t="str" cm="1">
        <f t="array" ref="N315">IFERROR(_xlfn.XLOOKUP(C315&amp;A315, ESPN!A:A&amp;ESPN!C:C, ESPN!H:H), "N/A")</f>
        <v>N/A</v>
      </c>
      <c r="O315" s="26" t="str" cm="1">
        <f t="array" ref="O315">IFERROR(_xlfn.XLOOKUP(C315&amp;A315, ESPN!A:A&amp;ESPN!C:C, ESPN!I:I), "N/A")</f>
        <v>N/A</v>
      </c>
      <c r="P315" s="26" t="str" cm="1">
        <f t="array" ref="P315">IFERROR(_xlfn.XLOOKUP(C315&amp;A315, ESPN!A:A&amp;ESPN!C:C, ESPN!J:J), "N/A")</f>
        <v>N/A</v>
      </c>
      <c r="Q315" s="26" t="str" cm="1">
        <f t="array" ref="Q315">IFERROR(_xlfn.XLOOKUP(C315&amp;A315, ESPN!A:A&amp;ESPN!C:C, ESPN!K:K), "N/A")</f>
        <v>N/A</v>
      </c>
    </row>
    <row r="316" spans="1:17" x14ac:dyDescent="0.45">
      <c r="A316" s="6">
        <v>2024</v>
      </c>
      <c r="B316" s="1" t="s">
        <v>235</v>
      </c>
      <c r="C316" s="2" t="str">
        <f t="shared" si="8"/>
        <v>John Kelly Jr.</v>
      </c>
      <c r="D316" s="2" t="str">
        <f t="shared" si="9"/>
        <v>BAL</v>
      </c>
      <c r="E316" s="2">
        <v>1</v>
      </c>
      <c r="F316" s="13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1" t="str" cm="1">
        <f t="array" ref="L316">IFERROR(_xlfn.XLOOKUP(C316&amp;A316, ESPN!A:A&amp;ESPN!C:C, ESPN!D:D), "N/A")</f>
        <v>N/A</v>
      </c>
      <c r="M316" s="23" t="str" cm="1">
        <f t="array" ref="M316">IFERROR(_xlfn.XLOOKUP(C316&amp;A316, ESPN!A:A&amp;ESPN!C:C, ESPN!G:G), "N/A")</f>
        <v>N/A</v>
      </c>
      <c r="N316" s="23" t="str" cm="1">
        <f t="array" ref="N316">IFERROR(_xlfn.XLOOKUP(C316&amp;A316, ESPN!A:A&amp;ESPN!C:C, ESPN!H:H), "N/A")</f>
        <v>N/A</v>
      </c>
      <c r="O316" s="26" t="str" cm="1">
        <f t="array" ref="O316">IFERROR(_xlfn.XLOOKUP(C316&amp;A316, ESPN!A:A&amp;ESPN!C:C, ESPN!I:I), "N/A")</f>
        <v>N/A</v>
      </c>
      <c r="P316" s="26" t="str" cm="1">
        <f t="array" ref="P316">IFERROR(_xlfn.XLOOKUP(C316&amp;A316, ESPN!A:A&amp;ESPN!C:C, ESPN!J:J), "N/A")</f>
        <v>N/A</v>
      </c>
      <c r="Q316" s="26" t="str" cm="1">
        <f t="array" ref="Q316">IFERROR(_xlfn.XLOOKUP(C316&amp;A316, ESPN!A:A&amp;ESPN!C:C, ESPN!K:K), "N/A")</f>
        <v>N/A</v>
      </c>
    </row>
    <row r="317" spans="1:17" x14ac:dyDescent="0.45">
      <c r="A317" s="7">
        <v>2024</v>
      </c>
      <c r="B317" s="3" t="s">
        <v>236</v>
      </c>
      <c r="C317" s="4" t="str">
        <f t="shared" si="8"/>
        <v>Trayveon Williams</v>
      </c>
      <c r="D317" s="4" t="str">
        <f t="shared" si="9"/>
        <v>CIN</v>
      </c>
      <c r="E317" s="4">
        <v>5</v>
      </c>
      <c r="F317" s="12">
        <v>0</v>
      </c>
      <c r="G317" s="11">
        <v>0</v>
      </c>
      <c r="H317" s="11">
        <v>0</v>
      </c>
      <c r="I317" s="11">
        <v>0</v>
      </c>
      <c r="J317" s="11">
        <v>0</v>
      </c>
      <c r="K317" s="11">
        <v>0</v>
      </c>
      <c r="L317" s="11" t="str" cm="1">
        <f t="array" ref="L317">IFERROR(_xlfn.XLOOKUP(C317&amp;A317, ESPN!A:A&amp;ESPN!C:C, ESPN!D:D), "N/A")</f>
        <v>N/A</v>
      </c>
      <c r="M317" s="23" t="str" cm="1">
        <f t="array" ref="M317">IFERROR(_xlfn.XLOOKUP(C317&amp;A317, ESPN!A:A&amp;ESPN!C:C, ESPN!G:G), "N/A")</f>
        <v>N/A</v>
      </c>
      <c r="N317" s="23" t="str" cm="1">
        <f t="array" ref="N317">IFERROR(_xlfn.XLOOKUP(C317&amp;A317, ESPN!A:A&amp;ESPN!C:C, ESPN!H:H), "N/A")</f>
        <v>N/A</v>
      </c>
      <c r="O317" s="26" t="str" cm="1">
        <f t="array" ref="O317">IFERROR(_xlfn.XLOOKUP(C317&amp;A317, ESPN!A:A&amp;ESPN!C:C, ESPN!I:I), "N/A")</f>
        <v>N/A</v>
      </c>
      <c r="P317" s="26" t="str" cm="1">
        <f t="array" ref="P317">IFERROR(_xlfn.XLOOKUP(C317&amp;A317, ESPN!A:A&amp;ESPN!C:C, ESPN!J:J), "N/A")</f>
        <v>N/A</v>
      </c>
      <c r="Q317" s="26" t="str" cm="1">
        <f t="array" ref="Q317">IFERROR(_xlfn.XLOOKUP(C317&amp;A317, ESPN!A:A&amp;ESPN!C:C, ESPN!K:K), "N/A")</f>
        <v>N/A</v>
      </c>
    </row>
    <row r="318" spans="1:17" x14ac:dyDescent="0.45">
      <c r="A318" s="6">
        <v>2024</v>
      </c>
      <c r="B318" s="1" t="s">
        <v>237</v>
      </c>
      <c r="C318" s="2" t="str">
        <f t="shared" si="8"/>
        <v>Jakob Johnson</v>
      </c>
      <c r="D318" s="2" t="str">
        <f t="shared" si="9"/>
        <v>NYG</v>
      </c>
      <c r="E318" s="2">
        <v>1</v>
      </c>
      <c r="F318" s="13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1" t="str" cm="1">
        <f t="array" ref="L318">IFERROR(_xlfn.XLOOKUP(C318&amp;A318, ESPN!A:A&amp;ESPN!C:C, ESPN!D:D), "N/A")</f>
        <v>N/A</v>
      </c>
      <c r="M318" s="23" t="str" cm="1">
        <f t="array" ref="M318">IFERROR(_xlfn.XLOOKUP(C318&amp;A318, ESPN!A:A&amp;ESPN!C:C, ESPN!G:G), "N/A")</f>
        <v>N/A</v>
      </c>
      <c r="N318" s="23" t="str" cm="1">
        <f t="array" ref="N318">IFERROR(_xlfn.XLOOKUP(C318&amp;A318, ESPN!A:A&amp;ESPN!C:C, ESPN!H:H), "N/A")</f>
        <v>N/A</v>
      </c>
      <c r="O318" s="26" t="str" cm="1">
        <f t="array" ref="O318">IFERROR(_xlfn.XLOOKUP(C318&amp;A318, ESPN!A:A&amp;ESPN!C:C, ESPN!I:I), "N/A")</f>
        <v>N/A</v>
      </c>
      <c r="P318" s="26" t="str" cm="1">
        <f t="array" ref="P318">IFERROR(_xlfn.XLOOKUP(C318&amp;A318, ESPN!A:A&amp;ESPN!C:C, ESPN!J:J), "N/A")</f>
        <v>N/A</v>
      </c>
      <c r="Q318" s="26" t="str" cm="1">
        <f t="array" ref="Q318">IFERROR(_xlfn.XLOOKUP(C318&amp;A318, ESPN!A:A&amp;ESPN!C:C, ESPN!K:K), "N/A")</f>
        <v>N/A</v>
      </c>
    </row>
    <row r="319" spans="1:17" x14ac:dyDescent="0.45">
      <c r="A319" s="7">
        <v>2024</v>
      </c>
      <c r="B319" s="3" t="s">
        <v>238</v>
      </c>
      <c r="C319" s="4" t="str">
        <f t="shared" si="8"/>
        <v>Andrew Beck</v>
      </c>
      <c r="D319" s="4" t="str">
        <f t="shared" si="9"/>
        <v>HOU</v>
      </c>
      <c r="E319" s="4">
        <v>2</v>
      </c>
      <c r="F319" s="12">
        <v>2</v>
      </c>
      <c r="G319" s="11">
        <v>0</v>
      </c>
      <c r="H319" s="11">
        <v>0</v>
      </c>
      <c r="I319" s="11">
        <v>0</v>
      </c>
      <c r="J319" s="11">
        <v>0</v>
      </c>
      <c r="K319" s="11">
        <v>0</v>
      </c>
      <c r="L319" s="11" t="str" cm="1">
        <f t="array" ref="L319">IFERROR(_xlfn.XLOOKUP(C319&amp;A319, ESPN!A:A&amp;ESPN!C:C, ESPN!D:D), "N/A")</f>
        <v>N/A</v>
      </c>
      <c r="M319" s="23" t="str" cm="1">
        <f t="array" ref="M319">IFERROR(_xlfn.XLOOKUP(C319&amp;A319, ESPN!A:A&amp;ESPN!C:C, ESPN!G:G), "N/A")</f>
        <v>N/A</v>
      </c>
      <c r="N319" s="23" t="str" cm="1">
        <f t="array" ref="N319">IFERROR(_xlfn.XLOOKUP(C319&amp;A319, ESPN!A:A&amp;ESPN!C:C, ESPN!H:H), "N/A")</f>
        <v>N/A</v>
      </c>
      <c r="O319" s="26" t="str" cm="1">
        <f t="array" ref="O319">IFERROR(_xlfn.XLOOKUP(C319&amp;A319, ESPN!A:A&amp;ESPN!C:C, ESPN!I:I), "N/A")</f>
        <v>N/A</v>
      </c>
      <c r="P319" s="26" t="str" cm="1">
        <f t="array" ref="P319">IFERROR(_xlfn.XLOOKUP(C319&amp;A319, ESPN!A:A&amp;ESPN!C:C, ESPN!J:J), "N/A")</f>
        <v>N/A</v>
      </c>
      <c r="Q319" s="26" t="str" cm="1">
        <f t="array" ref="Q319">IFERROR(_xlfn.XLOOKUP(C319&amp;A319, ESPN!A:A&amp;ESPN!C:C, ESPN!K:K), "N/A")</f>
        <v>N/A</v>
      </c>
    </row>
    <row r="320" spans="1:17" x14ac:dyDescent="0.45">
      <c r="A320" s="6">
        <v>2024</v>
      </c>
      <c r="B320" s="1" t="s">
        <v>239</v>
      </c>
      <c r="C320" s="2" t="str">
        <f t="shared" si="8"/>
        <v>Khari Blasingame</v>
      </c>
      <c r="D320" s="2" t="str">
        <f t="shared" si="9"/>
        <v>CHI</v>
      </c>
      <c r="E320" s="2">
        <v>2</v>
      </c>
      <c r="F320" s="13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1" t="str" cm="1">
        <f t="array" ref="L320">IFERROR(_xlfn.XLOOKUP(C320&amp;A320, ESPN!A:A&amp;ESPN!C:C, ESPN!D:D), "N/A")</f>
        <v>N/A</v>
      </c>
      <c r="M320" s="23" t="str" cm="1">
        <f t="array" ref="M320">IFERROR(_xlfn.XLOOKUP(C320&amp;A320, ESPN!A:A&amp;ESPN!C:C, ESPN!G:G), "N/A")</f>
        <v>N/A</v>
      </c>
      <c r="N320" s="23" t="str" cm="1">
        <f t="array" ref="N320">IFERROR(_xlfn.XLOOKUP(C320&amp;A320, ESPN!A:A&amp;ESPN!C:C, ESPN!H:H), "N/A")</f>
        <v>N/A</v>
      </c>
      <c r="O320" s="26" t="str" cm="1">
        <f t="array" ref="O320">IFERROR(_xlfn.XLOOKUP(C320&amp;A320, ESPN!A:A&amp;ESPN!C:C, ESPN!I:I), "N/A")</f>
        <v>N/A</v>
      </c>
      <c r="P320" s="26" t="str" cm="1">
        <f t="array" ref="P320">IFERROR(_xlfn.XLOOKUP(C320&amp;A320, ESPN!A:A&amp;ESPN!C:C, ESPN!J:J), "N/A")</f>
        <v>N/A</v>
      </c>
      <c r="Q320" s="26" t="str" cm="1">
        <f t="array" ref="Q320">IFERROR(_xlfn.XLOOKUP(C320&amp;A320, ESPN!A:A&amp;ESPN!C:C, ESPN!K:K), "N/A")</f>
        <v>N/A</v>
      </c>
    </row>
    <row r="321" spans="1:17" x14ac:dyDescent="0.45">
      <c r="A321" s="7">
        <v>2024</v>
      </c>
      <c r="B321" s="3" t="s">
        <v>240</v>
      </c>
      <c r="C321" s="4" t="str">
        <f t="shared" si="8"/>
        <v>La'Mical Perine</v>
      </c>
      <c r="D321" s="4" t="str">
        <f t="shared" si="9"/>
        <v>PIT</v>
      </c>
      <c r="E321" s="4">
        <v>1</v>
      </c>
      <c r="F321" s="12">
        <v>0</v>
      </c>
      <c r="G321" s="11">
        <v>0</v>
      </c>
      <c r="H321" s="11">
        <v>0</v>
      </c>
      <c r="I321" s="11">
        <v>0</v>
      </c>
      <c r="J321" s="11">
        <v>0</v>
      </c>
      <c r="K321" s="11">
        <v>0</v>
      </c>
      <c r="L321" s="11" t="str" cm="1">
        <f t="array" ref="L321">IFERROR(_xlfn.XLOOKUP(C321&amp;A321, ESPN!A:A&amp;ESPN!C:C, ESPN!D:D), "N/A")</f>
        <v>N/A</v>
      </c>
      <c r="M321" s="23" t="str" cm="1">
        <f t="array" ref="M321">IFERROR(_xlfn.XLOOKUP(C321&amp;A321, ESPN!A:A&amp;ESPN!C:C, ESPN!G:G), "N/A")</f>
        <v>N/A</v>
      </c>
      <c r="N321" s="23" t="str" cm="1">
        <f t="array" ref="N321">IFERROR(_xlfn.XLOOKUP(C321&amp;A321, ESPN!A:A&amp;ESPN!C:C, ESPN!H:H), "N/A")</f>
        <v>N/A</v>
      </c>
      <c r="O321" s="26" t="str" cm="1">
        <f t="array" ref="O321">IFERROR(_xlfn.XLOOKUP(C321&amp;A321, ESPN!A:A&amp;ESPN!C:C, ESPN!I:I), "N/A")</f>
        <v>N/A</v>
      </c>
      <c r="P321" s="26" t="str" cm="1">
        <f t="array" ref="P321">IFERROR(_xlfn.XLOOKUP(C321&amp;A321, ESPN!A:A&amp;ESPN!C:C, ESPN!J:J), "N/A")</f>
        <v>N/A</v>
      </c>
      <c r="Q321" s="26" t="str" cm="1">
        <f t="array" ref="Q321">IFERROR(_xlfn.XLOOKUP(C321&amp;A321, ESPN!A:A&amp;ESPN!C:C, ESPN!K:K), "N/A")</f>
        <v>N/A</v>
      </c>
    </row>
    <row r="322" spans="1:17" x14ac:dyDescent="0.45">
      <c r="A322" s="6">
        <v>2024</v>
      </c>
      <c r="B322" s="1" t="s">
        <v>241</v>
      </c>
      <c r="C322" s="2" t="str">
        <f t="shared" ref="C322:C385" si="10">TRIM(LEFT(B322, LEN(B322) - LEN(TRIM(RIGHT(SUBSTITUTE(TRIM(B322)," ",REPT(" ",100)),100)))))</f>
        <v>Keilan Robinson</v>
      </c>
      <c r="D322" s="2" t="str">
        <f t="shared" ref="D322:D385" si="11">MID(B322, FIND("(", B322) + 1, FIND(")", B322) - FIND("(", B322) - 1)</f>
        <v>JAC</v>
      </c>
      <c r="E322" s="2">
        <v>1</v>
      </c>
      <c r="F322" s="13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1" t="str" cm="1">
        <f t="array" ref="L322">IFERROR(_xlfn.XLOOKUP(C322&amp;A322, ESPN!A:A&amp;ESPN!C:C, ESPN!D:D), "N/A")</f>
        <v>N/A</v>
      </c>
      <c r="M322" s="23" t="str" cm="1">
        <f t="array" ref="M322">IFERROR(_xlfn.XLOOKUP(C322&amp;A322, ESPN!A:A&amp;ESPN!C:C, ESPN!G:G), "N/A")</f>
        <v>N/A</v>
      </c>
      <c r="N322" s="23" t="str" cm="1">
        <f t="array" ref="N322">IFERROR(_xlfn.XLOOKUP(C322&amp;A322, ESPN!A:A&amp;ESPN!C:C, ESPN!H:H), "N/A")</f>
        <v>N/A</v>
      </c>
      <c r="O322" s="26" t="str" cm="1">
        <f t="array" ref="O322">IFERROR(_xlfn.XLOOKUP(C322&amp;A322, ESPN!A:A&amp;ESPN!C:C, ESPN!I:I), "N/A")</f>
        <v>N/A</v>
      </c>
      <c r="P322" s="26" t="str" cm="1">
        <f t="array" ref="P322">IFERROR(_xlfn.XLOOKUP(C322&amp;A322, ESPN!A:A&amp;ESPN!C:C, ESPN!J:J), "N/A")</f>
        <v>N/A</v>
      </c>
      <c r="Q322" s="26" t="str" cm="1">
        <f t="array" ref="Q322">IFERROR(_xlfn.XLOOKUP(C322&amp;A322, ESPN!A:A&amp;ESPN!C:C, ESPN!K:K), "N/A")</f>
        <v>N/A</v>
      </c>
    </row>
    <row r="323" spans="1:17" x14ac:dyDescent="0.45">
      <c r="A323" s="7">
        <v>2024</v>
      </c>
      <c r="B323" s="3" t="s">
        <v>242</v>
      </c>
      <c r="C323" s="4" t="str">
        <f t="shared" si="10"/>
        <v>D.J. Williams</v>
      </c>
      <c r="D323" s="4" t="str">
        <f t="shared" si="11"/>
        <v>TB</v>
      </c>
      <c r="E323" s="4">
        <v>1</v>
      </c>
      <c r="F323" s="12">
        <v>0</v>
      </c>
      <c r="G323" s="11">
        <v>0</v>
      </c>
      <c r="H323" s="11">
        <v>0</v>
      </c>
      <c r="I323" s="11">
        <v>0</v>
      </c>
      <c r="J323" s="11">
        <v>0</v>
      </c>
      <c r="K323" s="11">
        <v>0</v>
      </c>
      <c r="L323" s="11" t="str" cm="1">
        <f t="array" ref="L323">IFERROR(_xlfn.XLOOKUP(C323&amp;A323, ESPN!A:A&amp;ESPN!C:C, ESPN!D:D), "N/A")</f>
        <v>N/A</v>
      </c>
      <c r="M323" s="23" t="str" cm="1">
        <f t="array" ref="M323">IFERROR(_xlfn.XLOOKUP(C323&amp;A323, ESPN!A:A&amp;ESPN!C:C, ESPN!G:G), "N/A")</f>
        <v>N/A</v>
      </c>
      <c r="N323" s="23" t="str" cm="1">
        <f t="array" ref="N323">IFERROR(_xlfn.XLOOKUP(C323&amp;A323, ESPN!A:A&amp;ESPN!C:C, ESPN!H:H), "N/A")</f>
        <v>N/A</v>
      </c>
      <c r="O323" s="26" t="str" cm="1">
        <f t="array" ref="O323">IFERROR(_xlfn.XLOOKUP(C323&amp;A323, ESPN!A:A&amp;ESPN!C:C, ESPN!I:I), "N/A")</f>
        <v>N/A</v>
      </c>
      <c r="P323" s="26" t="str" cm="1">
        <f t="array" ref="P323">IFERROR(_xlfn.XLOOKUP(C323&amp;A323, ESPN!A:A&amp;ESPN!C:C, ESPN!J:J), "N/A")</f>
        <v>N/A</v>
      </c>
      <c r="Q323" s="26" t="str" cm="1">
        <f t="array" ref="Q323">IFERROR(_xlfn.XLOOKUP(C323&amp;A323, ESPN!A:A&amp;ESPN!C:C, ESPN!K:K), "N/A")</f>
        <v>N/A</v>
      </c>
    </row>
    <row r="324" spans="1:17" x14ac:dyDescent="0.45">
      <c r="A324" s="6">
        <v>2024</v>
      </c>
      <c r="B324" s="1" t="s">
        <v>145</v>
      </c>
      <c r="C324" s="2" t="str">
        <f t="shared" si="10"/>
        <v>Kendall Milton</v>
      </c>
      <c r="D324" s="2" t="str">
        <f t="shared" si="11"/>
        <v>CIN</v>
      </c>
      <c r="E324" s="2">
        <v>2</v>
      </c>
      <c r="F324" s="13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1" t="str" cm="1">
        <f t="array" ref="L324">IFERROR(_xlfn.XLOOKUP(C324&amp;A324, ESPN!A:A&amp;ESPN!C:C, ESPN!D:D), "N/A")</f>
        <v>N/A</v>
      </c>
      <c r="M324" s="23" t="str" cm="1">
        <f t="array" ref="M324">IFERROR(_xlfn.XLOOKUP(C324&amp;A324, ESPN!A:A&amp;ESPN!C:C, ESPN!G:G), "N/A")</f>
        <v>N/A</v>
      </c>
      <c r="N324" s="23" t="str" cm="1">
        <f t="array" ref="N324">IFERROR(_xlfn.XLOOKUP(C324&amp;A324, ESPN!A:A&amp;ESPN!C:C, ESPN!H:H), "N/A")</f>
        <v>N/A</v>
      </c>
      <c r="O324" s="26" t="str" cm="1">
        <f t="array" ref="O324">IFERROR(_xlfn.XLOOKUP(C324&amp;A324, ESPN!A:A&amp;ESPN!C:C, ESPN!I:I), "N/A")</f>
        <v>N/A</v>
      </c>
      <c r="P324" s="26" t="str" cm="1">
        <f t="array" ref="P324">IFERROR(_xlfn.XLOOKUP(C324&amp;A324, ESPN!A:A&amp;ESPN!C:C, ESPN!J:J), "N/A")</f>
        <v>N/A</v>
      </c>
      <c r="Q324" s="26" t="str" cm="1">
        <f t="array" ref="Q324">IFERROR(_xlfn.XLOOKUP(C324&amp;A324, ESPN!A:A&amp;ESPN!C:C, ESPN!K:K), "N/A")</f>
        <v>N/A</v>
      </c>
    </row>
    <row r="325" spans="1:17" x14ac:dyDescent="0.45">
      <c r="A325" s="7">
        <v>2024</v>
      </c>
      <c r="B325" s="3" t="s">
        <v>157</v>
      </c>
      <c r="C325" s="4" t="str">
        <f t="shared" si="10"/>
        <v>Keaontay Ingram</v>
      </c>
      <c r="D325" s="4" t="str">
        <f t="shared" si="11"/>
        <v>KC</v>
      </c>
      <c r="E325" s="4">
        <v>1</v>
      </c>
      <c r="F325" s="12">
        <v>0</v>
      </c>
      <c r="G325" s="11">
        <v>0</v>
      </c>
      <c r="H325" s="11">
        <v>0</v>
      </c>
      <c r="I325" s="11">
        <v>0</v>
      </c>
      <c r="J325" s="11">
        <v>0</v>
      </c>
      <c r="K325" s="11">
        <v>0</v>
      </c>
      <c r="L325" s="11" t="str" cm="1">
        <f t="array" ref="L325">IFERROR(_xlfn.XLOOKUP(C325&amp;A325, ESPN!A:A&amp;ESPN!C:C, ESPN!D:D), "N/A")</f>
        <v>N/A</v>
      </c>
      <c r="M325" s="23" t="str" cm="1">
        <f t="array" ref="M325">IFERROR(_xlfn.XLOOKUP(C325&amp;A325, ESPN!A:A&amp;ESPN!C:C, ESPN!G:G), "N/A")</f>
        <v>N/A</v>
      </c>
      <c r="N325" s="23" t="str" cm="1">
        <f t="array" ref="N325">IFERROR(_xlfn.XLOOKUP(C325&amp;A325, ESPN!A:A&amp;ESPN!C:C, ESPN!H:H), "N/A")</f>
        <v>N/A</v>
      </c>
      <c r="O325" s="26" t="str" cm="1">
        <f t="array" ref="O325">IFERROR(_xlfn.XLOOKUP(C325&amp;A325, ESPN!A:A&amp;ESPN!C:C, ESPN!I:I), "N/A")</f>
        <v>N/A</v>
      </c>
      <c r="P325" s="26" t="str" cm="1">
        <f t="array" ref="P325">IFERROR(_xlfn.XLOOKUP(C325&amp;A325, ESPN!A:A&amp;ESPN!C:C, ESPN!J:J), "N/A")</f>
        <v>N/A</v>
      </c>
      <c r="Q325" s="26" t="str" cm="1">
        <f t="array" ref="Q325">IFERROR(_xlfn.XLOOKUP(C325&amp;A325, ESPN!A:A&amp;ESPN!C:C, ESPN!K:K), "N/A")</f>
        <v>N/A</v>
      </c>
    </row>
    <row r="326" spans="1:17" x14ac:dyDescent="0.45">
      <c r="A326" s="6">
        <v>2024</v>
      </c>
      <c r="B326" s="1" t="s">
        <v>243</v>
      </c>
      <c r="C326" s="2" t="str">
        <f t="shared" si="10"/>
        <v>Avery Williams</v>
      </c>
      <c r="D326" s="2" t="str">
        <f t="shared" si="11"/>
        <v>ATL</v>
      </c>
      <c r="E326" s="2">
        <v>17</v>
      </c>
      <c r="F326" s="13">
        <v>0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1" t="str" cm="1">
        <f t="array" ref="L326">IFERROR(_xlfn.XLOOKUP(C326&amp;A326, ESPN!A:A&amp;ESPN!C:C, ESPN!D:D), "N/A")</f>
        <v>N/A</v>
      </c>
      <c r="M326" s="23" t="str" cm="1">
        <f t="array" ref="M326">IFERROR(_xlfn.XLOOKUP(C326&amp;A326, ESPN!A:A&amp;ESPN!C:C, ESPN!G:G), "N/A")</f>
        <v>N/A</v>
      </c>
      <c r="N326" s="23" t="str" cm="1">
        <f t="array" ref="N326">IFERROR(_xlfn.XLOOKUP(C326&amp;A326, ESPN!A:A&amp;ESPN!C:C, ESPN!H:H), "N/A")</f>
        <v>N/A</v>
      </c>
      <c r="O326" s="26" t="str" cm="1">
        <f t="array" ref="O326">IFERROR(_xlfn.XLOOKUP(C326&amp;A326, ESPN!A:A&amp;ESPN!C:C, ESPN!I:I), "N/A")</f>
        <v>N/A</v>
      </c>
      <c r="P326" s="26" t="str" cm="1">
        <f t="array" ref="P326">IFERROR(_xlfn.XLOOKUP(C326&amp;A326, ESPN!A:A&amp;ESPN!C:C, ESPN!J:J), "N/A")</f>
        <v>N/A</v>
      </c>
      <c r="Q326" s="26" t="str" cm="1">
        <f t="array" ref="Q326">IFERROR(_xlfn.XLOOKUP(C326&amp;A326, ESPN!A:A&amp;ESPN!C:C, ESPN!K:K), "N/A")</f>
        <v>N/A</v>
      </c>
    </row>
    <row r="327" spans="1:17" x14ac:dyDescent="0.45">
      <c r="A327" s="7">
        <v>2024</v>
      </c>
      <c r="B327" s="3" t="s">
        <v>244</v>
      </c>
      <c r="C327" s="4" t="str">
        <f t="shared" si="10"/>
        <v>Gary Brightwell</v>
      </c>
      <c r="D327" s="4" t="str">
        <f t="shared" si="11"/>
        <v>CLE</v>
      </c>
      <c r="E327" s="4">
        <v>1</v>
      </c>
      <c r="F327" s="12">
        <v>0</v>
      </c>
      <c r="G327" s="11">
        <v>0</v>
      </c>
      <c r="H327" s="11">
        <v>0</v>
      </c>
      <c r="I327" s="11">
        <v>0</v>
      </c>
      <c r="J327" s="11">
        <v>0</v>
      </c>
      <c r="K327" s="11">
        <v>0</v>
      </c>
      <c r="L327" s="11" t="str" cm="1">
        <f t="array" ref="L327">IFERROR(_xlfn.XLOOKUP(C327&amp;A327, ESPN!A:A&amp;ESPN!C:C, ESPN!D:D), "N/A")</f>
        <v>N/A</v>
      </c>
      <c r="M327" s="23" t="str" cm="1">
        <f t="array" ref="M327">IFERROR(_xlfn.XLOOKUP(C327&amp;A327, ESPN!A:A&amp;ESPN!C:C, ESPN!G:G), "N/A")</f>
        <v>N/A</v>
      </c>
      <c r="N327" s="23" t="str" cm="1">
        <f t="array" ref="N327">IFERROR(_xlfn.XLOOKUP(C327&amp;A327, ESPN!A:A&amp;ESPN!C:C, ESPN!H:H), "N/A")</f>
        <v>N/A</v>
      </c>
      <c r="O327" s="26" t="str" cm="1">
        <f t="array" ref="O327">IFERROR(_xlfn.XLOOKUP(C327&amp;A327, ESPN!A:A&amp;ESPN!C:C, ESPN!I:I), "N/A")</f>
        <v>N/A</v>
      </c>
      <c r="P327" s="26" t="str" cm="1">
        <f t="array" ref="P327">IFERROR(_xlfn.XLOOKUP(C327&amp;A327, ESPN!A:A&amp;ESPN!C:C, ESPN!J:J), "N/A")</f>
        <v>N/A</v>
      </c>
      <c r="Q327" s="26" t="str" cm="1">
        <f t="array" ref="Q327">IFERROR(_xlfn.XLOOKUP(C327&amp;A327, ESPN!A:A&amp;ESPN!C:C, ESPN!K:K), "N/A")</f>
        <v>N/A</v>
      </c>
    </row>
    <row r="328" spans="1:17" x14ac:dyDescent="0.45">
      <c r="A328" s="6">
        <v>2024</v>
      </c>
      <c r="B328" s="1" t="s">
        <v>245</v>
      </c>
      <c r="C328" s="2" t="str">
        <f t="shared" si="10"/>
        <v>Adam Prentice</v>
      </c>
      <c r="D328" s="2" t="str">
        <f t="shared" si="11"/>
        <v>NO</v>
      </c>
      <c r="E328" s="2">
        <v>9</v>
      </c>
      <c r="F328" s="13">
        <v>4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1" t="str" cm="1">
        <f t="array" ref="L328">IFERROR(_xlfn.XLOOKUP(C328&amp;A328, ESPN!A:A&amp;ESPN!C:C, ESPN!D:D), "N/A")</f>
        <v>N/A</v>
      </c>
      <c r="M328" s="23" t="str" cm="1">
        <f t="array" ref="M328">IFERROR(_xlfn.XLOOKUP(C328&amp;A328, ESPN!A:A&amp;ESPN!C:C, ESPN!G:G), "N/A")</f>
        <v>N/A</v>
      </c>
      <c r="N328" s="23" t="str" cm="1">
        <f t="array" ref="N328">IFERROR(_xlfn.XLOOKUP(C328&amp;A328, ESPN!A:A&amp;ESPN!C:C, ESPN!H:H), "N/A")</f>
        <v>N/A</v>
      </c>
      <c r="O328" s="26" t="str" cm="1">
        <f t="array" ref="O328">IFERROR(_xlfn.XLOOKUP(C328&amp;A328, ESPN!A:A&amp;ESPN!C:C, ESPN!I:I), "N/A")</f>
        <v>N/A</v>
      </c>
      <c r="P328" s="26" t="str" cm="1">
        <f t="array" ref="P328">IFERROR(_xlfn.XLOOKUP(C328&amp;A328, ESPN!A:A&amp;ESPN!C:C, ESPN!J:J), "N/A")</f>
        <v>N/A</v>
      </c>
      <c r="Q328" s="26" t="str" cm="1">
        <f t="array" ref="Q328">IFERROR(_xlfn.XLOOKUP(C328&amp;A328, ESPN!A:A&amp;ESPN!C:C, ESPN!K:K), "N/A")</f>
        <v>N/A</v>
      </c>
    </row>
    <row r="329" spans="1:17" x14ac:dyDescent="0.45">
      <c r="A329" s="7">
        <v>2024</v>
      </c>
      <c r="B329" s="3" t="s">
        <v>246</v>
      </c>
      <c r="C329" s="4" t="str">
        <f t="shared" si="10"/>
        <v>Velus Jones Jr.</v>
      </c>
      <c r="D329" s="4" t="str">
        <f t="shared" si="11"/>
        <v>CAR</v>
      </c>
      <c r="E329" s="4">
        <v>2</v>
      </c>
      <c r="F329" s="12">
        <v>1</v>
      </c>
      <c r="G329" s="11">
        <v>1</v>
      </c>
      <c r="H329" s="11">
        <v>8</v>
      </c>
      <c r="I329" s="11">
        <v>8</v>
      </c>
      <c r="J329" s="11">
        <v>0</v>
      </c>
      <c r="K329" s="11">
        <v>1</v>
      </c>
      <c r="L329" s="11" t="str" cm="1">
        <f t="array" ref="L329">IFERROR(_xlfn.XLOOKUP(C329&amp;A329, ESPN!A:A&amp;ESPN!C:C, ESPN!D:D), "N/A")</f>
        <v>N/A</v>
      </c>
      <c r="M329" s="23" t="str" cm="1">
        <f t="array" ref="M329">IFERROR(_xlfn.XLOOKUP(C329&amp;A329, ESPN!A:A&amp;ESPN!C:C, ESPN!G:G), "N/A")</f>
        <v>N/A</v>
      </c>
      <c r="N329" s="23" t="str" cm="1">
        <f t="array" ref="N329">IFERROR(_xlfn.XLOOKUP(C329&amp;A329, ESPN!A:A&amp;ESPN!C:C, ESPN!H:H), "N/A")</f>
        <v>N/A</v>
      </c>
      <c r="O329" s="26" t="str" cm="1">
        <f t="array" ref="O329">IFERROR(_xlfn.XLOOKUP(C329&amp;A329, ESPN!A:A&amp;ESPN!C:C, ESPN!I:I), "N/A")</f>
        <v>N/A</v>
      </c>
      <c r="P329" s="26" t="str" cm="1">
        <f t="array" ref="P329">IFERROR(_xlfn.XLOOKUP(C329&amp;A329, ESPN!A:A&amp;ESPN!C:C, ESPN!J:J), "N/A")</f>
        <v>N/A</v>
      </c>
      <c r="Q329" s="26" t="str" cm="1">
        <f t="array" ref="Q329">IFERROR(_xlfn.XLOOKUP(C329&amp;A329, ESPN!A:A&amp;ESPN!C:C, ESPN!K:K), "N/A")</f>
        <v>N/A</v>
      </c>
    </row>
    <row r="330" spans="1:17" x14ac:dyDescent="0.45">
      <c r="A330" s="6">
        <v>2024</v>
      </c>
      <c r="B330" s="1" t="s">
        <v>247</v>
      </c>
      <c r="C330" s="2" t="str">
        <f t="shared" si="10"/>
        <v>Jabari Small</v>
      </c>
      <c r="D330" s="2" t="str">
        <f t="shared" si="11"/>
        <v>TEN</v>
      </c>
      <c r="E330" s="2">
        <v>1</v>
      </c>
      <c r="F330" s="13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1" t="str" cm="1">
        <f t="array" ref="L330">IFERROR(_xlfn.XLOOKUP(C330&amp;A330, ESPN!A:A&amp;ESPN!C:C, ESPN!D:D), "N/A")</f>
        <v>N/A</v>
      </c>
      <c r="M330" s="23" t="str" cm="1">
        <f t="array" ref="M330">IFERROR(_xlfn.XLOOKUP(C330&amp;A330, ESPN!A:A&amp;ESPN!C:C, ESPN!G:G), "N/A")</f>
        <v>N/A</v>
      </c>
      <c r="N330" s="23" t="str" cm="1">
        <f t="array" ref="N330">IFERROR(_xlfn.XLOOKUP(C330&amp;A330, ESPN!A:A&amp;ESPN!C:C, ESPN!H:H), "N/A")</f>
        <v>N/A</v>
      </c>
      <c r="O330" s="26" t="str" cm="1">
        <f t="array" ref="O330">IFERROR(_xlfn.XLOOKUP(C330&amp;A330, ESPN!A:A&amp;ESPN!C:C, ESPN!I:I), "N/A")</f>
        <v>N/A</v>
      </c>
      <c r="P330" s="26" t="str" cm="1">
        <f t="array" ref="P330">IFERROR(_xlfn.XLOOKUP(C330&amp;A330, ESPN!A:A&amp;ESPN!C:C, ESPN!J:J), "N/A")</f>
        <v>N/A</v>
      </c>
      <c r="Q330" s="26" t="str" cm="1">
        <f t="array" ref="Q330">IFERROR(_xlfn.XLOOKUP(C330&amp;A330, ESPN!A:A&amp;ESPN!C:C, ESPN!K:K), "N/A")</f>
        <v>N/A</v>
      </c>
    </row>
    <row r="331" spans="1:17" x14ac:dyDescent="0.45">
      <c r="A331" s="7">
        <v>2024</v>
      </c>
      <c r="B331" s="3" t="s">
        <v>112</v>
      </c>
      <c r="C331" s="4" t="str">
        <f t="shared" si="10"/>
        <v>Connor Heyward</v>
      </c>
      <c r="D331" s="4" t="str">
        <f t="shared" si="11"/>
        <v>PIT</v>
      </c>
      <c r="E331" s="4">
        <v>17</v>
      </c>
      <c r="F331" s="12">
        <v>8</v>
      </c>
      <c r="G331" s="11">
        <v>6</v>
      </c>
      <c r="H331" s="11">
        <v>40</v>
      </c>
      <c r="I331" s="11">
        <v>6.7</v>
      </c>
      <c r="J331" s="11">
        <v>1</v>
      </c>
      <c r="K331" s="11">
        <v>0</v>
      </c>
      <c r="L331" s="11" t="str" cm="1">
        <f t="array" ref="L331">IFERROR(_xlfn.XLOOKUP(C331&amp;A331, ESPN!A:A&amp;ESPN!C:C, ESPN!D:D), "N/A")</f>
        <v>N/A</v>
      </c>
      <c r="M331" s="23" t="str" cm="1">
        <f t="array" ref="M331">IFERROR(_xlfn.XLOOKUP(C331&amp;A331, ESPN!A:A&amp;ESPN!C:C, ESPN!G:G), "N/A")</f>
        <v>N/A</v>
      </c>
      <c r="N331" s="23" t="str" cm="1">
        <f t="array" ref="N331">IFERROR(_xlfn.XLOOKUP(C331&amp;A331, ESPN!A:A&amp;ESPN!C:C, ESPN!H:H), "N/A")</f>
        <v>N/A</v>
      </c>
      <c r="O331" s="26" t="str" cm="1">
        <f t="array" ref="O331">IFERROR(_xlfn.XLOOKUP(C331&amp;A331, ESPN!A:A&amp;ESPN!C:C, ESPN!I:I), "N/A")</f>
        <v>N/A</v>
      </c>
      <c r="P331" s="26" t="str" cm="1">
        <f t="array" ref="P331">IFERROR(_xlfn.XLOOKUP(C331&amp;A331, ESPN!A:A&amp;ESPN!C:C, ESPN!J:J), "N/A")</f>
        <v>N/A</v>
      </c>
      <c r="Q331" s="26" t="str" cm="1">
        <f t="array" ref="Q331">IFERROR(_xlfn.XLOOKUP(C331&amp;A331, ESPN!A:A&amp;ESPN!C:C, ESPN!K:K), "N/A")</f>
        <v>N/A</v>
      </c>
    </row>
    <row r="332" spans="1:17" x14ac:dyDescent="0.45">
      <c r="A332" s="6">
        <v>2024</v>
      </c>
      <c r="B332" s="1" t="s">
        <v>248</v>
      </c>
      <c r="C332" s="2" t="str">
        <f t="shared" si="10"/>
        <v>Troy Hairston II</v>
      </c>
      <c r="D332" s="2" t="str">
        <f t="shared" si="11"/>
        <v>HOU</v>
      </c>
      <c r="E332" s="2">
        <v>2</v>
      </c>
      <c r="F332" s="13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1" t="str" cm="1">
        <f t="array" ref="L332">IFERROR(_xlfn.XLOOKUP(C332&amp;A332, ESPN!A:A&amp;ESPN!C:C, ESPN!D:D), "N/A")</f>
        <v>N/A</v>
      </c>
      <c r="M332" s="23" t="str" cm="1">
        <f t="array" ref="M332">IFERROR(_xlfn.XLOOKUP(C332&amp;A332, ESPN!A:A&amp;ESPN!C:C, ESPN!G:G), "N/A")</f>
        <v>N/A</v>
      </c>
      <c r="N332" s="23" t="str" cm="1">
        <f t="array" ref="N332">IFERROR(_xlfn.XLOOKUP(C332&amp;A332, ESPN!A:A&amp;ESPN!C:C, ESPN!H:H), "N/A")</f>
        <v>N/A</v>
      </c>
      <c r="O332" s="26" t="str" cm="1">
        <f t="array" ref="O332">IFERROR(_xlfn.XLOOKUP(C332&amp;A332, ESPN!A:A&amp;ESPN!C:C, ESPN!I:I), "N/A")</f>
        <v>N/A</v>
      </c>
      <c r="P332" s="26" t="str" cm="1">
        <f t="array" ref="P332">IFERROR(_xlfn.XLOOKUP(C332&amp;A332, ESPN!A:A&amp;ESPN!C:C, ESPN!J:J), "N/A")</f>
        <v>N/A</v>
      </c>
      <c r="Q332" s="26" t="str" cm="1">
        <f t="array" ref="Q332">IFERROR(_xlfn.XLOOKUP(C332&amp;A332, ESPN!A:A&amp;ESPN!C:C, ESPN!K:K), "N/A")</f>
        <v>N/A</v>
      </c>
    </row>
    <row r="333" spans="1:17" x14ac:dyDescent="0.45">
      <c r="A333" s="7">
        <v>2024</v>
      </c>
      <c r="B333" s="3" t="s">
        <v>150</v>
      </c>
      <c r="C333" s="4" t="str">
        <f t="shared" si="10"/>
        <v>Scott Matlock</v>
      </c>
      <c r="D333" s="4" t="str">
        <f t="shared" si="11"/>
        <v>LAC</v>
      </c>
      <c r="E333" s="4">
        <v>17</v>
      </c>
      <c r="F333" s="12">
        <v>5</v>
      </c>
      <c r="G333" s="11">
        <v>4</v>
      </c>
      <c r="H333" s="11">
        <v>28</v>
      </c>
      <c r="I333" s="11">
        <v>7</v>
      </c>
      <c r="J333" s="11">
        <v>0</v>
      </c>
      <c r="K333" s="11">
        <v>0</v>
      </c>
      <c r="L333" s="11" t="str" cm="1">
        <f t="array" ref="L333">IFERROR(_xlfn.XLOOKUP(C333&amp;A333, ESPN!A:A&amp;ESPN!C:C, ESPN!D:D), "N/A")</f>
        <v>N/A</v>
      </c>
      <c r="M333" s="23" t="str" cm="1">
        <f t="array" ref="M333">IFERROR(_xlfn.XLOOKUP(C333&amp;A333, ESPN!A:A&amp;ESPN!C:C, ESPN!G:G), "N/A")</f>
        <v>N/A</v>
      </c>
      <c r="N333" s="23" t="str" cm="1">
        <f t="array" ref="N333">IFERROR(_xlfn.XLOOKUP(C333&amp;A333, ESPN!A:A&amp;ESPN!C:C, ESPN!H:H), "N/A")</f>
        <v>N/A</v>
      </c>
      <c r="O333" s="26" t="str" cm="1">
        <f t="array" ref="O333">IFERROR(_xlfn.XLOOKUP(C333&amp;A333, ESPN!A:A&amp;ESPN!C:C, ESPN!I:I), "N/A")</f>
        <v>N/A</v>
      </c>
      <c r="P333" s="26" t="str" cm="1">
        <f t="array" ref="P333">IFERROR(_xlfn.XLOOKUP(C333&amp;A333, ESPN!A:A&amp;ESPN!C:C, ESPN!J:J), "N/A")</f>
        <v>N/A</v>
      </c>
      <c r="Q333" s="26" t="str" cm="1">
        <f t="array" ref="Q333">IFERROR(_xlfn.XLOOKUP(C333&amp;A333, ESPN!A:A&amp;ESPN!C:C, ESPN!K:K), "N/A")</f>
        <v>N/A</v>
      </c>
    </row>
    <row r="334" spans="1:17" x14ac:dyDescent="0.45">
      <c r="A334" s="6">
        <v>2024</v>
      </c>
      <c r="B334" s="1" t="s">
        <v>249</v>
      </c>
      <c r="C334" s="2" t="str">
        <f t="shared" si="10"/>
        <v>Kazmeir Allen</v>
      </c>
      <c r="D334" s="2" t="str">
        <f t="shared" si="11"/>
        <v>WAS</v>
      </c>
      <c r="E334" s="2">
        <v>1</v>
      </c>
      <c r="F334" s="13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1" t="str" cm="1">
        <f t="array" ref="L334">IFERROR(_xlfn.XLOOKUP(C334&amp;A334, ESPN!A:A&amp;ESPN!C:C, ESPN!D:D), "N/A")</f>
        <v>N/A</v>
      </c>
      <c r="M334" s="23" t="str" cm="1">
        <f t="array" ref="M334">IFERROR(_xlfn.XLOOKUP(C334&amp;A334, ESPN!A:A&amp;ESPN!C:C, ESPN!G:G), "N/A")</f>
        <v>N/A</v>
      </c>
      <c r="N334" s="23" t="str" cm="1">
        <f t="array" ref="N334">IFERROR(_xlfn.XLOOKUP(C334&amp;A334, ESPN!A:A&amp;ESPN!C:C, ESPN!H:H), "N/A")</f>
        <v>N/A</v>
      </c>
      <c r="O334" s="26" t="str" cm="1">
        <f t="array" ref="O334">IFERROR(_xlfn.XLOOKUP(C334&amp;A334, ESPN!A:A&amp;ESPN!C:C, ESPN!I:I), "N/A")</f>
        <v>N/A</v>
      </c>
      <c r="P334" s="26" t="str" cm="1">
        <f t="array" ref="P334">IFERROR(_xlfn.XLOOKUP(C334&amp;A334, ESPN!A:A&amp;ESPN!C:C, ESPN!J:J), "N/A")</f>
        <v>N/A</v>
      </c>
      <c r="Q334" s="26" t="str" cm="1">
        <f t="array" ref="Q334">IFERROR(_xlfn.XLOOKUP(C334&amp;A334, ESPN!A:A&amp;ESPN!C:C, ESPN!K:K), "N/A")</f>
        <v>N/A</v>
      </c>
    </row>
    <row r="335" spans="1:17" x14ac:dyDescent="0.45">
      <c r="A335" s="7">
        <v>2024</v>
      </c>
      <c r="B335" s="3" t="s">
        <v>250</v>
      </c>
      <c r="C335" s="4" t="str">
        <f t="shared" si="10"/>
        <v>Ben VanSumeren</v>
      </c>
      <c r="D335" s="4" t="str">
        <f t="shared" si="11"/>
        <v>PHI</v>
      </c>
      <c r="E335" s="4">
        <v>7</v>
      </c>
      <c r="F335" s="12">
        <v>1</v>
      </c>
      <c r="G335" s="11">
        <v>1</v>
      </c>
      <c r="H335" s="11">
        <v>0</v>
      </c>
      <c r="I335" s="11">
        <v>0</v>
      </c>
      <c r="J335" s="11">
        <v>0</v>
      </c>
      <c r="K335" s="11">
        <v>0</v>
      </c>
      <c r="L335" s="11" t="str" cm="1">
        <f t="array" ref="L335">IFERROR(_xlfn.XLOOKUP(C335&amp;A335, ESPN!A:A&amp;ESPN!C:C, ESPN!D:D), "N/A")</f>
        <v>N/A</v>
      </c>
      <c r="M335" s="23" t="str" cm="1">
        <f t="array" ref="M335">IFERROR(_xlfn.XLOOKUP(C335&amp;A335, ESPN!A:A&amp;ESPN!C:C, ESPN!G:G), "N/A")</f>
        <v>N/A</v>
      </c>
      <c r="N335" s="23" t="str" cm="1">
        <f t="array" ref="N335">IFERROR(_xlfn.XLOOKUP(C335&amp;A335, ESPN!A:A&amp;ESPN!C:C, ESPN!H:H), "N/A")</f>
        <v>N/A</v>
      </c>
      <c r="O335" s="26" t="str" cm="1">
        <f t="array" ref="O335">IFERROR(_xlfn.XLOOKUP(C335&amp;A335, ESPN!A:A&amp;ESPN!C:C, ESPN!I:I), "N/A")</f>
        <v>N/A</v>
      </c>
      <c r="P335" s="26" t="str" cm="1">
        <f t="array" ref="P335">IFERROR(_xlfn.XLOOKUP(C335&amp;A335, ESPN!A:A&amp;ESPN!C:C, ESPN!J:J), "N/A")</f>
        <v>N/A</v>
      </c>
      <c r="Q335" s="26" t="str" cm="1">
        <f t="array" ref="Q335">IFERROR(_xlfn.XLOOKUP(C335&amp;A335, ESPN!A:A&amp;ESPN!C:C, ESPN!K:K), "N/A")</f>
        <v>N/A</v>
      </c>
    </row>
    <row r="336" spans="1:17" x14ac:dyDescent="0.45">
      <c r="A336" s="6">
        <v>2024</v>
      </c>
      <c r="B336" s="1" t="s">
        <v>171</v>
      </c>
      <c r="C336" s="2" t="str">
        <f t="shared" si="10"/>
        <v>Brady Russell</v>
      </c>
      <c r="D336" s="2" t="str">
        <f t="shared" si="11"/>
        <v>SEA</v>
      </c>
      <c r="E336" s="2">
        <v>11</v>
      </c>
      <c r="F336" s="13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1" t="str" cm="1">
        <f t="array" ref="L336">IFERROR(_xlfn.XLOOKUP(C336&amp;A336, ESPN!A:A&amp;ESPN!C:C, ESPN!D:D), "N/A")</f>
        <v>N/A</v>
      </c>
      <c r="M336" s="23" t="str" cm="1">
        <f t="array" ref="M336">IFERROR(_xlfn.XLOOKUP(C336&amp;A336, ESPN!A:A&amp;ESPN!C:C, ESPN!G:G), "N/A")</f>
        <v>N/A</v>
      </c>
      <c r="N336" s="23" t="str" cm="1">
        <f t="array" ref="N336">IFERROR(_xlfn.XLOOKUP(C336&amp;A336, ESPN!A:A&amp;ESPN!C:C, ESPN!H:H), "N/A")</f>
        <v>N/A</v>
      </c>
      <c r="O336" s="26" t="str" cm="1">
        <f t="array" ref="O336">IFERROR(_xlfn.XLOOKUP(C336&amp;A336, ESPN!A:A&amp;ESPN!C:C, ESPN!I:I), "N/A")</f>
        <v>N/A</v>
      </c>
      <c r="P336" s="26" t="str" cm="1">
        <f t="array" ref="P336">IFERROR(_xlfn.XLOOKUP(C336&amp;A336, ESPN!A:A&amp;ESPN!C:C, ESPN!J:J), "N/A")</f>
        <v>N/A</v>
      </c>
      <c r="Q336" s="26" t="str" cm="1">
        <f t="array" ref="Q336">IFERROR(_xlfn.XLOOKUP(C336&amp;A336, ESPN!A:A&amp;ESPN!C:C, ESPN!K:K), "N/A")</f>
        <v>N/A</v>
      </c>
    </row>
    <row r="337" spans="1:17" x14ac:dyDescent="0.45">
      <c r="A337" s="7">
        <v>2024</v>
      </c>
      <c r="B337" s="3" t="s">
        <v>163</v>
      </c>
      <c r="C337" s="4" t="str">
        <f t="shared" si="10"/>
        <v>Jack Westover</v>
      </c>
      <c r="D337" s="4" t="str">
        <f t="shared" si="11"/>
        <v>NE</v>
      </c>
      <c r="E337" s="4">
        <v>2</v>
      </c>
      <c r="F337" s="12">
        <v>0</v>
      </c>
      <c r="G337" s="11">
        <v>0</v>
      </c>
      <c r="H337" s="11">
        <v>0</v>
      </c>
      <c r="I337" s="11">
        <v>0</v>
      </c>
      <c r="J337" s="11">
        <v>0</v>
      </c>
      <c r="K337" s="11">
        <v>0</v>
      </c>
      <c r="L337" s="11" t="str" cm="1">
        <f t="array" ref="L337">IFERROR(_xlfn.XLOOKUP(C337&amp;A337, ESPN!A:A&amp;ESPN!C:C, ESPN!D:D), "N/A")</f>
        <v>N/A</v>
      </c>
      <c r="M337" s="23" t="str" cm="1">
        <f t="array" ref="M337">IFERROR(_xlfn.XLOOKUP(C337&amp;A337, ESPN!A:A&amp;ESPN!C:C, ESPN!G:G), "N/A")</f>
        <v>N/A</v>
      </c>
      <c r="N337" s="23" t="str" cm="1">
        <f t="array" ref="N337">IFERROR(_xlfn.XLOOKUP(C337&amp;A337, ESPN!A:A&amp;ESPN!C:C, ESPN!H:H), "N/A")</f>
        <v>N/A</v>
      </c>
      <c r="O337" s="26" t="str" cm="1">
        <f t="array" ref="O337">IFERROR(_xlfn.XLOOKUP(C337&amp;A337, ESPN!A:A&amp;ESPN!C:C, ESPN!I:I), "N/A")</f>
        <v>N/A</v>
      </c>
      <c r="P337" s="26" t="str" cm="1">
        <f t="array" ref="P337">IFERROR(_xlfn.XLOOKUP(C337&amp;A337, ESPN!A:A&amp;ESPN!C:C, ESPN!J:J), "N/A")</f>
        <v>N/A</v>
      </c>
      <c r="Q337" s="26" t="str" cm="1">
        <f t="array" ref="Q337">IFERROR(_xlfn.XLOOKUP(C337&amp;A337, ESPN!A:A&amp;ESPN!C:C, ESPN!K:K), "N/A")</f>
        <v>N/A</v>
      </c>
    </row>
    <row r="338" spans="1:17" x14ac:dyDescent="0.45">
      <c r="A338" s="6">
        <v>2024</v>
      </c>
      <c r="B338" s="1" t="s">
        <v>251</v>
      </c>
      <c r="C338" s="2" t="str">
        <f t="shared" si="10"/>
        <v>Dante Miller</v>
      </c>
      <c r="D338" s="2" t="str">
        <f t="shared" si="11"/>
        <v>NYG</v>
      </c>
      <c r="E338" s="2">
        <v>2</v>
      </c>
      <c r="F338" s="13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1" t="str" cm="1">
        <f t="array" ref="L338">IFERROR(_xlfn.XLOOKUP(C338&amp;A338, ESPN!A:A&amp;ESPN!C:C, ESPN!D:D), "N/A")</f>
        <v>N/A</v>
      </c>
      <c r="M338" s="23" t="str" cm="1">
        <f t="array" ref="M338">IFERROR(_xlfn.XLOOKUP(C338&amp;A338, ESPN!A:A&amp;ESPN!C:C, ESPN!G:G), "N/A")</f>
        <v>N/A</v>
      </c>
      <c r="N338" s="23" t="str" cm="1">
        <f t="array" ref="N338">IFERROR(_xlfn.XLOOKUP(C338&amp;A338, ESPN!A:A&amp;ESPN!C:C, ESPN!H:H), "N/A")</f>
        <v>N/A</v>
      </c>
      <c r="O338" s="26" t="str" cm="1">
        <f t="array" ref="O338">IFERROR(_xlfn.XLOOKUP(C338&amp;A338, ESPN!A:A&amp;ESPN!C:C, ESPN!I:I), "N/A")</f>
        <v>N/A</v>
      </c>
      <c r="P338" s="26" t="str" cm="1">
        <f t="array" ref="P338">IFERROR(_xlfn.XLOOKUP(C338&amp;A338, ESPN!A:A&amp;ESPN!C:C, ESPN!J:J), "N/A")</f>
        <v>N/A</v>
      </c>
      <c r="Q338" s="26" t="str" cm="1">
        <f t="array" ref="Q338">IFERROR(_xlfn.XLOOKUP(C338&amp;A338, ESPN!A:A&amp;ESPN!C:C, ESPN!K:K), "N/A")</f>
        <v>N/A</v>
      </c>
    </row>
    <row r="339" spans="1:17" x14ac:dyDescent="0.45">
      <c r="A339" s="7">
        <v>2024</v>
      </c>
      <c r="B339" s="3" t="s">
        <v>133</v>
      </c>
      <c r="C339" s="4" t="str">
        <f t="shared" si="10"/>
        <v>Dylan Laube</v>
      </c>
      <c r="D339" s="4" t="str">
        <f t="shared" si="11"/>
        <v>LV</v>
      </c>
      <c r="E339" s="4">
        <v>6</v>
      </c>
      <c r="F339" s="12">
        <v>0</v>
      </c>
      <c r="G339" s="11">
        <v>0</v>
      </c>
      <c r="H339" s="11">
        <v>0</v>
      </c>
      <c r="I339" s="11">
        <v>0</v>
      </c>
      <c r="J339" s="11">
        <v>0</v>
      </c>
      <c r="K339" s="11">
        <v>1</v>
      </c>
      <c r="L339" s="11" t="str" cm="1">
        <f t="array" ref="L339">IFERROR(_xlfn.XLOOKUP(C339&amp;A339, ESPN!A:A&amp;ESPN!C:C, ESPN!D:D), "N/A")</f>
        <v>N/A</v>
      </c>
      <c r="M339" s="23" t="str" cm="1">
        <f t="array" ref="M339">IFERROR(_xlfn.XLOOKUP(C339&amp;A339, ESPN!A:A&amp;ESPN!C:C, ESPN!G:G), "N/A")</f>
        <v>N/A</v>
      </c>
      <c r="N339" s="23" t="str" cm="1">
        <f t="array" ref="N339">IFERROR(_xlfn.XLOOKUP(C339&amp;A339, ESPN!A:A&amp;ESPN!C:C, ESPN!H:H), "N/A")</f>
        <v>N/A</v>
      </c>
      <c r="O339" s="26" t="str" cm="1">
        <f t="array" ref="O339">IFERROR(_xlfn.XLOOKUP(C339&amp;A339, ESPN!A:A&amp;ESPN!C:C, ESPN!I:I), "N/A")</f>
        <v>N/A</v>
      </c>
      <c r="P339" s="26" t="str" cm="1">
        <f t="array" ref="P339">IFERROR(_xlfn.XLOOKUP(C339&amp;A339, ESPN!A:A&amp;ESPN!C:C, ESPN!J:J), "N/A")</f>
        <v>N/A</v>
      </c>
      <c r="Q339" s="26" t="str" cm="1">
        <f t="array" ref="Q339">IFERROR(_xlfn.XLOOKUP(C339&amp;A339, ESPN!A:A&amp;ESPN!C:C, ESPN!K:K), "N/A")</f>
        <v>N/A</v>
      </c>
    </row>
    <row r="340" spans="1:17" x14ac:dyDescent="0.45">
      <c r="A340" s="6">
        <v>2023</v>
      </c>
      <c r="B340" s="1" t="s">
        <v>11</v>
      </c>
      <c r="C340" s="2" t="str">
        <f t="shared" si="10"/>
        <v>Christian McCaffrey</v>
      </c>
      <c r="D340" s="2" t="str">
        <f t="shared" si="11"/>
        <v>SF</v>
      </c>
      <c r="E340" s="2">
        <v>16</v>
      </c>
      <c r="F340" s="12">
        <v>83</v>
      </c>
      <c r="G340" s="11">
        <v>67</v>
      </c>
      <c r="H340" s="11">
        <v>564</v>
      </c>
      <c r="I340" s="11">
        <v>8.4</v>
      </c>
      <c r="J340" s="11">
        <v>7</v>
      </c>
      <c r="K340" s="11">
        <v>2</v>
      </c>
      <c r="L340" s="11" cm="1">
        <f t="array" ref="L340">IFERROR(_xlfn.XLOOKUP(C340&amp;A340, ESPN!A:A&amp;ESPN!C:C, ESPN!D:D), "N/A")</f>
        <v>445</v>
      </c>
      <c r="M340" s="23" cm="1">
        <f t="array" ref="M340">IFERROR(_xlfn.XLOOKUP(C340&amp;A340, ESPN!A:A&amp;ESPN!C:C, ESPN!G:G), "N/A")</f>
        <v>1.61</v>
      </c>
      <c r="N340" s="23" cm="1">
        <f t="array" ref="N340">IFERROR(_xlfn.XLOOKUP(C340&amp;A340, ESPN!A:A&amp;ESPN!C:C, ESPN!H:H), "N/A")</f>
        <v>52</v>
      </c>
      <c r="O340" s="26" cm="1">
        <f t="array" ref="O340">IFERROR(_xlfn.XLOOKUP(C340&amp;A340, ESPN!A:A&amp;ESPN!C:C, ESPN!I:I), "N/A")</f>
        <v>99</v>
      </c>
      <c r="P340" s="26" cm="1">
        <f t="array" ref="P340">IFERROR(_xlfn.XLOOKUP(C340&amp;A340, ESPN!A:A&amp;ESPN!C:C, ESPN!J:J), "N/A")</f>
        <v>57</v>
      </c>
      <c r="Q340" s="26" cm="1">
        <f t="array" ref="Q340">IFERROR(_xlfn.XLOOKUP(C340&amp;A340, ESPN!A:A&amp;ESPN!C:C, ESPN!K:K), "N/A")</f>
        <v>96</v>
      </c>
    </row>
    <row r="341" spans="1:17" x14ac:dyDescent="0.45">
      <c r="A341" s="7">
        <v>2023</v>
      </c>
      <c r="B341" s="3" t="s">
        <v>193</v>
      </c>
      <c r="C341" s="4" t="str">
        <f t="shared" si="10"/>
        <v>Raheem Mostert</v>
      </c>
      <c r="D341" s="4" t="str">
        <f t="shared" si="11"/>
        <v>MIA</v>
      </c>
      <c r="E341" s="4">
        <v>15</v>
      </c>
      <c r="F341" s="12">
        <v>32</v>
      </c>
      <c r="G341" s="11">
        <v>25</v>
      </c>
      <c r="H341" s="11">
        <v>175</v>
      </c>
      <c r="I341" s="11">
        <v>7</v>
      </c>
      <c r="J341" s="11">
        <v>3</v>
      </c>
      <c r="K341" s="11">
        <v>1</v>
      </c>
      <c r="L341" s="11" cm="1">
        <f t="array" ref="L341">IFERROR(_xlfn.XLOOKUP(C341&amp;A341, ESPN!A:A&amp;ESPN!C:C, ESPN!D:D), "N/A")</f>
        <v>223</v>
      </c>
      <c r="M341" s="23" cm="1">
        <f t="array" ref="M341">IFERROR(_xlfn.XLOOKUP(C341&amp;A341, ESPN!A:A&amp;ESPN!C:C, ESPN!G:G), "N/A")</f>
        <v>0.77</v>
      </c>
      <c r="N341" s="23" cm="1">
        <f t="array" ref="N341">IFERROR(_xlfn.XLOOKUP(C341&amp;A341, ESPN!A:A&amp;ESPN!C:C, ESPN!H:H), "N/A")</f>
        <v>43</v>
      </c>
      <c r="O341" s="26" cm="1">
        <f t="array" ref="O341">IFERROR(_xlfn.XLOOKUP(C341&amp;A341, ESPN!A:A&amp;ESPN!C:C, ESPN!I:I), "N/A")</f>
        <v>48</v>
      </c>
      <c r="P341" s="26" cm="1">
        <f t="array" ref="P341">IFERROR(_xlfn.XLOOKUP(C341&amp;A341, ESPN!A:A&amp;ESPN!C:C, ESPN!J:J), "N/A")</f>
        <v>45</v>
      </c>
      <c r="Q341" s="26" cm="1">
        <f t="array" ref="Q341">IFERROR(_xlfn.XLOOKUP(C341&amp;A341, ESPN!A:A&amp;ESPN!C:C, ESPN!K:K), "N/A")</f>
        <v>42</v>
      </c>
    </row>
    <row r="342" spans="1:17" x14ac:dyDescent="0.45">
      <c r="A342" s="6">
        <v>2023</v>
      </c>
      <c r="B342" s="1" t="s">
        <v>14</v>
      </c>
      <c r="C342" s="2" t="str">
        <f t="shared" si="10"/>
        <v>Travis Etienne Jr.</v>
      </c>
      <c r="D342" s="2" t="str">
        <f t="shared" si="11"/>
        <v>JAC</v>
      </c>
      <c r="E342" s="2">
        <v>17</v>
      </c>
      <c r="F342" s="12">
        <v>73</v>
      </c>
      <c r="G342" s="11">
        <v>58</v>
      </c>
      <c r="H342" s="11">
        <v>476</v>
      </c>
      <c r="I342" s="11">
        <v>8.1999999999999993</v>
      </c>
      <c r="J342" s="11">
        <v>1</v>
      </c>
      <c r="K342" s="11">
        <v>0</v>
      </c>
      <c r="L342" s="11" cm="1">
        <f t="array" ref="L342">IFERROR(_xlfn.XLOOKUP(C342&amp;A342, ESPN!A:A&amp;ESPN!C:C, ESPN!D:D), "N/A")</f>
        <v>298</v>
      </c>
      <c r="M342" s="23" cm="1">
        <f t="array" ref="M342">IFERROR(_xlfn.XLOOKUP(C342&amp;A342, ESPN!A:A&amp;ESPN!C:C, ESPN!G:G), "N/A")</f>
        <v>1.6</v>
      </c>
      <c r="N342" s="23" cm="1">
        <f t="array" ref="N342">IFERROR(_xlfn.XLOOKUP(C342&amp;A342, ESPN!A:A&amp;ESPN!C:C, ESPN!H:H), "N/A")</f>
        <v>44</v>
      </c>
      <c r="O342" s="26" cm="1">
        <f t="array" ref="O342">IFERROR(_xlfn.XLOOKUP(C342&amp;A342, ESPN!A:A&amp;ESPN!C:C, ESPN!I:I), "N/A")</f>
        <v>58</v>
      </c>
      <c r="P342" s="26" cm="1">
        <f t="array" ref="P342">IFERROR(_xlfn.XLOOKUP(C342&amp;A342, ESPN!A:A&amp;ESPN!C:C, ESPN!J:J), "N/A")</f>
        <v>37</v>
      </c>
      <c r="Q342" s="26" cm="1">
        <f t="array" ref="Q342">IFERROR(_xlfn.XLOOKUP(C342&amp;A342, ESPN!A:A&amp;ESPN!C:C, ESPN!K:K), "N/A")</f>
        <v>41</v>
      </c>
    </row>
    <row r="343" spans="1:17" x14ac:dyDescent="0.45">
      <c r="A343" s="7">
        <v>2023</v>
      </c>
      <c r="B343" s="3" t="s">
        <v>9</v>
      </c>
      <c r="C343" s="4" t="str">
        <f t="shared" si="10"/>
        <v>Kyren Williams</v>
      </c>
      <c r="D343" s="4" t="str">
        <f t="shared" si="11"/>
        <v>LAR</v>
      </c>
      <c r="E343" s="4">
        <v>12</v>
      </c>
      <c r="F343" s="12">
        <v>48</v>
      </c>
      <c r="G343" s="11">
        <v>32</v>
      </c>
      <c r="H343" s="11">
        <v>206</v>
      </c>
      <c r="I343" s="11">
        <v>6.4</v>
      </c>
      <c r="J343" s="11">
        <v>3</v>
      </c>
      <c r="K343" s="11">
        <v>2</v>
      </c>
      <c r="L343" s="11" cm="1">
        <f t="array" ref="L343">IFERROR(_xlfn.XLOOKUP(C343&amp;A343, ESPN!A:A&amp;ESPN!C:C, ESPN!D:D), "N/A")</f>
        <v>265</v>
      </c>
      <c r="M343" s="23" cm="1">
        <f t="array" ref="M343">IFERROR(_xlfn.XLOOKUP(C343&amp;A343, ESPN!A:A&amp;ESPN!C:C, ESPN!G:G), "N/A")</f>
        <v>0.81</v>
      </c>
      <c r="N343" s="23" cm="1">
        <f t="array" ref="N343">IFERROR(_xlfn.XLOOKUP(C343&amp;A343, ESPN!A:A&amp;ESPN!C:C, ESPN!H:H), "N/A")</f>
        <v>20</v>
      </c>
      <c r="O343" s="26" cm="1">
        <f t="array" ref="O343">IFERROR(_xlfn.XLOOKUP(C343&amp;A343, ESPN!A:A&amp;ESPN!C:C, ESPN!I:I), "N/A")</f>
        <v>46</v>
      </c>
      <c r="P343" s="26" cm="1">
        <f t="array" ref="P343">IFERROR(_xlfn.XLOOKUP(C343&amp;A343, ESPN!A:A&amp;ESPN!C:C, ESPN!J:J), "N/A")</f>
        <v>54</v>
      </c>
      <c r="Q343" s="26" cm="1">
        <f t="array" ref="Q343">IFERROR(_xlfn.XLOOKUP(C343&amp;A343, ESPN!A:A&amp;ESPN!C:C, ESPN!K:K), "N/A")</f>
        <v>40</v>
      </c>
    </row>
    <row r="344" spans="1:17" x14ac:dyDescent="0.45">
      <c r="A344" s="6">
        <v>2023</v>
      </c>
      <c r="B344" s="1" t="s">
        <v>252</v>
      </c>
      <c r="C344" s="2" t="str">
        <f t="shared" si="10"/>
        <v>Derrick Henry</v>
      </c>
      <c r="D344" s="2" t="str">
        <f t="shared" si="11"/>
        <v>TEN</v>
      </c>
      <c r="E344" s="2">
        <v>17</v>
      </c>
      <c r="F344" s="12">
        <v>36</v>
      </c>
      <c r="G344" s="11">
        <v>28</v>
      </c>
      <c r="H344" s="11">
        <v>214</v>
      </c>
      <c r="I344" s="11">
        <v>7.6</v>
      </c>
      <c r="J344" s="11">
        <v>0</v>
      </c>
      <c r="K344" s="11">
        <v>0</v>
      </c>
      <c r="L344" s="11" t="str" cm="1">
        <f t="array" ref="L344">IFERROR(_xlfn.XLOOKUP(C344&amp;A344, ESPN!A:A&amp;ESPN!C:C, ESPN!D:D), "N/A")</f>
        <v>N/A</v>
      </c>
      <c r="M344" s="23" t="str" cm="1">
        <f t="array" ref="M344">IFERROR(_xlfn.XLOOKUP(C344&amp;A344, ESPN!A:A&amp;ESPN!C:C, ESPN!G:G), "N/A")</f>
        <v>N/A</v>
      </c>
      <c r="N344" s="23" t="str" cm="1">
        <f t="array" ref="N344">IFERROR(_xlfn.XLOOKUP(C344&amp;A344, ESPN!A:A&amp;ESPN!C:C, ESPN!H:H), "N/A")</f>
        <v>N/A</v>
      </c>
      <c r="O344" s="26" t="str" cm="1">
        <f t="array" ref="O344">IFERROR(_xlfn.XLOOKUP(C344&amp;A344, ESPN!A:A&amp;ESPN!C:C, ESPN!I:I), "N/A")</f>
        <v>N/A</v>
      </c>
      <c r="P344" s="26" t="str" cm="1">
        <f t="array" ref="P344">IFERROR(_xlfn.XLOOKUP(C344&amp;A344, ESPN!A:A&amp;ESPN!C:C, ESPN!J:J), "N/A")</f>
        <v>N/A</v>
      </c>
      <c r="Q344" s="26" t="str" cm="1">
        <f t="array" ref="Q344">IFERROR(_xlfn.XLOOKUP(C344&amp;A344, ESPN!A:A&amp;ESPN!C:C, ESPN!K:K), "N/A")</f>
        <v>N/A</v>
      </c>
    </row>
    <row r="345" spans="1:17" x14ac:dyDescent="0.45">
      <c r="A345" s="7">
        <v>2023</v>
      </c>
      <c r="B345" s="3" t="s">
        <v>253</v>
      </c>
      <c r="C345" s="4" t="str">
        <f t="shared" si="10"/>
        <v>Joe Mixon</v>
      </c>
      <c r="D345" s="4" t="str">
        <f t="shared" si="11"/>
        <v>CIN</v>
      </c>
      <c r="E345" s="4">
        <v>17</v>
      </c>
      <c r="F345" s="12">
        <v>64</v>
      </c>
      <c r="G345" s="11">
        <v>52</v>
      </c>
      <c r="H345" s="11">
        <v>376</v>
      </c>
      <c r="I345" s="11">
        <v>7.2</v>
      </c>
      <c r="J345" s="11">
        <v>3</v>
      </c>
      <c r="K345" s="11">
        <v>0</v>
      </c>
      <c r="L345" s="11" cm="1">
        <f t="array" ref="L345">IFERROR(_xlfn.XLOOKUP(C345&amp;A345, ESPN!A:A&amp;ESPN!C:C, ESPN!D:D), "N/A")</f>
        <v>290</v>
      </c>
      <c r="M345" s="23" cm="1">
        <f t="array" ref="M345">IFERROR(_xlfn.XLOOKUP(C345&amp;A345, ESPN!A:A&amp;ESPN!C:C, ESPN!G:G), "N/A")</f>
        <v>1.3</v>
      </c>
      <c r="N345" s="23" cm="1">
        <f t="array" ref="N345">IFERROR(_xlfn.XLOOKUP(C345&amp;A345, ESPN!A:A&amp;ESPN!C:C, ESPN!H:H), "N/A")</f>
        <v>60</v>
      </c>
      <c r="O345" s="26" cm="1">
        <f t="array" ref="O345">IFERROR(_xlfn.XLOOKUP(C345&amp;A345, ESPN!A:A&amp;ESPN!C:C, ESPN!I:I), "N/A")</f>
        <v>77</v>
      </c>
      <c r="P345" s="26" cm="1">
        <f t="array" ref="P345">IFERROR(_xlfn.XLOOKUP(C345&amp;A345, ESPN!A:A&amp;ESPN!C:C, ESPN!J:J), "N/A")</f>
        <v>68</v>
      </c>
      <c r="Q345" s="26" cm="1">
        <f t="array" ref="Q345">IFERROR(_xlfn.XLOOKUP(C345&amp;A345, ESPN!A:A&amp;ESPN!C:C, ESPN!K:K), "N/A")</f>
        <v>81</v>
      </c>
    </row>
    <row r="346" spans="1:17" x14ac:dyDescent="0.45">
      <c r="A346" s="6">
        <v>2023</v>
      </c>
      <c r="B346" s="1" t="s">
        <v>18</v>
      </c>
      <c r="C346" s="2" t="str">
        <f t="shared" si="10"/>
        <v>Breece Hall</v>
      </c>
      <c r="D346" s="2" t="str">
        <f t="shared" si="11"/>
        <v>NYJ</v>
      </c>
      <c r="E346" s="2">
        <v>17</v>
      </c>
      <c r="F346" s="12">
        <v>95</v>
      </c>
      <c r="G346" s="11">
        <v>76</v>
      </c>
      <c r="H346" s="11">
        <v>591</v>
      </c>
      <c r="I346" s="11">
        <v>7.8</v>
      </c>
      <c r="J346" s="11">
        <v>4</v>
      </c>
      <c r="K346" s="11">
        <v>0</v>
      </c>
      <c r="L346" s="11" cm="1">
        <f t="array" ref="L346">IFERROR(_xlfn.XLOOKUP(C346&amp;A346, ESPN!A:A&amp;ESPN!C:C, ESPN!D:D), "N/A")</f>
        <v>266</v>
      </c>
      <c r="M346" s="23" cm="1">
        <f t="array" ref="M346">IFERROR(_xlfn.XLOOKUP(C346&amp;A346, ESPN!A:A&amp;ESPN!C:C, ESPN!G:G), "N/A")</f>
        <v>2.2200000000000002</v>
      </c>
      <c r="N346" s="23" cm="1">
        <f t="array" ref="N346">IFERROR(_xlfn.XLOOKUP(C346&amp;A346, ESPN!A:A&amp;ESPN!C:C, ESPN!H:H), "N/A")</f>
        <v>65</v>
      </c>
      <c r="O346" s="26" cm="1">
        <f t="array" ref="O346">IFERROR(_xlfn.XLOOKUP(C346&amp;A346, ESPN!A:A&amp;ESPN!C:C, ESPN!I:I), "N/A")</f>
        <v>75</v>
      </c>
      <c r="P346" s="26" cm="1">
        <f t="array" ref="P346">IFERROR(_xlfn.XLOOKUP(C346&amp;A346, ESPN!A:A&amp;ESPN!C:C, ESPN!J:J), "N/A")</f>
        <v>38</v>
      </c>
      <c r="Q346" s="26" cm="1">
        <f t="array" ref="Q346">IFERROR(_xlfn.XLOOKUP(C346&amp;A346, ESPN!A:A&amp;ESPN!C:C, ESPN!K:K), "N/A")</f>
        <v>57</v>
      </c>
    </row>
    <row r="347" spans="1:17" x14ac:dyDescent="0.45">
      <c r="A347" s="7">
        <v>2023</v>
      </c>
      <c r="B347" s="3" t="s">
        <v>39</v>
      </c>
      <c r="C347" s="4" t="str">
        <f t="shared" si="10"/>
        <v>Rachaad White</v>
      </c>
      <c r="D347" s="4" t="str">
        <f t="shared" si="11"/>
        <v>TB</v>
      </c>
      <c r="E347" s="4">
        <v>17</v>
      </c>
      <c r="F347" s="12">
        <v>70</v>
      </c>
      <c r="G347" s="11">
        <v>64</v>
      </c>
      <c r="H347" s="11">
        <v>549</v>
      </c>
      <c r="I347" s="11">
        <v>8.6</v>
      </c>
      <c r="J347" s="11">
        <v>3</v>
      </c>
      <c r="K347" s="11">
        <v>2</v>
      </c>
      <c r="L347" s="11" cm="1">
        <f t="array" ref="L347">IFERROR(_xlfn.XLOOKUP(C347&amp;A347, ESPN!A:A&amp;ESPN!C:C, ESPN!D:D), "N/A")</f>
        <v>430</v>
      </c>
      <c r="M347" s="23" cm="1">
        <f t="array" ref="M347">IFERROR(_xlfn.XLOOKUP(C347&amp;A347, ESPN!A:A&amp;ESPN!C:C, ESPN!G:G), "N/A")</f>
        <v>1.37</v>
      </c>
      <c r="N347" s="23" cm="1">
        <f t="array" ref="N347">IFERROR(_xlfn.XLOOKUP(C347&amp;A347, ESPN!A:A&amp;ESPN!C:C, ESPN!H:H), "N/A")</f>
        <v>71</v>
      </c>
      <c r="O347" s="26" cm="1">
        <f t="array" ref="O347">IFERROR(_xlfn.XLOOKUP(C347&amp;A347, ESPN!A:A&amp;ESPN!C:C, ESPN!I:I), "N/A")</f>
        <v>73</v>
      </c>
      <c r="P347" s="26" cm="1">
        <f t="array" ref="P347">IFERROR(_xlfn.XLOOKUP(C347&amp;A347, ESPN!A:A&amp;ESPN!C:C, ESPN!J:J), "N/A")</f>
        <v>73</v>
      </c>
      <c r="Q347" s="26" cm="1">
        <f t="array" ref="Q347">IFERROR(_xlfn.XLOOKUP(C347&amp;A347, ESPN!A:A&amp;ESPN!C:C, ESPN!K:K), "N/A")</f>
        <v>88</v>
      </c>
    </row>
    <row r="348" spans="1:17" x14ac:dyDescent="0.45">
      <c r="A348" s="6">
        <v>2023</v>
      </c>
      <c r="B348" s="1" t="s">
        <v>33</v>
      </c>
      <c r="C348" s="2" t="str">
        <f t="shared" si="10"/>
        <v>David Montgomery</v>
      </c>
      <c r="D348" s="2" t="str">
        <f t="shared" si="11"/>
        <v>DET</v>
      </c>
      <c r="E348" s="2">
        <v>14</v>
      </c>
      <c r="F348" s="12">
        <v>24</v>
      </c>
      <c r="G348" s="11">
        <v>16</v>
      </c>
      <c r="H348" s="11">
        <v>117</v>
      </c>
      <c r="I348" s="11">
        <v>7.3</v>
      </c>
      <c r="J348" s="11">
        <v>0</v>
      </c>
      <c r="K348" s="11">
        <v>1</v>
      </c>
      <c r="L348" s="11" cm="1">
        <f t="array" ref="L348">IFERROR(_xlfn.XLOOKUP(C348&amp;A348, ESPN!A:A&amp;ESPN!C:C, ESPN!D:D), "N/A")</f>
        <v>179</v>
      </c>
      <c r="M348" s="23" cm="1">
        <f t="array" ref="M348">IFERROR(_xlfn.XLOOKUP(C348&amp;A348, ESPN!A:A&amp;ESPN!C:C, ESPN!G:G), "N/A")</f>
        <v>0.91</v>
      </c>
      <c r="N348" s="23" cm="1">
        <f t="array" ref="N348">IFERROR(_xlfn.XLOOKUP(C348&amp;A348, ESPN!A:A&amp;ESPN!C:C, ESPN!H:H), "N/A")</f>
        <v>46</v>
      </c>
      <c r="O348" s="26" cm="1">
        <f t="array" ref="O348">IFERROR(_xlfn.XLOOKUP(C348&amp;A348, ESPN!A:A&amp;ESPN!C:C, ESPN!I:I), "N/A")</f>
        <v>45</v>
      </c>
      <c r="P348" s="26" cm="1">
        <f t="array" ref="P348">IFERROR(_xlfn.XLOOKUP(C348&amp;A348, ESPN!A:A&amp;ESPN!C:C, ESPN!J:J), "N/A")</f>
        <v>39</v>
      </c>
      <c r="Q348" s="26" cm="1">
        <f t="array" ref="Q348">IFERROR(_xlfn.XLOOKUP(C348&amp;A348, ESPN!A:A&amp;ESPN!C:C, ESPN!K:K), "N/A")</f>
        <v>37</v>
      </c>
    </row>
    <row r="349" spans="1:17" x14ac:dyDescent="0.45">
      <c r="A349" s="7">
        <v>2023</v>
      </c>
      <c r="B349" s="3" t="s">
        <v>10</v>
      </c>
      <c r="C349" s="4" t="str">
        <f t="shared" si="10"/>
        <v>Jahmyr Gibbs</v>
      </c>
      <c r="D349" s="4" t="str">
        <f t="shared" si="11"/>
        <v>DET</v>
      </c>
      <c r="E349" s="4">
        <v>15</v>
      </c>
      <c r="F349" s="12">
        <v>71</v>
      </c>
      <c r="G349" s="11">
        <v>52</v>
      </c>
      <c r="H349" s="11">
        <v>316</v>
      </c>
      <c r="I349" s="11">
        <v>6.1</v>
      </c>
      <c r="J349" s="11">
        <v>1</v>
      </c>
      <c r="K349" s="11">
        <v>1</v>
      </c>
      <c r="L349" s="11" cm="1">
        <f t="array" ref="L349">IFERROR(_xlfn.XLOOKUP(C349&amp;A349, ESPN!A:A&amp;ESPN!C:C, ESPN!D:D), "N/A")</f>
        <v>324</v>
      </c>
      <c r="M349" s="23" cm="1">
        <f t="array" ref="M349">IFERROR(_xlfn.XLOOKUP(C349&amp;A349, ESPN!A:A&amp;ESPN!C:C, ESPN!G:G), "N/A")</f>
        <v>1.27</v>
      </c>
      <c r="N349" s="23" cm="1">
        <f t="array" ref="N349">IFERROR(_xlfn.XLOOKUP(C349&amp;A349, ESPN!A:A&amp;ESPN!C:C, ESPN!H:H), "N/A")</f>
        <v>61</v>
      </c>
      <c r="O349" s="26" cm="1">
        <f t="array" ref="O349">IFERROR(_xlfn.XLOOKUP(C349&amp;A349, ESPN!A:A&amp;ESPN!C:C, ESPN!I:I), "N/A")</f>
        <v>26</v>
      </c>
      <c r="P349" s="26" cm="1">
        <f t="array" ref="P349">IFERROR(_xlfn.XLOOKUP(C349&amp;A349, ESPN!A:A&amp;ESPN!C:C, ESPN!J:J), "N/A")</f>
        <v>34</v>
      </c>
      <c r="Q349" s="26" cm="1">
        <f t="array" ref="Q349">IFERROR(_xlfn.XLOOKUP(C349&amp;A349, ESPN!A:A&amp;ESPN!C:C, ESPN!K:K), "N/A")</f>
        <v>29</v>
      </c>
    </row>
    <row r="350" spans="1:17" x14ac:dyDescent="0.45">
      <c r="A350" s="6">
        <v>2023</v>
      </c>
      <c r="B350" s="1" t="s">
        <v>4</v>
      </c>
      <c r="C350" s="2" t="str">
        <f t="shared" si="10"/>
        <v>James Cook III</v>
      </c>
      <c r="D350" s="2" t="str">
        <f t="shared" si="11"/>
        <v>BUF</v>
      </c>
      <c r="E350" s="2">
        <v>17</v>
      </c>
      <c r="F350" s="12">
        <v>54</v>
      </c>
      <c r="G350" s="11">
        <v>44</v>
      </c>
      <c r="H350" s="11">
        <v>445</v>
      </c>
      <c r="I350" s="11">
        <v>10.1</v>
      </c>
      <c r="J350" s="11">
        <v>4</v>
      </c>
      <c r="K350" s="11">
        <v>2</v>
      </c>
      <c r="L350" s="11" cm="1">
        <f t="array" ref="L350">IFERROR(_xlfn.XLOOKUP(C350&amp;A350, ESPN!A:A&amp;ESPN!C:C, ESPN!D:D), "N/A")</f>
        <v>284</v>
      </c>
      <c r="M350" s="23" cm="1">
        <f t="array" ref="M350">IFERROR(_xlfn.XLOOKUP(C350&amp;A350, ESPN!A:A&amp;ESPN!C:C, ESPN!G:G), "N/A")</f>
        <v>1.66</v>
      </c>
      <c r="N350" s="23" cm="1">
        <f t="array" ref="N350">IFERROR(_xlfn.XLOOKUP(C350&amp;A350, ESPN!A:A&amp;ESPN!C:C, ESPN!H:H), "N/A")</f>
        <v>84</v>
      </c>
      <c r="O350" s="26" cm="1">
        <f t="array" ref="O350">IFERROR(_xlfn.XLOOKUP(C350&amp;A350, ESPN!A:A&amp;ESPN!C:C, ESPN!I:I), "N/A")</f>
        <v>60</v>
      </c>
      <c r="P350" s="26" cm="1">
        <f t="array" ref="P350">IFERROR(_xlfn.XLOOKUP(C350&amp;A350, ESPN!A:A&amp;ESPN!C:C, ESPN!J:J), "N/A")</f>
        <v>38</v>
      </c>
      <c r="Q350" s="26" cm="1">
        <f t="array" ref="Q350">IFERROR(_xlfn.XLOOKUP(C350&amp;A350, ESPN!A:A&amp;ESPN!C:C, ESPN!K:K), "N/A")</f>
        <v>56</v>
      </c>
    </row>
    <row r="351" spans="1:17" x14ac:dyDescent="0.45">
      <c r="A351" s="7">
        <v>2023</v>
      </c>
      <c r="B351" s="3" t="s">
        <v>7</v>
      </c>
      <c r="C351" s="4" t="str">
        <f t="shared" si="10"/>
        <v>Bijan Robinson</v>
      </c>
      <c r="D351" s="4" t="str">
        <f t="shared" si="11"/>
        <v>ATL</v>
      </c>
      <c r="E351" s="4">
        <v>17</v>
      </c>
      <c r="F351" s="12">
        <v>86</v>
      </c>
      <c r="G351" s="11">
        <v>58</v>
      </c>
      <c r="H351" s="11">
        <v>487</v>
      </c>
      <c r="I351" s="11">
        <v>8.4</v>
      </c>
      <c r="J351" s="11">
        <v>4</v>
      </c>
      <c r="K351" s="11">
        <v>3</v>
      </c>
      <c r="L351" s="11" cm="1">
        <f t="array" ref="L351">IFERROR(_xlfn.XLOOKUP(C351&amp;A351, ESPN!A:A&amp;ESPN!C:C, ESPN!D:D), "N/A")</f>
        <v>369</v>
      </c>
      <c r="M351" s="23" cm="1">
        <f t="array" ref="M351">IFERROR(_xlfn.XLOOKUP(C351&amp;A351, ESPN!A:A&amp;ESPN!C:C, ESPN!G:G), "N/A")</f>
        <v>1.32</v>
      </c>
      <c r="N351" s="23" cm="1">
        <f t="array" ref="N351">IFERROR(_xlfn.XLOOKUP(C351&amp;A351, ESPN!A:A&amp;ESPN!C:C, ESPN!H:H), "N/A")</f>
        <v>53</v>
      </c>
      <c r="O351" s="26" cm="1">
        <f t="array" ref="O351">IFERROR(_xlfn.XLOOKUP(C351&amp;A351, ESPN!A:A&amp;ESPN!C:C, ESPN!I:I), "N/A")</f>
        <v>41</v>
      </c>
      <c r="P351" s="26" cm="1">
        <f t="array" ref="P351">IFERROR(_xlfn.XLOOKUP(C351&amp;A351, ESPN!A:A&amp;ESPN!C:C, ESPN!J:J), "N/A")</f>
        <v>43</v>
      </c>
      <c r="Q351" s="26" cm="1">
        <f t="array" ref="Q351">IFERROR(_xlfn.XLOOKUP(C351&amp;A351, ESPN!A:A&amp;ESPN!C:C, ESPN!K:K), "N/A")</f>
        <v>41</v>
      </c>
    </row>
    <row r="352" spans="1:17" x14ac:dyDescent="0.45">
      <c r="A352" s="6">
        <v>2023</v>
      </c>
      <c r="B352" s="1" t="s">
        <v>254</v>
      </c>
      <c r="C352" s="2" t="str">
        <f t="shared" si="10"/>
        <v>Saquon Barkley</v>
      </c>
      <c r="D352" s="2" t="str">
        <f t="shared" si="11"/>
        <v>NYG</v>
      </c>
      <c r="E352" s="2">
        <v>14</v>
      </c>
      <c r="F352" s="12">
        <v>60</v>
      </c>
      <c r="G352" s="11">
        <v>41</v>
      </c>
      <c r="H352" s="11">
        <v>280</v>
      </c>
      <c r="I352" s="11">
        <v>6.8</v>
      </c>
      <c r="J352" s="11">
        <v>4</v>
      </c>
      <c r="K352" s="11">
        <v>2</v>
      </c>
      <c r="L352" s="11" cm="1">
        <f t="array" ref="L352">IFERROR(_xlfn.XLOOKUP(C352&amp;A352, ESPN!A:A&amp;ESPN!C:C, ESPN!D:D), "N/A")</f>
        <v>266</v>
      </c>
      <c r="M352" s="23" cm="1">
        <f t="array" ref="M352">IFERROR(_xlfn.XLOOKUP(C352&amp;A352, ESPN!A:A&amp;ESPN!C:C, ESPN!G:G), "N/A")</f>
        <v>1.05</v>
      </c>
      <c r="N352" s="23" cm="1">
        <f t="array" ref="N352">IFERROR(_xlfn.XLOOKUP(C352&amp;A352, ESPN!A:A&amp;ESPN!C:C, ESPN!H:H), "N/A")</f>
        <v>53</v>
      </c>
      <c r="O352" s="26" cm="1">
        <f t="array" ref="O352">IFERROR(_xlfn.XLOOKUP(C352&amp;A352, ESPN!A:A&amp;ESPN!C:C, ESPN!I:I), "N/A")</f>
        <v>61</v>
      </c>
      <c r="P352" s="26" cm="1">
        <f t="array" ref="P352">IFERROR(_xlfn.XLOOKUP(C352&amp;A352, ESPN!A:A&amp;ESPN!C:C, ESPN!J:J), "N/A")</f>
        <v>24</v>
      </c>
      <c r="Q352" s="26" cm="1">
        <f t="array" ref="Q352">IFERROR(_xlfn.XLOOKUP(C352&amp;A352, ESPN!A:A&amp;ESPN!C:C, ESPN!K:K), "N/A")</f>
        <v>34</v>
      </c>
    </row>
    <row r="353" spans="1:17" x14ac:dyDescent="0.45">
      <c r="A353" s="7">
        <v>2023</v>
      </c>
      <c r="B353" s="3" t="s">
        <v>255</v>
      </c>
      <c r="C353" s="4" t="str">
        <f t="shared" si="10"/>
        <v>Gus Edwards</v>
      </c>
      <c r="D353" s="4" t="str">
        <f t="shared" si="11"/>
        <v>BAL</v>
      </c>
      <c r="E353" s="4">
        <v>17</v>
      </c>
      <c r="F353" s="12">
        <v>13</v>
      </c>
      <c r="G353" s="11">
        <v>12</v>
      </c>
      <c r="H353" s="11">
        <v>180</v>
      </c>
      <c r="I353" s="11">
        <v>15</v>
      </c>
      <c r="J353" s="11">
        <v>0</v>
      </c>
      <c r="K353" s="11">
        <v>2</v>
      </c>
      <c r="L353" s="11" t="str" cm="1">
        <f t="array" ref="L353">IFERROR(_xlfn.XLOOKUP(C353&amp;A353, ESPN!A:A&amp;ESPN!C:C, ESPN!D:D), "N/A")</f>
        <v>N/A</v>
      </c>
      <c r="M353" s="23" t="str" cm="1">
        <f t="array" ref="M353">IFERROR(_xlfn.XLOOKUP(C353&amp;A353, ESPN!A:A&amp;ESPN!C:C, ESPN!G:G), "N/A")</f>
        <v>N/A</v>
      </c>
      <c r="N353" s="23" t="str" cm="1">
        <f t="array" ref="N353">IFERROR(_xlfn.XLOOKUP(C353&amp;A353, ESPN!A:A&amp;ESPN!C:C, ESPN!H:H), "N/A")</f>
        <v>N/A</v>
      </c>
      <c r="O353" s="26" t="str" cm="1">
        <f t="array" ref="O353">IFERROR(_xlfn.XLOOKUP(C353&amp;A353, ESPN!A:A&amp;ESPN!C:C, ESPN!I:I), "N/A")</f>
        <v>N/A</v>
      </c>
      <c r="P353" s="26" t="str" cm="1">
        <f t="array" ref="P353">IFERROR(_xlfn.XLOOKUP(C353&amp;A353, ESPN!A:A&amp;ESPN!C:C, ESPN!J:J), "N/A")</f>
        <v>N/A</v>
      </c>
      <c r="Q353" s="26" t="str" cm="1">
        <f t="array" ref="Q353">IFERROR(_xlfn.XLOOKUP(C353&amp;A353, ESPN!A:A&amp;ESPN!C:C, ESPN!K:K), "N/A")</f>
        <v>N/A</v>
      </c>
    </row>
    <row r="354" spans="1:17" x14ac:dyDescent="0.45">
      <c r="A354" s="6">
        <v>2023</v>
      </c>
      <c r="B354" s="1" t="s">
        <v>86</v>
      </c>
      <c r="C354" s="2" t="str">
        <f t="shared" si="10"/>
        <v>James Conner</v>
      </c>
      <c r="D354" s="2" t="str">
        <f t="shared" si="11"/>
        <v>ARI</v>
      </c>
      <c r="E354" s="2">
        <v>13</v>
      </c>
      <c r="F354" s="12">
        <v>33</v>
      </c>
      <c r="G354" s="11">
        <v>27</v>
      </c>
      <c r="H354" s="11">
        <v>165</v>
      </c>
      <c r="I354" s="11">
        <v>6.1</v>
      </c>
      <c r="J354" s="11">
        <v>2</v>
      </c>
      <c r="K354" s="11">
        <v>0</v>
      </c>
      <c r="L354" s="11" cm="1">
        <f t="array" ref="L354">IFERROR(_xlfn.XLOOKUP(C354&amp;A354, ESPN!A:A&amp;ESPN!C:C, ESPN!D:D), "N/A")</f>
        <v>156</v>
      </c>
      <c r="M354" s="23" cm="1">
        <f t="array" ref="M354">IFERROR(_xlfn.XLOOKUP(C354&amp;A354, ESPN!A:A&amp;ESPN!C:C, ESPN!G:G), "N/A")</f>
        <v>1.06</v>
      </c>
      <c r="N354" s="23" cm="1">
        <f t="array" ref="N354">IFERROR(_xlfn.XLOOKUP(C354&amp;A354, ESPN!A:A&amp;ESPN!C:C, ESPN!H:H), "N/A")</f>
        <v>38</v>
      </c>
      <c r="O354" s="26" cm="1">
        <f t="array" ref="O354">IFERROR(_xlfn.XLOOKUP(C354&amp;A354, ESPN!A:A&amp;ESPN!C:C, ESPN!I:I), "N/A")</f>
        <v>69</v>
      </c>
      <c r="P354" s="26" cm="1">
        <f t="array" ref="P354">IFERROR(_xlfn.XLOOKUP(C354&amp;A354, ESPN!A:A&amp;ESPN!C:C, ESPN!J:J), "N/A")</f>
        <v>59</v>
      </c>
      <c r="Q354" s="26" cm="1">
        <f t="array" ref="Q354">IFERROR(_xlfn.XLOOKUP(C354&amp;A354, ESPN!A:A&amp;ESPN!C:C, ESPN!K:K), "N/A")</f>
        <v>63</v>
      </c>
    </row>
    <row r="355" spans="1:17" x14ac:dyDescent="0.45">
      <c r="A355" s="7">
        <v>2023</v>
      </c>
      <c r="B355" s="3" t="s">
        <v>19</v>
      </c>
      <c r="C355" s="4" t="str">
        <f t="shared" si="10"/>
        <v>Kenneth Walker III</v>
      </c>
      <c r="D355" s="4" t="str">
        <f t="shared" si="11"/>
        <v>SEA</v>
      </c>
      <c r="E355" s="4">
        <v>15</v>
      </c>
      <c r="F355" s="12">
        <v>37</v>
      </c>
      <c r="G355" s="11">
        <v>29</v>
      </c>
      <c r="H355" s="11">
        <v>259</v>
      </c>
      <c r="I355" s="11">
        <v>8.9</v>
      </c>
      <c r="J355" s="11">
        <v>1</v>
      </c>
      <c r="K355" s="11">
        <v>0</v>
      </c>
      <c r="L355" s="11" cm="1">
        <f t="array" ref="L355">IFERROR(_xlfn.XLOOKUP(C355&amp;A355, ESPN!A:A&amp;ESPN!C:C, ESPN!D:D), "N/A")</f>
        <v>156</v>
      </c>
      <c r="M355" s="23" cm="1">
        <f t="array" ref="M355">IFERROR(_xlfn.XLOOKUP(C355&amp;A355, ESPN!A:A&amp;ESPN!C:C, ESPN!G:G), "N/A")</f>
        <v>1.66</v>
      </c>
      <c r="N355" s="23" cm="1">
        <f t="array" ref="N355">IFERROR(_xlfn.XLOOKUP(C355&amp;A355, ESPN!A:A&amp;ESPN!C:C, ESPN!H:H), "N/A")</f>
        <v>39</v>
      </c>
      <c r="O355" s="26" cm="1">
        <f t="array" ref="O355">IFERROR(_xlfn.XLOOKUP(C355&amp;A355, ESPN!A:A&amp;ESPN!C:C, ESPN!I:I), "N/A")</f>
        <v>40</v>
      </c>
      <c r="P355" s="26" cm="1">
        <f t="array" ref="P355">IFERROR(_xlfn.XLOOKUP(C355&amp;A355, ESPN!A:A&amp;ESPN!C:C, ESPN!J:J), "N/A")</f>
        <v>83</v>
      </c>
      <c r="Q355" s="26" cm="1">
        <f t="array" ref="Q355">IFERROR(_xlfn.XLOOKUP(C355&amp;A355, ESPN!A:A&amp;ESPN!C:C, ESPN!K:K), "N/A")</f>
        <v>69</v>
      </c>
    </row>
    <row r="356" spans="1:17" x14ac:dyDescent="0.45">
      <c r="A356" s="6">
        <v>2023</v>
      </c>
      <c r="B356" s="1" t="s">
        <v>50</v>
      </c>
      <c r="C356" s="2" t="str">
        <f t="shared" si="10"/>
        <v>Isiah Pacheco</v>
      </c>
      <c r="D356" s="2" t="str">
        <f t="shared" si="11"/>
        <v>KC</v>
      </c>
      <c r="E356" s="2">
        <v>14</v>
      </c>
      <c r="F356" s="12">
        <v>49</v>
      </c>
      <c r="G356" s="11">
        <v>44</v>
      </c>
      <c r="H356" s="11">
        <v>244</v>
      </c>
      <c r="I356" s="11">
        <v>5.5</v>
      </c>
      <c r="J356" s="11">
        <v>2</v>
      </c>
      <c r="K356" s="11">
        <v>1</v>
      </c>
      <c r="L356" s="11" cm="1">
        <f t="array" ref="L356">IFERROR(_xlfn.XLOOKUP(C356&amp;A356, ESPN!A:A&amp;ESPN!C:C, ESPN!D:D), "N/A")</f>
        <v>298</v>
      </c>
      <c r="M356" s="23" cm="1">
        <f t="array" ref="M356">IFERROR(_xlfn.XLOOKUP(C356&amp;A356, ESPN!A:A&amp;ESPN!C:C, ESPN!G:G), "N/A")</f>
        <v>1.02</v>
      </c>
      <c r="N356" s="23" cm="1">
        <f t="array" ref="N356">IFERROR(_xlfn.XLOOKUP(C356&amp;A356, ESPN!A:A&amp;ESPN!C:C, ESPN!H:H), "N/A")</f>
        <v>63</v>
      </c>
      <c r="O356" s="26" cm="1">
        <f t="array" ref="O356">IFERROR(_xlfn.XLOOKUP(C356&amp;A356, ESPN!A:A&amp;ESPN!C:C, ESPN!I:I), "N/A")</f>
        <v>90</v>
      </c>
      <c r="P356" s="26" cm="1">
        <f t="array" ref="P356">IFERROR(_xlfn.XLOOKUP(C356&amp;A356, ESPN!A:A&amp;ESPN!C:C, ESPN!J:J), "N/A")</f>
        <v>31</v>
      </c>
      <c r="Q356" s="26" cm="1">
        <f t="array" ref="Q356">IFERROR(_xlfn.XLOOKUP(C356&amp;A356, ESPN!A:A&amp;ESPN!C:C, ESPN!K:K), "N/A")</f>
        <v>58</v>
      </c>
    </row>
    <row r="357" spans="1:17" x14ac:dyDescent="0.45">
      <c r="A357" s="7">
        <v>2023</v>
      </c>
      <c r="B357" s="3" t="s">
        <v>256</v>
      </c>
      <c r="C357" s="4" t="str">
        <f t="shared" si="10"/>
        <v>Tony Pollard</v>
      </c>
      <c r="D357" s="4" t="str">
        <f t="shared" si="11"/>
        <v>DAL</v>
      </c>
      <c r="E357" s="4">
        <v>17</v>
      </c>
      <c r="F357" s="12">
        <v>67</v>
      </c>
      <c r="G357" s="11">
        <v>55</v>
      </c>
      <c r="H357" s="11">
        <v>311</v>
      </c>
      <c r="I357" s="11">
        <v>5.7</v>
      </c>
      <c r="J357" s="11">
        <v>0</v>
      </c>
      <c r="K357" s="11">
        <v>1</v>
      </c>
      <c r="L357" s="11" cm="1">
        <f t="array" ref="L357">IFERROR(_xlfn.XLOOKUP(C357&amp;A357, ESPN!A:A&amp;ESPN!C:C, ESPN!D:D), "N/A")</f>
        <v>375</v>
      </c>
      <c r="M357" s="23" cm="1">
        <f t="array" ref="M357">IFERROR(_xlfn.XLOOKUP(C357&amp;A357, ESPN!A:A&amp;ESPN!C:C, ESPN!G:G), "N/A")</f>
        <v>0.91</v>
      </c>
      <c r="N357" s="23" cm="1">
        <f t="array" ref="N357">IFERROR(_xlfn.XLOOKUP(C357&amp;A357, ESPN!A:A&amp;ESPN!C:C, ESPN!H:H), "N/A")</f>
        <v>32</v>
      </c>
      <c r="O357" s="26" cm="1">
        <f t="array" ref="O357">IFERROR(_xlfn.XLOOKUP(C357&amp;A357, ESPN!A:A&amp;ESPN!C:C, ESPN!I:I), "N/A")</f>
        <v>74</v>
      </c>
      <c r="P357" s="26" cm="1">
        <f t="array" ref="P357">IFERROR(_xlfn.XLOOKUP(C357&amp;A357, ESPN!A:A&amp;ESPN!C:C, ESPN!J:J), "N/A")</f>
        <v>32</v>
      </c>
      <c r="Q357" s="26" cm="1">
        <f t="array" ref="Q357">IFERROR(_xlfn.XLOOKUP(C357&amp;A357, ESPN!A:A&amp;ESPN!C:C, ESPN!K:K), "N/A")</f>
        <v>40</v>
      </c>
    </row>
    <row r="358" spans="1:17" x14ac:dyDescent="0.45">
      <c r="A358" s="6">
        <v>2023</v>
      </c>
      <c r="B358" s="1" t="s">
        <v>94</v>
      </c>
      <c r="C358" s="2" t="str">
        <f t="shared" si="10"/>
        <v>Jerome Ford</v>
      </c>
      <c r="D358" s="2" t="str">
        <f t="shared" si="11"/>
        <v>CLE</v>
      </c>
      <c r="E358" s="2">
        <v>17</v>
      </c>
      <c r="F358" s="12">
        <v>63</v>
      </c>
      <c r="G358" s="11">
        <v>44</v>
      </c>
      <c r="H358" s="11">
        <v>319</v>
      </c>
      <c r="I358" s="11">
        <v>7.3</v>
      </c>
      <c r="J358" s="11">
        <v>5</v>
      </c>
      <c r="K358" s="11">
        <v>1</v>
      </c>
      <c r="L358" s="11" cm="1">
        <f t="array" ref="L358">IFERROR(_xlfn.XLOOKUP(C358&amp;A358, ESPN!A:A&amp;ESPN!C:C, ESPN!D:D), "N/A")</f>
        <v>286</v>
      </c>
      <c r="M358" s="23" cm="1">
        <f t="array" ref="M358">IFERROR(_xlfn.XLOOKUP(C358&amp;A358, ESPN!A:A&amp;ESPN!C:C, ESPN!G:G), "N/A")</f>
        <v>1.17</v>
      </c>
      <c r="N358" s="23" cm="1">
        <f t="array" ref="N358">IFERROR(_xlfn.XLOOKUP(C358&amp;A358, ESPN!A:A&amp;ESPN!C:C, ESPN!H:H), "N/A")</f>
        <v>62</v>
      </c>
      <c r="O358" s="26" cm="1">
        <f t="array" ref="O358">IFERROR(_xlfn.XLOOKUP(C358&amp;A358, ESPN!A:A&amp;ESPN!C:C, ESPN!I:I), "N/A")</f>
        <v>58</v>
      </c>
      <c r="P358" s="26" cm="1">
        <f t="array" ref="P358">IFERROR(_xlfn.XLOOKUP(C358&amp;A358, ESPN!A:A&amp;ESPN!C:C, ESPN!J:J), "N/A")</f>
        <v>45</v>
      </c>
      <c r="Q358" s="26" cm="1">
        <f t="array" ref="Q358">IFERROR(_xlfn.XLOOKUP(C358&amp;A358, ESPN!A:A&amp;ESPN!C:C, ESPN!K:K), "N/A")</f>
        <v>54</v>
      </c>
    </row>
    <row r="359" spans="1:17" x14ac:dyDescent="0.45">
      <c r="A359" s="7">
        <v>2023</v>
      </c>
      <c r="B359" s="3" t="s">
        <v>178</v>
      </c>
      <c r="C359" s="4" t="str">
        <f t="shared" si="10"/>
        <v>Najee Harris</v>
      </c>
      <c r="D359" s="4" t="str">
        <f t="shared" si="11"/>
        <v>PIT</v>
      </c>
      <c r="E359" s="4">
        <v>17</v>
      </c>
      <c r="F359" s="12">
        <v>38</v>
      </c>
      <c r="G359" s="11">
        <v>29</v>
      </c>
      <c r="H359" s="11">
        <v>170</v>
      </c>
      <c r="I359" s="11">
        <v>5.9</v>
      </c>
      <c r="J359" s="11">
        <v>0</v>
      </c>
      <c r="K359" s="11">
        <v>1</v>
      </c>
      <c r="L359" s="11" cm="1">
        <f t="array" ref="L359">IFERROR(_xlfn.XLOOKUP(C359&amp;A359, ESPN!A:A&amp;ESPN!C:C, ESPN!D:D), "N/A")</f>
        <v>187</v>
      </c>
      <c r="M359" s="23" cm="1">
        <f t="array" ref="M359">IFERROR(_xlfn.XLOOKUP(C359&amp;A359, ESPN!A:A&amp;ESPN!C:C, ESPN!G:G), "N/A")</f>
        <v>0.99</v>
      </c>
      <c r="N359" s="23" cm="1">
        <f t="array" ref="N359">IFERROR(_xlfn.XLOOKUP(C359&amp;A359, ESPN!A:A&amp;ESPN!C:C, ESPN!H:H), "N/A")</f>
        <v>48</v>
      </c>
      <c r="O359" s="26" cm="1">
        <f t="array" ref="O359">IFERROR(_xlfn.XLOOKUP(C359&amp;A359, ESPN!A:A&amp;ESPN!C:C, ESPN!I:I), "N/A")</f>
        <v>70</v>
      </c>
      <c r="P359" s="26" cm="1">
        <f t="array" ref="P359">IFERROR(_xlfn.XLOOKUP(C359&amp;A359, ESPN!A:A&amp;ESPN!C:C, ESPN!J:J), "N/A")</f>
        <v>30</v>
      </c>
      <c r="Q359" s="26" cm="1">
        <f t="array" ref="Q359">IFERROR(_xlfn.XLOOKUP(C359&amp;A359, ESPN!A:A&amp;ESPN!C:C, ESPN!K:K), "N/A")</f>
        <v>42</v>
      </c>
    </row>
    <row r="360" spans="1:17" x14ac:dyDescent="0.45">
      <c r="A360" s="6">
        <v>2023</v>
      </c>
      <c r="B360" s="1" t="s">
        <v>8</v>
      </c>
      <c r="C360" s="2" t="str">
        <f t="shared" si="10"/>
        <v>De'Von Achane</v>
      </c>
      <c r="D360" s="2" t="str">
        <f t="shared" si="11"/>
        <v>MIA</v>
      </c>
      <c r="E360" s="2">
        <v>11</v>
      </c>
      <c r="F360" s="12">
        <v>37</v>
      </c>
      <c r="G360" s="11">
        <v>27</v>
      </c>
      <c r="H360" s="11">
        <v>197</v>
      </c>
      <c r="I360" s="11">
        <v>7.3</v>
      </c>
      <c r="J360" s="11">
        <v>3</v>
      </c>
      <c r="K360" s="11">
        <v>1</v>
      </c>
      <c r="L360" s="11" cm="1">
        <f t="array" ref="L360">IFERROR(_xlfn.XLOOKUP(C360&amp;A360, ESPN!A:A&amp;ESPN!C:C, ESPN!D:D), "N/A")</f>
        <v>139</v>
      </c>
      <c r="M360" s="23" cm="1">
        <f t="array" ref="M360">IFERROR(_xlfn.XLOOKUP(C360&amp;A360, ESPN!A:A&amp;ESPN!C:C, ESPN!G:G), "N/A")</f>
        <v>1.57</v>
      </c>
      <c r="N360" s="23" cm="1">
        <f t="array" ref="N360">IFERROR(_xlfn.XLOOKUP(C360&amp;A360, ESPN!A:A&amp;ESPN!C:C, ESPN!H:H), "N/A")</f>
        <v>40</v>
      </c>
      <c r="O360" s="26" cm="1">
        <f t="array" ref="O360">IFERROR(_xlfn.XLOOKUP(C360&amp;A360, ESPN!A:A&amp;ESPN!C:C, ESPN!I:I), "N/A")</f>
        <v>38</v>
      </c>
      <c r="P360" s="26" cm="1">
        <f t="array" ref="P360">IFERROR(_xlfn.XLOOKUP(C360&amp;A360, ESPN!A:A&amp;ESPN!C:C, ESPN!J:J), "N/A")</f>
        <v>64</v>
      </c>
      <c r="Q360" s="26" cm="1">
        <f t="array" ref="Q360">IFERROR(_xlfn.XLOOKUP(C360&amp;A360, ESPN!A:A&amp;ESPN!C:C, ESPN!K:K), "N/A")</f>
        <v>52</v>
      </c>
    </row>
    <row r="361" spans="1:17" x14ac:dyDescent="0.45">
      <c r="A361" s="7">
        <v>2023</v>
      </c>
      <c r="B361" s="3" t="s">
        <v>181</v>
      </c>
      <c r="C361" s="4" t="str">
        <f t="shared" si="10"/>
        <v>Brian Robinson Jr.</v>
      </c>
      <c r="D361" s="4" t="str">
        <f t="shared" si="11"/>
        <v>WAS</v>
      </c>
      <c r="E361" s="4">
        <v>15</v>
      </c>
      <c r="F361" s="12">
        <v>43</v>
      </c>
      <c r="G361" s="11">
        <v>36</v>
      </c>
      <c r="H361" s="11">
        <v>368</v>
      </c>
      <c r="I361" s="11">
        <v>10.199999999999999</v>
      </c>
      <c r="J361" s="11">
        <v>4</v>
      </c>
      <c r="K361" s="11">
        <v>2</v>
      </c>
      <c r="L361" s="11" cm="1">
        <f t="array" ref="L361">IFERROR(_xlfn.XLOOKUP(C361&amp;A361, ESPN!A:A&amp;ESPN!C:C, ESPN!D:D), "N/A")</f>
        <v>189</v>
      </c>
      <c r="M361" s="23" cm="1">
        <f t="array" ref="M361">IFERROR(_xlfn.XLOOKUP(C361&amp;A361, ESPN!A:A&amp;ESPN!C:C, ESPN!G:G), "N/A")</f>
        <v>1.95</v>
      </c>
      <c r="N361" s="23" cm="1">
        <f t="array" ref="N361">IFERROR(_xlfn.XLOOKUP(C361&amp;A361, ESPN!A:A&amp;ESPN!C:C, ESPN!H:H), "N/A")</f>
        <v>41</v>
      </c>
      <c r="O361" s="26" cm="1">
        <f t="array" ref="O361">IFERROR(_xlfn.XLOOKUP(C361&amp;A361, ESPN!A:A&amp;ESPN!C:C, ESPN!I:I), "N/A")</f>
        <v>84</v>
      </c>
      <c r="P361" s="26" cm="1">
        <f t="array" ref="P361">IFERROR(_xlfn.XLOOKUP(C361&amp;A361, ESPN!A:A&amp;ESPN!C:C, ESPN!J:J), "N/A")</f>
        <v>76</v>
      </c>
      <c r="Q361" s="26" cm="1">
        <f t="array" ref="Q361">IFERROR(_xlfn.XLOOKUP(C361&amp;A361, ESPN!A:A&amp;ESPN!C:C, ESPN!K:K), "N/A")</f>
        <v>85</v>
      </c>
    </row>
    <row r="362" spans="1:17" x14ac:dyDescent="0.45">
      <c r="A362" s="6">
        <v>2023</v>
      </c>
      <c r="B362" s="1" t="s">
        <v>257</v>
      </c>
      <c r="C362" s="2" t="str">
        <f t="shared" si="10"/>
        <v>D'Andre Swift</v>
      </c>
      <c r="D362" s="2" t="str">
        <f t="shared" si="11"/>
        <v>PHI</v>
      </c>
      <c r="E362" s="2">
        <v>16</v>
      </c>
      <c r="F362" s="12">
        <v>49</v>
      </c>
      <c r="G362" s="11">
        <v>39</v>
      </c>
      <c r="H362" s="11">
        <v>214</v>
      </c>
      <c r="I362" s="11">
        <v>5.5</v>
      </c>
      <c r="J362" s="11">
        <v>1</v>
      </c>
      <c r="K362" s="11">
        <v>1</v>
      </c>
      <c r="L362" s="11" cm="1">
        <f t="array" ref="L362">IFERROR(_xlfn.XLOOKUP(C362&amp;A362, ESPN!A:A&amp;ESPN!C:C, ESPN!D:D), "N/A")</f>
        <v>236</v>
      </c>
      <c r="M362" s="23" cm="1">
        <f t="array" ref="M362">IFERROR(_xlfn.XLOOKUP(C362&amp;A362, ESPN!A:A&amp;ESPN!C:C, ESPN!G:G), "N/A")</f>
        <v>1.04</v>
      </c>
      <c r="N362" s="23" cm="1">
        <f t="array" ref="N362">IFERROR(_xlfn.XLOOKUP(C362&amp;A362, ESPN!A:A&amp;ESPN!C:C, ESPN!H:H), "N/A")</f>
        <v>32</v>
      </c>
      <c r="O362" s="26" cm="1">
        <f t="array" ref="O362">IFERROR(_xlfn.XLOOKUP(C362&amp;A362, ESPN!A:A&amp;ESPN!C:C, ESPN!I:I), "N/A")</f>
        <v>53</v>
      </c>
      <c r="P362" s="26" cm="1">
        <f t="array" ref="P362">IFERROR(_xlfn.XLOOKUP(C362&amp;A362, ESPN!A:A&amp;ESPN!C:C, ESPN!J:J), "N/A")</f>
        <v>32</v>
      </c>
      <c r="Q362" s="26" cm="1">
        <f t="array" ref="Q362">IFERROR(_xlfn.XLOOKUP(C362&amp;A362, ESPN!A:A&amp;ESPN!C:C, ESPN!K:K), "N/A")</f>
        <v>29</v>
      </c>
    </row>
    <row r="363" spans="1:17" x14ac:dyDescent="0.45">
      <c r="A363" s="7">
        <v>2023</v>
      </c>
      <c r="B363" s="3" t="s">
        <v>49</v>
      </c>
      <c r="C363" s="4" t="str">
        <f t="shared" si="10"/>
        <v>Alvin Kamara</v>
      </c>
      <c r="D363" s="4" t="str">
        <f t="shared" si="11"/>
        <v>NO</v>
      </c>
      <c r="E363" s="4">
        <v>13</v>
      </c>
      <c r="F363" s="12">
        <v>86</v>
      </c>
      <c r="G363" s="11">
        <v>75</v>
      </c>
      <c r="H363" s="11">
        <v>466</v>
      </c>
      <c r="I363" s="11">
        <v>6.2</v>
      </c>
      <c r="J363" s="11">
        <v>1</v>
      </c>
      <c r="K363" s="11">
        <v>0</v>
      </c>
      <c r="L363" s="11" cm="1">
        <f t="array" ref="L363">IFERROR(_xlfn.XLOOKUP(C363&amp;A363, ESPN!A:A&amp;ESPN!C:C, ESPN!D:D), "N/A")</f>
        <v>204</v>
      </c>
      <c r="M363" s="23" cm="1">
        <f t="array" ref="M363">IFERROR(_xlfn.XLOOKUP(C363&amp;A363, ESPN!A:A&amp;ESPN!C:C, ESPN!G:G), "N/A")</f>
        <v>2.2799999999999998</v>
      </c>
      <c r="N363" s="23" cm="1">
        <f t="array" ref="N363">IFERROR(_xlfn.XLOOKUP(C363&amp;A363, ESPN!A:A&amp;ESPN!C:C, ESPN!H:H), "N/A")</f>
        <v>72</v>
      </c>
      <c r="O363" s="26" cm="1">
        <f t="array" ref="O363">IFERROR(_xlfn.XLOOKUP(C363&amp;A363, ESPN!A:A&amp;ESPN!C:C, ESPN!I:I), "N/A")</f>
        <v>68</v>
      </c>
      <c r="P363" s="26" cm="1">
        <f t="array" ref="P363">IFERROR(_xlfn.XLOOKUP(C363&amp;A363, ESPN!A:A&amp;ESPN!C:C, ESPN!J:J), "N/A")</f>
        <v>43</v>
      </c>
      <c r="Q363" s="26" cm="1">
        <f t="array" ref="Q363">IFERROR(_xlfn.XLOOKUP(C363&amp;A363, ESPN!A:A&amp;ESPN!C:C, ESPN!K:K), "N/A")</f>
        <v>61</v>
      </c>
    </row>
    <row r="364" spans="1:17" x14ac:dyDescent="0.45">
      <c r="A364" s="6">
        <v>2023</v>
      </c>
      <c r="B364" s="1" t="s">
        <v>258</v>
      </c>
      <c r="C364" s="2" t="str">
        <f t="shared" si="10"/>
        <v>Josh Jacobs</v>
      </c>
      <c r="D364" s="2" t="str">
        <f t="shared" si="11"/>
        <v>LV</v>
      </c>
      <c r="E364" s="2">
        <v>13</v>
      </c>
      <c r="F364" s="12">
        <v>54</v>
      </c>
      <c r="G364" s="11">
        <v>37</v>
      </c>
      <c r="H364" s="11">
        <v>296</v>
      </c>
      <c r="I364" s="11">
        <v>8</v>
      </c>
      <c r="J364" s="11">
        <v>0</v>
      </c>
      <c r="K364" s="11">
        <v>1</v>
      </c>
      <c r="L364" s="11" cm="1">
        <f t="array" ref="L364">IFERROR(_xlfn.XLOOKUP(C364&amp;A364, ESPN!A:A&amp;ESPN!C:C, ESPN!D:D), "N/A")</f>
        <v>188</v>
      </c>
      <c r="M364" s="23" cm="1">
        <f t="array" ref="M364">IFERROR(_xlfn.XLOOKUP(C364&amp;A364, ESPN!A:A&amp;ESPN!C:C, ESPN!G:G), "N/A")</f>
        <v>1.57</v>
      </c>
      <c r="N364" s="23" cm="1">
        <f t="array" ref="N364">IFERROR(_xlfn.XLOOKUP(C364&amp;A364, ESPN!A:A&amp;ESPN!C:C, ESPN!H:H), "N/A")</f>
        <v>70</v>
      </c>
      <c r="O364" s="26" cm="1">
        <f t="array" ref="O364">IFERROR(_xlfn.XLOOKUP(C364&amp;A364, ESPN!A:A&amp;ESPN!C:C, ESPN!I:I), "N/A")</f>
        <v>62</v>
      </c>
      <c r="P364" s="26" cm="1">
        <f t="array" ref="P364">IFERROR(_xlfn.XLOOKUP(C364&amp;A364, ESPN!A:A&amp;ESPN!C:C, ESPN!J:J), "N/A")</f>
        <v>58</v>
      </c>
      <c r="Q364" s="26" cm="1">
        <f t="array" ref="Q364">IFERROR(_xlfn.XLOOKUP(C364&amp;A364, ESPN!A:A&amp;ESPN!C:C, ESPN!K:K), "N/A")</f>
        <v>70</v>
      </c>
    </row>
    <row r="365" spans="1:17" x14ac:dyDescent="0.45">
      <c r="A365" s="7">
        <v>2023</v>
      </c>
      <c r="B365" s="3" t="s">
        <v>45</v>
      </c>
      <c r="C365" s="4" t="str">
        <f t="shared" si="10"/>
        <v>Chuba Hubbard</v>
      </c>
      <c r="D365" s="4" t="str">
        <f t="shared" si="11"/>
        <v>CAR</v>
      </c>
      <c r="E365" s="4">
        <v>17</v>
      </c>
      <c r="F365" s="12">
        <v>44</v>
      </c>
      <c r="G365" s="11">
        <v>39</v>
      </c>
      <c r="H365" s="11">
        <v>233</v>
      </c>
      <c r="I365" s="11">
        <v>6</v>
      </c>
      <c r="J365" s="11">
        <v>0</v>
      </c>
      <c r="K365" s="11">
        <v>0</v>
      </c>
      <c r="L365" s="11" cm="1">
        <f t="array" ref="L365">IFERROR(_xlfn.XLOOKUP(C365&amp;A365, ESPN!A:A&amp;ESPN!C:C, ESPN!D:D), "N/A")</f>
        <v>246</v>
      </c>
      <c r="M365" s="23" cm="1">
        <f t="array" ref="M365">IFERROR(_xlfn.XLOOKUP(C365&amp;A365, ESPN!A:A&amp;ESPN!C:C, ESPN!G:G), "N/A")</f>
        <v>0.95</v>
      </c>
      <c r="N365" s="23" cm="1">
        <f t="array" ref="N365">IFERROR(_xlfn.XLOOKUP(C365&amp;A365, ESPN!A:A&amp;ESPN!C:C, ESPN!H:H), "N/A")</f>
        <v>75</v>
      </c>
      <c r="O365" s="26" cm="1">
        <f t="array" ref="O365">IFERROR(_xlfn.XLOOKUP(C365&amp;A365, ESPN!A:A&amp;ESPN!C:C, ESPN!I:I), "N/A")</f>
        <v>99</v>
      </c>
      <c r="P365" s="26" cm="1">
        <f t="array" ref="P365">IFERROR(_xlfn.XLOOKUP(C365&amp;A365, ESPN!A:A&amp;ESPN!C:C, ESPN!J:J), "N/A")</f>
        <v>38</v>
      </c>
      <c r="Q365" s="26" cm="1">
        <f t="array" ref="Q365">IFERROR(_xlfn.XLOOKUP(C365&amp;A365, ESPN!A:A&amp;ESPN!C:C, ESPN!K:K), "N/A")</f>
        <v>73</v>
      </c>
    </row>
    <row r="366" spans="1:17" x14ac:dyDescent="0.45">
      <c r="A366" s="6">
        <v>2023</v>
      </c>
      <c r="B366" s="1" t="s">
        <v>259</v>
      </c>
      <c r="C366" s="2" t="str">
        <f t="shared" si="10"/>
        <v>Zack Moss</v>
      </c>
      <c r="D366" s="2" t="str">
        <f t="shared" si="11"/>
        <v>IND</v>
      </c>
      <c r="E366" s="2">
        <v>14</v>
      </c>
      <c r="F366" s="12">
        <v>37</v>
      </c>
      <c r="G366" s="11">
        <v>27</v>
      </c>
      <c r="H366" s="11">
        <v>192</v>
      </c>
      <c r="I366" s="11">
        <v>7.1</v>
      </c>
      <c r="J366" s="11">
        <v>2</v>
      </c>
      <c r="K366" s="11">
        <v>0</v>
      </c>
      <c r="L366" s="11" cm="1">
        <f t="array" ref="L366">IFERROR(_xlfn.XLOOKUP(C366&amp;A366, ESPN!A:A&amp;ESPN!C:C, ESPN!D:D), "N/A")</f>
        <v>187</v>
      </c>
      <c r="M366" s="23" cm="1">
        <f t="array" ref="M366">IFERROR(_xlfn.XLOOKUP(C366&amp;A366, ESPN!A:A&amp;ESPN!C:C, ESPN!G:G), "N/A")</f>
        <v>1.03</v>
      </c>
      <c r="N366" s="23" cm="1">
        <f t="array" ref="N366">IFERROR(_xlfn.XLOOKUP(C366&amp;A366, ESPN!A:A&amp;ESPN!C:C, ESPN!H:H), "N/A")</f>
        <v>58</v>
      </c>
      <c r="O366" s="26" cm="1">
        <f t="array" ref="O366">IFERROR(_xlfn.XLOOKUP(C366&amp;A366, ESPN!A:A&amp;ESPN!C:C, ESPN!I:I), "N/A")</f>
        <v>49</v>
      </c>
      <c r="P366" s="26" cm="1">
        <f t="array" ref="P366">IFERROR(_xlfn.XLOOKUP(C366&amp;A366, ESPN!A:A&amp;ESPN!C:C, ESPN!J:J), "N/A")</f>
        <v>50</v>
      </c>
      <c r="Q366" s="26" cm="1">
        <f t="array" ref="Q366">IFERROR(_xlfn.XLOOKUP(C366&amp;A366, ESPN!A:A&amp;ESPN!C:C, ESPN!K:K), "N/A")</f>
        <v>53</v>
      </c>
    </row>
    <row r="367" spans="1:17" x14ac:dyDescent="0.45">
      <c r="A367" s="7">
        <v>2023</v>
      </c>
      <c r="B367" s="3" t="s">
        <v>6</v>
      </c>
      <c r="C367" s="4" t="str">
        <f t="shared" si="10"/>
        <v>Jonathan Taylor</v>
      </c>
      <c r="D367" s="4" t="str">
        <f t="shared" si="11"/>
        <v>IND</v>
      </c>
      <c r="E367" s="4">
        <v>10</v>
      </c>
      <c r="F367" s="12">
        <v>23</v>
      </c>
      <c r="G367" s="11">
        <v>19</v>
      </c>
      <c r="H367" s="11">
        <v>153</v>
      </c>
      <c r="I367" s="11">
        <v>8.1</v>
      </c>
      <c r="J367" s="11">
        <v>1</v>
      </c>
      <c r="K367" s="11">
        <v>0</v>
      </c>
      <c r="L367" s="11" t="str" cm="1">
        <f t="array" ref="L367">IFERROR(_xlfn.XLOOKUP(C367&amp;A367, ESPN!A:A&amp;ESPN!C:C, ESPN!D:D), "N/A")</f>
        <v>N/A</v>
      </c>
      <c r="M367" s="23" t="str" cm="1">
        <f t="array" ref="M367">IFERROR(_xlfn.XLOOKUP(C367&amp;A367, ESPN!A:A&amp;ESPN!C:C, ESPN!G:G), "N/A")</f>
        <v>N/A</v>
      </c>
      <c r="N367" s="23" t="str" cm="1">
        <f t="array" ref="N367">IFERROR(_xlfn.XLOOKUP(C367&amp;A367, ESPN!A:A&amp;ESPN!C:C, ESPN!H:H), "N/A")</f>
        <v>N/A</v>
      </c>
      <c r="O367" s="26" t="str" cm="1">
        <f t="array" ref="O367">IFERROR(_xlfn.XLOOKUP(C367&amp;A367, ESPN!A:A&amp;ESPN!C:C, ESPN!I:I), "N/A")</f>
        <v>N/A</v>
      </c>
      <c r="P367" s="26" t="str" cm="1">
        <f t="array" ref="P367">IFERROR(_xlfn.XLOOKUP(C367&amp;A367, ESPN!A:A&amp;ESPN!C:C, ESPN!J:J), "N/A")</f>
        <v>N/A</v>
      </c>
      <c r="Q367" s="26" t="str" cm="1">
        <f t="array" ref="Q367">IFERROR(_xlfn.XLOOKUP(C367&amp;A367, ESPN!A:A&amp;ESPN!C:C, ESPN!K:K), "N/A")</f>
        <v>N/A</v>
      </c>
    </row>
    <row r="368" spans="1:17" x14ac:dyDescent="0.45">
      <c r="A368" s="6">
        <v>2023</v>
      </c>
      <c r="B368" s="1" t="s">
        <v>260</v>
      </c>
      <c r="C368" s="2" t="str">
        <f t="shared" si="10"/>
        <v>Devin Singletary</v>
      </c>
      <c r="D368" s="2" t="str">
        <f t="shared" si="11"/>
        <v>HOU</v>
      </c>
      <c r="E368" s="2">
        <v>17</v>
      </c>
      <c r="F368" s="12">
        <v>38</v>
      </c>
      <c r="G368" s="11">
        <v>30</v>
      </c>
      <c r="H368" s="11">
        <v>193</v>
      </c>
      <c r="I368" s="11">
        <v>6.4</v>
      </c>
      <c r="J368" s="11">
        <v>0</v>
      </c>
      <c r="K368" s="11">
        <v>0</v>
      </c>
      <c r="L368" s="11" cm="1">
        <f t="array" ref="L368">IFERROR(_xlfn.XLOOKUP(C368&amp;A368, ESPN!A:A&amp;ESPN!C:C, ESPN!D:D), "N/A")</f>
        <v>282</v>
      </c>
      <c r="M368" s="23" cm="1">
        <f t="array" ref="M368">IFERROR(_xlfn.XLOOKUP(C368&amp;A368, ESPN!A:A&amp;ESPN!C:C, ESPN!G:G), "N/A")</f>
        <v>0.87</v>
      </c>
      <c r="N368" s="23" cm="1">
        <f t="array" ref="N368">IFERROR(_xlfn.XLOOKUP(C368&amp;A368, ESPN!A:A&amp;ESPN!C:C, ESPN!H:H), "N/A")</f>
        <v>58</v>
      </c>
      <c r="O368" s="26" cm="1">
        <f t="array" ref="O368">IFERROR(_xlfn.XLOOKUP(C368&amp;A368, ESPN!A:A&amp;ESPN!C:C, ESPN!I:I), "N/A")</f>
        <v>77</v>
      </c>
      <c r="P368" s="26" cm="1">
        <f t="array" ref="P368">IFERROR(_xlfn.XLOOKUP(C368&amp;A368, ESPN!A:A&amp;ESPN!C:C, ESPN!J:J), "N/A")</f>
        <v>22</v>
      </c>
      <c r="Q368" s="26" cm="1">
        <f t="array" ref="Q368">IFERROR(_xlfn.XLOOKUP(C368&amp;A368, ESPN!A:A&amp;ESPN!C:C, ESPN!K:K), "N/A")</f>
        <v>43</v>
      </c>
    </row>
    <row r="369" spans="1:17" x14ac:dyDescent="0.45">
      <c r="A369" s="7">
        <v>2023</v>
      </c>
      <c r="B369" s="3" t="s">
        <v>22</v>
      </c>
      <c r="C369" s="4" t="str">
        <f t="shared" si="10"/>
        <v>Jaylen Warren</v>
      </c>
      <c r="D369" s="4" t="str">
        <f t="shared" si="11"/>
        <v>PIT</v>
      </c>
      <c r="E369" s="4">
        <v>17</v>
      </c>
      <c r="F369" s="12">
        <v>74</v>
      </c>
      <c r="G369" s="11">
        <v>61</v>
      </c>
      <c r="H369" s="11">
        <v>370</v>
      </c>
      <c r="I369" s="11">
        <v>6.1</v>
      </c>
      <c r="J369" s="11">
        <v>0</v>
      </c>
      <c r="K369" s="11">
        <v>2</v>
      </c>
      <c r="L369" s="11" cm="1">
        <f t="array" ref="L369">IFERROR(_xlfn.XLOOKUP(C369&amp;A369, ESPN!A:A&amp;ESPN!C:C, ESPN!D:D), "N/A")</f>
        <v>214</v>
      </c>
      <c r="M369" s="23" cm="1">
        <f t="array" ref="M369">IFERROR(_xlfn.XLOOKUP(C369&amp;A369, ESPN!A:A&amp;ESPN!C:C, ESPN!G:G), "N/A")</f>
        <v>1.8</v>
      </c>
      <c r="N369" s="23" cm="1">
        <f t="array" ref="N369">IFERROR(_xlfn.XLOOKUP(C369&amp;A369, ESPN!A:A&amp;ESPN!C:C, ESPN!H:H), "N/A")</f>
        <v>57</v>
      </c>
      <c r="O369" s="26" cm="1">
        <f t="array" ref="O369">IFERROR(_xlfn.XLOOKUP(C369&amp;A369, ESPN!A:A&amp;ESPN!C:C, ESPN!I:I), "N/A")</f>
        <v>71</v>
      </c>
      <c r="P369" s="26" cm="1">
        <f t="array" ref="P369">IFERROR(_xlfn.XLOOKUP(C369&amp;A369, ESPN!A:A&amp;ESPN!C:C, ESPN!J:J), "N/A")</f>
        <v>47</v>
      </c>
      <c r="Q369" s="26" cm="1">
        <f t="array" ref="Q369">IFERROR(_xlfn.XLOOKUP(C369&amp;A369, ESPN!A:A&amp;ESPN!C:C, ESPN!K:K), "N/A")</f>
        <v>61</v>
      </c>
    </row>
    <row r="370" spans="1:17" x14ac:dyDescent="0.45">
      <c r="A370" s="6">
        <v>2023</v>
      </c>
      <c r="B370" s="1" t="s">
        <v>261</v>
      </c>
      <c r="C370" s="2" t="str">
        <f t="shared" si="10"/>
        <v>Austin Ekeler</v>
      </c>
      <c r="D370" s="2" t="str">
        <f t="shared" si="11"/>
        <v>LAC</v>
      </c>
      <c r="E370" s="2">
        <v>14</v>
      </c>
      <c r="F370" s="12">
        <v>74</v>
      </c>
      <c r="G370" s="11">
        <v>51</v>
      </c>
      <c r="H370" s="11">
        <v>436</v>
      </c>
      <c r="I370" s="11">
        <v>8.5</v>
      </c>
      <c r="J370" s="11">
        <v>1</v>
      </c>
      <c r="K370" s="11">
        <v>4</v>
      </c>
      <c r="L370" s="11" cm="1">
        <f t="array" ref="L370">IFERROR(_xlfn.XLOOKUP(C370&amp;A370, ESPN!A:A&amp;ESPN!C:C, ESPN!D:D), "N/A")</f>
        <v>292</v>
      </c>
      <c r="M370" s="23" cm="1">
        <f t="array" ref="M370">IFERROR(_xlfn.XLOOKUP(C370&amp;A370, ESPN!A:A&amp;ESPN!C:C, ESPN!G:G), "N/A")</f>
        <v>1.49</v>
      </c>
      <c r="N370" s="23" cm="1">
        <f t="array" ref="N370">IFERROR(_xlfn.XLOOKUP(C370&amp;A370, ESPN!A:A&amp;ESPN!C:C, ESPN!H:H), "N/A")</f>
        <v>70</v>
      </c>
      <c r="O370" s="26" cm="1">
        <f t="array" ref="O370">IFERROR(_xlfn.XLOOKUP(C370&amp;A370, ESPN!A:A&amp;ESPN!C:C, ESPN!I:I), "N/A")</f>
        <v>46</v>
      </c>
      <c r="P370" s="26" cm="1">
        <f t="array" ref="P370">IFERROR(_xlfn.XLOOKUP(C370&amp;A370, ESPN!A:A&amp;ESPN!C:C, ESPN!J:J), "N/A")</f>
        <v>76</v>
      </c>
      <c r="Q370" s="26" cm="1">
        <f t="array" ref="Q370">IFERROR(_xlfn.XLOOKUP(C370&amp;A370, ESPN!A:A&amp;ESPN!C:C, ESPN!K:K), "N/A")</f>
        <v>78</v>
      </c>
    </row>
    <row r="371" spans="1:17" x14ac:dyDescent="0.45">
      <c r="A371" s="7">
        <v>2023</v>
      </c>
      <c r="B371" s="3" t="s">
        <v>183</v>
      </c>
      <c r="C371" s="4" t="str">
        <f t="shared" si="10"/>
        <v>Javonte Williams</v>
      </c>
      <c r="D371" s="4" t="str">
        <f t="shared" si="11"/>
        <v>DEN</v>
      </c>
      <c r="E371" s="4">
        <v>16</v>
      </c>
      <c r="F371" s="12">
        <v>58</v>
      </c>
      <c r="G371" s="11">
        <v>47</v>
      </c>
      <c r="H371" s="11">
        <v>228</v>
      </c>
      <c r="I371" s="11">
        <v>4.9000000000000004</v>
      </c>
      <c r="J371" s="11">
        <v>2</v>
      </c>
      <c r="K371" s="11">
        <v>1</v>
      </c>
      <c r="L371" s="11" cm="1">
        <f t="array" ref="L371">IFERROR(_xlfn.XLOOKUP(C371&amp;A371, ESPN!A:A&amp;ESPN!C:C, ESPN!D:D), "N/A")</f>
        <v>148</v>
      </c>
      <c r="M371" s="23" cm="1">
        <f t="array" ref="M371">IFERROR(_xlfn.XLOOKUP(C371&amp;A371, ESPN!A:A&amp;ESPN!C:C, ESPN!G:G), "N/A")</f>
        <v>1.54</v>
      </c>
      <c r="N371" s="23" cm="1">
        <f t="array" ref="N371">IFERROR(_xlfn.XLOOKUP(C371&amp;A371, ESPN!A:A&amp;ESPN!C:C, ESPN!H:H), "N/A")</f>
        <v>76</v>
      </c>
      <c r="O371" s="26" cm="1">
        <f t="array" ref="O371">IFERROR(_xlfn.XLOOKUP(C371&amp;A371, ESPN!A:A&amp;ESPN!C:C, ESPN!I:I), "N/A")</f>
        <v>63</v>
      </c>
      <c r="P371" s="26" cm="1">
        <f t="array" ref="P371">IFERROR(_xlfn.XLOOKUP(C371&amp;A371, ESPN!A:A&amp;ESPN!C:C, ESPN!J:J), "N/A")</f>
        <v>25</v>
      </c>
      <c r="Q371" s="26" cm="1">
        <f t="array" ref="Q371">IFERROR(_xlfn.XLOOKUP(C371&amp;A371, ESPN!A:A&amp;ESPN!C:C, ESPN!K:K), "N/A")</f>
        <v>45</v>
      </c>
    </row>
    <row r="372" spans="1:17" x14ac:dyDescent="0.45">
      <c r="A372" s="6">
        <v>2023</v>
      </c>
      <c r="B372" s="1" t="s">
        <v>262</v>
      </c>
      <c r="C372" s="2" t="str">
        <f t="shared" si="10"/>
        <v>Ezekiel Elliott</v>
      </c>
      <c r="D372" s="2" t="str">
        <f t="shared" si="11"/>
        <v>NE</v>
      </c>
      <c r="E372" s="2">
        <v>17</v>
      </c>
      <c r="F372" s="12">
        <v>65</v>
      </c>
      <c r="G372" s="11">
        <v>51</v>
      </c>
      <c r="H372" s="11">
        <v>313</v>
      </c>
      <c r="I372" s="11">
        <v>6.1</v>
      </c>
      <c r="J372" s="11">
        <v>2</v>
      </c>
      <c r="K372" s="11">
        <v>1</v>
      </c>
      <c r="L372" s="11" cm="1">
        <f t="array" ref="L372">IFERROR(_xlfn.XLOOKUP(C372&amp;A372, ESPN!A:A&amp;ESPN!C:C, ESPN!D:D), "N/A")</f>
        <v>200</v>
      </c>
      <c r="M372" s="23" cm="1">
        <f t="array" ref="M372">IFERROR(_xlfn.XLOOKUP(C372&amp;A372, ESPN!A:A&amp;ESPN!C:C, ESPN!G:G), "N/A")</f>
        <v>1.56</v>
      </c>
      <c r="N372" s="23" cm="1">
        <f t="array" ref="N372">IFERROR(_xlfn.XLOOKUP(C372&amp;A372, ESPN!A:A&amp;ESPN!C:C, ESPN!H:H), "N/A")</f>
        <v>42</v>
      </c>
      <c r="O372" s="26" cm="1">
        <f t="array" ref="O372">IFERROR(_xlfn.XLOOKUP(C372&amp;A372, ESPN!A:A&amp;ESPN!C:C, ESPN!I:I), "N/A")</f>
        <v>67</v>
      </c>
      <c r="P372" s="26" cm="1">
        <f t="array" ref="P372">IFERROR(_xlfn.XLOOKUP(C372&amp;A372, ESPN!A:A&amp;ESPN!C:C, ESPN!J:J), "N/A")</f>
        <v>47</v>
      </c>
      <c r="Q372" s="26" cm="1">
        <f t="array" ref="Q372">IFERROR(_xlfn.XLOOKUP(C372&amp;A372, ESPN!A:A&amp;ESPN!C:C, ESPN!K:K), "N/A")</f>
        <v>53</v>
      </c>
    </row>
    <row r="373" spans="1:17" x14ac:dyDescent="0.45">
      <c r="A373" s="7">
        <v>2023</v>
      </c>
      <c r="B373" s="3" t="s">
        <v>44</v>
      </c>
      <c r="C373" s="4" t="str">
        <f t="shared" si="10"/>
        <v>Tyler Allgeier</v>
      </c>
      <c r="D373" s="4" t="str">
        <f t="shared" si="11"/>
        <v>ATL</v>
      </c>
      <c r="E373" s="4">
        <v>17</v>
      </c>
      <c r="F373" s="12">
        <v>23</v>
      </c>
      <c r="G373" s="11">
        <v>18</v>
      </c>
      <c r="H373" s="11">
        <v>193</v>
      </c>
      <c r="I373" s="11">
        <v>10.7</v>
      </c>
      <c r="J373" s="11">
        <v>1</v>
      </c>
      <c r="K373" s="11">
        <v>0</v>
      </c>
      <c r="L373" s="11" t="str" cm="1">
        <f t="array" ref="L373">IFERROR(_xlfn.XLOOKUP(C373&amp;A373, ESPN!A:A&amp;ESPN!C:C, ESPN!D:D), "N/A")</f>
        <v>N/A</v>
      </c>
      <c r="M373" s="23" t="str" cm="1">
        <f t="array" ref="M373">IFERROR(_xlfn.XLOOKUP(C373&amp;A373, ESPN!A:A&amp;ESPN!C:C, ESPN!G:G), "N/A")</f>
        <v>N/A</v>
      </c>
      <c r="N373" s="23" t="str" cm="1">
        <f t="array" ref="N373">IFERROR(_xlfn.XLOOKUP(C373&amp;A373, ESPN!A:A&amp;ESPN!C:C, ESPN!H:H), "N/A")</f>
        <v>N/A</v>
      </c>
      <c r="O373" s="26" t="str" cm="1">
        <f t="array" ref="O373">IFERROR(_xlfn.XLOOKUP(C373&amp;A373, ESPN!A:A&amp;ESPN!C:C, ESPN!I:I), "N/A")</f>
        <v>N/A</v>
      </c>
      <c r="P373" s="26" t="str" cm="1">
        <f t="array" ref="P373">IFERROR(_xlfn.XLOOKUP(C373&amp;A373, ESPN!A:A&amp;ESPN!C:C, ESPN!J:J), "N/A")</f>
        <v>N/A</v>
      </c>
      <c r="Q373" s="26" t="str" cm="1">
        <f t="array" ref="Q373">IFERROR(_xlfn.XLOOKUP(C373&amp;A373, ESPN!A:A&amp;ESPN!C:C, ESPN!K:K), "N/A")</f>
        <v>N/A</v>
      </c>
    </row>
    <row r="374" spans="1:17" x14ac:dyDescent="0.45">
      <c r="A374" s="6">
        <v>2023</v>
      </c>
      <c r="B374" s="1" t="s">
        <v>37</v>
      </c>
      <c r="C374" s="2" t="str">
        <f t="shared" si="10"/>
        <v>Rhamondre Stevenson</v>
      </c>
      <c r="D374" s="2" t="str">
        <f t="shared" si="11"/>
        <v>NE</v>
      </c>
      <c r="E374" s="2">
        <v>12</v>
      </c>
      <c r="F374" s="12">
        <v>51</v>
      </c>
      <c r="G374" s="11">
        <v>38</v>
      </c>
      <c r="H374" s="11">
        <v>238</v>
      </c>
      <c r="I374" s="11">
        <v>6.3</v>
      </c>
      <c r="J374" s="11">
        <v>0</v>
      </c>
      <c r="K374" s="11">
        <v>1</v>
      </c>
      <c r="L374" s="11" cm="1">
        <f t="array" ref="L374">IFERROR(_xlfn.XLOOKUP(C374&amp;A374, ESPN!A:A&amp;ESPN!C:C, ESPN!D:D), "N/A")</f>
        <v>200</v>
      </c>
      <c r="M374" s="23" cm="1">
        <f t="array" ref="M374">IFERROR(_xlfn.XLOOKUP(C374&amp;A374, ESPN!A:A&amp;ESPN!C:C, ESPN!G:G), "N/A")</f>
        <v>1.19</v>
      </c>
      <c r="N374" s="23" cm="1">
        <f t="array" ref="N374">IFERROR(_xlfn.XLOOKUP(C374&amp;A374, ESPN!A:A&amp;ESPN!C:C, ESPN!H:H), "N/A")</f>
        <v>35</v>
      </c>
      <c r="O374" s="26" cm="1">
        <f t="array" ref="O374">IFERROR(_xlfn.XLOOKUP(C374&amp;A374, ESPN!A:A&amp;ESPN!C:C, ESPN!I:I), "N/A")</f>
        <v>34</v>
      </c>
      <c r="P374" s="26" cm="1">
        <f t="array" ref="P374">IFERROR(_xlfn.XLOOKUP(C374&amp;A374, ESPN!A:A&amp;ESPN!C:C, ESPN!J:J), "N/A")</f>
        <v>32</v>
      </c>
      <c r="Q374" s="26" cm="1">
        <f t="array" ref="Q374">IFERROR(_xlfn.XLOOKUP(C374&amp;A374, ESPN!A:A&amp;ESPN!C:C, ESPN!K:K), "N/A")</f>
        <v>22</v>
      </c>
    </row>
    <row r="375" spans="1:17" x14ac:dyDescent="0.45">
      <c r="A375" s="7">
        <v>2023</v>
      </c>
      <c r="B375" s="3" t="s">
        <v>263</v>
      </c>
      <c r="C375" s="4" t="str">
        <f t="shared" si="10"/>
        <v>Aaron Jones Sr.</v>
      </c>
      <c r="D375" s="4" t="str">
        <f t="shared" si="11"/>
        <v>GB</v>
      </c>
      <c r="E375" s="4">
        <v>11</v>
      </c>
      <c r="F375" s="12">
        <v>43</v>
      </c>
      <c r="G375" s="11">
        <v>30</v>
      </c>
      <c r="H375" s="11">
        <v>233</v>
      </c>
      <c r="I375" s="11">
        <v>7.8</v>
      </c>
      <c r="J375" s="11">
        <v>1</v>
      </c>
      <c r="K375" s="11">
        <v>1</v>
      </c>
      <c r="L375" s="11" cm="1">
        <f t="array" ref="L375">IFERROR(_xlfn.XLOOKUP(C375&amp;A375, ESPN!A:A&amp;ESPN!C:C, ESPN!D:D), "N/A")</f>
        <v>158</v>
      </c>
      <c r="M375" s="23" cm="1">
        <f t="array" ref="M375">IFERROR(_xlfn.XLOOKUP(C375&amp;A375, ESPN!A:A&amp;ESPN!C:C, ESPN!G:G), "N/A")</f>
        <v>1.61</v>
      </c>
      <c r="N375" s="23" cm="1">
        <f t="array" ref="N375">IFERROR(_xlfn.XLOOKUP(C375&amp;A375, ESPN!A:A&amp;ESPN!C:C, ESPN!H:H), "N/A")</f>
        <v>66</v>
      </c>
      <c r="O375" s="26" cm="1">
        <f t="array" ref="O375">IFERROR(_xlfn.XLOOKUP(C375&amp;A375, ESPN!A:A&amp;ESPN!C:C, ESPN!I:I), "N/A")</f>
        <v>54</v>
      </c>
      <c r="P375" s="26" cm="1">
        <f t="array" ref="P375">IFERROR(_xlfn.XLOOKUP(C375&amp;A375, ESPN!A:A&amp;ESPN!C:C, ESPN!J:J), "N/A")</f>
        <v>55</v>
      </c>
      <c r="Q375" s="26" cm="1">
        <f t="array" ref="Q375">IFERROR(_xlfn.XLOOKUP(C375&amp;A375, ESPN!A:A&amp;ESPN!C:C, ESPN!K:K), "N/A")</f>
        <v>62</v>
      </c>
    </row>
    <row r="376" spans="1:17" x14ac:dyDescent="0.45">
      <c r="A376" s="6">
        <v>2023</v>
      </c>
      <c r="B376" s="1" t="s">
        <v>264</v>
      </c>
      <c r="C376" s="2" t="str">
        <f t="shared" si="10"/>
        <v>Kareem Hunt</v>
      </c>
      <c r="D376" s="2" t="str">
        <f t="shared" si="11"/>
        <v>CLE</v>
      </c>
      <c r="E376" s="2">
        <v>15</v>
      </c>
      <c r="F376" s="12">
        <v>21</v>
      </c>
      <c r="G376" s="11">
        <v>15</v>
      </c>
      <c r="H376" s="11">
        <v>84</v>
      </c>
      <c r="I376" s="11">
        <v>5.6</v>
      </c>
      <c r="J376" s="11">
        <v>0</v>
      </c>
      <c r="K376" s="11">
        <v>0</v>
      </c>
      <c r="L376" s="11" t="str" cm="1">
        <f t="array" ref="L376">IFERROR(_xlfn.XLOOKUP(C376&amp;A376, ESPN!A:A&amp;ESPN!C:C, ESPN!D:D), "N/A")</f>
        <v>N/A</v>
      </c>
      <c r="M376" s="23" t="str" cm="1">
        <f t="array" ref="M376">IFERROR(_xlfn.XLOOKUP(C376&amp;A376, ESPN!A:A&amp;ESPN!C:C, ESPN!G:G), "N/A")</f>
        <v>N/A</v>
      </c>
      <c r="N376" s="23" t="str" cm="1">
        <f t="array" ref="N376">IFERROR(_xlfn.XLOOKUP(C376&amp;A376, ESPN!A:A&amp;ESPN!C:C, ESPN!H:H), "N/A")</f>
        <v>N/A</v>
      </c>
      <c r="O376" s="26" t="str" cm="1">
        <f t="array" ref="O376">IFERROR(_xlfn.XLOOKUP(C376&amp;A376, ESPN!A:A&amp;ESPN!C:C, ESPN!I:I), "N/A")</f>
        <v>N/A</v>
      </c>
      <c r="P376" s="26" t="str" cm="1">
        <f t="array" ref="P376">IFERROR(_xlfn.XLOOKUP(C376&amp;A376, ESPN!A:A&amp;ESPN!C:C, ESPN!J:J), "N/A")</f>
        <v>N/A</v>
      </c>
      <c r="Q376" s="26" t="str" cm="1">
        <f t="array" ref="Q376">IFERROR(_xlfn.XLOOKUP(C376&amp;A376, ESPN!A:A&amp;ESPN!C:C, ESPN!K:K), "N/A")</f>
        <v>N/A</v>
      </c>
    </row>
    <row r="377" spans="1:17" x14ac:dyDescent="0.45">
      <c r="A377" s="7">
        <v>2023</v>
      </c>
      <c r="B377" s="3" t="s">
        <v>265</v>
      </c>
      <c r="C377" s="4" t="str">
        <f t="shared" si="10"/>
        <v>Alexander Mattison</v>
      </c>
      <c r="D377" s="4" t="str">
        <f t="shared" si="11"/>
        <v>MIN</v>
      </c>
      <c r="E377" s="4">
        <v>16</v>
      </c>
      <c r="F377" s="12">
        <v>44</v>
      </c>
      <c r="G377" s="11">
        <v>30</v>
      </c>
      <c r="H377" s="11">
        <v>192</v>
      </c>
      <c r="I377" s="11">
        <v>6.4</v>
      </c>
      <c r="J377" s="11">
        <v>3</v>
      </c>
      <c r="K377" s="11">
        <v>2</v>
      </c>
      <c r="L377" s="11" cm="1">
        <f t="array" ref="L377">IFERROR(_xlfn.XLOOKUP(C377&amp;A377, ESPN!A:A&amp;ESPN!C:C, ESPN!D:D), "N/A")</f>
        <v>243</v>
      </c>
      <c r="M377" s="23" cm="1">
        <f t="array" ref="M377">IFERROR(_xlfn.XLOOKUP(C377&amp;A377, ESPN!A:A&amp;ESPN!C:C, ESPN!G:G), "N/A")</f>
        <v>0.79</v>
      </c>
      <c r="N377" s="23" cm="1">
        <f t="array" ref="N377">IFERROR(_xlfn.XLOOKUP(C377&amp;A377, ESPN!A:A&amp;ESPN!C:C, ESPN!H:H), "N/A")</f>
        <v>68</v>
      </c>
      <c r="O377" s="26" cm="1">
        <f t="array" ref="O377">IFERROR(_xlfn.XLOOKUP(C377&amp;A377, ESPN!A:A&amp;ESPN!C:C, ESPN!I:I), "N/A")</f>
        <v>42</v>
      </c>
      <c r="P377" s="26" cm="1">
        <f t="array" ref="P377">IFERROR(_xlfn.XLOOKUP(C377&amp;A377, ESPN!A:A&amp;ESPN!C:C, ESPN!J:J), "N/A")</f>
        <v>32</v>
      </c>
      <c r="Q377" s="26" cm="1">
        <f t="array" ref="Q377">IFERROR(_xlfn.XLOOKUP(C377&amp;A377, ESPN!A:A&amp;ESPN!C:C, ESPN!K:K), "N/A")</f>
        <v>37</v>
      </c>
    </row>
    <row r="378" spans="1:17" x14ac:dyDescent="0.45">
      <c r="A378" s="6">
        <v>2023</v>
      </c>
      <c r="B378" s="1" t="s">
        <v>62</v>
      </c>
      <c r="C378" s="2" t="str">
        <f t="shared" si="10"/>
        <v>Tyjae Spears</v>
      </c>
      <c r="D378" s="2" t="str">
        <f t="shared" si="11"/>
        <v>TEN</v>
      </c>
      <c r="E378" s="2">
        <v>17</v>
      </c>
      <c r="F378" s="12">
        <v>70</v>
      </c>
      <c r="G378" s="11">
        <v>52</v>
      </c>
      <c r="H378" s="11">
        <v>385</v>
      </c>
      <c r="I378" s="11">
        <v>7.4</v>
      </c>
      <c r="J378" s="11">
        <v>1</v>
      </c>
      <c r="K378" s="11">
        <v>0</v>
      </c>
      <c r="L378" s="11" cm="1">
        <f t="array" ref="L378">IFERROR(_xlfn.XLOOKUP(C378&amp;A378, ESPN!A:A&amp;ESPN!C:C, ESPN!D:D), "N/A")</f>
        <v>232</v>
      </c>
      <c r="M378" s="23" cm="1">
        <f t="array" ref="M378">IFERROR(_xlfn.XLOOKUP(C378&amp;A378, ESPN!A:A&amp;ESPN!C:C, ESPN!G:G), "N/A")</f>
        <v>1.66</v>
      </c>
      <c r="N378" s="23" cm="1">
        <f t="array" ref="N378">IFERROR(_xlfn.XLOOKUP(C378&amp;A378, ESPN!A:A&amp;ESPN!C:C, ESPN!H:H), "N/A")</f>
        <v>65</v>
      </c>
      <c r="O378" s="26" cm="1">
        <f t="array" ref="O378">IFERROR(_xlfn.XLOOKUP(C378&amp;A378, ESPN!A:A&amp;ESPN!C:C, ESPN!I:I), "N/A")</f>
        <v>46</v>
      </c>
      <c r="P378" s="26" cm="1">
        <f t="array" ref="P378">IFERROR(_xlfn.XLOOKUP(C378&amp;A378, ESPN!A:A&amp;ESPN!C:C, ESPN!J:J), "N/A")</f>
        <v>63</v>
      </c>
      <c r="Q378" s="26" cm="1">
        <f t="array" ref="Q378">IFERROR(_xlfn.XLOOKUP(C378&amp;A378, ESPN!A:A&amp;ESPN!C:C, ESPN!K:K), "N/A")</f>
        <v>65</v>
      </c>
    </row>
    <row r="379" spans="1:17" x14ac:dyDescent="0.45">
      <c r="A379" s="7">
        <v>2023</v>
      </c>
      <c r="B379" s="3" t="s">
        <v>266</v>
      </c>
      <c r="C379" s="4" t="str">
        <f t="shared" si="10"/>
        <v>AJ Dillon</v>
      </c>
      <c r="D379" s="4" t="str">
        <f t="shared" si="11"/>
        <v>GB</v>
      </c>
      <c r="E379" s="4">
        <v>15</v>
      </c>
      <c r="F379" s="12">
        <v>28</v>
      </c>
      <c r="G379" s="11">
        <v>22</v>
      </c>
      <c r="H379" s="11">
        <v>223</v>
      </c>
      <c r="I379" s="11">
        <v>10.1</v>
      </c>
      <c r="J379" s="11">
        <v>0</v>
      </c>
      <c r="K379" s="11">
        <v>0</v>
      </c>
      <c r="L379" s="11" cm="1">
        <f t="array" ref="L379">IFERROR(_xlfn.XLOOKUP(C379&amp;A379, ESPN!A:A&amp;ESPN!C:C, ESPN!D:D), "N/A")</f>
        <v>179</v>
      </c>
      <c r="M379" s="23" cm="1">
        <f t="array" ref="M379">IFERROR(_xlfn.XLOOKUP(C379&amp;A379, ESPN!A:A&amp;ESPN!C:C, ESPN!G:G), "N/A")</f>
        <v>1.25</v>
      </c>
      <c r="N379" s="23" cm="1">
        <f t="array" ref="N379">IFERROR(_xlfn.XLOOKUP(C379&amp;A379, ESPN!A:A&amp;ESPN!C:C, ESPN!H:H), "N/A")</f>
        <v>60</v>
      </c>
      <c r="O379" s="26" cm="1">
        <f t="array" ref="O379">IFERROR(_xlfn.XLOOKUP(C379&amp;A379, ESPN!A:A&amp;ESPN!C:C, ESPN!I:I), "N/A")</f>
        <v>68</v>
      </c>
      <c r="P379" s="26" cm="1">
        <f t="array" ref="P379">IFERROR(_xlfn.XLOOKUP(C379&amp;A379, ESPN!A:A&amp;ESPN!C:C, ESPN!J:J), "N/A")</f>
        <v>80</v>
      </c>
      <c r="Q379" s="26" cm="1">
        <f t="array" ref="Q379">IFERROR(_xlfn.XLOOKUP(C379&amp;A379, ESPN!A:A&amp;ESPN!C:C, ESPN!K:K), "N/A")</f>
        <v>88</v>
      </c>
    </row>
    <row r="380" spans="1:17" x14ac:dyDescent="0.45">
      <c r="A380" s="6">
        <v>2023</v>
      </c>
      <c r="B380" s="1" t="s">
        <v>267</v>
      </c>
      <c r="C380" s="2" t="str">
        <f t="shared" si="10"/>
        <v>Khalil Herbert</v>
      </c>
      <c r="D380" s="2" t="str">
        <f t="shared" si="11"/>
        <v>CHI</v>
      </c>
      <c r="E380" s="2">
        <v>12</v>
      </c>
      <c r="F380" s="12">
        <v>31</v>
      </c>
      <c r="G380" s="11">
        <v>20</v>
      </c>
      <c r="H380" s="11">
        <v>134</v>
      </c>
      <c r="I380" s="11">
        <v>6.7</v>
      </c>
      <c r="J380" s="11">
        <v>1</v>
      </c>
      <c r="K380" s="11">
        <v>1</v>
      </c>
      <c r="L380" s="11" cm="1">
        <f t="array" ref="L380">IFERROR(_xlfn.XLOOKUP(C380&amp;A380, ESPN!A:A&amp;ESPN!C:C, ESPN!D:D), "N/A")</f>
        <v>119</v>
      </c>
      <c r="M380" s="23" cm="1">
        <f t="array" ref="M380">IFERROR(_xlfn.XLOOKUP(C380&amp;A380, ESPN!A:A&amp;ESPN!C:C, ESPN!G:G), "N/A")</f>
        <v>1.1299999999999999</v>
      </c>
      <c r="N380" s="23" cm="1">
        <f t="array" ref="N380">IFERROR(_xlfn.XLOOKUP(C380&amp;A380, ESPN!A:A&amp;ESPN!C:C, ESPN!H:H), "N/A")</f>
        <v>52</v>
      </c>
      <c r="O380" s="26" cm="1">
        <f t="array" ref="O380">IFERROR(_xlfn.XLOOKUP(C380&amp;A380, ESPN!A:A&amp;ESPN!C:C, ESPN!I:I), "N/A")</f>
        <v>47</v>
      </c>
      <c r="P380" s="26" cm="1">
        <f t="array" ref="P380">IFERROR(_xlfn.XLOOKUP(C380&amp;A380, ESPN!A:A&amp;ESPN!C:C, ESPN!J:J), "N/A")</f>
        <v>42</v>
      </c>
      <c r="Q380" s="26" cm="1">
        <f t="array" ref="Q380">IFERROR(_xlfn.XLOOKUP(C380&amp;A380, ESPN!A:A&amp;ESPN!C:C, ESPN!K:K), "N/A")</f>
        <v>43</v>
      </c>
    </row>
    <row r="381" spans="1:17" x14ac:dyDescent="0.45">
      <c r="A381" s="7">
        <v>2023</v>
      </c>
      <c r="B381" s="3" t="s">
        <v>89</v>
      </c>
      <c r="C381" s="4" t="str">
        <f t="shared" si="10"/>
        <v>Justice Hill</v>
      </c>
      <c r="D381" s="4" t="str">
        <f t="shared" si="11"/>
        <v>BAL</v>
      </c>
      <c r="E381" s="4">
        <v>16</v>
      </c>
      <c r="F381" s="12">
        <v>39</v>
      </c>
      <c r="G381" s="11">
        <v>28</v>
      </c>
      <c r="H381" s="11">
        <v>206</v>
      </c>
      <c r="I381" s="11">
        <v>7.4</v>
      </c>
      <c r="J381" s="11">
        <v>1</v>
      </c>
      <c r="K381" s="11">
        <v>1</v>
      </c>
      <c r="L381" s="11" cm="1">
        <f t="array" ref="L381">IFERROR(_xlfn.XLOOKUP(C381&amp;A381, ESPN!A:A&amp;ESPN!C:C, ESPN!D:D), "N/A")</f>
        <v>232</v>
      </c>
      <c r="M381" s="23" cm="1">
        <f t="array" ref="M381">IFERROR(_xlfn.XLOOKUP(C381&amp;A381, ESPN!A:A&amp;ESPN!C:C, ESPN!G:G), "N/A")</f>
        <v>1.08</v>
      </c>
      <c r="N381" s="23" cm="1">
        <f t="array" ref="N381">IFERROR(_xlfn.XLOOKUP(C381&amp;A381, ESPN!A:A&amp;ESPN!C:C, ESPN!H:H), "N/A")</f>
        <v>50</v>
      </c>
      <c r="O381" s="26" cm="1">
        <f t="array" ref="O381">IFERROR(_xlfn.XLOOKUP(C381&amp;A381, ESPN!A:A&amp;ESPN!C:C, ESPN!I:I), "N/A")</f>
        <v>57</v>
      </c>
      <c r="P381" s="26" cm="1">
        <f t="array" ref="P381">IFERROR(_xlfn.XLOOKUP(C381&amp;A381, ESPN!A:A&amp;ESPN!C:C, ESPN!J:J), "N/A")</f>
        <v>55</v>
      </c>
      <c r="Q381" s="26" cm="1">
        <f t="array" ref="Q381">IFERROR(_xlfn.XLOOKUP(C381&amp;A381, ESPN!A:A&amp;ESPN!C:C, ESPN!K:K), "N/A")</f>
        <v>57</v>
      </c>
    </row>
    <row r="382" spans="1:17" x14ac:dyDescent="0.45">
      <c r="A382" s="6">
        <v>2023</v>
      </c>
      <c r="B382" s="1" t="s">
        <v>268</v>
      </c>
      <c r="C382" s="2" t="str">
        <f t="shared" si="10"/>
        <v>D'Onta Foreman</v>
      </c>
      <c r="D382" s="2" t="str">
        <f t="shared" si="11"/>
        <v>CHI</v>
      </c>
      <c r="E382" s="2">
        <v>9</v>
      </c>
      <c r="F382" s="12">
        <v>16</v>
      </c>
      <c r="G382" s="11">
        <v>11</v>
      </c>
      <c r="H382" s="11">
        <v>77</v>
      </c>
      <c r="I382" s="11">
        <v>7</v>
      </c>
      <c r="J382" s="11">
        <v>1</v>
      </c>
      <c r="K382" s="11">
        <v>0</v>
      </c>
      <c r="L382" s="11" t="str" cm="1">
        <f t="array" ref="L382">IFERROR(_xlfn.XLOOKUP(C382&amp;A382, ESPN!A:A&amp;ESPN!C:C, ESPN!D:D), "N/A")</f>
        <v>N/A</v>
      </c>
      <c r="M382" s="23" t="str" cm="1">
        <f t="array" ref="M382">IFERROR(_xlfn.XLOOKUP(C382&amp;A382, ESPN!A:A&amp;ESPN!C:C, ESPN!G:G), "N/A")</f>
        <v>N/A</v>
      </c>
      <c r="N382" s="23" t="str" cm="1">
        <f t="array" ref="N382">IFERROR(_xlfn.XLOOKUP(C382&amp;A382, ESPN!A:A&amp;ESPN!C:C, ESPN!H:H), "N/A")</f>
        <v>N/A</v>
      </c>
      <c r="O382" s="26" t="str" cm="1">
        <f t="array" ref="O382">IFERROR(_xlfn.XLOOKUP(C382&amp;A382, ESPN!A:A&amp;ESPN!C:C, ESPN!I:I), "N/A")</f>
        <v>N/A</v>
      </c>
      <c r="P382" s="26" t="str" cm="1">
        <f t="array" ref="P382">IFERROR(_xlfn.XLOOKUP(C382&amp;A382, ESPN!A:A&amp;ESPN!C:C, ESPN!J:J), "N/A")</f>
        <v>N/A</v>
      </c>
      <c r="Q382" s="26" t="str" cm="1">
        <f t="array" ref="Q382">IFERROR(_xlfn.XLOOKUP(C382&amp;A382, ESPN!A:A&amp;ESPN!C:C, ESPN!K:K), "N/A")</f>
        <v>N/A</v>
      </c>
    </row>
    <row r="383" spans="1:17" x14ac:dyDescent="0.45">
      <c r="A383" s="7">
        <v>2023</v>
      </c>
      <c r="B383" s="3" t="s">
        <v>107</v>
      </c>
      <c r="C383" s="4" t="str">
        <f t="shared" si="10"/>
        <v>Ty Chandler</v>
      </c>
      <c r="D383" s="4" t="str">
        <f t="shared" si="11"/>
        <v>MIN</v>
      </c>
      <c r="E383" s="4">
        <v>16</v>
      </c>
      <c r="F383" s="12">
        <v>25</v>
      </c>
      <c r="G383" s="11">
        <v>21</v>
      </c>
      <c r="H383" s="11">
        <v>159</v>
      </c>
      <c r="I383" s="11">
        <v>7.6</v>
      </c>
      <c r="J383" s="11">
        <v>0</v>
      </c>
      <c r="K383" s="11">
        <v>0</v>
      </c>
      <c r="L383" s="11" t="str" cm="1">
        <f t="array" ref="L383">IFERROR(_xlfn.XLOOKUP(C383&amp;A383, ESPN!A:A&amp;ESPN!C:C, ESPN!D:D), "N/A")</f>
        <v>N/A</v>
      </c>
      <c r="M383" s="23" t="str" cm="1">
        <f t="array" ref="M383">IFERROR(_xlfn.XLOOKUP(C383&amp;A383, ESPN!A:A&amp;ESPN!C:C, ESPN!G:G), "N/A")</f>
        <v>N/A</v>
      </c>
      <c r="N383" s="23" t="str" cm="1">
        <f t="array" ref="N383">IFERROR(_xlfn.XLOOKUP(C383&amp;A383, ESPN!A:A&amp;ESPN!C:C, ESPN!H:H), "N/A")</f>
        <v>N/A</v>
      </c>
      <c r="O383" s="26" t="str" cm="1">
        <f t="array" ref="O383">IFERROR(_xlfn.XLOOKUP(C383&amp;A383, ESPN!A:A&amp;ESPN!C:C, ESPN!I:I), "N/A")</f>
        <v>N/A</v>
      </c>
      <c r="P383" s="26" t="str" cm="1">
        <f t="array" ref="P383">IFERROR(_xlfn.XLOOKUP(C383&amp;A383, ESPN!A:A&amp;ESPN!C:C, ESPN!J:J), "N/A")</f>
        <v>N/A</v>
      </c>
      <c r="Q383" s="26" t="str" cm="1">
        <f t="array" ref="Q383">IFERROR(_xlfn.XLOOKUP(C383&amp;A383, ESPN!A:A&amp;ESPN!C:C, ESPN!K:K), "N/A")</f>
        <v>N/A</v>
      </c>
    </row>
    <row r="384" spans="1:17" x14ac:dyDescent="0.45">
      <c r="A384" s="6">
        <v>2023</v>
      </c>
      <c r="B384" s="1" t="s">
        <v>269</v>
      </c>
      <c r="C384" s="2" t="str">
        <f t="shared" si="10"/>
        <v>Antonio Gibson</v>
      </c>
      <c r="D384" s="2" t="str">
        <f t="shared" si="11"/>
        <v>WAS</v>
      </c>
      <c r="E384" s="2">
        <v>16</v>
      </c>
      <c r="F384" s="12">
        <v>59</v>
      </c>
      <c r="G384" s="11">
        <v>48</v>
      </c>
      <c r="H384" s="11">
        <v>389</v>
      </c>
      <c r="I384" s="11">
        <v>8.1</v>
      </c>
      <c r="J384" s="11">
        <v>2</v>
      </c>
      <c r="K384" s="11">
        <v>2</v>
      </c>
      <c r="L384" s="11" cm="1">
        <f t="array" ref="L384">IFERROR(_xlfn.XLOOKUP(C384&amp;A384, ESPN!A:A&amp;ESPN!C:C, ESPN!D:D), "N/A")</f>
        <v>280</v>
      </c>
      <c r="M384" s="23" cm="1">
        <f t="array" ref="M384">IFERROR(_xlfn.XLOOKUP(C384&amp;A384, ESPN!A:A&amp;ESPN!C:C, ESPN!G:G), "N/A")</f>
        <v>1.39</v>
      </c>
      <c r="N384" s="23" cm="1">
        <f t="array" ref="N384">IFERROR(_xlfn.XLOOKUP(C384&amp;A384, ESPN!A:A&amp;ESPN!C:C, ESPN!H:H), "N/A")</f>
        <v>38</v>
      </c>
      <c r="O384" s="26" cm="1">
        <f t="array" ref="O384">IFERROR(_xlfn.XLOOKUP(C384&amp;A384, ESPN!A:A&amp;ESPN!C:C, ESPN!I:I), "N/A")</f>
        <v>84</v>
      </c>
      <c r="P384" s="26" cm="1">
        <f t="array" ref="P384">IFERROR(_xlfn.XLOOKUP(C384&amp;A384, ESPN!A:A&amp;ESPN!C:C, ESPN!J:J), "N/A")</f>
        <v>48</v>
      </c>
      <c r="Q384" s="26" cm="1">
        <f t="array" ref="Q384">IFERROR(_xlfn.XLOOKUP(C384&amp;A384, ESPN!A:A&amp;ESPN!C:C, ESPN!K:K), "N/A")</f>
        <v>60</v>
      </c>
    </row>
    <row r="385" spans="1:17" x14ac:dyDescent="0.45">
      <c r="A385" s="7">
        <v>2023</v>
      </c>
      <c r="B385" s="3" t="s">
        <v>74</v>
      </c>
      <c r="C385" s="4" t="str">
        <f t="shared" si="10"/>
        <v>Jaleel McLaughlin</v>
      </c>
      <c r="D385" s="4" t="str">
        <f t="shared" si="11"/>
        <v>DEN</v>
      </c>
      <c r="E385" s="4">
        <v>17</v>
      </c>
      <c r="F385" s="12">
        <v>36</v>
      </c>
      <c r="G385" s="11">
        <v>31</v>
      </c>
      <c r="H385" s="11">
        <v>160</v>
      </c>
      <c r="I385" s="11">
        <v>5.2</v>
      </c>
      <c r="J385" s="11">
        <v>2</v>
      </c>
      <c r="K385" s="11">
        <v>0</v>
      </c>
      <c r="L385" s="11" cm="1">
        <f t="array" ref="L385">IFERROR(_xlfn.XLOOKUP(C385&amp;A385, ESPN!A:A&amp;ESPN!C:C, ESPN!D:D), "N/A")</f>
        <v>72</v>
      </c>
      <c r="M385" s="23" cm="1">
        <f t="array" ref="M385">IFERROR(_xlfn.XLOOKUP(C385&amp;A385, ESPN!A:A&amp;ESPN!C:C, ESPN!G:G), "N/A")</f>
        <v>2.2200000000000002</v>
      </c>
      <c r="N385" s="23" cm="1">
        <f t="array" ref="N385">IFERROR(_xlfn.XLOOKUP(C385&amp;A385, ESPN!A:A&amp;ESPN!C:C, ESPN!H:H), "N/A")</f>
        <v>48</v>
      </c>
      <c r="O385" s="26" cm="1">
        <f t="array" ref="O385">IFERROR(_xlfn.XLOOKUP(C385&amp;A385, ESPN!A:A&amp;ESPN!C:C, ESPN!I:I), "N/A")</f>
        <v>49</v>
      </c>
      <c r="P385" s="26" cm="1">
        <f t="array" ref="P385">IFERROR(_xlfn.XLOOKUP(C385&amp;A385, ESPN!A:A&amp;ESPN!C:C, ESPN!J:J), "N/A")</f>
        <v>59</v>
      </c>
      <c r="Q385" s="26" cm="1">
        <f t="array" ref="Q385">IFERROR(_xlfn.XLOOKUP(C385&amp;A385, ESPN!A:A&amp;ESPN!C:C, ESPN!K:K), "N/A")</f>
        <v>56</v>
      </c>
    </row>
    <row r="386" spans="1:17" x14ac:dyDescent="0.45">
      <c r="A386" s="6">
        <v>2023</v>
      </c>
      <c r="B386" s="1" t="s">
        <v>180</v>
      </c>
      <c r="C386" s="2" t="str">
        <f t="shared" ref="C386:C449" si="12">TRIM(LEFT(B386, LEN(B386) - LEN(TRIM(RIGHT(SUBSTITUTE(TRIM(B386)," ",REPT(" ",100)),100)))))</f>
        <v>Rico Dowdle</v>
      </c>
      <c r="D386" s="2" t="str">
        <f t="shared" ref="D386:D449" si="13">MID(B386, FIND("(", B386) + 1, FIND(")", B386) - FIND("(", B386) - 1)</f>
        <v>DAL</v>
      </c>
      <c r="E386" s="2">
        <v>16</v>
      </c>
      <c r="F386" s="12">
        <v>22</v>
      </c>
      <c r="G386" s="11">
        <v>17</v>
      </c>
      <c r="H386" s="11">
        <v>144</v>
      </c>
      <c r="I386" s="11">
        <v>8.5</v>
      </c>
      <c r="J386" s="11">
        <v>2</v>
      </c>
      <c r="K386" s="11">
        <v>0</v>
      </c>
      <c r="L386" s="11" t="str" cm="1">
        <f t="array" ref="L386">IFERROR(_xlfn.XLOOKUP(C386&amp;A386, ESPN!A:A&amp;ESPN!C:C, ESPN!D:D), "N/A")</f>
        <v>N/A</v>
      </c>
      <c r="M386" s="23" t="str" cm="1">
        <f t="array" ref="M386">IFERROR(_xlfn.XLOOKUP(C386&amp;A386, ESPN!A:A&amp;ESPN!C:C, ESPN!G:G), "N/A")</f>
        <v>N/A</v>
      </c>
      <c r="N386" s="23" t="str" cm="1">
        <f t="array" ref="N386">IFERROR(_xlfn.XLOOKUP(C386&amp;A386, ESPN!A:A&amp;ESPN!C:C, ESPN!H:H), "N/A")</f>
        <v>N/A</v>
      </c>
      <c r="O386" s="26" t="str" cm="1">
        <f t="array" ref="O386">IFERROR(_xlfn.XLOOKUP(C386&amp;A386, ESPN!A:A&amp;ESPN!C:C, ESPN!I:I), "N/A")</f>
        <v>N/A</v>
      </c>
      <c r="P386" s="26" t="str" cm="1">
        <f t="array" ref="P386">IFERROR(_xlfn.XLOOKUP(C386&amp;A386, ESPN!A:A&amp;ESPN!C:C, ESPN!J:J), "N/A")</f>
        <v>N/A</v>
      </c>
      <c r="Q386" s="26" t="str" cm="1">
        <f t="array" ref="Q386">IFERROR(_xlfn.XLOOKUP(C386&amp;A386, ESPN!A:A&amp;ESPN!C:C, ESPN!K:K), "N/A")</f>
        <v>N/A</v>
      </c>
    </row>
    <row r="387" spans="1:17" x14ac:dyDescent="0.45">
      <c r="A387" s="7">
        <v>2023</v>
      </c>
      <c r="B387" s="3" t="s">
        <v>32</v>
      </c>
      <c r="C387" s="4" t="str">
        <f t="shared" si="12"/>
        <v>Zach Charbonnet</v>
      </c>
      <c r="D387" s="4" t="str">
        <f t="shared" si="13"/>
        <v>SEA</v>
      </c>
      <c r="E387" s="4">
        <v>16</v>
      </c>
      <c r="F387" s="12">
        <v>40</v>
      </c>
      <c r="G387" s="11">
        <v>33</v>
      </c>
      <c r="H387" s="11">
        <v>209</v>
      </c>
      <c r="I387" s="11">
        <v>6.3</v>
      </c>
      <c r="J387" s="11">
        <v>0</v>
      </c>
      <c r="K387" s="11">
        <v>0</v>
      </c>
      <c r="L387" s="11" cm="1">
        <f t="array" ref="L387">IFERROR(_xlfn.XLOOKUP(C387&amp;A387, ESPN!A:A&amp;ESPN!C:C, ESPN!D:D), "N/A")</f>
        <v>230</v>
      </c>
      <c r="M387" s="23" cm="1">
        <f t="array" ref="M387">IFERROR(_xlfn.XLOOKUP(C387&amp;A387, ESPN!A:A&amp;ESPN!C:C, ESPN!G:G), "N/A")</f>
        <v>0.91</v>
      </c>
      <c r="N387" s="23" cm="1">
        <f t="array" ref="N387">IFERROR(_xlfn.XLOOKUP(C387&amp;A387, ESPN!A:A&amp;ESPN!C:C, ESPN!H:H), "N/A")</f>
        <v>72</v>
      </c>
      <c r="O387" s="26" cm="1">
        <f t="array" ref="O387">IFERROR(_xlfn.XLOOKUP(C387&amp;A387, ESPN!A:A&amp;ESPN!C:C, ESPN!I:I), "N/A")</f>
        <v>53</v>
      </c>
      <c r="P387" s="26" cm="1">
        <f t="array" ref="P387">IFERROR(_xlfn.XLOOKUP(C387&amp;A387, ESPN!A:A&amp;ESPN!C:C, ESPN!J:J), "N/A")</f>
        <v>53</v>
      </c>
      <c r="Q387" s="26" cm="1">
        <f t="array" ref="Q387">IFERROR(_xlfn.XLOOKUP(C387&amp;A387, ESPN!A:A&amp;ESPN!C:C, ESPN!K:K), "N/A")</f>
        <v>62</v>
      </c>
    </row>
    <row r="388" spans="1:17" x14ac:dyDescent="0.45">
      <c r="A388" s="6">
        <v>2023</v>
      </c>
      <c r="B388" s="1" t="s">
        <v>270</v>
      </c>
      <c r="C388" s="2" t="str">
        <f t="shared" si="12"/>
        <v>Samaje Perine</v>
      </c>
      <c r="D388" s="2" t="str">
        <f t="shared" si="13"/>
        <v>DEN</v>
      </c>
      <c r="E388" s="2">
        <v>17</v>
      </c>
      <c r="F388" s="12">
        <v>56</v>
      </c>
      <c r="G388" s="11">
        <v>50</v>
      </c>
      <c r="H388" s="11">
        <v>455</v>
      </c>
      <c r="I388" s="11">
        <v>9.1</v>
      </c>
      <c r="J388" s="11">
        <v>0</v>
      </c>
      <c r="K388" s="11">
        <v>2</v>
      </c>
      <c r="L388" s="11" cm="1">
        <f t="array" ref="L388">IFERROR(_xlfn.XLOOKUP(C388&amp;A388, ESPN!A:A&amp;ESPN!C:C, ESPN!D:D), "N/A")</f>
        <v>197</v>
      </c>
      <c r="M388" s="23" cm="1">
        <f t="array" ref="M388">IFERROR(_xlfn.XLOOKUP(C388&amp;A388, ESPN!A:A&amp;ESPN!C:C, ESPN!G:G), "N/A")</f>
        <v>2.31</v>
      </c>
      <c r="N388" s="23" cm="1">
        <f t="array" ref="N388">IFERROR(_xlfn.XLOOKUP(C388&amp;A388, ESPN!A:A&amp;ESPN!C:C, ESPN!H:H), "N/A")</f>
        <v>66</v>
      </c>
      <c r="O388" s="26" cm="1">
        <f t="array" ref="O388">IFERROR(_xlfn.XLOOKUP(C388&amp;A388, ESPN!A:A&amp;ESPN!C:C, ESPN!I:I), "N/A")</f>
        <v>83</v>
      </c>
      <c r="P388" s="26" cm="1">
        <f t="array" ref="P388">IFERROR(_xlfn.XLOOKUP(C388&amp;A388, ESPN!A:A&amp;ESPN!C:C, ESPN!J:J), "N/A")</f>
        <v>68</v>
      </c>
      <c r="Q388" s="26" cm="1">
        <f t="array" ref="Q388">IFERROR(_xlfn.XLOOKUP(C388&amp;A388, ESPN!A:A&amp;ESPN!C:C, ESPN!K:K), "N/A")</f>
        <v>87</v>
      </c>
    </row>
    <row r="389" spans="1:17" x14ac:dyDescent="0.45">
      <c r="A389" s="7">
        <v>2023</v>
      </c>
      <c r="B389" s="3" t="s">
        <v>197</v>
      </c>
      <c r="C389" s="4" t="str">
        <f t="shared" si="12"/>
        <v>Dameon Pierce</v>
      </c>
      <c r="D389" s="4" t="str">
        <f t="shared" si="13"/>
        <v>HOU</v>
      </c>
      <c r="E389" s="4">
        <v>14</v>
      </c>
      <c r="F389" s="12">
        <v>17</v>
      </c>
      <c r="G389" s="11">
        <v>13</v>
      </c>
      <c r="H389" s="11">
        <v>101</v>
      </c>
      <c r="I389" s="11">
        <v>7.8</v>
      </c>
      <c r="J389" s="11">
        <v>0</v>
      </c>
      <c r="K389" s="11">
        <v>0</v>
      </c>
      <c r="L389" s="11" t="str" cm="1">
        <f t="array" ref="L389">IFERROR(_xlfn.XLOOKUP(C389&amp;A389, ESPN!A:A&amp;ESPN!C:C, ESPN!D:D), "N/A")</f>
        <v>N/A</v>
      </c>
      <c r="M389" s="23" t="str" cm="1">
        <f t="array" ref="M389">IFERROR(_xlfn.XLOOKUP(C389&amp;A389, ESPN!A:A&amp;ESPN!C:C, ESPN!G:G), "N/A")</f>
        <v>N/A</v>
      </c>
      <c r="N389" s="23" t="str" cm="1">
        <f t="array" ref="N389">IFERROR(_xlfn.XLOOKUP(C389&amp;A389, ESPN!A:A&amp;ESPN!C:C, ESPN!H:H), "N/A")</f>
        <v>N/A</v>
      </c>
      <c r="O389" s="26" t="str" cm="1">
        <f t="array" ref="O389">IFERROR(_xlfn.XLOOKUP(C389&amp;A389, ESPN!A:A&amp;ESPN!C:C, ESPN!I:I), "N/A")</f>
        <v>N/A</v>
      </c>
      <c r="P389" s="26" t="str" cm="1">
        <f t="array" ref="P389">IFERROR(_xlfn.XLOOKUP(C389&amp;A389, ESPN!A:A&amp;ESPN!C:C, ESPN!J:J), "N/A")</f>
        <v>N/A</v>
      </c>
      <c r="Q389" s="26" t="str" cm="1">
        <f t="array" ref="Q389">IFERROR(_xlfn.XLOOKUP(C389&amp;A389, ESPN!A:A&amp;ESPN!C:C, ESPN!K:K), "N/A")</f>
        <v>N/A</v>
      </c>
    </row>
    <row r="390" spans="1:17" x14ac:dyDescent="0.45">
      <c r="A390" s="6">
        <v>2023</v>
      </c>
      <c r="B390" s="1" t="s">
        <v>129</v>
      </c>
      <c r="C390" s="2" t="str">
        <f t="shared" si="12"/>
        <v>Roschon Johnson</v>
      </c>
      <c r="D390" s="2" t="str">
        <f t="shared" si="13"/>
        <v>CHI</v>
      </c>
      <c r="E390" s="2">
        <v>15</v>
      </c>
      <c r="F390" s="12">
        <v>40</v>
      </c>
      <c r="G390" s="11">
        <v>34</v>
      </c>
      <c r="H390" s="11">
        <v>209</v>
      </c>
      <c r="I390" s="11">
        <v>6.1</v>
      </c>
      <c r="J390" s="11">
        <v>0</v>
      </c>
      <c r="K390" s="11">
        <v>0</v>
      </c>
      <c r="L390" s="11" cm="1">
        <f t="array" ref="L390">IFERROR(_xlfn.XLOOKUP(C390&amp;A390, ESPN!A:A&amp;ESPN!C:C, ESPN!D:D), "N/A")</f>
        <v>158</v>
      </c>
      <c r="M390" s="23" cm="1">
        <f t="array" ref="M390">IFERROR(_xlfn.XLOOKUP(C390&amp;A390, ESPN!A:A&amp;ESPN!C:C, ESPN!G:G), "N/A")</f>
        <v>1.32</v>
      </c>
      <c r="N390" s="23" cm="1">
        <f t="array" ref="N390">IFERROR(_xlfn.XLOOKUP(C390&amp;A390, ESPN!A:A&amp;ESPN!C:C, ESPN!H:H), "N/A")</f>
        <v>69</v>
      </c>
      <c r="O390" s="26" cm="1">
        <f t="array" ref="O390">IFERROR(_xlfn.XLOOKUP(C390&amp;A390, ESPN!A:A&amp;ESPN!C:C, ESPN!I:I), "N/A")</f>
        <v>73</v>
      </c>
      <c r="P390" s="26" cm="1">
        <f t="array" ref="P390">IFERROR(_xlfn.XLOOKUP(C390&amp;A390, ESPN!A:A&amp;ESPN!C:C, ESPN!J:J), "N/A")</f>
        <v>20</v>
      </c>
      <c r="Q390" s="26" cm="1">
        <f t="array" ref="Q390">IFERROR(_xlfn.XLOOKUP(C390&amp;A390, ESPN!A:A&amp;ESPN!C:C, ESPN!K:K), "N/A")</f>
        <v>43</v>
      </c>
    </row>
    <row r="391" spans="1:17" x14ac:dyDescent="0.45">
      <c r="A391" s="7">
        <v>2023</v>
      </c>
      <c r="B391" s="3" t="s">
        <v>194</v>
      </c>
      <c r="C391" s="4" t="str">
        <f t="shared" si="12"/>
        <v>Kenny Gainwell</v>
      </c>
      <c r="D391" s="4" t="str">
        <f t="shared" si="13"/>
        <v>PHI</v>
      </c>
      <c r="E391" s="4">
        <v>16</v>
      </c>
      <c r="F391" s="12">
        <v>37</v>
      </c>
      <c r="G391" s="11">
        <v>30</v>
      </c>
      <c r="H391" s="11">
        <v>183</v>
      </c>
      <c r="I391" s="11">
        <v>6.1</v>
      </c>
      <c r="J391" s="11">
        <v>0</v>
      </c>
      <c r="K391" s="11">
        <v>1</v>
      </c>
      <c r="L391" s="11" cm="1">
        <f t="array" ref="L391">IFERROR(_xlfn.XLOOKUP(C391&amp;A391, ESPN!A:A&amp;ESPN!C:C, ESPN!D:D), "N/A")</f>
        <v>213</v>
      </c>
      <c r="M391" s="23" cm="1">
        <f t="array" ref="M391">IFERROR(_xlfn.XLOOKUP(C391&amp;A391, ESPN!A:A&amp;ESPN!C:C, ESPN!G:G), "N/A")</f>
        <v>0.91</v>
      </c>
      <c r="N391" s="23" cm="1">
        <f t="array" ref="N391">IFERROR(_xlfn.XLOOKUP(C391&amp;A391, ESPN!A:A&amp;ESPN!C:C, ESPN!H:H), "N/A")</f>
        <v>67</v>
      </c>
      <c r="O391" s="26" cm="1">
        <f t="array" ref="O391">IFERROR(_xlfn.XLOOKUP(C391&amp;A391, ESPN!A:A&amp;ESPN!C:C, ESPN!I:I), "N/A")</f>
        <v>78</v>
      </c>
      <c r="P391" s="26" cm="1">
        <f t="array" ref="P391">IFERROR(_xlfn.XLOOKUP(C391&amp;A391, ESPN!A:A&amp;ESPN!C:C, ESPN!J:J), "N/A")</f>
        <v>23</v>
      </c>
      <c r="Q391" s="26" cm="1">
        <f t="array" ref="Q391">IFERROR(_xlfn.XLOOKUP(C391&amp;A391, ESPN!A:A&amp;ESPN!C:C, ESPN!K:K), "N/A")</f>
        <v>47</v>
      </c>
    </row>
    <row r="392" spans="1:17" x14ac:dyDescent="0.45">
      <c r="A392" s="6">
        <v>2023</v>
      </c>
      <c r="B392" s="1" t="s">
        <v>271</v>
      </c>
      <c r="C392" s="2" t="str">
        <f t="shared" si="12"/>
        <v>Latavius Murray</v>
      </c>
      <c r="D392" s="2" t="str">
        <f t="shared" si="13"/>
        <v>BUF</v>
      </c>
      <c r="E392" s="2">
        <v>15</v>
      </c>
      <c r="F392" s="12">
        <v>22</v>
      </c>
      <c r="G392" s="11">
        <v>17</v>
      </c>
      <c r="H392" s="11">
        <v>119</v>
      </c>
      <c r="I392" s="11">
        <v>7</v>
      </c>
      <c r="J392" s="11">
        <v>0</v>
      </c>
      <c r="K392" s="11">
        <v>0</v>
      </c>
      <c r="L392" s="11" cm="1">
        <f t="array" ref="L392">IFERROR(_xlfn.XLOOKUP(C392&amp;A392, ESPN!A:A&amp;ESPN!C:C, ESPN!D:D), "N/A")</f>
        <v>179</v>
      </c>
      <c r="M392" s="23" cm="1">
        <f t="array" ref="M392">IFERROR(_xlfn.XLOOKUP(C392&amp;A392, ESPN!A:A&amp;ESPN!C:C, ESPN!G:G), "N/A")</f>
        <v>0.89</v>
      </c>
      <c r="N392" s="23" cm="1">
        <f t="array" ref="N392">IFERROR(_xlfn.XLOOKUP(C392&amp;A392, ESPN!A:A&amp;ESPN!C:C, ESPN!H:H), "N/A")</f>
        <v>62</v>
      </c>
      <c r="O392" s="26" cm="1">
        <f t="array" ref="O392">IFERROR(_xlfn.XLOOKUP(C392&amp;A392, ESPN!A:A&amp;ESPN!C:C, ESPN!I:I), "N/A")</f>
        <v>63</v>
      </c>
      <c r="P392" s="26" cm="1">
        <f t="array" ref="P392">IFERROR(_xlfn.XLOOKUP(C392&amp;A392, ESPN!A:A&amp;ESPN!C:C, ESPN!J:J), "N/A")</f>
        <v>31</v>
      </c>
      <c r="Q392" s="26" cm="1">
        <f t="array" ref="Q392">IFERROR(_xlfn.XLOOKUP(C392&amp;A392, ESPN!A:A&amp;ESPN!C:C, ESPN!K:K), "N/A")</f>
        <v>45</v>
      </c>
    </row>
    <row r="393" spans="1:17" x14ac:dyDescent="0.45">
      <c r="A393" s="7">
        <v>2023</v>
      </c>
      <c r="B393" s="3" t="s">
        <v>56</v>
      </c>
      <c r="C393" s="4" t="str">
        <f t="shared" si="12"/>
        <v>Keaton Mitchell</v>
      </c>
      <c r="D393" s="4" t="str">
        <f t="shared" si="13"/>
        <v>BAL</v>
      </c>
      <c r="E393" s="4">
        <v>7</v>
      </c>
      <c r="F393" s="12">
        <v>11</v>
      </c>
      <c r="G393" s="11">
        <v>9</v>
      </c>
      <c r="H393" s="11">
        <v>93</v>
      </c>
      <c r="I393" s="11">
        <v>10.3</v>
      </c>
      <c r="J393" s="11">
        <v>0</v>
      </c>
      <c r="K393" s="11">
        <v>0</v>
      </c>
      <c r="L393" s="11" t="str" cm="1">
        <f t="array" ref="L393">IFERROR(_xlfn.XLOOKUP(C393&amp;A393, ESPN!A:A&amp;ESPN!C:C, ESPN!D:D), "N/A")</f>
        <v>N/A</v>
      </c>
      <c r="M393" s="23" t="str" cm="1">
        <f t="array" ref="M393">IFERROR(_xlfn.XLOOKUP(C393&amp;A393, ESPN!A:A&amp;ESPN!C:C, ESPN!G:G), "N/A")</f>
        <v>N/A</v>
      </c>
      <c r="N393" s="23" t="str" cm="1">
        <f t="array" ref="N393">IFERROR(_xlfn.XLOOKUP(C393&amp;A393, ESPN!A:A&amp;ESPN!C:C, ESPN!H:H), "N/A")</f>
        <v>N/A</v>
      </c>
      <c r="O393" s="26" t="str" cm="1">
        <f t="array" ref="O393">IFERROR(_xlfn.XLOOKUP(C393&amp;A393, ESPN!A:A&amp;ESPN!C:C, ESPN!I:I), "N/A")</f>
        <v>N/A</v>
      </c>
      <c r="P393" s="26" t="str" cm="1">
        <f t="array" ref="P393">IFERROR(_xlfn.XLOOKUP(C393&amp;A393, ESPN!A:A&amp;ESPN!C:C, ESPN!J:J), "N/A")</f>
        <v>N/A</v>
      </c>
      <c r="Q393" s="26" t="str" cm="1">
        <f t="array" ref="Q393">IFERROR(_xlfn.XLOOKUP(C393&amp;A393, ESPN!A:A&amp;ESPN!C:C, ESPN!K:K), "N/A")</f>
        <v>N/A</v>
      </c>
    </row>
    <row r="394" spans="1:17" x14ac:dyDescent="0.45">
      <c r="A394" s="6">
        <v>2023</v>
      </c>
      <c r="B394" s="1" t="s">
        <v>192</v>
      </c>
      <c r="C394" s="2" t="str">
        <f t="shared" si="12"/>
        <v>Miles Sanders</v>
      </c>
      <c r="D394" s="2" t="str">
        <f t="shared" si="13"/>
        <v>CAR</v>
      </c>
      <c r="E394" s="2">
        <v>16</v>
      </c>
      <c r="F394" s="12">
        <v>41</v>
      </c>
      <c r="G394" s="11">
        <v>27</v>
      </c>
      <c r="H394" s="11">
        <v>154</v>
      </c>
      <c r="I394" s="11">
        <v>5.7</v>
      </c>
      <c r="J394" s="11">
        <v>0</v>
      </c>
      <c r="K394" s="11">
        <v>2</v>
      </c>
      <c r="L394" s="11" cm="1">
        <f t="array" ref="L394">IFERROR(_xlfn.XLOOKUP(C394&amp;A394, ESPN!A:A&amp;ESPN!C:C, ESPN!D:D), "N/A")</f>
        <v>184</v>
      </c>
      <c r="M394" s="23" cm="1">
        <f t="array" ref="M394">IFERROR(_xlfn.XLOOKUP(C394&amp;A394, ESPN!A:A&amp;ESPN!C:C, ESPN!G:G), "N/A")</f>
        <v>0.84</v>
      </c>
      <c r="N394" s="23" cm="1">
        <f t="array" ref="N394">IFERROR(_xlfn.XLOOKUP(C394&amp;A394, ESPN!A:A&amp;ESPN!C:C, ESPN!H:H), "N/A")</f>
        <v>47</v>
      </c>
      <c r="O394" s="26" cm="1">
        <f t="array" ref="O394">IFERROR(_xlfn.XLOOKUP(C394&amp;A394, ESPN!A:A&amp;ESPN!C:C, ESPN!I:I), "N/A")</f>
        <v>48</v>
      </c>
      <c r="P394" s="26" cm="1">
        <f t="array" ref="P394">IFERROR(_xlfn.XLOOKUP(C394&amp;A394, ESPN!A:A&amp;ESPN!C:C, ESPN!J:J), "N/A")</f>
        <v>23</v>
      </c>
      <c r="Q394" s="26" cm="1">
        <f t="array" ref="Q394">IFERROR(_xlfn.XLOOKUP(C394&amp;A394, ESPN!A:A&amp;ESPN!C:C, ESPN!K:K), "N/A")</f>
        <v>25</v>
      </c>
    </row>
    <row r="395" spans="1:17" x14ac:dyDescent="0.45">
      <c r="A395" s="7">
        <v>2023</v>
      </c>
      <c r="B395" s="3" t="s">
        <v>272</v>
      </c>
      <c r="C395" s="4" t="str">
        <f t="shared" si="12"/>
        <v>Jerick McKinnon</v>
      </c>
      <c r="D395" s="4" t="str">
        <f t="shared" si="13"/>
        <v>KC</v>
      </c>
      <c r="E395" s="4">
        <v>12</v>
      </c>
      <c r="F395" s="12">
        <v>32</v>
      </c>
      <c r="G395" s="11">
        <v>25</v>
      </c>
      <c r="H395" s="11">
        <v>192</v>
      </c>
      <c r="I395" s="11">
        <v>7.7</v>
      </c>
      <c r="J395" s="11">
        <v>4</v>
      </c>
      <c r="K395" s="11">
        <v>0</v>
      </c>
      <c r="L395" s="11" cm="1">
        <f t="array" ref="L395">IFERROR(_xlfn.XLOOKUP(C395&amp;A395, ESPN!A:A&amp;ESPN!C:C, ESPN!D:D), "N/A")</f>
        <v>159</v>
      </c>
      <c r="M395" s="23" cm="1">
        <f t="array" ref="M395">IFERROR(_xlfn.XLOOKUP(C395&amp;A395, ESPN!A:A&amp;ESPN!C:C, ESPN!G:G), "N/A")</f>
        <v>1.3</v>
      </c>
      <c r="N395" s="23" cm="1">
        <f t="array" ref="N395">IFERROR(_xlfn.XLOOKUP(C395&amp;A395, ESPN!A:A&amp;ESPN!C:C, ESPN!H:H), "N/A")</f>
        <v>61</v>
      </c>
      <c r="O395" s="26" cm="1">
        <f t="array" ref="O395">IFERROR(_xlfn.XLOOKUP(C395&amp;A395, ESPN!A:A&amp;ESPN!C:C, ESPN!I:I), "N/A")</f>
        <v>49</v>
      </c>
      <c r="P395" s="26" cm="1">
        <f t="array" ref="P395">IFERROR(_xlfn.XLOOKUP(C395&amp;A395, ESPN!A:A&amp;ESPN!C:C, ESPN!J:J), "N/A")</f>
        <v>27</v>
      </c>
      <c r="Q395" s="26" cm="1">
        <f t="array" ref="Q395">IFERROR(_xlfn.XLOOKUP(C395&amp;A395, ESPN!A:A&amp;ESPN!C:C, ESPN!K:K), "N/A")</f>
        <v>34</v>
      </c>
    </row>
    <row r="396" spans="1:17" x14ac:dyDescent="0.45">
      <c r="A396" s="6">
        <v>2023</v>
      </c>
      <c r="B396" s="1" t="s">
        <v>118</v>
      </c>
      <c r="C396" s="2" t="str">
        <f t="shared" si="12"/>
        <v>Zamir White</v>
      </c>
      <c r="D396" s="2" t="str">
        <f t="shared" si="13"/>
        <v>LV</v>
      </c>
      <c r="E396" s="2">
        <v>15</v>
      </c>
      <c r="F396" s="12">
        <v>19</v>
      </c>
      <c r="G396" s="11">
        <v>15</v>
      </c>
      <c r="H396" s="11">
        <v>98</v>
      </c>
      <c r="I396" s="11">
        <v>6.5</v>
      </c>
      <c r="J396" s="11">
        <v>0</v>
      </c>
      <c r="K396" s="11">
        <v>1</v>
      </c>
      <c r="L396" s="11" t="str" cm="1">
        <f t="array" ref="L396">IFERROR(_xlfn.XLOOKUP(C396&amp;A396, ESPN!A:A&amp;ESPN!C:C, ESPN!D:D), "N/A")</f>
        <v>N/A</v>
      </c>
      <c r="M396" s="23" t="str" cm="1">
        <f t="array" ref="M396">IFERROR(_xlfn.XLOOKUP(C396&amp;A396, ESPN!A:A&amp;ESPN!C:C, ESPN!G:G), "N/A")</f>
        <v>N/A</v>
      </c>
      <c r="N396" s="23" t="str" cm="1">
        <f t="array" ref="N396">IFERROR(_xlfn.XLOOKUP(C396&amp;A396, ESPN!A:A&amp;ESPN!C:C, ESPN!H:H), "N/A")</f>
        <v>N/A</v>
      </c>
      <c r="O396" s="26" t="str" cm="1">
        <f t="array" ref="O396">IFERROR(_xlfn.XLOOKUP(C396&amp;A396, ESPN!A:A&amp;ESPN!C:C, ESPN!I:I), "N/A")</f>
        <v>N/A</v>
      </c>
      <c r="P396" s="26" t="str" cm="1">
        <f t="array" ref="P396">IFERROR(_xlfn.XLOOKUP(C396&amp;A396, ESPN!A:A&amp;ESPN!C:C, ESPN!J:J), "N/A")</f>
        <v>N/A</v>
      </c>
      <c r="Q396" s="26" t="str" cm="1">
        <f t="array" ref="Q396">IFERROR(_xlfn.XLOOKUP(C396&amp;A396, ESPN!A:A&amp;ESPN!C:C, ESPN!K:K), "N/A")</f>
        <v>N/A</v>
      </c>
    </row>
    <row r="397" spans="1:17" x14ac:dyDescent="0.45">
      <c r="A397" s="7">
        <v>2023</v>
      </c>
      <c r="B397" s="3" t="s">
        <v>273</v>
      </c>
      <c r="C397" s="4" t="str">
        <f t="shared" si="12"/>
        <v>Joshua Kelley</v>
      </c>
      <c r="D397" s="4" t="str">
        <f t="shared" si="13"/>
        <v>LAC</v>
      </c>
      <c r="E397" s="4">
        <v>17</v>
      </c>
      <c r="F397" s="12">
        <v>12</v>
      </c>
      <c r="G397" s="11">
        <v>8</v>
      </c>
      <c r="H397" s="11">
        <v>32</v>
      </c>
      <c r="I397" s="11">
        <v>4</v>
      </c>
      <c r="J397" s="11">
        <v>0</v>
      </c>
      <c r="K397" s="11">
        <v>1</v>
      </c>
      <c r="L397" s="11" t="str" cm="1">
        <f t="array" ref="L397">IFERROR(_xlfn.XLOOKUP(C397&amp;A397, ESPN!A:A&amp;ESPN!C:C, ESPN!D:D), "N/A")</f>
        <v>N/A</v>
      </c>
      <c r="M397" s="23" t="str" cm="1">
        <f t="array" ref="M397">IFERROR(_xlfn.XLOOKUP(C397&amp;A397, ESPN!A:A&amp;ESPN!C:C, ESPN!G:G), "N/A")</f>
        <v>N/A</v>
      </c>
      <c r="N397" s="23" t="str" cm="1">
        <f t="array" ref="N397">IFERROR(_xlfn.XLOOKUP(C397&amp;A397, ESPN!A:A&amp;ESPN!C:C, ESPN!H:H), "N/A")</f>
        <v>N/A</v>
      </c>
      <c r="O397" s="26" t="str" cm="1">
        <f t="array" ref="O397">IFERROR(_xlfn.XLOOKUP(C397&amp;A397, ESPN!A:A&amp;ESPN!C:C, ESPN!I:I), "N/A")</f>
        <v>N/A</v>
      </c>
      <c r="P397" s="26" t="str" cm="1">
        <f t="array" ref="P397">IFERROR(_xlfn.XLOOKUP(C397&amp;A397, ESPN!A:A&amp;ESPN!C:C, ESPN!J:J), "N/A")</f>
        <v>N/A</v>
      </c>
      <c r="Q397" s="26" t="str" cm="1">
        <f t="array" ref="Q397">IFERROR(_xlfn.XLOOKUP(C397&amp;A397, ESPN!A:A&amp;ESPN!C:C, ESPN!K:K), "N/A")</f>
        <v>N/A</v>
      </c>
    </row>
    <row r="398" spans="1:17" x14ac:dyDescent="0.45">
      <c r="A398" s="6">
        <v>2023</v>
      </c>
      <c r="B398" s="1" t="s">
        <v>130</v>
      </c>
      <c r="C398" s="2" t="str">
        <f t="shared" si="12"/>
        <v>Clyde Edwards-Helaire</v>
      </c>
      <c r="D398" s="2" t="str">
        <f t="shared" si="13"/>
        <v>KC</v>
      </c>
      <c r="E398" s="2">
        <v>15</v>
      </c>
      <c r="F398" s="12">
        <v>22</v>
      </c>
      <c r="G398" s="11">
        <v>17</v>
      </c>
      <c r="H398" s="11">
        <v>188</v>
      </c>
      <c r="I398" s="11">
        <v>11.1</v>
      </c>
      <c r="J398" s="11">
        <v>1</v>
      </c>
      <c r="K398" s="11">
        <v>0</v>
      </c>
      <c r="L398" s="11" t="str" cm="1">
        <f t="array" ref="L398">IFERROR(_xlfn.XLOOKUP(C398&amp;A398, ESPN!A:A&amp;ESPN!C:C, ESPN!D:D), "N/A")</f>
        <v>N/A</v>
      </c>
      <c r="M398" s="23" t="str" cm="1">
        <f t="array" ref="M398">IFERROR(_xlfn.XLOOKUP(C398&amp;A398, ESPN!A:A&amp;ESPN!C:C, ESPN!G:G), "N/A")</f>
        <v>N/A</v>
      </c>
      <c r="N398" s="23" t="str" cm="1">
        <f t="array" ref="N398">IFERROR(_xlfn.XLOOKUP(C398&amp;A398, ESPN!A:A&amp;ESPN!C:C, ESPN!H:H), "N/A")</f>
        <v>N/A</v>
      </c>
      <c r="O398" s="26" t="str" cm="1">
        <f t="array" ref="O398">IFERROR(_xlfn.XLOOKUP(C398&amp;A398, ESPN!A:A&amp;ESPN!C:C, ESPN!I:I), "N/A")</f>
        <v>N/A</v>
      </c>
      <c r="P398" s="26" t="str" cm="1">
        <f t="array" ref="P398">IFERROR(_xlfn.XLOOKUP(C398&amp;A398, ESPN!A:A&amp;ESPN!C:C, ESPN!J:J), "N/A")</f>
        <v>N/A</v>
      </c>
      <c r="Q398" s="26" t="str" cm="1">
        <f t="array" ref="Q398">IFERROR(_xlfn.XLOOKUP(C398&amp;A398, ESPN!A:A&amp;ESPN!C:C, ESPN!K:K), "N/A")</f>
        <v>N/A</v>
      </c>
    </row>
    <row r="399" spans="1:17" x14ac:dyDescent="0.45">
      <c r="A399" s="7">
        <v>2023</v>
      </c>
      <c r="B399" s="3" t="s">
        <v>59</v>
      </c>
      <c r="C399" s="4" t="str">
        <f t="shared" si="12"/>
        <v>Emari Demercado</v>
      </c>
      <c r="D399" s="4" t="str">
        <f t="shared" si="13"/>
        <v>ARI</v>
      </c>
      <c r="E399" s="4">
        <v>14</v>
      </c>
      <c r="F399" s="12">
        <v>30</v>
      </c>
      <c r="G399" s="11">
        <v>21</v>
      </c>
      <c r="H399" s="11">
        <v>119</v>
      </c>
      <c r="I399" s="11">
        <v>5.7</v>
      </c>
      <c r="J399" s="11">
        <v>0</v>
      </c>
      <c r="K399" s="11">
        <v>0</v>
      </c>
      <c r="L399" s="11" cm="1">
        <f t="array" ref="L399">IFERROR(_xlfn.XLOOKUP(C399&amp;A399, ESPN!A:A&amp;ESPN!C:C, ESPN!D:D), "N/A")</f>
        <v>143</v>
      </c>
      <c r="M399" s="23" cm="1">
        <f t="array" ref="M399">IFERROR(_xlfn.XLOOKUP(C399&amp;A399, ESPN!A:A&amp;ESPN!C:C, ESPN!G:G), "N/A")</f>
        <v>0.83</v>
      </c>
      <c r="N399" s="23" cm="1">
        <f t="array" ref="N399">IFERROR(_xlfn.XLOOKUP(C399&amp;A399, ESPN!A:A&amp;ESPN!C:C, ESPN!H:H), "N/A")</f>
        <v>28</v>
      </c>
      <c r="O399" s="26" cm="1">
        <f t="array" ref="O399">IFERROR(_xlfn.XLOOKUP(C399&amp;A399, ESPN!A:A&amp;ESPN!C:C, ESPN!I:I), "N/A")</f>
        <v>40</v>
      </c>
      <c r="P399" s="26" cm="1">
        <f t="array" ref="P399">IFERROR(_xlfn.XLOOKUP(C399&amp;A399, ESPN!A:A&amp;ESPN!C:C, ESPN!J:J), "N/A")</f>
        <v>30</v>
      </c>
      <c r="Q399" s="26" cm="1">
        <f t="array" ref="Q399">IFERROR(_xlfn.XLOOKUP(C399&amp;A399, ESPN!A:A&amp;ESPN!C:C, ESPN!K:K), "N/A")</f>
        <v>21</v>
      </c>
    </row>
    <row r="400" spans="1:17" x14ac:dyDescent="0.45">
      <c r="A400" s="6">
        <v>2023</v>
      </c>
      <c r="B400" s="1" t="s">
        <v>274</v>
      </c>
      <c r="C400" s="2" t="str">
        <f t="shared" si="12"/>
        <v>Royce Freeman</v>
      </c>
      <c r="D400" s="2" t="str">
        <f t="shared" si="13"/>
        <v>LAR</v>
      </c>
      <c r="E400" s="2">
        <v>11</v>
      </c>
      <c r="F400" s="12">
        <v>2</v>
      </c>
      <c r="G400" s="11">
        <v>1</v>
      </c>
      <c r="H400" s="11">
        <v>13</v>
      </c>
      <c r="I400" s="11">
        <v>13</v>
      </c>
      <c r="J400" s="11">
        <v>0</v>
      </c>
      <c r="K400" s="11">
        <v>0</v>
      </c>
      <c r="L400" s="11" t="str" cm="1">
        <f t="array" ref="L400">IFERROR(_xlfn.XLOOKUP(C400&amp;A400, ESPN!A:A&amp;ESPN!C:C, ESPN!D:D), "N/A")</f>
        <v>N/A</v>
      </c>
      <c r="M400" s="23" t="str" cm="1">
        <f t="array" ref="M400">IFERROR(_xlfn.XLOOKUP(C400&amp;A400, ESPN!A:A&amp;ESPN!C:C, ESPN!G:G), "N/A")</f>
        <v>N/A</v>
      </c>
      <c r="N400" s="23" t="str" cm="1">
        <f t="array" ref="N400">IFERROR(_xlfn.XLOOKUP(C400&amp;A400, ESPN!A:A&amp;ESPN!C:C, ESPN!H:H), "N/A")</f>
        <v>N/A</v>
      </c>
      <c r="O400" s="26" t="str" cm="1">
        <f t="array" ref="O400">IFERROR(_xlfn.XLOOKUP(C400&amp;A400, ESPN!A:A&amp;ESPN!C:C, ESPN!I:I), "N/A")</f>
        <v>N/A</v>
      </c>
      <c r="P400" s="26" t="str" cm="1">
        <f t="array" ref="P400">IFERROR(_xlfn.XLOOKUP(C400&amp;A400, ESPN!A:A&amp;ESPN!C:C, ESPN!J:J), "N/A")</f>
        <v>N/A</v>
      </c>
      <c r="Q400" s="26" t="str" cm="1">
        <f t="array" ref="Q400">IFERROR(_xlfn.XLOOKUP(C400&amp;A400, ESPN!A:A&amp;ESPN!C:C, ESPN!K:K), "N/A")</f>
        <v>N/A</v>
      </c>
    </row>
    <row r="401" spans="1:17" x14ac:dyDescent="0.45">
      <c r="A401" s="7">
        <v>2023</v>
      </c>
      <c r="B401" s="3" t="s">
        <v>199</v>
      </c>
      <c r="C401" s="4" t="str">
        <f t="shared" si="12"/>
        <v>Jamaal Williams</v>
      </c>
      <c r="D401" s="4" t="str">
        <f t="shared" si="13"/>
        <v>NO</v>
      </c>
      <c r="E401" s="4">
        <v>13</v>
      </c>
      <c r="F401" s="12">
        <v>20</v>
      </c>
      <c r="G401" s="11">
        <v>18</v>
      </c>
      <c r="H401" s="11">
        <v>62</v>
      </c>
      <c r="I401" s="11">
        <v>3.4</v>
      </c>
      <c r="J401" s="11">
        <v>0</v>
      </c>
      <c r="K401" s="11">
        <v>0</v>
      </c>
      <c r="L401" s="11" t="str" cm="1">
        <f t="array" ref="L401">IFERROR(_xlfn.XLOOKUP(C401&amp;A401, ESPN!A:A&amp;ESPN!C:C, ESPN!D:D), "N/A")</f>
        <v>N/A</v>
      </c>
      <c r="M401" s="23" t="str" cm="1">
        <f t="array" ref="M401">IFERROR(_xlfn.XLOOKUP(C401&amp;A401, ESPN!A:A&amp;ESPN!C:C, ESPN!G:G), "N/A")</f>
        <v>N/A</v>
      </c>
      <c r="N401" s="23" t="str" cm="1">
        <f t="array" ref="N401">IFERROR(_xlfn.XLOOKUP(C401&amp;A401, ESPN!A:A&amp;ESPN!C:C, ESPN!H:H), "N/A")</f>
        <v>N/A</v>
      </c>
      <c r="O401" s="26" t="str" cm="1">
        <f t="array" ref="O401">IFERROR(_xlfn.XLOOKUP(C401&amp;A401, ESPN!A:A&amp;ESPN!C:C, ESPN!I:I), "N/A")</f>
        <v>N/A</v>
      </c>
      <c r="P401" s="26" t="str" cm="1">
        <f t="array" ref="P401">IFERROR(_xlfn.XLOOKUP(C401&amp;A401, ESPN!A:A&amp;ESPN!C:C, ESPN!J:J), "N/A")</f>
        <v>N/A</v>
      </c>
      <c r="Q401" s="26" t="str" cm="1">
        <f t="array" ref="Q401">IFERROR(_xlfn.XLOOKUP(C401&amp;A401, ESPN!A:A&amp;ESPN!C:C, ESPN!K:K), "N/A")</f>
        <v>N/A</v>
      </c>
    </row>
    <row r="402" spans="1:17" x14ac:dyDescent="0.45">
      <c r="A402" s="6">
        <v>2023</v>
      </c>
      <c r="B402" s="1" t="s">
        <v>184</v>
      </c>
      <c r="C402" s="2" t="str">
        <f t="shared" si="12"/>
        <v>Jordan Mason</v>
      </c>
      <c r="D402" s="2" t="str">
        <f t="shared" si="13"/>
        <v>SF</v>
      </c>
      <c r="E402" s="2">
        <v>16</v>
      </c>
      <c r="F402" s="12">
        <v>4</v>
      </c>
      <c r="G402" s="11">
        <v>3</v>
      </c>
      <c r="H402" s="11">
        <v>31</v>
      </c>
      <c r="I402" s="11">
        <v>10.3</v>
      </c>
      <c r="J402" s="11">
        <v>0</v>
      </c>
      <c r="K402" s="11">
        <v>0</v>
      </c>
      <c r="L402" s="11" t="str" cm="1">
        <f t="array" ref="L402">IFERROR(_xlfn.XLOOKUP(C402&amp;A402, ESPN!A:A&amp;ESPN!C:C, ESPN!D:D), "N/A")</f>
        <v>N/A</v>
      </c>
      <c r="M402" s="23" t="str" cm="1">
        <f t="array" ref="M402">IFERROR(_xlfn.XLOOKUP(C402&amp;A402, ESPN!A:A&amp;ESPN!C:C, ESPN!G:G), "N/A")</f>
        <v>N/A</v>
      </c>
      <c r="N402" s="23" t="str" cm="1">
        <f t="array" ref="N402">IFERROR(_xlfn.XLOOKUP(C402&amp;A402, ESPN!A:A&amp;ESPN!C:C, ESPN!H:H), "N/A")</f>
        <v>N/A</v>
      </c>
      <c r="O402" s="26" t="str" cm="1">
        <f t="array" ref="O402">IFERROR(_xlfn.XLOOKUP(C402&amp;A402, ESPN!A:A&amp;ESPN!C:C, ESPN!I:I), "N/A")</f>
        <v>N/A</v>
      </c>
      <c r="P402" s="26" t="str" cm="1">
        <f t="array" ref="P402">IFERROR(_xlfn.XLOOKUP(C402&amp;A402, ESPN!A:A&amp;ESPN!C:C, ESPN!J:J), "N/A")</f>
        <v>N/A</v>
      </c>
      <c r="Q402" s="26" t="str" cm="1">
        <f t="array" ref="Q402">IFERROR(_xlfn.XLOOKUP(C402&amp;A402, ESPN!A:A&amp;ESPN!C:C, ESPN!K:K), "N/A")</f>
        <v>N/A</v>
      </c>
    </row>
    <row r="403" spans="1:17" x14ac:dyDescent="0.45">
      <c r="A403" s="7">
        <v>2023</v>
      </c>
      <c r="B403" s="3" t="s">
        <v>275</v>
      </c>
      <c r="C403" s="4" t="str">
        <f t="shared" si="12"/>
        <v>Elijah Mitchell</v>
      </c>
      <c r="D403" s="4" t="str">
        <f t="shared" si="13"/>
        <v>SF</v>
      </c>
      <c r="E403" s="4">
        <v>11</v>
      </c>
      <c r="F403" s="12">
        <v>8</v>
      </c>
      <c r="G403" s="11">
        <v>6</v>
      </c>
      <c r="H403" s="11">
        <v>14</v>
      </c>
      <c r="I403" s="11">
        <v>2.2999999999999998</v>
      </c>
      <c r="J403" s="11">
        <v>0</v>
      </c>
      <c r="K403" s="11">
        <v>0</v>
      </c>
      <c r="L403" s="11" t="str" cm="1">
        <f t="array" ref="L403">IFERROR(_xlfn.XLOOKUP(C403&amp;A403, ESPN!A:A&amp;ESPN!C:C, ESPN!D:D), "N/A")</f>
        <v>N/A</v>
      </c>
      <c r="M403" s="23" t="str" cm="1">
        <f t="array" ref="M403">IFERROR(_xlfn.XLOOKUP(C403&amp;A403, ESPN!A:A&amp;ESPN!C:C, ESPN!G:G), "N/A")</f>
        <v>N/A</v>
      </c>
      <c r="N403" s="23" t="str" cm="1">
        <f t="array" ref="N403">IFERROR(_xlfn.XLOOKUP(C403&amp;A403, ESPN!A:A&amp;ESPN!C:C, ESPN!H:H), "N/A")</f>
        <v>N/A</v>
      </c>
      <c r="O403" s="26" t="str" cm="1">
        <f t="array" ref="O403">IFERROR(_xlfn.XLOOKUP(C403&amp;A403, ESPN!A:A&amp;ESPN!C:C, ESPN!I:I), "N/A")</f>
        <v>N/A</v>
      </c>
      <c r="P403" s="26" t="str" cm="1">
        <f t="array" ref="P403">IFERROR(_xlfn.XLOOKUP(C403&amp;A403, ESPN!A:A&amp;ESPN!C:C, ESPN!J:J), "N/A")</f>
        <v>N/A</v>
      </c>
      <c r="Q403" s="26" t="str" cm="1">
        <f t="array" ref="Q403">IFERROR(_xlfn.XLOOKUP(C403&amp;A403, ESPN!A:A&amp;ESPN!C:C, ESPN!K:K), "N/A")</f>
        <v>N/A</v>
      </c>
    </row>
    <row r="404" spans="1:17" x14ac:dyDescent="0.45">
      <c r="A404" s="6">
        <v>2023</v>
      </c>
      <c r="B404" s="1" t="s">
        <v>20</v>
      </c>
      <c r="C404" s="2" t="str">
        <f t="shared" si="12"/>
        <v>Chase Brown</v>
      </c>
      <c r="D404" s="2" t="str">
        <f t="shared" si="13"/>
        <v>CIN</v>
      </c>
      <c r="E404" s="2">
        <v>12</v>
      </c>
      <c r="F404" s="12">
        <v>15</v>
      </c>
      <c r="G404" s="11">
        <v>14</v>
      </c>
      <c r="H404" s="11">
        <v>156</v>
      </c>
      <c r="I404" s="11">
        <v>11.1</v>
      </c>
      <c r="J404" s="11">
        <v>1</v>
      </c>
      <c r="K404" s="11">
        <v>0</v>
      </c>
      <c r="L404" s="11" t="str" cm="1">
        <f t="array" ref="L404">IFERROR(_xlfn.XLOOKUP(C404&amp;A404, ESPN!A:A&amp;ESPN!C:C, ESPN!D:D), "N/A")</f>
        <v>N/A</v>
      </c>
      <c r="M404" s="23" t="str" cm="1">
        <f t="array" ref="M404">IFERROR(_xlfn.XLOOKUP(C404&amp;A404, ESPN!A:A&amp;ESPN!C:C, ESPN!G:G), "N/A")</f>
        <v>N/A</v>
      </c>
      <c r="N404" s="23" t="str" cm="1">
        <f t="array" ref="N404">IFERROR(_xlfn.XLOOKUP(C404&amp;A404, ESPN!A:A&amp;ESPN!C:C, ESPN!H:H), "N/A")</f>
        <v>N/A</v>
      </c>
      <c r="O404" s="26" t="str" cm="1">
        <f t="array" ref="O404">IFERROR(_xlfn.XLOOKUP(C404&amp;A404, ESPN!A:A&amp;ESPN!C:C, ESPN!I:I), "N/A")</f>
        <v>N/A</v>
      </c>
      <c r="P404" s="26" t="str" cm="1">
        <f t="array" ref="P404">IFERROR(_xlfn.XLOOKUP(C404&amp;A404, ESPN!A:A&amp;ESPN!C:C, ESPN!J:J), "N/A")</f>
        <v>N/A</v>
      </c>
      <c r="Q404" s="26" t="str" cm="1">
        <f t="array" ref="Q404">IFERROR(_xlfn.XLOOKUP(C404&amp;A404, ESPN!A:A&amp;ESPN!C:C, ESPN!K:K), "N/A")</f>
        <v>N/A</v>
      </c>
    </row>
    <row r="405" spans="1:17" x14ac:dyDescent="0.45">
      <c r="A405" s="7">
        <v>2023</v>
      </c>
      <c r="B405" s="3" t="s">
        <v>206</v>
      </c>
      <c r="C405" s="4" t="str">
        <f t="shared" si="12"/>
        <v>Pierre Strong Jr.</v>
      </c>
      <c r="D405" s="4" t="str">
        <f t="shared" si="13"/>
        <v>CLE</v>
      </c>
      <c r="E405" s="4">
        <v>17</v>
      </c>
      <c r="F405" s="12">
        <v>8</v>
      </c>
      <c r="G405" s="11">
        <v>5</v>
      </c>
      <c r="H405" s="11">
        <v>47</v>
      </c>
      <c r="I405" s="11">
        <v>9.4</v>
      </c>
      <c r="J405" s="11">
        <v>0</v>
      </c>
      <c r="K405" s="11">
        <v>1</v>
      </c>
      <c r="L405" s="11" t="str" cm="1">
        <f t="array" ref="L405">IFERROR(_xlfn.XLOOKUP(C405&amp;A405, ESPN!A:A&amp;ESPN!C:C, ESPN!D:D), "N/A")</f>
        <v>N/A</v>
      </c>
      <c r="M405" s="23" t="str" cm="1">
        <f t="array" ref="M405">IFERROR(_xlfn.XLOOKUP(C405&amp;A405, ESPN!A:A&amp;ESPN!C:C, ESPN!G:G), "N/A")</f>
        <v>N/A</v>
      </c>
      <c r="N405" s="23" t="str" cm="1">
        <f t="array" ref="N405">IFERROR(_xlfn.XLOOKUP(C405&amp;A405, ESPN!A:A&amp;ESPN!C:C, ESPN!H:H), "N/A")</f>
        <v>N/A</v>
      </c>
      <c r="O405" s="26" t="str" cm="1">
        <f t="array" ref="O405">IFERROR(_xlfn.XLOOKUP(C405&amp;A405, ESPN!A:A&amp;ESPN!C:C, ESPN!I:I), "N/A")</f>
        <v>N/A</v>
      </c>
      <c r="P405" s="26" t="str" cm="1">
        <f t="array" ref="P405">IFERROR(_xlfn.XLOOKUP(C405&amp;A405, ESPN!A:A&amp;ESPN!C:C, ESPN!J:J), "N/A")</f>
        <v>N/A</v>
      </c>
      <c r="Q405" s="26" t="str" cm="1">
        <f t="array" ref="Q405">IFERROR(_xlfn.XLOOKUP(C405&amp;A405, ESPN!A:A&amp;ESPN!C:C, ESPN!K:K), "N/A")</f>
        <v>N/A</v>
      </c>
    </row>
    <row r="406" spans="1:17" x14ac:dyDescent="0.45">
      <c r="A406" s="6">
        <v>2023</v>
      </c>
      <c r="B406" s="1" t="s">
        <v>47</v>
      </c>
      <c r="C406" s="2" t="str">
        <f t="shared" si="12"/>
        <v>Chris Rodriguez Jr.</v>
      </c>
      <c r="D406" s="2" t="str">
        <f t="shared" si="13"/>
        <v>WAS</v>
      </c>
      <c r="E406" s="2">
        <v>11</v>
      </c>
      <c r="F406" s="12">
        <v>2</v>
      </c>
      <c r="G406" s="11">
        <v>2</v>
      </c>
      <c r="H406" s="11">
        <v>12</v>
      </c>
      <c r="I406" s="11">
        <v>6</v>
      </c>
      <c r="J406" s="11">
        <v>0</v>
      </c>
      <c r="K406" s="11">
        <v>1</v>
      </c>
      <c r="L406" s="11" t="str" cm="1">
        <f t="array" ref="L406">IFERROR(_xlfn.XLOOKUP(C406&amp;A406, ESPN!A:A&amp;ESPN!C:C, ESPN!D:D), "N/A")</f>
        <v>N/A</v>
      </c>
      <c r="M406" s="23" t="str" cm="1">
        <f t="array" ref="M406">IFERROR(_xlfn.XLOOKUP(C406&amp;A406, ESPN!A:A&amp;ESPN!C:C, ESPN!G:G), "N/A")</f>
        <v>N/A</v>
      </c>
      <c r="N406" s="23" t="str" cm="1">
        <f t="array" ref="N406">IFERROR(_xlfn.XLOOKUP(C406&amp;A406, ESPN!A:A&amp;ESPN!C:C, ESPN!H:H), "N/A")</f>
        <v>N/A</v>
      </c>
      <c r="O406" s="26" t="str" cm="1">
        <f t="array" ref="O406">IFERROR(_xlfn.XLOOKUP(C406&amp;A406, ESPN!A:A&amp;ESPN!C:C, ESPN!I:I), "N/A")</f>
        <v>N/A</v>
      </c>
      <c r="P406" s="26" t="str" cm="1">
        <f t="array" ref="P406">IFERROR(_xlfn.XLOOKUP(C406&amp;A406, ESPN!A:A&amp;ESPN!C:C, ESPN!J:J), "N/A")</f>
        <v>N/A</v>
      </c>
      <c r="Q406" s="26" t="str" cm="1">
        <f t="array" ref="Q406">IFERROR(_xlfn.XLOOKUP(C406&amp;A406, ESPN!A:A&amp;ESPN!C:C, ESPN!K:K), "N/A")</f>
        <v>N/A</v>
      </c>
    </row>
    <row r="407" spans="1:17" x14ac:dyDescent="0.45">
      <c r="A407" s="7">
        <v>2023</v>
      </c>
      <c r="B407" s="3" t="s">
        <v>187</v>
      </c>
      <c r="C407" s="4" t="str">
        <f t="shared" si="12"/>
        <v>Cam Akers</v>
      </c>
      <c r="D407" s="4" t="str">
        <f t="shared" si="13"/>
        <v>MIN</v>
      </c>
      <c r="E407" s="4">
        <v>7</v>
      </c>
      <c r="F407" s="12">
        <v>12</v>
      </c>
      <c r="G407" s="11">
        <v>11</v>
      </c>
      <c r="H407" s="11">
        <v>70</v>
      </c>
      <c r="I407" s="11">
        <v>6.4</v>
      </c>
      <c r="J407" s="11">
        <v>0</v>
      </c>
      <c r="K407" s="11">
        <v>0</v>
      </c>
      <c r="L407" s="11" t="str" cm="1">
        <f t="array" ref="L407">IFERROR(_xlfn.XLOOKUP(C407&amp;A407, ESPN!A:A&amp;ESPN!C:C, ESPN!D:D), "N/A")</f>
        <v>N/A</v>
      </c>
      <c r="M407" s="23" t="str" cm="1">
        <f t="array" ref="M407">IFERROR(_xlfn.XLOOKUP(C407&amp;A407, ESPN!A:A&amp;ESPN!C:C, ESPN!G:G), "N/A")</f>
        <v>N/A</v>
      </c>
      <c r="N407" s="23" t="str" cm="1">
        <f t="array" ref="N407">IFERROR(_xlfn.XLOOKUP(C407&amp;A407, ESPN!A:A&amp;ESPN!C:C, ESPN!H:H), "N/A")</f>
        <v>N/A</v>
      </c>
      <c r="O407" s="26" t="str" cm="1">
        <f t="array" ref="O407">IFERROR(_xlfn.XLOOKUP(C407&amp;A407, ESPN!A:A&amp;ESPN!C:C, ESPN!I:I), "N/A")</f>
        <v>N/A</v>
      </c>
      <c r="P407" s="26" t="str" cm="1">
        <f t="array" ref="P407">IFERROR(_xlfn.XLOOKUP(C407&amp;A407, ESPN!A:A&amp;ESPN!C:C, ESPN!J:J), "N/A")</f>
        <v>N/A</v>
      </c>
      <c r="Q407" s="26" t="str" cm="1">
        <f t="array" ref="Q407">IFERROR(_xlfn.XLOOKUP(C407&amp;A407, ESPN!A:A&amp;ESPN!C:C, ESPN!K:K), "N/A")</f>
        <v>N/A</v>
      </c>
    </row>
    <row r="408" spans="1:17" x14ac:dyDescent="0.45">
      <c r="A408" s="6">
        <v>2023</v>
      </c>
      <c r="B408" s="1" t="s">
        <v>57</v>
      </c>
      <c r="C408" s="2" t="str">
        <f t="shared" si="12"/>
        <v>Michael Carter</v>
      </c>
      <c r="D408" s="2" t="str">
        <f t="shared" si="13"/>
        <v>ARI</v>
      </c>
      <c r="E408" s="2">
        <v>15</v>
      </c>
      <c r="F408" s="12">
        <v>31</v>
      </c>
      <c r="G408" s="11">
        <v>24</v>
      </c>
      <c r="H408" s="11">
        <v>101</v>
      </c>
      <c r="I408" s="11">
        <v>4.2</v>
      </c>
      <c r="J408" s="11">
        <v>1</v>
      </c>
      <c r="K408" s="11">
        <v>0</v>
      </c>
      <c r="L408" s="11" cm="1">
        <f t="array" ref="L408">IFERROR(_xlfn.XLOOKUP(C408&amp;A408, ESPN!A:A&amp;ESPN!C:C, ESPN!D:D), "N/A")</f>
        <v>138</v>
      </c>
      <c r="M408" s="23" cm="1">
        <f t="array" ref="M408">IFERROR(_xlfn.XLOOKUP(C408&amp;A408, ESPN!A:A&amp;ESPN!C:C, ESPN!G:G), "N/A")</f>
        <v>0.73</v>
      </c>
      <c r="N408" s="23" cm="1">
        <f t="array" ref="N408">IFERROR(_xlfn.XLOOKUP(C408&amp;A408, ESPN!A:A&amp;ESPN!C:C, ESPN!H:H), "N/A")</f>
        <v>66</v>
      </c>
      <c r="O408" s="26" cm="1">
        <f t="array" ref="O408">IFERROR(_xlfn.XLOOKUP(C408&amp;A408, ESPN!A:A&amp;ESPN!C:C, ESPN!I:I), "N/A")</f>
        <v>48</v>
      </c>
      <c r="P408" s="26" cm="1">
        <f t="array" ref="P408">IFERROR(_xlfn.XLOOKUP(C408&amp;A408, ESPN!A:A&amp;ESPN!C:C, ESPN!J:J), "N/A")</f>
        <v>19</v>
      </c>
      <c r="Q408" s="26" cm="1">
        <f t="array" ref="Q408">IFERROR(_xlfn.XLOOKUP(C408&amp;A408, ESPN!A:A&amp;ESPN!C:C, ESPN!K:K), "N/A")</f>
        <v>29</v>
      </c>
    </row>
    <row r="409" spans="1:17" x14ac:dyDescent="0.45">
      <c r="A409" s="7">
        <v>2023</v>
      </c>
      <c r="B409" s="3" t="s">
        <v>276</v>
      </c>
      <c r="C409" s="4" t="str">
        <f t="shared" si="12"/>
        <v>Darrell Henderson Jr.</v>
      </c>
      <c r="D409" s="4" t="str">
        <f t="shared" si="13"/>
        <v>LAR</v>
      </c>
      <c r="E409" s="4">
        <v>4</v>
      </c>
      <c r="F409" s="12">
        <v>14</v>
      </c>
      <c r="G409" s="11">
        <v>10</v>
      </c>
      <c r="H409" s="11">
        <v>103</v>
      </c>
      <c r="I409" s="11">
        <v>10.3</v>
      </c>
      <c r="J409" s="11">
        <v>0</v>
      </c>
      <c r="K409" s="11">
        <v>0</v>
      </c>
      <c r="L409" s="11" t="str" cm="1">
        <f t="array" ref="L409">IFERROR(_xlfn.XLOOKUP(C409&amp;A409, ESPN!A:A&amp;ESPN!C:C, ESPN!D:D), "N/A")</f>
        <v>N/A</v>
      </c>
      <c r="M409" s="23" t="str" cm="1">
        <f t="array" ref="M409">IFERROR(_xlfn.XLOOKUP(C409&amp;A409, ESPN!A:A&amp;ESPN!C:C, ESPN!G:G), "N/A")</f>
        <v>N/A</v>
      </c>
      <c r="N409" s="23" t="str" cm="1">
        <f t="array" ref="N409">IFERROR(_xlfn.XLOOKUP(C409&amp;A409, ESPN!A:A&amp;ESPN!C:C, ESPN!H:H), "N/A")</f>
        <v>N/A</v>
      </c>
      <c r="O409" s="26" t="str" cm="1">
        <f t="array" ref="O409">IFERROR(_xlfn.XLOOKUP(C409&amp;A409, ESPN!A:A&amp;ESPN!C:C, ESPN!I:I), "N/A")</f>
        <v>N/A</v>
      </c>
      <c r="P409" s="26" t="str" cm="1">
        <f t="array" ref="P409">IFERROR(_xlfn.XLOOKUP(C409&amp;A409, ESPN!A:A&amp;ESPN!C:C, ESPN!J:J), "N/A")</f>
        <v>N/A</v>
      </c>
      <c r="Q409" s="26" t="str" cm="1">
        <f t="array" ref="Q409">IFERROR(_xlfn.XLOOKUP(C409&amp;A409, ESPN!A:A&amp;ESPN!C:C, ESPN!K:K), "N/A")</f>
        <v>N/A</v>
      </c>
    </row>
    <row r="410" spans="1:17" x14ac:dyDescent="0.45">
      <c r="A410" s="6">
        <v>2023</v>
      </c>
      <c r="B410" s="1" t="s">
        <v>72</v>
      </c>
      <c r="C410" s="2" t="str">
        <f t="shared" si="12"/>
        <v>Kendre Miller</v>
      </c>
      <c r="D410" s="2" t="str">
        <f t="shared" si="13"/>
        <v>NO</v>
      </c>
      <c r="E410" s="2">
        <v>8</v>
      </c>
      <c r="F410" s="12">
        <v>11</v>
      </c>
      <c r="G410" s="11">
        <v>10</v>
      </c>
      <c r="H410" s="11">
        <v>117</v>
      </c>
      <c r="I410" s="11">
        <v>11.7</v>
      </c>
      <c r="J410" s="11">
        <v>0</v>
      </c>
      <c r="K410" s="11">
        <v>0</v>
      </c>
      <c r="L410" s="11" t="str" cm="1">
        <f t="array" ref="L410">IFERROR(_xlfn.XLOOKUP(C410&amp;A410, ESPN!A:A&amp;ESPN!C:C, ESPN!D:D), "N/A")</f>
        <v>N/A</v>
      </c>
      <c r="M410" s="23" t="str" cm="1">
        <f t="array" ref="M410">IFERROR(_xlfn.XLOOKUP(C410&amp;A410, ESPN!A:A&amp;ESPN!C:C, ESPN!G:G), "N/A")</f>
        <v>N/A</v>
      </c>
      <c r="N410" s="23" t="str" cm="1">
        <f t="array" ref="N410">IFERROR(_xlfn.XLOOKUP(C410&amp;A410, ESPN!A:A&amp;ESPN!C:C, ESPN!H:H), "N/A")</f>
        <v>N/A</v>
      </c>
      <c r="O410" s="26" t="str" cm="1">
        <f t="array" ref="O410">IFERROR(_xlfn.XLOOKUP(C410&amp;A410, ESPN!A:A&amp;ESPN!C:C, ESPN!I:I), "N/A")</f>
        <v>N/A</v>
      </c>
      <c r="P410" s="26" t="str" cm="1">
        <f t="array" ref="P410">IFERROR(_xlfn.XLOOKUP(C410&amp;A410, ESPN!A:A&amp;ESPN!C:C, ESPN!J:J), "N/A")</f>
        <v>N/A</v>
      </c>
      <c r="Q410" s="26" t="str" cm="1">
        <f t="array" ref="Q410">IFERROR(_xlfn.XLOOKUP(C410&amp;A410, ESPN!A:A&amp;ESPN!C:C, ESPN!K:K), "N/A")</f>
        <v>N/A</v>
      </c>
    </row>
    <row r="411" spans="1:17" x14ac:dyDescent="0.45">
      <c r="A411" s="7">
        <v>2023</v>
      </c>
      <c r="B411" s="3" t="s">
        <v>277</v>
      </c>
      <c r="C411" s="4" t="str">
        <f t="shared" si="12"/>
        <v>Matt Breida</v>
      </c>
      <c r="D411" s="4" t="str">
        <f t="shared" si="13"/>
        <v>NYG</v>
      </c>
      <c r="E411" s="4">
        <v>15</v>
      </c>
      <c r="F411" s="12">
        <v>21</v>
      </c>
      <c r="G411" s="11">
        <v>17</v>
      </c>
      <c r="H411" s="11">
        <v>88</v>
      </c>
      <c r="I411" s="11">
        <v>5.2</v>
      </c>
      <c r="J411" s="11">
        <v>0</v>
      </c>
      <c r="K411" s="11">
        <v>0</v>
      </c>
      <c r="L411" s="11" t="str" cm="1">
        <f t="array" ref="L411">IFERROR(_xlfn.XLOOKUP(C411&amp;A411, ESPN!A:A&amp;ESPN!C:C, ESPN!D:D), "N/A")</f>
        <v>N/A</v>
      </c>
      <c r="M411" s="23" t="str" cm="1">
        <f t="array" ref="M411">IFERROR(_xlfn.XLOOKUP(C411&amp;A411, ESPN!A:A&amp;ESPN!C:C, ESPN!G:G), "N/A")</f>
        <v>N/A</v>
      </c>
      <c r="N411" s="23" t="str" cm="1">
        <f t="array" ref="N411">IFERROR(_xlfn.XLOOKUP(C411&amp;A411, ESPN!A:A&amp;ESPN!C:C, ESPN!H:H), "N/A")</f>
        <v>N/A</v>
      </c>
      <c r="O411" s="26" t="str" cm="1">
        <f t="array" ref="O411">IFERROR(_xlfn.XLOOKUP(C411&amp;A411, ESPN!A:A&amp;ESPN!C:C, ESPN!I:I), "N/A")</f>
        <v>N/A</v>
      </c>
      <c r="P411" s="26" t="str" cm="1">
        <f t="array" ref="P411">IFERROR(_xlfn.XLOOKUP(C411&amp;A411, ESPN!A:A&amp;ESPN!C:C, ESPN!J:J), "N/A")</f>
        <v>N/A</v>
      </c>
      <c r="Q411" s="26" t="str" cm="1">
        <f t="array" ref="Q411">IFERROR(_xlfn.XLOOKUP(C411&amp;A411, ESPN!A:A&amp;ESPN!C:C, ESPN!K:K), "N/A")</f>
        <v>N/A</v>
      </c>
    </row>
    <row r="412" spans="1:17" x14ac:dyDescent="0.45">
      <c r="A412" s="6">
        <v>2023</v>
      </c>
      <c r="B412" s="1" t="s">
        <v>278</v>
      </c>
      <c r="C412" s="2" t="str">
        <f t="shared" si="12"/>
        <v>Cordarrelle Patterson</v>
      </c>
      <c r="D412" s="2" t="str">
        <f t="shared" si="13"/>
        <v>ATL</v>
      </c>
      <c r="E412" s="2">
        <v>12</v>
      </c>
      <c r="F412" s="12">
        <v>12</v>
      </c>
      <c r="G412" s="11">
        <v>9</v>
      </c>
      <c r="H412" s="11">
        <v>38</v>
      </c>
      <c r="I412" s="11">
        <v>4.2</v>
      </c>
      <c r="J412" s="11">
        <v>1</v>
      </c>
      <c r="K412" s="11">
        <v>0</v>
      </c>
      <c r="L412" s="11" t="str" cm="1">
        <f t="array" ref="L412">IFERROR(_xlfn.XLOOKUP(C412&amp;A412, ESPN!A:A&amp;ESPN!C:C, ESPN!D:D), "N/A")</f>
        <v>N/A</v>
      </c>
      <c r="M412" s="23" t="str" cm="1">
        <f t="array" ref="M412">IFERROR(_xlfn.XLOOKUP(C412&amp;A412, ESPN!A:A&amp;ESPN!C:C, ESPN!G:G), "N/A")</f>
        <v>N/A</v>
      </c>
      <c r="N412" s="23" t="str" cm="1">
        <f t="array" ref="N412">IFERROR(_xlfn.XLOOKUP(C412&amp;A412, ESPN!A:A&amp;ESPN!C:C, ESPN!H:H), "N/A")</f>
        <v>N/A</v>
      </c>
      <c r="O412" s="26" t="str" cm="1">
        <f t="array" ref="O412">IFERROR(_xlfn.XLOOKUP(C412&amp;A412, ESPN!A:A&amp;ESPN!C:C, ESPN!I:I), "N/A")</f>
        <v>N/A</v>
      </c>
      <c r="P412" s="26" t="str" cm="1">
        <f t="array" ref="P412">IFERROR(_xlfn.XLOOKUP(C412&amp;A412, ESPN!A:A&amp;ESPN!C:C, ESPN!J:J), "N/A")</f>
        <v>N/A</v>
      </c>
      <c r="Q412" s="26" t="str" cm="1">
        <f t="array" ref="Q412">IFERROR(_xlfn.XLOOKUP(C412&amp;A412, ESPN!A:A&amp;ESPN!C:C, ESPN!K:K), "N/A")</f>
        <v>N/A</v>
      </c>
    </row>
    <row r="413" spans="1:17" x14ac:dyDescent="0.45">
      <c r="A413" s="7">
        <v>2023</v>
      </c>
      <c r="B413" s="3" t="s">
        <v>160</v>
      </c>
      <c r="C413" s="4" t="str">
        <f t="shared" si="12"/>
        <v>Jeff Wilson Jr.</v>
      </c>
      <c r="D413" s="4" t="str">
        <f t="shared" si="13"/>
        <v>MIA</v>
      </c>
      <c r="E413" s="4">
        <v>9</v>
      </c>
      <c r="F413" s="12">
        <v>17</v>
      </c>
      <c r="G413" s="11">
        <v>14</v>
      </c>
      <c r="H413" s="11">
        <v>85</v>
      </c>
      <c r="I413" s="11">
        <v>6.1</v>
      </c>
      <c r="J413" s="11">
        <v>0</v>
      </c>
      <c r="K413" s="11">
        <v>0</v>
      </c>
      <c r="L413" s="11" t="str" cm="1">
        <f t="array" ref="L413">IFERROR(_xlfn.XLOOKUP(C413&amp;A413, ESPN!A:A&amp;ESPN!C:C, ESPN!D:D), "N/A")</f>
        <v>N/A</v>
      </c>
      <c r="M413" s="23" t="str" cm="1">
        <f t="array" ref="M413">IFERROR(_xlfn.XLOOKUP(C413&amp;A413, ESPN!A:A&amp;ESPN!C:C, ESPN!G:G), "N/A")</f>
        <v>N/A</v>
      </c>
      <c r="N413" s="23" t="str" cm="1">
        <f t="array" ref="N413">IFERROR(_xlfn.XLOOKUP(C413&amp;A413, ESPN!A:A&amp;ESPN!C:C, ESPN!H:H), "N/A")</f>
        <v>N/A</v>
      </c>
      <c r="O413" s="26" t="str" cm="1">
        <f t="array" ref="O413">IFERROR(_xlfn.XLOOKUP(C413&amp;A413, ESPN!A:A&amp;ESPN!C:C, ESPN!I:I), "N/A")</f>
        <v>N/A</v>
      </c>
      <c r="P413" s="26" t="str" cm="1">
        <f t="array" ref="P413">IFERROR(_xlfn.XLOOKUP(C413&amp;A413, ESPN!A:A&amp;ESPN!C:C, ESPN!J:J), "N/A")</f>
        <v>N/A</v>
      </c>
      <c r="Q413" s="26" t="str" cm="1">
        <f t="array" ref="Q413">IFERROR(_xlfn.XLOOKUP(C413&amp;A413, ESPN!A:A&amp;ESPN!C:C, ESPN!K:K), "N/A")</f>
        <v>N/A</v>
      </c>
    </row>
    <row r="414" spans="1:17" x14ac:dyDescent="0.45">
      <c r="A414" s="6">
        <v>2023</v>
      </c>
      <c r="B414" s="1" t="s">
        <v>279</v>
      </c>
      <c r="C414" s="2" t="str">
        <f t="shared" si="12"/>
        <v>Salvon Ahmed</v>
      </c>
      <c r="D414" s="2" t="str">
        <f t="shared" si="13"/>
        <v>MIA</v>
      </c>
      <c r="E414" s="2">
        <v>8</v>
      </c>
      <c r="F414" s="12">
        <v>23</v>
      </c>
      <c r="G414" s="11">
        <v>16</v>
      </c>
      <c r="H414" s="11">
        <v>88</v>
      </c>
      <c r="I414" s="11">
        <v>5.5</v>
      </c>
      <c r="J414" s="11">
        <v>1</v>
      </c>
      <c r="K414" s="11">
        <v>0</v>
      </c>
      <c r="L414" s="11" t="str" cm="1">
        <f t="array" ref="L414">IFERROR(_xlfn.XLOOKUP(C414&amp;A414, ESPN!A:A&amp;ESPN!C:C, ESPN!D:D), "N/A")</f>
        <v>N/A</v>
      </c>
      <c r="M414" s="23" t="str" cm="1">
        <f t="array" ref="M414">IFERROR(_xlfn.XLOOKUP(C414&amp;A414, ESPN!A:A&amp;ESPN!C:C, ESPN!G:G), "N/A")</f>
        <v>N/A</v>
      </c>
      <c r="N414" s="23" t="str" cm="1">
        <f t="array" ref="N414">IFERROR(_xlfn.XLOOKUP(C414&amp;A414, ESPN!A:A&amp;ESPN!C:C, ESPN!H:H), "N/A")</f>
        <v>N/A</v>
      </c>
      <c r="O414" s="26" t="str" cm="1">
        <f t="array" ref="O414">IFERROR(_xlfn.XLOOKUP(C414&amp;A414, ESPN!A:A&amp;ESPN!C:C, ESPN!I:I), "N/A")</f>
        <v>N/A</v>
      </c>
      <c r="P414" s="26" t="str" cm="1">
        <f t="array" ref="P414">IFERROR(_xlfn.XLOOKUP(C414&amp;A414, ESPN!A:A&amp;ESPN!C:C, ESPN!J:J), "N/A")</f>
        <v>N/A</v>
      </c>
      <c r="Q414" s="26" t="str" cm="1">
        <f t="array" ref="Q414">IFERROR(_xlfn.XLOOKUP(C414&amp;A414, ESPN!A:A&amp;ESPN!C:C, ESPN!K:K), "N/A")</f>
        <v>N/A</v>
      </c>
    </row>
    <row r="415" spans="1:17" x14ac:dyDescent="0.45">
      <c r="A415" s="7">
        <v>2023</v>
      </c>
      <c r="B415" s="3" t="s">
        <v>280</v>
      </c>
      <c r="C415" s="4" t="str">
        <f t="shared" si="12"/>
        <v>Chase Edmonds</v>
      </c>
      <c r="D415" s="4" t="str">
        <f t="shared" si="13"/>
        <v>TB</v>
      </c>
      <c r="E415" s="4">
        <v>13</v>
      </c>
      <c r="F415" s="12">
        <v>17</v>
      </c>
      <c r="G415" s="11">
        <v>14</v>
      </c>
      <c r="H415" s="11">
        <v>81</v>
      </c>
      <c r="I415" s="11">
        <v>5.8</v>
      </c>
      <c r="J415" s="11">
        <v>0</v>
      </c>
      <c r="K415" s="11">
        <v>0</v>
      </c>
      <c r="L415" s="11" t="str" cm="1">
        <f t="array" ref="L415">IFERROR(_xlfn.XLOOKUP(C415&amp;A415, ESPN!A:A&amp;ESPN!C:C, ESPN!D:D), "N/A")</f>
        <v>N/A</v>
      </c>
      <c r="M415" s="23" t="str" cm="1">
        <f t="array" ref="M415">IFERROR(_xlfn.XLOOKUP(C415&amp;A415, ESPN!A:A&amp;ESPN!C:C, ESPN!G:G), "N/A")</f>
        <v>N/A</v>
      </c>
      <c r="N415" s="23" t="str" cm="1">
        <f t="array" ref="N415">IFERROR(_xlfn.XLOOKUP(C415&amp;A415, ESPN!A:A&amp;ESPN!C:C, ESPN!H:H), "N/A")</f>
        <v>N/A</v>
      </c>
      <c r="O415" s="26" t="str" cm="1">
        <f t="array" ref="O415">IFERROR(_xlfn.XLOOKUP(C415&amp;A415, ESPN!A:A&amp;ESPN!C:C, ESPN!I:I), "N/A")</f>
        <v>N/A</v>
      </c>
      <c r="P415" s="26" t="str" cm="1">
        <f t="array" ref="P415">IFERROR(_xlfn.XLOOKUP(C415&amp;A415, ESPN!A:A&amp;ESPN!C:C, ESPN!J:J), "N/A")</f>
        <v>N/A</v>
      </c>
      <c r="Q415" s="26" t="str" cm="1">
        <f t="array" ref="Q415">IFERROR(_xlfn.XLOOKUP(C415&amp;A415, ESPN!A:A&amp;ESPN!C:C, ESPN!K:K), "N/A")</f>
        <v>N/A</v>
      </c>
    </row>
    <row r="416" spans="1:17" x14ac:dyDescent="0.45">
      <c r="A416" s="6">
        <v>2023</v>
      </c>
      <c r="B416" s="1" t="s">
        <v>69</v>
      </c>
      <c r="C416" s="2" t="str">
        <f t="shared" si="12"/>
        <v>Ty Johnson</v>
      </c>
      <c r="D416" s="2" t="str">
        <f t="shared" si="13"/>
        <v>BUF</v>
      </c>
      <c r="E416" s="2">
        <v>9</v>
      </c>
      <c r="F416" s="12">
        <v>7</v>
      </c>
      <c r="G416" s="11">
        <v>7</v>
      </c>
      <c r="H416" s="11">
        <v>62</v>
      </c>
      <c r="I416" s="11">
        <v>8.9</v>
      </c>
      <c r="J416" s="11">
        <v>1</v>
      </c>
      <c r="K416" s="11">
        <v>0</v>
      </c>
      <c r="L416" s="11" t="str" cm="1">
        <f t="array" ref="L416">IFERROR(_xlfn.XLOOKUP(C416&amp;A416, ESPN!A:A&amp;ESPN!C:C, ESPN!D:D), "N/A")</f>
        <v>N/A</v>
      </c>
      <c r="M416" s="23" t="str" cm="1">
        <f t="array" ref="M416">IFERROR(_xlfn.XLOOKUP(C416&amp;A416, ESPN!A:A&amp;ESPN!C:C, ESPN!G:G), "N/A")</f>
        <v>N/A</v>
      </c>
      <c r="N416" s="23" t="str" cm="1">
        <f t="array" ref="N416">IFERROR(_xlfn.XLOOKUP(C416&amp;A416, ESPN!A:A&amp;ESPN!C:C, ESPN!H:H), "N/A")</f>
        <v>N/A</v>
      </c>
      <c r="O416" s="26" t="str" cm="1">
        <f t="array" ref="O416">IFERROR(_xlfn.XLOOKUP(C416&amp;A416, ESPN!A:A&amp;ESPN!C:C, ESPN!I:I), "N/A")</f>
        <v>N/A</v>
      </c>
      <c r="P416" s="26" t="str" cm="1">
        <f t="array" ref="P416">IFERROR(_xlfn.XLOOKUP(C416&amp;A416, ESPN!A:A&amp;ESPN!C:C, ESPN!J:J), "N/A")</f>
        <v>N/A</v>
      </c>
      <c r="Q416" s="26" t="str" cm="1">
        <f t="array" ref="Q416">IFERROR(_xlfn.XLOOKUP(C416&amp;A416, ESPN!A:A&amp;ESPN!C:C, ESPN!K:K), "N/A")</f>
        <v>N/A</v>
      </c>
    </row>
    <row r="417" spans="1:17" x14ac:dyDescent="0.45">
      <c r="A417" s="7">
        <v>2023</v>
      </c>
      <c r="B417" s="3" t="s">
        <v>281</v>
      </c>
      <c r="C417" s="4" t="str">
        <f t="shared" si="12"/>
        <v>Dalvin Cook</v>
      </c>
      <c r="D417" s="4" t="str">
        <f t="shared" si="13"/>
        <v>NYJ</v>
      </c>
      <c r="E417" s="4">
        <v>14</v>
      </c>
      <c r="F417" s="12">
        <v>20</v>
      </c>
      <c r="G417" s="11">
        <v>15</v>
      </c>
      <c r="H417" s="11">
        <v>78</v>
      </c>
      <c r="I417" s="11">
        <v>5.2</v>
      </c>
      <c r="J417" s="11">
        <v>0</v>
      </c>
      <c r="K417" s="11">
        <v>2</v>
      </c>
      <c r="L417" s="11" t="str" cm="1">
        <f t="array" ref="L417">IFERROR(_xlfn.XLOOKUP(C417&amp;A417, ESPN!A:A&amp;ESPN!C:C, ESPN!D:D), "N/A")</f>
        <v>N/A</v>
      </c>
      <c r="M417" s="23" t="str" cm="1">
        <f t="array" ref="M417">IFERROR(_xlfn.XLOOKUP(C417&amp;A417, ESPN!A:A&amp;ESPN!C:C, ESPN!G:G), "N/A")</f>
        <v>N/A</v>
      </c>
      <c r="N417" s="23" t="str" cm="1">
        <f t="array" ref="N417">IFERROR(_xlfn.XLOOKUP(C417&amp;A417, ESPN!A:A&amp;ESPN!C:C, ESPN!H:H), "N/A")</f>
        <v>N/A</v>
      </c>
      <c r="O417" s="26" t="str" cm="1">
        <f t="array" ref="O417">IFERROR(_xlfn.XLOOKUP(C417&amp;A417, ESPN!A:A&amp;ESPN!C:C, ESPN!I:I), "N/A")</f>
        <v>N/A</v>
      </c>
      <c r="P417" s="26" t="str" cm="1">
        <f t="array" ref="P417">IFERROR(_xlfn.XLOOKUP(C417&amp;A417, ESPN!A:A&amp;ESPN!C:C, ESPN!J:J), "N/A")</f>
        <v>N/A</v>
      </c>
      <c r="Q417" s="26" t="str" cm="1">
        <f t="array" ref="Q417">IFERROR(_xlfn.XLOOKUP(C417&amp;A417, ESPN!A:A&amp;ESPN!C:C, ESPN!K:K), "N/A")</f>
        <v>N/A</v>
      </c>
    </row>
    <row r="418" spans="1:17" x14ac:dyDescent="0.45">
      <c r="A418" s="6">
        <v>2023</v>
      </c>
      <c r="B418" s="1" t="s">
        <v>212</v>
      </c>
      <c r="C418" s="2" t="str">
        <f t="shared" si="12"/>
        <v>Tony Jones Jr.</v>
      </c>
      <c r="D418" s="2" t="str">
        <f t="shared" si="13"/>
        <v>ARI</v>
      </c>
      <c r="E418" s="2">
        <v>6</v>
      </c>
      <c r="F418" s="12">
        <v>10</v>
      </c>
      <c r="G418" s="11">
        <v>7</v>
      </c>
      <c r="H418" s="11">
        <v>37</v>
      </c>
      <c r="I418" s="11">
        <v>5.3</v>
      </c>
      <c r="J418" s="11">
        <v>0</v>
      </c>
      <c r="K418" s="11">
        <v>0</v>
      </c>
      <c r="L418" s="11" t="str" cm="1">
        <f t="array" ref="L418">IFERROR(_xlfn.XLOOKUP(C418&amp;A418, ESPN!A:A&amp;ESPN!C:C, ESPN!D:D), "N/A")</f>
        <v>N/A</v>
      </c>
      <c r="M418" s="23" t="str" cm="1">
        <f t="array" ref="M418">IFERROR(_xlfn.XLOOKUP(C418&amp;A418, ESPN!A:A&amp;ESPN!C:C, ESPN!G:G), "N/A")</f>
        <v>N/A</v>
      </c>
      <c r="N418" s="23" t="str" cm="1">
        <f t="array" ref="N418">IFERROR(_xlfn.XLOOKUP(C418&amp;A418, ESPN!A:A&amp;ESPN!C:C, ESPN!H:H), "N/A")</f>
        <v>N/A</v>
      </c>
      <c r="O418" s="26" t="str" cm="1">
        <f t="array" ref="O418">IFERROR(_xlfn.XLOOKUP(C418&amp;A418, ESPN!A:A&amp;ESPN!C:C, ESPN!I:I), "N/A")</f>
        <v>N/A</v>
      </c>
      <c r="P418" s="26" t="str" cm="1">
        <f t="array" ref="P418">IFERROR(_xlfn.XLOOKUP(C418&amp;A418, ESPN!A:A&amp;ESPN!C:C, ESPN!J:J), "N/A")</f>
        <v>N/A</v>
      </c>
      <c r="Q418" s="26" t="str" cm="1">
        <f t="array" ref="Q418">IFERROR(_xlfn.XLOOKUP(C418&amp;A418, ESPN!A:A&amp;ESPN!C:C, ESPN!K:K), "N/A")</f>
        <v>N/A</v>
      </c>
    </row>
    <row r="419" spans="1:17" x14ac:dyDescent="0.45">
      <c r="A419" s="7">
        <v>2023</v>
      </c>
      <c r="B419" s="3" t="s">
        <v>203</v>
      </c>
      <c r="C419" s="4" t="str">
        <f t="shared" si="12"/>
        <v>D'Ernest Johnson</v>
      </c>
      <c r="D419" s="4" t="str">
        <f t="shared" si="13"/>
        <v>JAC</v>
      </c>
      <c r="E419" s="4">
        <v>16</v>
      </c>
      <c r="F419" s="12">
        <v>12</v>
      </c>
      <c r="G419" s="11">
        <v>10</v>
      </c>
      <c r="H419" s="11">
        <v>140</v>
      </c>
      <c r="I419" s="11">
        <v>14</v>
      </c>
      <c r="J419" s="11">
        <v>0</v>
      </c>
      <c r="K419" s="11">
        <v>0</v>
      </c>
      <c r="L419" s="11" t="str" cm="1">
        <f t="array" ref="L419">IFERROR(_xlfn.XLOOKUP(C419&amp;A419, ESPN!A:A&amp;ESPN!C:C, ESPN!D:D), "N/A")</f>
        <v>N/A</v>
      </c>
      <c r="M419" s="23" t="str" cm="1">
        <f t="array" ref="M419">IFERROR(_xlfn.XLOOKUP(C419&amp;A419, ESPN!A:A&amp;ESPN!C:C, ESPN!G:G), "N/A")</f>
        <v>N/A</v>
      </c>
      <c r="N419" s="23" t="str" cm="1">
        <f t="array" ref="N419">IFERROR(_xlfn.XLOOKUP(C419&amp;A419, ESPN!A:A&amp;ESPN!C:C, ESPN!H:H), "N/A")</f>
        <v>N/A</v>
      </c>
      <c r="O419" s="26" t="str" cm="1">
        <f t="array" ref="O419">IFERROR(_xlfn.XLOOKUP(C419&amp;A419, ESPN!A:A&amp;ESPN!C:C, ESPN!I:I), "N/A")</f>
        <v>N/A</v>
      </c>
      <c r="P419" s="26" t="str" cm="1">
        <f t="array" ref="P419">IFERROR(_xlfn.XLOOKUP(C419&amp;A419, ESPN!A:A&amp;ESPN!C:C, ESPN!J:J), "N/A")</f>
        <v>N/A</v>
      </c>
      <c r="Q419" s="26" t="str" cm="1">
        <f t="array" ref="Q419">IFERROR(_xlfn.XLOOKUP(C419&amp;A419, ESPN!A:A&amp;ESPN!C:C, ESPN!K:K), "N/A")</f>
        <v>N/A</v>
      </c>
    </row>
    <row r="420" spans="1:17" x14ac:dyDescent="0.45">
      <c r="A420" s="6">
        <v>2023</v>
      </c>
      <c r="B420" s="1" t="s">
        <v>143</v>
      </c>
      <c r="C420" s="2" t="str">
        <f t="shared" si="12"/>
        <v>Craig Reynolds</v>
      </c>
      <c r="D420" s="2" t="str">
        <f t="shared" si="13"/>
        <v>DET</v>
      </c>
      <c r="E420" s="2">
        <v>15</v>
      </c>
      <c r="F420" s="12">
        <v>5</v>
      </c>
      <c r="G420" s="11">
        <v>5</v>
      </c>
      <c r="H420" s="11">
        <v>47</v>
      </c>
      <c r="I420" s="11">
        <v>9.4</v>
      </c>
      <c r="J420" s="11">
        <v>0</v>
      </c>
      <c r="K420" s="11">
        <v>2</v>
      </c>
      <c r="L420" s="11" t="str" cm="1">
        <f t="array" ref="L420">IFERROR(_xlfn.XLOOKUP(C420&amp;A420, ESPN!A:A&amp;ESPN!C:C, ESPN!D:D), "N/A")</f>
        <v>N/A</v>
      </c>
      <c r="M420" s="23" t="str" cm="1">
        <f t="array" ref="M420">IFERROR(_xlfn.XLOOKUP(C420&amp;A420, ESPN!A:A&amp;ESPN!C:C, ESPN!G:G), "N/A")</f>
        <v>N/A</v>
      </c>
      <c r="N420" s="23" t="str" cm="1">
        <f t="array" ref="N420">IFERROR(_xlfn.XLOOKUP(C420&amp;A420, ESPN!A:A&amp;ESPN!C:C, ESPN!H:H), "N/A")</f>
        <v>N/A</v>
      </c>
      <c r="O420" s="26" t="str" cm="1">
        <f t="array" ref="O420">IFERROR(_xlfn.XLOOKUP(C420&amp;A420, ESPN!A:A&amp;ESPN!C:C, ESPN!I:I), "N/A")</f>
        <v>N/A</v>
      </c>
      <c r="P420" s="26" t="str" cm="1">
        <f t="array" ref="P420">IFERROR(_xlfn.XLOOKUP(C420&amp;A420, ESPN!A:A&amp;ESPN!C:C, ESPN!J:J), "N/A")</f>
        <v>N/A</v>
      </c>
      <c r="Q420" s="26" t="str" cm="1">
        <f t="array" ref="Q420">IFERROR(_xlfn.XLOOKUP(C420&amp;A420, ESPN!A:A&amp;ESPN!C:C, ESPN!K:K), "N/A")</f>
        <v>N/A</v>
      </c>
    </row>
    <row r="421" spans="1:17" x14ac:dyDescent="0.45">
      <c r="A421" s="7">
        <v>2023</v>
      </c>
      <c r="B421" s="3" t="s">
        <v>176</v>
      </c>
      <c r="C421" s="4" t="str">
        <f t="shared" si="12"/>
        <v>Kyle Juszczyk</v>
      </c>
      <c r="D421" s="4" t="str">
        <f t="shared" si="13"/>
        <v>SF</v>
      </c>
      <c r="E421" s="4">
        <v>17</v>
      </c>
      <c r="F421" s="12">
        <v>17</v>
      </c>
      <c r="G421" s="11">
        <v>14</v>
      </c>
      <c r="H421" s="11">
        <v>119</v>
      </c>
      <c r="I421" s="11">
        <v>8.5</v>
      </c>
      <c r="J421" s="11">
        <v>2</v>
      </c>
      <c r="K421" s="11">
        <v>0</v>
      </c>
      <c r="L421" s="11" t="str" cm="1">
        <f t="array" ref="L421">IFERROR(_xlfn.XLOOKUP(C421&amp;A421, ESPN!A:A&amp;ESPN!C:C, ESPN!D:D), "N/A")</f>
        <v>N/A</v>
      </c>
      <c r="M421" s="23" t="str" cm="1">
        <f t="array" ref="M421">IFERROR(_xlfn.XLOOKUP(C421&amp;A421, ESPN!A:A&amp;ESPN!C:C, ESPN!G:G), "N/A")</f>
        <v>N/A</v>
      </c>
      <c r="N421" s="23" t="str" cm="1">
        <f t="array" ref="N421">IFERROR(_xlfn.XLOOKUP(C421&amp;A421, ESPN!A:A&amp;ESPN!C:C, ESPN!H:H), "N/A")</f>
        <v>N/A</v>
      </c>
      <c r="O421" s="26" t="str" cm="1">
        <f t="array" ref="O421">IFERROR(_xlfn.XLOOKUP(C421&amp;A421, ESPN!A:A&amp;ESPN!C:C, ESPN!I:I), "N/A")</f>
        <v>N/A</v>
      </c>
      <c r="P421" s="26" t="str" cm="1">
        <f t="array" ref="P421">IFERROR(_xlfn.XLOOKUP(C421&amp;A421, ESPN!A:A&amp;ESPN!C:C, ESPN!J:J), "N/A")</f>
        <v>N/A</v>
      </c>
      <c r="Q421" s="26" t="str" cm="1">
        <f t="array" ref="Q421">IFERROR(_xlfn.XLOOKUP(C421&amp;A421, ESPN!A:A&amp;ESPN!C:C, ESPN!K:K), "N/A")</f>
        <v>N/A</v>
      </c>
    </row>
    <row r="422" spans="1:17" x14ac:dyDescent="0.45">
      <c r="A422" s="6">
        <v>2023</v>
      </c>
      <c r="B422" s="1" t="s">
        <v>282</v>
      </c>
      <c r="C422" s="2" t="str">
        <f t="shared" si="12"/>
        <v>Darrynton Evans</v>
      </c>
      <c r="D422" s="2" t="str">
        <f t="shared" si="13"/>
        <v>MIA</v>
      </c>
      <c r="E422" s="2">
        <v>6</v>
      </c>
      <c r="F422" s="12">
        <v>12</v>
      </c>
      <c r="G422" s="11">
        <v>7</v>
      </c>
      <c r="H422" s="11">
        <v>49</v>
      </c>
      <c r="I422" s="11">
        <v>7</v>
      </c>
      <c r="J422" s="11">
        <v>0</v>
      </c>
      <c r="K422" s="11">
        <v>0</v>
      </c>
      <c r="L422" s="11" t="str" cm="1">
        <f t="array" ref="L422">IFERROR(_xlfn.XLOOKUP(C422&amp;A422, ESPN!A:A&amp;ESPN!C:C, ESPN!D:D), "N/A")</f>
        <v>N/A</v>
      </c>
      <c r="M422" s="23" t="str" cm="1">
        <f t="array" ref="M422">IFERROR(_xlfn.XLOOKUP(C422&amp;A422, ESPN!A:A&amp;ESPN!C:C, ESPN!G:G), "N/A")</f>
        <v>N/A</v>
      </c>
      <c r="N422" s="23" t="str" cm="1">
        <f t="array" ref="N422">IFERROR(_xlfn.XLOOKUP(C422&amp;A422, ESPN!A:A&amp;ESPN!C:C, ESPN!H:H), "N/A")</f>
        <v>N/A</v>
      </c>
      <c r="O422" s="26" t="str" cm="1">
        <f t="array" ref="O422">IFERROR(_xlfn.XLOOKUP(C422&amp;A422, ESPN!A:A&amp;ESPN!C:C, ESPN!I:I), "N/A")</f>
        <v>N/A</v>
      </c>
      <c r="P422" s="26" t="str" cm="1">
        <f t="array" ref="P422">IFERROR(_xlfn.XLOOKUP(C422&amp;A422, ESPN!A:A&amp;ESPN!C:C, ESPN!J:J), "N/A")</f>
        <v>N/A</v>
      </c>
      <c r="Q422" s="26" t="str" cm="1">
        <f t="array" ref="Q422">IFERROR(_xlfn.XLOOKUP(C422&amp;A422, ESPN!A:A&amp;ESPN!C:C, ESPN!K:K), "N/A")</f>
        <v>N/A</v>
      </c>
    </row>
    <row r="423" spans="1:17" x14ac:dyDescent="0.45">
      <c r="A423" s="7">
        <v>2023</v>
      </c>
      <c r="B423" s="3" t="s">
        <v>186</v>
      </c>
      <c r="C423" s="4" t="str">
        <f t="shared" si="12"/>
        <v>Ameer Abdullah</v>
      </c>
      <c r="D423" s="4" t="str">
        <f t="shared" si="13"/>
        <v>LV</v>
      </c>
      <c r="E423" s="4">
        <v>16</v>
      </c>
      <c r="F423" s="12">
        <v>24</v>
      </c>
      <c r="G423" s="11">
        <v>19</v>
      </c>
      <c r="H423" s="11">
        <v>131</v>
      </c>
      <c r="I423" s="11">
        <v>6.9</v>
      </c>
      <c r="J423" s="11">
        <v>0</v>
      </c>
      <c r="K423" s="11">
        <v>0</v>
      </c>
      <c r="L423" s="11" t="str" cm="1">
        <f t="array" ref="L423">IFERROR(_xlfn.XLOOKUP(C423&amp;A423, ESPN!A:A&amp;ESPN!C:C, ESPN!D:D), "N/A")</f>
        <v>N/A</v>
      </c>
      <c r="M423" s="23" t="str" cm="1">
        <f t="array" ref="M423">IFERROR(_xlfn.XLOOKUP(C423&amp;A423, ESPN!A:A&amp;ESPN!C:C, ESPN!G:G), "N/A")</f>
        <v>N/A</v>
      </c>
      <c r="N423" s="23" t="str" cm="1">
        <f t="array" ref="N423">IFERROR(_xlfn.XLOOKUP(C423&amp;A423, ESPN!A:A&amp;ESPN!C:C, ESPN!H:H), "N/A")</f>
        <v>N/A</v>
      </c>
      <c r="O423" s="26" t="str" cm="1">
        <f t="array" ref="O423">IFERROR(_xlfn.XLOOKUP(C423&amp;A423, ESPN!A:A&amp;ESPN!C:C, ESPN!I:I), "N/A")</f>
        <v>N/A</v>
      </c>
      <c r="P423" s="26" t="str" cm="1">
        <f t="array" ref="P423">IFERROR(_xlfn.XLOOKUP(C423&amp;A423, ESPN!A:A&amp;ESPN!C:C, ESPN!J:J), "N/A")</f>
        <v>N/A</v>
      </c>
      <c r="Q423" s="26" t="str" cm="1">
        <f t="array" ref="Q423">IFERROR(_xlfn.XLOOKUP(C423&amp;A423, ESPN!A:A&amp;ESPN!C:C, ESPN!K:K), "N/A")</f>
        <v>N/A</v>
      </c>
    </row>
    <row r="424" spans="1:17" x14ac:dyDescent="0.45">
      <c r="A424" s="6">
        <v>2023</v>
      </c>
      <c r="B424" s="1" t="s">
        <v>182</v>
      </c>
      <c r="C424" s="2" t="str">
        <f t="shared" si="12"/>
        <v>Tank Bigsby</v>
      </c>
      <c r="D424" s="2" t="str">
        <f t="shared" si="13"/>
        <v>JAC</v>
      </c>
      <c r="E424" s="2">
        <v>16</v>
      </c>
      <c r="F424" s="12">
        <v>4</v>
      </c>
      <c r="G424" s="11">
        <v>1</v>
      </c>
      <c r="H424" s="11">
        <v>6</v>
      </c>
      <c r="I424" s="11">
        <v>6</v>
      </c>
      <c r="J424" s="11">
        <v>0</v>
      </c>
      <c r="K424" s="11">
        <v>2</v>
      </c>
      <c r="L424" s="11" t="str" cm="1">
        <f t="array" ref="L424">IFERROR(_xlfn.XLOOKUP(C424&amp;A424, ESPN!A:A&amp;ESPN!C:C, ESPN!D:D), "N/A")</f>
        <v>N/A</v>
      </c>
      <c r="M424" s="23" t="str" cm="1">
        <f t="array" ref="M424">IFERROR(_xlfn.XLOOKUP(C424&amp;A424, ESPN!A:A&amp;ESPN!C:C, ESPN!G:G), "N/A")</f>
        <v>N/A</v>
      </c>
      <c r="N424" s="23" t="str" cm="1">
        <f t="array" ref="N424">IFERROR(_xlfn.XLOOKUP(C424&amp;A424, ESPN!A:A&amp;ESPN!C:C, ESPN!H:H), "N/A")</f>
        <v>N/A</v>
      </c>
      <c r="O424" s="26" t="str" cm="1">
        <f t="array" ref="O424">IFERROR(_xlfn.XLOOKUP(C424&amp;A424, ESPN!A:A&amp;ESPN!C:C, ESPN!I:I), "N/A")</f>
        <v>N/A</v>
      </c>
      <c r="P424" s="26" t="str" cm="1">
        <f t="array" ref="P424">IFERROR(_xlfn.XLOOKUP(C424&amp;A424, ESPN!A:A&amp;ESPN!C:C, ESPN!J:J), "N/A")</f>
        <v>N/A</v>
      </c>
      <c r="Q424" s="26" t="str" cm="1">
        <f t="array" ref="Q424">IFERROR(_xlfn.XLOOKUP(C424&amp;A424, ESPN!A:A&amp;ESPN!C:C, ESPN!K:K), "N/A")</f>
        <v>N/A</v>
      </c>
    </row>
    <row r="425" spans="1:17" x14ac:dyDescent="0.45">
      <c r="A425" s="7">
        <v>2023</v>
      </c>
      <c r="B425" s="3" t="s">
        <v>190</v>
      </c>
      <c r="C425" s="4" t="str">
        <f t="shared" si="12"/>
        <v>Nick Chubb</v>
      </c>
      <c r="D425" s="4" t="str">
        <f t="shared" si="13"/>
        <v>CLE</v>
      </c>
      <c r="E425" s="4">
        <v>2</v>
      </c>
      <c r="F425" s="12">
        <v>4</v>
      </c>
      <c r="G425" s="11">
        <v>4</v>
      </c>
      <c r="H425" s="11">
        <v>21</v>
      </c>
      <c r="I425" s="11">
        <v>5.3</v>
      </c>
      <c r="J425" s="11">
        <v>0</v>
      </c>
      <c r="K425" s="11">
        <v>0</v>
      </c>
      <c r="L425" s="11" t="str" cm="1">
        <f t="array" ref="L425">IFERROR(_xlfn.XLOOKUP(C425&amp;A425, ESPN!A:A&amp;ESPN!C:C, ESPN!D:D), "N/A")</f>
        <v>N/A</v>
      </c>
      <c r="M425" s="23" t="str" cm="1">
        <f t="array" ref="M425">IFERROR(_xlfn.XLOOKUP(C425&amp;A425, ESPN!A:A&amp;ESPN!C:C, ESPN!G:G), "N/A")</f>
        <v>N/A</v>
      </c>
      <c r="N425" s="23" t="str" cm="1">
        <f t="array" ref="N425">IFERROR(_xlfn.XLOOKUP(C425&amp;A425, ESPN!A:A&amp;ESPN!C:C, ESPN!H:H), "N/A")</f>
        <v>N/A</v>
      </c>
      <c r="O425" s="26" t="str" cm="1">
        <f t="array" ref="O425">IFERROR(_xlfn.XLOOKUP(C425&amp;A425, ESPN!A:A&amp;ESPN!C:C, ESPN!I:I), "N/A")</f>
        <v>N/A</v>
      </c>
      <c r="P425" s="26" t="str" cm="1">
        <f t="array" ref="P425">IFERROR(_xlfn.XLOOKUP(C425&amp;A425, ESPN!A:A&amp;ESPN!C:C, ESPN!J:J), "N/A")</f>
        <v>N/A</v>
      </c>
      <c r="Q425" s="26" t="str" cm="1">
        <f t="array" ref="Q425">IFERROR(_xlfn.XLOOKUP(C425&amp;A425, ESPN!A:A&amp;ESPN!C:C, ESPN!K:K), "N/A")</f>
        <v>N/A</v>
      </c>
    </row>
    <row r="426" spans="1:17" x14ac:dyDescent="0.45">
      <c r="A426" s="6">
        <v>2023</v>
      </c>
      <c r="B426" s="1" t="s">
        <v>283</v>
      </c>
      <c r="C426" s="2" t="str">
        <f t="shared" si="12"/>
        <v>Patrick Taylor Jr.</v>
      </c>
      <c r="D426" s="2" t="str">
        <f t="shared" si="13"/>
        <v>GB</v>
      </c>
      <c r="E426" s="2">
        <v>11</v>
      </c>
      <c r="F426" s="12">
        <v>17</v>
      </c>
      <c r="G426" s="11">
        <v>11</v>
      </c>
      <c r="H426" s="11">
        <v>49</v>
      </c>
      <c r="I426" s="11">
        <v>4.5</v>
      </c>
      <c r="J426" s="11">
        <v>0</v>
      </c>
      <c r="K426" s="11">
        <v>0</v>
      </c>
      <c r="L426" s="11" t="str" cm="1">
        <f t="array" ref="L426">IFERROR(_xlfn.XLOOKUP(C426&amp;A426, ESPN!A:A&amp;ESPN!C:C, ESPN!D:D), "N/A")</f>
        <v>N/A</v>
      </c>
      <c r="M426" s="23" t="str" cm="1">
        <f t="array" ref="M426">IFERROR(_xlfn.XLOOKUP(C426&amp;A426, ESPN!A:A&amp;ESPN!C:C, ESPN!G:G), "N/A")</f>
        <v>N/A</v>
      </c>
      <c r="N426" s="23" t="str" cm="1">
        <f t="array" ref="N426">IFERROR(_xlfn.XLOOKUP(C426&amp;A426, ESPN!A:A&amp;ESPN!C:C, ESPN!H:H), "N/A")</f>
        <v>N/A</v>
      </c>
      <c r="O426" s="26" t="str" cm="1">
        <f t="array" ref="O426">IFERROR(_xlfn.XLOOKUP(C426&amp;A426, ESPN!A:A&amp;ESPN!C:C, ESPN!I:I), "N/A")</f>
        <v>N/A</v>
      </c>
      <c r="P426" s="26" t="str" cm="1">
        <f t="array" ref="P426">IFERROR(_xlfn.XLOOKUP(C426&amp;A426, ESPN!A:A&amp;ESPN!C:C, ESPN!J:J), "N/A")</f>
        <v>N/A</v>
      </c>
      <c r="Q426" s="26" t="str" cm="1">
        <f t="array" ref="Q426">IFERROR(_xlfn.XLOOKUP(C426&amp;A426, ESPN!A:A&amp;ESPN!C:C, ESPN!K:K), "N/A")</f>
        <v>N/A</v>
      </c>
    </row>
    <row r="427" spans="1:17" x14ac:dyDescent="0.45">
      <c r="A427" s="7">
        <v>2023</v>
      </c>
      <c r="B427" s="3" t="s">
        <v>284</v>
      </c>
      <c r="C427" s="4" t="str">
        <f t="shared" si="12"/>
        <v>Kevin Harris</v>
      </c>
      <c r="D427" s="4" t="str">
        <f t="shared" si="13"/>
        <v>NE</v>
      </c>
      <c r="E427" s="4">
        <v>4</v>
      </c>
      <c r="F427" s="12">
        <v>3</v>
      </c>
      <c r="G427" s="11">
        <v>3</v>
      </c>
      <c r="H427" s="11">
        <v>58</v>
      </c>
      <c r="I427" s="11">
        <v>19.3</v>
      </c>
      <c r="J427" s="11">
        <v>0</v>
      </c>
      <c r="K427" s="11">
        <v>0</v>
      </c>
      <c r="L427" s="11" t="str" cm="1">
        <f t="array" ref="L427">IFERROR(_xlfn.XLOOKUP(C427&amp;A427, ESPN!A:A&amp;ESPN!C:C, ESPN!D:D), "N/A")</f>
        <v>N/A</v>
      </c>
      <c r="M427" s="23" t="str" cm="1">
        <f t="array" ref="M427">IFERROR(_xlfn.XLOOKUP(C427&amp;A427, ESPN!A:A&amp;ESPN!C:C, ESPN!G:G), "N/A")</f>
        <v>N/A</v>
      </c>
      <c r="N427" s="23" t="str" cm="1">
        <f t="array" ref="N427">IFERROR(_xlfn.XLOOKUP(C427&amp;A427, ESPN!A:A&amp;ESPN!C:C, ESPN!H:H), "N/A")</f>
        <v>N/A</v>
      </c>
      <c r="O427" s="26" t="str" cm="1">
        <f t="array" ref="O427">IFERROR(_xlfn.XLOOKUP(C427&amp;A427, ESPN!A:A&amp;ESPN!C:C, ESPN!I:I), "N/A")</f>
        <v>N/A</v>
      </c>
      <c r="P427" s="26" t="str" cm="1">
        <f t="array" ref="P427">IFERROR(_xlfn.XLOOKUP(C427&amp;A427, ESPN!A:A&amp;ESPN!C:C, ESPN!J:J), "N/A")</f>
        <v>N/A</v>
      </c>
      <c r="Q427" s="26" t="str" cm="1">
        <f t="array" ref="Q427">IFERROR(_xlfn.XLOOKUP(C427&amp;A427, ESPN!A:A&amp;ESPN!C:C, ESPN!K:K), "N/A")</f>
        <v>N/A</v>
      </c>
    </row>
    <row r="428" spans="1:17" x14ac:dyDescent="0.45">
      <c r="A428" s="6">
        <v>2023</v>
      </c>
      <c r="B428" s="1" t="s">
        <v>198</v>
      </c>
      <c r="C428" s="2" t="str">
        <f t="shared" si="12"/>
        <v>Trey Sermon</v>
      </c>
      <c r="D428" s="2" t="str">
        <f t="shared" si="13"/>
        <v>IND</v>
      </c>
      <c r="E428" s="2">
        <v>8</v>
      </c>
      <c r="F428" s="12">
        <v>6</v>
      </c>
      <c r="G428" s="11">
        <v>3</v>
      </c>
      <c r="H428" s="11">
        <v>13</v>
      </c>
      <c r="I428" s="11">
        <v>4.3</v>
      </c>
      <c r="J428" s="11">
        <v>0</v>
      </c>
      <c r="K428" s="11">
        <v>0</v>
      </c>
      <c r="L428" s="11" t="str" cm="1">
        <f t="array" ref="L428">IFERROR(_xlfn.XLOOKUP(C428&amp;A428, ESPN!A:A&amp;ESPN!C:C, ESPN!D:D), "N/A")</f>
        <v>N/A</v>
      </c>
      <c r="M428" s="23" t="str" cm="1">
        <f t="array" ref="M428">IFERROR(_xlfn.XLOOKUP(C428&amp;A428, ESPN!A:A&amp;ESPN!C:C, ESPN!G:G), "N/A")</f>
        <v>N/A</v>
      </c>
      <c r="N428" s="23" t="str" cm="1">
        <f t="array" ref="N428">IFERROR(_xlfn.XLOOKUP(C428&amp;A428, ESPN!A:A&amp;ESPN!C:C, ESPN!H:H), "N/A")</f>
        <v>N/A</v>
      </c>
      <c r="O428" s="26" t="str" cm="1">
        <f t="array" ref="O428">IFERROR(_xlfn.XLOOKUP(C428&amp;A428, ESPN!A:A&amp;ESPN!C:C, ESPN!I:I), "N/A")</f>
        <v>N/A</v>
      </c>
      <c r="P428" s="26" t="str" cm="1">
        <f t="array" ref="P428">IFERROR(_xlfn.XLOOKUP(C428&amp;A428, ESPN!A:A&amp;ESPN!C:C, ESPN!J:J), "N/A")</f>
        <v>N/A</v>
      </c>
      <c r="Q428" s="26" t="str" cm="1">
        <f t="array" ref="Q428">IFERROR(_xlfn.XLOOKUP(C428&amp;A428, ESPN!A:A&amp;ESPN!C:C, ESPN!K:K), "N/A")</f>
        <v>N/A</v>
      </c>
    </row>
    <row r="429" spans="1:17" x14ac:dyDescent="0.45">
      <c r="A429" s="7">
        <v>2023</v>
      </c>
      <c r="B429" s="3" t="s">
        <v>285</v>
      </c>
      <c r="C429" s="4" t="str">
        <f t="shared" si="12"/>
        <v>Damien Harris</v>
      </c>
      <c r="D429" s="4" t="str">
        <f t="shared" si="13"/>
        <v>BUF</v>
      </c>
      <c r="E429" s="4">
        <v>7</v>
      </c>
      <c r="F429" s="12">
        <v>2</v>
      </c>
      <c r="G429" s="11">
        <v>2</v>
      </c>
      <c r="H429" s="11">
        <v>16</v>
      </c>
      <c r="I429" s="11">
        <v>8</v>
      </c>
      <c r="J429" s="11">
        <v>0</v>
      </c>
      <c r="K429" s="11">
        <v>0</v>
      </c>
      <c r="L429" s="11" t="str" cm="1">
        <f t="array" ref="L429">IFERROR(_xlfn.XLOOKUP(C429&amp;A429, ESPN!A:A&amp;ESPN!C:C, ESPN!D:D), "N/A")</f>
        <v>N/A</v>
      </c>
      <c r="M429" s="23" t="str" cm="1">
        <f t="array" ref="M429">IFERROR(_xlfn.XLOOKUP(C429&amp;A429, ESPN!A:A&amp;ESPN!C:C, ESPN!G:G), "N/A")</f>
        <v>N/A</v>
      </c>
      <c r="N429" s="23" t="str" cm="1">
        <f t="array" ref="N429">IFERROR(_xlfn.XLOOKUP(C429&amp;A429, ESPN!A:A&amp;ESPN!C:C, ESPN!H:H), "N/A")</f>
        <v>N/A</v>
      </c>
      <c r="O429" s="26" t="str" cm="1">
        <f t="array" ref="O429">IFERROR(_xlfn.XLOOKUP(C429&amp;A429, ESPN!A:A&amp;ESPN!C:C, ESPN!I:I), "N/A")</f>
        <v>N/A</v>
      </c>
      <c r="P429" s="26" t="str" cm="1">
        <f t="array" ref="P429">IFERROR(_xlfn.XLOOKUP(C429&amp;A429, ESPN!A:A&amp;ESPN!C:C, ESPN!J:J), "N/A")</f>
        <v>N/A</v>
      </c>
      <c r="Q429" s="26" t="str" cm="1">
        <f t="array" ref="Q429">IFERROR(_xlfn.XLOOKUP(C429&amp;A429, ESPN!A:A&amp;ESPN!C:C, ESPN!K:K), "N/A")</f>
        <v>N/A</v>
      </c>
    </row>
    <row r="430" spans="1:17" x14ac:dyDescent="0.45">
      <c r="A430" s="6">
        <v>2023</v>
      </c>
      <c r="B430" s="1" t="s">
        <v>286</v>
      </c>
      <c r="C430" s="2" t="str">
        <f t="shared" si="12"/>
        <v>Melvin Gordon III</v>
      </c>
      <c r="D430" s="2" t="str">
        <f t="shared" si="13"/>
        <v>BAL</v>
      </c>
      <c r="E430" s="2">
        <v>4</v>
      </c>
      <c r="F430" s="12">
        <v>3</v>
      </c>
      <c r="G430" s="11">
        <v>3</v>
      </c>
      <c r="H430" s="11">
        <v>46</v>
      </c>
      <c r="I430" s="11">
        <v>15.3</v>
      </c>
      <c r="J430" s="11">
        <v>0</v>
      </c>
      <c r="K430" s="11">
        <v>1</v>
      </c>
      <c r="L430" s="11" t="str" cm="1">
        <f t="array" ref="L430">IFERROR(_xlfn.XLOOKUP(C430&amp;A430, ESPN!A:A&amp;ESPN!C:C, ESPN!D:D), "N/A")</f>
        <v>N/A</v>
      </c>
      <c r="M430" s="23" t="str" cm="1">
        <f t="array" ref="M430">IFERROR(_xlfn.XLOOKUP(C430&amp;A430, ESPN!A:A&amp;ESPN!C:C, ESPN!G:G), "N/A")</f>
        <v>N/A</v>
      </c>
      <c r="N430" s="23" t="str" cm="1">
        <f t="array" ref="N430">IFERROR(_xlfn.XLOOKUP(C430&amp;A430, ESPN!A:A&amp;ESPN!C:C, ESPN!H:H), "N/A")</f>
        <v>N/A</v>
      </c>
      <c r="O430" s="26" t="str" cm="1">
        <f t="array" ref="O430">IFERROR(_xlfn.XLOOKUP(C430&amp;A430, ESPN!A:A&amp;ESPN!C:C, ESPN!I:I), "N/A")</f>
        <v>N/A</v>
      </c>
      <c r="P430" s="26" t="str" cm="1">
        <f t="array" ref="P430">IFERROR(_xlfn.XLOOKUP(C430&amp;A430, ESPN!A:A&amp;ESPN!C:C, ESPN!J:J), "N/A")</f>
        <v>N/A</v>
      </c>
      <c r="Q430" s="26" t="str" cm="1">
        <f t="array" ref="Q430">IFERROR(_xlfn.XLOOKUP(C430&amp;A430, ESPN!A:A&amp;ESPN!C:C, ESPN!K:K), "N/A")</f>
        <v>N/A</v>
      </c>
    </row>
    <row r="431" spans="1:17" x14ac:dyDescent="0.45">
      <c r="A431" s="7">
        <v>2023</v>
      </c>
      <c r="B431" s="3" t="s">
        <v>109</v>
      </c>
      <c r="C431" s="4" t="str">
        <f t="shared" si="12"/>
        <v>Ronnie Rivers</v>
      </c>
      <c r="D431" s="4" t="str">
        <f t="shared" si="13"/>
        <v>LAR</v>
      </c>
      <c r="E431" s="4">
        <v>9</v>
      </c>
      <c r="F431" s="12">
        <v>5</v>
      </c>
      <c r="G431" s="11">
        <v>5</v>
      </c>
      <c r="H431" s="11">
        <v>22</v>
      </c>
      <c r="I431" s="11">
        <v>4.4000000000000004</v>
      </c>
      <c r="J431" s="11">
        <v>0</v>
      </c>
      <c r="K431" s="11">
        <v>0</v>
      </c>
      <c r="L431" s="11" t="str" cm="1">
        <f t="array" ref="L431">IFERROR(_xlfn.XLOOKUP(C431&amp;A431, ESPN!A:A&amp;ESPN!C:C, ESPN!D:D), "N/A")</f>
        <v>N/A</v>
      </c>
      <c r="M431" s="23" t="str" cm="1">
        <f t="array" ref="M431">IFERROR(_xlfn.XLOOKUP(C431&amp;A431, ESPN!A:A&amp;ESPN!C:C, ESPN!G:G), "N/A")</f>
        <v>N/A</v>
      </c>
      <c r="N431" s="23" t="str" cm="1">
        <f t="array" ref="N431">IFERROR(_xlfn.XLOOKUP(C431&amp;A431, ESPN!A:A&amp;ESPN!C:C, ESPN!H:H), "N/A")</f>
        <v>N/A</v>
      </c>
      <c r="O431" s="26" t="str" cm="1">
        <f t="array" ref="O431">IFERROR(_xlfn.XLOOKUP(C431&amp;A431, ESPN!A:A&amp;ESPN!C:C, ESPN!I:I), "N/A")</f>
        <v>N/A</v>
      </c>
      <c r="P431" s="26" t="str" cm="1">
        <f t="array" ref="P431">IFERROR(_xlfn.XLOOKUP(C431&amp;A431, ESPN!A:A&amp;ESPN!C:C, ESPN!J:J), "N/A")</f>
        <v>N/A</v>
      </c>
      <c r="Q431" s="26" t="str" cm="1">
        <f t="array" ref="Q431">IFERROR(_xlfn.XLOOKUP(C431&amp;A431, ESPN!A:A&amp;ESPN!C:C, ESPN!K:K), "N/A")</f>
        <v>N/A</v>
      </c>
    </row>
    <row r="432" spans="1:17" x14ac:dyDescent="0.45">
      <c r="A432" s="6">
        <v>2023</v>
      </c>
      <c r="B432" s="1" t="s">
        <v>287</v>
      </c>
      <c r="C432" s="2" t="str">
        <f t="shared" si="12"/>
        <v>Isaiah Spiller</v>
      </c>
      <c r="D432" s="2" t="str">
        <f t="shared" si="13"/>
        <v>LAC</v>
      </c>
      <c r="E432" s="2">
        <v>9</v>
      </c>
      <c r="F432" s="12">
        <v>6</v>
      </c>
      <c r="G432" s="11">
        <v>6</v>
      </c>
      <c r="H432" s="11">
        <v>34</v>
      </c>
      <c r="I432" s="11">
        <v>5.7</v>
      </c>
      <c r="J432" s="11">
        <v>0</v>
      </c>
      <c r="K432" s="11">
        <v>0</v>
      </c>
      <c r="L432" s="11" t="str" cm="1">
        <f t="array" ref="L432">IFERROR(_xlfn.XLOOKUP(C432&amp;A432, ESPN!A:A&amp;ESPN!C:C, ESPN!D:D), "N/A")</f>
        <v>N/A</v>
      </c>
      <c r="M432" s="23" t="str" cm="1">
        <f t="array" ref="M432">IFERROR(_xlfn.XLOOKUP(C432&amp;A432, ESPN!A:A&amp;ESPN!C:C, ESPN!G:G), "N/A")</f>
        <v>N/A</v>
      </c>
      <c r="N432" s="23" t="str" cm="1">
        <f t="array" ref="N432">IFERROR(_xlfn.XLOOKUP(C432&amp;A432, ESPN!A:A&amp;ESPN!C:C, ESPN!H:H), "N/A")</f>
        <v>N/A</v>
      </c>
      <c r="O432" s="26" t="str" cm="1">
        <f t="array" ref="O432">IFERROR(_xlfn.XLOOKUP(C432&amp;A432, ESPN!A:A&amp;ESPN!C:C, ESPN!I:I), "N/A")</f>
        <v>N/A</v>
      </c>
      <c r="P432" s="26" t="str" cm="1">
        <f t="array" ref="P432">IFERROR(_xlfn.XLOOKUP(C432&amp;A432, ESPN!A:A&amp;ESPN!C:C, ESPN!J:J), "N/A")</f>
        <v>N/A</v>
      </c>
      <c r="Q432" s="26" t="str" cm="1">
        <f t="array" ref="Q432">IFERROR(_xlfn.XLOOKUP(C432&amp;A432, ESPN!A:A&amp;ESPN!C:C, ESPN!K:K), "N/A")</f>
        <v>N/A</v>
      </c>
    </row>
    <row r="433" spans="1:17" x14ac:dyDescent="0.45">
      <c r="A433" s="7">
        <v>2023</v>
      </c>
      <c r="B433" s="3" t="s">
        <v>122</v>
      </c>
      <c r="C433" s="4" t="str">
        <f t="shared" si="12"/>
        <v>Tyler Goodson</v>
      </c>
      <c r="D433" s="4" t="str">
        <f t="shared" si="13"/>
        <v>IND</v>
      </c>
      <c r="E433" s="4">
        <v>6</v>
      </c>
      <c r="F433" s="12">
        <v>9</v>
      </c>
      <c r="G433" s="11">
        <v>6</v>
      </c>
      <c r="H433" s="11">
        <v>34</v>
      </c>
      <c r="I433" s="11">
        <v>5.7</v>
      </c>
      <c r="J433" s="11">
        <v>0</v>
      </c>
      <c r="K433" s="11">
        <v>0</v>
      </c>
      <c r="L433" s="11" t="str" cm="1">
        <f t="array" ref="L433">IFERROR(_xlfn.XLOOKUP(C433&amp;A433, ESPN!A:A&amp;ESPN!C:C, ESPN!D:D), "N/A")</f>
        <v>N/A</v>
      </c>
      <c r="M433" s="23" t="str" cm="1">
        <f t="array" ref="M433">IFERROR(_xlfn.XLOOKUP(C433&amp;A433, ESPN!A:A&amp;ESPN!C:C, ESPN!G:G), "N/A")</f>
        <v>N/A</v>
      </c>
      <c r="N433" s="23" t="str" cm="1">
        <f t="array" ref="N433">IFERROR(_xlfn.XLOOKUP(C433&amp;A433, ESPN!A:A&amp;ESPN!C:C, ESPN!H:H), "N/A")</f>
        <v>N/A</v>
      </c>
      <c r="O433" s="26" t="str" cm="1">
        <f t="array" ref="O433">IFERROR(_xlfn.XLOOKUP(C433&amp;A433, ESPN!A:A&amp;ESPN!C:C, ESPN!I:I), "N/A")</f>
        <v>N/A</v>
      </c>
      <c r="P433" s="26" t="str" cm="1">
        <f t="array" ref="P433">IFERROR(_xlfn.XLOOKUP(C433&amp;A433, ESPN!A:A&amp;ESPN!C:C, ESPN!J:J), "N/A")</f>
        <v>N/A</v>
      </c>
      <c r="Q433" s="26" t="str" cm="1">
        <f t="array" ref="Q433">IFERROR(_xlfn.XLOOKUP(C433&amp;A433, ESPN!A:A&amp;ESPN!C:C, ESPN!K:K), "N/A")</f>
        <v>N/A</v>
      </c>
    </row>
    <row r="434" spans="1:17" x14ac:dyDescent="0.45">
      <c r="A434" s="6">
        <v>2023</v>
      </c>
      <c r="B434" s="1" t="s">
        <v>134</v>
      </c>
      <c r="C434" s="2" t="str">
        <f t="shared" si="12"/>
        <v>Alec Ingold</v>
      </c>
      <c r="D434" s="2" t="str">
        <f t="shared" si="13"/>
        <v>MIA</v>
      </c>
      <c r="E434" s="2">
        <v>17</v>
      </c>
      <c r="F434" s="12">
        <v>16</v>
      </c>
      <c r="G434" s="11">
        <v>13</v>
      </c>
      <c r="H434" s="11">
        <v>119</v>
      </c>
      <c r="I434" s="11">
        <v>9.1999999999999993</v>
      </c>
      <c r="J434" s="11">
        <v>0</v>
      </c>
      <c r="K434" s="11">
        <v>0</v>
      </c>
      <c r="L434" s="11" t="str" cm="1">
        <f t="array" ref="L434">IFERROR(_xlfn.XLOOKUP(C434&amp;A434, ESPN!A:A&amp;ESPN!C:C, ESPN!D:D), "N/A")</f>
        <v>N/A</v>
      </c>
      <c r="M434" s="23" t="str" cm="1">
        <f t="array" ref="M434">IFERROR(_xlfn.XLOOKUP(C434&amp;A434, ESPN!A:A&amp;ESPN!C:C, ESPN!G:G), "N/A")</f>
        <v>N/A</v>
      </c>
      <c r="N434" s="23" t="str" cm="1">
        <f t="array" ref="N434">IFERROR(_xlfn.XLOOKUP(C434&amp;A434, ESPN!A:A&amp;ESPN!C:C, ESPN!H:H), "N/A")</f>
        <v>N/A</v>
      </c>
      <c r="O434" s="26" t="str" cm="1">
        <f t="array" ref="O434">IFERROR(_xlfn.XLOOKUP(C434&amp;A434, ESPN!A:A&amp;ESPN!C:C, ESPN!I:I), "N/A")</f>
        <v>N/A</v>
      </c>
      <c r="P434" s="26" t="str" cm="1">
        <f t="array" ref="P434">IFERROR(_xlfn.XLOOKUP(C434&amp;A434, ESPN!A:A&amp;ESPN!C:C, ESPN!J:J), "N/A")</f>
        <v>N/A</v>
      </c>
      <c r="Q434" s="26" t="str" cm="1">
        <f t="array" ref="Q434">IFERROR(_xlfn.XLOOKUP(C434&amp;A434, ESPN!A:A&amp;ESPN!C:C, ESPN!K:K), "N/A")</f>
        <v>N/A</v>
      </c>
    </row>
    <row r="435" spans="1:17" x14ac:dyDescent="0.45">
      <c r="A435" s="7">
        <v>2023</v>
      </c>
      <c r="B435" s="3" t="s">
        <v>288</v>
      </c>
      <c r="C435" s="4" t="str">
        <f t="shared" si="12"/>
        <v>Boston Scott</v>
      </c>
      <c r="D435" s="4" t="str">
        <f t="shared" si="13"/>
        <v>PHI</v>
      </c>
      <c r="E435" s="4">
        <v>12</v>
      </c>
      <c r="F435" s="12">
        <v>6</v>
      </c>
      <c r="G435" s="11">
        <v>4</v>
      </c>
      <c r="H435" s="11">
        <v>52</v>
      </c>
      <c r="I435" s="11">
        <v>13</v>
      </c>
      <c r="J435" s="11">
        <v>0</v>
      </c>
      <c r="K435" s="11">
        <v>1</v>
      </c>
      <c r="L435" s="11" t="str" cm="1">
        <f t="array" ref="L435">IFERROR(_xlfn.XLOOKUP(C435&amp;A435, ESPN!A:A&amp;ESPN!C:C, ESPN!D:D), "N/A")</f>
        <v>N/A</v>
      </c>
      <c r="M435" s="23" t="str" cm="1">
        <f t="array" ref="M435">IFERROR(_xlfn.XLOOKUP(C435&amp;A435, ESPN!A:A&amp;ESPN!C:C, ESPN!G:G), "N/A")</f>
        <v>N/A</v>
      </c>
      <c r="N435" s="23" t="str" cm="1">
        <f t="array" ref="N435">IFERROR(_xlfn.XLOOKUP(C435&amp;A435, ESPN!A:A&amp;ESPN!C:C, ESPN!H:H), "N/A")</f>
        <v>N/A</v>
      </c>
      <c r="O435" s="26" t="str" cm="1">
        <f t="array" ref="O435">IFERROR(_xlfn.XLOOKUP(C435&amp;A435, ESPN!A:A&amp;ESPN!C:C, ESPN!I:I), "N/A")</f>
        <v>N/A</v>
      </c>
      <c r="P435" s="26" t="str" cm="1">
        <f t="array" ref="P435">IFERROR(_xlfn.XLOOKUP(C435&amp;A435, ESPN!A:A&amp;ESPN!C:C, ESPN!J:J), "N/A")</f>
        <v>N/A</v>
      </c>
      <c r="Q435" s="26" t="str" cm="1">
        <f t="array" ref="Q435">IFERROR(_xlfn.XLOOKUP(C435&amp;A435, ESPN!A:A&amp;ESPN!C:C, ESPN!K:K), "N/A")</f>
        <v>N/A</v>
      </c>
    </row>
    <row r="436" spans="1:17" x14ac:dyDescent="0.45">
      <c r="A436" s="6">
        <v>2023</v>
      </c>
      <c r="B436" s="1" t="s">
        <v>144</v>
      </c>
      <c r="C436" s="2" t="str">
        <f t="shared" si="12"/>
        <v>Patrick Ricard</v>
      </c>
      <c r="D436" s="2" t="str">
        <f t="shared" si="13"/>
        <v>BAL</v>
      </c>
      <c r="E436" s="2">
        <v>17</v>
      </c>
      <c r="F436" s="12">
        <v>7</v>
      </c>
      <c r="G436" s="11">
        <v>5</v>
      </c>
      <c r="H436" s="11">
        <v>52</v>
      </c>
      <c r="I436" s="11">
        <v>10.4</v>
      </c>
      <c r="J436" s="11">
        <v>1</v>
      </c>
      <c r="K436" s="11">
        <v>0</v>
      </c>
      <c r="L436" s="11" t="str" cm="1">
        <f t="array" ref="L436">IFERROR(_xlfn.XLOOKUP(C436&amp;A436, ESPN!A:A&amp;ESPN!C:C, ESPN!D:D), "N/A")</f>
        <v>N/A</v>
      </c>
      <c r="M436" s="23" t="str" cm="1">
        <f t="array" ref="M436">IFERROR(_xlfn.XLOOKUP(C436&amp;A436, ESPN!A:A&amp;ESPN!C:C, ESPN!G:G), "N/A")</f>
        <v>N/A</v>
      </c>
      <c r="N436" s="23" t="str" cm="1">
        <f t="array" ref="N436">IFERROR(_xlfn.XLOOKUP(C436&amp;A436, ESPN!A:A&amp;ESPN!C:C, ESPN!H:H), "N/A")</f>
        <v>N/A</v>
      </c>
      <c r="O436" s="26" t="str" cm="1">
        <f t="array" ref="O436">IFERROR(_xlfn.XLOOKUP(C436&amp;A436, ESPN!A:A&amp;ESPN!C:C, ESPN!I:I), "N/A")</f>
        <v>N/A</v>
      </c>
      <c r="P436" s="26" t="str" cm="1">
        <f t="array" ref="P436">IFERROR(_xlfn.XLOOKUP(C436&amp;A436, ESPN!A:A&amp;ESPN!C:C, ESPN!J:J), "N/A")</f>
        <v>N/A</v>
      </c>
      <c r="Q436" s="26" t="str" cm="1">
        <f t="array" ref="Q436">IFERROR(_xlfn.XLOOKUP(C436&amp;A436, ESPN!A:A&amp;ESPN!C:C, ESPN!K:K), "N/A")</f>
        <v>N/A</v>
      </c>
    </row>
    <row r="437" spans="1:17" x14ac:dyDescent="0.45">
      <c r="A437" s="7">
        <v>2023</v>
      </c>
      <c r="B437" s="3" t="s">
        <v>289</v>
      </c>
      <c r="C437" s="4" t="str">
        <f t="shared" si="12"/>
        <v>Brandon Bolden</v>
      </c>
      <c r="D437" s="4" t="str">
        <f t="shared" si="13"/>
        <v>LV</v>
      </c>
      <c r="E437" s="4">
        <v>5</v>
      </c>
      <c r="F437" s="12">
        <v>0</v>
      </c>
      <c r="G437" s="11">
        <v>0</v>
      </c>
      <c r="H437" s="11">
        <v>0</v>
      </c>
      <c r="I437" s="11">
        <v>0</v>
      </c>
      <c r="J437" s="11">
        <v>0</v>
      </c>
      <c r="K437" s="11">
        <v>0</v>
      </c>
      <c r="L437" s="11" t="str" cm="1">
        <f t="array" ref="L437">IFERROR(_xlfn.XLOOKUP(C437&amp;A437, ESPN!A:A&amp;ESPN!C:C, ESPN!D:D), "N/A")</f>
        <v>N/A</v>
      </c>
      <c r="M437" s="23" t="str" cm="1">
        <f t="array" ref="M437">IFERROR(_xlfn.XLOOKUP(C437&amp;A437, ESPN!A:A&amp;ESPN!C:C, ESPN!G:G), "N/A")</f>
        <v>N/A</v>
      </c>
      <c r="N437" s="23" t="str" cm="1">
        <f t="array" ref="N437">IFERROR(_xlfn.XLOOKUP(C437&amp;A437, ESPN!A:A&amp;ESPN!C:C, ESPN!H:H), "N/A")</f>
        <v>N/A</v>
      </c>
      <c r="O437" s="26" t="str" cm="1">
        <f t="array" ref="O437">IFERROR(_xlfn.XLOOKUP(C437&amp;A437, ESPN!A:A&amp;ESPN!C:C, ESPN!I:I), "N/A")</f>
        <v>N/A</v>
      </c>
      <c r="P437" s="26" t="str" cm="1">
        <f t="array" ref="P437">IFERROR(_xlfn.XLOOKUP(C437&amp;A437, ESPN!A:A&amp;ESPN!C:C, ESPN!J:J), "N/A")</f>
        <v>N/A</v>
      </c>
      <c r="Q437" s="26" t="str" cm="1">
        <f t="array" ref="Q437">IFERROR(_xlfn.XLOOKUP(C437&amp;A437, ESPN!A:A&amp;ESPN!C:C, ESPN!K:K), "N/A")</f>
        <v>N/A</v>
      </c>
    </row>
    <row r="438" spans="1:17" x14ac:dyDescent="0.45">
      <c r="A438" s="6">
        <v>2023</v>
      </c>
      <c r="B438" s="1" t="s">
        <v>214</v>
      </c>
      <c r="C438" s="2" t="str">
        <f t="shared" si="12"/>
        <v>Raheem Blackshear</v>
      </c>
      <c r="D438" s="2" t="str">
        <f t="shared" si="13"/>
        <v>CAR</v>
      </c>
      <c r="E438" s="2">
        <v>11</v>
      </c>
      <c r="F438" s="12">
        <v>7</v>
      </c>
      <c r="G438" s="11">
        <v>6</v>
      </c>
      <c r="H438" s="11">
        <v>45</v>
      </c>
      <c r="I438" s="11">
        <v>7.5</v>
      </c>
      <c r="J438" s="11">
        <v>0</v>
      </c>
      <c r="K438" s="11">
        <v>0</v>
      </c>
      <c r="L438" s="11" t="str" cm="1">
        <f t="array" ref="L438">IFERROR(_xlfn.XLOOKUP(C438&amp;A438, ESPN!A:A&amp;ESPN!C:C, ESPN!D:D), "N/A")</f>
        <v>N/A</v>
      </c>
      <c r="M438" s="23" t="str" cm="1">
        <f t="array" ref="M438">IFERROR(_xlfn.XLOOKUP(C438&amp;A438, ESPN!A:A&amp;ESPN!C:C, ESPN!G:G), "N/A")</f>
        <v>N/A</v>
      </c>
      <c r="N438" s="23" t="str" cm="1">
        <f t="array" ref="N438">IFERROR(_xlfn.XLOOKUP(C438&amp;A438, ESPN!A:A&amp;ESPN!C:C, ESPN!H:H), "N/A")</f>
        <v>N/A</v>
      </c>
      <c r="O438" s="26" t="str" cm="1">
        <f t="array" ref="O438">IFERROR(_xlfn.XLOOKUP(C438&amp;A438, ESPN!A:A&amp;ESPN!C:C, ESPN!I:I), "N/A")</f>
        <v>N/A</v>
      </c>
      <c r="P438" s="26" t="str" cm="1">
        <f t="array" ref="P438">IFERROR(_xlfn.XLOOKUP(C438&amp;A438, ESPN!A:A&amp;ESPN!C:C, ESPN!J:J), "N/A")</f>
        <v>N/A</v>
      </c>
      <c r="Q438" s="26" t="str" cm="1">
        <f t="array" ref="Q438">IFERROR(_xlfn.XLOOKUP(C438&amp;A438, ESPN!A:A&amp;ESPN!C:C, ESPN!K:K), "N/A")</f>
        <v>N/A</v>
      </c>
    </row>
    <row r="439" spans="1:17" x14ac:dyDescent="0.45">
      <c r="A439" s="7">
        <v>2023</v>
      </c>
      <c r="B439" s="3" t="s">
        <v>290</v>
      </c>
      <c r="C439" s="4" t="str">
        <f t="shared" si="12"/>
        <v>La'Mical Perine</v>
      </c>
      <c r="D439" s="4" t="str">
        <f t="shared" si="13"/>
        <v>KC</v>
      </c>
      <c r="E439" s="4">
        <v>2</v>
      </c>
      <c r="F439" s="12">
        <v>5</v>
      </c>
      <c r="G439" s="11">
        <v>3</v>
      </c>
      <c r="H439" s="11">
        <v>33</v>
      </c>
      <c r="I439" s="11">
        <v>11</v>
      </c>
      <c r="J439" s="11">
        <v>0</v>
      </c>
      <c r="K439" s="11">
        <v>0</v>
      </c>
      <c r="L439" s="11" t="str" cm="1">
        <f t="array" ref="L439">IFERROR(_xlfn.XLOOKUP(C439&amp;A439, ESPN!A:A&amp;ESPN!C:C, ESPN!D:D), "N/A")</f>
        <v>N/A</v>
      </c>
      <c r="M439" s="23" t="str" cm="1">
        <f t="array" ref="M439">IFERROR(_xlfn.XLOOKUP(C439&amp;A439, ESPN!A:A&amp;ESPN!C:C, ESPN!G:G), "N/A")</f>
        <v>N/A</v>
      </c>
      <c r="N439" s="23" t="str" cm="1">
        <f t="array" ref="N439">IFERROR(_xlfn.XLOOKUP(C439&amp;A439, ESPN!A:A&amp;ESPN!C:C, ESPN!H:H), "N/A")</f>
        <v>N/A</v>
      </c>
      <c r="O439" s="26" t="str" cm="1">
        <f t="array" ref="O439">IFERROR(_xlfn.XLOOKUP(C439&amp;A439, ESPN!A:A&amp;ESPN!C:C, ESPN!I:I), "N/A")</f>
        <v>N/A</v>
      </c>
      <c r="P439" s="26" t="str" cm="1">
        <f t="array" ref="P439">IFERROR(_xlfn.XLOOKUP(C439&amp;A439, ESPN!A:A&amp;ESPN!C:C, ESPN!J:J), "N/A")</f>
        <v>N/A</v>
      </c>
      <c r="Q439" s="26" t="str" cm="1">
        <f t="array" ref="Q439">IFERROR(_xlfn.XLOOKUP(C439&amp;A439, ESPN!A:A&amp;ESPN!C:C, ESPN!K:K), "N/A")</f>
        <v>N/A</v>
      </c>
    </row>
    <row r="440" spans="1:17" x14ac:dyDescent="0.45">
      <c r="A440" s="6">
        <v>2023</v>
      </c>
      <c r="B440" s="1" t="s">
        <v>48</v>
      </c>
      <c r="C440" s="2" t="str">
        <f t="shared" si="12"/>
        <v>Emanuel Wilson</v>
      </c>
      <c r="D440" s="2" t="str">
        <f t="shared" si="13"/>
        <v>GB</v>
      </c>
      <c r="E440" s="2">
        <v>7</v>
      </c>
      <c r="F440" s="12">
        <v>5</v>
      </c>
      <c r="G440" s="11">
        <v>4</v>
      </c>
      <c r="H440" s="11">
        <v>23</v>
      </c>
      <c r="I440" s="11">
        <v>5.8</v>
      </c>
      <c r="J440" s="11">
        <v>0</v>
      </c>
      <c r="K440" s="11">
        <v>0</v>
      </c>
      <c r="L440" s="11" t="str" cm="1">
        <f t="array" ref="L440">IFERROR(_xlfn.XLOOKUP(C440&amp;A440, ESPN!A:A&amp;ESPN!C:C, ESPN!D:D), "N/A")</f>
        <v>N/A</v>
      </c>
      <c r="M440" s="23" t="str" cm="1">
        <f t="array" ref="M440">IFERROR(_xlfn.XLOOKUP(C440&amp;A440, ESPN!A:A&amp;ESPN!C:C, ESPN!G:G), "N/A")</f>
        <v>N/A</v>
      </c>
      <c r="N440" s="23" t="str" cm="1">
        <f t="array" ref="N440">IFERROR(_xlfn.XLOOKUP(C440&amp;A440, ESPN!A:A&amp;ESPN!C:C, ESPN!H:H), "N/A")</f>
        <v>N/A</v>
      </c>
      <c r="O440" s="26" t="str" cm="1">
        <f t="array" ref="O440">IFERROR(_xlfn.XLOOKUP(C440&amp;A440, ESPN!A:A&amp;ESPN!C:C, ESPN!I:I), "N/A")</f>
        <v>N/A</v>
      </c>
      <c r="P440" s="26" t="str" cm="1">
        <f t="array" ref="P440">IFERROR(_xlfn.XLOOKUP(C440&amp;A440, ESPN!A:A&amp;ESPN!C:C, ESPN!J:J), "N/A")</f>
        <v>N/A</v>
      </c>
      <c r="Q440" s="26" t="str" cm="1">
        <f t="array" ref="Q440">IFERROR(_xlfn.XLOOKUP(C440&amp;A440, ESPN!A:A&amp;ESPN!C:C, ESPN!K:K), "N/A")</f>
        <v>N/A</v>
      </c>
    </row>
    <row r="441" spans="1:17" x14ac:dyDescent="0.45">
      <c r="A441" s="7">
        <v>2023</v>
      </c>
      <c r="B441" s="3" t="s">
        <v>291</v>
      </c>
      <c r="C441" s="4" t="str">
        <f t="shared" si="12"/>
        <v>Chris Brooks</v>
      </c>
      <c r="D441" s="4" t="str">
        <f t="shared" si="13"/>
        <v>MIA</v>
      </c>
      <c r="E441" s="4">
        <v>3</v>
      </c>
      <c r="F441" s="12">
        <v>0</v>
      </c>
      <c r="G441" s="11">
        <v>0</v>
      </c>
      <c r="H441" s="11">
        <v>0</v>
      </c>
      <c r="I441" s="11">
        <v>0</v>
      </c>
      <c r="J441" s="11">
        <v>0</v>
      </c>
      <c r="K441" s="11">
        <v>0</v>
      </c>
      <c r="L441" s="11" t="str" cm="1">
        <f t="array" ref="L441">IFERROR(_xlfn.XLOOKUP(C441&amp;A441, ESPN!A:A&amp;ESPN!C:C, ESPN!D:D), "N/A")</f>
        <v>N/A</v>
      </c>
      <c r="M441" s="23" t="str" cm="1">
        <f t="array" ref="M441">IFERROR(_xlfn.XLOOKUP(C441&amp;A441, ESPN!A:A&amp;ESPN!C:C, ESPN!G:G), "N/A")</f>
        <v>N/A</v>
      </c>
      <c r="N441" s="23" t="str" cm="1">
        <f t="array" ref="N441">IFERROR(_xlfn.XLOOKUP(C441&amp;A441, ESPN!A:A&amp;ESPN!C:C, ESPN!H:H), "N/A")</f>
        <v>N/A</v>
      </c>
      <c r="O441" s="26" t="str" cm="1">
        <f t="array" ref="O441">IFERROR(_xlfn.XLOOKUP(C441&amp;A441, ESPN!A:A&amp;ESPN!C:C, ESPN!I:I), "N/A")</f>
        <v>N/A</v>
      </c>
      <c r="P441" s="26" t="str" cm="1">
        <f t="array" ref="P441">IFERROR(_xlfn.XLOOKUP(C441&amp;A441, ESPN!A:A&amp;ESPN!C:C, ESPN!J:J), "N/A")</f>
        <v>N/A</v>
      </c>
      <c r="Q441" s="26" t="str" cm="1">
        <f t="array" ref="Q441">IFERROR(_xlfn.XLOOKUP(C441&amp;A441, ESPN!A:A&amp;ESPN!C:C, ESPN!K:K), "N/A")</f>
        <v>N/A</v>
      </c>
    </row>
    <row r="442" spans="1:17" x14ac:dyDescent="0.45">
      <c r="A442" s="6">
        <v>2023</v>
      </c>
      <c r="B442" s="1" t="s">
        <v>292</v>
      </c>
      <c r="C442" s="2" t="str">
        <f t="shared" si="12"/>
        <v>Keaontay Ingram</v>
      </c>
      <c r="D442" s="2" t="str">
        <f t="shared" si="13"/>
        <v>ARI</v>
      </c>
      <c r="E442" s="2">
        <v>7</v>
      </c>
      <c r="F442" s="12">
        <v>4</v>
      </c>
      <c r="G442" s="11">
        <v>4</v>
      </c>
      <c r="H442" s="11">
        <v>26</v>
      </c>
      <c r="I442" s="11">
        <v>6.5</v>
      </c>
      <c r="J442" s="11">
        <v>0</v>
      </c>
      <c r="K442" s="11">
        <v>0</v>
      </c>
      <c r="L442" s="11" t="str" cm="1">
        <f t="array" ref="L442">IFERROR(_xlfn.XLOOKUP(C442&amp;A442, ESPN!A:A&amp;ESPN!C:C, ESPN!D:D), "N/A")</f>
        <v>N/A</v>
      </c>
      <c r="M442" s="23" t="str" cm="1">
        <f t="array" ref="M442">IFERROR(_xlfn.XLOOKUP(C442&amp;A442, ESPN!A:A&amp;ESPN!C:C, ESPN!G:G), "N/A")</f>
        <v>N/A</v>
      </c>
      <c r="N442" s="23" t="str" cm="1">
        <f t="array" ref="N442">IFERROR(_xlfn.XLOOKUP(C442&amp;A442, ESPN!A:A&amp;ESPN!C:C, ESPN!H:H), "N/A")</f>
        <v>N/A</v>
      </c>
      <c r="O442" s="26" t="str" cm="1">
        <f t="array" ref="O442">IFERROR(_xlfn.XLOOKUP(C442&amp;A442, ESPN!A:A&amp;ESPN!C:C, ESPN!I:I), "N/A")</f>
        <v>N/A</v>
      </c>
      <c r="P442" s="26" t="str" cm="1">
        <f t="array" ref="P442">IFERROR(_xlfn.XLOOKUP(C442&amp;A442, ESPN!A:A&amp;ESPN!C:C, ESPN!J:J), "N/A")</f>
        <v>N/A</v>
      </c>
      <c r="Q442" s="26" t="str" cm="1">
        <f t="array" ref="Q442">IFERROR(_xlfn.XLOOKUP(C442&amp;A442, ESPN!A:A&amp;ESPN!C:C, ESPN!K:K), "N/A")</f>
        <v>N/A</v>
      </c>
    </row>
    <row r="443" spans="1:17" x14ac:dyDescent="0.45">
      <c r="A443" s="7">
        <v>2023</v>
      </c>
      <c r="B443" s="3" t="s">
        <v>293</v>
      </c>
      <c r="C443" s="4" t="str">
        <f t="shared" si="12"/>
        <v>J.K. Dobbins</v>
      </c>
      <c r="D443" s="4" t="str">
        <f t="shared" si="13"/>
        <v>BAL</v>
      </c>
      <c r="E443" s="4">
        <v>1</v>
      </c>
      <c r="F443" s="12">
        <v>3</v>
      </c>
      <c r="G443" s="11">
        <v>2</v>
      </c>
      <c r="H443" s="11">
        <v>15</v>
      </c>
      <c r="I443" s="11">
        <v>7.5</v>
      </c>
      <c r="J443" s="11">
        <v>0</v>
      </c>
      <c r="K443" s="11">
        <v>0</v>
      </c>
      <c r="L443" s="11" t="str" cm="1">
        <f t="array" ref="L443">IFERROR(_xlfn.XLOOKUP(C443&amp;A443, ESPN!A:A&amp;ESPN!C:C, ESPN!D:D), "N/A")</f>
        <v>N/A</v>
      </c>
      <c r="M443" s="23" t="str" cm="1">
        <f t="array" ref="M443">IFERROR(_xlfn.XLOOKUP(C443&amp;A443, ESPN!A:A&amp;ESPN!C:C, ESPN!G:G), "N/A")</f>
        <v>N/A</v>
      </c>
      <c r="N443" s="23" t="str" cm="1">
        <f t="array" ref="N443">IFERROR(_xlfn.XLOOKUP(C443&amp;A443, ESPN!A:A&amp;ESPN!C:C, ESPN!H:H), "N/A")</f>
        <v>N/A</v>
      </c>
      <c r="O443" s="26" t="str" cm="1">
        <f t="array" ref="O443">IFERROR(_xlfn.XLOOKUP(C443&amp;A443, ESPN!A:A&amp;ESPN!C:C, ESPN!I:I), "N/A")</f>
        <v>N/A</v>
      </c>
      <c r="P443" s="26" t="str" cm="1">
        <f t="array" ref="P443">IFERROR(_xlfn.XLOOKUP(C443&amp;A443, ESPN!A:A&amp;ESPN!C:C, ESPN!J:J), "N/A")</f>
        <v>N/A</v>
      </c>
      <c r="Q443" s="26" t="str" cm="1">
        <f t="array" ref="Q443">IFERROR(_xlfn.XLOOKUP(C443&amp;A443, ESPN!A:A&amp;ESPN!C:C, ESPN!K:K), "N/A")</f>
        <v>N/A</v>
      </c>
    </row>
    <row r="444" spans="1:17" x14ac:dyDescent="0.45">
      <c r="A444" s="6">
        <v>2023</v>
      </c>
      <c r="B444" s="1" t="s">
        <v>96</v>
      </c>
      <c r="C444" s="2" t="str">
        <f t="shared" si="12"/>
        <v>Hunter Luepke</v>
      </c>
      <c r="D444" s="2" t="str">
        <f t="shared" si="13"/>
        <v>DAL</v>
      </c>
      <c r="E444" s="2">
        <v>17</v>
      </c>
      <c r="F444" s="12">
        <v>4</v>
      </c>
      <c r="G444" s="11">
        <v>3</v>
      </c>
      <c r="H444" s="11">
        <v>18</v>
      </c>
      <c r="I444" s="11">
        <v>6</v>
      </c>
      <c r="J444" s="11">
        <v>0</v>
      </c>
      <c r="K444" s="11">
        <v>0</v>
      </c>
      <c r="L444" s="11" t="str" cm="1">
        <f t="array" ref="L444">IFERROR(_xlfn.XLOOKUP(C444&amp;A444, ESPN!A:A&amp;ESPN!C:C, ESPN!D:D), "N/A")</f>
        <v>N/A</v>
      </c>
      <c r="M444" s="23" t="str" cm="1">
        <f t="array" ref="M444">IFERROR(_xlfn.XLOOKUP(C444&amp;A444, ESPN!A:A&amp;ESPN!C:C, ESPN!G:G), "N/A")</f>
        <v>N/A</v>
      </c>
      <c r="N444" s="23" t="str" cm="1">
        <f t="array" ref="N444">IFERROR(_xlfn.XLOOKUP(C444&amp;A444, ESPN!A:A&amp;ESPN!C:C, ESPN!H:H), "N/A")</f>
        <v>N/A</v>
      </c>
      <c r="O444" s="26" t="str" cm="1">
        <f t="array" ref="O444">IFERROR(_xlfn.XLOOKUP(C444&amp;A444, ESPN!A:A&amp;ESPN!C:C, ESPN!I:I), "N/A")</f>
        <v>N/A</v>
      </c>
      <c r="P444" s="26" t="str" cm="1">
        <f t="array" ref="P444">IFERROR(_xlfn.XLOOKUP(C444&amp;A444, ESPN!A:A&amp;ESPN!C:C, ESPN!J:J), "N/A")</f>
        <v>N/A</v>
      </c>
      <c r="Q444" s="26" t="str" cm="1">
        <f t="array" ref="Q444">IFERROR(_xlfn.XLOOKUP(C444&amp;A444, ESPN!A:A&amp;ESPN!C:C, ESPN!K:K), "N/A")</f>
        <v>N/A</v>
      </c>
    </row>
    <row r="445" spans="1:17" x14ac:dyDescent="0.45">
      <c r="A445" s="7">
        <v>2023</v>
      </c>
      <c r="B445" s="3" t="s">
        <v>294</v>
      </c>
      <c r="C445" s="4" t="str">
        <f t="shared" si="12"/>
        <v>Israel Abanikanda</v>
      </c>
      <c r="D445" s="4" t="str">
        <f t="shared" si="13"/>
        <v>NYJ</v>
      </c>
      <c r="E445" s="4">
        <v>7</v>
      </c>
      <c r="F445" s="12">
        <v>11</v>
      </c>
      <c r="G445" s="11">
        <v>7</v>
      </c>
      <c r="H445" s="11">
        <v>43</v>
      </c>
      <c r="I445" s="11">
        <v>6.1</v>
      </c>
      <c r="J445" s="11">
        <v>0</v>
      </c>
      <c r="K445" s="11">
        <v>1</v>
      </c>
      <c r="L445" s="11" t="str" cm="1">
        <f t="array" ref="L445">IFERROR(_xlfn.XLOOKUP(C445&amp;A445, ESPN!A:A&amp;ESPN!C:C, ESPN!D:D), "N/A")</f>
        <v>N/A</v>
      </c>
      <c r="M445" s="23" t="str" cm="1">
        <f t="array" ref="M445">IFERROR(_xlfn.XLOOKUP(C445&amp;A445, ESPN!A:A&amp;ESPN!C:C, ESPN!G:G), "N/A")</f>
        <v>N/A</v>
      </c>
      <c r="N445" s="23" t="str" cm="1">
        <f t="array" ref="N445">IFERROR(_xlfn.XLOOKUP(C445&amp;A445, ESPN!A:A&amp;ESPN!C:C, ESPN!H:H), "N/A")</f>
        <v>N/A</v>
      </c>
      <c r="O445" s="26" t="str" cm="1">
        <f t="array" ref="O445">IFERROR(_xlfn.XLOOKUP(C445&amp;A445, ESPN!A:A&amp;ESPN!C:C, ESPN!I:I), "N/A")</f>
        <v>N/A</v>
      </c>
      <c r="P445" s="26" t="str" cm="1">
        <f t="array" ref="P445">IFERROR(_xlfn.XLOOKUP(C445&amp;A445, ESPN!A:A&amp;ESPN!C:C, ESPN!J:J), "N/A")</f>
        <v>N/A</v>
      </c>
      <c r="Q445" s="26" t="str" cm="1">
        <f t="array" ref="Q445">IFERROR(_xlfn.XLOOKUP(C445&amp;A445, ESPN!A:A&amp;ESPN!C:C, ESPN!K:K), "N/A")</f>
        <v>N/A</v>
      </c>
    </row>
    <row r="446" spans="1:17" x14ac:dyDescent="0.45">
      <c r="A446" s="6">
        <v>2023</v>
      </c>
      <c r="B446" s="1" t="s">
        <v>295</v>
      </c>
      <c r="C446" s="2" t="str">
        <f t="shared" si="12"/>
        <v>Nick Bawden</v>
      </c>
      <c r="D446" s="2" t="str">
        <f t="shared" si="13"/>
        <v>NYJ</v>
      </c>
      <c r="E446" s="2">
        <v>6</v>
      </c>
      <c r="F446" s="12">
        <v>3</v>
      </c>
      <c r="G446" s="11">
        <v>3</v>
      </c>
      <c r="H446" s="11">
        <v>21</v>
      </c>
      <c r="I446" s="11">
        <v>7</v>
      </c>
      <c r="J446" s="11">
        <v>0</v>
      </c>
      <c r="K446" s="11">
        <v>0</v>
      </c>
      <c r="L446" s="11" t="str" cm="1">
        <f t="array" ref="L446">IFERROR(_xlfn.XLOOKUP(C446&amp;A446, ESPN!A:A&amp;ESPN!C:C, ESPN!D:D), "N/A")</f>
        <v>N/A</v>
      </c>
      <c r="M446" s="23" t="str" cm="1">
        <f t="array" ref="M446">IFERROR(_xlfn.XLOOKUP(C446&amp;A446, ESPN!A:A&amp;ESPN!C:C, ESPN!G:G), "N/A")</f>
        <v>N/A</v>
      </c>
      <c r="N446" s="23" t="str" cm="1">
        <f t="array" ref="N446">IFERROR(_xlfn.XLOOKUP(C446&amp;A446, ESPN!A:A&amp;ESPN!C:C, ESPN!H:H), "N/A")</f>
        <v>N/A</v>
      </c>
      <c r="O446" s="26" t="str" cm="1">
        <f t="array" ref="O446">IFERROR(_xlfn.XLOOKUP(C446&amp;A446, ESPN!A:A&amp;ESPN!C:C, ESPN!I:I), "N/A")</f>
        <v>N/A</v>
      </c>
      <c r="P446" s="26" t="str" cm="1">
        <f t="array" ref="P446">IFERROR(_xlfn.XLOOKUP(C446&amp;A446, ESPN!A:A&amp;ESPN!C:C, ESPN!J:J), "N/A")</f>
        <v>N/A</v>
      </c>
      <c r="Q446" s="26" t="str" cm="1">
        <f t="array" ref="Q446">IFERROR(_xlfn.XLOOKUP(C446&amp;A446, ESPN!A:A&amp;ESPN!C:C, ESPN!K:K), "N/A")</f>
        <v>N/A</v>
      </c>
    </row>
    <row r="447" spans="1:17" x14ac:dyDescent="0.45">
      <c r="A447" s="7">
        <v>2023</v>
      </c>
      <c r="B447" s="3" t="s">
        <v>120</v>
      </c>
      <c r="C447" s="4" t="str">
        <f t="shared" si="12"/>
        <v>Dare Ogunbowale</v>
      </c>
      <c r="D447" s="4" t="str">
        <f t="shared" si="13"/>
        <v>HOU</v>
      </c>
      <c r="E447" s="4">
        <v>10</v>
      </c>
      <c r="F447" s="12">
        <v>7</v>
      </c>
      <c r="G447" s="11">
        <v>2</v>
      </c>
      <c r="H447" s="11">
        <v>18</v>
      </c>
      <c r="I447" s="11">
        <v>9</v>
      </c>
      <c r="J447" s="11">
        <v>0</v>
      </c>
      <c r="K447" s="11">
        <v>0</v>
      </c>
      <c r="L447" s="11" t="str" cm="1">
        <f t="array" ref="L447">IFERROR(_xlfn.XLOOKUP(C447&amp;A447, ESPN!A:A&amp;ESPN!C:C, ESPN!D:D), "N/A")</f>
        <v>N/A</v>
      </c>
      <c r="M447" s="23" t="str" cm="1">
        <f t="array" ref="M447">IFERROR(_xlfn.XLOOKUP(C447&amp;A447, ESPN!A:A&amp;ESPN!C:C, ESPN!G:G), "N/A")</f>
        <v>N/A</v>
      </c>
      <c r="N447" s="23" t="str" cm="1">
        <f t="array" ref="N447">IFERROR(_xlfn.XLOOKUP(C447&amp;A447, ESPN!A:A&amp;ESPN!C:C, ESPN!H:H), "N/A")</f>
        <v>N/A</v>
      </c>
      <c r="O447" s="26" t="str" cm="1">
        <f t="array" ref="O447">IFERROR(_xlfn.XLOOKUP(C447&amp;A447, ESPN!A:A&amp;ESPN!C:C, ESPN!I:I), "N/A")</f>
        <v>N/A</v>
      </c>
      <c r="P447" s="26" t="str" cm="1">
        <f t="array" ref="P447">IFERROR(_xlfn.XLOOKUP(C447&amp;A447, ESPN!A:A&amp;ESPN!C:C, ESPN!J:J), "N/A")</f>
        <v>N/A</v>
      </c>
      <c r="Q447" s="26" t="str" cm="1">
        <f t="array" ref="Q447">IFERROR(_xlfn.XLOOKUP(C447&amp;A447, ESPN!A:A&amp;ESPN!C:C, ESPN!K:K), "N/A")</f>
        <v>N/A</v>
      </c>
    </row>
    <row r="448" spans="1:17" x14ac:dyDescent="0.45">
      <c r="A448" s="6">
        <v>2023</v>
      </c>
      <c r="B448" s="1" t="s">
        <v>213</v>
      </c>
      <c r="C448" s="2" t="str">
        <f t="shared" si="12"/>
        <v>Deuce Vaughn</v>
      </c>
      <c r="D448" s="2" t="str">
        <f t="shared" si="13"/>
        <v>DAL</v>
      </c>
      <c r="E448" s="2">
        <v>7</v>
      </c>
      <c r="F448" s="12">
        <v>7</v>
      </c>
      <c r="G448" s="11">
        <v>7</v>
      </c>
      <c r="H448" s="11">
        <v>40</v>
      </c>
      <c r="I448" s="11">
        <v>5.7</v>
      </c>
      <c r="J448" s="11">
        <v>0</v>
      </c>
      <c r="K448" s="11">
        <v>0</v>
      </c>
      <c r="L448" s="11" t="str" cm="1">
        <f t="array" ref="L448">IFERROR(_xlfn.XLOOKUP(C448&amp;A448, ESPN!A:A&amp;ESPN!C:C, ESPN!D:D), "N/A")</f>
        <v>N/A</v>
      </c>
      <c r="M448" s="23" t="str" cm="1">
        <f t="array" ref="M448">IFERROR(_xlfn.XLOOKUP(C448&amp;A448, ESPN!A:A&amp;ESPN!C:C, ESPN!G:G), "N/A")</f>
        <v>N/A</v>
      </c>
      <c r="N448" s="23" t="str" cm="1">
        <f t="array" ref="N448">IFERROR(_xlfn.XLOOKUP(C448&amp;A448, ESPN!A:A&amp;ESPN!C:C, ESPN!H:H), "N/A")</f>
        <v>N/A</v>
      </c>
      <c r="O448" s="26" t="str" cm="1">
        <f t="array" ref="O448">IFERROR(_xlfn.XLOOKUP(C448&amp;A448, ESPN!A:A&amp;ESPN!C:C, ESPN!I:I), "N/A")</f>
        <v>N/A</v>
      </c>
      <c r="P448" s="26" t="str" cm="1">
        <f t="array" ref="P448">IFERROR(_xlfn.XLOOKUP(C448&amp;A448, ESPN!A:A&amp;ESPN!C:C, ESPN!J:J), "N/A")</f>
        <v>N/A</v>
      </c>
      <c r="Q448" s="26" t="str" cm="1">
        <f t="array" ref="Q448">IFERROR(_xlfn.XLOOKUP(C448&amp;A448, ESPN!A:A&amp;ESPN!C:C, ESPN!K:K), "N/A")</f>
        <v>N/A</v>
      </c>
    </row>
    <row r="449" spans="1:17" x14ac:dyDescent="0.45">
      <c r="A449" s="7">
        <v>2023</v>
      </c>
      <c r="B449" s="3" t="s">
        <v>236</v>
      </c>
      <c r="C449" s="4" t="str">
        <f t="shared" si="12"/>
        <v>Trayveon Williams</v>
      </c>
      <c r="D449" s="4" t="str">
        <f t="shared" si="13"/>
        <v>CIN</v>
      </c>
      <c r="E449" s="4">
        <v>16</v>
      </c>
      <c r="F449" s="12">
        <v>9</v>
      </c>
      <c r="G449" s="11">
        <v>7</v>
      </c>
      <c r="H449" s="11">
        <v>10</v>
      </c>
      <c r="I449" s="11">
        <v>1.4</v>
      </c>
      <c r="J449" s="11">
        <v>0</v>
      </c>
      <c r="K449" s="11">
        <v>0</v>
      </c>
      <c r="L449" s="11" t="str" cm="1">
        <f t="array" ref="L449">IFERROR(_xlfn.XLOOKUP(C449&amp;A449, ESPN!A:A&amp;ESPN!C:C, ESPN!D:D), "N/A")</f>
        <v>N/A</v>
      </c>
      <c r="M449" s="23" t="str" cm="1">
        <f t="array" ref="M449">IFERROR(_xlfn.XLOOKUP(C449&amp;A449, ESPN!A:A&amp;ESPN!C:C, ESPN!G:G), "N/A")</f>
        <v>N/A</v>
      </c>
      <c r="N449" s="23" t="str" cm="1">
        <f t="array" ref="N449">IFERROR(_xlfn.XLOOKUP(C449&amp;A449, ESPN!A:A&amp;ESPN!C:C, ESPN!H:H), "N/A")</f>
        <v>N/A</v>
      </c>
      <c r="O449" s="26" t="str" cm="1">
        <f t="array" ref="O449">IFERROR(_xlfn.XLOOKUP(C449&amp;A449, ESPN!A:A&amp;ESPN!C:C, ESPN!I:I), "N/A")</f>
        <v>N/A</v>
      </c>
      <c r="P449" s="26" t="str" cm="1">
        <f t="array" ref="P449">IFERROR(_xlfn.XLOOKUP(C449&amp;A449, ESPN!A:A&amp;ESPN!C:C, ESPN!J:J), "N/A")</f>
        <v>N/A</v>
      </c>
      <c r="Q449" s="26" t="str" cm="1">
        <f t="array" ref="Q449">IFERROR(_xlfn.XLOOKUP(C449&amp;A449, ESPN!A:A&amp;ESPN!C:C, ESPN!K:K), "N/A")</f>
        <v>N/A</v>
      </c>
    </row>
    <row r="450" spans="1:17" x14ac:dyDescent="0.45">
      <c r="A450" s="6">
        <v>2023</v>
      </c>
      <c r="B450" s="1" t="s">
        <v>166</v>
      </c>
      <c r="C450" s="2" t="str">
        <f t="shared" ref="C450:C513" si="14">TRIM(LEFT(B450, LEN(B450) - LEN(TRIM(RIGHT(SUBSTITUTE(TRIM(B450)," ",REPT(" ",100)),100)))))</f>
        <v>Eric Gray</v>
      </c>
      <c r="D450" s="2" t="str">
        <f t="shared" ref="D450:D513" si="15">MID(B450, FIND("(", B450) + 1, FIND(")", B450) - FIND("(", B450) - 1)</f>
        <v>NYG</v>
      </c>
      <c r="E450" s="2">
        <v>14</v>
      </c>
      <c r="F450" s="12">
        <v>7</v>
      </c>
      <c r="G450" s="11">
        <v>6</v>
      </c>
      <c r="H450" s="11">
        <v>22</v>
      </c>
      <c r="I450" s="11">
        <v>3.7</v>
      </c>
      <c r="J450" s="11">
        <v>0</v>
      </c>
      <c r="K450" s="11">
        <v>0</v>
      </c>
      <c r="L450" s="11" t="str" cm="1">
        <f t="array" ref="L450">IFERROR(_xlfn.XLOOKUP(C450&amp;A450, ESPN!A:A&amp;ESPN!C:C, ESPN!D:D), "N/A")</f>
        <v>N/A</v>
      </c>
      <c r="M450" s="23" t="str" cm="1">
        <f t="array" ref="M450">IFERROR(_xlfn.XLOOKUP(C450&amp;A450, ESPN!A:A&amp;ESPN!C:C, ESPN!G:G), "N/A")</f>
        <v>N/A</v>
      </c>
      <c r="N450" s="23" t="str" cm="1">
        <f t="array" ref="N450">IFERROR(_xlfn.XLOOKUP(C450&amp;A450, ESPN!A:A&amp;ESPN!C:C, ESPN!H:H), "N/A")</f>
        <v>N/A</v>
      </c>
      <c r="O450" s="26" t="str" cm="1">
        <f t="array" ref="O450">IFERROR(_xlfn.XLOOKUP(C450&amp;A450, ESPN!A:A&amp;ESPN!C:C, ESPN!I:I), "N/A")</f>
        <v>N/A</v>
      </c>
      <c r="P450" s="26" t="str" cm="1">
        <f t="array" ref="P450">IFERROR(_xlfn.XLOOKUP(C450&amp;A450, ESPN!A:A&amp;ESPN!C:C, ESPN!J:J), "N/A")</f>
        <v>N/A</v>
      </c>
      <c r="Q450" s="26" t="str" cm="1">
        <f t="array" ref="Q450">IFERROR(_xlfn.XLOOKUP(C450&amp;A450, ESPN!A:A&amp;ESPN!C:C, ESPN!K:K), "N/A")</f>
        <v>N/A</v>
      </c>
    </row>
    <row r="451" spans="1:17" x14ac:dyDescent="0.45">
      <c r="A451" s="7">
        <v>2023</v>
      </c>
      <c r="B451" s="3" t="s">
        <v>296</v>
      </c>
      <c r="C451" s="4" t="str">
        <f t="shared" si="14"/>
        <v>Gary Brightwell</v>
      </c>
      <c r="D451" s="4" t="str">
        <f t="shared" si="15"/>
        <v>NYG</v>
      </c>
      <c r="E451" s="4">
        <v>4</v>
      </c>
      <c r="F451" s="12">
        <v>7</v>
      </c>
      <c r="G451" s="11">
        <v>5</v>
      </c>
      <c r="H451" s="11">
        <v>47</v>
      </c>
      <c r="I451" s="11">
        <v>9.4</v>
      </c>
      <c r="J451" s="11">
        <v>0</v>
      </c>
      <c r="K451" s="11">
        <v>0</v>
      </c>
      <c r="L451" s="11" t="str" cm="1">
        <f t="array" ref="L451">IFERROR(_xlfn.XLOOKUP(C451&amp;A451, ESPN!A:A&amp;ESPN!C:C, ESPN!D:D), "N/A")</f>
        <v>N/A</v>
      </c>
      <c r="M451" s="23" t="str" cm="1">
        <f t="array" ref="M451">IFERROR(_xlfn.XLOOKUP(C451&amp;A451, ESPN!A:A&amp;ESPN!C:C, ESPN!G:G), "N/A")</f>
        <v>N/A</v>
      </c>
      <c r="N451" s="23" t="str" cm="1">
        <f t="array" ref="N451">IFERROR(_xlfn.XLOOKUP(C451&amp;A451, ESPN!A:A&amp;ESPN!C:C, ESPN!H:H), "N/A")</f>
        <v>N/A</v>
      </c>
      <c r="O451" s="26" t="str" cm="1">
        <f t="array" ref="O451">IFERROR(_xlfn.XLOOKUP(C451&amp;A451, ESPN!A:A&amp;ESPN!C:C, ESPN!I:I), "N/A")</f>
        <v>N/A</v>
      </c>
      <c r="P451" s="26" t="str" cm="1">
        <f t="array" ref="P451">IFERROR(_xlfn.XLOOKUP(C451&amp;A451, ESPN!A:A&amp;ESPN!C:C, ESPN!J:J), "N/A")</f>
        <v>N/A</v>
      </c>
      <c r="Q451" s="26" t="str" cm="1">
        <f t="array" ref="Q451">IFERROR(_xlfn.XLOOKUP(C451&amp;A451, ESPN!A:A&amp;ESPN!C:C, ESPN!K:K), "N/A")</f>
        <v>N/A</v>
      </c>
    </row>
    <row r="452" spans="1:17" x14ac:dyDescent="0.45">
      <c r="A452" s="6">
        <v>2023</v>
      </c>
      <c r="B452" s="1" t="s">
        <v>297</v>
      </c>
      <c r="C452" s="2" t="str">
        <f t="shared" si="14"/>
        <v>Mike Boone</v>
      </c>
      <c r="D452" s="2" t="str">
        <f t="shared" si="15"/>
        <v>HOU</v>
      </c>
      <c r="E452" s="2">
        <v>9</v>
      </c>
      <c r="F452" s="12">
        <v>9</v>
      </c>
      <c r="G452" s="11">
        <v>7</v>
      </c>
      <c r="H452" s="11">
        <v>40</v>
      </c>
      <c r="I452" s="11">
        <v>5.7</v>
      </c>
      <c r="J452" s="11">
        <v>0</v>
      </c>
      <c r="K452" s="11">
        <v>0</v>
      </c>
      <c r="L452" s="11" t="str" cm="1">
        <f t="array" ref="L452">IFERROR(_xlfn.XLOOKUP(C452&amp;A452, ESPN!A:A&amp;ESPN!C:C, ESPN!D:D), "N/A")</f>
        <v>N/A</v>
      </c>
      <c r="M452" s="23" t="str" cm="1">
        <f t="array" ref="M452">IFERROR(_xlfn.XLOOKUP(C452&amp;A452, ESPN!A:A&amp;ESPN!C:C, ESPN!G:G), "N/A")</f>
        <v>N/A</v>
      </c>
      <c r="N452" s="23" t="str" cm="1">
        <f t="array" ref="N452">IFERROR(_xlfn.XLOOKUP(C452&amp;A452, ESPN!A:A&amp;ESPN!C:C, ESPN!H:H), "N/A")</f>
        <v>N/A</v>
      </c>
      <c r="O452" s="26" t="str" cm="1">
        <f t="array" ref="O452">IFERROR(_xlfn.XLOOKUP(C452&amp;A452, ESPN!A:A&amp;ESPN!C:C, ESPN!I:I), "N/A")</f>
        <v>N/A</v>
      </c>
      <c r="P452" s="26" t="str" cm="1">
        <f t="array" ref="P452">IFERROR(_xlfn.XLOOKUP(C452&amp;A452, ESPN!A:A&amp;ESPN!C:C, ESPN!J:J), "N/A")</f>
        <v>N/A</v>
      </c>
      <c r="Q452" s="26" t="str" cm="1">
        <f t="array" ref="Q452">IFERROR(_xlfn.XLOOKUP(C452&amp;A452, ESPN!A:A&amp;ESPN!C:C, ESPN!K:K), "N/A")</f>
        <v>N/A</v>
      </c>
    </row>
    <row r="453" spans="1:17" x14ac:dyDescent="0.45">
      <c r="A453" s="7">
        <v>2023</v>
      </c>
      <c r="B453" s="3" t="s">
        <v>298</v>
      </c>
      <c r="C453" s="4" t="str">
        <f t="shared" si="14"/>
        <v>Damien Williams</v>
      </c>
      <c r="D453" s="4" t="str">
        <f t="shared" si="15"/>
        <v>ARI</v>
      </c>
      <c r="E453" s="4">
        <v>3</v>
      </c>
      <c r="F453" s="12">
        <v>2</v>
      </c>
      <c r="G453" s="11">
        <v>2</v>
      </c>
      <c r="H453" s="11">
        <v>12</v>
      </c>
      <c r="I453" s="11">
        <v>6</v>
      </c>
      <c r="J453" s="11">
        <v>0</v>
      </c>
      <c r="K453" s="11">
        <v>0</v>
      </c>
      <c r="L453" s="11" t="str" cm="1">
        <f t="array" ref="L453">IFERROR(_xlfn.XLOOKUP(C453&amp;A453, ESPN!A:A&amp;ESPN!C:C, ESPN!D:D), "N/A")</f>
        <v>N/A</v>
      </c>
      <c r="M453" s="23" t="str" cm="1">
        <f t="array" ref="M453">IFERROR(_xlfn.XLOOKUP(C453&amp;A453, ESPN!A:A&amp;ESPN!C:C, ESPN!G:G), "N/A")</f>
        <v>N/A</v>
      </c>
      <c r="N453" s="23" t="str" cm="1">
        <f t="array" ref="N453">IFERROR(_xlfn.XLOOKUP(C453&amp;A453, ESPN!A:A&amp;ESPN!C:C, ESPN!H:H), "N/A")</f>
        <v>N/A</v>
      </c>
      <c r="O453" s="26" t="str" cm="1">
        <f t="array" ref="O453">IFERROR(_xlfn.XLOOKUP(C453&amp;A453, ESPN!A:A&amp;ESPN!C:C, ESPN!I:I), "N/A")</f>
        <v>N/A</v>
      </c>
      <c r="P453" s="26" t="str" cm="1">
        <f t="array" ref="P453">IFERROR(_xlfn.XLOOKUP(C453&amp;A453, ESPN!A:A&amp;ESPN!C:C, ESPN!J:J), "N/A")</f>
        <v>N/A</v>
      </c>
      <c r="Q453" s="26" t="str" cm="1">
        <f t="array" ref="Q453">IFERROR(_xlfn.XLOOKUP(C453&amp;A453, ESPN!A:A&amp;ESPN!C:C, ESPN!K:K), "N/A")</f>
        <v>N/A</v>
      </c>
    </row>
    <row r="454" spans="1:17" x14ac:dyDescent="0.45">
      <c r="A454" s="6">
        <v>2023</v>
      </c>
      <c r="B454" s="1" t="s">
        <v>299</v>
      </c>
      <c r="C454" s="2" t="str">
        <f t="shared" si="14"/>
        <v>Ty Montgomery II</v>
      </c>
      <c r="D454" s="2" t="str">
        <f t="shared" si="15"/>
        <v>NE</v>
      </c>
      <c r="E454" s="2">
        <v>11</v>
      </c>
      <c r="F454" s="12">
        <v>12</v>
      </c>
      <c r="G454" s="11">
        <v>5</v>
      </c>
      <c r="H454" s="11">
        <v>40</v>
      </c>
      <c r="I454" s="11">
        <v>8</v>
      </c>
      <c r="J454" s="11">
        <v>0</v>
      </c>
      <c r="K454" s="11">
        <v>0</v>
      </c>
      <c r="L454" s="11" t="str" cm="1">
        <f t="array" ref="L454">IFERROR(_xlfn.XLOOKUP(C454&amp;A454, ESPN!A:A&amp;ESPN!C:C, ESPN!D:D), "N/A")</f>
        <v>N/A</v>
      </c>
      <c r="M454" s="23" t="str" cm="1">
        <f t="array" ref="M454">IFERROR(_xlfn.XLOOKUP(C454&amp;A454, ESPN!A:A&amp;ESPN!C:C, ESPN!G:G), "N/A")</f>
        <v>N/A</v>
      </c>
      <c r="N454" s="23" t="str" cm="1">
        <f t="array" ref="N454">IFERROR(_xlfn.XLOOKUP(C454&amp;A454, ESPN!A:A&amp;ESPN!C:C, ESPN!H:H), "N/A")</f>
        <v>N/A</v>
      </c>
      <c r="O454" s="26" t="str" cm="1">
        <f t="array" ref="O454">IFERROR(_xlfn.XLOOKUP(C454&amp;A454, ESPN!A:A&amp;ESPN!C:C, ESPN!I:I), "N/A")</f>
        <v>N/A</v>
      </c>
      <c r="P454" s="26" t="str" cm="1">
        <f t="array" ref="P454">IFERROR(_xlfn.XLOOKUP(C454&amp;A454, ESPN!A:A&amp;ESPN!C:C, ESPN!J:J), "N/A")</f>
        <v>N/A</v>
      </c>
      <c r="Q454" s="26" t="str" cm="1">
        <f t="array" ref="Q454">IFERROR(_xlfn.XLOOKUP(C454&amp;A454, ESPN!A:A&amp;ESPN!C:C, ESPN!K:K), "N/A")</f>
        <v>N/A</v>
      </c>
    </row>
    <row r="455" spans="1:17" x14ac:dyDescent="0.45">
      <c r="A455" s="7">
        <v>2023</v>
      </c>
      <c r="B455" s="3" t="s">
        <v>300</v>
      </c>
      <c r="C455" s="4" t="str">
        <f t="shared" si="14"/>
        <v>Ke'Shawn Vaughn</v>
      </c>
      <c r="D455" s="4" t="str">
        <f t="shared" si="15"/>
        <v>TB</v>
      </c>
      <c r="E455" s="4">
        <v>5</v>
      </c>
      <c r="F455" s="12">
        <v>5</v>
      </c>
      <c r="G455" s="11">
        <v>2</v>
      </c>
      <c r="H455" s="11">
        <v>2</v>
      </c>
      <c r="I455" s="11">
        <v>1</v>
      </c>
      <c r="J455" s="11">
        <v>0</v>
      </c>
      <c r="K455" s="11">
        <v>0</v>
      </c>
      <c r="L455" s="11" t="str" cm="1">
        <f t="array" ref="L455">IFERROR(_xlfn.XLOOKUP(C455&amp;A455, ESPN!A:A&amp;ESPN!C:C, ESPN!D:D), "N/A")</f>
        <v>N/A</v>
      </c>
      <c r="M455" s="23" t="str" cm="1">
        <f t="array" ref="M455">IFERROR(_xlfn.XLOOKUP(C455&amp;A455, ESPN!A:A&amp;ESPN!C:C, ESPN!G:G), "N/A")</f>
        <v>N/A</v>
      </c>
      <c r="N455" s="23" t="str" cm="1">
        <f t="array" ref="N455">IFERROR(_xlfn.XLOOKUP(C455&amp;A455, ESPN!A:A&amp;ESPN!C:C, ESPN!H:H), "N/A")</f>
        <v>N/A</v>
      </c>
      <c r="O455" s="26" t="str" cm="1">
        <f t="array" ref="O455">IFERROR(_xlfn.XLOOKUP(C455&amp;A455, ESPN!A:A&amp;ESPN!C:C, ESPN!I:I), "N/A")</f>
        <v>N/A</v>
      </c>
      <c r="P455" s="26" t="str" cm="1">
        <f t="array" ref="P455">IFERROR(_xlfn.XLOOKUP(C455&amp;A455, ESPN!A:A&amp;ESPN!C:C, ESPN!J:J), "N/A")</f>
        <v>N/A</v>
      </c>
      <c r="Q455" s="26" t="str" cm="1">
        <f t="array" ref="Q455">IFERROR(_xlfn.XLOOKUP(C455&amp;A455, ESPN!A:A&amp;ESPN!C:C, ESPN!K:K), "N/A")</f>
        <v>N/A</v>
      </c>
    </row>
    <row r="456" spans="1:17" x14ac:dyDescent="0.45">
      <c r="A456" s="6">
        <v>2023</v>
      </c>
      <c r="B456" s="1" t="s">
        <v>301</v>
      </c>
      <c r="C456" s="2" t="str">
        <f t="shared" si="14"/>
        <v>Leonard Fournette</v>
      </c>
      <c r="D456" s="2" t="str">
        <f t="shared" si="15"/>
        <v>BUF</v>
      </c>
      <c r="E456" s="2">
        <v>2</v>
      </c>
      <c r="F456" s="12">
        <v>0</v>
      </c>
      <c r="G456" s="11">
        <v>0</v>
      </c>
      <c r="H456" s="11">
        <v>0</v>
      </c>
      <c r="I456" s="11">
        <v>0</v>
      </c>
      <c r="J456" s="11">
        <v>0</v>
      </c>
      <c r="K456" s="11">
        <v>0</v>
      </c>
      <c r="L456" s="11" t="str" cm="1">
        <f t="array" ref="L456">IFERROR(_xlfn.XLOOKUP(C456&amp;A456, ESPN!A:A&amp;ESPN!C:C, ESPN!D:D), "N/A")</f>
        <v>N/A</v>
      </c>
      <c r="M456" s="23" t="str" cm="1">
        <f t="array" ref="M456">IFERROR(_xlfn.XLOOKUP(C456&amp;A456, ESPN!A:A&amp;ESPN!C:C, ESPN!G:G), "N/A")</f>
        <v>N/A</v>
      </c>
      <c r="N456" s="23" t="str" cm="1">
        <f t="array" ref="N456">IFERROR(_xlfn.XLOOKUP(C456&amp;A456, ESPN!A:A&amp;ESPN!C:C, ESPN!H:H), "N/A")</f>
        <v>N/A</v>
      </c>
      <c r="O456" s="26" t="str" cm="1">
        <f t="array" ref="O456">IFERROR(_xlfn.XLOOKUP(C456&amp;A456, ESPN!A:A&amp;ESPN!C:C, ESPN!I:I), "N/A")</f>
        <v>N/A</v>
      </c>
      <c r="P456" s="26" t="str" cm="1">
        <f t="array" ref="P456">IFERROR(_xlfn.XLOOKUP(C456&amp;A456, ESPN!A:A&amp;ESPN!C:C, ESPN!J:J), "N/A")</f>
        <v>N/A</v>
      </c>
      <c r="Q456" s="26" t="str" cm="1">
        <f t="array" ref="Q456">IFERROR(_xlfn.XLOOKUP(C456&amp;A456, ESPN!A:A&amp;ESPN!C:C, ESPN!K:K), "N/A")</f>
        <v>N/A</v>
      </c>
    </row>
    <row r="457" spans="1:17" x14ac:dyDescent="0.45">
      <c r="A457" s="7">
        <v>2023</v>
      </c>
      <c r="B457" s="3" t="s">
        <v>302</v>
      </c>
      <c r="C457" s="4" t="str">
        <f t="shared" si="14"/>
        <v>Rashaad Penny</v>
      </c>
      <c r="D457" s="4" t="str">
        <f t="shared" si="15"/>
        <v>PHI</v>
      </c>
      <c r="E457" s="4">
        <v>3</v>
      </c>
      <c r="F457" s="12">
        <v>1</v>
      </c>
      <c r="G457" s="11">
        <v>1</v>
      </c>
      <c r="H457" s="11">
        <v>5</v>
      </c>
      <c r="I457" s="11">
        <v>5</v>
      </c>
      <c r="J457" s="11">
        <v>0</v>
      </c>
      <c r="K457" s="11">
        <v>0</v>
      </c>
      <c r="L457" s="11" t="str" cm="1">
        <f t="array" ref="L457">IFERROR(_xlfn.XLOOKUP(C457&amp;A457, ESPN!A:A&amp;ESPN!C:C, ESPN!D:D), "N/A")</f>
        <v>N/A</v>
      </c>
      <c r="M457" s="23" t="str" cm="1">
        <f t="array" ref="M457">IFERROR(_xlfn.XLOOKUP(C457&amp;A457, ESPN!A:A&amp;ESPN!C:C, ESPN!G:G), "N/A")</f>
        <v>N/A</v>
      </c>
      <c r="N457" s="23" t="str" cm="1">
        <f t="array" ref="N457">IFERROR(_xlfn.XLOOKUP(C457&amp;A457, ESPN!A:A&amp;ESPN!C:C, ESPN!H:H), "N/A")</f>
        <v>N/A</v>
      </c>
      <c r="O457" s="26" t="str" cm="1">
        <f t="array" ref="O457">IFERROR(_xlfn.XLOOKUP(C457&amp;A457, ESPN!A:A&amp;ESPN!C:C, ESPN!I:I), "N/A")</f>
        <v>N/A</v>
      </c>
      <c r="P457" s="26" t="str" cm="1">
        <f t="array" ref="P457">IFERROR(_xlfn.XLOOKUP(C457&amp;A457, ESPN!A:A&amp;ESPN!C:C, ESPN!J:J), "N/A")</f>
        <v>N/A</v>
      </c>
      <c r="Q457" s="26" t="str" cm="1">
        <f t="array" ref="Q457">IFERROR(_xlfn.XLOOKUP(C457&amp;A457, ESPN!A:A&amp;ESPN!C:C, ESPN!K:K), "N/A")</f>
        <v>N/A</v>
      </c>
    </row>
    <row r="458" spans="1:17" x14ac:dyDescent="0.45">
      <c r="A458" s="6">
        <v>2023</v>
      </c>
      <c r="B458" s="1" t="s">
        <v>153</v>
      </c>
      <c r="C458" s="2" t="str">
        <f t="shared" si="14"/>
        <v>Michael Burton</v>
      </c>
      <c r="D458" s="2" t="str">
        <f t="shared" si="15"/>
        <v>DEN</v>
      </c>
      <c r="E458" s="2">
        <v>17</v>
      </c>
      <c r="F458" s="12">
        <v>3</v>
      </c>
      <c r="G458" s="11">
        <v>3</v>
      </c>
      <c r="H458" s="11">
        <v>8</v>
      </c>
      <c r="I458" s="11">
        <v>2.7</v>
      </c>
      <c r="J458" s="11">
        <v>0</v>
      </c>
      <c r="K458" s="11">
        <v>0</v>
      </c>
      <c r="L458" s="11" t="str" cm="1">
        <f t="array" ref="L458">IFERROR(_xlfn.XLOOKUP(C458&amp;A458, ESPN!A:A&amp;ESPN!C:C, ESPN!D:D), "N/A")</f>
        <v>N/A</v>
      </c>
      <c r="M458" s="23" t="str" cm="1">
        <f t="array" ref="M458">IFERROR(_xlfn.XLOOKUP(C458&amp;A458, ESPN!A:A&amp;ESPN!C:C, ESPN!G:G), "N/A")</f>
        <v>N/A</v>
      </c>
      <c r="N458" s="23" t="str" cm="1">
        <f t="array" ref="N458">IFERROR(_xlfn.XLOOKUP(C458&amp;A458, ESPN!A:A&amp;ESPN!C:C, ESPN!H:H), "N/A")</f>
        <v>N/A</v>
      </c>
      <c r="O458" s="26" t="str" cm="1">
        <f t="array" ref="O458">IFERROR(_xlfn.XLOOKUP(C458&amp;A458, ESPN!A:A&amp;ESPN!C:C, ESPN!I:I), "N/A")</f>
        <v>N/A</v>
      </c>
      <c r="P458" s="26" t="str" cm="1">
        <f t="array" ref="P458">IFERROR(_xlfn.XLOOKUP(C458&amp;A458, ESPN!A:A&amp;ESPN!C:C, ESPN!J:J), "N/A")</f>
        <v>N/A</v>
      </c>
      <c r="Q458" s="26" t="str" cm="1">
        <f t="array" ref="Q458">IFERROR(_xlfn.XLOOKUP(C458&amp;A458, ESPN!A:A&amp;ESPN!C:C, ESPN!K:K), "N/A")</f>
        <v>N/A</v>
      </c>
    </row>
    <row r="459" spans="1:17" x14ac:dyDescent="0.45">
      <c r="A459" s="7">
        <v>2023</v>
      </c>
      <c r="B459" s="3" t="s">
        <v>303</v>
      </c>
      <c r="C459" s="4" t="str">
        <f t="shared" si="14"/>
        <v>Keith Smith</v>
      </c>
      <c r="D459" s="4" t="str">
        <f t="shared" si="15"/>
        <v>ATL</v>
      </c>
      <c r="E459" s="4">
        <v>11</v>
      </c>
      <c r="F459" s="12">
        <v>3</v>
      </c>
      <c r="G459" s="11">
        <v>3</v>
      </c>
      <c r="H459" s="11">
        <v>33</v>
      </c>
      <c r="I459" s="11">
        <v>11</v>
      </c>
      <c r="J459" s="11">
        <v>0</v>
      </c>
      <c r="K459" s="11">
        <v>0</v>
      </c>
      <c r="L459" s="11" t="str" cm="1">
        <f t="array" ref="L459">IFERROR(_xlfn.XLOOKUP(C459&amp;A459, ESPN!A:A&amp;ESPN!C:C, ESPN!D:D), "N/A")</f>
        <v>N/A</v>
      </c>
      <c r="M459" s="23" t="str" cm="1">
        <f t="array" ref="M459">IFERROR(_xlfn.XLOOKUP(C459&amp;A459, ESPN!A:A&amp;ESPN!C:C, ESPN!G:G), "N/A")</f>
        <v>N/A</v>
      </c>
      <c r="N459" s="23" t="str" cm="1">
        <f t="array" ref="N459">IFERROR(_xlfn.XLOOKUP(C459&amp;A459, ESPN!A:A&amp;ESPN!C:C, ESPN!H:H), "N/A")</f>
        <v>N/A</v>
      </c>
      <c r="O459" s="26" t="str" cm="1">
        <f t="array" ref="O459">IFERROR(_xlfn.XLOOKUP(C459&amp;A459, ESPN!A:A&amp;ESPN!C:C, ESPN!I:I), "N/A")</f>
        <v>N/A</v>
      </c>
      <c r="P459" s="26" t="str" cm="1">
        <f t="array" ref="P459">IFERROR(_xlfn.XLOOKUP(C459&amp;A459, ESPN!A:A&amp;ESPN!C:C, ESPN!J:J), "N/A")</f>
        <v>N/A</v>
      </c>
      <c r="Q459" s="26" t="str" cm="1">
        <f t="array" ref="Q459">IFERROR(_xlfn.XLOOKUP(C459&amp;A459, ESPN!A:A&amp;ESPN!C:C, ESPN!K:K), "N/A")</f>
        <v>N/A</v>
      </c>
    </row>
    <row r="460" spans="1:17" x14ac:dyDescent="0.45">
      <c r="A460" s="6">
        <v>2023</v>
      </c>
      <c r="B460" s="1" t="s">
        <v>139</v>
      </c>
      <c r="C460" s="2" t="str">
        <f t="shared" si="14"/>
        <v>C.J. Ham</v>
      </c>
      <c r="D460" s="2" t="str">
        <f t="shared" si="15"/>
        <v>MIN</v>
      </c>
      <c r="E460" s="2">
        <v>17</v>
      </c>
      <c r="F460" s="12">
        <v>9</v>
      </c>
      <c r="G460" s="11">
        <v>7</v>
      </c>
      <c r="H460" s="11">
        <v>25</v>
      </c>
      <c r="I460" s="11">
        <v>3.6</v>
      </c>
      <c r="J460" s="11">
        <v>0</v>
      </c>
      <c r="K460" s="11">
        <v>0</v>
      </c>
      <c r="L460" s="11" t="str" cm="1">
        <f t="array" ref="L460">IFERROR(_xlfn.XLOOKUP(C460&amp;A460, ESPN!A:A&amp;ESPN!C:C, ESPN!D:D), "N/A")</f>
        <v>N/A</v>
      </c>
      <c r="M460" s="23" t="str" cm="1">
        <f t="array" ref="M460">IFERROR(_xlfn.XLOOKUP(C460&amp;A460, ESPN!A:A&amp;ESPN!C:C, ESPN!G:G), "N/A")</f>
        <v>N/A</v>
      </c>
      <c r="N460" s="23" t="str" cm="1">
        <f t="array" ref="N460">IFERROR(_xlfn.XLOOKUP(C460&amp;A460, ESPN!A:A&amp;ESPN!C:C, ESPN!H:H), "N/A")</f>
        <v>N/A</v>
      </c>
      <c r="O460" s="26" t="str" cm="1">
        <f t="array" ref="O460">IFERROR(_xlfn.XLOOKUP(C460&amp;A460, ESPN!A:A&amp;ESPN!C:C, ESPN!I:I), "N/A")</f>
        <v>N/A</v>
      </c>
      <c r="P460" s="26" t="str" cm="1">
        <f t="array" ref="P460">IFERROR(_xlfn.XLOOKUP(C460&amp;A460, ESPN!A:A&amp;ESPN!C:C, ESPN!J:J), "N/A")</f>
        <v>N/A</v>
      </c>
      <c r="Q460" s="26" t="str" cm="1">
        <f t="array" ref="Q460">IFERROR(_xlfn.XLOOKUP(C460&amp;A460, ESPN!A:A&amp;ESPN!C:C, ESPN!K:K), "N/A")</f>
        <v>N/A</v>
      </c>
    </row>
    <row r="461" spans="1:17" x14ac:dyDescent="0.45">
      <c r="A461" s="7">
        <v>2023</v>
      </c>
      <c r="B461" s="3" t="s">
        <v>58</v>
      </c>
      <c r="C461" s="4" t="str">
        <f t="shared" si="14"/>
        <v>Sean Tucker</v>
      </c>
      <c r="D461" s="4" t="str">
        <f t="shared" si="15"/>
        <v>TB</v>
      </c>
      <c r="E461" s="4">
        <v>5</v>
      </c>
      <c r="F461" s="12">
        <v>2</v>
      </c>
      <c r="G461" s="11">
        <v>2</v>
      </c>
      <c r="H461" s="11">
        <v>9</v>
      </c>
      <c r="I461" s="11">
        <v>4.5</v>
      </c>
      <c r="J461" s="11">
        <v>0</v>
      </c>
      <c r="K461" s="11">
        <v>0</v>
      </c>
      <c r="L461" s="11" t="str" cm="1">
        <f t="array" ref="L461">IFERROR(_xlfn.XLOOKUP(C461&amp;A461, ESPN!A:A&amp;ESPN!C:C, ESPN!D:D), "N/A")</f>
        <v>N/A</v>
      </c>
      <c r="M461" s="23" t="str" cm="1">
        <f t="array" ref="M461">IFERROR(_xlfn.XLOOKUP(C461&amp;A461, ESPN!A:A&amp;ESPN!C:C, ESPN!G:G), "N/A")</f>
        <v>N/A</v>
      </c>
      <c r="N461" s="23" t="str" cm="1">
        <f t="array" ref="N461">IFERROR(_xlfn.XLOOKUP(C461&amp;A461, ESPN!A:A&amp;ESPN!C:C, ESPN!H:H), "N/A")</f>
        <v>N/A</v>
      </c>
      <c r="O461" s="26" t="str" cm="1">
        <f t="array" ref="O461">IFERROR(_xlfn.XLOOKUP(C461&amp;A461, ESPN!A:A&amp;ESPN!C:C, ESPN!I:I), "N/A")</f>
        <v>N/A</v>
      </c>
      <c r="P461" s="26" t="str" cm="1">
        <f t="array" ref="P461">IFERROR(_xlfn.XLOOKUP(C461&amp;A461, ESPN!A:A&amp;ESPN!C:C, ESPN!J:J), "N/A")</f>
        <v>N/A</v>
      </c>
      <c r="Q461" s="26" t="str" cm="1">
        <f t="array" ref="Q461">IFERROR(_xlfn.XLOOKUP(C461&amp;A461, ESPN!A:A&amp;ESPN!C:C, ESPN!K:K), "N/A")</f>
        <v>N/A</v>
      </c>
    </row>
    <row r="462" spans="1:17" x14ac:dyDescent="0.45">
      <c r="A462" s="6">
        <v>2023</v>
      </c>
      <c r="B462" s="1" t="s">
        <v>239</v>
      </c>
      <c r="C462" s="2" t="str">
        <f t="shared" si="14"/>
        <v>Khari Blasingame</v>
      </c>
      <c r="D462" s="2" t="str">
        <f t="shared" si="15"/>
        <v>CHI</v>
      </c>
      <c r="E462" s="2">
        <v>8</v>
      </c>
      <c r="F462" s="12">
        <v>6</v>
      </c>
      <c r="G462" s="11">
        <v>3</v>
      </c>
      <c r="H462" s="11">
        <v>2</v>
      </c>
      <c r="I462" s="11">
        <v>0.7</v>
      </c>
      <c r="J462" s="11">
        <v>0</v>
      </c>
      <c r="K462" s="11">
        <v>0</v>
      </c>
      <c r="L462" s="11" t="str" cm="1">
        <f t="array" ref="L462">IFERROR(_xlfn.XLOOKUP(C462&amp;A462, ESPN!A:A&amp;ESPN!C:C, ESPN!D:D), "N/A")</f>
        <v>N/A</v>
      </c>
      <c r="M462" s="23" t="str" cm="1">
        <f t="array" ref="M462">IFERROR(_xlfn.XLOOKUP(C462&amp;A462, ESPN!A:A&amp;ESPN!C:C, ESPN!G:G), "N/A")</f>
        <v>N/A</v>
      </c>
      <c r="N462" s="23" t="str" cm="1">
        <f t="array" ref="N462">IFERROR(_xlfn.XLOOKUP(C462&amp;A462, ESPN!A:A&amp;ESPN!C:C, ESPN!H:H), "N/A")</f>
        <v>N/A</v>
      </c>
      <c r="O462" s="26" t="str" cm="1">
        <f t="array" ref="O462">IFERROR(_xlfn.XLOOKUP(C462&amp;A462, ESPN!A:A&amp;ESPN!C:C, ESPN!I:I), "N/A")</f>
        <v>N/A</v>
      </c>
      <c r="P462" s="26" t="str" cm="1">
        <f t="array" ref="P462">IFERROR(_xlfn.XLOOKUP(C462&amp;A462, ESPN!A:A&amp;ESPN!C:C, ESPN!J:J), "N/A")</f>
        <v>N/A</v>
      </c>
      <c r="Q462" s="26" t="str" cm="1">
        <f t="array" ref="Q462">IFERROR(_xlfn.XLOOKUP(C462&amp;A462, ESPN!A:A&amp;ESPN!C:C, ESPN!K:K), "N/A")</f>
        <v>N/A</v>
      </c>
    </row>
    <row r="463" spans="1:17" x14ac:dyDescent="0.45">
      <c r="A463" s="7">
        <v>2023</v>
      </c>
      <c r="B463" s="3" t="s">
        <v>304</v>
      </c>
      <c r="C463" s="4" t="str">
        <f t="shared" si="14"/>
        <v>Derrick Gore</v>
      </c>
      <c r="D463" s="4" t="str">
        <f t="shared" si="15"/>
        <v>WAS</v>
      </c>
      <c r="E463" s="4">
        <v>3</v>
      </c>
      <c r="F463" s="12">
        <v>0</v>
      </c>
      <c r="G463" s="11">
        <v>0</v>
      </c>
      <c r="H463" s="11">
        <v>0</v>
      </c>
      <c r="I463" s="11">
        <v>0</v>
      </c>
      <c r="J463" s="11">
        <v>0</v>
      </c>
      <c r="K463" s="11">
        <v>0</v>
      </c>
      <c r="L463" s="11" t="str" cm="1">
        <f t="array" ref="L463">IFERROR(_xlfn.XLOOKUP(C463&amp;A463, ESPN!A:A&amp;ESPN!C:C, ESPN!D:D), "N/A")</f>
        <v>N/A</v>
      </c>
      <c r="M463" s="23" t="str" cm="1">
        <f t="array" ref="M463">IFERROR(_xlfn.XLOOKUP(C463&amp;A463, ESPN!A:A&amp;ESPN!C:C, ESPN!G:G), "N/A")</f>
        <v>N/A</v>
      </c>
      <c r="N463" s="23" t="str" cm="1">
        <f t="array" ref="N463">IFERROR(_xlfn.XLOOKUP(C463&amp;A463, ESPN!A:A&amp;ESPN!C:C, ESPN!H:H), "N/A")</f>
        <v>N/A</v>
      </c>
      <c r="O463" s="26" t="str" cm="1">
        <f t="array" ref="O463">IFERROR(_xlfn.XLOOKUP(C463&amp;A463, ESPN!A:A&amp;ESPN!C:C, ESPN!I:I), "N/A")</f>
        <v>N/A</v>
      </c>
      <c r="P463" s="26" t="str" cm="1">
        <f t="array" ref="P463">IFERROR(_xlfn.XLOOKUP(C463&amp;A463, ESPN!A:A&amp;ESPN!C:C, ESPN!J:J), "N/A")</f>
        <v>N/A</v>
      </c>
      <c r="Q463" s="26" t="str" cm="1">
        <f t="array" ref="Q463">IFERROR(_xlfn.XLOOKUP(C463&amp;A463, ESPN!A:A&amp;ESPN!C:C, ESPN!K:K), "N/A")</f>
        <v>N/A</v>
      </c>
    </row>
    <row r="464" spans="1:17" x14ac:dyDescent="0.45">
      <c r="A464" s="6">
        <v>2023</v>
      </c>
      <c r="B464" s="1" t="s">
        <v>305</v>
      </c>
      <c r="C464" s="2" t="str">
        <f t="shared" si="14"/>
        <v>DeeJay Dallas</v>
      </c>
      <c r="D464" s="2" t="str">
        <f t="shared" si="15"/>
        <v>SEA</v>
      </c>
      <c r="E464" s="2">
        <v>17</v>
      </c>
      <c r="F464" s="12">
        <v>9</v>
      </c>
      <c r="G464" s="11">
        <v>6</v>
      </c>
      <c r="H464" s="11">
        <v>26</v>
      </c>
      <c r="I464" s="11">
        <v>4.3</v>
      </c>
      <c r="J464" s="11">
        <v>0</v>
      </c>
      <c r="K464" s="11">
        <v>2</v>
      </c>
      <c r="L464" s="11" t="str" cm="1">
        <f t="array" ref="L464">IFERROR(_xlfn.XLOOKUP(C464&amp;A464, ESPN!A:A&amp;ESPN!C:C, ESPN!D:D), "N/A")</f>
        <v>N/A</v>
      </c>
      <c r="M464" s="23" t="str" cm="1">
        <f t="array" ref="M464">IFERROR(_xlfn.XLOOKUP(C464&amp;A464, ESPN!A:A&amp;ESPN!C:C, ESPN!G:G), "N/A")</f>
        <v>N/A</v>
      </c>
      <c r="N464" s="23" t="str" cm="1">
        <f t="array" ref="N464">IFERROR(_xlfn.XLOOKUP(C464&amp;A464, ESPN!A:A&amp;ESPN!C:C, ESPN!H:H), "N/A")</f>
        <v>N/A</v>
      </c>
      <c r="O464" s="26" t="str" cm="1">
        <f t="array" ref="O464">IFERROR(_xlfn.XLOOKUP(C464&amp;A464, ESPN!A:A&amp;ESPN!C:C, ESPN!I:I), "N/A")</f>
        <v>N/A</v>
      </c>
      <c r="P464" s="26" t="str" cm="1">
        <f t="array" ref="P464">IFERROR(_xlfn.XLOOKUP(C464&amp;A464, ESPN!A:A&amp;ESPN!C:C, ESPN!J:J), "N/A")</f>
        <v>N/A</v>
      </c>
      <c r="Q464" s="26" t="str" cm="1">
        <f t="array" ref="Q464">IFERROR(_xlfn.XLOOKUP(C464&amp;A464, ESPN!A:A&amp;ESPN!C:C, ESPN!K:K), "N/A")</f>
        <v>N/A</v>
      </c>
    </row>
    <row r="465" spans="1:17" x14ac:dyDescent="0.45">
      <c r="A465" s="7">
        <v>2023</v>
      </c>
      <c r="B465" s="3" t="s">
        <v>306</v>
      </c>
      <c r="C465" s="4" t="str">
        <f t="shared" si="14"/>
        <v>Jake Funk</v>
      </c>
      <c r="D465" s="4" t="str">
        <f t="shared" si="15"/>
        <v>IND</v>
      </c>
      <c r="E465" s="4">
        <v>1</v>
      </c>
      <c r="F465" s="12">
        <v>1</v>
      </c>
      <c r="G465" s="11">
        <v>1</v>
      </c>
      <c r="H465" s="11">
        <v>12</v>
      </c>
      <c r="I465" s="11">
        <v>12</v>
      </c>
      <c r="J465" s="11">
        <v>0</v>
      </c>
      <c r="K465" s="11">
        <v>0</v>
      </c>
      <c r="L465" s="11" t="str" cm="1">
        <f t="array" ref="L465">IFERROR(_xlfn.XLOOKUP(C465&amp;A465, ESPN!A:A&amp;ESPN!C:C, ESPN!D:D), "N/A")</f>
        <v>N/A</v>
      </c>
      <c r="M465" s="23" t="str" cm="1">
        <f t="array" ref="M465">IFERROR(_xlfn.XLOOKUP(C465&amp;A465, ESPN!A:A&amp;ESPN!C:C, ESPN!G:G), "N/A")</f>
        <v>N/A</v>
      </c>
      <c r="N465" s="23" t="str" cm="1">
        <f t="array" ref="N465">IFERROR(_xlfn.XLOOKUP(C465&amp;A465, ESPN!A:A&amp;ESPN!C:C, ESPN!H:H), "N/A")</f>
        <v>N/A</v>
      </c>
      <c r="O465" s="26" t="str" cm="1">
        <f t="array" ref="O465">IFERROR(_xlfn.XLOOKUP(C465&amp;A465, ESPN!A:A&amp;ESPN!C:C, ESPN!I:I), "N/A")</f>
        <v>N/A</v>
      </c>
      <c r="P465" s="26" t="str" cm="1">
        <f t="array" ref="P465">IFERROR(_xlfn.XLOOKUP(C465&amp;A465, ESPN!A:A&amp;ESPN!C:C, ESPN!J:J), "N/A")</f>
        <v>N/A</v>
      </c>
      <c r="Q465" s="26" t="str" cm="1">
        <f t="array" ref="Q465">IFERROR(_xlfn.XLOOKUP(C465&amp;A465, ESPN!A:A&amp;ESPN!C:C, ESPN!K:K), "N/A")</f>
        <v>N/A</v>
      </c>
    </row>
    <row r="466" spans="1:17" x14ac:dyDescent="0.45">
      <c r="A466" s="6">
        <v>2023</v>
      </c>
      <c r="B466" s="1" t="s">
        <v>307</v>
      </c>
      <c r="C466" s="2" t="str">
        <f t="shared" si="14"/>
        <v>Tyrion Davis-Price</v>
      </c>
      <c r="D466" s="2" t="str">
        <f t="shared" si="15"/>
        <v>SF</v>
      </c>
      <c r="E466" s="2">
        <v>1</v>
      </c>
      <c r="F466" s="12">
        <v>0</v>
      </c>
      <c r="G466" s="11">
        <v>0</v>
      </c>
      <c r="H466" s="11">
        <v>0</v>
      </c>
      <c r="I466" s="11">
        <v>0</v>
      </c>
      <c r="J466" s="11">
        <v>0</v>
      </c>
      <c r="K466" s="11">
        <v>0</v>
      </c>
      <c r="L466" s="11" t="str" cm="1">
        <f t="array" ref="L466">IFERROR(_xlfn.XLOOKUP(C466&amp;A466, ESPN!A:A&amp;ESPN!C:C, ESPN!D:D), "N/A")</f>
        <v>N/A</v>
      </c>
      <c r="M466" s="23" t="str" cm="1">
        <f t="array" ref="M466">IFERROR(_xlfn.XLOOKUP(C466&amp;A466, ESPN!A:A&amp;ESPN!C:C, ESPN!G:G), "N/A")</f>
        <v>N/A</v>
      </c>
      <c r="N466" s="23" t="str" cm="1">
        <f t="array" ref="N466">IFERROR(_xlfn.XLOOKUP(C466&amp;A466, ESPN!A:A&amp;ESPN!C:C, ESPN!H:H), "N/A")</f>
        <v>N/A</v>
      </c>
      <c r="O466" s="26" t="str" cm="1">
        <f t="array" ref="O466">IFERROR(_xlfn.XLOOKUP(C466&amp;A466, ESPN!A:A&amp;ESPN!C:C, ESPN!I:I), "N/A")</f>
        <v>N/A</v>
      </c>
      <c r="P466" s="26" t="str" cm="1">
        <f t="array" ref="P466">IFERROR(_xlfn.XLOOKUP(C466&amp;A466, ESPN!A:A&amp;ESPN!C:C, ESPN!J:J), "N/A")</f>
        <v>N/A</v>
      </c>
      <c r="Q466" s="26" t="str" cm="1">
        <f t="array" ref="Q466">IFERROR(_xlfn.XLOOKUP(C466&amp;A466, ESPN!A:A&amp;ESPN!C:C, ESPN!K:K), "N/A")</f>
        <v>N/A</v>
      </c>
    </row>
    <row r="467" spans="1:17" x14ac:dyDescent="0.45">
      <c r="A467" s="7">
        <v>2023</v>
      </c>
      <c r="B467" s="3" t="s">
        <v>308</v>
      </c>
      <c r="C467" s="4" t="str">
        <f t="shared" si="14"/>
        <v>Bam Knight</v>
      </c>
      <c r="D467" s="4" t="str">
        <f t="shared" si="15"/>
        <v>DET</v>
      </c>
      <c r="E467" s="4">
        <v>2</v>
      </c>
      <c r="F467" s="12">
        <v>1</v>
      </c>
      <c r="G467" s="11">
        <v>1</v>
      </c>
      <c r="H467" s="11">
        <v>8</v>
      </c>
      <c r="I467" s="11">
        <v>8</v>
      </c>
      <c r="J467" s="11">
        <v>0</v>
      </c>
      <c r="K467" s="11">
        <v>0</v>
      </c>
      <c r="L467" s="11" t="str" cm="1">
        <f t="array" ref="L467">IFERROR(_xlfn.XLOOKUP(C467&amp;A467, ESPN!A:A&amp;ESPN!C:C, ESPN!D:D), "N/A")</f>
        <v>N/A</v>
      </c>
      <c r="M467" s="23" t="str" cm="1">
        <f t="array" ref="M467">IFERROR(_xlfn.XLOOKUP(C467&amp;A467, ESPN!A:A&amp;ESPN!C:C, ESPN!G:G), "N/A")</f>
        <v>N/A</v>
      </c>
      <c r="N467" s="23" t="str" cm="1">
        <f t="array" ref="N467">IFERROR(_xlfn.XLOOKUP(C467&amp;A467, ESPN!A:A&amp;ESPN!C:C, ESPN!H:H), "N/A")</f>
        <v>N/A</v>
      </c>
      <c r="O467" s="26" t="str" cm="1">
        <f t="array" ref="O467">IFERROR(_xlfn.XLOOKUP(C467&amp;A467, ESPN!A:A&amp;ESPN!C:C, ESPN!I:I), "N/A")</f>
        <v>N/A</v>
      </c>
      <c r="P467" s="26" t="str" cm="1">
        <f t="array" ref="P467">IFERROR(_xlfn.XLOOKUP(C467&amp;A467, ESPN!A:A&amp;ESPN!C:C, ESPN!J:J), "N/A")</f>
        <v>N/A</v>
      </c>
      <c r="Q467" s="26" t="str" cm="1">
        <f t="array" ref="Q467">IFERROR(_xlfn.XLOOKUP(C467&amp;A467, ESPN!A:A&amp;ESPN!C:C, ESPN!K:K), "N/A")</f>
        <v>N/A</v>
      </c>
    </row>
    <row r="468" spans="1:17" x14ac:dyDescent="0.45">
      <c r="A468" s="6">
        <v>2023</v>
      </c>
      <c r="B468" s="1" t="s">
        <v>309</v>
      </c>
      <c r="C468" s="2" t="str">
        <f t="shared" si="14"/>
        <v>Zach Evans</v>
      </c>
      <c r="D468" s="2" t="str">
        <f t="shared" si="15"/>
        <v>LAR</v>
      </c>
      <c r="E468" s="2">
        <v>4</v>
      </c>
      <c r="F468" s="12">
        <v>0</v>
      </c>
      <c r="G468" s="11">
        <v>0</v>
      </c>
      <c r="H468" s="11">
        <v>0</v>
      </c>
      <c r="I468" s="11">
        <v>0</v>
      </c>
      <c r="J468" s="11">
        <v>0</v>
      </c>
      <c r="K468" s="11">
        <v>0</v>
      </c>
      <c r="L468" s="11" t="str" cm="1">
        <f t="array" ref="L468">IFERROR(_xlfn.XLOOKUP(C468&amp;A468, ESPN!A:A&amp;ESPN!C:C, ESPN!D:D), "N/A")</f>
        <v>N/A</v>
      </c>
      <c r="M468" s="23" t="str" cm="1">
        <f t="array" ref="M468">IFERROR(_xlfn.XLOOKUP(C468&amp;A468, ESPN!A:A&amp;ESPN!C:C, ESPN!G:G), "N/A")</f>
        <v>N/A</v>
      </c>
      <c r="N468" s="23" t="str" cm="1">
        <f t="array" ref="N468">IFERROR(_xlfn.XLOOKUP(C468&amp;A468, ESPN!A:A&amp;ESPN!C:C, ESPN!H:H), "N/A")</f>
        <v>N/A</v>
      </c>
      <c r="O468" s="26" t="str" cm="1">
        <f t="array" ref="O468">IFERROR(_xlfn.XLOOKUP(C468&amp;A468, ESPN!A:A&amp;ESPN!C:C, ESPN!I:I), "N/A")</f>
        <v>N/A</v>
      </c>
      <c r="P468" s="26" t="str" cm="1">
        <f t="array" ref="P468">IFERROR(_xlfn.XLOOKUP(C468&amp;A468, ESPN!A:A&amp;ESPN!C:C, ESPN!J:J), "N/A")</f>
        <v>N/A</v>
      </c>
      <c r="Q468" s="26" t="str" cm="1">
        <f t="array" ref="Q468">IFERROR(_xlfn.XLOOKUP(C468&amp;A468, ESPN!A:A&amp;ESPN!C:C, ESPN!K:K), "N/A")</f>
        <v>N/A</v>
      </c>
    </row>
    <row r="469" spans="1:17" x14ac:dyDescent="0.45">
      <c r="A469" s="7">
        <v>2023</v>
      </c>
      <c r="B469" s="3" t="s">
        <v>310</v>
      </c>
      <c r="C469" s="4" t="str">
        <f t="shared" si="14"/>
        <v>Elijah Dotson</v>
      </c>
      <c r="D469" s="4" t="str">
        <f t="shared" si="15"/>
        <v>LAC</v>
      </c>
      <c r="E469" s="4">
        <v>1</v>
      </c>
      <c r="F469" s="12">
        <v>2</v>
      </c>
      <c r="G469" s="11">
        <v>2</v>
      </c>
      <c r="H469" s="11">
        <v>13</v>
      </c>
      <c r="I469" s="11">
        <v>6.5</v>
      </c>
      <c r="J469" s="11">
        <v>0</v>
      </c>
      <c r="K469" s="11">
        <v>0</v>
      </c>
      <c r="L469" s="11" t="str" cm="1">
        <f t="array" ref="L469">IFERROR(_xlfn.XLOOKUP(C469&amp;A469, ESPN!A:A&amp;ESPN!C:C, ESPN!D:D), "N/A")</f>
        <v>N/A</v>
      </c>
      <c r="M469" s="23" t="str" cm="1">
        <f t="array" ref="M469">IFERROR(_xlfn.XLOOKUP(C469&amp;A469, ESPN!A:A&amp;ESPN!C:C, ESPN!G:G), "N/A")</f>
        <v>N/A</v>
      </c>
      <c r="N469" s="23" t="str" cm="1">
        <f t="array" ref="N469">IFERROR(_xlfn.XLOOKUP(C469&amp;A469, ESPN!A:A&amp;ESPN!C:C, ESPN!H:H), "N/A")</f>
        <v>N/A</v>
      </c>
      <c r="O469" s="26" t="str" cm="1">
        <f t="array" ref="O469">IFERROR(_xlfn.XLOOKUP(C469&amp;A469, ESPN!A:A&amp;ESPN!C:C, ESPN!I:I), "N/A")</f>
        <v>N/A</v>
      </c>
      <c r="P469" s="26" t="str" cm="1">
        <f t="array" ref="P469">IFERROR(_xlfn.XLOOKUP(C469&amp;A469, ESPN!A:A&amp;ESPN!C:C, ESPN!J:J), "N/A")</f>
        <v>N/A</v>
      </c>
      <c r="Q469" s="26" t="str" cm="1">
        <f t="array" ref="Q469">IFERROR(_xlfn.XLOOKUP(C469&amp;A469, ESPN!A:A&amp;ESPN!C:C, ESPN!K:K), "N/A")</f>
        <v>N/A</v>
      </c>
    </row>
    <row r="470" spans="1:17" x14ac:dyDescent="0.45">
      <c r="A470" s="6">
        <v>2023</v>
      </c>
      <c r="B470" s="1" t="s">
        <v>311</v>
      </c>
      <c r="C470" s="2" t="str">
        <f t="shared" si="14"/>
        <v>Alex Armah Jr.</v>
      </c>
      <c r="D470" s="2" t="str">
        <f t="shared" si="15"/>
        <v>WAS</v>
      </c>
      <c r="E470" s="2">
        <v>4</v>
      </c>
      <c r="F470" s="12">
        <v>3</v>
      </c>
      <c r="G470" s="11">
        <v>3</v>
      </c>
      <c r="H470" s="11">
        <v>13</v>
      </c>
      <c r="I470" s="11">
        <v>4.3</v>
      </c>
      <c r="J470" s="11">
        <v>0</v>
      </c>
      <c r="K470" s="11">
        <v>0</v>
      </c>
      <c r="L470" s="11" t="str" cm="1">
        <f t="array" ref="L470">IFERROR(_xlfn.XLOOKUP(C470&amp;A470, ESPN!A:A&amp;ESPN!C:C, ESPN!D:D), "N/A")</f>
        <v>N/A</v>
      </c>
      <c r="M470" s="23" t="str" cm="1">
        <f t="array" ref="M470">IFERROR(_xlfn.XLOOKUP(C470&amp;A470, ESPN!A:A&amp;ESPN!C:C, ESPN!G:G), "N/A")</f>
        <v>N/A</v>
      </c>
      <c r="N470" s="23" t="str" cm="1">
        <f t="array" ref="N470">IFERROR(_xlfn.XLOOKUP(C470&amp;A470, ESPN!A:A&amp;ESPN!C:C, ESPN!H:H), "N/A")</f>
        <v>N/A</v>
      </c>
      <c r="O470" s="26" t="str" cm="1">
        <f t="array" ref="O470">IFERROR(_xlfn.XLOOKUP(C470&amp;A470, ESPN!A:A&amp;ESPN!C:C, ESPN!I:I), "N/A")</f>
        <v>N/A</v>
      </c>
      <c r="P470" s="26" t="str" cm="1">
        <f t="array" ref="P470">IFERROR(_xlfn.XLOOKUP(C470&amp;A470, ESPN!A:A&amp;ESPN!C:C, ESPN!J:J), "N/A")</f>
        <v>N/A</v>
      </c>
      <c r="Q470" s="26" t="str" cm="1">
        <f t="array" ref="Q470">IFERROR(_xlfn.XLOOKUP(C470&amp;A470, ESPN!A:A&amp;ESPN!C:C, ESPN!K:K), "N/A")</f>
        <v>N/A</v>
      </c>
    </row>
    <row r="471" spans="1:17" x14ac:dyDescent="0.45">
      <c r="A471" s="7">
        <v>2023</v>
      </c>
      <c r="B471" s="3" t="s">
        <v>312</v>
      </c>
      <c r="C471" s="4" t="str">
        <f t="shared" si="14"/>
        <v>Devine Ozigbo</v>
      </c>
      <c r="D471" s="4" t="str">
        <f t="shared" si="15"/>
        <v>DET</v>
      </c>
      <c r="E471" s="4">
        <v>1</v>
      </c>
      <c r="F471" s="12">
        <v>1</v>
      </c>
      <c r="G471" s="11">
        <v>1</v>
      </c>
      <c r="H471" s="11">
        <v>8</v>
      </c>
      <c r="I471" s="11">
        <v>8</v>
      </c>
      <c r="J471" s="11">
        <v>0</v>
      </c>
      <c r="K471" s="11">
        <v>0</v>
      </c>
      <c r="L471" s="11" t="str" cm="1">
        <f t="array" ref="L471">IFERROR(_xlfn.XLOOKUP(C471&amp;A471, ESPN!A:A&amp;ESPN!C:C, ESPN!D:D), "N/A")</f>
        <v>N/A</v>
      </c>
      <c r="M471" s="23" t="str" cm="1">
        <f t="array" ref="M471">IFERROR(_xlfn.XLOOKUP(C471&amp;A471, ESPN!A:A&amp;ESPN!C:C, ESPN!G:G), "N/A")</f>
        <v>N/A</v>
      </c>
      <c r="N471" s="23" t="str" cm="1">
        <f t="array" ref="N471">IFERROR(_xlfn.XLOOKUP(C471&amp;A471, ESPN!A:A&amp;ESPN!C:C, ESPN!H:H), "N/A")</f>
        <v>N/A</v>
      </c>
      <c r="O471" s="26" t="str" cm="1">
        <f t="array" ref="O471">IFERROR(_xlfn.XLOOKUP(C471&amp;A471, ESPN!A:A&amp;ESPN!C:C, ESPN!I:I), "N/A")</f>
        <v>N/A</v>
      </c>
      <c r="P471" s="26" t="str" cm="1">
        <f t="array" ref="P471">IFERROR(_xlfn.XLOOKUP(C471&amp;A471, ESPN!A:A&amp;ESPN!C:C, ESPN!J:J), "N/A")</f>
        <v>N/A</v>
      </c>
      <c r="Q471" s="26" t="str" cm="1">
        <f t="array" ref="Q471">IFERROR(_xlfn.XLOOKUP(C471&amp;A471, ESPN!A:A&amp;ESPN!C:C, ESPN!K:K), "N/A")</f>
        <v>N/A</v>
      </c>
    </row>
    <row r="472" spans="1:17" x14ac:dyDescent="0.45">
      <c r="A472" s="6">
        <v>2023</v>
      </c>
      <c r="B472" s="1" t="s">
        <v>313</v>
      </c>
      <c r="C472" s="2" t="str">
        <f t="shared" si="14"/>
        <v>Jashaun Corbin</v>
      </c>
      <c r="D472" s="2" t="str">
        <f t="shared" si="15"/>
        <v>NYG</v>
      </c>
      <c r="E472" s="2">
        <v>3</v>
      </c>
      <c r="F472" s="12">
        <v>3</v>
      </c>
      <c r="G472" s="11">
        <v>3</v>
      </c>
      <c r="H472" s="11">
        <v>12</v>
      </c>
      <c r="I472" s="11">
        <v>4</v>
      </c>
      <c r="J472" s="11">
        <v>0</v>
      </c>
      <c r="K472" s="11">
        <v>0</v>
      </c>
      <c r="L472" s="11" t="str" cm="1">
        <f t="array" ref="L472">IFERROR(_xlfn.XLOOKUP(C472&amp;A472, ESPN!A:A&amp;ESPN!C:C, ESPN!D:D), "N/A")</f>
        <v>N/A</v>
      </c>
      <c r="M472" s="23" t="str" cm="1">
        <f t="array" ref="M472">IFERROR(_xlfn.XLOOKUP(C472&amp;A472, ESPN!A:A&amp;ESPN!C:C, ESPN!G:G), "N/A")</f>
        <v>N/A</v>
      </c>
      <c r="N472" s="23" t="str" cm="1">
        <f t="array" ref="N472">IFERROR(_xlfn.XLOOKUP(C472&amp;A472, ESPN!A:A&amp;ESPN!C:C, ESPN!H:H), "N/A")</f>
        <v>N/A</v>
      </c>
      <c r="O472" s="26" t="str" cm="1">
        <f t="array" ref="O472">IFERROR(_xlfn.XLOOKUP(C472&amp;A472, ESPN!A:A&amp;ESPN!C:C, ESPN!I:I), "N/A")</f>
        <v>N/A</v>
      </c>
      <c r="P472" s="26" t="str" cm="1">
        <f t="array" ref="P472">IFERROR(_xlfn.XLOOKUP(C472&amp;A472, ESPN!A:A&amp;ESPN!C:C, ESPN!J:J), "N/A")</f>
        <v>N/A</v>
      </c>
      <c r="Q472" s="26" t="str" cm="1">
        <f t="array" ref="Q472">IFERROR(_xlfn.XLOOKUP(C472&amp;A472, ESPN!A:A&amp;ESPN!C:C, ESPN!K:K), "N/A")</f>
        <v>N/A</v>
      </c>
    </row>
    <row r="473" spans="1:17" x14ac:dyDescent="0.45">
      <c r="A473" s="7">
        <v>2023</v>
      </c>
      <c r="B473" s="3" t="s">
        <v>314</v>
      </c>
      <c r="C473" s="4" t="str">
        <f t="shared" si="14"/>
        <v>Kene Nwangwu</v>
      </c>
      <c r="D473" s="4" t="str">
        <f t="shared" si="15"/>
        <v>MIN</v>
      </c>
      <c r="E473" s="4">
        <v>8</v>
      </c>
      <c r="F473" s="12">
        <v>0</v>
      </c>
      <c r="G473" s="11">
        <v>0</v>
      </c>
      <c r="H473" s="11">
        <v>0</v>
      </c>
      <c r="I473" s="11">
        <v>0</v>
      </c>
      <c r="J473" s="11">
        <v>0</v>
      </c>
      <c r="K473" s="11">
        <v>0</v>
      </c>
      <c r="L473" s="11" t="str" cm="1">
        <f t="array" ref="L473">IFERROR(_xlfn.XLOOKUP(C473&amp;A473, ESPN!A:A&amp;ESPN!C:C, ESPN!D:D), "N/A")</f>
        <v>N/A</v>
      </c>
      <c r="M473" s="23" t="str" cm="1">
        <f t="array" ref="M473">IFERROR(_xlfn.XLOOKUP(C473&amp;A473, ESPN!A:A&amp;ESPN!C:C, ESPN!G:G), "N/A")</f>
        <v>N/A</v>
      </c>
      <c r="N473" s="23" t="str" cm="1">
        <f t="array" ref="N473">IFERROR(_xlfn.XLOOKUP(C473&amp;A473, ESPN!A:A&amp;ESPN!C:C, ESPN!H:H), "N/A")</f>
        <v>N/A</v>
      </c>
      <c r="O473" s="26" t="str" cm="1">
        <f t="array" ref="O473">IFERROR(_xlfn.XLOOKUP(C473&amp;A473, ESPN!A:A&amp;ESPN!C:C, ESPN!I:I), "N/A")</f>
        <v>N/A</v>
      </c>
      <c r="P473" s="26" t="str" cm="1">
        <f t="array" ref="P473">IFERROR(_xlfn.XLOOKUP(C473&amp;A473, ESPN!A:A&amp;ESPN!C:C, ESPN!J:J), "N/A")</f>
        <v>N/A</v>
      </c>
      <c r="Q473" s="26" t="str" cm="1">
        <f t="array" ref="Q473">IFERROR(_xlfn.XLOOKUP(C473&amp;A473, ESPN!A:A&amp;ESPN!C:C, ESPN!K:K), "N/A")</f>
        <v>N/A</v>
      </c>
    </row>
    <row r="474" spans="1:17" x14ac:dyDescent="0.45">
      <c r="A474" s="6">
        <v>2023</v>
      </c>
      <c r="B474" s="1" t="s">
        <v>315</v>
      </c>
      <c r="C474" s="2" t="str">
        <f t="shared" si="14"/>
        <v>Jakob Johnson</v>
      </c>
      <c r="D474" s="2" t="str">
        <f t="shared" si="15"/>
        <v>LV</v>
      </c>
      <c r="E474" s="2">
        <v>8</v>
      </c>
      <c r="F474" s="12">
        <v>2</v>
      </c>
      <c r="G474" s="11">
        <v>1</v>
      </c>
      <c r="H474" s="11">
        <v>12</v>
      </c>
      <c r="I474" s="11">
        <v>12</v>
      </c>
      <c r="J474" s="11">
        <v>0</v>
      </c>
      <c r="K474" s="11">
        <v>0</v>
      </c>
      <c r="L474" s="11" t="str" cm="1">
        <f t="array" ref="L474">IFERROR(_xlfn.XLOOKUP(C474&amp;A474, ESPN!A:A&amp;ESPN!C:C, ESPN!D:D), "N/A")</f>
        <v>N/A</v>
      </c>
      <c r="M474" s="23" t="str" cm="1">
        <f t="array" ref="M474">IFERROR(_xlfn.XLOOKUP(C474&amp;A474, ESPN!A:A&amp;ESPN!C:C, ESPN!G:G), "N/A")</f>
        <v>N/A</v>
      </c>
      <c r="N474" s="23" t="str" cm="1">
        <f t="array" ref="N474">IFERROR(_xlfn.XLOOKUP(C474&amp;A474, ESPN!A:A&amp;ESPN!C:C, ESPN!H:H), "N/A")</f>
        <v>N/A</v>
      </c>
      <c r="O474" s="26" t="str" cm="1">
        <f t="array" ref="O474">IFERROR(_xlfn.XLOOKUP(C474&amp;A474, ESPN!A:A&amp;ESPN!C:C, ESPN!I:I), "N/A")</f>
        <v>N/A</v>
      </c>
      <c r="P474" s="26" t="str" cm="1">
        <f t="array" ref="P474">IFERROR(_xlfn.XLOOKUP(C474&amp;A474, ESPN!A:A&amp;ESPN!C:C, ESPN!J:J), "N/A")</f>
        <v>N/A</v>
      </c>
      <c r="Q474" s="26" t="str" cm="1">
        <f t="array" ref="Q474">IFERROR(_xlfn.XLOOKUP(C474&amp;A474, ESPN!A:A&amp;ESPN!C:C, ESPN!K:K), "N/A")</f>
        <v>N/A</v>
      </c>
    </row>
    <row r="475" spans="1:17" x14ac:dyDescent="0.45">
      <c r="A475" s="7">
        <v>2023</v>
      </c>
      <c r="B475" s="3" t="s">
        <v>316</v>
      </c>
      <c r="C475" s="4" t="str">
        <f t="shared" si="14"/>
        <v>Kenyan Drake</v>
      </c>
      <c r="D475" s="4" t="str">
        <f t="shared" si="15"/>
        <v>GB</v>
      </c>
      <c r="E475" s="4">
        <v>2</v>
      </c>
      <c r="F475" s="12">
        <v>3</v>
      </c>
      <c r="G475" s="11">
        <v>2</v>
      </c>
      <c r="H475" s="11">
        <v>31</v>
      </c>
      <c r="I475" s="11">
        <v>15.5</v>
      </c>
      <c r="J475" s="11">
        <v>0</v>
      </c>
      <c r="K475" s="11">
        <v>1</v>
      </c>
      <c r="L475" s="11" t="str" cm="1">
        <f t="array" ref="L475">IFERROR(_xlfn.XLOOKUP(C475&amp;A475, ESPN!A:A&amp;ESPN!C:C, ESPN!D:D), "N/A")</f>
        <v>N/A</v>
      </c>
      <c r="M475" s="23" t="str" cm="1">
        <f t="array" ref="M475">IFERROR(_xlfn.XLOOKUP(C475&amp;A475, ESPN!A:A&amp;ESPN!C:C, ESPN!G:G), "N/A")</f>
        <v>N/A</v>
      </c>
      <c r="N475" s="23" t="str" cm="1">
        <f t="array" ref="N475">IFERROR(_xlfn.XLOOKUP(C475&amp;A475, ESPN!A:A&amp;ESPN!C:C, ESPN!H:H), "N/A")</f>
        <v>N/A</v>
      </c>
      <c r="O475" s="26" t="str" cm="1">
        <f t="array" ref="O475">IFERROR(_xlfn.XLOOKUP(C475&amp;A475, ESPN!A:A&amp;ESPN!C:C, ESPN!I:I), "N/A")</f>
        <v>N/A</v>
      </c>
      <c r="P475" s="26" t="str" cm="1">
        <f t="array" ref="P475">IFERROR(_xlfn.XLOOKUP(C475&amp;A475, ESPN!A:A&amp;ESPN!C:C, ESPN!J:J), "N/A")</f>
        <v>N/A</v>
      </c>
      <c r="Q475" s="26" t="str" cm="1">
        <f t="array" ref="Q475">IFERROR(_xlfn.XLOOKUP(C475&amp;A475, ESPN!A:A&amp;ESPN!C:C, ESPN!K:K), "N/A")</f>
        <v>N/A</v>
      </c>
    </row>
    <row r="476" spans="1:17" x14ac:dyDescent="0.45">
      <c r="A476" s="6">
        <v>2023</v>
      </c>
      <c r="B476" s="1" t="s">
        <v>317</v>
      </c>
      <c r="C476" s="2" t="str">
        <f t="shared" si="14"/>
        <v>Anthony McFarland Jr.</v>
      </c>
      <c r="D476" s="2" t="str">
        <f t="shared" si="15"/>
        <v>PIT</v>
      </c>
      <c r="E476" s="2">
        <v>3</v>
      </c>
      <c r="F476" s="12">
        <v>2</v>
      </c>
      <c r="G476" s="11">
        <v>2</v>
      </c>
      <c r="H476" s="11">
        <v>11</v>
      </c>
      <c r="I476" s="11">
        <v>5.5</v>
      </c>
      <c r="J476" s="11">
        <v>0</v>
      </c>
      <c r="K476" s="11">
        <v>0</v>
      </c>
      <c r="L476" s="11" t="str" cm="1">
        <f t="array" ref="L476">IFERROR(_xlfn.XLOOKUP(C476&amp;A476, ESPN!A:A&amp;ESPN!C:C, ESPN!D:D), "N/A")</f>
        <v>N/A</v>
      </c>
      <c r="M476" s="23" t="str" cm="1">
        <f t="array" ref="M476">IFERROR(_xlfn.XLOOKUP(C476&amp;A476, ESPN!A:A&amp;ESPN!C:C, ESPN!G:G), "N/A")</f>
        <v>N/A</v>
      </c>
      <c r="N476" s="23" t="str" cm="1">
        <f t="array" ref="N476">IFERROR(_xlfn.XLOOKUP(C476&amp;A476, ESPN!A:A&amp;ESPN!C:C, ESPN!H:H), "N/A")</f>
        <v>N/A</v>
      </c>
      <c r="O476" s="26" t="str" cm="1">
        <f t="array" ref="O476">IFERROR(_xlfn.XLOOKUP(C476&amp;A476, ESPN!A:A&amp;ESPN!C:C, ESPN!I:I), "N/A")</f>
        <v>N/A</v>
      </c>
      <c r="P476" s="26" t="str" cm="1">
        <f t="array" ref="P476">IFERROR(_xlfn.XLOOKUP(C476&amp;A476, ESPN!A:A&amp;ESPN!C:C, ESPN!J:J), "N/A")</f>
        <v>N/A</v>
      </c>
      <c r="Q476" s="26" t="str" cm="1">
        <f t="array" ref="Q476">IFERROR(_xlfn.XLOOKUP(C476&amp;A476, ESPN!A:A&amp;ESPN!C:C, ESPN!K:K), "N/A")</f>
        <v>N/A</v>
      </c>
    </row>
    <row r="477" spans="1:17" x14ac:dyDescent="0.45">
      <c r="A477" s="7">
        <v>2023</v>
      </c>
      <c r="B477" s="3" t="s">
        <v>318</v>
      </c>
      <c r="C477" s="4" t="str">
        <f t="shared" si="14"/>
        <v>Jonathan Ward</v>
      </c>
      <c r="D477" s="4" t="str">
        <f t="shared" si="15"/>
        <v>TEN</v>
      </c>
      <c r="E477" s="4">
        <v>2</v>
      </c>
      <c r="F477" s="12">
        <v>0</v>
      </c>
      <c r="G477" s="11">
        <v>0</v>
      </c>
      <c r="H477" s="11">
        <v>0</v>
      </c>
      <c r="I477" s="11">
        <v>0</v>
      </c>
      <c r="J477" s="11">
        <v>0</v>
      </c>
      <c r="K477" s="11">
        <v>0</v>
      </c>
      <c r="L477" s="11" t="str" cm="1">
        <f t="array" ref="L477">IFERROR(_xlfn.XLOOKUP(C477&amp;A477, ESPN!A:A&amp;ESPN!C:C, ESPN!D:D), "N/A")</f>
        <v>N/A</v>
      </c>
      <c r="M477" s="23" t="str" cm="1">
        <f t="array" ref="M477">IFERROR(_xlfn.XLOOKUP(C477&amp;A477, ESPN!A:A&amp;ESPN!C:C, ESPN!G:G), "N/A")</f>
        <v>N/A</v>
      </c>
      <c r="N477" s="23" t="str" cm="1">
        <f t="array" ref="N477">IFERROR(_xlfn.XLOOKUP(C477&amp;A477, ESPN!A:A&amp;ESPN!C:C, ESPN!H:H), "N/A")</f>
        <v>N/A</v>
      </c>
      <c r="O477" s="26" t="str" cm="1">
        <f t="array" ref="O477">IFERROR(_xlfn.XLOOKUP(C477&amp;A477, ESPN!A:A&amp;ESPN!C:C, ESPN!I:I), "N/A")</f>
        <v>N/A</v>
      </c>
      <c r="P477" s="26" t="str" cm="1">
        <f t="array" ref="P477">IFERROR(_xlfn.XLOOKUP(C477&amp;A477, ESPN!A:A&amp;ESPN!C:C, ESPN!J:J), "N/A")</f>
        <v>N/A</v>
      </c>
      <c r="Q477" s="26" t="str" cm="1">
        <f t="array" ref="Q477">IFERROR(_xlfn.XLOOKUP(C477&amp;A477, ESPN!A:A&amp;ESPN!C:C, ESPN!K:K), "N/A")</f>
        <v>N/A</v>
      </c>
    </row>
    <row r="478" spans="1:17" x14ac:dyDescent="0.45">
      <c r="A478" s="6">
        <v>2023</v>
      </c>
      <c r="B478" s="1" t="s">
        <v>319</v>
      </c>
      <c r="C478" s="2" t="str">
        <f t="shared" si="14"/>
        <v>Chris Evans</v>
      </c>
      <c r="D478" s="2" t="str">
        <f t="shared" si="15"/>
        <v>CIN</v>
      </c>
      <c r="E478" s="2">
        <v>3</v>
      </c>
      <c r="F478" s="12">
        <v>1</v>
      </c>
      <c r="G478" s="11">
        <v>1</v>
      </c>
      <c r="H478" s="11">
        <v>-1</v>
      </c>
      <c r="I478" s="11">
        <v>-1</v>
      </c>
      <c r="J478" s="11">
        <v>0</v>
      </c>
      <c r="K478" s="11">
        <v>0</v>
      </c>
      <c r="L478" s="11" t="str" cm="1">
        <f t="array" ref="L478">IFERROR(_xlfn.XLOOKUP(C478&amp;A478, ESPN!A:A&amp;ESPN!C:C, ESPN!D:D), "N/A")</f>
        <v>N/A</v>
      </c>
      <c r="M478" s="23" t="str" cm="1">
        <f t="array" ref="M478">IFERROR(_xlfn.XLOOKUP(C478&amp;A478, ESPN!A:A&amp;ESPN!C:C, ESPN!G:G), "N/A")</f>
        <v>N/A</v>
      </c>
      <c r="N478" s="23" t="str" cm="1">
        <f t="array" ref="N478">IFERROR(_xlfn.XLOOKUP(C478&amp;A478, ESPN!A:A&amp;ESPN!C:C, ESPN!H:H), "N/A")</f>
        <v>N/A</v>
      </c>
      <c r="O478" s="26" t="str" cm="1">
        <f t="array" ref="O478">IFERROR(_xlfn.XLOOKUP(C478&amp;A478, ESPN!A:A&amp;ESPN!C:C, ESPN!I:I), "N/A")</f>
        <v>N/A</v>
      </c>
      <c r="P478" s="26" t="str" cm="1">
        <f t="array" ref="P478">IFERROR(_xlfn.XLOOKUP(C478&amp;A478, ESPN!A:A&amp;ESPN!C:C, ESPN!J:J), "N/A")</f>
        <v>N/A</v>
      </c>
      <c r="Q478" s="26" t="str" cm="1">
        <f t="array" ref="Q478">IFERROR(_xlfn.XLOOKUP(C478&amp;A478, ESPN!A:A&amp;ESPN!C:C, ESPN!K:K), "N/A")</f>
        <v>N/A</v>
      </c>
    </row>
    <row r="479" spans="1:17" x14ac:dyDescent="0.45">
      <c r="A479" s="7">
        <v>2023</v>
      </c>
      <c r="B479" s="3" t="s">
        <v>320</v>
      </c>
      <c r="C479" s="4" t="str">
        <f t="shared" si="14"/>
        <v>Evan Hull</v>
      </c>
      <c r="D479" s="4" t="str">
        <f t="shared" si="15"/>
        <v>IND</v>
      </c>
      <c r="E479" s="4">
        <v>1</v>
      </c>
      <c r="F479" s="12">
        <v>1</v>
      </c>
      <c r="G479" s="11">
        <v>1</v>
      </c>
      <c r="H479" s="11">
        <v>6</v>
      </c>
      <c r="I479" s="11">
        <v>6</v>
      </c>
      <c r="J479" s="11">
        <v>0</v>
      </c>
      <c r="K479" s="11">
        <v>0</v>
      </c>
      <c r="L479" s="11" t="str" cm="1">
        <f t="array" ref="L479">IFERROR(_xlfn.XLOOKUP(C479&amp;A479, ESPN!A:A&amp;ESPN!C:C, ESPN!D:D), "N/A")</f>
        <v>N/A</v>
      </c>
      <c r="M479" s="23" t="str" cm="1">
        <f t="array" ref="M479">IFERROR(_xlfn.XLOOKUP(C479&amp;A479, ESPN!A:A&amp;ESPN!C:C, ESPN!G:G), "N/A")</f>
        <v>N/A</v>
      </c>
      <c r="N479" s="23" t="str" cm="1">
        <f t="array" ref="N479">IFERROR(_xlfn.XLOOKUP(C479&amp;A479, ESPN!A:A&amp;ESPN!C:C, ESPN!H:H), "N/A")</f>
        <v>N/A</v>
      </c>
      <c r="O479" s="26" t="str" cm="1">
        <f t="array" ref="O479">IFERROR(_xlfn.XLOOKUP(C479&amp;A479, ESPN!A:A&amp;ESPN!C:C, ESPN!I:I), "N/A")</f>
        <v>N/A</v>
      </c>
      <c r="P479" s="26" t="str" cm="1">
        <f t="array" ref="P479">IFERROR(_xlfn.XLOOKUP(C479&amp;A479, ESPN!A:A&amp;ESPN!C:C, ESPN!J:J), "N/A")</f>
        <v>N/A</v>
      </c>
      <c r="Q479" s="26" t="str" cm="1">
        <f t="array" ref="Q479">IFERROR(_xlfn.XLOOKUP(C479&amp;A479, ESPN!A:A&amp;ESPN!C:C, ESPN!K:K), "N/A")</f>
        <v>N/A</v>
      </c>
    </row>
    <row r="480" spans="1:17" x14ac:dyDescent="0.45">
      <c r="A480" s="6">
        <v>2023</v>
      </c>
      <c r="B480" s="1" t="s">
        <v>245</v>
      </c>
      <c r="C480" s="2" t="str">
        <f t="shared" si="14"/>
        <v>Adam Prentice</v>
      </c>
      <c r="D480" s="2" t="str">
        <f t="shared" si="15"/>
        <v>NO</v>
      </c>
      <c r="E480" s="2">
        <v>6</v>
      </c>
      <c r="F480" s="12">
        <v>3</v>
      </c>
      <c r="G480" s="11">
        <v>2</v>
      </c>
      <c r="H480" s="11">
        <v>12</v>
      </c>
      <c r="I480" s="11">
        <v>6</v>
      </c>
      <c r="J480" s="11">
        <v>0</v>
      </c>
      <c r="K480" s="11">
        <v>1</v>
      </c>
      <c r="L480" s="11" t="str" cm="1">
        <f t="array" ref="L480">IFERROR(_xlfn.XLOOKUP(C480&amp;A480, ESPN!A:A&amp;ESPN!C:C, ESPN!D:D), "N/A")</f>
        <v>N/A</v>
      </c>
      <c r="M480" s="23" t="str" cm="1">
        <f t="array" ref="M480">IFERROR(_xlfn.XLOOKUP(C480&amp;A480, ESPN!A:A&amp;ESPN!C:C, ESPN!G:G), "N/A")</f>
        <v>N/A</v>
      </c>
      <c r="N480" s="23" t="str" cm="1">
        <f t="array" ref="N480">IFERROR(_xlfn.XLOOKUP(C480&amp;A480, ESPN!A:A&amp;ESPN!C:C, ESPN!H:H), "N/A")</f>
        <v>N/A</v>
      </c>
      <c r="O480" s="26" t="str" cm="1">
        <f t="array" ref="O480">IFERROR(_xlfn.XLOOKUP(C480&amp;A480, ESPN!A:A&amp;ESPN!C:C, ESPN!I:I), "N/A")</f>
        <v>N/A</v>
      </c>
      <c r="P480" s="26" t="str" cm="1">
        <f t="array" ref="P480">IFERROR(_xlfn.XLOOKUP(C480&amp;A480, ESPN!A:A&amp;ESPN!C:C, ESPN!J:J), "N/A")</f>
        <v>N/A</v>
      </c>
      <c r="Q480" s="26" t="str" cm="1">
        <f t="array" ref="Q480">IFERROR(_xlfn.XLOOKUP(C480&amp;A480, ESPN!A:A&amp;ESPN!C:C, ESPN!K:K), "N/A")</f>
        <v>N/A</v>
      </c>
    </row>
    <row r="481" spans="1:17" x14ac:dyDescent="0.45">
      <c r="A481" s="7">
        <v>2023</v>
      </c>
      <c r="B481" s="3" t="s">
        <v>142</v>
      </c>
      <c r="C481" s="4" t="str">
        <f t="shared" si="14"/>
        <v>Reggie Gilliam</v>
      </c>
      <c r="D481" s="4" t="str">
        <f t="shared" si="15"/>
        <v>BUF</v>
      </c>
      <c r="E481" s="4">
        <v>16</v>
      </c>
      <c r="F481" s="12">
        <v>1</v>
      </c>
      <c r="G481" s="11">
        <v>1</v>
      </c>
      <c r="H481" s="11">
        <v>3</v>
      </c>
      <c r="I481" s="11">
        <v>3</v>
      </c>
      <c r="J481" s="11">
        <v>0</v>
      </c>
      <c r="K481" s="11">
        <v>0</v>
      </c>
      <c r="L481" s="11" t="str" cm="1">
        <f t="array" ref="L481">IFERROR(_xlfn.XLOOKUP(C481&amp;A481, ESPN!A:A&amp;ESPN!C:C, ESPN!D:D), "N/A")</f>
        <v>N/A</v>
      </c>
      <c r="M481" s="23" t="str" cm="1">
        <f t="array" ref="M481">IFERROR(_xlfn.XLOOKUP(C481&amp;A481, ESPN!A:A&amp;ESPN!C:C, ESPN!G:G), "N/A")</f>
        <v>N/A</v>
      </c>
      <c r="N481" s="23" t="str" cm="1">
        <f t="array" ref="N481">IFERROR(_xlfn.XLOOKUP(C481&amp;A481, ESPN!A:A&amp;ESPN!C:C, ESPN!H:H), "N/A")</f>
        <v>N/A</v>
      </c>
      <c r="O481" s="26" t="str" cm="1">
        <f t="array" ref="O481">IFERROR(_xlfn.XLOOKUP(C481&amp;A481, ESPN!A:A&amp;ESPN!C:C, ESPN!I:I), "N/A")</f>
        <v>N/A</v>
      </c>
      <c r="P481" s="26" t="str" cm="1">
        <f t="array" ref="P481">IFERROR(_xlfn.XLOOKUP(C481&amp;A481, ESPN!A:A&amp;ESPN!C:C, ESPN!J:J), "N/A")</f>
        <v>N/A</v>
      </c>
      <c r="Q481" s="26" t="str" cm="1">
        <f t="array" ref="Q481">IFERROR(_xlfn.XLOOKUP(C481&amp;A481, ESPN!A:A&amp;ESPN!C:C, ESPN!K:K), "N/A")</f>
        <v>N/A</v>
      </c>
    </row>
    <row r="482" spans="1:17" x14ac:dyDescent="0.45">
      <c r="A482" s="6">
        <v>2023</v>
      </c>
      <c r="B482" s="1" t="s">
        <v>321</v>
      </c>
      <c r="C482" s="2" t="str">
        <f t="shared" si="14"/>
        <v>Dwayne Washington</v>
      </c>
      <c r="D482" s="2" t="str">
        <f t="shared" si="15"/>
        <v>DEN</v>
      </c>
      <c r="E482" s="2">
        <v>3</v>
      </c>
      <c r="F482" s="12">
        <v>0</v>
      </c>
      <c r="G482" s="11">
        <v>0</v>
      </c>
      <c r="H482" s="11">
        <v>0</v>
      </c>
      <c r="I482" s="11">
        <v>0</v>
      </c>
      <c r="J482" s="11">
        <v>0</v>
      </c>
      <c r="K482" s="11">
        <v>0</v>
      </c>
      <c r="L482" s="11" t="str" cm="1">
        <f t="array" ref="L482">IFERROR(_xlfn.XLOOKUP(C482&amp;A482, ESPN!A:A&amp;ESPN!C:C, ESPN!D:D), "N/A")</f>
        <v>N/A</v>
      </c>
      <c r="M482" s="23" t="str" cm="1">
        <f t="array" ref="M482">IFERROR(_xlfn.XLOOKUP(C482&amp;A482, ESPN!A:A&amp;ESPN!C:C, ESPN!G:G), "N/A")</f>
        <v>N/A</v>
      </c>
      <c r="N482" s="23" t="str" cm="1">
        <f t="array" ref="N482">IFERROR(_xlfn.XLOOKUP(C482&amp;A482, ESPN!A:A&amp;ESPN!C:C, ESPN!H:H), "N/A")</f>
        <v>N/A</v>
      </c>
      <c r="O482" s="26" t="str" cm="1">
        <f t="array" ref="O482">IFERROR(_xlfn.XLOOKUP(C482&amp;A482, ESPN!A:A&amp;ESPN!C:C, ESPN!I:I), "N/A")</f>
        <v>N/A</v>
      </c>
      <c r="P482" s="26" t="str" cm="1">
        <f t="array" ref="P482">IFERROR(_xlfn.XLOOKUP(C482&amp;A482, ESPN!A:A&amp;ESPN!C:C, ESPN!J:J), "N/A")</f>
        <v>N/A</v>
      </c>
      <c r="Q482" s="26" t="str" cm="1">
        <f t="array" ref="Q482">IFERROR(_xlfn.XLOOKUP(C482&amp;A482, ESPN!A:A&amp;ESPN!C:C, ESPN!K:K), "N/A")</f>
        <v>N/A</v>
      </c>
    </row>
    <row r="483" spans="1:17" x14ac:dyDescent="0.45">
      <c r="A483" s="7">
        <v>2023</v>
      </c>
      <c r="B483" s="3" t="s">
        <v>322</v>
      </c>
      <c r="C483" s="4" t="str">
        <f t="shared" si="14"/>
        <v>Marlon Mack</v>
      </c>
      <c r="D483" s="4" t="str">
        <f t="shared" si="15"/>
        <v>ARI</v>
      </c>
      <c r="E483" s="4">
        <v>2</v>
      </c>
      <c r="F483" s="12">
        <v>0</v>
      </c>
      <c r="G483" s="11">
        <v>0</v>
      </c>
      <c r="H483" s="11">
        <v>0</v>
      </c>
      <c r="I483" s="11">
        <v>0</v>
      </c>
      <c r="J483" s="11">
        <v>0</v>
      </c>
      <c r="K483" s="11">
        <v>0</v>
      </c>
      <c r="L483" s="11" t="str" cm="1">
        <f t="array" ref="L483">IFERROR(_xlfn.XLOOKUP(C483&amp;A483, ESPN!A:A&amp;ESPN!C:C, ESPN!D:D), "N/A")</f>
        <v>N/A</v>
      </c>
      <c r="M483" s="23" t="str" cm="1">
        <f t="array" ref="M483">IFERROR(_xlfn.XLOOKUP(C483&amp;A483, ESPN!A:A&amp;ESPN!C:C, ESPN!G:G), "N/A")</f>
        <v>N/A</v>
      </c>
      <c r="N483" s="23" t="str" cm="1">
        <f t="array" ref="N483">IFERROR(_xlfn.XLOOKUP(C483&amp;A483, ESPN!A:A&amp;ESPN!C:C, ESPN!H:H), "N/A")</f>
        <v>N/A</v>
      </c>
      <c r="O483" s="26" t="str" cm="1">
        <f t="array" ref="O483">IFERROR(_xlfn.XLOOKUP(C483&amp;A483, ESPN!A:A&amp;ESPN!C:C, ESPN!I:I), "N/A")</f>
        <v>N/A</v>
      </c>
      <c r="P483" s="26" t="str" cm="1">
        <f t="array" ref="P483">IFERROR(_xlfn.XLOOKUP(C483&amp;A483, ESPN!A:A&amp;ESPN!C:C, ESPN!J:J), "N/A")</f>
        <v>N/A</v>
      </c>
      <c r="Q483" s="26" t="str" cm="1">
        <f t="array" ref="Q483">IFERROR(_xlfn.XLOOKUP(C483&amp;A483, ESPN!A:A&amp;ESPN!C:C, ESPN!K:K), "N/A")</f>
        <v>N/A</v>
      </c>
    </row>
    <row r="484" spans="1:17" x14ac:dyDescent="0.45">
      <c r="A484" s="6">
        <v>2023</v>
      </c>
      <c r="B484" s="1" t="s">
        <v>323</v>
      </c>
      <c r="C484" s="2" t="str">
        <f t="shared" si="14"/>
        <v>Jeremy McNichols</v>
      </c>
      <c r="D484" s="2" t="str">
        <f t="shared" si="15"/>
        <v>SF</v>
      </c>
      <c r="E484" s="2">
        <v>2</v>
      </c>
      <c r="F484" s="12">
        <v>0</v>
      </c>
      <c r="G484" s="11">
        <v>0</v>
      </c>
      <c r="H484" s="11">
        <v>0</v>
      </c>
      <c r="I484" s="11">
        <v>0</v>
      </c>
      <c r="J484" s="11">
        <v>0</v>
      </c>
      <c r="K484" s="11">
        <v>0</v>
      </c>
      <c r="L484" s="11" t="str" cm="1">
        <f t="array" ref="L484">IFERROR(_xlfn.XLOOKUP(C484&amp;A484, ESPN!A:A&amp;ESPN!C:C, ESPN!D:D), "N/A")</f>
        <v>N/A</v>
      </c>
      <c r="M484" s="23" t="str" cm="1">
        <f t="array" ref="M484">IFERROR(_xlfn.XLOOKUP(C484&amp;A484, ESPN!A:A&amp;ESPN!C:C, ESPN!G:G), "N/A")</f>
        <v>N/A</v>
      </c>
      <c r="N484" s="23" t="str" cm="1">
        <f t="array" ref="N484">IFERROR(_xlfn.XLOOKUP(C484&amp;A484, ESPN!A:A&amp;ESPN!C:C, ESPN!H:H), "N/A")</f>
        <v>N/A</v>
      </c>
      <c r="O484" s="26" t="str" cm="1">
        <f t="array" ref="O484">IFERROR(_xlfn.XLOOKUP(C484&amp;A484, ESPN!A:A&amp;ESPN!C:C, ESPN!I:I), "N/A")</f>
        <v>N/A</v>
      </c>
      <c r="P484" s="26" t="str" cm="1">
        <f t="array" ref="P484">IFERROR(_xlfn.XLOOKUP(C484&amp;A484, ESPN!A:A&amp;ESPN!C:C, ESPN!J:J), "N/A")</f>
        <v>N/A</v>
      </c>
      <c r="Q484" s="26" t="str" cm="1">
        <f t="array" ref="Q484">IFERROR(_xlfn.XLOOKUP(C484&amp;A484, ESPN!A:A&amp;ESPN!C:C, ESPN!K:K), "N/A")</f>
        <v>N/A</v>
      </c>
    </row>
    <row r="485" spans="1:17" x14ac:dyDescent="0.45">
      <c r="A485" s="7">
        <v>2023</v>
      </c>
      <c r="B485" s="3" t="s">
        <v>324</v>
      </c>
      <c r="C485" s="4" t="str">
        <f t="shared" si="14"/>
        <v>Corey Clement</v>
      </c>
      <c r="D485" s="4" t="str">
        <f t="shared" si="15"/>
        <v>ARI</v>
      </c>
      <c r="E485" s="4">
        <v>2</v>
      </c>
      <c r="F485" s="12">
        <v>0</v>
      </c>
      <c r="G485" s="11">
        <v>0</v>
      </c>
      <c r="H485" s="11">
        <v>0</v>
      </c>
      <c r="I485" s="11">
        <v>0</v>
      </c>
      <c r="J485" s="11">
        <v>0</v>
      </c>
      <c r="K485" s="11">
        <v>0</v>
      </c>
      <c r="L485" s="11" t="str" cm="1">
        <f t="array" ref="L485">IFERROR(_xlfn.XLOOKUP(C485&amp;A485, ESPN!A:A&amp;ESPN!C:C, ESPN!D:D), "N/A")</f>
        <v>N/A</v>
      </c>
      <c r="M485" s="23" t="str" cm="1">
        <f t="array" ref="M485">IFERROR(_xlfn.XLOOKUP(C485&amp;A485, ESPN!A:A&amp;ESPN!C:C, ESPN!G:G), "N/A")</f>
        <v>N/A</v>
      </c>
      <c r="N485" s="23" t="str" cm="1">
        <f t="array" ref="N485">IFERROR(_xlfn.XLOOKUP(C485&amp;A485, ESPN!A:A&amp;ESPN!C:C, ESPN!H:H), "N/A")</f>
        <v>N/A</v>
      </c>
      <c r="O485" s="26" t="str" cm="1">
        <f t="array" ref="O485">IFERROR(_xlfn.XLOOKUP(C485&amp;A485, ESPN!A:A&amp;ESPN!C:C, ESPN!I:I), "N/A")</f>
        <v>N/A</v>
      </c>
      <c r="P485" s="26" t="str" cm="1">
        <f t="array" ref="P485">IFERROR(_xlfn.XLOOKUP(C485&amp;A485, ESPN!A:A&amp;ESPN!C:C, ESPN!J:J), "N/A")</f>
        <v>N/A</v>
      </c>
      <c r="Q485" s="26" t="str" cm="1">
        <f t="array" ref="Q485">IFERROR(_xlfn.XLOOKUP(C485&amp;A485, ESPN!A:A&amp;ESPN!C:C, ESPN!K:K), "N/A")</f>
        <v>N/A</v>
      </c>
    </row>
    <row r="486" spans="1:17" x14ac:dyDescent="0.45">
      <c r="A486" s="6">
        <v>2023</v>
      </c>
      <c r="B486" s="1" t="s">
        <v>325</v>
      </c>
      <c r="C486" s="2" t="str">
        <f t="shared" si="14"/>
        <v>Godwin Igwebuike</v>
      </c>
      <c r="D486" s="2" t="str">
        <f t="shared" si="15"/>
        <v>PIT</v>
      </c>
      <c r="E486" s="2">
        <v>7</v>
      </c>
      <c r="F486" s="12">
        <v>0</v>
      </c>
      <c r="G486" s="11">
        <v>0</v>
      </c>
      <c r="H486" s="11">
        <v>0</v>
      </c>
      <c r="I486" s="11">
        <v>0</v>
      </c>
      <c r="J486" s="11">
        <v>0</v>
      </c>
      <c r="K486" s="11">
        <v>0</v>
      </c>
      <c r="L486" s="11" t="str" cm="1">
        <f t="array" ref="L486">IFERROR(_xlfn.XLOOKUP(C486&amp;A486, ESPN!A:A&amp;ESPN!C:C, ESPN!D:D), "N/A")</f>
        <v>N/A</v>
      </c>
      <c r="M486" s="23" t="str" cm="1">
        <f t="array" ref="M486">IFERROR(_xlfn.XLOOKUP(C486&amp;A486, ESPN!A:A&amp;ESPN!C:C, ESPN!G:G), "N/A")</f>
        <v>N/A</v>
      </c>
      <c r="N486" s="23" t="str" cm="1">
        <f t="array" ref="N486">IFERROR(_xlfn.XLOOKUP(C486&amp;A486, ESPN!A:A&amp;ESPN!C:C, ESPN!H:H), "N/A")</f>
        <v>N/A</v>
      </c>
      <c r="O486" s="26" t="str" cm="1">
        <f t="array" ref="O486">IFERROR(_xlfn.XLOOKUP(C486&amp;A486, ESPN!A:A&amp;ESPN!C:C, ESPN!I:I), "N/A")</f>
        <v>N/A</v>
      </c>
      <c r="P486" s="26" t="str" cm="1">
        <f t="array" ref="P486">IFERROR(_xlfn.XLOOKUP(C486&amp;A486, ESPN!A:A&amp;ESPN!C:C, ESPN!J:J), "N/A")</f>
        <v>N/A</v>
      </c>
      <c r="Q486" s="26" t="str" cm="1">
        <f t="array" ref="Q486">IFERROR(_xlfn.XLOOKUP(C486&amp;A486, ESPN!A:A&amp;ESPN!C:C, ESPN!K:K), "N/A")</f>
        <v>N/A</v>
      </c>
    </row>
    <row r="487" spans="1:17" x14ac:dyDescent="0.45">
      <c r="A487" s="7">
        <v>2023</v>
      </c>
      <c r="B487" s="3" t="s">
        <v>326</v>
      </c>
      <c r="C487" s="4" t="str">
        <f t="shared" si="14"/>
        <v>Jason Cabinda</v>
      </c>
      <c r="D487" s="4" t="str">
        <f t="shared" si="15"/>
        <v>DET</v>
      </c>
      <c r="E487" s="4">
        <v>4</v>
      </c>
      <c r="F487" s="12">
        <v>0</v>
      </c>
      <c r="G487" s="11">
        <v>0</v>
      </c>
      <c r="H487" s="11">
        <v>0</v>
      </c>
      <c r="I487" s="11">
        <v>0</v>
      </c>
      <c r="J487" s="11">
        <v>0</v>
      </c>
      <c r="K487" s="11">
        <v>0</v>
      </c>
      <c r="L487" s="11" t="str" cm="1">
        <f t="array" ref="L487">IFERROR(_xlfn.XLOOKUP(C487&amp;A487, ESPN!A:A&amp;ESPN!C:C, ESPN!D:D), "N/A")</f>
        <v>N/A</v>
      </c>
      <c r="M487" s="23" t="str" cm="1">
        <f t="array" ref="M487">IFERROR(_xlfn.XLOOKUP(C487&amp;A487, ESPN!A:A&amp;ESPN!C:C, ESPN!G:G), "N/A")</f>
        <v>N/A</v>
      </c>
      <c r="N487" s="23" t="str" cm="1">
        <f t="array" ref="N487">IFERROR(_xlfn.XLOOKUP(C487&amp;A487, ESPN!A:A&amp;ESPN!C:C, ESPN!H:H), "N/A")</f>
        <v>N/A</v>
      </c>
      <c r="O487" s="26" t="str" cm="1">
        <f t="array" ref="O487">IFERROR(_xlfn.XLOOKUP(C487&amp;A487, ESPN!A:A&amp;ESPN!C:C, ESPN!I:I), "N/A")</f>
        <v>N/A</v>
      </c>
      <c r="P487" s="26" t="str" cm="1">
        <f t="array" ref="P487">IFERROR(_xlfn.XLOOKUP(C487&amp;A487, ESPN!A:A&amp;ESPN!C:C, ESPN!J:J), "N/A")</f>
        <v>N/A</v>
      </c>
      <c r="Q487" s="26" t="str" cm="1">
        <f t="array" ref="Q487">IFERROR(_xlfn.XLOOKUP(C487&amp;A487, ESPN!A:A&amp;ESPN!C:C, ESPN!K:K), "N/A")</f>
        <v>N/A</v>
      </c>
    </row>
    <row r="488" spans="1:17" x14ac:dyDescent="0.45">
      <c r="A488" s="6">
        <v>2023</v>
      </c>
      <c r="B488" s="1" t="s">
        <v>327</v>
      </c>
      <c r="C488" s="2" t="str">
        <f t="shared" si="14"/>
        <v>Patrick Laird</v>
      </c>
      <c r="D488" s="2" t="str">
        <f t="shared" si="15"/>
        <v>TB</v>
      </c>
      <c r="E488" s="2">
        <v>2</v>
      </c>
      <c r="F488" s="12">
        <v>0</v>
      </c>
      <c r="G488" s="11">
        <v>0</v>
      </c>
      <c r="H488" s="11">
        <v>0</v>
      </c>
      <c r="I488" s="11">
        <v>0</v>
      </c>
      <c r="J488" s="11">
        <v>0</v>
      </c>
      <c r="K488" s="11">
        <v>0</v>
      </c>
      <c r="L488" s="11" t="str" cm="1">
        <f t="array" ref="L488">IFERROR(_xlfn.XLOOKUP(C488&amp;A488, ESPN!A:A&amp;ESPN!C:C, ESPN!D:D), "N/A")</f>
        <v>N/A</v>
      </c>
      <c r="M488" s="23" t="str" cm="1">
        <f t="array" ref="M488">IFERROR(_xlfn.XLOOKUP(C488&amp;A488, ESPN!A:A&amp;ESPN!C:C, ESPN!G:G), "N/A")</f>
        <v>N/A</v>
      </c>
      <c r="N488" s="23" t="str" cm="1">
        <f t="array" ref="N488">IFERROR(_xlfn.XLOOKUP(C488&amp;A488, ESPN!A:A&amp;ESPN!C:C, ESPN!H:H), "N/A")</f>
        <v>N/A</v>
      </c>
      <c r="O488" s="26" t="str" cm="1">
        <f t="array" ref="O488">IFERROR(_xlfn.XLOOKUP(C488&amp;A488, ESPN!A:A&amp;ESPN!C:C, ESPN!I:I), "N/A")</f>
        <v>N/A</v>
      </c>
      <c r="P488" s="26" t="str" cm="1">
        <f t="array" ref="P488">IFERROR(_xlfn.XLOOKUP(C488&amp;A488, ESPN!A:A&amp;ESPN!C:C, ESPN!J:J), "N/A")</f>
        <v>N/A</v>
      </c>
      <c r="Q488" s="26" t="str" cm="1">
        <f t="array" ref="Q488">IFERROR(_xlfn.XLOOKUP(C488&amp;A488, ESPN!A:A&amp;ESPN!C:C, ESPN!K:K), "N/A")</f>
        <v>N/A</v>
      </c>
    </row>
    <row r="489" spans="1:17" x14ac:dyDescent="0.45">
      <c r="A489" s="7">
        <v>2023</v>
      </c>
      <c r="B489" s="3" t="s">
        <v>174</v>
      </c>
      <c r="C489" s="4" t="str">
        <f t="shared" si="14"/>
        <v>Travis Homer</v>
      </c>
      <c r="D489" s="4" t="str">
        <f t="shared" si="15"/>
        <v>CHI</v>
      </c>
      <c r="E489" s="4">
        <v>9</v>
      </c>
      <c r="F489" s="12">
        <v>1</v>
      </c>
      <c r="G489" s="11">
        <v>0</v>
      </c>
      <c r="H489" s="11">
        <v>0</v>
      </c>
      <c r="I489" s="11">
        <v>0</v>
      </c>
      <c r="J489" s="11">
        <v>0</v>
      </c>
      <c r="K489" s="11">
        <v>0</v>
      </c>
      <c r="L489" s="11" t="str" cm="1">
        <f t="array" ref="L489">IFERROR(_xlfn.XLOOKUP(C489&amp;A489, ESPN!A:A&amp;ESPN!C:C, ESPN!D:D), "N/A")</f>
        <v>N/A</v>
      </c>
      <c r="M489" s="23" t="str" cm="1">
        <f t="array" ref="M489">IFERROR(_xlfn.XLOOKUP(C489&amp;A489, ESPN!A:A&amp;ESPN!C:C, ESPN!G:G), "N/A")</f>
        <v>N/A</v>
      </c>
      <c r="N489" s="23" t="str" cm="1">
        <f t="array" ref="N489">IFERROR(_xlfn.XLOOKUP(C489&amp;A489, ESPN!A:A&amp;ESPN!C:C, ESPN!H:H), "N/A")</f>
        <v>N/A</v>
      </c>
      <c r="O489" s="26" t="str" cm="1">
        <f t="array" ref="O489">IFERROR(_xlfn.XLOOKUP(C489&amp;A489, ESPN!A:A&amp;ESPN!C:C, ESPN!I:I), "N/A")</f>
        <v>N/A</v>
      </c>
      <c r="P489" s="26" t="str" cm="1">
        <f t="array" ref="P489">IFERROR(_xlfn.XLOOKUP(C489&amp;A489, ESPN!A:A&amp;ESPN!C:C, ESPN!J:J), "N/A")</f>
        <v>N/A</v>
      </c>
      <c r="Q489" s="26" t="str" cm="1">
        <f t="array" ref="Q489">IFERROR(_xlfn.XLOOKUP(C489&amp;A489, ESPN!A:A&amp;ESPN!C:C, ESPN!K:K), "N/A")</f>
        <v>N/A</v>
      </c>
    </row>
    <row r="490" spans="1:17" x14ac:dyDescent="0.45">
      <c r="A490" s="6">
        <v>2023</v>
      </c>
      <c r="B490" s="1" t="s">
        <v>238</v>
      </c>
      <c r="C490" s="2" t="str">
        <f t="shared" si="14"/>
        <v>Andrew Beck</v>
      </c>
      <c r="D490" s="2" t="str">
        <f t="shared" si="15"/>
        <v>HOU</v>
      </c>
      <c r="E490" s="2">
        <v>13</v>
      </c>
      <c r="F490" s="12">
        <v>13</v>
      </c>
      <c r="G490" s="11">
        <v>11</v>
      </c>
      <c r="H490" s="11">
        <v>55</v>
      </c>
      <c r="I490" s="11">
        <v>5</v>
      </c>
      <c r="J490" s="11">
        <v>2</v>
      </c>
      <c r="K490" s="11">
        <v>1</v>
      </c>
      <c r="L490" s="11" t="str" cm="1">
        <f t="array" ref="L490">IFERROR(_xlfn.XLOOKUP(C490&amp;A490, ESPN!A:A&amp;ESPN!C:C, ESPN!D:D), "N/A")</f>
        <v>N/A</v>
      </c>
      <c r="M490" s="23" t="str" cm="1">
        <f t="array" ref="M490">IFERROR(_xlfn.XLOOKUP(C490&amp;A490, ESPN!A:A&amp;ESPN!C:C, ESPN!G:G), "N/A")</f>
        <v>N/A</v>
      </c>
      <c r="N490" s="23" t="str" cm="1">
        <f t="array" ref="N490">IFERROR(_xlfn.XLOOKUP(C490&amp;A490, ESPN!A:A&amp;ESPN!C:C, ESPN!H:H), "N/A")</f>
        <v>N/A</v>
      </c>
      <c r="O490" s="26" t="str" cm="1">
        <f t="array" ref="O490">IFERROR(_xlfn.XLOOKUP(C490&amp;A490, ESPN!A:A&amp;ESPN!C:C, ESPN!I:I), "N/A")</f>
        <v>N/A</v>
      </c>
      <c r="P490" s="26" t="str" cm="1">
        <f t="array" ref="P490">IFERROR(_xlfn.XLOOKUP(C490&amp;A490, ESPN!A:A&amp;ESPN!C:C, ESPN!J:J), "N/A")</f>
        <v>N/A</v>
      </c>
      <c r="Q490" s="26" t="str" cm="1">
        <f t="array" ref="Q490">IFERROR(_xlfn.XLOOKUP(C490&amp;A490, ESPN!A:A&amp;ESPN!C:C, ESPN!K:K), "N/A")</f>
        <v>N/A</v>
      </c>
    </row>
    <row r="491" spans="1:17" x14ac:dyDescent="0.45">
      <c r="A491" s="7">
        <v>2023</v>
      </c>
      <c r="B491" s="3" t="s">
        <v>328</v>
      </c>
      <c r="C491" s="4" t="str">
        <f t="shared" si="14"/>
        <v>Austin Walter</v>
      </c>
      <c r="D491" s="4" t="str">
        <f t="shared" si="15"/>
        <v>LV</v>
      </c>
      <c r="E491" s="4">
        <v>1</v>
      </c>
      <c r="F491" s="12">
        <v>0</v>
      </c>
      <c r="G491" s="11">
        <v>0</v>
      </c>
      <c r="H491" s="11">
        <v>0</v>
      </c>
      <c r="I491" s="11">
        <v>0</v>
      </c>
      <c r="J491" s="11">
        <v>0</v>
      </c>
      <c r="K491" s="11">
        <v>0</v>
      </c>
      <c r="L491" s="11" t="str" cm="1">
        <f t="array" ref="L491">IFERROR(_xlfn.XLOOKUP(C491&amp;A491, ESPN!A:A&amp;ESPN!C:C, ESPN!D:D), "N/A")</f>
        <v>N/A</v>
      </c>
      <c r="M491" s="23" t="str" cm="1">
        <f t="array" ref="M491">IFERROR(_xlfn.XLOOKUP(C491&amp;A491, ESPN!A:A&amp;ESPN!C:C, ESPN!G:G), "N/A")</f>
        <v>N/A</v>
      </c>
      <c r="N491" s="23" t="str" cm="1">
        <f t="array" ref="N491">IFERROR(_xlfn.XLOOKUP(C491&amp;A491, ESPN!A:A&amp;ESPN!C:C, ESPN!H:H), "N/A")</f>
        <v>N/A</v>
      </c>
      <c r="O491" s="26" t="str" cm="1">
        <f t="array" ref="O491">IFERROR(_xlfn.XLOOKUP(C491&amp;A491, ESPN!A:A&amp;ESPN!C:C, ESPN!I:I), "N/A")</f>
        <v>N/A</v>
      </c>
      <c r="P491" s="26" t="str" cm="1">
        <f t="array" ref="P491">IFERROR(_xlfn.XLOOKUP(C491&amp;A491, ESPN!A:A&amp;ESPN!C:C, ESPN!J:J), "N/A")</f>
        <v>N/A</v>
      </c>
      <c r="Q491" s="26" t="str" cm="1">
        <f t="array" ref="Q491">IFERROR(_xlfn.XLOOKUP(C491&amp;A491, ESPN!A:A&amp;ESPN!C:C, ESPN!K:K), "N/A")</f>
        <v>N/A</v>
      </c>
    </row>
    <row r="492" spans="1:17" x14ac:dyDescent="0.45">
      <c r="A492" s="6">
        <v>2023</v>
      </c>
      <c r="B492" s="1" t="s">
        <v>329</v>
      </c>
      <c r="C492" s="2" t="str">
        <f t="shared" si="14"/>
        <v>JaMycal Hasty</v>
      </c>
      <c r="D492" s="2" t="str">
        <f t="shared" si="15"/>
        <v>JAC</v>
      </c>
      <c r="E492" s="2">
        <v>1</v>
      </c>
      <c r="F492" s="12">
        <v>2</v>
      </c>
      <c r="G492" s="11">
        <v>0</v>
      </c>
      <c r="H492" s="11">
        <v>0</v>
      </c>
      <c r="I492" s="11">
        <v>0</v>
      </c>
      <c r="J492" s="11">
        <v>0</v>
      </c>
      <c r="K492" s="11">
        <v>0</v>
      </c>
      <c r="L492" s="11" t="str" cm="1">
        <f t="array" ref="L492">IFERROR(_xlfn.XLOOKUP(C492&amp;A492, ESPN!A:A&amp;ESPN!C:C, ESPN!D:D), "N/A")</f>
        <v>N/A</v>
      </c>
      <c r="M492" s="23" t="str" cm="1">
        <f t="array" ref="M492">IFERROR(_xlfn.XLOOKUP(C492&amp;A492, ESPN!A:A&amp;ESPN!C:C, ESPN!G:G), "N/A")</f>
        <v>N/A</v>
      </c>
      <c r="N492" s="23" t="str" cm="1">
        <f t="array" ref="N492">IFERROR(_xlfn.XLOOKUP(C492&amp;A492, ESPN!A:A&amp;ESPN!C:C, ESPN!H:H), "N/A")</f>
        <v>N/A</v>
      </c>
      <c r="O492" s="26" t="str" cm="1">
        <f t="array" ref="O492">IFERROR(_xlfn.XLOOKUP(C492&amp;A492, ESPN!A:A&amp;ESPN!C:C, ESPN!I:I), "N/A")</f>
        <v>N/A</v>
      </c>
      <c r="P492" s="26" t="str" cm="1">
        <f t="array" ref="P492">IFERROR(_xlfn.XLOOKUP(C492&amp;A492, ESPN!A:A&amp;ESPN!C:C, ESPN!J:J), "N/A")</f>
        <v>N/A</v>
      </c>
      <c r="Q492" s="26" t="str" cm="1">
        <f t="array" ref="Q492">IFERROR(_xlfn.XLOOKUP(C492&amp;A492, ESPN!A:A&amp;ESPN!C:C, ESPN!K:K), "N/A")</f>
        <v>N/A</v>
      </c>
    </row>
    <row r="493" spans="1:17" x14ac:dyDescent="0.45">
      <c r="A493" s="7">
        <v>2023</v>
      </c>
      <c r="B493" s="3" t="s">
        <v>330</v>
      </c>
      <c r="C493" s="4" t="str">
        <f t="shared" si="14"/>
        <v>James Robinson</v>
      </c>
      <c r="D493" s="4" t="str">
        <f t="shared" si="15"/>
        <v>GB</v>
      </c>
      <c r="E493" s="4">
        <v>1</v>
      </c>
      <c r="F493" s="12">
        <v>1</v>
      </c>
      <c r="G493" s="11">
        <v>1</v>
      </c>
      <c r="H493" s="11">
        <v>-2</v>
      </c>
      <c r="I493" s="11">
        <v>-2</v>
      </c>
      <c r="J493" s="11">
        <v>0</v>
      </c>
      <c r="K493" s="11">
        <v>0</v>
      </c>
      <c r="L493" s="11" t="str" cm="1">
        <f t="array" ref="L493">IFERROR(_xlfn.XLOOKUP(C493&amp;A493, ESPN!A:A&amp;ESPN!C:C, ESPN!D:D), "N/A")</f>
        <v>N/A</v>
      </c>
      <c r="M493" s="23" t="str" cm="1">
        <f t="array" ref="M493">IFERROR(_xlfn.XLOOKUP(C493&amp;A493, ESPN!A:A&amp;ESPN!C:C, ESPN!G:G), "N/A")</f>
        <v>N/A</v>
      </c>
      <c r="N493" s="23" t="str" cm="1">
        <f t="array" ref="N493">IFERROR(_xlfn.XLOOKUP(C493&amp;A493, ESPN!A:A&amp;ESPN!C:C, ESPN!H:H), "N/A")</f>
        <v>N/A</v>
      </c>
      <c r="O493" s="26" t="str" cm="1">
        <f t="array" ref="O493">IFERROR(_xlfn.XLOOKUP(C493&amp;A493, ESPN!A:A&amp;ESPN!C:C, ESPN!I:I), "N/A")</f>
        <v>N/A</v>
      </c>
      <c r="P493" s="26" t="str" cm="1">
        <f t="array" ref="P493">IFERROR(_xlfn.XLOOKUP(C493&amp;A493, ESPN!A:A&amp;ESPN!C:C, ESPN!J:J), "N/A")</f>
        <v>N/A</v>
      </c>
      <c r="Q493" s="26" t="str" cm="1">
        <f t="array" ref="Q493">IFERROR(_xlfn.XLOOKUP(C493&amp;A493, ESPN!A:A&amp;ESPN!C:C, ESPN!K:K), "N/A")</f>
        <v>N/A</v>
      </c>
    </row>
    <row r="494" spans="1:17" x14ac:dyDescent="0.45">
      <c r="A494" s="6">
        <v>2023</v>
      </c>
      <c r="B494" s="1" t="s">
        <v>331</v>
      </c>
      <c r="C494" s="2" t="str">
        <f t="shared" si="14"/>
        <v>Kirk Merritt</v>
      </c>
      <c r="D494" s="2" t="str">
        <f t="shared" si="15"/>
        <v>NO</v>
      </c>
      <c r="E494" s="2">
        <v>1</v>
      </c>
      <c r="F494" s="12">
        <v>0</v>
      </c>
      <c r="G494" s="11">
        <v>0</v>
      </c>
      <c r="H494" s="11">
        <v>0</v>
      </c>
      <c r="I494" s="11">
        <v>0</v>
      </c>
      <c r="J494" s="11">
        <v>0</v>
      </c>
      <c r="K494" s="11">
        <v>0</v>
      </c>
      <c r="L494" s="11" t="str" cm="1">
        <f t="array" ref="L494">IFERROR(_xlfn.XLOOKUP(C494&amp;A494, ESPN!A:A&amp;ESPN!C:C, ESPN!D:D), "N/A")</f>
        <v>N/A</v>
      </c>
      <c r="M494" s="23" t="str" cm="1">
        <f t="array" ref="M494">IFERROR(_xlfn.XLOOKUP(C494&amp;A494, ESPN!A:A&amp;ESPN!C:C, ESPN!G:G), "N/A")</f>
        <v>N/A</v>
      </c>
      <c r="N494" s="23" t="str" cm="1">
        <f t="array" ref="N494">IFERROR(_xlfn.XLOOKUP(C494&amp;A494, ESPN!A:A&amp;ESPN!C:C, ESPN!H:H), "N/A")</f>
        <v>N/A</v>
      </c>
      <c r="O494" s="26" t="str" cm="1">
        <f t="array" ref="O494">IFERROR(_xlfn.XLOOKUP(C494&amp;A494, ESPN!A:A&amp;ESPN!C:C, ESPN!I:I), "N/A")</f>
        <v>N/A</v>
      </c>
      <c r="P494" s="26" t="str" cm="1">
        <f t="array" ref="P494">IFERROR(_xlfn.XLOOKUP(C494&amp;A494, ESPN!A:A&amp;ESPN!C:C, ESPN!J:J), "N/A")</f>
        <v>N/A</v>
      </c>
      <c r="Q494" s="26" t="str" cm="1">
        <f t="array" ref="Q494">IFERROR(_xlfn.XLOOKUP(C494&amp;A494, ESPN!A:A&amp;ESPN!C:C, ESPN!K:K), "N/A")</f>
        <v>N/A</v>
      </c>
    </row>
    <row r="495" spans="1:17" x14ac:dyDescent="0.45">
      <c r="A495" s="7">
        <v>2023</v>
      </c>
      <c r="B495" s="3" t="s">
        <v>332</v>
      </c>
      <c r="C495" s="4" t="str">
        <f t="shared" si="14"/>
        <v>Mohamed Ibrahim</v>
      </c>
      <c r="D495" s="4" t="str">
        <f t="shared" si="15"/>
        <v>DET</v>
      </c>
      <c r="E495" s="4">
        <v>1</v>
      </c>
      <c r="F495" s="12">
        <v>0</v>
      </c>
      <c r="G495" s="11">
        <v>0</v>
      </c>
      <c r="H495" s="11">
        <v>0</v>
      </c>
      <c r="I495" s="11">
        <v>0</v>
      </c>
      <c r="J495" s="11">
        <v>0</v>
      </c>
      <c r="K495" s="11">
        <v>0</v>
      </c>
      <c r="L495" s="11" t="str" cm="1">
        <f t="array" ref="L495">IFERROR(_xlfn.XLOOKUP(C495&amp;A495, ESPN!A:A&amp;ESPN!C:C, ESPN!D:D), "N/A")</f>
        <v>N/A</v>
      </c>
      <c r="M495" s="23" t="str" cm="1">
        <f t="array" ref="M495">IFERROR(_xlfn.XLOOKUP(C495&amp;A495, ESPN!A:A&amp;ESPN!C:C, ESPN!G:G), "N/A")</f>
        <v>N/A</v>
      </c>
      <c r="N495" s="23" t="str" cm="1">
        <f t="array" ref="N495">IFERROR(_xlfn.XLOOKUP(C495&amp;A495, ESPN!A:A&amp;ESPN!C:C, ESPN!H:H), "N/A")</f>
        <v>N/A</v>
      </c>
      <c r="O495" s="26" t="str" cm="1">
        <f t="array" ref="O495">IFERROR(_xlfn.XLOOKUP(C495&amp;A495, ESPN!A:A&amp;ESPN!C:C, ESPN!I:I), "N/A")</f>
        <v>N/A</v>
      </c>
      <c r="P495" s="26" t="str" cm="1">
        <f t="array" ref="P495">IFERROR(_xlfn.XLOOKUP(C495&amp;A495, ESPN!A:A&amp;ESPN!C:C, ESPN!J:J), "N/A")</f>
        <v>N/A</v>
      </c>
      <c r="Q495" s="26" t="str" cm="1">
        <f t="array" ref="Q495">IFERROR(_xlfn.XLOOKUP(C495&amp;A495, ESPN!A:A&amp;ESPN!C:C, ESPN!K:K), "N/A")</f>
        <v>N/A</v>
      </c>
    </row>
    <row r="496" spans="1:17" x14ac:dyDescent="0.45">
      <c r="A496" s="6">
        <v>2023</v>
      </c>
      <c r="B496" s="1" t="s">
        <v>65</v>
      </c>
      <c r="C496" s="2" t="str">
        <f t="shared" si="14"/>
        <v>Malik Davis</v>
      </c>
      <c r="D496" s="2" t="str">
        <f t="shared" si="15"/>
        <v>DAL</v>
      </c>
      <c r="E496" s="2">
        <v>2</v>
      </c>
      <c r="F496" s="12">
        <v>0</v>
      </c>
      <c r="G496" s="11">
        <v>0</v>
      </c>
      <c r="H496" s="11">
        <v>0</v>
      </c>
      <c r="I496" s="11">
        <v>0</v>
      </c>
      <c r="J496" s="11">
        <v>0</v>
      </c>
      <c r="K496" s="11">
        <v>0</v>
      </c>
      <c r="L496" s="11" t="str" cm="1">
        <f t="array" ref="L496">IFERROR(_xlfn.XLOOKUP(C496&amp;A496, ESPN!A:A&amp;ESPN!C:C, ESPN!D:D), "N/A")</f>
        <v>N/A</v>
      </c>
      <c r="M496" s="23" t="str" cm="1">
        <f t="array" ref="M496">IFERROR(_xlfn.XLOOKUP(C496&amp;A496, ESPN!A:A&amp;ESPN!C:C, ESPN!G:G), "N/A")</f>
        <v>N/A</v>
      </c>
      <c r="N496" s="23" t="str" cm="1">
        <f t="array" ref="N496">IFERROR(_xlfn.XLOOKUP(C496&amp;A496, ESPN!A:A&amp;ESPN!C:C, ESPN!H:H), "N/A")</f>
        <v>N/A</v>
      </c>
      <c r="O496" s="26" t="str" cm="1">
        <f t="array" ref="O496">IFERROR(_xlfn.XLOOKUP(C496&amp;A496, ESPN!A:A&amp;ESPN!C:C, ESPN!I:I), "N/A")</f>
        <v>N/A</v>
      </c>
      <c r="P496" s="26" t="str" cm="1">
        <f t="array" ref="P496">IFERROR(_xlfn.XLOOKUP(C496&amp;A496, ESPN!A:A&amp;ESPN!C:C, ESPN!J:J), "N/A")</f>
        <v>N/A</v>
      </c>
      <c r="Q496" s="26" t="str" cm="1">
        <f t="array" ref="Q496">IFERROR(_xlfn.XLOOKUP(C496&amp;A496, ESPN!A:A&amp;ESPN!C:C, ESPN!K:K), "N/A")</f>
        <v>N/A</v>
      </c>
    </row>
    <row r="497" spans="1:17" x14ac:dyDescent="0.45">
      <c r="A497" s="7">
        <v>2023</v>
      </c>
      <c r="B497" s="3" t="s">
        <v>333</v>
      </c>
      <c r="C497" s="4" t="str">
        <f t="shared" si="14"/>
        <v>Bryant Koback</v>
      </c>
      <c r="D497" s="4" t="str">
        <f t="shared" si="15"/>
        <v>PHI</v>
      </c>
      <c r="E497" s="4">
        <v>1</v>
      </c>
      <c r="F497" s="12">
        <v>0</v>
      </c>
      <c r="G497" s="11">
        <v>0</v>
      </c>
      <c r="H497" s="11">
        <v>0</v>
      </c>
      <c r="I497" s="11">
        <v>0</v>
      </c>
      <c r="J497" s="11">
        <v>0</v>
      </c>
      <c r="K497" s="11">
        <v>0</v>
      </c>
      <c r="L497" s="11" t="str" cm="1">
        <f t="array" ref="L497">IFERROR(_xlfn.XLOOKUP(C497&amp;A497, ESPN!A:A&amp;ESPN!C:C, ESPN!D:D), "N/A")</f>
        <v>N/A</v>
      </c>
      <c r="M497" s="23" t="str" cm="1">
        <f t="array" ref="M497">IFERROR(_xlfn.XLOOKUP(C497&amp;A497, ESPN!A:A&amp;ESPN!C:C, ESPN!G:G), "N/A")</f>
        <v>N/A</v>
      </c>
      <c r="N497" s="23" t="str" cm="1">
        <f t="array" ref="N497">IFERROR(_xlfn.XLOOKUP(C497&amp;A497, ESPN!A:A&amp;ESPN!C:C, ESPN!H:H), "N/A")</f>
        <v>N/A</v>
      </c>
      <c r="O497" s="26" t="str" cm="1">
        <f t="array" ref="O497">IFERROR(_xlfn.XLOOKUP(C497&amp;A497, ESPN!A:A&amp;ESPN!C:C, ESPN!I:I), "N/A")</f>
        <v>N/A</v>
      </c>
      <c r="P497" s="26" t="str" cm="1">
        <f t="array" ref="P497">IFERROR(_xlfn.XLOOKUP(C497&amp;A497, ESPN!A:A&amp;ESPN!C:C, ESPN!J:J), "N/A")</f>
        <v>N/A</v>
      </c>
      <c r="Q497" s="26" t="str" cm="1">
        <f t="array" ref="Q497">IFERROR(_xlfn.XLOOKUP(C497&amp;A497, ESPN!A:A&amp;ESPN!C:C, ESPN!K:K), "N/A")</f>
        <v>N/A</v>
      </c>
    </row>
    <row r="498" spans="1:17" x14ac:dyDescent="0.45">
      <c r="A498" s="6">
        <v>2023</v>
      </c>
      <c r="B498" s="1" t="s">
        <v>334</v>
      </c>
      <c r="C498" s="2" t="str">
        <f t="shared" si="14"/>
        <v>Velus Jones Jr.</v>
      </c>
      <c r="D498" s="2" t="str">
        <f t="shared" si="15"/>
        <v>CHI</v>
      </c>
      <c r="E498" s="2">
        <v>13</v>
      </c>
      <c r="F498" s="12">
        <v>7</v>
      </c>
      <c r="G498" s="11">
        <v>4</v>
      </c>
      <c r="H498" s="11">
        <v>20</v>
      </c>
      <c r="I498" s="11">
        <v>5</v>
      </c>
      <c r="J498" s="11">
        <v>0</v>
      </c>
      <c r="K498" s="11">
        <v>0</v>
      </c>
      <c r="L498" s="11" t="str" cm="1">
        <f t="array" ref="L498">IFERROR(_xlfn.XLOOKUP(C498&amp;A498, ESPN!A:A&amp;ESPN!C:C, ESPN!D:D), "N/A")</f>
        <v>N/A</v>
      </c>
      <c r="M498" s="23" t="str" cm="1">
        <f t="array" ref="M498">IFERROR(_xlfn.XLOOKUP(C498&amp;A498, ESPN!A:A&amp;ESPN!C:C, ESPN!G:G), "N/A")</f>
        <v>N/A</v>
      </c>
      <c r="N498" s="23" t="str" cm="1">
        <f t="array" ref="N498">IFERROR(_xlfn.XLOOKUP(C498&amp;A498, ESPN!A:A&amp;ESPN!C:C, ESPN!H:H), "N/A")</f>
        <v>N/A</v>
      </c>
      <c r="O498" s="26" t="str" cm="1">
        <f t="array" ref="O498">IFERROR(_xlfn.XLOOKUP(C498&amp;A498, ESPN!A:A&amp;ESPN!C:C, ESPN!I:I), "N/A")</f>
        <v>N/A</v>
      </c>
      <c r="P498" s="26" t="str" cm="1">
        <f t="array" ref="P498">IFERROR(_xlfn.XLOOKUP(C498&amp;A498, ESPN!A:A&amp;ESPN!C:C, ESPN!J:J), "N/A")</f>
        <v>N/A</v>
      </c>
      <c r="Q498" s="26" t="str" cm="1">
        <f t="array" ref="Q498">IFERROR(_xlfn.XLOOKUP(C498&amp;A498, ESPN!A:A&amp;ESPN!C:C, ESPN!K:K), "N/A")</f>
        <v>N/A</v>
      </c>
    </row>
    <row r="499" spans="1:17" x14ac:dyDescent="0.45">
      <c r="A499" s="7">
        <v>2023</v>
      </c>
      <c r="B499" s="3" t="s">
        <v>112</v>
      </c>
      <c r="C499" s="4" t="str">
        <f t="shared" si="14"/>
        <v>Connor Heyward</v>
      </c>
      <c r="D499" s="4" t="str">
        <f t="shared" si="15"/>
        <v>PIT</v>
      </c>
      <c r="E499" s="4">
        <v>17</v>
      </c>
      <c r="F499" s="12">
        <v>34</v>
      </c>
      <c r="G499" s="11">
        <v>23</v>
      </c>
      <c r="H499" s="11">
        <v>167</v>
      </c>
      <c r="I499" s="11">
        <v>7.3</v>
      </c>
      <c r="J499" s="11">
        <v>0</v>
      </c>
      <c r="K499" s="11">
        <v>0</v>
      </c>
      <c r="L499" s="11" t="str" cm="1">
        <f t="array" ref="L499">IFERROR(_xlfn.XLOOKUP(C499&amp;A499, ESPN!A:A&amp;ESPN!C:C, ESPN!D:D), "N/A")</f>
        <v>N/A</v>
      </c>
      <c r="M499" s="23" t="str" cm="1">
        <f t="array" ref="M499">IFERROR(_xlfn.XLOOKUP(C499&amp;A499, ESPN!A:A&amp;ESPN!C:C, ESPN!G:G), "N/A")</f>
        <v>N/A</v>
      </c>
      <c r="N499" s="23" t="str" cm="1">
        <f t="array" ref="N499">IFERROR(_xlfn.XLOOKUP(C499&amp;A499, ESPN!A:A&amp;ESPN!C:C, ESPN!H:H), "N/A")</f>
        <v>N/A</v>
      </c>
      <c r="O499" s="26" t="str" cm="1">
        <f t="array" ref="O499">IFERROR(_xlfn.XLOOKUP(C499&amp;A499, ESPN!A:A&amp;ESPN!C:C, ESPN!I:I), "N/A")</f>
        <v>N/A</v>
      </c>
      <c r="P499" s="26" t="str" cm="1">
        <f t="array" ref="P499">IFERROR(_xlfn.XLOOKUP(C499&amp;A499, ESPN!A:A&amp;ESPN!C:C, ESPN!J:J), "N/A")</f>
        <v>N/A</v>
      </c>
      <c r="Q499" s="26" t="str" cm="1">
        <f t="array" ref="Q499">IFERROR(_xlfn.XLOOKUP(C499&amp;A499, ESPN!A:A&amp;ESPN!C:C, ESPN!K:K), "N/A")</f>
        <v>N/A</v>
      </c>
    </row>
    <row r="500" spans="1:17" x14ac:dyDescent="0.45">
      <c r="A500" s="6">
        <v>2023</v>
      </c>
      <c r="B500" s="1" t="s">
        <v>335</v>
      </c>
      <c r="C500" s="2" t="str">
        <f t="shared" si="14"/>
        <v>Brittain Brown</v>
      </c>
      <c r="D500" s="2" t="str">
        <f t="shared" si="15"/>
        <v>LV</v>
      </c>
      <c r="E500" s="2">
        <v>1</v>
      </c>
      <c r="F500" s="12">
        <v>0</v>
      </c>
      <c r="G500" s="11">
        <v>0</v>
      </c>
      <c r="H500" s="11">
        <v>0</v>
      </c>
      <c r="I500" s="11">
        <v>0</v>
      </c>
      <c r="J500" s="11">
        <v>0</v>
      </c>
      <c r="K500" s="11">
        <v>0</v>
      </c>
      <c r="L500" s="11" t="str" cm="1">
        <f t="array" ref="L500">IFERROR(_xlfn.XLOOKUP(C500&amp;A500, ESPN!A:A&amp;ESPN!C:C, ESPN!D:D), "N/A")</f>
        <v>N/A</v>
      </c>
      <c r="M500" s="23" t="str" cm="1">
        <f t="array" ref="M500">IFERROR(_xlfn.XLOOKUP(C500&amp;A500, ESPN!A:A&amp;ESPN!C:C, ESPN!G:G), "N/A")</f>
        <v>N/A</v>
      </c>
      <c r="N500" s="23" t="str" cm="1">
        <f t="array" ref="N500">IFERROR(_xlfn.XLOOKUP(C500&amp;A500, ESPN!A:A&amp;ESPN!C:C, ESPN!H:H), "N/A")</f>
        <v>N/A</v>
      </c>
      <c r="O500" s="26" t="str" cm="1">
        <f t="array" ref="O500">IFERROR(_xlfn.XLOOKUP(C500&amp;A500, ESPN!A:A&amp;ESPN!C:C, ESPN!I:I), "N/A")</f>
        <v>N/A</v>
      </c>
      <c r="P500" s="26" t="str" cm="1">
        <f t="array" ref="P500">IFERROR(_xlfn.XLOOKUP(C500&amp;A500, ESPN!A:A&amp;ESPN!C:C, ESPN!J:J), "N/A")</f>
        <v>N/A</v>
      </c>
      <c r="Q500" s="26" t="str" cm="1">
        <f t="array" ref="Q500">IFERROR(_xlfn.XLOOKUP(C500&amp;A500, ESPN!A:A&amp;ESPN!C:C, ESPN!K:K), "N/A")</f>
        <v>N/A</v>
      </c>
    </row>
    <row r="501" spans="1:17" x14ac:dyDescent="0.45">
      <c r="A501" s="7">
        <v>2023</v>
      </c>
      <c r="B501" s="3" t="s">
        <v>114</v>
      </c>
      <c r="C501" s="4" t="str">
        <f t="shared" si="14"/>
        <v>Julius Chestnut</v>
      </c>
      <c r="D501" s="4" t="str">
        <f t="shared" si="15"/>
        <v>TEN</v>
      </c>
      <c r="E501" s="4">
        <v>2</v>
      </c>
      <c r="F501" s="12">
        <v>0</v>
      </c>
      <c r="G501" s="11">
        <v>0</v>
      </c>
      <c r="H501" s="11">
        <v>0</v>
      </c>
      <c r="I501" s="11">
        <v>0</v>
      </c>
      <c r="J501" s="11">
        <v>0</v>
      </c>
      <c r="K501" s="11">
        <v>0</v>
      </c>
      <c r="L501" s="11" t="str" cm="1">
        <f t="array" ref="L501">IFERROR(_xlfn.XLOOKUP(C501&amp;A501, ESPN!A:A&amp;ESPN!C:C, ESPN!D:D), "N/A")</f>
        <v>N/A</v>
      </c>
      <c r="M501" s="23" t="str" cm="1">
        <f t="array" ref="M501">IFERROR(_xlfn.XLOOKUP(C501&amp;A501, ESPN!A:A&amp;ESPN!C:C, ESPN!G:G), "N/A")</f>
        <v>N/A</v>
      </c>
      <c r="N501" s="23" t="str" cm="1">
        <f t="array" ref="N501">IFERROR(_xlfn.XLOOKUP(C501&amp;A501, ESPN!A:A&amp;ESPN!C:C, ESPN!H:H), "N/A")</f>
        <v>N/A</v>
      </c>
      <c r="O501" s="26" t="str" cm="1">
        <f t="array" ref="O501">IFERROR(_xlfn.XLOOKUP(C501&amp;A501, ESPN!A:A&amp;ESPN!C:C, ESPN!I:I), "N/A")</f>
        <v>N/A</v>
      </c>
      <c r="P501" s="26" t="str" cm="1">
        <f t="array" ref="P501">IFERROR(_xlfn.XLOOKUP(C501&amp;A501, ESPN!A:A&amp;ESPN!C:C, ESPN!J:J), "N/A")</f>
        <v>N/A</v>
      </c>
      <c r="Q501" s="26" t="str" cm="1">
        <f t="array" ref="Q501">IFERROR(_xlfn.XLOOKUP(C501&amp;A501, ESPN!A:A&amp;ESPN!C:C, ESPN!K:K), "N/A")</f>
        <v>N/A</v>
      </c>
    </row>
    <row r="502" spans="1:17" x14ac:dyDescent="0.45">
      <c r="A502" s="6">
        <v>2023</v>
      </c>
      <c r="B502" s="1" t="s">
        <v>336</v>
      </c>
      <c r="C502" s="2" t="str">
        <f t="shared" si="14"/>
        <v>Derek Parish</v>
      </c>
      <c r="D502" s="2" t="str">
        <f t="shared" si="15"/>
        <v>JAC</v>
      </c>
      <c r="E502" s="2">
        <v>1</v>
      </c>
      <c r="F502" s="12">
        <v>0</v>
      </c>
      <c r="G502" s="11">
        <v>0</v>
      </c>
      <c r="H502" s="11">
        <v>0</v>
      </c>
      <c r="I502" s="11">
        <v>0</v>
      </c>
      <c r="J502" s="11">
        <v>0</v>
      </c>
      <c r="K502" s="11">
        <v>0</v>
      </c>
      <c r="L502" s="11" t="str" cm="1">
        <f t="array" ref="L502">IFERROR(_xlfn.XLOOKUP(C502&amp;A502, ESPN!A:A&amp;ESPN!C:C, ESPN!D:D), "N/A")</f>
        <v>N/A</v>
      </c>
      <c r="M502" s="23" t="str" cm="1">
        <f t="array" ref="M502">IFERROR(_xlfn.XLOOKUP(C502&amp;A502, ESPN!A:A&amp;ESPN!C:C, ESPN!G:G), "N/A")</f>
        <v>N/A</v>
      </c>
      <c r="N502" s="23" t="str" cm="1">
        <f t="array" ref="N502">IFERROR(_xlfn.XLOOKUP(C502&amp;A502, ESPN!A:A&amp;ESPN!C:C, ESPN!H:H), "N/A")</f>
        <v>N/A</v>
      </c>
      <c r="O502" s="26" t="str" cm="1">
        <f t="array" ref="O502">IFERROR(_xlfn.XLOOKUP(C502&amp;A502, ESPN!A:A&amp;ESPN!C:C, ESPN!I:I), "N/A")</f>
        <v>N/A</v>
      </c>
      <c r="P502" s="26" t="str" cm="1">
        <f t="array" ref="P502">IFERROR(_xlfn.XLOOKUP(C502&amp;A502, ESPN!A:A&amp;ESPN!C:C, ESPN!J:J), "N/A")</f>
        <v>N/A</v>
      </c>
      <c r="Q502" s="26" t="str" cm="1">
        <f t="array" ref="Q502">IFERROR(_xlfn.XLOOKUP(C502&amp;A502, ESPN!A:A&amp;ESPN!C:C, ESPN!K:K), "N/A")</f>
        <v>N/A</v>
      </c>
    </row>
    <row r="503" spans="1:17" x14ac:dyDescent="0.45">
      <c r="A503" s="7">
        <v>2023</v>
      </c>
      <c r="B503" s="3" t="s">
        <v>337</v>
      </c>
      <c r="C503" s="4" t="str">
        <f t="shared" si="14"/>
        <v>SaRodorick Thompson Jr.</v>
      </c>
      <c r="D503" s="4" t="str">
        <f t="shared" si="15"/>
        <v>SEA</v>
      </c>
      <c r="E503" s="4">
        <v>1</v>
      </c>
      <c r="F503" s="12">
        <v>0</v>
      </c>
      <c r="G503" s="11">
        <v>0</v>
      </c>
      <c r="H503" s="11">
        <v>0</v>
      </c>
      <c r="I503" s="11">
        <v>0</v>
      </c>
      <c r="J503" s="11">
        <v>0</v>
      </c>
      <c r="K503" s="11">
        <v>0</v>
      </c>
      <c r="L503" s="11" t="str" cm="1">
        <f t="array" ref="L503">IFERROR(_xlfn.XLOOKUP(C503&amp;A503, ESPN!A:A&amp;ESPN!C:C, ESPN!D:D), "N/A")</f>
        <v>N/A</v>
      </c>
      <c r="M503" s="23" t="str" cm="1">
        <f t="array" ref="M503">IFERROR(_xlfn.XLOOKUP(C503&amp;A503, ESPN!A:A&amp;ESPN!C:C, ESPN!G:G), "N/A")</f>
        <v>N/A</v>
      </c>
      <c r="N503" s="23" t="str" cm="1">
        <f t="array" ref="N503">IFERROR(_xlfn.XLOOKUP(C503&amp;A503, ESPN!A:A&amp;ESPN!C:C, ESPN!H:H), "N/A")</f>
        <v>N/A</v>
      </c>
      <c r="O503" s="26" t="str" cm="1">
        <f t="array" ref="O503">IFERROR(_xlfn.XLOOKUP(C503&amp;A503, ESPN!A:A&amp;ESPN!C:C, ESPN!I:I), "N/A")</f>
        <v>N/A</v>
      </c>
      <c r="P503" s="26" t="str" cm="1">
        <f t="array" ref="P503">IFERROR(_xlfn.XLOOKUP(C503&amp;A503, ESPN!A:A&amp;ESPN!C:C, ESPN!J:J), "N/A")</f>
        <v>N/A</v>
      </c>
      <c r="Q503" s="26" t="str" cm="1">
        <f t="array" ref="Q503">IFERROR(_xlfn.XLOOKUP(C503&amp;A503, ESPN!A:A&amp;ESPN!C:C, ESPN!K:K), "N/A")</f>
        <v>N/A</v>
      </c>
    </row>
    <row r="504" spans="1:17" x14ac:dyDescent="0.45">
      <c r="A504" s="6">
        <v>2023</v>
      </c>
      <c r="B504" s="1" t="s">
        <v>150</v>
      </c>
      <c r="C504" s="2" t="str">
        <f t="shared" si="14"/>
        <v>Scott Matlock</v>
      </c>
      <c r="D504" s="2" t="str">
        <f t="shared" si="15"/>
        <v>LAC</v>
      </c>
      <c r="E504" s="2">
        <v>12</v>
      </c>
      <c r="F504" s="12">
        <v>0</v>
      </c>
      <c r="G504" s="11">
        <v>0</v>
      </c>
      <c r="H504" s="11">
        <v>0</v>
      </c>
      <c r="I504" s="11">
        <v>0</v>
      </c>
      <c r="J504" s="11">
        <v>0</v>
      </c>
      <c r="K504" s="11">
        <v>0</v>
      </c>
      <c r="L504" s="11" t="str" cm="1">
        <f t="array" ref="L504">IFERROR(_xlfn.XLOOKUP(C504&amp;A504, ESPN!A:A&amp;ESPN!C:C, ESPN!D:D), "N/A")</f>
        <v>N/A</v>
      </c>
      <c r="M504" s="23" t="str" cm="1">
        <f t="array" ref="M504">IFERROR(_xlfn.XLOOKUP(C504&amp;A504, ESPN!A:A&amp;ESPN!C:C, ESPN!G:G), "N/A")</f>
        <v>N/A</v>
      </c>
      <c r="N504" s="23" t="str" cm="1">
        <f t="array" ref="N504">IFERROR(_xlfn.XLOOKUP(C504&amp;A504, ESPN!A:A&amp;ESPN!C:C, ESPN!H:H), "N/A")</f>
        <v>N/A</v>
      </c>
      <c r="O504" s="26" t="str" cm="1">
        <f t="array" ref="O504">IFERROR(_xlfn.XLOOKUP(C504&amp;A504, ESPN!A:A&amp;ESPN!C:C, ESPN!I:I), "N/A")</f>
        <v>N/A</v>
      </c>
      <c r="P504" s="26" t="str" cm="1">
        <f t="array" ref="P504">IFERROR(_xlfn.XLOOKUP(C504&amp;A504, ESPN!A:A&amp;ESPN!C:C, ESPN!J:J), "N/A")</f>
        <v>N/A</v>
      </c>
      <c r="Q504" s="26" t="str" cm="1">
        <f t="array" ref="Q504">IFERROR(_xlfn.XLOOKUP(C504&amp;A504, ESPN!A:A&amp;ESPN!C:C, ESPN!K:K), "N/A")</f>
        <v>N/A</v>
      </c>
    </row>
    <row r="505" spans="1:17" x14ac:dyDescent="0.45">
      <c r="A505" s="7">
        <v>2023</v>
      </c>
      <c r="B505" s="3" t="s">
        <v>338</v>
      </c>
      <c r="C505" s="4" t="str">
        <f t="shared" si="14"/>
        <v>Henry Pearson</v>
      </c>
      <c r="D505" s="4" t="str">
        <f t="shared" si="15"/>
        <v>GB</v>
      </c>
      <c r="E505" s="4">
        <v>1</v>
      </c>
      <c r="F505" s="12">
        <v>0</v>
      </c>
      <c r="G505" s="11">
        <v>0</v>
      </c>
      <c r="H505" s="11">
        <v>0</v>
      </c>
      <c r="I505" s="11">
        <v>0</v>
      </c>
      <c r="J505" s="11">
        <v>0</v>
      </c>
      <c r="K505" s="11">
        <v>0</v>
      </c>
      <c r="L505" s="11" t="str" cm="1">
        <f t="array" ref="L505">IFERROR(_xlfn.XLOOKUP(C505&amp;A505, ESPN!A:A&amp;ESPN!C:C, ESPN!D:D), "N/A")</f>
        <v>N/A</v>
      </c>
      <c r="M505" s="23" t="str" cm="1">
        <f t="array" ref="M505">IFERROR(_xlfn.XLOOKUP(C505&amp;A505, ESPN!A:A&amp;ESPN!C:C, ESPN!G:G), "N/A")</f>
        <v>N/A</v>
      </c>
      <c r="N505" s="23" t="str" cm="1">
        <f t="array" ref="N505">IFERROR(_xlfn.XLOOKUP(C505&amp;A505, ESPN!A:A&amp;ESPN!C:C, ESPN!H:H), "N/A")</f>
        <v>N/A</v>
      </c>
      <c r="O505" s="26" t="str" cm="1">
        <f t="array" ref="O505">IFERROR(_xlfn.XLOOKUP(C505&amp;A505, ESPN!A:A&amp;ESPN!C:C, ESPN!I:I), "N/A")</f>
        <v>N/A</v>
      </c>
      <c r="P505" s="26" t="str" cm="1">
        <f t="array" ref="P505">IFERROR(_xlfn.XLOOKUP(C505&amp;A505, ESPN!A:A&amp;ESPN!C:C, ESPN!J:J), "N/A")</f>
        <v>N/A</v>
      </c>
      <c r="Q505" s="26" t="str" cm="1">
        <f t="array" ref="Q505">IFERROR(_xlfn.XLOOKUP(C505&amp;A505, ESPN!A:A&amp;ESPN!C:C, ESPN!K:K), "N/A")</f>
        <v>N/A</v>
      </c>
    </row>
    <row r="506" spans="1:17" x14ac:dyDescent="0.45">
      <c r="A506" s="6">
        <v>2023</v>
      </c>
      <c r="B506" s="1" t="s">
        <v>250</v>
      </c>
      <c r="C506" s="2" t="str">
        <f t="shared" si="14"/>
        <v>Ben VanSumeren</v>
      </c>
      <c r="D506" s="2" t="str">
        <f t="shared" si="15"/>
        <v>PHI</v>
      </c>
      <c r="E506" s="2">
        <v>5</v>
      </c>
      <c r="F506" s="12">
        <v>0</v>
      </c>
      <c r="G506" s="11">
        <v>0</v>
      </c>
      <c r="H506" s="11">
        <v>0</v>
      </c>
      <c r="I506" s="11">
        <v>0</v>
      </c>
      <c r="J506" s="11">
        <v>0</v>
      </c>
      <c r="K506" s="11">
        <v>0</v>
      </c>
      <c r="L506" s="11" t="str" cm="1">
        <f t="array" ref="L506">IFERROR(_xlfn.XLOOKUP(C506&amp;A506, ESPN!A:A&amp;ESPN!C:C, ESPN!D:D), "N/A")</f>
        <v>N/A</v>
      </c>
      <c r="M506" s="23" t="str" cm="1">
        <f t="array" ref="M506">IFERROR(_xlfn.XLOOKUP(C506&amp;A506, ESPN!A:A&amp;ESPN!C:C, ESPN!G:G), "N/A")</f>
        <v>N/A</v>
      </c>
      <c r="N506" s="23" t="str" cm="1">
        <f t="array" ref="N506">IFERROR(_xlfn.XLOOKUP(C506&amp;A506, ESPN!A:A&amp;ESPN!C:C, ESPN!H:H), "N/A")</f>
        <v>N/A</v>
      </c>
      <c r="O506" s="26" t="str" cm="1">
        <f t="array" ref="O506">IFERROR(_xlfn.XLOOKUP(C506&amp;A506, ESPN!A:A&amp;ESPN!C:C, ESPN!I:I), "N/A")</f>
        <v>N/A</v>
      </c>
      <c r="P506" s="26" t="str" cm="1">
        <f t="array" ref="P506">IFERROR(_xlfn.XLOOKUP(C506&amp;A506, ESPN!A:A&amp;ESPN!C:C, ESPN!J:J), "N/A")</f>
        <v>N/A</v>
      </c>
      <c r="Q506" s="26" t="str" cm="1">
        <f t="array" ref="Q506">IFERROR(_xlfn.XLOOKUP(C506&amp;A506, ESPN!A:A&amp;ESPN!C:C, ESPN!K:K), "N/A")</f>
        <v>N/A</v>
      </c>
    </row>
    <row r="507" spans="1:17" x14ac:dyDescent="0.45">
      <c r="A507" s="7">
        <v>2023</v>
      </c>
      <c r="B507" s="3" t="s">
        <v>171</v>
      </c>
      <c r="C507" s="4" t="str">
        <f t="shared" si="14"/>
        <v>Brady Russell</v>
      </c>
      <c r="D507" s="4" t="str">
        <f t="shared" si="15"/>
        <v>SEA</v>
      </c>
      <c r="E507" s="4">
        <v>10</v>
      </c>
      <c r="F507" s="12">
        <v>0</v>
      </c>
      <c r="G507" s="11">
        <v>0</v>
      </c>
      <c r="H507" s="11">
        <v>0</v>
      </c>
      <c r="I507" s="11">
        <v>0</v>
      </c>
      <c r="J507" s="11">
        <v>0</v>
      </c>
      <c r="K507" s="11">
        <v>0</v>
      </c>
      <c r="L507" s="11" t="str" cm="1">
        <f t="array" ref="L507">IFERROR(_xlfn.XLOOKUP(C507&amp;A507, ESPN!A:A&amp;ESPN!C:C, ESPN!D:D), "N/A")</f>
        <v>N/A</v>
      </c>
      <c r="M507" s="23" t="str" cm="1">
        <f t="array" ref="M507">IFERROR(_xlfn.XLOOKUP(C507&amp;A507, ESPN!A:A&amp;ESPN!C:C, ESPN!G:G), "N/A")</f>
        <v>N/A</v>
      </c>
      <c r="N507" s="23" t="str" cm="1">
        <f t="array" ref="N507">IFERROR(_xlfn.XLOOKUP(C507&amp;A507, ESPN!A:A&amp;ESPN!C:C, ESPN!H:H), "N/A")</f>
        <v>N/A</v>
      </c>
      <c r="O507" s="26" t="str" cm="1">
        <f t="array" ref="O507">IFERROR(_xlfn.XLOOKUP(C507&amp;A507, ESPN!A:A&amp;ESPN!C:C, ESPN!I:I), "N/A")</f>
        <v>N/A</v>
      </c>
      <c r="P507" s="26" t="str" cm="1">
        <f t="array" ref="P507">IFERROR(_xlfn.XLOOKUP(C507&amp;A507, ESPN!A:A&amp;ESPN!C:C, ESPN!J:J), "N/A")</f>
        <v>N/A</v>
      </c>
      <c r="Q507" s="26" t="str" cm="1">
        <f t="array" ref="Q507">IFERROR(_xlfn.XLOOKUP(C507&amp;A507, ESPN!A:A&amp;ESPN!C:C, ESPN!K:K), "N/A")</f>
        <v>N/A</v>
      </c>
    </row>
    <row r="508" spans="1:17" x14ac:dyDescent="0.45">
      <c r="A508" s="6">
        <v>2023</v>
      </c>
      <c r="B508" s="1" t="s">
        <v>211</v>
      </c>
      <c r="C508" s="2" t="str">
        <f t="shared" si="14"/>
        <v>Jordan Mims</v>
      </c>
      <c r="D508" s="2" t="str">
        <f t="shared" si="15"/>
        <v>NO</v>
      </c>
      <c r="E508" s="2">
        <v>3</v>
      </c>
      <c r="F508" s="12">
        <v>2</v>
      </c>
      <c r="G508" s="11">
        <v>0</v>
      </c>
      <c r="H508" s="11">
        <v>0</v>
      </c>
      <c r="I508" s="11">
        <v>0</v>
      </c>
      <c r="J508" s="11">
        <v>0</v>
      </c>
      <c r="K508" s="11">
        <v>0</v>
      </c>
      <c r="L508" s="11" t="str" cm="1">
        <f t="array" ref="L508">IFERROR(_xlfn.XLOOKUP(C508&amp;A508, ESPN!A:A&amp;ESPN!C:C, ESPN!D:D), "N/A")</f>
        <v>N/A</v>
      </c>
      <c r="M508" s="23" t="str" cm="1">
        <f t="array" ref="M508">IFERROR(_xlfn.XLOOKUP(C508&amp;A508, ESPN!A:A&amp;ESPN!C:C, ESPN!G:G), "N/A")</f>
        <v>N/A</v>
      </c>
      <c r="N508" s="23" t="str" cm="1">
        <f t="array" ref="N508">IFERROR(_xlfn.XLOOKUP(C508&amp;A508, ESPN!A:A&amp;ESPN!C:C, ESPN!H:H), "N/A")</f>
        <v>N/A</v>
      </c>
      <c r="O508" s="26" t="str" cm="1">
        <f t="array" ref="O508">IFERROR(_xlfn.XLOOKUP(C508&amp;A508, ESPN!A:A&amp;ESPN!C:C, ESPN!I:I), "N/A")</f>
        <v>N/A</v>
      </c>
      <c r="P508" s="26" t="str" cm="1">
        <f t="array" ref="P508">IFERROR(_xlfn.XLOOKUP(C508&amp;A508, ESPN!A:A&amp;ESPN!C:C, ESPN!J:J), "N/A")</f>
        <v>N/A</v>
      </c>
      <c r="Q508" s="26" t="str" cm="1">
        <f t="array" ref="Q508">IFERROR(_xlfn.XLOOKUP(C508&amp;A508, ESPN!A:A&amp;ESPN!C:C, ESPN!K:K), "N/A")</f>
        <v>N/A</v>
      </c>
    </row>
    <row r="509" spans="1:17" x14ac:dyDescent="0.45">
      <c r="A509" s="7">
        <v>2023</v>
      </c>
      <c r="B509" s="3" t="s">
        <v>339</v>
      </c>
      <c r="C509" s="4" t="str">
        <f t="shared" si="14"/>
        <v>Jonathan Williams</v>
      </c>
      <c r="D509" s="4" t="str">
        <f t="shared" si="15"/>
        <v>WAS</v>
      </c>
      <c r="E509" s="4">
        <v>1</v>
      </c>
      <c r="F509" s="12">
        <v>1</v>
      </c>
      <c r="G509" s="11">
        <v>0</v>
      </c>
      <c r="H509" s="11">
        <v>0</v>
      </c>
      <c r="I509" s="11">
        <v>0</v>
      </c>
      <c r="J509" s="11">
        <v>0</v>
      </c>
      <c r="K509" s="11">
        <v>0</v>
      </c>
      <c r="L509" s="11" t="str" cm="1">
        <f t="array" ref="L509">IFERROR(_xlfn.XLOOKUP(C509&amp;A509, ESPN!A:A&amp;ESPN!C:C, ESPN!D:D), "N/A")</f>
        <v>N/A</v>
      </c>
      <c r="M509" s="23" t="str" cm="1">
        <f t="array" ref="M509">IFERROR(_xlfn.XLOOKUP(C509&amp;A509, ESPN!A:A&amp;ESPN!C:C, ESPN!G:G), "N/A")</f>
        <v>N/A</v>
      </c>
      <c r="N509" s="23" t="str" cm="1">
        <f t="array" ref="N509">IFERROR(_xlfn.XLOOKUP(C509&amp;A509, ESPN!A:A&amp;ESPN!C:C, ESPN!H:H), "N/A")</f>
        <v>N/A</v>
      </c>
      <c r="O509" s="26" t="str" cm="1">
        <f t="array" ref="O509">IFERROR(_xlfn.XLOOKUP(C509&amp;A509, ESPN!A:A&amp;ESPN!C:C, ESPN!I:I), "N/A")</f>
        <v>N/A</v>
      </c>
      <c r="P509" s="26" t="str" cm="1">
        <f t="array" ref="P509">IFERROR(_xlfn.XLOOKUP(C509&amp;A509, ESPN!A:A&amp;ESPN!C:C, ESPN!J:J), "N/A")</f>
        <v>N/A</v>
      </c>
      <c r="Q509" s="26" t="str" cm="1">
        <f t="array" ref="Q509">IFERROR(_xlfn.XLOOKUP(C509&amp;A509, ESPN!A:A&amp;ESPN!C:C, ESPN!K:K), "N/A")</f>
        <v>N/A</v>
      </c>
    </row>
    <row r="510" spans="1:17" x14ac:dyDescent="0.45">
      <c r="A510" s="6">
        <v>2023</v>
      </c>
      <c r="B510" s="1" t="s">
        <v>340</v>
      </c>
      <c r="C510" s="2" t="str">
        <f t="shared" si="14"/>
        <v>Deon Jackson</v>
      </c>
      <c r="D510" s="2" t="str">
        <f t="shared" si="15"/>
        <v>NYG</v>
      </c>
      <c r="E510" s="2">
        <v>2</v>
      </c>
      <c r="F510" s="12">
        <v>6</v>
      </c>
      <c r="G510" s="11">
        <v>5</v>
      </c>
      <c r="H510" s="11">
        <v>14</v>
      </c>
      <c r="I510" s="11">
        <v>2.8</v>
      </c>
      <c r="J510" s="11">
        <v>0</v>
      </c>
      <c r="K510" s="11">
        <v>2</v>
      </c>
      <c r="L510" s="11" t="str" cm="1">
        <f t="array" ref="L510">IFERROR(_xlfn.XLOOKUP(C510&amp;A510, ESPN!A:A&amp;ESPN!C:C, ESPN!D:D), "N/A")</f>
        <v>N/A</v>
      </c>
      <c r="M510" s="23" t="str" cm="1">
        <f t="array" ref="M510">IFERROR(_xlfn.XLOOKUP(C510&amp;A510, ESPN!A:A&amp;ESPN!C:C, ESPN!G:G), "N/A")</f>
        <v>N/A</v>
      </c>
      <c r="N510" s="23" t="str" cm="1">
        <f t="array" ref="N510">IFERROR(_xlfn.XLOOKUP(C510&amp;A510, ESPN!A:A&amp;ESPN!C:C, ESPN!H:H), "N/A")</f>
        <v>N/A</v>
      </c>
      <c r="O510" s="26" t="str" cm="1">
        <f t="array" ref="O510">IFERROR(_xlfn.XLOOKUP(C510&amp;A510, ESPN!A:A&amp;ESPN!C:C, ESPN!I:I), "N/A")</f>
        <v>N/A</v>
      </c>
      <c r="P510" s="26" t="str" cm="1">
        <f t="array" ref="P510">IFERROR(_xlfn.XLOOKUP(C510&amp;A510, ESPN!A:A&amp;ESPN!C:C, ESPN!J:J), "N/A")</f>
        <v>N/A</v>
      </c>
      <c r="Q510" s="26" t="str" cm="1">
        <f t="array" ref="Q510">IFERROR(_xlfn.XLOOKUP(C510&amp;A510, ESPN!A:A&amp;ESPN!C:C, ESPN!K:K), "N/A")</f>
        <v>N/A</v>
      </c>
    </row>
    <row r="511" spans="1:17" x14ac:dyDescent="0.45">
      <c r="A511" s="7">
        <v>2022</v>
      </c>
      <c r="B511" s="3" t="s">
        <v>258</v>
      </c>
      <c r="C511" s="4" t="str">
        <f t="shared" si="14"/>
        <v>Josh Jacobs</v>
      </c>
      <c r="D511" s="4" t="str">
        <f t="shared" si="15"/>
        <v>LV</v>
      </c>
      <c r="E511" s="4">
        <v>17</v>
      </c>
      <c r="F511" s="12">
        <v>64</v>
      </c>
      <c r="G511" s="11">
        <v>53</v>
      </c>
      <c r="H511" s="11">
        <v>400</v>
      </c>
      <c r="I511" s="11">
        <v>7.5</v>
      </c>
      <c r="J511" s="11">
        <v>0</v>
      </c>
      <c r="K511" s="11">
        <v>1</v>
      </c>
      <c r="L511" s="11" cm="1">
        <f t="array" ref="L511">IFERROR(_xlfn.XLOOKUP(C511&amp;A511, ESPN!A:A&amp;ESPN!C:C, ESPN!D:D), "N/A")</f>
        <v>298</v>
      </c>
      <c r="M511" s="23" cm="1">
        <f t="array" ref="M511">IFERROR(_xlfn.XLOOKUP(C511&amp;A511, ESPN!A:A&amp;ESPN!C:C, ESPN!G:G), "N/A")</f>
        <v>1.34</v>
      </c>
      <c r="N511" s="23" cm="1">
        <f t="array" ref="N511">IFERROR(_xlfn.XLOOKUP(C511&amp;A511, ESPN!A:A&amp;ESPN!C:C, ESPN!H:H), "N/A")</f>
        <v>76</v>
      </c>
      <c r="O511" s="26" cm="1">
        <f t="array" ref="O511">IFERROR(_xlfn.XLOOKUP(C511&amp;A511, ESPN!A:A&amp;ESPN!C:C, ESPN!I:I), "N/A")</f>
        <v>83</v>
      </c>
      <c r="P511" s="26" cm="1">
        <f t="array" ref="P511">IFERROR(_xlfn.XLOOKUP(C511&amp;A511, ESPN!A:A&amp;ESPN!C:C, ESPN!J:J), "N/A")</f>
        <v>26</v>
      </c>
      <c r="Q511" s="26" cm="1">
        <f t="array" ref="Q511">IFERROR(_xlfn.XLOOKUP(C511&amp;A511, ESPN!A:A&amp;ESPN!C:C, ESPN!K:K), "N/A")</f>
        <v>55</v>
      </c>
    </row>
    <row r="512" spans="1:17" x14ac:dyDescent="0.45">
      <c r="A512" s="6">
        <v>2022</v>
      </c>
      <c r="B512" s="1" t="s">
        <v>11</v>
      </c>
      <c r="C512" s="2" t="str">
        <f t="shared" si="14"/>
        <v>Christian McCaffrey</v>
      </c>
      <c r="D512" s="2" t="str">
        <f t="shared" si="15"/>
        <v>SF</v>
      </c>
      <c r="E512" s="2">
        <v>17</v>
      </c>
      <c r="F512" s="12">
        <v>108</v>
      </c>
      <c r="G512" s="11">
        <v>85</v>
      </c>
      <c r="H512" s="11">
        <v>741</v>
      </c>
      <c r="I512" s="11">
        <v>8.6999999999999993</v>
      </c>
      <c r="J512" s="11">
        <v>5</v>
      </c>
      <c r="K512" s="11">
        <v>0</v>
      </c>
      <c r="L512" s="11" cm="1">
        <f t="array" ref="L512">IFERROR(_xlfn.XLOOKUP(C512&amp;A512, ESPN!A:A&amp;ESPN!C:C, ESPN!D:D), "N/A")</f>
        <v>397</v>
      </c>
      <c r="M512" s="23" cm="1">
        <f t="array" ref="M512">IFERROR(_xlfn.XLOOKUP(C512&amp;A512, ESPN!A:A&amp;ESPN!C:C, ESPN!G:G), "N/A")</f>
        <v>2.02</v>
      </c>
      <c r="N512" s="23" cm="1">
        <f t="array" ref="N512">IFERROR(_xlfn.XLOOKUP(C512&amp;A512, ESPN!A:A&amp;ESPN!C:C, ESPN!H:H), "N/A")</f>
        <v>45</v>
      </c>
      <c r="O512" s="26" cm="1">
        <f t="array" ref="O512">IFERROR(_xlfn.XLOOKUP(C512&amp;A512, ESPN!A:A&amp;ESPN!C:C, ESPN!I:I), "N/A")</f>
        <v>99</v>
      </c>
      <c r="P512" s="26" cm="1">
        <f t="array" ref="P512">IFERROR(_xlfn.XLOOKUP(C512&amp;A512, ESPN!A:A&amp;ESPN!C:C, ESPN!J:J), "N/A")</f>
        <v>58</v>
      </c>
      <c r="Q512" s="26" cm="1">
        <f t="array" ref="Q512">IFERROR(_xlfn.XLOOKUP(C512&amp;A512, ESPN!A:A&amp;ESPN!C:C, ESPN!K:K), "N/A")</f>
        <v>87</v>
      </c>
    </row>
    <row r="513" spans="1:17" x14ac:dyDescent="0.45">
      <c r="A513" s="7">
        <v>2022</v>
      </c>
      <c r="B513" s="3" t="s">
        <v>252</v>
      </c>
      <c r="C513" s="4" t="str">
        <f t="shared" si="14"/>
        <v>Derrick Henry</v>
      </c>
      <c r="D513" s="4" t="str">
        <f t="shared" si="15"/>
        <v>TEN</v>
      </c>
      <c r="E513" s="4">
        <v>16</v>
      </c>
      <c r="F513" s="12">
        <v>41</v>
      </c>
      <c r="G513" s="11">
        <v>33</v>
      </c>
      <c r="H513" s="11">
        <v>398</v>
      </c>
      <c r="I513" s="11">
        <v>12.1</v>
      </c>
      <c r="J513" s="11">
        <v>0</v>
      </c>
      <c r="K513" s="11">
        <v>3</v>
      </c>
      <c r="L513" s="11" cm="1">
        <f t="array" ref="L513">IFERROR(_xlfn.XLOOKUP(C513&amp;A513, ESPN!A:A&amp;ESPN!C:C, ESPN!D:D), "N/A")</f>
        <v>154</v>
      </c>
      <c r="M513" s="23" cm="1">
        <f t="array" ref="M513">IFERROR(_xlfn.XLOOKUP(C513&amp;A513, ESPN!A:A&amp;ESPN!C:C, ESPN!G:G), "N/A")</f>
        <v>2.58</v>
      </c>
      <c r="N513" s="23" cm="1">
        <f t="array" ref="N513">IFERROR(_xlfn.XLOOKUP(C513&amp;A513, ESPN!A:A&amp;ESPN!C:C, ESPN!H:H), "N/A")</f>
        <v>53</v>
      </c>
      <c r="O513" s="26" cm="1">
        <f t="array" ref="O513">IFERROR(_xlfn.XLOOKUP(C513&amp;A513, ESPN!A:A&amp;ESPN!C:C, ESPN!I:I), "N/A")</f>
        <v>63</v>
      </c>
      <c r="P513" s="26" cm="1">
        <f t="array" ref="P513">IFERROR(_xlfn.XLOOKUP(C513&amp;A513, ESPN!A:A&amp;ESPN!C:C, ESPN!J:J), "N/A")</f>
        <v>84</v>
      </c>
      <c r="Q513" s="26" cm="1">
        <f t="array" ref="Q513">IFERROR(_xlfn.XLOOKUP(C513&amp;A513, ESPN!A:A&amp;ESPN!C:C, ESPN!K:K), "N/A")</f>
        <v>87</v>
      </c>
    </row>
    <row r="514" spans="1:17" x14ac:dyDescent="0.45">
      <c r="A514" s="6">
        <v>2022</v>
      </c>
      <c r="B514" s="1" t="s">
        <v>261</v>
      </c>
      <c r="C514" s="2" t="str">
        <f t="shared" ref="C514:C577" si="16">TRIM(LEFT(B514, LEN(B514) - LEN(TRIM(RIGHT(SUBSTITUTE(TRIM(B514)," ",REPT(" ",100)),100)))))</f>
        <v>Austin Ekeler</v>
      </c>
      <c r="D514" s="2" t="str">
        <f t="shared" ref="D514:D577" si="17">MID(B514, FIND("(", B514) + 1, FIND(")", B514) - FIND("(", B514) - 1)</f>
        <v>LAC</v>
      </c>
      <c r="E514" s="2">
        <v>17</v>
      </c>
      <c r="F514" s="12">
        <v>127</v>
      </c>
      <c r="G514" s="11">
        <v>107</v>
      </c>
      <c r="H514" s="11">
        <v>722</v>
      </c>
      <c r="I514" s="11">
        <v>6.7</v>
      </c>
      <c r="J514" s="11">
        <v>5</v>
      </c>
      <c r="K514" s="11">
        <v>3</v>
      </c>
      <c r="L514" s="11" cm="1">
        <f t="array" ref="L514">IFERROR(_xlfn.XLOOKUP(C514&amp;A514, ESPN!A:A&amp;ESPN!C:C, ESPN!D:D), "N/A")</f>
        <v>390</v>
      </c>
      <c r="M514" s="23" cm="1">
        <f t="array" ref="M514">IFERROR(_xlfn.XLOOKUP(C514&amp;A514, ESPN!A:A&amp;ESPN!C:C, ESPN!G:G), "N/A")</f>
        <v>1.87</v>
      </c>
      <c r="N514" s="23" cm="1">
        <f t="array" ref="N514">IFERROR(_xlfn.XLOOKUP(C514&amp;A514, ESPN!A:A&amp;ESPN!C:C, ESPN!H:H), "N/A")</f>
        <v>51</v>
      </c>
      <c r="O514" s="26" cm="1">
        <f t="array" ref="O514">IFERROR(_xlfn.XLOOKUP(C514&amp;A514, ESPN!A:A&amp;ESPN!C:C, ESPN!I:I), "N/A")</f>
        <v>99</v>
      </c>
      <c r="P514" s="26" cm="1">
        <f t="array" ref="P514">IFERROR(_xlfn.XLOOKUP(C514&amp;A514, ESPN!A:A&amp;ESPN!C:C, ESPN!J:J), "N/A")</f>
        <v>52</v>
      </c>
      <c r="Q514" s="26" cm="1">
        <f t="array" ref="Q514">IFERROR(_xlfn.XLOOKUP(C514&amp;A514, ESPN!A:A&amp;ESPN!C:C, ESPN!K:K), "N/A")</f>
        <v>82</v>
      </c>
    </row>
    <row r="515" spans="1:17" x14ac:dyDescent="0.45">
      <c r="A515" s="7">
        <v>2022</v>
      </c>
      <c r="B515" s="3" t="s">
        <v>190</v>
      </c>
      <c r="C515" s="4" t="str">
        <f t="shared" si="16"/>
        <v>Nick Chubb</v>
      </c>
      <c r="D515" s="4" t="str">
        <f t="shared" si="17"/>
        <v>CLE</v>
      </c>
      <c r="E515" s="4">
        <v>17</v>
      </c>
      <c r="F515" s="12">
        <v>37</v>
      </c>
      <c r="G515" s="11">
        <v>27</v>
      </c>
      <c r="H515" s="11">
        <v>239</v>
      </c>
      <c r="I515" s="11">
        <v>8.9</v>
      </c>
      <c r="J515" s="11">
        <v>1</v>
      </c>
      <c r="K515" s="11">
        <v>1</v>
      </c>
      <c r="L515" s="11" cm="1">
        <f t="array" ref="L515">IFERROR(_xlfn.XLOOKUP(C515&amp;A515, ESPN!A:A&amp;ESPN!C:C, ESPN!D:D), "N/A")</f>
        <v>213</v>
      </c>
      <c r="M515" s="23" cm="1">
        <f t="array" ref="M515">IFERROR(_xlfn.XLOOKUP(C515&amp;A515, ESPN!A:A&amp;ESPN!C:C, ESPN!G:G), "N/A")</f>
        <v>1.1200000000000001</v>
      </c>
      <c r="N515" s="23" cm="1">
        <f t="array" ref="N515">IFERROR(_xlfn.XLOOKUP(C515&amp;A515, ESPN!A:A&amp;ESPN!C:C, ESPN!H:H), "N/A")</f>
        <v>16</v>
      </c>
      <c r="O515" s="26" cm="1">
        <f t="array" ref="O515">IFERROR(_xlfn.XLOOKUP(C515&amp;A515, ESPN!A:A&amp;ESPN!C:C, ESPN!I:I), "N/A")</f>
        <v>68</v>
      </c>
      <c r="P515" s="26" cm="1">
        <f t="array" ref="P515">IFERROR(_xlfn.XLOOKUP(C515&amp;A515, ESPN!A:A&amp;ESPN!C:C, ESPN!J:J), "N/A")</f>
        <v>62</v>
      </c>
      <c r="Q515" s="26" cm="1">
        <f t="array" ref="Q515">IFERROR(_xlfn.XLOOKUP(C515&amp;A515, ESPN!A:A&amp;ESPN!C:C, ESPN!K:K), "N/A")</f>
        <v>56</v>
      </c>
    </row>
    <row r="516" spans="1:17" x14ac:dyDescent="0.45">
      <c r="A516" s="6">
        <v>2022</v>
      </c>
      <c r="B516" s="1" t="s">
        <v>254</v>
      </c>
      <c r="C516" s="2" t="str">
        <f t="shared" si="16"/>
        <v>Saquon Barkley</v>
      </c>
      <c r="D516" s="2" t="str">
        <f t="shared" si="17"/>
        <v>NYG</v>
      </c>
      <c r="E516" s="2">
        <v>16</v>
      </c>
      <c r="F516" s="12">
        <v>76</v>
      </c>
      <c r="G516" s="11">
        <v>57</v>
      </c>
      <c r="H516" s="11">
        <v>338</v>
      </c>
      <c r="I516" s="11">
        <v>5.9</v>
      </c>
      <c r="J516" s="11">
        <v>0</v>
      </c>
      <c r="K516" s="11">
        <v>0</v>
      </c>
      <c r="L516" s="11" cm="1">
        <f t="array" ref="L516">IFERROR(_xlfn.XLOOKUP(C516&amp;A516, ESPN!A:A&amp;ESPN!C:C, ESPN!D:D), "N/A")</f>
        <v>385</v>
      </c>
      <c r="M516" s="23" cm="1">
        <f t="array" ref="M516">IFERROR(_xlfn.XLOOKUP(C516&amp;A516, ESPN!A:A&amp;ESPN!C:C, ESPN!G:G), "N/A")</f>
        <v>1.08</v>
      </c>
      <c r="N516" s="23" cm="1">
        <f t="array" ref="N516">IFERROR(_xlfn.XLOOKUP(C516&amp;A516, ESPN!A:A&amp;ESPN!C:C, ESPN!H:H), "N/A")</f>
        <v>34</v>
      </c>
      <c r="O516" s="26" cm="1">
        <f t="array" ref="O516">IFERROR(_xlfn.XLOOKUP(C516&amp;A516, ESPN!A:A&amp;ESPN!C:C, ESPN!I:I), "N/A")</f>
        <v>54</v>
      </c>
      <c r="P516" s="26" cm="1">
        <f t="array" ref="P516">IFERROR(_xlfn.XLOOKUP(C516&amp;A516, ESPN!A:A&amp;ESPN!C:C, ESPN!J:J), "N/A")</f>
        <v>52</v>
      </c>
      <c r="Q516" s="26" cm="1">
        <f t="array" ref="Q516">IFERROR(_xlfn.XLOOKUP(C516&amp;A516, ESPN!A:A&amp;ESPN!C:C, ESPN!K:K), "N/A")</f>
        <v>49</v>
      </c>
    </row>
    <row r="517" spans="1:17" x14ac:dyDescent="0.45">
      <c r="A517" s="7">
        <v>2022</v>
      </c>
      <c r="B517" s="3" t="s">
        <v>341</v>
      </c>
      <c r="C517" s="4" t="str">
        <f t="shared" si="16"/>
        <v>Jamaal Williams</v>
      </c>
      <c r="D517" s="4" t="str">
        <f t="shared" si="17"/>
        <v>DET</v>
      </c>
      <c r="E517" s="4">
        <v>17</v>
      </c>
      <c r="F517" s="12">
        <v>16</v>
      </c>
      <c r="G517" s="11">
        <v>12</v>
      </c>
      <c r="H517" s="11">
        <v>73</v>
      </c>
      <c r="I517" s="11">
        <v>6.1</v>
      </c>
      <c r="J517" s="11">
        <v>0</v>
      </c>
      <c r="K517" s="11">
        <v>2</v>
      </c>
      <c r="L517" s="11" t="str" cm="1">
        <f t="array" ref="L517">IFERROR(_xlfn.XLOOKUP(C517&amp;A517, ESPN!A:A&amp;ESPN!C:C, ESPN!D:D), "N/A")</f>
        <v>N/A</v>
      </c>
      <c r="M517" s="23" t="str" cm="1">
        <f t="array" ref="M517">IFERROR(_xlfn.XLOOKUP(C517&amp;A517, ESPN!A:A&amp;ESPN!C:C, ESPN!G:G), "N/A")</f>
        <v>N/A</v>
      </c>
      <c r="N517" s="23" t="str" cm="1">
        <f t="array" ref="N517">IFERROR(_xlfn.XLOOKUP(C517&amp;A517, ESPN!A:A&amp;ESPN!C:C, ESPN!H:H), "N/A")</f>
        <v>N/A</v>
      </c>
      <c r="O517" s="26" t="str" cm="1">
        <f t="array" ref="O517">IFERROR(_xlfn.XLOOKUP(C517&amp;A517, ESPN!A:A&amp;ESPN!C:C, ESPN!I:I), "N/A")</f>
        <v>N/A</v>
      </c>
      <c r="P517" s="26" t="str" cm="1">
        <f t="array" ref="P517">IFERROR(_xlfn.XLOOKUP(C517&amp;A517, ESPN!A:A&amp;ESPN!C:C, ESPN!J:J), "N/A")</f>
        <v>N/A</v>
      </c>
      <c r="Q517" s="26" t="str" cm="1">
        <f t="array" ref="Q517">IFERROR(_xlfn.XLOOKUP(C517&amp;A517, ESPN!A:A&amp;ESPN!C:C, ESPN!K:K), "N/A")</f>
        <v>N/A</v>
      </c>
    </row>
    <row r="518" spans="1:17" x14ac:dyDescent="0.45">
      <c r="A518" s="6">
        <v>2022</v>
      </c>
      <c r="B518" s="1" t="s">
        <v>256</v>
      </c>
      <c r="C518" s="2" t="str">
        <f t="shared" si="16"/>
        <v>Tony Pollard</v>
      </c>
      <c r="D518" s="2" t="str">
        <f t="shared" si="17"/>
        <v>DAL</v>
      </c>
      <c r="E518" s="2">
        <v>16</v>
      </c>
      <c r="F518" s="12">
        <v>55</v>
      </c>
      <c r="G518" s="11">
        <v>39</v>
      </c>
      <c r="H518" s="11">
        <v>371</v>
      </c>
      <c r="I518" s="11">
        <v>9.5</v>
      </c>
      <c r="J518" s="11">
        <v>3</v>
      </c>
      <c r="K518" s="11">
        <v>0</v>
      </c>
      <c r="L518" s="11" cm="1">
        <f t="array" ref="L518">IFERROR(_xlfn.XLOOKUP(C518&amp;A518, ESPN!A:A&amp;ESPN!C:C, ESPN!D:D), "N/A")</f>
        <v>231</v>
      </c>
      <c r="M518" s="23" cm="1">
        <f t="array" ref="M518">IFERROR(_xlfn.XLOOKUP(C518&amp;A518, ESPN!A:A&amp;ESPN!C:C, ESPN!G:G), "N/A")</f>
        <v>1.71</v>
      </c>
      <c r="N518" s="23" cm="1">
        <f t="array" ref="N518">IFERROR(_xlfn.XLOOKUP(C518&amp;A518, ESPN!A:A&amp;ESPN!C:C, ESPN!H:H), "N/A")</f>
        <v>38</v>
      </c>
      <c r="O518" s="26" cm="1">
        <f t="array" ref="O518">IFERROR(_xlfn.XLOOKUP(C518&amp;A518, ESPN!A:A&amp;ESPN!C:C, ESPN!I:I), "N/A")</f>
        <v>64</v>
      </c>
      <c r="P518" s="26" cm="1">
        <f t="array" ref="P518">IFERROR(_xlfn.XLOOKUP(C518&amp;A518, ESPN!A:A&amp;ESPN!C:C, ESPN!J:J), "N/A")</f>
        <v>44</v>
      </c>
      <c r="Q518" s="26" cm="1">
        <f t="array" ref="Q518">IFERROR(_xlfn.XLOOKUP(C518&amp;A518, ESPN!A:A&amp;ESPN!C:C, ESPN!K:K), "N/A")</f>
        <v>47</v>
      </c>
    </row>
    <row r="519" spans="1:17" x14ac:dyDescent="0.45">
      <c r="A519" s="7">
        <v>2022</v>
      </c>
      <c r="B519" s="3" t="s">
        <v>342</v>
      </c>
      <c r="C519" s="4" t="str">
        <f t="shared" si="16"/>
        <v>Dalvin Cook</v>
      </c>
      <c r="D519" s="4" t="str">
        <f t="shared" si="17"/>
        <v>MIN</v>
      </c>
      <c r="E519" s="4">
        <v>17</v>
      </c>
      <c r="F519" s="12">
        <v>56</v>
      </c>
      <c r="G519" s="11">
        <v>39</v>
      </c>
      <c r="H519" s="11">
        <v>295</v>
      </c>
      <c r="I519" s="11">
        <v>7.6</v>
      </c>
      <c r="J519" s="11">
        <v>2</v>
      </c>
      <c r="K519" s="11">
        <v>4</v>
      </c>
      <c r="L519" s="11" cm="1">
        <f t="array" ref="L519">IFERROR(_xlfn.XLOOKUP(C519&amp;A519, ESPN!A:A&amp;ESPN!C:C, ESPN!D:D), "N/A")</f>
        <v>339</v>
      </c>
      <c r="M519" s="23" cm="1">
        <f t="array" ref="M519">IFERROR(_xlfn.XLOOKUP(C519&amp;A519, ESPN!A:A&amp;ESPN!C:C, ESPN!G:G), "N/A")</f>
        <v>0.9</v>
      </c>
      <c r="N519" s="23" cm="1">
        <f t="array" ref="N519">IFERROR(_xlfn.XLOOKUP(C519&amp;A519, ESPN!A:A&amp;ESPN!C:C, ESPN!H:H), "N/A")</f>
        <v>63</v>
      </c>
      <c r="O519" s="26" cm="1">
        <f t="array" ref="O519">IFERROR(_xlfn.XLOOKUP(C519&amp;A519, ESPN!A:A&amp;ESPN!C:C, ESPN!I:I), "N/A")</f>
        <v>41</v>
      </c>
      <c r="P519" s="26" cm="1">
        <f t="array" ref="P519">IFERROR(_xlfn.XLOOKUP(C519&amp;A519, ESPN!A:A&amp;ESPN!C:C, ESPN!J:J), "N/A")</f>
        <v>30</v>
      </c>
      <c r="Q519" s="26" cm="1">
        <f t="array" ref="Q519">IFERROR(_xlfn.XLOOKUP(C519&amp;A519, ESPN!A:A&amp;ESPN!C:C, ESPN!K:K), "N/A")</f>
        <v>33</v>
      </c>
    </row>
    <row r="520" spans="1:17" x14ac:dyDescent="0.45">
      <c r="A520" s="6">
        <v>2022</v>
      </c>
      <c r="B520" s="1" t="s">
        <v>343</v>
      </c>
      <c r="C520" s="2" t="str">
        <f t="shared" si="16"/>
        <v>Miles Sanders</v>
      </c>
      <c r="D520" s="2" t="str">
        <f t="shared" si="17"/>
        <v>PHI</v>
      </c>
      <c r="E520" s="2">
        <v>17</v>
      </c>
      <c r="F520" s="12">
        <v>26</v>
      </c>
      <c r="G520" s="11">
        <v>20</v>
      </c>
      <c r="H520" s="11">
        <v>78</v>
      </c>
      <c r="I520" s="11">
        <v>3.9</v>
      </c>
      <c r="J520" s="11">
        <v>0</v>
      </c>
      <c r="K520" s="11">
        <v>2</v>
      </c>
      <c r="L520" s="11" cm="1">
        <f t="array" ref="L520">IFERROR(_xlfn.XLOOKUP(C520&amp;A520, ESPN!A:A&amp;ESPN!C:C, ESPN!D:D), "N/A")</f>
        <v>236</v>
      </c>
      <c r="M520" s="23" cm="1">
        <f t="array" ref="M520">IFERROR(_xlfn.XLOOKUP(C520&amp;A520, ESPN!A:A&amp;ESPN!C:C, ESPN!G:G), "N/A")</f>
        <v>0.34</v>
      </c>
      <c r="N520" s="23" cm="1">
        <f t="array" ref="N520">IFERROR(_xlfn.XLOOKUP(C520&amp;A520, ESPN!A:A&amp;ESPN!C:C, ESPN!H:H), "N/A")</f>
        <v>47</v>
      </c>
      <c r="O520" s="26" cm="1">
        <f t="array" ref="O520">IFERROR(_xlfn.XLOOKUP(C520&amp;A520, ESPN!A:A&amp;ESPN!C:C, ESPN!I:I), "N/A")</f>
        <v>51</v>
      </c>
      <c r="P520" s="26" cm="1">
        <f t="array" ref="P520">IFERROR(_xlfn.XLOOKUP(C520&amp;A520, ESPN!A:A&amp;ESPN!C:C, ESPN!J:J), "N/A")</f>
        <v>32</v>
      </c>
      <c r="Q520" s="26" cm="1">
        <f t="array" ref="Q520">IFERROR(_xlfn.XLOOKUP(C520&amp;A520, ESPN!A:A&amp;ESPN!C:C, ESPN!K:K), "N/A")</f>
        <v>34</v>
      </c>
    </row>
    <row r="521" spans="1:17" x14ac:dyDescent="0.45">
      <c r="A521" s="7">
        <v>2022</v>
      </c>
      <c r="B521" s="3" t="s">
        <v>263</v>
      </c>
      <c r="C521" s="4" t="str">
        <f t="shared" si="16"/>
        <v>Aaron Jones Sr.</v>
      </c>
      <c r="D521" s="4" t="str">
        <f t="shared" si="17"/>
        <v>GB</v>
      </c>
      <c r="E521" s="4">
        <v>17</v>
      </c>
      <c r="F521" s="12">
        <v>72</v>
      </c>
      <c r="G521" s="11">
        <v>59</v>
      </c>
      <c r="H521" s="11">
        <v>395</v>
      </c>
      <c r="I521" s="11">
        <v>6.7</v>
      </c>
      <c r="J521" s="11">
        <v>5</v>
      </c>
      <c r="K521" s="11">
        <v>3</v>
      </c>
      <c r="L521" s="11" cm="1">
        <f t="array" ref="L521">IFERROR(_xlfn.XLOOKUP(C521&amp;A521, ESPN!A:A&amp;ESPN!C:C, ESPN!D:D), "N/A")</f>
        <v>249</v>
      </c>
      <c r="M521" s="23" cm="1">
        <f t="array" ref="M521">IFERROR(_xlfn.XLOOKUP(C521&amp;A521, ESPN!A:A&amp;ESPN!C:C, ESPN!G:G), "N/A")</f>
        <v>1.59</v>
      </c>
      <c r="N521" s="23" cm="1">
        <f t="array" ref="N521">IFERROR(_xlfn.XLOOKUP(C521&amp;A521, ESPN!A:A&amp;ESPN!C:C, ESPN!H:H), "N/A")</f>
        <v>59</v>
      </c>
      <c r="O521" s="26" cm="1">
        <f t="array" ref="O521">IFERROR(_xlfn.XLOOKUP(C521&amp;A521, ESPN!A:A&amp;ESPN!C:C, ESPN!I:I), "N/A")</f>
        <v>66</v>
      </c>
      <c r="P521" s="26" cm="1">
        <f t="array" ref="P521">IFERROR(_xlfn.XLOOKUP(C521&amp;A521, ESPN!A:A&amp;ESPN!C:C, ESPN!J:J), "N/A")</f>
        <v>39</v>
      </c>
      <c r="Q521" s="26" cm="1">
        <f t="array" ref="Q521">IFERROR(_xlfn.XLOOKUP(C521&amp;A521, ESPN!A:A&amp;ESPN!C:C, ESPN!K:K), "N/A")</f>
        <v>51</v>
      </c>
    </row>
    <row r="522" spans="1:17" x14ac:dyDescent="0.45">
      <c r="A522" s="6">
        <v>2022</v>
      </c>
      <c r="B522" s="1" t="s">
        <v>178</v>
      </c>
      <c r="C522" s="2" t="str">
        <f t="shared" si="16"/>
        <v>Najee Harris</v>
      </c>
      <c r="D522" s="2" t="str">
        <f t="shared" si="17"/>
        <v>PIT</v>
      </c>
      <c r="E522" s="2">
        <v>17</v>
      </c>
      <c r="F522" s="12">
        <v>53</v>
      </c>
      <c r="G522" s="11">
        <v>41</v>
      </c>
      <c r="H522" s="11">
        <v>229</v>
      </c>
      <c r="I522" s="11">
        <v>5.6</v>
      </c>
      <c r="J522" s="11">
        <v>3</v>
      </c>
      <c r="K522" s="11">
        <v>2</v>
      </c>
      <c r="L522" s="11" cm="1">
        <f t="array" ref="L522">IFERROR(_xlfn.XLOOKUP(C522&amp;A522, ESPN!A:A&amp;ESPN!C:C, ESPN!D:D), "N/A")</f>
        <v>260</v>
      </c>
      <c r="M522" s="23" cm="1">
        <f t="array" ref="M522">IFERROR(_xlfn.XLOOKUP(C522&amp;A522, ESPN!A:A&amp;ESPN!C:C, ESPN!G:G), "N/A")</f>
        <v>0.88</v>
      </c>
      <c r="N522" s="23" cm="1">
        <f t="array" ref="N522">IFERROR(_xlfn.XLOOKUP(C522&amp;A522, ESPN!A:A&amp;ESPN!C:C, ESPN!H:H), "N/A")</f>
        <v>44</v>
      </c>
      <c r="O522" s="26" cm="1">
        <f t="array" ref="O522">IFERROR(_xlfn.XLOOKUP(C522&amp;A522, ESPN!A:A&amp;ESPN!C:C, ESPN!I:I), "N/A")</f>
        <v>64</v>
      </c>
      <c r="P522" s="26" cm="1">
        <f t="array" ref="P522">IFERROR(_xlfn.XLOOKUP(C522&amp;A522, ESPN!A:A&amp;ESPN!C:C, ESPN!J:J), "N/A")</f>
        <v>38</v>
      </c>
      <c r="Q522" s="26" cm="1">
        <f t="array" ref="Q522">IFERROR(_xlfn.XLOOKUP(C522&amp;A522, ESPN!A:A&amp;ESPN!C:C, ESPN!K:K), "N/A")</f>
        <v>44</v>
      </c>
    </row>
    <row r="523" spans="1:17" x14ac:dyDescent="0.45">
      <c r="A523" s="7">
        <v>2022</v>
      </c>
      <c r="B523" s="3" t="s">
        <v>253</v>
      </c>
      <c r="C523" s="4" t="str">
        <f t="shared" si="16"/>
        <v>Joe Mixon</v>
      </c>
      <c r="D523" s="4" t="str">
        <f t="shared" si="17"/>
        <v>CIN</v>
      </c>
      <c r="E523" s="4">
        <v>15</v>
      </c>
      <c r="F523" s="12">
        <v>75</v>
      </c>
      <c r="G523" s="11">
        <v>60</v>
      </c>
      <c r="H523" s="11">
        <v>441</v>
      </c>
      <c r="I523" s="11">
        <v>7.4</v>
      </c>
      <c r="J523" s="11">
        <v>2</v>
      </c>
      <c r="K523" s="11">
        <v>0</v>
      </c>
      <c r="L523" s="11" cm="1">
        <f t="array" ref="L523">IFERROR(_xlfn.XLOOKUP(C523&amp;A523, ESPN!A:A&amp;ESPN!C:C, ESPN!D:D), "N/A")</f>
        <v>275</v>
      </c>
      <c r="M523" s="23" cm="1">
        <f t="array" ref="M523">IFERROR(_xlfn.XLOOKUP(C523&amp;A523, ESPN!A:A&amp;ESPN!C:C, ESPN!G:G), "N/A")</f>
        <v>1.79</v>
      </c>
      <c r="N523" s="23" cm="1">
        <f t="array" ref="N523">IFERROR(_xlfn.XLOOKUP(C523&amp;A523, ESPN!A:A&amp;ESPN!C:C, ESPN!H:H), "N/A")</f>
        <v>73</v>
      </c>
      <c r="O523" s="26" cm="1">
        <f t="array" ref="O523">IFERROR(_xlfn.XLOOKUP(C523&amp;A523, ESPN!A:A&amp;ESPN!C:C, ESPN!I:I), "N/A")</f>
        <v>68</v>
      </c>
      <c r="P523" s="26" cm="1">
        <f t="array" ref="P523">IFERROR(_xlfn.XLOOKUP(C523&amp;A523, ESPN!A:A&amp;ESPN!C:C, ESPN!J:J), "N/A")</f>
        <v>55</v>
      </c>
      <c r="Q523" s="26" cm="1">
        <f t="array" ref="Q523">IFERROR(_xlfn.XLOOKUP(C523&amp;A523, ESPN!A:A&amp;ESPN!C:C, ESPN!K:K), "N/A")</f>
        <v>71</v>
      </c>
    </row>
    <row r="524" spans="1:17" x14ac:dyDescent="0.45">
      <c r="A524" s="6">
        <v>2022</v>
      </c>
      <c r="B524" s="1" t="s">
        <v>37</v>
      </c>
      <c r="C524" s="2" t="str">
        <f t="shared" si="16"/>
        <v>Rhamondre Stevenson</v>
      </c>
      <c r="D524" s="2" t="str">
        <f t="shared" si="17"/>
        <v>NE</v>
      </c>
      <c r="E524" s="2">
        <v>17</v>
      </c>
      <c r="F524" s="12">
        <v>88</v>
      </c>
      <c r="G524" s="11">
        <v>69</v>
      </c>
      <c r="H524" s="11">
        <v>421</v>
      </c>
      <c r="I524" s="11">
        <v>6.1</v>
      </c>
      <c r="J524" s="11">
        <v>1</v>
      </c>
      <c r="K524" s="11">
        <v>1</v>
      </c>
      <c r="L524" s="11" cm="1">
        <f t="array" ref="L524">IFERROR(_xlfn.XLOOKUP(C524&amp;A524, ESPN!A:A&amp;ESPN!C:C, ESPN!D:D), "N/A")</f>
        <v>277</v>
      </c>
      <c r="M524" s="23" cm="1">
        <f t="array" ref="M524">IFERROR(_xlfn.XLOOKUP(C524&amp;A524, ESPN!A:A&amp;ESPN!C:C, ESPN!G:G), "N/A")</f>
        <v>1.52</v>
      </c>
      <c r="N524" s="23" cm="1">
        <f t="array" ref="N524">IFERROR(_xlfn.XLOOKUP(C524&amp;A524, ESPN!A:A&amp;ESPN!C:C, ESPN!H:H), "N/A")</f>
        <v>56</v>
      </c>
      <c r="O524" s="26" cm="1">
        <f t="array" ref="O524">IFERROR(_xlfn.XLOOKUP(C524&amp;A524, ESPN!A:A&amp;ESPN!C:C, ESPN!I:I), "N/A")</f>
        <v>56</v>
      </c>
      <c r="P524" s="26" cm="1">
        <f t="array" ref="P524">IFERROR(_xlfn.XLOOKUP(C524&amp;A524, ESPN!A:A&amp;ESPN!C:C, ESPN!J:J), "N/A")</f>
        <v>32</v>
      </c>
      <c r="Q524" s="26" cm="1">
        <f t="array" ref="Q524">IFERROR(_xlfn.XLOOKUP(C524&amp;A524, ESPN!A:A&amp;ESPN!C:C, ESPN!K:K), "N/A")</f>
        <v>40</v>
      </c>
    </row>
    <row r="525" spans="1:17" x14ac:dyDescent="0.45">
      <c r="A525" s="7">
        <v>2022</v>
      </c>
      <c r="B525" s="3" t="s">
        <v>19</v>
      </c>
      <c r="C525" s="4" t="str">
        <f t="shared" si="16"/>
        <v>Kenneth Walker III</v>
      </c>
      <c r="D525" s="4" t="str">
        <f t="shared" si="17"/>
        <v>SEA</v>
      </c>
      <c r="E525" s="4">
        <v>15</v>
      </c>
      <c r="F525" s="12">
        <v>35</v>
      </c>
      <c r="G525" s="11">
        <v>27</v>
      </c>
      <c r="H525" s="11">
        <v>165</v>
      </c>
      <c r="I525" s="11">
        <v>6.1</v>
      </c>
      <c r="J525" s="11">
        <v>0</v>
      </c>
      <c r="K525" s="11">
        <v>0</v>
      </c>
      <c r="L525" s="11" cm="1">
        <f t="array" ref="L525">IFERROR(_xlfn.XLOOKUP(C525&amp;A525, ESPN!A:A&amp;ESPN!C:C, ESPN!D:D), "N/A")</f>
        <v>237</v>
      </c>
      <c r="M525" s="23" cm="1">
        <f t="array" ref="M525">IFERROR(_xlfn.XLOOKUP(C525&amp;A525, ESPN!A:A&amp;ESPN!C:C, ESPN!G:G), "N/A")</f>
        <v>0.71</v>
      </c>
      <c r="N525" s="23" cm="1">
        <f t="array" ref="N525">IFERROR(_xlfn.XLOOKUP(C525&amp;A525, ESPN!A:A&amp;ESPN!C:C, ESPN!H:H), "N/A")</f>
        <v>37</v>
      </c>
      <c r="O525" s="26" cm="1">
        <f t="array" ref="O525">IFERROR(_xlfn.XLOOKUP(C525&amp;A525, ESPN!A:A&amp;ESPN!C:C, ESPN!I:I), "N/A")</f>
        <v>52</v>
      </c>
      <c r="P525" s="26" cm="1">
        <f t="array" ref="P525">IFERROR(_xlfn.XLOOKUP(C525&amp;A525, ESPN!A:A&amp;ESPN!C:C, ESPN!J:J), "N/A")</f>
        <v>52</v>
      </c>
      <c r="Q525" s="26" cm="1">
        <f t="array" ref="Q525">IFERROR(_xlfn.XLOOKUP(C525&amp;A525, ESPN!A:A&amp;ESPN!C:C, ESPN!K:K), "N/A")</f>
        <v>48</v>
      </c>
    </row>
    <row r="526" spans="1:17" x14ac:dyDescent="0.45">
      <c r="A526" s="6">
        <v>2022</v>
      </c>
      <c r="B526" s="1" t="s">
        <v>14</v>
      </c>
      <c r="C526" s="2" t="str">
        <f t="shared" si="16"/>
        <v>Travis Etienne Jr.</v>
      </c>
      <c r="D526" s="2" t="str">
        <f t="shared" si="17"/>
        <v>JAC</v>
      </c>
      <c r="E526" s="2">
        <v>17</v>
      </c>
      <c r="F526" s="12">
        <v>45</v>
      </c>
      <c r="G526" s="11">
        <v>35</v>
      </c>
      <c r="H526" s="11">
        <v>316</v>
      </c>
      <c r="I526" s="11">
        <v>9</v>
      </c>
      <c r="J526" s="11">
        <v>0</v>
      </c>
      <c r="K526" s="11">
        <v>2</v>
      </c>
      <c r="L526" s="11" cm="1">
        <f t="array" ref="L526">IFERROR(_xlfn.XLOOKUP(C526&amp;A526, ESPN!A:A&amp;ESPN!C:C, ESPN!D:D), "N/A")</f>
        <v>284</v>
      </c>
      <c r="M526" s="23" cm="1">
        <f t="array" ref="M526">IFERROR(_xlfn.XLOOKUP(C526&amp;A526, ESPN!A:A&amp;ESPN!C:C, ESPN!G:G), "N/A")</f>
        <v>1.22</v>
      </c>
      <c r="N526" s="23" cm="1">
        <f t="array" ref="N526">IFERROR(_xlfn.XLOOKUP(C526&amp;A526, ESPN!A:A&amp;ESPN!C:C, ESPN!H:H), "N/A")</f>
        <v>46</v>
      </c>
      <c r="O526" s="26" cm="1">
        <f t="array" ref="O526">IFERROR(_xlfn.XLOOKUP(C526&amp;A526, ESPN!A:A&amp;ESPN!C:C, ESPN!I:I), "N/A")</f>
        <v>54</v>
      </c>
      <c r="P526" s="26" cm="1">
        <f t="array" ref="P526">IFERROR(_xlfn.XLOOKUP(C526&amp;A526, ESPN!A:A&amp;ESPN!C:C, ESPN!J:J), "N/A")</f>
        <v>38</v>
      </c>
      <c r="Q526" s="26" cm="1">
        <f t="array" ref="Q526">IFERROR(_xlfn.XLOOKUP(C526&amp;A526, ESPN!A:A&amp;ESPN!C:C, ESPN!K:K), "N/A")</f>
        <v>40</v>
      </c>
    </row>
    <row r="527" spans="1:17" x14ac:dyDescent="0.45">
      <c r="A527" s="7">
        <v>2022</v>
      </c>
      <c r="B527" s="3" t="s">
        <v>195</v>
      </c>
      <c r="C527" s="4" t="str">
        <f t="shared" si="16"/>
        <v>Ezekiel Elliott</v>
      </c>
      <c r="D527" s="4" t="str">
        <f t="shared" si="17"/>
        <v>DAL</v>
      </c>
      <c r="E527" s="4">
        <v>15</v>
      </c>
      <c r="F527" s="12">
        <v>23</v>
      </c>
      <c r="G527" s="11">
        <v>17</v>
      </c>
      <c r="H527" s="11">
        <v>92</v>
      </c>
      <c r="I527" s="11">
        <v>5.4</v>
      </c>
      <c r="J527" s="11">
        <v>0</v>
      </c>
      <c r="K527" s="11">
        <v>0</v>
      </c>
      <c r="L527" s="11" cm="1">
        <f t="array" ref="L527">IFERROR(_xlfn.XLOOKUP(C527&amp;A527, ESPN!A:A&amp;ESPN!C:C, ESPN!D:D), "N/A")</f>
        <v>215</v>
      </c>
      <c r="M527" s="23" cm="1">
        <f t="array" ref="M527">IFERROR(_xlfn.XLOOKUP(C527&amp;A527, ESPN!A:A&amp;ESPN!C:C, ESPN!G:G), "N/A")</f>
        <v>0.5</v>
      </c>
      <c r="N527" s="23" cm="1">
        <f t="array" ref="N527">IFERROR(_xlfn.XLOOKUP(C527&amp;A527, ESPN!A:A&amp;ESPN!C:C, ESPN!H:H), "N/A")</f>
        <v>59</v>
      </c>
      <c r="O527" s="26" cm="1">
        <f t="array" ref="O527">IFERROR(_xlfn.XLOOKUP(C527&amp;A527, ESPN!A:A&amp;ESPN!C:C, ESPN!I:I), "N/A")</f>
        <v>36</v>
      </c>
      <c r="P527" s="26" cm="1">
        <f t="array" ref="P527">IFERROR(_xlfn.XLOOKUP(C527&amp;A527, ESPN!A:A&amp;ESPN!C:C, ESPN!J:J), "N/A")</f>
        <v>28</v>
      </c>
      <c r="Q527" s="26" cm="1">
        <f t="array" ref="Q527">IFERROR(_xlfn.XLOOKUP(C527&amp;A527, ESPN!A:A&amp;ESPN!C:C, ESPN!K:K), "N/A")</f>
        <v>28</v>
      </c>
    </row>
    <row r="528" spans="1:17" x14ac:dyDescent="0.45">
      <c r="A528" s="6">
        <v>2022</v>
      </c>
      <c r="B528" s="1" t="s">
        <v>49</v>
      </c>
      <c r="C528" s="2" t="str">
        <f t="shared" si="16"/>
        <v>Alvin Kamara</v>
      </c>
      <c r="D528" s="2" t="str">
        <f t="shared" si="17"/>
        <v>NO</v>
      </c>
      <c r="E528" s="2">
        <v>15</v>
      </c>
      <c r="F528" s="12">
        <v>77</v>
      </c>
      <c r="G528" s="11">
        <v>57</v>
      </c>
      <c r="H528" s="11">
        <v>490</v>
      </c>
      <c r="I528" s="11">
        <v>8.6</v>
      </c>
      <c r="J528" s="11">
        <v>2</v>
      </c>
      <c r="K528" s="11">
        <v>4</v>
      </c>
      <c r="L528" s="11" cm="1">
        <f t="array" ref="L528">IFERROR(_xlfn.XLOOKUP(C528&amp;A528, ESPN!A:A&amp;ESPN!C:C, ESPN!D:D), "N/A")</f>
        <v>243</v>
      </c>
      <c r="M528" s="23" cm="1">
        <f t="array" ref="M528">IFERROR(_xlfn.XLOOKUP(C528&amp;A528, ESPN!A:A&amp;ESPN!C:C, ESPN!G:G), "N/A")</f>
        <v>2.02</v>
      </c>
      <c r="N528" s="23" cm="1">
        <f t="array" ref="N528">IFERROR(_xlfn.XLOOKUP(C528&amp;A528, ESPN!A:A&amp;ESPN!C:C, ESPN!H:H), "N/A")</f>
        <v>65</v>
      </c>
      <c r="O528" s="26" cm="1">
        <f t="array" ref="O528">IFERROR(_xlfn.XLOOKUP(C528&amp;A528, ESPN!A:A&amp;ESPN!C:C, ESPN!I:I), "N/A")</f>
        <v>66</v>
      </c>
      <c r="P528" s="26" cm="1">
        <f t="array" ref="P528">IFERROR(_xlfn.XLOOKUP(C528&amp;A528, ESPN!A:A&amp;ESPN!C:C, ESPN!J:J), "N/A")</f>
        <v>50</v>
      </c>
      <c r="Q528" s="26" cm="1">
        <f t="array" ref="Q528">IFERROR(_xlfn.XLOOKUP(C528&amp;A528, ESPN!A:A&amp;ESPN!C:C, ESPN!K:K), "N/A")</f>
        <v>63</v>
      </c>
    </row>
    <row r="529" spans="1:17" x14ac:dyDescent="0.45">
      <c r="A529" s="7">
        <v>2022</v>
      </c>
      <c r="B529" s="3" t="s">
        <v>86</v>
      </c>
      <c r="C529" s="4" t="str">
        <f t="shared" si="16"/>
        <v>James Conner</v>
      </c>
      <c r="D529" s="4" t="str">
        <f t="shared" si="17"/>
        <v>ARI</v>
      </c>
      <c r="E529" s="4">
        <v>13</v>
      </c>
      <c r="F529" s="12">
        <v>58</v>
      </c>
      <c r="G529" s="11">
        <v>46</v>
      </c>
      <c r="H529" s="11">
        <v>300</v>
      </c>
      <c r="I529" s="11">
        <v>6.5</v>
      </c>
      <c r="J529" s="11">
        <v>1</v>
      </c>
      <c r="K529" s="11">
        <v>1</v>
      </c>
      <c r="L529" s="11" cm="1">
        <f t="array" ref="L529">IFERROR(_xlfn.XLOOKUP(C529&amp;A529, ESPN!A:A&amp;ESPN!C:C, ESPN!D:D), "N/A")</f>
        <v>257</v>
      </c>
      <c r="M529" s="23" cm="1">
        <f t="array" ref="M529">IFERROR(_xlfn.XLOOKUP(C529&amp;A529, ESPN!A:A&amp;ESPN!C:C, ESPN!G:G), "N/A")</f>
        <v>1.17</v>
      </c>
      <c r="N529" s="23" cm="1">
        <f t="array" ref="N529">IFERROR(_xlfn.XLOOKUP(C529&amp;A529, ESPN!A:A&amp;ESPN!C:C, ESPN!H:H), "N/A")</f>
        <v>42</v>
      </c>
      <c r="O529" s="26" cm="1">
        <f t="array" ref="O529">IFERROR(_xlfn.XLOOKUP(C529&amp;A529, ESPN!A:A&amp;ESPN!C:C, ESPN!I:I), "N/A")</f>
        <v>38</v>
      </c>
      <c r="P529" s="26" cm="1">
        <f t="array" ref="P529">IFERROR(_xlfn.XLOOKUP(C529&amp;A529, ESPN!A:A&amp;ESPN!C:C, ESPN!J:J), "N/A")</f>
        <v>42</v>
      </c>
      <c r="Q529" s="26" cm="1">
        <f t="array" ref="Q529">IFERROR(_xlfn.XLOOKUP(C529&amp;A529, ESPN!A:A&amp;ESPN!C:C, ESPN!K:K), "N/A")</f>
        <v>34</v>
      </c>
    </row>
    <row r="530" spans="1:17" x14ac:dyDescent="0.45">
      <c r="A530" s="6">
        <v>2022</v>
      </c>
      <c r="B530" s="1" t="s">
        <v>344</v>
      </c>
      <c r="C530" s="2" t="str">
        <f t="shared" si="16"/>
        <v>Leonard Fournette</v>
      </c>
      <c r="D530" s="2" t="str">
        <f t="shared" si="17"/>
        <v>TB</v>
      </c>
      <c r="E530" s="2">
        <v>16</v>
      </c>
      <c r="F530" s="12">
        <v>83</v>
      </c>
      <c r="G530" s="11">
        <v>73</v>
      </c>
      <c r="H530" s="11">
        <v>523</v>
      </c>
      <c r="I530" s="11">
        <v>7.2</v>
      </c>
      <c r="J530" s="11">
        <v>3</v>
      </c>
      <c r="K530" s="11">
        <v>0</v>
      </c>
      <c r="L530" s="11" cm="1">
        <f t="array" ref="L530">IFERROR(_xlfn.XLOOKUP(C530&amp;A530, ESPN!A:A&amp;ESPN!C:C, ESPN!D:D), "N/A")</f>
        <v>351</v>
      </c>
      <c r="M530" s="23" cm="1">
        <f t="array" ref="M530">IFERROR(_xlfn.XLOOKUP(C530&amp;A530, ESPN!A:A&amp;ESPN!C:C, ESPN!G:G), "N/A")</f>
        <v>1.51</v>
      </c>
      <c r="N530" s="23" cm="1">
        <f t="array" ref="N530">IFERROR(_xlfn.XLOOKUP(C530&amp;A530, ESPN!A:A&amp;ESPN!C:C, ESPN!H:H), "N/A")</f>
        <v>46</v>
      </c>
      <c r="O530" s="26" cm="1">
        <f t="array" ref="O530">IFERROR(_xlfn.XLOOKUP(C530&amp;A530, ESPN!A:A&amp;ESPN!C:C, ESPN!I:I), "N/A")</f>
        <v>73</v>
      </c>
      <c r="P530" s="26" cm="1">
        <f t="array" ref="P530">IFERROR(_xlfn.XLOOKUP(C530&amp;A530, ESPN!A:A&amp;ESPN!C:C, ESPN!J:J), "N/A")</f>
        <v>34</v>
      </c>
      <c r="Q530" s="26" cm="1">
        <f t="array" ref="Q530">IFERROR(_xlfn.XLOOKUP(C530&amp;A530, ESPN!A:A&amp;ESPN!C:C, ESPN!K:K), "N/A")</f>
        <v>46</v>
      </c>
    </row>
    <row r="531" spans="1:17" x14ac:dyDescent="0.45">
      <c r="A531" s="7">
        <v>2022</v>
      </c>
      <c r="B531" s="3" t="s">
        <v>345</v>
      </c>
      <c r="C531" s="4" t="str">
        <f t="shared" si="16"/>
        <v>David Montgomery</v>
      </c>
      <c r="D531" s="4" t="str">
        <f t="shared" si="17"/>
        <v>CHI</v>
      </c>
      <c r="E531" s="4">
        <v>16</v>
      </c>
      <c r="F531" s="12">
        <v>40</v>
      </c>
      <c r="G531" s="11">
        <v>34</v>
      </c>
      <c r="H531" s="11">
        <v>316</v>
      </c>
      <c r="I531" s="11">
        <v>9.3000000000000007</v>
      </c>
      <c r="J531" s="11">
        <v>1</v>
      </c>
      <c r="K531" s="11">
        <v>2</v>
      </c>
      <c r="L531" s="11" cm="1">
        <f t="array" ref="L531">IFERROR(_xlfn.XLOOKUP(C531&amp;A531, ESPN!A:A&amp;ESPN!C:C, ESPN!D:D), "N/A")</f>
        <v>208</v>
      </c>
      <c r="M531" s="23" cm="1">
        <f t="array" ref="M531">IFERROR(_xlfn.XLOOKUP(C531&amp;A531, ESPN!A:A&amp;ESPN!C:C, ESPN!G:G), "N/A")</f>
        <v>1.52</v>
      </c>
      <c r="N531" s="23" cm="1">
        <f t="array" ref="N531">IFERROR(_xlfn.XLOOKUP(C531&amp;A531, ESPN!A:A&amp;ESPN!C:C, ESPN!H:H), "N/A")</f>
        <v>42</v>
      </c>
      <c r="O531" s="26" cm="1">
        <f t="array" ref="O531">IFERROR(_xlfn.XLOOKUP(C531&amp;A531, ESPN!A:A&amp;ESPN!C:C, ESPN!I:I), "N/A")</f>
        <v>70</v>
      </c>
      <c r="P531" s="26" cm="1">
        <f t="array" ref="P531">IFERROR(_xlfn.XLOOKUP(C531&amp;A531, ESPN!A:A&amp;ESPN!C:C, ESPN!J:J), "N/A")</f>
        <v>60</v>
      </c>
      <c r="Q531" s="26" cm="1">
        <f t="array" ref="Q531">IFERROR(_xlfn.XLOOKUP(C531&amp;A531, ESPN!A:A&amp;ESPN!C:C, ESPN!K:K), "N/A")</f>
        <v>65</v>
      </c>
    </row>
    <row r="532" spans="1:17" x14ac:dyDescent="0.45">
      <c r="A532" s="6">
        <v>2022</v>
      </c>
      <c r="B532" s="1" t="s">
        <v>44</v>
      </c>
      <c r="C532" s="2" t="str">
        <f t="shared" si="16"/>
        <v>Tyler Allgeier</v>
      </c>
      <c r="D532" s="2" t="str">
        <f t="shared" si="17"/>
        <v>ATL</v>
      </c>
      <c r="E532" s="2">
        <v>16</v>
      </c>
      <c r="F532" s="12">
        <v>17</v>
      </c>
      <c r="G532" s="11">
        <v>16</v>
      </c>
      <c r="H532" s="11">
        <v>139</v>
      </c>
      <c r="I532" s="11">
        <v>8.6999999999999993</v>
      </c>
      <c r="J532" s="11">
        <v>1</v>
      </c>
      <c r="K532" s="11">
        <v>0</v>
      </c>
      <c r="L532" s="11" t="str" cm="1">
        <f t="array" ref="L532">IFERROR(_xlfn.XLOOKUP(C532&amp;A532, ESPN!A:A&amp;ESPN!C:C, ESPN!D:D), "N/A")</f>
        <v>N/A</v>
      </c>
      <c r="M532" s="23" t="str" cm="1">
        <f t="array" ref="M532">IFERROR(_xlfn.XLOOKUP(C532&amp;A532, ESPN!A:A&amp;ESPN!C:C, ESPN!G:G), "N/A")</f>
        <v>N/A</v>
      </c>
      <c r="N532" s="23" t="str" cm="1">
        <f t="array" ref="N532">IFERROR(_xlfn.XLOOKUP(C532&amp;A532, ESPN!A:A&amp;ESPN!C:C, ESPN!H:H), "N/A")</f>
        <v>N/A</v>
      </c>
      <c r="O532" s="26" t="str" cm="1">
        <f t="array" ref="O532">IFERROR(_xlfn.XLOOKUP(C532&amp;A532, ESPN!A:A&amp;ESPN!C:C, ESPN!I:I), "N/A")</f>
        <v>N/A</v>
      </c>
      <c r="P532" s="26" t="str" cm="1">
        <f t="array" ref="P532">IFERROR(_xlfn.XLOOKUP(C532&amp;A532, ESPN!A:A&amp;ESPN!C:C, ESPN!J:J), "N/A")</f>
        <v>N/A</v>
      </c>
      <c r="Q532" s="26" t="str" cm="1">
        <f t="array" ref="Q532">IFERROR(_xlfn.XLOOKUP(C532&amp;A532, ESPN!A:A&amp;ESPN!C:C, ESPN!K:K), "N/A")</f>
        <v>N/A</v>
      </c>
    </row>
    <row r="533" spans="1:17" x14ac:dyDescent="0.45">
      <c r="A533" s="7">
        <v>2022</v>
      </c>
      <c r="B533" s="3" t="s">
        <v>346</v>
      </c>
      <c r="C533" s="4" t="str">
        <f t="shared" si="16"/>
        <v>D'Andre Swift</v>
      </c>
      <c r="D533" s="4" t="str">
        <f t="shared" si="17"/>
        <v>DET</v>
      </c>
      <c r="E533" s="4">
        <v>14</v>
      </c>
      <c r="F533" s="12">
        <v>70</v>
      </c>
      <c r="G533" s="11">
        <v>48</v>
      </c>
      <c r="H533" s="11">
        <v>389</v>
      </c>
      <c r="I533" s="11">
        <v>8.1</v>
      </c>
      <c r="J533" s="11">
        <v>3</v>
      </c>
      <c r="K533" s="11">
        <v>0</v>
      </c>
      <c r="L533" s="11" cm="1">
        <f t="array" ref="L533">IFERROR(_xlfn.XLOOKUP(C533&amp;A533, ESPN!A:A&amp;ESPN!C:C, ESPN!D:D), "N/A")</f>
        <v>201</v>
      </c>
      <c r="M533" s="23" cm="1">
        <f t="array" ref="M533">IFERROR(_xlfn.XLOOKUP(C533&amp;A533, ESPN!A:A&amp;ESPN!C:C, ESPN!G:G), "N/A")</f>
        <v>1.94</v>
      </c>
      <c r="N533" s="23" cm="1">
        <f t="array" ref="N533">IFERROR(_xlfn.XLOOKUP(C533&amp;A533, ESPN!A:A&amp;ESPN!C:C, ESPN!H:H), "N/A")</f>
        <v>69</v>
      </c>
      <c r="O533" s="26" cm="1">
        <f t="array" ref="O533">IFERROR(_xlfn.XLOOKUP(C533&amp;A533, ESPN!A:A&amp;ESPN!C:C, ESPN!I:I), "N/A")</f>
        <v>49</v>
      </c>
      <c r="P533" s="26" cm="1">
        <f t="array" ref="P533">IFERROR(_xlfn.XLOOKUP(C533&amp;A533, ESPN!A:A&amp;ESPN!C:C, ESPN!J:J), "N/A")</f>
        <v>59</v>
      </c>
      <c r="Q533" s="26" cm="1">
        <f t="array" ref="Q533">IFERROR(_xlfn.XLOOKUP(C533&amp;A533, ESPN!A:A&amp;ESPN!C:C, ESPN!K:K), "N/A")</f>
        <v>63</v>
      </c>
    </row>
    <row r="534" spans="1:17" x14ac:dyDescent="0.45">
      <c r="A534" s="6">
        <v>2022</v>
      </c>
      <c r="B534" s="1" t="s">
        <v>272</v>
      </c>
      <c r="C534" s="2" t="str">
        <f t="shared" si="16"/>
        <v>Jerick McKinnon</v>
      </c>
      <c r="D534" s="2" t="str">
        <f t="shared" si="17"/>
        <v>KC</v>
      </c>
      <c r="E534" s="2">
        <v>17</v>
      </c>
      <c r="F534" s="12">
        <v>71</v>
      </c>
      <c r="G534" s="11">
        <v>56</v>
      </c>
      <c r="H534" s="11">
        <v>512</v>
      </c>
      <c r="I534" s="11">
        <v>9.1</v>
      </c>
      <c r="J534" s="11">
        <v>9</v>
      </c>
      <c r="K534" s="11">
        <v>1</v>
      </c>
      <c r="L534" s="11" cm="1">
        <f t="array" ref="L534">IFERROR(_xlfn.XLOOKUP(C534&amp;A534, ESPN!A:A&amp;ESPN!C:C, ESPN!D:D), "N/A")</f>
        <v>332</v>
      </c>
      <c r="M534" s="23" cm="1">
        <f t="array" ref="M534">IFERROR(_xlfn.XLOOKUP(C534&amp;A534, ESPN!A:A&amp;ESPN!C:C, ESPN!G:G), "N/A")</f>
        <v>1.64</v>
      </c>
      <c r="N534" s="23" cm="1">
        <f t="array" ref="N534">IFERROR(_xlfn.XLOOKUP(C534&amp;A534, ESPN!A:A&amp;ESPN!C:C, ESPN!H:H), "N/A")</f>
        <v>63</v>
      </c>
      <c r="O534" s="26" cm="1">
        <f t="array" ref="O534">IFERROR(_xlfn.XLOOKUP(C534&amp;A534, ESPN!A:A&amp;ESPN!C:C, ESPN!I:I), "N/A")</f>
        <v>79</v>
      </c>
      <c r="P534" s="26" cm="1">
        <f t="array" ref="P534">IFERROR(_xlfn.XLOOKUP(C534&amp;A534, ESPN!A:A&amp;ESPN!C:C, ESPN!J:J), "N/A")</f>
        <v>47</v>
      </c>
      <c r="Q534" s="26" cm="1">
        <f t="array" ref="Q534">IFERROR(_xlfn.XLOOKUP(C534&amp;A534, ESPN!A:A&amp;ESPN!C:C, ESPN!K:K), "N/A")</f>
        <v>66</v>
      </c>
    </row>
    <row r="535" spans="1:17" x14ac:dyDescent="0.45">
      <c r="A535" s="7">
        <v>2022</v>
      </c>
      <c r="B535" s="3" t="s">
        <v>347</v>
      </c>
      <c r="C535" s="4" t="str">
        <f t="shared" si="16"/>
        <v>Devin Singletary</v>
      </c>
      <c r="D535" s="4" t="str">
        <f t="shared" si="17"/>
        <v>BUF</v>
      </c>
      <c r="E535" s="4">
        <v>17</v>
      </c>
      <c r="F535" s="12">
        <v>52</v>
      </c>
      <c r="G535" s="11">
        <v>38</v>
      </c>
      <c r="H535" s="11">
        <v>280</v>
      </c>
      <c r="I535" s="11">
        <v>7.4</v>
      </c>
      <c r="J535" s="11">
        <v>1</v>
      </c>
      <c r="K535" s="11">
        <v>3</v>
      </c>
      <c r="L535" s="11" cm="1">
        <f t="array" ref="L535">IFERROR(_xlfn.XLOOKUP(C535&amp;A535, ESPN!A:A&amp;ESPN!C:C, ESPN!D:D), "N/A")</f>
        <v>345</v>
      </c>
      <c r="M535" s="23" cm="1">
        <f t="array" ref="M535">IFERROR(_xlfn.XLOOKUP(C535&amp;A535, ESPN!A:A&amp;ESPN!C:C, ESPN!G:G), "N/A")</f>
        <v>0.92</v>
      </c>
      <c r="N535" s="23" cm="1">
        <f t="array" ref="N535">IFERROR(_xlfn.XLOOKUP(C535&amp;A535, ESPN!A:A&amp;ESPN!C:C, ESPN!H:H), "N/A")</f>
        <v>72</v>
      </c>
      <c r="O535" s="26" cm="1">
        <f t="array" ref="O535">IFERROR(_xlfn.XLOOKUP(C535&amp;A535, ESPN!A:A&amp;ESPN!C:C, ESPN!I:I), "N/A")</f>
        <v>46</v>
      </c>
      <c r="P535" s="26" cm="1">
        <f t="array" ref="P535">IFERROR(_xlfn.XLOOKUP(C535&amp;A535, ESPN!A:A&amp;ESPN!C:C, ESPN!J:J), "N/A")</f>
        <v>57</v>
      </c>
      <c r="Q535" s="26" cm="1">
        <f t="array" ref="Q535">IFERROR(_xlfn.XLOOKUP(C535&amp;A535, ESPN!A:A&amp;ESPN!C:C, ESPN!K:K), "N/A")</f>
        <v>63</v>
      </c>
    </row>
    <row r="536" spans="1:17" x14ac:dyDescent="0.45">
      <c r="A536" s="6">
        <v>2022</v>
      </c>
      <c r="B536" s="1" t="s">
        <v>266</v>
      </c>
      <c r="C536" s="2" t="str">
        <f t="shared" si="16"/>
        <v>AJ Dillon</v>
      </c>
      <c r="D536" s="2" t="str">
        <f t="shared" si="17"/>
        <v>GB</v>
      </c>
      <c r="E536" s="2">
        <v>17</v>
      </c>
      <c r="F536" s="12">
        <v>43</v>
      </c>
      <c r="G536" s="11">
        <v>28</v>
      </c>
      <c r="H536" s="11">
        <v>206</v>
      </c>
      <c r="I536" s="11">
        <v>7.4</v>
      </c>
      <c r="J536" s="11">
        <v>0</v>
      </c>
      <c r="K536" s="11">
        <v>0</v>
      </c>
      <c r="L536" s="11" cm="1">
        <f t="array" ref="L536">IFERROR(_xlfn.XLOOKUP(C536&amp;A536, ESPN!A:A&amp;ESPN!C:C, ESPN!D:D), "N/A")</f>
        <v>189</v>
      </c>
      <c r="M536" s="23" cm="1">
        <f t="array" ref="M536">IFERROR(_xlfn.XLOOKUP(C536&amp;A536, ESPN!A:A&amp;ESPN!C:C, ESPN!G:G), "N/A")</f>
        <v>1.0900000000000001</v>
      </c>
      <c r="N536" s="23" cm="1">
        <f t="array" ref="N536">IFERROR(_xlfn.XLOOKUP(C536&amp;A536, ESPN!A:A&amp;ESPN!C:C, ESPN!H:H), "N/A")</f>
        <v>43</v>
      </c>
      <c r="O536" s="26" cm="1">
        <f t="array" ref="O536">IFERROR(_xlfn.XLOOKUP(C536&amp;A536, ESPN!A:A&amp;ESPN!C:C, ESPN!I:I), "N/A")</f>
        <v>51</v>
      </c>
      <c r="P536" s="26" cm="1">
        <f t="array" ref="P536">IFERROR(_xlfn.XLOOKUP(C536&amp;A536, ESPN!A:A&amp;ESPN!C:C, ESPN!J:J), "N/A")</f>
        <v>37</v>
      </c>
      <c r="Q536" s="26" cm="1">
        <f t="array" ref="Q536">IFERROR(_xlfn.XLOOKUP(C536&amp;A536, ESPN!A:A&amp;ESPN!C:C, ESPN!K:K), "N/A")</f>
        <v>37</v>
      </c>
    </row>
    <row r="537" spans="1:17" x14ac:dyDescent="0.45">
      <c r="A537" s="7">
        <v>2022</v>
      </c>
      <c r="B537" s="3" t="s">
        <v>193</v>
      </c>
      <c r="C537" s="4" t="str">
        <f t="shared" si="16"/>
        <v>Raheem Mostert</v>
      </c>
      <c r="D537" s="4" t="str">
        <f t="shared" si="17"/>
        <v>MIA</v>
      </c>
      <c r="E537" s="4">
        <v>16</v>
      </c>
      <c r="F537" s="12">
        <v>42</v>
      </c>
      <c r="G537" s="11">
        <v>31</v>
      </c>
      <c r="H537" s="11">
        <v>202</v>
      </c>
      <c r="I537" s="11">
        <v>6.5</v>
      </c>
      <c r="J537" s="11">
        <v>2</v>
      </c>
      <c r="K537" s="11">
        <v>1</v>
      </c>
      <c r="L537" s="11" cm="1">
        <f t="array" ref="L537">IFERROR(_xlfn.XLOOKUP(C537&amp;A537, ESPN!A:A&amp;ESPN!C:C, ESPN!D:D), "N/A")</f>
        <v>264</v>
      </c>
      <c r="M537" s="23" cm="1">
        <f t="array" ref="M537">IFERROR(_xlfn.XLOOKUP(C537&amp;A537, ESPN!A:A&amp;ESPN!C:C, ESPN!G:G), "N/A")</f>
        <v>0.77</v>
      </c>
      <c r="N537" s="23" cm="1">
        <f t="array" ref="N537">IFERROR(_xlfn.XLOOKUP(C537&amp;A537, ESPN!A:A&amp;ESPN!C:C, ESPN!H:H), "N/A")</f>
        <v>30</v>
      </c>
      <c r="O537" s="26" cm="1">
        <f t="array" ref="O537">IFERROR(_xlfn.XLOOKUP(C537&amp;A537, ESPN!A:A&amp;ESPN!C:C, ESPN!I:I), "N/A")</f>
        <v>51</v>
      </c>
      <c r="P537" s="26" cm="1">
        <f t="array" ref="P537">IFERROR(_xlfn.XLOOKUP(C537&amp;A537, ESPN!A:A&amp;ESPN!C:C, ESPN!J:J), "N/A")</f>
        <v>51</v>
      </c>
      <c r="Q537" s="26" cm="1">
        <f t="array" ref="Q537">IFERROR(_xlfn.XLOOKUP(C537&amp;A537, ESPN!A:A&amp;ESPN!C:C, ESPN!K:K), "N/A")</f>
        <v>45</v>
      </c>
    </row>
    <row r="538" spans="1:17" x14ac:dyDescent="0.45">
      <c r="A538" s="6">
        <v>2022</v>
      </c>
      <c r="B538" s="1" t="s">
        <v>160</v>
      </c>
      <c r="C538" s="2" t="str">
        <f t="shared" si="16"/>
        <v>Jeff Wilson Jr.</v>
      </c>
      <c r="D538" s="2" t="str">
        <f t="shared" si="17"/>
        <v>MIA</v>
      </c>
      <c r="E538" s="2">
        <v>16</v>
      </c>
      <c r="F538" s="12">
        <v>37</v>
      </c>
      <c r="G538" s="11">
        <v>22</v>
      </c>
      <c r="H538" s="11">
        <v>185</v>
      </c>
      <c r="I538" s="11">
        <v>8.4</v>
      </c>
      <c r="J538" s="11">
        <v>1</v>
      </c>
      <c r="K538" s="11">
        <v>2</v>
      </c>
      <c r="L538" s="11" cm="1">
        <f t="array" ref="L538">IFERROR(_xlfn.XLOOKUP(C538&amp;A538, ESPN!A:A&amp;ESPN!C:C, ESPN!D:D), "N/A")</f>
        <v>241</v>
      </c>
      <c r="M538" s="23" cm="1">
        <f t="array" ref="M538">IFERROR(_xlfn.XLOOKUP(C538&amp;A538, ESPN!A:A&amp;ESPN!C:C, ESPN!G:G), "N/A")</f>
        <v>0.82</v>
      </c>
      <c r="N538" s="23" cm="1">
        <f t="array" ref="N538">IFERROR(_xlfn.XLOOKUP(C538&amp;A538, ESPN!A:A&amp;ESPN!C:C, ESPN!H:H), "N/A")</f>
        <v>61</v>
      </c>
      <c r="O538" s="26" cm="1">
        <f t="array" ref="O538">IFERROR(_xlfn.XLOOKUP(C538&amp;A538, ESPN!A:A&amp;ESPN!C:C, ESPN!I:I), "N/A")</f>
        <v>29</v>
      </c>
      <c r="P538" s="26" cm="1">
        <f t="array" ref="P538">IFERROR(_xlfn.XLOOKUP(C538&amp;A538, ESPN!A:A&amp;ESPN!C:C, ESPN!J:J), "N/A")</f>
        <v>33</v>
      </c>
      <c r="Q538" s="26" cm="1">
        <f t="array" ref="Q538">IFERROR(_xlfn.XLOOKUP(C538&amp;A538, ESPN!A:A&amp;ESPN!C:C, ESPN!K:K), "N/A")</f>
        <v>30</v>
      </c>
    </row>
    <row r="539" spans="1:17" x14ac:dyDescent="0.45">
      <c r="A539" s="7">
        <v>2022</v>
      </c>
      <c r="B539" s="3" t="s">
        <v>197</v>
      </c>
      <c r="C539" s="4" t="str">
        <f t="shared" si="16"/>
        <v>Dameon Pierce</v>
      </c>
      <c r="D539" s="4" t="str">
        <f t="shared" si="17"/>
        <v>HOU</v>
      </c>
      <c r="E539" s="4">
        <v>13</v>
      </c>
      <c r="F539" s="12">
        <v>39</v>
      </c>
      <c r="G539" s="11">
        <v>30</v>
      </c>
      <c r="H539" s="11">
        <v>165</v>
      </c>
      <c r="I539" s="11">
        <v>5.5</v>
      </c>
      <c r="J539" s="11">
        <v>1</v>
      </c>
      <c r="K539" s="11">
        <v>2</v>
      </c>
      <c r="L539" s="11" cm="1">
        <f t="array" ref="L539">IFERROR(_xlfn.XLOOKUP(C539&amp;A539, ESPN!A:A&amp;ESPN!C:C, ESPN!D:D), "N/A")</f>
        <v>143</v>
      </c>
      <c r="M539" s="23" cm="1">
        <f t="array" ref="M539">IFERROR(_xlfn.XLOOKUP(C539&amp;A539, ESPN!A:A&amp;ESPN!C:C, ESPN!G:G), "N/A")</f>
        <v>1.1499999999999999</v>
      </c>
      <c r="N539" s="23" cm="1">
        <f t="array" ref="N539">IFERROR(_xlfn.XLOOKUP(C539&amp;A539, ESPN!A:A&amp;ESPN!C:C, ESPN!H:H), "N/A")</f>
        <v>67</v>
      </c>
      <c r="O539" s="26" cm="1">
        <f t="array" ref="O539">IFERROR(_xlfn.XLOOKUP(C539&amp;A539, ESPN!A:A&amp;ESPN!C:C, ESPN!I:I), "N/A")</f>
        <v>53</v>
      </c>
      <c r="P539" s="26" cm="1">
        <f t="array" ref="P539">IFERROR(_xlfn.XLOOKUP(C539&amp;A539, ESPN!A:A&amp;ESPN!C:C, ESPN!J:J), "N/A")</f>
        <v>43</v>
      </c>
      <c r="Q539" s="26" cm="1">
        <f t="array" ref="Q539">IFERROR(_xlfn.XLOOKUP(C539&amp;A539, ESPN!A:A&amp;ESPN!C:C, ESPN!K:K), "N/A")</f>
        <v>52</v>
      </c>
    </row>
    <row r="540" spans="1:17" x14ac:dyDescent="0.45">
      <c r="A540" s="6">
        <v>2022</v>
      </c>
      <c r="B540" s="1" t="s">
        <v>278</v>
      </c>
      <c r="C540" s="2" t="str">
        <f t="shared" si="16"/>
        <v>Cordarrelle Patterson</v>
      </c>
      <c r="D540" s="2" t="str">
        <f t="shared" si="17"/>
        <v>ATL</v>
      </c>
      <c r="E540" s="2">
        <v>13</v>
      </c>
      <c r="F540" s="12">
        <v>31</v>
      </c>
      <c r="G540" s="11">
        <v>21</v>
      </c>
      <c r="H540" s="11">
        <v>122</v>
      </c>
      <c r="I540" s="11">
        <v>5.8</v>
      </c>
      <c r="J540" s="11">
        <v>0</v>
      </c>
      <c r="K540" s="11">
        <v>1</v>
      </c>
      <c r="L540" s="11" cm="1">
        <f t="array" ref="L540">IFERROR(_xlfn.XLOOKUP(C540&amp;A540, ESPN!A:A&amp;ESPN!C:C, ESPN!D:D), "N/A")</f>
        <v>148</v>
      </c>
      <c r="M540" s="23" cm="1">
        <f t="array" ref="M540">IFERROR(_xlfn.XLOOKUP(C540&amp;A540, ESPN!A:A&amp;ESPN!C:C, ESPN!G:G), "N/A")</f>
        <v>0.82</v>
      </c>
      <c r="N540" s="23" cm="1">
        <f t="array" ref="N540">IFERROR(_xlfn.XLOOKUP(C540&amp;A540, ESPN!A:A&amp;ESPN!C:C, ESPN!H:H), "N/A")</f>
        <v>46</v>
      </c>
      <c r="O540" s="26" cm="1">
        <f t="array" ref="O540">IFERROR(_xlfn.XLOOKUP(C540&amp;A540, ESPN!A:A&amp;ESPN!C:C, ESPN!I:I), "N/A")</f>
        <v>46</v>
      </c>
      <c r="P540" s="26" cm="1">
        <f t="array" ref="P540">IFERROR(_xlfn.XLOOKUP(C540&amp;A540, ESPN!A:A&amp;ESPN!C:C, ESPN!J:J), "N/A")</f>
        <v>42</v>
      </c>
      <c r="Q540" s="26" cm="1">
        <f t="array" ref="Q540">IFERROR(_xlfn.XLOOKUP(C540&amp;A540, ESPN!A:A&amp;ESPN!C:C, ESPN!K:K), "N/A")</f>
        <v>40</v>
      </c>
    </row>
    <row r="541" spans="1:17" x14ac:dyDescent="0.45">
      <c r="A541" s="7">
        <v>2022</v>
      </c>
      <c r="B541" s="3" t="s">
        <v>348</v>
      </c>
      <c r="C541" s="4" t="str">
        <f t="shared" si="16"/>
        <v>Cam Akers</v>
      </c>
      <c r="D541" s="4" t="str">
        <f t="shared" si="17"/>
        <v>LAR</v>
      </c>
      <c r="E541" s="4">
        <v>15</v>
      </c>
      <c r="F541" s="12">
        <v>18</v>
      </c>
      <c r="G541" s="11">
        <v>13</v>
      </c>
      <c r="H541" s="11">
        <v>117</v>
      </c>
      <c r="I541" s="11">
        <v>9</v>
      </c>
      <c r="J541" s="11">
        <v>0</v>
      </c>
      <c r="K541" s="11">
        <v>2</v>
      </c>
      <c r="L541" s="11" t="str" cm="1">
        <f t="array" ref="L541">IFERROR(_xlfn.XLOOKUP(C541&amp;A541, ESPN!A:A&amp;ESPN!C:C, ESPN!D:D), "N/A")</f>
        <v>N/A</v>
      </c>
      <c r="M541" s="23" t="str" cm="1">
        <f t="array" ref="M541">IFERROR(_xlfn.XLOOKUP(C541&amp;A541, ESPN!A:A&amp;ESPN!C:C, ESPN!G:G), "N/A")</f>
        <v>N/A</v>
      </c>
      <c r="N541" s="23" t="str" cm="1">
        <f t="array" ref="N541">IFERROR(_xlfn.XLOOKUP(C541&amp;A541, ESPN!A:A&amp;ESPN!C:C, ESPN!H:H), "N/A")</f>
        <v>N/A</v>
      </c>
      <c r="O541" s="26" t="str" cm="1">
        <f t="array" ref="O541">IFERROR(_xlfn.XLOOKUP(C541&amp;A541, ESPN!A:A&amp;ESPN!C:C, ESPN!I:I), "N/A")</f>
        <v>N/A</v>
      </c>
      <c r="P541" s="26" t="str" cm="1">
        <f t="array" ref="P541">IFERROR(_xlfn.XLOOKUP(C541&amp;A541, ESPN!A:A&amp;ESPN!C:C, ESPN!J:J), "N/A")</f>
        <v>N/A</v>
      </c>
      <c r="Q541" s="26" t="str" cm="1">
        <f t="array" ref="Q541">IFERROR(_xlfn.XLOOKUP(C541&amp;A541, ESPN!A:A&amp;ESPN!C:C, ESPN!K:K), "N/A")</f>
        <v>N/A</v>
      </c>
    </row>
    <row r="542" spans="1:17" x14ac:dyDescent="0.45">
      <c r="A542" s="6">
        <v>2022</v>
      </c>
      <c r="B542" s="1" t="s">
        <v>349</v>
      </c>
      <c r="C542" s="2" t="str">
        <f t="shared" si="16"/>
        <v>Latavius Murray</v>
      </c>
      <c r="D542" s="2" t="str">
        <f t="shared" si="17"/>
        <v>DEN</v>
      </c>
      <c r="E542" s="2">
        <v>14</v>
      </c>
      <c r="F542" s="12">
        <v>35</v>
      </c>
      <c r="G542" s="11">
        <v>27</v>
      </c>
      <c r="H542" s="11">
        <v>132</v>
      </c>
      <c r="I542" s="11">
        <v>4.9000000000000004</v>
      </c>
      <c r="J542" s="11">
        <v>0</v>
      </c>
      <c r="K542" s="11">
        <v>0</v>
      </c>
      <c r="L542" s="11" cm="1">
        <f t="array" ref="L542">IFERROR(_xlfn.XLOOKUP(C542&amp;A542, ESPN!A:A&amp;ESPN!C:C, ESPN!D:D), "N/A")</f>
        <v>156</v>
      </c>
      <c r="M542" s="23" cm="1">
        <f t="array" ref="M542">IFERROR(_xlfn.XLOOKUP(C542&amp;A542, ESPN!A:A&amp;ESPN!C:C, ESPN!G:G), "N/A")</f>
        <v>0.85</v>
      </c>
      <c r="N542" s="23" cm="1">
        <f t="array" ref="N542">IFERROR(_xlfn.XLOOKUP(C542&amp;A542, ESPN!A:A&amp;ESPN!C:C, ESPN!H:H), "N/A")</f>
        <v>42</v>
      </c>
      <c r="O542" s="26" cm="1">
        <f t="array" ref="O542">IFERROR(_xlfn.XLOOKUP(C542&amp;A542, ESPN!A:A&amp;ESPN!C:C, ESPN!I:I), "N/A")</f>
        <v>64</v>
      </c>
      <c r="P542" s="26" cm="1">
        <f t="array" ref="P542">IFERROR(_xlfn.XLOOKUP(C542&amp;A542, ESPN!A:A&amp;ESPN!C:C, ESPN!J:J), "N/A")</f>
        <v>27</v>
      </c>
      <c r="Q542" s="26" cm="1">
        <f t="array" ref="Q542">IFERROR(_xlfn.XLOOKUP(C542&amp;A542, ESPN!A:A&amp;ESPN!C:C, ESPN!K:K), "N/A")</f>
        <v>34</v>
      </c>
    </row>
    <row r="543" spans="1:17" x14ac:dyDescent="0.45">
      <c r="A543" s="7">
        <v>2022</v>
      </c>
      <c r="B543" s="3" t="s">
        <v>350</v>
      </c>
      <c r="C543" s="4" t="str">
        <f t="shared" si="16"/>
        <v>D'Onta Foreman</v>
      </c>
      <c r="D543" s="4" t="str">
        <f t="shared" si="17"/>
        <v>CAR</v>
      </c>
      <c r="E543" s="4">
        <v>16</v>
      </c>
      <c r="F543" s="12">
        <v>9</v>
      </c>
      <c r="G543" s="11">
        <v>5</v>
      </c>
      <c r="H543" s="11">
        <v>26</v>
      </c>
      <c r="I543" s="11">
        <v>5.2</v>
      </c>
      <c r="J543" s="11">
        <v>0</v>
      </c>
      <c r="K543" s="11">
        <v>0</v>
      </c>
      <c r="L543" s="11" t="str" cm="1">
        <f t="array" ref="L543">IFERROR(_xlfn.XLOOKUP(C543&amp;A543, ESPN!A:A&amp;ESPN!C:C, ESPN!D:D), "N/A")</f>
        <v>N/A</v>
      </c>
      <c r="M543" s="23" t="str" cm="1">
        <f t="array" ref="M543">IFERROR(_xlfn.XLOOKUP(C543&amp;A543, ESPN!A:A&amp;ESPN!C:C, ESPN!G:G), "N/A")</f>
        <v>N/A</v>
      </c>
      <c r="N543" s="23" t="str" cm="1">
        <f t="array" ref="N543">IFERROR(_xlfn.XLOOKUP(C543&amp;A543, ESPN!A:A&amp;ESPN!C:C, ESPN!H:H), "N/A")</f>
        <v>N/A</v>
      </c>
      <c r="O543" s="26" t="str" cm="1">
        <f t="array" ref="O543">IFERROR(_xlfn.XLOOKUP(C543&amp;A543, ESPN!A:A&amp;ESPN!C:C, ESPN!I:I), "N/A")</f>
        <v>N/A</v>
      </c>
      <c r="P543" s="26" t="str" cm="1">
        <f t="array" ref="P543">IFERROR(_xlfn.XLOOKUP(C543&amp;A543, ESPN!A:A&amp;ESPN!C:C, ESPN!J:J), "N/A")</f>
        <v>N/A</v>
      </c>
      <c r="Q543" s="26" t="str" cm="1">
        <f t="array" ref="Q543">IFERROR(_xlfn.XLOOKUP(C543&amp;A543, ESPN!A:A&amp;ESPN!C:C, ESPN!K:K), "N/A")</f>
        <v>N/A</v>
      </c>
    </row>
    <row r="544" spans="1:17" x14ac:dyDescent="0.45">
      <c r="A544" s="6">
        <v>2022</v>
      </c>
      <c r="B544" s="1" t="s">
        <v>50</v>
      </c>
      <c r="C544" s="2" t="str">
        <f t="shared" si="16"/>
        <v>Isiah Pacheco</v>
      </c>
      <c r="D544" s="2" t="str">
        <f t="shared" si="17"/>
        <v>KC</v>
      </c>
      <c r="E544" s="2">
        <v>17</v>
      </c>
      <c r="F544" s="12">
        <v>14</v>
      </c>
      <c r="G544" s="11">
        <v>13</v>
      </c>
      <c r="H544" s="11">
        <v>130</v>
      </c>
      <c r="I544" s="11">
        <v>10</v>
      </c>
      <c r="J544" s="11">
        <v>0</v>
      </c>
      <c r="K544" s="11">
        <v>2</v>
      </c>
      <c r="L544" s="11" t="str" cm="1">
        <f t="array" ref="L544">IFERROR(_xlfn.XLOOKUP(C544&amp;A544, ESPN!A:A&amp;ESPN!C:C, ESPN!D:D), "N/A")</f>
        <v>N/A</v>
      </c>
      <c r="M544" s="23" t="str" cm="1">
        <f t="array" ref="M544">IFERROR(_xlfn.XLOOKUP(C544&amp;A544, ESPN!A:A&amp;ESPN!C:C, ESPN!G:G), "N/A")</f>
        <v>N/A</v>
      </c>
      <c r="N544" s="23" t="str" cm="1">
        <f t="array" ref="N544">IFERROR(_xlfn.XLOOKUP(C544&amp;A544, ESPN!A:A&amp;ESPN!C:C, ESPN!H:H), "N/A")</f>
        <v>N/A</v>
      </c>
      <c r="O544" s="26" t="str" cm="1">
        <f t="array" ref="O544">IFERROR(_xlfn.XLOOKUP(C544&amp;A544, ESPN!A:A&amp;ESPN!C:C, ESPN!I:I), "N/A")</f>
        <v>N/A</v>
      </c>
      <c r="P544" s="26" t="str" cm="1">
        <f t="array" ref="P544">IFERROR(_xlfn.XLOOKUP(C544&amp;A544, ESPN!A:A&amp;ESPN!C:C, ESPN!J:J), "N/A")</f>
        <v>N/A</v>
      </c>
      <c r="Q544" s="26" t="str" cm="1">
        <f t="array" ref="Q544">IFERROR(_xlfn.XLOOKUP(C544&amp;A544, ESPN!A:A&amp;ESPN!C:C, ESPN!K:K), "N/A")</f>
        <v>N/A</v>
      </c>
    </row>
    <row r="545" spans="1:17" x14ac:dyDescent="0.45">
      <c r="A545" s="7">
        <v>2022</v>
      </c>
      <c r="B545" s="3" t="s">
        <v>269</v>
      </c>
      <c r="C545" s="4" t="str">
        <f t="shared" si="16"/>
        <v>Antonio Gibson</v>
      </c>
      <c r="D545" s="4" t="str">
        <f t="shared" si="17"/>
        <v>WAS</v>
      </c>
      <c r="E545" s="4">
        <v>15</v>
      </c>
      <c r="F545" s="12">
        <v>58</v>
      </c>
      <c r="G545" s="11">
        <v>46</v>
      </c>
      <c r="H545" s="11">
        <v>353</v>
      </c>
      <c r="I545" s="11">
        <v>7.7</v>
      </c>
      <c r="J545" s="11">
        <v>2</v>
      </c>
      <c r="K545" s="11">
        <v>0</v>
      </c>
      <c r="L545" s="11" cm="1">
        <f t="array" ref="L545">IFERROR(_xlfn.XLOOKUP(C545&amp;A545, ESPN!A:A&amp;ESPN!C:C, ESPN!D:D), "N/A")</f>
        <v>200</v>
      </c>
      <c r="M545" s="23" cm="1">
        <f t="array" ref="M545">IFERROR(_xlfn.XLOOKUP(C545&amp;A545, ESPN!A:A&amp;ESPN!C:C, ESPN!G:G), "N/A")</f>
        <v>1.76</v>
      </c>
      <c r="N545" s="23" cm="1">
        <f t="array" ref="N545">IFERROR(_xlfn.XLOOKUP(C545&amp;A545, ESPN!A:A&amp;ESPN!C:C, ESPN!H:H), "N/A")</f>
        <v>65</v>
      </c>
      <c r="O545" s="26" cm="1">
        <f t="array" ref="O545">IFERROR(_xlfn.XLOOKUP(C545&amp;A545, ESPN!A:A&amp;ESPN!C:C, ESPN!I:I), "N/A")</f>
        <v>78</v>
      </c>
      <c r="P545" s="26" cm="1">
        <f t="array" ref="P545">IFERROR(_xlfn.XLOOKUP(C545&amp;A545, ESPN!A:A&amp;ESPN!C:C, ESPN!J:J), "N/A")</f>
        <v>26</v>
      </c>
      <c r="Q545" s="26" cm="1">
        <f t="array" ref="Q545">IFERROR(_xlfn.XLOOKUP(C545&amp;A545, ESPN!A:A&amp;ESPN!C:C, ESPN!K:K), "N/A")</f>
        <v>49</v>
      </c>
    </row>
    <row r="546" spans="1:17" x14ac:dyDescent="0.45">
      <c r="A546" s="6">
        <v>2022</v>
      </c>
      <c r="B546" s="1" t="s">
        <v>6</v>
      </c>
      <c r="C546" s="2" t="str">
        <f t="shared" si="16"/>
        <v>Jonathan Taylor</v>
      </c>
      <c r="D546" s="2" t="str">
        <f t="shared" si="17"/>
        <v>IND</v>
      </c>
      <c r="E546" s="2">
        <v>12</v>
      </c>
      <c r="F546" s="12">
        <v>40</v>
      </c>
      <c r="G546" s="11">
        <v>28</v>
      </c>
      <c r="H546" s="11">
        <v>143</v>
      </c>
      <c r="I546" s="11">
        <v>5.0999999999999996</v>
      </c>
      <c r="J546" s="11">
        <v>0</v>
      </c>
      <c r="K546" s="11">
        <v>3</v>
      </c>
      <c r="L546" s="11" cm="1">
        <f t="array" ref="L546">IFERROR(_xlfn.XLOOKUP(C546&amp;A546, ESPN!A:A&amp;ESPN!C:C, ESPN!D:D), "N/A")</f>
        <v>203</v>
      </c>
      <c r="M546" s="23" cm="1">
        <f t="array" ref="M546">IFERROR(_xlfn.XLOOKUP(C546&amp;A546, ESPN!A:A&amp;ESPN!C:C, ESPN!G:G), "N/A")</f>
        <v>0.7</v>
      </c>
      <c r="N546" s="23" cm="1">
        <f t="array" ref="N546">IFERROR(_xlfn.XLOOKUP(C546&amp;A546, ESPN!A:A&amp;ESPN!C:C, ESPN!H:H), "N/A")</f>
        <v>25</v>
      </c>
      <c r="O546" s="26" cm="1">
        <f t="array" ref="O546">IFERROR(_xlfn.XLOOKUP(C546&amp;A546, ESPN!A:A&amp;ESPN!C:C, ESPN!I:I), "N/A")</f>
        <v>41</v>
      </c>
      <c r="P546" s="26" cm="1">
        <f t="array" ref="P546">IFERROR(_xlfn.XLOOKUP(C546&amp;A546, ESPN!A:A&amp;ESPN!C:C, ESPN!J:J), "N/A")</f>
        <v>42</v>
      </c>
      <c r="Q546" s="26" cm="1">
        <f t="array" ref="Q546">IFERROR(_xlfn.XLOOKUP(C546&amp;A546, ESPN!A:A&amp;ESPN!C:C, ESPN!K:K), "N/A")</f>
        <v>30</v>
      </c>
    </row>
    <row r="547" spans="1:17" x14ac:dyDescent="0.45">
      <c r="A547" s="7">
        <v>2022</v>
      </c>
      <c r="B547" s="3" t="s">
        <v>267</v>
      </c>
      <c r="C547" s="4" t="str">
        <f t="shared" si="16"/>
        <v>Khalil Herbert</v>
      </c>
      <c r="D547" s="4" t="str">
        <f t="shared" si="17"/>
        <v>CHI</v>
      </c>
      <c r="E547" s="4">
        <v>13</v>
      </c>
      <c r="F547" s="12">
        <v>12</v>
      </c>
      <c r="G547" s="11">
        <v>9</v>
      </c>
      <c r="H547" s="11">
        <v>57</v>
      </c>
      <c r="I547" s="11">
        <v>6.3</v>
      </c>
      <c r="J547" s="11">
        <v>1</v>
      </c>
      <c r="K547" s="11">
        <v>0</v>
      </c>
      <c r="L547" s="11" t="str" cm="1">
        <f t="array" ref="L547">IFERROR(_xlfn.XLOOKUP(C547&amp;A547, ESPN!A:A&amp;ESPN!C:C, ESPN!D:D), "N/A")</f>
        <v>N/A</v>
      </c>
      <c r="M547" s="23" t="str" cm="1">
        <f t="array" ref="M547">IFERROR(_xlfn.XLOOKUP(C547&amp;A547, ESPN!A:A&amp;ESPN!C:C, ESPN!G:G), "N/A")</f>
        <v>N/A</v>
      </c>
      <c r="N547" s="23" t="str" cm="1">
        <f t="array" ref="N547">IFERROR(_xlfn.XLOOKUP(C547&amp;A547, ESPN!A:A&amp;ESPN!C:C, ESPN!H:H), "N/A")</f>
        <v>N/A</v>
      </c>
      <c r="O547" s="26" t="str" cm="1">
        <f t="array" ref="O547">IFERROR(_xlfn.XLOOKUP(C547&amp;A547, ESPN!A:A&amp;ESPN!C:C, ESPN!I:I), "N/A")</f>
        <v>N/A</v>
      </c>
      <c r="P547" s="26" t="str" cm="1">
        <f t="array" ref="P547">IFERROR(_xlfn.XLOOKUP(C547&amp;A547, ESPN!A:A&amp;ESPN!C:C, ESPN!J:J), "N/A")</f>
        <v>N/A</v>
      </c>
      <c r="Q547" s="26" t="str" cm="1">
        <f t="array" ref="Q547">IFERROR(_xlfn.XLOOKUP(C547&amp;A547, ESPN!A:A&amp;ESPN!C:C, ESPN!K:K), "N/A")</f>
        <v>N/A</v>
      </c>
    </row>
    <row r="548" spans="1:17" x14ac:dyDescent="0.45">
      <c r="A548" s="6">
        <v>2022</v>
      </c>
      <c r="B548" s="1" t="s">
        <v>54</v>
      </c>
      <c r="C548" s="2" t="str">
        <f t="shared" si="16"/>
        <v>Samaje Perine</v>
      </c>
      <c r="D548" s="2" t="str">
        <f t="shared" si="17"/>
        <v>CIN</v>
      </c>
      <c r="E548" s="2">
        <v>16</v>
      </c>
      <c r="F548" s="12">
        <v>51</v>
      </c>
      <c r="G548" s="11">
        <v>38</v>
      </c>
      <c r="H548" s="11">
        <v>287</v>
      </c>
      <c r="I548" s="11">
        <v>7.6</v>
      </c>
      <c r="J548" s="11">
        <v>4</v>
      </c>
      <c r="K548" s="11">
        <v>0</v>
      </c>
      <c r="L548" s="11" cm="1">
        <f t="array" ref="L548">IFERROR(_xlfn.XLOOKUP(C548&amp;A548, ESPN!A:A&amp;ESPN!C:C, ESPN!D:D), "N/A")</f>
        <v>270</v>
      </c>
      <c r="M548" s="23" cm="1">
        <f t="array" ref="M548">IFERROR(_xlfn.XLOOKUP(C548&amp;A548, ESPN!A:A&amp;ESPN!C:C, ESPN!G:G), "N/A")</f>
        <v>1.19</v>
      </c>
      <c r="N548" s="23" cm="1">
        <f t="array" ref="N548">IFERROR(_xlfn.XLOOKUP(C548&amp;A548, ESPN!A:A&amp;ESPN!C:C, ESPN!H:H), "N/A")</f>
        <v>52</v>
      </c>
      <c r="O548" s="26" cm="1">
        <f t="array" ref="O548">IFERROR(_xlfn.XLOOKUP(C548&amp;A548, ESPN!A:A&amp;ESPN!C:C, ESPN!I:I), "N/A")</f>
        <v>63</v>
      </c>
      <c r="P548" s="26" cm="1">
        <f t="array" ref="P548">IFERROR(_xlfn.XLOOKUP(C548&amp;A548, ESPN!A:A&amp;ESPN!C:C, ESPN!J:J), "N/A")</f>
        <v>49</v>
      </c>
      <c r="Q548" s="26" cm="1">
        <f t="array" ref="Q548">IFERROR(_xlfn.XLOOKUP(C548&amp;A548, ESPN!A:A&amp;ESPN!C:C, ESPN!K:K), "N/A")</f>
        <v>56</v>
      </c>
    </row>
    <row r="549" spans="1:17" x14ac:dyDescent="0.45">
      <c r="A549" s="7">
        <v>2022</v>
      </c>
      <c r="B549" s="3" t="s">
        <v>181</v>
      </c>
      <c r="C549" s="4" t="str">
        <f t="shared" si="16"/>
        <v>Brian Robinson Jr.</v>
      </c>
      <c r="D549" s="4" t="str">
        <f t="shared" si="17"/>
        <v>WAS</v>
      </c>
      <c r="E549" s="4">
        <v>12</v>
      </c>
      <c r="F549" s="12">
        <v>12</v>
      </c>
      <c r="G549" s="11">
        <v>9</v>
      </c>
      <c r="H549" s="11">
        <v>60</v>
      </c>
      <c r="I549" s="11">
        <v>6.7</v>
      </c>
      <c r="J549" s="11">
        <v>1</v>
      </c>
      <c r="K549" s="11">
        <v>0</v>
      </c>
      <c r="L549" s="11" t="str" cm="1">
        <f t="array" ref="L549">IFERROR(_xlfn.XLOOKUP(C549&amp;A549, ESPN!A:A&amp;ESPN!C:C, ESPN!D:D), "N/A")</f>
        <v>N/A</v>
      </c>
      <c r="M549" s="23" t="str" cm="1">
        <f t="array" ref="M549">IFERROR(_xlfn.XLOOKUP(C549&amp;A549, ESPN!A:A&amp;ESPN!C:C, ESPN!G:G), "N/A")</f>
        <v>N/A</v>
      </c>
      <c r="N549" s="23" t="str" cm="1">
        <f t="array" ref="N549">IFERROR(_xlfn.XLOOKUP(C549&amp;A549, ESPN!A:A&amp;ESPN!C:C, ESPN!H:H), "N/A")</f>
        <v>N/A</v>
      </c>
      <c r="O549" s="26" t="str" cm="1">
        <f t="array" ref="O549">IFERROR(_xlfn.XLOOKUP(C549&amp;A549, ESPN!A:A&amp;ESPN!C:C, ESPN!I:I), "N/A")</f>
        <v>N/A</v>
      </c>
      <c r="P549" s="26" t="str" cm="1">
        <f t="array" ref="P549">IFERROR(_xlfn.XLOOKUP(C549&amp;A549, ESPN!A:A&amp;ESPN!C:C, ESPN!J:J), "N/A")</f>
        <v>N/A</v>
      </c>
      <c r="Q549" s="26" t="str" cm="1">
        <f t="array" ref="Q549">IFERROR(_xlfn.XLOOKUP(C549&amp;A549, ESPN!A:A&amp;ESPN!C:C, ESPN!K:K), "N/A")</f>
        <v>N/A</v>
      </c>
    </row>
    <row r="550" spans="1:17" x14ac:dyDescent="0.45">
      <c r="A550" s="6">
        <v>2022</v>
      </c>
      <c r="B550" s="1" t="s">
        <v>18</v>
      </c>
      <c r="C550" s="2" t="str">
        <f t="shared" si="16"/>
        <v>Breece Hall</v>
      </c>
      <c r="D550" s="2" t="str">
        <f t="shared" si="17"/>
        <v>NYJ</v>
      </c>
      <c r="E550" s="2">
        <v>7</v>
      </c>
      <c r="F550" s="12">
        <v>31</v>
      </c>
      <c r="G550" s="11">
        <v>19</v>
      </c>
      <c r="H550" s="11">
        <v>218</v>
      </c>
      <c r="I550" s="11">
        <v>11.5</v>
      </c>
      <c r="J550" s="11">
        <v>1</v>
      </c>
      <c r="K550" s="11">
        <v>1</v>
      </c>
      <c r="L550" s="11" cm="1">
        <f t="array" ref="L550">IFERROR(_xlfn.XLOOKUP(C550&amp;A550, ESPN!A:A&amp;ESPN!C:C, ESPN!D:D), "N/A")</f>
        <v>92</v>
      </c>
      <c r="M550" s="23" cm="1">
        <f t="array" ref="M550">IFERROR(_xlfn.XLOOKUP(C550&amp;A550, ESPN!A:A&amp;ESPN!C:C, ESPN!G:G), "N/A")</f>
        <v>2.37</v>
      </c>
      <c r="N550" s="23" cm="1">
        <f t="array" ref="N550">IFERROR(_xlfn.XLOOKUP(C550&amp;A550, ESPN!A:A&amp;ESPN!C:C, ESPN!H:H), "N/A")</f>
        <v>60</v>
      </c>
      <c r="O550" s="26" cm="1">
        <f t="array" ref="O550">IFERROR(_xlfn.XLOOKUP(C550&amp;A550, ESPN!A:A&amp;ESPN!C:C, ESPN!I:I), "N/A")</f>
        <v>34</v>
      </c>
      <c r="P550" s="26" cm="1">
        <f t="array" ref="P550">IFERROR(_xlfn.XLOOKUP(C550&amp;A550, ESPN!A:A&amp;ESPN!C:C, ESPN!J:J), "N/A")</f>
        <v>68</v>
      </c>
      <c r="Q550" s="26" cm="1">
        <f t="array" ref="Q550">IFERROR(_xlfn.XLOOKUP(C550&amp;A550, ESPN!A:A&amp;ESPN!C:C, ESPN!K:K), "N/A")</f>
        <v>62</v>
      </c>
    </row>
    <row r="551" spans="1:17" x14ac:dyDescent="0.45">
      <c r="A551" s="7">
        <v>2022</v>
      </c>
      <c r="B551" s="3" t="s">
        <v>264</v>
      </c>
      <c r="C551" s="4" t="str">
        <f t="shared" si="16"/>
        <v>Kareem Hunt</v>
      </c>
      <c r="D551" s="4" t="str">
        <f t="shared" si="17"/>
        <v>CLE</v>
      </c>
      <c r="E551" s="4">
        <v>17</v>
      </c>
      <c r="F551" s="12">
        <v>44</v>
      </c>
      <c r="G551" s="11">
        <v>35</v>
      </c>
      <c r="H551" s="11">
        <v>210</v>
      </c>
      <c r="I551" s="11">
        <v>6</v>
      </c>
      <c r="J551" s="11">
        <v>1</v>
      </c>
      <c r="K551" s="11">
        <v>0</v>
      </c>
      <c r="L551" s="11" cm="1">
        <f t="array" ref="L551">IFERROR(_xlfn.XLOOKUP(C551&amp;A551, ESPN!A:A&amp;ESPN!C:C, ESPN!D:D), "N/A")</f>
        <v>212</v>
      </c>
      <c r="M551" s="23" cm="1">
        <f t="array" ref="M551">IFERROR(_xlfn.XLOOKUP(C551&amp;A551, ESPN!A:A&amp;ESPN!C:C, ESPN!G:G), "N/A")</f>
        <v>0.99</v>
      </c>
      <c r="N551" s="23" cm="1">
        <f t="array" ref="N551">IFERROR(_xlfn.XLOOKUP(C551&amp;A551, ESPN!A:A&amp;ESPN!C:C, ESPN!H:H), "N/A")</f>
        <v>56</v>
      </c>
      <c r="O551" s="26" cm="1">
        <f t="array" ref="O551">IFERROR(_xlfn.XLOOKUP(C551&amp;A551, ESPN!A:A&amp;ESPN!C:C, ESPN!I:I), "N/A")</f>
        <v>80</v>
      </c>
      <c r="P551" s="26" cm="1">
        <f t="array" ref="P551">IFERROR(_xlfn.XLOOKUP(C551&amp;A551, ESPN!A:A&amp;ESPN!C:C, ESPN!J:J), "N/A")</f>
        <v>50</v>
      </c>
      <c r="Q551" s="26" cm="1">
        <f t="array" ref="Q551">IFERROR(_xlfn.XLOOKUP(C551&amp;A551, ESPN!A:A&amp;ESPN!C:C, ESPN!K:K), "N/A")</f>
        <v>66</v>
      </c>
    </row>
    <row r="552" spans="1:17" x14ac:dyDescent="0.45">
      <c r="A552" s="6">
        <v>2022</v>
      </c>
      <c r="B552" s="1" t="s">
        <v>39</v>
      </c>
      <c r="C552" s="2" t="str">
        <f t="shared" si="16"/>
        <v>Rachaad White</v>
      </c>
      <c r="D552" s="2" t="str">
        <f t="shared" si="17"/>
        <v>TB</v>
      </c>
      <c r="E552" s="2">
        <v>17</v>
      </c>
      <c r="F552" s="12">
        <v>58</v>
      </c>
      <c r="G552" s="11">
        <v>50</v>
      </c>
      <c r="H552" s="11">
        <v>290</v>
      </c>
      <c r="I552" s="11">
        <v>5.8</v>
      </c>
      <c r="J552" s="11">
        <v>2</v>
      </c>
      <c r="K552" s="11">
        <v>3</v>
      </c>
      <c r="L552" s="11" cm="1">
        <f t="array" ref="L552">IFERROR(_xlfn.XLOOKUP(C552&amp;A552, ESPN!A:A&amp;ESPN!C:C, ESPN!D:D), "N/A")</f>
        <v>243</v>
      </c>
      <c r="M552" s="23" cm="1">
        <f t="array" ref="M552">IFERROR(_xlfn.XLOOKUP(C552&amp;A552, ESPN!A:A&amp;ESPN!C:C, ESPN!G:G), "N/A")</f>
        <v>1.34</v>
      </c>
      <c r="N552" s="23" cm="1">
        <f t="array" ref="N552">IFERROR(_xlfn.XLOOKUP(C552&amp;A552, ESPN!A:A&amp;ESPN!C:C, ESPN!H:H), "N/A")</f>
        <v>61</v>
      </c>
      <c r="O552" s="26" cm="1">
        <f t="array" ref="O552">IFERROR(_xlfn.XLOOKUP(C552&amp;A552, ESPN!A:A&amp;ESPN!C:C, ESPN!I:I), "N/A")</f>
        <v>76</v>
      </c>
      <c r="P552" s="26" cm="1">
        <f t="array" ref="P552">IFERROR(_xlfn.XLOOKUP(C552&amp;A552, ESPN!A:A&amp;ESPN!C:C, ESPN!J:J), "N/A")</f>
        <v>37</v>
      </c>
      <c r="Q552" s="26" cm="1">
        <f t="array" ref="Q552">IFERROR(_xlfn.XLOOKUP(C552&amp;A552, ESPN!A:A&amp;ESPN!C:C, ESPN!K:K), "N/A")</f>
        <v>56</v>
      </c>
    </row>
    <row r="553" spans="1:17" x14ac:dyDescent="0.45">
      <c r="A553" s="7">
        <v>2022</v>
      </c>
      <c r="B553" s="3" t="s">
        <v>351</v>
      </c>
      <c r="C553" s="4" t="str">
        <f t="shared" si="16"/>
        <v>Kenyan Drake</v>
      </c>
      <c r="D553" s="4" t="str">
        <f t="shared" si="17"/>
        <v>BAL</v>
      </c>
      <c r="E553" s="4">
        <v>12</v>
      </c>
      <c r="F553" s="12">
        <v>26</v>
      </c>
      <c r="G553" s="11">
        <v>17</v>
      </c>
      <c r="H553" s="11">
        <v>89</v>
      </c>
      <c r="I553" s="11">
        <v>5.2</v>
      </c>
      <c r="J553" s="11">
        <v>1</v>
      </c>
      <c r="K553" s="11">
        <v>0</v>
      </c>
      <c r="L553" s="11" t="str" cm="1">
        <f t="array" ref="L553">IFERROR(_xlfn.XLOOKUP(C553&amp;A553, ESPN!A:A&amp;ESPN!C:C, ESPN!D:D), "N/A")</f>
        <v>N/A</v>
      </c>
      <c r="M553" s="23" t="str" cm="1">
        <f t="array" ref="M553">IFERROR(_xlfn.XLOOKUP(C553&amp;A553, ESPN!A:A&amp;ESPN!C:C, ESPN!G:G), "N/A")</f>
        <v>N/A</v>
      </c>
      <c r="N553" s="23" t="str" cm="1">
        <f t="array" ref="N553">IFERROR(_xlfn.XLOOKUP(C553&amp;A553, ESPN!A:A&amp;ESPN!C:C, ESPN!H:H), "N/A")</f>
        <v>N/A</v>
      </c>
      <c r="O553" s="26" t="str" cm="1">
        <f t="array" ref="O553">IFERROR(_xlfn.XLOOKUP(C553&amp;A553, ESPN!A:A&amp;ESPN!C:C, ESPN!I:I), "N/A")</f>
        <v>N/A</v>
      </c>
      <c r="P553" s="26" t="str" cm="1">
        <f t="array" ref="P553">IFERROR(_xlfn.XLOOKUP(C553&amp;A553, ESPN!A:A&amp;ESPN!C:C, ESPN!J:J), "N/A")</f>
        <v>N/A</v>
      </c>
      <c r="Q553" s="26" t="str" cm="1">
        <f t="array" ref="Q553">IFERROR(_xlfn.XLOOKUP(C553&amp;A553, ESPN!A:A&amp;ESPN!C:C, ESPN!K:K), "N/A")</f>
        <v>N/A</v>
      </c>
    </row>
    <row r="554" spans="1:17" x14ac:dyDescent="0.45">
      <c r="A554" s="6">
        <v>2022</v>
      </c>
      <c r="B554" s="1" t="s">
        <v>4</v>
      </c>
      <c r="C554" s="2" t="str">
        <f t="shared" si="16"/>
        <v>James Cook III</v>
      </c>
      <c r="D554" s="2" t="str">
        <f t="shared" si="17"/>
        <v>BUF</v>
      </c>
      <c r="E554" s="2">
        <v>17</v>
      </c>
      <c r="F554" s="12">
        <v>32</v>
      </c>
      <c r="G554" s="11">
        <v>21</v>
      </c>
      <c r="H554" s="11">
        <v>180</v>
      </c>
      <c r="I554" s="11">
        <v>8.6</v>
      </c>
      <c r="J554" s="11">
        <v>1</v>
      </c>
      <c r="K554" s="11">
        <v>1</v>
      </c>
      <c r="L554" s="11" cm="1">
        <f t="array" ref="L554">IFERROR(_xlfn.XLOOKUP(C554&amp;A554, ESPN!A:A&amp;ESPN!C:C, ESPN!D:D), "N/A")</f>
        <v>124</v>
      </c>
      <c r="M554" s="23" cm="1">
        <f t="array" ref="M554">IFERROR(_xlfn.XLOOKUP(C554&amp;A554, ESPN!A:A&amp;ESPN!C:C, ESPN!G:G), "N/A")</f>
        <v>1.45</v>
      </c>
      <c r="N554" s="23" cm="1">
        <f t="array" ref="N554">IFERROR(_xlfn.XLOOKUP(C554&amp;A554, ESPN!A:A&amp;ESPN!C:C, ESPN!H:H), "N/A")</f>
        <v>63</v>
      </c>
      <c r="O554" s="26" cm="1">
        <f t="array" ref="O554">IFERROR(_xlfn.XLOOKUP(C554&amp;A554, ESPN!A:A&amp;ESPN!C:C, ESPN!I:I), "N/A")</f>
        <v>41</v>
      </c>
      <c r="P554" s="26" cm="1">
        <f t="array" ref="P554">IFERROR(_xlfn.XLOOKUP(C554&amp;A554, ESPN!A:A&amp;ESPN!C:C, ESPN!J:J), "N/A")</f>
        <v>27</v>
      </c>
      <c r="Q554" s="26" cm="1">
        <f t="array" ref="Q554">IFERROR(_xlfn.XLOOKUP(C554&amp;A554, ESPN!A:A&amp;ESPN!C:C, ESPN!K:K), "N/A")</f>
        <v>31</v>
      </c>
    </row>
    <row r="555" spans="1:17" x14ac:dyDescent="0.45">
      <c r="A555" s="7">
        <v>2022</v>
      </c>
      <c r="B555" s="3" t="s">
        <v>352</v>
      </c>
      <c r="C555" s="4" t="str">
        <f t="shared" si="16"/>
        <v>Michael Carter</v>
      </c>
      <c r="D555" s="4" t="str">
        <f t="shared" si="17"/>
        <v>NYJ</v>
      </c>
      <c r="E555" s="4">
        <v>16</v>
      </c>
      <c r="F555" s="12">
        <v>54</v>
      </c>
      <c r="G555" s="11">
        <v>41</v>
      </c>
      <c r="H555" s="11">
        <v>288</v>
      </c>
      <c r="I555" s="11">
        <v>7</v>
      </c>
      <c r="J555" s="11">
        <v>0</v>
      </c>
      <c r="K555" s="11">
        <v>1</v>
      </c>
      <c r="L555" s="11" cm="1">
        <f t="array" ref="L555">IFERROR(_xlfn.XLOOKUP(C555&amp;A555, ESPN!A:A&amp;ESPN!C:C, ESPN!D:D), "N/A")</f>
        <v>221</v>
      </c>
      <c r="M555" s="23" cm="1">
        <f t="array" ref="M555">IFERROR(_xlfn.XLOOKUP(C555&amp;A555, ESPN!A:A&amp;ESPN!C:C, ESPN!G:G), "N/A")</f>
        <v>1.3</v>
      </c>
      <c r="N555" s="23" cm="1">
        <f t="array" ref="N555">IFERROR(_xlfn.XLOOKUP(C555&amp;A555, ESPN!A:A&amp;ESPN!C:C, ESPN!H:H), "N/A")</f>
        <v>65</v>
      </c>
      <c r="O555" s="26" cm="1">
        <f t="array" ref="O555">IFERROR(_xlfn.XLOOKUP(C555&amp;A555, ESPN!A:A&amp;ESPN!C:C, ESPN!I:I), "N/A")</f>
        <v>65</v>
      </c>
      <c r="P555" s="26" cm="1">
        <f t="array" ref="P555">IFERROR(_xlfn.XLOOKUP(C555&amp;A555, ESPN!A:A&amp;ESPN!C:C, ESPN!J:J), "N/A")</f>
        <v>43</v>
      </c>
      <c r="Q555" s="26" cm="1">
        <f t="array" ref="Q555">IFERROR(_xlfn.XLOOKUP(C555&amp;A555, ESPN!A:A&amp;ESPN!C:C, ESPN!K:K), "N/A")</f>
        <v>57</v>
      </c>
    </row>
    <row r="556" spans="1:17" x14ac:dyDescent="0.45">
      <c r="A556" s="6">
        <v>2022</v>
      </c>
      <c r="B556" s="1" t="s">
        <v>130</v>
      </c>
      <c r="C556" s="2" t="str">
        <f t="shared" si="16"/>
        <v>Clyde Edwards-Helaire</v>
      </c>
      <c r="D556" s="2" t="str">
        <f t="shared" si="17"/>
        <v>KC</v>
      </c>
      <c r="E556" s="2">
        <v>10</v>
      </c>
      <c r="F556" s="12">
        <v>23</v>
      </c>
      <c r="G556" s="11">
        <v>17</v>
      </c>
      <c r="H556" s="11">
        <v>151</v>
      </c>
      <c r="I556" s="11">
        <v>8.9</v>
      </c>
      <c r="J556" s="11">
        <v>3</v>
      </c>
      <c r="K556" s="11">
        <v>0</v>
      </c>
      <c r="L556" s="11" t="str" cm="1">
        <f t="array" ref="L556">IFERROR(_xlfn.XLOOKUP(C556&amp;A556, ESPN!A:A&amp;ESPN!C:C, ESPN!D:D), "N/A")</f>
        <v>N/A</v>
      </c>
      <c r="M556" s="23" t="str" cm="1">
        <f t="array" ref="M556">IFERROR(_xlfn.XLOOKUP(C556&amp;A556, ESPN!A:A&amp;ESPN!C:C, ESPN!G:G), "N/A")</f>
        <v>N/A</v>
      </c>
      <c r="N556" s="23" t="str" cm="1">
        <f t="array" ref="N556">IFERROR(_xlfn.XLOOKUP(C556&amp;A556, ESPN!A:A&amp;ESPN!C:C, ESPN!H:H), "N/A")</f>
        <v>N/A</v>
      </c>
      <c r="O556" s="26" t="str" cm="1">
        <f t="array" ref="O556">IFERROR(_xlfn.XLOOKUP(C556&amp;A556, ESPN!A:A&amp;ESPN!C:C, ESPN!I:I), "N/A")</f>
        <v>N/A</v>
      </c>
      <c r="P556" s="26" t="str" cm="1">
        <f t="array" ref="P556">IFERROR(_xlfn.XLOOKUP(C556&amp;A556, ESPN!A:A&amp;ESPN!C:C, ESPN!J:J), "N/A")</f>
        <v>N/A</v>
      </c>
      <c r="Q556" s="26" t="str" cm="1">
        <f t="array" ref="Q556">IFERROR(_xlfn.XLOOKUP(C556&amp;A556, ESPN!A:A&amp;ESPN!C:C, ESPN!K:K), "N/A")</f>
        <v>N/A</v>
      </c>
    </row>
    <row r="557" spans="1:17" x14ac:dyDescent="0.45">
      <c r="A557" s="7">
        <v>2022</v>
      </c>
      <c r="B557" s="3" t="s">
        <v>353</v>
      </c>
      <c r="C557" s="4" t="str">
        <f t="shared" si="16"/>
        <v>James Robinson</v>
      </c>
      <c r="D557" s="4" t="str">
        <f t="shared" si="17"/>
        <v>NYJ</v>
      </c>
      <c r="E557" s="4">
        <v>11</v>
      </c>
      <c r="F557" s="12">
        <v>14</v>
      </c>
      <c r="G557" s="11">
        <v>11</v>
      </c>
      <c r="H557" s="11">
        <v>51</v>
      </c>
      <c r="I557" s="11">
        <v>4.5999999999999996</v>
      </c>
      <c r="J557" s="11">
        <v>2</v>
      </c>
      <c r="K557" s="11">
        <v>0</v>
      </c>
      <c r="L557" s="11" t="str" cm="1">
        <f t="array" ref="L557">IFERROR(_xlfn.XLOOKUP(C557&amp;A557, ESPN!A:A&amp;ESPN!C:C, ESPN!D:D), "N/A")</f>
        <v>N/A</v>
      </c>
      <c r="M557" s="23" t="str" cm="1">
        <f t="array" ref="M557">IFERROR(_xlfn.XLOOKUP(C557&amp;A557, ESPN!A:A&amp;ESPN!C:C, ESPN!G:G), "N/A")</f>
        <v>N/A</v>
      </c>
      <c r="N557" s="23" t="str" cm="1">
        <f t="array" ref="N557">IFERROR(_xlfn.XLOOKUP(C557&amp;A557, ESPN!A:A&amp;ESPN!C:C, ESPN!H:H), "N/A")</f>
        <v>N/A</v>
      </c>
      <c r="O557" s="26" t="str" cm="1">
        <f t="array" ref="O557">IFERROR(_xlfn.XLOOKUP(C557&amp;A557, ESPN!A:A&amp;ESPN!C:C, ESPN!I:I), "N/A")</f>
        <v>N/A</v>
      </c>
      <c r="P557" s="26" t="str" cm="1">
        <f t="array" ref="P557">IFERROR(_xlfn.XLOOKUP(C557&amp;A557, ESPN!A:A&amp;ESPN!C:C, ESPN!J:J), "N/A")</f>
        <v>N/A</v>
      </c>
      <c r="Q557" s="26" t="str" cm="1">
        <f t="array" ref="Q557">IFERROR(_xlfn.XLOOKUP(C557&amp;A557, ESPN!A:A&amp;ESPN!C:C, ESPN!K:K), "N/A")</f>
        <v>N/A</v>
      </c>
    </row>
    <row r="558" spans="1:17" x14ac:dyDescent="0.45">
      <c r="A558" s="6">
        <v>2022</v>
      </c>
      <c r="B558" s="1" t="s">
        <v>293</v>
      </c>
      <c r="C558" s="2" t="str">
        <f t="shared" si="16"/>
        <v>J.K. Dobbins</v>
      </c>
      <c r="D558" s="2" t="str">
        <f t="shared" si="17"/>
        <v>BAL</v>
      </c>
      <c r="E558" s="2">
        <v>8</v>
      </c>
      <c r="F558" s="12">
        <v>8</v>
      </c>
      <c r="G558" s="11">
        <v>7</v>
      </c>
      <c r="H558" s="11">
        <v>42</v>
      </c>
      <c r="I558" s="11">
        <v>6</v>
      </c>
      <c r="J558" s="11">
        <v>1</v>
      </c>
      <c r="K558" s="11">
        <v>0</v>
      </c>
      <c r="L558" s="11" t="str" cm="1">
        <f t="array" ref="L558">IFERROR(_xlfn.XLOOKUP(C558&amp;A558, ESPN!A:A&amp;ESPN!C:C, ESPN!D:D), "N/A")</f>
        <v>N/A</v>
      </c>
      <c r="M558" s="23" t="str" cm="1">
        <f t="array" ref="M558">IFERROR(_xlfn.XLOOKUP(C558&amp;A558, ESPN!A:A&amp;ESPN!C:C, ESPN!G:G), "N/A")</f>
        <v>N/A</v>
      </c>
      <c r="N558" s="23" t="str" cm="1">
        <f t="array" ref="N558">IFERROR(_xlfn.XLOOKUP(C558&amp;A558, ESPN!A:A&amp;ESPN!C:C, ESPN!H:H), "N/A")</f>
        <v>N/A</v>
      </c>
      <c r="O558" s="26" t="str" cm="1">
        <f t="array" ref="O558">IFERROR(_xlfn.XLOOKUP(C558&amp;A558, ESPN!A:A&amp;ESPN!C:C, ESPN!I:I), "N/A")</f>
        <v>N/A</v>
      </c>
      <c r="P558" s="26" t="str" cm="1">
        <f t="array" ref="P558">IFERROR(_xlfn.XLOOKUP(C558&amp;A558, ESPN!A:A&amp;ESPN!C:C, ESPN!J:J), "N/A")</f>
        <v>N/A</v>
      </c>
      <c r="Q558" s="26" t="str" cm="1">
        <f t="array" ref="Q558">IFERROR(_xlfn.XLOOKUP(C558&amp;A558, ESPN!A:A&amp;ESPN!C:C, ESPN!K:K), "N/A")</f>
        <v>N/A</v>
      </c>
    </row>
    <row r="559" spans="1:17" x14ac:dyDescent="0.45">
      <c r="A559" s="7">
        <v>2022</v>
      </c>
      <c r="B559" s="3" t="s">
        <v>354</v>
      </c>
      <c r="C559" s="4" t="str">
        <f t="shared" si="16"/>
        <v>Damien Harris</v>
      </c>
      <c r="D559" s="4" t="str">
        <f t="shared" si="17"/>
        <v>NE</v>
      </c>
      <c r="E559" s="4">
        <v>11</v>
      </c>
      <c r="F559" s="12">
        <v>23</v>
      </c>
      <c r="G559" s="11">
        <v>17</v>
      </c>
      <c r="H559" s="11">
        <v>97</v>
      </c>
      <c r="I559" s="11">
        <v>5.7</v>
      </c>
      <c r="J559" s="11">
        <v>0</v>
      </c>
      <c r="K559" s="11">
        <v>0</v>
      </c>
      <c r="L559" s="11" cm="1">
        <f t="array" ref="L559">IFERROR(_xlfn.XLOOKUP(C559&amp;A559, ESPN!A:A&amp;ESPN!C:C, ESPN!D:D), "N/A")</f>
        <v>81</v>
      </c>
      <c r="M559" s="23" cm="1">
        <f t="array" ref="M559">IFERROR(_xlfn.XLOOKUP(C559&amp;A559, ESPN!A:A&amp;ESPN!C:C, ESPN!G:G), "N/A")</f>
        <v>1.2</v>
      </c>
      <c r="N559" s="23" cm="1">
        <f t="array" ref="N559">IFERROR(_xlfn.XLOOKUP(C559&amp;A559, ESPN!A:A&amp;ESPN!C:C, ESPN!H:H), "N/A")</f>
        <v>47</v>
      </c>
      <c r="O559" s="26" cm="1">
        <f t="array" ref="O559">IFERROR(_xlfn.XLOOKUP(C559&amp;A559, ESPN!A:A&amp;ESPN!C:C, ESPN!I:I), "N/A")</f>
        <v>50</v>
      </c>
      <c r="P559" s="26" cm="1">
        <f t="array" ref="P559">IFERROR(_xlfn.XLOOKUP(C559&amp;A559, ESPN!A:A&amp;ESPN!C:C, ESPN!J:J), "N/A")</f>
        <v>45</v>
      </c>
      <c r="Q559" s="26" cm="1">
        <f t="array" ref="Q559">IFERROR(_xlfn.XLOOKUP(C559&amp;A559, ESPN!A:A&amp;ESPN!C:C, ESPN!K:K), "N/A")</f>
        <v>45</v>
      </c>
    </row>
    <row r="560" spans="1:17" x14ac:dyDescent="0.45">
      <c r="A560" s="6">
        <v>2022</v>
      </c>
      <c r="B560" s="1" t="s">
        <v>45</v>
      </c>
      <c r="C560" s="2" t="str">
        <f t="shared" si="16"/>
        <v>Chuba Hubbard</v>
      </c>
      <c r="D560" s="2" t="str">
        <f t="shared" si="17"/>
        <v>CAR</v>
      </c>
      <c r="E560" s="2">
        <v>14</v>
      </c>
      <c r="F560" s="12">
        <v>17</v>
      </c>
      <c r="G560" s="11">
        <v>14</v>
      </c>
      <c r="H560" s="11">
        <v>171</v>
      </c>
      <c r="I560" s="11">
        <v>12.2</v>
      </c>
      <c r="J560" s="11">
        <v>0</v>
      </c>
      <c r="K560" s="11">
        <v>1</v>
      </c>
      <c r="L560" s="11" t="str" cm="1">
        <f t="array" ref="L560">IFERROR(_xlfn.XLOOKUP(C560&amp;A560, ESPN!A:A&amp;ESPN!C:C, ESPN!D:D), "N/A")</f>
        <v>N/A</v>
      </c>
      <c r="M560" s="23" t="str" cm="1">
        <f t="array" ref="M560">IFERROR(_xlfn.XLOOKUP(C560&amp;A560, ESPN!A:A&amp;ESPN!C:C, ESPN!G:G), "N/A")</f>
        <v>N/A</v>
      </c>
      <c r="N560" s="23" t="str" cm="1">
        <f t="array" ref="N560">IFERROR(_xlfn.XLOOKUP(C560&amp;A560, ESPN!A:A&amp;ESPN!C:C, ESPN!H:H), "N/A")</f>
        <v>N/A</v>
      </c>
      <c r="O560" s="26" t="str" cm="1">
        <f t="array" ref="O560">IFERROR(_xlfn.XLOOKUP(C560&amp;A560, ESPN!A:A&amp;ESPN!C:C, ESPN!I:I), "N/A")</f>
        <v>N/A</v>
      </c>
      <c r="P560" s="26" t="str" cm="1">
        <f t="array" ref="P560">IFERROR(_xlfn.XLOOKUP(C560&amp;A560, ESPN!A:A&amp;ESPN!C:C, ESPN!J:J), "N/A")</f>
        <v>N/A</v>
      </c>
      <c r="Q560" s="26" t="str" cm="1">
        <f t="array" ref="Q560">IFERROR(_xlfn.XLOOKUP(C560&amp;A560, ESPN!A:A&amp;ESPN!C:C, ESPN!K:K), "N/A")</f>
        <v>N/A</v>
      </c>
    </row>
    <row r="561" spans="1:17" x14ac:dyDescent="0.45">
      <c r="A561" s="7">
        <v>2022</v>
      </c>
      <c r="B561" s="3" t="s">
        <v>265</v>
      </c>
      <c r="C561" s="4" t="str">
        <f t="shared" si="16"/>
        <v>Alexander Mattison</v>
      </c>
      <c r="D561" s="4" t="str">
        <f t="shared" si="17"/>
        <v>MIN</v>
      </c>
      <c r="E561" s="4">
        <v>17</v>
      </c>
      <c r="F561" s="12">
        <v>18</v>
      </c>
      <c r="G561" s="11">
        <v>15</v>
      </c>
      <c r="H561" s="11">
        <v>91</v>
      </c>
      <c r="I561" s="11">
        <v>6.1</v>
      </c>
      <c r="J561" s="11">
        <v>1</v>
      </c>
      <c r="K561" s="11">
        <v>0</v>
      </c>
      <c r="L561" s="11" t="str" cm="1">
        <f t="array" ref="L561">IFERROR(_xlfn.XLOOKUP(C561&amp;A561, ESPN!A:A&amp;ESPN!C:C, ESPN!D:D), "N/A")</f>
        <v>N/A</v>
      </c>
      <c r="M561" s="23" t="str" cm="1">
        <f t="array" ref="M561">IFERROR(_xlfn.XLOOKUP(C561&amp;A561, ESPN!A:A&amp;ESPN!C:C, ESPN!G:G), "N/A")</f>
        <v>N/A</v>
      </c>
      <c r="N561" s="23" t="str" cm="1">
        <f t="array" ref="N561">IFERROR(_xlfn.XLOOKUP(C561&amp;A561, ESPN!A:A&amp;ESPN!C:C, ESPN!H:H), "N/A")</f>
        <v>N/A</v>
      </c>
      <c r="O561" s="26" t="str" cm="1">
        <f t="array" ref="O561">IFERROR(_xlfn.XLOOKUP(C561&amp;A561, ESPN!A:A&amp;ESPN!C:C, ESPN!I:I), "N/A")</f>
        <v>N/A</v>
      </c>
      <c r="P561" s="26" t="str" cm="1">
        <f t="array" ref="P561">IFERROR(_xlfn.XLOOKUP(C561&amp;A561, ESPN!A:A&amp;ESPN!C:C, ESPN!J:J), "N/A")</f>
        <v>N/A</v>
      </c>
      <c r="Q561" s="26" t="str" cm="1">
        <f t="array" ref="Q561">IFERROR(_xlfn.XLOOKUP(C561&amp;A561, ESPN!A:A&amp;ESPN!C:C, ESPN!K:K), "N/A")</f>
        <v>N/A</v>
      </c>
    </row>
    <row r="562" spans="1:17" x14ac:dyDescent="0.45">
      <c r="A562" s="6">
        <v>2022</v>
      </c>
      <c r="B562" s="1" t="s">
        <v>22</v>
      </c>
      <c r="C562" s="2" t="str">
        <f t="shared" si="16"/>
        <v>Jaylen Warren</v>
      </c>
      <c r="D562" s="2" t="str">
        <f t="shared" si="17"/>
        <v>PIT</v>
      </c>
      <c r="E562" s="2">
        <v>16</v>
      </c>
      <c r="F562" s="12">
        <v>33</v>
      </c>
      <c r="G562" s="11">
        <v>28</v>
      </c>
      <c r="H562" s="11">
        <v>214</v>
      </c>
      <c r="I562" s="11">
        <v>7.6</v>
      </c>
      <c r="J562" s="11">
        <v>0</v>
      </c>
      <c r="K562" s="11">
        <v>0</v>
      </c>
      <c r="L562" s="11" cm="1">
        <f t="array" ref="L562">IFERROR(_xlfn.XLOOKUP(C562&amp;A562, ESPN!A:A&amp;ESPN!C:C, ESPN!D:D), "N/A")</f>
        <v>146</v>
      </c>
      <c r="M562" s="23" cm="1">
        <f t="array" ref="M562">IFERROR(_xlfn.XLOOKUP(C562&amp;A562, ESPN!A:A&amp;ESPN!C:C, ESPN!G:G), "N/A")</f>
        <v>1.47</v>
      </c>
      <c r="N562" s="23" cm="1">
        <f t="array" ref="N562">IFERROR(_xlfn.XLOOKUP(C562&amp;A562, ESPN!A:A&amp;ESPN!C:C, ESPN!H:H), "N/A")</f>
        <v>70</v>
      </c>
      <c r="O562" s="26" cm="1">
        <f t="array" ref="O562">IFERROR(_xlfn.XLOOKUP(C562&amp;A562, ESPN!A:A&amp;ESPN!C:C, ESPN!I:I), "N/A")</f>
        <v>82</v>
      </c>
      <c r="P562" s="26" cm="1">
        <f t="array" ref="P562">IFERROR(_xlfn.XLOOKUP(C562&amp;A562, ESPN!A:A&amp;ESPN!C:C, ESPN!J:J), "N/A")</f>
        <v>61</v>
      </c>
      <c r="Q562" s="26" cm="1">
        <f t="array" ref="Q562">IFERROR(_xlfn.XLOOKUP(C562&amp;A562, ESPN!A:A&amp;ESPN!C:C, ESPN!K:K), "N/A")</f>
        <v>82</v>
      </c>
    </row>
    <row r="563" spans="1:17" x14ac:dyDescent="0.45">
      <c r="A563" s="7">
        <v>2022</v>
      </c>
      <c r="B563" s="3" t="s">
        <v>194</v>
      </c>
      <c r="C563" s="4" t="str">
        <f t="shared" si="16"/>
        <v>Kenny Gainwell</v>
      </c>
      <c r="D563" s="4" t="str">
        <f t="shared" si="17"/>
        <v>PHI</v>
      </c>
      <c r="E563" s="4">
        <v>17</v>
      </c>
      <c r="F563" s="12">
        <v>29</v>
      </c>
      <c r="G563" s="11">
        <v>23</v>
      </c>
      <c r="H563" s="11">
        <v>169</v>
      </c>
      <c r="I563" s="11">
        <v>7.3</v>
      </c>
      <c r="J563" s="11">
        <v>0</v>
      </c>
      <c r="K563" s="11">
        <v>0</v>
      </c>
      <c r="L563" s="11" cm="1">
        <f t="array" ref="L563">IFERROR(_xlfn.XLOOKUP(C563&amp;A563, ESPN!A:A&amp;ESPN!C:C, ESPN!D:D), "N/A")</f>
        <v>200</v>
      </c>
      <c r="M563" s="23" cm="1">
        <f t="array" ref="M563">IFERROR(_xlfn.XLOOKUP(C563&amp;A563, ESPN!A:A&amp;ESPN!C:C, ESPN!G:G), "N/A")</f>
        <v>1.1200000000000001</v>
      </c>
      <c r="N563" s="23" cm="1">
        <f t="array" ref="N563">IFERROR(_xlfn.XLOOKUP(C563&amp;A563, ESPN!A:A&amp;ESPN!C:C, ESPN!H:H), "N/A")</f>
        <v>80</v>
      </c>
      <c r="O563" s="26" cm="1">
        <f t="array" ref="O563">IFERROR(_xlfn.XLOOKUP(C563&amp;A563, ESPN!A:A&amp;ESPN!C:C, ESPN!I:I), "N/A")</f>
        <v>63</v>
      </c>
      <c r="P563" s="26" cm="1">
        <f t="array" ref="P563">IFERROR(_xlfn.XLOOKUP(C563&amp;A563, ESPN!A:A&amp;ESPN!C:C, ESPN!J:J), "N/A")</f>
        <v>43</v>
      </c>
      <c r="Q563" s="26" cm="1">
        <f t="array" ref="Q563">IFERROR(_xlfn.XLOOKUP(C563&amp;A563, ESPN!A:A&amp;ESPN!C:C, ESPN!K:K), "N/A")</f>
        <v>61</v>
      </c>
    </row>
    <row r="564" spans="1:17" x14ac:dyDescent="0.45">
      <c r="A564" s="6">
        <v>2022</v>
      </c>
      <c r="B564" s="1" t="s">
        <v>355</v>
      </c>
      <c r="C564" s="2" t="str">
        <f t="shared" si="16"/>
        <v>Eno Benjamin</v>
      </c>
      <c r="D564" s="2" t="str">
        <f t="shared" si="17"/>
        <v>NO</v>
      </c>
      <c r="E564" s="2">
        <v>13</v>
      </c>
      <c r="F564" s="12">
        <v>34</v>
      </c>
      <c r="G564" s="11">
        <v>25</v>
      </c>
      <c r="H564" s="11">
        <v>193</v>
      </c>
      <c r="I564" s="11">
        <v>7.7</v>
      </c>
      <c r="J564" s="11">
        <v>0</v>
      </c>
      <c r="K564" s="11">
        <v>0</v>
      </c>
      <c r="L564" s="11" cm="1">
        <f t="array" ref="L564">IFERROR(_xlfn.XLOOKUP(C564&amp;A564, ESPN!A:A&amp;ESPN!C:C, ESPN!D:D), "N/A")</f>
        <v>157</v>
      </c>
      <c r="M564" s="23" cm="1">
        <f t="array" ref="M564">IFERROR(_xlfn.XLOOKUP(C564&amp;A564, ESPN!A:A&amp;ESPN!C:C, ESPN!G:G), "N/A")</f>
        <v>1.23</v>
      </c>
      <c r="N564" s="23" cm="1">
        <f t="array" ref="N564">IFERROR(_xlfn.XLOOKUP(C564&amp;A564, ESPN!A:A&amp;ESPN!C:C, ESPN!H:H), "N/A")</f>
        <v>47</v>
      </c>
      <c r="O564" s="26" cm="1">
        <f t="array" ref="O564">IFERROR(_xlfn.XLOOKUP(C564&amp;A564, ESPN!A:A&amp;ESPN!C:C, ESPN!I:I), "N/A")</f>
        <v>41</v>
      </c>
      <c r="P564" s="26" cm="1">
        <f t="array" ref="P564">IFERROR(_xlfn.XLOOKUP(C564&amp;A564, ESPN!A:A&amp;ESPN!C:C, ESPN!J:J), "N/A")</f>
        <v>44</v>
      </c>
      <c r="Q564" s="26" cm="1">
        <f t="array" ref="Q564">IFERROR(_xlfn.XLOOKUP(C564&amp;A564, ESPN!A:A&amp;ESPN!C:C, ESPN!K:K), "N/A")</f>
        <v>40</v>
      </c>
    </row>
    <row r="565" spans="1:17" x14ac:dyDescent="0.45">
      <c r="A565" s="7">
        <v>2022</v>
      </c>
      <c r="B565" s="3" t="s">
        <v>356</v>
      </c>
      <c r="C565" s="4" t="str">
        <f t="shared" si="16"/>
        <v>Melvin Gordon III</v>
      </c>
      <c r="D565" s="4" t="str">
        <f t="shared" si="17"/>
        <v>DEN</v>
      </c>
      <c r="E565" s="4">
        <v>10</v>
      </c>
      <c r="F565" s="12">
        <v>32</v>
      </c>
      <c r="G565" s="11">
        <v>25</v>
      </c>
      <c r="H565" s="11">
        <v>223</v>
      </c>
      <c r="I565" s="11">
        <v>8.9</v>
      </c>
      <c r="J565" s="11">
        <v>0</v>
      </c>
      <c r="K565" s="11">
        <v>2</v>
      </c>
      <c r="L565" s="11" cm="1">
        <f t="array" ref="L565">IFERROR(_xlfn.XLOOKUP(C565&amp;A565, ESPN!A:A&amp;ESPN!C:C, ESPN!D:D), "N/A")</f>
        <v>132</v>
      </c>
      <c r="M565" s="23" cm="1">
        <f t="array" ref="M565">IFERROR(_xlfn.XLOOKUP(C565&amp;A565, ESPN!A:A&amp;ESPN!C:C, ESPN!G:G), "N/A")</f>
        <v>1.69</v>
      </c>
      <c r="N565" s="23" cm="1">
        <f t="array" ref="N565">IFERROR(_xlfn.XLOOKUP(C565&amp;A565, ESPN!A:A&amp;ESPN!C:C, ESPN!H:H), "N/A")</f>
        <v>79</v>
      </c>
      <c r="O565" s="26" cm="1">
        <f t="array" ref="O565">IFERROR(_xlfn.XLOOKUP(C565&amp;A565, ESPN!A:A&amp;ESPN!C:C, ESPN!I:I), "N/A")</f>
        <v>49</v>
      </c>
      <c r="P565" s="26" cm="1">
        <f t="array" ref="P565">IFERROR(_xlfn.XLOOKUP(C565&amp;A565, ESPN!A:A&amp;ESPN!C:C, ESPN!J:J), "N/A")</f>
        <v>36</v>
      </c>
      <c r="Q565" s="26" cm="1">
        <f t="array" ref="Q565">IFERROR(_xlfn.XLOOKUP(C565&amp;A565, ESPN!A:A&amp;ESPN!C:C, ESPN!K:K), "N/A")</f>
        <v>48</v>
      </c>
    </row>
    <row r="566" spans="1:17" x14ac:dyDescent="0.45">
      <c r="A566" s="6">
        <v>2022</v>
      </c>
      <c r="B566" s="1" t="s">
        <v>255</v>
      </c>
      <c r="C566" s="2" t="str">
        <f t="shared" si="16"/>
        <v>Gus Edwards</v>
      </c>
      <c r="D566" s="2" t="str">
        <f t="shared" si="17"/>
        <v>BAL</v>
      </c>
      <c r="E566" s="2">
        <v>9</v>
      </c>
      <c r="F566" s="12">
        <v>2</v>
      </c>
      <c r="G566" s="11">
        <v>0</v>
      </c>
      <c r="H566" s="11">
        <v>0</v>
      </c>
      <c r="I566" s="11">
        <v>0</v>
      </c>
      <c r="J566" s="11">
        <v>0</v>
      </c>
      <c r="K566" s="11">
        <v>1</v>
      </c>
      <c r="L566" s="11" t="str" cm="1">
        <f t="array" ref="L566">IFERROR(_xlfn.XLOOKUP(C566&amp;A566, ESPN!A:A&amp;ESPN!C:C, ESPN!D:D), "N/A")</f>
        <v>N/A</v>
      </c>
      <c r="M566" s="23" t="str" cm="1">
        <f t="array" ref="M566">IFERROR(_xlfn.XLOOKUP(C566&amp;A566, ESPN!A:A&amp;ESPN!C:C, ESPN!G:G), "N/A")</f>
        <v>N/A</v>
      </c>
      <c r="N566" s="23" t="str" cm="1">
        <f t="array" ref="N566">IFERROR(_xlfn.XLOOKUP(C566&amp;A566, ESPN!A:A&amp;ESPN!C:C, ESPN!H:H), "N/A")</f>
        <v>N/A</v>
      </c>
      <c r="O566" s="26" t="str" cm="1">
        <f t="array" ref="O566">IFERROR(_xlfn.XLOOKUP(C566&amp;A566, ESPN!A:A&amp;ESPN!C:C, ESPN!I:I), "N/A")</f>
        <v>N/A</v>
      </c>
      <c r="P566" s="26" t="str" cm="1">
        <f t="array" ref="P566">IFERROR(_xlfn.XLOOKUP(C566&amp;A566, ESPN!A:A&amp;ESPN!C:C, ESPN!J:J), "N/A")</f>
        <v>N/A</v>
      </c>
      <c r="Q566" s="26" t="str" cm="1">
        <f t="array" ref="Q566">IFERROR(_xlfn.XLOOKUP(C566&amp;A566, ESPN!A:A&amp;ESPN!C:C, ESPN!K:K), "N/A")</f>
        <v>N/A</v>
      </c>
    </row>
    <row r="567" spans="1:17" x14ac:dyDescent="0.45">
      <c r="A567" s="7">
        <v>2022</v>
      </c>
      <c r="B567" s="3" t="s">
        <v>357</v>
      </c>
      <c r="C567" s="4" t="str">
        <f t="shared" si="16"/>
        <v>Chase Edmonds</v>
      </c>
      <c r="D567" s="4" t="str">
        <f t="shared" si="17"/>
        <v>DEN</v>
      </c>
      <c r="E567" s="4">
        <v>13</v>
      </c>
      <c r="F567" s="12">
        <v>24</v>
      </c>
      <c r="G567" s="11">
        <v>16</v>
      </c>
      <c r="H567" s="11">
        <v>157</v>
      </c>
      <c r="I567" s="11">
        <v>9.8000000000000007</v>
      </c>
      <c r="J567" s="11">
        <v>1</v>
      </c>
      <c r="K567" s="11">
        <v>0</v>
      </c>
      <c r="L567" s="11" cm="1">
        <f t="array" ref="L567">IFERROR(_xlfn.XLOOKUP(C567&amp;A567, ESPN!A:A&amp;ESPN!C:C, ESPN!D:D), "N/A")</f>
        <v>140</v>
      </c>
      <c r="M567" s="23" cm="1">
        <f t="array" ref="M567">IFERROR(_xlfn.XLOOKUP(C567&amp;A567, ESPN!A:A&amp;ESPN!C:C, ESPN!G:G), "N/A")</f>
        <v>1.1200000000000001</v>
      </c>
      <c r="N567" s="23" cm="1">
        <f t="array" ref="N567">IFERROR(_xlfn.XLOOKUP(C567&amp;A567, ESPN!A:A&amp;ESPN!C:C, ESPN!H:H), "N/A")</f>
        <v>69</v>
      </c>
      <c r="O567" s="26" cm="1">
        <f t="array" ref="O567">IFERROR(_xlfn.XLOOKUP(C567&amp;A567, ESPN!A:A&amp;ESPN!C:C, ESPN!I:I), "N/A")</f>
        <v>43</v>
      </c>
      <c r="P567" s="26" cm="1">
        <f t="array" ref="P567">IFERROR(_xlfn.XLOOKUP(C567&amp;A567, ESPN!A:A&amp;ESPN!C:C, ESPN!J:J), "N/A")</f>
        <v>33</v>
      </c>
      <c r="Q567" s="26" cm="1">
        <f t="array" ref="Q567">IFERROR(_xlfn.XLOOKUP(C567&amp;A567, ESPN!A:A&amp;ESPN!C:C, ESPN!K:K), "N/A")</f>
        <v>39</v>
      </c>
    </row>
    <row r="568" spans="1:17" x14ac:dyDescent="0.45">
      <c r="A568" s="6">
        <v>2022</v>
      </c>
      <c r="B568" s="1" t="s">
        <v>276</v>
      </c>
      <c r="C568" s="2" t="str">
        <f t="shared" si="16"/>
        <v>Darrell Henderson Jr.</v>
      </c>
      <c r="D568" s="2" t="str">
        <f t="shared" si="17"/>
        <v>LAR</v>
      </c>
      <c r="E568" s="2">
        <v>10</v>
      </c>
      <c r="F568" s="12">
        <v>22</v>
      </c>
      <c r="G568" s="11">
        <v>17</v>
      </c>
      <c r="H568" s="11">
        <v>102</v>
      </c>
      <c r="I568" s="11">
        <v>6</v>
      </c>
      <c r="J568" s="11">
        <v>0</v>
      </c>
      <c r="K568" s="11">
        <v>0</v>
      </c>
      <c r="L568" s="11" t="str" cm="1">
        <f t="array" ref="L568">IFERROR(_xlfn.XLOOKUP(C568&amp;A568, ESPN!A:A&amp;ESPN!C:C, ESPN!D:D), "N/A")</f>
        <v>N/A</v>
      </c>
      <c r="M568" s="23" t="str" cm="1">
        <f t="array" ref="M568">IFERROR(_xlfn.XLOOKUP(C568&amp;A568, ESPN!A:A&amp;ESPN!C:C, ESPN!G:G), "N/A")</f>
        <v>N/A</v>
      </c>
      <c r="N568" s="23" t="str" cm="1">
        <f t="array" ref="N568">IFERROR(_xlfn.XLOOKUP(C568&amp;A568, ESPN!A:A&amp;ESPN!C:C, ESPN!H:H), "N/A")</f>
        <v>N/A</v>
      </c>
      <c r="O568" s="26" t="str" cm="1">
        <f t="array" ref="O568">IFERROR(_xlfn.XLOOKUP(C568&amp;A568, ESPN!A:A&amp;ESPN!C:C, ESPN!I:I), "N/A")</f>
        <v>N/A</v>
      </c>
      <c r="P568" s="26" t="str" cm="1">
        <f t="array" ref="P568">IFERROR(_xlfn.XLOOKUP(C568&amp;A568, ESPN!A:A&amp;ESPN!C:C, ESPN!J:J), "N/A")</f>
        <v>N/A</v>
      </c>
      <c r="Q568" s="26" t="str" cm="1">
        <f t="array" ref="Q568">IFERROR(_xlfn.XLOOKUP(C568&amp;A568, ESPN!A:A&amp;ESPN!C:C, ESPN!K:K), "N/A")</f>
        <v>N/A</v>
      </c>
    </row>
    <row r="569" spans="1:17" x14ac:dyDescent="0.45">
      <c r="A569" s="7">
        <v>2022</v>
      </c>
      <c r="B569" s="3" t="s">
        <v>358</v>
      </c>
      <c r="C569" s="4" t="str">
        <f t="shared" si="16"/>
        <v>Dontrell Hilliard</v>
      </c>
      <c r="D569" s="4" t="str">
        <f t="shared" si="17"/>
        <v>TEN</v>
      </c>
      <c r="E569" s="4">
        <v>12</v>
      </c>
      <c r="F569" s="12">
        <v>26</v>
      </c>
      <c r="G569" s="11">
        <v>21</v>
      </c>
      <c r="H569" s="11">
        <v>177</v>
      </c>
      <c r="I569" s="11">
        <v>8.4</v>
      </c>
      <c r="J569" s="11">
        <v>4</v>
      </c>
      <c r="K569" s="11">
        <v>0</v>
      </c>
      <c r="L569" s="11" cm="1">
        <f t="array" ref="L569">IFERROR(_xlfn.XLOOKUP(C569&amp;A569, ESPN!A:A&amp;ESPN!C:C, ESPN!D:D), "N/A")</f>
        <v>118</v>
      </c>
      <c r="M569" s="23" cm="1">
        <f t="array" ref="M569">IFERROR(_xlfn.XLOOKUP(C569&amp;A569, ESPN!A:A&amp;ESPN!C:C, ESPN!G:G), "N/A")</f>
        <v>1.5</v>
      </c>
      <c r="N569" s="23" cm="1">
        <f t="array" ref="N569">IFERROR(_xlfn.XLOOKUP(C569&amp;A569, ESPN!A:A&amp;ESPN!C:C, ESPN!H:H), "N/A")</f>
        <v>40</v>
      </c>
      <c r="O569" s="26" cm="1">
        <f t="array" ref="O569">IFERROR(_xlfn.XLOOKUP(C569&amp;A569, ESPN!A:A&amp;ESPN!C:C, ESPN!I:I), "N/A")</f>
        <v>62</v>
      </c>
      <c r="P569" s="26" cm="1">
        <f t="array" ref="P569">IFERROR(_xlfn.XLOOKUP(C569&amp;A569, ESPN!A:A&amp;ESPN!C:C, ESPN!J:J), "N/A")</f>
        <v>50</v>
      </c>
      <c r="Q569" s="26" cm="1">
        <f t="array" ref="Q569">IFERROR(_xlfn.XLOOKUP(C569&amp;A569, ESPN!A:A&amp;ESPN!C:C, ESPN!K:K), "N/A")</f>
        <v>52</v>
      </c>
    </row>
    <row r="570" spans="1:17" x14ac:dyDescent="0.45">
      <c r="A570" s="6">
        <v>2022</v>
      </c>
      <c r="B570" s="1" t="s">
        <v>359</v>
      </c>
      <c r="C570" s="2" t="str">
        <f t="shared" si="16"/>
        <v>Deon Jackson</v>
      </c>
      <c r="D570" s="2" t="str">
        <f t="shared" si="17"/>
        <v>IND</v>
      </c>
      <c r="E570" s="2">
        <v>12</v>
      </c>
      <c r="F570" s="12">
        <v>34</v>
      </c>
      <c r="G570" s="11">
        <v>30</v>
      </c>
      <c r="H570" s="11">
        <v>209</v>
      </c>
      <c r="I570" s="11">
        <v>7</v>
      </c>
      <c r="J570" s="11">
        <v>1</v>
      </c>
      <c r="K570" s="11">
        <v>1</v>
      </c>
      <c r="L570" s="11" cm="1">
        <f t="array" ref="L570">IFERROR(_xlfn.XLOOKUP(C570&amp;A570, ESPN!A:A&amp;ESPN!C:C, ESPN!D:D), "N/A")</f>
        <v>126</v>
      </c>
      <c r="M570" s="23" cm="1">
        <f t="array" ref="M570">IFERROR(_xlfn.XLOOKUP(C570&amp;A570, ESPN!A:A&amp;ESPN!C:C, ESPN!G:G), "N/A")</f>
        <v>1.66</v>
      </c>
      <c r="N570" s="23" cm="1">
        <f t="array" ref="N570">IFERROR(_xlfn.XLOOKUP(C570&amp;A570, ESPN!A:A&amp;ESPN!C:C, ESPN!H:H), "N/A")</f>
        <v>85</v>
      </c>
      <c r="O570" s="26" cm="1">
        <f t="array" ref="O570">IFERROR(_xlfn.XLOOKUP(C570&amp;A570, ESPN!A:A&amp;ESPN!C:C, ESPN!I:I), "N/A")</f>
        <v>81</v>
      </c>
      <c r="P570" s="26" cm="1">
        <f t="array" ref="P570">IFERROR(_xlfn.XLOOKUP(C570&amp;A570, ESPN!A:A&amp;ESPN!C:C, ESPN!J:J), "N/A")</f>
        <v>47</v>
      </c>
      <c r="Q570" s="26" cm="1">
        <f t="array" ref="Q570">IFERROR(_xlfn.XLOOKUP(C570&amp;A570, ESPN!A:A&amp;ESPN!C:C, ESPN!K:K), "N/A")</f>
        <v>75</v>
      </c>
    </row>
    <row r="571" spans="1:17" x14ac:dyDescent="0.45">
      <c r="A571" s="7">
        <v>2022</v>
      </c>
      <c r="B571" s="3" t="s">
        <v>259</v>
      </c>
      <c r="C571" s="4" t="str">
        <f t="shared" si="16"/>
        <v>Zack Moss</v>
      </c>
      <c r="D571" s="4" t="str">
        <f t="shared" si="17"/>
        <v>IND</v>
      </c>
      <c r="E571" s="4">
        <v>13</v>
      </c>
      <c r="F571" s="12">
        <v>13</v>
      </c>
      <c r="G571" s="11">
        <v>11</v>
      </c>
      <c r="H571" s="11">
        <v>39</v>
      </c>
      <c r="I571" s="11">
        <v>3.5</v>
      </c>
      <c r="J571" s="11">
        <v>0</v>
      </c>
      <c r="K571" s="11">
        <v>1</v>
      </c>
      <c r="L571" s="11" t="str" cm="1">
        <f t="array" ref="L571">IFERROR(_xlfn.XLOOKUP(C571&amp;A571, ESPN!A:A&amp;ESPN!C:C, ESPN!D:D), "N/A")</f>
        <v>N/A</v>
      </c>
      <c r="M571" s="23" t="str" cm="1">
        <f t="array" ref="M571">IFERROR(_xlfn.XLOOKUP(C571&amp;A571, ESPN!A:A&amp;ESPN!C:C, ESPN!G:G), "N/A")</f>
        <v>N/A</v>
      </c>
      <c r="N571" s="23" t="str" cm="1">
        <f t="array" ref="N571">IFERROR(_xlfn.XLOOKUP(C571&amp;A571, ESPN!A:A&amp;ESPN!C:C, ESPN!H:H), "N/A")</f>
        <v>N/A</v>
      </c>
      <c r="O571" s="26" t="str" cm="1">
        <f t="array" ref="O571">IFERROR(_xlfn.XLOOKUP(C571&amp;A571, ESPN!A:A&amp;ESPN!C:C, ESPN!I:I), "N/A")</f>
        <v>N/A</v>
      </c>
      <c r="P571" s="26" t="str" cm="1">
        <f t="array" ref="P571">IFERROR(_xlfn.XLOOKUP(C571&amp;A571, ESPN!A:A&amp;ESPN!C:C, ESPN!J:J), "N/A")</f>
        <v>N/A</v>
      </c>
      <c r="Q571" s="26" t="str" cm="1">
        <f t="array" ref="Q571">IFERROR(_xlfn.XLOOKUP(C571&amp;A571, ESPN!A:A&amp;ESPN!C:C, ESPN!K:K), "N/A")</f>
        <v>N/A</v>
      </c>
    </row>
    <row r="572" spans="1:17" x14ac:dyDescent="0.45">
      <c r="A572" s="6">
        <v>2022</v>
      </c>
      <c r="B572" s="1" t="s">
        <v>360</v>
      </c>
      <c r="C572" s="2" t="str">
        <f t="shared" si="16"/>
        <v>Nyheim Miller-Hines</v>
      </c>
      <c r="D572" s="2" t="str">
        <f t="shared" si="17"/>
        <v>BUF</v>
      </c>
      <c r="E572" s="2">
        <v>16</v>
      </c>
      <c r="F572" s="12">
        <v>37</v>
      </c>
      <c r="G572" s="11">
        <v>30</v>
      </c>
      <c r="H572" s="11">
        <v>241</v>
      </c>
      <c r="I572" s="11">
        <v>8</v>
      </c>
      <c r="J572" s="11">
        <v>1</v>
      </c>
      <c r="K572" s="11">
        <v>0</v>
      </c>
      <c r="L572" s="11" cm="1">
        <f t="array" ref="L572">IFERROR(_xlfn.XLOOKUP(C572&amp;A572, ESPN!A:A&amp;ESPN!C:C, ESPN!D:D), "N/A")</f>
        <v>124</v>
      </c>
      <c r="M572" s="23" cm="1">
        <f t="array" ref="M572">IFERROR(_xlfn.XLOOKUP(C572&amp;A572, ESPN!A:A&amp;ESPN!C:C, ESPN!G:G), "N/A")</f>
        <v>2.0299999999999998</v>
      </c>
      <c r="N572" s="23" cm="1">
        <f t="array" ref="N572">IFERROR(_xlfn.XLOOKUP(C572&amp;A572, ESPN!A:A&amp;ESPN!C:C, ESPN!H:H), "N/A")</f>
        <v>61</v>
      </c>
      <c r="O572" s="26" cm="1">
        <f t="array" ref="O572">IFERROR(_xlfn.XLOOKUP(C572&amp;A572, ESPN!A:A&amp;ESPN!C:C, ESPN!I:I), "N/A")</f>
        <v>79</v>
      </c>
      <c r="P572" s="26" cm="1">
        <f t="array" ref="P572">IFERROR(_xlfn.XLOOKUP(C572&amp;A572, ESPN!A:A&amp;ESPN!C:C, ESPN!J:J), "N/A")</f>
        <v>36</v>
      </c>
      <c r="Q572" s="26" cm="1">
        <f t="array" ref="Q572">IFERROR(_xlfn.XLOOKUP(C572&amp;A572, ESPN!A:A&amp;ESPN!C:C, ESPN!K:K), "N/A")</f>
        <v>56</v>
      </c>
    </row>
    <row r="573" spans="1:17" x14ac:dyDescent="0.45">
      <c r="A573" s="7">
        <v>2022</v>
      </c>
      <c r="B573" s="3" t="s">
        <v>273</v>
      </c>
      <c r="C573" s="4" t="str">
        <f t="shared" si="16"/>
        <v>Joshua Kelley</v>
      </c>
      <c r="D573" s="4" t="str">
        <f t="shared" si="17"/>
        <v>LAC</v>
      </c>
      <c r="E573" s="4">
        <v>12</v>
      </c>
      <c r="F573" s="12">
        <v>25</v>
      </c>
      <c r="G573" s="11">
        <v>14</v>
      </c>
      <c r="H573" s="11">
        <v>101</v>
      </c>
      <c r="I573" s="11">
        <v>7.2</v>
      </c>
      <c r="J573" s="11">
        <v>0</v>
      </c>
      <c r="K573" s="11">
        <v>0</v>
      </c>
      <c r="L573" s="11" cm="1">
        <f t="array" ref="L573">IFERROR(_xlfn.XLOOKUP(C573&amp;A573, ESPN!A:A&amp;ESPN!C:C, ESPN!D:D), "N/A")</f>
        <v>130</v>
      </c>
      <c r="M573" s="23" cm="1">
        <f t="array" ref="M573">IFERROR(_xlfn.XLOOKUP(C573&amp;A573, ESPN!A:A&amp;ESPN!C:C, ESPN!G:G), "N/A")</f>
        <v>0.84</v>
      </c>
      <c r="N573" s="23" cm="1">
        <f t="array" ref="N573">IFERROR(_xlfn.XLOOKUP(C573&amp;A573, ESPN!A:A&amp;ESPN!C:C, ESPN!H:H), "N/A")</f>
        <v>40</v>
      </c>
      <c r="O573" s="26" cm="1">
        <f t="array" ref="O573">IFERROR(_xlfn.XLOOKUP(C573&amp;A573, ESPN!A:A&amp;ESPN!C:C, ESPN!I:I), "N/A")</f>
        <v>37</v>
      </c>
      <c r="P573" s="26" cm="1">
        <f t="array" ref="P573">IFERROR(_xlfn.XLOOKUP(C573&amp;A573, ESPN!A:A&amp;ESPN!C:C, ESPN!J:J), "N/A")</f>
        <v>32</v>
      </c>
      <c r="Q573" s="26" cm="1">
        <f t="array" ref="Q573">IFERROR(_xlfn.XLOOKUP(C573&amp;A573, ESPN!A:A&amp;ESPN!C:C, ESPN!K:K), "N/A")</f>
        <v>25</v>
      </c>
    </row>
    <row r="574" spans="1:17" x14ac:dyDescent="0.45">
      <c r="A574" s="6">
        <v>2022</v>
      </c>
      <c r="B574" s="1" t="s">
        <v>329</v>
      </c>
      <c r="C574" s="2" t="str">
        <f t="shared" si="16"/>
        <v>JaMycal Hasty</v>
      </c>
      <c r="D574" s="2" t="str">
        <f t="shared" si="17"/>
        <v>JAC</v>
      </c>
      <c r="E574" s="2">
        <v>14</v>
      </c>
      <c r="F574" s="12">
        <v>27</v>
      </c>
      <c r="G574" s="11">
        <v>21</v>
      </c>
      <c r="H574" s="11">
        <v>121</v>
      </c>
      <c r="I574" s="11">
        <v>5.8</v>
      </c>
      <c r="J574" s="11">
        <v>1</v>
      </c>
      <c r="K574" s="11">
        <v>0</v>
      </c>
      <c r="L574" s="11" cm="1">
        <f t="array" ref="L574">IFERROR(_xlfn.XLOOKUP(C574&amp;A574, ESPN!A:A&amp;ESPN!C:C, ESPN!D:D), "N/A")</f>
        <v>109</v>
      </c>
      <c r="M574" s="23" cm="1">
        <f t="array" ref="M574">IFERROR(_xlfn.XLOOKUP(C574&amp;A574, ESPN!A:A&amp;ESPN!C:C, ESPN!G:G), "N/A")</f>
        <v>1.22</v>
      </c>
      <c r="N574" s="23" cm="1">
        <f t="array" ref="N574">IFERROR(_xlfn.XLOOKUP(C574&amp;A574, ESPN!A:A&amp;ESPN!C:C, ESPN!H:H), "N/A")</f>
        <v>68</v>
      </c>
      <c r="O574" s="26" cm="1">
        <f t="array" ref="O574">IFERROR(_xlfn.XLOOKUP(C574&amp;A574, ESPN!A:A&amp;ESPN!C:C, ESPN!I:I), "N/A")</f>
        <v>42</v>
      </c>
      <c r="P574" s="26" cm="1">
        <f t="array" ref="P574">IFERROR(_xlfn.XLOOKUP(C574&amp;A574, ESPN!A:A&amp;ESPN!C:C, ESPN!J:J), "N/A")</f>
        <v>30</v>
      </c>
      <c r="Q574" s="26" cm="1">
        <f t="array" ref="Q574">IFERROR(_xlfn.XLOOKUP(C574&amp;A574, ESPN!A:A&amp;ESPN!C:C, ESPN!K:K), "N/A")</f>
        <v>36</v>
      </c>
    </row>
    <row r="575" spans="1:17" x14ac:dyDescent="0.45">
      <c r="A575" s="7">
        <v>2022</v>
      </c>
      <c r="B575" s="3" t="s">
        <v>361</v>
      </c>
      <c r="C575" s="4" t="str">
        <f t="shared" si="16"/>
        <v>Rashaad Penny</v>
      </c>
      <c r="D575" s="4" t="str">
        <f t="shared" si="17"/>
        <v>SEA</v>
      </c>
      <c r="E575" s="4">
        <v>5</v>
      </c>
      <c r="F575" s="12">
        <v>5</v>
      </c>
      <c r="G575" s="11">
        <v>4</v>
      </c>
      <c r="H575" s="11">
        <v>16</v>
      </c>
      <c r="I575" s="11">
        <v>4</v>
      </c>
      <c r="J575" s="11">
        <v>0</v>
      </c>
      <c r="K575" s="11">
        <v>0</v>
      </c>
      <c r="L575" s="11" t="str" cm="1">
        <f t="array" ref="L575">IFERROR(_xlfn.XLOOKUP(C575&amp;A575, ESPN!A:A&amp;ESPN!C:C, ESPN!D:D), "N/A")</f>
        <v>N/A</v>
      </c>
      <c r="M575" s="23" t="str" cm="1">
        <f t="array" ref="M575">IFERROR(_xlfn.XLOOKUP(C575&amp;A575, ESPN!A:A&amp;ESPN!C:C, ESPN!G:G), "N/A")</f>
        <v>N/A</v>
      </c>
      <c r="N575" s="23" t="str" cm="1">
        <f t="array" ref="N575">IFERROR(_xlfn.XLOOKUP(C575&amp;A575, ESPN!A:A&amp;ESPN!C:C, ESPN!H:H), "N/A")</f>
        <v>N/A</v>
      </c>
      <c r="O575" s="26" t="str" cm="1">
        <f t="array" ref="O575">IFERROR(_xlfn.XLOOKUP(C575&amp;A575, ESPN!A:A&amp;ESPN!C:C, ESPN!I:I), "N/A")</f>
        <v>N/A</v>
      </c>
      <c r="P575" s="26" t="str" cm="1">
        <f t="array" ref="P575">IFERROR(_xlfn.XLOOKUP(C575&amp;A575, ESPN!A:A&amp;ESPN!C:C, ESPN!J:J), "N/A")</f>
        <v>N/A</v>
      </c>
      <c r="Q575" s="26" t="str" cm="1">
        <f t="array" ref="Q575">IFERROR(_xlfn.XLOOKUP(C575&amp;A575, ESPN!A:A&amp;ESPN!C:C, ESPN!K:K), "N/A")</f>
        <v>N/A</v>
      </c>
    </row>
    <row r="576" spans="1:17" x14ac:dyDescent="0.45">
      <c r="A576" s="6">
        <v>2022</v>
      </c>
      <c r="B576" s="1" t="s">
        <v>362</v>
      </c>
      <c r="C576" s="2" t="str">
        <f t="shared" si="16"/>
        <v>Bam Knight</v>
      </c>
      <c r="D576" s="2" t="str">
        <f t="shared" si="17"/>
        <v>NYJ</v>
      </c>
      <c r="E576" s="2">
        <v>7</v>
      </c>
      <c r="F576" s="12">
        <v>14</v>
      </c>
      <c r="G576" s="11">
        <v>13</v>
      </c>
      <c r="H576" s="11">
        <v>100</v>
      </c>
      <c r="I576" s="11">
        <v>7.7</v>
      </c>
      <c r="J576" s="11">
        <v>0</v>
      </c>
      <c r="K576" s="11">
        <v>0</v>
      </c>
      <c r="L576" s="11" t="str" cm="1">
        <f t="array" ref="L576">IFERROR(_xlfn.XLOOKUP(C576&amp;A576, ESPN!A:A&amp;ESPN!C:C, ESPN!D:D), "N/A")</f>
        <v>N/A</v>
      </c>
      <c r="M576" s="23" t="str" cm="1">
        <f t="array" ref="M576">IFERROR(_xlfn.XLOOKUP(C576&amp;A576, ESPN!A:A&amp;ESPN!C:C, ESPN!G:G), "N/A")</f>
        <v>N/A</v>
      </c>
      <c r="N576" s="23" t="str" cm="1">
        <f t="array" ref="N576">IFERROR(_xlfn.XLOOKUP(C576&amp;A576, ESPN!A:A&amp;ESPN!C:C, ESPN!H:H), "N/A")</f>
        <v>N/A</v>
      </c>
      <c r="O576" s="26" t="str" cm="1">
        <f t="array" ref="O576">IFERROR(_xlfn.XLOOKUP(C576&amp;A576, ESPN!A:A&amp;ESPN!C:C, ESPN!I:I), "N/A")</f>
        <v>N/A</v>
      </c>
      <c r="P576" s="26" t="str" cm="1">
        <f t="array" ref="P576">IFERROR(_xlfn.XLOOKUP(C576&amp;A576, ESPN!A:A&amp;ESPN!C:C, ESPN!J:J), "N/A")</f>
        <v>N/A</v>
      </c>
      <c r="Q576" s="26" t="str" cm="1">
        <f t="array" ref="Q576">IFERROR(_xlfn.XLOOKUP(C576&amp;A576, ESPN!A:A&amp;ESPN!C:C, ESPN!K:K), "N/A")</f>
        <v>N/A</v>
      </c>
    </row>
    <row r="577" spans="1:17" x14ac:dyDescent="0.45">
      <c r="A577" s="7">
        <v>2022</v>
      </c>
      <c r="B577" s="3" t="s">
        <v>363</v>
      </c>
      <c r="C577" s="4" t="str">
        <f t="shared" si="16"/>
        <v>Caleb Huntley</v>
      </c>
      <c r="D577" s="4" t="str">
        <f t="shared" si="17"/>
        <v>ATL</v>
      </c>
      <c r="E577" s="4">
        <v>12</v>
      </c>
      <c r="F577" s="12">
        <v>2</v>
      </c>
      <c r="G577" s="11">
        <v>2</v>
      </c>
      <c r="H577" s="11">
        <v>3</v>
      </c>
      <c r="I577" s="11">
        <v>1.5</v>
      </c>
      <c r="J577" s="11">
        <v>0</v>
      </c>
      <c r="K577" s="11">
        <v>0</v>
      </c>
      <c r="L577" s="11" t="str" cm="1">
        <f t="array" ref="L577">IFERROR(_xlfn.XLOOKUP(C577&amp;A577, ESPN!A:A&amp;ESPN!C:C, ESPN!D:D), "N/A")</f>
        <v>N/A</v>
      </c>
      <c r="M577" s="23" t="str" cm="1">
        <f t="array" ref="M577">IFERROR(_xlfn.XLOOKUP(C577&amp;A577, ESPN!A:A&amp;ESPN!C:C, ESPN!G:G), "N/A")</f>
        <v>N/A</v>
      </c>
      <c r="N577" s="23" t="str" cm="1">
        <f t="array" ref="N577">IFERROR(_xlfn.XLOOKUP(C577&amp;A577, ESPN!A:A&amp;ESPN!C:C, ESPN!H:H), "N/A")</f>
        <v>N/A</v>
      </c>
      <c r="O577" s="26" t="str" cm="1">
        <f t="array" ref="O577">IFERROR(_xlfn.XLOOKUP(C577&amp;A577, ESPN!A:A&amp;ESPN!C:C, ESPN!I:I), "N/A")</f>
        <v>N/A</v>
      </c>
      <c r="P577" s="26" t="str" cm="1">
        <f t="array" ref="P577">IFERROR(_xlfn.XLOOKUP(C577&amp;A577, ESPN!A:A&amp;ESPN!C:C, ESPN!J:J), "N/A")</f>
        <v>N/A</v>
      </c>
      <c r="Q577" s="26" t="str" cm="1">
        <f t="array" ref="Q577">IFERROR(_xlfn.XLOOKUP(C577&amp;A577, ESPN!A:A&amp;ESPN!C:C, ESPN!K:K), "N/A")</f>
        <v>N/A</v>
      </c>
    </row>
    <row r="578" spans="1:17" x14ac:dyDescent="0.45">
      <c r="A578" s="6">
        <v>2022</v>
      </c>
      <c r="B578" s="1" t="s">
        <v>288</v>
      </c>
      <c r="C578" s="2" t="str">
        <f t="shared" ref="C578:C641" si="18">TRIM(LEFT(B578, LEN(B578) - LEN(TRIM(RIGHT(SUBSTITUTE(TRIM(B578)," ",REPT(" ",100)),100)))))</f>
        <v>Boston Scott</v>
      </c>
      <c r="D578" s="2" t="str">
        <f t="shared" ref="D578:D641" si="19">MID(B578, FIND("(", B578) + 1, FIND(")", B578) - FIND("(", B578) - 1)</f>
        <v>PHI</v>
      </c>
      <c r="E578" s="2">
        <v>15</v>
      </c>
      <c r="F578" s="12">
        <v>6</v>
      </c>
      <c r="G578" s="11">
        <v>5</v>
      </c>
      <c r="H578" s="11">
        <v>15</v>
      </c>
      <c r="I578" s="11">
        <v>3</v>
      </c>
      <c r="J578" s="11">
        <v>0</v>
      </c>
      <c r="K578" s="11">
        <v>0</v>
      </c>
      <c r="L578" s="11" t="str" cm="1">
        <f t="array" ref="L578">IFERROR(_xlfn.XLOOKUP(C578&amp;A578, ESPN!A:A&amp;ESPN!C:C, ESPN!D:D), "N/A")</f>
        <v>N/A</v>
      </c>
      <c r="M578" s="23" t="str" cm="1">
        <f t="array" ref="M578">IFERROR(_xlfn.XLOOKUP(C578&amp;A578, ESPN!A:A&amp;ESPN!C:C, ESPN!G:G), "N/A")</f>
        <v>N/A</v>
      </c>
      <c r="N578" s="23" t="str" cm="1">
        <f t="array" ref="N578">IFERROR(_xlfn.XLOOKUP(C578&amp;A578, ESPN!A:A&amp;ESPN!C:C, ESPN!H:H), "N/A")</f>
        <v>N/A</v>
      </c>
      <c r="O578" s="26" t="str" cm="1">
        <f t="array" ref="O578">IFERROR(_xlfn.XLOOKUP(C578&amp;A578, ESPN!A:A&amp;ESPN!C:C, ESPN!I:I), "N/A")</f>
        <v>N/A</v>
      </c>
      <c r="P578" s="26" t="str" cm="1">
        <f t="array" ref="P578">IFERROR(_xlfn.XLOOKUP(C578&amp;A578, ESPN!A:A&amp;ESPN!C:C, ESPN!J:J), "N/A")</f>
        <v>N/A</v>
      </c>
      <c r="Q578" s="26" t="str" cm="1">
        <f t="array" ref="Q578">IFERROR(_xlfn.XLOOKUP(C578&amp;A578, ESPN!A:A&amp;ESPN!C:C, ESPN!K:K), "N/A")</f>
        <v>N/A</v>
      </c>
    </row>
    <row r="579" spans="1:17" x14ac:dyDescent="0.45">
      <c r="A579" s="7">
        <v>2022</v>
      </c>
      <c r="B579" s="3" t="s">
        <v>275</v>
      </c>
      <c r="C579" s="4" t="str">
        <f t="shared" si="18"/>
        <v>Elijah Mitchell</v>
      </c>
      <c r="D579" s="4" t="str">
        <f t="shared" si="19"/>
        <v>SF</v>
      </c>
      <c r="E579" s="4">
        <v>5</v>
      </c>
      <c r="F579" s="12">
        <v>4</v>
      </c>
      <c r="G579" s="11">
        <v>3</v>
      </c>
      <c r="H579" s="11">
        <v>7</v>
      </c>
      <c r="I579" s="11">
        <v>2.2999999999999998</v>
      </c>
      <c r="J579" s="11">
        <v>0</v>
      </c>
      <c r="K579" s="11">
        <v>0</v>
      </c>
      <c r="L579" s="11" t="str" cm="1">
        <f t="array" ref="L579">IFERROR(_xlfn.XLOOKUP(C579&amp;A579, ESPN!A:A&amp;ESPN!C:C, ESPN!D:D), "N/A")</f>
        <v>N/A</v>
      </c>
      <c r="M579" s="23" t="str" cm="1">
        <f t="array" ref="M579">IFERROR(_xlfn.XLOOKUP(C579&amp;A579, ESPN!A:A&amp;ESPN!C:C, ESPN!G:G), "N/A")</f>
        <v>N/A</v>
      </c>
      <c r="N579" s="23" t="str" cm="1">
        <f t="array" ref="N579">IFERROR(_xlfn.XLOOKUP(C579&amp;A579, ESPN!A:A&amp;ESPN!C:C, ESPN!H:H), "N/A")</f>
        <v>N/A</v>
      </c>
      <c r="O579" s="26" t="str" cm="1">
        <f t="array" ref="O579">IFERROR(_xlfn.XLOOKUP(C579&amp;A579, ESPN!A:A&amp;ESPN!C:C, ESPN!I:I), "N/A")</f>
        <v>N/A</v>
      </c>
      <c r="P579" s="26" t="str" cm="1">
        <f t="array" ref="P579">IFERROR(_xlfn.XLOOKUP(C579&amp;A579, ESPN!A:A&amp;ESPN!C:C, ESPN!J:J), "N/A")</f>
        <v>N/A</v>
      </c>
      <c r="Q579" s="26" t="str" cm="1">
        <f t="array" ref="Q579">IFERROR(_xlfn.XLOOKUP(C579&amp;A579, ESPN!A:A&amp;ESPN!C:C, ESPN!K:K), "N/A")</f>
        <v>N/A</v>
      </c>
    </row>
    <row r="580" spans="1:17" x14ac:dyDescent="0.45">
      <c r="A580" s="6">
        <v>2022</v>
      </c>
      <c r="B580" s="1" t="s">
        <v>277</v>
      </c>
      <c r="C580" s="2" t="str">
        <f t="shared" si="18"/>
        <v>Matt Breida</v>
      </c>
      <c r="D580" s="2" t="str">
        <f t="shared" si="19"/>
        <v>NYG</v>
      </c>
      <c r="E580" s="2">
        <v>17</v>
      </c>
      <c r="F580" s="12">
        <v>25</v>
      </c>
      <c r="G580" s="11">
        <v>20</v>
      </c>
      <c r="H580" s="11">
        <v>118</v>
      </c>
      <c r="I580" s="11">
        <v>5.9</v>
      </c>
      <c r="J580" s="11">
        <v>0</v>
      </c>
      <c r="K580" s="11">
        <v>0</v>
      </c>
      <c r="L580" s="11" cm="1">
        <f t="array" ref="L580">IFERROR(_xlfn.XLOOKUP(C580&amp;A580, ESPN!A:A&amp;ESPN!C:C, ESPN!D:D), "N/A")</f>
        <v>140</v>
      </c>
      <c r="M580" s="23" cm="1">
        <f t="array" ref="M580">IFERROR(_xlfn.XLOOKUP(C580&amp;A580, ESPN!A:A&amp;ESPN!C:C, ESPN!G:G), "N/A")</f>
        <v>0.98</v>
      </c>
      <c r="N580" s="23" cm="1">
        <f t="array" ref="N580">IFERROR(_xlfn.XLOOKUP(C580&amp;A580, ESPN!A:A&amp;ESPN!C:C, ESPN!H:H), "N/A")</f>
        <v>24</v>
      </c>
      <c r="O580" s="26" cm="1">
        <f t="array" ref="O580">IFERROR(_xlfn.XLOOKUP(C580&amp;A580, ESPN!A:A&amp;ESPN!C:C, ESPN!I:I), "N/A")</f>
        <v>66</v>
      </c>
      <c r="P580" s="26" cm="1">
        <f t="array" ref="P580">IFERROR(_xlfn.XLOOKUP(C580&amp;A580, ESPN!A:A&amp;ESPN!C:C, ESPN!J:J), "N/A")</f>
        <v>23</v>
      </c>
      <c r="Q580" s="26" cm="1">
        <f t="array" ref="Q580">IFERROR(_xlfn.XLOOKUP(C580&amp;A580, ESPN!A:A&amp;ESPN!C:C, ESPN!K:K), "N/A")</f>
        <v>26</v>
      </c>
    </row>
    <row r="581" spans="1:17" x14ac:dyDescent="0.45">
      <c r="A581" s="7">
        <v>2022</v>
      </c>
      <c r="B581" s="3" t="s">
        <v>364</v>
      </c>
      <c r="C581" s="4" t="str">
        <f t="shared" si="18"/>
        <v>Justin Jackson</v>
      </c>
      <c r="D581" s="4" t="str">
        <f t="shared" si="19"/>
        <v>DET</v>
      </c>
      <c r="E581" s="4">
        <v>15</v>
      </c>
      <c r="F581" s="12">
        <v>19</v>
      </c>
      <c r="G581" s="11">
        <v>12</v>
      </c>
      <c r="H581" s="11">
        <v>101</v>
      </c>
      <c r="I581" s="11">
        <v>8.4</v>
      </c>
      <c r="J581" s="11">
        <v>1</v>
      </c>
      <c r="K581" s="11">
        <v>0</v>
      </c>
      <c r="L581" s="11" t="str" cm="1">
        <f t="array" ref="L581">IFERROR(_xlfn.XLOOKUP(C581&amp;A581, ESPN!A:A&amp;ESPN!C:C, ESPN!D:D), "N/A")</f>
        <v>N/A</v>
      </c>
      <c r="M581" s="23" t="str" cm="1">
        <f t="array" ref="M581">IFERROR(_xlfn.XLOOKUP(C581&amp;A581, ESPN!A:A&amp;ESPN!C:C, ESPN!G:G), "N/A")</f>
        <v>N/A</v>
      </c>
      <c r="N581" s="23" t="str" cm="1">
        <f t="array" ref="N581">IFERROR(_xlfn.XLOOKUP(C581&amp;A581, ESPN!A:A&amp;ESPN!C:C, ESPN!H:H), "N/A")</f>
        <v>N/A</v>
      </c>
      <c r="O581" s="26" t="str" cm="1">
        <f t="array" ref="O581">IFERROR(_xlfn.XLOOKUP(C581&amp;A581, ESPN!A:A&amp;ESPN!C:C, ESPN!I:I), "N/A")</f>
        <v>N/A</v>
      </c>
      <c r="P581" s="26" t="str" cm="1">
        <f t="array" ref="P581">IFERROR(_xlfn.XLOOKUP(C581&amp;A581, ESPN!A:A&amp;ESPN!C:C, ESPN!J:J), "N/A")</f>
        <v>N/A</v>
      </c>
      <c r="Q581" s="26" t="str" cm="1">
        <f t="array" ref="Q581">IFERROR(_xlfn.XLOOKUP(C581&amp;A581, ESPN!A:A&amp;ESPN!C:C, ESPN!K:K), "N/A")</f>
        <v>N/A</v>
      </c>
    </row>
    <row r="582" spans="1:17" x14ac:dyDescent="0.45">
      <c r="A582" s="6">
        <v>2022</v>
      </c>
      <c r="B582" s="1" t="s">
        <v>176</v>
      </c>
      <c r="C582" s="2" t="str">
        <f t="shared" si="18"/>
        <v>Kyle Juszczyk</v>
      </c>
      <c r="D582" s="2" t="str">
        <f t="shared" si="19"/>
        <v>SF</v>
      </c>
      <c r="E582" s="2">
        <v>13</v>
      </c>
      <c r="F582" s="12">
        <v>23</v>
      </c>
      <c r="G582" s="11">
        <v>19</v>
      </c>
      <c r="H582" s="11">
        <v>200</v>
      </c>
      <c r="I582" s="11">
        <v>10.5</v>
      </c>
      <c r="J582" s="11">
        <v>1</v>
      </c>
      <c r="K582" s="11">
        <v>0</v>
      </c>
      <c r="L582" s="11" t="str" cm="1">
        <f t="array" ref="L582">IFERROR(_xlfn.XLOOKUP(C582&amp;A582, ESPN!A:A&amp;ESPN!C:C, ESPN!D:D), "N/A")</f>
        <v>N/A</v>
      </c>
      <c r="M582" s="23" t="str" cm="1">
        <f t="array" ref="M582">IFERROR(_xlfn.XLOOKUP(C582&amp;A582, ESPN!A:A&amp;ESPN!C:C, ESPN!G:G), "N/A")</f>
        <v>N/A</v>
      </c>
      <c r="N582" s="23" t="str" cm="1">
        <f t="array" ref="N582">IFERROR(_xlfn.XLOOKUP(C582&amp;A582, ESPN!A:A&amp;ESPN!C:C, ESPN!H:H), "N/A")</f>
        <v>N/A</v>
      </c>
      <c r="O582" s="26" t="str" cm="1">
        <f t="array" ref="O582">IFERROR(_xlfn.XLOOKUP(C582&amp;A582, ESPN!A:A&amp;ESPN!C:C, ESPN!I:I), "N/A")</f>
        <v>N/A</v>
      </c>
      <c r="P582" s="26" t="str" cm="1">
        <f t="array" ref="P582">IFERROR(_xlfn.XLOOKUP(C582&amp;A582, ESPN!A:A&amp;ESPN!C:C, ESPN!J:J), "N/A")</f>
        <v>N/A</v>
      </c>
      <c r="Q582" s="26" t="str" cm="1">
        <f t="array" ref="Q582">IFERROR(_xlfn.XLOOKUP(C582&amp;A582, ESPN!A:A&amp;ESPN!C:C, ESPN!K:K), "N/A")</f>
        <v>N/A</v>
      </c>
    </row>
    <row r="583" spans="1:17" x14ac:dyDescent="0.45">
      <c r="A583" s="7">
        <v>2022</v>
      </c>
      <c r="B583" s="3" t="s">
        <v>365</v>
      </c>
      <c r="C583" s="4" t="str">
        <f t="shared" si="18"/>
        <v>Rex Burkhead</v>
      </c>
      <c r="D583" s="4" t="str">
        <f t="shared" si="19"/>
        <v>HOU</v>
      </c>
      <c r="E583" s="4">
        <v>15</v>
      </c>
      <c r="F583" s="12">
        <v>51</v>
      </c>
      <c r="G583" s="11">
        <v>37</v>
      </c>
      <c r="H583" s="11">
        <v>203</v>
      </c>
      <c r="I583" s="11">
        <v>5.5</v>
      </c>
      <c r="J583" s="11">
        <v>1</v>
      </c>
      <c r="K583" s="11">
        <v>0</v>
      </c>
      <c r="L583" s="11" cm="1">
        <f t="array" ref="L583">IFERROR(_xlfn.XLOOKUP(C583&amp;A583, ESPN!A:A&amp;ESPN!C:C, ESPN!D:D), "N/A")</f>
        <v>167</v>
      </c>
      <c r="M583" s="23" cm="1">
        <f t="array" ref="M583">IFERROR(_xlfn.XLOOKUP(C583&amp;A583, ESPN!A:A&amp;ESPN!C:C, ESPN!G:G), "N/A")</f>
        <v>1.22</v>
      </c>
      <c r="N583" s="23" cm="1">
        <f t="array" ref="N583">IFERROR(_xlfn.XLOOKUP(C583&amp;A583, ESPN!A:A&amp;ESPN!C:C, ESPN!H:H), "N/A")</f>
        <v>68</v>
      </c>
      <c r="O583" s="26" cm="1">
        <f t="array" ref="O583">IFERROR(_xlfn.XLOOKUP(C583&amp;A583, ESPN!A:A&amp;ESPN!C:C, ESPN!I:I), "N/A")</f>
        <v>56</v>
      </c>
      <c r="P583" s="26" cm="1">
        <f t="array" ref="P583">IFERROR(_xlfn.XLOOKUP(C583&amp;A583, ESPN!A:A&amp;ESPN!C:C, ESPN!J:J), "N/A")</f>
        <v>14</v>
      </c>
      <c r="Q583" s="26" cm="1">
        <f t="array" ref="Q583">IFERROR(_xlfn.XLOOKUP(C583&amp;A583, ESPN!A:A&amp;ESPN!C:C, ESPN!K:K), "N/A")</f>
        <v>29</v>
      </c>
    </row>
    <row r="584" spans="1:17" x14ac:dyDescent="0.45">
      <c r="A584" s="6">
        <v>2022</v>
      </c>
      <c r="B584" s="1" t="s">
        <v>366</v>
      </c>
      <c r="C584" s="2" t="str">
        <f t="shared" si="18"/>
        <v>Mark Ingram II</v>
      </c>
      <c r="D584" s="2" t="str">
        <f t="shared" si="19"/>
        <v>NO</v>
      </c>
      <c r="E584" s="2">
        <v>10</v>
      </c>
      <c r="F584" s="12">
        <v>18</v>
      </c>
      <c r="G584" s="11">
        <v>16</v>
      </c>
      <c r="H584" s="11">
        <v>68</v>
      </c>
      <c r="I584" s="11">
        <v>4.3</v>
      </c>
      <c r="J584" s="11">
        <v>0</v>
      </c>
      <c r="K584" s="11">
        <v>2</v>
      </c>
      <c r="L584" s="11" t="str" cm="1">
        <f t="array" ref="L584">IFERROR(_xlfn.XLOOKUP(C584&amp;A584, ESPN!A:A&amp;ESPN!C:C, ESPN!D:D), "N/A")</f>
        <v>N/A</v>
      </c>
      <c r="M584" s="23" t="str" cm="1">
        <f t="array" ref="M584">IFERROR(_xlfn.XLOOKUP(C584&amp;A584, ESPN!A:A&amp;ESPN!C:C, ESPN!G:G), "N/A")</f>
        <v>N/A</v>
      </c>
      <c r="N584" s="23" t="str" cm="1">
        <f t="array" ref="N584">IFERROR(_xlfn.XLOOKUP(C584&amp;A584, ESPN!A:A&amp;ESPN!C:C, ESPN!H:H), "N/A")</f>
        <v>N/A</v>
      </c>
      <c r="O584" s="26" t="str" cm="1">
        <f t="array" ref="O584">IFERROR(_xlfn.XLOOKUP(C584&amp;A584, ESPN!A:A&amp;ESPN!C:C, ESPN!I:I), "N/A")</f>
        <v>N/A</v>
      </c>
      <c r="P584" s="26" t="str" cm="1">
        <f t="array" ref="P584">IFERROR(_xlfn.XLOOKUP(C584&amp;A584, ESPN!A:A&amp;ESPN!C:C, ESPN!J:J), "N/A")</f>
        <v>N/A</v>
      </c>
      <c r="Q584" s="26" t="str" cm="1">
        <f t="array" ref="Q584">IFERROR(_xlfn.XLOOKUP(C584&amp;A584, ESPN!A:A&amp;ESPN!C:C, ESPN!K:K), "N/A")</f>
        <v>N/A</v>
      </c>
    </row>
    <row r="585" spans="1:17" x14ac:dyDescent="0.45">
      <c r="A585" s="7">
        <v>2022</v>
      </c>
      <c r="B585" s="3" t="s">
        <v>214</v>
      </c>
      <c r="C585" s="4" t="str">
        <f t="shared" si="18"/>
        <v>Raheem Blackshear</v>
      </c>
      <c r="D585" s="4" t="str">
        <f t="shared" si="19"/>
        <v>CAR</v>
      </c>
      <c r="E585" s="4">
        <v>13</v>
      </c>
      <c r="F585" s="12">
        <v>12</v>
      </c>
      <c r="G585" s="11">
        <v>10</v>
      </c>
      <c r="H585" s="11">
        <v>93</v>
      </c>
      <c r="I585" s="11">
        <v>9.3000000000000007</v>
      </c>
      <c r="J585" s="11">
        <v>0</v>
      </c>
      <c r="K585" s="11">
        <v>1</v>
      </c>
      <c r="L585" s="11" t="str" cm="1">
        <f t="array" ref="L585">IFERROR(_xlfn.XLOOKUP(C585&amp;A585, ESPN!A:A&amp;ESPN!C:C, ESPN!D:D), "N/A")</f>
        <v>N/A</v>
      </c>
      <c r="M585" s="23" t="str" cm="1">
        <f t="array" ref="M585">IFERROR(_xlfn.XLOOKUP(C585&amp;A585, ESPN!A:A&amp;ESPN!C:C, ESPN!G:G), "N/A")</f>
        <v>N/A</v>
      </c>
      <c r="N585" s="23" t="str" cm="1">
        <f t="array" ref="N585">IFERROR(_xlfn.XLOOKUP(C585&amp;A585, ESPN!A:A&amp;ESPN!C:C, ESPN!H:H), "N/A")</f>
        <v>N/A</v>
      </c>
      <c r="O585" s="26" t="str" cm="1">
        <f t="array" ref="O585">IFERROR(_xlfn.XLOOKUP(C585&amp;A585, ESPN!A:A&amp;ESPN!C:C, ESPN!I:I), "N/A")</f>
        <v>N/A</v>
      </c>
      <c r="P585" s="26" t="str" cm="1">
        <f t="array" ref="P585">IFERROR(_xlfn.XLOOKUP(C585&amp;A585, ESPN!A:A&amp;ESPN!C:C, ESPN!J:J), "N/A")</f>
        <v>N/A</v>
      </c>
      <c r="Q585" s="26" t="str" cm="1">
        <f t="array" ref="Q585">IFERROR(_xlfn.XLOOKUP(C585&amp;A585, ESPN!A:A&amp;ESPN!C:C, ESPN!K:K), "N/A")</f>
        <v>N/A</v>
      </c>
    </row>
    <row r="586" spans="1:17" x14ac:dyDescent="0.45">
      <c r="A586" s="6">
        <v>2022</v>
      </c>
      <c r="B586" s="1" t="s">
        <v>184</v>
      </c>
      <c r="C586" s="2" t="str">
        <f t="shared" si="18"/>
        <v>Jordan Mason</v>
      </c>
      <c r="D586" s="2" t="str">
        <f t="shared" si="19"/>
        <v>SF</v>
      </c>
      <c r="E586" s="2">
        <v>12</v>
      </c>
      <c r="F586" s="12">
        <v>0</v>
      </c>
      <c r="G586" s="11">
        <v>0</v>
      </c>
      <c r="H586" s="11">
        <v>0</v>
      </c>
      <c r="I586" s="11">
        <v>0</v>
      </c>
      <c r="J586" s="11">
        <v>0</v>
      </c>
      <c r="K586" s="11">
        <v>0</v>
      </c>
      <c r="L586" s="11" t="str" cm="1">
        <f t="array" ref="L586">IFERROR(_xlfn.XLOOKUP(C586&amp;A586, ESPN!A:A&amp;ESPN!C:C, ESPN!D:D), "N/A")</f>
        <v>N/A</v>
      </c>
      <c r="M586" s="23" t="str" cm="1">
        <f t="array" ref="M586">IFERROR(_xlfn.XLOOKUP(C586&amp;A586, ESPN!A:A&amp;ESPN!C:C, ESPN!G:G), "N/A")</f>
        <v>N/A</v>
      </c>
      <c r="N586" s="23" t="str" cm="1">
        <f t="array" ref="N586">IFERROR(_xlfn.XLOOKUP(C586&amp;A586, ESPN!A:A&amp;ESPN!C:C, ESPN!H:H), "N/A")</f>
        <v>N/A</v>
      </c>
      <c r="O586" s="26" t="str" cm="1">
        <f t="array" ref="O586">IFERROR(_xlfn.XLOOKUP(C586&amp;A586, ESPN!A:A&amp;ESPN!C:C, ESPN!I:I), "N/A")</f>
        <v>N/A</v>
      </c>
      <c r="P586" s="26" t="str" cm="1">
        <f t="array" ref="P586">IFERROR(_xlfn.XLOOKUP(C586&amp;A586, ESPN!A:A&amp;ESPN!C:C, ESPN!J:J), "N/A")</f>
        <v>N/A</v>
      </c>
      <c r="Q586" s="26" t="str" cm="1">
        <f t="array" ref="Q586">IFERROR(_xlfn.XLOOKUP(C586&amp;A586, ESPN!A:A&amp;ESPN!C:C, ESPN!K:K), "N/A")</f>
        <v>N/A</v>
      </c>
    </row>
    <row r="587" spans="1:17" x14ac:dyDescent="0.45">
      <c r="A587" s="7">
        <v>2022</v>
      </c>
      <c r="B587" s="3" t="s">
        <v>367</v>
      </c>
      <c r="C587" s="4" t="str">
        <f t="shared" si="18"/>
        <v>Ty Johnson</v>
      </c>
      <c r="D587" s="4" t="str">
        <f t="shared" si="19"/>
        <v>NYJ</v>
      </c>
      <c r="E587" s="4">
        <v>12</v>
      </c>
      <c r="F587" s="12">
        <v>24</v>
      </c>
      <c r="G587" s="11">
        <v>12</v>
      </c>
      <c r="H587" s="11">
        <v>88</v>
      </c>
      <c r="I587" s="11">
        <v>7.3</v>
      </c>
      <c r="J587" s="11">
        <v>0</v>
      </c>
      <c r="K587" s="11">
        <v>0</v>
      </c>
      <c r="L587" s="11" cm="1">
        <f t="array" ref="L587">IFERROR(_xlfn.XLOOKUP(C587&amp;A587, ESPN!A:A&amp;ESPN!C:C, ESPN!D:D), "N/A")</f>
        <v>94</v>
      </c>
      <c r="M587" s="23" cm="1">
        <f t="array" ref="M587">IFERROR(_xlfn.XLOOKUP(C587&amp;A587, ESPN!A:A&amp;ESPN!C:C, ESPN!G:G), "N/A")</f>
        <v>0.94</v>
      </c>
      <c r="N587" s="23" cm="1">
        <f t="array" ref="N587">IFERROR(_xlfn.XLOOKUP(C587&amp;A587, ESPN!A:A&amp;ESPN!C:C, ESPN!H:H), "N/A")</f>
        <v>66</v>
      </c>
      <c r="O587" s="26" cm="1">
        <f t="array" ref="O587">IFERROR(_xlfn.XLOOKUP(C587&amp;A587, ESPN!A:A&amp;ESPN!C:C, ESPN!I:I), "N/A")</f>
        <v>22</v>
      </c>
      <c r="P587" s="26" cm="1">
        <f t="array" ref="P587">IFERROR(_xlfn.XLOOKUP(C587&amp;A587, ESPN!A:A&amp;ESPN!C:C, ESPN!J:J), "N/A")</f>
        <v>47</v>
      </c>
      <c r="Q587" s="26" cm="1">
        <f t="array" ref="Q587">IFERROR(_xlfn.XLOOKUP(C587&amp;A587, ESPN!A:A&amp;ESPN!C:C, ESPN!K:K), "N/A")</f>
        <v>40</v>
      </c>
    </row>
    <row r="588" spans="1:17" x14ac:dyDescent="0.45">
      <c r="A588" s="6">
        <v>2022</v>
      </c>
      <c r="B588" s="1" t="s">
        <v>368</v>
      </c>
      <c r="C588" s="2" t="str">
        <f t="shared" si="18"/>
        <v>Marlon Mack</v>
      </c>
      <c r="D588" s="2" t="str">
        <f t="shared" si="19"/>
        <v>DEN</v>
      </c>
      <c r="E588" s="2">
        <v>8</v>
      </c>
      <c r="F588" s="12">
        <v>10</v>
      </c>
      <c r="G588" s="11">
        <v>8</v>
      </c>
      <c r="H588" s="11">
        <v>99</v>
      </c>
      <c r="I588" s="11">
        <v>12.4</v>
      </c>
      <c r="J588" s="11">
        <v>1</v>
      </c>
      <c r="K588" s="11">
        <v>0</v>
      </c>
      <c r="L588" s="11" t="str" cm="1">
        <f t="array" ref="L588">IFERROR(_xlfn.XLOOKUP(C588&amp;A588, ESPN!A:A&amp;ESPN!C:C, ESPN!D:D), "N/A")</f>
        <v>N/A</v>
      </c>
      <c r="M588" s="23" t="str" cm="1">
        <f t="array" ref="M588">IFERROR(_xlfn.XLOOKUP(C588&amp;A588, ESPN!A:A&amp;ESPN!C:C, ESPN!G:G), "N/A")</f>
        <v>N/A</v>
      </c>
      <c r="N588" s="23" t="str" cm="1">
        <f t="array" ref="N588">IFERROR(_xlfn.XLOOKUP(C588&amp;A588, ESPN!A:A&amp;ESPN!C:C, ESPN!H:H), "N/A")</f>
        <v>N/A</v>
      </c>
      <c r="O588" s="26" t="str" cm="1">
        <f t="array" ref="O588">IFERROR(_xlfn.XLOOKUP(C588&amp;A588, ESPN!A:A&amp;ESPN!C:C, ESPN!I:I), "N/A")</f>
        <v>N/A</v>
      </c>
      <c r="P588" s="26" t="str" cm="1">
        <f t="array" ref="P588">IFERROR(_xlfn.XLOOKUP(C588&amp;A588, ESPN!A:A&amp;ESPN!C:C, ESPN!J:J), "N/A")</f>
        <v>N/A</v>
      </c>
      <c r="Q588" s="26" t="str" cm="1">
        <f t="array" ref="Q588">IFERROR(_xlfn.XLOOKUP(C588&amp;A588, ESPN!A:A&amp;ESPN!C:C, ESPN!K:K), "N/A")</f>
        <v>N/A</v>
      </c>
    </row>
    <row r="589" spans="1:17" x14ac:dyDescent="0.45">
      <c r="A589" s="7">
        <v>2022</v>
      </c>
      <c r="B589" s="3" t="s">
        <v>305</v>
      </c>
      <c r="C589" s="4" t="str">
        <f t="shared" si="18"/>
        <v>DeeJay Dallas</v>
      </c>
      <c r="D589" s="4" t="str">
        <f t="shared" si="19"/>
        <v>SEA</v>
      </c>
      <c r="E589" s="4">
        <v>15</v>
      </c>
      <c r="F589" s="12">
        <v>19</v>
      </c>
      <c r="G589" s="11">
        <v>17</v>
      </c>
      <c r="H589" s="11">
        <v>126</v>
      </c>
      <c r="I589" s="11">
        <v>7.4</v>
      </c>
      <c r="J589" s="11">
        <v>0</v>
      </c>
      <c r="K589" s="11">
        <v>0</v>
      </c>
      <c r="L589" s="11" t="str" cm="1">
        <f t="array" ref="L589">IFERROR(_xlfn.XLOOKUP(C589&amp;A589, ESPN!A:A&amp;ESPN!C:C, ESPN!D:D), "N/A")</f>
        <v>N/A</v>
      </c>
      <c r="M589" s="23" t="str" cm="1">
        <f t="array" ref="M589">IFERROR(_xlfn.XLOOKUP(C589&amp;A589, ESPN!A:A&amp;ESPN!C:C, ESPN!G:G), "N/A")</f>
        <v>N/A</v>
      </c>
      <c r="N589" s="23" t="str" cm="1">
        <f t="array" ref="N589">IFERROR(_xlfn.XLOOKUP(C589&amp;A589, ESPN!A:A&amp;ESPN!C:C, ESPN!H:H), "N/A")</f>
        <v>N/A</v>
      </c>
      <c r="O589" s="26" t="str" cm="1">
        <f t="array" ref="O589">IFERROR(_xlfn.XLOOKUP(C589&amp;A589, ESPN!A:A&amp;ESPN!C:C, ESPN!I:I), "N/A")</f>
        <v>N/A</v>
      </c>
      <c r="P589" s="26" t="str" cm="1">
        <f t="array" ref="P589">IFERROR(_xlfn.XLOOKUP(C589&amp;A589, ESPN!A:A&amp;ESPN!C:C, ESPN!J:J), "N/A")</f>
        <v>N/A</v>
      </c>
      <c r="Q589" s="26" t="str" cm="1">
        <f t="array" ref="Q589">IFERROR(_xlfn.XLOOKUP(C589&amp;A589, ESPN!A:A&amp;ESPN!C:C, ESPN!K:K), "N/A")</f>
        <v>N/A</v>
      </c>
    </row>
    <row r="590" spans="1:17" x14ac:dyDescent="0.45">
      <c r="A590" s="6">
        <v>2022</v>
      </c>
      <c r="B590" s="1" t="s">
        <v>89</v>
      </c>
      <c r="C590" s="2" t="str">
        <f t="shared" si="18"/>
        <v>Justice Hill</v>
      </c>
      <c r="D590" s="2" t="str">
        <f t="shared" si="19"/>
        <v>BAL</v>
      </c>
      <c r="E590" s="2">
        <v>15</v>
      </c>
      <c r="F590" s="12">
        <v>12</v>
      </c>
      <c r="G590" s="11">
        <v>12</v>
      </c>
      <c r="H590" s="11">
        <v>58</v>
      </c>
      <c r="I590" s="11">
        <v>4.8</v>
      </c>
      <c r="J590" s="11">
        <v>0</v>
      </c>
      <c r="K590" s="11">
        <v>1</v>
      </c>
      <c r="L590" s="11" t="str" cm="1">
        <f t="array" ref="L590">IFERROR(_xlfn.XLOOKUP(C590&amp;A590, ESPN!A:A&amp;ESPN!C:C, ESPN!D:D), "N/A")</f>
        <v>N/A</v>
      </c>
      <c r="M590" s="23" t="str" cm="1">
        <f t="array" ref="M590">IFERROR(_xlfn.XLOOKUP(C590&amp;A590, ESPN!A:A&amp;ESPN!C:C, ESPN!G:G), "N/A")</f>
        <v>N/A</v>
      </c>
      <c r="N590" s="23" t="str" cm="1">
        <f t="array" ref="N590">IFERROR(_xlfn.XLOOKUP(C590&amp;A590, ESPN!A:A&amp;ESPN!C:C, ESPN!H:H), "N/A")</f>
        <v>N/A</v>
      </c>
      <c r="O590" s="26" t="str" cm="1">
        <f t="array" ref="O590">IFERROR(_xlfn.XLOOKUP(C590&amp;A590, ESPN!A:A&amp;ESPN!C:C, ESPN!I:I), "N/A")</f>
        <v>N/A</v>
      </c>
      <c r="P590" s="26" t="str" cm="1">
        <f t="array" ref="P590">IFERROR(_xlfn.XLOOKUP(C590&amp;A590, ESPN!A:A&amp;ESPN!C:C, ESPN!J:J), "N/A")</f>
        <v>N/A</v>
      </c>
      <c r="Q590" s="26" t="str" cm="1">
        <f t="array" ref="Q590">IFERROR(_xlfn.XLOOKUP(C590&amp;A590, ESPN!A:A&amp;ESPN!C:C, ESPN!K:K), "N/A")</f>
        <v>N/A</v>
      </c>
    </row>
    <row r="591" spans="1:17" x14ac:dyDescent="0.45">
      <c r="A591" s="7">
        <v>2022</v>
      </c>
      <c r="B591" s="3" t="s">
        <v>186</v>
      </c>
      <c r="C591" s="4" t="str">
        <f t="shared" si="18"/>
        <v>Ameer Abdullah</v>
      </c>
      <c r="D591" s="4" t="str">
        <f t="shared" si="19"/>
        <v>LV</v>
      </c>
      <c r="E591" s="4">
        <v>16</v>
      </c>
      <c r="F591" s="12">
        <v>32</v>
      </c>
      <c r="G591" s="11">
        <v>25</v>
      </c>
      <c r="H591" s="11">
        <v>211</v>
      </c>
      <c r="I591" s="11">
        <v>8.4</v>
      </c>
      <c r="J591" s="11">
        <v>1</v>
      </c>
      <c r="K591" s="11">
        <v>0</v>
      </c>
      <c r="L591" s="11" cm="1">
        <f t="array" ref="L591">IFERROR(_xlfn.XLOOKUP(C591&amp;A591, ESPN!A:A&amp;ESPN!C:C, ESPN!D:D), "N/A")</f>
        <v>114</v>
      </c>
      <c r="M591" s="23" cm="1">
        <f t="array" ref="M591">IFERROR(_xlfn.XLOOKUP(C591&amp;A591, ESPN!A:A&amp;ESPN!C:C, ESPN!G:G), "N/A")</f>
        <v>1.85</v>
      </c>
      <c r="N591" s="23" cm="1">
        <f t="array" ref="N591">IFERROR(_xlfn.XLOOKUP(C591&amp;A591, ESPN!A:A&amp;ESPN!C:C, ESPN!H:H), "N/A")</f>
        <v>50</v>
      </c>
      <c r="O591" s="26" cm="1">
        <f t="array" ref="O591">IFERROR(_xlfn.XLOOKUP(C591&amp;A591, ESPN!A:A&amp;ESPN!C:C, ESPN!I:I), "N/A")</f>
        <v>67</v>
      </c>
      <c r="P591" s="26" cm="1">
        <f t="array" ref="P591">IFERROR(_xlfn.XLOOKUP(C591&amp;A591, ESPN!A:A&amp;ESPN!C:C, ESPN!J:J), "N/A")</f>
        <v>44</v>
      </c>
      <c r="Q591" s="26" cm="1">
        <f t="array" ref="Q591">IFERROR(_xlfn.XLOOKUP(C591&amp;A591, ESPN!A:A&amp;ESPN!C:C, ESPN!K:K), "N/A")</f>
        <v>53</v>
      </c>
    </row>
    <row r="592" spans="1:17" x14ac:dyDescent="0.45">
      <c r="A592" s="6">
        <v>2022</v>
      </c>
      <c r="B592" s="1" t="s">
        <v>369</v>
      </c>
      <c r="C592" s="2" t="str">
        <f t="shared" si="18"/>
        <v>J.D. McKissic</v>
      </c>
      <c r="D592" s="2" t="str">
        <f t="shared" si="19"/>
        <v>WAS</v>
      </c>
      <c r="E592" s="2">
        <v>9</v>
      </c>
      <c r="F592" s="12">
        <v>40</v>
      </c>
      <c r="G592" s="11">
        <v>27</v>
      </c>
      <c r="H592" s="11">
        <v>173</v>
      </c>
      <c r="I592" s="11">
        <v>6.4</v>
      </c>
      <c r="J592" s="11">
        <v>0</v>
      </c>
      <c r="K592" s="11">
        <v>0</v>
      </c>
      <c r="L592" s="11" cm="1">
        <f t="array" ref="L592">IFERROR(_xlfn.XLOOKUP(C592&amp;A592, ESPN!A:A&amp;ESPN!C:C, ESPN!D:D), "N/A")</f>
        <v>136</v>
      </c>
      <c r="M592" s="23" cm="1">
        <f t="array" ref="M592">IFERROR(_xlfn.XLOOKUP(C592&amp;A592, ESPN!A:A&amp;ESPN!C:C, ESPN!G:G), "N/A")</f>
        <v>1.27</v>
      </c>
      <c r="N592" s="23" cm="1">
        <f t="array" ref="N592">IFERROR(_xlfn.XLOOKUP(C592&amp;A592, ESPN!A:A&amp;ESPN!C:C, ESPN!H:H), "N/A")</f>
        <v>45</v>
      </c>
      <c r="O592" s="26" cm="1">
        <f t="array" ref="O592">IFERROR(_xlfn.XLOOKUP(C592&amp;A592, ESPN!A:A&amp;ESPN!C:C, ESPN!I:I), "N/A")</f>
        <v>35</v>
      </c>
      <c r="P592" s="26" cm="1">
        <f t="array" ref="P592">IFERROR(_xlfn.XLOOKUP(C592&amp;A592, ESPN!A:A&amp;ESPN!C:C, ESPN!J:J), "N/A")</f>
        <v>34</v>
      </c>
      <c r="Q592" s="26" cm="1">
        <f t="array" ref="Q592">IFERROR(_xlfn.XLOOKUP(C592&amp;A592, ESPN!A:A&amp;ESPN!C:C, ESPN!K:K), "N/A")</f>
        <v>27</v>
      </c>
    </row>
    <row r="593" spans="1:17" x14ac:dyDescent="0.45">
      <c r="A593" s="7">
        <v>2022</v>
      </c>
      <c r="B593" s="3" t="s">
        <v>120</v>
      </c>
      <c r="C593" s="4" t="str">
        <f t="shared" si="18"/>
        <v>Dare Ogunbowale</v>
      </c>
      <c r="D593" s="4" t="str">
        <f t="shared" si="19"/>
        <v>HOU</v>
      </c>
      <c r="E593" s="4">
        <v>15</v>
      </c>
      <c r="F593" s="12">
        <v>26</v>
      </c>
      <c r="G593" s="11">
        <v>20</v>
      </c>
      <c r="H593" s="11">
        <v>104</v>
      </c>
      <c r="I593" s="11">
        <v>5.2</v>
      </c>
      <c r="J593" s="11">
        <v>0</v>
      </c>
      <c r="K593" s="11">
        <v>0</v>
      </c>
      <c r="L593" s="11" t="str" cm="1">
        <f t="array" ref="L593">IFERROR(_xlfn.XLOOKUP(C593&amp;A593, ESPN!A:A&amp;ESPN!C:C, ESPN!D:D), "N/A")</f>
        <v>N/A</v>
      </c>
      <c r="M593" s="23" t="str" cm="1">
        <f t="array" ref="M593">IFERROR(_xlfn.XLOOKUP(C593&amp;A593, ESPN!A:A&amp;ESPN!C:C, ESPN!G:G), "N/A")</f>
        <v>N/A</v>
      </c>
      <c r="N593" s="23" t="str" cm="1">
        <f t="array" ref="N593">IFERROR(_xlfn.XLOOKUP(C593&amp;A593, ESPN!A:A&amp;ESPN!C:C, ESPN!H:H), "N/A")</f>
        <v>N/A</v>
      </c>
      <c r="O593" s="26" t="str" cm="1">
        <f t="array" ref="O593">IFERROR(_xlfn.XLOOKUP(C593&amp;A593, ESPN!A:A&amp;ESPN!C:C, ESPN!I:I), "N/A")</f>
        <v>N/A</v>
      </c>
      <c r="P593" s="26" t="str" cm="1">
        <f t="array" ref="P593">IFERROR(_xlfn.XLOOKUP(C593&amp;A593, ESPN!A:A&amp;ESPN!C:C, ESPN!J:J), "N/A")</f>
        <v>N/A</v>
      </c>
      <c r="Q593" s="26" t="str" cm="1">
        <f t="array" ref="Q593">IFERROR(_xlfn.XLOOKUP(C593&amp;A593, ESPN!A:A&amp;ESPN!C:C, ESPN!K:K), "N/A")</f>
        <v>N/A</v>
      </c>
    </row>
    <row r="594" spans="1:17" x14ac:dyDescent="0.45">
      <c r="A594" s="6">
        <v>2022</v>
      </c>
      <c r="B594" s="1" t="s">
        <v>65</v>
      </c>
      <c r="C594" s="2" t="str">
        <f t="shared" si="18"/>
        <v>Malik Davis</v>
      </c>
      <c r="D594" s="2" t="str">
        <f t="shared" si="19"/>
        <v>DAL</v>
      </c>
      <c r="E594" s="2">
        <v>6</v>
      </c>
      <c r="F594" s="12">
        <v>7</v>
      </c>
      <c r="G594" s="11">
        <v>6</v>
      </c>
      <c r="H594" s="11">
        <v>63</v>
      </c>
      <c r="I594" s="11">
        <v>10.5</v>
      </c>
      <c r="J594" s="11">
        <v>0</v>
      </c>
      <c r="K594" s="11">
        <v>0</v>
      </c>
      <c r="L594" s="11" t="str" cm="1">
        <f t="array" ref="L594">IFERROR(_xlfn.XLOOKUP(C594&amp;A594, ESPN!A:A&amp;ESPN!C:C, ESPN!D:D), "N/A")</f>
        <v>N/A</v>
      </c>
      <c r="M594" s="23" t="str" cm="1">
        <f t="array" ref="M594">IFERROR(_xlfn.XLOOKUP(C594&amp;A594, ESPN!A:A&amp;ESPN!C:C, ESPN!G:G), "N/A")</f>
        <v>N/A</v>
      </c>
      <c r="N594" s="23" t="str" cm="1">
        <f t="array" ref="N594">IFERROR(_xlfn.XLOOKUP(C594&amp;A594, ESPN!A:A&amp;ESPN!C:C, ESPN!H:H), "N/A")</f>
        <v>N/A</v>
      </c>
      <c r="O594" s="26" t="str" cm="1">
        <f t="array" ref="O594">IFERROR(_xlfn.XLOOKUP(C594&amp;A594, ESPN!A:A&amp;ESPN!C:C, ESPN!I:I), "N/A")</f>
        <v>N/A</v>
      </c>
      <c r="P594" s="26" t="str" cm="1">
        <f t="array" ref="P594">IFERROR(_xlfn.XLOOKUP(C594&amp;A594, ESPN!A:A&amp;ESPN!C:C, ESPN!J:J), "N/A")</f>
        <v>N/A</v>
      </c>
      <c r="Q594" s="26" t="str" cm="1">
        <f t="array" ref="Q594">IFERROR(_xlfn.XLOOKUP(C594&amp;A594, ESPN!A:A&amp;ESPN!C:C, ESPN!K:K), "N/A")</f>
        <v>N/A</v>
      </c>
    </row>
    <row r="595" spans="1:17" x14ac:dyDescent="0.45">
      <c r="A595" s="7">
        <v>2022</v>
      </c>
      <c r="B595" s="3" t="s">
        <v>370</v>
      </c>
      <c r="C595" s="4" t="str">
        <f t="shared" si="18"/>
        <v>Travis Homer</v>
      </c>
      <c r="D595" s="4" t="str">
        <f t="shared" si="19"/>
        <v>SEA</v>
      </c>
      <c r="E595" s="4">
        <v>12</v>
      </c>
      <c r="F595" s="12">
        <v>18</v>
      </c>
      <c r="G595" s="11">
        <v>16</v>
      </c>
      <c r="H595" s="11">
        <v>157</v>
      </c>
      <c r="I595" s="11">
        <v>9.8000000000000007</v>
      </c>
      <c r="J595" s="11">
        <v>1</v>
      </c>
      <c r="K595" s="11">
        <v>1</v>
      </c>
      <c r="L595" s="11" t="str" cm="1">
        <f t="array" ref="L595">IFERROR(_xlfn.XLOOKUP(C595&amp;A595, ESPN!A:A&amp;ESPN!C:C, ESPN!D:D), "N/A")</f>
        <v>N/A</v>
      </c>
      <c r="M595" s="23" t="str" cm="1">
        <f t="array" ref="M595">IFERROR(_xlfn.XLOOKUP(C595&amp;A595, ESPN!A:A&amp;ESPN!C:C, ESPN!G:G), "N/A")</f>
        <v>N/A</v>
      </c>
      <c r="N595" s="23" t="str" cm="1">
        <f t="array" ref="N595">IFERROR(_xlfn.XLOOKUP(C595&amp;A595, ESPN!A:A&amp;ESPN!C:C, ESPN!H:H), "N/A")</f>
        <v>N/A</v>
      </c>
      <c r="O595" s="26" t="str" cm="1">
        <f t="array" ref="O595">IFERROR(_xlfn.XLOOKUP(C595&amp;A595, ESPN!A:A&amp;ESPN!C:C, ESPN!I:I), "N/A")</f>
        <v>N/A</v>
      </c>
      <c r="P595" s="26" t="str" cm="1">
        <f t="array" ref="P595">IFERROR(_xlfn.XLOOKUP(C595&amp;A595, ESPN!A:A&amp;ESPN!C:C, ESPN!J:J), "N/A")</f>
        <v>N/A</v>
      </c>
      <c r="Q595" s="26" t="str" cm="1">
        <f t="array" ref="Q595">IFERROR(_xlfn.XLOOKUP(C595&amp;A595, ESPN!A:A&amp;ESPN!C:C, ESPN!K:K), "N/A")</f>
        <v>N/A</v>
      </c>
    </row>
    <row r="596" spans="1:17" x14ac:dyDescent="0.45">
      <c r="A596" s="6">
        <v>2022</v>
      </c>
      <c r="B596" s="1" t="s">
        <v>183</v>
      </c>
      <c r="C596" s="2" t="str">
        <f t="shared" si="18"/>
        <v>Javonte Williams</v>
      </c>
      <c r="D596" s="2" t="str">
        <f t="shared" si="19"/>
        <v>DEN</v>
      </c>
      <c r="E596" s="2">
        <v>4</v>
      </c>
      <c r="F596" s="12">
        <v>22</v>
      </c>
      <c r="G596" s="11">
        <v>16</v>
      </c>
      <c r="H596" s="11">
        <v>76</v>
      </c>
      <c r="I596" s="11">
        <v>4.8</v>
      </c>
      <c r="J596" s="11">
        <v>0</v>
      </c>
      <c r="K596" s="11">
        <v>1</v>
      </c>
      <c r="L596" s="11" t="str" cm="1">
        <f t="array" ref="L596">IFERROR(_xlfn.XLOOKUP(C596&amp;A596, ESPN!A:A&amp;ESPN!C:C, ESPN!D:D), "N/A")</f>
        <v>N/A</v>
      </c>
      <c r="M596" s="23" t="str" cm="1">
        <f t="array" ref="M596">IFERROR(_xlfn.XLOOKUP(C596&amp;A596, ESPN!A:A&amp;ESPN!C:C, ESPN!G:G), "N/A")</f>
        <v>N/A</v>
      </c>
      <c r="N596" s="23" t="str" cm="1">
        <f t="array" ref="N596">IFERROR(_xlfn.XLOOKUP(C596&amp;A596, ESPN!A:A&amp;ESPN!C:C, ESPN!H:H), "N/A")</f>
        <v>N/A</v>
      </c>
      <c r="O596" s="26" t="str" cm="1">
        <f t="array" ref="O596">IFERROR(_xlfn.XLOOKUP(C596&amp;A596, ESPN!A:A&amp;ESPN!C:C, ESPN!I:I), "N/A")</f>
        <v>N/A</v>
      </c>
      <c r="P596" s="26" t="str" cm="1">
        <f t="array" ref="P596">IFERROR(_xlfn.XLOOKUP(C596&amp;A596, ESPN!A:A&amp;ESPN!C:C, ESPN!J:J), "N/A")</f>
        <v>N/A</v>
      </c>
      <c r="Q596" s="26" t="str" cm="1">
        <f t="array" ref="Q596">IFERROR(_xlfn.XLOOKUP(C596&amp;A596, ESPN!A:A&amp;ESPN!C:C, ESPN!K:K), "N/A")</f>
        <v>N/A</v>
      </c>
    </row>
    <row r="597" spans="1:17" x14ac:dyDescent="0.45">
      <c r="A597" s="7">
        <v>2022</v>
      </c>
      <c r="B597" s="3" t="s">
        <v>296</v>
      </c>
      <c r="C597" s="4" t="str">
        <f t="shared" si="18"/>
        <v>Gary Brightwell</v>
      </c>
      <c r="D597" s="4" t="str">
        <f t="shared" si="19"/>
        <v>NYG</v>
      </c>
      <c r="E597" s="4">
        <v>15</v>
      </c>
      <c r="F597" s="12">
        <v>8</v>
      </c>
      <c r="G597" s="11">
        <v>5</v>
      </c>
      <c r="H597" s="11">
        <v>39</v>
      </c>
      <c r="I597" s="11">
        <v>7.8</v>
      </c>
      <c r="J597" s="11">
        <v>0</v>
      </c>
      <c r="K597" s="11">
        <v>0</v>
      </c>
      <c r="L597" s="11" t="str" cm="1">
        <f t="array" ref="L597">IFERROR(_xlfn.XLOOKUP(C597&amp;A597, ESPN!A:A&amp;ESPN!C:C, ESPN!D:D), "N/A")</f>
        <v>N/A</v>
      </c>
      <c r="M597" s="23" t="str" cm="1">
        <f t="array" ref="M597">IFERROR(_xlfn.XLOOKUP(C597&amp;A597, ESPN!A:A&amp;ESPN!C:C, ESPN!G:G), "N/A")</f>
        <v>N/A</v>
      </c>
      <c r="N597" s="23" t="str" cm="1">
        <f t="array" ref="N597">IFERROR(_xlfn.XLOOKUP(C597&amp;A597, ESPN!A:A&amp;ESPN!C:C, ESPN!H:H), "N/A")</f>
        <v>N/A</v>
      </c>
      <c r="O597" s="26" t="str" cm="1">
        <f t="array" ref="O597">IFERROR(_xlfn.XLOOKUP(C597&amp;A597, ESPN!A:A&amp;ESPN!C:C, ESPN!I:I), "N/A")</f>
        <v>N/A</v>
      </c>
      <c r="P597" s="26" t="str" cm="1">
        <f t="array" ref="P597">IFERROR(_xlfn.XLOOKUP(C597&amp;A597, ESPN!A:A&amp;ESPN!C:C, ESPN!J:J), "N/A")</f>
        <v>N/A</v>
      </c>
      <c r="Q597" s="26" t="str" cm="1">
        <f t="array" ref="Q597">IFERROR(_xlfn.XLOOKUP(C597&amp;A597, ESPN!A:A&amp;ESPN!C:C, ESPN!K:K), "N/A")</f>
        <v>N/A</v>
      </c>
    </row>
    <row r="598" spans="1:17" x14ac:dyDescent="0.45">
      <c r="A598" s="6">
        <v>2022</v>
      </c>
      <c r="B598" s="1" t="s">
        <v>134</v>
      </c>
      <c r="C598" s="2" t="str">
        <f t="shared" si="18"/>
        <v>Alec Ingold</v>
      </c>
      <c r="D598" s="2" t="str">
        <f t="shared" si="19"/>
        <v>MIA</v>
      </c>
      <c r="E598" s="2">
        <v>13</v>
      </c>
      <c r="F598" s="12">
        <v>23</v>
      </c>
      <c r="G598" s="11">
        <v>15</v>
      </c>
      <c r="H598" s="11">
        <v>105</v>
      </c>
      <c r="I598" s="11">
        <v>7</v>
      </c>
      <c r="J598" s="11">
        <v>1</v>
      </c>
      <c r="K598" s="11">
        <v>0</v>
      </c>
      <c r="L598" s="11" t="str" cm="1">
        <f t="array" ref="L598">IFERROR(_xlfn.XLOOKUP(C598&amp;A598, ESPN!A:A&amp;ESPN!C:C, ESPN!D:D), "N/A")</f>
        <v>N/A</v>
      </c>
      <c r="M598" s="23" t="str" cm="1">
        <f t="array" ref="M598">IFERROR(_xlfn.XLOOKUP(C598&amp;A598, ESPN!A:A&amp;ESPN!C:C, ESPN!G:G), "N/A")</f>
        <v>N/A</v>
      </c>
      <c r="N598" s="23" t="str" cm="1">
        <f t="array" ref="N598">IFERROR(_xlfn.XLOOKUP(C598&amp;A598, ESPN!A:A&amp;ESPN!C:C, ESPN!H:H), "N/A")</f>
        <v>N/A</v>
      </c>
      <c r="O598" s="26" t="str" cm="1">
        <f t="array" ref="O598">IFERROR(_xlfn.XLOOKUP(C598&amp;A598, ESPN!A:A&amp;ESPN!C:C, ESPN!I:I), "N/A")</f>
        <v>N/A</v>
      </c>
      <c r="P598" s="26" t="str" cm="1">
        <f t="array" ref="P598">IFERROR(_xlfn.XLOOKUP(C598&amp;A598, ESPN!A:A&amp;ESPN!C:C, ESPN!J:J), "N/A")</f>
        <v>N/A</v>
      </c>
      <c r="Q598" s="26" t="str" cm="1">
        <f t="array" ref="Q598">IFERROR(_xlfn.XLOOKUP(C598&amp;A598, ESPN!A:A&amp;ESPN!C:C, ESPN!K:K), "N/A")</f>
        <v>N/A</v>
      </c>
    </row>
    <row r="599" spans="1:17" x14ac:dyDescent="0.45">
      <c r="A599" s="7">
        <v>2022</v>
      </c>
      <c r="B599" s="3" t="s">
        <v>143</v>
      </c>
      <c r="C599" s="4" t="str">
        <f t="shared" si="18"/>
        <v>Craig Reynolds</v>
      </c>
      <c r="D599" s="4" t="str">
        <f t="shared" si="19"/>
        <v>DET</v>
      </c>
      <c r="E599" s="4">
        <v>7</v>
      </c>
      <c r="F599" s="12">
        <v>10</v>
      </c>
      <c r="G599" s="11">
        <v>9</v>
      </c>
      <c r="H599" s="11">
        <v>116</v>
      </c>
      <c r="I599" s="11">
        <v>12.9</v>
      </c>
      <c r="J599" s="11">
        <v>0</v>
      </c>
      <c r="K599" s="11">
        <v>0</v>
      </c>
      <c r="L599" s="11" t="str" cm="1">
        <f t="array" ref="L599">IFERROR(_xlfn.XLOOKUP(C599&amp;A599, ESPN!A:A&amp;ESPN!C:C, ESPN!D:D), "N/A")</f>
        <v>N/A</v>
      </c>
      <c r="M599" s="23" t="str" cm="1">
        <f t="array" ref="M599">IFERROR(_xlfn.XLOOKUP(C599&amp;A599, ESPN!A:A&amp;ESPN!C:C, ESPN!G:G), "N/A")</f>
        <v>N/A</v>
      </c>
      <c r="N599" s="23" t="str" cm="1">
        <f t="array" ref="N599">IFERROR(_xlfn.XLOOKUP(C599&amp;A599, ESPN!A:A&amp;ESPN!C:C, ESPN!H:H), "N/A")</f>
        <v>N/A</v>
      </c>
      <c r="O599" s="26" t="str" cm="1">
        <f t="array" ref="O599">IFERROR(_xlfn.XLOOKUP(C599&amp;A599, ESPN!A:A&amp;ESPN!C:C, ESPN!I:I), "N/A")</f>
        <v>N/A</v>
      </c>
      <c r="P599" s="26" t="str" cm="1">
        <f t="array" ref="P599">IFERROR(_xlfn.XLOOKUP(C599&amp;A599, ESPN!A:A&amp;ESPN!C:C, ESPN!J:J), "N/A")</f>
        <v>N/A</v>
      </c>
      <c r="Q599" s="26" t="str" cm="1">
        <f t="array" ref="Q599">IFERROR(_xlfn.XLOOKUP(C599&amp;A599, ESPN!A:A&amp;ESPN!C:C, ESPN!K:K), "N/A")</f>
        <v>N/A</v>
      </c>
    </row>
    <row r="600" spans="1:17" x14ac:dyDescent="0.45">
      <c r="A600" s="6">
        <v>2022</v>
      </c>
      <c r="B600" s="1" t="s">
        <v>9</v>
      </c>
      <c r="C600" s="2" t="str">
        <f t="shared" si="18"/>
        <v>Kyren Williams</v>
      </c>
      <c r="D600" s="2" t="str">
        <f t="shared" si="19"/>
        <v>LAR</v>
      </c>
      <c r="E600" s="2">
        <v>8</v>
      </c>
      <c r="F600" s="12">
        <v>12</v>
      </c>
      <c r="G600" s="11">
        <v>9</v>
      </c>
      <c r="H600" s="11">
        <v>76</v>
      </c>
      <c r="I600" s="11">
        <v>8.4</v>
      </c>
      <c r="J600" s="11">
        <v>0</v>
      </c>
      <c r="K600" s="11">
        <v>0</v>
      </c>
      <c r="L600" s="11" t="str" cm="1">
        <f t="array" ref="L600">IFERROR(_xlfn.XLOOKUP(C600&amp;A600, ESPN!A:A&amp;ESPN!C:C, ESPN!D:D), "N/A")</f>
        <v>N/A</v>
      </c>
      <c r="M600" s="23" t="str" cm="1">
        <f t="array" ref="M600">IFERROR(_xlfn.XLOOKUP(C600&amp;A600, ESPN!A:A&amp;ESPN!C:C, ESPN!G:G), "N/A")</f>
        <v>N/A</v>
      </c>
      <c r="N600" s="23" t="str" cm="1">
        <f t="array" ref="N600">IFERROR(_xlfn.XLOOKUP(C600&amp;A600, ESPN!A:A&amp;ESPN!C:C, ESPN!H:H), "N/A")</f>
        <v>N/A</v>
      </c>
      <c r="O600" s="26" t="str" cm="1">
        <f t="array" ref="O600">IFERROR(_xlfn.XLOOKUP(C600&amp;A600, ESPN!A:A&amp;ESPN!C:C, ESPN!I:I), "N/A")</f>
        <v>N/A</v>
      </c>
      <c r="P600" s="26" t="str" cm="1">
        <f t="array" ref="P600">IFERROR(_xlfn.XLOOKUP(C600&amp;A600, ESPN!A:A&amp;ESPN!C:C, ESPN!J:J), "N/A")</f>
        <v>N/A</v>
      </c>
      <c r="Q600" s="26" t="str" cm="1">
        <f t="array" ref="Q600">IFERROR(_xlfn.XLOOKUP(C600&amp;A600, ESPN!A:A&amp;ESPN!C:C, ESPN!K:K), "N/A")</f>
        <v>N/A</v>
      </c>
    </row>
    <row r="601" spans="1:17" x14ac:dyDescent="0.45">
      <c r="A601" s="7">
        <v>2022</v>
      </c>
      <c r="B601" s="3" t="s">
        <v>139</v>
      </c>
      <c r="C601" s="4" t="str">
        <f t="shared" si="18"/>
        <v>C.J. Ham</v>
      </c>
      <c r="D601" s="4" t="str">
        <f t="shared" si="19"/>
        <v>MIN</v>
      </c>
      <c r="E601" s="4">
        <v>12</v>
      </c>
      <c r="F601" s="12">
        <v>12</v>
      </c>
      <c r="G601" s="11">
        <v>10</v>
      </c>
      <c r="H601" s="11">
        <v>86</v>
      </c>
      <c r="I601" s="11">
        <v>8.6</v>
      </c>
      <c r="J601" s="11">
        <v>0</v>
      </c>
      <c r="K601" s="11">
        <v>0</v>
      </c>
      <c r="L601" s="11" t="str" cm="1">
        <f t="array" ref="L601">IFERROR(_xlfn.XLOOKUP(C601&amp;A601, ESPN!A:A&amp;ESPN!C:C, ESPN!D:D), "N/A")</f>
        <v>N/A</v>
      </c>
      <c r="M601" s="23" t="str" cm="1">
        <f t="array" ref="M601">IFERROR(_xlfn.XLOOKUP(C601&amp;A601, ESPN!A:A&amp;ESPN!C:C, ESPN!G:G), "N/A")</f>
        <v>N/A</v>
      </c>
      <c r="N601" s="23" t="str" cm="1">
        <f t="array" ref="N601">IFERROR(_xlfn.XLOOKUP(C601&amp;A601, ESPN!A:A&amp;ESPN!C:C, ESPN!H:H), "N/A")</f>
        <v>N/A</v>
      </c>
      <c r="O601" s="26" t="str" cm="1">
        <f t="array" ref="O601">IFERROR(_xlfn.XLOOKUP(C601&amp;A601, ESPN!A:A&amp;ESPN!C:C, ESPN!I:I), "N/A")</f>
        <v>N/A</v>
      </c>
      <c r="P601" s="26" t="str" cm="1">
        <f t="array" ref="P601">IFERROR(_xlfn.XLOOKUP(C601&amp;A601, ESPN!A:A&amp;ESPN!C:C, ESPN!J:J), "N/A")</f>
        <v>N/A</v>
      </c>
      <c r="Q601" s="26" t="str" cm="1">
        <f t="array" ref="Q601">IFERROR(_xlfn.XLOOKUP(C601&amp;A601, ESPN!A:A&amp;ESPN!C:C, ESPN!K:K), "N/A")</f>
        <v>N/A</v>
      </c>
    </row>
    <row r="602" spans="1:17" x14ac:dyDescent="0.45">
      <c r="A602" s="6">
        <v>2022</v>
      </c>
      <c r="B602" s="1" t="s">
        <v>243</v>
      </c>
      <c r="C602" s="2" t="str">
        <f t="shared" si="18"/>
        <v>Avery Williams</v>
      </c>
      <c r="D602" s="2" t="str">
        <f t="shared" si="19"/>
        <v>ATL</v>
      </c>
      <c r="E602" s="2">
        <v>17</v>
      </c>
      <c r="F602" s="12">
        <v>14</v>
      </c>
      <c r="G602" s="11">
        <v>13</v>
      </c>
      <c r="H602" s="11">
        <v>61</v>
      </c>
      <c r="I602" s="11">
        <v>4.7</v>
      </c>
      <c r="J602" s="11">
        <v>0</v>
      </c>
      <c r="K602" s="11">
        <v>1</v>
      </c>
      <c r="L602" s="11" t="str" cm="1">
        <f t="array" ref="L602">IFERROR(_xlfn.XLOOKUP(C602&amp;A602, ESPN!A:A&amp;ESPN!C:C, ESPN!D:D), "N/A")</f>
        <v>N/A</v>
      </c>
      <c r="M602" s="23" t="str" cm="1">
        <f t="array" ref="M602">IFERROR(_xlfn.XLOOKUP(C602&amp;A602, ESPN!A:A&amp;ESPN!C:C, ESPN!G:G), "N/A")</f>
        <v>N/A</v>
      </c>
      <c r="N602" s="23" t="str" cm="1">
        <f t="array" ref="N602">IFERROR(_xlfn.XLOOKUP(C602&amp;A602, ESPN!A:A&amp;ESPN!C:C, ESPN!H:H), "N/A")</f>
        <v>N/A</v>
      </c>
      <c r="O602" s="26" t="str" cm="1">
        <f t="array" ref="O602">IFERROR(_xlfn.XLOOKUP(C602&amp;A602, ESPN!A:A&amp;ESPN!C:C, ESPN!I:I), "N/A")</f>
        <v>N/A</v>
      </c>
      <c r="P602" s="26" t="str" cm="1">
        <f t="array" ref="P602">IFERROR(_xlfn.XLOOKUP(C602&amp;A602, ESPN!A:A&amp;ESPN!C:C, ESPN!J:J), "N/A")</f>
        <v>N/A</v>
      </c>
      <c r="Q602" s="26" t="str" cm="1">
        <f t="array" ref="Q602">IFERROR(_xlfn.XLOOKUP(C602&amp;A602, ESPN!A:A&amp;ESPN!C:C, ESPN!K:K), "N/A")</f>
        <v>N/A</v>
      </c>
    </row>
    <row r="603" spans="1:17" x14ac:dyDescent="0.45">
      <c r="A603" s="7">
        <v>2022</v>
      </c>
      <c r="B603" s="3" t="s">
        <v>371</v>
      </c>
      <c r="C603" s="4" t="str">
        <f t="shared" si="18"/>
        <v>Pierre Strong Jr.</v>
      </c>
      <c r="D603" s="4" t="str">
        <f t="shared" si="19"/>
        <v>NE</v>
      </c>
      <c r="E603" s="4">
        <v>10</v>
      </c>
      <c r="F603" s="12">
        <v>7</v>
      </c>
      <c r="G603" s="11">
        <v>7</v>
      </c>
      <c r="H603" s="11">
        <v>42</v>
      </c>
      <c r="I603" s="11">
        <v>6</v>
      </c>
      <c r="J603" s="11">
        <v>0</v>
      </c>
      <c r="K603" s="11">
        <v>0</v>
      </c>
      <c r="L603" s="11" t="str" cm="1">
        <f t="array" ref="L603">IFERROR(_xlfn.XLOOKUP(C603&amp;A603, ESPN!A:A&amp;ESPN!C:C, ESPN!D:D), "N/A")</f>
        <v>N/A</v>
      </c>
      <c r="M603" s="23" t="str" cm="1">
        <f t="array" ref="M603">IFERROR(_xlfn.XLOOKUP(C603&amp;A603, ESPN!A:A&amp;ESPN!C:C, ESPN!G:G), "N/A")</f>
        <v>N/A</v>
      </c>
      <c r="N603" s="23" t="str" cm="1">
        <f t="array" ref="N603">IFERROR(_xlfn.XLOOKUP(C603&amp;A603, ESPN!A:A&amp;ESPN!C:C, ESPN!H:H), "N/A")</f>
        <v>N/A</v>
      </c>
      <c r="O603" s="26" t="str" cm="1">
        <f t="array" ref="O603">IFERROR(_xlfn.XLOOKUP(C603&amp;A603, ESPN!A:A&amp;ESPN!C:C, ESPN!I:I), "N/A")</f>
        <v>N/A</v>
      </c>
      <c r="P603" s="26" t="str" cm="1">
        <f t="array" ref="P603">IFERROR(_xlfn.XLOOKUP(C603&amp;A603, ESPN!A:A&amp;ESPN!C:C, ESPN!J:J), "N/A")</f>
        <v>N/A</v>
      </c>
      <c r="Q603" s="26" t="str" cm="1">
        <f t="array" ref="Q603">IFERROR(_xlfn.XLOOKUP(C603&amp;A603, ESPN!A:A&amp;ESPN!C:C, ESPN!K:K), "N/A")</f>
        <v>N/A</v>
      </c>
    </row>
    <row r="604" spans="1:17" x14ac:dyDescent="0.45">
      <c r="A604" s="6">
        <v>2022</v>
      </c>
      <c r="B604" s="1" t="s">
        <v>372</v>
      </c>
      <c r="C604" s="2" t="str">
        <f t="shared" si="18"/>
        <v>Mike Boone</v>
      </c>
      <c r="D604" s="2" t="str">
        <f t="shared" si="19"/>
        <v>DEN</v>
      </c>
      <c r="E604" s="2">
        <v>8</v>
      </c>
      <c r="F604" s="12">
        <v>15</v>
      </c>
      <c r="G604" s="11">
        <v>9</v>
      </c>
      <c r="H604" s="11">
        <v>96</v>
      </c>
      <c r="I604" s="11">
        <v>10.7</v>
      </c>
      <c r="J604" s="11">
        <v>0</v>
      </c>
      <c r="K604" s="11">
        <v>0</v>
      </c>
      <c r="L604" s="11" t="str" cm="1">
        <f t="array" ref="L604">IFERROR(_xlfn.XLOOKUP(C604&amp;A604, ESPN!A:A&amp;ESPN!C:C, ESPN!D:D), "N/A")</f>
        <v>N/A</v>
      </c>
      <c r="M604" s="23" t="str" cm="1">
        <f t="array" ref="M604">IFERROR(_xlfn.XLOOKUP(C604&amp;A604, ESPN!A:A&amp;ESPN!C:C, ESPN!G:G), "N/A")</f>
        <v>N/A</v>
      </c>
      <c r="N604" s="23" t="str" cm="1">
        <f t="array" ref="N604">IFERROR(_xlfn.XLOOKUP(C604&amp;A604, ESPN!A:A&amp;ESPN!C:C, ESPN!H:H), "N/A")</f>
        <v>N/A</v>
      </c>
      <c r="O604" s="26" t="str" cm="1">
        <f t="array" ref="O604">IFERROR(_xlfn.XLOOKUP(C604&amp;A604, ESPN!A:A&amp;ESPN!C:C, ESPN!I:I), "N/A")</f>
        <v>N/A</v>
      </c>
      <c r="P604" s="26" t="str" cm="1">
        <f t="array" ref="P604">IFERROR(_xlfn.XLOOKUP(C604&amp;A604, ESPN!A:A&amp;ESPN!C:C, ESPN!J:J), "N/A")</f>
        <v>N/A</v>
      </c>
      <c r="Q604" s="26" t="str" cm="1">
        <f t="array" ref="Q604">IFERROR(_xlfn.XLOOKUP(C604&amp;A604, ESPN!A:A&amp;ESPN!C:C, ESPN!K:K), "N/A")</f>
        <v>N/A</v>
      </c>
    </row>
    <row r="605" spans="1:17" x14ac:dyDescent="0.45">
      <c r="A605" s="7">
        <v>2022</v>
      </c>
      <c r="B605" s="3" t="s">
        <v>339</v>
      </c>
      <c r="C605" s="4" t="str">
        <f t="shared" si="18"/>
        <v>Jonathan Williams</v>
      </c>
      <c r="D605" s="4" t="str">
        <f t="shared" si="19"/>
        <v>WAS</v>
      </c>
      <c r="E605" s="4">
        <v>9</v>
      </c>
      <c r="F605" s="12">
        <v>10</v>
      </c>
      <c r="G605" s="11">
        <v>7</v>
      </c>
      <c r="H605" s="11">
        <v>40</v>
      </c>
      <c r="I605" s="11">
        <v>5.7</v>
      </c>
      <c r="J605" s="11">
        <v>0</v>
      </c>
      <c r="K605" s="11">
        <v>0</v>
      </c>
      <c r="L605" s="11" t="str" cm="1">
        <f t="array" ref="L605">IFERROR(_xlfn.XLOOKUP(C605&amp;A605, ESPN!A:A&amp;ESPN!C:C, ESPN!D:D), "N/A")</f>
        <v>N/A</v>
      </c>
      <c r="M605" s="23" t="str" cm="1">
        <f t="array" ref="M605">IFERROR(_xlfn.XLOOKUP(C605&amp;A605, ESPN!A:A&amp;ESPN!C:C, ESPN!G:G), "N/A")</f>
        <v>N/A</v>
      </c>
      <c r="N605" s="23" t="str" cm="1">
        <f t="array" ref="N605">IFERROR(_xlfn.XLOOKUP(C605&amp;A605, ESPN!A:A&amp;ESPN!C:C, ESPN!H:H), "N/A")</f>
        <v>N/A</v>
      </c>
      <c r="O605" s="26" t="str" cm="1">
        <f t="array" ref="O605">IFERROR(_xlfn.XLOOKUP(C605&amp;A605, ESPN!A:A&amp;ESPN!C:C, ESPN!I:I), "N/A")</f>
        <v>N/A</v>
      </c>
      <c r="P605" s="26" t="str" cm="1">
        <f t="array" ref="P605">IFERROR(_xlfn.XLOOKUP(C605&amp;A605, ESPN!A:A&amp;ESPN!C:C, ESPN!J:J), "N/A")</f>
        <v>N/A</v>
      </c>
      <c r="Q605" s="26" t="str" cm="1">
        <f t="array" ref="Q605">IFERROR(_xlfn.XLOOKUP(C605&amp;A605, ESPN!A:A&amp;ESPN!C:C, ESPN!K:K), "N/A")</f>
        <v>N/A</v>
      </c>
    </row>
    <row r="606" spans="1:17" x14ac:dyDescent="0.45">
      <c r="A606" s="6">
        <v>2022</v>
      </c>
      <c r="B606" s="1" t="s">
        <v>373</v>
      </c>
      <c r="C606" s="2" t="str">
        <f t="shared" si="18"/>
        <v>Tevin Coleman</v>
      </c>
      <c r="D606" s="2" t="str">
        <f t="shared" si="19"/>
        <v>SF</v>
      </c>
      <c r="E606" s="2">
        <v>3</v>
      </c>
      <c r="F606" s="12">
        <v>3</v>
      </c>
      <c r="G606" s="11">
        <v>3</v>
      </c>
      <c r="H606" s="11">
        <v>44</v>
      </c>
      <c r="I606" s="11">
        <v>14.7</v>
      </c>
      <c r="J606" s="11">
        <v>1</v>
      </c>
      <c r="K606" s="11">
        <v>0</v>
      </c>
      <c r="L606" s="11" t="str" cm="1">
        <f t="array" ref="L606">IFERROR(_xlfn.XLOOKUP(C606&amp;A606, ESPN!A:A&amp;ESPN!C:C, ESPN!D:D), "N/A")</f>
        <v>N/A</v>
      </c>
      <c r="M606" s="23" t="str" cm="1">
        <f t="array" ref="M606">IFERROR(_xlfn.XLOOKUP(C606&amp;A606, ESPN!A:A&amp;ESPN!C:C, ESPN!G:G), "N/A")</f>
        <v>N/A</v>
      </c>
      <c r="N606" s="23" t="str" cm="1">
        <f t="array" ref="N606">IFERROR(_xlfn.XLOOKUP(C606&amp;A606, ESPN!A:A&amp;ESPN!C:C, ESPN!H:H), "N/A")</f>
        <v>N/A</v>
      </c>
      <c r="O606" s="26" t="str" cm="1">
        <f t="array" ref="O606">IFERROR(_xlfn.XLOOKUP(C606&amp;A606, ESPN!A:A&amp;ESPN!C:C, ESPN!I:I), "N/A")</f>
        <v>N/A</v>
      </c>
      <c r="P606" s="26" t="str" cm="1">
        <f t="array" ref="P606">IFERROR(_xlfn.XLOOKUP(C606&amp;A606, ESPN!A:A&amp;ESPN!C:C, ESPN!J:J), "N/A")</f>
        <v>N/A</v>
      </c>
      <c r="Q606" s="26" t="str" cm="1">
        <f t="array" ref="Q606">IFERROR(_xlfn.XLOOKUP(C606&amp;A606, ESPN!A:A&amp;ESPN!C:C, ESPN!K:K), "N/A")</f>
        <v>N/A</v>
      </c>
    </row>
    <row r="607" spans="1:17" x14ac:dyDescent="0.45">
      <c r="A607" s="7">
        <v>2022</v>
      </c>
      <c r="B607" s="3" t="s">
        <v>289</v>
      </c>
      <c r="C607" s="4" t="str">
        <f t="shared" si="18"/>
        <v>Brandon Bolden</v>
      </c>
      <c r="D607" s="4" t="str">
        <f t="shared" si="19"/>
        <v>LV</v>
      </c>
      <c r="E607" s="4">
        <v>13</v>
      </c>
      <c r="F607" s="12">
        <v>10</v>
      </c>
      <c r="G607" s="11">
        <v>10</v>
      </c>
      <c r="H607" s="11">
        <v>62</v>
      </c>
      <c r="I607" s="11">
        <v>6.2</v>
      </c>
      <c r="J607" s="11">
        <v>1</v>
      </c>
      <c r="K607" s="11">
        <v>0</v>
      </c>
      <c r="L607" s="11" t="str" cm="1">
        <f t="array" ref="L607">IFERROR(_xlfn.XLOOKUP(C607&amp;A607, ESPN!A:A&amp;ESPN!C:C, ESPN!D:D), "N/A")</f>
        <v>N/A</v>
      </c>
      <c r="M607" s="23" t="str" cm="1">
        <f t="array" ref="M607">IFERROR(_xlfn.XLOOKUP(C607&amp;A607, ESPN!A:A&amp;ESPN!C:C, ESPN!G:G), "N/A")</f>
        <v>N/A</v>
      </c>
      <c r="N607" s="23" t="str" cm="1">
        <f t="array" ref="N607">IFERROR(_xlfn.XLOOKUP(C607&amp;A607, ESPN!A:A&amp;ESPN!C:C, ESPN!H:H), "N/A")</f>
        <v>N/A</v>
      </c>
      <c r="O607" s="26" t="str" cm="1">
        <f t="array" ref="O607">IFERROR(_xlfn.XLOOKUP(C607&amp;A607, ESPN!A:A&amp;ESPN!C:C, ESPN!I:I), "N/A")</f>
        <v>N/A</v>
      </c>
      <c r="P607" s="26" t="str" cm="1">
        <f t="array" ref="P607">IFERROR(_xlfn.XLOOKUP(C607&amp;A607, ESPN!A:A&amp;ESPN!C:C, ESPN!J:J), "N/A")</f>
        <v>N/A</v>
      </c>
      <c r="Q607" s="26" t="str" cm="1">
        <f t="array" ref="Q607">IFERROR(_xlfn.XLOOKUP(C607&amp;A607, ESPN!A:A&amp;ESPN!C:C, ESPN!K:K), "N/A")</f>
        <v>N/A</v>
      </c>
    </row>
    <row r="608" spans="1:17" x14ac:dyDescent="0.45">
      <c r="A608" s="6">
        <v>2022</v>
      </c>
      <c r="B608" s="1" t="s">
        <v>374</v>
      </c>
      <c r="C608" s="2" t="str">
        <f t="shared" si="18"/>
        <v>Malcolm Brown</v>
      </c>
      <c r="D608" s="2" t="str">
        <f t="shared" si="19"/>
        <v>LAR</v>
      </c>
      <c r="E608" s="2">
        <v>7</v>
      </c>
      <c r="F608" s="12">
        <v>6</v>
      </c>
      <c r="G608" s="11">
        <v>5</v>
      </c>
      <c r="H608" s="11">
        <v>37</v>
      </c>
      <c r="I608" s="11">
        <v>7.4</v>
      </c>
      <c r="J608" s="11">
        <v>0</v>
      </c>
      <c r="K608" s="11">
        <v>0</v>
      </c>
      <c r="L608" s="11" t="str" cm="1">
        <f t="array" ref="L608">IFERROR(_xlfn.XLOOKUP(C608&amp;A608, ESPN!A:A&amp;ESPN!C:C, ESPN!D:D), "N/A")</f>
        <v>N/A</v>
      </c>
      <c r="M608" s="23" t="str" cm="1">
        <f t="array" ref="M608">IFERROR(_xlfn.XLOOKUP(C608&amp;A608, ESPN!A:A&amp;ESPN!C:C, ESPN!G:G), "N/A")</f>
        <v>N/A</v>
      </c>
      <c r="N608" s="23" t="str" cm="1">
        <f t="array" ref="N608">IFERROR(_xlfn.XLOOKUP(C608&amp;A608, ESPN!A:A&amp;ESPN!C:C, ESPN!H:H), "N/A")</f>
        <v>N/A</v>
      </c>
      <c r="O608" s="26" t="str" cm="1">
        <f t="array" ref="O608">IFERROR(_xlfn.XLOOKUP(C608&amp;A608, ESPN!A:A&amp;ESPN!C:C, ESPN!I:I), "N/A")</f>
        <v>N/A</v>
      </c>
      <c r="P608" s="26" t="str" cm="1">
        <f t="array" ref="P608">IFERROR(_xlfn.XLOOKUP(C608&amp;A608, ESPN!A:A&amp;ESPN!C:C, ESPN!J:J), "N/A")</f>
        <v>N/A</v>
      </c>
      <c r="Q608" s="26" t="str" cm="1">
        <f t="array" ref="Q608">IFERROR(_xlfn.XLOOKUP(C608&amp;A608, ESPN!A:A&amp;ESPN!C:C, ESPN!K:K), "N/A")</f>
        <v>N/A</v>
      </c>
    </row>
    <row r="609" spans="1:17" x14ac:dyDescent="0.45">
      <c r="A609" s="7">
        <v>2022</v>
      </c>
      <c r="B609" s="3" t="s">
        <v>375</v>
      </c>
      <c r="C609" s="4" t="str">
        <f t="shared" si="18"/>
        <v>Darrel Williams</v>
      </c>
      <c r="D609" s="4" t="str">
        <f t="shared" si="19"/>
        <v>ARI</v>
      </c>
      <c r="E609" s="4">
        <v>5</v>
      </c>
      <c r="F609" s="12">
        <v>8</v>
      </c>
      <c r="G609" s="11">
        <v>4</v>
      </c>
      <c r="H609" s="11">
        <v>9</v>
      </c>
      <c r="I609" s="11">
        <v>2.2999999999999998</v>
      </c>
      <c r="J609" s="11">
        <v>0</v>
      </c>
      <c r="K609" s="11">
        <v>0</v>
      </c>
      <c r="L609" s="11" t="str" cm="1">
        <f t="array" ref="L609">IFERROR(_xlfn.XLOOKUP(C609&amp;A609, ESPN!A:A&amp;ESPN!C:C, ESPN!D:D), "N/A")</f>
        <v>N/A</v>
      </c>
      <c r="M609" s="23" t="str" cm="1">
        <f t="array" ref="M609">IFERROR(_xlfn.XLOOKUP(C609&amp;A609, ESPN!A:A&amp;ESPN!C:C, ESPN!G:G), "N/A")</f>
        <v>N/A</v>
      </c>
      <c r="N609" s="23" t="str" cm="1">
        <f t="array" ref="N609">IFERROR(_xlfn.XLOOKUP(C609&amp;A609, ESPN!A:A&amp;ESPN!C:C, ESPN!H:H), "N/A")</f>
        <v>N/A</v>
      </c>
      <c r="O609" s="26" t="str" cm="1">
        <f t="array" ref="O609">IFERROR(_xlfn.XLOOKUP(C609&amp;A609, ESPN!A:A&amp;ESPN!C:C, ESPN!I:I), "N/A")</f>
        <v>N/A</v>
      </c>
      <c r="P609" s="26" t="str" cm="1">
        <f t="array" ref="P609">IFERROR(_xlfn.XLOOKUP(C609&amp;A609, ESPN!A:A&amp;ESPN!C:C, ESPN!J:J), "N/A")</f>
        <v>N/A</v>
      </c>
      <c r="Q609" s="26" t="str" cm="1">
        <f t="array" ref="Q609">IFERROR(_xlfn.XLOOKUP(C609&amp;A609, ESPN!A:A&amp;ESPN!C:C, ESPN!K:K), "N/A")</f>
        <v>N/A</v>
      </c>
    </row>
    <row r="610" spans="1:17" x14ac:dyDescent="0.45">
      <c r="A610" s="6">
        <v>2022</v>
      </c>
      <c r="B610" s="1" t="s">
        <v>324</v>
      </c>
      <c r="C610" s="2" t="str">
        <f t="shared" si="18"/>
        <v>Corey Clement</v>
      </c>
      <c r="D610" s="2" t="str">
        <f t="shared" si="19"/>
        <v>ARI</v>
      </c>
      <c r="E610" s="2">
        <v>5</v>
      </c>
      <c r="F610" s="12">
        <v>7</v>
      </c>
      <c r="G610" s="11">
        <v>5</v>
      </c>
      <c r="H610" s="11">
        <v>54</v>
      </c>
      <c r="I610" s="11">
        <v>10.8</v>
      </c>
      <c r="J610" s="11">
        <v>0</v>
      </c>
      <c r="K610" s="11">
        <v>0</v>
      </c>
      <c r="L610" s="11" t="str" cm="1">
        <f t="array" ref="L610">IFERROR(_xlfn.XLOOKUP(C610&amp;A610, ESPN!A:A&amp;ESPN!C:C, ESPN!D:D), "N/A")</f>
        <v>N/A</v>
      </c>
      <c r="M610" s="23" t="str" cm="1">
        <f t="array" ref="M610">IFERROR(_xlfn.XLOOKUP(C610&amp;A610, ESPN!A:A&amp;ESPN!C:C, ESPN!G:G), "N/A")</f>
        <v>N/A</v>
      </c>
      <c r="N610" s="23" t="str" cm="1">
        <f t="array" ref="N610">IFERROR(_xlfn.XLOOKUP(C610&amp;A610, ESPN!A:A&amp;ESPN!C:C, ESPN!H:H), "N/A")</f>
        <v>N/A</v>
      </c>
      <c r="O610" s="26" t="str" cm="1">
        <f t="array" ref="O610">IFERROR(_xlfn.XLOOKUP(C610&amp;A610, ESPN!A:A&amp;ESPN!C:C, ESPN!I:I), "N/A")</f>
        <v>N/A</v>
      </c>
      <c r="P610" s="26" t="str" cm="1">
        <f t="array" ref="P610">IFERROR(_xlfn.XLOOKUP(C610&amp;A610, ESPN!A:A&amp;ESPN!C:C, ESPN!J:J), "N/A")</f>
        <v>N/A</v>
      </c>
      <c r="Q610" s="26" t="str" cm="1">
        <f t="array" ref="Q610">IFERROR(_xlfn.XLOOKUP(C610&amp;A610, ESPN!A:A&amp;ESPN!C:C, ESPN!K:K), "N/A")</f>
        <v>N/A</v>
      </c>
    </row>
    <row r="611" spans="1:17" x14ac:dyDescent="0.45">
      <c r="A611" s="7">
        <v>2022</v>
      </c>
      <c r="B611" s="3" t="s">
        <v>376</v>
      </c>
      <c r="C611" s="4" t="str">
        <f t="shared" si="18"/>
        <v>Benny Snell Jr.</v>
      </c>
      <c r="D611" s="4" t="str">
        <f t="shared" si="19"/>
        <v>PIT</v>
      </c>
      <c r="E611" s="4">
        <v>9</v>
      </c>
      <c r="F611" s="12">
        <v>2</v>
      </c>
      <c r="G611" s="11">
        <v>2</v>
      </c>
      <c r="H611" s="11">
        <v>17</v>
      </c>
      <c r="I611" s="11">
        <v>8.5</v>
      </c>
      <c r="J611" s="11">
        <v>0</v>
      </c>
      <c r="K611" s="11">
        <v>0</v>
      </c>
      <c r="L611" s="11" t="str" cm="1">
        <f t="array" ref="L611">IFERROR(_xlfn.XLOOKUP(C611&amp;A611, ESPN!A:A&amp;ESPN!C:C, ESPN!D:D), "N/A")</f>
        <v>N/A</v>
      </c>
      <c r="M611" s="23" t="str" cm="1">
        <f t="array" ref="M611">IFERROR(_xlfn.XLOOKUP(C611&amp;A611, ESPN!A:A&amp;ESPN!C:C, ESPN!G:G), "N/A")</f>
        <v>N/A</v>
      </c>
      <c r="N611" s="23" t="str" cm="1">
        <f t="array" ref="N611">IFERROR(_xlfn.XLOOKUP(C611&amp;A611, ESPN!A:A&amp;ESPN!C:C, ESPN!H:H), "N/A")</f>
        <v>N/A</v>
      </c>
      <c r="O611" s="26" t="str" cm="1">
        <f t="array" ref="O611">IFERROR(_xlfn.XLOOKUP(C611&amp;A611, ESPN!A:A&amp;ESPN!C:C, ESPN!I:I), "N/A")</f>
        <v>N/A</v>
      </c>
      <c r="P611" s="26" t="str" cm="1">
        <f t="array" ref="P611">IFERROR(_xlfn.XLOOKUP(C611&amp;A611, ESPN!A:A&amp;ESPN!C:C, ESPN!J:J), "N/A")</f>
        <v>N/A</v>
      </c>
      <c r="Q611" s="26" t="str" cm="1">
        <f t="array" ref="Q611">IFERROR(_xlfn.XLOOKUP(C611&amp;A611, ESPN!A:A&amp;ESPN!C:C, ESPN!K:K), "N/A")</f>
        <v>N/A</v>
      </c>
    </row>
    <row r="612" spans="1:17" x14ac:dyDescent="0.45">
      <c r="A612" s="6">
        <v>2022</v>
      </c>
      <c r="B612" s="1" t="s">
        <v>377</v>
      </c>
      <c r="C612" s="2" t="str">
        <f t="shared" si="18"/>
        <v>Sony Michel</v>
      </c>
      <c r="D612" s="2" t="str">
        <f t="shared" si="19"/>
        <v>LAC</v>
      </c>
      <c r="E612" s="2">
        <v>10</v>
      </c>
      <c r="F612" s="12">
        <v>13</v>
      </c>
      <c r="G612" s="11">
        <v>9</v>
      </c>
      <c r="H612" s="11">
        <v>53</v>
      </c>
      <c r="I612" s="11">
        <v>5.9</v>
      </c>
      <c r="J612" s="11">
        <v>0</v>
      </c>
      <c r="K612" s="11">
        <v>0</v>
      </c>
      <c r="L612" s="11" t="str" cm="1">
        <f t="array" ref="L612">IFERROR(_xlfn.XLOOKUP(C612&amp;A612, ESPN!A:A&amp;ESPN!C:C, ESPN!D:D), "N/A")</f>
        <v>N/A</v>
      </c>
      <c r="M612" s="23" t="str" cm="1">
        <f t="array" ref="M612">IFERROR(_xlfn.XLOOKUP(C612&amp;A612, ESPN!A:A&amp;ESPN!C:C, ESPN!G:G), "N/A")</f>
        <v>N/A</v>
      </c>
      <c r="N612" s="23" t="str" cm="1">
        <f t="array" ref="N612">IFERROR(_xlfn.XLOOKUP(C612&amp;A612, ESPN!A:A&amp;ESPN!C:C, ESPN!H:H), "N/A")</f>
        <v>N/A</v>
      </c>
      <c r="O612" s="26" t="str" cm="1">
        <f t="array" ref="O612">IFERROR(_xlfn.XLOOKUP(C612&amp;A612, ESPN!A:A&amp;ESPN!C:C, ESPN!I:I), "N/A")</f>
        <v>N/A</v>
      </c>
      <c r="P612" s="26" t="str" cm="1">
        <f t="array" ref="P612">IFERROR(_xlfn.XLOOKUP(C612&amp;A612, ESPN!A:A&amp;ESPN!C:C, ESPN!J:J), "N/A")</f>
        <v>N/A</v>
      </c>
      <c r="Q612" s="26" t="str" cm="1">
        <f t="array" ref="Q612">IFERROR(_xlfn.XLOOKUP(C612&amp;A612, ESPN!A:A&amp;ESPN!C:C, ESPN!K:K), "N/A")</f>
        <v>N/A</v>
      </c>
    </row>
    <row r="613" spans="1:17" x14ac:dyDescent="0.45">
      <c r="A613" s="7">
        <v>2022</v>
      </c>
      <c r="B613" s="3" t="s">
        <v>378</v>
      </c>
      <c r="C613" s="4" t="str">
        <f t="shared" si="18"/>
        <v>Derek Watt</v>
      </c>
      <c r="D613" s="4" t="str">
        <f t="shared" si="19"/>
        <v>PIT</v>
      </c>
      <c r="E613" s="4">
        <v>12</v>
      </c>
      <c r="F613" s="12">
        <v>5</v>
      </c>
      <c r="G613" s="11">
        <v>5</v>
      </c>
      <c r="H613" s="11">
        <v>11</v>
      </c>
      <c r="I613" s="11">
        <v>2.2000000000000002</v>
      </c>
      <c r="J613" s="11">
        <v>1</v>
      </c>
      <c r="K613" s="11">
        <v>0</v>
      </c>
      <c r="L613" s="11" t="str" cm="1">
        <f t="array" ref="L613">IFERROR(_xlfn.XLOOKUP(C613&amp;A613, ESPN!A:A&amp;ESPN!C:C, ESPN!D:D), "N/A")</f>
        <v>N/A</v>
      </c>
      <c r="M613" s="23" t="str" cm="1">
        <f t="array" ref="M613">IFERROR(_xlfn.XLOOKUP(C613&amp;A613, ESPN!A:A&amp;ESPN!C:C, ESPN!G:G), "N/A")</f>
        <v>N/A</v>
      </c>
      <c r="N613" s="23" t="str" cm="1">
        <f t="array" ref="N613">IFERROR(_xlfn.XLOOKUP(C613&amp;A613, ESPN!A:A&amp;ESPN!C:C, ESPN!H:H), "N/A")</f>
        <v>N/A</v>
      </c>
      <c r="O613" s="26" t="str" cm="1">
        <f t="array" ref="O613">IFERROR(_xlfn.XLOOKUP(C613&amp;A613, ESPN!A:A&amp;ESPN!C:C, ESPN!I:I), "N/A")</f>
        <v>N/A</v>
      </c>
      <c r="P613" s="26" t="str" cm="1">
        <f t="array" ref="P613">IFERROR(_xlfn.XLOOKUP(C613&amp;A613, ESPN!A:A&amp;ESPN!C:C, ESPN!J:J), "N/A")</f>
        <v>N/A</v>
      </c>
      <c r="Q613" s="26" t="str" cm="1">
        <f t="array" ref="Q613">IFERROR(_xlfn.XLOOKUP(C613&amp;A613, ESPN!A:A&amp;ESPN!C:C, ESPN!K:K), "N/A")</f>
        <v>N/A</v>
      </c>
    </row>
    <row r="614" spans="1:17" x14ac:dyDescent="0.45">
      <c r="A614" s="6">
        <v>2022</v>
      </c>
      <c r="B614" s="1" t="s">
        <v>379</v>
      </c>
      <c r="C614" s="2" t="str">
        <f t="shared" si="18"/>
        <v>Ronald Jones II</v>
      </c>
      <c r="D614" s="2" t="str">
        <f t="shared" si="19"/>
        <v>KC</v>
      </c>
      <c r="E614" s="2">
        <v>5</v>
      </c>
      <c r="F614" s="12">
        <v>1</v>
      </c>
      <c r="G614" s="11">
        <v>1</v>
      </c>
      <c r="H614" s="11">
        <v>22</v>
      </c>
      <c r="I614" s="11">
        <v>22</v>
      </c>
      <c r="J614" s="11">
        <v>0</v>
      </c>
      <c r="K614" s="11">
        <v>0</v>
      </c>
      <c r="L614" s="11" t="str" cm="1">
        <f t="array" ref="L614">IFERROR(_xlfn.XLOOKUP(C614&amp;A614, ESPN!A:A&amp;ESPN!C:C, ESPN!D:D), "N/A")</f>
        <v>N/A</v>
      </c>
      <c r="M614" s="23" t="str" cm="1">
        <f t="array" ref="M614">IFERROR(_xlfn.XLOOKUP(C614&amp;A614, ESPN!A:A&amp;ESPN!C:C, ESPN!G:G), "N/A")</f>
        <v>N/A</v>
      </c>
      <c r="N614" s="23" t="str" cm="1">
        <f t="array" ref="N614">IFERROR(_xlfn.XLOOKUP(C614&amp;A614, ESPN!A:A&amp;ESPN!C:C, ESPN!H:H), "N/A")</f>
        <v>N/A</v>
      </c>
      <c r="O614" s="26" t="str" cm="1">
        <f t="array" ref="O614">IFERROR(_xlfn.XLOOKUP(C614&amp;A614, ESPN!A:A&amp;ESPN!C:C, ESPN!I:I), "N/A")</f>
        <v>N/A</v>
      </c>
      <c r="P614" s="26" t="str" cm="1">
        <f t="array" ref="P614">IFERROR(_xlfn.XLOOKUP(C614&amp;A614, ESPN!A:A&amp;ESPN!C:C, ESPN!J:J), "N/A")</f>
        <v>N/A</v>
      </c>
      <c r="Q614" s="26" t="str" cm="1">
        <f t="array" ref="Q614">IFERROR(_xlfn.XLOOKUP(C614&amp;A614, ESPN!A:A&amp;ESPN!C:C, ESPN!K:K), "N/A")</f>
        <v>N/A</v>
      </c>
    </row>
    <row r="615" spans="1:17" x14ac:dyDescent="0.45">
      <c r="A615" s="7">
        <v>2022</v>
      </c>
      <c r="B615" s="3" t="s">
        <v>380</v>
      </c>
      <c r="C615" s="4" t="str">
        <f t="shared" si="18"/>
        <v>Hassan Haskins</v>
      </c>
      <c r="D615" s="4" t="str">
        <f t="shared" si="19"/>
        <v>TEN</v>
      </c>
      <c r="E615" s="4">
        <v>14</v>
      </c>
      <c r="F615" s="12">
        <v>12</v>
      </c>
      <c r="G615" s="11">
        <v>11</v>
      </c>
      <c r="H615" s="11">
        <v>57</v>
      </c>
      <c r="I615" s="11">
        <v>5.2</v>
      </c>
      <c r="J615" s="11">
        <v>0</v>
      </c>
      <c r="K615" s="11">
        <v>0</v>
      </c>
      <c r="L615" s="11" t="str" cm="1">
        <f t="array" ref="L615">IFERROR(_xlfn.XLOOKUP(C615&amp;A615, ESPN!A:A&amp;ESPN!C:C, ESPN!D:D), "N/A")</f>
        <v>N/A</v>
      </c>
      <c r="M615" s="23" t="str" cm="1">
        <f t="array" ref="M615">IFERROR(_xlfn.XLOOKUP(C615&amp;A615, ESPN!A:A&amp;ESPN!C:C, ESPN!G:G), "N/A")</f>
        <v>N/A</v>
      </c>
      <c r="N615" s="23" t="str" cm="1">
        <f t="array" ref="N615">IFERROR(_xlfn.XLOOKUP(C615&amp;A615, ESPN!A:A&amp;ESPN!C:C, ESPN!H:H), "N/A")</f>
        <v>N/A</v>
      </c>
      <c r="O615" s="26" t="str" cm="1">
        <f t="array" ref="O615">IFERROR(_xlfn.XLOOKUP(C615&amp;A615, ESPN!A:A&amp;ESPN!C:C, ESPN!I:I), "N/A")</f>
        <v>N/A</v>
      </c>
      <c r="P615" s="26" t="str" cm="1">
        <f t="array" ref="P615">IFERROR(_xlfn.XLOOKUP(C615&amp;A615, ESPN!A:A&amp;ESPN!C:C, ESPN!J:J), "N/A")</f>
        <v>N/A</v>
      </c>
      <c r="Q615" s="26" t="str" cm="1">
        <f t="array" ref="Q615">IFERROR(_xlfn.XLOOKUP(C615&amp;A615, ESPN!A:A&amp;ESPN!C:C, ESPN!K:K), "N/A")</f>
        <v>N/A</v>
      </c>
    </row>
    <row r="616" spans="1:17" x14ac:dyDescent="0.45">
      <c r="A616" s="6">
        <v>2022</v>
      </c>
      <c r="B616" s="1" t="s">
        <v>292</v>
      </c>
      <c r="C616" s="2" t="str">
        <f t="shared" si="18"/>
        <v>Keaontay Ingram</v>
      </c>
      <c r="D616" s="2" t="str">
        <f t="shared" si="19"/>
        <v>ARI</v>
      </c>
      <c r="E616" s="2">
        <v>11</v>
      </c>
      <c r="F616" s="12">
        <v>5</v>
      </c>
      <c r="G616" s="11">
        <v>4</v>
      </c>
      <c r="H616" s="11">
        <v>21</v>
      </c>
      <c r="I616" s="11">
        <v>5.3</v>
      </c>
      <c r="J616" s="11">
        <v>0</v>
      </c>
      <c r="K616" s="11">
        <v>0</v>
      </c>
      <c r="L616" s="11" t="str" cm="1">
        <f t="array" ref="L616">IFERROR(_xlfn.XLOOKUP(C616&amp;A616, ESPN!A:A&amp;ESPN!C:C, ESPN!D:D), "N/A")</f>
        <v>N/A</v>
      </c>
      <c r="M616" s="23" t="str" cm="1">
        <f t="array" ref="M616">IFERROR(_xlfn.XLOOKUP(C616&amp;A616, ESPN!A:A&amp;ESPN!C:C, ESPN!G:G), "N/A")</f>
        <v>N/A</v>
      </c>
      <c r="N616" s="23" t="str" cm="1">
        <f t="array" ref="N616">IFERROR(_xlfn.XLOOKUP(C616&amp;A616, ESPN!A:A&amp;ESPN!C:C, ESPN!H:H), "N/A")</f>
        <v>N/A</v>
      </c>
      <c r="O616" s="26" t="str" cm="1">
        <f t="array" ref="O616">IFERROR(_xlfn.XLOOKUP(C616&amp;A616, ESPN!A:A&amp;ESPN!C:C, ESPN!I:I), "N/A")</f>
        <v>N/A</v>
      </c>
      <c r="P616" s="26" t="str" cm="1">
        <f t="array" ref="P616">IFERROR(_xlfn.XLOOKUP(C616&amp;A616, ESPN!A:A&amp;ESPN!C:C, ESPN!J:J), "N/A")</f>
        <v>N/A</v>
      </c>
      <c r="Q616" s="26" t="str" cm="1">
        <f t="array" ref="Q616">IFERROR(_xlfn.XLOOKUP(C616&amp;A616, ESPN!A:A&amp;ESPN!C:C, ESPN!K:K), "N/A")</f>
        <v>N/A</v>
      </c>
    </row>
    <row r="617" spans="1:17" x14ac:dyDescent="0.45">
      <c r="A617" s="7">
        <v>2022</v>
      </c>
      <c r="B617" s="3" t="s">
        <v>142</v>
      </c>
      <c r="C617" s="4" t="str">
        <f t="shared" si="18"/>
        <v>Reggie Gilliam</v>
      </c>
      <c r="D617" s="4" t="str">
        <f t="shared" si="19"/>
        <v>BUF</v>
      </c>
      <c r="E617" s="4">
        <v>11</v>
      </c>
      <c r="F617" s="12">
        <v>11</v>
      </c>
      <c r="G617" s="11">
        <v>9</v>
      </c>
      <c r="H617" s="11">
        <v>76</v>
      </c>
      <c r="I617" s="11">
        <v>8.4</v>
      </c>
      <c r="J617" s="11">
        <v>1</v>
      </c>
      <c r="K617" s="11">
        <v>0</v>
      </c>
      <c r="L617" s="11" t="str" cm="1">
        <f t="array" ref="L617">IFERROR(_xlfn.XLOOKUP(C617&amp;A617, ESPN!A:A&amp;ESPN!C:C, ESPN!D:D), "N/A")</f>
        <v>N/A</v>
      </c>
      <c r="M617" s="23" t="str" cm="1">
        <f t="array" ref="M617">IFERROR(_xlfn.XLOOKUP(C617&amp;A617, ESPN!A:A&amp;ESPN!C:C, ESPN!G:G), "N/A")</f>
        <v>N/A</v>
      </c>
      <c r="N617" s="23" t="str" cm="1">
        <f t="array" ref="N617">IFERROR(_xlfn.XLOOKUP(C617&amp;A617, ESPN!A:A&amp;ESPN!C:C, ESPN!H:H), "N/A")</f>
        <v>N/A</v>
      </c>
      <c r="O617" s="26" t="str" cm="1">
        <f t="array" ref="O617">IFERROR(_xlfn.XLOOKUP(C617&amp;A617, ESPN!A:A&amp;ESPN!C:C, ESPN!I:I), "N/A")</f>
        <v>N/A</v>
      </c>
      <c r="P617" s="26" t="str" cm="1">
        <f t="array" ref="P617">IFERROR(_xlfn.XLOOKUP(C617&amp;A617, ESPN!A:A&amp;ESPN!C:C, ESPN!J:J), "N/A")</f>
        <v>N/A</v>
      </c>
      <c r="Q617" s="26" t="str" cm="1">
        <f t="array" ref="Q617">IFERROR(_xlfn.XLOOKUP(C617&amp;A617, ESPN!A:A&amp;ESPN!C:C, ESPN!K:K), "N/A")</f>
        <v>N/A</v>
      </c>
    </row>
    <row r="618" spans="1:17" x14ac:dyDescent="0.45">
      <c r="A618" s="6">
        <v>2022</v>
      </c>
      <c r="B618" s="1" t="s">
        <v>381</v>
      </c>
      <c r="C618" s="2" t="str">
        <f t="shared" si="18"/>
        <v>Zander Horvath</v>
      </c>
      <c r="D618" s="2" t="str">
        <f t="shared" si="19"/>
        <v>LAC</v>
      </c>
      <c r="E618" s="2">
        <v>8</v>
      </c>
      <c r="F618" s="12">
        <v>8</v>
      </c>
      <c r="G618" s="11">
        <v>5</v>
      </c>
      <c r="H618" s="11">
        <v>8</v>
      </c>
      <c r="I618" s="11">
        <v>1.6</v>
      </c>
      <c r="J618" s="11">
        <v>2</v>
      </c>
      <c r="K618" s="11">
        <v>0</v>
      </c>
      <c r="L618" s="11" t="str" cm="1">
        <f t="array" ref="L618">IFERROR(_xlfn.XLOOKUP(C618&amp;A618, ESPN!A:A&amp;ESPN!C:C, ESPN!D:D), "N/A")</f>
        <v>N/A</v>
      </c>
      <c r="M618" s="23" t="str" cm="1">
        <f t="array" ref="M618">IFERROR(_xlfn.XLOOKUP(C618&amp;A618, ESPN!A:A&amp;ESPN!C:C, ESPN!G:G), "N/A")</f>
        <v>N/A</v>
      </c>
      <c r="N618" s="23" t="str" cm="1">
        <f t="array" ref="N618">IFERROR(_xlfn.XLOOKUP(C618&amp;A618, ESPN!A:A&amp;ESPN!C:C, ESPN!H:H), "N/A")</f>
        <v>N/A</v>
      </c>
      <c r="O618" s="26" t="str" cm="1">
        <f t="array" ref="O618">IFERROR(_xlfn.XLOOKUP(C618&amp;A618, ESPN!A:A&amp;ESPN!C:C, ESPN!I:I), "N/A")</f>
        <v>N/A</v>
      </c>
      <c r="P618" s="26" t="str" cm="1">
        <f t="array" ref="P618">IFERROR(_xlfn.XLOOKUP(C618&amp;A618, ESPN!A:A&amp;ESPN!C:C, ESPN!J:J), "N/A")</f>
        <v>N/A</v>
      </c>
      <c r="Q618" s="26" t="str" cm="1">
        <f t="array" ref="Q618">IFERROR(_xlfn.XLOOKUP(C618&amp;A618, ESPN!A:A&amp;ESPN!C:C, ESPN!K:K), "N/A")</f>
        <v>N/A</v>
      </c>
    </row>
    <row r="619" spans="1:17" x14ac:dyDescent="0.45">
      <c r="A619" s="7">
        <v>2022</v>
      </c>
      <c r="B619" s="3" t="s">
        <v>279</v>
      </c>
      <c r="C619" s="4" t="str">
        <f t="shared" si="18"/>
        <v>Salvon Ahmed</v>
      </c>
      <c r="D619" s="4" t="str">
        <f t="shared" si="19"/>
        <v>MIA</v>
      </c>
      <c r="E619" s="4">
        <v>7</v>
      </c>
      <c r="F619" s="12">
        <v>1</v>
      </c>
      <c r="G619" s="11">
        <v>1</v>
      </c>
      <c r="H619" s="11">
        <v>8</v>
      </c>
      <c r="I619" s="11">
        <v>8</v>
      </c>
      <c r="J619" s="11">
        <v>0</v>
      </c>
      <c r="K619" s="11">
        <v>0</v>
      </c>
      <c r="L619" s="11" t="str" cm="1">
        <f t="array" ref="L619">IFERROR(_xlfn.XLOOKUP(C619&amp;A619, ESPN!A:A&amp;ESPN!C:C, ESPN!D:D), "N/A")</f>
        <v>N/A</v>
      </c>
      <c r="M619" s="23" t="str" cm="1">
        <f t="array" ref="M619">IFERROR(_xlfn.XLOOKUP(C619&amp;A619, ESPN!A:A&amp;ESPN!C:C, ESPN!G:G), "N/A")</f>
        <v>N/A</v>
      </c>
      <c r="N619" s="23" t="str" cm="1">
        <f t="array" ref="N619">IFERROR(_xlfn.XLOOKUP(C619&amp;A619, ESPN!A:A&amp;ESPN!C:C, ESPN!H:H), "N/A")</f>
        <v>N/A</v>
      </c>
      <c r="O619" s="26" t="str" cm="1">
        <f t="array" ref="O619">IFERROR(_xlfn.XLOOKUP(C619&amp;A619, ESPN!A:A&amp;ESPN!C:C, ESPN!I:I), "N/A")</f>
        <v>N/A</v>
      </c>
      <c r="P619" s="26" t="str" cm="1">
        <f t="array" ref="P619">IFERROR(_xlfn.XLOOKUP(C619&amp;A619, ESPN!A:A&amp;ESPN!C:C, ESPN!J:J), "N/A")</f>
        <v>N/A</v>
      </c>
      <c r="Q619" s="26" t="str" cm="1">
        <f t="array" ref="Q619">IFERROR(_xlfn.XLOOKUP(C619&amp;A619, ESPN!A:A&amp;ESPN!C:C, ESPN!K:K), "N/A")</f>
        <v>N/A</v>
      </c>
    </row>
    <row r="620" spans="1:17" x14ac:dyDescent="0.45">
      <c r="A620" s="6">
        <v>2022</v>
      </c>
      <c r="B620" s="1" t="s">
        <v>382</v>
      </c>
      <c r="C620" s="2" t="str">
        <f t="shared" si="18"/>
        <v>Royce Freeman</v>
      </c>
      <c r="D620" s="2" t="str">
        <f t="shared" si="19"/>
        <v>HOU</v>
      </c>
      <c r="E620" s="2">
        <v>5</v>
      </c>
      <c r="F620" s="12">
        <v>8</v>
      </c>
      <c r="G620" s="11">
        <v>6</v>
      </c>
      <c r="H620" s="11">
        <v>33</v>
      </c>
      <c r="I620" s="11">
        <v>5.5</v>
      </c>
      <c r="J620" s="11">
        <v>0</v>
      </c>
      <c r="K620" s="11">
        <v>1</v>
      </c>
      <c r="L620" s="11" t="str" cm="1">
        <f t="array" ref="L620">IFERROR(_xlfn.XLOOKUP(C620&amp;A620, ESPN!A:A&amp;ESPN!C:C, ESPN!D:D), "N/A")</f>
        <v>N/A</v>
      </c>
      <c r="M620" s="23" t="str" cm="1">
        <f t="array" ref="M620">IFERROR(_xlfn.XLOOKUP(C620&amp;A620, ESPN!A:A&amp;ESPN!C:C, ESPN!G:G), "N/A")</f>
        <v>N/A</v>
      </c>
      <c r="N620" s="23" t="str" cm="1">
        <f t="array" ref="N620">IFERROR(_xlfn.XLOOKUP(C620&amp;A620, ESPN!A:A&amp;ESPN!C:C, ESPN!H:H), "N/A")</f>
        <v>N/A</v>
      </c>
      <c r="O620" s="26" t="str" cm="1">
        <f t="array" ref="O620">IFERROR(_xlfn.XLOOKUP(C620&amp;A620, ESPN!A:A&amp;ESPN!C:C, ESPN!I:I), "N/A")</f>
        <v>N/A</v>
      </c>
      <c r="P620" s="26" t="str" cm="1">
        <f t="array" ref="P620">IFERROR(_xlfn.XLOOKUP(C620&amp;A620, ESPN!A:A&amp;ESPN!C:C, ESPN!J:J), "N/A")</f>
        <v>N/A</v>
      </c>
      <c r="Q620" s="26" t="str" cm="1">
        <f t="array" ref="Q620">IFERROR(_xlfn.XLOOKUP(C620&amp;A620, ESPN!A:A&amp;ESPN!C:C, ESPN!K:K), "N/A")</f>
        <v>N/A</v>
      </c>
    </row>
    <row r="621" spans="1:17" x14ac:dyDescent="0.45">
      <c r="A621" s="7">
        <v>2022</v>
      </c>
      <c r="B621" s="3" t="s">
        <v>284</v>
      </c>
      <c r="C621" s="4" t="str">
        <f t="shared" si="18"/>
        <v>Kevin Harris</v>
      </c>
      <c r="D621" s="4" t="str">
        <f t="shared" si="19"/>
        <v>NE</v>
      </c>
      <c r="E621" s="4">
        <v>5</v>
      </c>
      <c r="F621" s="12">
        <v>0</v>
      </c>
      <c r="G621" s="11">
        <v>0</v>
      </c>
      <c r="H621" s="11">
        <v>0</v>
      </c>
      <c r="I621" s="11">
        <v>0</v>
      </c>
      <c r="J621" s="11">
        <v>0</v>
      </c>
      <c r="K621" s="11">
        <v>0</v>
      </c>
      <c r="L621" s="11" t="str" cm="1">
        <f t="array" ref="L621">IFERROR(_xlfn.XLOOKUP(C621&amp;A621, ESPN!A:A&amp;ESPN!C:C, ESPN!D:D), "N/A")</f>
        <v>N/A</v>
      </c>
      <c r="M621" s="23" t="str" cm="1">
        <f t="array" ref="M621">IFERROR(_xlfn.XLOOKUP(C621&amp;A621, ESPN!A:A&amp;ESPN!C:C, ESPN!G:G), "N/A")</f>
        <v>N/A</v>
      </c>
      <c r="N621" s="23" t="str" cm="1">
        <f t="array" ref="N621">IFERROR(_xlfn.XLOOKUP(C621&amp;A621, ESPN!A:A&amp;ESPN!C:C, ESPN!H:H), "N/A")</f>
        <v>N/A</v>
      </c>
      <c r="O621" s="26" t="str" cm="1">
        <f t="array" ref="O621">IFERROR(_xlfn.XLOOKUP(C621&amp;A621, ESPN!A:A&amp;ESPN!C:C, ESPN!I:I), "N/A")</f>
        <v>N/A</v>
      </c>
      <c r="P621" s="26" t="str" cm="1">
        <f t="array" ref="P621">IFERROR(_xlfn.XLOOKUP(C621&amp;A621, ESPN!A:A&amp;ESPN!C:C, ESPN!J:J), "N/A")</f>
        <v>N/A</v>
      </c>
      <c r="Q621" s="26" t="str" cm="1">
        <f t="array" ref="Q621">IFERROR(_xlfn.XLOOKUP(C621&amp;A621, ESPN!A:A&amp;ESPN!C:C, ESPN!K:K), "N/A")</f>
        <v>N/A</v>
      </c>
    </row>
    <row r="622" spans="1:17" x14ac:dyDescent="0.45">
      <c r="A622" s="6">
        <v>2022</v>
      </c>
      <c r="B622" s="1" t="s">
        <v>383</v>
      </c>
      <c r="C622" s="2" t="str">
        <f t="shared" si="18"/>
        <v>Snoop Conner</v>
      </c>
      <c r="D622" s="2" t="str">
        <f t="shared" si="19"/>
        <v>JAC</v>
      </c>
      <c r="E622" s="2">
        <v>5</v>
      </c>
      <c r="F622" s="12">
        <v>0</v>
      </c>
      <c r="G622" s="11">
        <v>0</v>
      </c>
      <c r="H622" s="11">
        <v>0</v>
      </c>
      <c r="I622" s="11">
        <v>0</v>
      </c>
      <c r="J622" s="11">
        <v>0</v>
      </c>
      <c r="K622" s="11">
        <v>0</v>
      </c>
      <c r="L622" s="11" t="str" cm="1">
        <f t="array" ref="L622">IFERROR(_xlfn.XLOOKUP(C622&amp;A622, ESPN!A:A&amp;ESPN!C:C, ESPN!D:D), "N/A")</f>
        <v>N/A</v>
      </c>
      <c r="M622" s="23" t="str" cm="1">
        <f t="array" ref="M622">IFERROR(_xlfn.XLOOKUP(C622&amp;A622, ESPN!A:A&amp;ESPN!C:C, ESPN!G:G), "N/A")</f>
        <v>N/A</v>
      </c>
      <c r="N622" s="23" t="str" cm="1">
        <f t="array" ref="N622">IFERROR(_xlfn.XLOOKUP(C622&amp;A622, ESPN!A:A&amp;ESPN!C:C, ESPN!H:H), "N/A")</f>
        <v>N/A</v>
      </c>
      <c r="O622" s="26" t="str" cm="1">
        <f t="array" ref="O622">IFERROR(_xlfn.XLOOKUP(C622&amp;A622, ESPN!A:A&amp;ESPN!C:C, ESPN!I:I), "N/A")</f>
        <v>N/A</v>
      </c>
      <c r="P622" s="26" t="str" cm="1">
        <f t="array" ref="P622">IFERROR(_xlfn.XLOOKUP(C622&amp;A622, ESPN!A:A&amp;ESPN!C:C, ESPN!J:J), "N/A")</f>
        <v>N/A</v>
      </c>
      <c r="Q622" s="26" t="str" cm="1">
        <f t="array" ref="Q622">IFERROR(_xlfn.XLOOKUP(C622&amp;A622, ESPN!A:A&amp;ESPN!C:C, ESPN!K:K), "N/A")</f>
        <v>N/A</v>
      </c>
    </row>
    <row r="623" spans="1:17" x14ac:dyDescent="0.45">
      <c r="A623" s="7">
        <v>2022</v>
      </c>
      <c r="B623" s="3" t="s">
        <v>307</v>
      </c>
      <c r="C623" s="4" t="str">
        <f t="shared" si="18"/>
        <v>Tyrion Davis-Price</v>
      </c>
      <c r="D623" s="4" t="str">
        <f t="shared" si="19"/>
        <v>SF</v>
      </c>
      <c r="E623" s="4">
        <v>5</v>
      </c>
      <c r="F623" s="12">
        <v>2</v>
      </c>
      <c r="G623" s="11">
        <v>0</v>
      </c>
      <c r="H623" s="11">
        <v>0</v>
      </c>
      <c r="I623" s="11">
        <v>0</v>
      </c>
      <c r="J623" s="11">
        <v>0</v>
      </c>
      <c r="K623" s="11">
        <v>0</v>
      </c>
      <c r="L623" s="11" t="str" cm="1">
        <f t="array" ref="L623">IFERROR(_xlfn.XLOOKUP(C623&amp;A623, ESPN!A:A&amp;ESPN!C:C, ESPN!D:D), "N/A")</f>
        <v>N/A</v>
      </c>
      <c r="M623" s="23" t="str" cm="1">
        <f t="array" ref="M623">IFERROR(_xlfn.XLOOKUP(C623&amp;A623, ESPN!A:A&amp;ESPN!C:C, ESPN!G:G), "N/A")</f>
        <v>N/A</v>
      </c>
      <c r="N623" s="23" t="str" cm="1">
        <f t="array" ref="N623">IFERROR(_xlfn.XLOOKUP(C623&amp;A623, ESPN!A:A&amp;ESPN!C:C, ESPN!H:H), "N/A")</f>
        <v>N/A</v>
      </c>
      <c r="O623" s="26" t="str" cm="1">
        <f t="array" ref="O623">IFERROR(_xlfn.XLOOKUP(C623&amp;A623, ESPN!A:A&amp;ESPN!C:C, ESPN!I:I), "N/A")</f>
        <v>N/A</v>
      </c>
      <c r="P623" s="26" t="str" cm="1">
        <f t="array" ref="P623">IFERROR(_xlfn.XLOOKUP(C623&amp;A623, ESPN!A:A&amp;ESPN!C:C, ESPN!J:J), "N/A")</f>
        <v>N/A</v>
      </c>
      <c r="Q623" s="26" t="str" cm="1">
        <f t="array" ref="Q623">IFERROR(_xlfn.XLOOKUP(C623&amp;A623, ESPN!A:A&amp;ESPN!C:C, ESPN!K:K), "N/A")</f>
        <v>N/A</v>
      </c>
    </row>
    <row r="624" spans="1:17" x14ac:dyDescent="0.45">
      <c r="A624" s="6">
        <v>2022</v>
      </c>
      <c r="B624" s="1" t="s">
        <v>319</v>
      </c>
      <c r="C624" s="2" t="str">
        <f t="shared" si="18"/>
        <v>Chris Evans</v>
      </c>
      <c r="D624" s="2" t="str">
        <f t="shared" si="19"/>
        <v>CIN</v>
      </c>
      <c r="E624" s="2">
        <v>10</v>
      </c>
      <c r="F624" s="12">
        <v>4</v>
      </c>
      <c r="G624" s="11">
        <v>3</v>
      </c>
      <c r="H624" s="11">
        <v>38</v>
      </c>
      <c r="I624" s="11">
        <v>12.7</v>
      </c>
      <c r="J624" s="11">
        <v>1</v>
      </c>
      <c r="K624" s="11">
        <v>0</v>
      </c>
      <c r="L624" s="11" t="str" cm="1">
        <f t="array" ref="L624">IFERROR(_xlfn.XLOOKUP(C624&amp;A624, ESPN!A:A&amp;ESPN!C:C, ESPN!D:D), "N/A")</f>
        <v>N/A</v>
      </c>
      <c r="M624" s="23" t="str" cm="1">
        <f t="array" ref="M624">IFERROR(_xlfn.XLOOKUP(C624&amp;A624, ESPN!A:A&amp;ESPN!C:C, ESPN!G:G), "N/A")</f>
        <v>N/A</v>
      </c>
      <c r="N624" s="23" t="str" cm="1">
        <f t="array" ref="N624">IFERROR(_xlfn.XLOOKUP(C624&amp;A624, ESPN!A:A&amp;ESPN!C:C, ESPN!H:H), "N/A")</f>
        <v>N/A</v>
      </c>
      <c r="O624" s="26" t="str" cm="1">
        <f t="array" ref="O624">IFERROR(_xlfn.XLOOKUP(C624&amp;A624, ESPN!A:A&amp;ESPN!C:C, ESPN!I:I), "N/A")</f>
        <v>N/A</v>
      </c>
      <c r="P624" s="26" t="str" cm="1">
        <f t="array" ref="P624">IFERROR(_xlfn.XLOOKUP(C624&amp;A624, ESPN!A:A&amp;ESPN!C:C, ESPN!J:J), "N/A")</f>
        <v>N/A</v>
      </c>
      <c r="Q624" s="26" t="str" cm="1">
        <f t="array" ref="Q624">IFERROR(_xlfn.XLOOKUP(C624&amp;A624, ESPN!A:A&amp;ESPN!C:C, ESPN!K:K), "N/A")</f>
        <v>N/A</v>
      </c>
    </row>
    <row r="625" spans="1:17" x14ac:dyDescent="0.45">
      <c r="A625" s="7">
        <v>2022</v>
      </c>
      <c r="B625" s="3" t="s">
        <v>232</v>
      </c>
      <c r="C625" s="4" t="str">
        <f t="shared" si="18"/>
        <v>Darrynton Evans</v>
      </c>
      <c r="D625" s="4" t="str">
        <f t="shared" si="19"/>
        <v>CHI</v>
      </c>
      <c r="E625" s="4">
        <v>3</v>
      </c>
      <c r="F625" s="12">
        <v>1</v>
      </c>
      <c r="G625" s="11">
        <v>1</v>
      </c>
      <c r="H625" s="11">
        <v>33</v>
      </c>
      <c r="I625" s="11">
        <v>33</v>
      </c>
      <c r="J625" s="11">
        <v>0</v>
      </c>
      <c r="K625" s="11">
        <v>0</v>
      </c>
      <c r="L625" s="11" t="str" cm="1">
        <f t="array" ref="L625">IFERROR(_xlfn.XLOOKUP(C625&amp;A625, ESPN!A:A&amp;ESPN!C:C, ESPN!D:D), "N/A")</f>
        <v>N/A</v>
      </c>
      <c r="M625" s="23" t="str" cm="1">
        <f t="array" ref="M625">IFERROR(_xlfn.XLOOKUP(C625&amp;A625, ESPN!A:A&amp;ESPN!C:C, ESPN!G:G), "N/A")</f>
        <v>N/A</v>
      </c>
      <c r="N625" s="23" t="str" cm="1">
        <f t="array" ref="N625">IFERROR(_xlfn.XLOOKUP(C625&amp;A625, ESPN!A:A&amp;ESPN!C:C, ESPN!H:H), "N/A")</f>
        <v>N/A</v>
      </c>
      <c r="O625" s="26" t="str" cm="1">
        <f t="array" ref="O625">IFERROR(_xlfn.XLOOKUP(C625&amp;A625, ESPN!A:A&amp;ESPN!C:C, ESPN!I:I), "N/A")</f>
        <v>N/A</v>
      </c>
      <c r="P625" s="26" t="str" cm="1">
        <f t="array" ref="P625">IFERROR(_xlfn.XLOOKUP(C625&amp;A625, ESPN!A:A&amp;ESPN!C:C, ESPN!J:J), "N/A")</f>
        <v>N/A</v>
      </c>
      <c r="Q625" s="26" t="str" cm="1">
        <f t="array" ref="Q625">IFERROR(_xlfn.XLOOKUP(C625&amp;A625, ESPN!A:A&amp;ESPN!C:C, ESPN!K:K), "N/A")</f>
        <v>N/A</v>
      </c>
    </row>
    <row r="626" spans="1:17" x14ac:dyDescent="0.45">
      <c r="A626" s="6">
        <v>2022</v>
      </c>
      <c r="B626" s="1" t="s">
        <v>314</v>
      </c>
      <c r="C626" s="2" t="str">
        <f t="shared" si="18"/>
        <v>Kene Nwangwu</v>
      </c>
      <c r="D626" s="2" t="str">
        <f t="shared" si="19"/>
        <v>MIN</v>
      </c>
      <c r="E626" s="2">
        <v>14</v>
      </c>
      <c r="F626" s="12">
        <v>2</v>
      </c>
      <c r="G626" s="11">
        <v>2</v>
      </c>
      <c r="H626" s="11">
        <v>21</v>
      </c>
      <c r="I626" s="11">
        <v>10.5</v>
      </c>
      <c r="J626" s="11">
        <v>0</v>
      </c>
      <c r="K626" s="11">
        <v>0</v>
      </c>
      <c r="L626" s="11" t="str" cm="1">
        <f t="array" ref="L626">IFERROR(_xlfn.XLOOKUP(C626&amp;A626, ESPN!A:A&amp;ESPN!C:C, ESPN!D:D), "N/A")</f>
        <v>N/A</v>
      </c>
      <c r="M626" s="23" t="str" cm="1">
        <f t="array" ref="M626">IFERROR(_xlfn.XLOOKUP(C626&amp;A626, ESPN!A:A&amp;ESPN!C:C, ESPN!G:G), "N/A")</f>
        <v>N/A</v>
      </c>
      <c r="N626" s="23" t="str" cm="1">
        <f t="array" ref="N626">IFERROR(_xlfn.XLOOKUP(C626&amp;A626, ESPN!A:A&amp;ESPN!C:C, ESPN!H:H), "N/A")</f>
        <v>N/A</v>
      </c>
      <c r="O626" s="26" t="str" cm="1">
        <f t="array" ref="O626">IFERROR(_xlfn.XLOOKUP(C626&amp;A626, ESPN!A:A&amp;ESPN!C:C, ESPN!I:I), "N/A")</f>
        <v>N/A</v>
      </c>
      <c r="P626" s="26" t="str" cm="1">
        <f t="array" ref="P626">IFERROR(_xlfn.XLOOKUP(C626&amp;A626, ESPN!A:A&amp;ESPN!C:C, ESPN!J:J), "N/A")</f>
        <v>N/A</v>
      </c>
      <c r="Q626" s="26" t="str" cm="1">
        <f t="array" ref="Q626">IFERROR(_xlfn.XLOOKUP(C626&amp;A626, ESPN!A:A&amp;ESPN!C:C, ESPN!K:K), "N/A")</f>
        <v>N/A</v>
      </c>
    </row>
    <row r="627" spans="1:17" x14ac:dyDescent="0.45">
      <c r="A627" s="7">
        <v>2022</v>
      </c>
      <c r="B627" s="3" t="s">
        <v>144</v>
      </c>
      <c r="C627" s="4" t="str">
        <f t="shared" si="18"/>
        <v>Patrick Ricard</v>
      </c>
      <c r="D627" s="4" t="str">
        <f t="shared" si="19"/>
        <v>BAL</v>
      </c>
      <c r="E627" s="4">
        <v>13</v>
      </c>
      <c r="F627" s="12">
        <v>13</v>
      </c>
      <c r="G627" s="11">
        <v>11</v>
      </c>
      <c r="H627" s="11">
        <v>74</v>
      </c>
      <c r="I627" s="11">
        <v>6.7</v>
      </c>
      <c r="J627" s="11">
        <v>0</v>
      </c>
      <c r="K627" s="11">
        <v>0</v>
      </c>
      <c r="L627" s="11" t="str" cm="1">
        <f t="array" ref="L627">IFERROR(_xlfn.XLOOKUP(C627&amp;A627, ESPN!A:A&amp;ESPN!C:C, ESPN!D:D), "N/A")</f>
        <v>N/A</v>
      </c>
      <c r="M627" s="23" t="str" cm="1">
        <f t="array" ref="M627">IFERROR(_xlfn.XLOOKUP(C627&amp;A627, ESPN!A:A&amp;ESPN!C:C, ESPN!G:G), "N/A")</f>
        <v>N/A</v>
      </c>
      <c r="N627" s="23" t="str" cm="1">
        <f t="array" ref="N627">IFERROR(_xlfn.XLOOKUP(C627&amp;A627, ESPN!A:A&amp;ESPN!C:C, ESPN!H:H), "N/A")</f>
        <v>N/A</v>
      </c>
      <c r="O627" s="26" t="str" cm="1">
        <f t="array" ref="O627">IFERROR(_xlfn.XLOOKUP(C627&amp;A627, ESPN!A:A&amp;ESPN!C:C, ESPN!I:I), "N/A")</f>
        <v>N/A</v>
      </c>
      <c r="P627" s="26" t="str" cm="1">
        <f t="array" ref="P627">IFERROR(_xlfn.XLOOKUP(C627&amp;A627, ESPN!A:A&amp;ESPN!C:C, ESPN!J:J), "N/A")</f>
        <v>N/A</v>
      </c>
      <c r="Q627" s="26" t="str" cm="1">
        <f t="array" ref="Q627">IFERROR(_xlfn.XLOOKUP(C627&amp;A627, ESPN!A:A&amp;ESPN!C:C, ESPN!K:K), "N/A")</f>
        <v>N/A</v>
      </c>
    </row>
    <row r="628" spans="1:17" x14ac:dyDescent="0.45">
      <c r="A628" s="6">
        <v>2022</v>
      </c>
      <c r="B628" s="1" t="s">
        <v>384</v>
      </c>
      <c r="C628" s="2" t="str">
        <f t="shared" si="18"/>
        <v>Phillip Lindsay</v>
      </c>
      <c r="D628" s="2" t="str">
        <f t="shared" si="19"/>
        <v>IND</v>
      </c>
      <c r="E628" s="2">
        <v>3</v>
      </c>
      <c r="F628" s="12">
        <v>8</v>
      </c>
      <c r="G628" s="11">
        <v>6</v>
      </c>
      <c r="H628" s="11">
        <v>19</v>
      </c>
      <c r="I628" s="11">
        <v>3.2</v>
      </c>
      <c r="J628" s="11">
        <v>0</v>
      </c>
      <c r="K628" s="11">
        <v>0</v>
      </c>
      <c r="L628" s="11" t="str" cm="1">
        <f t="array" ref="L628">IFERROR(_xlfn.XLOOKUP(C628&amp;A628, ESPN!A:A&amp;ESPN!C:C, ESPN!D:D), "N/A")</f>
        <v>N/A</v>
      </c>
      <c r="M628" s="23" t="str" cm="1">
        <f t="array" ref="M628">IFERROR(_xlfn.XLOOKUP(C628&amp;A628, ESPN!A:A&amp;ESPN!C:C, ESPN!G:G), "N/A")</f>
        <v>N/A</v>
      </c>
      <c r="N628" s="23" t="str" cm="1">
        <f t="array" ref="N628">IFERROR(_xlfn.XLOOKUP(C628&amp;A628, ESPN!A:A&amp;ESPN!C:C, ESPN!H:H), "N/A")</f>
        <v>N/A</v>
      </c>
      <c r="O628" s="26" t="str" cm="1">
        <f t="array" ref="O628">IFERROR(_xlfn.XLOOKUP(C628&amp;A628, ESPN!A:A&amp;ESPN!C:C, ESPN!I:I), "N/A")</f>
        <v>N/A</v>
      </c>
      <c r="P628" s="26" t="str" cm="1">
        <f t="array" ref="P628">IFERROR(_xlfn.XLOOKUP(C628&amp;A628, ESPN!A:A&amp;ESPN!C:C, ESPN!J:J), "N/A")</f>
        <v>N/A</v>
      </c>
      <c r="Q628" s="26" t="str" cm="1">
        <f t="array" ref="Q628">IFERROR(_xlfn.XLOOKUP(C628&amp;A628, ESPN!A:A&amp;ESPN!C:C, ESPN!K:K), "N/A")</f>
        <v>N/A</v>
      </c>
    </row>
    <row r="629" spans="1:17" x14ac:dyDescent="0.45">
      <c r="A629" s="7">
        <v>2022</v>
      </c>
      <c r="B629" s="3" t="s">
        <v>385</v>
      </c>
      <c r="C629" s="4" t="str">
        <f t="shared" si="18"/>
        <v>Jordan Wilkins</v>
      </c>
      <c r="D629" s="4" t="str">
        <f t="shared" si="19"/>
        <v>IND</v>
      </c>
      <c r="E629" s="4">
        <v>4</v>
      </c>
      <c r="F629" s="12">
        <v>8</v>
      </c>
      <c r="G629" s="11">
        <v>6</v>
      </c>
      <c r="H629" s="11">
        <v>29</v>
      </c>
      <c r="I629" s="11">
        <v>4.8</v>
      </c>
      <c r="J629" s="11">
        <v>0</v>
      </c>
      <c r="K629" s="11">
        <v>0</v>
      </c>
      <c r="L629" s="11" t="str" cm="1">
        <f t="array" ref="L629">IFERROR(_xlfn.XLOOKUP(C629&amp;A629, ESPN!A:A&amp;ESPN!C:C, ESPN!D:D), "N/A")</f>
        <v>N/A</v>
      </c>
      <c r="M629" s="23" t="str" cm="1">
        <f t="array" ref="M629">IFERROR(_xlfn.XLOOKUP(C629&amp;A629, ESPN!A:A&amp;ESPN!C:C, ESPN!G:G), "N/A")</f>
        <v>N/A</v>
      </c>
      <c r="N629" s="23" t="str" cm="1">
        <f t="array" ref="N629">IFERROR(_xlfn.XLOOKUP(C629&amp;A629, ESPN!A:A&amp;ESPN!C:C, ESPN!H:H), "N/A")</f>
        <v>N/A</v>
      </c>
      <c r="O629" s="26" t="str" cm="1">
        <f t="array" ref="O629">IFERROR(_xlfn.XLOOKUP(C629&amp;A629, ESPN!A:A&amp;ESPN!C:C, ESPN!I:I), "N/A")</f>
        <v>N/A</v>
      </c>
      <c r="P629" s="26" t="str" cm="1">
        <f t="array" ref="P629">IFERROR(_xlfn.XLOOKUP(C629&amp;A629, ESPN!A:A&amp;ESPN!C:C, ESPN!J:J), "N/A")</f>
        <v>N/A</v>
      </c>
      <c r="Q629" s="26" t="str" cm="1">
        <f t="array" ref="Q629">IFERROR(_xlfn.XLOOKUP(C629&amp;A629, ESPN!A:A&amp;ESPN!C:C, ESPN!K:K), "N/A")</f>
        <v>N/A</v>
      </c>
    </row>
    <row r="630" spans="1:17" x14ac:dyDescent="0.45">
      <c r="A630" s="6">
        <v>2022</v>
      </c>
      <c r="B630" s="1" t="s">
        <v>124</v>
      </c>
      <c r="C630" s="2" t="str">
        <f t="shared" si="18"/>
        <v>Tyler Badie</v>
      </c>
      <c r="D630" s="2" t="str">
        <f t="shared" si="19"/>
        <v>DEN</v>
      </c>
      <c r="E630" s="2">
        <v>1</v>
      </c>
      <c r="F630" s="12">
        <v>1</v>
      </c>
      <c r="G630" s="11">
        <v>1</v>
      </c>
      <c r="H630" s="11">
        <v>24</v>
      </c>
      <c r="I630" s="11">
        <v>24</v>
      </c>
      <c r="J630" s="11">
        <v>1</v>
      </c>
      <c r="K630" s="11">
        <v>0</v>
      </c>
      <c r="L630" s="11" t="str" cm="1">
        <f t="array" ref="L630">IFERROR(_xlfn.XLOOKUP(C630&amp;A630, ESPN!A:A&amp;ESPN!C:C, ESPN!D:D), "N/A")</f>
        <v>N/A</v>
      </c>
      <c r="M630" s="23" t="str" cm="1">
        <f t="array" ref="M630">IFERROR(_xlfn.XLOOKUP(C630&amp;A630, ESPN!A:A&amp;ESPN!C:C, ESPN!G:G), "N/A")</f>
        <v>N/A</v>
      </c>
      <c r="N630" s="23" t="str" cm="1">
        <f t="array" ref="N630">IFERROR(_xlfn.XLOOKUP(C630&amp;A630, ESPN!A:A&amp;ESPN!C:C, ESPN!H:H), "N/A")</f>
        <v>N/A</v>
      </c>
      <c r="O630" s="26" t="str" cm="1">
        <f t="array" ref="O630">IFERROR(_xlfn.XLOOKUP(C630&amp;A630, ESPN!A:A&amp;ESPN!C:C, ESPN!I:I), "N/A")</f>
        <v>N/A</v>
      </c>
      <c r="P630" s="26" t="str" cm="1">
        <f t="array" ref="P630">IFERROR(_xlfn.XLOOKUP(C630&amp;A630, ESPN!A:A&amp;ESPN!C:C, ESPN!J:J), "N/A")</f>
        <v>N/A</v>
      </c>
      <c r="Q630" s="26" t="str" cm="1">
        <f t="array" ref="Q630">IFERROR(_xlfn.XLOOKUP(C630&amp;A630, ESPN!A:A&amp;ESPN!C:C, ESPN!K:K), "N/A")</f>
        <v>N/A</v>
      </c>
    </row>
    <row r="631" spans="1:17" x14ac:dyDescent="0.45">
      <c r="A631" s="7">
        <v>2022</v>
      </c>
      <c r="B631" s="3" t="s">
        <v>386</v>
      </c>
      <c r="C631" s="4" t="str">
        <f t="shared" si="18"/>
        <v>Jaret Patterson</v>
      </c>
      <c r="D631" s="4" t="str">
        <f t="shared" si="19"/>
        <v>WAS</v>
      </c>
      <c r="E631" s="4">
        <v>2</v>
      </c>
      <c r="F631" s="12">
        <v>1</v>
      </c>
      <c r="G631" s="11">
        <v>0</v>
      </c>
      <c r="H631" s="11">
        <v>0</v>
      </c>
      <c r="I631" s="11">
        <v>0</v>
      </c>
      <c r="J631" s="11">
        <v>0</v>
      </c>
      <c r="K631" s="11">
        <v>0</v>
      </c>
      <c r="L631" s="11" t="str" cm="1">
        <f t="array" ref="L631">IFERROR(_xlfn.XLOOKUP(C631&amp;A631, ESPN!A:A&amp;ESPN!C:C, ESPN!D:D), "N/A")</f>
        <v>N/A</v>
      </c>
      <c r="M631" s="23" t="str" cm="1">
        <f t="array" ref="M631">IFERROR(_xlfn.XLOOKUP(C631&amp;A631, ESPN!A:A&amp;ESPN!C:C, ESPN!G:G), "N/A")</f>
        <v>N/A</v>
      </c>
      <c r="N631" s="23" t="str" cm="1">
        <f t="array" ref="N631">IFERROR(_xlfn.XLOOKUP(C631&amp;A631, ESPN!A:A&amp;ESPN!C:C, ESPN!H:H), "N/A")</f>
        <v>N/A</v>
      </c>
      <c r="O631" s="26" t="str" cm="1">
        <f t="array" ref="O631">IFERROR(_xlfn.XLOOKUP(C631&amp;A631, ESPN!A:A&amp;ESPN!C:C, ESPN!I:I), "N/A")</f>
        <v>N/A</v>
      </c>
      <c r="P631" s="26" t="str" cm="1">
        <f t="array" ref="P631">IFERROR(_xlfn.XLOOKUP(C631&amp;A631, ESPN!A:A&amp;ESPN!C:C, ESPN!J:J), "N/A")</f>
        <v>N/A</v>
      </c>
      <c r="Q631" s="26" t="str" cm="1">
        <f t="array" ref="Q631">IFERROR(_xlfn.XLOOKUP(C631&amp;A631, ESPN!A:A&amp;ESPN!C:C, ESPN!K:K), "N/A")</f>
        <v>N/A</v>
      </c>
    </row>
    <row r="632" spans="1:17" x14ac:dyDescent="0.45">
      <c r="A632" s="6">
        <v>2022</v>
      </c>
      <c r="B632" s="1" t="s">
        <v>299</v>
      </c>
      <c r="C632" s="2" t="str">
        <f t="shared" si="18"/>
        <v>Ty Montgomery II</v>
      </c>
      <c r="D632" s="2" t="str">
        <f t="shared" si="19"/>
        <v>NE</v>
      </c>
      <c r="E632" s="2">
        <v>1</v>
      </c>
      <c r="F632" s="12">
        <v>4</v>
      </c>
      <c r="G632" s="11">
        <v>3</v>
      </c>
      <c r="H632" s="11">
        <v>15</v>
      </c>
      <c r="I632" s="11">
        <v>5</v>
      </c>
      <c r="J632" s="11">
        <v>1</v>
      </c>
      <c r="K632" s="11">
        <v>0</v>
      </c>
      <c r="L632" s="11" t="str" cm="1">
        <f t="array" ref="L632">IFERROR(_xlfn.XLOOKUP(C632&amp;A632, ESPN!A:A&amp;ESPN!C:C, ESPN!D:D), "N/A")</f>
        <v>N/A</v>
      </c>
      <c r="M632" s="23" t="str" cm="1">
        <f t="array" ref="M632">IFERROR(_xlfn.XLOOKUP(C632&amp;A632, ESPN!A:A&amp;ESPN!C:C, ESPN!G:G), "N/A")</f>
        <v>N/A</v>
      </c>
      <c r="N632" s="23" t="str" cm="1">
        <f t="array" ref="N632">IFERROR(_xlfn.XLOOKUP(C632&amp;A632, ESPN!A:A&amp;ESPN!C:C, ESPN!H:H), "N/A")</f>
        <v>N/A</v>
      </c>
      <c r="O632" s="26" t="str" cm="1">
        <f t="array" ref="O632">IFERROR(_xlfn.XLOOKUP(C632&amp;A632, ESPN!A:A&amp;ESPN!C:C, ESPN!I:I), "N/A")</f>
        <v>N/A</v>
      </c>
      <c r="P632" s="26" t="str" cm="1">
        <f t="array" ref="P632">IFERROR(_xlfn.XLOOKUP(C632&amp;A632, ESPN!A:A&amp;ESPN!C:C, ESPN!J:J), "N/A")</f>
        <v>N/A</v>
      </c>
      <c r="Q632" s="26" t="str" cm="1">
        <f t="array" ref="Q632">IFERROR(_xlfn.XLOOKUP(C632&amp;A632, ESPN!A:A&amp;ESPN!C:C, ESPN!K:K), "N/A")</f>
        <v>N/A</v>
      </c>
    </row>
    <row r="633" spans="1:17" x14ac:dyDescent="0.45">
      <c r="A633" s="7">
        <v>2022</v>
      </c>
      <c r="B633" s="3" t="s">
        <v>300</v>
      </c>
      <c r="C633" s="4" t="str">
        <f t="shared" si="18"/>
        <v>Ke'Shawn Vaughn</v>
      </c>
      <c r="D633" s="4" t="str">
        <f t="shared" si="19"/>
        <v>TB</v>
      </c>
      <c r="E633" s="4">
        <v>9</v>
      </c>
      <c r="F633" s="12">
        <v>4</v>
      </c>
      <c r="G633" s="11">
        <v>3</v>
      </c>
      <c r="H633" s="11">
        <v>19</v>
      </c>
      <c r="I633" s="11">
        <v>6.3</v>
      </c>
      <c r="J633" s="11">
        <v>0</v>
      </c>
      <c r="K633" s="11">
        <v>0</v>
      </c>
      <c r="L633" s="11" t="str" cm="1">
        <f t="array" ref="L633">IFERROR(_xlfn.XLOOKUP(C633&amp;A633, ESPN!A:A&amp;ESPN!C:C, ESPN!D:D), "N/A")</f>
        <v>N/A</v>
      </c>
      <c r="M633" s="23" t="str" cm="1">
        <f t="array" ref="M633">IFERROR(_xlfn.XLOOKUP(C633&amp;A633, ESPN!A:A&amp;ESPN!C:C, ESPN!G:G), "N/A")</f>
        <v>N/A</v>
      </c>
      <c r="N633" s="23" t="str" cm="1">
        <f t="array" ref="N633">IFERROR(_xlfn.XLOOKUP(C633&amp;A633, ESPN!A:A&amp;ESPN!C:C, ESPN!H:H), "N/A")</f>
        <v>N/A</v>
      </c>
      <c r="O633" s="26" t="str" cm="1">
        <f t="array" ref="O633">IFERROR(_xlfn.XLOOKUP(C633&amp;A633, ESPN!A:A&amp;ESPN!C:C, ESPN!I:I), "N/A")</f>
        <v>N/A</v>
      </c>
      <c r="P633" s="26" t="str" cm="1">
        <f t="array" ref="P633">IFERROR(_xlfn.XLOOKUP(C633&amp;A633, ESPN!A:A&amp;ESPN!C:C, ESPN!J:J), "N/A")</f>
        <v>N/A</v>
      </c>
      <c r="Q633" s="26" t="str" cm="1">
        <f t="array" ref="Q633">IFERROR(_xlfn.XLOOKUP(C633&amp;A633, ESPN!A:A&amp;ESPN!C:C, ESPN!K:K), "N/A")</f>
        <v>N/A</v>
      </c>
    </row>
    <row r="634" spans="1:17" x14ac:dyDescent="0.45">
      <c r="A634" s="6">
        <v>2022</v>
      </c>
      <c r="B634" s="1" t="s">
        <v>118</v>
      </c>
      <c r="C634" s="2" t="str">
        <f t="shared" si="18"/>
        <v>Zamir White</v>
      </c>
      <c r="D634" s="2" t="str">
        <f t="shared" si="19"/>
        <v>LV</v>
      </c>
      <c r="E634" s="2">
        <v>11</v>
      </c>
      <c r="F634" s="12">
        <v>0</v>
      </c>
      <c r="G634" s="11">
        <v>0</v>
      </c>
      <c r="H634" s="11">
        <v>0</v>
      </c>
      <c r="I634" s="11">
        <v>0</v>
      </c>
      <c r="J634" s="11">
        <v>0</v>
      </c>
      <c r="K634" s="11">
        <v>0</v>
      </c>
      <c r="L634" s="11" t="str" cm="1">
        <f t="array" ref="L634">IFERROR(_xlfn.XLOOKUP(C634&amp;A634, ESPN!A:A&amp;ESPN!C:C, ESPN!D:D), "N/A")</f>
        <v>N/A</v>
      </c>
      <c r="M634" s="23" t="str" cm="1">
        <f t="array" ref="M634">IFERROR(_xlfn.XLOOKUP(C634&amp;A634, ESPN!A:A&amp;ESPN!C:C, ESPN!G:G), "N/A")</f>
        <v>N/A</v>
      </c>
      <c r="N634" s="23" t="str" cm="1">
        <f t="array" ref="N634">IFERROR(_xlfn.XLOOKUP(C634&amp;A634, ESPN!A:A&amp;ESPN!C:C, ESPN!H:H), "N/A")</f>
        <v>N/A</v>
      </c>
      <c r="O634" s="26" t="str" cm="1">
        <f t="array" ref="O634">IFERROR(_xlfn.XLOOKUP(C634&amp;A634, ESPN!A:A&amp;ESPN!C:C, ESPN!I:I), "N/A")</f>
        <v>N/A</v>
      </c>
      <c r="P634" s="26" t="str" cm="1">
        <f t="array" ref="P634">IFERROR(_xlfn.XLOOKUP(C634&amp;A634, ESPN!A:A&amp;ESPN!C:C, ESPN!J:J), "N/A")</f>
        <v>N/A</v>
      </c>
      <c r="Q634" s="26" t="str" cm="1">
        <f t="array" ref="Q634">IFERROR(_xlfn.XLOOKUP(C634&amp;A634, ESPN!A:A&amp;ESPN!C:C, ESPN!K:K), "N/A")</f>
        <v>N/A</v>
      </c>
    </row>
    <row r="635" spans="1:17" x14ac:dyDescent="0.45">
      <c r="A635" s="7">
        <v>2022</v>
      </c>
      <c r="B635" s="3" t="s">
        <v>236</v>
      </c>
      <c r="C635" s="4" t="str">
        <f t="shared" si="18"/>
        <v>Trayveon Williams</v>
      </c>
      <c r="D635" s="4" t="str">
        <f t="shared" si="19"/>
        <v>CIN</v>
      </c>
      <c r="E635" s="4">
        <v>9</v>
      </c>
      <c r="F635" s="12">
        <v>3</v>
      </c>
      <c r="G635" s="11">
        <v>2</v>
      </c>
      <c r="H635" s="11">
        <v>30</v>
      </c>
      <c r="I635" s="11">
        <v>15</v>
      </c>
      <c r="J635" s="11">
        <v>0</v>
      </c>
      <c r="K635" s="11">
        <v>0</v>
      </c>
      <c r="L635" s="11" t="str" cm="1">
        <f t="array" ref="L635">IFERROR(_xlfn.XLOOKUP(C635&amp;A635, ESPN!A:A&amp;ESPN!C:C, ESPN!D:D), "N/A")</f>
        <v>N/A</v>
      </c>
      <c r="M635" s="23" t="str" cm="1">
        <f t="array" ref="M635">IFERROR(_xlfn.XLOOKUP(C635&amp;A635, ESPN!A:A&amp;ESPN!C:C, ESPN!G:G), "N/A")</f>
        <v>N/A</v>
      </c>
      <c r="N635" s="23" t="str" cm="1">
        <f t="array" ref="N635">IFERROR(_xlfn.XLOOKUP(C635&amp;A635, ESPN!A:A&amp;ESPN!C:C, ESPN!H:H), "N/A")</f>
        <v>N/A</v>
      </c>
      <c r="O635" s="26" t="str" cm="1">
        <f t="array" ref="O635">IFERROR(_xlfn.XLOOKUP(C635&amp;A635, ESPN!A:A&amp;ESPN!C:C, ESPN!I:I), "N/A")</f>
        <v>N/A</v>
      </c>
      <c r="P635" s="26" t="str" cm="1">
        <f t="array" ref="P635">IFERROR(_xlfn.XLOOKUP(C635&amp;A635, ESPN!A:A&amp;ESPN!C:C, ESPN!J:J), "N/A")</f>
        <v>N/A</v>
      </c>
      <c r="Q635" s="26" t="str" cm="1">
        <f t="array" ref="Q635">IFERROR(_xlfn.XLOOKUP(C635&amp;A635, ESPN!A:A&amp;ESPN!C:C, ESPN!K:K), "N/A")</f>
        <v>N/A</v>
      </c>
    </row>
    <row r="636" spans="1:17" x14ac:dyDescent="0.45">
      <c r="A636" s="6">
        <v>2022</v>
      </c>
      <c r="B636" s="1" t="s">
        <v>387</v>
      </c>
      <c r="C636" s="2" t="str">
        <f t="shared" si="18"/>
        <v>Myles Gaskin</v>
      </c>
      <c r="D636" s="2" t="str">
        <f t="shared" si="19"/>
        <v>MIA</v>
      </c>
      <c r="E636" s="2">
        <v>2</v>
      </c>
      <c r="F636" s="12">
        <v>6</v>
      </c>
      <c r="G636" s="11">
        <v>4</v>
      </c>
      <c r="H636" s="11">
        <v>28</v>
      </c>
      <c r="I636" s="11">
        <v>7</v>
      </c>
      <c r="J636" s="11">
        <v>0</v>
      </c>
      <c r="K636" s="11">
        <v>0</v>
      </c>
      <c r="L636" s="11" t="str" cm="1">
        <f t="array" ref="L636">IFERROR(_xlfn.XLOOKUP(C636&amp;A636, ESPN!A:A&amp;ESPN!C:C, ESPN!D:D), "N/A")</f>
        <v>N/A</v>
      </c>
      <c r="M636" s="23" t="str" cm="1">
        <f t="array" ref="M636">IFERROR(_xlfn.XLOOKUP(C636&amp;A636, ESPN!A:A&amp;ESPN!C:C, ESPN!G:G), "N/A")</f>
        <v>N/A</v>
      </c>
      <c r="N636" s="23" t="str" cm="1">
        <f t="array" ref="N636">IFERROR(_xlfn.XLOOKUP(C636&amp;A636, ESPN!A:A&amp;ESPN!C:C, ESPN!H:H), "N/A")</f>
        <v>N/A</v>
      </c>
      <c r="O636" s="26" t="str" cm="1">
        <f t="array" ref="O636">IFERROR(_xlfn.XLOOKUP(C636&amp;A636, ESPN!A:A&amp;ESPN!C:C, ESPN!I:I), "N/A")</f>
        <v>N/A</v>
      </c>
      <c r="P636" s="26" t="str" cm="1">
        <f t="array" ref="P636">IFERROR(_xlfn.XLOOKUP(C636&amp;A636, ESPN!A:A&amp;ESPN!C:C, ESPN!J:J), "N/A")</f>
        <v>N/A</v>
      </c>
      <c r="Q636" s="26" t="str" cm="1">
        <f t="array" ref="Q636">IFERROR(_xlfn.XLOOKUP(C636&amp;A636, ESPN!A:A&amp;ESPN!C:C, ESPN!K:K), "N/A")</f>
        <v>N/A</v>
      </c>
    </row>
    <row r="637" spans="1:17" x14ac:dyDescent="0.45">
      <c r="A637" s="7">
        <v>2022</v>
      </c>
      <c r="B637" s="3" t="s">
        <v>388</v>
      </c>
      <c r="C637" s="4" t="str">
        <f t="shared" si="18"/>
        <v>Tony Jones Jr.</v>
      </c>
      <c r="D637" s="4" t="str">
        <f t="shared" si="19"/>
        <v>SEA</v>
      </c>
      <c r="E637" s="4">
        <v>3</v>
      </c>
      <c r="F637" s="12">
        <v>8</v>
      </c>
      <c r="G637" s="11">
        <v>5</v>
      </c>
      <c r="H637" s="11">
        <v>30</v>
      </c>
      <c r="I637" s="11">
        <v>6</v>
      </c>
      <c r="J637" s="11">
        <v>0</v>
      </c>
      <c r="K637" s="11">
        <v>0</v>
      </c>
      <c r="L637" s="11" t="str" cm="1">
        <f t="array" ref="L637">IFERROR(_xlfn.XLOOKUP(C637&amp;A637, ESPN!A:A&amp;ESPN!C:C, ESPN!D:D), "N/A")</f>
        <v>N/A</v>
      </c>
      <c r="M637" s="23" t="str" cm="1">
        <f t="array" ref="M637">IFERROR(_xlfn.XLOOKUP(C637&amp;A637, ESPN!A:A&amp;ESPN!C:C, ESPN!G:G), "N/A")</f>
        <v>N/A</v>
      </c>
      <c r="N637" s="23" t="str" cm="1">
        <f t="array" ref="N637">IFERROR(_xlfn.XLOOKUP(C637&amp;A637, ESPN!A:A&amp;ESPN!C:C, ESPN!H:H), "N/A")</f>
        <v>N/A</v>
      </c>
      <c r="O637" s="26" t="str" cm="1">
        <f t="array" ref="O637">IFERROR(_xlfn.XLOOKUP(C637&amp;A637, ESPN!A:A&amp;ESPN!C:C, ESPN!I:I), "N/A")</f>
        <v>N/A</v>
      </c>
      <c r="P637" s="26" t="str" cm="1">
        <f t="array" ref="P637">IFERROR(_xlfn.XLOOKUP(C637&amp;A637, ESPN!A:A&amp;ESPN!C:C, ESPN!J:J), "N/A")</f>
        <v>N/A</v>
      </c>
      <c r="Q637" s="26" t="str" cm="1">
        <f t="array" ref="Q637">IFERROR(_xlfn.XLOOKUP(C637&amp;A637, ESPN!A:A&amp;ESPN!C:C, ESPN!K:K), "N/A")</f>
        <v>N/A</v>
      </c>
    </row>
    <row r="638" spans="1:17" x14ac:dyDescent="0.45">
      <c r="A638" s="6">
        <v>2022</v>
      </c>
      <c r="B638" s="1" t="s">
        <v>287</v>
      </c>
      <c r="C638" s="2" t="str">
        <f t="shared" si="18"/>
        <v>Isaiah Spiller</v>
      </c>
      <c r="D638" s="2" t="str">
        <f t="shared" si="19"/>
        <v>LAC</v>
      </c>
      <c r="E638" s="2">
        <v>5</v>
      </c>
      <c r="F638" s="12">
        <v>3</v>
      </c>
      <c r="G638" s="11">
        <v>3</v>
      </c>
      <c r="H638" s="11">
        <v>13</v>
      </c>
      <c r="I638" s="11">
        <v>4.3</v>
      </c>
      <c r="J638" s="11">
        <v>0</v>
      </c>
      <c r="K638" s="11">
        <v>0</v>
      </c>
      <c r="L638" s="11" t="str" cm="1">
        <f t="array" ref="L638">IFERROR(_xlfn.XLOOKUP(C638&amp;A638, ESPN!A:A&amp;ESPN!C:C, ESPN!D:D), "N/A")</f>
        <v>N/A</v>
      </c>
      <c r="M638" s="23" t="str" cm="1">
        <f t="array" ref="M638">IFERROR(_xlfn.XLOOKUP(C638&amp;A638, ESPN!A:A&amp;ESPN!C:C, ESPN!G:G), "N/A")</f>
        <v>N/A</v>
      </c>
      <c r="N638" s="23" t="str" cm="1">
        <f t="array" ref="N638">IFERROR(_xlfn.XLOOKUP(C638&amp;A638, ESPN!A:A&amp;ESPN!C:C, ESPN!H:H), "N/A")</f>
        <v>N/A</v>
      </c>
      <c r="O638" s="26" t="str" cm="1">
        <f t="array" ref="O638">IFERROR(_xlfn.XLOOKUP(C638&amp;A638, ESPN!A:A&amp;ESPN!C:C, ESPN!I:I), "N/A")</f>
        <v>N/A</v>
      </c>
      <c r="P638" s="26" t="str" cm="1">
        <f t="array" ref="P638">IFERROR(_xlfn.XLOOKUP(C638&amp;A638, ESPN!A:A&amp;ESPN!C:C, ESPN!J:J), "N/A")</f>
        <v>N/A</v>
      </c>
      <c r="Q638" s="26" t="str" cm="1">
        <f t="array" ref="Q638">IFERROR(_xlfn.XLOOKUP(C638&amp;A638, ESPN!A:A&amp;ESPN!C:C, ESPN!K:K), "N/A")</f>
        <v>N/A</v>
      </c>
    </row>
    <row r="639" spans="1:17" x14ac:dyDescent="0.45">
      <c r="A639" s="7">
        <v>2022</v>
      </c>
      <c r="B639" s="3" t="s">
        <v>389</v>
      </c>
      <c r="C639" s="4" t="str">
        <f t="shared" si="18"/>
        <v>Spencer Brown</v>
      </c>
      <c r="D639" s="4" t="str">
        <f t="shared" si="19"/>
        <v>CAR</v>
      </c>
      <c r="E639" s="4">
        <v>2</v>
      </c>
      <c r="F639" s="12">
        <v>4</v>
      </c>
      <c r="G639" s="11">
        <v>2</v>
      </c>
      <c r="H639" s="11">
        <v>10</v>
      </c>
      <c r="I639" s="11">
        <v>5</v>
      </c>
      <c r="J639" s="11">
        <v>0</v>
      </c>
      <c r="K639" s="11">
        <v>0</v>
      </c>
      <c r="L639" s="11" t="str" cm="1">
        <f t="array" ref="L639">IFERROR(_xlfn.XLOOKUP(C639&amp;A639, ESPN!A:A&amp;ESPN!C:C, ESPN!D:D), "N/A")</f>
        <v>N/A</v>
      </c>
      <c r="M639" s="23" t="str" cm="1">
        <f t="array" ref="M639">IFERROR(_xlfn.XLOOKUP(C639&amp;A639, ESPN!A:A&amp;ESPN!C:C, ESPN!G:G), "N/A")</f>
        <v>N/A</v>
      </c>
      <c r="N639" s="23" t="str" cm="1">
        <f t="array" ref="N639">IFERROR(_xlfn.XLOOKUP(C639&amp;A639, ESPN!A:A&amp;ESPN!C:C, ESPN!H:H), "N/A")</f>
        <v>N/A</v>
      </c>
      <c r="O639" s="26" t="str" cm="1">
        <f t="array" ref="O639">IFERROR(_xlfn.XLOOKUP(C639&amp;A639, ESPN!A:A&amp;ESPN!C:C, ESPN!I:I), "N/A")</f>
        <v>N/A</v>
      </c>
      <c r="P639" s="26" t="str" cm="1">
        <f t="array" ref="P639">IFERROR(_xlfn.XLOOKUP(C639&amp;A639, ESPN!A:A&amp;ESPN!C:C, ESPN!J:J), "N/A")</f>
        <v>N/A</v>
      </c>
      <c r="Q639" s="26" t="str" cm="1">
        <f t="array" ref="Q639">IFERROR(_xlfn.XLOOKUP(C639&amp;A639, ESPN!A:A&amp;ESPN!C:C, ESPN!K:K), "N/A")</f>
        <v>N/A</v>
      </c>
    </row>
    <row r="640" spans="1:17" x14ac:dyDescent="0.45">
      <c r="A640" s="6">
        <v>2022</v>
      </c>
      <c r="B640" s="1" t="s">
        <v>114</v>
      </c>
      <c r="C640" s="2" t="str">
        <f t="shared" si="18"/>
        <v>Julius Chestnut</v>
      </c>
      <c r="D640" s="2" t="str">
        <f t="shared" si="19"/>
        <v>TEN</v>
      </c>
      <c r="E640" s="2">
        <v>6</v>
      </c>
      <c r="F640" s="12">
        <v>3</v>
      </c>
      <c r="G640" s="11">
        <v>3</v>
      </c>
      <c r="H640" s="11">
        <v>41</v>
      </c>
      <c r="I640" s="11">
        <v>13.7</v>
      </c>
      <c r="J640" s="11">
        <v>0</v>
      </c>
      <c r="K640" s="11">
        <v>0</v>
      </c>
      <c r="L640" s="11" t="str" cm="1">
        <f t="array" ref="L640">IFERROR(_xlfn.XLOOKUP(C640&amp;A640, ESPN!A:A&amp;ESPN!C:C, ESPN!D:D), "N/A")</f>
        <v>N/A</v>
      </c>
      <c r="M640" s="23" t="str" cm="1">
        <f t="array" ref="M640">IFERROR(_xlfn.XLOOKUP(C640&amp;A640, ESPN!A:A&amp;ESPN!C:C, ESPN!G:G), "N/A")</f>
        <v>N/A</v>
      </c>
      <c r="N640" s="23" t="str" cm="1">
        <f t="array" ref="N640">IFERROR(_xlfn.XLOOKUP(C640&amp;A640, ESPN!A:A&amp;ESPN!C:C, ESPN!H:H), "N/A")</f>
        <v>N/A</v>
      </c>
      <c r="O640" s="26" t="str" cm="1">
        <f t="array" ref="O640">IFERROR(_xlfn.XLOOKUP(C640&amp;A640, ESPN!A:A&amp;ESPN!C:C, ESPN!I:I), "N/A")</f>
        <v>N/A</v>
      </c>
      <c r="P640" s="26" t="str" cm="1">
        <f t="array" ref="P640">IFERROR(_xlfn.XLOOKUP(C640&amp;A640, ESPN!A:A&amp;ESPN!C:C, ESPN!J:J), "N/A")</f>
        <v>N/A</v>
      </c>
      <c r="Q640" s="26" t="str" cm="1">
        <f t="array" ref="Q640">IFERROR(_xlfn.XLOOKUP(C640&amp;A640, ESPN!A:A&amp;ESPN!C:C, ESPN!K:K), "N/A")</f>
        <v>N/A</v>
      </c>
    </row>
    <row r="641" spans="1:17" x14ac:dyDescent="0.45">
      <c r="A641" s="7">
        <v>2022</v>
      </c>
      <c r="B641" s="3" t="s">
        <v>390</v>
      </c>
      <c r="C641" s="4" t="str">
        <f t="shared" si="18"/>
        <v>David Johnson</v>
      </c>
      <c r="D641" s="4" t="str">
        <f t="shared" si="19"/>
        <v>NO</v>
      </c>
      <c r="E641" s="4">
        <v>4</v>
      </c>
      <c r="F641" s="12">
        <v>4</v>
      </c>
      <c r="G641" s="11">
        <v>4</v>
      </c>
      <c r="H641" s="11">
        <v>47</v>
      </c>
      <c r="I641" s="11">
        <v>11.8</v>
      </c>
      <c r="J641" s="11">
        <v>0</v>
      </c>
      <c r="K641" s="11">
        <v>1</v>
      </c>
      <c r="L641" s="11" t="str" cm="1">
        <f t="array" ref="L641">IFERROR(_xlfn.XLOOKUP(C641&amp;A641, ESPN!A:A&amp;ESPN!C:C, ESPN!D:D), "N/A")</f>
        <v>N/A</v>
      </c>
      <c r="M641" s="23" t="str" cm="1">
        <f t="array" ref="M641">IFERROR(_xlfn.XLOOKUP(C641&amp;A641, ESPN!A:A&amp;ESPN!C:C, ESPN!G:G), "N/A")</f>
        <v>N/A</v>
      </c>
      <c r="N641" s="23" t="str" cm="1">
        <f t="array" ref="N641">IFERROR(_xlfn.XLOOKUP(C641&amp;A641, ESPN!A:A&amp;ESPN!C:C, ESPN!H:H), "N/A")</f>
        <v>N/A</v>
      </c>
      <c r="O641" s="26" t="str" cm="1">
        <f t="array" ref="O641">IFERROR(_xlfn.XLOOKUP(C641&amp;A641, ESPN!A:A&amp;ESPN!C:C, ESPN!I:I), "N/A")</f>
        <v>N/A</v>
      </c>
      <c r="P641" s="26" t="str" cm="1">
        <f t="array" ref="P641">IFERROR(_xlfn.XLOOKUP(C641&amp;A641, ESPN!A:A&amp;ESPN!C:C, ESPN!J:J), "N/A")</f>
        <v>N/A</v>
      </c>
      <c r="Q641" s="26" t="str" cm="1">
        <f t="array" ref="Q641">IFERROR(_xlfn.XLOOKUP(C641&amp;A641, ESPN!A:A&amp;ESPN!C:C, ESPN!K:K), "N/A")</f>
        <v>N/A</v>
      </c>
    </row>
    <row r="642" spans="1:17" x14ac:dyDescent="0.45">
      <c r="A642" s="6">
        <v>2022</v>
      </c>
      <c r="B642" s="1" t="s">
        <v>109</v>
      </c>
      <c r="C642" s="2" t="str">
        <f t="shared" ref="C642:C705" si="20">TRIM(LEFT(B642, LEN(B642) - LEN(TRIM(RIGHT(SUBSTITUTE(TRIM(B642)," ",REPT(" ",100)),100)))))</f>
        <v>Ronnie Rivers</v>
      </c>
      <c r="D642" s="2" t="str">
        <f t="shared" ref="D642:D705" si="21">MID(B642, FIND("(", B642) + 1, FIND(")", B642) - FIND("(", B642) - 1)</f>
        <v>LAR</v>
      </c>
      <c r="E642" s="2">
        <v>2</v>
      </c>
      <c r="F642" s="12">
        <v>5</v>
      </c>
      <c r="G642" s="11">
        <v>5</v>
      </c>
      <c r="H642" s="11">
        <v>29</v>
      </c>
      <c r="I642" s="11">
        <v>5.8</v>
      </c>
      <c r="J642" s="11">
        <v>0</v>
      </c>
      <c r="K642" s="11">
        <v>0</v>
      </c>
      <c r="L642" s="11" t="str" cm="1">
        <f t="array" ref="L642">IFERROR(_xlfn.XLOOKUP(C642&amp;A642, ESPN!A:A&amp;ESPN!C:C, ESPN!D:D), "N/A")</f>
        <v>N/A</v>
      </c>
      <c r="M642" s="23" t="str" cm="1">
        <f t="array" ref="M642">IFERROR(_xlfn.XLOOKUP(C642&amp;A642, ESPN!A:A&amp;ESPN!C:C, ESPN!G:G), "N/A")</f>
        <v>N/A</v>
      </c>
      <c r="N642" s="23" t="str" cm="1">
        <f t="array" ref="N642">IFERROR(_xlfn.XLOOKUP(C642&amp;A642, ESPN!A:A&amp;ESPN!C:C, ESPN!H:H), "N/A")</f>
        <v>N/A</v>
      </c>
      <c r="O642" s="26" t="str" cm="1">
        <f t="array" ref="O642">IFERROR(_xlfn.XLOOKUP(C642&amp;A642, ESPN!A:A&amp;ESPN!C:C, ESPN!I:I), "N/A")</f>
        <v>N/A</v>
      </c>
      <c r="P642" s="26" t="str" cm="1">
        <f t="array" ref="P642">IFERROR(_xlfn.XLOOKUP(C642&amp;A642, ESPN!A:A&amp;ESPN!C:C, ESPN!J:J), "N/A")</f>
        <v>N/A</v>
      </c>
      <c r="Q642" s="26" t="str" cm="1">
        <f t="array" ref="Q642">IFERROR(_xlfn.XLOOKUP(C642&amp;A642, ESPN!A:A&amp;ESPN!C:C, ESPN!K:K), "N/A")</f>
        <v>N/A</v>
      </c>
    </row>
    <row r="643" spans="1:17" x14ac:dyDescent="0.45">
      <c r="A643" s="7">
        <v>2022</v>
      </c>
      <c r="B643" s="3" t="s">
        <v>283</v>
      </c>
      <c r="C643" s="4" t="str">
        <f t="shared" si="20"/>
        <v>Patrick Taylor Jr.</v>
      </c>
      <c r="D643" s="4" t="str">
        <f t="shared" si="21"/>
        <v>GB</v>
      </c>
      <c r="E643" s="4">
        <v>7</v>
      </c>
      <c r="F643" s="12">
        <v>1</v>
      </c>
      <c r="G643" s="11">
        <v>1</v>
      </c>
      <c r="H643" s="11">
        <v>17</v>
      </c>
      <c r="I643" s="11">
        <v>17</v>
      </c>
      <c r="J643" s="11">
        <v>0</v>
      </c>
      <c r="K643" s="11">
        <v>0</v>
      </c>
      <c r="L643" s="11" t="str" cm="1">
        <f t="array" ref="L643">IFERROR(_xlfn.XLOOKUP(C643&amp;A643, ESPN!A:A&amp;ESPN!C:C, ESPN!D:D), "N/A")</f>
        <v>N/A</v>
      </c>
      <c r="M643" s="23" t="str" cm="1">
        <f t="array" ref="M643">IFERROR(_xlfn.XLOOKUP(C643&amp;A643, ESPN!A:A&amp;ESPN!C:C, ESPN!G:G), "N/A")</f>
        <v>N/A</v>
      </c>
      <c r="N643" s="23" t="str" cm="1">
        <f t="array" ref="N643">IFERROR(_xlfn.XLOOKUP(C643&amp;A643, ESPN!A:A&amp;ESPN!C:C, ESPN!H:H), "N/A")</f>
        <v>N/A</v>
      </c>
      <c r="O643" s="26" t="str" cm="1">
        <f t="array" ref="O643">IFERROR(_xlfn.XLOOKUP(C643&amp;A643, ESPN!A:A&amp;ESPN!C:C, ESPN!I:I), "N/A")</f>
        <v>N/A</v>
      </c>
      <c r="P643" s="26" t="str" cm="1">
        <f t="array" ref="P643">IFERROR(_xlfn.XLOOKUP(C643&amp;A643, ESPN!A:A&amp;ESPN!C:C, ESPN!J:J), "N/A")</f>
        <v>N/A</v>
      </c>
      <c r="Q643" s="26" t="str" cm="1">
        <f t="array" ref="Q643">IFERROR(_xlfn.XLOOKUP(C643&amp;A643, ESPN!A:A&amp;ESPN!C:C, ESPN!K:K), "N/A")</f>
        <v>N/A</v>
      </c>
    </row>
    <row r="644" spans="1:17" x14ac:dyDescent="0.45">
      <c r="A644" s="6">
        <v>2022</v>
      </c>
      <c r="B644" s="1" t="s">
        <v>391</v>
      </c>
      <c r="C644" s="2" t="str">
        <f t="shared" si="20"/>
        <v>Dwayne Washington</v>
      </c>
      <c r="D644" s="2" t="str">
        <f t="shared" si="21"/>
        <v>NO</v>
      </c>
      <c r="E644" s="2">
        <v>7</v>
      </c>
      <c r="F644" s="12">
        <v>1</v>
      </c>
      <c r="G644" s="11">
        <v>1</v>
      </c>
      <c r="H644" s="11">
        <v>7</v>
      </c>
      <c r="I644" s="11">
        <v>7</v>
      </c>
      <c r="J644" s="11">
        <v>0</v>
      </c>
      <c r="K644" s="11">
        <v>0</v>
      </c>
      <c r="L644" s="11" t="str" cm="1">
        <f t="array" ref="L644">IFERROR(_xlfn.XLOOKUP(C644&amp;A644, ESPN!A:A&amp;ESPN!C:C, ESPN!D:D), "N/A")</f>
        <v>N/A</v>
      </c>
      <c r="M644" s="23" t="str" cm="1">
        <f t="array" ref="M644">IFERROR(_xlfn.XLOOKUP(C644&amp;A644, ESPN!A:A&amp;ESPN!C:C, ESPN!G:G), "N/A")</f>
        <v>N/A</v>
      </c>
      <c r="N644" s="23" t="str" cm="1">
        <f t="array" ref="N644">IFERROR(_xlfn.XLOOKUP(C644&amp;A644, ESPN!A:A&amp;ESPN!C:C, ESPN!H:H), "N/A")</f>
        <v>N/A</v>
      </c>
      <c r="O644" s="26" t="str" cm="1">
        <f t="array" ref="O644">IFERROR(_xlfn.XLOOKUP(C644&amp;A644, ESPN!A:A&amp;ESPN!C:C, ESPN!I:I), "N/A")</f>
        <v>N/A</v>
      </c>
      <c r="P644" s="26" t="str" cm="1">
        <f t="array" ref="P644">IFERROR(_xlfn.XLOOKUP(C644&amp;A644, ESPN!A:A&amp;ESPN!C:C, ESPN!J:J), "N/A")</f>
        <v>N/A</v>
      </c>
      <c r="Q644" s="26" t="str" cm="1">
        <f t="array" ref="Q644">IFERROR(_xlfn.XLOOKUP(C644&amp;A644, ESPN!A:A&amp;ESPN!C:C, ESPN!K:K), "N/A")</f>
        <v>N/A</v>
      </c>
    </row>
    <row r="645" spans="1:17" x14ac:dyDescent="0.45">
      <c r="A645" s="7">
        <v>2022</v>
      </c>
      <c r="B645" s="3" t="s">
        <v>392</v>
      </c>
      <c r="C645" s="4" t="str">
        <f t="shared" si="20"/>
        <v>Trestan Ebner</v>
      </c>
      <c r="D645" s="4" t="str">
        <f t="shared" si="21"/>
        <v>CHI</v>
      </c>
      <c r="E645" s="4">
        <v>11</v>
      </c>
      <c r="F645" s="12">
        <v>8</v>
      </c>
      <c r="G645" s="11">
        <v>2</v>
      </c>
      <c r="H645" s="11">
        <v>8</v>
      </c>
      <c r="I645" s="11">
        <v>4</v>
      </c>
      <c r="J645" s="11">
        <v>0</v>
      </c>
      <c r="K645" s="11">
        <v>1</v>
      </c>
      <c r="L645" s="11" t="str" cm="1">
        <f t="array" ref="L645">IFERROR(_xlfn.XLOOKUP(C645&amp;A645, ESPN!A:A&amp;ESPN!C:C, ESPN!D:D), "N/A")</f>
        <v>N/A</v>
      </c>
      <c r="M645" s="23" t="str" cm="1">
        <f t="array" ref="M645">IFERROR(_xlfn.XLOOKUP(C645&amp;A645, ESPN!A:A&amp;ESPN!C:C, ESPN!G:G), "N/A")</f>
        <v>N/A</v>
      </c>
      <c r="N645" s="23" t="str" cm="1">
        <f t="array" ref="N645">IFERROR(_xlfn.XLOOKUP(C645&amp;A645, ESPN!A:A&amp;ESPN!C:C, ESPN!H:H), "N/A")</f>
        <v>N/A</v>
      </c>
      <c r="O645" s="26" t="str" cm="1">
        <f t="array" ref="O645">IFERROR(_xlfn.XLOOKUP(C645&amp;A645, ESPN!A:A&amp;ESPN!C:C, ESPN!I:I), "N/A")</f>
        <v>N/A</v>
      </c>
      <c r="P645" s="26" t="str" cm="1">
        <f t="array" ref="P645">IFERROR(_xlfn.XLOOKUP(C645&amp;A645, ESPN!A:A&amp;ESPN!C:C, ESPN!J:J), "N/A")</f>
        <v>N/A</v>
      </c>
      <c r="Q645" s="26" t="str" cm="1">
        <f t="array" ref="Q645">IFERROR(_xlfn.XLOOKUP(C645&amp;A645, ESPN!A:A&amp;ESPN!C:C, ESPN!K:K), "N/A")</f>
        <v>N/A</v>
      </c>
    </row>
    <row r="646" spans="1:17" x14ac:dyDescent="0.45">
      <c r="A646" s="6">
        <v>2022</v>
      </c>
      <c r="B646" s="1" t="s">
        <v>317</v>
      </c>
      <c r="C646" s="2" t="str">
        <f t="shared" si="20"/>
        <v>Anthony McFarland Jr.</v>
      </c>
      <c r="D646" s="2" t="str">
        <f t="shared" si="21"/>
        <v>PIT</v>
      </c>
      <c r="E646" s="2">
        <v>1</v>
      </c>
      <c r="F646" s="12">
        <v>2</v>
      </c>
      <c r="G646" s="11">
        <v>2</v>
      </c>
      <c r="H646" s="11">
        <v>11</v>
      </c>
      <c r="I646" s="11">
        <v>5.5</v>
      </c>
      <c r="J646" s="11">
        <v>0</v>
      </c>
      <c r="K646" s="11">
        <v>0</v>
      </c>
      <c r="L646" s="11" t="str" cm="1">
        <f t="array" ref="L646">IFERROR(_xlfn.XLOOKUP(C646&amp;A646, ESPN!A:A&amp;ESPN!C:C, ESPN!D:D), "N/A")</f>
        <v>N/A</v>
      </c>
      <c r="M646" s="23" t="str" cm="1">
        <f t="array" ref="M646">IFERROR(_xlfn.XLOOKUP(C646&amp;A646, ESPN!A:A&amp;ESPN!C:C, ESPN!G:G), "N/A")</f>
        <v>N/A</v>
      </c>
      <c r="N646" s="23" t="str" cm="1">
        <f t="array" ref="N646">IFERROR(_xlfn.XLOOKUP(C646&amp;A646, ESPN!A:A&amp;ESPN!C:C, ESPN!H:H), "N/A")</f>
        <v>N/A</v>
      </c>
      <c r="O646" s="26" t="str" cm="1">
        <f t="array" ref="O646">IFERROR(_xlfn.XLOOKUP(C646&amp;A646, ESPN!A:A&amp;ESPN!C:C, ESPN!I:I), "N/A")</f>
        <v>N/A</v>
      </c>
      <c r="P646" s="26" t="str" cm="1">
        <f t="array" ref="P646">IFERROR(_xlfn.XLOOKUP(C646&amp;A646, ESPN!A:A&amp;ESPN!C:C, ESPN!J:J), "N/A")</f>
        <v>N/A</v>
      </c>
      <c r="Q646" s="26" t="str" cm="1">
        <f t="array" ref="Q646">IFERROR(_xlfn.XLOOKUP(C646&amp;A646, ESPN!A:A&amp;ESPN!C:C, ESPN!K:K), "N/A")</f>
        <v>N/A</v>
      </c>
    </row>
    <row r="647" spans="1:17" x14ac:dyDescent="0.45">
      <c r="A647" s="7">
        <v>2022</v>
      </c>
      <c r="B647" s="3" t="s">
        <v>393</v>
      </c>
      <c r="C647" s="4" t="str">
        <f t="shared" si="20"/>
        <v>Larry Rountree III</v>
      </c>
      <c r="D647" s="4" t="str">
        <f t="shared" si="21"/>
        <v>LAC</v>
      </c>
      <c r="E647" s="4">
        <v>3</v>
      </c>
      <c r="F647" s="12">
        <v>2</v>
      </c>
      <c r="G647" s="11">
        <v>2</v>
      </c>
      <c r="H647" s="11">
        <v>14</v>
      </c>
      <c r="I647" s="11">
        <v>7</v>
      </c>
      <c r="J647" s="11">
        <v>0</v>
      </c>
      <c r="K647" s="11">
        <v>0</v>
      </c>
      <c r="L647" s="11" t="str" cm="1">
        <f t="array" ref="L647">IFERROR(_xlfn.XLOOKUP(C647&amp;A647, ESPN!A:A&amp;ESPN!C:C, ESPN!D:D), "N/A")</f>
        <v>N/A</v>
      </c>
      <c r="M647" s="23" t="str" cm="1">
        <f t="array" ref="M647">IFERROR(_xlfn.XLOOKUP(C647&amp;A647, ESPN!A:A&amp;ESPN!C:C, ESPN!G:G), "N/A")</f>
        <v>N/A</v>
      </c>
      <c r="N647" s="23" t="str" cm="1">
        <f t="array" ref="N647">IFERROR(_xlfn.XLOOKUP(C647&amp;A647, ESPN!A:A&amp;ESPN!C:C, ESPN!H:H), "N/A")</f>
        <v>N/A</v>
      </c>
      <c r="O647" s="26" t="str" cm="1">
        <f t="array" ref="O647">IFERROR(_xlfn.XLOOKUP(C647&amp;A647, ESPN!A:A&amp;ESPN!C:C, ESPN!I:I), "N/A")</f>
        <v>N/A</v>
      </c>
      <c r="P647" s="26" t="str" cm="1">
        <f t="array" ref="P647">IFERROR(_xlfn.XLOOKUP(C647&amp;A647, ESPN!A:A&amp;ESPN!C:C, ESPN!J:J), "N/A")</f>
        <v>N/A</v>
      </c>
      <c r="Q647" s="26" t="str" cm="1">
        <f t="array" ref="Q647">IFERROR(_xlfn.XLOOKUP(C647&amp;A647, ESPN!A:A&amp;ESPN!C:C, ESPN!K:K), "N/A")</f>
        <v>N/A</v>
      </c>
    </row>
    <row r="648" spans="1:17" x14ac:dyDescent="0.45">
      <c r="A648" s="6">
        <v>2022</v>
      </c>
      <c r="B648" s="1" t="s">
        <v>318</v>
      </c>
      <c r="C648" s="2" t="str">
        <f t="shared" si="20"/>
        <v>Jonathan Ward</v>
      </c>
      <c r="D648" s="2" t="str">
        <f t="shared" si="21"/>
        <v>TEN</v>
      </c>
      <c r="E648" s="2">
        <v>4</v>
      </c>
      <c r="F648" s="12">
        <v>3</v>
      </c>
      <c r="G648" s="11">
        <v>2</v>
      </c>
      <c r="H648" s="11">
        <v>7</v>
      </c>
      <c r="I648" s="11">
        <v>3.5</v>
      </c>
      <c r="J648" s="11">
        <v>0</v>
      </c>
      <c r="K648" s="11">
        <v>0</v>
      </c>
      <c r="L648" s="11" t="str" cm="1">
        <f t="array" ref="L648">IFERROR(_xlfn.XLOOKUP(C648&amp;A648, ESPN!A:A&amp;ESPN!C:C, ESPN!D:D), "N/A")</f>
        <v>N/A</v>
      </c>
      <c r="M648" s="23" t="str" cm="1">
        <f t="array" ref="M648">IFERROR(_xlfn.XLOOKUP(C648&amp;A648, ESPN!A:A&amp;ESPN!C:C, ESPN!G:G), "N/A")</f>
        <v>N/A</v>
      </c>
      <c r="N648" s="23" t="str" cm="1">
        <f t="array" ref="N648">IFERROR(_xlfn.XLOOKUP(C648&amp;A648, ESPN!A:A&amp;ESPN!C:C, ESPN!H:H), "N/A")</f>
        <v>N/A</v>
      </c>
      <c r="O648" s="26" t="str" cm="1">
        <f t="array" ref="O648">IFERROR(_xlfn.XLOOKUP(C648&amp;A648, ESPN!A:A&amp;ESPN!C:C, ESPN!I:I), "N/A")</f>
        <v>N/A</v>
      </c>
      <c r="P648" s="26" t="str" cm="1">
        <f t="array" ref="P648">IFERROR(_xlfn.XLOOKUP(C648&amp;A648, ESPN!A:A&amp;ESPN!C:C, ESPN!J:J), "N/A")</f>
        <v>N/A</v>
      </c>
      <c r="Q648" s="26" t="str" cm="1">
        <f t="array" ref="Q648">IFERROR(_xlfn.XLOOKUP(C648&amp;A648, ESPN!A:A&amp;ESPN!C:C, ESPN!K:K), "N/A")</f>
        <v>N/A</v>
      </c>
    </row>
    <row r="649" spans="1:17" x14ac:dyDescent="0.45">
      <c r="A649" s="7">
        <v>2022</v>
      </c>
      <c r="B649" s="3" t="s">
        <v>394</v>
      </c>
      <c r="C649" s="4" t="str">
        <f t="shared" si="20"/>
        <v>Giovani Bernard</v>
      </c>
      <c r="D649" s="4" t="str">
        <f t="shared" si="21"/>
        <v>TB</v>
      </c>
      <c r="E649" s="4">
        <v>4</v>
      </c>
      <c r="F649" s="12">
        <v>2</v>
      </c>
      <c r="G649" s="11">
        <v>2</v>
      </c>
      <c r="H649" s="11">
        <v>-1</v>
      </c>
      <c r="I649" s="11">
        <v>-0.5</v>
      </c>
      <c r="J649" s="11">
        <v>0</v>
      </c>
      <c r="K649" s="11">
        <v>0</v>
      </c>
      <c r="L649" s="11" t="str" cm="1">
        <f t="array" ref="L649">IFERROR(_xlfn.XLOOKUP(C649&amp;A649, ESPN!A:A&amp;ESPN!C:C, ESPN!D:D), "N/A")</f>
        <v>N/A</v>
      </c>
      <c r="M649" s="23" t="str" cm="1">
        <f t="array" ref="M649">IFERROR(_xlfn.XLOOKUP(C649&amp;A649, ESPN!A:A&amp;ESPN!C:C, ESPN!G:G), "N/A")</f>
        <v>N/A</v>
      </c>
      <c r="N649" s="23" t="str" cm="1">
        <f t="array" ref="N649">IFERROR(_xlfn.XLOOKUP(C649&amp;A649, ESPN!A:A&amp;ESPN!C:C, ESPN!H:H), "N/A")</f>
        <v>N/A</v>
      </c>
      <c r="O649" s="26" t="str" cm="1">
        <f t="array" ref="O649">IFERROR(_xlfn.XLOOKUP(C649&amp;A649, ESPN!A:A&amp;ESPN!C:C, ESPN!I:I), "N/A")</f>
        <v>N/A</v>
      </c>
      <c r="P649" s="26" t="str" cm="1">
        <f t="array" ref="P649">IFERROR(_xlfn.XLOOKUP(C649&amp;A649, ESPN!A:A&amp;ESPN!C:C, ESPN!J:J), "N/A")</f>
        <v>N/A</v>
      </c>
      <c r="Q649" s="26" t="str" cm="1">
        <f t="array" ref="Q649">IFERROR(_xlfn.XLOOKUP(C649&amp;A649, ESPN!A:A&amp;ESPN!C:C, ESPN!K:K), "N/A")</f>
        <v>N/A</v>
      </c>
    </row>
    <row r="650" spans="1:17" x14ac:dyDescent="0.45">
      <c r="A650" s="6">
        <v>2022</v>
      </c>
      <c r="B650" s="1" t="s">
        <v>395</v>
      </c>
      <c r="C650" s="2" t="str">
        <f t="shared" si="20"/>
        <v>D'Ernest Johnson</v>
      </c>
      <c r="D650" s="2" t="str">
        <f t="shared" si="21"/>
        <v>CLE</v>
      </c>
      <c r="E650" s="2">
        <v>10</v>
      </c>
      <c r="F650" s="12">
        <v>3</v>
      </c>
      <c r="G650" s="11">
        <v>3</v>
      </c>
      <c r="H650" s="11">
        <v>7</v>
      </c>
      <c r="I650" s="11">
        <v>2.2999999999999998</v>
      </c>
      <c r="J650" s="11">
        <v>0</v>
      </c>
      <c r="K650" s="11">
        <v>0</v>
      </c>
      <c r="L650" s="11" t="str" cm="1">
        <f t="array" ref="L650">IFERROR(_xlfn.XLOOKUP(C650&amp;A650, ESPN!A:A&amp;ESPN!C:C, ESPN!D:D), "N/A")</f>
        <v>N/A</v>
      </c>
      <c r="M650" s="23" t="str" cm="1">
        <f t="array" ref="M650">IFERROR(_xlfn.XLOOKUP(C650&amp;A650, ESPN!A:A&amp;ESPN!C:C, ESPN!G:G), "N/A")</f>
        <v>N/A</v>
      </c>
      <c r="N650" s="23" t="str" cm="1">
        <f t="array" ref="N650">IFERROR(_xlfn.XLOOKUP(C650&amp;A650, ESPN!A:A&amp;ESPN!C:C, ESPN!H:H), "N/A")</f>
        <v>N/A</v>
      </c>
      <c r="O650" s="26" t="str" cm="1">
        <f t="array" ref="O650">IFERROR(_xlfn.XLOOKUP(C650&amp;A650, ESPN!A:A&amp;ESPN!C:C, ESPN!I:I), "N/A")</f>
        <v>N/A</v>
      </c>
      <c r="P650" s="26" t="str" cm="1">
        <f t="array" ref="P650">IFERROR(_xlfn.XLOOKUP(C650&amp;A650, ESPN!A:A&amp;ESPN!C:C, ESPN!J:J), "N/A")</f>
        <v>N/A</v>
      </c>
      <c r="Q650" s="26" t="str" cm="1">
        <f t="array" ref="Q650">IFERROR(_xlfn.XLOOKUP(C650&amp;A650, ESPN!A:A&amp;ESPN!C:C, ESPN!K:K), "N/A")</f>
        <v>N/A</v>
      </c>
    </row>
    <row r="651" spans="1:17" x14ac:dyDescent="0.45">
      <c r="A651" s="7">
        <v>2022</v>
      </c>
      <c r="B651" s="3" t="s">
        <v>396</v>
      </c>
      <c r="C651" s="4" t="str">
        <f t="shared" si="20"/>
        <v>Mike Davis</v>
      </c>
      <c r="D651" s="4" t="str">
        <f t="shared" si="21"/>
        <v>BAL</v>
      </c>
      <c r="E651" s="4">
        <v>5</v>
      </c>
      <c r="F651" s="12">
        <v>2</v>
      </c>
      <c r="G651" s="11">
        <v>2</v>
      </c>
      <c r="H651" s="11">
        <v>4</v>
      </c>
      <c r="I651" s="11">
        <v>2</v>
      </c>
      <c r="J651" s="11">
        <v>0</v>
      </c>
      <c r="K651" s="11">
        <v>0</v>
      </c>
      <c r="L651" s="11" t="str" cm="1">
        <f t="array" ref="L651">IFERROR(_xlfn.XLOOKUP(C651&amp;A651, ESPN!A:A&amp;ESPN!C:C, ESPN!D:D), "N/A")</f>
        <v>N/A</v>
      </c>
      <c r="M651" s="23" t="str" cm="1">
        <f t="array" ref="M651">IFERROR(_xlfn.XLOOKUP(C651&amp;A651, ESPN!A:A&amp;ESPN!C:C, ESPN!G:G), "N/A")</f>
        <v>N/A</v>
      </c>
      <c r="N651" s="23" t="str" cm="1">
        <f t="array" ref="N651">IFERROR(_xlfn.XLOOKUP(C651&amp;A651, ESPN!A:A&amp;ESPN!C:C, ESPN!H:H), "N/A")</f>
        <v>N/A</v>
      </c>
      <c r="O651" s="26" t="str" cm="1">
        <f t="array" ref="O651">IFERROR(_xlfn.XLOOKUP(C651&amp;A651, ESPN!A:A&amp;ESPN!C:C, ESPN!I:I), "N/A")</f>
        <v>N/A</v>
      </c>
      <c r="P651" s="26" t="str" cm="1">
        <f t="array" ref="P651">IFERROR(_xlfn.XLOOKUP(C651&amp;A651, ESPN!A:A&amp;ESPN!C:C, ESPN!J:J), "N/A")</f>
        <v>N/A</v>
      </c>
      <c r="Q651" s="26" t="str" cm="1">
        <f t="array" ref="Q651">IFERROR(_xlfn.XLOOKUP(C651&amp;A651, ESPN!A:A&amp;ESPN!C:C, ESPN!K:K), "N/A")</f>
        <v>N/A</v>
      </c>
    </row>
    <row r="652" spans="1:17" x14ac:dyDescent="0.45">
      <c r="A652" s="6">
        <v>2022</v>
      </c>
      <c r="B652" s="1" t="s">
        <v>107</v>
      </c>
      <c r="C652" s="2" t="str">
        <f t="shared" si="20"/>
        <v>Ty Chandler</v>
      </c>
      <c r="D652" s="2" t="str">
        <f t="shared" si="21"/>
        <v>MIN</v>
      </c>
      <c r="E652" s="2">
        <v>2</v>
      </c>
      <c r="F652" s="12">
        <v>0</v>
      </c>
      <c r="G652" s="11">
        <v>0</v>
      </c>
      <c r="H652" s="11">
        <v>0</v>
      </c>
      <c r="I652" s="11">
        <v>0</v>
      </c>
      <c r="J652" s="11">
        <v>0</v>
      </c>
      <c r="K652" s="11">
        <v>0</v>
      </c>
      <c r="L652" s="11" t="str" cm="1">
        <f t="array" ref="L652">IFERROR(_xlfn.XLOOKUP(C652&amp;A652, ESPN!A:A&amp;ESPN!C:C, ESPN!D:D), "N/A")</f>
        <v>N/A</v>
      </c>
      <c r="M652" s="23" t="str" cm="1">
        <f t="array" ref="M652">IFERROR(_xlfn.XLOOKUP(C652&amp;A652, ESPN!A:A&amp;ESPN!C:C, ESPN!G:G), "N/A")</f>
        <v>N/A</v>
      </c>
      <c r="N652" s="23" t="str" cm="1">
        <f t="array" ref="N652">IFERROR(_xlfn.XLOOKUP(C652&amp;A652, ESPN!A:A&amp;ESPN!C:C, ESPN!H:H), "N/A")</f>
        <v>N/A</v>
      </c>
      <c r="O652" s="26" t="str" cm="1">
        <f t="array" ref="O652">IFERROR(_xlfn.XLOOKUP(C652&amp;A652, ESPN!A:A&amp;ESPN!C:C, ESPN!I:I), "N/A")</f>
        <v>N/A</v>
      </c>
      <c r="P652" s="26" t="str" cm="1">
        <f t="array" ref="P652">IFERROR(_xlfn.XLOOKUP(C652&amp;A652, ESPN!A:A&amp;ESPN!C:C, ESPN!J:J), "N/A")</f>
        <v>N/A</v>
      </c>
      <c r="Q652" s="26" t="str" cm="1">
        <f t="array" ref="Q652">IFERROR(_xlfn.XLOOKUP(C652&amp;A652, ESPN!A:A&amp;ESPN!C:C, ESPN!K:K), "N/A")</f>
        <v>N/A</v>
      </c>
    </row>
    <row r="653" spans="1:17" x14ac:dyDescent="0.45">
      <c r="A653" s="7">
        <v>2022</v>
      </c>
      <c r="B653" s="3" t="s">
        <v>397</v>
      </c>
      <c r="C653" s="4" t="str">
        <f t="shared" si="20"/>
        <v>Trey Sermon</v>
      </c>
      <c r="D653" s="4" t="str">
        <f t="shared" si="21"/>
        <v>PHI</v>
      </c>
      <c r="E653" s="4">
        <v>1</v>
      </c>
      <c r="F653" s="12">
        <v>0</v>
      </c>
      <c r="G653" s="11">
        <v>0</v>
      </c>
      <c r="H653" s="11">
        <v>0</v>
      </c>
      <c r="I653" s="11">
        <v>0</v>
      </c>
      <c r="J653" s="11">
        <v>0</v>
      </c>
      <c r="K653" s="11">
        <v>0</v>
      </c>
      <c r="L653" s="11" t="str" cm="1">
        <f t="array" ref="L653">IFERROR(_xlfn.XLOOKUP(C653&amp;A653, ESPN!A:A&amp;ESPN!C:C, ESPN!D:D), "N/A")</f>
        <v>N/A</v>
      </c>
      <c r="M653" s="23" t="str" cm="1">
        <f t="array" ref="M653">IFERROR(_xlfn.XLOOKUP(C653&amp;A653, ESPN!A:A&amp;ESPN!C:C, ESPN!G:G), "N/A")</f>
        <v>N/A</v>
      </c>
      <c r="N653" s="23" t="str" cm="1">
        <f t="array" ref="N653">IFERROR(_xlfn.XLOOKUP(C653&amp;A653, ESPN!A:A&amp;ESPN!C:C, ESPN!H:H), "N/A")</f>
        <v>N/A</v>
      </c>
      <c r="O653" s="26" t="str" cm="1">
        <f t="array" ref="O653">IFERROR(_xlfn.XLOOKUP(C653&amp;A653, ESPN!A:A&amp;ESPN!C:C, ESPN!I:I), "N/A")</f>
        <v>N/A</v>
      </c>
      <c r="P653" s="26" t="str" cm="1">
        <f t="array" ref="P653">IFERROR(_xlfn.XLOOKUP(C653&amp;A653, ESPN!A:A&amp;ESPN!C:C, ESPN!J:J), "N/A")</f>
        <v>N/A</v>
      </c>
      <c r="Q653" s="26" t="str" cm="1">
        <f t="array" ref="Q653">IFERROR(_xlfn.XLOOKUP(C653&amp;A653, ESPN!A:A&amp;ESPN!C:C, ESPN!K:K), "N/A")</f>
        <v>N/A</v>
      </c>
    </row>
    <row r="654" spans="1:17" x14ac:dyDescent="0.45">
      <c r="A654" s="6">
        <v>2022</v>
      </c>
      <c r="B654" s="1" t="s">
        <v>248</v>
      </c>
      <c r="C654" s="2" t="str">
        <f t="shared" si="20"/>
        <v>Troy Hairston II</v>
      </c>
      <c r="D654" s="2" t="str">
        <f t="shared" si="21"/>
        <v>HOU</v>
      </c>
      <c r="E654" s="2">
        <v>12</v>
      </c>
      <c r="F654" s="12">
        <v>8</v>
      </c>
      <c r="G654" s="11">
        <v>5</v>
      </c>
      <c r="H654" s="11">
        <v>19</v>
      </c>
      <c r="I654" s="11">
        <v>3.8</v>
      </c>
      <c r="J654" s="11">
        <v>0</v>
      </c>
      <c r="K654" s="11">
        <v>0</v>
      </c>
      <c r="L654" s="11" t="str" cm="1">
        <f t="array" ref="L654">IFERROR(_xlfn.XLOOKUP(C654&amp;A654, ESPN!A:A&amp;ESPN!C:C, ESPN!D:D), "N/A")</f>
        <v>N/A</v>
      </c>
      <c r="M654" s="23" t="str" cm="1">
        <f t="array" ref="M654">IFERROR(_xlfn.XLOOKUP(C654&amp;A654, ESPN!A:A&amp;ESPN!C:C, ESPN!G:G), "N/A")</f>
        <v>N/A</v>
      </c>
      <c r="N654" s="23" t="str" cm="1">
        <f t="array" ref="N654">IFERROR(_xlfn.XLOOKUP(C654&amp;A654, ESPN!A:A&amp;ESPN!C:C, ESPN!H:H), "N/A")</f>
        <v>N/A</v>
      </c>
      <c r="O654" s="26" t="str" cm="1">
        <f t="array" ref="O654">IFERROR(_xlfn.XLOOKUP(C654&amp;A654, ESPN!A:A&amp;ESPN!C:C, ESPN!I:I), "N/A")</f>
        <v>N/A</v>
      </c>
      <c r="P654" s="26" t="str" cm="1">
        <f t="array" ref="P654">IFERROR(_xlfn.XLOOKUP(C654&amp;A654, ESPN!A:A&amp;ESPN!C:C, ESPN!J:J), "N/A")</f>
        <v>N/A</v>
      </c>
      <c r="Q654" s="26" t="str" cm="1">
        <f t="array" ref="Q654">IFERROR(_xlfn.XLOOKUP(C654&amp;A654, ESPN!A:A&amp;ESPN!C:C, ESPN!K:K), "N/A")</f>
        <v>N/A</v>
      </c>
    </row>
    <row r="655" spans="1:17" x14ac:dyDescent="0.45">
      <c r="A655" s="7">
        <v>2022</v>
      </c>
      <c r="B655" s="3" t="s">
        <v>398</v>
      </c>
      <c r="C655" s="4" t="str">
        <f t="shared" si="20"/>
        <v>Michael Burton</v>
      </c>
      <c r="D655" s="4" t="str">
        <f t="shared" si="21"/>
        <v>KC</v>
      </c>
      <c r="E655" s="4">
        <v>12</v>
      </c>
      <c r="F655" s="12">
        <v>3</v>
      </c>
      <c r="G655" s="11">
        <v>2</v>
      </c>
      <c r="H655" s="11">
        <v>11</v>
      </c>
      <c r="I655" s="11">
        <v>5.5</v>
      </c>
      <c r="J655" s="11">
        <v>0</v>
      </c>
      <c r="K655" s="11">
        <v>0</v>
      </c>
      <c r="L655" s="11" t="str" cm="1">
        <f t="array" ref="L655">IFERROR(_xlfn.XLOOKUP(C655&amp;A655, ESPN!A:A&amp;ESPN!C:C, ESPN!D:D), "N/A")</f>
        <v>N/A</v>
      </c>
      <c r="M655" s="23" t="str" cm="1">
        <f t="array" ref="M655">IFERROR(_xlfn.XLOOKUP(C655&amp;A655, ESPN!A:A&amp;ESPN!C:C, ESPN!G:G), "N/A")</f>
        <v>N/A</v>
      </c>
      <c r="N655" s="23" t="str" cm="1">
        <f t="array" ref="N655">IFERROR(_xlfn.XLOOKUP(C655&amp;A655, ESPN!A:A&amp;ESPN!C:C, ESPN!H:H), "N/A")</f>
        <v>N/A</v>
      </c>
      <c r="O655" s="26" t="str" cm="1">
        <f t="array" ref="O655">IFERROR(_xlfn.XLOOKUP(C655&amp;A655, ESPN!A:A&amp;ESPN!C:C, ESPN!I:I), "N/A")</f>
        <v>N/A</v>
      </c>
      <c r="P655" s="26" t="str" cm="1">
        <f t="array" ref="P655">IFERROR(_xlfn.XLOOKUP(C655&amp;A655, ESPN!A:A&amp;ESPN!C:C, ESPN!J:J), "N/A")</f>
        <v>N/A</v>
      </c>
      <c r="Q655" s="26" t="str" cm="1">
        <f t="array" ref="Q655">IFERROR(_xlfn.XLOOKUP(C655&amp;A655, ESPN!A:A&amp;ESPN!C:C, ESPN!K:K), "N/A")</f>
        <v>N/A</v>
      </c>
    </row>
    <row r="656" spans="1:17" x14ac:dyDescent="0.45">
      <c r="A656" s="6">
        <v>2022</v>
      </c>
      <c r="B656" s="1" t="s">
        <v>245</v>
      </c>
      <c r="C656" s="2" t="str">
        <f t="shared" si="20"/>
        <v>Adam Prentice</v>
      </c>
      <c r="D656" s="2" t="str">
        <f t="shared" si="21"/>
        <v>NO</v>
      </c>
      <c r="E656" s="2">
        <v>6</v>
      </c>
      <c r="F656" s="12">
        <v>3</v>
      </c>
      <c r="G656" s="11">
        <v>3</v>
      </c>
      <c r="H656" s="11">
        <v>9</v>
      </c>
      <c r="I656" s="11">
        <v>3</v>
      </c>
      <c r="J656" s="11">
        <v>0</v>
      </c>
      <c r="K656" s="11">
        <v>0</v>
      </c>
      <c r="L656" s="11" t="str" cm="1">
        <f t="array" ref="L656">IFERROR(_xlfn.XLOOKUP(C656&amp;A656, ESPN!A:A&amp;ESPN!C:C, ESPN!D:D), "N/A")</f>
        <v>N/A</v>
      </c>
      <c r="M656" s="23" t="str" cm="1">
        <f t="array" ref="M656">IFERROR(_xlfn.XLOOKUP(C656&amp;A656, ESPN!A:A&amp;ESPN!C:C, ESPN!G:G), "N/A")</f>
        <v>N/A</v>
      </c>
      <c r="N656" s="23" t="str" cm="1">
        <f t="array" ref="N656">IFERROR(_xlfn.XLOOKUP(C656&amp;A656, ESPN!A:A&amp;ESPN!C:C, ESPN!H:H), "N/A")</f>
        <v>N/A</v>
      </c>
      <c r="O656" s="26" t="str" cm="1">
        <f t="array" ref="O656">IFERROR(_xlfn.XLOOKUP(C656&amp;A656, ESPN!A:A&amp;ESPN!C:C, ESPN!I:I), "N/A")</f>
        <v>N/A</v>
      </c>
      <c r="P656" s="26" t="str" cm="1">
        <f t="array" ref="P656">IFERROR(_xlfn.XLOOKUP(C656&amp;A656, ESPN!A:A&amp;ESPN!C:C, ESPN!J:J), "N/A")</f>
        <v>N/A</v>
      </c>
      <c r="Q656" s="26" t="str" cm="1">
        <f t="array" ref="Q656">IFERROR(_xlfn.XLOOKUP(C656&amp;A656, ESPN!A:A&amp;ESPN!C:C, ESPN!K:K), "N/A")</f>
        <v>N/A</v>
      </c>
    </row>
    <row r="657" spans="1:17" x14ac:dyDescent="0.45">
      <c r="A657" s="7">
        <v>2022</v>
      </c>
      <c r="B657" s="3" t="s">
        <v>399</v>
      </c>
      <c r="C657" s="4" t="str">
        <f t="shared" si="20"/>
        <v>J.J. Taylor</v>
      </c>
      <c r="D657" s="4" t="str">
        <f t="shared" si="21"/>
        <v>NE</v>
      </c>
      <c r="E657" s="4">
        <v>1</v>
      </c>
      <c r="F657" s="12">
        <v>1</v>
      </c>
      <c r="G657" s="11">
        <v>1</v>
      </c>
      <c r="H657" s="11">
        <v>8</v>
      </c>
      <c r="I657" s="11">
        <v>8</v>
      </c>
      <c r="J657" s="11">
        <v>0</v>
      </c>
      <c r="K657" s="11">
        <v>0</v>
      </c>
      <c r="L657" s="11" t="str" cm="1">
        <f t="array" ref="L657">IFERROR(_xlfn.XLOOKUP(C657&amp;A657, ESPN!A:A&amp;ESPN!C:C, ESPN!D:D), "N/A")</f>
        <v>N/A</v>
      </c>
      <c r="M657" s="23" t="str" cm="1">
        <f t="array" ref="M657">IFERROR(_xlfn.XLOOKUP(C657&amp;A657, ESPN!A:A&amp;ESPN!C:C, ESPN!G:G), "N/A")</f>
        <v>N/A</v>
      </c>
      <c r="N657" s="23" t="str" cm="1">
        <f t="array" ref="N657">IFERROR(_xlfn.XLOOKUP(C657&amp;A657, ESPN!A:A&amp;ESPN!C:C, ESPN!H:H), "N/A")</f>
        <v>N/A</v>
      </c>
      <c r="O657" s="26" t="str" cm="1">
        <f t="array" ref="O657">IFERROR(_xlfn.XLOOKUP(C657&amp;A657, ESPN!A:A&amp;ESPN!C:C, ESPN!I:I), "N/A")</f>
        <v>N/A</v>
      </c>
      <c r="P657" s="26" t="str" cm="1">
        <f t="array" ref="P657">IFERROR(_xlfn.XLOOKUP(C657&amp;A657, ESPN!A:A&amp;ESPN!C:C, ESPN!J:J), "N/A")</f>
        <v>N/A</v>
      </c>
      <c r="Q657" s="26" t="str" cm="1">
        <f t="array" ref="Q657">IFERROR(_xlfn.XLOOKUP(C657&amp;A657, ESPN!A:A&amp;ESPN!C:C, ESPN!K:K), "N/A")</f>
        <v>N/A</v>
      </c>
    </row>
    <row r="658" spans="1:17" x14ac:dyDescent="0.45">
      <c r="A658" s="6">
        <v>2022</v>
      </c>
      <c r="B658" s="1" t="s">
        <v>94</v>
      </c>
      <c r="C658" s="2" t="str">
        <f t="shared" si="20"/>
        <v>Jerome Ford</v>
      </c>
      <c r="D658" s="2" t="str">
        <f t="shared" si="21"/>
        <v>CLE</v>
      </c>
      <c r="E658" s="2">
        <v>13</v>
      </c>
      <c r="F658" s="12">
        <v>0</v>
      </c>
      <c r="G658" s="11">
        <v>0</v>
      </c>
      <c r="H658" s="11">
        <v>0</v>
      </c>
      <c r="I658" s="11">
        <v>0</v>
      </c>
      <c r="J658" s="11">
        <v>0</v>
      </c>
      <c r="K658" s="11">
        <v>0</v>
      </c>
      <c r="L658" s="11" t="str" cm="1">
        <f t="array" ref="L658">IFERROR(_xlfn.XLOOKUP(C658&amp;A658, ESPN!A:A&amp;ESPN!C:C, ESPN!D:D), "N/A")</f>
        <v>N/A</v>
      </c>
      <c r="M658" s="23" t="str" cm="1">
        <f t="array" ref="M658">IFERROR(_xlfn.XLOOKUP(C658&amp;A658, ESPN!A:A&amp;ESPN!C:C, ESPN!G:G), "N/A")</f>
        <v>N/A</v>
      </c>
      <c r="N658" s="23" t="str" cm="1">
        <f t="array" ref="N658">IFERROR(_xlfn.XLOOKUP(C658&amp;A658, ESPN!A:A&amp;ESPN!C:C, ESPN!H:H), "N/A")</f>
        <v>N/A</v>
      </c>
      <c r="O658" s="26" t="str" cm="1">
        <f t="array" ref="O658">IFERROR(_xlfn.XLOOKUP(C658&amp;A658, ESPN!A:A&amp;ESPN!C:C, ESPN!I:I), "N/A")</f>
        <v>N/A</v>
      </c>
      <c r="P658" s="26" t="str" cm="1">
        <f t="array" ref="P658">IFERROR(_xlfn.XLOOKUP(C658&amp;A658, ESPN!A:A&amp;ESPN!C:C, ESPN!J:J), "N/A")</f>
        <v>N/A</v>
      </c>
      <c r="Q658" s="26" t="str" cm="1">
        <f t="array" ref="Q658">IFERROR(_xlfn.XLOOKUP(C658&amp;A658, ESPN!A:A&amp;ESPN!C:C, ESPN!K:K), "N/A")</f>
        <v>N/A</v>
      </c>
    </row>
    <row r="659" spans="1:17" x14ac:dyDescent="0.45">
      <c r="A659" s="7">
        <v>2022</v>
      </c>
      <c r="B659" s="3" t="s">
        <v>303</v>
      </c>
      <c r="C659" s="4" t="str">
        <f t="shared" si="20"/>
        <v>Keith Smith</v>
      </c>
      <c r="D659" s="4" t="str">
        <f t="shared" si="21"/>
        <v>ATL</v>
      </c>
      <c r="E659" s="4">
        <v>10</v>
      </c>
      <c r="F659" s="12">
        <v>2</v>
      </c>
      <c r="G659" s="11">
        <v>1</v>
      </c>
      <c r="H659" s="11">
        <v>8</v>
      </c>
      <c r="I659" s="11">
        <v>8</v>
      </c>
      <c r="J659" s="11">
        <v>0</v>
      </c>
      <c r="K659" s="11">
        <v>0</v>
      </c>
      <c r="L659" s="11" t="str" cm="1">
        <f t="array" ref="L659">IFERROR(_xlfn.XLOOKUP(C659&amp;A659, ESPN!A:A&amp;ESPN!C:C, ESPN!D:D), "N/A")</f>
        <v>N/A</v>
      </c>
      <c r="M659" s="23" t="str" cm="1">
        <f t="array" ref="M659">IFERROR(_xlfn.XLOOKUP(C659&amp;A659, ESPN!A:A&amp;ESPN!C:C, ESPN!G:G), "N/A")</f>
        <v>N/A</v>
      </c>
      <c r="N659" s="23" t="str" cm="1">
        <f t="array" ref="N659">IFERROR(_xlfn.XLOOKUP(C659&amp;A659, ESPN!A:A&amp;ESPN!C:C, ESPN!H:H), "N/A")</f>
        <v>N/A</v>
      </c>
      <c r="O659" s="26" t="str" cm="1">
        <f t="array" ref="O659">IFERROR(_xlfn.XLOOKUP(C659&amp;A659, ESPN!A:A&amp;ESPN!C:C, ESPN!I:I), "N/A")</f>
        <v>N/A</v>
      </c>
      <c r="P659" s="26" t="str" cm="1">
        <f t="array" ref="P659">IFERROR(_xlfn.XLOOKUP(C659&amp;A659, ESPN!A:A&amp;ESPN!C:C, ESPN!J:J), "N/A")</f>
        <v>N/A</v>
      </c>
      <c r="Q659" s="26" t="str" cm="1">
        <f t="array" ref="Q659">IFERROR(_xlfn.XLOOKUP(C659&amp;A659, ESPN!A:A&amp;ESPN!C:C, ESPN!K:K), "N/A")</f>
        <v>N/A</v>
      </c>
    </row>
    <row r="660" spans="1:17" x14ac:dyDescent="0.45">
      <c r="A660" s="6">
        <v>2022</v>
      </c>
      <c r="B660" s="1" t="s">
        <v>315</v>
      </c>
      <c r="C660" s="2" t="str">
        <f t="shared" si="20"/>
        <v>Jakob Johnson</v>
      </c>
      <c r="D660" s="2" t="str">
        <f t="shared" si="21"/>
        <v>LV</v>
      </c>
      <c r="E660" s="2">
        <v>11</v>
      </c>
      <c r="F660" s="12">
        <v>6</v>
      </c>
      <c r="G660" s="11">
        <v>5</v>
      </c>
      <c r="H660" s="11">
        <v>10</v>
      </c>
      <c r="I660" s="11">
        <v>2</v>
      </c>
      <c r="J660" s="11">
        <v>0</v>
      </c>
      <c r="K660" s="11">
        <v>0</v>
      </c>
      <c r="L660" s="11" t="str" cm="1">
        <f t="array" ref="L660">IFERROR(_xlfn.XLOOKUP(C660&amp;A660, ESPN!A:A&amp;ESPN!C:C, ESPN!D:D), "N/A")</f>
        <v>N/A</v>
      </c>
      <c r="M660" s="23" t="str" cm="1">
        <f t="array" ref="M660">IFERROR(_xlfn.XLOOKUP(C660&amp;A660, ESPN!A:A&amp;ESPN!C:C, ESPN!G:G), "N/A")</f>
        <v>N/A</v>
      </c>
      <c r="N660" s="23" t="str" cm="1">
        <f t="array" ref="N660">IFERROR(_xlfn.XLOOKUP(C660&amp;A660, ESPN!A:A&amp;ESPN!C:C, ESPN!H:H), "N/A")</f>
        <v>N/A</v>
      </c>
      <c r="O660" s="26" t="str" cm="1">
        <f t="array" ref="O660">IFERROR(_xlfn.XLOOKUP(C660&amp;A660, ESPN!A:A&amp;ESPN!C:C, ESPN!I:I), "N/A")</f>
        <v>N/A</v>
      </c>
      <c r="P660" s="26" t="str" cm="1">
        <f t="array" ref="P660">IFERROR(_xlfn.XLOOKUP(C660&amp;A660, ESPN!A:A&amp;ESPN!C:C, ESPN!J:J), "N/A")</f>
        <v>N/A</v>
      </c>
      <c r="Q660" s="26" t="str" cm="1">
        <f t="array" ref="Q660">IFERROR(_xlfn.XLOOKUP(C660&amp;A660, ESPN!A:A&amp;ESPN!C:C, ESPN!K:K), "N/A")</f>
        <v>N/A</v>
      </c>
    </row>
    <row r="661" spans="1:17" x14ac:dyDescent="0.45">
      <c r="A661" s="7">
        <v>2022</v>
      </c>
      <c r="B661" s="3" t="s">
        <v>400</v>
      </c>
      <c r="C661" s="4" t="str">
        <f t="shared" si="20"/>
        <v>Reggie Bonnafon</v>
      </c>
      <c r="D661" s="4" t="str">
        <f t="shared" si="21"/>
        <v>WAS</v>
      </c>
      <c r="E661" s="4">
        <v>1</v>
      </c>
      <c r="F661" s="12">
        <v>0</v>
      </c>
      <c r="G661" s="11">
        <v>0</v>
      </c>
      <c r="H661" s="11">
        <v>0</v>
      </c>
      <c r="I661" s="11">
        <v>0</v>
      </c>
      <c r="J661" s="11">
        <v>0</v>
      </c>
      <c r="K661" s="11">
        <v>0</v>
      </c>
      <c r="L661" s="11" t="str" cm="1">
        <f t="array" ref="L661">IFERROR(_xlfn.XLOOKUP(C661&amp;A661, ESPN!A:A&amp;ESPN!C:C, ESPN!D:D), "N/A")</f>
        <v>N/A</v>
      </c>
      <c r="M661" s="23" t="str" cm="1">
        <f t="array" ref="M661">IFERROR(_xlfn.XLOOKUP(C661&amp;A661, ESPN!A:A&amp;ESPN!C:C, ESPN!G:G), "N/A")</f>
        <v>N/A</v>
      </c>
      <c r="N661" s="23" t="str" cm="1">
        <f t="array" ref="N661">IFERROR(_xlfn.XLOOKUP(C661&amp;A661, ESPN!A:A&amp;ESPN!C:C, ESPN!H:H), "N/A")</f>
        <v>N/A</v>
      </c>
      <c r="O661" s="26" t="str" cm="1">
        <f t="array" ref="O661">IFERROR(_xlfn.XLOOKUP(C661&amp;A661, ESPN!A:A&amp;ESPN!C:C, ESPN!I:I), "N/A")</f>
        <v>N/A</v>
      </c>
      <c r="P661" s="26" t="str" cm="1">
        <f t="array" ref="P661">IFERROR(_xlfn.XLOOKUP(C661&amp;A661, ESPN!A:A&amp;ESPN!C:C, ESPN!J:J), "N/A")</f>
        <v>N/A</v>
      </c>
      <c r="Q661" s="26" t="str" cm="1">
        <f t="array" ref="Q661">IFERROR(_xlfn.XLOOKUP(C661&amp;A661, ESPN!A:A&amp;ESPN!C:C, ESPN!K:K), "N/A")</f>
        <v>N/A</v>
      </c>
    </row>
    <row r="662" spans="1:17" x14ac:dyDescent="0.45">
      <c r="A662" s="6">
        <v>2022</v>
      </c>
      <c r="B662" s="1" t="s">
        <v>401</v>
      </c>
      <c r="C662" s="2" t="str">
        <f t="shared" si="20"/>
        <v>Godwin Igwebuike</v>
      </c>
      <c r="D662" s="2" t="str">
        <f t="shared" si="21"/>
        <v>SEA</v>
      </c>
      <c r="E662" s="2">
        <v>5</v>
      </c>
      <c r="F662" s="12">
        <v>1</v>
      </c>
      <c r="G662" s="11">
        <v>1</v>
      </c>
      <c r="H662" s="11">
        <v>3</v>
      </c>
      <c r="I662" s="11">
        <v>3</v>
      </c>
      <c r="J662" s="11">
        <v>0</v>
      </c>
      <c r="K662" s="11">
        <v>0</v>
      </c>
      <c r="L662" s="11" t="str" cm="1">
        <f t="array" ref="L662">IFERROR(_xlfn.XLOOKUP(C662&amp;A662, ESPN!A:A&amp;ESPN!C:C, ESPN!D:D), "N/A")</f>
        <v>N/A</v>
      </c>
      <c r="M662" s="23" t="str" cm="1">
        <f t="array" ref="M662">IFERROR(_xlfn.XLOOKUP(C662&amp;A662, ESPN!A:A&amp;ESPN!C:C, ESPN!G:G), "N/A")</f>
        <v>N/A</v>
      </c>
      <c r="N662" s="23" t="str" cm="1">
        <f t="array" ref="N662">IFERROR(_xlfn.XLOOKUP(C662&amp;A662, ESPN!A:A&amp;ESPN!C:C, ESPN!H:H), "N/A")</f>
        <v>N/A</v>
      </c>
      <c r="O662" s="26" t="str" cm="1">
        <f t="array" ref="O662">IFERROR(_xlfn.XLOOKUP(C662&amp;A662, ESPN!A:A&amp;ESPN!C:C, ESPN!I:I), "N/A")</f>
        <v>N/A</v>
      </c>
      <c r="P662" s="26" t="str" cm="1">
        <f t="array" ref="P662">IFERROR(_xlfn.XLOOKUP(C662&amp;A662, ESPN!A:A&amp;ESPN!C:C, ESPN!J:J), "N/A")</f>
        <v>N/A</v>
      </c>
      <c r="Q662" s="26" t="str" cm="1">
        <f t="array" ref="Q662">IFERROR(_xlfn.XLOOKUP(C662&amp;A662, ESPN!A:A&amp;ESPN!C:C, ESPN!K:K), "N/A")</f>
        <v>N/A</v>
      </c>
    </row>
    <row r="663" spans="1:17" x14ac:dyDescent="0.45">
      <c r="A663" s="7">
        <v>2022</v>
      </c>
      <c r="B663" s="3" t="s">
        <v>402</v>
      </c>
      <c r="C663" s="4" t="str">
        <f t="shared" si="20"/>
        <v>Devine Ozigbo</v>
      </c>
      <c r="D663" s="4" t="str">
        <f t="shared" si="21"/>
        <v>DEN</v>
      </c>
      <c r="E663" s="4">
        <v>3</v>
      </c>
      <c r="F663" s="12">
        <v>1</v>
      </c>
      <c r="G663" s="11">
        <v>1</v>
      </c>
      <c r="H663" s="11">
        <v>3</v>
      </c>
      <c r="I663" s="11">
        <v>3</v>
      </c>
      <c r="J663" s="11">
        <v>0</v>
      </c>
      <c r="K663" s="11">
        <v>0</v>
      </c>
      <c r="L663" s="11" t="str" cm="1">
        <f t="array" ref="L663">IFERROR(_xlfn.XLOOKUP(C663&amp;A663, ESPN!A:A&amp;ESPN!C:C, ESPN!D:D), "N/A")</f>
        <v>N/A</v>
      </c>
      <c r="M663" s="23" t="str" cm="1">
        <f t="array" ref="M663">IFERROR(_xlfn.XLOOKUP(C663&amp;A663, ESPN!A:A&amp;ESPN!C:C, ESPN!G:G), "N/A")</f>
        <v>N/A</v>
      </c>
      <c r="N663" s="23" t="str" cm="1">
        <f t="array" ref="N663">IFERROR(_xlfn.XLOOKUP(C663&amp;A663, ESPN!A:A&amp;ESPN!C:C, ESPN!H:H), "N/A")</f>
        <v>N/A</v>
      </c>
      <c r="O663" s="26" t="str" cm="1">
        <f t="array" ref="O663">IFERROR(_xlfn.XLOOKUP(C663&amp;A663, ESPN!A:A&amp;ESPN!C:C, ESPN!I:I), "N/A")</f>
        <v>N/A</v>
      </c>
      <c r="P663" s="26" t="str" cm="1">
        <f t="array" ref="P663">IFERROR(_xlfn.XLOOKUP(C663&amp;A663, ESPN!A:A&amp;ESPN!C:C, ESPN!J:J), "N/A")</f>
        <v>N/A</v>
      </c>
      <c r="Q663" s="26" t="str" cm="1">
        <f t="array" ref="Q663">IFERROR(_xlfn.XLOOKUP(C663&amp;A663, ESPN!A:A&amp;ESPN!C:C, ESPN!K:K), "N/A")</f>
        <v>N/A</v>
      </c>
    </row>
    <row r="664" spans="1:17" x14ac:dyDescent="0.45">
      <c r="A664" s="6">
        <v>2022</v>
      </c>
      <c r="B664" s="1" t="s">
        <v>403</v>
      </c>
      <c r="C664" s="2" t="str">
        <f t="shared" si="20"/>
        <v>Kylin Hill</v>
      </c>
      <c r="D664" s="2" t="str">
        <f t="shared" si="21"/>
        <v>GB</v>
      </c>
      <c r="E664" s="2">
        <v>1</v>
      </c>
      <c r="F664" s="12">
        <v>0</v>
      </c>
      <c r="G664" s="11">
        <v>0</v>
      </c>
      <c r="H664" s="11">
        <v>0</v>
      </c>
      <c r="I664" s="11">
        <v>0</v>
      </c>
      <c r="J664" s="11">
        <v>0</v>
      </c>
      <c r="K664" s="11">
        <v>0</v>
      </c>
      <c r="L664" s="11" t="str" cm="1">
        <f t="array" ref="L664">IFERROR(_xlfn.XLOOKUP(C664&amp;A664, ESPN!A:A&amp;ESPN!C:C, ESPN!D:D), "N/A")</f>
        <v>N/A</v>
      </c>
      <c r="M664" s="23" t="str" cm="1">
        <f t="array" ref="M664">IFERROR(_xlfn.XLOOKUP(C664&amp;A664, ESPN!A:A&amp;ESPN!C:C, ESPN!G:G), "N/A")</f>
        <v>N/A</v>
      </c>
      <c r="N664" s="23" t="str" cm="1">
        <f t="array" ref="N664">IFERROR(_xlfn.XLOOKUP(C664&amp;A664, ESPN!A:A&amp;ESPN!C:C, ESPN!H:H), "N/A")</f>
        <v>N/A</v>
      </c>
      <c r="O664" s="26" t="str" cm="1">
        <f t="array" ref="O664">IFERROR(_xlfn.XLOOKUP(C664&amp;A664, ESPN!A:A&amp;ESPN!C:C, ESPN!I:I), "N/A")</f>
        <v>N/A</v>
      </c>
      <c r="P664" s="26" t="str" cm="1">
        <f t="array" ref="P664">IFERROR(_xlfn.XLOOKUP(C664&amp;A664, ESPN!A:A&amp;ESPN!C:C, ESPN!J:J), "N/A")</f>
        <v>N/A</v>
      </c>
      <c r="Q664" s="26" t="str" cm="1">
        <f t="array" ref="Q664">IFERROR(_xlfn.XLOOKUP(C664&amp;A664, ESPN!A:A&amp;ESPN!C:C, ESPN!K:K), "N/A")</f>
        <v>N/A</v>
      </c>
    </row>
    <row r="665" spans="1:17" x14ac:dyDescent="0.45">
      <c r="A665" s="7">
        <v>2022</v>
      </c>
      <c r="B665" s="3" t="s">
        <v>404</v>
      </c>
      <c r="C665" s="4" t="str">
        <f t="shared" si="20"/>
        <v>Ty'Son Williams</v>
      </c>
      <c r="D665" s="4" t="str">
        <f t="shared" si="21"/>
        <v>ARI</v>
      </c>
      <c r="E665" s="4">
        <v>1</v>
      </c>
      <c r="F665" s="12">
        <v>1</v>
      </c>
      <c r="G665" s="11">
        <v>1</v>
      </c>
      <c r="H665" s="11">
        <v>5</v>
      </c>
      <c r="I665" s="11">
        <v>5</v>
      </c>
      <c r="J665" s="11">
        <v>0</v>
      </c>
      <c r="K665" s="11">
        <v>0</v>
      </c>
      <c r="L665" s="11" t="str" cm="1">
        <f t="array" ref="L665">IFERROR(_xlfn.XLOOKUP(C665&amp;A665, ESPN!A:A&amp;ESPN!C:C, ESPN!D:D), "N/A")</f>
        <v>N/A</v>
      </c>
      <c r="M665" s="23" t="str" cm="1">
        <f t="array" ref="M665">IFERROR(_xlfn.XLOOKUP(C665&amp;A665, ESPN!A:A&amp;ESPN!C:C, ESPN!G:G), "N/A")</f>
        <v>N/A</v>
      </c>
      <c r="N665" s="23" t="str" cm="1">
        <f t="array" ref="N665">IFERROR(_xlfn.XLOOKUP(C665&amp;A665, ESPN!A:A&amp;ESPN!C:C, ESPN!H:H), "N/A")</f>
        <v>N/A</v>
      </c>
      <c r="O665" s="26" t="str" cm="1">
        <f t="array" ref="O665">IFERROR(_xlfn.XLOOKUP(C665&amp;A665, ESPN!A:A&amp;ESPN!C:C, ESPN!I:I), "N/A")</f>
        <v>N/A</v>
      </c>
      <c r="P665" s="26" t="str" cm="1">
        <f t="array" ref="P665">IFERROR(_xlfn.XLOOKUP(C665&amp;A665, ESPN!A:A&amp;ESPN!C:C, ESPN!J:J), "N/A")</f>
        <v>N/A</v>
      </c>
      <c r="Q665" s="26" t="str" cm="1">
        <f t="array" ref="Q665">IFERROR(_xlfn.XLOOKUP(C665&amp;A665, ESPN!A:A&amp;ESPN!C:C, ESPN!K:K), "N/A")</f>
        <v>N/A</v>
      </c>
    </row>
    <row r="666" spans="1:17" x14ac:dyDescent="0.45">
      <c r="A666" s="6">
        <v>2022</v>
      </c>
      <c r="B666" s="1" t="s">
        <v>405</v>
      </c>
      <c r="C666" s="2" t="str">
        <f t="shared" si="20"/>
        <v>Duke Johnson Jr.</v>
      </c>
      <c r="D666" s="2" t="str">
        <f t="shared" si="21"/>
        <v>BUF</v>
      </c>
      <c r="E666" s="2">
        <v>1</v>
      </c>
      <c r="F666" s="12">
        <v>0</v>
      </c>
      <c r="G666" s="11">
        <v>0</v>
      </c>
      <c r="H666" s="11">
        <v>0</v>
      </c>
      <c r="I666" s="11">
        <v>0</v>
      </c>
      <c r="J666" s="11">
        <v>0</v>
      </c>
      <c r="K666" s="11">
        <v>0</v>
      </c>
      <c r="L666" s="11" t="str" cm="1">
        <f t="array" ref="L666">IFERROR(_xlfn.XLOOKUP(C666&amp;A666, ESPN!A:A&amp;ESPN!C:C, ESPN!D:D), "N/A")</f>
        <v>N/A</v>
      </c>
      <c r="M666" s="23" t="str" cm="1">
        <f t="array" ref="M666">IFERROR(_xlfn.XLOOKUP(C666&amp;A666, ESPN!A:A&amp;ESPN!C:C, ESPN!G:G), "N/A")</f>
        <v>N/A</v>
      </c>
      <c r="N666" s="23" t="str" cm="1">
        <f t="array" ref="N666">IFERROR(_xlfn.XLOOKUP(C666&amp;A666, ESPN!A:A&amp;ESPN!C:C, ESPN!H:H), "N/A")</f>
        <v>N/A</v>
      </c>
      <c r="O666" s="26" t="str" cm="1">
        <f t="array" ref="O666">IFERROR(_xlfn.XLOOKUP(C666&amp;A666, ESPN!A:A&amp;ESPN!C:C, ESPN!I:I), "N/A")</f>
        <v>N/A</v>
      </c>
      <c r="P666" s="26" t="str" cm="1">
        <f t="array" ref="P666">IFERROR(_xlfn.XLOOKUP(C666&amp;A666, ESPN!A:A&amp;ESPN!C:C, ESPN!J:J), "N/A")</f>
        <v>N/A</v>
      </c>
      <c r="Q666" s="26" t="str" cm="1">
        <f t="array" ref="Q666">IFERROR(_xlfn.XLOOKUP(C666&amp;A666, ESPN!A:A&amp;ESPN!C:C, ESPN!K:K), "N/A")</f>
        <v>N/A</v>
      </c>
    </row>
    <row r="667" spans="1:17" x14ac:dyDescent="0.45">
      <c r="A667" s="7">
        <v>2022</v>
      </c>
      <c r="B667" s="3" t="s">
        <v>406</v>
      </c>
      <c r="C667" s="4" t="str">
        <f t="shared" si="20"/>
        <v>Demetric Felton Jr.</v>
      </c>
      <c r="D667" s="4" t="str">
        <f t="shared" si="21"/>
        <v>CLE</v>
      </c>
      <c r="E667" s="4">
        <v>6</v>
      </c>
      <c r="F667" s="12">
        <v>4</v>
      </c>
      <c r="G667" s="11">
        <v>2</v>
      </c>
      <c r="H667" s="11">
        <v>8</v>
      </c>
      <c r="I667" s="11">
        <v>4</v>
      </c>
      <c r="J667" s="11">
        <v>0</v>
      </c>
      <c r="K667" s="11">
        <v>0</v>
      </c>
      <c r="L667" s="11" t="str" cm="1">
        <f t="array" ref="L667">IFERROR(_xlfn.XLOOKUP(C667&amp;A667, ESPN!A:A&amp;ESPN!C:C, ESPN!D:D), "N/A")</f>
        <v>N/A</v>
      </c>
      <c r="M667" s="23" t="str" cm="1">
        <f t="array" ref="M667">IFERROR(_xlfn.XLOOKUP(C667&amp;A667, ESPN!A:A&amp;ESPN!C:C, ESPN!G:G), "N/A")</f>
        <v>N/A</v>
      </c>
      <c r="N667" s="23" t="str" cm="1">
        <f t="array" ref="N667">IFERROR(_xlfn.XLOOKUP(C667&amp;A667, ESPN!A:A&amp;ESPN!C:C, ESPN!H:H), "N/A")</f>
        <v>N/A</v>
      </c>
      <c r="O667" s="26" t="str" cm="1">
        <f t="array" ref="O667">IFERROR(_xlfn.XLOOKUP(C667&amp;A667, ESPN!A:A&amp;ESPN!C:C, ESPN!I:I), "N/A")</f>
        <v>N/A</v>
      </c>
      <c r="P667" s="26" t="str" cm="1">
        <f t="array" ref="P667">IFERROR(_xlfn.XLOOKUP(C667&amp;A667, ESPN!A:A&amp;ESPN!C:C, ESPN!J:J), "N/A")</f>
        <v>N/A</v>
      </c>
      <c r="Q667" s="26" t="str" cm="1">
        <f t="array" ref="Q667">IFERROR(_xlfn.XLOOKUP(C667&amp;A667, ESPN!A:A&amp;ESPN!C:C, ESPN!K:K), "N/A")</f>
        <v>N/A</v>
      </c>
    </row>
    <row r="668" spans="1:17" x14ac:dyDescent="0.45">
      <c r="A668" s="6">
        <v>2022</v>
      </c>
      <c r="B668" s="1" t="s">
        <v>407</v>
      </c>
      <c r="C668" s="2" t="str">
        <f t="shared" si="20"/>
        <v>Damien Williams</v>
      </c>
      <c r="D668" s="2" t="str">
        <f t="shared" si="21"/>
        <v>ATL</v>
      </c>
      <c r="E668" s="2">
        <v>1</v>
      </c>
      <c r="F668" s="12">
        <v>0</v>
      </c>
      <c r="G668" s="11">
        <v>0</v>
      </c>
      <c r="H668" s="11">
        <v>0</v>
      </c>
      <c r="I668" s="11">
        <v>0</v>
      </c>
      <c r="J668" s="11">
        <v>0</v>
      </c>
      <c r="K668" s="11">
        <v>0</v>
      </c>
      <c r="L668" s="11" t="str" cm="1">
        <f t="array" ref="L668">IFERROR(_xlfn.XLOOKUP(C668&amp;A668, ESPN!A:A&amp;ESPN!C:C, ESPN!D:D), "N/A")</f>
        <v>N/A</v>
      </c>
      <c r="M668" s="23" t="str" cm="1">
        <f t="array" ref="M668">IFERROR(_xlfn.XLOOKUP(C668&amp;A668, ESPN!A:A&amp;ESPN!C:C, ESPN!G:G), "N/A")</f>
        <v>N/A</v>
      </c>
      <c r="N668" s="23" t="str" cm="1">
        <f t="array" ref="N668">IFERROR(_xlfn.XLOOKUP(C668&amp;A668, ESPN!A:A&amp;ESPN!C:C, ESPN!H:H), "N/A")</f>
        <v>N/A</v>
      </c>
      <c r="O668" s="26" t="str" cm="1">
        <f t="array" ref="O668">IFERROR(_xlfn.XLOOKUP(C668&amp;A668, ESPN!A:A&amp;ESPN!C:C, ESPN!I:I), "N/A")</f>
        <v>N/A</v>
      </c>
      <c r="P668" s="26" t="str" cm="1">
        <f t="array" ref="P668">IFERROR(_xlfn.XLOOKUP(C668&amp;A668, ESPN!A:A&amp;ESPN!C:C, ESPN!J:J), "N/A")</f>
        <v>N/A</v>
      </c>
      <c r="Q668" s="26" t="str" cm="1">
        <f t="array" ref="Q668">IFERROR(_xlfn.XLOOKUP(C668&amp;A668, ESPN!A:A&amp;ESPN!C:C, ESPN!K:K), "N/A")</f>
        <v>N/A</v>
      </c>
    </row>
    <row r="669" spans="1:17" x14ac:dyDescent="0.45">
      <c r="A669" s="7">
        <v>2022</v>
      </c>
      <c r="B669" s="3" t="s">
        <v>408</v>
      </c>
      <c r="C669" s="4" t="str">
        <f t="shared" si="20"/>
        <v>Jordan Howard</v>
      </c>
      <c r="D669" s="4" t="str">
        <f t="shared" si="21"/>
        <v>NO</v>
      </c>
      <c r="E669" s="4">
        <v>1</v>
      </c>
      <c r="F669" s="12">
        <v>0</v>
      </c>
      <c r="G669" s="11">
        <v>0</v>
      </c>
      <c r="H669" s="11">
        <v>0</v>
      </c>
      <c r="I669" s="11">
        <v>0</v>
      </c>
      <c r="J669" s="11">
        <v>0</v>
      </c>
      <c r="K669" s="11">
        <v>0</v>
      </c>
      <c r="L669" s="11" t="str" cm="1">
        <f t="array" ref="L669">IFERROR(_xlfn.XLOOKUP(C669&amp;A669, ESPN!A:A&amp;ESPN!C:C, ESPN!D:D), "N/A")</f>
        <v>N/A</v>
      </c>
      <c r="M669" s="23" t="str" cm="1">
        <f t="array" ref="M669">IFERROR(_xlfn.XLOOKUP(C669&amp;A669, ESPN!A:A&amp;ESPN!C:C, ESPN!G:G), "N/A")</f>
        <v>N/A</v>
      </c>
      <c r="N669" s="23" t="str" cm="1">
        <f t="array" ref="N669">IFERROR(_xlfn.XLOOKUP(C669&amp;A669, ESPN!A:A&amp;ESPN!C:C, ESPN!H:H), "N/A")</f>
        <v>N/A</v>
      </c>
      <c r="O669" s="26" t="str" cm="1">
        <f t="array" ref="O669">IFERROR(_xlfn.XLOOKUP(C669&amp;A669, ESPN!A:A&amp;ESPN!C:C, ESPN!I:I), "N/A")</f>
        <v>N/A</v>
      </c>
      <c r="P669" s="26" t="str" cm="1">
        <f t="array" ref="P669">IFERROR(_xlfn.XLOOKUP(C669&amp;A669, ESPN!A:A&amp;ESPN!C:C, ESPN!J:J), "N/A")</f>
        <v>N/A</v>
      </c>
      <c r="Q669" s="26" t="str" cm="1">
        <f t="array" ref="Q669">IFERROR(_xlfn.XLOOKUP(C669&amp;A669, ESPN!A:A&amp;ESPN!C:C, ESPN!K:K), "N/A")</f>
        <v>N/A</v>
      </c>
    </row>
    <row r="670" spans="1:17" x14ac:dyDescent="0.45">
      <c r="A670" s="6">
        <v>2022</v>
      </c>
      <c r="B670" s="1" t="s">
        <v>409</v>
      </c>
      <c r="C670" s="2" t="str">
        <f t="shared" si="20"/>
        <v>Kenjon Barner</v>
      </c>
      <c r="D670" s="2" t="str">
        <f t="shared" si="21"/>
        <v>TB</v>
      </c>
      <c r="E670" s="2">
        <v>1</v>
      </c>
      <c r="F670" s="12">
        <v>0</v>
      </c>
      <c r="G670" s="11">
        <v>0</v>
      </c>
      <c r="H670" s="11">
        <v>0</v>
      </c>
      <c r="I670" s="11">
        <v>0</v>
      </c>
      <c r="J670" s="11">
        <v>0</v>
      </c>
      <c r="K670" s="11">
        <v>0</v>
      </c>
      <c r="L670" s="11" t="str" cm="1">
        <f t="array" ref="L670">IFERROR(_xlfn.XLOOKUP(C670&amp;A670, ESPN!A:A&amp;ESPN!C:C, ESPN!D:D), "N/A")</f>
        <v>N/A</v>
      </c>
      <c r="M670" s="23" t="str" cm="1">
        <f t="array" ref="M670">IFERROR(_xlfn.XLOOKUP(C670&amp;A670, ESPN!A:A&amp;ESPN!C:C, ESPN!G:G), "N/A")</f>
        <v>N/A</v>
      </c>
      <c r="N670" s="23" t="str" cm="1">
        <f t="array" ref="N670">IFERROR(_xlfn.XLOOKUP(C670&amp;A670, ESPN!A:A&amp;ESPN!C:C, ESPN!H:H), "N/A")</f>
        <v>N/A</v>
      </c>
      <c r="O670" s="26" t="str" cm="1">
        <f t="array" ref="O670">IFERROR(_xlfn.XLOOKUP(C670&amp;A670, ESPN!A:A&amp;ESPN!C:C, ESPN!I:I), "N/A")</f>
        <v>N/A</v>
      </c>
      <c r="P670" s="26" t="str" cm="1">
        <f t="array" ref="P670">IFERROR(_xlfn.XLOOKUP(C670&amp;A670, ESPN!A:A&amp;ESPN!C:C, ESPN!J:J), "N/A")</f>
        <v>N/A</v>
      </c>
      <c r="Q670" s="26" t="str" cm="1">
        <f t="array" ref="Q670">IFERROR(_xlfn.XLOOKUP(C670&amp;A670, ESPN!A:A&amp;ESPN!C:C, ESPN!K:K), "N/A")</f>
        <v>N/A</v>
      </c>
    </row>
    <row r="671" spans="1:17" x14ac:dyDescent="0.45">
      <c r="A671" s="7">
        <v>2022</v>
      </c>
      <c r="B671" s="3" t="s">
        <v>410</v>
      </c>
      <c r="C671" s="4" t="str">
        <f t="shared" si="20"/>
        <v>J.P. Holtz</v>
      </c>
      <c r="D671" s="4" t="str">
        <f t="shared" si="21"/>
        <v>NO</v>
      </c>
      <c r="E671" s="4">
        <v>1</v>
      </c>
      <c r="F671" s="12">
        <v>0</v>
      </c>
      <c r="G671" s="11">
        <v>0</v>
      </c>
      <c r="H671" s="11">
        <v>0</v>
      </c>
      <c r="I671" s="11">
        <v>0</v>
      </c>
      <c r="J671" s="11">
        <v>0</v>
      </c>
      <c r="K671" s="11">
        <v>0</v>
      </c>
      <c r="L671" s="11" t="str" cm="1">
        <f t="array" ref="L671">IFERROR(_xlfn.XLOOKUP(C671&amp;A671, ESPN!A:A&amp;ESPN!C:C, ESPN!D:D), "N/A")</f>
        <v>N/A</v>
      </c>
      <c r="M671" s="23" t="str" cm="1">
        <f t="array" ref="M671">IFERROR(_xlfn.XLOOKUP(C671&amp;A671, ESPN!A:A&amp;ESPN!C:C, ESPN!G:G), "N/A")</f>
        <v>N/A</v>
      </c>
      <c r="N671" s="23" t="str" cm="1">
        <f t="array" ref="N671">IFERROR(_xlfn.XLOOKUP(C671&amp;A671, ESPN!A:A&amp;ESPN!C:C, ESPN!H:H), "N/A")</f>
        <v>N/A</v>
      </c>
      <c r="O671" s="26" t="str" cm="1">
        <f t="array" ref="O671">IFERROR(_xlfn.XLOOKUP(C671&amp;A671, ESPN!A:A&amp;ESPN!C:C, ESPN!I:I), "N/A")</f>
        <v>N/A</v>
      </c>
      <c r="P671" s="26" t="str" cm="1">
        <f t="array" ref="P671">IFERROR(_xlfn.XLOOKUP(C671&amp;A671, ESPN!A:A&amp;ESPN!C:C, ESPN!J:J), "N/A")</f>
        <v>N/A</v>
      </c>
      <c r="Q671" s="26" t="str" cm="1">
        <f t="array" ref="Q671">IFERROR(_xlfn.XLOOKUP(C671&amp;A671, ESPN!A:A&amp;ESPN!C:C, ESPN!K:K), "N/A")</f>
        <v>N/A</v>
      </c>
    </row>
    <row r="672" spans="1:17" x14ac:dyDescent="0.45">
      <c r="A672" s="6">
        <v>2022</v>
      </c>
      <c r="B672" s="1" t="s">
        <v>411</v>
      </c>
      <c r="C672" s="2" t="str">
        <f t="shared" si="20"/>
        <v>Brandin Bryant</v>
      </c>
      <c r="D672" s="2" t="str">
        <f t="shared" si="21"/>
        <v>BUF</v>
      </c>
      <c r="E672" s="2">
        <v>2</v>
      </c>
      <c r="F672" s="12">
        <v>0</v>
      </c>
      <c r="G672" s="11">
        <v>0</v>
      </c>
      <c r="H672" s="11">
        <v>0</v>
      </c>
      <c r="I672" s="11">
        <v>0</v>
      </c>
      <c r="J672" s="11">
        <v>0</v>
      </c>
      <c r="K672" s="11">
        <v>0</v>
      </c>
      <c r="L672" s="11" t="str" cm="1">
        <f t="array" ref="L672">IFERROR(_xlfn.XLOOKUP(C672&amp;A672, ESPN!A:A&amp;ESPN!C:C, ESPN!D:D), "N/A")</f>
        <v>N/A</v>
      </c>
      <c r="M672" s="23" t="str" cm="1">
        <f t="array" ref="M672">IFERROR(_xlfn.XLOOKUP(C672&amp;A672, ESPN!A:A&amp;ESPN!C:C, ESPN!G:G), "N/A")</f>
        <v>N/A</v>
      </c>
      <c r="N672" s="23" t="str" cm="1">
        <f t="array" ref="N672">IFERROR(_xlfn.XLOOKUP(C672&amp;A672, ESPN!A:A&amp;ESPN!C:C, ESPN!H:H), "N/A")</f>
        <v>N/A</v>
      </c>
      <c r="O672" s="26" t="str" cm="1">
        <f t="array" ref="O672">IFERROR(_xlfn.XLOOKUP(C672&amp;A672, ESPN!A:A&amp;ESPN!C:C, ESPN!I:I), "N/A")</f>
        <v>N/A</v>
      </c>
      <c r="P672" s="26" t="str" cm="1">
        <f t="array" ref="P672">IFERROR(_xlfn.XLOOKUP(C672&amp;A672, ESPN!A:A&amp;ESPN!C:C, ESPN!J:J), "N/A")</f>
        <v>N/A</v>
      </c>
      <c r="Q672" s="26" t="str" cm="1">
        <f t="array" ref="Q672">IFERROR(_xlfn.XLOOKUP(C672&amp;A672, ESPN!A:A&amp;ESPN!C:C, ESPN!K:K), "N/A")</f>
        <v>N/A</v>
      </c>
    </row>
    <row r="673" spans="1:17" x14ac:dyDescent="0.45">
      <c r="A673" s="7">
        <v>2022</v>
      </c>
      <c r="B673" s="3" t="s">
        <v>326</v>
      </c>
      <c r="C673" s="4" t="str">
        <f t="shared" si="20"/>
        <v>Jason Cabinda</v>
      </c>
      <c r="D673" s="4" t="str">
        <f t="shared" si="21"/>
        <v>DET</v>
      </c>
      <c r="E673" s="4">
        <v>7</v>
      </c>
      <c r="F673" s="12">
        <v>4</v>
      </c>
      <c r="G673" s="11">
        <v>1</v>
      </c>
      <c r="H673" s="11">
        <v>5</v>
      </c>
      <c r="I673" s="11">
        <v>5</v>
      </c>
      <c r="J673" s="11">
        <v>0</v>
      </c>
      <c r="K673" s="11">
        <v>0</v>
      </c>
      <c r="L673" s="11" t="str" cm="1">
        <f t="array" ref="L673">IFERROR(_xlfn.XLOOKUP(C673&amp;A673, ESPN!A:A&amp;ESPN!C:C, ESPN!D:D), "N/A")</f>
        <v>N/A</v>
      </c>
      <c r="M673" s="23" t="str" cm="1">
        <f t="array" ref="M673">IFERROR(_xlfn.XLOOKUP(C673&amp;A673, ESPN!A:A&amp;ESPN!C:C, ESPN!G:G), "N/A")</f>
        <v>N/A</v>
      </c>
      <c r="N673" s="23" t="str" cm="1">
        <f t="array" ref="N673">IFERROR(_xlfn.XLOOKUP(C673&amp;A673, ESPN!A:A&amp;ESPN!C:C, ESPN!H:H), "N/A")</f>
        <v>N/A</v>
      </c>
      <c r="O673" s="26" t="str" cm="1">
        <f t="array" ref="O673">IFERROR(_xlfn.XLOOKUP(C673&amp;A673, ESPN!A:A&amp;ESPN!C:C, ESPN!I:I), "N/A")</f>
        <v>N/A</v>
      </c>
      <c r="P673" s="26" t="str" cm="1">
        <f t="array" ref="P673">IFERROR(_xlfn.XLOOKUP(C673&amp;A673, ESPN!A:A&amp;ESPN!C:C, ESPN!J:J), "N/A")</f>
        <v>N/A</v>
      </c>
      <c r="Q673" s="26" t="str" cm="1">
        <f t="array" ref="Q673">IFERROR(_xlfn.XLOOKUP(C673&amp;A673, ESPN!A:A&amp;ESPN!C:C, ESPN!K:K), "N/A")</f>
        <v>N/A</v>
      </c>
    </row>
    <row r="674" spans="1:17" x14ac:dyDescent="0.45">
      <c r="A674" s="6">
        <v>2022</v>
      </c>
      <c r="B674" s="1" t="s">
        <v>412</v>
      </c>
      <c r="C674" s="2" t="str">
        <f t="shared" si="20"/>
        <v>Trenton Cannon</v>
      </c>
      <c r="D674" s="2" t="str">
        <f t="shared" si="21"/>
        <v>TEN</v>
      </c>
      <c r="E674" s="2">
        <v>2</v>
      </c>
      <c r="F674" s="12">
        <v>0</v>
      </c>
      <c r="G674" s="11">
        <v>0</v>
      </c>
      <c r="H674" s="11">
        <v>0</v>
      </c>
      <c r="I674" s="11">
        <v>0</v>
      </c>
      <c r="J674" s="11">
        <v>0</v>
      </c>
      <c r="K674" s="11">
        <v>0</v>
      </c>
      <c r="L674" s="11" t="str" cm="1">
        <f t="array" ref="L674">IFERROR(_xlfn.XLOOKUP(C674&amp;A674, ESPN!A:A&amp;ESPN!C:C, ESPN!D:D), "N/A")</f>
        <v>N/A</v>
      </c>
      <c r="M674" s="23" t="str" cm="1">
        <f t="array" ref="M674">IFERROR(_xlfn.XLOOKUP(C674&amp;A674, ESPN!A:A&amp;ESPN!C:C, ESPN!G:G), "N/A")</f>
        <v>N/A</v>
      </c>
      <c r="N674" s="23" t="str" cm="1">
        <f t="array" ref="N674">IFERROR(_xlfn.XLOOKUP(C674&amp;A674, ESPN!A:A&amp;ESPN!C:C, ESPN!H:H), "N/A")</f>
        <v>N/A</v>
      </c>
      <c r="O674" s="26" t="str" cm="1">
        <f t="array" ref="O674">IFERROR(_xlfn.XLOOKUP(C674&amp;A674, ESPN!A:A&amp;ESPN!C:C, ESPN!I:I), "N/A")</f>
        <v>N/A</v>
      </c>
      <c r="P674" s="26" t="str" cm="1">
        <f t="array" ref="P674">IFERROR(_xlfn.XLOOKUP(C674&amp;A674, ESPN!A:A&amp;ESPN!C:C, ESPN!J:J), "N/A")</f>
        <v>N/A</v>
      </c>
      <c r="Q674" s="26" t="str" cm="1">
        <f t="array" ref="Q674">IFERROR(_xlfn.XLOOKUP(C674&amp;A674, ESPN!A:A&amp;ESPN!C:C, ESPN!K:K), "N/A")</f>
        <v>N/A</v>
      </c>
    </row>
    <row r="675" spans="1:17" x14ac:dyDescent="0.45">
      <c r="A675" s="7">
        <v>2022</v>
      </c>
      <c r="B675" s="3" t="s">
        <v>413</v>
      </c>
      <c r="C675" s="4" t="str">
        <f t="shared" si="20"/>
        <v>Qadree Ollison</v>
      </c>
      <c r="D675" s="4" t="str">
        <f t="shared" si="21"/>
        <v>DAL</v>
      </c>
      <c r="E675" s="4">
        <v>3</v>
      </c>
      <c r="F675" s="12">
        <v>0</v>
      </c>
      <c r="G675" s="11">
        <v>0</v>
      </c>
      <c r="H675" s="11">
        <v>0</v>
      </c>
      <c r="I675" s="11">
        <v>0</v>
      </c>
      <c r="J675" s="11">
        <v>0</v>
      </c>
      <c r="K675" s="11">
        <v>0</v>
      </c>
      <c r="L675" s="11" t="str" cm="1">
        <f t="array" ref="L675">IFERROR(_xlfn.XLOOKUP(C675&amp;A675, ESPN!A:A&amp;ESPN!C:C, ESPN!D:D), "N/A")</f>
        <v>N/A</v>
      </c>
      <c r="M675" s="23" t="str" cm="1">
        <f t="array" ref="M675">IFERROR(_xlfn.XLOOKUP(C675&amp;A675, ESPN!A:A&amp;ESPN!C:C, ESPN!G:G), "N/A")</f>
        <v>N/A</v>
      </c>
      <c r="N675" s="23" t="str" cm="1">
        <f t="array" ref="N675">IFERROR(_xlfn.XLOOKUP(C675&amp;A675, ESPN!A:A&amp;ESPN!C:C, ESPN!H:H), "N/A")</f>
        <v>N/A</v>
      </c>
      <c r="O675" s="26" t="str" cm="1">
        <f t="array" ref="O675">IFERROR(_xlfn.XLOOKUP(C675&amp;A675, ESPN!A:A&amp;ESPN!C:C, ESPN!I:I), "N/A")</f>
        <v>N/A</v>
      </c>
      <c r="P675" s="26" t="str" cm="1">
        <f t="array" ref="P675">IFERROR(_xlfn.XLOOKUP(C675&amp;A675, ESPN!A:A&amp;ESPN!C:C, ESPN!J:J), "N/A")</f>
        <v>N/A</v>
      </c>
      <c r="Q675" s="26" t="str" cm="1">
        <f t="array" ref="Q675">IFERROR(_xlfn.XLOOKUP(C675&amp;A675, ESPN!A:A&amp;ESPN!C:C, ESPN!K:K), "N/A")</f>
        <v>N/A</v>
      </c>
    </row>
    <row r="676" spans="1:17" x14ac:dyDescent="0.45">
      <c r="A676" s="6">
        <v>2022</v>
      </c>
      <c r="B676" s="1" t="s">
        <v>414</v>
      </c>
      <c r="C676" s="2" t="str">
        <f t="shared" si="20"/>
        <v>Cullen Gillaspia</v>
      </c>
      <c r="D676" s="2" t="str">
        <f t="shared" si="21"/>
        <v>SEA</v>
      </c>
      <c r="E676" s="2">
        <v>4</v>
      </c>
      <c r="F676" s="12">
        <v>0</v>
      </c>
      <c r="G676" s="11">
        <v>0</v>
      </c>
      <c r="H676" s="11">
        <v>0</v>
      </c>
      <c r="I676" s="11">
        <v>0</v>
      </c>
      <c r="J676" s="11">
        <v>0</v>
      </c>
      <c r="K676" s="11">
        <v>0</v>
      </c>
      <c r="L676" s="11" t="str" cm="1">
        <f t="array" ref="L676">IFERROR(_xlfn.XLOOKUP(C676&amp;A676, ESPN!A:A&amp;ESPN!C:C, ESPN!D:D), "N/A")</f>
        <v>N/A</v>
      </c>
      <c r="M676" s="23" t="str" cm="1">
        <f t="array" ref="M676">IFERROR(_xlfn.XLOOKUP(C676&amp;A676, ESPN!A:A&amp;ESPN!C:C, ESPN!G:G), "N/A")</f>
        <v>N/A</v>
      </c>
      <c r="N676" s="23" t="str" cm="1">
        <f t="array" ref="N676">IFERROR(_xlfn.XLOOKUP(C676&amp;A676, ESPN!A:A&amp;ESPN!C:C, ESPN!H:H), "N/A")</f>
        <v>N/A</v>
      </c>
      <c r="O676" s="26" t="str" cm="1">
        <f t="array" ref="O676">IFERROR(_xlfn.XLOOKUP(C676&amp;A676, ESPN!A:A&amp;ESPN!C:C, ESPN!I:I), "N/A")</f>
        <v>N/A</v>
      </c>
      <c r="P676" s="26" t="str" cm="1">
        <f t="array" ref="P676">IFERROR(_xlfn.XLOOKUP(C676&amp;A676, ESPN!A:A&amp;ESPN!C:C, ESPN!J:J), "N/A")</f>
        <v>N/A</v>
      </c>
      <c r="Q676" s="26" t="str" cm="1">
        <f t="array" ref="Q676">IFERROR(_xlfn.XLOOKUP(C676&amp;A676, ESPN!A:A&amp;ESPN!C:C, ESPN!K:K), "N/A")</f>
        <v>N/A</v>
      </c>
    </row>
    <row r="677" spans="1:17" x14ac:dyDescent="0.45">
      <c r="A677" s="7">
        <v>2022</v>
      </c>
      <c r="B677" s="3" t="s">
        <v>415</v>
      </c>
      <c r="C677" s="4" t="str">
        <f t="shared" si="20"/>
        <v>Andrew Beck</v>
      </c>
      <c r="D677" s="4" t="str">
        <f t="shared" si="21"/>
        <v>DEN</v>
      </c>
      <c r="E677" s="4">
        <v>9</v>
      </c>
      <c r="F677" s="12">
        <v>11</v>
      </c>
      <c r="G677" s="11">
        <v>5</v>
      </c>
      <c r="H677" s="11">
        <v>69</v>
      </c>
      <c r="I677" s="11">
        <v>13.8</v>
      </c>
      <c r="J677" s="11">
        <v>0</v>
      </c>
      <c r="K677" s="11">
        <v>0</v>
      </c>
      <c r="L677" s="11" t="str" cm="1">
        <f t="array" ref="L677">IFERROR(_xlfn.XLOOKUP(C677&amp;A677, ESPN!A:A&amp;ESPN!C:C, ESPN!D:D), "N/A")</f>
        <v>N/A</v>
      </c>
      <c r="M677" s="23" t="str" cm="1">
        <f t="array" ref="M677">IFERROR(_xlfn.XLOOKUP(C677&amp;A677, ESPN!A:A&amp;ESPN!C:C, ESPN!G:G), "N/A")</f>
        <v>N/A</v>
      </c>
      <c r="N677" s="23" t="str" cm="1">
        <f t="array" ref="N677">IFERROR(_xlfn.XLOOKUP(C677&amp;A677, ESPN!A:A&amp;ESPN!C:C, ESPN!H:H), "N/A")</f>
        <v>N/A</v>
      </c>
      <c r="O677" s="26" t="str" cm="1">
        <f t="array" ref="O677">IFERROR(_xlfn.XLOOKUP(C677&amp;A677, ESPN!A:A&amp;ESPN!C:C, ESPN!I:I), "N/A")</f>
        <v>N/A</v>
      </c>
      <c r="P677" s="26" t="str" cm="1">
        <f t="array" ref="P677">IFERROR(_xlfn.XLOOKUP(C677&amp;A677, ESPN!A:A&amp;ESPN!C:C, ESPN!J:J), "N/A")</f>
        <v>N/A</v>
      </c>
      <c r="Q677" s="26" t="str" cm="1">
        <f t="array" ref="Q677">IFERROR(_xlfn.XLOOKUP(C677&amp;A677, ESPN!A:A&amp;ESPN!C:C, ESPN!K:K), "N/A")</f>
        <v>N/A</v>
      </c>
    </row>
    <row r="678" spans="1:17" x14ac:dyDescent="0.45">
      <c r="A678" s="6">
        <v>2022</v>
      </c>
      <c r="B678" s="1" t="s">
        <v>239</v>
      </c>
      <c r="C678" s="2" t="str">
        <f t="shared" si="20"/>
        <v>Khari Blasingame</v>
      </c>
      <c r="D678" s="2" t="str">
        <f t="shared" si="21"/>
        <v>CHI</v>
      </c>
      <c r="E678" s="2">
        <v>5</v>
      </c>
      <c r="F678" s="12">
        <v>1</v>
      </c>
      <c r="G678" s="11">
        <v>0</v>
      </c>
      <c r="H678" s="11">
        <v>0</v>
      </c>
      <c r="I678" s="11">
        <v>0</v>
      </c>
      <c r="J678" s="11">
        <v>0</v>
      </c>
      <c r="K678" s="11">
        <v>0</v>
      </c>
      <c r="L678" s="11" t="str" cm="1">
        <f t="array" ref="L678">IFERROR(_xlfn.XLOOKUP(C678&amp;A678, ESPN!A:A&amp;ESPN!C:C, ESPN!D:D), "N/A")</f>
        <v>N/A</v>
      </c>
      <c r="M678" s="23" t="str" cm="1">
        <f t="array" ref="M678">IFERROR(_xlfn.XLOOKUP(C678&amp;A678, ESPN!A:A&amp;ESPN!C:C, ESPN!G:G), "N/A")</f>
        <v>N/A</v>
      </c>
      <c r="N678" s="23" t="str" cm="1">
        <f t="array" ref="N678">IFERROR(_xlfn.XLOOKUP(C678&amp;A678, ESPN!A:A&amp;ESPN!C:C, ESPN!H:H), "N/A")</f>
        <v>N/A</v>
      </c>
      <c r="O678" s="26" t="str" cm="1">
        <f t="array" ref="O678">IFERROR(_xlfn.XLOOKUP(C678&amp;A678, ESPN!A:A&amp;ESPN!C:C, ESPN!I:I), "N/A")</f>
        <v>N/A</v>
      </c>
      <c r="P678" s="26" t="str" cm="1">
        <f t="array" ref="P678">IFERROR(_xlfn.XLOOKUP(C678&amp;A678, ESPN!A:A&amp;ESPN!C:C, ESPN!J:J), "N/A")</f>
        <v>N/A</v>
      </c>
      <c r="Q678" s="26" t="str" cm="1">
        <f t="array" ref="Q678">IFERROR(_xlfn.XLOOKUP(C678&amp;A678, ESPN!A:A&amp;ESPN!C:C, ESPN!K:K), "N/A")</f>
        <v>N/A</v>
      </c>
    </row>
    <row r="679" spans="1:17" x14ac:dyDescent="0.45">
      <c r="A679" s="7">
        <v>2022</v>
      </c>
      <c r="B679" s="3" t="s">
        <v>416</v>
      </c>
      <c r="C679" s="4" t="str">
        <f t="shared" si="20"/>
        <v>La'Mical Perine</v>
      </c>
      <c r="D679" s="4" t="str">
        <f t="shared" si="21"/>
        <v>MIA</v>
      </c>
      <c r="E679" s="4">
        <v>1</v>
      </c>
      <c r="F679" s="12">
        <v>0</v>
      </c>
      <c r="G679" s="11">
        <v>0</v>
      </c>
      <c r="H679" s="11">
        <v>0</v>
      </c>
      <c r="I679" s="11">
        <v>0</v>
      </c>
      <c r="J679" s="11">
        <v>0</v>
      </c>
      <c r="K679" s="11">
        <v>0</v>
      </c>
      <c r="L679" s="11" t="str" cm="1">
        <f t="array" ref="L679">IFERROR(_xlfn.XLOOKUP(C679&amp;A679, ESPN!A:A&amp;ESPN!C:C, ESPN!D:D), "N/A")</f>
        <v>N/A</v>
      </c>
      <c r="M679" s="23" t="str" cm="1">
        <f t="array" ref="M679">IFERROR(_xlfn.XLOOKUP(C679&amp;A679, ESPN!A:A&amp;ESPN!C:C, ESPN!G:G), "N/A")</f>
        <v>N/A</v>
      </c>
      <c r="N679" s="23" t="str" cm="1">
        <f t="array" ref="N679">IFERROR(_xlfn.XLOOKUP(C679&amp;A679, ESPN!A:A&amp;ESPN!C:C, ESPN!H:H), "N/A")</f>
        <v>N/A</v>
      </c>
      <c r="O679" s="26" t="str" cm="1">
        <f t="array" ref="O679">IFERROR(_xlfn.XLOOKUP(C679&amp;A679, ESPN!A:A&amp;ESPN!C:C, ESPN!I:I), "N/A")</f>
        <v>N/A</v>
      </c>
      <c r="P679" s="26" t="str" cm="1">
        <f t="array" ref="P679">IFERROR(_xlfn.XLOOKUP(C679&amp;A679, ESPN!A:A&amp;ESPN!C:C, ESPN!J:J), "N/A")</f>
        <v>N/A</v>
      </c>
      <c r="Q679" s="26" t="str" cm="1">
        <f t="array" ref="Q679">IFERROR(_xlfn.XLOOKUP(C679&amp;A679, ESPN!A:A&amp;ESPN!C:C, ESPN!K:K), "N/A")</f>
        <v>N/A</v>
      </c>
    </row>
    <row r="680" spans="1:17" x14ac:dyDescent="0.45">
      <c r="A680" s="6">
        <v>2022</v>
      </c>
      <c r="B680" s="1" t="s">
        <v>180</v>
      </c>
      <c r="C680" s="2" t="str">
        <f t="shared" si="20"/>
        <v>Rico Dowdle</v>
      </c>
      <c r="D680" s="2" t="str">
        <f t="shared" si="21"/>
        <v>DAL</v>
      </c>
      <c r="E680" s="2">
        <v>2</v>
      </c>
      <c r="F680" s="12">
        <v>0</v>
      </c>
      <c r="G680" s="11">
        <v>0</v>
      </c>
      <c r="H680" s="11">
        <v>0</v>
      </c>
      <c r="I680" s="11">
        <v>0</v>
      </c>
      <c r="J680" s="11">
        <v>0</v>
      </c>
      <c r="K680" s="11">
        <v>0</v>
      </c>
      <c r="L680" s="11" t="str" cm="1">
        <f t="array" ref="L680">IFERROR(_xlfn.XLOOKUP(C680&amp;A680, ESPN!A:A&amp;ESPN!C:C, ESPN!D:D), "N/A")</f>
        <v>N/A</v>
      </c>
      <c r="M680" s="23" t="str" cm="1">
        <f t="array" ref="M680">IFERROR(_xlfn.XLOOKUP(C680&amp;A680, ESPN!A:A&amp;ESPN!C:C, ESPN!G:G), "N/A")</f>
        <v>N/A</v>
      </c>
      <c r="N680" s="23" t="str" cm="1">
        <f t="array" ref="N680">IFERROR(_xlfn.XLOOKUP(C680&amp;A680, ESPN!A:A&amp;ESPN!C:C, ESPN!H:H), "N/A")</f>
        <v>N/A</v>
      </c>
      <c r="O680" s="26" t="str" cm="1">
        <f t="array" ref="O680">IFERROR(_xlfn.XLOOKUP(C680&amp;A680, ESPN!A:A&amp;ESPN!C:C, ESPN!I:I), "N/A")</f>
        <v>N/A</v>
      </c>
      <c r="P680" s="26" t="str" cm="1">
        <f t="array" ref="P680">IFERROR(_xlfn.XLOOKUP(C680&amp;A680, ESPN!A:A&amp;ESPN!C:C, ESPN!J:J), "N/A")</f>
        <v>N/A</v>
      </c>
      <c r="Q680" s="26" t="str" cm="1">
        <f t="array" ref="Q680">IFERROR(_xlfn.XLOOKUP(C680&amp;A680, ESPN!A:A&amp;ESPN!C:C, ESPN!K:K), "N/A")</f>
        <v>N/A</v>
      </c>
    </row>
    <row r="681" spans="1:17" x14ac:dyDescent="0.45">
      <c r="A681" s="7">
        <v>2022</v>
      </c>
      <c r="B681" s="3" t="s">
        <v>331</v>
      </c>
      <c r="C681" s="4" t="str">
        <f t="shared" si="20"/>
        <v>Kirk Merritt</v>
      </c>
      <c r="D681" s="4" t="str">
        <f t="shared" si="21"/>
        <v>NO</v>
      </c>
      <c r="E681" s="4">
        <v>1</v>
      </c>
      <c r="F681" s="12">
        <v>0</v>
      </c>
      <c r="G681" s="11">
        <v>0</v>
      </c>
      <c r="H681" s="11">
        <v>0</v>
      </c>
      <c r="I681" s="11">
        <v>0</v>
      </c>
      <c r="J681" s="11">
        <v>0</v>
      </c>
      <c r="K681" s="11">
        <v>0</v>
      </c>
      <c r="L681" s="11" t="str" cm="1">
        <f t="array" ref="L681">IFERROR(_xlfn.XLOOKUP(C681&amp;A681, ESPN!A:A&amp;ESPN!C:C, ESPN!D:D), "N/A")</f>
        <v>N/A</v>
      </c>
      <c r="M681" s="23" t="str" cm="1">
        <f t="array" ref="M681">IFERROR(_xlfn.XLOOKUP(C681&amp;A681, ESPN!A:A&amp;ESPN!C:C, ESPN!G:G), "N/A")</f>
        <v>N/A</v>
      </c>
      <c r="N681" s="23" t="str" cm="1">
        <f t="array" ref="N681">IFERROR(_xlfn.XLOOKUP(C681&amp;A681, ESPN!A:A&amp;ESPN!C:C, ESPN!H:H), "N/A")</f>
        <v>N/A</v>
      </c>
      <c r="O681" s="26" t="str" cm="1">
        <f t="array" ref="O681">IFERROR(_xlfn.XLOOKUP(C681&amp;A681, ESPN!A:A&amp;ESPN!C:C, ESPN!I:I), "N/A")</f>
        <v>N/A</v>
      </c>
      <c r="P681" s="26" t="str" cm="1">
        <f t="array" ref="P681">IFERROR(_xlfn.XLOOKUP(C681&amp;A681, ESPN!A:A&amp;ESPN!C:C, ESPN!J:J), "N/A")</f>
        <v>N/A</v>
      </c>
      <c r="Q681" s="26" t="str" cm="1">
        <f t="array" ref="Q681">IFERROR(_xlfn.XLOOKUP(C681&amp;A681, ESPN!A:A&amp;ESPN!C:C, ESPN!K:K), "N/A")</f>
        <v>N/A</v>
      </c>
    </row>
    <row r="682" spans="1:17" x14ac:dyDescent="0.45">
      <c r="A682" s="6">
        <v>2022</v>
      </c>
      <c r="B682" s="1" t="s">
        <v>220</v>
      </c>
      <c r="C682" s="2" t="str">
        <f t="shared" si="20"/>
        <v>Jermar Jefferson</v>
      </c>
      <c r="D682" s="2" t="str">
        <f t="shared" si="21"/>
        <v>DET</v>
      </c>
      <c r="E682" s="2">
        <v>1</v>
      </c>
      <c r="F682" s="12">
        <v>0</v>
      </c>
      <c r="G682" s="11">
        <v>0</v>
      </c>
      <c r="H682" s="11">
        <v>0</v>
      </c>
      <c r="I682" s="11">
        <v>0</v>
      </c>
      <c r="J682" s="11">
        <v>0</v>
      </c>
      <c r="K682" s="11">
        <v>0</v>
      </c>
      <c r="L682" s="11" t="str" cm="1">
        <f t="array" ref="L682">IFERROR(_xlfn.XLOOKUP(C682&amp;A682, ESPN!A:A&amp;ESPN!C:C, ESPN!D:D), "N/A")</f>
        <v>N/A</v>
      </c>
      <c r="M682" s="23" t="str" cm="1">
        <f t="array" ref="M682">IFERROR(_xlfn.XLOOKUP(C682&amp;A682, ESPN!A:A&amp;ESPN!C:C, ESPN!G:G), "N/A")</f>
        <v>N/A</v>
      </c>
      <c r="N682" s="23" t="str" cm="1">
        <f t="array" ref="N682">IFERROR(_xlfn.XLOOKUP(C682&amp;A682, ESPN!A:A&amp;ESPN!C:C, ESPN!H:H), "N/A")</f>
        <v>N/A</v>
      </c>
      <c r="O682" s="26" t="str" cm="1">
        <f t="array" ref="O682">IFERROR(_xlfn.XLOOKUP(C682&amp;A682, ESPN!A:A&amp;ESPN!C:C, ESPN!I:I), "N/A")</f>
        <v>N/A</v>
      </c>
      <c r="P682" s="26" t="str" cm="1">
        <f t="array" ref="P682">IFERROR(_xlfn.XLOOKUP(C682&amp;A682, ESPN!A:A&amp;ESPN!C:C, ESPN!J:J), "N/A")</f>
        <v>N/A</v>
      </c>
      <c r="Q682" s="26" t="str" cm="1">
        <f t="array" ref="Q682">IFERROR(_xlfn.XLOOKUP(C682&amp;A682, ESPN!A:A&amp;ESPN!C:C, ESPN!K:K), "N/A")</f>
        <v>N/A</v>
      </c>
    </row>
    <row r="683" spans="1:17" x14ac:dyDescent="0.45">
      <c r="A683" s="7">
        <v>2022</v>
      </c>
      <c r="B683" s="3" t="s">
        <v>417</v>
      </c>
      <c r="C683" s="4" t="str">
        <f t="shared" si="20"/>
        <v>Sandro Platzgummer</v>
      </c>
      <c r="D683" s="4" t="str">
        <f t="shared" si="21"/>
        <v>NYG</v>
      </c>
      <c r="E683" s="4">
        <v>1</v>
      </c>
      <c r="F683" s="12">
        <v>0</v>
      </c>
      <c r="G683" s="11">
        <v>0</v>
      </c>
      <c r="H683" s="11">
        <v>0</v>
      </c>
      <c r="I683" s="11">
        <v>0</v>
      </c>
      <c r="J683" s="11">
        <v>0</v>
      </c>
      <c r="K683" s="11">
        <v>0</v>
      </c>
      <c r="L683" s="11" t="str" cm="1">
        <f t="array" ref="L683">IFERROR(_xlfn.XLOOKUP(C683&amp;A683, ESPN!A:A&amp;ESPN!C:C, ESPN!D:D), "N/A")</f>
        <v>N/A</v>
      </c>
      <c r="M683" s="23" t="str" cm="1">
        <f t="array" ref="M683">IFERROR(_xlfn.XLOOKUP(C683&amp;A683, ESPN!A:A&amp;ESPN!C:C, ESPN!G:G), "N/A")</f>
        <v>N/A</v>
      </c>
      <c r="N683" s="23" t="str" cm="1">
        <f t="array" ref="N683">IFERROR(_xlfn.XLOOKUP(C683&amp;A683, ESPN!A:A&amp;ESPN!C:C, ESPN!H:H), "N/A")</f>
        <v>N/A</v>
      </c>
      <c r="O683" s="26" t="str" cm="1">
        <f t="array" ref="O683">IFERROR(_xlfn.XLOOKUP(C683&amp;A683, ESPN!A:A&amp;ESPN!C:C, ESPN!I:I), "N/A")</f>
        <v>N/A</v>
      </c>
      <c r="P683" s="26" t="str" cm="1">
        <f t="array" ref="P683">IFERROR(_xlfn.XLOOKUP(C683&amp;A683, ESPN!A:A&amp;ESPN!C:C, ESPN!J:J), "N/A")</f>
        <v>N/A</v>
      </c>
      <c r="Q683" s="26" t="str" cm="1">
        <f t="array" ref="Q683">IFERROR(_xlfn.XLOOKUP(C683&amp;A683, ESPN!A:A&amp;ESPN!C:C, ESPN!K:K), "N/A")</f>
        <v>N/A</v>
      </c>
    </row>
    <row r="684" spans="1:17" x14ac:dyDescent="0.45">
      <c r="A684" s="6">
        <v>2022</v>
      </c>
      <c r="B684" s="1" t="s">
        <v>313</v>
      </c>
      <c r="C684" s="2" t="str">
        <f t="shared" si="20"/>
        <v>Jashaun Corbin</v>
      </c>
      <c r="D684" s="2" t="str">
        <f t="shared" si="21"/>
        <v>NYG</v>
      </c>
      <c r="E684" s="2">
        <v>2</v>
      </c>
      <c r="F684" s="12">
        <v>0</v>
      </c>
      <c r="G684" s="11">
        <v>0</v>
      </c>
      <c r="H684" s="11">
        <v>0</v>
      </c>
      <c r="I684" s="11">
        <v>0</v>
      </c>
      <c r="J684" s="11">
        <v>0</v>
      </c>
      <c r="K684" s="11">
        <v>0</v>
      </c>
      <c r="L684" s="11" t="str" cm="1">
        <f t="array" ref="L684">IFERROR(_xlfn.XLOOKUP(C684&amp;A684, ESPN!A:A&amp;ESPN!C:C, ESPN!D:D), "N/A")</f>
        <v>N/A</v>
      </c>
      <c r="M684" s="23" t="str" cm="1">
        <f t="array" ref="M684">IFERROR(_xlfn.XLOOKUP(C684&amp;A684, ESPN!A:A&amp;ESPN!C:C, ESPN!G:G), "N/A")</f>
        <v>N/A</v>
      </c>
      <c r="N684" s="23" t="str" cm="1">
        <f t="array" ref="N684">IFERROR(_xlfn.XLOOKUP(C684&amp;A684, ESPN!A:A&amp;ESPN!C:C, ESPN!H:H), "N/A")</f>
        <v>N/A</v>
      </c>
      <c r="O684" s="26" t="str" cm="1">
        <f t="array" ref="O684">IFERROR(_xlfn.XLOOKUP(C684&amp;A684, ESPN!A:A&amp;ESPN!C:C, ESPN!I:I), "N/A")</f>
        <v>N/A</v>
      </c>
      <c r="P684" s="26" t="str" cm="1">
        <f t="array" ref="P684">IFERROR(_xlfn.XLOOKUP(C684&amp;A684, ESPN!A:A&amp;ESPN!C:C, ESPN!J:J), "N/A")</f>
        <v>N/A</v>
      </c>
      <c r="Q684" s="26" t="str" cm="1">
        <f t="array" ref="Q684">IFERROR(_xlfn.XLOOKUP(C684&amp;A684, ESPN!A:A&amp;ESPN!C:C, ESPN!K:K), "N/A")</f>
        <v>N/A</v>
      </c>
    </row>
    <row r="685" spans="1:17" x14ac:dyDescent="0.45">
      <c r="A685" s="7">
        <v>2022</v>
      </c>
      <c r="B685" s="3" t="s">
        <v>418</v>
      </c>
      <c r="C685" s="4" t="str">
        <f t="shared" si="20"/>
        <v>Jake Funk</v>
      </c>
      <c r="D685" s="4" t="str">
        <f t="shared" si="21"/>
        <v>LAR</v>
      </c>
      <c r="E685" s="4">
        <v>1</v>
      </c>
      <c r="F685" s="12">
        <v>0</v>
      </c>
      <c r="G685" s="11">
        <v>0</v>
      </c>
      <c r="H685" s="11">
        <v>0</v>
      </c>
      <c r="I685" s="11">
        <v>0</v>
      </c>
      <c r="J685" s="11">
        <v>0</v>
      </c>
      <c r="K685" s="11">
        <v>0</v>
      </c>
      <c r="L685" s="11" t="str" cm="1">
        <f t="array" ref="L685">IFERROR(_xlfn.XLOOKUP(C685&amp;A685, ESPN!A:A&amp;ESPN!C:C, ESPN!D:D), "N/A")</f>
        <v>N/A</v>
      </c>
      <c r="M685" s="23" t="str" cm="1">
        <f t="array" ref="M685">IFERROR(_xlfn.XLOOKUP(C685&amp;A685, ESPN!A:A&amp;ESPN!C:C, ESPN!G:G), "N/A")</f>
        <v>N/A</v>
      </c>
      <c r="N685" s="23" t="str" cm="1">
        <f t="array" ref="N685">IFERROR(_xlfn.XLOOKUP(C685&amp;A685, ESPN!A:A&amp;ESPN!C:C, ESPN!H:H), "N/A")</f>
        <v>N/A</v>
      </c>
      <c r="O685" s="26" t="str" cm="1">
        <f t="array" ref="O685">IFERROR(_xlfn.XLOOKUP(C685&amp;A685, ESPN!A:A&amp;ESPN!C:C, ESPN!I:I), "N/A")</f>
        <v>N/A</v>
      </c>
      <c r="P685" s="26" t="str" cm="1">
        <f t="array" ref="P685">IFERROR(_xlfn.XLOOKUP(C685&amp;A685, ESPN!A:A&amp;ESPN!C:C, ESPN!J:J), "N/A")</f>
        <v>N/A</v>
      </c>
      <c r="Q685" s="26" t="str" cm="1">
        <f t="array" ref="Q685">IFERROR(_xlfn.XLOOKUP(C685&amp;A685, ESPN!A:A&amp;ESPN!C:C, ESPN!K:K), "N/A")</f>
        <v>N/A</v>
      </c>
    </row>
    <row r="686" spans="1:17" x14ac:dyDescent="0.45">
      <c r="A686" s="6">
        <v>2022</v>
      </c>
      <c r="B686" s="1" t="s">
        <v>419</v>
      </c>
      <c r="C686" s="2" t="str">
        <f t="shared" si="20"/>
        <v>Ben Mason</v>
      </c>
      <c r="D686" s="2" t="str">
        <f t="shared" si="21"/>
        <v>BAL</v>
      </c>
      <c r="E686" s="2">
        <v>1</v>
      </c>
      <c r="F686" s="12">
        <v>0</v>
      </c>
      <c r="G686" s="11">
        <v>0</v>
      </c>
      <c r="H686" s="11">
        <v>0</v>
      </c>
      <c r="I686" s="11">
        <v>0</v>
      </c>
      <c r="J686" s="11">
        <v>0</v>
      </c>
      <c r="K686" s="11">
        <v>0</v>
      </c>
      <c r="L686" s="11" t="str" cm="1">
        <f t="array" ref="L686">IFERROR(_xlfn.XLOOKUP(C686&amp;A686, ESPN!A:A&amp;ESPN!C:C, ESPN!D:D), "N/A")</f>
        <v>N/A</v>
      </c>
      <c r="M686" s="23" t="str" cm="1">
        <f t="array" ref="M686">IFERROR(_xlfn.XLOOKUP(C686&amp;A686, ESPN!A:A&amp;ESPN!C:C, ESPN!G:G), "N/A")</f>
        <v>N/A</v>
      </c>
      <c r="N686" s="23" t="str" cm="1">
        <f t="array" ref="N686">IFERROR(_xlfn.XLOOKUP(C686&amp;A686, ESPN!A:A&amp;ESPN!C:C, ESPN!H:H), "N/A")</f>
        <v>N/A</v>
      </c>
      <c r="O686" s="26" t="str" cm="1">
        <f t="array" ref="O686">IFERROR(_xlfn.XLOOKUP(C686&amp;A686, ESPN!A:A&amp;ESPN!C:C, ESPN!I:I), "N/A")</f>
        <v>N/A</v>
      </c>
      <c r="P686" s="26" t="str" cm="1">
        <f t="array" ref="P686">IFERROR(_xlfn.XLOOKUP(C686&amp;A686, ESPN!A:A&amp;ESPN!C:C, ESPN!J:J), "N/A")</f>
        <v>N/A</v>
      </c>
      <c r="Q686" s="26" t="str" cm="1">
        <f t="array" ref="Q686">IFERROR(_xlfn.XLOOKUP(C686&amp;A686, ESPN!A:A&amp;ESPN!C:C, ESPN!K:K), "N/A")</f>
        <v>N/A</v>
      </c>
    </row>
    <row r="687" spans="1:17" x14ac:dyDescent="0.45">
      <c r="A687" s="7">
        <v>2022</v>
      </c>
      <c r="B687" s="3" t="s">
        <v>420</v>
      </c>
      <c r="C687" s="4" t="str">
        <f t="shared" si="20"/>
        <v>Bryant Koback</v>
      </c>
      <c r="D687" s="4" t="str">
        <f t="shared" si="21"/>
        <v>MIN</v>
      </c>
      <c r="E687" s="4">
        <v>2</v>
      </c>
      <c r="F687" s="12">
        <v>0</v>
      </c>
      <c r="G687" s="11">
        <v>0</v>
      </c>
      <c r="H687" s="11">
        <v>0</v>
      </c>
      <c r="I687" s="11">
        <v>0</v>
      </c>
      <c r="J687" s="11">
        <v>0</v>
      </c>
      <c r="K687" s="11">
        <v>0</v>
      </c>
      <c r="L687" s="11" t="str" cm="1">
        <f t="array" ref="L687">IFERROR(_xlfn.XLOOKUP(C687&amp;A687, ESPN!A:A&amp;ESPN!C:C, ESPN!D:D), "N/A")</f>
        <v>N/A</v>
      </c>
      <c r="M687" s="23" t="str" cm="1">
        <f t="array" ref="M687">IFERROR(_xlfn.XLOOKUP(C687&amp;A687, ESPN!A:A&amp;ESPN!C:C, ESPN!G:G), "N/A")</f>
        <v>N/A</v>
      </c>
      <c r="N687" s="23" t="str" cm="1">
        <f t="array" ref="N687">IFERROR(_xlfn.XLOOKUP(C687&amp;A687, ESPN!A:A&amp;ESPN!C:C, ESPN!H:H), "N/A")</f>
        <v>N/A</v>
      </c>
      <c r="O687" s="26" t="str" cm="1">
        <f t="array" ref="O687">IFERROR(_xlfn.XLOOKUP(C687&amp;A687, ESPN!A:A&amp;ESPN!C:C, ESPN!I:I), "N/A")</f>
        <v>N/A</v>
      </c>
      <c r="P687" s="26" t="str" cm="1">
        <f t="array" ref="P687">IFERROR(_xlfn.XLOOKUP(C687&amp;A687, ESPN!A:A&amp;ESPN!C:C, ESPN!J:J), "N/A")</f>
        <v>N/A</v>
      </c>
      <c r="Q687" s="26" t="str" cm="1">
        <f t="array" ref="Q687">IFERROR(_xlfn.XLOOKUP(C687&amp;A687, ESPN!A:A&amp;ESPN!C:C, ESPN!K:K), "N/A")</f>
        <v>N/A</v>
      </c>
    </row>
    <row r="688" spans="1:17" x14ac:dyDescent="0.45">
      <c r="A688" s="6">
        <v>2022</v>
      </c>
      <c r="B688" s="1" t="s">
        <v>334</v>
      </c>
      <c r="C688" s="2" t="str">
        <f t="shared" si="20"/>
        <v>Velus Jones Jr.</v>
      </c>
      <c r="D688" s="2" t="str">
        <f t="shared" si="21"/>
        <v>CHI</v>
      </c>
      <c r="E688" s="2">
        <v>11</v>
      </c>
      <c r="F688" s="12">
        <v>14</v>
      </c>
      <c r="G688" s="11">
        <v>7</v>
      </c>
      <c r="H688" s="11">
        <v>107</v>
      </c>
      <c r="I688" s="11">
        <v>15.3</v>
      </c>
      <c r="J688" s="11">
        <v>1</v>
      </c>
      <c r="K688" s="11">
        <v>3</v>
      </c>
      <c r="L688" s="11" t="str" cm="1">
        <f t="array" ref="L688">IFERROR(_xlfn.XLOOKUP(C688&amp;A688, ESPN!A:A&amp;ESPN!C:C, ESPN!D:D), "N/A")</f>
        <v>N/A</v>
      </c>
      <c r="M688" s="23" t="str" cm="1">
        <f t="array" ref="M688">IFERROR(_xlfn.XLOOKUP(C688&amp;A688, ESPN!A:A&amp;ESPN!C:C, ESPN!G:G), "N/A")</f>
        <v>N/A</v>
      </c>
      <c r="N688" s="23" t="str" cm="1">
        <f t="array" ref="N688">IFERROR(_xlfn.XLOOKUP(C688&amp;A688, ESPN!A:A&amp;ESPN!C:C, ESPN!H:H), "N/A")</f>
        <v>N/A</v>
      </c>
      <c r="O688" s="26" t="str" cm="1">
        <f t="array" ref="O688">IFERROR(_xlfn.XLOOKUP(C688&amp;A688, ESPN!A:A&amp;ESPN!C:C, ESPN!I:I), "N/A")</f>
        <v>N/A</v>
      </c>
      <c r="P688" s="26" t="str" cm="1">
        <f t="array" ref="P688">IFERROR(_xlfn.XLOOKUP(C688&amp;A688, ESPN!A:A&amp;ESPN!C:C, ESPN!J:J), "N/A")</f>
        <v>N/A</v>
      </c>
      <c r="Q688" s="26" t="str" cm="1">
        <f t="array" ref="Q688">IFERROR(_xlfn.XLOOKUP(C688&amp;A688, ESPN!A:A&amp;ESPN!C:C, ESPN!K:K), "N/A")</f>
        <v>N/A</v>
      </c>
    </row>
    <row r="689" spans="1:17" x14ac:dyDescent="0.45">
      <c r="A689" s="7">
        <v>2022</v>
      </c>
      <c r="B689" s="3" t="s">
        <v>112</v>
      </c>
      <c r="C689" s="4" t="str">
        <f t="shared" si="20"/>
        <v>Connor Heyward</v>
      </c>
      <c r="D689" s="4" t="str">
        <f t="shared" si="21"/>
        <v>PIT</v>
      </c>
      <c r="E689" s="4">
        <v>17</v>
      </c>
      <c r="F689" s="12">
        <v>17</v>
      </c>
      <c r="G689" s="11">
        <v>12</v>
      </c>
      <c r="H689" s="11">
        <v>151</v>
      </c>
      <c r="I689" s="11">
        <v>12.6</v>
      </c>
      <c r="J689" s="11">
        <v>1</v>
      </c>
      <c r="K689" s="11">
        <v>0</v>
      </c>
      <c r="L689" s="11" t="str" cm="1">
        <f t="array" ref="L689">IFERROR(_xlfn.XLOOKUP(C689&amp;A689, ESPN!A:A&amp;ESPN!C:C, ESPN!D:D), "N/A")</f>
        <v>N/A</v>
      </c>
      <c r="M689" s="23" t="str" cm="1">
        <f t="array" ref="M689">IFERROR(_xlfn.XLOOKUP(C689&amp;A689, ESPN!A:A&amp;ESPN!C:C, ESPN!G:G), "N/A")</f>
        <v>N/A</v>
      </c>
      <c r="N689" s="23" t="str" cm="1">
        <f t="array" ref="N689">IFERROR(_xlfn.XLOOKUP(C689&amp;A689, ESPN!A:A&amp;ESPN!C:C, ESPN!H:H), "N/A")</f>
        <v>N/A</v>
      </c>
      <c r="O689" s="26" t="str" cm="1">
        <f t="array" ref="O689">IFERROR(_xlfn.XLOOKUP(C689&amp;A689, ESPN!A:A&amp;ESPN!C:C, ESPN!I:I), "N/A")</f>
        <v>N/A</v>
      </c>
      <c r="P689" s="26" t="str" cm="1">
        <f t="array" ref="P689">IFERROR(_xlfn.XLOOKUP(C689&amp;A689, ESPN!A:A&amp;ESPN!C:C, ESPN!J:J), "N/A")</f>
        <v>N/A</v>
      </c>
      <c r="Q689" s="26" t="str" cm="1">
        <f t="array" ref="Q689">IFERROR(_xlfn.XLOOKUP(C689&amp;A689, ESPN!A:A&amp;ESPN!C:C, ESPN!K:K), "N/A")</f>
        <v>N/A</v>
      </c>
    </row>
    <row r="690" spans="1:17" x14ac:dyDescent="0.45">
      <c r="A690" s="6">
        <v>2022</v>
      </c>
      <c r="B690" s="1" t="s">
        <v>335</v>
      </c>
      <c r="C690" s="2" t="str">
        <f t="shared" si="20"/>
        <v>Brittain Brown</v>
      </c>
      <c r="D690" s="2" t="str">
        <f t="shared" si="21"/>
        <v>LV</v>
      </c>
      <c r="E690" s="2">
        <v>1</v>
      </c>
      <c r="F690" s="12">
        <v>0</v>
      </c>
      <c r="G690" s="11">
        <v>0</v>
      </c>
      <c r="H690" s="11">
        <v>0</v>
      </c>
      <c r="I690" s="11">
        <v>0</v>
      </c>
      <c r="J690" s="11">
        <v>0</v>
      </c>
      <c r="K690" s="11">
        <v>0</v>
      </c>
      <c r="L690" s="11" t="str" cm="1">
        <f t="array" ref="L690">IFERROR(_xlfn.XLOOKUP(C690&amp;A690, ESPN!A:A&amp;ESPN!C:C, ESPN!D:D), "N/A")</f>
        <v>N/A</v>
      </c>
      <c r="M690" s="23" t="str" cm="1">
        <f t="array" ref="M690">IFERROR(_xlfn.XLOOKUP(C690&amp;A690, ESPN!A:A&amp;ESPN!C:C, ESPN!G:G), "N/A")</f>
        <v>N/A</v>
      </c>
      <c r="N690" s="23" t="str" cm="1">
        <f t="array" ref="N690">IFERROR(_xlfn.XLOOKUP(C690&amp;A690, ESPN!A:A&amp;ESPN!C:C, ESPN!H:H), "N/A")</f>
        <v>N/A</v>
      </c>
      <c r="O690" s="26" t="str" cm="1">
        <f t="array" ref="O690">IFERROR(_xlfn.XLOOKUP(C690&amp;A690, ESPN!A:A&amp;ESPN!C:C, ESPN!I:I), "N/A")</f>
        <v>N/A</v>
      </c>
      <c r="P690" s="26" t="str" cm="1">
        <f t="array" ref="P690">IFERROR(_xlfn.XLOOKUP(C690&amp;A690, ESPN!A:A&amp;ESPN!C:C, ESPN!J:J), "N/A")</f>
        <v>N/A</v>
      </c>
      <c r="Q690" s="26" t="str" cm="1">
        <f t="array" ref="Q690">IFERROR(_xlfn.XLOOKUP(C690&amp;A690, ESPN!A:A&amp;ESPN!C:C, ESPN!K:K), "N/A")</f>
        <v>N/A</v>
      </c>
    </row>
    <row r="691" spans="1:17" x14ac:dyDescent="0.45">
      <c r="A691" s="7">
        <v>2022</v>
      </c>
      <c r="B691" s="3" t="s">
        <v>421</v>
      </c>
      <c r="C691" s="4" t="str">
        <f t="shared" si="20"/>
        <v>John Lovett</v>
      </c>
      <c r="D691" s="4" t="str">
        <f t="shared" si="21"/>
        <v>CAR</v>
      </c>
      <c r="E691" s="4">
        <v>1</v>
      </c>
      <c r="F691" s="12">
        <v>0</v>
      </c>
      <c r="G691" s="11">
        <v>0</v>
      </c>
      <c r="H691" s="11">
        <v>0</v>
      </c>
      <c r="I691" s="11">
        <v>0</v>
      </c>
      <c r="J691" s="11">
        <v>0</v>
      </c>
      <c r="K691" s="11">
        <v>0</v>
      </c>
      <c r="L691" s="11" t="str" cm="1">
        <f t="array" ref="L691">IFERROR(_xlfn.XLOOKUP(C691&amp;A691, ESPN!A:A&amp;ESPN!C:C, ESPN!D:D), "N/A")</f>
        <v>N/A</v>
      </c>
      <c r="M691" s="23" t="str" cm="1">
        <f t="array" ref="M691">IFERROR(_xlfn.XLOOKUP(C691&amp;A691, ESPN!A:A&amp;ESPN!C:C, ESPN!G:G), "N/A")</f>
        <v>N/A</v>
      </c>
      <c r="N691" s="23" t="str" cm="1">
        <f t="array" ref="N691">IFERROR(_xlfn.XLOOKUP(C691&amp;A691, ESPN!A:A&amp;ESPN!C:C, ESPN!H:H), "N/A")</f>
        <v>N/A</v>
      </c>
      <c r="O691" s="26" t="str" cm="1">
        <f t="array" ref="O691">IFERROR(_xlfn.XLOOKUP(C691&amp;A691, ESPN!A:A&amp;ESPN!C:C, ESPN!I:I), "N/A")</f>
        <v>N/A</v>
      </c>
      <c r="P691" s="26" t="str" cm="1">
        <f t="array" ref="P691">IFERROR(_xlfn.XLOOKUP(C691&amp;A691, ESPN!A:A&amp;ESPN!C:C, ESPN!J:J), "N/A")</f>
        <v>N/A</v>
      </c>
      <c r="Q691" s="26" t="str" cm="1">
        <f t="array" ref="Q691">IFERROR(_xlfn.XLOOKUP(C691&amp;A691, ESPN!A:A&amp;ESPN!C:C, ESPN!K:K), "N/A")</f>
        <v>N/A</v>
      </c>
    </row>
    <row r="692" spans="1:17" x14ac:dyDescent="0.45">
      <c r="A692" s="6">
        <v>2022</v>
      </c>
      <c r="B692" s="1" t="s">
        <v>422</v>
      </c>
      <c r="C692" s="2" t="str">
        <f t="shared" si="20"/>
        <v>Taiwan Jones</v>
      </c>
      <c r="D692" s="2" t="str">
        <f t="shared" si="21"/>
        <v>BUF</v>
      </c>
      <c r="E692" s="2">
        <v>7</v>
      </c>
      <c r="F692" s="12">
        <v>0</v>
      </c>
      <c r="G692" s="11">
        <v>0</v>
      </c>
      <c r="H692" s="11">
        <v>0</v>
      </c>
      <c r="I692" s="11">
        <v>0</v>
      </c>
      <c r="J692" s="11">
        <v>0</v>
      </c>
      <c r="K692" s="11">
        <v>1</v>
      </c>
      <c r="L692" s="11" t="str" cm="1">
        <f t="array" ref="L692">IFERROR(_xlfn.XLOOKUP(C692&amp;A692, ESPN!A:A&amp;ESPN!C:C, ESPN!D:D), "N/A")</f>
        <v>N/A</v>
      </c>
      <c r="M692" s="23" t="str" cm="1">
        <f t="array" ref="M692">IFERROR(_xlfn.XLOOKUP(C692&amp;A692, ESPN!A:A&amp;ESPN!C:C, ESPN!G:G), "N/A")</f>
        <v>N/A</v>
      </c>
      <c r="N692" s="23" t="str" cm="1">
        <f t="array" ref="N692">IFERROR(_xlfn.XLOOKUP(C692&amp;A692, ESPN!A:A&amp;ESPN!C:C, ESPN!H:H), "N/A")</f>
        <v>N/A</v>
      </c>
      <c r="O692" s="26" t="str" cm="1">
        <f t="array" ref="O692">IFERROR(_xlfn.XLOOKUP(C692&amp;A692, ESPN!A:A&amp;ESPN!C:C, ESPN!I:I), "N/A")</f>
        <v>N/A</v>
      </c>
      <c r="P692" s="26" t="str" cm="1">
        <f t="array" ref="P692">IFERROR(_xlfn.XLOOKUP(C692&amp;A692, ESPN!A:A&amp;ESPN!C:C, ESPN!J:J), "N/A")</f>
        <v>N/A</v>
      </c>
      <c r="Q692" s="26" t="str" cm="1">
        <f t="array" ref="Q692">IFERROR(_xlfn.XLOOKUP(C692&amp;A692, ESPN!A:A&amp;ESPN!C:C, ESPN!K:K), "N/A")</f>
        <v>N/A</v>
      </c>
    </row>
    <row r="693" spans="1:17" x14ac:dyDescent="0.45">
      <c r="A693" s="7">
        <v>2021</v>
      </c>
      <c r="B693" s="3" t="s">
        <v>6</v>
      </c>
      <c r="C693" s="4" t="str">
        <f t="shared" si="20"/>
        <v>Jonathan Taylor</v>
      </c>
      <c r="D693" s="4" t="str">
        <f t="shared" si="21"/>
        <v>IND</v>
      </c>
      <c r="E693" s="4">
        <v>17</v>
      </c>
      <c r="F693" s="12">
        <v>51</v>
      </c>
      <c r="G693" s="11">
        <v>40</v>
      </c>
      <c r="H693" s="11">
        <v>360</v>
      </c>
      <c r="I693" s="11">
        <v>9</v>
      </c>
      <c r="J693" s="11">
        <v>2</v>
      </c>
      <c r="K693" s="11">
        <v>2</v>
      </c>
      <c r="L693" s="11" cm="1">
        <f t="array" ref="L693">IFERROR(_xlfn.XLOOKUP(C693&amp;A693, ESPN!A:A&amp;ESPN!C:C, ESPN!D:D), "N/A")</f>
        <v>219</v>
      </c>
      <c r="M693" s="23" cm="1">
        <f t="array" ref="M693">IFERROR(_xlfn.XLOOKUP(C693&amp;A693, ESPN!A:A&amp;ESPN!C:C, ESPN!G:G), "N/A")</f>
        <v>1.64</v>
      </c>
      <c r="N693" s="23" cm="1">
        <f t="array" ref="N693">IFERROR(_xlfn.XLOOKUP(C693&amp;A693, ESPN!A:A&amp;ESPN!C:C, ESPN!H:H), "N/A")</f>
        <v>34</v>
      </c>
      <c r="O693" s="26" cm="1">
        <f t="array" ref="O693">IFERROR(_xlfn.XLOOKUP(C693&amp;A693, ESPN!A:A&amp;ESPN!C:C, ESPN!I:I), "N/A")</f>
        <v>53</v>
      </c>
      <c r="P693" s="26" cm="1">
        <f t="array" ref="P693">IFERROR(_xlfn.XLOOKUP(C693&amp;A693, ESPN!A:A&amp;ESPN!C:C, ESPN!J:J), "N/A")</f>
        <v>61</v>
      </c>
      <c r="Q693" s="26" cm="1">
        <f t="array" ref="Q693">IFERROR(_xlfn.XLOOKUP(C693&amp;A693, ESPN!A:A&amp;ESPN!C:C, ESPN!K:K), "N/A")</f>
        <v>55</v>
      </c>
    </row>
    <row r="694" spans="1:17" x14ac:dyDescent="0.45">
      <c r="A694" s="6">
        <v>2021</v>
      </c>
      <c r="B694" s="1" t="s">
        <v>261</v>
      </c>
      <c r="C694" s="2" t="str">
        <f t="shared" si="20"/>
        <v>Austin Ekeler</v>
      </c>
      <c r="D694" s="2" t="str">
        <f t="shared" si="21"/>
        <v>LAC</v>
      </c>
      <c r="E694" s="2">
        <v>16</v>
      </c>
      <c r="F694" s="12">
        <v>94</v>
      </c>
      <c r="G694" s="11">
        <v>70</v>
      </c>
      <c r="H694" s="11">
        <v>647</v>
      </c>
      <c r="I694" s="11">
        <v>9.1999999999999993</v>
      </c>
      <c r="J694" s="11">
        <v>8</v>
      </c>
      <c r="K694" s="11">
        <v>3</v>
      </c>
      <c r="L694" s="11" cm="1">
        <f t="array" ref="L694">IFERROR(_xlfn.XLOOKUP(C694&amp;A694, ESPN!A:A&amp;ESPN!C:C, ESPN!D:D), "N/A")</f>
        <v>346</v>
      </c>
      <c r="M694" s="23" cm="1">
        <f t="array" ref="M694">IFERROR(_xlfn.XLOOKUP(C694&amp;A694, ESPN!A:A&amp;ESPN!C:C, ESPN!G:G), "N/A")</f>
        <v>1.87</v>
      </c>
      <c r="N694" s="23" cm="1">
        <f t="array" ref="N694">IFERROR(_xlfn.XLOOKUP(C694&amp;A694, ESPN!A:A&amp;ESPN!C:C, ESPN!H:H), "N/A")</f>
        <v>43</v>
      </c>
      <c r="O694" s="26" cm="1">
        <f t="array" ref="O694">IFERROR(_xlfn.XLOOKUP(C694&amp;A694, ESPN!A:A&amp;ESPN!C:C, ESPN!I:I), "N/A")</f>
        <v>48</v>
      </c>
      <c r="P694" s="26" cm="1">
        <f t="array" ref="P694">IFERROR(_xlfn.XLOOKUP(C694&amp;A694, ESPN!A:A&amp;ESPN!C:C, ESPN!J:J), "N/A")</f>
        <v>71</v>
      </c>
      <c r="Q694" s="26" cm="1">
        <f t="array" ref="Q694">IFERROR(_xlfn.XLOOKUP(C694&amp;A694, ESPN!A:A&amp;ESPN!C:C, ESPN!K:K), "N/A")</f>
        <v>64</v>
      </c>
    </row>
    <row r="695" spans="1:17" x14ac:dyDescent="0.45">
      <c r="A695" s="7">
        <v>2021</v>
      </c>
      <c r="B695" s="3" t="s">
        <v>253</v>
      </c>
      <c r="C695" s="4" t="str">
        <f t="shared" si="20"/>
        <v>Joe Mixon</v>
      </c>
      <c r="D695" s="4" t="str">
        <f t="shared" si="21"/>
        <v>CIN</v>
      </c>
      <c r="E695" s="4">
        <v>16</v>
      </c>
      <c r="F695" s="12">
        <v>48</v>
      </c>
      <c r="G695" s="11">
        <v>42</v>
      </c>
      <c r="H695" s="11">
        <v>314</v>
      </c>
      <c r="I695" s="11">
        <v>7.5</v>
      </c>
      <c r="J695" s="11">
        <v>3</v>
      </c>
      <c r="K695" s="11">
        <v>1</v>
      </c>
      <c r="L695" s="11" cm="1">
        <f t="array" ref="L695">IFERROR(_xlfn.XLOOKUP(C695&amp;A695, ESPN!A:A&amp;ESPN!C:C, ESPN!D:D), "N/A")</f>
        <v>306</v>
      </c>
      <c r="M695" s="23" cm="1">
        <f t="array" ref="M695">IFERROR(_xlfn.XLOOKUP(C695&amp;A695, ESPN!A:A&amp;ESPN!C:C, ESPN!G:G), "N/A")</f>
        <v>1.38</v>
      </c>
      <c r="N695" s="23" cm="1">
        <f t="array" ref="N695">IFERROR(_xlfn.XLOOKUP(C695&amp;A695, ESPN!A:A&amp;ESPN!C:C, ESPN!H:H), "N/A")</f>
        <v>42</v>
      </c>
      <c r="O695" s="26" cm="1">
        <f t="array" ref="O695">IFERROR(_xlfn.XLOOKUP(C695&amp;A695, ESPN!A:A&amp;ESPN!C:C, ESPN!I:I), "N/A")</f>
        <v>55</v>
      </c>
      <c r="P695" s="26" cm="1">
        <f t="array" ref="P695">IFERROR(_xlfn.XLOOKUP(C695&amp;A695, ESPN!A:A&amp;ESPN!C:C, ESPN!J:J), "N/A")</f>
        <v>53</v>
      </c>
      <c r="Q695" s="26" cm="1">
        <f t="array" ref="Q695">IFERROR(_xlfn.XLOOKUP(C695&amp;A695, ESPN!A:A&amp;ESPN!C:C, ESPN!K:K), "N/A")</f>
        <v>53</v>
      </c>
    </row>
    <row r="696" spans="1:17" x14ac:dyDescent="0.45">
      <c r="A696" s="6">
        <v>2021</v>
      </c>
      <c r="B696" s="1" t="s">
        <v>178</v>
      </c>
      <c r="C696" s="2" t="str">
        <f t="shared" si="20"/>
        <v>Najee Harris</v>
      </c>
      <c r="D696" s="2" t="str">
        <f t="shared" si="21"/>
        <v>PIT</v>
      </c>
      <c r="E696" s="2">
        <v>17</v>
      </c>
      <c r="F696" s="12">
        <v>94</v>
      </c>
      <c r="G696" s="11">
        <v>74</v>
      </c>
      <c r="H696" s="11">
        <v>467</v>
      </c>
      <c r="I696" s="11">
        <v>6.3</v>
      </c>
      <c r="J696" s="11">
        <v>3</v>
      </c>
      <c r="K696" s="11">
        <v>0</v>
      </c>
      <c r="L696" s="11" cm="1">
        <f t="array" ref="L696">IFERROR(_xlfn.XLOOKUP(C696&amp;A696, ESPN!A:A&amp;ESPN!C:C, ESPN!D:D), "N/A")</f>
        <v>248</v>
      </c>
      <c r="M696" s="23" cm="1">
        <f t="array" ref="M696">IFERROR(_xlfn.XLOOKUP(C696&amp;A696, ESPN!A:A&amp;ESPN!C:C, ESPN!G:G), "N/A")</f>
        <v>1.88</v>
      </c>
      <c r="N696" s="23" cm="1">
        <f t="array" ref="N696">IFERROR(_xlfn.XLOOKUP(C696&amp;A696, ESPN!A:A&amp;ESPN!C:C, ESPN!H:H), "N/A")</f>
        <v>65</v>
      </c>
      <c r="O696" s="26" cm="1">
        <f t="array" ref="O696">IFERROR(_xlfn.XLOOKUP(C696&amp;A696, ESPN!A:A&amp;ESPN!C:C, ESPN!I:I), "N/A")</f>
        <v>22</v>
      </c>
      <c r="P696" s="26" cm="1">
        <f t="array" ref="P696">IFERROR(_xlfn.XLOOKUP(C696&amp;A696, ESPN!A:A&amp;ESPN!C:C, ESPN!J:J), "N/A")</f>
        <v>53</v>
      </c>
      <c r="Q696" s="26" cm="1">
        <f t="array" ref="Q696">IFERROR(_xlfn.XLOOKUP(C696&amp;A696, ESPN!A:A&amp;ESPN!C:C, ESPN!K:K), "N/A")</f>
        <v>44</v>
      </c>
    </row>
    <row r="697" spans="1:17" x14ac:dyDescent="0.45">
      <c r="A697" s="7">
        <v>2021</v>
      </c>
      <c r="B697" s="3" t="s">
        <v>86</v>
      </c>
      <c r="C697" s="4" t="str">
        <f t="shared" si="20"/>
        <v>James Conner</v>
      </c>
      <c r="D697" s="4" t="str">
        <f t="shared" si="21"/>
        <v>ARI</v>
      </c>
      <c r="E697" s="4">
        <v>15</v>
      </c>
      <c r="F697" s="12">
        <v>39</v>
      </c>
      <c r="G697" s="11">
        <v>37</v>
      </c>
      <c r="H697" s="11">
        <v>375</v>
      </c>
      <c r="I697" s="11">
        <v>10.1</v>
      </c>
      <c r="J697" s="11">
        <v>3</v>
      </c>
      <c r="K697" s="11">
        <v>0</v>
      </c>
      <c r="L697" s="11" cm="1">
        <f t="array" ref="L697">IFERROR(_xlfn.XLOOKUP(C697&amp;A697, ESPN!A:A&amp;ESPN!C:C, ESPN!D:D), "N/A")</f>
        <v>149</v>
      </c>
      <c r="M697" s="23" cm="1">
        <f t="array" ref="M697">IFERROR(_xlfn.XLOOKUP(C697&amp;A697, ESPN!A:A&amp;ESPN!C:C, ESPN!G:G), "N/A")</f>
        <v>2.5499999999999998</v>
      </c>
      <c r="N697" s="23" cm="1">
        <f t="array" ref="N697">IFERROR(_xlfn.XLOOKUP(C697&amp;A697, ESPN!A:A&amp;ESPN!C:C, ESPN!H:H), "N/A")</f>
        <v>28</v>
      </c>
      <c r="O697" s="26" cm="1">
        <f t="array" ref="O697">IFERROR(_xlfn.XLOOKUP(C697&amp;A697, ESPN!A:A&amp;ESPN!C:C, ESPN!I:I), "N/A")</f>
        <v>69</v>
      </c>
      <c r="P697" s="26" cm="1">
        <f t="array" ref="P697">IFERROR(_xlfn.XLOOKUP(C697&amp;A697, ESPN!A:A&amp;ESPN!C:C, ESPN!J:J), "N/A")</f>
        <v>85</v>
      </c>
      <c r="Q697" s="26" cm="1">
        <f t="array" ref="Q697">IFERROR(_xlfn.XLOOKUP(C697&amp;A697, ESPN!A:A&amp;ESPN!C:C, ESPN!K:K), "N/A")</f>
        <v>81</v>
      </c>
    </row>
    <row r="698" spans="1:17" x14ac:dyDescent="0.45">
      <c r="A698" s="6">
        <v>2021</v>
      </c>
      <c r="B698" s="1" t="s">
        <v>195</v>
      </c>
      <c r="C698" s="2" t="str">
        <f t="shared" si="20"/>
        <v>Ezekiel Elliott</v>
      </c>
      <c r="D698" s="2" t="str">
        <f t="shared" si="21"/>
        <v>DAL</v>
      </c>
      <c r="E698" s="2">
        <v>17</v>
      </c>
      <c r="F698" s="12">
        <v>65</v>
      </c>
      <c r="G698" s="11">
        <v>47</v>
      </c>
      <c r="H698" s="11">
        <v>287</v>
      </c>
      <c r="I698" s="11">
        <v>6.1</v>
      </c>
      <c r="J698" s="11">
        <v>2</v>
      </c>
      <c r="K698" s="11">
        <v>1</v>
      </c>
      <c r="L698" s="11" cm="1">
        <f t="array" ref="L698">IFERROR(_xlfn.XLOOKUP(C698&amp;A698, ESPN!A:A&amp;ESPN!C:C, ESPN!D:D), "N/A")</f>
        <v>305</v>
      </c>
      <c r="M698" s="23" cm="1">
        <f t="array" ref="M698">IFERROR(_xlfn.XLOOKUP(C698&amp;A698, ESPN!A:A&amp;ESPN!C:C, ESPN!G:G), "N/A")</f>
        <v>0.94</v>
      </c>
      <c r="N698" s="23" cm="1">
        <f t="array" ref="N698">IFERROR(_xlfn.XLOOKUP(C698&amp;A698, ESPN!A:A&amp;ESPN!C:C, ESPN!H:H), "N/A")</f>
        <v>32</v>
      </c>
      <c r="O698" s="26" cm="1">
        <f t="array" ref="O698">IFERROR(_xlfn.XLOOKUP(C698&amp;A698, ESPN!A:A&amp;ESPN!C:C, ESPN!I:I), "N/A")</f>
        <v>43</v>
      </c>
      <c r="P698" s="26" cm="1">
        <f t="array" ref="P698">IFERROR(_xlfn.XLOOKUP(C698&amp;A698, ESPN!A:A&amp;ESPN!C:C, ESPN!J:J), "N/A")</f>
        <v>39</v>
      </c>
      <c r="Q698" s="26" cm="1">
        <f t="array" ref="Q698">IFERROR(_xlfn.XLOOKUP(C698&amp;A698, ESPN!A:A&amp;ESPN!C:C, ESPN!K:K), "N/A")</f>
        <v>31</v>
      </c>
    </row>
    <row r="699" spans="1:17" x14ac:dyDescent="0.45">
      <c r="A699" s="7">
        <v>2021</v>
      </c>
      <c r="B699" s="3" t="s">
        <v>190</v>
      </c>
      <c r="C699" s="4" t="str">
        <f t="shared" si="20"/>
        <v>Nick Chubb</v>
      </c>
      <c r="D699" s="4" t="str">
        <f t="shared" si="21"/>
        <v>CLE</v>
      </c>
      <c r="E699" s="4">
        <v>14</v>
      </c>
      <c r="F699" s="12">
        <v>25</v>
      </c>
      <c r="G699" s="11">
        <v>20</v>
      </c>
      <c r="H699" s="11">
        <v>174</v>
      </c>
      <c r="I699" s="11">
        <v>8.6999999999999993</v>
      </c>
      <c r="J699" s="11">
        <v>1</v>
      </c>
      <c r="K699" s="11">
        <v>1</v>
      </c>
      <c r="L699" s="11" t="str" cm="1">
        <f t="array" ref="L699">IFERROR(_xlfn.XLOOKUP(C699&amp;A699, ESPN!A:A&amp;ESPN!C:C, ESPN!D:D), "N/A")</f>
        <v>N/A</v>
      </c>
      <c r="M699" s="23" t="str" cm="1">
        <f t="array" ref="M699">IFERROR(_xlfn.XLOOKUP(C699&amp;A699, ESPN!A:A&amp;ESPN!C:C, ESPN!G:G), "N/A")</f>
        <v>N/A</v>
      </c>
      <c r="N699" s="23" t="str" cm="1">
        <f t="array" ref="N699">IFERROR(_xlfn.XLOOKUP(C699&amp;A699, ESPN!A:A&amp;ESPN!C:C, ESPN!H:H), "N/A")</f>
        <v>N/A</v>
      </c>
      <c r="O699" s="26" t="str" cm="1">
        <f t="array" ref="O699">IFERROR(_xlfn.XLOOKUP(C699&amp;A699, ESPN!A:A&amp;ESPN!C:C, ESPN!I:I), "N/A")</f>
        <v>N/A</v>
      </c>
      <c r="P699" s="26" t="str" cm="1">
        <f t="array" ref="P699">IFERROR(_xlfn.XLOOKUP(C699&amp;A699, ESPN!A:A&amp;ESPN!C:C, ESPN!J:J), "N/A")</f>
        <v>N/A</v>
      </c>
      <c r="Q699" s="26" t="str" cm="1">
        <f t="array" ref="Q699">IFERROR(_xlfn.XLOOKUP(C699&amp;A699, ESPN!A:A&amp;ESPN!C:C, ESPN!K:K), "N/A")</f>
        <v>N/A</v>
      </c>
    </row>
    <row r="700" spans="1:17" x14ac:dyDescent="0.45">
      <c r="A700" s="6">
        <v>2021</v>
      </c>
      <c r="B700" s="1" t="s">
        <v>354</v>
      </c>
      <c r="C700" s="2" t="str">
        <f t="shared" si="20"/>
        <v>Damien Harris</v>
      </c>
      <c r="D700" s="2" t="str">
        <f t="shared" si="21"/>
        <v>NE</v>
      </c>
      <c r="E700" s="2">
        <v>15</v>
      </c>
      <c r="F700" s="12">
        <v>21</v>
      </c>
      <c r="G700" s="11">
        <v>18</v>
      </c>
      <c r="H700" s="11">
        <v>132</v>
      </c>
      <c r="I700" s="11">
        <v>7.3</v>
      </c>
      <c r="J700" s="11">
        <v>0</v>
      </c>
      <c r="K700" s="11">
        <v>2</v>
      </c>
      <c r="L700" s="11" t="str" cm="1">
        <f t="array" ref="L700">IFERROR(_xlfn.XLOOKUP(C700&amp;A700, ESPN!A:A&amp;ESPN!C:C, ESPN!D:D), "N/A")</f>
        <v>N/A</v>
      </c>
      <c r="M700" s="23" t="str" cm="1">
        <f t="array" ref="M700">IFERROR(_xlfn.XLOOKUP(C700&amp;A700, ESPN!A:A&amp;ESPN!C:C, ESPN!G:G), "N/A")</f>
        <v>N/A</v>
      </c>
      <c r="N700" s="23" t="str" cm="1">
        <f t="array" ref="N700">IFERROR(_xlfn.XLOOKUP(C700&amp;A700, ESPN!A:A&amp;ESPN!C:C, ESPN!H:H), "N/A")</f>
        <v>N/A</v>
      </c>
      <c r="O700" s="26" t="str" cm="1">
        <f t="array" ref="O700">IFERROR(_xlfn.XLOOKUP(C700&amp;A700, ESPN!A:A&amp;ESPN!C:C, ESPN!I:I), "N/A")</f>
        <v>N/A</v>
      </c>
      <c r="P700" s="26" t="str" cm="1">
        <f t="array" ref="P700">IFERROR(_xlfn.XLOOKUP(C700&amp;A700, ESPN!A:A&amp;ESPN!C:C, ESPN!J:J), "N/A")</f>
        <v>N/A</v>
      </c>
      <c r="Q700" s="26" t="str" cm="1">
        <f t="array" ref="Q700">IFERROR(_xlfn.XLOOKUP(C700&amp;A700, ESPN!A:A&amp;ESPN!C:C, ESPN!K:K), "N/A")</f>
        <v>N/A</v>
      </c>
    </row>
    <row r="701" spans="1:17" x14ac:dyDescent="0.45">
      <c r="A701" s="7">
        <v>2021</v>
      </c>
      <c r="B701" s="3" t="s">
        <v>49</v>
      </c>
      <c r="C701" s="4" t="str">
        <f t="shared" si="20"/>
        <v>Alvin Kamara</v>
      </c>
      <c r="D701" s="4" t="str">
        <f t="shared" si="21"/>
        <v>NO</v>
      </c>
      <c r="E701" s="4">
        <v>13</v>
      </c>
      <c r="F701" s="12">
        <v>67</v>
      </c>
      <c r="G701" s="11">
        <v>47</v>
      </c>
      <c r="H701" s="11">
        <v>439</v>
      </c>
      <c r="I701" s="11">
        <v>9.3000000000000007</v>
      </c>
      <c r="J701" s="11">
        <v>5</v>
      </c>
      <c r="K701" s="11">
        <v>0</v>
      </c>
      <c r="L701" s="11" cm="1">
        <f t="array" ref="L701">IFERROR(_xlfn.XLOOKUP(C701&amp;A701, ESPN!A:A&amp;ESPN!C:C, ESPN!D:D), "N/A")</f>
        <v>195</v>
      </c>
      <c r="M701" s="23" cm="1">
        <f t="array" ref="M701">IFERROR(_xlfn.XLOOKUP(C701&amp;A701, ESPN!A:A&amp;ESPN!C:C, ESPN!G:G), "N/A")</f>
        <v>2.25</v>
      </c>
      <c r="N701" s="23" cm="1">
        <f t="array" ref="N701">IFERROR(_xlfn.XLOOKUP(C701&amp;A701, ESPN!A:A&amp;ESPN!C:C, ESPN!H:H), "N/A")</f>
        <v>51</v>
      </c>
      <c r="O701" s="26" cm="1">
        <f t="array" ref="O701">IFERROR(_xlfn.XLOOKUP(C701&amp;A701, ESPN!A:A&amp;ESPN!C:C, ESPN!I:I), "N/A")</f>
        <v>15</v>
      </c>
      <c r="P701" s="26" cm="1">
        <f t="array" ref="P701">IFERROR(_xlfn.XLOOKUP(C701&amp;A701, ESPN!A:A&amp;ESPN!C:C, ESPN!J:J), "N/A")</f>
        <v>71</v>
      </c>
      <c r="Q701" s="26" cm="1">
        <f t="array" ref="Q701">IFERROR(_xlfn.XLOOKUP(C701&amp;A701, ESPN!A:A&amp;ESPN!C:C, ESPN!K:K), "N/A")</f>
        <v>51</v>
      </c>
    </row>
    <row r="702" spans="1:17" x14ac:dyDescent="0.45">
      <c r="A702" s="6">
        <v>2021</v>
      </c>
      <c r="B702" s="1" t="s">
        <v>269</v>
      </c>
      <c r="C702" s="2" t="str">
        <f t="shared" si="20"/>
        <v>Antonio Gibson</v>
      </c>
      <c r="D702" s="2" t="str">
        <f t="shared" si="21"/>
        <v>WAS</v>
      </c>
      <c r="E702" s="2">
        <v>16</v>
      </c>
      <c r="F702" s="12">
        <v>52</v>
      </c>
      <c r="G702" s="11">
        <v>42</v>
      </c>
      <c r="H702" s="11">
        <v>294</v>
      </c>
      <c r="I702" s="11">
        <v>7</v>
      </c>
      <c r="J702" s="11">
        <v>3</v>
      </c>
      <c r="K702" s="11">
        <v>4</v>
      </c>
      <c r="L702" s="11" cm="1">
        <f t="array" ref="L702">IFERROR(_xlfn.XLOOKUP(C702&amp;A702, ESPN!A:A&amp;ESPN!C:C, ESPN!D:D), "N/A")</f>
        <v>150</v>
      </c>
      <c r="M702" s="23" cm="1">
        <f t="array" ref="M702">IFERROR(_xlfn.XLOOKUP(C702&amp;A702, ESPN!A:A&amp;ESPN!C:C, ESPN!G:G), "N/A")</f>
        <v>1.96</v>
      </c>
      <c r="N702" s="23" cm="1">
        <f t="array" ref="N702">IFERROR(_xlfn.XLOOKUP(C702&amp;A702, ESPN!A:A&amp;ESPN!C:C, ESPN!H:H), "N/A")</f>
        <v>42</v>
      </c>
      <c r="O702" s="26" cm="1">
        <f t="array" ref="O702">IFERROR(_xlfn.XLOOKUP(C702&amp;A702, ESPN!A:A&amp;ESPN!C:C, ESPN!I:I), "N/A")</f>
        <v>46</v>
      </c>
      <c r="P702" s="26" cm="1">
        <f t="array" ref="P702">IFERROR(_xlfn.XLOOKUP(C702&amp;A702, ESPN!A:A&amp;ESPN!C:C, ESPN!J:J), "N/A")</f>
        <v>51</v>
      </c>
      <c r="Q702" s="26" cm="1">
        <f t="array" ref="Q702">IFERROR(_xlfn.XLOOKUP(C702&amp;A702, ESPN!A:A&amp;ESPN!C:C, ESPN!K:K), "N/A")</f>
        <v>46</v>
      </c>
    </row>
    <row r="703" spans="1:17" x14ac:dyDescent="0.45">
      <c r="A703" s="7">
        <v>2021</v>
      </c>
      <c r="B703" s="3" t="s">
        <v>344</v>
      </c>
      <c r="C703" s="4" t="str">
        <f t="shared" si="20"/>
        <v>Leonard Fournette</v>
      </c>
      <c r="D703" s="4" t="str">
        <f t="shared" si="21"/>
        <v>TB</v>
      </c>
      <c r="E703" s="4">
        <v>14</v>
      </c>
      <c r="F703" s="12">
        <v>84</v>
      </c>
      <c r="G703" s="11">
        <v>69</v>
      </c>
      <c r="H703" s="11">
        <v>454</v>
      </c>
      <c r="I703" s="11">
        <v>6.6</v>
      </c>
      <c r="J703" s="11">
        <v>2</v>
      </c>
      <c r="K703" s="11">
        <v>0</v>
      </c>
      <c r="L703" s="11" cm="1">
        <f t="array" ref="L703">IFERROR(_xlfn.XLOOKUP(C703&amp;A703, ESPN!A:A&amp;ESPN!C:C, ESPN!D:D), "N/A")</f>
        <v>311</v>
      </c>
      <c r="M703" s="23" cm="1">
        <f t="array" ref="M703">IFERROR(_xlfn.XLOOKUP(C703&amp;A703, ESPN!A:A&amp;ESPN!C:C, ESPN!G:G), "N/A")</f>
        <v>1.64</v>
      </c>
      <c r="N703" s="23" cm="1">
        <f t="array" ref="N703">IFERROR(_xlfn.XLOOKUP(C703&amp;A703, ESPN!A:A&amp;ESPN!C:C, ESPN!H:H), "N/A")</f>
        <v>72</v>
      </c>
      <c r="O703" s="26" cm="1">
        <f t="array" ref="O703">IFERROR(_xlfn.XLOOKUP(C703&amp;A703, ESPN!A:A&amp;ESPN!C:C, ESPN!I:I), "N/A")</f>
        <v>40</v>
      </c>
      <c r="P703" s="26" cm="1">
        <f t="array" ref="P703">IFERROR(_xlfn.XLOOKUP(C703&amp;A703, ESPN!A:A&amp;ESPN!C:C, ESPN!J:J), "N/A")</f>
        <v>43</v>
      </c>
      <c r="Q703" s="26" cm="1">
        <f t="array" ref="Q703">IFERROR(_xlfn.XLOOKUP(C703&amp;A703, ESPN!A:A&amp;ESPN!C:C, ESPN!K:K), "N/A")</f>
        <v>47</v>
      </c>
    </row>
    <row r="704" spans="1:17" x14ac:dyDescent="0.45">
      <c r="A704" s="6">
        <v>2021</v>
      </c>
      <c r="B704" s="1" t="s">
        <v>278</v>
      </c>
      <c r="C704" s="2" t="str">
        <f t="shared" si="20"/>
        <v>Cordarrelle Patterson</v>
      </c>
      <c r="D704" s="2" t="str">
        <f t="shared" si="21"/>
        <v>ATL</v>
      </c>
      <c r="E704" s="2">
        <v>16</v>
      </c>
      <c r="F704" s="12">
        <v>69</v>
      </c>
      <c r="G704" s="11">
        <v>52</v>
      </c>
      <c r="H704" s="11">
        <v>548</v>
      </c>
      <c r="I704" s="11">
        <v>10.5</v>
      </c>
      <c r="J704" s="11">
        <v>5</v>
      </c>
      <c r="K704" s="11">
        <v>0</v>
      </c>
      <c r="L704" s="11" cm="1">
        <f t="array" ref="L704">IFERROR(_xlfn.XLOOKUP(C704&amp;A704, ESPN!A:A&amp;ESPN!C:C, ESPN!D:D), "N/A")</f>
        <v>195</v>
      </c>
      <c r="M704" s="23" cm="1">
        <f t="array" ref="M704">IFERROR(_xlfn.XLOOKUP(C704&amp;A704, ESPN!A:A&amp;ESPN!C:C, ESPN!G:G), "N/A")</f>
        <v>2.81</v>
      </c>
      <c r="N704" s="23" cm="1">
        <f t="array" ref="N704">IFERROR(_xlfn.XLOOKUP(C704&amp;A704, ESPN!A:A&amp;ESPN!C:C, ESPN!H:H), "N/A")</f>
        <v>54</v>
      </c>
      <c r="O704" s="26" cm="1">
        <f t="array" ref="O704">IFERROR(_xlfn.XLOOKUP(C704&amp;A704, ESPN!A:A&amp;ESPN!C:C, ESPN!I:I), "N/A")</f>
        <v>70</v>
      </c>
      <c r="P704" s="26" cm="1">
        <f t="array" ref="P704">IFERROR(_xlfn.XLOOKUP(C704&amp;A704, ESPN!A:A&amp;ESPN!C:C, ESPN!J:J), "N/A")</f>
        <v>80</v>
      </c>
      <c r="Q704" s="26" cm="1">
        <f t="array" ref="Q704">IFERROR(_xlfn.XLOOKUP(C704&amp;A704, ESPN!A:A&amp;ESPN!C:C, ESPN!K:K), "N/A")</f>
        <v>86</v>
      </c>
    </row>
    <row r="705" spans="1:17" x14ac:dyDescent="0.45">
      <c r="A705" s="7">
        <v>2021</v>
      </c>
      <c r="B705" s="3" t="s">
        <v>263</v>
      </c>
      <c r="C705" s="4" t="str">
        <f t="shared" si="20"/>
        <v>Aaron Jones Sr.</v>
      </c>
      <c r="D705" s="4" t="str">
        <f t="shared" si="21"/>
        <v>GB</v>
      </c>
      <c r="E705" s="4">
        <v>15</v>
      </c>
      <c r="F705" s="12">
        <v>65</v>
      </c>
      <c r="G705" s="11">
        <v>52</v>
      </c>
      <c r="H705" s="11">
        <v>391</v>
      </c>
      <c r="I705" s="11">
        <v>7.5</v>
      </c>
      <c r="J705" s="11">
        <v>6</v>
      </c>
      <c r="K705" s="11">
        <v>1</v>
      </c>
      <c r="L705" s="11" cm="1">
        <f t="array" ref="L705">IFERROR(_xlfn.XLOOKUP(C705&amp;A705, ESPN!A:A&amp;ESPN!C:C, ESPN!D:D), "N/A")</f>
        <v>237</v>
      </c>
      <c r="M705" s="23" cm="1">
        <f t="array" ref="M705">IFERROR(_xlfn.XLOOKUP(C705&amp;A705, ESPN!A:A&amp;ESPN!C:C, ESPN!G:G), "N/A")</f>
        <v>2.19</v>
      </c>
      <c r="N705" s="23" cm="1">
        <f t="array" ref="N705">IFERROR(_xlfn.XLOOKUP(C705&amp;A705, ESPN!A:A&amp;ESPN!C:C, ESPN!H:H), "N/A")</f>
        <v>43</v>
      </c>
      <c r="O705" s="26" cm="1">
        <f t="array" ref="O705">IFERROR(_xlfn.XLOOKUP(C705&amp;A705, ESPN!A:A&amp;ESPN!C:C, ESPN!I:I), "N/A")</f>
        <v>45</v>
      </c>
      <c r="P705" s="26" cm="1">
        <f t="array" ref="P705">IFERROR(_xlfn.XLOOKUP(C705&amp;A705, ESPN!A:A&amp;ESPN!C:C, ESPN!J:J), "N/A")</f>
        <v>66</v>
      </c>
      <c r="Q705" s="26" cm="1">
        <f t="array" ref="Q705">IFERROR(_xlfn.XLOOKUP(C705&amp;A705, ESPN!A:A&amp;ESPN!C:C, ESPN!K:K), "N/A")</f>
        <v>59</v>
      </c>
    </row>
    <row r="706" spans="1:17" x14ac:dyDescent="0.45">
      <c r="A706" s="6">
        <v>2021</v>
      </c>
      <c r="B706" s="1" t="s">
        <v>252</v>
      </c>
      <c r="C706" s="2" t="str">
        <f t="shared" ref="C706:C769" si="22">TRIM(LEFT(B706, LEN(B706) - LEN(TRIM(RIGHT(SUBSTITUTE(TRIM(B706)," ",REPT(" ",100)),100)))))</f>
        <v>Derrick Henry</v>
      </c>
      <c r="D706" s="2" t="str">
        <f t="shared" ref="D706:D769" si="23">MID(B706, FIND("(", B706) + 1, FIND(")", B706) - FIND("(", B706) - 1)</f>
        <v>TEN</v>
      </c>
      <c r="E706" s="2">
        <v>8</v>
      </c>
      <c r="F706" s="12">
        <v>20</v>
      </c>
      <c r="G706" s="11">
        <v>18</v>
      </c>
      <c r="H706" s="11">
        <v>154</v>
      </c>
      <c r="I706" s="11">
        <v>8.6</v>
      </c>
      <c r="J706" s="11">
        <v>0</v>
      </c>
      <c r="K706" s="11">
        <v>0</v>
      </c>
      <c r="L706" s="11" t="str" cm="1">
        <f t="array" ref="L706">IFERROR(_xlfn.XLOOKUP(C706&amp;A706, ESPN!A:A&amp;ESPN!C:C, ESPN!D:D), "N/A")</f>
        <v>N/A</v>
      </c>
      <c r="M706" s="23" t="str" cm="1">
        <f t="array" ref="M706">IFERROR(_xlfn.XLOOKUP(C706&amp;A706, ESPN!A:A&amp;ESPN!C:C, ESPN!G:G), "N/A")</f>
        <v>N/A</v>
      </c>
      <c r="N706" s="23" t="str" cm="1">
        <f t="array" ref="N706">IFERROR(_xlfn.XLOOKUP(C706&amp;A706, ESPN!A:A&amp;ESPN!C:C, ESPN!H:H), "N/A")</f>
        <v>N/A</v>
      </c>
      <c r="O706" s="26" t="str" cm="1">
        <f t="array" ref="O706">IFERROR(_xlfn.XLOOKUP(C706&amp;A706, ESPN!A:A&amp;ESPN!C:C, ESPN!I:I), "N/A")</f>
        <v>N/A</v>
      </c>
      <c r="P706" s="26" t="str" cm="1">
        <f t="array" ref="P706">IFERROR(_xlfn.XLOOKUP(C706&amp;A706, ESPN!A:A&amp;ESPN!C:C, ESPN!J:J), "N/A")</f>
        <v>N/A</v>
      </c>
      <c r="Q706" s="26" t="str" cm="1">
        <f t="array" ref="Q706">IFERROR(_xlfn.XLOOKUP(C706&amp;A706, ESPN!A:A&amp;ESPN!C:C, ESPN!K:K), "N/A")</f>
        <v>N/A</v>
      </c>
    </row>
    <row r="707" spans="1:17" x14ac:dyDescent="0.45">
      <c r="A707" s="7">
        <v>2021</v>
      </c>
      <c r="B707" s="3" t="s">
        <v>342</v>
      </c>
      <c r="C707" s="4" t="str">
        <f t="shared" si="22"/>
        <v>Dalvin Cook</v>
      </c>
      <c r="D707" s="4" t="str">
        <f t="shared" si="23"/>
        <v>MIN</v>
      </c>
      <c r="E707" s="4">
        <v>13</v>
      </c>
      <c r="F707" s="12">
        <v>49</v>
      </c>
      <c r="G707" s="11">
        <v>34</v>
      </c>
      <c r="H707" s="11">
        <v>224</v>
      </c>
      <c r="I707" s="11">
        <v>6.6</v>
      </c>
      <c r="J707" s="11">
        <v>0</v>
      </c>
      <c r="K707" s="11">
        <v>2</v>
      </c>
      <c r="L707" s="11" cm="1">
        <f t="array" ref="L707">IFERROR(_xlfn.XLOOKUP(C707&amp;A707, ESPN!A:A&amp;ESPN!C:C, ESPN!D:D), "N/A")</f>
        <v>179</v>
      </c>
      <c r="M707" s="23" cm="1">
        <f t="array" ref="M707">IFERROR(_xlfn.XLOOKUP(C707&amp;A707, ESPN!A:A&amp;ESPN!C:C, ESPN!G:G), "N/A")</f>
        <v>1.25</v>
      </c>
      <c r="N707" s="23" cm="1">
        <f t="array" ref="N707">IFERROR(_xlfn.XLOOKUP(C707&amp;A707, ESPN!A:A&amp;ESPN!C:C, ESPN!H:H), "N/A")</f>
        <v>44</v>
      </c>
      <c r="O707" s="26" cm="1">
        <f t="array" ref="O707">IFERROR(_xlfn.XLOOKUP(C707&amp;A707, ESPN!A:A&amp;ESPN!C:C, ESPN!I:I), "N/A")</f>
        <v>31</v>
      </c>
      <c r="P707" s="26" cm="1">
        <f t="array" ref="P707">IFERROR(_xlfn.XLOOKUP(C707&amp;A707, ESPN!A:A&amp;ESPN!C:C, ESPN!J:J), "N/A")</f>
        <v>44</v>
      </c>
      <c r="Q707" s="26" cm="1">
        <f t="array" ref="Q707">IFERROR(_xlfn.XLOOKUP(C707&amp;A707, ESPN!A:A&amp;ESPN!C:C, ESPN!K:K), "N/A")</f>
        <v>34</v>
      </c>
    </row>
    <row r="708" spans="1:17" x14ac:dyDescent="0.45">
      <c r="A708" s="6">
        <v>2021</v>
      </c>
      <c r="B708" s="1" t="s">
        <v>258</v>
      </c>
      <c r="C708" s="2" t="str">
        <f t="shared" si="22"/>
        <v>Josh Jacobs</v>
      </c>
      <c r="D708" s="2" t="str">
        <f t="shared" si="23"/>
        <v>LV</v>
      </c>
      <c r="E708" s="2">
        <v>15</v>
      </c>
      <c r="F708" s="12">
        <v>64</v>
      </c>
      <c r="G708" s="11">
        <v>54</v>
      </c>
      <c r="H708" s="11">
        <v>348</v>
      </c>
      <c r="I708" s="11">
        <v>6.4</v>
      </c>
      <c r="J708" s="11">
        <v>0</v>
      </c>
      <c r="K708" s="11">
        <v>2</v>
      </c>
      <c r="L708" s="11" cm="1">
        <f t="array" ref="L708">IFERROR(_xlfn.XLOOKUP(C708&amp;A708, ESPN!A:A&amp;ESPN!C:C, ESPN!D:D), "N/A")</f>
        <v>214</v>
      </c>
      <c r="M708" s="23" cm="1">
        <f t="array" ref="M708">IFERROR(_xlfn.XLOOKUP(C708&amp;A708, ESPN!A:A&amp;ESPN!C:C, ESPN!G:G), "N/A")</f>
        <v>1.83</v>
      </c>
      <c r="N708" s="23" cm="1">
        <f t="array" ref="N708">IFERROR(_xlfn.XLOOKUP(C708&amp;A708, ESPN!A:A&amp;ESPN!C:C, ESPN!H:H), "N/A")</f>
        <v>52</v>
      </c>
      <c r="O708" s="26" cm="1">
        <f t="array" ref="O708">IFERROR(_xlfn.XLOOKUP(C708&amp;A708, ESPN!A:A&amp;ESPN!C:C, ESPN!I:I), "N/A")</f>
        <v>45</v>
      </c>
      <c r="P708" s="26" cm="1">
        <f t="array" ref="P708">IFERROR(_xlfn.XLOOKUP(C708&amp;A708, ESPN!A:A&amp;ESPN!C:C, ESPN!J:J), "N/A")</f>
        <v>39</v>
      </c>
      <c r="Q708" s="26" cm="1">
        <f t="array" ref="Q708">IFERROR(_xlfn.XLOOKUP(C708&amp;A708, ESPN!A:A&amp;ESPN!C:C, ESPN!K:K), "N/A")</f>
        <v>39</v>
      </c>
    </row>
    <row r="709" spans="1:17" x14ac:dyDescent="0.45">
      <c r="A709" s="7">
        <v>2021</v>
      </c>
      <c r="B709" s="3" t="s">
        <v>356</v>
      </c>
      <c r="C709" s="4" t="str">
        <f t="shared" si="22"/>
        <v>Melvin Gordon III</v>
      </c>
      <c r="D709" s="4" t="str">
        <f t="shared" si="23"/>
        <v>DEN</v>
      </c>
      <c r="E709" s="4">
        <v>16</v>
      </c>
      <c r="F709" s="12">
        <v>38</v>
      </c>
      <c r="G709" s="11">
        <v>28</v>
      </c>
      <c r="H709" s="11">
        <v>213</v>
      </c>
      <c r="I709" s="11">
        <v>7.6</v>
      </c>
      <c r="J709" s="11">
        <v>2</v>
      </c>
      <c r="K709" s="11">
        <v>3</v>
      </c>
      <c r="L709" s="11" cm="1">
        <f t="array" ref="L709">IFERROR(_xlfn.XLOOKUP(C709&amp;A709, ESPN!A:A&amp;ESPN!C:C, ESPN!D:D), "N/A")</f>
        <v>198</v>
      </c>
      <c r="M709" s="23" cm="1">
        <f t="array" ref="M709">IFERROR(_xlfn.XLOOKUP(C709&amp;A709, ESPN!A:A&amp;ESPN!C:C, ESPN!G:G), "N/A")</f>
        <v>1.08</v>
      </c>
      <c r="N709" s="23" cm="1">
        <f t="array" ref="N709">IFERROR(_xlfn.XLOOKUP(C709&amp;A709, ESPN!A:A&amp;ESPN!C:C, ESPN!H:H), "N/A")</f>
        <v>28</v>
      </c>
      <c r="O709" s="26" cm="1">
        <f t="array" ref="O709">IFERROR(_xlfn.XLOOKUP(C709&amp;A709, ESPN!A:A&amp;ESPN!C:C, ESPN!I:I), "N/A")</f>
        <v>56</v>
      </c>
      <c r="P709" s="26" cm="1">
        <f t="array" ref="P709">IFERROR(_xlfn.XLOOKUP(C709&amp;A709, ESPN!A:A&amp;ESPN!C:C, ESPN!J:J), "N/A")</f>
        <v>44</v>
      </c>
      <c r="Q709" s="26" cm="1">
        <f t="array" ref="Q709">IFERROR(_xlfn.XLOOKUP(C709&amp;A709, ESPN!A:A&amp;ESPN!C:C, ESPN!K:K), "N/A")</f>
        <v>40</v>
      </c>
    </row>
    <row r="710" spans="1:17" x14ac:dyDescent="0.45">
      <c r="A710" s="6">
        <v>2021</v>
      </c>
      <c r="B710" s="1" t="s">
        <v>183</v>
      </c>
      <c r="C710" s="2" t="str">
        <f t="shared" si="22"/>
        <v>Javonte Williams</v>
      </c>
      <c r="D710" s="2" t="str">
        <f t="shared" si="23"/>
        <v>DEN</v>
      </c>
      <c r="E710" s="2">
        <v>17</v>
      </c>
      <c r="F710" s="12">
        <v>53</v>
      </c>
      <c r="G710" s="11">
        <v>43</v>
      </c>
      <c r="H710" s="11">
        <v>316</v>
      </c>
      <c r="I710" s="11">
        <v>7.3</v>
      </c>
      <c r="J710" s="11">
        <v>3</v>
      </c>
      <c r="K710" s="11">
        <v>1</v>
      </c>
      <c r="L710" s="11" cm="1">
        <f t="array" ref="L710">IFERROR(_xlfn.XLOOKUP(C710&amp;A710, ESPN!A:A&amp;ESPN!C:C, ESPN!D:D), "N/A")</f>
        <v>210</v>
      </c>
      <c r="M710" s="23" cm="1">
        <f t="array" ref="M710">IFERROR(_xlfn.XLOOKUP(C710&amp;A710, ESPN!A:A&amp;ESPN!C:C, ESPN!G:G), "N/A")</f>
        <v>1.5</v>
      </c>
      <c r="N710" s="23" cm="1">
        <f t="array" ref="N710">IFERROR(_xlfn.XLOOKUP(C710&amp;A710, ESPN!A:A&amp;ESPN!C:C, ESPN!H:H), "N/A")</f>
        <v>55</v>
      </c>
      <c r="O710" s="26" cm="1">
        <f t="array" ref="O710">IFERROR(_xlfn.XLOOKUP(C710&amp;A710, ESPN!A:A&amp;ESPN!C:C, ESPN!I:I), "N/A")</f>
        <v>60</v>
      </c>
      <c r="P710" s="26" cm="1">
        <f t="array" ref="P710">IFERROR(_xlfn.XLOOKUP(C710&amp;A710, ESPN!A:A&amp;ESPN!C:C, ESPN!J:J), "N/A")</f>
        <v>47</v>
      </c>
      <c r="Q710" s="26" cm="1">
        <f t="array" ref="Q710">IFERROR(_xlfn.XLOOKUP(C710&amp;A710, ESPN!A:A&amp;ESPN!C:C, ESPN!K:K), "N/A")</f>
        <v>54</v>
      </c>
    </row>
    <row r="711" spans="1:17" x14ac:dyDescent="0.45">
      <c r="A711" s="7">
        <v>2021</v>
      </c>
      <c r="B711" s="3" t="s">
        <v>347</v>
      </c>
      <c r="C711" s="4" t="str">
        <f t="shared" si="22"/>
        <v>Devin Singletary</v>
      </c>
      <c r="D711" s="4" t="str">
        <f t="shared" si="23"/>
        <v>BUF</v>
      </c>
      <c r="E711" s="4">
        <v>17</v>
      </c>
      <c r="F711" s="12">
        <v>50</v>
      </c>
      <c r="G711" s="11">
        <v>40</v>
      </c>
      <c r="H711" s="11">
        <v>228</v>
      </c>
      <c r="I711" s="11">
        <v>5.7</v>
      </c>
      <c r="J711" s="11">
        <v>1</v>
      </c>
      <c r="K711" s="11">
        <v>0</v>
      </c>
      <c r="L711" s="11" cm="1">
        <f t="array" ref="L711">IFERROR(_xlfn.XLOOKUP(C711&amp;A711, ESPN!A:A&amp;ESPN!C:C, ESPN!D:D), "N/A")</f>
        <v>312</v>
      </c>
      <c r="M711" s="23" cm="1">
        <f t="array" ref="M711">IFERROR(_xlfn.XLOOKUP(C711&amp;A711, ESPN!A:A&amp;ESPN!C:C, ESPN!G:G), "N/A")</f>
        <v>0.85</v>
      </c>
      <c r="N711" s="23" cm="1">
        <f t="array" ref="N711">IFERROR(_xlfn.XLOOKUP(C711&amp;A711, ESPN!A:A&amp;ESPN!C:C, ESPN!H:H), "N/A")</f>
        <v>53</v>
      </c>
      <c r="O711" s="26" cm="1">
        <f t="array" ref="O711">IFERROR(_xlfn.XLOOKUP(C711&amp;A711, ESPN!A:A&amp;ESPN!C:C, ESPN!I:I), "N/A")</f>
        <v>39</v>
      </c>
      <c r="P711" s="26" cm="1">
        <f t="array" ref="P711">IFERROR(_xlfn.XLOOKUP(C711&amp;A711, ESPN!A:A&amp;ESPN!C:C, ESPN!J:J), "N/A")</f>
        <v>49</v>
      </c>
      <c r="Q711" s="26" cm="1">
        <f t="array" ref="Q711">IFERROR(_xlfn.XLOOKUP(C711&amp;A711, ESPN!A:A&amp;ESPN!C:C, ESPN!K:K), "N/A")</f>
        <v>45</v>
      </c>
    </row>
    <row r="712" spans="1:17" x14ac:dyDescent="0.45">
      <c r="A712" s="6">
        <v>2021</v>
      </c>
      <c r="B712" s="1" t="s">
        <v>345</v>
      </c>
      <c r="C712" s="2" t="str">
        <f t="shared" si="22"/>
        <v>David Montgomery</v>
      </c>
      <c r="D712" s="2" t="str">
        <f t="shared" si="23"/>
        <v>CHI</v>
      </c>
      <c r="E712" s="2">
        <v>14</v>
      </c>
      <c r="F712" s="12">
        <v>51</v>
      </c>
      <c r="G712" s="11">
        <v>42</v>
      </c>
      <c r="H712" s="11">
        <v>301</v>
      </c>
      <c r="I712" s="11">
        <v>7.2</v>
      </c>
      <c r="J712" s="11">
        <v>0</v>
      </c>
      <c r="K712" s="11">
        <v>1</v>
      </c>
      <c r="L712" s="11" cm="1">
        <f t="array" ref="L712">IFERROR(_xlfn.XLOOKUP(C712&amp;A712, ESPN!A:A&amp;ESPN!C:C, ESPN!D:D), "N/A")</f>
        <v>221</v>
      </c>
      <c r="M712" s="23" cm="1">
        <f t="array" ref="M712">IFERROR(_xlfn.XLOOKUP(C712&amp;A712, ESPN!A:A&amp;ESPN!C:C, ESPN!G:G), "N/A")</f>
        <v>1.36</v>
      </c>
      <c r="N712" s="23" cm="1">
        <f t="array" ref="N712">IFERROR(_xlfn.XLOOKUP(C712&amp;A712, ESPN!A:A&amp;ESPN!C:C, ESPN!H:H), "N/A")</f>
        <v>41</v>
      </c>
      <c r="O712" s="26" cm="1">
        <f t="array" ref="O712">IFERROR(_xlfn.XLOOKUP(C712&amp;A712, ESPN!A:A&amp;ESPN!C:C, ESPN!I:I), "N/A")</f>
        <v>55</v>
      </c>
      <c r="P712" s="26" cm="1">
        <f t="array" ref="P712">IFERROR(_xlfn.XLOOKUP(C712&amp;A712, ESPN!A:A&amp;ESPN!C:C, ESPN!J:J), "N/A")</f>
        <v>43</v>
      </c>
      <c r="Q712" s="26" cm="1">
        <f t="array" ref="Q712">IFERROR(_xlfn.XLOOKUP(C712&amp;A712, ESPN!A:A&amp;ESPN!C:C, ESPN!K:K), "N/A")</f>
        <v>43</v>
      </c>
    </row>
    <row r="713" spans="1:17" x14ac:dyDescent="0.45">
      <c r="A713" s="7">
        <v>2021</v>
      </c>
      <c r="B713" s="3" t="s">
        <v>266</v>
      </c>
      <c r="C713" s="4" t="str">
        <f t="shared" si="22"/>
        <v>AJ Dillon</v>
      </c>
      <c r="D713" s="4" t="str">
        <f t="shared" si="23"/>
        <v>GB</v>
      </c>
      <c r="E713" s="4">
        <v>17</v>
      </c>
      <c r="F713" s="12">
        <v>37</v>
      </c>
      <c r="G713" s="11">
        <v>34</v>
      </c>
      <c r="H713" s="11">
        <v>313</v>
      </c>
      <c r="I713" s="11">
        <v>9.1999999999999993</v>
      </c>
      <c r="J713" s="11">
        <v>2</v>
      </c>
      <c r="K713" s="11">
        <v>1</v>
      </c>
      <c r="L713" s="11" cm="1">
        <f t="array" ref="L713">IFERROR(_xlfn.XLOOKUP(C713&amp;A713, ESPN!A:A&amp;ESPN!C:C, ESPN!D:D), "N/A")</f>
        <v>156</v>
      </c>
      <c r="M713" s="23" cm="1">
        <f t="array" ref="M713">IFERROR(_xlfn.XLOOKUP(C713&amp;A713, ESPN!A:A&amp;ESPN!C:C, ESPN!G:G), "N/A")</f>
        <v>2.0099999999999998</v>
      </c>
      <c r="N713" s="23" cm="1">
        <f t="array" ref="N713">IFERROR(_xlfn.XLOOKUP(C713&amp;A713, ESPN!A:A&amp;ESPN!C:C, ESPN!H:H), "N/A")</f>
        <v>59</v>
      </c>
      <c r="O713" s="26" cm="1">
        <f t="array" ref="O713">IFERROR(_xlfn.XLOOKUP(C713&amp;A713, ESPN!A:A&amp;ESPN!C:C, ESPN!I:I), "N/A")</f>
        <v>74</v>
      </c>
      <c r="P713" s="26" cm="1">
        <f t="array" ref="P713">IFERROR(_xlfn.XLOOKUP(C713&amp;A713, ESPN!A:A&amp;ESPN!C:C, ESPN!J:J), "N/A")</f>
        <v>71</v>
      </c>
      <c r="Q713" s="26" cm="1">
        <f t="array" ref="Q713">IFERROR(_xlfn.XLOOKUP(C713&amp;A713, ESPN!A:A&amp;ESPN!C:C, ESPN!K:K), "N/A")</f>
        <v>83</v>
      </c>
    </row>
    <row r="714" spans="1:17" x14ac:dyDescent="0.45">
      <c r="A714" s="6">
        <v>2021</v>
      </c>
      <c r="B714" s="1" t="s">
        <v>423</v>
      </c>
      <c r="C714" s="2" t="str">
        <f t="shared" si="22"/>
        <v>Darrel Williams</v>
      </c>
      <c r="D714" s="2" t="str">
        <f t="shared" si="23"/>
        <v>KC</v>
      </c>
      <c r="E714" s="2">
        <v>17</v>
      </c>
      <c r="F714" s="12">
        <v>57</v>
      </c>
      <c r="G714" s="11">
        <v>47</v>
      </c>
      <c r="H714" s="11">
        <v>452</v>
      </c>
      <c r="I714" s="11">
        <v>9.6</v>
      </c>
      <c r="J714" s="11">
        <v>2</v>
      </c>
      <c r="K714" s="11">
        <v>0</v>
      </c>
      <c r="L714" s="11" cm="1">
        <f t="array" ref="L714">IFERROR(_xlfn.XLOOKUP(C714&amp;A714, ESPN!A:A&amp;ESPN!C:C, ESPN!D:D), "N/A")</f>
        <v>283</v>
      </c>
      <c r="M714" s="23" cm="1">
        <f t="array" ref="M714">IFERROR(_xlfn.XLOOKUP(C714&amp;A714, ESPN!A:A&amp;ESPN!C:C, ESPN!G:G), "N/A")</f>
        <v>1.6</v>
      </c>
      <c r="N714" s="23" cm="1">
        <f t="array" ref="N714">IFERROR(_xlfn.XLOOKUP(C714&amp;A714, ESPN!A:A&amp;ESPN!C:C, ESPN!H:H), "N/A")</f>
        <v>38</v>
      </c>
      <c r="O714" s="26" cm="1">
        <f t="array" ref="O714">IFERROR(_xlfn.XLOOKUP(C714&amp;A714, ESPN!A:A&amp;ESPN!C:C, ESPN!I:I), "N/A")</f>
        <v>70</v>
      </c>
      <c r="P714" s="26" cm="1">
        <f t="array" ref="P714">IFERROR(_xlfn.XLOOKUP(C714&amp;A714, ESPN!A:A&amp;ESPN!C:C, ESPN!J:J), "N/A")</f>
        <v>50</v>
      </c>
      <c r="Q714" s="26" cm="1">
        <f t="array" ref="Q714">IFERROR(_xlfn.XLOOKUP(C714&amp;A714, ESPN!A:A&amp;ESPN!C:C, ESPN!K:K), "N/A")</f>
        <v>56</v>
      </c>
    </row>
    <row r="715" spans="1:17" x14ac:dyDescent="0.45">
      <c r="A715" s="7">
        <v>2021</v>
      </c>
      <c r="B715" s="3" t="s">
        <v>346</v>
      </c>
      <c r="C715" s="4" t="str">
        <f t="shared" si="22"/>
        <v>D'Andre Swift</v>
      </c>
      <c r="D715" s="4" t="str">
        <f t="shared" si="23"/>
        <v>DET</v>
      </c>
      <c r="E715" s="4">
        <v>13</v>
      </c>
      <c r="F715" s="12">
        <v>78</v>
      </c>
      <c r="G715" s="11">
        <v>62</v>
      </c>
      <c r="H715" s="11">
        <v>452</v>
      </c>
      <c r="I715" s="11">
        <v>7.3</v>
      </c>
      <c r="J715" s="11">
        <v>2</v>
      </c>
      <c r="K715" s="11">
        <v>1</v>
      </c>
      <c r="L715" s="11" cm="1">
        <f t="array" ref="L715">IFERROR(_xlfn.XLOOKUP(C715&amp;A715, ESPN!A:A&amp;ESPN!C:C, ESPN!D:D), "N/A")</f>
        <v>233</v>
      </c>
      <c r="M715" s="23" cm="1">
        <f t="array" ref="M715">IFERROR(_xlfn.XLOOKUP(C715&amp;A715, ESPN!A:A&amp;ESPN!C:C, ESPN!G:G), "N/A")</f>
        <v>1.94</v>
      </c>
      <c r="N715" s="23" cm="1">
        <f t="array" ref="N715">IFERROR(_xlfn.XLOOKUP(C715&amp;A715, ESPN!A:A&amp;ESPN!C:C, ESPN!H:H), "N/A")</f>
        <v>67</v>
      </c>
      <c r="O715" s="26" cm="1">
        <f t="array" ref="O715">IFERROR(_xlfn.XLOOKUP(C715&amp;A715, ESPN!A:A&amp;ESPN!C:C, ESPN!I:I), "N/A")</f>
        <v>37</v>
      </c>
      <c r="P715" s="26" cm="1">
        <f t="array" ref="P715">IFERROR(_xlfn.XLOOKUP(C715&amp;A715, ESPN!A:A&amp;ESPN!C:C, ESPN!J:J), "N/A")</f>
        <v>53</v>
      </c>
      <c r="Q715" s="26" cm="1">
        <f t="array" ref="Q715">IFERROR(_xlfn.XLOOKUP(C715&amp;A715, ESPN!A:A&amp;ESPN!C:C, ESPN!K:K), "N/A")</f>
        <v>52</v>
      </c>
    </row>
    <row r="716" spans="1:17" x14ac:dyDescent="0.45">
      <c r="A716" s="6">
        <v>2021</v>
      </c>
      <c r="B716" s="1" t="s">
        <v>275</v>
      </c>
      <c r="C716" s="2" t="str">
        <f t="shared" si="22"/>
        <v>Elijah Mitchell</v>
      </c>
      <c r="D716" s="2" t="str">
        <f t="shared" si="23"/>
        <v>SF</v>
      </c>
      <c r="E716" s="2">
        <v>12</v>
      </c>
      <c r="F716" s="12">
        <v>20</v>
      </c>
      <c r="G716" s="11">
        <v>19</v>
      </c>
      <c r="H716" s="11">
        <v>137</v>
      </c>
      <c r="I716" s="11">
        <v>7.2</v>
      </c>
      <c r="J716" s="11">
        <v>1</v>
      </c>
      <c r="K716" s="11">
        <v>0</v>
      </c>
      <c r="L716" s="11" cm="1">
        <f t="array" ref="L716">IFERROR(_xlfn.XLOOKUP(C716&amp;A716, ESPN!A:A&amp;ESPN!C:C, ESPN!D:D), "N/A")</f>
        <v>138</v>
      </c>
      <c r="M716" s="23" cm="1">
        <f t="array" ref="M716">IFERROR(_xlfn.XLOOKUP(C716&amp;A716, ESPN!A:A&amp;ESPN!C:C, ESPN!G:G), "N/A")</f>
        <v>1.41</v>
      </c>
      <c r="N716" s="23" cm="1">
        <f t="array" ref="N716">IFERROR(_xlfn.XLOOKUP(C716&amp;A716, ESPN!A:A&amp;ESPN!C:C, ESPN!H:H), "N/A")</f>
        <v>42</v>
      </c>
      <c r="O716" s="26" cm="1">
        <f t="array" ref="O716">IFERROR(_xlfn.XLOOKUP(C716&amp;A716, ESPN!A:A&amp;ESPN!C:C, ESPN!I:I), "N/A")</f>
        <v>74</v>
      </c>
      <c r="P716" s="26" cm="1">
        <f t="array" ref="P716">IFERROR(_xlfn.XLOOKUP(C716&amp;A716, ESPN!A:A&amp;ESPN!C:C, ESPN!J:J), "N/A")</f>
        <v>70</v>
      </c>
      <c r="Q716" s="26" cm="1">
        <f t="array" ref="Q716">IFERROR(_xlfn.XLOOKUP(C716&amp;A716, ESPN!A:A&amp;ESPN!C:C, ESPN!K:K), "N/A")</f>
        <v>76</v>
      </c>
    </row>
    <row r="717" spans="1:17" x14ac:dyDescent="0.45">
      <c r="A717" s="7">
        <v>2021</v>
      </c>
      <c r="B717" s="3" t="s">
        <v>424</v>
      </c>
      <c r="C717" s="4" t="str">
        <f t="shared" si="22"/>
        <v>James Robinson</v>
      </c>
      <c r="D717" s="4" t="str">
        <f t="shared" si="23"/>
        <v>JAC</v>
      </c>
      <c r="E717" s="4">
        <v>14</v>
      </c>
      <c r="F717" s="12">
        <v>46</v>
      </c>
      <c r="G717" s="11">
        <v>31</v>
      </c>
      <c r="H717" s="11">
        <v>222</v>
      </c>
      <c r="I717" s="11">
        <v>7.2</v>
      </c>
      <c r="J717" s="11">
        <v>0</v>
      </c>
      <c r="K717" s="11">
        <v>2</v>
      </c>
      <c r="L717" s="11" cm="1">
        <f t="array" ref="L717">IFERROR(_xlfn.XLOOKUP(C717&amp;A717, ESPN!A:A&amp;ESPN!C:C, ESPN!D:D), "N/A")</f>
        <v>191</v>
      </c>
      <c r="M717" s="23" cm="1">
        <f t="array" ref="M717">IFERROR(_xlfn.XLOOKUP(C717&amp;A717, ESPN!A:A&amp;ESPN!C:C, ESPN!G:G), "N/A")</f>
        <v>1.1599999999999999</v>
      </c>
      <c r="N717" s="23" cm="1">
        <f t="array" ref="N717">IFERROR(_xlfn.XLOOKUP(C717&amp;A717, ESPN!A:A&amp;ESPN!C:C, ESPN!H:H), "N/A")</f>
        <v>52</v>
      </c>
      <c r="O717" s="26" cm="1">
        <f t="array" ref="O717">IFERROR(_xlfn.XLOOKUP(C717&amp;A717, ESPN!A:A&amp;ESPN!C:C, ESPN!I:I), "N/A")</f>
        <v>28</v>
      </c>
      <c r="P717" s="26" cm="1">
        <f t="array" ref="P717">IFERROR(_xlfn.XLOOKUP(C717&amp;A717, ESPN!A:A&amp;ESPN!C:C, ESPN!J:J), "N/A")</f>
        <v>44</v>
      </c>
      <c r="Q717" s="26" cm="1">
        <f t="array" ref="Q717">IFERROR(_xlfn.XLOOKUP(C717&amp;A717, ESPN!A:A&amp;ESPN!C:C, ESPN!K:K), "N/A")</f>
        <v>35</v>
      </c>
    </row>
    <row r="718" spans="1:17" x14ac:dyDescent="0.45">
      <c r="A718" s="6">
        <v>2021</v>
      </c>
      <c r="B718" s="1" t="s">
        <v>276</v>
      </c>
      <c r="C718" s="2" t="str">
        <f t="shared" si="22"/>
        <v>Darrell Henderson Jr.</v>
      </c>
      <c r="D718" s="2" t="str">
        <f t="shared" si="23"/>
        <v>LAR</v>
      </c>
      <c r="E718" s="2">
        <v>12</v>
      </c>
      <c r="F718" s="12">
        <v>40</v>
      </c>
      <c r="G718" s="11">
        <v>29</v>
      </c>
      <c r="H718" s="11">
        <v>176</v>
      </c>
      <c r="I718" s="11">
        <v>6.1</v>
      </c>
      <c r="J718" s="11">
        <v>3</v>
      </c>
      <c r="K718" s="11">
        <v>0</v>
      </c>
      <c r="L718" s="11" cm="1">
        <f t="array" ref="L718">IFERROR(_xlfn.XLOOKUP(C718&amp;A718, ESPN!A:A&amp;ESPN!C:C, ESPN!D:D), "N/A")</f>
        <v>199</v>
      </c>
      <c r="M718" s="23" cm="1">
        <f t="array" ref="M718">IFERROR(_xlfn.XLOOKUP(C718&amp;A718, ESPN!A:A&amp;ESPN!C:C, ESPN!G:G), "N/A")</f>
        <v>1.1000000000000001</v>
      </c>
      <c r="N718" s="23" cm="1">
        <f t="array" ref="N718">IFERROR(_xlfn.XLOOKUP(C718&amp;A718, ESPN!A:A&amp;ESPN!C:C, ESPN!H:H), "N/A")</f>
        <v>42</v>
      </c>
      <c r="O718" s="26" cm="1">
        <f t="array" ref="O718">IFERROR(_xlfn.XLOOKUP(C718&amp;A718, ESPN!A:A&amp;ESPN!C:C, ESPN!I:I), "N/A")</f>
        <v>47</v>
      </c>
      <c r="P718" s="26" cm="1">
        <f t="array" ref="P718">IFERROR(_xlfn.XLOOKUP(C718&amp;A718, ESPN!A:A&amp;ESPN!C:C, ESPN!J:J), "N/A")</f>
        <v>31</v>
      </c>
      <c r="Q718" s="26" cm="1">
        <f t="array" ref="Q718">IFERROR(_xlfn.XLOOKUP(C718&amp;A718, ESPN!A:A&amp;ESPN!C:C, ESPN!K:K), "N/A")</f>
        <v>30</v>
      </c>
    </row>
    <row r="719" spans="1:17" x14ac:dyDescent="0.45">
      <c r="A719" s="7">
        <v>2021</v>
      </c>
      <c r="B719" s="3" t="s">
        <v>425</v>
      </c>
      <c r="C719" s="4" t="str">
        <f t="shared" si="22"/>
        <v>Sony Michel</v>
      </c>
      <c r="D719" s="4" t="str">
        <f t="shared" si="23"/>
        <v>LAR</v>
      </c>
      <c r="E719" s="4">
        <v>17</v>
      </c>
      <c r="F719" s="12">
        <v>33</v>
      </c>
      <c r="G719" s="11">
        <v>21</v>
      </c>
      <c r="H719" s="11">
        <v>128</v>
      </c>
      <c r="I719" s="11">
        <v>6.1</v>
      </c>
      <c r="J719" s="11">
        <v>1</v>
      </c>
      <c r="K719" s="11">
        <v>1</v>
      </c>
      <c r="L719" s="11" cm="1">
        <f t="array" ref="L719">IFERROR(_xlfn.XLOOKUP(C719&amp;A719, ESPN!A:A&amp;ESPN!C:C, ESPN!D:D), "N/A")</f>
        <v>222</v>
      </c>
      <c r="M719" s="23" cm="1">
        <f t="array" ref="M719">IFERROR(_xlfn.XLOOKUP(C719&amp;A719, ESPN!A:A&amp;ESPN!C:C, ESPN!G:G), "N/A")</f>
        <v>0.54</v>
      </c>
      <c r="N719" s="23" cm="1">
        <f t="array" ref="N719">IFERROR(_xlfn.XLOOKUP(C719&amp;A719, ESPN!A:A&amp;ESPN!C:C, ESPN!H:H), "N/A")</f>
        <v>50</v>
      </c>
      <c r="O719" s="26" cm="1">
        <f t="array" ref="O719">IFERROR(_xlfn.XLOOKUP(C719&amp;A719, ESPN!A:A&amp;ESPN!C:C, ESPN!I:I), "N/A")</f>
        <v>41</v>
      </c>
      <c r="P719" s="26" cm="1">
        <f t="array" ref="P719">IFERROR(_xlfn.XLOOKUP(C719&amp;A719, ESPN!A:A&amp;ESPN!C:C, ESPN!J:J), "N/A")</f>
        <v>46</v>
      </c>
      <c r="Q719" s="26" cm="1">
        <f t="array" ref="Q719">IFERROR(_xlfn.XLOOKUP(C719&amp;A719, ESPN!A:A&amp;ESPN!C:C, ESPN!K:K), "N/A")</f>
        <v>42</v>
      </c>
    </row>
    <row r="720" spans="1:17" x14ac:dyDescent="0.45">
      <c r="A720" s="6">
        <v>2021</v>
      </c>
      <c r="B720" s="1" t="s">
        <v>387</v>
      </c>
      <c r="C720" s="2" t="str">
        <f t="shared" si="22"/>
        <v>Myles Gaskin</v>
      </c>
      <c r="D720" s="2" t="str">
        <f t="shared" si="23"/>
        <v>MIA</v>
      </c>
      <c r="E720" s="2">
        <v>17</v>
      </c>
      <c r="F720" s="12">
        <v>63</v>
      </c>
      <c r="G720" s="11">
        <v>49</v>
      </c>
      <c r="H720" s="11">
        <v>234</v>
      </c>
      <c r="I720" s="11">
        <v>4.8</v>
      </c>
      <c r="J720" s="11">
        <v>4</v>
      </c>
      <c r="K720" s="11">
        <v>1</v>
      </c>
      <c r="L720" s="11" cm="1">
        <f t="array" ref="L720">IFERROR(_xlfn.XLOOKUP(C720&amp;A720, ESPN!A:A&amp;ESPN!C:C, ESPN!D:D), "N/A")</f>
        <v>206</v>
      </c>
      <c r="M720" s="23" cm="1">
        <f t="array" ref="M720">IFERROR(_xlfn.XLOOKUP(C720&amp;A720, ESPN!A:A&amp;ESPN!C:C, ESPN!G:G), "N/A")</f>
        <v>1.1399999999999999</v>
      </c>
      <c r="N720" s="23" cm="1">
        <f t="array" ref="N720">IFERROR(_xlfn.XLOOKUP(C720&amp;A720, ESPN!A:A&amp;ESPN!C:C, ESPN!H:H), "N/A")</f>
        <v>66</v>
      </c>
      <c r="O720" s="26" cm="1">
        <f t="array" ref="O720">IFERROR(_xlfn.XLOOKUP(C720&amp;A720, ESPN!A:A&amp;ESPN!C:C, ESPN!I:I), "N/A")</f>
        <v>52</v>
      </c>
      <c r="P720" s="26" cm="1">
        <f t="array" ref="P720">IFERROR(_xlfn.XLOOKUP(C720&amp;A720, ESPN!A:A&amp;ESPN!C:C, ESPN!J:J), "N/A")</f>
        <v>25</v>
      </c>
      <c r="Q720" s="26" cm="1">
        <f t="array" ref="Q720">IFERROR(_xlfn.XLOOKUP(C720&amp;A720, ESPN!A:A&amp;ESPN!C:C, ESPN!K:K), "N/A")</f>
        <v>35</v>
      </c>
    </row>
    <row r="721" spans="1:17" x14ac:dyDescent="0.45">
      <c r="A721" s="7">
        <v>2021</v>
      </c>
      <c r="B721" s="3" t="s">
        <v>256</v>
      </c>
      <c r="C721" s="4" t="str">
        <f t="shared" si="22"/>
        <v>Tony Pollard</v>
      </c>
      <c r="D721" s="4" t="str">
        <f t="shared" si="23"/>
        <v>DAL</v>
      </c>
      <c r="E721" s="4">
        <v>15</v>
      </c>
      <c r="F721" s="12">
        <v>46</v>
      </c>
      <c r="G721" s="11">
        <v>39</v>
      </c>
      <c r="H721" s="11">
        <v>337</v>
      </c>
      <c r="I721" s="11">
        <v>8.6</v>
      </c>
      <c r="J721" s="11">
        <v>0</v>
      </c>
      <c r="K721" s="11">
        <v>0</v>
      </c>
      <c r="L721" s="11" cm="1">
        <f t="array" ref="L721">IFERROR(_xlfn.XLOOKUP(C721&amp;A721, ESPN!A:A&amp;ESPN!C:C, ESPN!D:D), "N/A")</f>
        <v>130</v>
      </c>
      <c r="M721" s="23" cm="1">
        <f t="array" ref="M721">IFERROR(_xlfn.XLOOKUP(C721&amp;A721, ESPN!A:A&amp;ESPN!C:C, ESPN!G:G), "N/A")</f>
        <v>2.68</v>
      </c>
      <c r="N721" s="23" cm="1">
        <f t="array" ref="N721">IFERROR(_xlfn.XLOOKUP(C721&amp;A721, ESPN!A:A&amp;ESPN!C:C, ESPN!H:H), "N/A")</f>
        <v>72</v>
      </c>
      <c r="O721" s="26" cm="1">
        <f t="array" ref="O721">IFERROR(_xlfn.XLOOKUP(C721&amp;A721, ESPN!A:A&amp;ESPN!C:C, ESPN!I:I), "N/A")</f>
        <v>53</v>
      </c>
      <c r="P721" s="26" cm="1">
        <f t="array" ref="P721">IFERROR(_xlfn.XLOOKUP(C721&amp;A721, ESPN!A:A&amp;ESPN!C:C, ESPN!J:J), "N/A")</f>
        <v>66</v>
      </c>
      <c r="Q721" s="26" cm="1">
        <f t="array" ref="Q721">IFERROR(_xlfn.XLOOKUP(C721&amp;A721, ESPN!A:A&amp;ESPN!C:C, ESPN!K:K), "N/A")</f>
        <v>73</v>
      </c>
    </row>
    <row r="722" spans="1:17" x14ac:dyDescent="0.45">
      <c r="A722" s="6">
        <v>2021</v>
      </c>
      <c r="B722" s="1" t="s">
        <v>352</v>
      </c>
      <c r="C722" s="2" t="str">
        <f t="shared" si="22"/>
        <v>Michael Carter</v>
      </c>
      <c r="D722" s="2" t="str">
        <f t="shared" si="23"/>
        <v>NYJ</v>
      </c>
      <c r="E722" s="2">
        <v>14</v>
      </c>
      <c r="F722" s="12">
        <v>55</v>
      </c>
      <c r="G722" s="11">
        <v>36</v>
      </c>
      <c r="H722" s="11">
        <v>325</v>
      </c>
      <c r="I722" s="11">
        <v>9</v>
      </c>
      <c r="J722" s="11">
        <v>0</v>
      </c>
      <c r="K722" s="11">
        <v>1</v>
      </c>
      <c r="L722" s="11" cm="1">
        <f t="array" ref="L722">IFERROR(_xlfn.XLOOKUP(C722&amp;A722, ESPN!A:A&amp;ESPN!C:C, ESPN!D:D), "N/A")</f>
        <v>168</v>
      </c>
      <c r="M722" s="23" cm="1">
        <f t="array" ref="M722">IFERROR(_xlfn.XLOOKUP(C722&amp;A722, ESPN!A:A&amp;ESPN!C:C, ESPN!G:G), "N/A")</f>
        <v>1.93</v>
      </c>
      <c r="N722" s="23" cm="1">
        <f t="array" ref="N722">IFERROR(_xlfn.XLOOKUP(C722&amp;A722, ESPN!A:A&amp;ESPN!C:C, ESPN!H:H), "N/A")</f>
        <v>44</v>
      </c>
      <c r="O722" s="26" cm="1">
        <f t="array" ref="O722">IFERROR(_xlfn.XLOOKUP(C722&amp;A722, ESPN!A:A&amp;ESPN!C:C, ESPN!I:I), "N/A")</f>
        <v>32</v>
      </c>
      <c r="P722" s="26" cm="1">
        <f t="array" ref="P722">IFERROR(_xlfn.XLOOKUP(C722&amp;A722, ESPN!A:A&amp;ESPN!C:C, ESPN!J:J), "N/A")</f>
        <v>83</v>
      </c>
      <c r="Q722" s="26" cm="1">
        <f t="array" ref="Q722">IFERROR(_xlfn.XLOOKUP(C722&amp;A722, ESPN!A:A&amp;ESPN!C:C, ESPN!K:K), "N/A")</f>
        <v>66</v>
      </c>
    </row>
    <row r="723" spans="1:17" x14ac:dyDescent="0.45">
      <c r="A723" s="7">
        <v>2021</v>
      </c>
      <c r="B723" s="3" t="s">
        <v>361</v>
      </c>
      <c r="C723" s="4" t="str">
        <f t="shared" si="22"/>
        <v>Rashaad Penny</v>
      </c>
      <c r="D723" s="4" t="str">
        <f t="shared" si="23"/>
        <v>SEA</v>
      </c>
      <c r="E723" s="4">
        <v>10</v>
      </c>
      <c r="F723" s="12">
        <v>8</v>
      </c>
      <c r="G723" s="11">
        <v>6</v>
      </c>
      <c r="H723" s="11">
        <v>48</v>
      </c>
      <c r="I723" s="11">
        <v>8</v>
      </c>
      <c r="J723" s="11">
        <v>0</v>
      </c>
      <c r="K723" s="11">
        <v>0</v>
      </c>
      <c r="L723" s="11" t="str" cm="1">
        <f t="array" ref="L723">IFERROR(_xlfn.XLOOKUP(C723&amp;A723, ESPN!A:A&amp;ESPN!C:C, ESPN!D:D), "N/A")</f>
        <v>N/A</v>
      </c>
      <c r="M723" s="23" t="str" cm="1">
        <f t="array" ref="M723">IFERROR(_xlfn.XLOOKUP(C723&amp;A723, ESPN!A:A&amp;ESPN!C:C, ESPN!G:G), "N/A")</f>
        <v>N/A</v>
      </c>
      <c r="N723" s="23" t="str" cm="1">
        <f t="array" ref="N723">IFERROR(_xlfn.XLOOKUP(C723&amp;A723, ESPN!A:A&amp;ESPN!C:C, ESPN!H:H), "N/A")</f>
        <v>N/A</v>
      </c>
      <c r="O723" s="26" t="str" cm="1">
        <f t="array" ref="O723">IFERROR(_xlfn.XLOOKUP(C723&amp;A723, ESPN!A:A&amp;ESPN!C:C, ESPN!I:I), "N/A")</f>
        <v>N/A</v>
      </c>
      <c r="P723" s="26" t="str" cm="1">
        <f t="array" ref="P723">IFERROR(_xlfn.XLOOKUP(C723&amp;A723, ESPN!A:A&amp;ESPN!C:C, ESPN!J:J), "N/A")</f>
        <v>N/A</v>
      </c>
      <c r="Q723" s="26" t="str" cm="1">
        <f t="array" ref="Q723">IFERROR(_xlfn.XLOOKUP(C723&amp;A723, ESPN!A:A&amp;ESPN!C:C, ESPN!K:K), "N/A")</f>
        <v>N/A</v>
      </c>
    </row>
    <row r="724" spans="1:17" x14ac:dyDescent="0.45">
      <c r="A724" s="6">
        <v>2021</v>
      </c>
      <c r="B724" s="1" t="s">
        <v>426</v>
      </c>
      <c r="C724" s="2" t="str">
        <f t="shared" si="22"/>
        <v>Devonta Freeman</v>
      </c>
      <c r="D724" s="2" t="str">
        <f t="shared" si="23"/>
        <v>BAL</v>
      </c>
      <c r="E724" s="2">
        <v>16</v>
      </c>
      <c r="F724" s="12">
        <v>42</v>
      </c>
      <c r="G724" s="11">
        <v>34</v>
      </c>
      <c r="H724" s="11">
        <v>190</v>
      </c>
      <c r="I724" s="11">
        <v>5.6</v>
      </c>
      <c r="J724" s="11">
        <v>1</v>
      </c>
      <c r="K724" s="11">
        <v>0</v>
      </c>
      <c r="L724" s="11" cm="1">
        <f t="array" ref="L724">IFERROR(_xlfn.XLOOKUP(C724&amp;A724, ESPN!A:A&amp;ESPN!C:C, ESPN!D:D), "N/A")</f>
        <v>225</v>
      </c>
      <c r="M724" s="23" cm="1">
        <f t="array" ref="M724">IFERROR(_xlfn.XLOOKUP(C724&amp;A724, ESPN!A:A&amp;ESPN!C:C, ESPN!G:G), "N/A")</f>
        <v>0.84</v>
      </c>
      <c r="N724" s="23" cm="1">
        <f t="array" ref="N724">IFERROR(_xlfn.XLOOKUP(C724&amp;A724, ESPN!A:A&amp;ESPN!C:C, ESPN!H:H), "N/A")</f>
        <v>50</v>
      </c>
      <c r="O724" s="26" cm="1">
        <f t="array" ref="O724">IFERROR(_xlfn.XLOOKUP(C724&amp;A724, ESPN!A:A&amp;ESPN!C:C, ESPN!I:I), "N/A")</f>
        <v>62</v>
      </c>
      <c r="P724" s="26" cm="1">
        <f t="array" ref="P724">IFERROR(_xlfn.XLOOKUP(C724&amp;A724, ESPN!A:A&amp;ESPN!C:C, ESPN!J:J), "N/A")</f>
        <v>29</v>
      </c>
      <c r="Q724" s="26" cm="1">
        <f t="array" ref="Q724">IFERROR(_xlfn.XLOOKUP(C724&amp;A724, ESPN!A:A&amp;ESPN!C:C, ESPN!K:K), "N/A")</f>
        <v>38</v>
      </c>
    </row>
    <row r="725" spans="1:17" x14ac:dyDescent="0.45">
      <c r="A725" s="7">
        <v>2021</v>
      </c>
      <c r="B725" s="3" t="s">
        <v>45</v>
      </c>
      <c r="C725" s="4" t="str">
        <f t="shared" si="22"/>
        <v>Chuba Hubbard</v>
      </c>
      <c r="D725" s="4" t="str">
        <f t="shared" si="23"/>
        <v>CAR</v>
      </c>
      <c r="E725" s="4">
        <v>16</v>
      </c>
      <c r="F725" s="12">
        <v>37</v>
      </c>
      <c r="G725" s="11">
        <v>25</v>
      </c>
      <c r="H725" s="11">
        <v>174</v>
      </c>
      <c r="I725" s="11">
        <v>7</v>
      </c>
      <c r="J725" s="11">
        <v>1</v>
      </c>
      <c r="K725" s="11">
        <v>1</v>
      </c>
      <c r="L725" s="11" cm="1">
        <f t="array" ref="L725">IFERROR(_xlfn.XLOOKUP(C725&amp;A725, ESPN!A:A&amp;ESPN!C:C, ESPN!D:D), "N/A")</f>
        <v>123</v>
      </c>
      <c r="M725" s="23" cm="1">
        <f t="array" ref="M725">IFERROR(_xlfn.XLOOKUP(C725&amp;A725, ESPN!A:A&amp;ESPN!C:C, ESPN!G:G), "N/A")</f>
        <v>1.41</v>
      </c>
      <c r="N725" s="23" cm="1">
        <f t="array" ref="N725">IFERROR(_xlfn.XLOOKUP(C725&amp;A725, ESPN!A:A&amp;ESPN!C:C, ESPN!H:H), "N/A")</f>
        <v>54</v>
      </c>
      <c r="O725" s="26" cm="1">
        <f t="array" ref="O725">IFERROR(_xlfn.XLOOKUP(C725&amp;A725, ESPN!A:A&amp;ESPN!C:C, ESPN!I:I), "N/A")</f>
        <v>26</v>
      </c>
      <c r="P725" s="26" cm="1">
        <f t="array" ref="P725">IFERROR(_xlfn.XLOOKUP(C725&amp;A725, ESPN!A:A&amp;ESPN!C:C, ESPN!J:J), "N/A")</f>
        <v>38</v>
      </c>
      <c r="Q725" s="26" cm="1">
        <f t="array" ref="Q725">IFERROR(_xlfn.XLOOKUP(C725&amp;A725, ESPN!A:A&amp;ESPN!C:C, ESPN!K:K), "N/A")</f>
        <v>29</v>
      </c>
    </row>
    <row r="726" spans="1:17" x14ac:dyDescent="0.45">
      <c r="A726" s="6">
        <v>2021</v>
      </c>
      <c r="B726" s="1" t="s">
        <v>254</v>
      </c>
      <c r="C726" s="2" t="str">
        <f t="shared" si="22"/>
        <v>Saquon Barkley</v>
      </c>
      <c r="D726" s="2" t="str">
        <f t="shared" si="23"/>
        <v>NYG</v>
      </c>
      <c r="E726" s="2">
        <v>14</v>
      </c>
      <c r="F726" s="12">
        <v>57</v>
      </c>
      <c r="G726" s="11">
        <v>41</v>
      </c>
      <c r="H726" s="11">
        <v>263</v>
      </c>
      <c r="I726" s="11">
        <v>6.4</v>
      </c>
      <c r="J726" s="11">
        <v>2</v>
      </c>
      <c r="K726" s="11">
        <v>1</v>
      </c>
      <c r="L726" s="11" cm="1">
        <f t="array" ref="L726">IFERROR(_xlfn.XLOOKUP(C726&amp;A726, ESPN!A:A&amp;ESPN!C:C, ESPN!D:D), "N/A")</f>
        <v>187</v>
      </c>
      <c r="M726" s="23" cm="1">
        <f t="array" ref="M726">IFERROR(_xlfn.XLOOKUP(C726&amp;A726, ESPN!A:A&amp;ESPN!C:C, ESPN!G:G), "N/A")</f>
        <v>1.41</v>
      </c>
      <c r="N726" s="23" cm="1">
        <f t="array" ref="N726">IFERROR(_xlfn.XLOOKUP(C726&amp;A726, ESPN!A:A&amp;ESPN!C:C, ESPN!H:H), "N/A")</f>
        <v>57</v>
      </c>
      <c r="O726" s="26" cm="1">
        <f t="array" ref="O726">IFERROR(_xlfn.XLOOKUP(C726&amp;A726, ESPN!A:A&amp;ESPN!C:C, ESPN!I:I), "N/A")</f>
        <v>35</v>
      </c>
      <c r="P726" s="26" cm="1">
        <f t="array" ref="P726">IFERROR(_xlfn.XLOOKUP(C726&amp;A726, ESPN!A:A&amp;ESPN!C:C, ESPN!J:J), "N/A")</f>
        <v>41</v>
      </c>
      <c r="Q726" s="26" cm="1">
        <f t="array" ref="Q726">IFERROR(_xlfn.XLOOKUP(C726&amp;A726, ESPN!A:A&amp;ESPN!C:C, ESPN!K:K), "N/A")</f>
        <v>38</v>
      </c>
    </row>
    <row r="727" spans="1:17" x14ac:dyDescent="0.45">
      <c r="A727" s="7">
        <v>2021</v>
      </c>
      <c r="B727" s="3" t="s">
        <v>427</v>
      </c>
      <c r="C727" s="4" t="str">
        <f t="shared" si="22"/>
        <v>Devontae Booker</v>
      </c>
      <c r="D727" s="4" t="str">
        <f t="shared" si="23"/>
        <v>NYG</v>
      </c>
      <c r="E727" s="4">
        <v>16</v>
      </c>
      <c r="F727" s="12">
        <v>45</v>
      </c>
      <c r="G727" s="11">
        <v>40</v>
      </c>
      <c r="H727" s="11">
        <v>268</v>
      </c>
      <c r="I727" s="11">
        <v>6.7</v>
      </c>
      <c r="J727" s="11">
        <v>1</v>
      </c>
      <c r="K727" s="11">
        <v>0</v>
      </c>
      <c r="L727" s="11" cm="1">
        <f t="array" ref="L727">IFERROR(_xlfn.XLOOKUP(C727&amp;A727, ESPN!A:A&amp;ESPN!C:C, ESPN!D:D), "N/A")</f>
        <v>157</v>
      </c>
      <c r="M727" s="23" cm="1">
        <f t="array" ref="M727">IFERROR(_xlfn.XLOOKUP(C727&amp;A727, ESPN!A:A&amp;ESPN!C:C, ESPN!G:G), "N/A")</f>
        <v>1.71</v>
      </c>
      <c r="N727" s="23" cm="1">
        <f t="array" ref="N727">IFERROR(_xlfn.XLOOKUP(C727&amp;A727, ESPN!A:A&amp;ESPN!C:C, ESPN!H:H), "N/A")</f>
        <v>55</v>
      </c>
      <c r="O727" s="26" cm="1">
        <f t="array" ref="O727">IFERROR(_xlfn.XLOOKUP(C727&amp;A727, ESPN!A:A&amp;ESPN!C:C, ESPN!I:I), "N/A")</f>
        <v>58</v>
      </c>
      <c r="P727" s="26" cm="1">
        <f t="array" ref="P727">IFERROR(_xlfn.XLOOKUP(C727&amp;A727, ESPN!A:A&amp;ESPN!C:C, ESPN!J:J), "N/A")</f>
        <v>44</v>
      </c>
      <c r="Q727" s="26" cm="1">
        <f t="array" ref="Q727">IFERROR(_xlfn.XLOOKUP(C727&amp;A727, ESPN!A:A&amp;ESPN!C:C, ESPN!K:K), "N/A")</f>
        <v>51</v>
      </c>
    </row>
    <row r="728" spans="1:17" x14ac:dyDescent="0.45">
      <c r="A728" s="6">
        <v>2021</v>
      </c>
      <c r="B728" s="1" t="s">
        <v>37</v>
      </c>
      <c r="C728" s="2" t="str">
        <f t="shared" si="22"/>
        <v>Rhamondre Stevenson</v>
      </c>
      <c r="D728" s="2" t="str">
        <f t="shared" si="23"/>
        <v>NE</v>
      </c>
      <c r="E728" s="2">
        <v>12</v>
      </c>
      <c r="F728" s="12">
        <v>18</v>
      </c>
      <c r="G728" s="11">
        <v>14</v>
      </c>
      <c r="H728" s="11">
        <v>123</v>
      </c>
      <c r="I728" s="11">
        <v>8.8000000000000007</v>
      </c>
      <c r="J728" s="11">
        <v>0</v>
      </c>
      <c r="K728" s="11">
        <v>1</v>
      </c>
      <c r="L728" s="11" t="str" cm="1">
        <f t="array" ref="L728">IFERROR(_xlfn.XLOOKUP(C728&amp;A728, ESPN!A:A&amp;ESPN!C:C, ESPN!D:D), "N/A")</f>
        <v>N/A</v>
      </c>
      <c r="M728" s="23" t="str" cm="1">
        <f t="array" ref="M728">IFERROR(_xlfn.XLOOKUP(C728&amp;A728, ESPN!A:A&amp;ESPN!C:C, ESPN!G:G), "N/A")</f>
        <v>N/A</v>
      </c>
      <c r="N728" s="23" t="str" cm="1">
        <f t="array" ref="N728">IFERROR(_xlfn.XLOOKUP(C728&amp;A728, ESPN!A:A&amp;ESPN!C:C, ESPN!H:H), "N/A")</f>
        <v>N/A</v>
      </c>
      <c r="O728" s="26" t="str" cm="1">
        <f t="array" ref="O728">IFERROR(_xlfn.XLOOKUP(C728&amp;A728, ESPN!A:A&amp;ESPN!C:C, ESPN!I:I), "N/A")</f>
        <v>N/A</v>
      </c>
      <c r="P728" s="26" t="str" cm="1">
        <f t="array" ref="P728">IFERROR(_xlfn.XLOOKUP(C728&amp;A728, ESPN!A:A&amp;ESPN!C:C, ESPN!J:J), "N/A")</f>
        <v>N/A</v>
      </c>
      <c r="Q728" s="26" t="str" cm="1">
        <f t="array" ref="Q728">IFERROR(_xlfn.XLOOKUP(C728&amp;A728, ESPN!A:A&amp;ESPN!C:C, ESPN!K:K), "N/A")</f>
        <v>N/A</v>
      </c>
    </row>
    <row r="729" spans="1:17" x14ac:dyDescent="0.45">
      <c r="A729" s="7">
        <v>2021</v>
      </c>
      <c r="B729" s="3" t="s">
        <v>428</v>
      </c>
      <c r="C729" s="4" t="str">
        <f t="shared" si="22"/>
        <v>Chase Edmonds</v>
      </c>
      <c r="D729" s="4" t="str">
        <f t="shared" si="23"/>
        <v>ARI</v>
      </c>
      <c r="E729" s="4">
        <v>12</v>
      </c>
      <c r="F729" s="12">
        <v>53</v>
      </c>
      <c r="G729" s="11">
        <v>43</v>
      </c>
      <c r="H729" s="11">
        <v>311</v>
      </c>
      <c r="I729" s="11">
        <v>7.2</v>
      </c>
      <c r="J729" s="11">
        <v>0</v>
      </c>
      <c r="K729" s="11">
        <v>1</v>
      </c>
      <c r="L729" s="11" cm="1">
        <f t="array" ref="L729">IFERROR(_xlfn.XLOOKUP(C729&amp;A729, ESPN!A:A&amp;ESPN!C:C, ESPN!D:D), "N/A")</f>
        <v>179</v>
      </c>
      <c r="M729" s="23" cm="1">
        <f t="array" ref="M729">IFERROR(_xlfn.XLOOKUP(C729&amp;A729, ESPN!A:A&amp;ESPN!C:C, ESPN!G:G), "N/A")</f>
        <v>1.74</v>
      </c>
      <c r="N729" s="23" cm="1">
        <f t="array" ref="N729">IFERROR(_xlfn.XLOOKUP(C729&amp;A729, ESPN!A:A&amp;ESPN!C:C, ESPN!H:H), "N/A")</f>
        <v>48</v>
      </c>
      <c r="O729" s="26" cm="1">
        <f t="array" ref="O729">IFERROR(_xlfn.XLOOKUP(C729&amp;A729, ESPN!A:A&amp;ESPN!C:C, ESPN!I:I), "N/A")</f>
        <v>60</v>
      </c>
      <c r="P729" s="26" cm="1">
        <f t="array" ref="P729">IFERROR(_xlfn.XLOOKUP(C729&amp;A729, ESPN!A:A&amp;ESPN!C:C, ESPN!J:J), "N/A")</f>
        <v>47</v>
      </c>
      <c r="Q729" s="26" cm="1">
        <f t="array" ref="Q729">IFERROR(_xlfn.XLOOKUP(C729&amp;A729, ESPN!A:A&amp;ESPN!C:C, ESPN!K:K), "N/A")</f>
        <v>51</v>
      </c>
    </row>
    <row r="730" spans="1:17" x14ac:dyDescent="0.45">
      <c r="A730" s="6">
        <v>2021</v>
      </c>
      <c r="B730" s="1" t="s">
        <v>130</v>
      </c>
      <c r="C730" s="2" t="str">
        <f t="shared" si="22"/>
        <v>Clyde Edwards-Helaire</v>
      </c>
      <c r="D730" s="2" t="str">
        <f t="shared" si="23"/>
        <v>KC</v>
      </c>
      <c r="E730" s="2">
        <v>10</v>
      </c>
      <c r="F730" s="12">
        <v>23</v>
      </c>
      <c r="G730" s="11">
        <v>19</v>
      </c>
      <c r="H730" s="11">
        <v>129</v>
      </c>
      <c r="I730" s="11">
        <v>6.8</v>
      </c>
      <c r="J730" s="11">
        <v>2</v>
      </c>
      <c r="K730" s="11">
        <v>2</v>
      </c>
      <c r="L730" s="11" t="str" cm="1">
        <f t="array" ref="L730">IFERROR(_xlfn.XLOOKUP(C730&amp;A730, ESPN!A:A&amp;ESPN!C:C, ESPN!D:D), "N/A")</f>
        <v>N/A</v>
      </c>
      <c r="M730" s="23" t="str" cm="1">
        <f t="array" ref="M730">IFERROR(_xlfn.XLOOKUP(C730&amp;A730, ESPN!A:A&amp;ESPN!C:C, ESPN!G:G), "N/A")</f>
        <v>N/A</v>
      </c>
      <c r="N730" s="23" t="str" cm="1">
        <f t="array" ref="N730">IFERROR(_xlfn.XLOOKUP(C730&amp;A730, ESPN!A:A&amp;ESPN!C:C, ESPN!H:H), "N/A")</f>
        <v>N/A</v>
      </c>
      <c r="O730" s="26" t="str" cm="1">
        <f t="array" ref="O730">IFERROR(_xlfn.XLOOKUP(C730&amp;A730, ESPN!A:A&amp;ESPN!C:C, ESPN!I:I), "N/A")</f>
        <v>N/A</v>
      </c>
      <c r="P730" s="26" t="str" cm="1">
        <f t="array" ref="P730">IFERROR(_xlfn.XLOOKUP(C730&amp;A730, ESPN!A:A&amp;ESPN!C:C, ESPN!J:J), "N/A")</f>
        <v>N/A</v>
      </c>
      <c r="Q730" s="26" t="str" cm="1">
        <f t="array" ref="Q730">IFERROR(_xlfn.XLOOKUP(C730&amp;A730, ESPN!A:A&amp;ESPN!C:C, ESPN!K:K), "N/A")</f>
        <v>N/A</v>
      </c>
    </row>
    <row r="731" spans="1:17" x14ac:dyDescent="0.45">
      <c r="A731" s="7">
        <v>2021</v>
      </c>
      <c r="B731" s="3" t="s">
        <v>429</v>
      </c>
      <c r="C731" s="4" t="str">
        <f t="shared" si="22"/>
        <v>Mike Davis</v>
      </c>
      <c r="D731" s="4" t="str">
        <f t="shared" si="23"/>
        <v>ATL</v>
      </c>
      <c r="E731" s="4">
        <v>17</v>
      </c>
      <c r="F731" s="12">
        <v>58</v>
      </c>
      <c r="G731" s="11">
        <v>44</v>
      </c>
      <c r="H731" s="11">
        <v>259</v>
      </c>
      <c r="I731" s="11">
        <v>5.9</v>
      </c>
      <c r="J731" s="11">
        <v>1</v>
      </c>
      <c r="K731" s="11">
        <v>3</v>
      </c>
      <c r="L731" s="11" cm="1">
        <f t="array" ref="L731">IFERROR(_xlfn.XLOOKUP(C731&amp;A731, ESPN!A:A&amp;ESPN!C:C, ESPN!D:D), "N/A")</f>
        <v>224</v>
      </c>
      <c r="M731" s="23" cm="1">
        <f t="array" ref="M731">IFERROR(_xlfn.XLOOKUP(C731&amp;A731, ESPN!A:A&amp;ESPN!C:C, ESPN!G:G), "N/A")</f>
        <v>1.1599999999999999</v>
      </c>
      <c r="N731" s="23" cm="1">
        <f t="array" ref="N731">IFERROR(_xlfn.XLOOKUP(C731&amp;A731, ESPN!A:A&amp;ESPN!C:C, ESPN!H:H), "N/A")</f>
        <v>47</v>
      </c>
      <c r="O731" s="26" cm="1">
        <f t="array" ref="O731">IFERROR(_xlfn.XLOOKUP(C731&amp;A731, ESPN!A:A&amp;ESPN!C:C, ESPN!I:I), "N/A")</f>
        <v>60</v>
      </c>
      <c r="P731" s="26" cm="1">
        <f t="array" ref="P731">IFERROR(_xlfn.XLOOKUP(C731&amp;A731, ESPN!A:A&amp;ESPN!C:C, ESPN!J:J), "N/A")</f>
        <v>38</v>
      </c>
      <c r="Q731" s="26" cm="1">
        <f t="array" ref="Q731">IFERROR(_xlfn.XLOOKUP(C731&amp;A731, ESPN!A:A&amp;ESPN!C:C, ESPN!K:K), "N/A")</f>
        <v>44</v>
      </c>
    </row>
    <row r="732" spans="1:17" x14ac:dyDescent="0.45">
      <c r="A732" s="6">
        <v>2021</v>
      </c>
      <c r="B732" s="1" t="s">
        <v>265</v>
      </c>
      <c r="C732" s="2" t="str">
        <f t="shared" si="22"/>
        <v>Alexander Mattison</v>
      </c>
      <c r="D732" s="2" t="str">
        <f t="shared" si="23"/>
        <v>MIN</v>
      </c>
      <c r="E732" s="2">
        <v>16</v>
      </c>
      <c r="F732" s="12">
        <v>39</v>
      </c>
      <c r="G732" s="11">
        <v>32</v>
      </c>
      <c r="H732" s="11">
        <v>228</v>
      </c>
      <c r="I732" s="11">
        <v>7.1</v>
      </c>
      <c r="J732" s="11">
        <v>1</v>
      </c>
      <c r="K732" s="11">
        <v>1</v>
      </c>
      <c r="L732" s="11" cm="1">
        <f t="array" ref="L732">IFERROR(_xlfn.XLOOKUP(C732&amp;A732, ESPN!A:A&amp;ESPN!C:C, ESPN!D:D), "N/A")</f>
        <v>145</v>
      </c>
      <c r="M732" s="23" cm="1">
        <f t="array" ref="M732">IFERROR(_xlfn.XLOOKUP(C732&amp;A732, ESPN!A:A&amp;ESPN!C:C, ESPN!G:G), "N/A")</f>
        <v>1.57</v>
      </c>
      <c r="N732" s="23" cm="1">
        <f t="array" ref="N732">IFERROR(_xlfn.XLOOKUP(C732&amp;A732, ESPN!A:A&amp;ESPN!C:C, ESPN!H:H), "N/A")</f>
        <v>37</v>
      </c>
      <c r="O732" s="26" cm="1">
        <f t="array" ref="O732">IFERROR(_xlfn.XLOOKUP(C732&amp;A732, ESPN!A:A&amp;ESPN!C:C, ESPN!I:I), "N/A")</f>
        <v>54</v>
      </c>
      <c r="P732" s="26" cm="1">
        <f t="array" ref="P732">IFERROR(_xlfn.XLOOKUP(C732&amp;A732, ESPN!A:A&amp;ESPN!C:C, ESPN!J:J), "N/A")</f>
        <v>54</v>
      </c>
      <c r="Q732" s="26" cm="1">
        <f t="array" ref="Q732">IFERROR(_xlfn.XLOOKUP(C732&amp;A732, ESPN!A:A&amp;ESPN!C:C, ESPN!K:K), "N/A")</f>
        <v>51</v>
      </c>
    </row>
    <row r="733" spans="1:17" x14ac:dyDescent="0.45">
      <c r="A733" s="7">
        <v>2021</v>
      </c>
      <c r="B733" s="3" t="s">
        <v>341</v>
      </c>
      <c r="C733" s="4" t="str">
        <f t="shared" si="22"/>
        <v>Jamaal Williams</v>
      </c>
      <c r="D733" s="4" t="str">
        <f t="shared" si="23"/>
        <v>DET</v>
      </c>
      <c r="E733" s="4">
        <v>13</v>
      </c>
      <c r="F733" s="12">
        <v>28</v>
      </c>
      <c r="G733" s="11">
        <v>26</v>
      </c>
      <c r="H733" s="11">
        <v>157</v>
      </c>
      <c r="I733" s="11">
        <v>6</v>
      </c>
      <c r="J733" s="11">
        <v>0</v>
      </c>
      <c r="K733" s="11">
        <v>0</v>
      </c>
      <c r="L733" s="11" cm="1">
        <f t="array" ref="L733">IFERROR(_xlfn.XLOOKUP(C733&amp;A733, ESPN!A:A&amp;ESPN!C:C, ESPN!D:D), "N/A")</f>
        <v>92</v>
      </c>
      <c r="M733" s="23" cm="1">
        <f t="array" ref="M733">IFERROR(_xlfn.XLOOKUP(C733&amp;A733, ESPN!A:A&amp;ESPN!C:C, ESPN!G:G), "N/A")</f>
        <v>1.71</v>
      </c>
      <c r="N733" s="23" cm="1">
        <f t="array" ref="N733">IFERROR(_xlfn.XLOOKUP(C733&amp;A733, ESPN!A:A&amp;ESPN!C:C, ESPN!H:H), "N/A")</f>
        <v>42</v>
      </c>
      <c r="O733" s="26" cm="1">
        <f t="array" ref="O733">IFERROR(_xlfn.XLOOKUP(C733&amp;A733, ESPN!A:A&amp;ESPN!C:C, ESPN!I:I), "N/A")</f>
        <v>59</v>
      </c>
      <c r="P733" s="26" cm="1">
        <f t="array" ref="P733">IFERROR(_xlfn.XLOOKUP(C733&amp;A733, ESPN!A:A&amp;ESPN!C:C, ESPN!J:J), "N/A")</f>
        <v>47</v>
      </c>
      <c r="Q733" s="26" cm="1">
        <f t="array" ref="Q733">IFERROR(_xlfn.XLOOKUP(C733&amp;A733, ESPN!A:A&amp;ESPN!C:C, ESPN!K:K), "N/A")</f>
        <v>49</v>
      </c>
    </row>
    <row r="734" spans="1:17" x14ac:dyDescent="0.45">
      <c r="A734" s="6">
        <v>2021</v>
      </c>
      <c r="B734" s="1" t="s">
        <v>430</v>
      </c>
      <c r="C734" s="2" t="str">
        <f t="shared" si="22"/>
        <v>Latavius Murray</v>
      </c>
      <c r="D734" s="2" t="str">
        <f t="shared" si="23"/>
        <v>BAL</v>
      </c>
      <c r="E734" s="2">
        <v>14</v>
      </c>
      <c r="F734" s="12">
        <v>13</v>
      </c>
      <c r="G734" s="11">
        <v>10</v>
      </c>
      <c r="H734" s="11">
        <v>75</v>
      </c>
      <c r="I734" s="11">
        <v>7.5</v>
      </c>
      <c r="J734" s="11">
        <v>0</v>
      </c>
      <c r="K734" s="11">
        <v>0</v>
      </c>
      <c r="L734" s="11" t="str" cm="1">
        <f t="array" ref="L734">IFERROR(_xlfn.XLOOKUP(C734&amp;A734, ESPN!A:A&amp;ESPN!C:C, ESPN!D:D), "N/A")</f>
        <v>N/A</v>
      </c>
      <c r="M734" s="23" t="str" cm="1">
        <f t="array" ref="M734">IFERROR(_xlfn.XLOOKUP(C734&amp;A734, ESPN!A:A&amp;ESPN!C:C, ESPN!G:G), "N/A")</f>
        <v>N/A</v>
      </c>
      <c r="N734" s="23" t="str" cm="1">
        <f t="array" ref="N734">IFERROR(_xlfn.XLOOKUP(C734&amp;A734, ESPN!A:A&amp;ESPN!C:C, ESPN!H:H), "N/A")</f>
        <v>N/A</v>
      </c>
      <c r="O734" s="26" t="str" cm="1">
        <f t="array" ref="O734">IFERROR(_xlfn.XLOOKUP(C734&amp;A734, ESPN!A:A&amp;ESPN!C:C, ESPN!I:I), "N/A")</f>
        <v>N/A</v>
      </c>
      <c r="P734" s="26" t="str" cm="1">
        <f t="array" ref="P734">IFERROR(_xlfn.XLOOKUP(C734&amp;A734, ESPN!A:A&amp;ESPN!C:C, ESPN!J:J), "N/A")</f>
        <v>N/A</v>
      </c>
      <c r="Q734" s="26" t="str" cm="1">
        <f t="array" ref="Q734">IFERROR(_xlfn.XLOOKUP(C734&amp;A734, ESPN!A:A&amp;ESPN!C:C, ESPN!K:K), "N/A")</f>
        <v>N/A</v>
      </c>
    </row>
    <row r="735" spans="1:17" x14ac:dyDescent="0.45">
      <c r="A735" s="7">
        <v>2021</v>
      </c>
      <c r="B735" s="3" t="s">
        <v>343</v>
      </c>
      <c r="C735" s="4" t="str">
        <f t="shared" si="22"/>
        <v>Miles Sanders</v>
      </c>
      <c r="D735" s="4" t="str">
        <f t="shared" si="23"/>
        <v>PHI</v>
      </c>
      <c r="E735" s="4">
        <v>12</v>
      </c>
      <c r="F735" s="12">
        <v>34</v>
      </c>
      <c r="G735" s="11">
        <v>26</v>
      </c>
      <c r="H735" s="11">
        <v>158</v>
      </c>
      <c r="I735" s="11">
        <v>6.1</v>
      </c>
      <c r="J735" s="11">
        <v>0</v>
      </c>
      <c r="K735" s="11">
        <v>1</v>
      </c>
      <c r="L735" s="11" cm="1">
        <f t="array" ref="L735">IFERROR(_xlfn.XLOOKUP(C735&amp;A735, ESPN!A:A&amp;ESPN!C:C, ESPN!D:D), "N/A")</f>
        <v>141</v>
      </c>
      <c r="M735" s="23" cm="1">
        <f t="array" ref="M735">IFERROR(_xlfn.XLOOKUP(C735&amp;A735, ESPN!A:A&amp;ESPN!C:C, ESPN!G:G), "N/A")</f>
        <v>1.21</v>
      </c>
      <c r="N735" s="23" cm="1">
        <f t="array" ref="N735">IFERROR(_xlfn.XLOOKUP(C735&amp;A735, ESPN!A:A&amp;ESPN!C:C, ESPN!H:H), "N/A")</f>
        <v>41</v>
      </c>
      <c r="O735" s="26" cm="1">
        <f t="array" ref="O735">IFERROR(_xlfn.XLOOKUP(C735&amp;A735, ESPN!A:A&amp;ESPN!C:C, ESPN!I:I), "N/A")</f>
        <v>46</v>
      </c>
      <c r="P735" s="26" cm="1">
        <f t="array" ref="P735">IFERROR(_xlfn.XLOOKUP(C735&amp;A735, ESPN!A:A&amp;ESPN!C:C, ESPN!J:J), "N/A")</f>
        <v>51</v>
      </c>
      <c r="Q735" s="26" cm="1">
        <f t="array" ref="Q735">IFERROR(_xlfn.XLOOKUP(C735&amp;A735, ESPN!A:A&amp;ESPN!C:C, ESPN!K:K), "N/A")</f>
        <v>46</v>
      </c>
    </row>
    <row r="736" spans="1:17" x14ac:dyDescent="0.45">
      <c r="A736" s="6">
        <v>2021</v>
      </c>
      <c r="B736" s="1" t="s">
        <v>431</v>
      </c>
      <c r="C736" s="2" t="str">
        <f t="shared" si="22"/>
        <v>Christian McCaffrey</v>
      </c>
      <c r="D736" s="2" t="str">
        <f t="shared" si="23"/>
        <v>CAR</v>
      </c>
      <c r="E736" s="2">
        <v>7</v>
      </c>
      <c r="F736" s="12">
        <v>41</v>
      </c>
      <c r="G736" s="11">
        <v>37</v>
      </c>
      <c r="H736" s="11">
        <v>343</v>
      </c>
      <c r="I736" s="11">
        <v>9.3000000000000007</v>
      </c>
      <c r="J736" s="11">
        <v>1</v>
      </c>
      <c r="K736" s="11">
        <v>0</v>
      </c>
      <c r="L736" s="11" cm="1">
        <f t="array" ref="L736">IFERROR(_xlfn.XLOOKUP(C736&amp;A736, ESPN!A:A&amp;ESPN!C:C, ESPN!D:D), "N/A")</f>
        <v>90</v>
      </c>
      <c r="M736" s="23" cm="1">
        <f t="array" ref="M736">IFERROR(_xlfn.XLOOKUP(C736&amp;A736, ESPN!A:A&amp;ESPN!C:C, ESPN!G:G), "N/A")</f>
        <v>3.81</v>
      </c>
      <c r="N736" s="23" cm="1">
        <f t="array" ref="N736">IFERROR(_xlfn.XLOOKUP(C736&amp;A736, ESPN!A:A&amp;ESPN!C:C, ESPN!H:H), "N/A")</f>
        <v>61</v>
      </c>
      <c r="O736" s="26" cm="1">
        <f t="array" ref="O736">IFERROR(_xlfn.XLOOKUP(C736&amp;A736, ESPN!A:A&amp;ESPN!C:C, ESPN!I:I), "N/A")</f>
        <v>92</v>
      </c>
      <c r="P736" s="26" cm="1">
        <f t="array" ref="P736">IFERROR(_xlfn.XLOOKUP(C736&amp;A736, ESPN!A:A&amp;ESPN!C:C, ESPN!J:J), "N/A")</f>
        <v>58</v>
      </c>
      <c r="Q736" s="26" cm="1">
        <f t="array" ref="Q736">IFERROR(_xlfn.XLOOKUP(C736&amp;A736, ESPN!A:A&amp;ESPN!C:C, ESPN!K:K), "N/A")</f>
        <v>81</v>
      </c>
    </row>
    <row r="737" spans="1:17" x14ac:dyDescent="0.45">
      <c r="A737" s="7">
        <v>2021</v>
      </c>
      <c r="B737" s="3" t="s">
        <v>194</v>
      </c>
      <c r="C737" s="4" t="str">
        <f t="shared" si="22"/>
        <v>Kenny Gainwell</v>
      </c>
      <c r="D737" s="4" t="str">
        <f t="shared" si="23"/>
        <v>PHI</v>
      </c>
      <c r="E737" s="4">
        <v>16</v>
      </c>
      <c r="F737" s="12">
        <v>50</v>
      </c>
      <c r="G737" s="11">
        <v>33</v>
      </c>
      <c r="H737" s="11">
        <v>253</v>
      </c>
      <c r="I737" s="11">
        <v>7.7</v>
      </c>
      <c r="J737" s="11">
        <v>1</v>
      </c>
      <c r="K737" s="11">
        <v>1</v>
      </c>
      <c r="L737" s="11" cm="1">
        <f t="array" ref="L737">IFERROR(_xlfn.XLOOKUP(C737&amp;A737, ESPN!A:A&amp;ESPN!C:C, ESPN!D:D), "N/A")</f>
        <v>148</v>
      </c>
      <c r="M737" s="23" cm="1">
        <f t="array" ref="M737">IFERROR(_xlfn.XLOOKUP(C737&amp;A737, ESPN!A:A&amp;ESPN!C:C, ESPN!G:G), "N/A")</f>
        <v>2.04</v>
      </c>
      <c r="N737" s="23" cm="1">
        <f t="array" ref="N737">IFERROR(_xlfn.XLOOKUP(C737&amp;A737, ESPN!A:A&amp;ESPN!C:C, ESPN!H:H), "N/A")</f>
        <v>65</v>
      </c>
      <c r="O737" s="26" cm="1">
        <f t="array" ref="O737">IFERROR(_xlfn.XLOOKUP(C737&amp;A737, ESPN!A:A&amp;ESPN!C:C, ESPN!I:I), "N/A")</f>
        <v>28</v>
      </c>
      <c r="P737" s="26" cm="1">
        <f t="array" ref="P737">IFERROR(_xlfn.XLOOKUP(C737&amp;A737, ESPN!A:A&amp;ESPN!C:C, ESPN!J:J), "N/A")</f>
        <v>50</v>
      </c>
      <c r="Q737" s="26" cm="1">
        <f t="array" ref="Q737">IFERROR(_xlfn.XLOOKUP(C737&amp;A737, ESPN!A:A&amp;ESPN!C:C, ESPN!K:K), "N/A")</f>
        <v>45</v>
      </c>
    </row>
    <row r="738" spans="1:17" x14ac:dyDescent="0.45">
      <c r="A738" s="6">
        <v>2021</v>
      </c>
      <c r="B738" s="1" t="s">
        <v>264</v>
      </c>
      <c r="C738" s="2" t="str">
        <f t="shared" si="22"/>
        <v>Kareem Hunt</v>
      </c>
      <c r="D738" s="2" t="str">
        <f t="shared" si="23"/>
        <v>CLE</v>
      </c>
      <c r="E738" s="2">
        <v>8</v>
      </c>
      <c r="F738" s="12">
        <v>27</v>
      </c>
      <c r="G738" s="11">
        <v>22</v>
      </c>
      <c r="H738" s="11">
        <v>174</v>
      </c>
      <c r="I738" s="11">
        <v>7.9</v>
      </c>
      <c r="J738" s="11">
        <v>0</v>
      </c>
      <c r="K738" s="11">
        <v>0</v>
      </c>
      <c r="L738" s="11" t="str" cm="1">
        <f t="array" ref="L738">IFERROR(_xlfn.XLOOKUP(C738&amp;A738, ESPN!A:A&amp;ESPN!C:C, ESPN!D:D), "N/A")</f>
        <v>N/A</v>
      </c>
      <c r="M738" s="23" t="str" cm="1">
        <f t="array" ref="M738">IFERROR(_xlfn.XLOOKUP(C738&amp;A738, ESPN!A:A&amp;ESPN!C:C, ESPN!G:G), "N/A")</f>
        <v>N/A</v>
      </c>
      <c r="N738" s="23" t="str" cm="1">
        <f t="array" ref="N738">IFERROR(_xlfn.XLOOKUP(C738&amp;A738, ESPN!A:A&amp;ESPN!C:C, ESPN!H:H), "N/A")</f>
        <v>N/A</v>
      </c>
      <c r="O738" s="26" t="str" cm="1">
        <f t="array" ref="O738">IFERROR(_xlfn.XLOOKUP(C738&amp;A738, ESPN!A:A&amp;ESPN!C:C, ESPN!I:I), "N/A")</f>
        <v>N/A</v>
      </c>
      <c r="P738" s="26" t="str" cm="1">
        <f t="array" ref="P738">IFERROR(_xlfn.XLOOKUP(C738&amp;A738, ESPN!A:A&amp;ESPN!C:C, ESPN!J:J), "N/A")</f>
        <v>N/A</v>
      </c>
      <c r="Q738" s="26" t="str" cm="1">
        <f t="array" ref="Q738">IFERROR(_xlfn.XLOOKUP(C738&amp;A738, ESPN!A:A&amp;ESPN!C:C, ESPN!K:K), "N/A")</f>
        <v>N/A</v>
      </c>
    </row>
    <row r="739" spans="1:17" x14ac:dyDescent="0.45">
      <c r="A739" s="7">
        <v>2021</v>
      </c>
      <c r="B739" s="3" t="s">
        <v>288</v>
      </c>
      <c r="C739" s="4" t="str">
        <f t="shared" si="22"/>
        <v>Boston Scott</v>
      </c>
      <c r="D739" s="4" t="str">
        <f t="shared" si="23"/>
        <v>PHI</v>
      </c>
      <c r="E739" s="4">
        <v>11</v>
      </c>
      <c r="F739" s="12">
        <v>16</v>
      </c>
      <c r="G739" s="11">
        <v>13</v>
      </c>
      <c r="H739" s="11">
        <v>83</v>
      </c>
      <c r="I739" s="11">
        <v>6.4</v>
      </c>
      <c r="J739" s="11">
        <v>0</v>
      </c>
      <c r="K739" s="11">
        <v>1</v>
      </c>
      <c r="L739" s="11" t="str" cm="1">
        <f t="array" ref="L739">IFERROR(_xlfn.XLOOKUP(C739&amp;A739, ESPN!A:A&amp;ESPN!C:C, ESPN!D:D), "N/A")</f>
        <v>N/A</v>
      </c>
      <c r="M739" s="23" t="str" cm="1">
        <f t="array" ref="M739">IFERROR(_xlfn.XLOOKUP(C739&amp;A739, ESPN!A:A&amp;ESPN!C:C, ESPN!G:G), "N/A")</f>
        <v>N/A</v>
      </c>
      <c r="N739" s="23" t="str" cm="1">
        <f t="array" ref="N739">IFERROR(_xlfn.XLOOKUP(C739&amp;A739, ESPN!A:A&amp;ESPN!C:C, ESPN!H:H), "N/A")</f>
        <v>N/A</v>
      </c>
      <c r="O739" s="26" t="str" cm="1">
        <f t="array" ref="O739">IFERROR(_xlfn.XLOOKUP(C739&amp;A739, ESPN!A:A&amp;ESPN!C:C, ESPN!I:I), "N/A")</f>
        <v>N/A</v>
      </c>
      <c r="P739" s="26" t="str" cm="1">
        <f t="array" ref="P739">IFERROR(_xlfn.XLOOKUP(C739&amp;A739, ESPN!A:A&amp;ESPN!C:C, ESPN!J:J), "N/A")</f>
        <v>N/A</v>
      </c>
      <c r="Q739" s="26" t="str" cm="1">
        <f t="array" ref="Q739">IFERROR(_xlfn.XLOOKUP(C739&amp;A739, ESPN!A:A&amp;ESPN!C:C, ESPN!K:K), "N/A")</f>
        <v>N/A</v>
      </c>
    </row>
    <row r="740" spans="1:17" x14ac:dyDescent="0.45">
      <c r="A740" s="6">
        <v>2021</v>
      </c>
      <c r="B740" s="1" t="s">
        <v>395</v>
      </c>
      <c r="C740" s="2" t="str">
        <f t="shared" si="22"/>
        <v>D'Ernest Johnson</v>
      </c>
      <c r="D740" s="2" t="str">
        <f t="shared" si="23"/>
        <v>CLE</v>
      </c>
      <c r="E740" s="2">
        <v>13</v>
      </c>
      <c r="F740" s="12">
        <v>25</v>
      </c>
      <c r="G740" s="11">
        <v>19</v>
      </c>
      <c r="H740" s="11">
        <v>137</v>
      </c>
      <c r="I740" s="11">
        <v>7.2</v>
      </c>
      <c r="J740" s="11">
        <v>0</v>
      </c>
      <c r="K740" s="11">
        <v>0</v>
      </c>
      <c r="L740" s="11" t="str" cm="1">
        <f t="array" ref="L740">IFERROR(_xlfn.XLOOKUP(C740&amp;A740, ESPN!A:A&amp;ESPN!C:C, ESPN!D:D), "N/A")</f>
        <v>N/A</v>
      </c>
      <c r="M740" s="23" t="str" cm="1">
        <f t="array" ref="M740">IFERROR(_xlfn.XLOOKUP(C740&amp;A740, ESPN!A:A&amp;ESPN!C:C, ESPN!G:G), "N/A")</f>
        <v>N/A</v>
      </c>
      <c r="N740" s="23" t="str" cm="1">
        <f t="array" ref="N740">IFERROR(_xlfn.XLOOKUP(C740&amp;A740, ESPN!A:A&amp;ESPN!C:C, ESPN!H:H), "N/A")</f>
        <v>N/A</v>
      </c>
      <c r="O740" s="26" t="str" cm="1">
        <f t="array" ref="O740">IFERROR(_xlfn.XLOOKUP(C740&amp;A740, ESPN!A:A&amp;ESPN!C:C, ESPN!I:I), "N/A")</f>
        <v>N/A</v>
      </c>
      <c r="P740" s="26" t="str" cm="1">
        <f t="array" ref="P740">IFERROR(_xlfn.XLOOKUP(C740&amp;A740, ESPN!A:A&amp;ESPN!C:C, ESPN!J:J), "N/A")</f>
        <v>N/A</v>
      </c>
      <c r="Q740" s="26" t="str" cm="1">
        <f t="array" ref="Q740">IFERROR(_xlfn.XLOOKUP(C740&amp;A740, ESPN!A:A&amp;ESPN!C:C, ESPN!K:K), "N/A")</f>
        <v>N/A</v>
      </c>
    </row>
    <row r="741" spans="1:17" x14ac:dyDescent="0.45">
      <c r="A741" s="7">
        <v>2021</v>
      </c>
      <c r="B741" s="3" t="s">
        <v>369</v>
      </c>
      <c r="C741" s="4" t="str">
        <f t="shared" si="22"/>
        <v>J.D. McKissic</v>
      </c>
      <c r="D741" s="4" t="str">
        <f t="shared" si="23"/>
        <v>WAS</v>
      </c>
      <c r="E741" s="4">
        <v>11</v>
      </c>
      <c r="F741" s="12">
        <v>53</v>
      </c>
      <c r="G741" s="11">
        <v>43</v>
      </c>
      <c r="H741" s="11">
        <v>397</v>
      </c>
      <c r="I741" s="11">
        <v>9.1999999999999993</v>
      </c>
      <c r="J741" s="11">
        <v>2</v>
      </c>
      <c r="K741" s="11">
        <v>0</v>
      </c>
      <c r="L741" s="11" cm="1">
        <f t="array" ref="L741">IFERROR(_xlfn.XLOOKUP(C741&amp;A741, ESPN!A:A&amp;ESPN!C:C, ESPN!D:D), "N/A")</f>
        <v>173</v>
      </c>
      <c r="M741" s="23" cm="1">
        <f t="array" ref="M741">IFERROR(_xlfn.XLOOKUP(C741&amp;A741, ESPN!A:A&amp;ESPN!C:C, ESPN!G:G), "N/A")</f>
        <v>2.29</v>
      </c>
      <c r="N741" s="23" cm="1">
        <f t="array" ref="N741">IFERROR(_xlfn.XLOOKUP(C741&amp;A741, ESPN!A:A&amp;ESPN!C:C, ESPN!H:H), "N/A")</f>
        <v>53</v>
      </c>
      <c r="O741" s="26" cm="1">
        <f t="array" ref="O741">IFERROR(_xlfn.XLOOKUP(C741&amp;A741, ESPN!A:A&amp;ESPN!C:C, ESPN!I:I), "N/A")</f>
        <v>73</v>
      </c>
      <c r="P741" s="26" cm="1">
        <f t="array" ref="P741">IFERROR(_xlfn.XLOOKUP(C741&amp;A741, ESPN!A:A&amp;ESPN!C:C, ESPN!J:J), "N/A")</f>
        <v>63</v>
      </c>
      <c r="Q741" s="26" cm="1">
        <f t="array" ref="Q741">IFERROR(_xlfn.XLOOKUP(C741&amp;A741, ESPN!A:A&amp;ESPN!C:C, ESPN!K:K), "N/A")</f>
        <v>73</v>
      </c>
    </row>
    <row r="742" spans="1:17" x14ac:dyDescent="0.45">
      <c r="A742" s="6">
        <v>2021</v>
      </c>
      <c r="B742" s="1" t="s">
        <v>432</v>
      </c>
      <c r="C742" s="2" t="str">
        <f t="shared" si="22"/>
        <v>D'Onta Foreman</v>
      </c>
      <c r="D742" s="2" t="str">
        <f t="shared" si="23"/>
        <v>TEN</v>
      </c>
      <c r="E742" s="2">
        <v>9</v>
      </c>
      <c r="F742" s="12">
        <v>11</v>
      </c>
      <c r="G742" s="11">
        <v>9</v>
      </c>
      <c r="H742" s="11">
        <v>123</v>
      </c>
      <c r="I742" s="11">
        <v>13.7</v>
      </c>
      <c r="J742" s="11">
        <v>0</v>
      </c>
      <c r="K742" s="11">
        <v>1</v>
      </c>
      <c r="L742" s="11" t="str" cm="1">
        <f t="array" ref="L742">IFERROR(_xlfn.XLOOKUP(C742&amp;A742, ESPN!A:A&amp;ESPN!C:C, ESPN!D:D), "N/A")</f>
        <v>N/A</v>
      </c>
      <c r="M742" s="23" t="str" cm="1">
        <f t="array" ref="M742">IFERROR(_xlfn.XLOOKUP(C742&amp;A742, ESPN!A:A&amp;ESPN!C:C, ESPN!G:G), "N/A")</f>
        <v>N/A</v>
      </c>
      <c r="N742" s="23" t="str" cm="1">
        <f t="array" ref="N742">IFERROR(_xlfn.XLOOKUP(C742&amp;A742, ESPN!A:A&amp;ESPN!C:C, ESPN!H:H), "N/A")</f>
        <v>N/A</v>
      </c>
      <c r="O742" s="26" t="str" cm="1">
        <f t="array" ref="O742">IFERROR(_xlfn.XLOOKUP(C742&amp;A742, ESPN!A:A&amp;ESPN!C:C, ESPN!I:I), "N/A")</f>
        <v>N/A</v>
      </c>
      <c r="P742" s="26" t="str" cm="1">
        <f t="array" ref="P742">IFERROR(_xlfn.XLOOKUP(C742&amp;A742, ESPN!A:A&amp;ESPN!C:C, ESPN!J:J), "N/A")</f>
        <v>N/A</v>
      </c>
      <c r="Q742" s="26" t="str" cm="1">
        <f t="array" ref="Q742">IFERROR(_xlfn.XLOOKUP(C742&amp;A742, ESPN!A:A&amp;ESPN!C:C, ESPN!K:K), "N/A")</f>
        <v>N/A</v>
      </c>
    </row>
    <row r="743" spans="1:17" x14ac:dyDescent="0.45">
      <c r="A743" s="7">
        <v>2021</v>
      </c>
      <c r="B743" s="3" t="s">
        <v>433</v>
      </c>
      <c r="C743" s="4" t="str">
        <f t="shared" si="22"/>
        <v>Brandon Bolden</v>
      </c>
      <c r="D743" s="4" t="str">
        <f t="shared" si="23"/>
        <v>NE</v>
      </c>
      <c r="E743" s="4">
        <v>16</v>
      </c>
      <c r="F743" s="12">
        <v>49</v>
      </c>
      <c r="G743" s="11">
        <v>41</v>
      </c>
      <c r="H743" s="11">
        <v>405</v>
      </c>
      <c r="I743" s="11">
        <v>9.9</v>
      </c>
      <c r="J743" s="11">
        <v>2</v>
      </c>
      <c r="K743" s="11">
        <v>0</v>
      </c>
      <c r="L743" s="11" cm="1">
        <f t="array" ref="L743">IFERROR(_xlfn.XLOOKUP(C743&amp;A743, ESPN!A:A&amp;ESPN!C:C, ESPN!D:D), "N/A")</f>
        <v>178</v>
      </c>
      <c r="M743" s="23" cm="1">
        <f t="array" ref="M743">IFERROR(_xlfn.XLOOKUP(C743&amp;A743, ESPN!A:A&amp;ESPN!C:C, ESPN!G:G), "N/A")</f>
        <v>2.4300000000000002</v>
      </c>
      <c r="N743" s="23" cm="1">
        <f t="array" ref="N743">IFERROR(_xlfn.XLOOKUP(C743&amp;A743, ESPN!A:A&amp;ESPN!C:C, ESPN!H:H), "N/A")</f>
        <v>36</v>
      </c>
      <c r="O743" s="26" cm="1">
        <f t="array" ref="O743">IFERROR(_xlfn.XLOOKUP(C743&amp;A743, ESPN!A:A&amp;ESPN!C:C, ESPN!I:I), "N/A")</f>
        <v>44</v>
      </c>
      <c r="P743" s="26" cm="1">
        <f t="array" ref="P743">IFERROR(_xlfn.XLOOKUP(C743&amp;A743, ESPN!A:A&amp;ESPN!C:C, ESPN!J:J), "N/A")</f>
        <v>68</v>
      </c>
      <c r="Q743" s="26" cm="1">
        <f t="array" ref="Q743">IFERROR(_xlfn.XLOOKUP(C743&amp;A743, ESPN!A:A&amp;ESPN!C:C, ESPN!K:K), "N/A")</f>
        <v>57</v>
      </c>
    </row>
    <row r="744" spans="1:17" x14ac:dyDescent="0.45">
      <c r="A744" s="6">
        <v>2021</v>
      </c>
      <c r="B744" s="1" t="s">
        <v>367</v>
      </c>
      <c r="C744" s="2" t="str">
        <f t="shared" si="22"/>
        <v>Ty Johnson</v>
      </c>
      <c r="D744" s="2" t="str">
        <f t="shared" si="23"/>
        <v>NYJ</v>
      </c>
      <c r="E744" s="2">
        <v>15</v>
      </c>
      <c r="F744" s="12">
        <v>55</v>
      </c>
      <c r="G744" s="11">
        <v>34</v>
      </c>
      <c r="H744" s="11">
        <v>372</v>
      </c>
      <c r="I744" s="11">
        <v>10.9</v>
      </c>
      <c r="J744" s="11">
        <v>2</v>
      </c>
      <c r="K744" s="11">
        <v>1</v>
      </c>
      <c r="L744" s="11" cm="1">
        <f t="array" ref="L744">IFERROR(_xlfn.XLOOKUP(C744&amp;A744, ESPN!A:A&amp;ESPN!C:C, ESPN!D:D), "N/A")</f>
        <v>216</v>
      </c>
      <c r="M744" s="23" cm="1">
        <f t="array" ref="M744">IFERROR(_xlfn.XLOOKUP(C744&amp;A744, ESPN!A:A&amp;ESPN!C:C, ESPN!G:G), "N/A")</f>
        <v>1.72</v>
      </c>
      <c r="N744" s="23" cm="1">
        <f t="array" ref="N744">IFERROR(_xlfn.XLOOKUP(C744&amp;A744, ESPN!A:A&amp;ESPN!C:C, ESPN!H:H), "N/A")</f>
        <v>55</v>
      </c>
      <c r="O744" s="26" cm="1">
        <f t="array" ref="O744">IFERROR(_xlfn.XLOOKUP(C744&amp;A744, ESPN!A:A&amp;ESPN!C:C, ESPN!I:I), "N/A")</f>
        <v>16</v>
      </c>
      <c r="P744" s="26" cm="1">
        <f t="array" ref="P744">IFERROR(_xlfn.XLOOKUP(C744&amp;A744, ESPN!A:A&amp;ESPN!C:C, ESPN!J:J), "N/A")</f>
        <v>96</v>
      </c>
      <c r="Q744" s="26" cm="1">
        <f t="array" ref="Q744">IFERROR(_xlfn.XLOOKUP(C744&amp;A744, ESPN!A:A&amp;ESPN!C:C, ESPN!K:K), "N/A")</f>
        <v>74</v>
      </c>
    </row>
    <row r="745" spans="1:17" x14ac:dyDescent="0.45">
      <c r="A745" s="7">
        <v>2021</v>
      </c>
      <c r="B745" s="3" t="s">
        <v>434</v>
      </c>
      <c r="C745" s="4" t="str">
        <f t="shared" si="22"/>
        <v>Zack Moss</v>
      </c>
      <c r="D745" s="4" t="str">
        <f t="shared" si="23"/>
        <v>BUF</v>
      </c>
      <c r="E745" s="4">
        <v>13</v>
      </c>
      <c r="F745" s="12">
        <v>32</v>
      </c>
      <c r="G745" s="11">
        <v>23</v>
      </c>
      <c r="H745" s="11">
        <v>197</v>
      </c>
      <c r="I745" s="11">
        <v>8.6</v>
      </c>
      <c r="J745" s="11">
        <v>1</v>
      </c>
      <c r="K745" s="11">
        <v>1</v>
      </c>
      <c r="L745" s="11" cm="1">
        <f t="array" ref="L745">IFERROR(_xlfn.XLOOKUP(C745&amp;A745, ESPN!A:A&amp;ESPN!C:C, ESPN!D:D), "N/A")</f>
        <v>123</v>
      </c>
      <c r="M745" s="23" cm="1">
        <f t="array" ref="M745">IFERROR(_xlfn.XLOOKUP(C745&amp;A745, ESPN!A:A&amp;ESPN!C:C, ESPN!G:G), "N/A")</f>
        <v>1.6</v>
      </c>
      <c r="N745" s="23" cm="1">
        <f t="array" ref="N745">IFERROR(_xlfn.XLOOKUP(C745&amp;A745, ESPN!A:A&amp;ESPN!C:C, ESPN!H:H), "N/A")</f>
        <v>63</v>
      </c>
      <c r="O745" s="26" cm="1">
        <f t="array" ref="O745">IFERROR(_xlfn.XLOOKUP(C745&amp;A745, ESPN!A:A&amp;ESPN!C:C, ESPN!I:I), "N/A")</f>
        <v>37</v>
      </c>
      <c r="P745" s="26" cm="1">
        <f t="array" ref="P745">IFERROR(_xlfn.XLOOKUP(C745&amp;A745, ESPN!A:A&amp;ESPN!C:C, ESPN!J:J), "N/A")</f>
        <v>52</v>
      </c>
      <c r="Q745" s="26" cm="1">
        <f t="array" ref="Q745">IFERROR(_xlfn.XLOOKUP(C745&amp;A745, ESPN!A:A&amp;ESPN!C:C, ESPN!K:K), "N/A")</f>
        <v>51</v>
      </c>
    </row>
    <row r="746" spans="1:17" x14ac:dyDescent="0.45">
      <c r="A746" s="6">
        <v>2021</v>
      </c>
      <c r="B746" s="1" t="s">
        <v>366</v>
      </c>
      <c r="C746" s="2" t="str">
        <f t="shared" si="22"/>
        <v>Mark Ingram II</v>
      </c>
      <c r="D746" s="2" t="str">
        <f t="shared" si="23"/>
        <v>NO</v>
      </c>
      <c r="E746" s="2">
        <v>14</v>
      </c>
      <c r="F746" s="12">
        <v>35</v>
      </c>
      <c r="G746" s="11">
        <v>27</v>
      </c>
      <c r="H746" s="11">
        <v>162</v>
      </c>
      <c r="I746" s="11">
        <v>6</v>
      </c>
      <c r="J746" s="11">
        <v>0</v>
      </c>
      <c r="K746" s="11">
        <v>1</v>
      </c>
      <c r="L746" s="11" cm="1">
        <f t="array" ref="L746">IFERROR(_xlfn.XLOOKUP(C746&amp;A746, ESPN!A:A&amp;ESPN!C:C, ESPN!D:D), "N/A")</f>
        <v>101</v>
      </c>
      <c r="M746" s="23" cm="1">
        <f t="array" ref="M746">IFERROR(_xlfn.XLOOKUP(C746&amp;A746, ESPN!A:A&amp;ESPN!C:C, ESPN!G:G), "N/A")</f>
        <v>1.6</v>
      </c>
      <c r="N746" s="23" cm="1">
        <f t="array" ref="N746">IFERROR(_xlfn.XLOOKUP(C746&amp;A746, ESPN!A:A&amp;ESPN!C:C, ESPN!H:H), "N/A")</f>
        <v>44</v>
      </c>
      <c r="O746" s="26" cm="1">
        <f t="array" ref="O746">IFERROR(_xlfn.XLOOKUP(C746&amp;A746, ESPN!A:A&amp;ESPN!C:C, ESPN!I:I), "N/A")</f>
        <v>61</v>
      </c>
      <c r="P746" s="26" cm="1">
        <f t="array" ref="P746">IFERROR(_xlfn.XLOOKUP(C746&amp;A746, ESPN!A:A&amp;ESPN!C:C, ESPN!J:J), "N/A")</f>
        <v>31</v>
      </c>
      <c r="Q746" s="26" cm="1">
        <f t="array" ref="Q746">IFERROR(_xlfn.XLOOKUP(C746&amp;A746, ESPN!A:A&amp;ESPN!C:C, ESPN!K:K), "N/A")</f>
        <v>37</v>
      </c>
    </row>
    <row r="747" spans="1:17" x14ac:dyDescent="0.45">
      <c r="A747" s="7">
        <v>2021</v>
      </c>
      <c r="B747" s="3" t="s">
        <v>365</v>
      </c>
      <c r="C747" s="4" t="str">
        <f t="shared" si="22"/>
        <v>Rex Burkhead</v>
      </c>
      <c r="D747" s="4" t="str">
        <f t="shared" si="23"/>
        <v>HOU</v>
      </c>
      <c r="E747" s="4">
        <v>15</v>
      </c>
      <c r="F747" s="12">
        <v>32</v>
      </c>
      <c r="G747" s="11">
        <v>25</v>
      </c>
      <c r="H747" s="11">
        <v>186</v>
      </c>
      <c r="I747" s="11">
        <v>7.4</v>
      </c>
      <c r="J747" s="11">
        <v>0</v>
      </c>
      <c r="K747" s="11">
        <v>0</v>
      </c>
      <c r="L747" s="11" cm="1">
        <f t="array" ref="L747">IFERROR(_xlfn.XLOOKUP(C747&amp;A747, ESPN!A:A&amp;ESPN!C:C, ESPN!D:D), "N/A")</f>
        <v>137</v>
      </c>
      <c r="M747" s="23" cm="1">
        <f t="array" ref="M747">IFERROR(_xlfn.XLOOKUP(C747&amp;A747, ESPN!A:A&amp;ESPN!C:C, ESPN!G:G), "N/A")</f>
        <v>1.36</v>
      </c>
      <c r="N747" s="23" cm="1">
        <f t="array" ref="N747">IFERROR(_xlfn.XLOOKUP(C747&amp;A747, ESPN!A:A&amp;ESPN!C:C, ESPN!H:H), "N/A")</f>
        <v>49</v>
      </c>
      <c r="O747" s="26" cm="1">
        <f t="array" ref="O747">IFERROR(_xlfn.XLOOKUP(C747&amp;A747, ESPN!A:A&amp;ESPN!C:C, ESPN!I:I), "N/A")</f>
        <v>51</v>
      </c>
      <c r="P747" s="26" cm="1">
        <f t="array" ref="P747">IFERROR(_xlfn.XLOOKUP(C747&amp;A747, ESPN!A:A&amp;ESPN!C:C, ESPN!J:J), "N/A")</f>
        <v>30</v>
      </c>
      <c r="Q747" s="26" cm="1">
        <f t="array" ref="Q747">IFERROR(_xlfn.XLOOKUP(C747&amp;A747, ESPN!A:A&amp;ESPN!C:C, ESPN!K:K), "N/A")</f>
        <v>33</v>
      </c>
    </row>
    <row r="748" spans="1:17" x14ac:dyDescent="0.45">
      <c r="A748" s="6">
        <v>2021</v>
      </c>
      <c r="B748" s="1" t="s">
        <v>435</v>
      </c>
      <c r="C748" s="2" t="str">
        <f t="shared" si="22"/>
        <v>Nyheim Miller-Hines</v>
      </c>
      <c r="D748" s="2" t="str">
        <f t="shared" si="23"/>
        <v>IND</v>
      </c>
      <c r="E748" s="2">
        <v>17</v>
      </c>
      <c r="F748" s="12">
        <v>57</v>
      </c>
      <c r="G748" s="11">
        <v>40</v>
      </c>
      <c r="H748" s="11">
        <v>310</v>
      </c>
      <c r="I748" s="11">
        <v>7.8</v>
      </c>
      <c r="J748" s="11">
        <v>1</v>
      </c>
      <c r="K748" s="11">
        <v>2</v>
      </c>
      <c r="L748" s="11" cm="1">
        <f t="array" ref="L748">IFERROR(_xlfn.XLOOKUP(C748&amp;A748, ESPN!A:A&amp;ESPN!C:C, ESPN!D:D), "N/A")</f>
        <v>156</v>
      </c>
      <c r="M748" s="23" cm="1">
        <f t="array" ref="M748">IFERROR(_xlfn.XLOOKUP(C748&amp;A748, ESPN!A:A&amp;ESPN!C:C, ESPN!G:G), "N/A")</f>
        <v>1.99</v>
      </c>
      <c r="N748" s="23" cm="1">
        <f t="array" ref="N748">IFERROR(_xlfn.XLOOKUP(C748&amp;A748, ESPN!A:A&amp;ESPN!C:C, ESPN!H:H), "N/A")</f>
        <v>60</v>
      </c>
      <c r="O748" s="26" cm="1">
        <f t="array" ref="O748">IFERROR(_xlfn.XLOOKUP(C748&amp;A748, ESPN!A:A&amp;ESPN!C:C, ESPN!I:I), "N/A")</f>
        <v>51</v>
      </c>
      <c r="P748" s="26" cm="1">
        <f t="array" ref="P748">IFERROR(_xlfn.XLOOKUP(C748&amp;A748, ESPN!A:A&amp;ESPN!C:C, ESPN!J:J), "N/A")</f>
        <v>51</v>
      </c>
      <c r="Q748" s="26" cm="1">
        <f t="array" ref="Q748">IFERROR(_xlfn.XLOOKUP(C748&amp;A748, ESPN!A:A&amp;ESPN!C:C, ESPN!K:K), "N/A")</f>
        <v>55</v>
      </c>
    </row>
    <row r="749" spans="1:17" x14ac:dyDescent="0.45">
      <c r="A749" s="7">
        <v>2021</v>
      </c>
      <c r="B749" s="3" t="s">
        <v>436</v>
      </c>
      <c r="C749" s="4" t="str">
        <f t="shared" si="22"/>
        <v>Kenyan Drake</v>
      </c>
      <c r="D749" s="4" t="str">
        <f t="shared" si="23"/>
        <v>LV</v>
      </c>
      <c r="E749" s="4">
        <v>12</v>
      </c>
      <c r="F749" s="12">
        <v>40</v>
      </c>
      <c r="G749" s="11">
        <v>30</v>
      </c>
      <c r="H749" s="11">
        <v>291</v>
      </c>
      <c r="I749" s="11">
        <v>9.6999999999999993</v>
      </c>
      <c r="J749" s="11">
        <v>1</v>
      </c>
      <c r="K749" s="11">
        <v>0</v>
      </c>
      <c r="L749" s="11" cm="1">
        <f t="array" ref="L749">IFERROR(_xlfn.XLOOKUP(C749&amp;A749, ESPN!A:A&amp;ESPN!C:C, ESPN!D:D), "N/A")</f>
        <v>123</v>
      </c>
      <c r="M749" s="23" cm="1">
        <f t="array" ref="M749">IFERROR(_xlfn.XLOOKUP(C749&amp;A749, ESPN!A:A&amp;ESPN!C:C, ESPN!G:G), "N/A")</f>
        <v>2.37</v>
      </c>
      <c r="N749" s="23" cm="1">
        <f t="array" ref="N749">IFERROR(_xlfn.XLOOKUP(C749&amp;A749, ESPN!A:A&amp;ESPN!C:C, ESPN!H:H), "N/A")</f>
        <v>53</v>
      </c>
      <c r="O749" s="26" cm="1">
        <f t="array" ref="O749">IFERROR(_xlfn.XLOOKUP(C749&amp;A749, ESPN!A:A&amp;ESPN!C:C, ESPN!I:I), "N/A")</f>
        <v>51</v>
      </c>
      <c r="P749" s="26" cm="1">
        <f t="array" ref="P749">IFERROR(_xlfn.XLOOKUP(C749&amp;A749, ESPN!A:A&amp;ESPN!C:C, ESPN!J:J), "N/A")</f>
        <v>64</v>
      </c>
      <c r="Q749" s="26" cm="1">
        <f t="array" ref="Q749">IFERROR(_xlfn.XLOOKUP(C749&amp;A749, ESPN!A:A&amp;ESPN!C:C, ESPN!K:K), "N/A")</f>
        <v>63</v>
      </c>
    </row>
    <row r="750" spans="1:17" x14ac:dyDescent="0.45">
      <c r="A750" s="6">
        <v>2021</v>
      </c>
      <c r="B750" s="1" t="s">
        <v>437</v>
      </c>
      <c r="C750" s="2" t="str">
        <f t="shared" si="22"/>
        <v>Ronald Jones II</v>
      </c>
      <c r="D750" s="2" t="str">
        <f t="shared" si="23"/>
        <v>TB</v>
      </c>
      <c r="E750" s="2">
        <v>15</v>
      </c>
      <c r="F750" s="12">
        <v>13</v>
      </c>
      <c r="G750" s="11">
        <v>10</v>
      </c>
      <c r="H750" s="11">
        <v>64</v>
      </c>
      <c r="I750" s="11">
        <v>6.4</v>
      </c>
      <c r="J750" s="11">
        <v>0</v>
      </c>
      <c r="K750" s="11">
        <v>2</v>
      </c>
      <c r="L750" s="11" t="str" cm="1">
        <f t="array" ref="L750">IFERROR(_xlfn.XLOOKUP(C750&amp;A750, ESPN!A:A&amp;ESPN!C:C, ESPN!D:D), "N/A")</f>
        <v>N/A</v>
      </c>
      <c r="M750" s="23" t="str" cm="1">
        <f t="array" ref="M750">IFERROR(_xlfn.XLOOKUP(C750&amp;A750, ESPN!A:A&amp;ESPN!C:C, ESPN!G:G), "N/A")</f>
        <v>N/A</v>
      </c>
      <c r="N750" s="23" t="str" cm="1">
        <f t="array" ref="N750">IFERROR(_xlfn.XLOOKUP(C750&amp;A750, ESPN!A:A&amp;ESPN!C:C, ESPN!H:H), "N/A")</f>
        <v>N/A</v>
      </c>
      <c r="O750" s="26" t="str" cm="1">
        <f t="array" ref="O750">IFERROR(_xlfn.XLOOKUP(C750&amp;A750, ESPN!A:A&amp;ESPN!C:C, ESPN!I:I), "N/A")</f>
        <v>N/A</v>
      </c>
      <c r="P750" s="26" t="str" cm="1">
        <f t="array" ref="P750">IFERROR(_xlfn.XLOOKUP(C750&amp;A750, ESPN!A:A&amp;ESPN!C:C, ESPN!J:J), "N/A")</f>
        <v>N/A</v>
      </c>
      <c r="Q750" s="26" t="str" cm="1">
        <f t="array" ref="Q750">IFERROR(_xlfn.XLOOKUP(C750&amp;A750, ESPN!A:A&amp;ESPN!C:C, ESPN!K:K), "N/A")</f>
        <v>N/A</v>
      </c>
    </row>
    <row r="751" spans="1:17" x14ac:dyDescent="0.45">
      <c r="A751" s="7">
        <v>2021</v>
      </c>
      <c r="B751" s="3" t="s">
        <v>267</v>
      </c>
      <c r="C751" s="4" t="str">
        <f t="shared" si="22"/>
        <v>Khalil Herbert</v>
      </c>
      <c r="D751" s="4" t="str">
        <f t="shared" si="23"/>
        <v>CHI</v>
      </c>
      <c r="E751" s="4">
        <v>16</v>
      </c>
      <c r="F751" s="12">
        <v>16</v>
      </c>
      <c r="G751" s="11">
        <v>14</v>
      </c>
      <c r="H751" s="11">
        <v>96</v>
      </c>
      <c r="I751" s="11">
        <v>6.9</v>
      </c>
      <c r="J751" s="11">
        <v>0</v>
      </c>
      <c r="K751" s="11">
        <v>0</v>
      </c>
      <c r="L751" s="11" t="str" cm="1">
        <f t="array" ref="L751">IFERROR(_xlfn.XLOOKUP(C751&amp;A751, ESPN!A:A&amp;ESPN!C:C, ESPN!D:D), "N/A")</f>
        <v>N/A</v>
      </c>
      <c r="M751" s="23" t="str" cm="1">
        <f t="array" ref="M751">IFERROR(_xlfn.XLOOKUP(C751&amp;A751, ESPN!A:A&amp;ESPN!C:C, ESPN!G:G), "N/A")</f>
        <v>N/A</v>
      </c>
      <c r="N751" s="23" t="str" cm="1">
        <f t="array" ref="N751">IFERROR(_xlfn.XLOOKUP(C751&amp;A751, ESPN!A:A&amp;ESPN!C:C, ESPN!H:H), "N/A")</f>
        <v>N/A</v>
      </c>
      <c r="O751" s="26" t="str" cm="1">
        <f t="array" ref="O751">IFERROR(_xlfn.XLOOKUP(C751&amp;A751, ESPN!A:A&amp;ESPN!C:C, ESPN!I:I), "N/A")</f>
        <v>N/A</v>
      </c>
      <c r="P751" s="26" t="str" cm="1">
        <f t="array" ref="P751">IFERROR(_xlfn.XLOOKUP(C751&amp;A751, ESPN!A:A&amp;ESPN!C:C, ESPN!J:J), "N/A")</f>
        <v>N/A</v>
      </c>
      <c r="Q751" s="26" t="str" cm="1">
        <f t="array" ref="Q751">IFERROR(_xlfn.XLOOKUP(C751&amp;A751, ESPN!A:A&amp;ESPN!C:C, ESPN!K:K), "N/A")</f>
        <v>N/A</v>
      </c>
    </row>
    <row r="752" spans="1:17" x14ac:dyDescent="0.45">
      <c r="A752" s="6">
        <v>2021</v>
      </c>
      <c r="B752" s="1" t="s">
        <v>438</v>
      </c>
      <c r="C752" s="2" t="str">
        <f t="shared" si="22"/>
        <v>Justin Jackson</v>
      </c>
      <c r="D752" s="2" t="str">
        <f t="shared" si="23"/>
        <v>LAC</v>
      </c>
      <c r="E752" s="2">
        <v>14</v>
      </c>
      <c r="F752" s="12">
        <v>25</v>
      </c>
      <c r="G752" s="11">
        <v>22</v>
      </c>
      <c r="H752" s="11">
        <v>178</v>
      </c>
      <c r="I752" s="11">
        <v>8.1</v>
      </c>
      <c r="J752" s="11">
        <v>0</v>
      </c>
      <c r="K752" s="11">
        <v>1</v>
      </c>
      <c r="L752" s="11" cm="1">
        <f t="array" ref="L752">IFERROR(_xlfn.XLOOKUP(C752&amp;A752, ESPN!A:A&amp;ESPN!C:C, ESPN!D:D), "N/A")</f>
        <v>95</v>
      </c>
      <c r="M752" s="23" cm="1">
        <f t="array" ref="M752">IFERROR(_xlfn.XLOOKUP(C752&amp;A752, ESPN!A:A&amp;ESPN!C:C, ESPN!G:G), "N/A")</f>
        <v>1.87</v>
      </c>
      <c r="N752" s="23" cm="1">
        <f t="array" ref="N752">IFERROR(_xlfn.XLOOKUP(C752&amp;A752, ESPN!A:A&amp;ESPN!C:C, ESPN!H:H), "N/A")</f>
        <v>73</v>
      </c>
      <c r="O752" s="26" cm="1">
        <f t="array" ref="O752">IFERROR(_xlfn.XLOOKUP(C752&amp;A752, ESPN!A:A&amp;ESPN!C:C, ESPN!I:I), "N/A")</f>
        <v>50</v>
      </c>
      <c r="P752" s="26" cm="1">
        <f t="array" ref="P752">IFERROR(_xlfn.XLOOKUP(C752&amp;A752, ESPN!A:A&amp;ESPN!C:C, ESPN!J:J), "N/A")</f>
        <v>54</v>
      </c>
      <c r="Q752" s="26" cm="1">
        <f t="array" ref="Q752">IFERROR(_xlfn.XLOOKUP(C752&amp;A752, ESPN!A:A&amp;ESPN!C:C, ESPN!K:K), "N/A")</f>
        <v>62</v>
      </c>
    </row>
    <row r="753" spans="1:17" x14ac:dyDescent="0.45">
      <c r="A753" s="7">
        <v>2021</v>
      </c>
      <c r="B753" s="3" t="s">
        <v>439</v>
      </c>
      <c r="C753" s="4" t="str">
        <f t="shared" si="22"/>
        <v>Jordan Howard</v>
      </c>
      <c r="D753" s="4" t="str">
        <f t="shared" si="23"/>
        <v>PHI</v>
      </c>
      <c r="E753" s="4">
        <v>7</v>
      </c>
      <c r="F753" s="12">
        <v>5</v>
      </c>
      <c r="G753" s="11">
        <v>2</v>
      </c>
      <c r="H753" s="11">
        <v>19</v>
      </c>
      <c r="I753" s="11">
        <v>9.5</v>
      </c>
      <c r="J753" s="11">
        <v>0</v>
      </c>
      <c r="K753" s="11">
        <v>0</v>
      </c>
      <c r="L753" s="11" t="str" cm="1">
        <f t="array" ref="L753">IFERROR(_xlfn.XLOOKUP(C753&amp;A753, ESPN!A:A&amp;ESPN!C:C, ESPN!D:D), "N/A")</f>
        <v>N/A</v>
      </c>
      <c r="M753" s="23" t="str" cm="1">
        <f t="array" ref="M753">IFERROR(_xlfn.XLOOKUP(C753&amp;A753, ESPN!A:A&amp;ESPN!C:C, ESPN!G:G), "N/A")</f>
        <v>N/A</v>
      </c>
      <c r="N753" s="23" t="str" cm="1">
        <f t="array" ref="N753">IFERROR(_xlfn.XLOOKUP(C753&amp;A753, ESPN!A:A&amp;ESPN!C:C, ESPN!H:H), "N/A")</f>
        <v>N/A</v>
      </c>
      <c r="O753" s="26" t="str" cm="1">
        <f t="array" ref="O753">IFERROR(_xlfn.XLOOKUP(C753&amp;A753, ESPN!A:A&amp;ESPN!C:C, ESPN!I:I), "N/A")</f>
        <v>N/A</v>
      </c>
      <c r="P753" s="26" t="str" cm="1">
        <f t="array" ref="P753">IFERROR(_xlfn.XLOOKUP(C753&amp;A753, ESPN!A:A&amp;ESPN!C:C, ESPN!J:J), "N/A")</f>
        <v>N/A</v>
      </c>
      <c r="Q753" s="26" t="str" cm="1">
        <f t="array" ref="Q753">IFERROR(_xlfn.XLOOKUP(C753&amp;A753, ESPN!A:A&amp;ESPN!C:C, ESPN!K:K), "N/A")</f>
        <v>N/A</v>
      </c>
    </row>
    <row r="754" spans="1:17" x14ac:dyDescent="0.45">
      <c r="A754" s="6">
        <v>2021</v>
      </c>
      <c r="B754" s="1" t="s">
        <v>440</v>
      </c>
      <c r="C754" s="2" t="str">
        <f t="shared" si="22"/>
        <v>Alex Collins</v>
      </c>
      <c r="D754" s="2" t="str">
        <f t="shared" si="23"/>
        <v>SEA</v>
      </c>
      <c r="E754" s="2">
        <v>11</v>
      </c>
      <c r="F754" s="12">
        <v>10</v>
      </c>
      <c r="G754" s="11">
        <v>9</v>
      </c>
      <c r="H754" s="11">
        <v>87</v>
      </c>
      <c r="I754" s="11">
        <v>9.6999999999999993</v>
      </c>
      <c r="J754" s="11">
        <v>0</v>
      </c>
      <c r="K754" s="11">
        <v>1</v>
      </c>
      <c r="L754" s="11" t="str" cm="1">
        <f t="array" ref="L754">IFERROR(_xlfn.XLOOKUP(C754&amp;A754, ESPN!A:A&amp;ESPN!C:C, ESPN!D:D), "N/A")</f>
        <v>N/A</v>
      </c>
      <c r="M754" s="23" t="str" cm="1">
        <f t="array" ref="M754">IFERROR(_xlfn.XLOOKUP(C754&amp;A754, ESPN!A:A&amp;ESPN!C:C, ESPN!G:G), "N/A")</f>
        <v>N/A</v>
      </c>
      <c r="N754" s="23" t="str" cm="1">
        <f t="array" ref="N754">IFERROR(_xlfn.XLOOKUP(C754&amp;A754, ESPN!A:A&amp;ESPN!C:C, ESPN!H:H), "N/A")</f>
        <v>N/A</v>
      </c>
      <c r="O754" s="26" t="str" cm="1">
        <f t="array" ref="O754">IFERROR(_xlfn.XLOOKUP(C754&amp;A754, ESPN!A:A&amp;ESPN!C:C, ESPN!I:I), "N/A")</f>
        <v>N/A</v>
      </c>
      <c r="P754" s="26" t="str" cm="1">
        <f t="array" ref="P754">IFERROR(_xlfn.XLOOKUP(C754&amp;A754, ESPN!A:A&amp;ESPN!C:C, ESPN!J:J), "N/A")</f>
        <v>N/A</v>
      </c>
      <c r="Q754" s="26" t="str" cm="1">
        <f t="array" ref="Q754">IFERROR(_xlfn.XLOOKUP(C754&amp;A754, ESPN!A:A&amp;ESPN!C:C, ESPN!K:K), "N/A")</f>
        <v>N/A</v>
      </c>
    </row>
    <row r="755" spans="1:17" x14ac:dyDescent="0.45">
      <c r="A755" s="7">
        <v>2021</v>
      </c>
      <c r="B755" s="3" t="s">
        <v>54</v>
      </c>
      <c r="C755" s="4" t="str">
        <f t="shared" si="22"/>
        <v>Samaje Perine</v>
      </c>
      <c r="D755" s="4" t="str">
        <f t="shared" si="23"/>
        <v>CIN</v>
      </c>
      <c r="E755" s="4">
        <v>15</v>
      </c>
      <c r="F755" s="12">
        <v>31</v>
      </c>
      <c r="G755" s="11">
        <v>27</v>
      </c>
      <c r="H755" s="11">
        <v>196</v>
      </c>
      <c r="I755" s="11">
        <v>7.3</v>
      </c>
      <c r="J755" s="11">
        <v>1</v>
      </c>
      <c r="K755" s="11">
        <v>0</v>
      </c>
      <c r="L755" s="11" cm="1">
        <f t="array" ref="L755">IFERROR(_xlfn.XLOOKUP(C755&amp;A755, ESPN!A:A&amp;ESPN!C:C, ESPN!D:D), "N/A")</f>
        <v>153</v>
      </c>
      <c r="M755" s="23" cm="1">
        <f t="array" ref="M755">IFERROR(_xlfn.XLOOKUP(C755&amp;A755, ESPN!A:A&amp;ESPN!C:C, ESPN!G:G), "N/A")</f>
        <v>1.59</v>
      </c>
      <c r="N755" s="23" cm="1">
        <f t="array" ref="N755">IFERROR(_xlfn.XLOOKUP(C755&amp;A755, ESPN!A:A&amp;ESPN!C:C, ESPN!H:H), "N/A")</f>
        <v>73</v>
      </c>
      <c r="O755" s="26" cm="1">
        <f t="array" ref="O755">IFERROR(_xlfn.XLOOKUP(C755&amp;A755, ESPN!A:A&amp;ESPN!C:C, ESPN!I:I), "N/A")</f>
        <v>47</v>
      </c>
      <c r="P755" s="26" cm="1">
        <f t="array" ref="P755">IFERROR(_xlfn.XLOOKUP(C755&amp;A755, ESPN!A:A&amp;ESPN!C:C, ESPN!J:J), "N/A")</f>
        <v>47</v>
      </c>
      <c r="Q755" s="26" cm="1">
        <f t="array" ref="Q755">IFERROR(_xlfn.XLOOKUP(C755&amp;A755, ESPN!A:A&amp;ESPN!C:C, ESPN!K:K), "N/A")</f>
        <v>55</v>
      </c>
    </row>
    <row r="756" spans="1:17" x14ac:dyDescent="0.45">
      <c r="A756" s="6">
        <v>2021</v>
      </c>
      <c r="B756" s="1" t="s">
        <v>441</v>
      </c>
      <c r="C756" s="2" t="str">
        <f t="shared" si="22"/>
        <v>Duke Johnson Jr.</v>
      </c>
      <c r="D756" s="2" t="str">
        <f t="shared" si="23"/>
        <v>MIA</v>
      </c>
      <c r="E756" s="2">
        <v>5</v>
      </c>
      <c r="F756" s="12">
        <v>5</v>
      </c>
      <c r="G756" s="11">
        <v>4</v>
      </c>
      <c r="H756" s="11">
        <v>41</v>
      </c>
      <c r="I756" s="11">
        <v>10.3</v>
      </c>
      <c r="J756" s="11">
        <v>0</v>
      </c>
      <c r="K756" s="11">
        <v>0</v>
      </c>
      <c r="L756" s="11" t="str" cm="1">
        <f t="array" ref="L756">IFERROR(_xlfn.XLOOKUP(C756&amp;A756, ESPN!A:A&amp;ESPN!C:C, ESPN!D:D), "N/A")</f>
        <v>N/A</v>
      </c>
      <c r="M756" s="23" t="str" cm="1">
        <f t="array" ref="M756">IFERROR(_xlfn.XLOOKUP(C756&amp;A756, ESPN!A:A&amp;ESPN!C:C, ESPN!G:G), "N/A")</f>
        <v>N/A</v>
      </c>
      <c r="N756" s="23" t="str" cm="1">
        <f t="array" ref="N756">IFERROR(_xlfn.XLOOKUP(C756&amp;A756, ESPN!A:A&amp;ESPN!C:C, ESPN!H:H), "N/A")</f>
        <v>N/A</v>
      </c>
      <c r="O756" s="26" t="str" cm="1">
        <f t="array" ref="O756">IFERROR(_xlfn.XLOOKUP(C756&amp;A756, ESPN!A:A&amp;ESPN!C:C, ESPN!I:I), "N/A")</f>
        <v>N/A</v>
      </c>
      <c r="P756" s="26" t="str" cm="1">
        <f t="array" ref="P756">IFERROR(_xlfn.XLOOKUP(C756&amp;A756, ESPN!A:A&amp;ESPN!C:C, ESPN!J:J), "N/A")</f>
        <v>N/A</v>
      </c>
      <c r="Q756" s="26" t="str" cm="1">
        <f t="array" ref="Q756">IFERROR(_xlfn.XLOOKUP(C756&amp;A756, ESPN!A:A&amp;ESPN!C:C, ESPN!K:K), "N/A")</f>
        <v>N/A</v>
      </c>
    </row>
    <row r="757" spans="1:17" x14ac:dyDescent="0.45">
      <c r="A757" s="7">
        <v>2021</v>
      </c>
      <c r="B757" s="3" t="s">
        <v>358</v>
      </c>
      <c r="C757" s="4" t="str">
        <f t="shared" si="22"/>
        <v>Dontrell Hilliard</v>
      </c>
      <c r="D757" s="4" t="str">
        <f t="shared" si="23"/>
        <v>TEN</v>
      </c>
      <c r="E757" s="4">
        <v>8</v>
      </c>
      <c r="F757" s="12">
        <v>26</v>
      </c>
      <c r="G757" s="11">
        <v>19</v>
      </c>
      <c r="H757" s="11">
        <v>87</v>
      </c>
      <c r="I757" s="11">
        <v>4.5999999999999996</v>
      </c>
      <c r="J757" s="11">
        <v>0</v>
      </c>
      <c r="K757" s="11">
        <v>1</v>
      </c>
      <c r="L757" s="11" t="str" cm="1">
        <f t="array" ref="L757">IFERROR(_xlfn.XLOOKUP(C757&amp;A757, ESPN!A:A&amp;ESPN!C:C, ESPN!D:D), "N/A")</f>
        <v>N/A</v>
      </c>
      <c r="M757" s="23" t="str" cm="1">
        <f t="array" ref="M757">IFERROR(_xlfn.XLOOKUP(C757&amp;A757, ESPN!A:A&amp;ESPN!C:C, ESPN!G:G), "N/A")</f>
        <v>N/A</v>
      </c>
      <c r="N757" s="23" t="str" cm="1">
        <f t="array" ref="N757">IFERROR(_xlfn.XLOOKUP(C757&amp;A757, ESPN!A:A&amp;ESPN!C:C, ESPN!H:H), "N/A")</f>
        <v>N/A</v>
      </c>
      <c r="O757" s="26" t="str" cm="1">
        <f t="array" ref="O757">IFERROR(_xlfn.XLOOKUP(C757&amp;A757, ESPN!A:A&amp;ESPN!C:C, ESPN!I:I), "N/A")</f>
        <v>N/A</v>
      </c>
      <c r="P757" s="26" t="str" cm="1">
        <f t="array" ref="P757">IFERROR(_xlfn.XLOOKUP(C757&amp;A757, ESPN!A:A&amp;ESPN!C:C, ESPN!J:J), "N/A")</f>
        <v>N/A</v>
      </c>
      <c r="Q757" s="26" t="str" cm="1">
        <f t="array" ref="Q757">IFERROR(_xlfn.XLOOKUP(C757&amp;A757, ESPN!A:A&amp;ESPN!C:C, ESPN!K:K), "N/A")</f>
        <v>N/A</v>
      </c>
    </row>
    <row r="758" spans="1:17" x14ac:dyDescent="0.45">
      <c r="A758" s="6">
        <v>2021</v>
      </c>
      <c r="B758" s="1" t="s">
        <v>442</v>
      </c>
      <c r="C758" s="2" t="str">
        <f t="shared" si="22"/>
        <v>Ameer Abdullah</v>
      </c>
      <c r="D758" s="2" t="str">
        <f t="shared" si="23"/>
        <v>CAR</v>
      </c>
      <c r="E758" s="2">
        <v>17</v>
      </c>
      <c r="F758" s="12">
        <v>53</v>
      </c>
      <c r="G758" s="11">
        <v>38</v>
      </c>
      <c r="H758" s="11">
        <v>289</v>
      </c>
      <c r="I758" s="11">
        <v>7.6</v>
      </c>
      <c r="J758" s="11">
        <v>1</v>
      </c>
      <c r="K758" s="11">
        <v>0</v>
      </c>
      <c r="L758" s="11" cm="1">
        <f t="array" ref="L758">IFERROR(_xlfn.XLOOKUP(C758&amp;A758, ESPN!A:A&amp;ESPN!C:C, ESPN!D:D), "N/A")</f>
        <v>155</v>
      </c>
      <c r="M758" s="23" cm="1">
        <f t="array" ref="M758">IFERROR(_xlfn.XLOOKUP(C758&amp;A758, ESPN!A:A&amp;ESPN!C:C, ESPN!G:G), "N/A")</f>
        <v>1.86</v>
      </c>
      <c r="N758" s="23" cm="1">
        <f t="array" ref="N758">IFERROR(_xlfn.XLOOKUP(C758&amp;A758, ESPN!A:A&amp;ESPN!C:C, ESPN!H:H), "N/A")</f>
        <v>71</v>
      </c>
      <c r="O758" s="26" cm="1">
        <f t="array" ref="O758">IFERROR(_xlfn.XLOOKUP(C758&amp;A758, ESPN!A:A&amp;ESPN!C:C, ESPN!I:I), "N/A")</f>
        <v>47</v>
      </c>
      <c r="P758" s="26" cm="1">
        <f t="array" ref="P758">IFERROR(_xlfn.XLOOKUP(C758&amp;A758, ESPN!A:A&amp;ESPN!C:C, ESPN!J:J), "N/A")</f>
        <v>43</v>
      </c>
      <c r="Q758" s="26" cm="1">
        <f t="array" ref="Q758">IFERROR(_xlfn.XLOOKUP(C758&amp;A758, ESPN!A:A&amp;ESPN!C:C, ESPN!K:K), "N/A")</f>
        <v>50</v>
      </c>
    </row>
    <row r="759" spans="1:17" x14ac:dyDescent="0.45">
      <c r="A759" s="7">
        <v>2021</v>
      </c>
      <c r="B759" s="3" t="s">
        <v>443</v>
      </c>
      <c r="C759" s="4" t="str">
        <f t="shared" si="22"/>
        <v>David Johnson</v>
      </c>
      <c r="D759" s="4" t="str">
        <f t="shared" si="23"/>
        <v>HOU</v>
      </c>
      <c r="E759" s="4">
        <v>13</v>
      </c>
      <c r="F759" s="12">
        <v>42</v>
      </c>
      <c r="G759" s="11">
        <v>32</v>
      </c>
      <c r="H759" s="11">
        <v>225</v>
      </c>
      <c r="I759" s="11">
        <v>7</v>
      </c>
      <c r="J759" s="11">
        <v>1</v>
      </c>
      <c r="K759" s="11">
        <v>1</v>
      </c>
      <c r="L759" s="11" cm="1">
        <f t="array" ref="L759">IFERROR(_xlfn.XLOOKUP(C759&amp;A759, ESPN!A:A&amp;ESPN!C:C, ESPN!D:D), "N/A")</f>
        <v>128</v>
      </c>
      <c r="M759" s="23" cm="1">
        <f t="array" ref="M759">IFERROR(_xlfn.XLOOKUP(C759&amp;A759, ESPN!A:A&amp;ESPN!C:C, ESPN!G:G), "N/A")</f>
        <v>1.76</v>
      </c>
      <c r="N759" s="23" cm="1">
        <f t="array" ref="N759">IFERROR(_xlfn.XLOOKUP(C759&amp;A759, ESPN!A:A&amp;ESPN!C:C, ESPN!H:H), "N/A")</f>
        <v>60</v>
      </c>
      <c r="O759" s="26" cm="1">
        <f t="array" ref="O759">IFERROR(_xlfn.XLOOKUP(C759&amp;A759, ESPN!A:A&amp;ESPN!C:C, ESPN!I:I), "N/A")</f>
        <v>58</v>
      </c>
      <c r="P759" s="26" cm="1">
        <f t="array" ref="P759">IFERROR(_xlfn.XLOOKUP(C759&amp;A759, ESPN!A:A&amp;ESPN!C:C, ESPN!J:J), "N/A")</f>
        <v>42</v>
      </c>
      <c r="Q759" s="26" cm="1">
        <f t="array" ref="Q759">IFERROR(_xlfn.XLOOKUP(C759&amp;A759, ESPN!A:A&amp;ESPN!C:C, ESPN!K:K), "N/A")</f>
        <v>51</v>
      </c>
    </row>
    <row r="760" spans="1:17" x14ac:dyDescent="0.45">
      <c r="A760" s="6">
        <v>2021</v>
      </c>
      <c r="B760" s="1" t="s">
        <v>444</v>
      </c>
      <c r="C760" s="2" t="str">
        <f t="shared" si="22"/>
        <v>Derrick Gore</v>
      </c>
      <c r="D760" s="2" t="str">
        <f t="shared" si="23"/>
        <v>KC</v>
      </c>
      <c r="E760" s="2">
        <v>8</v>
      </c>
      <c r="F760" s="12">
        <v>9</v>
      </c>
      <c r="G760" s="11">
        <v>8</v>
      </c>
      <c r="H760" s="11">
        <v>105</v>
      </c>
      <c r="I760" s="11">
        <v>13.1</v>
      </c>
      <c r="J760" s="11">
        <v>0</v>
      </c>
      <c r="K760" s="11">
        <v>0</v>
      </c>
      <c r="L760" s="11" t="str" cm="1">
        <f t="array" ref="L760">IFERROR(_xlfn.XLOOKUP(C760&amp;A760, ESPN!A:A&amp;ESPN!C:C, ESPN!D:D), "N/A")</f>
        <v>N/A</v>
      </c>
      <c r="M760" s="23" t="str" cm="1">
        <f t="array" ref="M760">IFERROR(_xlfn.XLOOKUP(C760&amp;A760, ESPN!A:A&amp;ESPN!C:C, ESPN!G:G), "N/A")</f>
        <v>N/A</v>
      </c>
      <c r="N760" s="23" t="str" cm="1">
        <f t="array" ref="N760">IFERROR(_xlfn.XLOOKUP(C760&amp;A760, ESPN!A:A&amp;ESPN!C:C, ESPN!H:H), "N/A")</f>
        <v>N/A</v>
      </c>
      <c r="O760" s="26" t="str" cm="1">
        <f t="array" ref="O760">IFERROR(_xlfn.XLOOKUP(C760&amp;A760, ESPN!A:A&amp;ESPN!C:C, ESPN!I:I), "N/A")</f>
        <v>N/A</v>
      </c>
      <c r="P760" s="26" t="str" cm="1">
        <f t="array" ref="P760">IFERROR(_xlfn.XLOOKUP(C760&amp;A760, ESPN!A:A&amp;ESPN!C:C, ESPN!J:J), "N/A")</f>
        <v>N/A</v>
      </c>
      <c r="Q760" s="26" t="str" cm="1">
        <f t="array" ref="Q760">IFERROR(_xlfn.XLOOKUP(C760&amp;A760, ESPN!A:A&amp;ESPN!C:C, ESPN!K:K), "N/A")</f>
        <v>N/A</v>
      </c>
    </row>
    <row r="761" spans="1:17" x14ac:dyDescent="0.45">
      <c r="A761" s="7">
        <v>2021</v>
      </c>
      <c r="B761" s="3" t="s">
        <v>386</v>
      </c>
      <c r="C761" s="4" t="str">
        <f t="shared" si="22"/>
        <v>Jaret Patterson</v>
      </c>
      <c r="D761" s="4" t="str">
        <f t="shared" si="23"/>
        <v>WAS</v>
      </c>
      <c r="E761" s="4">
        <v>15</v>
      </c>
      <c r="F761" s="12">
        <v>12</v>
      </c>
      <c r="G761" s="11">
        <v>10</v>
      </c>
      <c r="H761" s="11">
        <v>73</v>
      </c>
      <c r="I761" s="11">
        <v>7.3</v>
      </c>
      <c r="J761" s="11">
        <v>0</v>
      </c>
      <c r="K761" s="11">
        <v>0</v>
      </c>
      <c r="L761" s="11" t="str" cm="1">
        <f t="array" ref="L761">IFERROR(_xlfn.XLOOKUP(C761&amp;A761, ESPN!A:A&amp;ESPN!C:C, ESPN!D:D), "N/A")</f>
        <v>N/A</v>
      </c>
      <c r="M761" s="23" t="str" cm="1">
        <f t="array" ref="M761">IFERROR(_xlfn.XLOOKUP(C761&amp;A761, ESPN!A:A&amp;ESPN!C:C, ESPN!G:G), "N/A")</f>
        <v>N/A</v>
      </c>
      <c r="N761" s="23" t="str" cm="1">
        <f t="array" ref="N761">IFERROR(_xlfn.XLOOKUP(C761&amp;A761, ESPN!A:A&amp;ESPN!C:C, ESPN!H:H), "N/A")</f>
        <v>N/A</v>
      </c>
      <c r="O761" s="26" t="str" cm="1">
        <f t="array" ref="O761">IFERROR(_xlfn.XLOOKUP(C761&amp;A761, ESPN!A:A&amp;ESPN!C:C, ESPN!I:I), "N/A")</f>
        <v>N/A</v>
      </c>
      <c r="P761" s="26" t="str" cm="1">
        <f t="array" ref="P761">IFERROR(_xlfn.XLOOKUP(C761&amp;A761, ESPN!A:A&amp;ESPN!C:C, ESPN!J:J), "N/A")</f>
        <v>N/A</v>
      </c>
      <c r="Q761" s="26" t="str" cm="1">
        <f t="array" ref="Q761">IFERROR(_xlfn.XLOOKUP(C761&amp;A761, ESPN!A:A&amp;ESPN!C:C, ESPN!K:K), "N/A")</f>
        <v>N/A</v>
      </c>
    </row>
    <row r="762" spans="1:17" x14ac:dyDescent="0.45">
      <c r="A762" s="6">
        <v>2021</v>
      </c>
      <c r="B762" s="1" t="s">
        <v>370</v>
      </c>
      <c r="C762" s="2" t="str">
        <f t="shared" si="22"/>
        <v>Travis Homer</v>
      </c>
      <c r="D762" s="2" t="str">
        <f t="shared" si="23"/>
        <v>SEA</v>
      </c>
      <c r="E762" s="2">
        <v>14</v>
      </c>
      <c r="F762" s="12">
        <v>20</v>
      </c>
      <c r="G762" s="11">
        <v>16</v>
      </c>
      <c r="H762" s="11">
        <v>161</v>
      </c>
      <c r="I762" s="11">
        <v>10.1</v>
      </c>
      <c r="J762" s="11">
        <v>0</v>
      </c>
      <c r="K762" s="11">
        <v>0</v>
      </c>
      <c r="L762" s="11" t="str" cm="1">
        <f t="array" ref="L762">IFERROR(_xlfn.XLOOKUP(C762&amp;A762, ESPN!A:A&amp;ESPN!C:C, ESPN!D:D), "N/A")</f>
        <v>N/A</v>
      </c>
      <c r="M762" s="23" t="str" cm="1">
        <f t="array" ref="M762">IFERROR(_xlfn.XLOOKUP(C762&amp;A762, ESPN!A:A&amp;ESPN!C:C, ESPN!G:G), "N/A")</f>
        <v>N/A</v>
      </c>
      <c r="N762" s="23" t="str" cm="1">
        <f t="array" ref="N762">IFERROR(_xlfn.XLOOKUP(C762&amp;A762, ESPN!A:A&amp;ESPN!C:C, ESPN!H:H), "N/A")</f>
        <v>N/A</v>
      </c>
      <c r="O762" s="26" t="str" cm="1">
        <f t="array" ref="O762">IFERROR(_xlfn.XLOOKUP(C762&amp;A762, ESPN!A:A&amp;ESPN!C:C, ESPN!I:I), "N/A")</f>
        <v>N/A</v>
      </c>
      <c r="P762" s="26" t="str" cm="1">
        <f t="array" ref="P762">IFERROR(_xlfn.XLOOKUP(C762&amp;A762, ESPN!A:A&amp;ESPN!C:C, ESPN!J:J), "N/A")</f>
        <v>N/A</v>
      </c>
      <c r="Q762" s="26" t="str" cm="1">
        <f t="array" ref="Q762">IFERROR(_xlfn.XLOOKUP(C762&amp;A762, ESPN!A:A&amp;ESPN!C:C, ESPN!K:K), "N/A")</f>
        <v>N/A</v>
      </c>
    </row>
    <row r="763" spans="1:17" x14ac:dyDescent="0.45">
      <c r="A763" s="7">
        <v>2021</v>
      </c>
      <c r="B763" s="3" t="s">
        <v>445</v>
      </c>
      <c r="C763" s="4" t="str">
        <f t="shared" si="22"/>
        <v>Jeremy McNichols</v>
      </c>
      <c r="D763" s="4" t="str">
        <f t="shared" si="23"/>
        <v>TEN</v>
      </c>
      <c r="E763" s="4">
        <v>13</v>
      </c>
      <c r="F763" s="12">
        <v>38</v>
      </c>
      <c r="G763" s="11">
        <v>28</v>
      </c>
      <c r="H763" s="11">
        <v>240</v>
      </c>
      <c r="I763" s="11">
        <v>8.6</v>
      </c>
      <c r="J763" s="11">
        <v>1</v>
      </c>
      <c r="K763" s="11">
        <v>0</v>
      </c>
      <c r="L763" s="11" cm="1">
        <f t="array" ref="L763">IFERROR(_xlfn.XLOOKUP(C763&amp;A763, ESPN!A:A&amp;ESPN!C:C, ESPN!D:D), "N/A")</f>
        <v>112</v>
      </c>
      <c r="M763" s="23" cm="1">
        <f t="array" ref="M763">IFERROR(_xlfn.XLOOKUP(C763&amp;A763, ESPN!A:A&amp;ESPN!C:C, ESPN!G:G), "N/A")</f>
        <v>2.14</v>
      </c>
      <c r="N763" s="23" cm="1">
        <f t="array" ref="N763">IFERROR(_xlfn.XLOOKUP(C763&amp;A763, ESPN!A:A&amp;ESPN!C:C, ESPN!H:H), "N/A")</f>
        <v>60</v>
      </c>
      <c r="O763" s="26" cm="1">
        <f t="array" ref="O763">IFERROR(_xlfn.XLOOKUP(C763&amp;A763, ESPN!A:A&amp;ESPN!C:C, ESPN!I:I), "N/A")</f>
        <v>37</v>
      </c>
      <c r="P763" s="26" cm="1">
        <f t="array" ref="P763">IFERROR(_xlfn.XLOOKUP(C763&amp;A763, ESPN!A:A&amp;ESPN!C:C, ESPN!J:J), "N/A")</f>
        <v>60</v>
      </c>
      <c r="Q763" s="26" cm="1">
        <f t="array" ref="Q763">IFERROR(_xlfn.XLOOKUP(C763&amp;A763, ESPN!A:A&amp;ESPN!C:C, ESPN!K:K), "N/A")</f>
        <v>56</v>
      </c>
    </row>
    <row r="764" spans="1:17" x14ac:dyDescent="0.45">
      <c r="A764" s="6">
        <v>2021</v>
      </c>
      <c r="B764" s="1" t="s">
        <v>446</v>
      </c>
      <c r="C764" s="2" t="str">
        <f t="shared" si="22"/>
        <v>Damien Williams</v>
      </c>
      <c r="D764" s="2" t="str">
        <f t="shared" si="23"/>
        <v>CHI</v>
      </c>
      <c r="E764" s="2">
        <v>12</v>
      </c>
      <c r="F764" s="12">
        <v>23</v>
      </c>
      <c r="G764" s="11">
        <v>16</v>
      </c>
      <c r="H764" s="11">
        <v>103</v>
      </c>
      <c r="I764" s="11">
        <v>6.4</v>
      </c>
      <c r="J764" s="11">
        <v>1</v>
      </c>
      <c r="K764" s="11">
        <v>0</v>
      </c>
      <c r="L764" s="11" t="str" cm="1">
        <f t="array" ref="L764">IFERROR(_xlfn.XLOOKUP(C764&amp;A764, ESPN!A:A&amp;ESPN!C:C, ESPN!D:D), "N/A")</f>
        <v>N/A</v>
      </c>
      <c r="M764" s="23" t="str" cm="1">
        <f t="array" ref="M764">IFERROR(_xlfn.XLOOKUP(C764&amp;A764, ESPN!A:A&amp;ESPN!C:C, ESPN!G:G), "N/A")</f>
        <v>N/A</v>
      </c>
      <c r="N764" s="23" t="str" cm="1">
        <f t="array" ref="N764">IFERROR(_xlfn.XLOOKUP(C764&amp;A764, ESPN!A:A&amp;ESPN!C:C, ESPN!H:H), "N/A")</f>
        <v>N/A</v>
      </c>
      <c r="O764" s="26" t="str" cm="1">
        <f t="array" ref="O764">IFERROR(_xlfn.XLOOKUP(C764&amp;A764, ESPN!A:A&amp;ESPN!C:C, ESPN!I:I), "N/A")</f>
        <v>N/A</v>
      </c>
      <c r="P764" s="26" t="str" cm="1">
        <f t="array" ref="P764">IFERROR(_xlfn.XLOOKUP(C764&amp;A764, ESPN!A:A&amp;ESPN!C:C, ESPN!J:J), "N/A")</f>
        <v>N/A</v>
      </c>
      <c r="Q764" s="26" t="str" cm="1">
        <f t="array" ref="Q764">IFERROR(_xlfn.XLOOKUP(C764&amp;A764, ESPN!A:A&amp;ESPN!C:C, ESPN!K:K), "N/A")</f>
        <v>N/A</v>
      </c>
    </row>
    <row r="765" spans="1:17" x14ac:dyDescent="0.45">
      <c r="A765" s="7">
        <v>2021</v>
      </c>
      <c r="B765" s="3" t="s">
        <v>447</v>
      </c>
      <c r="C765" s="4" t="str">
        <f t="shared" si="22"/>
        <v>Jeff Wilson Jr.</v>
      </c>
      <c r="D765" s="4" t="str">
        <f t="shared" si="23"/>
        <v>SF</v>
      </c>
      <c r="E765" s="4">
        <v>9</v>
      </c>
      <c r="F765" s="12">
        <v>8</v>
      </c>
      <c r="G765" s="11">
        <v>7</v>
      </c>
      <c r="H765" s="11">
        <v>31</v>
      </c>
      <c r="I765" s="11">
        <v>4.4000000000000004</v>
      </c>
      <c r="J765" s="11">
        <v>0</v>
      </c>
      <c r="K765" s="11">
        <v>0</v>
      </c>
      <c r="L765" s="11" t="str" cm="1">
        <f t="array" ref="L765">IFERROR(_xlfn.XLOOKUP(C765&amp;A765, ESPN!A:A&amp;ESPN!C:C, ESPN!D:D), "N/A")</f>
        <v>N/A</v>
      </c>
      <c r="M765" s="23" t="str" cm="1">
        <f t="array" ref="M765">IFERROR(_xlfn.XLOOKUP(C765&amp;A765, ESPN!A:A&amp;ESPN!C:C, ESPN!G:G), "N/A")</f>
        <v>N/A</v>
      </c>
      <c r="N765" s="23" t="str" cm="1">
        <f t="array" ref="N765">IFERROR(_xlfn.XLOOKUP(C765&amp;A765, ESPN!A:A&amp;ESPN!C:C, ESPN!H:H), "N/A")</f>
        <v>N/A</v>
      </c>
      <c r="O765" s="26" t="str" cm="1">
        <f t="array" ref="O765">IFERROR(_xlfn.XLOOKUP(C765&amp;A765, ESPN!A:A&amp;ESPN!C:C, ESPN!I:I), "N/A")</f>
        <v>N/A</v>
      </c>
      <c r="P765" s="26" t="str" cm="1">
        <f t="array" ref="P765">IFERROR(_xlfn.XLOOKUP(C765&amp;A765, ESPN!A:A&amp;ESPN!C:C, ESPN!J:J), "N/A")</f>
        <v>N/A</v>
      </c>
      <c r="Q765" s="26" t="str" cm="1">
        <f t="array" ref="Q765">IFERROR(_xlfn.XLOOKUP(C765&amp;A765, ESPN!A:A&amp;ESPN!C:C, ESPN!K:K), "N/A")</f>
        <v>N/A</v>
      </c>
    </row>
    <row r="766" spans="1:17" x14ac:dyDescent="0.45">
      <c r="A766" s="6">
        <v>2021</v>
      </c>
      <c r="B766" s="1" t="s">
        <v>176</v>
      </c>
      <c r="C766" s="2" t="str">
        <f t="shared" si="22"/>
        <v>Kyle Juszczyk</v>
      </c>
      <c r="D766" s="2" t="str">
        <f t="shared" si="23"/>
        <v>SF</v>
      </c>
      <c r="E766" s="2">
        <v>15</v>
      </c>
      <c r="F766" s="12">
        <v>38</v>
      </c>
      <c r="G766" s="11">
        <v>30</v>
      </c>
      <c r="H766" s="11">
        <v>296</v>
      </c>
      <c r="I766" s="11">
        <v>9.9</v>
      </c>
      <c r="J766" s="11">
        <v>1</v>
      </c>
      <c r="K766" s="11">
        <v>0</v>
      </c>
      <c r="L766" s="11" t="str" cm="1">
        <f t="array" ref="L766">IFERROR(_xlfn.XLOOKUP(C766&amp;A766, ESPN!A:A&amp;ESPN!C:C, ESPN!D:D), "N/A")</f>
        <v>N/A</v>
      </c>
      <c r="M766" s="23" t="str" cm="1">
        <f t="array" ref="M766">IFERROR(_xlfn.XLOOKUP(C766&amp;A766, ESPN!A:A&amp;ESPN!C:C, ESPN!G:G), "N/A")</f>
        <v>N/A</v>
      </c>
      <c r="N766" s="23" t="str" cm="1">
        <f t="array" ref="N766">IFERROR(_xlfn.XLOOKUP(C766&amp;A766, ESPN!A:A&amp;ESPN!C:C, ESPN!H:H), "N/A")</f>
        <v>N/A</v>
      </c>
      <c r="O766" s="26" t="str" cm="1">
        <f t="array" ref="O766">IFERROR(_xlfn.XLOOKUP(C766&amp;A766, ESPN!A:A&amp;ESPN!C:C, ESPN!I:I), "N/A")</f>
        <v>N/A</v>
      </c>
      <c r="P766" s="26" t="str" cm="1">
        <f t="array" ref="P766">IFERROR(_xlfn.XLOOKUP(C766&amp;A766, ESPN!A:A&amp;ESPN!C:C, ESPN!J:J), "N/A")</f>
        <v>N/A</v>
      </c>
      <c r="Q766" s="26" t="str" cm="1">
        <f t="array" ref="Q766">IFERROR(_xlfn.XLOOKUP(C766&amp;A766, ESPN!A:A&amp;ESPN!C:C, ESPN!K:K), "N/A")</f>
        <v>N/A</v>
      </c>
    </row>
    <row r="767" spans="1:17" x14ac:dyDescent="0.45">
      <c r="A767" s="7">
        <v>2021</v>
      </c>
      <c r="B767" s="3" t="s">
        <v>448</v>
      </c>
      <c r="C767" s="4" t="str">
        <f t="shared" si="22"/>
        <v>Chris Carson</v>
      </c>
      <c r="D767" s="4" t="str">
        <f t="shared" si="23"/>
        <v>SEA</v>
      </c>
      <c r="E767" s="4">
        <v>4</v>
      </c>
      <c r="F767" s="12">
        <v>6</v>
      </c>
      <c r="G767" s="11">
        <v>6</v>
      </c>
      <c r="H767" s="11">
        <v>29</v>
      </c>
      <c r="I767" s="11">
        <v>4.8</v>
      </c>
      <c r="J767" s="11">
        <v>0</v>
      </c>
      <c r="K767" s="11">
        <v>1</v>
      </c>
      <c r="L767" s="11" t="str" cm="1">
        <f t="array" ref="L767">IFERROR(_xlfn.XLOOKUP(C767&amp;A767, ESPN!A:A&amp;ESPN!C:C, ESPN!D:D), "N/A")</f>
        <v>N/A</v>
      </c>
      <c r="M767" s="23" t="str" cm="1">
        <f t="array" ref="M767">IFERROR(_xlfn.XLOOKUP(C767&amp;A767, ESPN!A:A&amp;ESPN!C:C, ESPN!G:G), "N/A")</f>
        <v>N/A</v>
      </c>
      <c r="N767" s="23" t="str" cm="1">
        <f t="array" ref="N767">IFERROR(_xlfn.XLOOKUP(C767&amp;A767, ESPN!A:A&amp;ESPN!C:C, ESPN!H:H), "N/A")</f>
        <v>N/A</v>
      </c>
      <c r="O767" s="26" t="str" cm="1">
        <f t="array" ref="O767">IFERROR(_xlfn.XLOOKUP(C767&amp;A767, ESPN!A:A&amp;ESPN!C:C, ESPN!I:I), "N/A")</f>
        <v>N/A</v>
      </c>
      <c r="P767" s="26" t="str" cm="1">
        <f t="array" ref="P767">IFERROR(_xlfn.XLOOKUP(C767&amp;A767, ESPN!A:A&amp;ESPN!C:C, ESPN!J:J), "N/A")</f>
        <v>N/A</v>
      </c>
      <c r="Q767" s="26" t="str" cm="1">
        <f t="array" ref="Q767">IFERROR(_xlfn.XLOOKUP(C767&amp;A767, ESPN!A:A&amp;ESPN!C:C, ESPN!K:K), "N/A")</f>
        <v>N/A</v>
      </c>
    </row>
    <row r="768" spans="1:17" x14ac:dyDescent="0.45">
      <c r="A768" s="6">
        <v>2021</v>
      </c>
      <c r="B768" s="1" t="s">
        <v>449</v>
      </c>
      <c r="C768" s="2" t="str">
        <f t="shared" si="22"/>
        <v>Phillip Lindsay</v>
      </c>
      <c r="D768" s="2" t="str">
        <f t="shared" si="23"/>
        <v>MIA</v>
      </c>
      <c r="E768" s="2">
        <v>14</v>
      </c>
      <c r="F768" s="12">
        <v>5</v>
      </c>
      <c r="G768" s="11">
        <v>4</v>
      </c>
      <c r="H768" s="11">
        <v>45</v>
      </c>
      <c r="I768" s="11">
        <v>11.3</v>
      </c>
      <c r="J768" s="11">
        <v>1</v>
      </c>
      <c r="K768" s="11">
        <v>0</v>
      </c>
      <c r="L768" s="11" t="str" cm="1">
        <f t="array" ref="L768">IFERROR(_xlfn.XLOOKUP(C768&amp;A768, ESPN!A:A&amp;ESPN!C:C, ESPN!D:D), "N/A")</f>
        <v>N/A</v>
      </c>
      <c r="M768" s="23" t="str" cm="1">
        <f t="array" ref="M768">IFERROR(_xlfn.XLOOKUP(C768&amp;A768, ESPN!A:A&amp;ESPN!C:C, ESPN!G:G), "N/A")</f>
        <v>N/A</v>
      </c>
      <c r="N768" s="23" t="str" cm="1">
        <f t="array" ref="N768">IFERROR(_xlfn.XLOOKUP(C768&amp;A768, ESPN!A:A&amp;ESPN!C:C, ESPN!H:H), "N/A")</f>
        <v>N/A</v>
      </c>
      <c r="O768" s="26" t="str" cm="1">
        <f t="array" ref="O768">IFERROR(_xlfn.XLOOKUP(C768&amp;A768, ESPN!A:A&amp;ESPN!C:C, ESPN!I:I), "N/A")</f>
        <v>N/A</v>
      </c>
      <c r="P768" s="26" t="str" cm="1">
        <f t="array" ref="P768">IFERROR(_xlfn.XLOOKUP(C768&amp;A768, ESPN!A:A&amp;ESPN!C:C, ESPN!J:J), "N/A")</f>
        <v>N/A</v>
      </c>
      <c r="Q768" s="26" t="str" cm="1">
        <f t="array" ref="Q768">IFERROR(_xlfn.XLOOKUP(C768&amp;A768, ESPN!A:A&amp;ESPN!C:C, ESPN!K:K), "N/A")</f>
        <v>N/A</v>
      </c>
    </row>
    <row r="769" spans="1:17" x14ac:dyDescent="0.45">
      <c r="A769" s="7">
        <v>2021</v>
      </c>
      <c r="B769" s="3" t="s">
        <v>450</v>
      </c>
      <c r="C769" s="4" t="str">
        <f t="shared" si="22"/>
        <v>Tevin Coleman</v>
      </c>
      <c r="D769" s="4" t="str">
        <f t="shared" si="23"/>
        <v>NYJ</v>
      </c>
      <c r="E769" s="4">
        <v>11</v>
      </c>
      <c r="F769" s="12">
        <v>16</v>
      </c>
      <c r="G769" s="11">
        <v>11</v>
      </c>
      <c r="H769" s="11">
        <v>49</v>
      </c>
      <c r="I769" s="11">
        <v>4.5</v>
      </c>
      <c r="J769" s="11">
        <v>0</v>
      </c>
      <c r="K769" s="11">
        <v>0</v>
      </c>
      <c r="L769" s="11" t="str" cm="1">
        <f t="array" ref="L769">IFERROR(_xlfn.XLOOKUP(C769&amp;A769, ESPN!A:A&amp;ESPN!C:C, ESPN!D:D), "N/A")</f>
        <v>N/A</v>
      </c>
      <c r="M769" s="23" t="str" cm="1">
        <f t="array" ref="M769">IFERROR(_xlfn.XLOOKUP(C769&amp;A769, ESPN!A:A&amp;ESPN!C:C, ESPN!G:G), "N/A")</f>
        <v>N/A</v>
      </c>
      <c r="N769" s="23" t="str" cm="1">
        <f t="array" ref="N769">IFERROR(_xlfn.XLOOKUP(C769&amp;A769, ESPN!A:A&amp;ESPN!C:C, ESPN!H:H), "N/A")</f>
        <v>N/A</v>
      </c>
      <c r="O769" s="26" t="str" cm="1">
        <f t="array" ref="O769">IFERROR(_xlfn.XLOOKUP(C769&amp;A769, ESPN!A:A&amp;ESPN!C:C, ESPN!I:I), "N/A")</f>
        <v>N/A</v>
      </c>
      <c r="P769" s="26" t="str" cm="1">
        <f t="array" ref="P769">IFERROR(_xlfn.XLOOKUP(C769&amp;A769, ESPN!A:A&amp;ESPN!C:C, ESPN!J:J), "N/A")</f>
        <v>N/A</v>
      </c>
      <c r="Q769" s="26" t="str" cm="1">
        <f t="array" ref="Q769">IFERROR(_xlfn.XLOOKUP(C769&amp;A769, ESPN!A:A&amp;ESPN!C:C, ESPN!K:K), "N/A")</f>
        <v>N/A</v>
      </c>
    </row>
    <row r="770" spans="1:17" x14ac:dyDescent="0.45">
      <c r="A770" s="6">
        <v>2021</v>
      </c>
      <c r="B770" s="1" t="s">
        <v>451</v>
      </c>
      <c r="C770" s="2" t="str">
        <f t="shared" ref="C770:C833" si="24">TRIM(LEFT(B770, LEN(B770) - LEN(TRIM(RIGHT(SUBSTITUTE(TRIM(B770)," ",REPT(" ",100)),100)))))</f>
        <v>Peyton Barber</v>
      </c>
      <c r="D770" s="2" t="str">
        <f t="shared" ref="D770:D833" si="25">MID(B770, FIND("(", B770) + 1, FIND(")", B770) - FIND("(", B770) - 1)</f>
        <v>LV</v>
      </c>
      <c r="E770" s="2">
        <v>10</v>
      </c>
      <c r="F770" s="12">
        <v>13</v>
      </c>
      <c r="G770" s="11">
        <v>10</v>
      </c>
      <c r="H770" s="11">
        <v>67</v>
      </c>
      <c r="I770" s="11">
        <v>6.7</v>
      </c>
      <c r="J770" s="11">
        <v>0</v>
      </c>
      <c r="K770" s="11">
        <v>0</v>
      </c>
      <c r="L770" s="11" t="str" cm="1">
        <f t="array" ref="L770">IFERROR(_xlfn.XLOOKUP(C770&amp;A770, ESPN!A:A&amp;ESPN!C:C, ESPN!D:D), "N/A")</f>
        <v>N/A</v>
      </c>
      <c r="M770" s="23" t="str" cm="1">
        <f t="array" ref="M770">IFERROR(_xlfn.XLOOKUP(C770&amp;A770, ESPN!A:A&amp;ESPN!C:C, ESPN!G:G), "N/A")</f>
        <v>N/A</v>
      </c>
      <c r="N770" s="23" t="str" cm="1">
        <f t="array" ref="N770">IFERROR(_xlfn.XLOOKUP(C770&amp;A770, ESPN!A:A&amp;ESPN!C:C, ESPN!H:H), "N/A")</f>
        <v>N/A</v>
      </c>
      <c r="O770" s="26" t="str" cm="1">
        <f t="array" ref="O770">IFERROR(_xlfn.XLOOKUP(C770&amp;A770, ESPN!A:A&amp;ESPN!C:C, ESPN!I:I), "N/A")</f>
        <v>N/A</v>
      </c>
      <c r="P770" s="26" t="str" cm="1">
        <f t="array" ref="P770">IFERROR(_xlfn.XLOOKUP(C770&amp;A770, ESPN!A:A&amp;ESPN!C:C, ESPN!J:J), "N/A")</f>
        <v>N/A</v>
      </c>
      <c r="Q770" s="26" t="str" cm="1">
        <f t="array" ref="Q770">IFERROR(_xlfn.XLOOKUP(C770&amp;A770, ESPN!A:A&amp;ESPN!C:C, ESPN!K:K), "N/A")</f>
        <v>N/A</v>
      </c>
    </row>
    <row r="771" spans="1:17" x14ac:dyDescent="0.45">
      <c r="A771" s="7">
        <v>2021</v>
      </c>
      <c r="B771" s="3" t="s">
        <v>305</v>
      </c>
      <c r="C771" s="4" t="str">
        <f t="shared" si="24"/>
        <v>DeeJay Dallas</v>
      </c>
      <c r="D771" s="4" t="str">
        <f t="shared" si="25"/>
        <v>SEA</v>
      </c>
      <c r="E771" s="4">
        <v>17</v>
      </c>
      <c r="F771" s="12">
        <v>23</v>
      </c>
      <c r="G771" s="11">
        <v>21</v>
      </c>
      <c r="H771" s="11">
        <v>133</v>
      </c>
      <c r="I771" s="11">
        <v>6.3</v>
      </c>
      <c r="J771" s="11">
        <v>0</v>
      </c>
      <c r="K771" s="11">
        <v>0</v>
      </c>
      <c r="L771" s="11" t="str" cm="1">
        <f t="array" ref="L771">IFERROR(_xlfn.XLOOKUP(C771&amp;A771, ESPN!A:A&amp;ESPN!C:C, ESPN!D:D), "N/A")</f>
        <v>N/A</v>
      </c>
      <c r="M771" s="23" t="str" cm="1">
        <f t="array" ref="M771">IFERROR(_xlfn.XLOOKUP(C771&amp;A771, ESPN!A:A&amp;ESPN!C:C, ESPN!G:G), "N/A")</f>
        <v>N/A</v>
      </c>
      <c r="N771" s="23" t="str" cm="1">
        <f t="array" ref="N771">IFERROR(_xlfn.XLOOKUP(C771&amp;A771, ESPN!A:A&amp;ESPN!C:C, ESPN!H:H), "N/A")</f>
        <v>N/A</v>
      </c>
      <c r="O771" s="26" t="str" cm="1">
        <f t="array" ref="O771">IFERROR(_xlfn.XLOOKUP(C771&amp;A771, ESPN!A:A&amp;ESPN!C:C, ESPN!I:I), "N/A")</f>
        <v>N/A</v>
      </c>
      <c r="P771" s="26" t="str" cm="1">
        <f t="array" ref="P771">IFERROR(_xlfn.XLOOKUP(C771&amp;A771, ESPN!A:A&amp;ESPN!C:C, ESPN!J:J), "N/A")</f>
        <v>N/A</v>
      </c>
      <c r="Q771" s="26" t="str" cm="1">
        <f t="array" ref="Q771">IFERROR(_xlfn.XLOOKUP(C771&amp;A771, ESPN!A:A&amp;ESPN!C:C, ESPN!K:K), "N/A")</f>
        <v>N/A</v>
      </c>
    </row>
    <row r="772" spans="1:17" x14ac:dyDescent="0.45">
      <c r="A772" s="6">
        <v>2021</v>
      </c>
      <c r="B772" s="1" t="s">
        <v>452</v>
      </c>
      <c r="C772" s="2" t="str">
        <f t="shared" si="24"/>
        <v>Dare Ogunbowale</v>
      </c>
      <c r="D772" s="2" t="str">
        <f t="shared" si="25"/>
        <v>JAC</v>
      </c>
      <c r="E772" s="2">
        <v>13</v>
      </c>
      <c r="F772" s="12">
        <v>21</v>
      </c>
      <c r="G772" s="11">
        <v>13</v>
      </c>
      <c r="H772" s="11">
        <v>114</v>
      </c>
      <c r="I772" s="11">
        <v>8.8000000000000007</v>
      </c>
      <c r="J772" s="11">
        <v>1</v>
      </c>
      <c r="K772" s="11">
        <v>0</v>
      </c>
      <c r="L772" s="11" t="str" cm="1">
        <f t="array" ref="L772">IFERROR(_xlfn.XLOOKUP(C772&amp;A772, ESPN!A:A&amp;ESPN!C:C, ESPN!D:D), "N/A")</f>
        <v>N/A</v>
      </c>
      <c r="M772" s="23" t="str" cm="1">
        <f t="array" ref="M772">IFERROR(_xlfn.XLOOKUP(C772&amp;A772, ESPN!A:A&amp;ESPN!C:C, ESPN!G:G), "N/A")</f>
        <v>N/A</v>
      </c>
      <c r="N772" s="23" t="str" cm="1">
        <f t="array" ref="N772">IFERROR(_xlfn.XLOOKUP(C772&amp;A772, ESPN!A:A&amp;ESPN!C:C, ESPN!H:H), "N/A")</f>
        <v>N/A</v>
      </c>
      <c r="O772" s="26" t="str" cm="1">
        <f t="array" ref="O772">IFERROR(_xlfn.XLOOKUP(C772&amp;A772, ESPN!A:A&amp;ESPN!C:C, ESPN!I:I), "N/A")</f>
        <v>N/A</v>
      </c>
      <c r="P772" s="26" t="str" cm="1">
        <f t="array" ref="P772">IFERROR(_xlfn.XLOOKUP(C772&amp;A772, ESPN!A:A&amp;ESPN!C:C, ESPN!J:J), "N/A")</f>
        <v>N/A</v>
      </c>
      <c r="Q772" s="26" t="str" cm="1">
        <f t="array" ref="Q772">IFERROR(_xlfn.XLOOKUP(C772&amp;A772, ESPN!A:A&amp;ESPN!C:C, ESPN!K:K), "N/A")</f>
        <v>N/A</v>
      </c>
    </row>
    <row r="773" spans="1:17" x14ac:dyDescent="0.45">
      <c r="A773" s="7">
        <v>2021</v>
      </c>
      <c r="B773" s="3" t="s">
        <v>394</v>
      </c>
      <c r="C773" s="4" t="str">
        <f t="shared" si="24"/>
        <v>Giovani Bernard</v>
      </c>
      <c r="D773" s="4" t="str">
        <f t="shared" si="25"/>
        <v>TB</v>
      </c>
      <c r="E773" s="4">
        <v>10</v>
      </c>
      <c r="F773" s="12">
        <v>29</v>
      </c>
      <c r="G773" s="11">
        <v>23</v>
      </c>
      <c r="H773" s="11">
        <v>123</v>
      </c>
      <c r="I773" s="11">
        <v>5.3</v>
      </c>
      <c r="J773" s="11">
        <v>3</v>
      </c>
      <c r="K773" s="11">
        <v>0</v>
      </c>
      <c r="L773" s="11" cm="1">
        <f t="array" ref="L773">IFERROR(_xlfn.XLOOKUP(C773&amp;A773, ESPN!A:A&amp;ESPN!C:C, ESPN!D:D), "N/A")</f>
        <v>98</v>
      </c>
      <c r="M773" s="23" cm="1">
        <f t="array" ref="M773">IFERROR(_xlfn.XLOOKUP(C773&amp;A773, ESPN!A:A&amp;ESPN!C:C, ESPN!G:G), "N/A")</f>
        <v>1.65</v>
      </c>
      <c r="N773" s="23" cm="1">
        <f t="array" ref="N773">IFERROR(_xlfn.XLOOKUP(C773&amp;A773, ESPN!A:A&amp;ESPN!C:C, ESPN!H:H), "N/A")</f>
        <v>33</v>
      </c>
      <c r="O773" s="26" cm="1">
        <f t="array" ref="O773">IFERROR(_xlfn.XLOOKUP(C773&amp;A773, ESPN!A:A&amp;ESPN!C:C, ESPN!I:I), "N/A")</f>
        <v>46</v>
      </c>
      <c r="P773" s="26" cm="1">
        <f t="array" ref="P773">IFERROR(_xlfn.XLOOKUP(C773&amp;A773, ESPN!A:A&amp;ESPN!C:C, ESPN!J:J), "N/A")</f>
        <v>38</v>
      </c>
      <c r="Q773" s="26" cm="1">
        <f t="array" ref="Q773">IFERROR(_xlfn.XLOOKUP(C773&amp;A773, ESPN!A:A&amp;ESPN!C:C, ESPN!K:K), "N/A")</f>
        <v>32</v>
      </c>
    </row>
    <row r="774" spans="1:17" x14ac:dyDescent="0.45">
      <c r="A774" s="6">
        <v>2021</v>
      </c>
      <c r="B774" s="1" t="s">
        <v>453</v>
      </c>
      <c r="C774" s="2" t="str">
        <f t="shared" si="24"/>
        <v>Matt Breida</v>
      </c>
      <c r="D774" s="2" t="str">
        <f t="shared" si="25"/>
        <v>BUF</v>
      </c>
      <c r="E774" s="2">
        <v>7</v>
      </c>
      <c r="F774" s="12">
        <v>9</v>
      </c>
      <c r="G774" s="11">
        <v>7</v>
      </c>
      <c r="H774" s="11">
        <v>72</v>
      </c>
      <c r="I774" s="11">
        <v>10.3</v>
      </c>
      <c r="J774" s="11">
        <v>2</v>
      </c>
      <c r="K774" s="11">
        <v>1</v>
      </c>
      <c r="L774" s="11" t="str" cm="1">
        <f t="array" ref="L774">IFERROR(_xlfn.XLOOKUP(C774&amp;A774, ESPN!A:A&amp;ESPN!C:C, ESPN!D:D), "N/A")</f>
        <v>N/A</v>
      </c>
      <c r="M774" s="23" t="str" cm="1">
        <f t="array" ref="M774">IFERROR(_xlfn.XLOOKUP(C774&amp;A774, ESPN!A:A&amp;ESPN!C:C, ESPN!G:G), "N/A")</f>
        <v>N/A</v>
      </c>
      <c r="N774" s="23" t="str" cm="1">
        <f t="array" ref="N774">IFERROR(_xlfn.XLOOKUP(C774&amp;A774, ESPN!A:A&amp;ESPN!C:C, ESPN!H:H), "N/A")</f>
        <v>N/A</v>
      </c>
      <c r="O774" s="26" t="str" cm="1">
        <f t="array" ref="O774">IFERROR(_xlfn.XLOOKUP(C774&amp;A774, ESPN!A:A&amp;ESPN!C:C, ESPN!I:I), "N/A")</f>
        <v>N/A</v>
      </c>
      <c r="P774" s="26" t="str" cm="1">
        <f t="array" ref="P774">IFERROR(_xlfn.XLOOKUP(C774&amp;A774, ESPN!A:A&amp;ESPN!C:C, ESPN!J:J), "N/A")</f>
        <v>N/A</v>
      </c>
      <c r="Q774" s="26" t="str" cm="1">
        <f t="array" ref="Q774">IFERROR(_xlfn.XLOOKUP(C774&amp;A774, ESPN!A:A&amp;ESPN!C:C, ESPN!K:K), "N/A")</f>
        <v>N/A</v>
      </c>
    </row>
    <row r="775" spans="1:17" x14ac:dyDescent="0.45">
      <c r="A775" s="7">
        <v>2021</v>
      </c>
      <c r="B775" s="3" t="s">
        <v>319</v>
      </c>
      <c r="C775" s="4" t="str">
        <f t="shared" si="24"/>
        <v>Chris Evans</v>
      </c>
      <c r="D775" s="4" t="str">
        <f t="shared" si="25"/>
        <v>CIN</v>
      </c>
      <c r="E775" s="4">
        <v>9</v>
      </c>
      <c r="F775" s="12">
        <v>17</v>
      </c>
      <c r="G775" s="11">
        <v>15</v>
      </c>
      <c r="H775" s="11">
        <v>151</v>
      </c>
      <c r="I775" s="11">
        <v>10.1</v>
      </c>
      <c r="J775" s="11">
        <v>2</v>
      </c>
      <c r="K775" s="11">
        <v>0</v>
      </c>
      <c r="L775" s="11" t="str" cm="1">
        <f t="array" ref="L775">IFERROR(_xlfn.XLOOKUP(C775&amp;A775, ESPN!A:A&amp;ESPN!C:C, ESPN!D:D), "N/A")</f>
        <v>N/A</v>
      </c>
      <c r="M775" s="23" t="str" cm="1">
        <f t="array" ref="M775">IFERROR(_xlfn.XLOOKUP(C775&amp;A775, ESPN!A:A&amp;ESPN!C:C, ESPN!G:G), "N/A")</f>
        <v>N/A</v>
      </c>
      <c r="N775" s="23" t="str" cm="1">
        <f t="array" ref="N775">IFERROR(_xlfn.XLOOKUP(C775&amp;A775, ESPN!A:A&amp;ESPN!C:C, ESPN!H:H), "N/A")</f>
        <v>N/A</v>
      </c>
      <c r="O775" s="26" t="str" cm="1">
        <f t="array" ref="O775">IFERROR(_xlfn.XLOOKUP(C775&amp;A775, ESPN!A:A&amp;ESPN!C:C, ESPN!I:I), "N/A")</f>
        <v>N/A</v>
      </c>
      <c r="P775" s="26" t="str" cm="1">
        <f t="array" ref="P775">IFERROR(_xlfn.XLOOKUP(C775&amp;A775, ESPN!A:A&amp;ESPN!C:C, ESPN!J:J), "N/A")</f>
        <v>N/A</v>
      </c>
      <c r="Q775" s="26" t="str" cm="1">
        <f t="array" ref="Q775">IFERROR(_xlfn.XLOOKUP(C775&amp;A775, ESPN!A:A&amp;ESPN!C:C, ESPN!K:K), "N/A")</f>
        <v>N/A</v>
      </c>
    </row>
    <row r="776" spans="1:17" x14ac:dyDescent="0.45">
      <c r="A776" s="6">
        <v>2021</v>
      </c>
      <c r="B776" s="1" t="s">
        <v>454</v>
      </c>
      <c r="C776" s="2" t="str">
        <f t="shared" si="24"/>
        <v>Carlos Hyde</v>
      </c>
      <c r="D776" s="2" t="str">
        <f t="shared" si="25"/>
        <v>JAC</v>
      </c>
      <c r="E776" s="2">
        <v>12</v>
      </c>
      <c r="F776" s="12">
        <v>22</v>
      </c>
      <c r="G776" s="11">
        <v>12</v>
      </c>
      <c r="H776" s="11">
        <v>65</v>
      </c>
      <c r="I776" s="11">
        <v>5.4</v>
      </c>
      <c r="J776" s="11">
        <v>0</v>
      </c>
      <c r="K776" s="11">
        <v>2</v>
      </c>
      <c r="L776" s="11" t="str" cm="1">
        <f t="array" ref="L776">IFERROR(_xlfn.XLOOKUP(C776&amp;A776, ESPN!A:A&amp;ESPN!C:C, ESPN!D:D), "N/A")</f>
        <v>N/A</v>
      </c>
      <c r="M776" s="23" t="str" cm="1">
        <f t="array" ref="M776">IFERROR(_xlfn.XLOOKUP(C776&amp;A776, ESPN!A:A&amp;ESPN!C:C, ESPN!G:G), "N/A")</f>
        <v>N/A</v>
      </c>
      <c r="N776" s="23" t="str" cm="1">
        <f t="array" ref="N776">IFERROR(_xlfn.XLOOKUP(C776&amp;A776, ESPN!A:A&amp;ESPN!C:C, ESPN!H:H), "N/A")</f>
        <v>N/A</v>
      </c>
      <c r="O776" s="26" t="str" cm="1">
        <f t="array" ref="O776">IFERROR(_xlfn.XLOOKUP(C776&amp;A776, ESPN!A:A&amp;ESPN!C:C, ESPN!I:I), "N/A")</f>
        <v>N/A</v>
      </c>
      <c r="P776" s="26" t="str" cm="1">
        <f t="array" ref="P776">IFERROR(_xlfn.XLOOKUP(C776&amp;A776, ESPN!A:A&amp;ESPN!C:C, ESPN!J:J), "N/A")</f>
        <v>N/A</v>
      </c>
      <c r="Q776" s="26" t="str" cm="1">
        <f t="array" ref="Q776">IFERROR(_xlfn.XLOOKUP(C776&amp;A776, ESPN!A:A&amp;ESPN!C:C, ESPN!K:K), "N/A")</f>
        <v>N/A</v>
      </c>
    </row>
    <row r="777" spans="1:17" x14ac:dyDescent="0.45">
      <c r="A777" s="7">
        <v>2021</v>
      </c>
      <c r="B777" s="3" t="s">
        <v>455</v>
      </c>
      <c r="C777" s="4" t="str">
        <f t="shared" si="24"/>
        <v>Le'Veon Bell</v>
      </c>
      <c r="D777" s="4" t="str">
        <f t="shared" si="25"/>
        <v>TB</v>
      </c>
      <c r="E777" s="4">
        <v>8</v>
      </c>
      <c r="F777" s="12">
        <v>7</v>
      </c>
      <c r="G777" s="11">
        <v>5</v>
      </c>
      <c r="H777" s="11">
        <v>30</v>
      </c>
      <c r="I777" s="11">
        <v>6</v>
      </c>
      <c r="J777" s="11">
        <v>1</v>
      </c>
      <c r="K777" s="11">
        <v>0</v>
      </c>
      <c r="L777" s="11" t="str" cm="1">
        <f t="array" ref="L777">IFERROR(_xlfn.XLOOKUP(C777&amp;A777, ESPN!A:A&amp;ESPN!C:C, ESPN!D:D), "N/A")</f>
        <v>N/A</v>
      </c>
      <c r="M777" s="23" t="str" cm="1">
        <f t="array" ref="M777">IFERROR(_xlfn.XLOOKUP(C777&amp;A777, ESPN!A:A&amp;ESPN!C:C, ESPN!G:G), "N/A")</f>
        <v>N/A</v>
      </c>
      <c r="N777" s="23" t="str" cm="1">
        <f t="array" ref="N777">IFERROR(_xlfn.XLOOKUP(C777&amp;A777, ESPN!A:A&amp;ESPN!C:C, ESPN!H:H), "N/A")</f>
        <v>N/A</v>
      </c>
      <c r="O777" s="26" t="str" cm="1">
        <f t="array" ref="O777">IFERROR(_xlfn.XLOOKUP(C777&amp;A777, ESPN!A:A&amp;ESPN!C:C, ESPN!I:I), "N/A")</f>
        <v>N/A</v>
      </c>
      <c r="P777" s="26" t="str" cm="1">
        <f t="array" ref="P777">IFERROR(_xlfn.XLOOKUP(C777&amp;A777, ESPN!A:A&amp;ESPN!C:C, ESPN!J:J), "N/A")</f>
        <v>N/A</v>
      </c>
      <c r="Q777" s="26" t="str" cm="1">
        <f t="array" ref="Q777">IFERROR(_xlfn.XLOOKUP(C777&amp;A777, ESPN!A:A&amp;ESPN!C:C, ESPN!K:K), "N/A")</f>
        <v>N/A</v>
      </c>
    </row>
    <row r="778" spans="1:17" x14ac:dyDescent="0.45">
      <c r="A778" s="6">
        <v>2021</v>
      </c>
      <c r="B778" s="1" t="s">
        <v>456</v>
      </c>
      <c r="C778" s="2" t="str">
        <f t="shared" si="24"/>
        <v>Ty'Son Williams</v>
      </c>
      <c r="D778" s="2" t="str">
        <f t="shared" si="25"/>
        <v>BAL</v>
      </c>
      <c r="E778" s="2">
        <v>8</v>
      </c>
      <c r="F778" s="12">
        <v>12</v>
      </c>
      <c r="G778" s="11">
        <v>9</v>
      </c>
      <c r="H778" s="11">
        <v>84</v>
      </c>
      <c r="I778" s="11">
        <v>9.3000000000000007</v>
      </c>
      <c r="J778" s="11">
        <v>0</v>
      </c>
      <c r="K778" s="11">
        <v>0</v>
      </c>
      <c r="L778" s="11" t="str" cm="1">
        <f t="array" ref="L778">IFERROR(_xlfn.XLOOKUP(C778&amp;A778, ESPN!A:A&amp;ESPN!C:C, ESPN!D:D), "N/A")</f>
        <v>N/A</v>
      </c>
      <c r="M778" s="23" t="str" cm="1">
        <f t="array" ref="M778">IFERROR(_xlfn.XLOOKUP(C778&amp;A778, ESPN!A:A&amp;ESPN!C:C, ESPN!G:G), "N/A")</f>
        <v>N/A</v>
      </c>
      <c r="N778" s="23" t="str" cm="1">
        <f t="array" ref="N778">IFERROR(_xlfn.XLOOKUP(C778&amp;A778, ESPN!A:A&amp;ESPN!C:C, ESPN!H:H), "N/A")</f>
        <v>N/A</v>
      </c>
      <c r="O778" s="26" t="str" cm="1">
        <f t="array" ref="O778">IFERROR(_xlfn.XLOOKUP(C778&amp;A778, ESPN!A:A&amp;ESPN!C:C, ESPN!I:I), "N/A")</f>
        <v>N/A</v>
      </c>
      <c r="P778" s="26" t="str" cm="1">
        <f t="array" ref="P778">IFERROR(_xlfn.XLOOKUP(C778&amp;A778, ESPN!A:A&amp;ESPN!C:C, ESPN!J:J), "N/A")</f>
        <v>N/A</v>
      </c>
      <c r="Q778" s="26" t="str" cm="1">
        <f t="array" ref="Q778">IFERROR(_xlfn.XLOOKUP(C778&amp;A778, ESPN!A:A&amp;ESPN!C:C, ESPN!K:K), "N/A")</f>
        <v>N/A</v>
      </c>
    </row>
    <row r="779" spans="1:17" x14ac:dyDescent="0.45">
      <c r="A779" s="7">
        <v>2021</v>
      </c>
      <c r="B779" s="3" t="s">
        <v>300</v>
      </c>
      <c r="C779" s="4" t="str">
        <f t="shared" si="24"/>
        <v>Ke'Shawn Vaughn</v>
      </c>
      <c r="D779" s="4" t="str">
        <f t="shared" si="25"/>
        <v>TB</v>
      </c>
      <c r="E779" s="4">
        <v>6</v>
      </c>
      <c r="F779" s="12">
        <v>8</v>
      </c>
      <c r="G779" s="11">
        <v>4</v>
      </c>
      <c r="H779" s="11">
        <v>26</v>
      </c>
      <c r="I779" s="11">
        <v>6.5</v>
      </c>
      <c r="J779" s="11">
        <v>0</v>
      </c>
      <c r="K779" s="11">
        <v>0</v>
      </c>
      <c r="L779" s="11" t="str" cm="1">
        <f t="array" ref="L779">IFERROR(_xlfn.XLOOKUP(C779&amp;A779, ESPN!A:A&amp;ESPN!C:C, ESPN!D:D), "N/A")</f>
        <v>N/A</v>
      </c>
      <c r="M779" s="23" t="str" cm="1">
        <f t="array" ref="M779">IFERROR(_xlfn.XLOOKUP(C779&amp;A779, ESPN!A:A&amp;ESPN!C:C, ESPN!G:G), "N/A")</f>
        <v>N/A</v>
      </c>
      <c r="N779" s="23" t="str" cm="1">
        <f t="array" ref="N779">IFERROR(_xlfn.XLOOKUP(C779&amp;A779, ESPN!A:A&amp;ESPN!C:C, ESPN!H:H), "N/A")</f>
        <v>N/A</v>
      </c>
      <c r="O779" s="26" t="str" cm="1">
        <f t="array" ref="O779">IFERROR(_xlfn.XLOOKUP(C779&amp;A779, ESPN!A:A&amp;ESPN!C:C, ESPN!I:I), "N/A")</f>
        <v>N/A</v>
      </c>
      <c r="P779" s="26" t="str" cm="1">
        <f t="array" ref="P779">IFERROR(_xlfn.XLOOKUP(C779&amp;A779, ESPN!A:A&amp;ESPN!C:C, ESPN!J:J), "N/A")</f>
        <v>N/A</v>
      </c>
      <c r="Q779" s="26" t="str" cm="1">
        <f t="array" ref="Q779">IFERROR(_xlfn.XLOOKUP(C779&amp;A779, ESPN!A:A&amp;ESPN!C:C, ESPN!K:K), "N/A")</f>
        <v>N/A</v>
      </c>
    </row>
    <row r="780" spans="1:17" x14ac:dyDescent="0.45">
      <c r="A780" s="6">
        <v>2021</v>
      </c>
      <c r="B780" s="1" t="s">
        <v>406</v>
      </c>
      <c r="C780" s="2" t="str">
        <f t="shared" si="24"/>
        <v>Demetric Felton Jr.</v>
      </c>
      <c r="D780" s="2" t="str">
        <f t="shared" si="25"/>
        <v>CLE</v>
      </c>
      <c r="E780" s="2">
        <v>15</v>
      </c>
      <c r="F780" s="12">
        <v>21</v>
      </c>
      <c r="G780" s="11">
        <v>18</v>
      </c>
      <c r="H780" s="11">
        <v>181</v>
      </c>
      <c r="I780" s="11">
        <v>10.1</v>
      </c>
      <c r="J780" s="11">
        <v>2</v>
      </c>
      <c r="K780" s="11">
        <v>0</v>
      </c>
      <c r="L780" s="11" t="str" cm="1">
        <f t="array" ref="L780">IFERROR(_xlfn.XLOOKUP(C780&amp;A780, ESPN!A:A&amp;ESPN!C:C, ESPN!D:D), "N/A")</f>
        <v>N/A</v>
      </c>
      <c r="M780" s="23" t="str" cm="1">
        <f t="array" ref="M780">IFERROR(_xlfn.XLOOKUP(C780&amp;A780, ESPN!A:A&amp;ESPN!C:C, ESPN!G:G), "N/A")</f>
        <v>N/A</v>
      </c>
      <c r="N780" s="23" t="str" cm="1">
        <f t="array" ref="N780">IFERROR(_xlfn.XLOOKUP(C780&amp;A780, ESPN!A:A&amp;ESPN!C:C, ESPN!H:H), "N/A")</f>
        <v>N/A</v>
      </c>
      <c r="O780" s="26" t="str" cm="1">
        <f t="array" ref="O780">IFERROR(_xlfn.XLOOKUP(C780&amp;A780, ESPN!A:A&amp;ESPN!C:C, ESPN!I:I), "N/A")</f>
        <v>N/A</v>
      </c>
      <c r="P780" s="26" t="str" cm="1">
        <f t="array" ref="P780">IFERROR(_xlfn.XLOOKUP(C780&amp;A780, ESPN!A:A&amp;ESPN!C:C, ESPN!J:J), "N/A")</f>
        <v>N/A</v>
      </c>
      <c r="Q780" s="26" t="str" cm="1">
        <f t="array" ref="Q780">IFERROR(_xlfn.XLOOKUP(C780&amp;A780, ESPN!A:A&amp;ESPN!C:C, ESPN!K:K), "N/A")</f>
        <v>N/A</v>
      </c>
    </row>
    <row r="781" spans="1:17" x14ac:dyDescent="0.45">
      <c r="A781" s="7">
        <v>2021</v>
      </c>
      <c r="B781" s="3" t="s">
        <v>143</v>
      </c>
      <c r="C781" s="4" t="str">
        <f t="shared" si="24"/>
        <v>Craig Reynolds</v>
      </c>
      <c r="D781" s="4" t="str">
        <f t="shared" si="25"/>
        <v>DET</v>
      </c>
      <c r="E781" s="4">
        <v>5</v>
      </c>
      <c r="F781" s="12">
        <v>8</v>
      </c>
      <c r="G781" s="11">
        <v>7</v>
      </c>
      <c r="H781" s="11">
        <v>52</v>
      </c>
      <c r="I781" s="11">
        <v>7.4</v>
      </c>
      <c r="J781" s="11">
        <v>0</v>
      </c>
      <c r="K781" s="11">
        <v>0</v>
      </c>
      <c r="L781" s="11" t="str" cm="1">
        <f t="array" ref="L781">IFERROR(_xlfn.XLOOKUP(C781&amp;A781, ESPN!A:A&amp;ESPN!C:C, ESPN!D:D), "N/A")</f>
        <v>N/A</v>
      </c>
      <c r="M781" s="23" t="str" cm="1">
        <f t="array" ref="M781">IFERROR(_xlfn.XLOOKUP(C781&amp;A781, ESPN!A:A&amp;ESPN!C:C, ESPN!G:G), "N/A")</f>
        <v>N/A</v>
      </c>
      <c r="N781" s="23" t="str" cm="1">
        <f t="array" ref="N781">IFERROR(_xlfn.XLOOKUP(C781&amp;A781, ESPN!A:A&amp;ESPN!C:C, ESPN!H:H), "N/A")</f>
        <v>N/A</v>
      </c>
      <c r="O781" s="26" t="str" cm="1">
        <f t="array" ref="O781">IFERROR(_xlfn.XLOOKUP(C781&amp;A781, ESPN!A:A&amp;ESPN!C:C, ESPN!I:I), "N/A")</f>
        <v>N/A</v>
      </c>
      <c r="P781" s="26" t="str" cm="1">
        <f t="array" ref="P781">IFERROR(_xlfn.XLOOKUP(C781&amp;A781, ESPN!A:A&amp;ESPN!C:C, ESPN!J:J), "N/A")</f>
        <v>N/A</v>
      </c>
      <c r="Q781" s="26" t="str" cm="1">
        <f t="array" ref="Q781">IFERROR(_xlfn.XLOOKUP(C781&amp;A781, ESPN!A:A&amp;ESPN!C:C, ESPN!K:K), "N/A")</f>
        <v>N/A</v>
      </c>
    </row>
    <row r="782" spans="1:17" x14ac:dyDescent="0.45">
      <c r="A782" s="6">
        <v>2021</v>
      </c>
      <c r="B782" s="1" t="s">
        <v>457</v>
      </c>
      <c r="C782" s="2" t="str">
        <f t="shared" si="24"/>
        <v>Elijhaa Penny</v>
      </c>
      <c r="D782" s="2" t="str">
        <f t="shared" si="25"/>
        <v>NYG</v>
      </c>
      <c r="E782" s="2">
        <v>13</v>
      </c>
      <c r="F782" s="12">
        <v>13</v>
      </c>
      <c r="G782" s="11">
        <v>9</v>
      </c>
      <c r="H782" s="11">
        <v>30</v>
      </c>
      <c r="I782" s="11">
        <v>3.3</v>
      </c>
      <c r="J782" s="11">
        <v>1</v>
      </c>
      <c r="K782" s="11">
        <v>0</v>
      </c>
      <c r="L782" s="11" t="str" cm="1">
        <f t="array" ref="L782">IFERROR(_xlfn.XLOOKUP(C782&amp;A782, ESPN!A:A&amp;ESPN!C:C, ESPN!D:D), "N/A")</f>
        <v>N/A</v>
      </c>
      <c r="M782" s="23" t="str" cm="1">
        <f t="array" ref="M782">IFERROR(_xlfn.XLOOKUP(C782&amp;A782, ESPN!A:A&amp;ESPN!C:C, ESPN!G:G), "N/A")</f>
        <v>N/A</v>
      </c>
      <c r="N782" s="23" t="str" cm="1">
        <f t="array" ref="N782">IFERROR(_xlfn.XLOOKUP(C782&amp;A782, ESPN!A:A&amp;ESPN!C:C, ESPN!H:H), "N/A")</f>
        <v>N/A</v>
      </c>
      <c r="O782" s="26" t="str" cm="1">
        <f t="array" ref="O782">IFERROR(_xlfn.XLOOKUP(C782&amp;A782, ESPN!A:A&amp;ESPN!C:C, ESPN!I:I), "N/A")</f>
        <v>N/A</v>
      </c>
      <c r="P782" s="26" t="str" cm="1">
        <f t="array" ref="P782">IFERROR(_xlfn.XLOOKUP(C782&amp;A782, ESPN!A:A&amp;ESPN!C:C, ESPN!J:J), "N/A")</f>
        <v>N/A</v>
      </c>
      <c r="Q782" s="26" t="str" cm="1">
        <f t="array" ref="Q782">IFERROR(_xlfn.XLOOKUP(C782&amp;A782, ESPN!A:A&amp;ESPN!C:C, ESPN!K:K), "N/A")</f>
        <v>N/A</v>
      </c>
    </row>
    <row r="783" spans="1:17" x14ac:dyDescent="0.45">
      <c r="A783" s="7">
        <v>2021</v>
      </c>
      <c r="B783" s="3" t="s">
        <v>279</v>
      </c>
      <c r="C783" s="4" t="str">
        <f t="shared" si="24"/>
        <v>Salvon Ahmed</v>
      </c>
      <c r="D783" s="4" t="str">
        <f t="shared" si="25"/>
        <v>MIA</v>
      </c>
      <c r="E783" s="4">
        <v>11</v>
      </c>
      <c r="F783" s="12">
        <v>19</v>
      </c>
      <c r="G783" s="11">
        <v>12</v>
      </c>
      <c r="H783" s="11">
        <v>117</v>
      </c>
      <c r="I783" s="11">
        <v>9.8000000000000007</v>
      </c>
      <c r="J783" s="11">
        <v>0</v>
      </c>
      <c r="K783" s="11">
        <v>0</v>
      </c>
      <c r="L783" s="11" t="str" cm="1">
        <f t="array" ref="L783">IFERROR(_xlfn.XLOOKUP(C783&amp;A783, ESPN!A:A&amp;ESPN!C:C, ESPN!D:D), "N/A")</f>
        <v>N/A</v>
      </c>
      <c r="M783" s="23" t="str" cm="1">
        <f t="array" ref="M783">IFERROR(_xlfn.XLOOKUP(C783&amp;A783, ESPN!A:A&amp;ESPN!C:C, ESPN!G:G), "N/A")</f>
        <v>N/A</v>
      </c>
      <c r="N783" s="23" t="str" cm="1">
        <f t="array" ref="N783">IFERROR(_xlfn.XLOOKUP(C783&amp;A783, ESPN!A:A&amp;ESPN!C:C, ESPN!H:H), "N/A")</f>
        <v>N/A</v>
      </c>
      <c r="O783" s="26" t="str" cm="1">
        <f t="array" ref="O783">IFERROR(_xlfn.XLOOKUP(C783&amp;A783, ESPN!A:A&amp;ESPN!C:C, ESPN!I:I), "N/A")</f>
        <v>N/A</v>
      </c>
      <c r="P783" s="26" t="str" cm="1">
        <f t="array" ref="P783">IFERROR(_xlfn.XLOOKUP(C783&amp;A783, ESPN!A:A&amp;ESPN!C:C, ESPN!J:J), "N/A")</f>
        <v>N/A</v>
      </c>
      <c r="Q783" s="26" t="str" cm="1">
        <f t="array" ref="Q783">IFERROR(_xlfn.XLOOKUP(C783&amp;A783, ESPN!A:A&amp;ESPN!C:C, ESPN!K:K), "N/A")</f>
        <v>N/A</v>
      </c>
    </row>
    <row r="784" spans="1:17" x14ac:dyDescent="0.45">
      <c r="A784" s="6">
        <v>2021</v>
      </c>
      <c r="B784" s="1" t="s">
        <v>458</v>
      </c>
      <c r="C784" s="2" t="str">
        <f t="shared" si="24"/>
        <v>JaMycal Hasty</v>
      </c>
      <c r="D784" s="2" t="str">
        <f t="shared" si="25"/>
        <v>SF</v>
      </c>
      <c r="E784" s="2">
        <v>11</v>
      </c>
      <c r="F784" s="12">
        <v>29</v>
      </c>
      <c r="G784" s="11">
        <v>23</v>
      </c>
      <c r="H784" s="11">
        <v>157</v>
      </c>
      <c r="I784" s="11">
        <v>6.8</v>
      </c>
      <c r="J784" s="11">
        <v>0</v>
      </c>
      <c r="K784" s="11">
        <v>1</v>
      </c>
      <c r="L784" s="11" cm="1">
        <f t="array" ref="L784">IFERROR(_xlfn.XLOOKUP(C784&amp;A784, ESPN!A:A&amp;ESPN!C:C, ESPN!D:D), "N/A")</f>
        <v>93</v>
      </c>
      <c r="M784" s="23" cm="1">
        <f t="array" ref="M784">IFERROR(_xlfn.XLOOKUP(C784&amp;A784, ESPN!A:A&amp;ESPN!C:C, ESPN!G:G), "N/A")</f>
        <v>1.75</v>
      </c>
      <c r="N784" s="23" cm="1">
        <f t="array" ref="N784">IFERROR(_xlfn.XLOOKUP(C784&amp;A784, ESPN!A:A&amp;ESPN!C:C, ESPN!H:H), "N/A")</f>
        <v>55</v>
      </c>
      <c r="O784" s="26" cm="1">
        <f t="array" ref="O784">IFERROR(_xlfn.XLOOKUP(C784&amp;A784, ESPN!A:A&amp;ESPN!C:C, ESPN!I:I), "N/A")</f>
        <v>53</v>
      </c>
      <c r="P784" s="26" cm="1">
        <f t="array" ref="P784">IFERROR(_xlfn.XLOOKUP(C784&amp;A784, ESPN!A:A&amp;ESPN!C:C, ESPN!J:J), "N/A")</f>
        <v>43</v>
      </c>
      <c r="Q784" s="26" cm="1">
        <f t="array" ref="Q784">IFERROR(_xlfn.XLOOKUP(C784&amp;A784, ESPN!A:A&amp;ESPN!C:C, ESPN!K:K), "N/A")</f>
        <v>47</v>
      </c>
    </row>
    <row r="785" spans="1:17" x14ac:dyDescent="0.45">
      <c r="A785" s="7">
        <v>2021</v>
      </c>
      <c r="B785" s="3" t="s">
        <v>459</v>
      </c>
      <c r="C785" s="4" t="str">
        <f t="shared" si="24"/>
        <v>Trey Sermon</v>
      </c>
      <c r="D785" s="4" t="str">
        <f t="shared" si="25"/>
        <v>SF</v>
      </c>
      <c r="E785" s="4">
        <v>6</v>
      </c>
      <c r="F785" s="12">
        <v>4</v>
      </c>
      <c r="G785" s="11">
        <v>3</v>
      </c>
      <c r="H785" s="11">
        <v>26</v>
      </c>
      <c r="I785" s="11">
        <v>8.6999999999999993</v>
      </c>
      <c r="J785" s="11">
        <v>0</v>
      </c>
      <c r="K785" s="11">
        <v>0</v>
      </c>
      <c r="L785" s="11" t="str" cm="1">
        <f t="array" ref="L785">IFERROR(_xlfn.XLOOKUP(C785&amp;A785, ESPN!A:A&amp;ESPN!C:C, ESPN!D:D), "N/A")</f>
        <v>N/A</v>
      </c>
      <c r="M785" s="23" t="str" cm="1">
        <f t="array" ref="M785">IFERROR(_xlfn.XLOOKUP(C785&amp;A785, ESPN!A:A&amp;ESPN!C:C, ESPN!G:G), "N/A")</f>
        <v>N/A</v>
      </c>
      <c r="N785" s="23" t="str" cm="1">
        <f t="array" ref="N785">IFERROR(_xlfn.XLOOKUP(C785&amp;A785, ESPN!A:A&amp;ESPN!C:C, ESPN!H:H), "N/A")</f>
        <v>N/A</v>
      </c>
      <c r="O785" s="26" t="str" cm="1">
        <f t="array" ref="O785">IFERROR(_xlfn.XLOOKUP(C785&amp;A785, ESPN!A:A&amp;ESPN!C:C, ESPN!I:I), "N/A")</f>
        <v>N/A</v>
      </c>
      <c r="P785" s="26" t="str" cm="1">
        <f t="array" ref="P785">IFERROR(_xlfn.XLOOKUP(C785&amp;A785, ESPN!A:A&amp;ESPN!C:C, ESPN!J:J), "N/A")</f>
        <v>N/A</v>
      </c>
      <c r="Q785" s="26" t="str" cm="1">
        <f t="array" ref="Q785">IFERROR(_xlfn.XLOOKUP(C785&amp;A785, ESPN!A:A&amp;ESPN!C:C, ESPN!K:K), "N/A")</f>
        <v>N/A</v>
      </c>
    </row>
    <row r="786" spans="1:17" x14ac:dyDescent="0.45">
      <c r="A786" s="6">
        <v>2021</v>
      </c>
      <c r="B786" s="1" t="s">
        <v>382</v>
      </c>
      <c r="C786" s="2" t="str">
        <f t="shared" si="24"/>
        <v>Royce Freeman</v>
      </c>
      <c r="D786" s="2" t="str">
        <f t="shared" si="25"/>
        <v>HOU</v>
      </c>
      <c r="E786" s="2">
        <v>12</v>
      </c>
      <c r="F786" s="12">
        <v>16</v>
      </c>
      <c r="G786" s="11">
        <v>10</v>
      </c>
      <c r="H786" s="11">
        <v>77</v>
      </c>
      <c r="I786" s="11">
        <v>7.7</v>
      </c>
      <c r="J786" s="11">
        <v>0</v>
      </c>
      <c r="K786" s="11">
        <v>0</v>
      </c>
      <c r="L786" s="11" t="str" cm="1">
        <f t="array" ref="L786">IFERROR(_xlfn.XLOOKUP(C786&amp;A786, ESPN!A:A&amp;ESPN!C:C, ESPN!D:D), "N/A")</f>
        <v>N/A</v>
      </c>
      <c r="M786" s="23" t="str" cm="1">
        <f t="array" ref="M786">IFERROR(_xlfn.XLOOKUP(C786&amp;A786, ESPN!A:A&amp;ESPN!C:C, ESPN!G:G), "N/A")</f>
        <v>N/A</v>
      </c>
      <c r="N786" s="23" t="str" cm="1">
        <f t="array" ref="N786">IFERROR(_xlfn.XLOOKUP(C786&amp;A786, ESPN!A:A&amp;ESPN!C:C, ESPN!H:H), "N/A")</f>
        <v>N/A</v>
      </c>
      <c r="O786" s="26" t="str" cm="1">
        <f t="array" ref="O786">IFERROR(_xlfn.XLOOKUP(C786&amp;A786, ESPN!A:A&amp;ESPN!C:C, ESPN!I:I), "N/A")</f>
        <v>N/A</v>
      </c>
      <c r="P786" s="26" t="str" cm="1">
        <f t="array" ref="P786">IFERROR(_xlfn.XLOOKUP(C786&amp;A786, ESPN!A:A&amp;ESPN!C:C, ESPN!J:J), "N/A")</f>
        <v>N/A</v>
      </c>
      <c r="Q786" s="26" t="str" cm="1">
        <f t="array" ref="Q786">IFERROR(_xlfn.XLOOKUP(C786&amp;A786, ESPN!A:A&amp;ESPN!C:C, ESPN!K:K), "N/A")</f>
        <v>N/A</v>
      </c>
    </row>
    <row r="787" spans="1:17" x14ac:dyDescent="0.45">
      <c r="A787" s="7">
        <v>2021</v>
      </c>
      <c r="B787" s="3" t="s">
        <v>272</v>
      </c>
      <c r="C787" s="4" t="str">
        <f t="shared" si="24"/>
        <v>Jerick McKinnon</v>
      </c>
      <c r="D787" s="4" t="str">
        <f t="shared" si="25"/>
        <v>KC</v>
      </c>
      <c r="E787" s="4">
        <v>9</v>
      </c>
      <c r="F787" s="12">
        <v>20</v>
      </c>
      <c r="G787" s="11">
        <v>13</v>
      </c>
      <c r="H787" s="11">
        <v>107</v>
      </c>
      <c r="I787" s="11">
        <v>8.1999999999999993</v>
      </c>
      <c r="J787" s="11">
        <v>1</v>
      </c>
      <c r="K787" s="11">
        <v>0</v>
      </c>
      <c r="L787" s="11" cm="1">
        <f t="array" ref="L787">IFERROR(_xlfn.XLOOKUP(C787&amp;A787, ESPN!A:A&amp;ESPN!C:C, ESPN!D:D), "N/A")</f>
        <v>188</v>
      </c>
      <c r="M787" s="23" cm="1">
        <f t="array" ref="M787">IFERROR(_xlfn.XLOOKUP(C787&amp;A787, ESPN!A:A&amp;ESPN!C:C, ESPN!G:G), "N/A")</f>
        <v>1.45</v>
      </c>
      <c r="N787" s="23" cm="1">
        <f t="array" ref="N787">IFERROR(_xlfn.XLOOKUP(C787&amp;A787, ESPN!A:A&amp;ESPN!C:C, ESPN!H:H), "N/A")</f>
        <v>17</v>
      </c>
      <c r="O787" s="26" cm="1">
        <f t="array" ref="O787">IFERROR(_xlfn.XLOOKUP(C787&amp;A787, ESPN!A:A&amp;ESPN!C:C, ESPN!I:I), "N/A")</f>
        <v>36</v>
      </c>
      <c r="P787" s="26" cm="1">
        <f t="array" ref="P787">IFERROR(_xlfn.XLOOKUP(C787&amp;A787, ESPN!A:A&amp;ESPN!C:C, ESPN!J:J), "N/A")</f>
        <v>83</v>
      </c>
      <c r="Q787" s="26" cm="1">
        <f t="array" ref="Q787">IFERROR(_xlfn.XLOOKUP(C787&amp;A787, ESPN!A:A&amp;ESPN!C:C, ESPN!K:K), "N/A")</f>
        <v>59</v>
      </c>
    </row>
    <row r="788" spans="1:17" x14ac:dyDescent="0.45">
      <c r="A788" s="6">
        <v>2021</v>
      </c>
      <c r="B788" s="1" t="s">
        <v>460</v>
      </c>
      <c r="C788" s="2" t="str">
        <f t="shared" si="24"/>
        <v>Corey Clement</v>
      </c>
      <c r="D788" s="2" t="str">
        <f t="shared" si="25"/>
        <v>DAL</v>
      </c>
      <c r="E788" s="2">
        <v>11</v>
      </c>
      <c r="F788" s="12">
        <v>7</v>
      </c>
      <c r="G788" s="11">
        <v>6</v>
      </c>
      <c r="H788" s="11">
        <v>29</v>
      </c>
      <c r="I788" s="11">
        <v>4.8</v>
      </c>
      <c r="J788" s="11">
        <v>1</v>
      </c>
      <c r="K788" s="11">
        <v>0</v>
      </c>
      <c r="L788" s="11" t="str" cm="1">
        <f t="array" ref="L788">IFERROR(_xlfn.XLOOKUP(C788&amp;A788, ESPN!A:A&amp;ESPN!C:C, ESPN!D:D), "N/A")</f>
        <v>N/A</v>
      </c>
      <c r="M788" s="23" t="str" cm="1">
        <f t="array" ref="M788">IFERROR(_xlfn.XLOOKUP(C788&amp;A788, ESPN!A:A&amp;ESPN!C:C, ESPN!G:G), "N/A")</f>
        <v>N/A</v>
      </c>
      <c r="N788" s="23" t="str" cm="1">
        <f t="array" ref="N788">IFERROR(_xlfn.XLOOKUP(C788&amp;A788, ESPN!A:A&amp;ESPN!C:C, ESPN!H:H), "N/A")</f>
        <v>N/A</v>
      </c>
      <c r="O788" s="26" t="str" cm="1">
        <f t="array" ref="O788">IFERROR(_xlfn.XLOOKUP(C788&amp;A788, ESPN!A:A&amp;ESPN!C:C, ESPN!I:I), "N/A")</f>
        <v>N/A</v>
      </c>
      <c r="P788" s="26" t="str" cm="1">
        <f t="array" ref="P788">IFERROR(_xlfn.XLOOKUP(C788&amp;A788, ESPN!A:A&amp;ESPN!C:C, ESPN!J:J), "N/A")</f>
        <v>N/A</v>
      </c>
      <c r="Q788" s="26" t="str" cm="1">
        <f t="array" ref="Q788">IFERROR(_xlfn.XLOOKUP(C788&amp;A788, ESPN!A:A&amp;ESPN!C:C, ESPN!K:K), "N/A")</f>
        <v>N/A</v>
      </c>
    </row>
    <row r="789" spans="1:17" x14ac:dyDescent="0.45">
      <c r="A789" s="7">
        <v>2021</v>
      </c>
      <c r="B789" s="3" t="s">
        <v>461</v>
      </c>
      <c r="C789" s="4" t="str">
        <f t="shared" si="24"/>
        <v>Adrian Peterson</v>
      </c>
      <c r="D789" s="4" t="str">
        <f t="shared" si="25"/>
        <v>SEA</v>
      </c>
      <c r="E789" s="4">
        <v>4</v>
      </c>
      <c r="F789" s="12">
        <v>4</v>
      </c>
      <c r="G789" s="11">
        <v>4</v>
      </c>
      <c r="H789" s="11">
        <v>8</v>
      </c>
      <c r="I789" s="11">
        <v>2</v>
      </c>
      <c r="J789" s="11">
        <v>0</v>
      </c>
      <c r="K789" s="11">
        <v>0</v>
      </c>
      <c r="L789" s="11" t="str" cm="1">
        <f t="array" ref="L789">IFERROR(_xlfn.XLOOKUP(C789&amp;A789, ESPN!A:A&amp;ESPN!C:C, ESPN!D:D), "N/A")</f>
        <v>N/A</v>
      </c>
      <c r="M789" s="23" t="str" cm="1">
        <f t="array" ref="M789">IFERROR(_xlfn.XLOOKUP(C789&amp;A789, ESPN!A:A&amp;ESPN!C:C, ESPN!G:G), "N/A")</f>
        <v>N/A</v>
      </c>
      <c r="N789" s="23" t="str" cm="1">
        <f t="array" ref="N789">IFERROR(_xlfn.XLOOKUP(C789&amp;A789, ESPN!A:A&amp;ESPN!C:C, ESPN!H:H), "N/A")</f>
        <v>N/A</v>
      </c>
      <c r="O789" s="26" t="str" cm="1">
        <f t="array" ref="O789">IFERROR(_xlfn.XLOOKUP(C789&amp;A789, ESPN!A:A&amp;ESPN!C:C, ESPN!I:I), "N/A")</f>
        <v>N/A</v>
      </c>
      <c r="P789" s="26" t="str" cm="1">
        <f t="array" ref="P789">IFERROR(_xlfn.XLOOKUP(C789&amp;A789, ESPN!A:A&amp;ESPN!C:C, ESPN!J:J), "N/A")</f>
        <v>N/A</v>
      </c>
      <c r="Q789" s="26" t="str" cm="1">
        <f t="array" ref="Q789">IFERROR(_xlfn.XLOOKUP(C789&amp;A789, ESPN!A:A&amp;ESPN!C:C, ESPN!K:K), "N/A")</f>
        <v>N/A</v>
      </c>
    </row>
    <row r="790" spans="1:17" x14ac:dyDescent="0.45">
      <c r="A790" s="6">
        <v>2021</v>
      </c>
      <c r="B790" s="1" t="s">
        <v>462</v>
      </c>
      <c r="C790" s="2" t="str">
        <f t="shared" si="24"/>
        <v>Eno Benjamin</v>
      </c>
      <c r="D790" s="2" t="str">
        <f t="shared" si="25"/>
        <v>ARI</v>
      </c>
      <c r="E790" s="2">
        <v>8</v>
      </c>
      <c r="F790" s="12">
        <v>7</v>
      </c>
      <c r="G790" s="11">
        <v>6</v>
      </c>
      <c r="H790" s="11">
        <v>42</v>
      </c>
      <c r="I790" s="11">
        <v>7</v>
      </c>
      <c r="J790" s="11">
        <v>0</v>
      </c>
      <c r="K790" s="11">
        <v>0</v>
      </c>
      <c r="L790" s="11" t="str" cm="1">
        <f t="array" ref="L790">IFERROR(_xlfn.XLOOKUP(C790&amp;A790, ESPN!A:A&amp;ESPN!C:C, ESPN!D:D), "N/A")</f>
        <v>N/A</v>
      </c>
      <c r="M790" s="23" t="str" cm="1">
        <f t="array" ref="M790">IFERROR(_xlfn.XLOOKUP(C790&amp;A790, ESPN!A:A&amp;ESPN!C:C, ESPN!G:G), "N/A")</f>
        <v>N/A</v>
      </c>
      <c r="N790" s="23" t="str" cm="1">
        <f t="array" ref="N790">IFERROR(_xlfn.XLOOKUP(C790&amp;A790, ESPN!A:A&amp;ESPN!C:C, ESPN!H:H), "N/A")</f>
        <v>N/A</v>
      </c>
      <c r="O790" s="26" t="str" cm="1">
        <f t="array" ref="O790">IFERROR(_xlfn.XLOOKUP(C790&amp;A790, ESPN!A:A&amp;ESPN!C:C, ESPN!I:I), "N/A")</f>
        <v>N/A</v>
      </c>
      <c r="P790" s="26" t="str" cm="1">
        <f t="array" ref="P790">IFERROR(_xlfn.XLOOKUP(C790&amp;A790, ESPN!A:A&amp;ESPN!C:C, ESPN!J:J), "N/A")</f>
        <v>N/A</v>
      </c>
      <c r="Q790" s="26" t="str" cm="1">
        <f t="array" ref="Q790">IFERROR(_xlfn.XLOOKUP(C790&amp;A790, ESPN!A:A&amp;ESPN!C:C, ESPN!K:K), "N/A")</f>
        <v>N/A</v>
      </c>
    </row>
    <row r="791" spans="1:17" x14ac:dyDescent="0.45">
      <c r="A791" s="7">
        <v>2021</v>
      </c>
      <c r="B791" s="3" t="s">
        <v>220</v>
      </c>
      <c r="C791" s="4" t="str">
        <f t="shared" si="24"/>
        <v>Jermar Jefferson</v>
      </c>
      <c r="D791" s="4" t="str">
        <f t="shared" si="25"/>
        <v>DET</v>
      </c>
      <c r="E791" s="4">
        <v>5</v>
      </c>
      <c r="F791" s="12">
        <v>5</v>
      </c>
      <c r="G791" s="11">
        <v>4</v>
      </c>
      <c r="H791" s="11">
        <v>23</v>
      </c>
      <c r="I791" s="11">
        <v>5.8</v>
      </c>
      <c r="J791" s="11">
        <v>0</v>
      </c>
      <c r="K791" s="11">
        <v>0</v>
      </c>
      <c r="L791" s="11" t="str" cm="1">
        <f t="array" ref="L791">IFERROR(_xlfn.XLOOKUP(C791&amp;A791, ESPN!A:A&amp;ESPN!C:C, ESPN!D:D), "N/A")</f>
        <v>N/A</v>
      </c>
      <c r="M791" s="23" t="str" cm="1">
        <f t="array" ref="M791">IFERROR(_xlfn.XLOOKUP(C791&amp;A791, ESPN!A:A&amp;ESPN!C:C, ESPN!G:G), "N/A")</f>
        <v>N/A</v>
      </c>
      <c r="N791" s="23" t="str" cm="1">
        <f t="array" ref="N791">IFERROR(_xlfn.XLOOKUP(C791&amp;A791, ESPN!A:A&amp;ESPN!C:C, ESPN!H:H), "N/A")</f>
        <v>N/A</v>
      </c>
      <c r="O791" s="26" t="str" cm="1">
        <f t="array" ref="O791">IFERROR(_xlfn.XLOOKUP(C791&amp;A791, ESPN!A:A&amp;ESPN!C:C, ESPN!I:I), "N/A")</f>
        <v>N/A</v>
      </c>
      <c r="P791" s="26" t="str" cm="1">
        <f t="array" ref="P791">IFERROR(_xlfn.XLOOKUP(C791&amp;A791, ESPN!A:A&amp;ESPN!C:C, ESPN!J:J), "N/A")</f>
        <v>N/A</v>
      </c>
      <c r="Q791" s="26" t="str" cm="1">
        <f t="array" ref="Q791">IFERROR(_xlfn.XLOOKUP(C791&amp;A791, ESPN!A:A&amp;ESPN!C:C, ESPN!K:K), "N/A")</f>
        <v>N/A</v>
      </c>
    </row>
    <row r="792" spans="1:17" x14ac:dyDescent="0.45">
      <c r="A792" s="6">
        <v>2021</v>
      </c>
      <c r="B792" s="1" t="s">
        <v>463</v>
      </c>
      <c r="C792" s="2" t="str">
        <f t="shared" si="24"/>
        <v>Godwin Igwebuike</v>
      </c>
      <c r="D792" s="2" t="str">
        <f t="shared" si="25"/>
        <v>DET</v>
      </c>
      <c r="E792" s="2">
        <v>15</v>
      </c>
      <c r="F792" s="12">
        <v>10</v>
      </c>
      <c r="G792" s="11">
        <v>7</v>
      </c>
      <c r="H792" s="11">
        <v>60</v>
      </c>
      <c r="I792" s="11">
        <v>8.6</v>
      </c>
      <c r="J792" s="11">
        <v>0</v>
      </c>
      <c r="K792" s="11">
        <v>2</v>
      </c>
      <c r="L792" s="11" t="str" cm="1">
        <f t="array" ref="L792">IFERROR(_xlfn.XLOOKUP(C792&amp;A792, ESPN!A:A&amp;ESPN!C:C, ESPN!D:D), "N/A")</f>
        <v>N/A</v>
      </c>
      <c r="M792" s="23" t="str" cm="1">
        <f t="array" ref="M792">IFERROR(_xlfn.XLOOKUP(C792&amp;A792, ESPN!A:A&amp;ESPN!C:C, ESPN!G:G), "N/A")</f>
        <v>N/A</v>
      </c>
      <c r="N792" s="23" t="str" cm="1">
        <f t="array" ref="N792">IFERROR(_xlfn.XLOOKUP(C792&amp;A792, ESPN!A:A&amp;ESPN!C:C, ESPN!H:H), "N/A")</f>
        <v>N/A</v>
      </c>
      <c r="O792" s="26" t="str" cm="1">
        <f t="array" ref="O792">IFERROR(_xlfn.XLOOKUP(C792&amp;A792, ESPN!A:A&amp;ESPN!C:C, ESPN!I:I), "N/A")</f>
        <v>N/A</v>
      </c>
      <c r="P792" s="26" t="str" cm="1">
        <f t="array" ref="P792">IFERROR(_xlfn.XLOOKUP(C792&amp;A792, ESPN!A:A&amp;ESPN!C:C, ESPN!J:J), "N/A")</f>
        <v>N/A</v>
      </c>
      <c r="Q792" s="26" t="str" cm="1">
        <f t="array" ref="Q792">IFERROR(_xlfn.XLOOKUP(C792&amp;A792, ESPN!A:A&amp;ESPN!C:C, ESPN!K:K), "N/A")</f>
        <v>N/A</v>
      </c>
    </row>
    <row r="793" spans="1:17" x14ac:dyDescent="0.45">
      <c r="A793" s="7">
        <v>2021</v>
      </c>
      <c r="B793" s="3" t="s">
        <v>464</v>
      </c>
      <c r="C793" s="4" t="str">
        <f t="shared" si="24"/>
        <v>Malcolm Brown</v>
      </c>
      <c r="D793" s="4" t="str">
        <f t="shared" si="25"/>
        <v>MIA</v>
      </c>
      <c r="E793" s="4">
        <v>6</v>
      </c>
      <c r="F793" s="12">
        <v>5</v>
      </c>
      <c r="G793" s="11">
        <v>3</v>
      </c>
      <c r="H793" s="11">
        <v>10</v>
      </c>
      <c r="I793" s="11">
        <v>3.3</v>
      </c>
      <c r="J793" s="11">
        <v>0</v>
      </c>
      <c r="K793" s="11">
        <v>0</v>
      </c>
      <c r="L793" s="11" t="str" cm="1">
        <f t="array" ref="L793">IFERROR(_xlfn.XLOOKUP(C793&amp;A793, ESPN!A:A&amp;ESPN!C:C, ESPN!D:D), "N/A")</f>
        <v>N/A</v>
      </c>
      <c r="M793" s="23" t="str" cm="1">
        <f t="array" ref="M793">IFERROR(_xlfn.XLOOKUP(C793&amp;A793, ESPN!A:A&amp;ESPN!C:C, ESPN!G:G), "N/A")</f>
        <v>N/A</v>
      </c>
      <c r="N793" s="23" t="str" cm="1">
        <f t="array" ref="N793">IFERROR(_xlfn.XLOOKUP(C793&amp;A793, ESPN!A:A&amp;ESPN!C:C, ESPN!H:H), "N/A")</f>
        <v>N/A</v>
      </c>
      <c r="O793" s="26" t="str" cm="1">
        <f t="array" ref="O793">IFERROR(_xlfn.XLOOKUP(C793&amp;A793, ESPN!A:A&amp;ESPN!C:C, ESPN!I:I), "N/A")</f>
        <v>N/A</v>
      </c>
      <c r="P793" s="26" t="str" cm="1">
        <f t="array" ref="P793">IFERROR(_xlfn.XLOOKUP(C793&amp;A793, ESPN!A:A&amp;ESPN!C:C, ESPN!J:J), "N/A")</f>
        <v>N/A</v>
      </c>
      <c r="Q793" s="26" t="str" cm="1">
        <f t="array" ref="Q793">IFERROR(_xlfn.XLOOKUP(C793&amp;A793, ESPN!A:A&amp;ESPN!C:C, ESPN!K:K), "N/A")</f>
        <v>N/A</v>
      </c>
    </row>
    <row r="794" spans="1:17" x14ac:dyDescent="0.45">
      <c r="A794" s="6">
        <v>2021</v>
      </c>
      <c r="B794" s="1" t="s">
        <v>465</v>
      </c>
      <c r="C794" s="2" t="str">
        <f t="shared" si="24"/>
        <v>James White</v>
      </c>
      <c r="D794" s="2" t="str">
        <f t="shared" si="25"/>
        <v>NE</v>
      </c>
      <c r="E794" s="2">
        <v>3</v>
      </c>
      <c r="F794" s="12">
        <v>14</v>
      </c>
      <c r="G794" s="11">
        <v>12</v>
      </c>
      <c r="H794" s="11">
        <v>94</v>
      </c>
      <c r="I794" s="11">
        <v>7.8</v>
      </c>
      <c r="J794" s="11">
        <v>0</v>
      </c>
      <c r="K794" s="11">
        <v>0</v>
      </c>
      <c r="L794" s="11" t="str" cm="1">
        <f t="array" ref="L794">IFERROR(_xlfn.XLOOKUP(C794&amp;A794, ESPN!A:A&amp;ESPN!C:C, ESPN!D:D), "N/A")</f>
        <v>N/A</v>
      </c>
      <c r="M794" s="23" t="str" cm="1">
        <f t="array" ref="M794">IFERROR(_xlfn.XLOOKUP(C794&amp;A794, ESPN!A:A&amp;ESPN!C:C, ESPN!G:G), "N/A")</f>
        <v>N/A</v>
      </c>
      <c r="N794" s="23" t="str" cm="1">
        <f t="array" ref="N794">IFERROR(_xlfn.XLOOKUP(C794&amp;A794, ESPN!A:A&amp;ESPN!C:C, ESPN!H:H), "N/A")</f>
        <v>N/A</v>
      </c>
      <c r="O794" s="26" t="str" cm="1">
        <f t="array" ref="O794">IFERROR(_xlfn.XLOOKUP(C794&amp;A794, ESPN!A:A&amp;ESPN!C:C, ESPN!I:I), "N/A")</f>
        <v>N/A</v>
      </c>
      <c r="P794" s="26" t="str" cm="1">
        <f t="array" ref="P794">IFERROR(_xlfn.XLOOKUP(C794&amp;A794, ESPN!A:A&amp;ESPN!C:C, ESPN!J:J), "N/A")</f>
        <v>N/A</v>
      </c>
      <c r="Q794" s="26" t="str" cm="1">
        <f t="array" ref="Q794">IFERROR(_xlfn.XLOOKUP(C794&amp;A794, ESPN!A:A&amp;ESPN!C:C, ESPN!K:K), "N/A")</f>
        <v>N/A</v>
      </c>
    </row>
    <row r="795" spans="1:17" x14ac:dyDescent="0.45">
      <c r="A795" s="7">
        <v>2021</v>
      </c>
      <c r="B795" s="3" t="s">
        <v>314</v>
      </c>
      <c r="C795" s="4" t="str">
        <f t="shared" si="24"/>
        <v>Kene Nwangwu</v>
      </c>
      <c r="D795" s="4" t="str">
        <f t="shared" si="25"/>
        <v>MIN</v>
      </c>
      <c r="E795" s="4">
        <v>9</v>
      </c>
      <c r="F795" s="12">
        <v>5</v>
      </c>
      <c r="G795" s="11">
        <v>4</v>
      </c>
      <c r="H795" s="11">
        <v>9</v>
      </c>
      <c r="I795" s="11">
        <v>2.2999999999999998</v>
      </c>
      <c r="J795" s="11">
        <v>0</v>
      </c>
      <c r="K795" s="11">
        <v>0</v>
      </c>
      <c r="L795" s="11" t="str" cm="1">
        <f t="array" ref="L795">IFERROR(_xlfn.XLOOKUP(C795&amp;A795, ESPN!A:A&amp;ESPN!C:C, ESPN!D:D), "N/A")</f>
        <v>N/A</v>
      </c>
      <c r="M795" s="23" t="str" cm="1">
        <f t="array" ref="M795">IFERROR(_xlfn.XLOOKUP(C795&amp;A795, ESPN!A:A&amp;ESPN!C:C, ESPN!G:G), "N/A")</f>
        <v>N/A</v>
      </c>
      <c r="N795" s="23" t="str" cm="1">
        <f t="array" ref="N795">IFERROR(_xlfn.XLOOKUP(C795&amp;A795, ESPN!A:A&amp;ESPN!C:C, ESPN!H:H), "N/A")</f>
        <v>N/A</v>
      </c>
      <c r="O795" s="26" t="str" cm="1">
        <f t="array" ref="O795">IFERROR(_xlfn.XLOOKUP(C795&amp;A795, ESPN!A:A&amp;ESPN!C:C, ESPN!I:I), "N/A")</f>
        <v>N/A</v>
      </c>
      <c r="P795" s="26" t="str" cm="1">
        <f t="array" ref="P795">IFERROR(_xlfn.XLOOKUP(C795&amp;A795, ESPN!A:A&amp;ESPN!C:C, ESPN!J:J), "N/A")</f>
        <v>N/A</v>
      </c>
      <c r="Q795" s="26" t="str" cm="1">
        <f t="array" ref="Q795">IFERROR(_xlfn.XLOOKUP(C795&amp;A795, ESPN!A:A&amp;ESPN!C:C, ESPN!K:K), "N/A")</f>
        <v>N/A</v>
      </c>
    </row>
    <row r="796" spans="1:17" x14ac:dyDescent="0.45">
      <c r="A796" s="6">
        <v>2021</v>
      </c>
      <c r="B796" s="1" t="s">
        <v>466</v>
      </c>
      <c r="C796" s="2" t="str">
        <f t="shared" si="24"/>
        <v>Tony Jones Jr.</v>
      </c>
      <c r="D796" s="2" t="str">
        <f t="shared" si="25"/>
        <v>NO</v>
      </c>
      <c r="E796" s="2">
        <v>10</v>
      </c>
      <c r="F796" s="12">
        <v>8</v>
      </c>
      <c r="G796" s="11">
        <v>5</v>
      </c>
      <c r="H796" s="11">
        <v>29</v>
      </c>
      <c r="I796" s="11">
        <v>5.8</v>
      </c>
      <c r="J796" s="11">
        <v>0</v>
      </c>
      <c r="K796" s="11">
        <v>0</v>
      </c>
      <c r="L796" s="11" t="str" cm="1">
        <f t="array" ref="L796">IFERROR(_xlfn.XLOOKUP(C796&amp;A796, ESPN!A:A&amp;ESPN!C:C, ESPN!D:D), "N/A")</f>
        <v>N/A</v>
      </c>
      <c r="M796" s="23" t="str" cm="1">
        <f t="array" ref="M796">IFERROR(_xlfn.XLOOKUP(C796&amp;A796, ESPN!A:A&amp;ESPN!C:C, ESPN!G:G), "N/A")</f>
        <v>N/A</v>
      </c>
      <c r="N796" s="23" t="str" cm="1">
        <f t="array" ref="N796">IFERROR(_xlfn.XLOOKUP(C796&amp;A796, ESPN!A:A&amp;ESPN!C:C, ESPN!H:H), "N/A")</f>
        <v>N/A</v>
      </c>
      <c r="O796" s="26" t="str" cm="1">
        <f t="array" ref="O796">IFERROR(_xlfn.XLOOKUP(C796&amp;A796, ESPN!A:A&amp;ESPN!C:C, ESPN!I:I), "N/A")</f>
        <v>N/A</v>
      </c>
      <c r="P796" s="26" t="str" cm="1">
        <f t="array" ref="P796">IFERROR(_xlfn.XLOOKUP(C796&amp;A796, ESPN!A:A&amp;ESPN!C:C, ESPN!J:J), "N/A")</f>
        <v>N/A</v>
      </c>
      <c r="Q796" s="26" t="str" cm="1">
        <f t="array" ref="Q796">IFERROR(_xlfn.XLOOKUP(C796&amp;A796, ESPN!A:A&amp;ESPN!C:C, ESPN!K:K), "N/A")</f>
        <v>N/A</v>
      </c>
    </row>
    <row r="797" spans="1:17" x14ac:dyDescent="0.45">
      <c r="A797" s="7">
        <v>2021</v>
      </c>
      <c r="B797" s="3" t="s">
        <v>467</v>
      </c>
      <c r="C797" s="4" t="str">
        <f t="shared" si="24"/>
        <v>Austin Walter</v>
      </c>
      <c r="D797" s="4" t="str">
        <f t="shared" si="25"/>
        <v>NYJ</v>
      </c>
      <c r="E797" s="4">
        <v>4</v>
      </c>
      <c r="F797" s="12">
        <v>3</v>
      </c>
      <c r="G797" s="11">
        <v>2</v>
      </c>
      <c r="H797" s="11">
        <v>9</v>
      </c>
      <c r="I797" s="11">
        <v>4.5</v>
      </c>
      <c r="J797" s="11">
        <v>0</v>
      </c>
      <c r="K797" s="11">
        <v>0</v>
      </c>
      <c r="L797" s="11" t="str" cm="1">
        <f t="array" ref="L797">IFERROR(_xlfn.XLOOKUP(C797&amp;A797, ESPN!A:A&amp;ESPN!C:C, ESPN!D:D), "N/A")</f>
        <v>N/A</v>
      </c>
      <c r="M797" s="23" t="str" cm="1">
        <f t="array" ref="M797">IFERROR(_xlfn.XLOOKUP(C797&amp;A797, ESPN!A:A&amp;ESPN!C:C, ESPN!G:G), "N/A")</f>
        <v>N/A</v>
      </c>
      <c r="N797" s="23" t="str" cm="1">
        <f t="array" ref="N797">IFERROR(_xlfn.XLOOKUP(C797&amp;A797, ESPN!A:A&amp;ESPN!C:C, ESPN!H:H), "N/A")</f>
        <v>N/A</v>
      </c>
      <c r="O797" s="26" t="str" cm="1">
        <f t="array" ref="O797">IFERROR(_xlfn.XLOOKUP(C797&amp;A797, ESPN!A:A&amp;ESPN!C:C, ESPN!I:I), "N/A")</f>
        <v>N/A</v>
      </c>
      <c r="P797" s="26" t="str" cm="1">
        <f t="array" ref="P797">IFERROR(_xlfn.XLOOKUP(C797&amp;A797, ESPN!A:A&amp;ESPN!C:C, ESPN!J:J), "N/A")</f>
        <v>N/A</v>
      </c>
      <c r="Q797" s="26" t="str" cm="1">
        <f t="array" ref="Q797">IFERROR(_xlfn.XLOOKUP(C797&amp;A797, ESPN!A:A&amp;ESPN!C:C, ESPN!K:K), "N/A")</f>
        <v>N/A</v>
      </c>
    </row>
    <row r="798" spans="1:17" x14ac:dyDescent="0.45">
      <c r="A798" s="6">
        <v>2021</v>
      </c>
      <c r="B798" s="1" t="s">
        <v>339</v>
      </c>
      <c r="C798" s="2" t="str">
        <f t="shared" si="24"/>
        <v>Jonathan Williams</v>
      </c>
      <c r="D798" s="2" t="str">
        <f t="shared" si="25"/>
        <v>WAS</v>
      </c>
      <c r="E798" s="2">
        <v>5</v>
      </c>
      <c r="F798" s="12">
        <v>6</v>
      </c>
      <c r="G798" s="11">
        <v>4</v>
      </c>
      <c r="H798" s="11">
        <v>28</v>
      </c>
      <c r="I798" s="11">
        <v>7</v>
      </c>
      <c r="J798" s="11">
        <v>0</v>
      </c>
      <c r="K798" s="11">
        <v>0</v>
      </c>
      <c r="L798" s="11" t="str" cm="1">
        <f t="array" ref="L798">IFERROR(_xlfn.XLOOKUP(C798&amp;A798, ESPN!A:A&amp;ESPN!C:C, ESPN!D:D), "N/A")</f>
        <v>N/A</v>
      </c>
      <c r="M798" s="23" t="str" cm="1">
        <f t="array" ref="M798">IFERROR(_xlfn.XLOOKUP(C798&amp;A798, ESPN!A:A&amp;ESPN!C:C, ESPN!G:G), "N/A")</f>
        <v>N/A</v>
      </c>
      <c r="N798" s="23" t="str" cm="1">
        <f t="array" ref="N798">IFERROR(_xlfn.XLOOKUP(C798&amp;A798, ESPN!A:A&amp;ESPN!C:C, ESPN!H:H), "N/A")</f>
        <v>N/A</v>
      </c>
      <c r="O798" s="26" t="str" cm="1">
        <f t="array" ref="O798">IFERROR(_xlfn.XLOOKUP(C798&amp;A798, ESPN!A:A&amp;ESPN!C:C, ESPN!I:I), "N/A")</f>
        <v>N/A</v>
      </c>
      <c r="P798" s="26" t="str" cm="1">
        <f t="array" ref="P798">IFERROR(_xlfn.XLOOKUP(C798&amp;A798, ESPN!A:A&amp;ESPN!C:C, ESPN!J:J), "N/A")</f>
        <v>N/A</v>
      </c>
      <c r="Q798" s="26" t="str" cm="1">
        <f t="array" ref="Q798">IFERROR(_xlfn.XLOOKUP(C798&amp;A798, ESPN!A:A&amp;ESPN!C:C, ESPN!K:K), "N/A")</f>
        <v>N/A</v>
      </c>
    </row>
    <row r="799" spans="1:17" x14ac:dyDescent="0.45">
      <c r="A799" s="7">
        <v>2021</v>
      </c>
      <c r="B799" s="3" t="s">
        <v>139</v>
      </c>
      <c r="C799" s="4" t="str">
        <f t="shared" si="24"/>
        <v>C.J. Ham</v>
      </c>
      <c r="D799" s="4" t="str">
        <f t="shared" si="25"/>
        <v>MIN</v>
      </c>
      <c r="E799" s="4">
        <v>15</v>
      </c>
      <c r="F799" s="12">
        <v>18</v>
      </c>
      <c r="G799" s="11">
        <v>17</v>
      </c>
      <c r="H799" s="11">
        <v>125</v>
      </c>
      <c r="I799" s="11">
        <v>7.4</v>
      </c>
      <c r="J799" s="11">
        <v>0</v>
      </c>
      <c r="K799" s="11">
        <v>0</v>
      </c>
      <c r="L799" s="11" t="str" cm="1">
        <f t="array" ref="L799">IFERROR(_xlfn.XLOOKUP(C799&amp;A799, ESPN!A:A&amp;ESPN!C:C, ESPN!D:D), "N/A")</f>
        <v>N/A</v>
      </c>
      <c r="M799" s="23" t="str" cm="1">
        <f t="array" ref="M799">IFERROR(_xlfn.XLOOKUP(C799&amp;A799, ESPN!A:A&amp;ESPN!C:C, ESPN!G:G), "N/A")</f>
        <v>N/A</v>
      </c>
      <c r="N799" s="23" t="str" cm="1">
        <f t="array" ref="N799">IFERROR(_xlfn.XLOOKUP(C799&amp;A799, ESPN!A:A&amp;ESPN!C:C, ESPN!H:H), "N/A")</f>
        <v>N/A</v>
      </c>
      <c r="O799" s="26" t="str" cm="1">
        <f t="array" ref="O799">IFERROR(_xlfn.XLOOKUP(C799&amp;A799, ESPN!A:A&amp;ESPN!C:C, ESPN!I:I), "N/A")</f>
        <v>N/A</v>
      </c>
      <c r="P799" s="26" t="str" cm="1">
        <f t="array" ref="P799">IFERROR(_xlfn.XLOOKUP(C799&amp;A799, ESPN!A:A&amp;ESPN!C:C, ESPN!J:J), "N/A")</f>
        <v>N/A</v>
      </c>
      <c r="Q799" s="26" t="str" cm="1">
        <f t="array" ref="Q799">IFERROR(_xlfn.XLOOKUP(C799&amp;A799, ESPN!A:A&amp;ESPN!C:C, ESPN!K:K), "N/A")</f>
        <v>N/A</v>
      </c>
    </row>
    <row r="800" spans="1:17" x14ac:dyDescent="0.45">
      <c r="A800" s="6">
        <v>2021</v>
      </c>
      <c r="B800" s="1" t="s">
        <v>468</v>
      </c>
      <c r="C800" s="2" t="str">
        <f t="shared" si="24"/>
        <v>Qadree Ollison</v>
      </c>
      <c r="D800" s="2" t="str">
        <f t="shared" si="25"/>
        <v>ATL</v>
      </c>
      <c r="E800" s="2">
        <v>6</v>
      </c>
      <c r="F800" s="12">
        <v>6</v>
      </c>
      <c r="G800" s="11">
        <v>4</v>
      </c>
      <c r="H800" s="11">
        <v>12</v>
      </c>
      <c r="I800" s="11">
        <v>3</v>
      </c>
      <c r="J800" s="11">
        <v>0</v>
      </c>
      <c r="K800" s="11">
        <v>1</v>
      </c>
      <c r="L800" s="11" t="str" cm="1">
        <f t="array" ref="L800">IFERROR(_xlfn.XLOOKUP(C800&amp;A800, ESPN!A:A&amp;ESPN!C:C, ESPN!D:D), "N/A")</f>
        <v>N/A</v>
      </c>
      <c r="M800" s="23" t="str" cm="1">
        <f t="array" ref="M800">IFERROR(_xlfn.XLOOKUP(C800&amp;A800, ESPN!A:A&amp;ESPN!C:C, ESPN!G:G), "N/A")</f>
        <v>N/A</v>
      </c>
      <c r="N800" s="23" t="str" cm="1">
        <f t="array" ref="N800">IFERROR(_xlfn.XLOOKUP(C800&amp;A800, ESPN!A:A&amp;ESPN!C:C, ESPN!H:H), "N/A")</f>
        <v>N/A</v>
      </c>
      <c r="O800" s="26" t="str" cm="1">
        <f t="array" ref="O800">IFERROR(_xlfn.XLOOKUP(C800&amp;A800, ESPN!A:A&amp;ESPN!C:C, ESPN!I:I), "N/A")</f>
        <v>N/A</v>
      </c>
      <c r="P800" s="26" t="str" cm="1">
        <f t="array" ref="P800">IFERROR(_xlfn.XLOOKUP(C800&amp;A800, ESPN!A:A&amp;ESPN!C:C, ESPN!J:J), "N/A")</f>
        <v>N/A</v>
      </c>
      <c r="Q800" s="26" t="str" cm="1">
        <f t="array" ref="Q800">IFERROR(_xlfn.XLOOKUP(C800&amp;A800, ESPN!A:A&amp;ESPN!C:C, ESPN!K:K), "N/A")</f>
        <v>N/A</v>
      </c>
    </row>
    <row r="801" spans="1:17" x14ac:dyDescent="0.45">
      <c r="A801" s="7">
        <v>2021</v>
      </c>
      <c r="B801" s="3" t="s">
        <v>283</v>
      </c>
      <c r="C801" s="4" t="str">
        <f t="shared" si="24"/>
        <v>Patrick Taylor Jr.</v>
      </c>
      <c r="D801" s="4" t="str">
        <f t="shared" si="25"/>
        <v>GB</v>
      </c>
      <c r="E801" s="4">
        <v>5</v>
      </c>
      <c r="F801" s="12">
        <v>2</v>
      </c>
      <c r="G801" s="11">
        <v>2</v>
      </c>
      <c r="H801" s="11">
        <v>3</v>
      </c>
      <c r="I801" s="11">
        <v>1.5</v>
      </c>
      <c r="J801" s="11">
        <v>0</v>
      </c>
      <c r="K801" s="11">
        <v>0</v>
      </c>
      <c r="L801" s="11" t="str" cm="1">
        <f t="array" ref="L801">IFERROR(_xlfn.XLOOKUP(C801&amp;A801, ESPN!A:A&amp;ESPN!C:C, ESPN!D:D), "N/A")</f>
        <v>N/A</v>
      </c>
      <c r="M801" s="23" t="str" cm="1">
        <f t="array" ref="M801">IFERROR(_xlfn.XLOOKUP(C801&amp;A801, ESPN!A:A&amp;ESPN!C:C, ESPN!G:G), "N/A")</f>
        <v>N/A</v>
      </c>
      <c r="N801" s="23" t="str" cm="1">
        <f t="array" ref="N801">IFERROR(_xlfn.XLOOKUP(C801&amp;A801, ESPN!A:A&amp;ESPN!C:C, ESPN!H:H), "N/A")</f>
        <v>N/A</v>
      </c>
      <c r="O801" s="26" t="str" cm="1">
        <f t="array" ref="O801">IFERROR(_xlfn.XLOOKUP(C801&amp;A801, ESPN!A:A&amp;ESPN!C:C, ESPN!I:I), "N/A")</f>
        <v>N/A</v>
      </c>
      <c r="P801" s="26" t="str" cm="1">
        <f t="array" ref="P801">IFERROR(_xlfn.XLOOKUP(C801&amp;A801, ESPN!A:A&amp;ESPN!C:C, ESPN!J:J), "N/A")</f>
        <v>N/A</v>
      </c>
      <c r="Q801" s="26" t="str" cm="1">
        <f t="array" ref="Q801">IFERROR(_xlfn.XLOOKUP(C801&amp;A801, ESPN!A:A&amp;ESPN!C:C, ESPN!K:K), "N/A")</f>
        <v>N/A</v>
      </c>
    </row>
    <row r="802" spans="1:17" x14ac:dyDescent="0.45">
      <c r="A802" s="6">
        <v>2021</v>
      </c>
      <c r="B802" s="1" t="s">
        <v>469</v>
      </c>
      <c r="C802" s="2" t="str">
        <f t="shared" si="24"/>
        <v>Alec Ingold</v>
      </c>
      <c r="D802" s="2" t="str">
        <f t="shared" si="25"/>
        <v>LV</v>
      </c>
      <c r="E802" s="2">
        <v>7</v>
      </c>
      <c r="F802" s="12">
        <v>12</v>
      </c>
      <c r="G802" s="11">
        <v>10</v>
      </c>
      <c r="H802" s="11">
        <v>85</v>
      </c>
      <c r="I802" s="11">
        <v>8.5</v>
      </c>
      <c r="J802" s="11">
        <v>1</v>
      </c>
      <c r="K802" s="11">
        <v>0</v>
      </c>
      <c r="L802" s="11" t="str" cm="1">
        <f t="array" ref="L802">IFERROR(_xlfn.XLOOKUP(C802&amp;A802, ESPN!A:A&amp;ESPN!C:C, ESPN!D:D), "N/A")</f>
        <v>N/A</v>
      </c>
      <c r="M802" s="23" t="str" cm="1">
        <f t="array" ref="M802">IFERROR(_xlfn.XLOOKUP(C802&amp;A802, ESPN!A:A&amp;ESPN!C:C, ESPN!G:G), "N/A")</f>
        <v>N/A</v>
      </c>
      <c r="N802" s="23" t="str" cm="1">
        <f t="array" ref="N802">IFERROR(_xlfn.XLOOKUP(C802&amp;A802, ESPN!A:A&amp;ESPN!C:C, ESPN!H:H), "N/A")</f>
        <v>N/A</v>
      </c>
      <c r="O802" s="26" t="str" cm="1">
        <f t="array" ref="O802">IFERROR(_xlfn.XLOOKUP(C802&amp;A802, ESPN!A:A&amp;ESPN!C:C, ESPN!I:I), "N/A")</f>
        <v>N/A</v>
      </c>
      <c r="P802" s="26" t="str" cm="1">
        <f t="array" ref="P802">IFERROR(_xlfn.XLOOKUP(C802&amp;A802, ESPN!A:A&amp;ESPN!C:C, ESPN!J:J), "N/A")</f>
        <v>N/A</v>
      </c>
      <c r="Q802" s="26" t="str" cm="1">
        <f t="array" ref="Q802">IFERROR(_xlfn.XLOOKUP(C802&amp;A802, ESPN!A:A&amp;ESPN!C:C, ESPN!K:K), "N/A")</f>
        <v>N/A</v>
      </c>
    </row>
    <row r="803" spans="1:17" x14ac:dyDescent="0.45">
      <c r="A803" s="7">
        <v>2021</v>
      </c>
      <c r="B803" s="3" t="s">
        <v>393</v>
      </c>
      <c r="C803" s="4" t="str">
        <f t="shared" si="24"/>
        <v>Larry Rountree III</v>
      </c>
      <c r="D803" s="4" t="str">
        <f t="shared" si="25"/>
        <v>LAC</v>
      </c>
      <c r="E803" s="4">
        <v>10</v>
      </c>
      <c r="F803" s="12">
        <v>2</v>
      </c>
      <c r="G803" s="11">
        <v>1</v>
      </c>
      <c r="H803" s="11">
        <v>-1</v>
      </c>
      <c r="I803" s="11">
        <v>-1</v>
      </c>
      <c r="J803" s="11">
        <v>0</v>
      </c>
      <c r="K803" s="11">
        <v>0</v>
      </c>
      <c r="L803" s="11" t="str" cm="1">
        <f t="array" ref="L803">IFERROR(_xlfn.XLOOKUP(C803&amp;A803, ESPN!A:A&amp;ESPN!C:C, ESPN!D:D), "N/A")</f>
        <v>N/A</v>
      </c>
      <c r="M803" s="23" t="str" cm="1">
        <f t="array" ref="M803">IFERROR(_xlfn.XLOOKUP(C803&amp;A803, ESPN!A:A&amp;ESPN!C:C, ESPN!G:G), "N/A")</f>
        <v>N/A</v>
      </c>
      <c r="N803" s="23" t="str" cm="1">
        <f t="array" ref="N803">IFERROR(_xlfn.XLOOKUP(C803&amp;A803, ESPN!A:A&amp;ESPN!C:C, ESPN!H:H), "N/A")</f>
        <v>N/A</v>
      </c>
      <c r="O803" s="26" t="str" cm="1">
        <f t="array" ref="O803">IFERROR(_xlfn.XLOOKUP(C803&amp;A803, ESPN!A:A&amp;ESPN!C:C, ESPN!I:I), "N/A")</f>
        <v>N/A</v>
      </c>
      <c r="P803" s="26" t="str" cm="1">
        <f t="array" ref="P803">IFERROR(_xlfn.XLOOKUP(C803&amp;A803, ESPN!A:A&amp;ESPN!C:C, ESPN!J:J), "N/A")</f>
        <v>N/A</v>
      </c>
      <c r="Q803" s="26" t="str" cm="1">
        <f t="array" ref="Q803">IFERROR(_xlfn.XLOOKUP(C803&amp;A803, ESPN!A:A&amp;ESPN!C:C, ESPN!K:K), "N/A")</f>
        <v>N/A</v>
      </c>
    </row>
    <row r="804" spans="1:17" x14ac:dyDescent="0.45">
      <c r="A804" s="6">
        <v>2021</v>
      </c>
      <c r="B804" s="1" t="s">
        <v>399</v>
      </c>
      <c r="C804" s="2" t="str">
        <f t="shared" si="24"/>
        <v>J.J. Taylor</v>
      </c>
      <c r="D804" s="2" t="str">
        <f t="shared" si="25"/>
        <v>NE</v>
      </c>
      <c r="E804" s="2">
        <v>5</v>
      </c>
      <c r="F804" s="12">
        <v>4</v>
      </c>
      <c r="G804" s="11">
        <v>4</v>
      </c>
      <c r="H804" s="11">
        <v>8</v>
      </c>
      <c r="I804" s="11">
        <v>2</v>
      </c>
      <c r="J804" s="11">
        <v>0</v>
      </c>
      <c r="K804" s="11">
        <v>1</v>
      </c>
      <c r="L804" s="11" t="str" cm="1">
        <f t="array" ref="L804">IFERROR(_xlfn.XLOOKUP(C804&amp;A804, ESPN!A:A&amp;ESPN!C:C, ESPN!D:D), "N/A")</f>
        <v>N/A</v>
      </c>
      <c r="M804" s="23" t="str" cm="1">
        <f t="array" ref="M804">IFERROR(_xlfn.XLOOKUP(C804&amp;A804, ESPN!A:A&amp;ESPN!C:C, ESPN!G:G), "N/A")</f>
        <v>N/A</v>
      </c>
      <c r="N804" s="23" t="str" cm="1">
        <f t="array" ref="N804">IFERROR(_xlfn.XLOOKUP(C804&amp;A804, ESPN!A:A&amp;ESPN!C:C, ESPN!H:H), "N/A")</f>
        <v>N/A</v>
      </c>
      <c r="O804" s="26" t="str" cm="1">
        <f t="array" ref="O804">IFERROR(_xlfn.XLOOKUP(C804&amp;A804, ESPN!A:A&amp;ESPN!C:C, ESPN!I:I), "N/A")</f>
        <v>N/A</v>
      </c>
      <c r="P804" s="26" t="str" cm="1">
        <f t="array" ref="P804">IFERROR(_xlfn.XLOOKUP(C804&amp;A804, ESPN!A:A&amp;ESPN!C:C, ESPN!J:J), "N/A")</f>
        <v>N/A</v>
      </c>
      <c r="Q804" s="26" t="str" cm="1">
        <f t="array" ref="Q804">IFERROR(_xlfn.XLOOKUP(C804&amp;A804, ESPN!A:A&amp;ESPN!C:C, ESPN!K:K), "N/A")</f>
        <v>N/A</v>
      </c>
    </row>
    <row r="805" spans="1:17" x14ac:dyDescent="0.45">
      <c r="A805" s="7">
        <v>2021</v>
      </c>
      <c r="B805" s="3" t="s">
        <v>470</v>
      </c>
      <c r="C805" s="4" t="str">
        <f t="shared" si="24"/>
        <v>Ty Montgomery II</v>
      </c>
      <c r="D805" s="4" t="str">
        <f t="shared" si="25"/>
        <v>NO</v>
      </c>
      <c r="E805" s="4">
        <v>14</v>
      </c>
      <c r="F805" s="12">
        <v>26</v>
      </c>
      <c r="G805" s="11">
        <v>16</v>
      </c>
      <c r="H805" s="11">
        <v>95</v>
      </c>
      <c r="I805" s="11">
        <v>5.9</v>
      </c>
      <c r="J805" s="11">
        <v>0</v>
      </c>
      <c r="K805" s="11">
        <v>0</v>
      </c>
      <c r="L805" s="11" t="str" cm="1">
        <f t="array" ref="L805">IFERROR(_xlfn.XLOOKUP(C805&amp;A805, ESPN!A:A&amp;ESPN!C:C, ESPN!D:D), "N/A")</f>
        <v>N/A</v>
      </c>
      <c r="M805" s="23" t="str" cm="1">
        <f t="array" ref="M805">IFERROR(_xlfn.XLOOKUP(C805&amp;A805, ESPN!A:A&amp;ESPN!C:C, ESPN!G:G), "N/A")</f>
        <v>N/A</v>
      </c>
      <c r="N805" s="23" t="str" cm="1">
        <f t="array" ref="N805">IFERROR(_xlfn.XLOOKUP(C805&amp;A805, ESPN!A:A&amp;ESPN!C:C, ESPN!H:H), "N/A")</f>
        <v>N/A</v>
      </c>
      <c r="O805" s="26" t="str" cm="1">
        <f t="array" ref="O805">IFERROR(_xlfn.XLOOKUP(C805&amp;A805, ESPN!A:A&amp;ESPN!C:C, ESPN!I:I), "N/A")</f>
        <v>N/A</v>
      </c>
      <c r="P805" s="26" t="str" cm="1">
        <f t="array" ref="P805">IFERROR(_xlfn.XLOOKUP(C805&amp;A805, ESPN!A:A&amp;ESPN!C:C, ESPN!J:J), "N/A")</f>
        <v>N/A</v>
      </c>
      <c r="Q805" s="26" t="str" cm="1">
        <f t="array" ref="Q805">IFERROR(_xlfn.XLOOKUP(C805&amp;A805, ESPN!A:A&amp;ESPN!C:C, ESPN!K:K), "N/A")</f>
        <v>N/A</v>
      </c>
    </row>
    <row r="806" spans="1:17" x14ac:dyDescent="0.45">
      <c r="A806" s="6">
        <v>2021</v>
      </c>
      <c r="B806" s="1" t="s">
        <v>144</v>
      </c>
      <c r="C806" s="2" t="str">
        <f t="shared" si="24"/>
        <v>Patrick Ricard</v>
      </c>
      <c r="D806" s="2" t="str">
        <f t="shared" si="25"/>
        <v>BAL</v>
      </c>
      <c r="E806" s="2">
        <v>8</v>
      </c>
      <c r="F806" s="12">
        <v>13</v>
      </c>
      <c r="G806" s="11">
        <v>8</v>
      </c>
      <c r="H806" s="11">
        <v>63</v>
      </c>
      <c r="I806" s="11">
        <v>7.9</v>
      </c>
      <c r="J806" s="11">
        <v>1</v>
      </c>
      <c r="K806" s="11">
        <v>0</v>
      </c>
      <c r="L806" s="11" t="str" cm="1">
        <f t="array" ref="L806">IFERROR(_xlfn.XLOOKUP(C806&amp;A806, ESPN!A:A&amp;ESPN!C:C, ESPN!D:D), "N/A")</f>
        <v>N/A</v>
      </c>
      <c r="M806" s="23" t="str" cm="1">
        <f t="array" ref="M806">IFERROR(_xlfn.XLOOKUP(C806&amp;A806, ESPN!A:A&amp;ESPN!C:C, ESPN!G:G), "N/A")</f>
        <v>N/A</v>
      </c>
      <c r="N806" s="23" t="str" cm="1">
        <f t="array" ref="N806">IFERROR(_xlfn.XLOOKUP(C806&amp;A806, ESPN!A:A&amp;ESPN!C:C, ESPN!H:H), "N/A")</f>
        <v>N/A</v>
      </c>
      <c r="O806" s="26" t="str" cm="1">
        <f t="array" ref="O806">IFERROR(_xlfn.XLOOKUP(C806&amp;A806, ESPN!A:A&amp;ESPN!C:C, ESPN!I:I), "N/A")</f>
        <v>N/A</v>
      </c>
      <c r="P806" s="26" t="str" cm="1">
        <f t="array" ref="P806">IFERROR(_xlfn.XLOOKUP(C806&amp;A806, ESPN!A:A&amp;ESPN!C:C, ESPN!J:J), "N/A")</f>
        <v>N/A</v>
      </c>
      <c r="Q806" s="26" t="str" cm="1">
        <f t="array" ref="Q806">IFERROR(_xlfn.XLOOKUP(C806&amp;A806, ESPN!A:A&amp;ESPN!C:C, ESPN!K:K), "N/A")</f>
        <v>N/A</v>
      </c>
    </row>
    <row r="807" spans="1:17" x14ac:dyDescent="0.45">
      <c r="A807" s="7">
        <v>2021</v>
      </c>
      <c r="B807" s="3" t="s">
        <v>471</v>
      </c>
      <c r="C807" s="4" t="str">
        <f t="shared" si="24"/>
        <v>Wayne Gallman Jr.</v>
      </c>
      <c r="D807" s="4" t="str">
        <f t="shared" si="25"/>
        <v>MIN</v>
      </c>
      <c r="E807" s="4">
        <v>9</v>
      </c>
      <c r="F807" s="12">
        <v>3</v>
      </c>
      <c r="G807" s="11">
        <v>1</v>
      </c>
      <c r="H807" s="11">
        <v>21</v>
      </c>
      <c r="I807" s="11">
        <v>21</v>
      </c>
      <c r="J807" s="11">
        <v>0</v>
      </c>
      <c r="K807" s="11">
        <v>0</v>
      </c>
      <c r="L807" s="11" t="str" cm="1">
        <f t="array" ref="L807">IFERROR(_xlfn.XLOOKUP(C807&amp;A807, ESPN!A:A&amp;ESPN!C:C, ESPN!D:D), "N/A")</f>
        <v>N/A</v>
      </c>
      <c r="M807" s="23" t="str" cm="1">
        <f t="array" ref="M807">IFERROR(_xlfn.XLOOKUP(C807&amp;A807, ESPN!A:A&amp;ESPN!C:C, ESPN!G:G), "N/A")</f>
        <v>N/A</v>
      </c>
      <c r="N807" s="23" t="str" cm="1">
        <f t="array" ref="N807">IFERROR(_xlfn.XLOOKUP(C807&amp;A807, ESPN!A:A&amp;ESPN!C:C, ESPN!H:H), "N/A")</f>
        <v>N/A</v>
      </c>
      <c r="O807" s="26" t="str" cm="1">
        <f t="array" ref="O807">IFERROR(_xlfn.XLOOKUP(C807&amp;A807, ESPN!A:A&amp;ESPN!C:C, ESPN!I:I), "N/A")</f>
        <v>N/A</v>
      </c>
      <c r="P807" s="26" t="str" cm="1">
        <f t="array" ref="P807">IFERROR(_xlfn.XLOOKUP(C807&amp;A807, ESPN!A:A&amp;ESPN!C:C, ESPN!J:J), "N/A")</f>
        <v>N/A</v>
      </c>
      <c r="Q807" s="26" t="str" cm="1">
        <f t="array" ref="Q807">IFERROR(_xlfn.XLOOKUP(C807&amp;A807, ESPN!A:A&amp;ESPN!C:C, ESPN!K:K), "N/A")</f>
        <v>N/A</v>
      </c>
    </row>
    <row r="808" spans="1:17" x14ac:dyDescent="0.45">
      <c r="A808" s="6">
        <v>2021</v>
      </c>
      <c r="B808" s="1" t="s">
        <v>273</v>
      </c>
      <c r="C808" s="2" t="str">
        <f t="shared" si="24"/>
        <v>Joshua Kelley</v>
      </c>
      <c r="D808" s="2" t="str">
        <f t="shared" si="25"/>
        <v>LAC</v>
      </c>
      <c r="E808" s="2">
        <v>8</v>
      </c>
      <c r="F808" s="12">
        <v>6</v>
      </c>
      <c r="G808" s="11">
        <v>5</v>
      </c>
      <c r="H808" s="11">
        <v>38</v>
      </c>
      <c r="I808" s="11">
        <v>7.6</v>
      </c>
      <c r="J808" s="11">
        <v>0</v>
      </c>
      <c r="K808" s="11">
        <v>1</v>
      </c>
      <c r="L808" s="11" t="str" cm="1">
        <f t="array" ref="L808">IFERROR(_xlfn.XLOOKUP(C808&amp;A808, ESPN!A:A&amp;ESPN!C:C, ESPN!D:D), "N/A")</f>
        <v>N/A</v>
      </c>
      <c r="M808" s="23" t="str" cm="1">
        <f t="array" ref="M808">IFERROR(_xlfn.XLOOKUP(C808&amp;A808, ESPN!A:A&amp;ESPN!C:C, ESPN!G:G), "N/A")</f>
        <v>N/A</v>
      </c>
      <c r="N808" s="23" t="str" cm="1">
        <f t="array" ref="N808">IFERROR(_xlfn.XLOOKUP(C808&amp;A808, ESPN!A:A&amp;ESPN!C:C, ESPN!H:H), "N/A")</f>
        <v>N/A</v>
      </c>
      <c r="O808" s="26" t="str" cm="1">
        <f t="array" ref="O808">IFERROR(_xlfn.XLOOKUP(C808&amp;A808, ESPN!A:A&amp;ESPN!C:C, ESPN!I:I), "N/A")</f>
        <v>N/A</v>
      </c>
      <c r="P808" s="26" t="str" cm="1">
        <f t="array" ref="P808">IFERROR(_xlfn.XLOOKUP(C808&amp;A808, ESPN!A:A&amp;ESPN!C:C, ESPN!J:J), "N/A")</f>
        <v>N/A</v>
      </c>
      <c r="Q808" s="26" t="str" cm="1">
        <f t="array" ref="Q808">IFERROR(_xlfn.XLOOKUP(C808&amp;A808, ESPN!A:A&amp;ESPN!C:C, ESPN!K:K), "N/A")</f>
        <v>N/A</v>
      </c>
    </row>
    <row r="809" spans="1:17" x14ac:dyDescent="0.45">
      <c r="A809" s="7">
        <v>2021</v>
      </c>
      <c r="B809" s="3" t="s">
        <v>398</v>
      </c>
      <c r="C809" s="4" t="str">
        <f t="shared" si="24"/>
        <v>Michael Burton</v>
      </c>
      <c r="D809" s="4" t="str">
        <f t="shared" si="25"/>
        <v>KC</v>
      </c>
      <c r="E809" s="4">
        <v>10</v>
      </c>
      <c r="F809" s="12">
        <v>3</v>
      </c>
      <c r="G809" s="11">
        <v>3</v>
      </c>
      <c r="H809" s="11">
        <v>31</v>
      </c>
      <c r="I809" s="11">
        <v>10.3</v>
      </c>
      <c r="J809" s="11">
        <v>0</v>
      </c>
      <c r="K809" s="11">
        <v>0</v>
      </c>
      <c r="L809" s="11" t="str" cm="1">
        <f t="array" ref="L809">IFERROR(_xlfn.XLOOKUP(C809&amp;A809, ESPN!A:A&amp;ESPN!C:C, ESPN!D:D), "N/A")</f>
        <v>N/A</v>
      </c>
      <c r="M809" s="23" t="str" cm="1">
        <f t="array" ref="M809">IFERROR(_xlfn.XLOOKUP(C809&amp;A809, ESPN!A:A&amp;ESPN!C:C, ESPN!G:G), "N/A")</f>
        <v>N/A</v>
      </c>
      <c r="N809" s="23" t="str" cm="1">
        <f t="array" ref="N809">IFERROR(_xlfn.XLOOKUP(C809&amp;A809, ESPN!A:A&amp;ESPN!C:C, ESPN!H:H), "N/A")</f>
        <v>N/A</v>
      </c>
      <c r="O809" s="26" t="str" cm="1">
        <f t="array" ref="O809">IFERROR(_xlfn.XLOOKUP(C809&amp;A809, ESPN!A:A&amp;ESPN!C:C, ESPN!I:I), "N/A")</f>
        <v>N/A</v>
      </c>
      <c r="P809" s="26" t="str" cm="1">
        <f t="array" ref="P809">IFERROR(_xlfn.XLOOKUP(C809&amp;A809, ESPN!A:A&amp;ESPN!C:C, ESPN!J:J), "N/A")</f>
        <v>N/A</v>
      </c>
      <c r="Q809" s="26" t="str" cm="1">
        <f t="array" ref="Q809">IFERROR(_xlfn.XLOOKUP(C809&amp;A809, ESPN!A:A&amp;ESPN!C:C, ESPN!K:K), "N/A")</f>
        <v>N/A</v>
      </c>
    </row>
    <row r="810" spans="1:17" x14ac:dyDescent="0.45">
      <c r="A810" s="6">
        <v>2021</v>
      </c>
      <c r="B810" s="1" t="s">
        <v>472</v>
      </c>
      <c r="C810" s="2" t="str">
        <f t="shared" si="24"/>
        <v>Jalen Richard</v>
      </c>
      <c r="D810" s="2" t="str">
        <f t="shared" si="25"/>
        <v>LV</v>
      </c>
      <c r="E810" s="2">
        <v>9</v>
      </c>
      <c r="F810" s="12">
        <v>14</v>
      </c>
      <c r="G810" s="11">
        <v>12</v>
      </c>
      <c r="H810" s="11">
        <v>72</v>
      </c>
      <c r="I810" s="11">
        <v>6</v>
      </c>
      <c r="J810" s="11">
        <v>0</v>
      </c>
      <c r="K810" s="11">
        <v>0</v>
      </c>
      <c r="L810" s="11" t="str" cm="1">
        <f t="array" ref="L810">IFERROR(_xlfn.XLOOKUP(C810&amp;A810, ESPN!A:A&amp;ESPN!C:C, ESPN!D:D), "N/A")</f>
        <v>N/A</v>
      </c>
      <c r="M810" s="23" t="str" cm="1">
        <f t="array" ref="M810">IFERROR(_xlfn.XLOOKUP(C810&amp;A810, ESPN!A:A&amp;ESPN!C:C, ESPN!G:G), "N/A")</f>
        <v>N/A</v>
      </c>
      <c r="N810" s="23" t="str" cm="1">
        <f t="array" ref="N810">IFERROR(_xlfn.XLOOKUP(C810&amp;A810, ESPN!A:A&amp;ESPN!C:C, ESPN!H:H), "N/A")</f>
        <v>N/A</v>
      </c>
      <c r="O810" s="26" t="str" cm="1">
        <f t="array" ref="O810">IFERROR(_xlfn.XLOOKUP(C810&amp;A810, ESPN!A:A&amp;ESPN!C:C, ESPN!I:I), "N/A")</f>
        <v>N/A</v>
      </c>
      <c r="P810" s="26" t="str" cm="1">
        <f t="array" ref="P810">IFERROR(_xlfn.XLOOKUP(C810&amp;A810, ESPN!A:A&amp;ESPN!C:C, ESPN!J:J), "N/A")</f>
        <v>N/A</v>
      </c>
      <c r="Q810" s="26" t="str" cm="1">
        <f t="array" ref="Q810">IFERROR(_xlfn.XLOOKUP(C810&amp;A810, ESPN!A:A&amp;ESPN!C:C, ESPN!K:K), "N/A")</f>
        <v>N/A</v>
      </c>
    </row>
    <row r="811" spans="1:17" x14ac:dyDescent="0.45">
      <c r="A811" s="7">
        <v>2021</v>
      </c>
      <c r="B811" s="3" t="s">
        <v>376</v>
      </c>
      <c r="C811" s="4" t="str">
        <f t="shared" si="24"/>
        <v>Benny Snell Jr.</v>
      </c>
      <c r="D811" s="4" t="str">
        <f t="shared" si="25"/>
        <v>PIT</v>
      </c>
      <c r="E811" s="4">
        <v>16</v>
      </c>
      <c r="F811" s="12">
        <v>4</v>
      </c>
      <c r="G811" s="11">
        <v>2</v>
      </c>
      <c r="H811" s="11">
        <v>13</v>
      </c>
      <c r="I811" s="11">
        <v>6.5</v>
      </c>
      <c r="J811" s="11">
        <v>0</v>
      </c>
      <c r="K811" s="11">
        <v>0</v>
      </c>
      <c r="L811" s="11" t="str" cm="1">
        <f t="array" ref="L811">IFERROR(_xlfn.XLOOKUP(C811&amp;A811, ESPN!A:A&amp;ESPN!C:C, ESPN!D:D), "N/A")</f>
        <v>N/A</v>
      </c>
      <c r="M811" s="23" t="str" cm="1">
        <f t="array" ref="M811">IFERROR(_xlfn.XLOOKUP(C811&amp;A811, ESPN!A:A&amp;ESPN!C:C, ESPN!G:G), "N/A")</f>
        <v>N/A</v>
      </c>
      <c r="N811" s="23" t="str" cm="1">
        <f t="array" ref="N811">IFERROR(_xlfn.XLOOKUP(C811&amp;A811, ESPN!A:A&amp;ESPN!C:C, ESPN!H:H), "N/A")</f>
        <v>N/A</v>
      </c>
      <c r="O811" s="26" t="str" cm="1">
        <f t="array" ref="O811">IFERROR(_xlfn.XLOOKUP(C811&amp;A811, ESPN!A:A&amp;ESPN!C:C, ESPN!I:I), "N/A")</f>
        <v>N/A</v>
      </c>
      <c r="P811" s="26" t="str" cm="1">
        <f t="array" ref="P811">IFERROR(_xlfn.XLOOKUP(C811&amp;A811, ESPN!A:A&amp;ESPN!C:C, ESPN!J:J), "N/A")</f>
        <v>N/A</v>
      </c>
      <c r="Q811" s="26" t="str" cm="1">
        <f t="array" ref="Q811">IFERROR(_xlfn.XLOOKUP(C811&amp;A811, ESPN!A:A&amp;ESPN!C:C, ESPN!K:K), "N/A")</f>
        <v>N/A</v>
      </c>
    </row>
    <row r="812" spans="1:17" x14ac:dyDescent="0.45">
      <c r="A812" s="6">
        <v>2021</v>
      </c>
      <c r="B812" s="1" t="s">
        <v>473</v>
      </c>
      <c r="C812" s="2" t="str">
        <f t="shared" si="24"/>
        <v>Marlon Mack</v>
      </c>
      <c r="D812" s="2" t="str">
        <f t="shared" si="25"/>
        <v>IND</v>
      </c>
      <c r="E812" s="2">
        <v>6</v>
      </c>
      <c r="F812" s="12">
        <v>5</v>
      </c>
      <c r="G812" s="11">
        <v>2</v>
      </c>
      <c r="H812" s="11">
        <v>8</v>
      </c>
      <c r="I812" s="11">
        <v>4</v>
      </c>
      <c r="J812" s="11">
        <v>0</v>
      </c>
      <c r="K812" s="11">
        <v>0</v>
      </c>
      <c r="L812" s="11" t="str" cm="1">
        <f t="array" ref="L812">IFERROR(_xlfn.XLOOKUP(C812&amp;A812, ESPN!A:A&amp;ESPN!C:C, ESPN!D:D), "N/A")</f>
        <v>N/A</v>
      </c>
      <c r="M812" s="23" t="str" cm="1">
        <f t="array" ref="M812">IFERROR(_xlfn.XLOOKUP(C812&amp;A812, ESPN!A:A&amp;ESPN!C:C, ESPN!G:G), "N/A")</f>
        <v>N/A</v>
      </c>
      <c r="N812" s="23" t="str" cm="1">
        <f t="array" ref="N812">IFERROR(_xlfn.XLOOKUP(C812&amp;A812, ESPN!A:A&amp;ESPN!C:C, ESPN!H:H), "N/A")</f>
        <v>N/A</v>
      </c>
      <c r="O812" s="26" t="str" cm="1">
        <f t="array" ref="O812">IFERROR(_xlfn.XLOOKUP(C812&amp;A812, ESPN!A:A&amp;ESPN!C:C, ESPN!I:I), "N/A")</f>
        <v>N/A</v>
      </c>
      <c r="P812" s="26" t="str" cm="1">
        <f t="array" ref="P812">IFERROR(_xlfn.XLOOKUP(C812&amp;A812, ESPN!A:A&amp;ESPN!C:C, ESPN!J:J), "N/A")</f>
        <v>N/A</v>
      </c>
      <c r="Q812" s="26" t="str" cm="1">
        <f t="array" ref="Q812">IFERROR(_xlfn.XLOOKUP(C812&amp;A812, ESPN!A:A&amp;ESPN!C:C, ESPN!K:K), "N/A")</f>
        <v>N/A</v>
      </c>
    </row>
    <row r="813" spans="1:17" x14ac:dyDescent="0.45">
      <c r="A813" s="7">
        <v>2021</v>
      </c>
      <c r="B813" s="3" t="s">
        <v>474</v>
      </c>
      <c r="C813" s="4" t="str">
        <f t="shared" si="24"/>
        <v>Ryquell Armstead</v>
      </c>
      <c r="D813" s="4" t="str">
        <f t="shared" si="25"/>
        <v>JAC</v>
      </c>
      <c r="E813" s="4">
        <v>2</v>
      </c>
      <c r="F813" s="12">
        <v>4</v>
      </c>
      <c r="G813" s="11">
        <v>3</v>
      </c>
      <c r="H813" s="11">
        <v>16</v>
      </c>
      <c r="I813" s="11">
        <v>5.3</v>
      </c>
      <c r="J813" s="11">
        <v>0</v>
      </c>
      <c r="K813" s="11">
        <v>0</v>
      </c>
      <c r="L813" s="11" t="str" cm="1">
        <f t="array" ref="L813">IFERROR(_xlfn.XLOOKUP(C813&amp;A813, ESPN!A:A&amp;ESPN!C:C, ESPN!D:D), "N/A")</f>
        <v>N/A</v>
      </c>
      <c r="M813" s="23" t="str" cm="1">
        <f t="array" ref="M813">IFERROR(_xlfn.XLOOKUP(C813&amp;A813, ESPN!A:A&amp;ESPN!C:C, ESPN!G:G), "N/A")</f>
        <v>N/A</v>
      </c>
      <c r="N813" s="23" t="str" cm="1">
        <f t="array" ref="N813">IFERROR(_xlfn.XLOOKUP(C813&amp;A813, ESPN!A:A&amp;ESPN!C:C, ESPN!H:H), "N/A")</f>
        <v>N/A</v>
      </c>
      <c r="O813" s="26" t="str" cm="1">
        <f t="array" ref="O813">IFERROR(_xlfn.XLOOKUP(C813&amp;A813, ESPN!A:A&amp;ESPN!C:C, ESPN!I:I), "N/A")</f>
        <v>N/A</v>
      </c>
      <c r="P813" s="26" t="str" cm="1">
        <f t="array" ref="P813">IFERROR(_xlfn.XLOOKUP(C813&amp;A813, ESPN!A:A&amp;ESPN!C:C, ESPN!J:J), "N/A")</f>
        <v>N/A</v>
      </c>
      <c r="Q813" s="26" t="str" cm="1">
        <f t="array" ref="Q813">IFERROR(_xlfn.XLOOKUP(C813&amp;A813, ESPN!A:A&amp;ESPN!C:C, ESPN!K:K), "N/A")</f>
        <v>N/A</v>
      </c>
    </row>
    <row r="814" spans="1:17" x14ac:dyDescent="0.45">
      <c r="A814" s="6">
        <v>2021</v>
      </c>
      <c r="B814" s="1" t="s">
        <v>359</v>
      </c>
      <c r="C814" s="2" t="str">
        <f t="shared" si="24"/>
        <v>Deon Jackson</v>
      </c>
      <c r="D814" s="2" t="str">
        <f t="shared" si="25"/>
        <v>IND</v>
      </c>
      <c r="E814" s="2">
        <v>5</v>
      </c>
      <c r="F814" s="12">
        <v>0</v>
      </c>
      <c r="G814" s="11">
        <v>0</v>
      </c>
      <c r="H814" s="11">
        <v>0</v>
      </c>
      <c r="I814" s="11">
        <v>0</v>
      </c>
      <c r="J814" s="11">
        <v>0</v>
      </c>
      <c r="K814" s="11">
        <v>0</v>
      </c>
      <c r="L814" s="11" t="str" cm="1">
        <f t="array" ref="L814">IFERROR(_xlfn.XLOOKUP(C814&amp;A814, ESPN!A:A&amp;ESPN!C:C, ESPN!D:D), "N/A")</f>
        <v>N/A</v>
      </c>
      <c r="M814" s="23" t="str" cm="1">
        <f t="array" ref="M814">IFERROR(_xlfn.XLOOKUP(C814&amp;A814, ESPN!A:A&amp;ESPN!C:C, ESPN!G:G), "N/A")</f>
        <v>N/A</v>
      </c>
      <c r="N814" s="23" t="str" cm="1">
        <f t="array" ref="N814">IFERROR(_xlfn.XLOOKUP(C814&amp;A814, ESPN!A:A&amp;ESPN!C:C, ESPN!H:H), "N/A")</f>
        <v>N/A</v>
      </c>
      <c r="O814" s="26" t="str" cm="1">
        <f t="array" ref="O814">IFERROR(_xlfn.XLOOKUP(C814&amp;A814, ESPN!A:A&amp;ESPN!C:C, ESPN!I:I), "N/A")</f>
        <v>N/A</v>
      </c>
      <c r="P814" s="26" t="str" cm="1">
        <f t="array" ref="P814">IFERROR(_xlfn.XLOOKUP(C814&amp;A814, ESPN!A:A&amp;ESPN!C:C, ESPN!J:J), "N/A")</f>
        <v>N/A</v>
      </c>
      <c r="Q814" s="26" t="str" cm="1">
        <f t="array" ref="Q814">IFERROR(_xlfn.XLOOKUP(C814&amp;A814, ESPN!A:A&amp;ESPN!C:C, ESPN!K:K), "N/A")</f>
        <v>N/A</v>
      </c>
    </row>
    <row r="815" spans="1:17" x14ac:dyDescent="0.45">
      <c r="A815" s="7">
        <v>2021</v>
      </c>
      <c r="B815" s="3" t="s">
        <v>475</v>
      </c>
      <c r="C815" s="4" t="str">
        <f t="shared" si="24"/>
        <v>Andy Janovich</v>
      </c>
      <c r="D815" s="4" t="str">
        <f t="shared" si="25"/>
        <v>CLE</v>
      </c>
      <c r="E815" s="4">
        <v>6</v>
      </c>
      <c r="F815" s="12">
        <v>4</v>
      </c>
      <c r="G815" s="11">
        <v>3</v>
      </c>
      <c r="H815" s="11">
        <v>9</v>
      </c>
      <c r="I815" s="11">
        <v>3</v>
      </c>
      <c r="J815" s="11">
        <v>0</v>
      </c>
      <c r="K815" s="11">
        <v>0</v>
      </c>
      <c r="L815" s="11" t="str" cm="1">
        <f t="array" ref="L815">IFERROR(_xlfn.XLOOKUP(C815&amp;A815, ESPN!A:A&amp;ESPN!C:C, ESPN!D:D), "N/A")</f>
        <v>N/A</v>
      </c>
      <c r="M815" s="23" t="str" cm="1">
        <f t="array" ref="M815">IFERROR(_xlfn.XLOOKUP(C815&amp;A815, ESPN!A:A&amp;ESPN!C:C, ESPN!G:G), "N/A")</f>
        <v>N/A</v>
      </c>
      <c r="N815" s="23" t="str" cm="1">
        <f t="array" ref="N815">IFERROR(_xlfn.XLOOKUP(C815&amp;A815, ESPN!A:A&amp;ESPN!C:C, ESPN!H:H), "N/A")</f>
        <v>N/A</v>
      </c>
      <c r="O815" s="26" t="str" cm="1">
        <f t="array" ref="O815">IFERROR(_xlfn.XLOOKUP(C815&amp;A815, ESPN!A:A&amp;ESPN!C:C, ESPN!I:I), "N/A")</f>
        <v>N/A</v>
      </c>
      <c r="P815" s="26" t="str" cm="1">
        <f t="array" ref="P815">IFERROR(_xlfn.XLOOKUP(C815&amp;A815, ESPN!A:A&amp;ESPN!C:C, ESPN!J:J), "N/A")</f>
        <v>N/A</v>
      </c>
      <c r="Q815" s="26" t="str" cm="1">
        <f t="array" ref="Q815">IFERROR(_xlfn.XLOOKUP(C815&amp;A815, ESPN!A:A&amp;ESPN!C:C, ESPN!K:K), "N/A")</f>
        <v>N/A</v>
      </c>
    </row>
    <row r="816" spans="1:17" x14ac:dyDescent="0.45">
      <c r="A816" s="6">
        <v>2021</v>
      </c>
      <c r="B816" s="1" t="s">
        <v>476</v>
      </c>
      <c r="C816" s="2" t="str">
        <f t="shared" si="24"/>
        <v>JaQuan Hardy</v>
      </c>
      <c r="D816" s="2" t="str">
        <f t="shared" si="25"/>
        <v>DAL</v>
      </c>
      <c r="E816" s="2">
        <v>2</v>
      </c>
      <c r="F816" s="12">
        <v>0</v>
      </c>
      <c r="G816" s="11">
        <v>0</v>
      </c>
      <c r="H816" s="11">
        <v>0</v>
      </c>
      <c r="I816" s="11">
        <v>0</v>
      </c>
      <c r="J816" s="11">
        <v>0</v>
      </c>
      <c r="K816" s="11">
        <v>0</v>
      </c>
      <c r="L816" s="11" t="str" cm="1">
        <f t="array" ref="L816">IFERROR(_xlfn.XLOOKUP(C816&amp;A816, ESPN!A:A&amp;ESPN!C:C, ESPN!D:D), "N/A")</f>
        <v>N/A</v>
      </c>
      <c r="M816" s="23" t="str" cm="1">
        <f t="array" ref="M816">IFERROR(_xlfn.XLOOKUP(C816&amp;A816, ESPN!A:A&amp;ESPN!C:C, ESPN!G:G), "N/A")</f>
        <v>N/A</v>
      </c>
      <c r="N816" s="23" t="str" cm="1">
        <f t="array" ref="N816">IFERROR(_xlfn.XLOOKUP(C816&amp;A816, ESPN!A:A&amp;ESPN!C:C, ESPN!H:H), "N/A")</f>
        <v>N/A</v>
      </c>
      <c r="O816" s="26" t="str" cm="1">
        <f t="array" ref="O816">IFERROR(_xlfn.XLOOKUP(C816&amp;A816, ESPN!A:A&amp;ESPN!C:C, ESPN!I:I), "N/A")</f>
        <v>N/A</v>
      </c>
      <c r="P816" s="26" t="str" cm="1">
        <f t="array" ref="P816">IFERROR(_xlfn.XLOOKUP(C816&amp;A816, ESPN!A:A&amp;ESPN!C:C, ESPN!J:J), "N/A")</f>
        <v>N/A</v>
      </c>
      <c r="Q816" s="26" t="str" cm="1">
        <f t="array" ref="Q816">IFERROR(_xlfn.XLOOKUP(C816&amp;A816, ESPN!A:A&amp;ESPN!C:C, ESPN!K:K), "N/A")</f>
        <v>N/A</v>
      </c>
    </row>
    <row r="817" spans="1:17" x14ac:dyDescent="0.45">
      <c r="A817" s="7">
        <v>2021</v>
      </c>
      <c r="B817" s="3" t="s">
        <v>303</v>
      </c>
      <c r="C817" s="4" t="str">
        <f t="shared" si="24"/>
        <v>Keith Smith</v>
      </c>
      <c r="D817" s="4" t="str">
        <f t="shared" si="25"/>
        <v>ATL</v>
      </c>
      <c r="E817" s="4">
        <v>13</v>
      </c>
      <c r="F817" s="12">
        <v>10</v>
      </c>
      <c r="G817" s="11">
        <v>9</v>
      </c>
      <c r="H817" s="11">
        <v>56</v>
      </c>
      <c r="I817" s="11">
        <v>6.2</v>
      </c>
      <c r="J817" s="11">
        <v>0</v>
      </c>
      <c r="K817" s="11">
        <v>0</v>
      </c>
      <c r="L817" s="11" t="str" cm="1">
        <f t="array" ref="L817">IFERROR(_xlfn.XLOOKUP(C817&amp;A817, ESPN!A:A&amp;ESPN!C:C, ESPN!D:D), "N/A")</f>
        <v>N/A</v>
      </c>
      <c r="M817" s="23" t="str" cm="1">
        <f t="array" ref="M817">IFERROR(_xlfn.XLOOKUP(C817&amp;A817, ESPN!A:A&amp;ESPN!C:C, ESPN!G:G), "N/A")</f>
        <v>N/A</v>
      </c>
      <c r="N817" s="23" t="str" cm="1">
        <f t="array" ref="N817">IFERROR(_xlfn.XLOOKUP(C817&amp;A817, ESPN!A:A&amp;ESPN!C:C, ESPN!H:H), "N/A")</f>
        <v>N/A</v>
      </c>
      <c r="O817" s="26" t="str" cm="1">
        <f t="array" ref="O817">IFERROR(_xlfn.XLOOKUP(C817&amp;A817, ESPN!A:A&amp;ESPN!C:C, ESPN!I:I), "N/A")</f>
        <v>N/A</v>
      </c>
      <c r="P817" s="26" t="str" cm="1">
        <f t="array" ref="P817">IFERROR(_xlfn.XLOOKUP(C817&amp;A817, ESPN!A:A&amp;ESPN!C:C, ESPN!J:J), "N/A")</f>
        <v>N/A</v>
      </c>
      <c r="Q817" s="26" t="str" cm="1">
        <f t="array" ref="Q817">IFERROR(_xlfn.XLOOKUP(C817&amp;A817, ESPN!A:A&amp;ESPN!C:C, ESPN!K:K), "N/A")</f>
        <v>N/A</v>
      </c>
    </row>
    <row r="818" spans="1:17" x14ac:dyDescent="0.45">
      <c r="A818" s="6">
        <v>2021</v>
      </c>
      <c r="B818" s="1" t="s">
        <v>311</v>
      </c>
      <c r="C818" s="2" t="str">
        <f t="shared" si="24"/>
        <v>Alex Armah Jr.</v>
      </c>
      <c r="D818" s="2" t="str">
        <f t="shared" si="25"/>
        <v>WAS</v>
      </c>
      <c r="E818" s="2">
        <v>10</v>
      </c>
      <c r="F818" s="12">
        <v>1</v>
      </c>
      <c r="G818" s="11">
        <v>1</v>
      </c>
      <c r="H818" s="11">
        <v>1</v>
      </c>
      <c r="I818" s="11">
        <v>1</v>
      </c>
      <c r="J818" s="11">
        <v>1</v>
      </c>
      <c r="K818" s="11">
        <v>0</v>
      </c>
      <c r="L818" s="11" t="str" cm="1">
        <f t="array" ref="L818">IFERROR(_xlfn.XLOOKUP(C818&amp;A818, ESPN!A:A&amp;ESPN!C:C, ESPN!D:D), "N/A")</f>
        <v>N/A</v>
      </c>
      <c r="M818" s="23" t="str" cm="1">
        <f t="array" ref="M818">IFERROR(_xlfn.XLOOKUP(C818&amp;A818, ESPN!A:A&amp;ESPN!C:C, ESPN!G:G), "N/A")</f>
        <v>N/A</v>
      </c>
      <c r="N818" s="23" t="str" cm="1">
        <f t="array" ref="N818">IFERROR(_xlfn.XLOOKUP(C818&amp;A818, ESPN!A:A&amp;ESPN!C:C, ESPN!H:H), "N/A")</f>
        <v>N/A</v>
      </c>
      <c r="O818" s="26" t="str" cm="1">
        <f t="array" ref="O818">IFERROR(_xlfn.XLOOKUP(C818&amp;A818, ESPN!A:A&amp;ESPN!C:C, ESPN!I:I), "N/A")</f>
        <v>N/A</v>
      </c>
      <c r="P818" s="26" t="str" cm="1">
        <f t="array" ref="P818">IFERROR(_xlfn.XLOOKUP(C818&amp;A818, ESPN!A:A&amp;ESPN!C:C, ESPN!J:J), "N/A")</f>
        <v>N/A</v>
      </c>
      <c r="Q818" s="26" t="str" cm="1">
        <f t="array" ref="Q818">IFERROR(_xlfn.XLOOKUP(C818&amp;A818, ESPN!A:A&amp;ESPN!C:C, ESPN!K:K), "N/A")</f>
        <v>N/A</v>
      </c>
    </row>
    <row r="819" spans="1:17" x14ac:dyDescent="0.45">
      <c r="A819" s="7">
        <v>2021</v>
      </c>
      <c r="B819" s="3" t="s">
        <v>477</v>
      </c>
      <c r="C819" s="4" t="str">
        <f t="shared" si="24"/>
        <v>Johnny Stanton IV</v>
      </c>
      <c r="D819" s="4" t="str">
        <f t="shared" si="25"/>
        <v>CLE</v>
      </c>
      <c r="E819" s="4">
        <v>3</v>
      </c>
      <c r="F819" s="12">
        <v>2</v>
      </c>
      <c r="G819" s="11">
        <v>2</v>
      </c>
      <c r="H819" s="11">
        <v>7</v>
      </c>
      <c r="I819" s="11">
        <v>3.5</v>
      </c>
      <c r="J819" s="11">
        <v>1</v>
      </c>
      <c r="K819" s="11">
        <v>0</v>
      </c>
      <c r="L819" s="11" t="str" cm="1">
        <f t="array" ref="L819">IFERROR(_xlfn.XLOOKUP(C819&amp;A819, ESPN!A:A&amp;ESPN!C:C, ESPN!D:D), "N/A")</f>
        <v>N/A</v>
      </c>
      <c r="M819" s="23" t="str" cm="1">
        <f t="array" ref="M819">IFERROR(_xlfn.XLOOKUP(C819&amp;A819, ESPN!A:A&amp;ESPN!C:C, ESPN!G:G), "N/A")</f>
        <v>N/A</v>
      </c>
      <c r="N819" s="23" t="str" cm="1">
        <f t="array" ref="N819">IFERROR(_xlfn.XLOOKUP(C819&amp;A819, ESPN!A:A&amp;ESPN!C:C, ESPN!H:H), "N/A")</f>
        <v>N/A</v>
      </c>
      <c r="O819" s="26" t="str" cm="1">
        <f t="array" ref="O819">IFERROR(_xlfn.XLOOKUP(C819&amp;A819, ESPN!A:A&amp;ESPN!C:C, ESPN!I:I), "N/A")</f>
        <v>N/A</v>
      </c>
      <c r="P819" s="26" t="str" cm="1">
        <f t="array" ref="P819">IFERROR(_xlfn.XLOOKUP(C819&amp;A819, ESPN!A:A&amp;ESPN!C:C, ESPN!J:J), "N/A")</f>
        <v>N/A</v>
      </c>
      <c r="Q819" s="26" t="str" cm="1">
        <f t="array" ref="Q819">IFERROR(_xlfn.XLOOKUP(C819&amp;A819, ESPN!A:A&amp;ESPN!C:C, ESPN!K:K), "N/A")</f>
        <v>N/A</v>
      </c>
    </row>
    <row r="820" spans="1:17" x14ac:dyDescent="0.45">
      <c r="A820" s="6">
        <v>2021</v>
      </c>
      <c r="B820" s="1" t="s">
        <v>478</v>
      </c>
      <c r="C820" s="2" t="str">
        <f t="shared" si="24"/>
        <v>Jonathan Ward</v>
      </c>
      <c r="D820" s="2" t="str">
        <f t="shared" si="25"/>
        <v>ARI</v>
      </c>
      <c r="E820" s="2">
        <v>9</v>
      </c>
      <c r="F820" s="12">
        <v>4</v>
      </c>
      <c r="G820" s="11">
        <v>3</v>
      </c>
      <c r="H820" s="11">
        <v>34</v>
      </c>
      <c r="I820" s="11">
        <v>11.3</v>
      </c>
      <c r="J820" s="11">
        <v>0</v>
      </c>
      <c r="K820" s="11">
        <v>0</v>
      </c>
      <c r="L820" s="11" t="str" cm="1">
        <f t="array" ref="L820">IFERROR(_xlfn.XLOOKUP(C820&amp;A820, ESPN!A:A&amp;ESPN!C:C, ESPN!D:D), "N/A")</f>
        <v>N/A</v>
      </c>
      <c r="M820" s="23" t="str" cm="1">
        <f t="array" ref="M820">IFERROR(_xlfn.XLOOKUP(C820&amp;A820, ESPN!A:A&amp;ESPN!C:C, ESPN!G:G), "N/A")</f>
        <v>N/A</v>
      </c>
      <c r="N820" s="23" t="str" cm="1">
        <f t="array" ref="N820">IFERROR(_xlfn.XLOOKUP(C820&amp;A820, ESPN!A:A&amp;ESPN!C:C, ESPN!H:H), "N/A")</f>
        <v>N/A</v>
      </c>
      <c r="O820" s="26" t="str" cm="1">
        <f t="array" ref="O820">IFERROR(_xlfn.XLOOKUP(C820&amp;A820, ESPN!A:A&amp;ESPN!C:C, ESPN!I:I), "N/A")</f>
        <v>N/A</v>
      </c>
      <c r="P820" s="26" t="str" cm="1">
        <f t="array" ref="P820">IFERROR(_xlfn.XLOOKUP(C820&amp;A820, ESPN!A:A&amp;ESPN!C:C, ESPN!J:J), "N/A")</f>
        <v>N/A</v>
      </c>
      <c r="Q820" s="26" t="str" cm="1">
        <f t="array" ref="Q820">IFERROR(_xlfn.XLOOKUP(C820&amp;A820, ESPN!A:A&amp;ESPN!C:C, ESPN!K:K), "N/A")</f>
        <v>N/A</v>
      </c>
    </row>
    <row r="821" spans="1:17" x14ac:dyDescent="0.45">
      <c r="A821" s="7">
        <v>2021</v>
      </c>
      <c r="B821" s="3" t="s">
        <v>479</v>
      </c>
      <c r="C821" s="4" t="str">
        <f t="shared" si="24"/>
        <v>Ito Smith</v>
      </c>
      <c r="D821" s="4" t="str">
        <f t="shared" si="25"/>
        <v>DAL</v>
      </c>
      <c r="E821" s="4">
        <v>1</v>
      </c>
      <c r="F821" s="12">
        <v>0</v>
      </c>
      <c r="G821" s="11">
        <v>0</v>
      </c>
      <c r="H821" s="11">
        <v>0</v>
      </c>
      <c r="I821" s="11">
        <v>0</v>
      </c>
      <c r="J821" s="11">
        <v>0</v>
      </c>
      <c r="K821" s="11">
        <v>0</v>
      </c>
      <c r="L821" s="11" t="str" cm="1">
        <f t="array" ref="L821">IFERROR(_xlfn.XLOOKUP(C821&amp;A821, ESPN!A:A&amp;ESPN!C:C, ESPN!D:D), "N/A")</f>
        <v>N/A</v>
      </c>
      <c r="M821" s="23" t="str" cm="1">
        <f t="array" ref="M821">IFERROR(_xlfn.XLOOKUP(C821&amp;A821, ESPN!A:A&amp;ESPN!C:C, ESPN!G:G), "N/A")</f>
        <v>N/A</v>
      </c>
      <c r="N821" s="23" t="str" cm="1">
        <f t="array" ref="N821">IFERROR(_xlfn.XLOOKUP(C821&amp;A821, ESPN!A:A&amp;ESPN!C:C, ESPN!H:H), "N/A")</f>
        <v>N/A</v>
      </c>
      <c r="O821" s="26" t="str" cm="1">
        <f t="array" ref="O821">IFERROR(_xlfn.XLOOKUP(C821&amp;A821, ESPN!A:A&amp;ESPN!C:C, ESPN!I:I), "N/A")</f>
        <v>N/A</v>
      </c>
      <c r="P821" s="26" t="str" cm="1">
        <f t="array" ref="P821">IFERROR(_xlfn.XLOOKUP(C821&amp;A821, ESPN!A:A&amp;ESPN!C:C, ESPN!J:J), "N/A")</f>
        <v>N/A</v>
      </c>
      <c r="Q821" s="26" t="str" cm="1">
        <f t="array" ref="Q821">IFERROR(_xlfn.XLOOKUP(C821&amp;A821, ESPN!A:A&amp;ESPN!C:C, ESPN!K:K), "N/A")</f>
        <v>N/A</v>
      </c>
    </row>
    <row r="822" spans="1:17" x14ac:dyDescent="0.45">
      <c r="A822" s="6">
        <v>2021</v>
      </c>
      <c r="B822" s="1" t="s">
        <v>372</v>
      </c>
      <c r="C822" s="2" t="str">
        <f t="shared" si="24"/>
        <v>Mike Boone</v>
      </c>
      <c r="D822" s="2" t="str">
        <f t="shared" si="25"/>
        <v>DEN</v>
      </c>
      <c r="E822" s="2">
        <v>3</v>
      </c>
      <c r="F822" s="12">
        <v>2</v>
      </c>
      <c r="G822" s="11">
        <v>2</v>
      </c>
      <c r="H822" s="11">
        <v>22</v>
      </c>
      <c r="I822" s="11">
        <v>11</v>
      </c>
      <c r="J822" s="11">
        <v>0</v>
      </c>
      <c r="K822" s="11">
        <v>0</v>
      </c>
      <c r="L822" s="11" t="str" cm="1">
        <f t="array" ref="L822">IFERROR(_xlfn.XLOOKUP(C822&amp;A822, ESPN!A:A&amp;ESPN!C:C, ESPN!D:D), "N/A")</f>
        <v>N/A</v>
      </c>
      <c r="M822" s="23" t="str" cm="1">
        <f t="array" ref="M822">IFERROR(_xlfn.XLOOKUP(C822&amp;A822, ESPN!A:A&amp;ESPN!C:C, ESPN!G:G), "N/A")</f>
        <v>N/A</v>
      </c>
      <c r="N822" s="23" t="str" cm="1">
        <f t="array" ref="N822">IFERROR(_xlfn.XLOOKUP(C822&amp;A822, ESPN!A:A&amp;ESPN!C:C, ESPN!H:H), "N/A")</f>
        <v>N/A</v>
      </c>
      <c r="O822" s="26" t="str" cm="1">
        <f t="array" ref="O822">IFERROR(_xlfn.XLOOKUP(C822&amp;A822, ESPN!A:A&amp;ESPN!C:C, ESPN!I:I), "N/A")</f>
        <v>N/A</v>
      </c>
      <c r="P822" s="26" t="str" cm="1">
        <f t="array" ref="P822">IFERROR(_xlfn.XLOOKUP(C822&amp;A822, ESPN!A:A&amp;ESPN!C:C, ESPN!J:J), "N/A")</f>
        <v>N/A</v>
      </c>
      <c r="Q822" s="26" t="str" cm="1">
        <f t="array" ref="Q822">IFERROR(_xlfn.XLOOKUP(C822&amp;A822, ESPN!A:A&amp;ESPN!C:C, ESPN!K:K), "N/A")</f>
        <v>N/A</v>
      </c>
    </row>
    <row r="823" spans="1:17" x14ac:dyDescent="0.45">
      <c r="A823" s="7">
        <v>2021</v>
      </c>
      <c r="B823" s="3" t="s">
        <v>236</v>
      </c>
      <c r="C823" s="4" t="str">
        <f t="shared" si="24"/>
        <v>Trayveon Williams</v>
      </c>
      <c r="D823" s="4" t="str">
        <f t="shared" si="25"/>
        <v>CIN</v>
      </c>
      <c r="E823" s="4">
        <v>4</v>
      </c>
      <c r="F823" s="12">
        <v>2</v>
      </c>
      <c r="G823" s="11">
        <v>1</v>
      </c>
      <c r="H823" s="11">
        <v>4</v>
      </c>
      <c r="I823" s="11">
        <v>4</v>
      </c>
      <c r="J823" s="11">
        <v>0</v>
      </c>
      <c r="K823" s="11">
        <v>0</v>
      </c>
      <c r="L823" s="11" t="str" cm="1">
        <f t="array" ref="L823">IFERROR(_xlfn.XLOOKUP(C823&amp;A823, ESPN!A:A&amp;ESPN!C:C, ESPN!D:D), "N/A")</f>
        <v>N/A</v>
      </c>
      <c r="M823" s="23" t="str" cm="1">
        <f t="array" ref="M823">IFERROR(_xlfn.XLOOKUP(C823&amp;A823, ESPN!A:A&amp;ESPN!C:C, ESPN!G:G), "N/A")</f>
        <v>N/A</v>
      </c>
      <c r="N823" s="23" t="str" cm="1">
        <f t="array" ref="N823">IFERROR(_xlfn.XLOOKUP(C823&amp;A823, ESPN!A:A&amp;ESPN!C:C, ESPN!H:H), "N/A")</f>
        <v>N/A</v>
      </c>
      <c r="O823" s="26" t="str" cm="1">
        <f t="array" ref="O823">IFERROR(_xlfn.XLOOKUP(C823&amp;A823, ESPN!A:A&amp;ESPN!C:C, ESPN!I:I), "N/A")</f>
        <v>N/A</v>
      </c>
      <c r="P823" s="26" t="str" cm="1">
        <f t="array" ref="P823">IFERROR(_xlfn.XLOOKUP(C823&amp;A823, ESPN!A:A&amp;ESPN!C:C, ESPN!J:J), "N/A")</f>
        <v>N/A</v>
      </c>
      <c r="Q823" s="26" t="str" cm="1">
        <f t="array" ref="Q823">IFERROR(_xlfn.XLOOKUP(C823&amp;A823, ESPN!A:A&amp;ESPN!C:C, ESPN!K:K), "N/A")</f>
        <v>N/A</v>
      </c>
    </row>
    <row r="824" spans="1:17" x14ac:dyDescent="0.45">
      <c r="A824" s="6">
        <v>2021</v>
      </c>
      <c r="B824" s="1" t="s">
        <v>480</v>
      </c>
      <c r="C824" s="2" t="str">
        <f t="shared" si="24"/>
        <v>Jason Huntley</v>
      </c>
      <c r="D824" s="2" t="str">
        <f t="shared" si="25"/>
        <v>PHI</v>
      </c>
      <c r="E824" s="2">
        <v>1</v>
      </c>
      <c r="F824" s="12">
        <v>1</v>
      </c>
      <c r="G824" s="11">
        <v>0</v>
      </c>
      <c r="H824" s="11">
        <v>0</v>
      </c>
      <c r="I824" s="11">
        <v>0</v>
      </c>
      <c r="J824" s="11">
        <v>0</v>
      </c>
      <c r="K824" s="11">
        <v>0</v>
      </c>
      <c r="L824" s="11" t="str" cm="1">
        <f t="array" ref="L824">IFERROR(_xlfn.XLOOKUP(C824&amp;A824, ESPN!A:A&amp;ESPN!C:C, ESPN!D:D), "N/A")</f>
        <v>N/A</v>
      </c>
      <c r="M824" s="23" t="str" cm="1">
        <f t="array" ref="M824">IFERROR(_xlfn.XLOOKUP(C824&amp;A824, ESPN!A:A&amp;ESPN!C:C, ESPN!G:G), "N/A")</f>
        <v>N/A</v>
      </c>
      <c r="N824" s="23" t="str" cm="1">
        <f t="array" ref="N824">IFERROR(_xlfn.XLOOKUP(C824&amp;A824, ESPN!A:A&amp;ESPN!C:C, ESPN!H:H), "N/A")</f>
        <v>N/A</v>
      </c>
      <c r="O824" s="26" t="str" cm="1">
        <f t="array" ref="O824">IFERROR(_xlfn.XLOOKUP(C824&amp;A824, ESPN!A:A&amp;ESPN!C:C, ESPN!I:I), "N/A")</f>
        <v>N/A</v>
      </c>
      <c r="P824" s="26" t="str" cm="1">
        <f t="array" ref="P824">IFERROR(_xlfn.XLOOKUP(C824&amp;A824, ESPN!A:A&amp;ESPN!C:C, ESPN!J:J), "N/A")</f>
        <v>N/A</v>
      </c>
      <c r="Q824" s="26" t="str" cm="1">
        <f t="array" ref="Q824">IFERROR(_xlfn.XLOOKUP(C824&amp;A824, ESPN!A:A&amp;ESPN!C:C, ESPN!K:K), "N/A")</f>
        <v>N/A</v>
      </c>
    </row>
    <row r="825" spans="1:17" x14ac:dyDescent="0.45">
      <c r="A825" s="7">
        <v>2021</v>
      </c>
      <c r="B825" s="3" t="s">
        <v>481</v>
      </c>
      <c r="C825" s="4" t="str">
        <f t="shared" si="24"/>
        <v>Rodney Smith</v>
      </c>
      <c r="D825" s="4" t="str">
        <f t="shared" si="25"/>
        <v>CAR</v>
      </c>
      <c r="E825" s="4">
        <v>1</v>
      </c>
      <c r="F825" s="12">
        <v>5</v>
      </c>
      <c r="G825" s="11">
        <v>5</v>
      </c>
      <c r="H825" s="11">
        <v>48</v>
      </c>
      <c r="I825" s="11">
        <v>9.6</v>
      </c>
      <c r="J825" s="11">
        <v>0</v>
      </c>
      <c r="K825" s="11">
        <v>0</v>
      </c>
      <c r="L825" s="11" t="str" cm="1">
        <f t="array" ref="L825">IFERROR(_xlfn.XLOOKUP(C825&amp;A825, ESPN!A:A&amp;ESPN!C:C, ESPN!D:D), "N/A")</f>
        <v>N/A</v>
      </c>
      <c r="M825" s="23" t="str" cm="1">
        <f t="array" ref="M825">IFERROR(_xlfn.XLOOKUP(C825&amp;A825, ESPN!A:A&amp;ESPN!C:C, ESPN!G:G), "N/A")</f>
        <v>N/A</v>
      </c>
      <c r="N825" s="23" t="str" cm="1">
        <f t="array" ref="N825">IFERROR(_xlfn.XLOOKUP(C825&amp;A825, ESPN!A:A&amp;ESPN!C:C, ESPN!H:H), "N/A")</f>
        <v>N/A</v>
      </c>
      <c r="O825" s="26" t="str" cm="1">
        <f t="array" ref="O825">IFERROR(_xlfn.XLOOKUP(C825&amp;A825, ESPN!A:A&amp;ESPN!C:C, ESPN!I:I), "N/A")</f>
        <v>N/A</v>
      </c>
      <c r="P825" s="26" t="str" cm="1">
        <f t="array" ref="P825">IFERROR(_xlfn.XLOOKUP(C825&amp;A825, ESPN!A:A&amp;ESPN!C:C, ESPN!J:J), "N/A")</f>
        <v>N/A</v>
      </c>
      <c r="Q825" s="26" t="str" cm="1">
        <f t="array" ref="Q825">IFERROR(_xlfn.XLOOKUP(C825&amp;A825, ESPN!A:A&amp;ESPN!C:C, ESPN!K:K), "N/A")</f>
        <v>N/A</v>
      </c>
    </row>
    <row r="826" spans="1:17" x14ac:dyDescent="0.45">
      <c r="A826" s="6">
        <v>2021</v>
      </c>
      <c r="B826" s="1" t="s">
        <v>482</v>
      </c>
      <c r="C826" s="2" t="str">
        <f t="shared" si="24"/>
        <v>Wendell Smallwood</v>
      </c>
      <c r="D826" s="2" t="str">
        <f t="shared" si="25"/>
        <v>WAS</v>
      </c>
      <c r="E826" s="2">
        <v>2</v>
      </c>
      <c r="F826" s="12">
        <v>5</v>
      </c>
      <c r="G826" s="11">
        <v>4</v>
      </c>
      <c r="H826" s="11">
        <v>22</v>
      </c>
      <c r="I826" s="11">
        <v>5.5</v>
      </c>
      <c r="J826" s="11">
        <v>0</v>
      </c>
      <c r="K826" s="11">
        <v>0</v>
      </c>
      <c r="L826" s="11" t="str" cm="1">
        <f t="array" ref="L826">IFERROR(_xlfn.XLOOKUP(C826&amp;A826, ESPN!A:A&amp;ESPN!C:C, ESPN!D:D), "N/A")</f>
        <v>N/A</v>
      </c>
      <c r="M826" s="23" t="str" cm="1">
        <f t="array" ref="M826">IFERROR(_xlfn.XLOOKUP(C826&amp;A826, ESPN!A:A&amp;ESPN!C:C, ESPN!G:G), "N/A")</f>
        <v>N/A</v>
      </c>
      <c r="N826" s="23" t="str" cm="1">
        <f t="array" ref="N826">IFERROR(_xlfn.XLOOKUP(C826&amp;A826, ESPN!A:A&amp;ESPN!C:C, ESPN!H:H), "N/A")</f>
        <v>N/A</v>
      </c>
      <c r="O826" s="26" t="str" cm="1">
        <f t="array" ref="O826">IFERROR(_xlfn.XLOOKUP(C826&amp;A826, ESPN!A:A&amp;ESPN!C:C, ESPN!I:I), "N/A")</f>
        <v>N/A</v>
      </c>
      <c r="P826" s="26" t="str" cm="1">
        <f t="array" ref="P826">IFERROR(_xlfn.XLOOKUP(C826&amp;A826, ESPN!A:A&amp;ESPN!C:C, ESPN!J:J), "N/A")</f>
        <v>N/A</v>
      </c>
      <c r="Q826" s="26" t="str" cm="1">
        <f t="array" ref="Q826">IFERROR(_xlfn.XLOOKUP(C826&amp;A826, ESPN!A:A&amp;ESPN!C:C, ESPN!K:K), "N/A")</f>
        <v>N/A</v>
      </c>
    </row>
    <row r="827" spans="1:17" x14ac:dyDescent="0.45">
      <c r="A827" s="7">
        <v>2021</v>
      </c>
      <c r="B827" s="3" t="s">
        <v>483</v>
      </c>
      <c r="C827" s="4" t="str">
        <f t="shared" si="24"/>
        <v>Kalen Ballage</v>
      </c>
      <c r="D827" s="4" t="str">
        <f t="shared" si="25"/>
        <v>PIT</v>
      </c>
      <c r="E827" s="4">
        <v>9</v>
      </c>
      <c r="F827" s="12">
        <v>7</v>
      </c>
      <c r="G827" s="11">
        <v>2</v>
      </c>
      <c r="H827" s="11">
        <v>8</v>
      </c>
      <c r="I827" s="11">
        <v>4</v>
      </c>
      <c r="J827" s="11">
        <v>0</v>
      </c>
      <c r="K827" s="11">
        <v>0</v>
      </c>
      <c r="L827" s="11" t="str" cm="1">
        <f t="array" ref="L827">IFERROR(_xlfn.XLOOKUP(C827&amp;A827, ESPN!A:A&amp;ESPN!C:C, ESPN!D:D), "N/A")</f>
        <v>N/A</v>
      </c>
      <c r="M827" s="23" t="str" cm="1">
        <f t="array" ref="M827">IFERROR(_xlfn.XLOOKUP(C827&amp;A827, ESPN!A:A&amp;ESPN!C:C, ESPN!G:G), "N/A")</f>
        <v>N/A</v>
      </c>
      <c r="N827" s="23" t="str" cm="1">
        <f t="array" ref="N827">IFERROR(_xlfn.XLOOKUP(C827&amp;A827, ESPN!A:A&amp;ESPN!C:C, ESPN!H:H), "N/A")</f>
        <v>N/A</v>
      </c>
      <c r="O827" s="26" t="str" cm="1">
        <f t="array" ref="O827">IFERROR(_xlfn.XLOOKUP(C827&amp;A827, ESPN!A:A&amp;ESPN!C:C, ESPN!I:I), "N/A")</f>
        <v>N/A</v>
      </c>
      <c r="P827" s="26" t="str" cm="1">
        <f t="array" ref="P827">IFERROR(_xlfn.XLOOKUP(C827&amp;A827, ESPN!A:A&amp;ESPN!C:C, ESPN!J:J), "N/A")</f>
        <v>N/A</v>
      </c>
      <c r="Q827" s="26" t="str" cm="1">
        <f t="array" ref="Q827">IFERROR(_xlfn.XLOOKUP(C827&amp;A827, ESPN!A:A&amp;ESPN!C:C, ESPN!K:K), "N/A")</f>
        <v>N/A</v>
      </c>
    </row>
    <row r="828" spans="1:17" x14ac:dyDescent="0.45">
      <c r="A828" s="6">
        <v>2021</v>
      </c>
      <c r="B828" s="1" t="s">
        <v>484</v>
      </c>
      <c r="C828" s="2" t="str">
        <f t="shared" si="24"/>
        <v>Jakob Johnson</v>
      </c>
      <c r="D828" s="2" t="str">
        <f t="shared" si="25"/>
        <v>NE</v>
      </c>
      <c r="E828" s="2">
        <v>7</v>
      </c>
      <c r="F828" s="12">
        <v>5</v>
      </c>
      <c r="G828" s="11">
        <v>4</v>
      </c>
      <c r="H828" s="11">
        <v>43</v>
      </c>
      <c r="I828" s="11">
        <v>10.8</v>
      </c>
      <c r="J828" s="11">
        <v>0</v>
      </c>
      <c r="K828" s="11">
        <v>0</v>
      </c>
      <c r="L828" s="11" t="str" cm="1">
        <f t="array" ref="L828">IFERROR(_xlfn.XLOOKUP(C828&amp;A828, ESPN!A:A&amp;ESPN!C:C, ESPN!D:D), "N/A")</f>
        <v>N/A</v>
      </c>
      <c r="M828" s="23" t="str" cm="1">
        <f t="array" ref="M828">IFERROR(_xlfn.XLOOKUP(C828&amp;A828, ESPN!A:A&amp;ESPN!C:C, ESPN!G:G), "N/A")</f>
        <v>N/A</v>
      </c>
      <c r="N828" s="23" t="str" cm="1">
        <f t="array" ref="N828">IFERROR(_xlfn.XLOOKUP(C828&amp;A828, ESPN!A:A&amp;ESPN!C:C, ESPN!H:H), "N/A")</f>
        <v>N/A</v>
      </c>
      <c r="O828" s="26" t="str" cm="1">
        <f t="array" ref="O828">IFERROR(_xlfn.XLOOKUP(C828&amp;A828, ESPN!A:A&amp;ESPN!C:C, ESPN!I:I), "N/A")</f>
        <v>N/A</v>
      </c>
      <c r="P828" s="26" t="str" cm="1">
        <f t="array" ref="P828">IFERROR(_xlfn.XLOOKUP(C828&amp;A828, ESPN!A:A&amp;ESPN!C:C, ESPN!J:J), "N/A")</f>
        <v>N/A</v>
      </c>
      <c r="Q828" s="26" t="str" cm="1">
        <f t="array" ref="Q828">IFERROR(_xlfn.XLOOKUP(C828&amp;A828, ESPN!A:A&amp;ESPN!C:C, ESPN!K:K), "N/A")</f>
        <v>N/A</v>
      </c>
    </row>
    <row r="829" spans="1:17" x14ac:dyDescent="0.45">
      <c r="A829" s="7">
        <v>2021</v>
      </c>
      <c r="B829" s="3" t="s">
        <v>485</v>
      </c>
      <c r="C829" s="4" t="str">
        <f t="shared" si="24"/>
        <v>La'Mical Perine</v>
      </c>
      <c r="D829" s="4" t="str">
        <f t="shared" si="25"/>
        <v>NYJ</v>
      </c>
      <c r="E829" s="4">
        <v>2</v>
      </c>
      <c r="F829" s="12">
        <v>0</v>
      </c>
      <c r="G829" s="11">
        <v>0</v>
      </c>
      <c r="H829" s="11">
        <v>0</v>
      </c>
      <c r="I829" s="11">
        <v>0</v>
      </c>
      <c r="J829" s="11">
        <v>0</v>
      </c>
      <c r="K829" s="11">
        <v>0</v>
      </c>
      <c r="L829" s="11" t="str" cm="1">
        <f t="array" ref="L829">IFERROR(_xlfn.XLOOKUP(C829&amp;A829, ESPN!A:A&amp;ESPN!C:C, ESPN!D:D), "N/A")</f>
        <v>N/A</v>
      </c>
      <c r="M829" s="23" t="str" cm="1">
        <f t="array" ref="M829">IFERROR(_xlfn.XLOOKUP(C829&amp;A829, ESPN!A:A&amp;ESPN!C:C, ESPN!G:G), "N/A")</f>
        <v>N/A</v>
      </c>
      <c r="N829" s="23" t="str" cm="1">
        <f t="array" ref="N829">IFERROR(_xlfn.XLOOKUP(C829&amp;A829, ESPN!A:A&amp;ESPN!C:C, ESPN!H:H), "N/A")</f>
        <v>N/A</v>
      </c>
      <c r="O829" s="26" t="str" cm="1">
        <f t="array" ref="O829">IFERROR(_xlfn.XLOOKUP(C829&amp;A829, ESPN!A:A&amp;ESPN!C:C, ESPN!I:I), "N/A")</f>
        <v>N/A</v>
      </c>
      <c r="P829" s="26" t="str" cm="1">
        <f t="array" ref="P829">IFERROR(_xlfn.XLOOKUP(C829&amp;A829, ESPN!A:A&amp;ESPN!C:C, ESPN!J:J), "N/A")</f>
        <v>N/A</v>
      </c>
      <c r="Q829" s="26" t="str" cm="1">
        <f t="array" ref="Q829">IFERROR(_xlfn.XLOOKUP(C829&amp;A829, ESPN!A:A&amp;ESPN!C:C, ESPN!K:K), "N/A")</f>
        <v>N/A</v>
      </c>
    </row>
    <row r="830" spans="1:17" x14ac:dyDescent="0.45">
      <c r="A830" s="6">
        <v>2021</v>
      </c>
      <c r="B830" s="1" t="s">
        <v>403</v>
      </c>
      <c r="C830" s="2" t="str">
        <f t="shared" si="24"/>
        <v>Kylin Hill</v>
      </c>
      <c r="D830" s="2" t="str">
        <f t="shared" si="25"/>
        <v>GB</v>
      </c>
      <c r="E830" s="2">
        <v>8</v>
      </c>
      <c r="F830" s="12">
        <v>2</v>
      </c>
      <c r="G830" s="11">
        <v>1</v>
      </c>
      <c r="H830" s="11">
        <v>5</v>
      </c>
      <c r="I830" s="11">
        <v>5</v>
      </c>
      <c r="J830" s="11">
        <v>0</v>
      </c>
      <c r="K830" s="11">
        <v>0</v>
      </c>
      <c r="L830" s="11" t="str" cm="1">
        <f t="array" ref="L830">IFERROR(_xlfn.XLOOKUP(C830&amp;A830, ESPN!A:A&amp;ESPN!C:C, ESPN!D:D), "N/A")</f>
        <v>N/A</v>
      </c>
      <c r="M830" s="23" t="str" cm="1">
        <f t="array" ref="M830">IFERROR(_xlfn.XLOOKUP(C830&amp;A830, ESPN!A:A&amp;ESPN!C:C, ESPN!G:G), "N/A")</f>
        <v>N/A</v>
      </c>
      <c r="N830" s="23" t="str" cm="1">
        <f t="array" ref="N830">IFERROR(_xlfn.XLOOKUP(C830&amp;A830, ESPN!A:A&amp;ESPN!C:C, ESPN!H:H), "N/A")</f>
        <v>N/A</v>
      </c>
      <c r="O830" s="26" t="str" cm="1">
        <f t="array" ref="O830">IFERROR(_xlfn.XLOOKUP(C830&amp;A830, ESPN!A:A&amp;ESPN!C:C, ESPN!I:I), "N/A")</f>
        <v>N/A</v>
      </c>
      <c r="P830" s="26" t="str" cm="1">
        <f t="array" ref="P830">IFERROR(_xlfn.XLOOKUP(C830&amp;A830, ESPN!A:A&amp;ESPN!C:C, ESPN!J:J), "N/A")</f>
        <v>N/A</v>
      </c>
      <c r="Q830" s="26" t="str" cm="1">
        <f t="array" ref="Q830">IFERROR(_xlfn.XLOOKUP(C830&amp;A830, ESPN!A:A&amp;ESPN!C:C, ESPN!K:K), "N/A")</f>
        <v>N/A</v>
      </c>
    </row>
    <row r="831" spans="1:17" x14ac:dyDescent="0.45">
      <c r="A831" s="7">
        <v>2021</v>
      </c>
      <c r="B831" s="3" t="s">
        <v>391</v>
      </c>
      <c r="C831" s="4" t="str">
        <f t="shared" si="24"/>
        <v>Dwayne Washington</v>
      </c>
      <c r="D831" s="4" t="str">
        <f t="shared" si="25"/>
        <v>NO</v>
      </c>
      <c r="E831" s="4">
        <v>8</v>
      </c>
      <c r="F831" s="12">
        <v>2</v>
      </c>
      <c r="G831" s="11">
        <v>2</v>
      </c>
      <c r="H831" s="11">
        <v>12</v>
      </c>
      <c r="I831" s="11">
        <v>6</v>
      </c>
      <c r="J831" s="11">
        <v>0</v>
      </c>
      <c r="K831" s="11">
        <v>0</v>
      </c>
      <c r="L831" s="11" t="str" cm="1">
        <f t="array" ref="L831">IFERROR(_xlfn.XLOOKUP(C831&amp;A831, ESPN!A:A&amp;ESPN!C:C, ESPN!D:D), "N/A")</f>
        <v>N/A</v>
      </c>
      <c r="M831" s="23" t="str" cm="1">
        <f t="array" ref="M831">IFERROR(_xlfn.XLOOKUP(C831&amp;A831, ESPN!A:A&amp;ESPN!C:C, ESPN!G:G), "N/A")</f>
        <v>N/A</v>
      </c>
      <c r="N831" s="23" t="str" cm="1">
        <f t="array" ref="N831">IFERROR(_xlfn.XLOOKUP(C831&amp;A831, ESPN!A:A&amp;ESPN!C:C, ESPN!H:H), "N/A")</f>
        <v>N/A</v>
      </c>
      <c r="O831" s="26" t="str" cm="1">
        <f t="array" ref="O831">IFERROR(_xlfn.XLOOKUP(C831&amp;A831, ESPN!A:A&amp;ESPN!C:C, ESPN!I:I), "N/A")</f>
        <v>N/A</v>
      </c>
      <c r="P831" s="26" t="str" cm="1">
        <f t="array" ref="P831">IFERROR(_xlfn.XLOOKUP(C831&amp;A831, ESPN!A:A&amp;ESPN!C:C, ESPN!J:J), "N/A")</f>
        <v>N/A</v>
      </c>
      <c r="Q831" s="26" t="str" cm="1">
        <f t="array" ref="Q831">IFERROR(_xlfn.XLOOKUP(C831&amp;A831, ESPN!A:A&amp;ESPN!C:C, ESPN!K:K), "N/A")</f>
        <v>N/A</v>
      </c>
    </row>
    <row r="832" spans="1:17" x14ac:dyDescent="0.45">
      <c r="A832" s="6">
        <v>2021</v>
      </c>
      <c r="B832" s="1" t="s">
        <v>142</v>
      </c>
      <c r="C832" s="2" t="str">
        <f t="shared" si="24"/>
        <v>Reggie Gilliam</v>
      </c>
      <c r="D832" s="2" t="str">
        <f t="shared" si="25"/>
        <v>BUF</v>
      </c>
      <c r="E832" s="2">
        <v>8</v>
      </c>
      <c r="F832" s="12">
        <v>5</v>
      </c>
      <c r="G832" s="11">
        <v>3</v>
      </c>
      <c r="H832" s="11">
        <v>23</v>
      </c>
      <c r="I832" s="11">
        <v>7.7</v>
      </c>
      <c r="J832" s="11">
        <v>0</v>
      </c>
      <c r="K832" s="11">
        <v>0</v>
      </c>
      <c r="L832" s="11" t="str" cm="1">
        <f t="array" ref="L832">IFERROR(_xlfn.XLOOKUP(C832&amp;A832, ESPN!A:A&amp;ESPN!C:C, ESPN!D:D), "N/A")</f>
        <v>N/A</v>
      </c>
      <c r="M832" s="23" t="str" cm="1">
        <f t="array" ref="M832">IFERROR(_xlfn.XLOOKUP(C832&amp;A832, ESPN!A:A&amp;ESPN!C:C, ESPN!G:G), "N/A")</f>
        <v>N/A</v>
      </c>
      <c r="N832" s="23" t="str" cm="1">
        <f t="array" ref="N832">IFERROR(_xlfn.XLOOKUP(C832&amp;A832, ESPN!A:A&amp;ESPN!C:C, ESPN!H:H), "N/A")</f>
        <v>N/A</v>
      </c>
      <c r="O832" s="26" t="str" cm="1">
        <f t="array" ref="O832">IFERROR(_xlfn.XLOOKUP(C832&amp;A832, ESPN!A:A&amp;ESPN!C:C, ESPN!I:I), "N/A")</f>
        <v>N/A</v>
      </c>
      <c r="P832" s="26" t="str" cm="1">
        <f t="array" ref="P832">IFERROR(_xlfn.XLOOKUP(C832&amp;A832, ESPN!A:A&amp;ESPN!C:C, ESPN!J:J), "N/A")</f>
        <v>N/A</v>
      </c>
      <c r="Q832" s="26" t="str" cm="1">
        <f t="array" ref="Q832">IFERROR(_xlfn.XLOOKUP(C832&amp;A832, ESPN!A:A&amp;ESPN!C:C, ESPN!K:K), "N/A")</f>
        <v>N/A</v>
      </c>
    </row>
    <row r="833" spans="1:17" x14ac:dyDescent="0.45">
      <c r="A833" s="7">
        <v>2021</v>
      </c>
      <c r="B833" s="3" t="s">
        <v>486</v>
      </c>
      <c r="C833" s="4" t="str">
        <f t="shared" si="24"/>
        <v>Gabe Nabers</v>
      </c>
      <c r="D833" s="4" t="str">
        <f t="shared" si="25"/>
        <v>LAC</v>
      </c>
      <c r="E833" s="4">
        <v>7</v>
      </c>
      <c r="F833" s="12">
        <v>3</v>
      </c>
      <c r="G833" s="11">
        <v>3</v>
      </c>
      <c r="H833" s="11">
        <v>17</v>
      </c>
      <c r="I833" s="11">
        <v>5.7</v>
      </c>
      <c r="J833" s="11">
        <v>0</v>
      </c>
      <c r="K833" s="11">
        <v>0</v>
      </c>
      <c r="L833" s="11" t="str" cm="1">
        <f t="array" ref="L833">IFERROR(_xlfn.XLOOKUP(C833&amp;A833, ESPN!A:A&amp;ESPN!C:C, ESPN!D:D), "N/A")</f>
        <v>N/A</v>
      </c>
      <c r="M833" s="23" t="str" cm="1">
        <f t="array" ref="M833">IFERROR(_xlfn.XLOOKUP(C833&amp;A833, ESPN!A:A&amp;ESPN!C:C, ESPN!G:G), "N/A")</f>
        <v>N/A</v>
      </c>
      <c r="N833" s="23" t="str" cm="1">
        <f t="array" ref="N833">IFERROR(_xlfn.XLOOKUP(C833&amp;A833, ESPN!A:A&amp;ESPN!C:C, ESPN!H:H), "N/A")</f>
        <v>N/A</v>
      </c>
      <c r="O833" s="26" t="str" cm="1">
        <f t="array" ref="O833">IFERROR(_xlfn.XLOOKUP(C833&amp;A833, ESPN!A:A&amp;ESPN!C:C, ESPN!I:I), "N/A")</f>
        <v>N/A</v>
      </c>
      <c r="P833" s="26" t="str" cm="1">
        <f t="array" ref="P833">IFERROR(_xlfn.XLOOKUP(C833&amp;A833, ESPN!A:A&amp;ESPN!C:C, ESPN!J:J), "N/A")</f>
        <v>N/A</v>
      </c>
      <c r="Q833" s="26" t="str" cm="1">
        <f t="array" ref="Q833">IFERROR(_xlfn.XLOOKUP(C833&amp;A833, ESPN!A:A&amp;ESPN!C:C, ESPN!K:K), "N/A")</f>
        <v>N/A</v>
      </c>
    </row>
    <row r="834" spans="1:17" x14ac:dyDescent="0.45">
      <c r="A834" s="6">
        <v>2021</v>
      </c>
      <c r="B834" s="1" t="s">
        <v>487</v>
      </c>
      <c r="C834" s="2" t="str">
        <f t="shared" ref="C834:C897" si="26">TRIM(LEFT(B834, LEN(B834) - LEN(TRIM(RIGHT(SUBSTITUTE(TRIM(B834)," ",REPT(" ",100)),100)))))</f>
        <v>Jaylen Samuels</v>
      </c>
      <c r="D834" s="2" t="str">
        <f t="shared" ref="D834:D897" si="27">MID(B834, FIND("(", B834) + 1, FIND(")", B834) - FIND("(", B834) - 1)</f>
        <v>HOU</v>
      </c>
      <c r="E834" s="2">
        <v>3</v>
      </c>
      <c r="F834" s="12">
        <v>4</v>
      </c>
      <c r="G834" s="11">
        <v>3</v>
      </c>
      <c r="H834" s="11">
        <v>14</v>
      </c>
      <c r="I834" s="11">
        <v>4.7</v>
      </c>
      <c r="J834" s="11">
        <v>0</v>
      </c>
      <c r="K834" s="11">
        <v>0</v>
      </c>
      <c r="L834" s="11" t="str" cm="1">
        <f t="array" ref="L834">IFERROR(_xlfn.XLOOKUP(C834&amp;A834, ESPN!A:A&amp;ESPN!C:C, ESPN!D:D), "N/A")</f>
        <v>N/A</v>
      </c>
      <c r="M834" s="23" t="str" cm="1">
        <f t="array" ref="M834">IFERROR(_xlfn.XLOOKUP(C834&amp;A834, ESPN!A:A&amp;ESPN!C:C, ESPN!G:G), "N/A")</f>
        <v>N/A</v>
      </c>
      <c r="N834" s="23" t="str" cm="1">
        <f t="array" ref="N834">IFERROR(_xlfn.XLOOKUP(C834&amp;A834, ESPN!A:A&amp;ESPN!C:C, ESPN!H:H), "N/A")</f>
        <v>N/A</v>
      </c>
      <c r="O834" s="26" t="str" cm="1">
        <f t="array" ref="O834">IFERROR(_xlfn.XLOOKUP(C834&amp;A834, ESPN!A:A&amp;ESPN!C:C, ESPN!I:I), "N/A")</f>
        <v>N/A</v>
      </c>
      <c r="P834" s="26" t="str" cm="1">
        <f t="array" ref="P834">IFERROR(_xlfn.XLOOKUP(C834&amp;A834, ESPN!A:A&amp;ESPN!C:C, ESPN!J:J), "N/A")</f>
        <v>N/A</v>
      </c>
      <c r="Q834" s="26" t="str" cm="1">
        <f t="array" ref="Q834">IFERROR(_xlfn.XLOOKUP(C834&amp;A834, ESPN!A:A&amp;ESPN!C:C, ESPN!K:K), "N/A")</f>
        <v>N/A</v>
      </c>
    </row>
    <row r="835" spans="1:17" x14ac:dyDescent="0.45">
      <c r="A835" s="7">
        <v>2021</v>
      </c>
      <c r="B835" s="3" t="s">
        <v>488</v>
      </c>
      <c r="C835" s="4" t="str">
        <f t="shared" si="26"/>
        <v>Scottie Phillips</v>
      </c>
      <c r="D835" s="4" t="str">
        <f t="shared" si="27"/>
        <v>HOU</v>
      </c>
      <c r="E835" s="4">
        <v>3</v>
      </c>
      <c r="F835" s="12">
        <v>3</v>
      </c>
      <c r="G835" s="11">
        <v>2</v>
      </c>
      <c r="H835" s="11">
        <v>9</v>
      </c>
      <c r="I835" s="11">
        <v>4.5</v>
      </c>
      <c r="J835" s="11">
        <v>0</v>
      </c>
      <c r="K835" s="11">
        <v>0</v>
      </c>
      <c r="L835" s="11" t="str" cm="1">
        <f t="array" ref="L835">IFERROR(_xlfn.XLOOKUP(C835&amp;A835, ESPN!A:A&amp;ESPN!C:C, ESPN!D:D), "N/A")</f>
        <v>N/A</v>
      </c>
      <c r="M835" s="23" t="str" cm="1">
        <f t="array" ref="M835">IFERROR(_xlfn.XLOOKUP(C835&amp;A835, ESPN!A:A&amp;ESPN!C:C, ESPN!G:G), "N/A")</f>
        <v>N/A</v>
      </c>
      <c r="N835" s="23" t="str" cm="1">
        <f t="array" ref="N835">IFERROR(_xlfn.XLOOKUP(C835&amp;A835, ESPN!A:A&amp;ESPN!C:C, ESPN!H:H), "N/A")</f>
        <v>N/A</v>
      </c>
      <c r="O835" s="26" t="str" cm="1">
        <f t="array" ref="O835">IFERROR(_xlfn.XLOOKUP(C835&amp;A835, ESPN!A:A&amp;ESPN!C:C, ESPN!I:I), "N/A")</f>
        <v>N/A</v>
      </c>
      <c r="P835" s="26" t="str" cm="1">
        <f t="array" ref="P835">IFERROR(_xlfn.XLOOKUP(C835&amp;A835, ESPN!A:A&amp;ESPN!C:C, ESPN!J:J), "N/A")</f>
        <v>N/A</v>
      </c>
      <c r="Q835" s="26" t="str" cm="1">
        <f t="array" ref="Q835">IFERROR(_xlfn.XLOOKUP(C835&amp;A835, ESPN!A:A&amp;ESPN!C:C, ESPN!K:K), "N/A")</f>
        <v>N/A</v>
      </c>
    </row>
    <row r="836" spans="1:17" x14ac:dyDescent="0.45">
      <c r="A836" s="6">
        <v>2021</v>
      </c>
      <c r="B836" s="1" t="s">
        <v>489</v>
      </c>
      <c r="C836" s="2" t="str">
        <f t="shared" si="26"/>
        <v>Patrick Laird</v>
      </c>
      <c r="D836" s="2" t="str">
        <f t="shared" si="27"/>
        <v>MIA</v>
      </c>
      <c r="E836" s="2">
        <v>3</v>
      </c>
      <c r="F836" s="12">
        <v>3</v>
      </c>
      <c r="G836" s="11">
        <v>3</v>
      </c>
      <c r="H836" s="11">
        <v>17</v>
      </c>
      <c r="I836" s="11">
        <v>5.7</v>
      </c>
      <c r="J836" s="11">
        <v>0</v>
      </c>
      <c r="K836" s="11">
        <v>0</v>
      </c>
      <c r="L836" s="11" t="str" cm="1">
        <f t="array" ref="L836">IFERROR(_xlfn.XLOOKUP(C836&amp;A836, ESPN!A:A&amp;ESPN!C:C, ESPN!D:D), "N/A")</f>
        <v>N/A</v>
      </c>
      <c r="M836" s="23" t="str" cm="1">
        <f t="array" ref="M836">IFERROR(_xlfn.XLOOKUP(C836&amp;A836, ESPN!A:A&amp;ESPN!C:C, ESPN!G:G), "N/A")</f>
        <v>N/A</v>
      </c>
      <c r="N836" s="23" t="str" cm="1">
        <f t="array" ref="N836">IFERROR(_xlfn.XLOOKUP(C836&amp;A836, ESPN!A:A&amp;ESPN!C:C, ESPN!H:H), "N/A")</f>
        <v>N/A</v>
      </c>
      <c r="O836" s="26" t="str" cm="1">
        <f t="array" ref="O836">IFERROR(_xlfn.XLOOKUP(C836&amp;A836, ESPN!A:A&amp;ESPN!C:C, ESPN!I:I), "N/A")</f>
        <v>N/A</v>
      </c>
      <c r="P836" s="26" t="str" cm="1">
        <f t="array" ref="P836">IFERROR(_xlfn.XLOOKUP(C836&amp;A836, ESPN!A:A&amp;ESPN!C:C, ESPN!J:J), "N/A")</f>
        <v>N/A</v>
      </c>
      <c r="Q836" s="26" t="str" cm="1">
        <f t="array" ref="Q836">IFERROR(_xlfn.XLOOKUP(C836&amp;A836, ESPN!A:A&amp;ESPN!C:C, ESPN!K:K), "N/A")</f>
        <v>N/A</v>
      </c>
    </row>
    <row r="837" spans="1:17" x14ac:dyDescent="0.45">
      <c r="A837" s="7">
        <v>2021</v>
      </c>
      <c r="B837" s="3" t="s">
        <v>245</v>
      </c>
      <c r="C837" s="4" t="str">
        <f t="shared" si="26"/>
        <v>Adam Prentice</v>
      </c>
      <c r="D837" s="4" t="str">
        <f t="shared" si="27"/>
        <v>NO</v>
      </c>
      <c r="E837" s="4">
        <v>5</v>
      </c>
      <c r="F837" s="12">
        <v>3</v>
      </c>
      <c r="G837" s="11">
        <v>3</v>
      </c>
      <c r="H837" s="11">
        <v>16</v>
      </c>
      <c r="I837" s="11">
        <v>5.3</v>
      </c>
      <c r="J837" s="11">
        <v>0</v>
      </c>
      <c r="K837" s="11">
        <v>0</v>
      </c>
      <c r="L837" s="11" t="str" cm="1">
        <f t="array" ref="L837">IFERROR(_xlfn.XLOOKUP(C837&amp;A837, ESPN!A:A&amp;ESPN!C:C, ESPN!D:D), "N/A")</f>
        <v>N/A</v>
      </c>
      <c r="M837" s="23" t="str" cm="1">
        <f t="array" ref="M837">IFERROR(_xlfn.XLOOKUP(C837&amp;A837, ESPN!A:A&amp;ESPN!C:C, ESPN!G:G), "N/A")</f>
        <v>N/A</v>
      </c>
      <c r="N837" s="23" t="str" cm="1">
        <f t="array" ref="N837">IFERROR(_xlfn.XLOOKUP(C837&amp;A837, ESPN!A:A&amp;ESPN!C:C, ESPN!H:H), "N/A")</f>
        <v>N/A</v>
      </c>
      <c r="O837" s="26" t="str" cm="1">
        <f t="array" ref="O837">IFERROR(_xlfn.XLOOKUP(C837&amp;A837, ESPN!A:A&amp;ESPN!C:C, ESPN!I:I), "N/A")</f>
        <v>N/A</v>
      </c>
      <c r="P837" s="26" t="str" cm="1">
        <f t="array" ref="P837">IFERROR(_xlfn.XLOOKUP(C837&amp;A837, ESPN!A:A&amp;ESPN!C:C, ESPN!J:J), "N/A")</f>
        <v>N/A</v>
      </c>
      <c r="Q837" s="26" t="str" cm="1">
        <f t="array" ref="Q837">IFERROR(_xlfn.XLOOKUP(C837&amp;A837, ESPN!A:A&amp;ESPN!C:C, ESPN!K:K), "N/A")</f>
        <v>N/A</v>
      </c>
    </row>
    <row r="838" spans="1:17" x14ac:dyDescent="0.45">
      <c r="A838" s="6">
        <v>2021</v>
      </c>
      <c r="B838" s="1" t="s">
        <v>490</v>
      </c>
      <c r="C838" s="2" t="str">
        <f t="shared" si="26"/>
        <v>Raheem Mostert</v>
      </c>
      <c r="D838" s="2" t="str">
        <f t="shared" si="27"/>
        <v>SF</v>
      </c>
      <c r="E838" s="2">
        <v>1</v>
      </c>
      <c r="F838" s="12">
        <v>0</v>
      </c>
      <c r="G838" s="11">
        <v>0</v>
      </c>
      <c r="H838" s="11">
        <v>0</v>
      </c>
      <c r="I838" s="11">
        <v>0</v>
      </c>
      <c r="J838" s="11">
        <v>0</v>
      </c>
      <c r="K838" s="11">
        <v>0</v>
      </c>
      <c r="L838" s="11" t="str" cm="1">
        <f t="array" ref="L838">IFERROR(_xlfn.XLOOKUP(C838&amp;A838, ESPN!A:A&amp;ESPN!C:C, ESPN!D:D), "N/A")</f>
        <v>N/A</v>
      </c>
      <c r="M838" s="23" t="str" cm="1">
        <f t="array" ref="M838">IFERROR(_xlfn.XLOOKUP(C838&amp;A838, ESPN!A:A&amp;ESPN!C:C, ESPN!G:G), "N/A")</f>
        <v>N/A</v>
      </c>
      <c r="N838" s="23" t="str" cm="1">
        <f t="array" ref="N838">IFERROR(_xlfn.XLOOKUP(C838&amp;A838, ESPN!A:A&amp;ESPN!C:C, ESPN!H:H), "N/A")</f>
        <v>N/A</v>
      </c>
      <c r="O838" s="26" t="str" cm="1">
        <f t="array" ref="O838">IFERROR(_xlfn.XLOOKUP(C838&amp;A838, ESPN!A:A&amp;ESPN!C:C, ESPN!I:I), "N/A")</f>
        <v>N/A</v>
      </c>
      <c r="P838" s="26" t="str" cm="1">
        <f t="array" ref="P838">IFERROR(_xlfn.XLOOKUP(C838&amp;A838, ESPN!A:A&amp;ESPN!C:C, ESPN!J:J), "N/A")</f>
        <v>N/A</v>
      </c>
      <c r="Q838" s="26" t="str" cm="1">
        <f t="array" ref="Q838">IFERROR(_xlfn.XLOOKUP(C838&amp;A838, ESPN!A:A&amp;ESPN!C:C, ESPN!K:K), "N/A")</f>
        <v>N/A</v>
      </c>
    </row>
    <row r="839" spans="1:17" x14ac:dyDescent="0.45">
      <c r="A839" s="7">
        <v>2021</v>
      </c>
      <c r="B839" s="3" t="s">
        <v>295</v>
      </c>
      <c r="C839" s="4" t="str">
        <f t="shared" si="26"/>
        <v>Nick Bawden</v>
      </c>
      <c r="D839" s="4" t="str">
        <f t="shared" si="27"/>
        <v>NYJ</v>
      </c>
      <c r="E839" s="4">
        <v>1</v>
      </c>
      <c r="F839" s="12">
        <v>1</v>
      </c>
      <c r="G839" s="11">
        <v>1</v>
      </c>
      <c r="H839" s="11">
        <v>20</v>
      </c>
      <c r="I839" s="11">
        <v>20</v>
      </c>
      <c r="J839" s="11">
        <v>0</v>
      </c>
      <c r="K839" s="11">
        <v>0</v>
      </c>
      <c r="L839" s="11" t="str" cm="1">
        <f t="array" ref="L839">IFERROR(_xlfn.XLOOKUP(C839&amp;A839, ESPN!A:A&amp;ESPN!C:C, ESPN!D:D), "N/A")</f>
        <v>N/A</v>
      </c>
      <c r="M839" s="23" t="str" cm="1">
        <f t="array" ref="M839">IFERROR(_xlfn.XLOOKUP(C839&amp;A839, ESPN!A:A&amp;ESPN!C:C, ESPN!G:G), "N/A")</f>
        <v>N/A</v>
      </c>
      <c r="N839" s="23" t="str" cm="1">
        <f t="array" ref="N839">IFERROR(_xlfn.XLOOKUP(C839&amp;A839, ESPN!A:A&amp;ESPN!C:C, ESPN!H:H), "N/A")</f>
        <v>N/A</v>
      </c>
      <c r="O839" s="26" t="str" cm="1">
        <f t="array" ref="O839">IFERROR(_xlfn.XLOOKUP(C839&amp;A839, ESPN!A:A&amp;ESPN!C:C, ESPN!I:I), "N/A")</f>
        <v>N/A</v>
      </c>
      <c r="P839" s="26" t="str" cm="1">
        <f t="array" ref="P839">IFERROR(_xlfn.XLOOKUP(C839&amp;A839, ESPN!A:A&amp;ESPN!C:C, ESPN!J:J), "N/A")</f>
        <v>N/A</v>
      </c>
      <c r="Q839" s="26" t="str" cm="1">
        <f t="array" ref="Q839">IFERROR(_xlfn.XLOOKUP(C839&amp;A839, ESPN!A:A&amp;ESPN!C:C, ESPN!K:K), "N/A")</f>
        <v>N/A</v>
      </c>
    </row>
    <row r="840" spans="1:17" x14ac:dyDescent="0.45">
      <c r="A840" s="6">
        <v>2021</v>
      </c>
      <c r="B840" s="1" t="s">
        <v>491</v>
      </c>
      <c r="C840" s="2" t="str">
        <f t="shared" si="26"/>
        <v>Darrynton Evans</v>
      </c>
      <c r="D840" s="2" t="str">
        <f t="shared" si="27"/>
        <v>TEN</v>
      </c>
      <c r="E840" s="2">
        <v>2</v>
      </c>
      <c r="F840" s="12">
        <v>2</v>
      </c>
      <c r="G840" s="11">
        <v>2</v>
      </c>
      <c r="H840" s="11">
        <v>11</v>
      </c>
      <c r="I840" s="11">
        <v>5.5</v>
      </c>
      <c r="J840" s="11">
        <v>0</v>
      </c>
      <c r="K840" s="11">
        <v>0</v>
      </c>
      <c r="L840" s="11" t="str" cm="1">
        <f t="array" ref="L840">IFERROR(_xlfn.XLOOKUP(C840&amp;A840, ESPN!A:A&amp;ESPN!C:C, ESPN!D:D), "N/A")</f>
        <v>N/A</v>
      </c>
      <c r="M840" s="23" t="str" cm="1">
        <f t="array" ref="M840">IFERROR(_xlfn.XLOOKUP(C840&amp;A840, ESPN!A:A&amp;ESPN!C:C, ESPN!G:G), "N/A")</f>
        <v>N/A</v>
      </c>
      <c r="N840" s="23" t="str" cm="1">
        <f t="array" ref="N840">IFERROR(_xlfn.XLOOKUP(C840&amp;A840, ESPN!A:A&amp;ESPN!C:C, ESPN!H:H), "N/A")</f>
        <v>N/A</v>
      </c>
      <c r="O840" s="26" t="str" cm="1">
        <f t="array" ref="O840">IFERROR(_xlfn.XLOOKUP(C840&amp;A840, ESPN!A:A&amp;ESPN!C:C, ESPN!I:I), "N/A")</f>
        <v>N/A</v>
      </c>
      <c r="P840" s="26" t="str" cm="1">
        <f t="array" ref="P840">IFERROR(_xlfn.XLOOKUP(C840&amp;A840, ESPN!A:A&amp;ESPN!C:C, ESPN!J:J), "N/A")</f>
        <v>N/A</v>
      </c>
      <c r="Q840" s="26" t="str" cm="1">
        <f t="array" ref="Q840">IFERROR(_xlfn.XLOOKUP(C840&amp;A840, ESPN!A:A&amp;ESPN!C:C, ESPN!K:K), "N/A")</f>
        <v>N/A</v>
      </c>
    </row>
    <row r="841" spans="1:17" x14ac:dyDescent="0.45">
      <c r="A841" s="7">
        <v>2021</v>
      </c>
      <c r="B841" s="3" t="s">
        <v>378</v>
      </c>
      <c r="C841" s="4" t="str">
        <f t="shared" si="26"/>
        <v>Derek Watt</v>
      </c>
      <c r="D841" s="4" t="str">
        <f t="shared" si="27"/>
        <v>PIT</v>
      </c>
      <c r="E841" s="4">
        <v>11</v>
      </c>
      <c r="F841" s="12">
        <v>3</v>
      </c>
      <c r="G841" s="11">
        <v>3</v>
      </c>
      <c r="H841" s="11">
        <v>15</v>
      </c>
      <c r="I841" s="11">
        <v>5</v>
      </c>
      <c r="J841" s="11">
        <v>0</v>
      </c>
      <c r="K841" s="11">
        <v>0</v>
      </c>
      <c r="L841" s="11" t="str" cm="1">
        <f t="array" ref="L841">IFERROR(_xlfn.XLOOKUP(C841&amp;A841, ESPN!A:A&amp;ESPN!C:C, ESPN!D:D), "N/A")</f>
        <v>N/A</v>
      </c>
      <c r="M841" s="23" t="str" cm="1">
        <f t="array" ref="M841">IFERROR(_xlfn.XLOOKUP(C841&amp;A841, ESPN!A:A&amp;ESPN!C:C, ESPN!G:G), "N/A")</f>
        <v>N/A</v>
      </c>
      <c r="N841" s="23" t="str" cm="1">
        <f t="array" ref="N841">IFERROR(_xlfn.XLOOKUP(C841&amp;A841, ESPN!A:A&amp;ESPN!C:C, ESPN!H:H), "N/A")</f>
        <v>N/A</v>
      </c>
      <c r="O841" s="26" t="str" cm="1">
        <f t="array" ref="O841">IFERROR(_xlfn.XLOOKUP(C841&amp;A841, ESPN!A:A&amp;ESPN!C:C, ESPN!I:I), "N/A")</f>
        <v>N/A</v>
      </c>
      <c r="P841" s="26" t="str" cm="1">
        <f t="array" ref="P841">IFERROR(_xlfn.XLOOKUP(C841&amp;A841, ESPN!A:A&amp;ESPN!C:C, ESPN!J:J), "N/A")</f>
        <v>N/A</v>
      </c>
      <c r="Q841" s="26" t="str" cm="1">
        <f t="array" ref="Q841">IFERROR(_xlfn.XLOOKUP(C841&amp;A841, ESPN!A:A&amp;ESPN!C:C, ESPN!K:K), "N/A")</f>
        <v>N/A</v>
      </c>
    </row>
    <row r="842" spans="1:17" x14ac:dyDescent="0.45">
      <c r="A842" s="6">
        <v>2021</v>
      </c>
      <c r="B842" s="1" t="s">
        <v>492</v>
      </c>
      <c r="C842" s="2" t="str">
        <f t="shared" si="26"/>
        <v>Reggie Bonnafon</v>
      </c>
      <c r="D842" s="2" t="str">
        <f t="shared" si="27"/>
        <v>CAR</v>
      </c>
      <c r="E842" s="2">
        <v>1</v>
      </c>
      <c r="F842" s="12">
        <v>2</v>
      </c>
      <c r="G842" s="11">
        <v>2</v>
      </c>
      <c r="H842" s="11">
        <v>12</v>
      </c>
      <c r="I842" s="11">
        <v>6</v>
      </c>
      <c r="J842" s="11">
        <v>0</v>
      </c>
      <c r="K842" s="11">
        <v>0</v>
      </c>
      <c r="L842" s="11" t="str" cm="1">
        <f t="array" ref="L842">IFERROR(_xlfn.XLOOKUP(C842&amp;A842, ESPN!A:A&amp;ESPN!C:C, ESPN!D:D), "N/A")</f>
        <v>N/A</v>
      </c>
      <c r="M842" s="23" t="str" cm="1">
        <f t="array" ref="M842">IFERROR(_xlfn.XLOOKUP(C842&amp;A842, ESPN!A:A&amp;ESPN!C:C, ESPN!G:G), "N/A")</f>
        <v>N/A</v>
      </c>
      <c r="N842" s="23" t="str" cm="1">
        <f t="array" ref="N842">IFERROR(_xlfn.XLOOKUP(C842&amp;A842, ESPN!A:A&amp;ESPN!C:C, ESPN!H:H), "N/A")</f>
        <v>N/A</v>
      </c>
      <c r="O842" s="26" t="str" cm="1">
        <f t="array" ref="O842">IFERROR(_xlfn.XLOOKUP(C842&amp;A842, ESPN!A:A&amp;ESPN!C:C, ESPN!I:I), "N/A")</f>
        <v>N/A</v>
      </c>
      <c r="P842" s="26" t="str" cm="1">
        <f t="array" ref="P842">IFERROR(_xlfn.XLOOKUP(C842&amp;A842, ESPN!A:A&amp;ESPN!C:C, ESPN!J:J), "N/A")</f>
        <v>N/A</v>
      </c>
      <c r="Q842" s="26" t="str" cm="1">
        <f t="array" ref="Q842">IFERROR(_xlfn.XLOOKUP(C842&amp;A842, ESPN!A:A&amp;ESPN!C:C, ESPN!K:K), "N/A")</f>
        <v>N/A</v>
      </c>
    </row>
    <row r="843" spans="1:17" x14ac:dyDescent="0.45">
      <c r="A843" s="7">
        <v>2021</v>
      </c>
      <c r="B843" s="3" t="s">
        <v>493</v>
      </c>
      <c r="C843" s="4" t="str">
        <f t="shared" si="26"/>
        <v>Trey Ragas</v>
      </c>
      <c r="D843" s="4" t="str">
        <f t="shared" si="27"/>
        <v>LV</v>
      </c>
      <c r="E843" s="4">
        <v>1</v>
      </c>
      <c r="F843" s="12">
        <v>2</v>
      </c>
      <c r="G843" s="11">
        <v>2</v>
      </c>
      <c r="H843" s="11">
        <v>6</v>
      </c>
      <c r="I843" s="11">
        <v>3</v>
      </c>
      <c r="J843" s="11">
        <v>0</v>
      </c>
      <c r="K843" s="11">
        <v>0</v>
      </c>
      <c r="L843" s="11" t="str" cm="1">
        <f t="array" ref="L843">IFERROR(_xlfn.XLOOKUP(C843&amp;A843, ESPN!A:A&amp;ESPN!C:C, ESPN!D:D), "N/A")</f>
        <v>N/A</v>
      </c>
      <c r="M843" s="23" t="str" cm="1">
        <f t="array" ref="M843">IFERROR(_xlfn.XLOOKUP(C843&amp;A843, ESPN!A:A&amp;ESPN!C:C, ESPN!G:G), "N/A")</f>
        <v>N/A</v>
      </c>
      <c r="N843" s="23" t="str" cm="1">
        <f t="array" ref="N843">IFERROR(_xlfn.XLOOKUP(C843&amp;A843, ESPN!A:A&amp;ESPN!C:C, ESPN!H:H), "N/A")</f>
        <v>N/A</v>
      </c>
      <c r="O843" s="26" t="str" cm="1">
        <f t="array" ref="O843">IFERROR(_xlfn.XLOOKUP(C843&amp;A843, ESPN!A:A&amp;ESPN!C:C, ESPN!I:I), "N/A")</f>
        <v>N/A</v>
      </c>
      <c r="P843" s="26" t="str" cm="1">
        <f t="array" ref="P843">IFERROR(_xlfn.XLOOKUP(C843&amp;A843, ESPN!A:A&amp;ESPN!C:C, ESPN!J:J), "N/A")</f>
        <v>N/A</v>
      </c>
      <c r="Q843" s="26" t="str" cm="1">
        <f t="array" ref="Q843">IFERROR(_xlfn.XLOOKUP(C843&amp;A843, ESPN!A:A&amp;ESPN!C:C, ESPN!K:K), "N/A")</f>
        <v>N/A</v>
      </c>
    </row>
    <row r="844" spans="1:17" x14ac:dyDescent="0.45">
      <c r="A844" s="6">
        <v>2021</v>
      </c>
      <c r="B844" s="1" t="s">
        <v>317</v>
      </c>
      <c r="C844" s="2" t="str">
        <f t="shared" si="26"/>
        <v>Anthony McFarland Jr.</v>
      </c>
      <c r="D844" s="2" t="str">
        <f t="shared" si="27"/>
        <v>PIT</v>
      </c>
      <c r="E844" s="2">
        <v>3</v>
      </c>
      <c r="F844" s="12">
        <v>1</v>
      </c>
      <c r="G844" s="11">
        <v>1</v>
      </c>
      <c r="H844" s="11">
        <v>11</v>
      </c>
      <c r="I844" s="11">
        <v>11</v>
      </c>
      <c r="J844" s="11">
        <v>0</v>
      </c>
      <c r="K844" s="11">
        <v>0</v>
      </c>
      <c r="L844" s="11" t="str" cm="1">
        <f t="array" ref="L844">IFERROR(_xlfn.XLOOKUP(C844&amp;A844, ESPN!A:A&amp;ESPN!C:C, ESPN!D:D), "N/A")</f>
        <v>N/A</v>
      </c>
      <c r="M844" s="23" t="str" cm="1">
        <f t="array" ref="M844">IFERROR(_xlfn.XLOOKUP(C844&amp;A844, ESPN!A:A&amp;ESPN!C:C, ESPN!G:G), "N/A")</f>
        <v>N/A</v>
      </c>
      <c r="N844" s="23" t="str" cm="1">
        <f t="array" ref="N844">IFERROR(_xlfn.XLOOKUP(C844&amp;A844, ESPN!A:A&amp;ESPN!C:C, ESPN!H:H), "N/A")</f>
        <v>N/A</v>
      </c>
      <c r="O844" s="26" t="str" cm="1">
        <f t="array" ref="O844">IFERROR(_xlfn.XLOOKUP(C844&amp;A844, ESPN!A:A&amp;ESPN!C:C, ESPN!I:I), "N/A")</f>
        <v>N/A</v>
      </c>
      <c r="P844" s="26" t="str" cm="1">
        <f t="array" ref="P844">IFERROR(_xlfn.XLOOKUP(C844&amp;A844, ESPN!A:A&amp;ESPN!C:C, ESPN!J:J), "N/A")</f>
        <v>N/A</v>
      </c>
      <c r="Q844" s="26" t="str" cm="1">
        <f t="array" ref="Q844">IFERROR(_xlfn.XLOOKUP(C844&amp;A844, ESPN!A:A&amp;ESPN!C:C, ESPN!K:K), "N/A")</f>
        <v>N/A</v>
      </c>
    </row>
    <row r="845" spans="1:17" x14ac:dyDescent="0.45">
      <c r="A845" s="7">
        <v>2021</v>
      </c>
      <c r="B845" s="3" t="s">
        <v>494</v>
      </c>
      <c r="C845" s="4" t="str">
        <f t="shared" si="26"/>
        <v>John Kelly Jr.</v>
      </c>
      <c r="D845" s="4" t="str">
        <f t="shared" si="27"/>
        <v>CLE</v>
      </c>
      <c r="E845" s="4">
        <v>1</v>
      </c>
      <c r="F845" s="12">
        <v>0</v>
      </c>
      <c r="G845" s="11">
        <v>0</v>
      </c>
      <c r="H845" s="11">
        <v>0</v>
      </c>
      <c r="I845" s="11">
        <v>0</v>
      </c>
      <c r="J845" s="11">
        <v>0</v>
      </c>
      <c r="K845" s="11">
        <v>0</v>
      </c>
      <c r="L845" s="11" t="str" cm="1">
        <f t="array" ref="L845">IFERROR(_xlfn.XLOOKUP(C845&amp;A845, ESPN!A:A&amp;ESPN!C:C, ESPN!D:D), "N/A")</f>
        <v>N/A</v>
      </c>
      <c r="M845" s="23" t="str" cm="1">
        <f t="array" ref="M845">IFERROR(_xlfn.XLOOKUP(C845&amp;A845, ESPN!A:A&amp;ESPN!C:C, ESPN!G:G), "N/A")</f>
        <v>N/A</v>
      </c>
      <c r="N845" s="23" t="str" cm="1">
        <f t="array" ref="N845">IFERROR(_xlfn.XLOOKUP(C845&amp;A845, ESPN!A:A&amp;ESPN!C:C, ESPN!H:H), "N/A")</f>
        <v>N/A</v>
      </c>
      <c r="O845" s="26" t="str" cm="1">
        <f t="array" ref="O845">IFERROR(_xlfn.XLOOKUP(C845&amp;A845, ESPN!A:A&amp;ESPN!C:C, ESPN!I:I), "N/A")</f>
        <v>N/A</v>
      </c>
      <c r="P845" s="26" t="str" cm="1">
        <f t="array" ref="P845">IFERROR(_xlfn.XLOOKUP(C845&amp;A845, ESPN!A:A&amp;ESPN!C:C, ESPN!J:J), "N/A")</f>
        <v>N/A</v>
      </c>
      <c r="Q845" s="26" t="str" cm="1">
        <f t="array" ref="Q845">IFERROR(_xlfn.XLOOKUP(C845&amp;A845, ESPN!A:A&amp;ESPN!C:C, ESPN!K:K), "N/A")</f>
        <v>N/A</v>
      </c>
    </row>
    <row r="846" spans="1:17" x14ac:dyDescent="0.45">
      <c r="A846" s="6">
        <v>2021</v>
      </c>
      <c r="B846" s="1" t="s">
        <v>348</v>
      </c>
      <c r="C846" s="2" t="str">
        <f t="shared" si="26"/>
        <v>Cam Akers</v>
      </c>
      <c r="D846" s="2" t="str">
        <f t="shared" si="27"/>
        <v>LAR</v>
      </c>
      <c r="E846" s="2">
        <v>2</v>
      </c>
      <c r="F846" s="12">
        <v>3</v>
      </c>
      <c r="G846" s="11">
        <v>3</v>
      </c>
      <c r="H846" s="11">
        <v>10</v>
      </c>
      <c r="I846" s="11">
        <v>3.3</v>
      </c>
      <c r="J846" s="11">
        <v>0</v>
      </c>
      <c r="K846" s="11">
        <v>0</v>
      </c>
      <c r="L846" s="11" t="str" cm="1">
        <f t="array" ref="L846">IFERROR(_xlfn.XLOOKUP(C846&amp;A846, ESPN!A:A&amp;ESPN!C:C, ESPN!D:D), "N/A")</f>
        <v>N/A</v>
      </c>
      <c r="M846" s="23" t="str" cm="1">
        <f t="array" ref="M846">IFERROR(_xlfn.XLOOKUP(C846&amp;A846, ESPN!A:A&amp;ESPN!C:C, ESPN!G:G), "N/A")</f>
        <v>N/A</v>
      </c>
      <c r="N846" s="23" t="str" cm="1">
        <f t="array" ref="N846">IFERROR(_xlfn.XLOOKUP(C846&amp;A846, ESPN!A:A&amp;ESPN!C:C, ESPN!H:H), "N/A")</f>
        <v>N/A</v>
      </c>
      <c r="O846" s="26" t="str" cm="1">
        <f t="array" ref="O846">IFERROR(_xlfn.XLOOKUP(C846&amp;A846, ESPN!A:A&amp;ESPN!C:C, ESPN!I:I), "N/A")</f>
        <v>N/A</v>
      </c>
      <c r="P846" s="26" t="str" cm="1">
        <f t="array" ref="P846">IFERROR(_xlfn.XLOOKUP(C846&amp;A846, ESPN!A:A&amp;ESPN!C:C, ESPN!J:J), "N/A")</f>
        <v>N/A</v>
      </c>
      <c r="Q846" s="26" t="str" cm="1">
        <f t="array" ref="Q846">IFERROR(_xlfn.XLOOKUP(C846&amp;A846, ESPN!A:A&amp;ESPN!C:C, ESPN!K:K), "N/A")</f>
        <v>N/A</v>
      </c>
    </row>
    <row r="847" spans="1:17" x14ac:dyDescent="0.45">
      <c r="A847" s="7">
        <v>2021</v>
      </c>
      <c r="B847" s="3" t="s">
        <v>495</v>
      </c>
      <c r="C847" s="4" t="str">
        <f t="shared" si="26"/>
        <v>Jacques Patrick</v>
      </c>
      <c r="D847" s="4" t="str">
        <f t="shared" si="27"/>
        <v>SF</v>
      </c>
      <c r="E847" s="4">
        <v>1</v>
      </c>
      <c r="F847" s="12">
        <v>0</v>
      </c>
      <c r="G847" s="11">
        <v>0</v>
      </c>
      <c r="H847" s="11">
        <v>0</v>
      </c>
      <c r="I847" s="11">
        <v>0</v>
      </c>
      <c r="J847" s="11">
        <v>0</v>
      </c>
      <c r="K847" s="11">
        <v>0</v>
      </c>
      <c r="L847" s="11" t="str" cm="1">
        <f t="array" ref="L847">IFERROR(_xlfn.XLOOKUP(C847&amp;A847, ESPN!A:A&amp;ESPN!C:C, ESPN!D:D), "N/A")</f>
        <v>N/A</v>
      </c>
      <c r="M847" s="23" t="str" cm="1">
        <f t="array" ref="M847">IFERROR(_xlfn.XLOOKUP(C847&amp;A847, ESPN!A:A&amp;ESPN!C:C, ESPN!G:G), "N/A")</f>
        <v>N/A</v>
      </c>
      <c r="N847" s="23" t="str" cm="1">
        <f t="array" ref="N847">IFERROR(_xlfn.XLOOKUP(C847&amp;A847, ESPN!A:A&amp;ESPN!C:C, ESPN!H:H), "N/A")</f>
        <v>N/A</v>
      </c>
      <c r="O847" s="26" t="str" cm="1">
        <f t="array" ref="O847">IFERROR(_xlfn.XLOOKUP(C847&amp;A847, ESPN!A:A&amp;ESPN!C:C, ESPN!I:I), "N/A")</f>
        <v>N/A</v>
      </c>
      <c r="P847" s="26" t="str" cm="1">
        <f t="array" ref="P847">IFERROR(_xlfn.XLOOKUP(C847&amp;A847, ESPN!A:A&amp;ESPN!C:C, ESPN!J:J), "N/A")</f>
        <v>N/A</v>
      </c>
      <c r="Q847" s="26" t="str" cm="1">
        <f t="array" ref="Q847">IFERROR(_xlfn.XLOOKUP(C847&amp;A847, ESPN!A:A&amp;ESPN!C:C, ESPN!K:K), "N/A")</f>
        <v>N/A</v>
      </c>
    </row>
    <row r="848" spans="1:17" x14ac:dyDescent="0.45">
      <c r="A848" s="6">
        <v>2021</v>
      </c>
      <c r="B848" s="1" t="s">
        <v>496</v>
      </c>
      <c r="C848" s="2" t="str">
        <f t="shared" si="26"/>
        <v>Buddy Howell</v>
      </c>
      <c r="D848" s="2" t="str">
        <f t="shared" si="27"/>
        <v>LAR</v>
      </c>
      <c r="E848" s="2">
        <v>5</v>
      </c>
      <c r="F848" s="12">
        <v>0</v>
      </c>
      <c r="G848" s="11">
        <v>0</v>
      </c>
      <c r="H848" s="11">
        <v>0</v>
      </c>
      <c r="I848" s="11">
        <v>0</v>
      </c>
      <c r="J848" s="11">
        <v>0</v>
      </c>
      <c r="K848" s="11">
        <v>0</v>
      </c>
      <c r="L848" s="11" t="str" cm="1">
        <f t="array" ref="L848">IFERROR(_xlfn.XLOOKUP(C848&amp;A848, ESPN!A:A&amp;ESPN!C:C, ESPN!D:D), "N/A")</f>
        <v>N/A</v>
      </c>
      <c r="M848" s="23" t="str" cm="1">
        <f t="array" ref="M848">IFERROR(_xlfn.XLOOKUP(C848&amp;A848, ESPN!A:A&amp;ESPN!C:C, ESPN!G:G), "N/A")</f>
        <v>N/A</v>
      </c>
      <c r="N848" s="23" t="str" cm="1">
        <f t="array" ref="N848">IFERROR(_xlfn.XLOOKUP(C848&amp;A848, ESPN!A:A&amp;ESPN!C:C, ESPN!H:H), "N/A")</f>
        <v>N/A</v>
      </c>
      <c r="O848" s="26" t="str" cm="1">
        <f t="array" ref="O848">IFERROR(_xlfn.XLOOKUP(C848&amp;A848, ESPN!A:A&amp;ESPN!C:C, ESPN!I:I), "N/A")</f>
        <v>N/A</v>
      </c>
      <c r="P848" s="26" t="str" cm="1">
        <f t="array" ref="P848">IFERROR(_xlfn.XLOOKUP(C848&amp;A848, ESPN!A:A&amp;ESPN!C:C, ESPN!J:J), "N/A")</f>
        <v>N/A</v>
      </c>
      <c r="Q848" s="26" t="str" cm="1">
        <f t="array" ref="Q848">IFERROR(_xlfn.XLOOKUP(C848&amp;A848, ESPN!A:A&amp;ESPN!C:C, ESPN!K:K), "N/A")</f>
        <v>N/A</v>
      </c>
    </row>
    <row r="849" spans="1:17" x14ac:dyDescent="0.45">
      <c r="A849" s="7">
        <v>2021</v>
      </c>
      <c r="B849" s="3" t="s">
        <v>497</v>
      </c>
      <c r="C849" s="4" t="str">
        <f t="shared" si="26"/>
        <v>Mekhi Sargent</v>
      </c>
      <c r="D849" s="4" t="str">
        <f t="shared" si="27"/>
        <v>JAC</v>
      </c>
      <c r="E849" s="4">
        <v>5</v>
      </c>
      <c r="F849" s="12">
        <v>1</v>
      </c>
      <c r="G849" s="11">
        <v>0</v>
      </c>
      <c r="H849" s="11">
        <v>0</v>
      </c>
      <c r="I849" s="11">
        <v>0</v>
      </c>
      <c r="J849" s="11">
        <v>0</v>
      </c>
      <c r="K849" s="11">
        <v>0</v>
      </c>
      <c r="L849" s="11" t="str" cm="1">
        <f t="array" ref="L849">IFERROR(_xlfn.XLOOKUP(C849&amp;A849, ESPN!A:A&amp;ESPN!C:C, ESPN!D:D), "N/A")</f>
        <v>N/A</v>
      </c>
      <c r="M849" s="23" t="str" cm="1">
        <f t="array" ref="M849">IFERROR(_xlfn.XLOOKUP(C849&amp;A849, ESPN!A:A&amp;ESPN!C:C, ESPN!G:G), "N/A")</f>
        <v>N/A</v>
      </c>
      <c r="N849" s="23" t="str" cm="1">
        <f t="array" ref="N849">IFERROR(_xlfn.XLOOKUP(C849&amp;A849, ESPN!A:A&amp;ESPN!C:C, ESPN!H:H), "N/A")</f>
        <v>N/A</v>
      </c>
      <c r="O849" s="26" t="str" cm="1">
        <f t="array" ref="O849">IFERROR(_xlfn.XLOOKUP(C849&amp;A849, ESPN!A:A&amp;ESPN!C:C, ESPN!I:I), "N/A")</f>
        <v>N/A</v>
      </c>
      <c r="P849" s="26" t="str" cm="1">
        <f t="array" ref="P849">IFERROR(_xlfn.XLOOKUP(C849&amp;A849, ESPN!A:A&amp;ESPN!C:C, ESPN!J:J), "N/A")</f>
        <v>N/A</v>
      </c>
      <c r="Q849" s="26" t="str" cm="1">
        <f t="array" ref="Q849">IFERROR(_xlfn.XLOOKUP(C849&amp;A849, ESPN!A:A&amp;ESPN!C:C, ESPN!K:K), "N/A")</f>
        <v>N/A</v>
      </c>
    </row>
    <row r="850" spans="1:17" x14ac:dyDescent="0.45">
      <c r="A850" s="6">
        <v>2021</v>
      </c>
      <c r="B850" s="1" t="s">
        <v>296</v>
      </c>
      <c r="C850" s="2" t="str">
        <f t="shared" si="26"/>
        <v>Gary Brightwell</v>
      </c>
      <c r="D850" s="2" t="str">
        <f t="shared" si="27"/>
        <v>NYG</v>
      </c>
      <c r="E850" s="2">
        <v>7</v>
      </c>
      <c r="F850" s="12">
        <v>1</v>
      </c>
      <c r="G850" s="11">
        <v>1</v>
      </c>
      <c r="H850" s="11">
        <v>6</v>
      </c>
      <c r="I850" s="11">
        <v>6</v>
      </c>
      <c r="J850" s="11">
        <v>0</v>
      </c>
      <c r="K850" s="11">
        <v>0</v>
      </c>
      <c r="L850" s="11" t="str" cm="1">
        <f t="array" ref="L850">IFERROR(_xlfn.XLOOKUP(C850&amp;A850, ESPN!A:A&amp;ESPN!C:C, ESPN!D:D), "N/A")</f>
        <v>N/A</v>
      </c>
      <c r="M850" s="23" t="str" cm="1">
        <f t="array" ref="M850">IFERROR(_xlfn.XLOOKUP(C850&amp;A850, ESPN!A:A&amp;ESPN!C:C, ESPN!G:G), "N/A")</f>
        <v>N/A</v>
      </c>
      <c r="N850" s="23" t="str" cm="1">
        <f t="array" ref="N850">IFERROR(_xlfn.XLOOKUP(C850&amp;A850, ESPN!A:A&amp;ESPN!C:C, ESPN!H:H), "N/A")</f>
        <v>N/A</v>
      </c>
      <c r="O850" s="26" t="str" cm="1">
        <f t="array" ref="O850">IFERROR(_xlfn.XLOOKUP(C850&amp;A850, ESPN!A:A&amp;ESPN!C:C, ESPN!I:I), "N/A")</f>
        <v>N/A</v>
      </c>
      <c r="P850" s="26" t="str" cm="1">
        <f t="array" ref="P850">IFERROR(_xlfn.XLOOKUP(C850&amp;A850, ESPN!A:A&amp;ESPN!C:C, ESPN!J:J), "N/A")</f>
        <v>N/A</v>
      </c>
      <c r="Q850" s="26" t="str" cm="1">
        <f t="array" ref="Q850">IFERROR(_xlfn.XLOOKUP(C850&amp;A850, ESPN!A:A&amp;ESPN!C:C, ESPN!K:K), "N/A")</f>
        <v>N/A</v>
      </c>
    </row>
    <row r="851" spans="1:17" x14ac:dyDescent="0.45">
      <c r="A851" s="7">
        <v>2021</v>
      </c>
      <c r="B851" s="3" t="s">
        <v>498</v>
      </c>
      <c r="C851" s="4" t="str">
        <f t="shared" si="26"/>
        <v>Ryan Nall</v>
      </c>
      <c r="D851" s="4" t="str">
        <f t="shared" si="27"/>
        <v>CHI</v>
      </c>
      <c r="E851" s="4">
        <v>5</v>
      </c>
      <c r="F851" s="12">
        <v>1</v>
      </c>
      <c r="G851" s="11">
        <v>1</v>
      </c>
      <c r="H851" s="11">
        <v>4</v>
      </c>
      <c r="I851" s="11">
        <v>4</v>
      </c>
      <c r="J851" s="11">
        <v>0</v>
      </c>
      <c r="K851" s="11">
        <v>0</v>
      </c>
      <c r="L851" s="11" t="str" cm="1">
        <f t="array" ref="L851">IFERROR(_xlfn.XLOOKUP(C851&amp;A851, ESPN!A:A&amp;ESPN!C:C, ESPN!D:D), "N/A")</f>
        <v>N/A</v>
      </c>
      <c r="M851" s="23" t="str" cm="1">
        <f t="array" ref="M851">IFERROR(_xlfn.XLOOKUP(C851&amp;A851, ESPN!A:A&amp;ESPN!C:C, ESPN!G:G), "N/A")</f>
        <v>N/A</v>
      </c>
      <c r="N851" s="23" t="str" cm="1">
        <f t="array" ref="N851">IFERROR(_xlfn.XLOOKUP(C851&amp;A851, ESPN!A:A&amp;ESPN!C:C, ESPN!H:H), "N/A")</f>
        <v>N/A</v>
      </c>
      <c r="O851" s="26" t="str" cm="1">
        <f t="array" ref="O851">IFERROR(_xlfn.XLOOKUP(C851&amp;A851, ESPN!A:A&amp;ESPN!C:C, ESPN!I:I), "N/A")</f>
        <v>N/A</v>
      </c>
      <c r="P851" s="26" t="str" cm="1">
        <f t="array" ref="P851">IFERROR(_xlfn.XLOOKUP(C851&amp;A851, ESPN!A:A&amp;ESPN!C:C, ESPN!J:J), "N/A")</f>
        <v>N/A</v>
      </c>
      <c r="Q851" s="26" t="str" cm="1">
        <f t="array" ref="Q851">IFERROR(_xlfn.XLOOKUP(C851&amp;A851, ESPN!A:A&amp;ESPN!C:C, ESPN!K:K), "N/A")</f>
        <v>N/A</v>
      </c>
    </row>
    <row r="852" spans="1:17" x14ac:dyDescent="0.45">
      <c r="A852" s="6">
        <v>2021</v>
      </c>
      <c r="B852" s="1" t="s">
        <v>499</v>
      </c>
      <c r="C852" s="2" t="str">
        <f t="shared" si="26"/>
        <v>Damarea Crockett</v>
      </c>
      <c r="D852" s="2" t="str">
        <f t="shared" si="27"/>
        <v>DEN</v>
      </c>
      <c r="E852" s="2">
        <v>1</v>
      </c>
      <c r="F852" s="12">
        <v>0</v>
      </c>
      <c r="G852" s="11">
        <v>0</v>
      </c>
      <c r="H852" s="11">
        <v>0</v>
      </c>
      <c r="I852" s="11">
        <v>0</v>
      </c>
      <c r="J852" s="11">
        <v>0</v>
      </c>
      <c r="K852" s="11">
        <v>0</v>
      </c>
      <c r="L852" s="11" t="str" cm="1">
        <f t="array" ref="L852">IFERROR(_xlfn.XLOOKUP(C852&amp;A852, ESPN!A:A&amp;ESPN!C:C, ESPN!D:D), "N/A")</f>
        <v>N/A</v>
      </c>
      <c r="M852" s="23" t="str" cm="1">
        <f t="array" ref="M852">IFERROR(_xlfn.XLOOKUP(C852&amp;A852, ESPN!A:A&amp;ESPN!C:C, ESPN!G:G), "N/A")</f>
        <v>N/A</v>
      </c>
      <c r="N852" s="23" t="str" cm="1">
        <f t="array" ref="N852">IFERROR(_xlfn.XLOOKUP(C852&amp;A852, ESPN!A:A&amp;ESPN!C:C, ESPN!H:H), "N/A")</f>
        <v>N/A</v>
      </c>
      <c r="O852" s="26" t="str" cm="1">
        <f t="array" ref="O852">IFERROR(_xlfn.XLOOKUP(C852&amp;A852, ESPN!A:A&amp;ESPN!C:C, ESPN!I:I), "N/A")</f>
        <v>N/A</v>
      </c>
      <c r="P852" s="26" t="str" cm="1">
        <f t="array" ref="P852">IFERROR(_xlfn.XLOOKUP(C852&amp;A852, ESPN!A:A&amp;ESPN!C:C, ESPN!J:J), "N/A")</f>
        <v>N/A</v>
      </c>
      <c r="Q852" s="26" t="str" cm="1">
        <f t="array" ref="Q852">IFERROR(_xlfn.XLOOKUP(C852&amp;A852, ESPN!A:A&amp;ESPN!C:C, ESPN!K:K), "N/A")</f>
        <v>N/A</v>
      </c>
    </row>
    <row r="853" spans="1:17" x14ac:dyDescent="0.45">
      <c r="A853" s="7">
        <v>2021</v>
      </c>
      <c r="B853" s="3" t="s">
        <v>418</v>
      </c>
      <c r="C853" s="4" t="str">
        <f t="shared" si="26"/>
        <v>Jake Funk</v>
      </c>
      <c r="D853" s="4" t="str">
        <f t="shared" si="27"/>
        <v>LAR</v>
      </c>
      <c r="E853" s="4">
        <v>5</v>
      </c>
      <c r="F853" s="12">
        <v>0</v>
      </c>
      <c r="G853" s="11">
        <v>0</v>
      </c>
      <c r="H853" s="11">
        <v>0</v>
      </c>
      <c r="I853" s="11">
        <v>0</v>
      </c>
      <c r="J853" s="11">
        <v>0</v>
      </c>
      <c r="K853" s="11">
        <v>0</v>
      </c>
      <c r="L853" s="11" t="str" cm="1">
        <f t="array" ref="L853">IFERROR(_xlfn.XLOOKUP(C853&amp;A853, ESPN!A:A&amp;ESPN!C:C, ESPN!D:D), "N/A")</f>
        <v>N/A</v>
      </c>
      <c r="M853" s="23" t="str" cm="1">
        <f t="array" ref="M853">IFERROR(_xlfn.XLOOKUP(C853&amp;A853, ESPN!A:A&amp;ESPN!C:C, ESPN!G:G), "N/A")</f>
        <v>N/A</v>
      </c>
      <c r="N853" s="23" t="str" cm="1">
        <f t="array" ref="N853">IFERROR(_xlfn.XLOOKUP(C853&amp;A853, ESPN!A:A&amp;ESPN!C:C, ESPN!H:H), "N/A")</f>
        <v>N/A</v>
      </c>
      <c r="O853" s="26" t="str" cm="1">
        <f t="array" ref="O853">IFERROR(_xlfn.XLOOKUP(C853&amp;A853, ESPN!A:A&amp;ESPN!C:C, ESPN!I:I), "N/A")</f>
        <v>N/A</v>
      </c>
      <c r="P853" s="26" t="str" cm="1">
        <f t="array" ref="P853">IFERROR(_xlfn.XLOOKUP(C853&amp;A853, ESPN!A:A&amp;ESPN!C:C, ESPN!J:J), "N/A")</f>
        <v>N/A</v>
      </c>
      <c r="Q853" s="26" t="str" cm="1">
        <f t="array" ref="Q853">IFERROR(_xlfn.XLOOKUP(C853&amp;A853, ESPN!A:A&amp;ESPN!C:C, ESPN!K:K), "N/A")</f>
        <v>N/A</v>
      </c>
    </row>
    <row r="854" spans="1:17" x14ac:dyDescent="0.45">
      <c r="A854" s="6">
        <v>2021</v>
      </c>
      <c r="B854" s="1" t="s">
        <v>500</v>
      </c>
      <c r="C854" s="2" t="str">
        <f t="shared" si="26"/>
        <v>Devine Ozigbo</v>
      </c>
      <c r="D854" s="2" t="str">
        <f t="shared" si="27"/>
        <v>JAC</v>
      </c>
      <c r="E854" s="2">
        <v>2</v>
      </c>
      <c r="F854" s="12">
        <v>1</v>
      </c>
      <c r="G854" s="11">
        <v>1</v>
      </c>
      <c r="H854" s="11">
        <v>7</v>
      </c>
      <c r="I854" s="11">
        <v>7</v>
      </c>
      <c r="J854" s="11">
        <v>0</v>
      </c>
      <c r="K854" s="11">
        <v>0</v>
      </c>
      <c r="L854" s="11" t="str" cm="1">
        <f t="array" ref="L854">IFERROR(_xlfn.XLOOKUP(C854&amp;A854, ESPN!A:A&amp;ESPN!C:C, ESPN!D:D), "N/A")</f>
        <v>N/A</v>
      </c>
      <c r="M854" s="23" t="str" cm="1">
        <f t="array" ref="M854">IFERROR(_xlfn.XLOOKUP(C854&amp;A854, ESPN!A:A&amp;ESPN!C:C, ESPN!G:G), "N/A")</f>
        <v>N/A</v>
      </c>
      <c r="N854" s="23" t="str" cm="1">
        <f t="array" ref="N854">IFERROR(_xlfn.XLOOKUP(C854&amp;A854, ESPN!A:A&amp;ESPN!C:C, ESPN!H:H), "N/A")</f>
        <v>N/A</v>
      </c>
      <c r="O854" s="26" t="str" cm="1">
        <f t="array" ref="O854">IFERROR(_xlfn.XLOOKUP(C854&amp;A854, ESPN!A:A&amp;ESPN!C:C, ESPN!I:I), "N/A")</f>
        <v>N/A</v>
      </c>
      <c r="P854" s="26" t="str" cm="1">
        <f t="array" ref="P854">IFERROR(_xlfn.XLOOKUP(C854&amp;A854, ESPN!A:A&amp;ESPN!C:C, ESPN!J:J), "N/A")</f>
        <v>N/A</v>
      </c>
      <c r="Q854" s="26" t="str" cm="1">
        <f t="array" ref="Q854">IFERROR(_xlfn.XLOOKUP(C854&amp;A854, ESPN!A:A&amp;ESPN!C:C, ESPN!K:K), "N/A")</f>
        <v>N/A</v>
      </c>
    </row>
    <row r="855" spans="1:17" x14ac:dyDescent="0.45">
      <c r="A855" s="7">
        <v>2021</v>
      </c>
      <c r="B855" s="3" t="s">
        <v>501</v>
      </c>
      <c r="C855" s="4" t="str">
        <f t="shared" si="26"/>
        <v>Nathan Cottrell</v>
      </c>
      <c r="D855" s="4" t="str">
        <f t="shared" si="27"/>
        <v>JAC</v>
      </c>
      <c r="E855" s="4">
        <v>3</v>
      </c>
      <c r="F855" s="12">
        <v>0</v>
      </c>
      <c r="G855" s="11">
        <v>0</v>
      </c>
      <c r="H855" s="11">
        <v>0</v>
      </c>
      <c r="I855" s="11">
        <v>0</v>
      </c>
      <c r="J855" s="11">
        <v>0</v>
      </c>
      <c r="K855" s="11">
        <v>0</v>
      </c>
      <c r="L855" s="11" t="str" cm="1">
        <f t="array" ref="L855">IFERROR(_xlfn.XLOOKUP(C855&amp;A855, ESPN!A:A&amp;ESPN!C:C, ESPN!D:D), "N/A")</f>
        <v>N/A</v>
      </c>
      <c r="M855" s="23" t="str" cm="1">
        <f t="array" ref="M855">IFERROR(_xlfn.XLOOKUP(C855&amp;A855, ESPN!A:A&amp;ESPN!C:C, ESPN!G:G), "N/A")</f>
        <v>N/A</v>
      </c>
      <c r="N855" s="23" t="str" cm="1">
        <f t="array" ref="N855">IFERROR(_xlfn.XLOOKUP(C855&amp;A855, ESPN!A:A&amp;ESPN!C:C, ESPN!H:H), "N/A")</f>
        <v>N/A</v>
      </c>
      <c r="O855" s="26" t="str" cm="1">
        <f t="array" ref="O855">IFERROR(_xlfn.XLOOKUP(C855&amp;A855, ESPN!A:A&amp;ESPN!C:C, ESPN!I:I), "N/A")</f>
        <v>N/A</v>
      </c>
      <c r="P855" s="26" t="str" cm="1">
        <f t="array" ref="P855">IFERROR(_xlfn.XLOOKUP(C855&amp;A855, ESPN!A:A&amp;ESPN!C:C, ESPN!J:J), "N/A")</f>
        <v>N/A</v>
      </c>
      <c r="Q855" s="26" t="str" cm="1">
        <f t="array" ref="Q855">IFERROR(_xlfn.XLOOKUP(C855&amp;A855, ESPN!A:A&amp;ESPN!C:C, ESPN!K:K), "N/A")</f>
        <v>N/A</v>
      </c>
    </row>
    <row r="856" spans="1:17" x14ac:dyDescent="0.45">
      <c r="A856" s="6">
        <v>2021</v>
      </c>
      <c r="B856" s="1" t="s">
        <v>422</v>
      </c>
      <c r="C856" s="2" t="str">
        <f t="shared" si="26"/>
        <v>Taiwan Jones</v>
      </c>
      <c r="D856" s="2" t="str">
        <f t="shared" si="27"/>
        <v>BUF</v>
      </c>
      <c r="E856" s="2">
        <v>7</v>
      </c>
      <c r="F856" s="12">
        <v>0</v>
      </c>
      <c r="G856" s="11">
        <v>0</v>
      </c>
      <c r="H856" s="11">
        <v>0</v>
      </c>
      <c r="I856" s="11">
        <v>0</v>
      </c>
      <c r="J856" s="11">
        <v>0</v>
      </c>
      <c r="K856" s="11">
        <v>0</v>
      </c>
      <c r="L856" s="11" t="str" cm="1">
        <f t="array" ref="L856">IFERROR(_xlfn.XLOOKUP(C856&amp;A856, ESPN!A:A&amp;ESPN!C:C, ESPN!D:D), "N/A")</f>
        <v>N/A</v>
      </c>
      <c r="M856" s="23" t="str" cm="1">
        <f t="array" ref="M856">IFERROR(_xlfn.XLOOKUP(C856&amp;A856, ESPN!A:A&amp;ESPN!C:C, ESPN!G:G), "N/A")</f>
        <v>N/A</v>
      </c>
      <c r="N856" s="23" t="str" cm="1">
        <f t="array" ref="N856">IFERROR(_xlfn.XLOOKUP(C856&amp;A856, ESPN!A:A&amp;ESPN!C:C, ESPN!H:H), "N/A")</f>
        <v>N/A</v>
      </c>
      <c r="O856" s="26" t="str" cm="1">
        <f t="array" ref="O856">IFERROR(_xlfn.XLOOKUP(C856&amp;A856, ESPN!A:A&amp;ESPN!C:C, ESPN!I:I), "N/A")</f>
        <v>N/A</v>
      </c>
      <c r="P856" s="26" t="str" cm="1">
        <f t="array" ref="P856">IFERROR(_xlfn.XLOOKUP(C856&amp;A856, ESPN!A:A&amp;ESPN!C:C, ESPN!J:J), "N/A")</f>
        <v>N/A</v>
      </c>
      <c r="Q856" s="26" t="str" cm="1">
        <f t="array" ref="Q856">IFERROR(_xlfn.XLOOKUP(C856&amp;A856, ESPN!A:A&amp;ESPN!C:C, ESPN!K:K), "N/A")</f>
        <v>N/A</v>
      </c>
    </row>
    <row r="857" spans="1:17" x14ac:dyDescent="0.45">
      <c r="A857" s="7">
        <v>2021</v>
      </c>
      <c r="B857" s="3" t="s">
        <v>409</v>
      </c>
      <c r="C857" s="4" t="str">
        <f t="shared" si="26"/>
        <v>Kenjon Barner</v>
      </c>
      <c r="D857" s="4" t="str">
        <f t="shared" si="27"/>
        <v>TB</v>
      </c>
      <c r="E857" s="4">
        <v>3</v>
      </c>
      <c r="F857" s="12">
        <v>0</v>
      </c>
      <c r="G857" s="11">
        <v>0</v>
      </c>
      <c r="H857" s="11">
        <v>0</v>
      </c>
      <c r="I857" s="11">
        <v>0</v>
      </c>
      <c r="J857" s="11">
        <v>0</v>
      </c>
      <c r="K857" s="11">
        <v>0</v>
      </c>
      <c r="L857" s="11" t="str" cm="1">
        <f t="array" ref="L857">IFERROR(_xlfn.XLOOKUP(C857&amp;A857, ESPN!A:A&amp;ESPN!C:C, ESPN!D:D), "N/A")</f>
        <v>N/A</v>
      </c>
      <c r="M857" s="23" t="str" cm="1">
        <f t="array" ref="M857">IFERROR(_xlfn.XLOOKUP(C857&amp;A857, ESPN!A:A&amp;ESPN!C:C, ESPN!G:G), "N/A")</f>
        <v>N/A</v>
      </c>
      <c r="N857" s="23" t="str" cm="1">
        <f t="array" ref="N857">IFERROR(_xlfn.XLOOKUP(C857&amp;A857, ESPN!A:A&amp;ESPN!C:C, ESPN!H:H), "N/A")</f>
        <v>N/A</v>
      </c>
      <c r="O857" s="26" t="str" cm="1">
        <f t="array" ref="O857">IFERROR(_xlfn.XLOOKUP(C857&amp;A857, ESPN!A:A&amp;ESPN!C:C, ESPN!I:I), "N/A")</f>
        <v>N/A</v>
      </c>
      <c r="P857" s="26" t="str" cm="1">
        <f t="array" ref="P857">IFERROR(_xlfn.XLOOKUP(C857&amp;A857, ESPN!A:A&amp;ESPN!C:C, ESPN!J:J), "N/A")</f>
        <v>N/A</v>
      </c>
      <c r="Q857" s="26" t="str" cm="1">
        <f t="array" ref="Q857">IFERROR(_xlfn.XLOOKUP(C857&amp;A857, ESPN!A:A&amp;ESPN!C:C, ESPN!K:K), "N/A")</f>
        <v>N/A</v>
      </c>
    </row>
    <row r="858" spans="1:17" x14ac:dyDescent="0.45">
      <c r="A858" s="6">
        <v>2021</v>
      </c>
      <c r="B858" s="1" t="s">
        <v>502</v>
      </c>
      <c r="C858" s="2" t="str">
        <f t="shared" si="26"/>
        <v>J.P. Holtz</v>
      </c>
      <c r="D858" s="2" t="str">
        <f t="shared" si="27"/>
        <v>CHI</v>
      </c>
      <c r="E858" s="2">
        <v>5</v>
      </c>
      <c r="F858" s="12">
        <v>0</v>
      </c>
      <c r="G858" s="11">
        <v>0</v>
      </c>
      <c r="H858" s="11">
        <v>0</v>
      </c>
      <c r="I858" s="11">
        <v>0</v>
      </c>
      <c r="J858" s="11">
        <v>0</v>
      </c>
      <c r="K858" s="11">
        <v>0</v>
      </c>
      <c r="L858" s="11" t="str" cm="1">
        <f t="array" ref="L858">IFERROR(_xlfn.XLOOKUP(C858&amp;A858, ESPN!A:A&amp;ESPN!C:C, ESPN!D:D), "N/A")</f>
        <v>N/A</v>
      </c>
      <c r="M858" s="23" t="str" cm="1">
        <f t="array" ref="M858">IFERROR(_xlfn.XLOOKUP(C858&amp;A858, ESPN!A:A&amp;ESPN!C:C, ESPN!G:G), "N/A")</f>
        <v>N/A</v>
      </c>
      <c r="N858" s="23" t="str" cm="1">
        <f t="array" ref="N858">IFERROR(_xlfn.XLOOKUP(C858&amp;A858, ESPN!A:A&amp;ESPN!C:C, ESPN!H:H), "N/A")</f>
        <v>N/A</v>
      </c>
      <c r="O858" s="26" t="str" cm="1">
        <f t="array" ref="O858">IFERROR(_xlfn.XLOOKUP(C858&amp;A858, ESPN!A:A&amp;ESPN!C:C, ESPN!I:I), "N/A")</f>
        <v>N/A</v>
      </c>
      <c r="P858" s="26" t="str" cm="1">
        <f t="array" ref="P858">IFERROR(_xlfn.XLOOKUP(C858&amp;A858, ESPN!A:A&amp;ESPN!C:C, ESPN!J:J), "N/A")</f>
        <v>N/A</v>
      </c>
      <c r="Q858" s="26" t="str" cm="1">
        <f t="array" ref="Q858">IFERROR(_xlfn.XLOOKUP(C858&amp;A858, ESPN!A:A&amp;ESPN!C:C, ESPN!K:K), "N/A")</f>
        <v>N/A</v>
      </c>
    </row>
    <row r="859" spans="1:17" x14ac:dyDescent="0.45">
      <c r="A859" s="7">
        <v>2021</v>
      </c>
      <c r="B859" s="3" t="s">
        <v>411</v>
      </c>
      <c r="C859" s="4" t="str">
        <f t="shared" si="26"/>
        <v>Brandin Bryant</v>
      </c>
      <c r="D859" s="4" t="str">
        <f t="shared" si="27"/>
        <v>BUF</v>
      </c>
      <c r="E859" s="4">
        <v>3</v>
      </c>
      <c r="F859" s="12">
        <v>0</v>
      </c>
      <c r="G859" s="11">
        <v>0</v>
      </c>
      <c r="H859" s="11">
        <v>0</v>
      </c>
      <c r="I859" s="11">
        <v>0</v>
      </c>
      <c r="J859" s="11">
        <v>0</v>
      </c>
      <c r="K859" s="11">
        <v>0</v>
      </c>
      <c r="L859" s="11" t="str" cm="1">
        <f t="array" ref="L859">IFERROR(_xlfn.XLOOKUP(C859&amp;A859, ESPN!A:A&amp;ESPN!C:C, ESPN!D:D), "N/A")</f>
        <v>N/A</v>
      </c>
      <c r="M859" s="23" t="str" cm="1">
        <f t="array" ref="M859">IFERROR(_xlfn.XLOOKUP(C859&amp;A859, ESPN!A:A&amp;ESPN!C:C, ESPN!G:G), "N/A")</f>
        <v>N/A</v>
      </c>
      <c r="N859" s="23" t="str" cm="1">
        <f t="array" ref="N859">IFERROR(_xlfn.XLOOKUP(C859&amp;A859, ESPN!A:A&amp;ESPN!C:C, ESPN!H:H), "N/A")</f>
        <v>N/A</v>
      </c>
      <c r="O859" s="26" t="str" cm="1">
        <f t="array" ref="O859">IFERROR(_xlfn.XLOOKUP(C859&amp;A859, ESPN!A:A&amp;ESPN!C:C, ESPN!I:I), "N/A")</f>
        <v>N/A</v>
      </c>
      <c r="P859" s="26" t="str" cm="1">
        <f t="array" ref="P859">IFERROR(_xlfn.XLOOKUP(C859&amp;A859, ESPN!A:A&amp;ESPN!C:C, ESPN!J:J), "N/A")</f>
        <v>N/A</v>
      </c>
      <c r="Q859" s="26" t="str" cm="1">
        <f t="array" ref="Q859">IFERROR(_xlfn.XLOOKUP(C859&amp;A859, ESPN!A:A&amp;ESPN!C:C, ESPN!K:K), "N/A")</f>
        <v>N/A</v>
      </c>
    </row>
    <row r="860" spans="1:17" x14ac:dyDescent="0.45">
      <c r="A860" s="6">
        <v>2021</v>
      </c>
      <c r="B860" s="1" t="s">
        <v>503</v>
      </c>
      <c r="C860" s="2" t="str">
        <f t="shared" si="26"/>
        <v>Brian Hill</v>
      </c>
      <c r="D860" s="2" t="str">
        <f t="shared" si="27"/>
        <v>SF</v>
      </c>
      <c r="E860" s="2">
        <v>1</v>
      </c>
      <c r="F860" s="12">
        <v>0</v>
      </c>
      <c r="G860" s="11">
        <v>0</v>
      </c>
      <c r="H860" s="11">
        <v>0</v>
      </c>
      <c r="I860" s="11">
        <v>0</v>
      </c>
      <c r="J860" s="11">
        <v>0</v>
      </c>
      <c r="K860" s="11">
        <v>0</v>
      </c>
      <c r="L860" s="11" t="str" cm="1">
        <f t="array" ref="L860">IFERROR(_xlfn.XLOOKUP(C860&amp;A860, ESPN!A:A&amp;ESPN!C:C, ESPN!D:D), "N/A")</f>
        <v>N/A</v>
      </c>
      <c r="M860" s="23" t="str" cm="1">
        <f t="array" ref="M860">IFERROR(_xlfn.XLOOKUP(C860&amp;A860, ESPN!A:A&amp;ESPN!C:C, ESPN!G:G), "N/A")</f>
        <v>N/A</v>
      </c>
      <c r="N860" s="23" t="str" cm="1">
        <f t="array" ref="N860">IFERROR(_xlfn.XLOOKUP(C860&amp;A860, ESPN!A:A&amp;ESPN!C:C, ESPN!H:H), "N/A")</f>
        <v>N/A</v>
      </c>
      <c r="O860" s="26" t="str" cm="1">
        <f t="array" ref="O860">IFERROR(_xlfn.XLOOKUP(C860&amp;A860, ESPN!A:A&amp;ESPN!C:C, ESPN!I:I), "N/A")</f>
        <v>N/A</v>
      </c>
      <c r="P860" s="26" t="str" cm="1">
        <f t="array" ref="P860">IFERROR(_xlfn.XLOOKUP(C860&amp;A860, ESPN!A:A&amp;ESPN!C:C, ESPN!J:J), "N/A")</f>
        <v>N/A</v>
      </c>
      <c r="Q860" s="26" t="str" cm="1">
        <f t="array" ref="Q860">IFERROR(_xlfn.XLOOKUP(C860&amp;A860, ESPN!A:A&amp;ESPN!C:C, ESPN!K:K), "N/A")</f>
        <v>N/A</v>
      </c>
    </row>
    <row r="861" spans="1:17" x14ac:dyDescent="0.45">
      <c r="A861" s="7">
        <v>2021</v>
      </c>
      <c r="B861" s="3" t="s">
        <v>504</v>
      </c>
      <c r="C861" s="4" t="str">
        <f t="shared" si="26"/>
        <v>Tarik Cohen</v>
      </c>
      <c r="D861" s="4" t="str">
        <f t="shared" si="27"/>
        <v>CHI</v>
      </c>
      <c r="E861" s="4">
        <v>1</v>
      </c>
      <c r="F861" s="12">
        <v>0</v>
      </c>
      <c r="G861" s="11">
        <v>0</v>
      </c>
      <c r="H861" s="11">
        <v>0</v>
      </c>
      <c r="I861" s="11">
        <v>0</v>
      </c>
      <c r="J861" s="11">
        <v>0</v>
      </c>
      <c r="K861" s="11">
        <v>0</v>
      </c>
      <c r="L861" s="11" t="str" cm="1">
        <f t="array" ref="L861">IFERROR(_xlfn.XLOOKUP(C861&amp;A861, ESPN!A:A&amp;ESPN!C:C, ESPN!D:D), "N/A")</f>
        <v>N/A</v>
      </c>
      <c r="M861" s="23" t="str" cm="1">
        <f t="array" ref="M861">IFERROR(_xlfn.XLOOKUP(C861&amp;A861, ESPN!A:A&amp;ESPN!C:C, ESPN!G:G), "N/A")</f>
        <v>N/A</v>
      </c>
      <c r="N861" s="23" t="str" cm="1">
        <f t="array" ref="N861">IFERROR(_xlfn.XLOOKUP(C861&amp;A861, ESPN!A:A&amp;ESPN!C:C, ESPN!H:H), "N/A")</f>
        <v>N/A</v>
      </c>
      <c r="O861" s="26" t="str" cm="1">
        <f t="array" ref="O861">IFERROR(_xlfn.XLOOKUP(C861&amp;A861, ESPN!A:A&amp;ESPN!C:C, ESPN!I:I), "N/A")</f>
        <v>N/A</v>
      </c>
      <c r="P861" s="26" t="str" cm="1">
        <f t="array" ref="P861">IFERROR(_xlfn.XLOOKUP(C861&amp;A861, ESPN!A:A&amp;ESPN!C:C, ESPN!J:J), "N/A")</f>
        <v>N/A</v>
      </c>
      <c r="Q861" s="26" t="str" cm="1">
        <f t="array" ref="Q861">IFERROR(_xlfn.XLOOKUP(C861&amp;A861, ESPN!A:A&amp;ESPN!C:C, ESPN!K:K), "N/A")</f>
        <v>N/A</v>
      </c>
    </row>
    <row r="862" spans="1:17" x14ac:dyDescent="0.45">
      <c r="A862" s="6">
        <v>2021</v>
      </c>
      <c r="B862" s="1" t="s">
        <v>505</v>
      </c>
      <c r="C862" s="2" t="str">
        <f t="shared" si="26"/>
        <v>Elijah McGuire</v>
      </c>
      <c r="D862" s="2" t="str">
        <f t="shared" si="27"/>
        <v>KC</v>
      </c>
      <c r="E862" s="2">
        <v>3</v>
      </c>
      <c r="F862" s="12">
        <v>0</v>
      </c>
      <c r="G862" s="11">
        <v>0</v>
      </c>
      <c r="H862" s="11">
        <v>0</v>
      </c>
      <c r="I862" s="11">
        <v>0</v>
      </c>
      <c r="J862" s="11">
        <v>0</v>
      </c>
      <c r="K862" s="11">
        <v>0</v>
      </c>
      <c r="L862" s="11" t="str" cm="1">
        <f t="array" ref="L862">IFERROR(_xlfn.XLOOKUP(C862&amp;A862, ESPN!A:A&amp;ESPN!C:C, ESPN!D:D), "N/A")</f>
        <v>N/A</v>
      </c>
      <c r="M862" s="23" t="str" cm="1">
        <f t="array" ref="M862">IFERROR(_xlfn.XLOOKUP(C862&amp;A862, ESPN!A:A&amp;ESPN!C:C, ESPN!G:G), "N/A")</f>
        <v>N/A</v>
      </c>
      <c r="N862" s="23" t="str" cm="1">
        <f t="array" ref="N862">IFERROR(_xlfn.XLOOKUP(C862&amp;A862, ESPN!A:A&amp;ESPN!C:C, ESPN!H:H), "N/A")</f>
        <v>N/A</v>
      </c>
      <c r="O862" s="26" t="str" cm="1">
        <f t="array" ref="O862">IFERROR(_xlfn.XLOOKUP(C862&amp;A862, ESPN!A:A&amp;ESPN!C:C, ESPN!I:I), "N/A")</f>
        <v>N/A</v>
      </c>
      <c r="P862" s="26" t="str" cm="1">
        <f t="array" ref="P862">IFERROR(_xlfn.XLOOKUP(C862&amp;A862, ESPN!A:A&amp;ESPN!C:C, ESPN!J:J), "N/A")</f>
        <v>N/A</v>
      </c>
      <c r="Q862" s="26" t="str" cm="1">
        <f t="array" ref="Q862">IFERROR(_xlfn.XLOOKUP(C862&amp;A862, ESPN!A:A&amp;ESPN!C:C, ESPN!K:K), "N/A")</f>
        <v>N/A</v>
      </c>
    </row>
    <row r="863" spans="1:17" x14ac:dyDescent="0.45">
      <c r="A863" s="7">
        <v>2021</v>
      </c>
      <c r="B863" s="3" t="s">
        <v>506</v>
      </c>
      <c r="C863" s="4" t="str">
        <f t="shared" si="26"/>
        <v>Cethan Carter</v>
      </c>
      <c r="D863" s="4" t="str">
        <f t="shared" si="27"/>
        <v>MIA</v>
      </c>
      <c r="E863" s="4">
        <v>9</v>
      </c>
      <c r="F863" s="12">
        <v>2</v>
      </c>
      <c r="G863" s="11">
        <v>2</v>
      </c>
      <c r="H863" s="11">
        <v>16</v>
      </c>
      <c r="I863" s="11">
        <v>8</v>
      </c>
      <c r="J863" s="11">
        <v>0</v>
      </c>
      <c r="K863" s="11">
        <v>0</v>
      </c>
      <c r="L863" s="11" t="str" cm="1">
        <f t="array" ref="L863">IFERROR(_xlfn.XLOOKUP(C863&amp;A863, ESPN!A:A&amp;ESPN!C:C, ESPN!D:D), "N/A")</f>
        <v>N/A</v>
      </c>
      <c r="M863" s="23" t="str" cm="1">
        <f t="array" ref="M863">IFERROR(_xlfn.XLOOKUP(C863&amp;A863, ESPN!A:A&amp;ESPN!C:C, ESPN!G:G), "N/A")</f>
        <v>N/A</v>
      </c>
      <c r="N863" s="23" t="str" cm="1">
        <f t="array" ref="N863">IFERROR(_xlfn.XLOOKUP(C863&amp;A863, ESPN!A:A&amp;ESPN!C:C, ESPN!H:H), "N/A")</f>
        <v>N/A</v>
      </c>
      <c r="O863" s="26" t="str" cm="1">
        <f t="array" ref="O863">IFERROR(_xlfn.XLOOKUP(C863&amp;A863, ESPN!A:A&amp;ESPN!C:C, ESPN!I:I), "N/A")</f>
        <v>N/A</v>
      </c>
      <c r="P863" s="26" t="str" cm="1">
        <f t="array" ref="P863">IFERROR(_xlfn.XLOOKUP(C863&amp;A863, ESPN!A:A&amp;ESPN!C:C, ESPN!J:J), "N/A")</f>
        <v>N/A</v>
      </c>
      <c r="Q863" s="26" t="str" cm="1">
        <f t="array" ref="Q863">IFERROR(_xlfn.XLOOKUP(C863&amp;A863, ESPN!A:A&amp;ESPN!C:C, ESPN!K:K), "N/A")</f>
        <v>N/A</v>
      </c>
    </row>
    <row r="864" spans="1:17" x14ac:dyDescent="0.45">
      <c r="A864" s="6">
        <v>2021</v>
      </c>
      <c r="B864" s="1" t="s">
        <v>507</v>
      </c>
      <c r="C864" s="2" t="str">
        <f t="shared" si="26"/>
        <v>Trey Edmunds</v>
      </c>
      <c r="D864" s="2" t="str">
        <f t="shared" si="27"/>
        <v>PIT</v>
      </c>
      <c r="E864" s="2">
        <v>1</v>
      </c>
      <c r="F864" s="12">
        <v>0</v>
      </c>
      <c r="G864" s="11">
        <v>0</v>
      </c>
      <c r="H864" s="11">
        <v>0</v>
      </c>
      <c r="I864" s="11">
        <v>0</v>
      </c>
      <c r="J864" s="11">
        <v>0</v>
      </c>
      <c r="K864" s="11">
        <v>0</v>
      </c>
      <c r="L864" s="11" t="str" cm="1">
        <f t="array" ref="L864">IFERROR(_xlfn.XLOOKUP(C864&amp;A864, ESPN!A:A&amp;ESPN!C:C, ESPN!D:D), "N/A")</f>
        <v>N/A</v>
      </c>
      <c r="M864" s="23" t="str" cm="1">
        <f t="array" ref="M864">IFERROR(_xlfn.XLOOKUP(C864&amp;A864, ESPN!A:A&amp;ESPN!C:C, ESPN!G:G), "N/A")</f>
        <v>N/A</v>
      </c>
      <c r="N864" s="23" t="str" cm="1">
        <f t="array" ref="N864">IFERROR(_xlfn.XLOOKUP(C864&amp;A864, ESPN!A:A&amp;ESPN!C:C, ESPN!H:H), "N/A")</f>
        <v>N/A</v>
      </c>
      <c r="O864" s="26" t="str" cm="1">
        <f t="array" ref="O864">IFERROR(_xlfn.XLOOKUP(C864&amp;A864, ESPN!A:A&amp;ESPN!C:C, ESPN!I:I), "N/A")</f>
        <v>N/A</v>
      </c>
      <c r="P864" s="26" t="str" cm="1">
        <f t="array" ref="P864">IFERROR(_xlfn.XLOOKUP(C864&amp;A864, ESPN!A:A&amp;ESPN!C:C, ESPN!J:J), "N/A")</f>
        <v>N/A</v>
      </c>
      <c r="Q864" s="26" t="str" cm="1">
        <f t="array" ref="Q864">IFERROR(_xlfn.XLOOKUP(C864&amp;A864, ESPN!A:A&amp;ESPN!C:C, ESPN!K:K), "N/A")</f>
        <v>N/A</v>
      </c>
    </row>
    <row r="865" spans="1:17" x14ac:dyDescent="0.45">
      <c r="A865" s="7">
        <v>2021</v>
      </c>
      <c r="B865" s="3" t="s">
        <v>326</v>
      </c>
      <c r="C865" s="4" t="str">
        <f t="shared" si="26"/>
        <v>Jason Cabinda</v>
      </c>
      <c r="D865" s="4" t="str">
        <f t="shared" si="27"/>
        <v>DET</v>
      </c>
      <c r="E865" s="4">
        <v>10</v>
      </c>
      <c r="F865" s="12">
        <v>7</v>
      </c>
      <c r="G865" s="11">
        <v>4</v>
      </c>
      <c r="H865" s="11">
        <v>16</v>
      </c>
      <c r="I865" s="11">
        <v>4</v>
      </c>
      <c r="J865" s="11">
        <v>1</v>
      </c>
      <c r="K865" s="11">
        <v>0</v>
      </c>
      <c r="L865" s="11" t="str" cm="1">
        <f t="array" ref="L865">IFERROR(_xlfn.XLOOKUP(C865&amp;A865, ESPN!A:A&amp;ESPN!C:C, ESPN!D:D), "N/A")</f>
        <v>N/A</v>
      </c>
      <c r="M865" s="23" t="str" cm="1">
        <f t="array" ref="M865">IFERROR(_xlfn.XLOOKUP(C865&amp;A865, ESPN!A:A&amp;ESPN!C:C, ESPN!G:G), "N/A")</f>
        <v>N/A</v>
      </c>
      <c r="N865" s="23" t="str" cm="1">
        <f t="array" ref="N865">IFERROR(_xlfn.XLOOKUP(C865&amp;A865, ESPN!A:A&amp;ESPN!C:C, ESPN!H:H), "N/A")</f>
        <v>N/A</v>
      </c>
      <c r="O865" s="26" t="str" cm="1">
        <f t="array" ref="O865">IFERROR(_xlfn.XLOOKUP(C865&amp;A865, ESPN!A:A&amp;ESPN!C:C, ESPN!I:I), "N/A")</f>
        <v>N/A</v>
      </c>
      <c r="P865" s="26" t="str" cm="1">
        <f t="array" ref="P865">IFERROR(_xlfn.XLOOKUP(C865&amp;A865, ESPN!A:A&amp;ESPN!C:C, ESPN!J:J), "N/A")</f>
        <v>N/A</v>
      </c>
      <c r="Q865" s="26" t="str" cm="1">
        <f t="array" ref="Q865">IFERROR(_xlfn.XLOOKUP(C865&amp;A865, ESPN!A:A&amp;ESPN!C:C, ESPN!K:K), "N/A")</f>
        <v>N/A</v>
      </c>
    </row>
    <row r="866" spans="1:17" x14ac:dyDescent="0.45">
      <c r="A866" s="6">
        <v>2021</v>
      </c>
      <c r="B866" s="1" t="s">
        <v>508</v>
      </c>
      <c r="C866" s="2" t="str">
        <f t="shared" si="26"/>
        <v>Jordan Wilkins</v>
      </c>
      <c r="D866" s="2" t="str">
        <f t="shared" si="27"/>
        <v>TEN</v>
      </c>
      <c r="E866" s="2">
        <v>2</v>
      </c>
      <c r="F866" s="12">
        <v>0</v>
      </c>
      <c r="G866" s="11">
        <v>0</v>
      </c>
      <c r="H866" s="11">
        <v>0</v>
      </c>
      <c r="I866" s="11">
        <v>0</v>
      </c>
      <c r="J866" s="11">
        <v>0</v>
      </c>
      <c r="K866" s="11">
        <v>0</v>
      </c>
      <c r="L866" s="11" t="str" cm="1">
        <f t="array" ref="L866">IFERROR(_xlfn.XLOOKUP(C866&amp;A866, ESPN!A:A&amp;ESPN!C:C, ESPN!D:D), "N/A")</f>
        <v>N/A</v>
      </c>
      <c r="M866" s="23" t="str" cm="1">
        <f t="array" ref="M866">IFERROR(_xlfn.XLOOKUP(C866&amp;A866, ESPN!A:A&amp;ESPN!C:C, ESPN!G:G), "N/A")</f>
        <v>N/A</v>
      </c>
      <c r="N866" s="23" t="str" cm="1">
        <f t="array" ref="N866">IFERROR(_xlfn.XLOOKUP(C866&amp;A866, ESPN!A:A&amp;ESPN!C:C, ESPN!H:H), "N/A")</f>
        <v>N/A</v>
      </c>
      <c r="O866" s="26" t="str" cm="1">
        <f t="array" ref="O866">IFERROR(_xlfn.XLOOKUP(C866&amp;A866, ESPN!A:A&amp;ESPN!C:C, ESPN!I:I), "N/A")</f>
        <v>N/A</v>
      </c>
      <c r="P866" s="26" t="str" cm="1">
        <f t="array" ref="P866">IFERROR(_xlfn.XLOOKUP(C866&amp;A866, ESPN!A:A&amp;ESPN!C:C, ESPN!J:J), "N/A")</f>
        <v>N/A</v>
      </c>
      <c r="Q866" s="26" t="str" cm="1">
        <f t="array" ref="Q866">IFERROR(_xlfn.XLOOKUP(C866&amp;A866, ESPN!A:A&amp;ESPN!C:C, ESPN!K:K), "N/A")</f>
        <v>N/A</v>
      </c>
    </row>
    <row r="867" spans="1:17" x14ac:dyDescent="0.45">
      <c r="A867" s="7">
        <v>2021</v>
      </c>
      <c r="B867" s="3" t="s">
        <v>509</v>
      </c>
      <c r="C867" s="4" t="str">
        <f t="shared" si="26"/>
        <v>Darwin Thompson</v>
      </c>
      <c r="D867" s="4" t="str">
        <f t="shared" si="27"/>
        <v>TB</v>
      </c>
      <c r="E867" s="4">
        <v>2</v>
      </c>
      <c r="F867" s="12">
        <v>0</v>
      </c>
      <c r="G867" s="11">
        <v>0</v>
      </c>
      <c r="H867" s="11">
        <v>0</v>
      </c>
      <c r="I867" s="11">
        <v>0</v>
      </c>
      <c r="J867" s="11">
        <v>0</v>
      </c>
      <c r="K867" s="11">
        <v>0</v>
      </c>
      <c r="L867" s="11" t="str" cm="1">
        <f t="array" ref="L867">IFERROR(_xlfn.XLOOKUP(C867&amp;A867, ESPN!A:A&amp;ESPN!C:C, ESPN!D:D), "N/A")</f>
        <v>N/A</v>
      </c>
      <c r="M867" s="23" t="str" cm="1">
        <f t="array" ref="M867">IFERROR(_xlfn.XLOOKUP(C867&amp;A867, ESPN!A:A&amp;ESPN!C:C, ESPN!G:G), "N/A")</f>
        <v>N/A</v>
      </c>
      <c r="N867" s="23" t="str" cm="1">
        <f t="array" ref="N867">IFERROR(_xlfn.XLOOKUP(C867&amp;A867, ESPN!A:A&amp;ESPN!C:C, ESPN!H:H), "N/A")</f>
        <v>N/A</v>
      </c>
      <c r="O867" s="26" t="str" cm="1">
        <f t="array" ref="O867">IFERROR(_xlfn.XLOOKUP(C867&amp;A867, ESPN!A:A&amp;ESPN!C:C, ESPN!I:I), "N/A")</f>
        <v>N/A</v>
      </c>
      <c r="P867" s="26" t="str" cm="1">
        <f t="array" ref="P867">IFERROR(_xlfn.XLOOKUP(C867&amp;A867, ESPN!A:A&amp;ESPN!C:C, ESPN!J:J), "N/A")</f>
        <v>N/A</v>
      </c>
      <c r="Q867" s="26" t="str" cm="1">
        <f t="array" ref="Q867">IFERROR(_xlfn.XLOOKUP(C867&amp;A867, ESPN!A:A&amp;ESPN!C:C, ESPN!K:K), "N/A")</f>
        <v>N/A</v>
      </c>
    </row>
    <row r="868" spans="1:17" x14ac:dyDescent="0.45">
      <c r="A868" s="6">
        <v>2021</v>
      </c>
      <c r="B868" s="1" t="s">
        <v>510</v>
      </c>
      <c r="C868" s="2" t="str">
        <f t="shared" si="26"/>
        <v>Sutton Smith</v>
      </c>
      <c r="D868" s="2" t="str">
        <f t="shared" si="27"/>
        <v>LV</v>
      </c>
      <c r="E868" s="2">
        <v>1</v>
      </c>
      <c r="F868" s="12">
        <v>0</v>
      </c>
      <c r="G868" s="11">
        <v>0</v>
      </c>
      <c r="H868" s="11">
        <v>0</v>
      </c>
      <c r="I868" s="11">
        <v>0</v>
      </c>
      <c r="J868" s="11">
        <v>0</v>
      </c>
      <c r="K868" s="11">
        <v>0</v>
      </c>
      <c r="L868" s="11" t="str" cm="1">
        <f t="array" ref="L868">IFERROR(_xlfn.XLOOKUP(C868&amp;A868, ESPN!A:A&amp;ESPN!C:C, ESPN!D:D), "N/A")</f>
        <v>N/A</v>
      </c>
      <c r="M868" s="23" t="str" cm="1">
        <f t="array" ref="M868">IFERROR(_xlfn.XLOOKUP(C868&amp;A868, ESPN!A:A&amp;ESPN!C:C, ESPN!G:G), "N/A")</f>
        <v>N/A</v>
      </c>
      <c r="N868" s="23" t="str" cm="1">
        <f t="array" ref="N868">IFERROR(_xlfn.XLOOKUP(C868&amp;A868, ESPN!A:A&amp;ESPN!C:C, ESPN!H:H), "N/A")</f>
        <v>N/A</v>
      </c>
      <c r="O868" s="26" t="str" cm="1">
        <f t="array" ref="O868">IFERROR(_xlfn.XLOOKUP(C868&amp;A868, ESPN!A:A&amp;ESPN!C:C, ESPN!I:I), "N/A")</f>
        <v>N/A</v>
      </c>
      <c r="P868" s="26" t="str" cm="1">
        <f t="array" ref="P868">IFERROR(_xlfn.XLOOKUP(C868&amp;A868, ESPN!A:A&amp;ESPN!C:C, ESPN!J:J), "N/A")</f>
        <v>N/A</v>
      </c>
      <c r="Q868" s="26" t="str" cm="1">
        <f t="array" ref="Q868">IFERROR(_xlfn.XLOOKUP(C868&amp;A868, ESPN!A:A&amp;ESPN!C:C, ESPN!K:K), "N/A")</f>
        <v>N/A</v>
      </c>
    </row>
    <row r="869" spans="1:17" x14ac:dyDescent="0.45">
      <c r="A869" s="7">
        <v>2021</v>
      </c>
      <c r="B869" s="3" t="s">
        <v>511</v>
      </c>
      <c r="C869" s="4" t="str">
        <f t="shared" si="26"/>
        <v>Cullen Gillaspia</v>
      </c>
      <c r="D869" s="4" t="str">
        <f t="shared" si="27"/>
        <v>NYG</v>
      </c>
      <c r="E869" s="4">
        <v>4</v>
      </c>
      <c r="F869" s="12">
        <v>0</v>
      </c>
      <c r="G869" s="11">
        <v>0</v>
      </c>
      <c r="H869" s="11">
        <v>0</v>
      </c>
      <c r="I869" s="11">
        <v>0</v>
      </c>
      <c r="J869" s="11">
        <v>0</v>
      </c>
      <c r="K869" s="11">
        <v>0</v>
      </c>
      <c r="L869" s="11" t="str" cm="1">
        <f t="array" ref="L869">IFERROR(_xlfn.XLOOKUP(C869&amp;A869, ESPN!A:A&amp;ESPN!C:C, ESPN!D:D), "N/A")</f>
        <v>N/A</v>
      </c>
      <c r="M869" s="23" t="str" cm="1">
        <f t="array" ref="M869">IFERROR(_xlfn.XLOOKUP(C869&amp;A869, ESPN!A:A&amp;ESPN!C:C, ESPN!G:G), "N/A")</f>
        <v>N/A</v>
      </c>
      <c r="N869" s="23" t="str" cm="1">
        <f t="array" ref="N869">IFERROR(_xlfn.XLOOKUP(C869&amp;A869, ESPN!A:A&amp;ESPN!C:C, ESPN!H:H), "N/A")</f>
        <v>N/A</v>
      </c>
      <c r="O869" s="26" t="str" cm="1">
        <f t="array" ref="O869">IFERROR(_xlfn.XLOOKUP(C869&amp;A869, ESPN!A:A&amp;ESPN!C:C, ESPN!I:I), "N/A")</f>
        <v>N/A</v>
      </c>
      <c r="P869" s="26" t="str" cm="1">
        <f t="array" ref="P869">IFERROR(_xlfn.XLOOKUP(C869&amp;A869, ESPN!A:A&amp;ESPN!C:C, ESPN!J:J), "N/A")</f>
        <v>N/A</v>
      </c>
      <c r="Q869" s="26" t="str" cm="1">
        <f t="array" ref="Q869">IFERROR(_xlfn.XLOOKUP(C869&amp;A869, ESPN!A:A&amp;ESPN!C:C, ESPN!K:K), "N/A")</f>
        <v>N/A</v>
      </c>
    </row>
    <row r="870" spans="1:17" x14ac:dyDescent="0.45">
      <c r="A870" s="6">
        <v>2021</v>
      </c>
      <c r="B870" s="1" t="s">
        <v>415</v>
      </c>
      <c r="C870" s="2" t="str">
        <f t="shared" si="26"/>
        <v>Andrew Beck</v>
      </c>
      <c r="D870" s="2" t="str">
        <f t="shared" si="27"/>
        <v>DEN</v>
      </c>
      <c r="E870" s="2">
        <v>1</v>
      </c>
      <c r="F870" s="12">
        <v>0</v>
      </c>
      <c r="G870" s="11">
        <v>0</v>
      </c>
      <c r="H870" s="11">
        <v>0</v>
      </c>
      <c r="I870" s="11">
        <v>0</v>
      </c>
      <c r="J870" s="11">
        <v>0</v>
      </c>
      <c r="K870" s="11">
        <v>0</v>
      </c>
      <c r="L870" s="11" t="str" cm="1">
        <f t="array" ref="L870">IFERROR(_xlfn.XLOOKUP(C870&amp;A870, ESPN!A:A&amp;ESPN!C:C, ESPN!D:D), "N/A")</f>
        <v>N/A</v>
      </c>
      <c r="M870" s="23" t="str" cm="1">
        <f t="array" ref="M870">IFERROR(_xlfn.XLOOKUP(C870&amp;A870, ESPN!A:A&amp;ESPN!C:C, ESPN!G:G), "N/A")</f>
        <v>N/A</v>
      </c>
      <c r="N870" s="23" t="str" cm="1">
        <f t="array" ref="N870">IFERROR(_xlfn.XLOOKUP(C870&amp;A870, ESPN!A:A&amp;ESPN!C:C, ESPN!H:H), "N/A")</f>
        <v>N/A</v>
      </c>
      <c r="O870" s="26" t="str" cm="1">
        <f t="array" ref="O870">IFERROR(_xlfn.XLOOKUP(C870&amp;A870, ESPN!A:A&amp;ESPN!C:C, ESPN!I:I), "N/A")</f>
        <v>N/A</v>
      </c>
      <c r="P870" s="26" t="str" cm="1">
        <f t="array" ref="P870">IFERROR(_xlfn.XLOOKUP(C870&amp;A870, ESPN!A:A&amp;ESPN!C:C, ESPN!J:J), "N/A")</f>
        <v>N/A</v>
      </c>
      <c r="Q870" s="26" t="str" cm="1">
        <f t="array" ref="Q870">IFERROR(_xlfn.XLOOKUP(C870&amp;A870, ESPN!A:A&amp;ESPN!C:C, ESPN!K:K), "N/A")</f>
        <v>N/A</v>
      </c>
    </row>
    <row r="871" spans="1:17" x14ac:dyDescent="0.45">
      <c r="A871" s="7">
        <v>2021</v>
      </c>
      <c r="B871" s="3" t="s">
        <v>293</v>
      </c>
      <c r="C871" s="4" t="str">
        <f t="shared" si="26"/>
        <v>J.K. Dobbins</v>
      </c>
      <c r="D871" s="4" t="str">
        <f t="shared" si="27"/>
        <v>BAL</v>
      </c>
      <c r="E871" s="4">
        <v>1</v>
      </c>
      <c r="F871" s="12">
        <v>0</v>
      </c>
      <c r="G871" s="11">
        <v>0</v>
      </c>
      <c r="H871" s="11">
        <v>0</v>
      </c>
      <c r="I871" s="11">
        <v>0</v>
      </c>
      <c r="J871" s="11">
        <v>0</v>
      </c>
      <c r="K871" s="11">
        <v>0</v>
      </c>
      <c r="L871" s="11" t="str" cm="1">
        <f t="array" ref="L871">IFERROR(_xlfn.XLOOKUP(C871&amp;A871, ESPN!A:A&amp;ESPN!C:C, ESPN!D:D), "N/A")</f>
        <v>N/A</v>
      </c>
      <c r="M871" s="23" t="str" cm="1">
        <f t="array" ref="M871">IFERROR(_xlfn.XLOOKUP(C871&amp;A871, ESPN!A:A&amp;ESPN!C:C, ESPN!G:G), "N/A")</f>
        <v>N/A</v>
      </c>
      <c r="N871" s="23" t="str" cm="1">
        <f t="array" ref="N871">IFERROR(_xlfn.XLOOKUP(C871&amp;A871, ESPN!A:A&amp;ESPN!C:C, ESPN!H:H), "N/A")</f>
        <v>N/A</v>
      </c>
      <c r="O871" s="26" t="str" cm="1">
        <f t="array" ref="O871">IFERROR(_xlfn.XLOOKUP(C871&amp;A871, ESPN!A:A&amp;ESPN!C:C, ESPN!I:I), "N/A")</f>
        <v>N/A</v>
      </c>
      <c r="P871" s="26" t="str" cm="1">
        <f t="array" ref="P871">IFERROR(_xlfn.XLOOKUP(C871&amp;A871, ESPN!A:A&amp;ESPN!C:C, ESPN!J:J), "N/A")</f>
        <v>N/A</v>
      </c>
      <c r="Q871" s="26" t="str" cm="1">
        <f t="array" ref="Q871">IFERROR(_xlfn.XLOOKUP(C871&amp;A871, ESPN!A:A&amp;ESPN!C:C, ESPN!K:K), "N/A")</f>
        <v>N/A</v>
      </c>
    </row>
    <row r="872" spans="1:17" x14ac:dyDescent="0.45">
      <c r="A872" s="6">
        <v>2021</v>
      </c>
      <c r="B872" s="1" t="s">
        <v>512</v>
      </c>
      <c r="C872" s="2" t="str">
        <f t="shared" si="26"/>
        <v>LeVante Bellamy</v>
      </c>
      <c r="D872" s="2" t="str">
        <f t="shared" si="27"/>
        <v>DEN</v>
      </c>
      <c r="E872" s="2">
        <v>1</v>
      </c>
      <c r="F872" s="12">
        <v>0</v>
      </c>
      <c r="G872" s="11">
        <v>0</v>
      </c>
      <c r="H872" s="11">
        <v>0</v>
      </c>
      <c r="I872" s="11">
        <v>0</v>
      </c>
      <c r="J872" s="11">
        <v>0</v>
      </c>
      <c r="K872" s="11">
        <v>0</v>
      </c>
      <c r="L872" s="11" t="str" cm="1">
        <f t="array" ref="L872">IFERROR(_xlfn.XLOOKUP(C872&amp;A872, ESPN!A:A&amp;ESPN!C:C, ESPN!D:D), "N/A")</f>
        <v>N/A</v>
      </c>
      <c r="M872" s="23" t="str" cm="1">
        <f t="array" ref="M872">IFERROR(_xlfn.XLOOKUP(C872&amp;A872, ESPN!A:A&amp;ESPN!C:C, ESPN!G:G), "N/A")</f>
        <v>N/A</v>
      </c>
      <c r="N872" s="23" t="str" cm="1">
        <f t="array" ref="N872">IFERROR(_xlfn.XLOOKUP(C872&amp;A872, ESPN!A:A&amp;ESPN!C:C, ESPN!H:H), "N/A")</f>
        <v>N/A</v>
      </c>
      <c r="O872" s="26" t="str" cm="1">
        <f t="array" ref="O872">IFERROR(_xlfn.XLOOKUP(C872&amp;A872, ESPN!A:A&amp;ESPN!C:C, ESPN!I:I), "N/A")</f>
        <v>N/A</v>
      </c>
      <c r="P872" s="26" t="str" cm="1">
        <f t="array" ref="P872">IFERROR(_xlfn.XLOOKUP(C872&amp;A872, ESPN!A:A&amp;ESPN!C:C, ESPN!J:J), "N/A")</f>
        <v>N/A</v>
      </c>
      <c r="Q872" s="26" t="str" cm="1">
        <f t="array" ref="Q872">IFERROR(_xlfn.XLOOKUP(C872&amp;A872, ESPN!A:A&amp;ESPN!C:C, ESPN!K:K), "N/A")</f>
        <v>N/A</v>
      </c>
    </row>
    <row r="873" spans="1:17" x14ac:dyDescent="0.45">
      <c r="A873" s="7">
        <v>2021</v>
      </c>
      <c r="B873" s="3" t="s">
        <v>513</v>
      </c>
      <c r="C873" s="4" t="str">
        <f t="shared" si="26"/>
        <v>Darius Bradwell</v>
      </c>
      <c r="D873" s="4" t="str">
        <f t="shared" si="27"/>
        <v>LAC</v>
      </c>
      <c r="E873" s="4">
        <v>2</v>
      </c>
      <c r="F873" s="12">
        <v>1</v>
      </c>
      <c r="G873" s="11">
        <v>0</v>
      </c>
      <c r="H873" s="11">
        <v>0</v>
      </c>
      <c r="I873" s="11">
        <v>0</v>
      </c>
      <c r="J873" s="11">
        <v>0</v>
      </c>
      <c r="K873" s="11">
        <v>0</v>
      </c>
      <c r="L873" s="11" t="str" cm="1">
        <f t="array" ref="L873">IFERROR(_xlfn.XLOOKUP(C873&amp;A873, ESPN!A:A&amp;ESPN!C:C, ESPN!D:D), "N/A")</f>
        <v>N/A</v>
      </c>
      <c r="M873" s="23" t="str" cm="1">
        <f t="array" ref="M873">IFERROR(_xlfn.XLOOKUP(C873&amp;A873, ESPN!A:A&amp;ESPN!C:C, ESPN!G:G), "N/A")</f>
        <v>N/A</v>
      </c>
      <c r="N873" s="23" t="str" cm="1">
        <f t="array" ref="N873">IFERROR(_xlfn.XLOOKUP(C873&amp;A873, ESPN!A:A&amp;ESPN!C:C, ESPN!H:H), "N/A")</f>
        <v>N/A</v>
      </c>
      <c r="O873" s="26" t="str" cm="1">
        <f t="array" ref="O873">IFERROR(_xlfn.XLOOKUP(C873&amp;A873, ESPN!A:A&amp;ESPN!C:C, ESPN!I:I), "N/A")</f>
        <v>N/A</v>
      </c>
      <c r="P873" s="26" t="str" cm="1">
        <f t="array" ref="P873">IFERROR(_xlfn.XLOOKUP(C873&amp;A873, ESPN!A:A&amp;ESPN!C:C, ESPN!J:J), "N/A")</f>
        <v>N/A</v>
      </c>
      <c r="Q873" s="26" t="str" cm="1">
        <f t="array" ref="Q873">IFERROR(_xlfn.XLOOKUP(C873&amp;A873, ESPN!A:A&amp;ESPN!C:C, ESPN!K:K), "N/A")</f>
        <v>N/A</v>
      </c>
    </row>
    <row r="874" spans="1:17" x14ac:dyDescent="0.45">
      <c r="A874" s="6">
        <v>2021</v>
      </c>
      <c r="B874" s="1" t="s">
        <v>514</v>
      </c>
      <c r="C874" s="2" t="str">
        <f t="shared" si="26"/>
        <v>Artavis Pierce</v>
      </c>
      <c r="D874" s="2" t="str">
        <f t="shared" si="27"/>
        <v>CHI</v>
      </c>
      <c r="E874" s="2">
        <v>1</v>
      </c>
      <c r="F874" s="12">
        <v>0</v>
      </c>
      <c r="G874" s="11">
        <v>0</v>
      </c>
      <c r="H874" s="11">
        <v>0</v>
      </c>
      <c r="I874" s="11">
        <v>0</v>
      </c>
      <c r="J874" s="11">
        <v>0</v>
      </c>
      <c r="K874" s="11">
        <v>0</v>
      </c>
      <c r="L874" s="11" t="str" cm="1">
        <f t="array" ref="L874">IFERROR(_xlfn.XLOOKUP(C874&amp;A874, ESPN!A:A&amp;ESPN!C:C, ESPN!D:D), "N/A")</f>
        <v>N/A</v>
      </c>
      <c r="M874" s="23" t="str" cm="1">
        <f t="array" ref="M874">IFERROR(_xlfn.XLOOKUP(C874&amp;A874, ESPN!A:A&amp;ESPN!C:C, ESPN!G:G), "N/A")</f>
        <v>N/A</v>
      </c>
      <c r="N874" s="23" t="str" cm="1">
        <f t="array" ref="N874">IFERROR(_xlfn.XLOOKUP(C874&amp;A874, ESPN!A:A&amp;ESPN!C:C, ESPN!H:H), "N/A")</f>
        <v>N/A</v>
      </c>
      <c r="O874" s="26" t="str" cm="1">
        <f t="array" ref="O874">IFERROR(_xlfn.XLOOKUP(C874&amp;A874, ESPN!A:A&amp;ESPN!C:C, ESPN!I:I), "N/A")</f>
        <v>N/A</v>
      </c>
      <c r="P874" s="26" t="str" cm="1">
        <f t="array" ref="P874">IFERROR(_xlfn.XLOOKUP(C874&amp;A874, ESPN!A:A&amp;ESPN!C:C, ESPN!J:J), "N/A")</f>
        <v>N/A</v>
      </c>
      <c r="Q874" s="26" t="str" cm="1">
        <f t="array" ref="Q874">IFERROR(_xlfn.XLOOKUP(C874&amp;A874, ESPN!A:A&amp;ESPN!C:C, ESPN!K:K), "N/A")</f>
        <v>N/A</v>
      </c>
    </row>
    <row r="875" spans="1:17" x14ac:dyDescent="0.45">
      <c r="A875" s="7">
        <v>2021</v>
      </c>
      <c r="B875" s="3" t="s">
        <v>515</v>
      </c>
      <c r="C875" s="4" t="str">
        <f t="shared" si="26"/>
        <v>Sewo Olonilua</v>
      </c>
      <c r="D875" s="4" t="str">
        <f t="shared" si="27"/>
        <v>DAL</v>
      </c>
      <c r="E875" s="4">
        <v>1</v>
      </c>
      <c r="F875" s="12">
        <v>0</v>
      </c>
      <c r="G875" s="11">
        <v>0</v>
      </c>
      <c r="H875" s="11">
        <v>0</v>
      </c>
      <c r="I875" s="11">
        <v>0</v>
      </c>
      <c r="J875" s="11">
        <v>0</v>
      </c>
      <c r="K875" s="11">
        <v>0</v>
      </c>
      <c r="L875" s="11" t="str" cm="1">
        <f t="array" ref="L875">IFERROR(_xlfn.XLOOKUP(C875&amp;A875, ESPN!A:A&amp;ESPN!C:C, ESPN!D:D), "N/A")</f>
        <v>N/A</v>
      </c>
      <c r="M875" s="23" t="str" cm="1">
        <f t="array" ref="M875">IFERROR(_xlfn.XLOOKUP(C875&amp;A875, ESPN!A:A&amp;ESPN!C:C, ESPN!G:G), "N/A")</f>
        <v>N/A</v>
      </c>
      <c r="N875" s="23" t="str" cm="1">
        <f t="array" ref="N875">IFERROR(_xlfn.XLOOKUP(C875&amp;A875, ESPN!A:A&amp;ESPN!C:C, ESPN!H:H), "N/A")</f>
        <v>N/A</v>
      </c>
      <c r="O875" s="26" t="str" cm="1">
        <f t="array" ref="O875">IFERROR(_xlfn.XLOOKUP(C875&amp;A875, ESPN!A:A&amp;ESPN!C:C, ESPN!I:I), "N/A")</f>
        <v>N/A</v>
      </c>
      <c r="P875" s="26" t="str" cm="1">
        <f t="array" ref="P875">IFERROR(_xlfn.XLOOKUP(C875&amp;A875, ESPN!A:A&amp;ESPN!C:C, ESPN!J:J), "N/A")</f>
        <v>N/A</v>
      </c>
      <c r="Q875" s="26" t="str" cm="1">
        <f t="array" ref="Q875">IFERROR(_xlfn.XLOOKUP(C875&amp;A875, ESPN!A:A&amp;ESPN!C:C, ESPN!K:K), "N/A")</f>
        <v>N/A</v>
      </c>
    </row>
    <row r="876" spans="1:17" x14ac:dyDescent="0.45">
      <c r="A876" s="6">
        <v>2021</v>
      </c>
      <c r="B876" s="1" t="s">
        <v>516</v>
      </c>
      <c r="C876" s="2" t="str">
        <f t="shared" si="26"/>
        <v>Kirk Merritt</v>
      </c>
      <c r="D876" s="2" t="str">
        <f t="shared" si="27"/>
        <v>MIA</v>
      </c>
      <c r="E876" s="2">
        <v>1</v>
      </c>
      <c r="F876" s="12">
        <v>3</v>
      </c>
      <c r="G876" s="11">
        <v>1</v>
      </c>
      <c r="H876" s="11">
        <v>13</v>
      </c>
      <c r="I876" s="11">
        <v>13</v>
      </c>
      <c r="J876" s="11">
        <v>0</v>
      </c>
      <c r="K876" s="11">
        <v>0</v>
      </c>
      <c r="L876" s="11" t="str" cm="1">
        <f t="array" ref="L876">IFERROR(_xlfn.XLOOKUP(C876&amp;A876, ESPN!A:A&amp;ESPN!C:C, ESPN!D:D), "N/A")</f>
        <v>N/A</v>
      </c>
      <c r="M876" s="23" t="str" cm="1">
        <f t="array" ref="M876">IFERROR(_xlfn.XLOOKUP(C876&amp;A876, ESPN!A:A&amp;ESPN!C:C, ESPN!G:G), "N/A")</f>
        <v>N/A</v>
      </c>
      <c r="N876" s="23" t="str" cm="1">
        <f t="array" ref="N876">IFERROR(_xlfn.XLOOKUP(C876&amp;A876, ESPN!A:A&amp;ESPN!C:C, ESPN!H:H), "N/A")</f>
        <v>N/A</v>
      </c>
      <c r="O876" s="26" t="str" cm="1">
        <f t="array" ref="O876">IFERROR(_xlfn.XLOOKUP(C876&amp;A876, ESPN!A:A&amp;ESPN!C:C, ESPN!I:I), "N/A")</f>
        <v>N/A</v>
      </c>
      <c r="P876" s="26" t="str" cm="1">
        <f t="array" ref="P876">IFERROR(_xlfn.XLOOKUP(C876&amp;A876, ESPN!A:A&amp;ESPN!C:C, ESPN!J:J), "N/A")</f>
        <v>N/A</v>
      </c>
      <c r="Q876" s="26" t="str" cm="1">
        <f t="array" ref="Q876">IFERROR(_xlfn.XLOOKUP(C876&amp;A876, ESPN!A:A&amp;ESPN!C:C, ESPN!K:K), "N/A")</f>
        <v>N/A</v>
      </c>
    </row>
    <row r="877" spans="1:17" x14ac:dyDescent="0.45">
      <c r="A877" s="7">
        <v>2021</v>
      </c>
      <c r="B877" s="3" t="s">
        <v>517</v>
      </c>
      <c r="C877" s="4" t="str">
        <f t="shared" si="26"/>
        <v>Pooka Williams Jr.</v>
      </c>
      <c r="D877" s="4" t="str">
        <f t="shared" si="27"/>
        <v>CIN</v>
      </c>
      <c r="E877" s="4">
        <v>1</v>
      </c>
      <c r="F877" s="12">
        <v>0</v>
      </c>
      <c r="G877" s="11">
        <v>0</v>
      </c>
      <c r="H877" s="11">
        <v>0</v>
      </c>
      <c r="I877" s="11">
        <v>0</v>
      </c>
      <c r="J877" s="11">
        <v>0</v>
      </c>
      <c r="K877" s="11">
        <v>0</v>
      </c>
      <c r="L877" s="11" t="str" cm="1">
        <f t="array" ref="L877">IFERROR(_xlfn.XLOOKUP(C877&amp;A877, ESPN!A:A&amp;ESPN!C:C, ESPN!D:D), "N/A")</f>
        <v>N/A</v>
      </c>
      <c r="M877" s="23" t="str" cm="1">
        <f t="array" ref="M877">IFERROR(_xlfn.XLOOKUP(C877&amp;A877, ESPN!A:A&amp;ESPN!C:C, ESPN!G:G), "N/A")</f>
        <v>N/A</v>
      </c>
      <c r="N877" s="23" t="str" cm="1">
        <f t="array" ref="N877">IFERROR(_xlfn.XLOOKUP(C877&amp;A877, ESPN!A:A&amp;ESPN!C:C, ESPN!H:H), "N/A")</f>
        <v>N/A</v>
      </c>
      <c r="O877" s="26" t="str" cm="1">
        <f t="array" ref="O877">IFERROR(_xlfn.XLOOKUP(C877&amp;A877, ESPN!A:A&amp;ESPN!C:C, ESPN!I:I), "N/A")</f>
        <v>N/A</v>
      </c>
      <c r="P877" s="26" t="str" cm="1">
        <f t="array" ref="P877">IFERROR(_xlfn.XLOOKUP(C877&amp;A877, ESPN!A:A&amp;ESPN!C:C, ESPN!J:J), "N/A")</f>
        <v>N/A</v>
      </c>
      <c r="Q877" s="26" t="str" cm="1">
        <f t="array" ref="Q877">IFERROR(_xlfn.XLOOKUP(C877&amp;A877, ESPN!A:A&amp;ESPN!C:C, ESPN!K:K), "N/A")</f>
        <v>N/A</v>
      </c>
    </row>
    <row r="878" spans="1:17" x14ac:dyDescent="0.45">
      <c r="A878" s="6">
        <v>2021</v>
      </c>
      <c r="B878" s="1" t="s">
        <v>417</v>
      </c>
      <c r="C878" s="2" t="str">
        <f t="shared" si="26"/>
        <v>Sandro Platzgummer</v>
      </c>
      <c r="D878" s="2" t="str">
        <f t="shared" si="27"/>
        <v>NYG</v>
      </c>
      <c r="E878" s="2">
        <v>3</v>
      </c>
      <c r="F878" s="12">
        <v>0</v>
      </c>
      <c r="G878" s="11">
        <v>0</v>
      </c>
      <c r="H878" s="11">
        <v>0</v>
      </c>
      <c r="I878" s="11">
        <v>0</v>
      </c>
      <c r="J878" s="11">
        <v>0</v>
      </c>
      <c r="K878" s="11">
        <v>0</v>
      </c>
      <c r="L878" s="11" t="str" cm="1">
        <f t="array" ref="L878">IFERROR(_xlfn.XLOOKUP(C878&amp;A878, ESPN!A:A&amp;ESPN!C:C, ESPN!D:D), "N/A")</f>
        <v>N/A</v>
      </c>
      <c r="M878" s="23" t="str" cm="1">
        <f t="array" ref="M878">IFERROR(_xlfn.XLOOKUP(C878&amp;A878, ESPN!A:A&amp;ESPN!C:C, ESPN!G:G), "N/A")</f>
        <v>N/A</v>
      </c>
      <c r="N878" s="23" t="str" cm="1">
        <f t="array" ref="N878">IFERROR(_xlfn.XLOOKUP(C878&amp;A878, ESPN!A:A&amp;ESPN!C:C, ESPN!H:H), "N/A")</f>
        <v>N/A</v>
      </c>
      <c r="O878" s="26" t="str" cm="1">
        <f t="array" ref="O878">IFERROR(_xlfn.XLOOKUP(C878&amp;A878, ESPN!A:A&amp;ESPN!C:C, ESPN!I:I), "N/A")</f>
        <v>N/A</v>
      </c>
      <c r="P878" s="26" t="str" cm="1">
        <f t="array" ref="P878">IFERROR(_xlfn.XLOOKUP(C878&amp;A878, ESPN!A:A&amp;ESPN!C:C, ESPN!J:J), "N/A")</f>
        <v>N/A</v>
      </c>
      <c r="Q878" s="26" t="str" cm="1">
        <f t="array" ref="Q878">IFERROR(_xlfn.XLOOKUP(C878&amp;A878, ESPN!A:A&amp;ESPN!C:C, ESPN!K:K), "N/A")</f>
        <v>N/A</v>
      </c>
    </row>
    <row r="879" spans="1:17" x14ac:dyDescent="0.45">
      <c r="A879" s="7">
        <v>2021</v>
      </c>
      <c r="B879" s="3" t="s">
        <v>389</v>
      </c>
      <c r="C879" s="4" t="str">
        <f t="shared" si="26"/>
        <v>Spencer Brown</v>
      </c>
      <c r="D879" s="4" t="str">
        <f t="shared" si="27"/>
        <v>CAR</v>
      </c>
      <c r="E879" s="4">
        <v>1</v>
      </c>
      <c r="F879" s="12">
        <v>0</v>
      </c>
      <c r="G879" s="11">
        <v>0</v>
      </c>
      <c r="H879" s="11">
        <v>0</v>
      </c>
      <c r="I879" s="11">
        <v>0</v>
      </c>
      <c r="J879" s="11">
        <v>0</v>
      </c>
      <c r="K879" s="11">
        <v>0</v>
      </c>
      <c r="L879" s="11" t="str" cm="1">
        <f t="array" ref="L879">IFERROR(_xlfn.XLOOKUP(C879&amp;A879, ESPN!A:A&amp;ESPN!C:C, ESPN!D:D), "N/A")</f>
        <v>N/A</v>
      </c>
      <c r="M879" s="23" t="str" cm="1">
        <f t="array" ref="M879">IFERROR(_xlfn.XLOOKUP(C879&amp;A879, ESPN!A:A&amp;ESPN!C:C, ESPN!G:G), "N/A")</f>
        <v>N/A</v>
      </c>
      <c r="N879" s="23" t="str" cm="1">
        <f t="array" ref="N879">IFERROR(_xlfn.XLOOKUP(C879&amp;A879, ESPN!A:A&amp;ESPN!C:C, ESPN!H:H), "N/A")</f>
        <v>N/A</v>
      </c>
      <c r="O879" s="26" t="str" cm="1">
        <f t="array" ref="O879">IFERROR(_xlfn.XLOOKUP(C879&amp;A879, ESPN!A:A&amp;ESPN!C:C, ESPN!I:I), "N/A")</f>
        <v>N/A</v>
      </c>
      <c r="P879" s="26" t="str" cm="1">
        <f t="array" ref="P879">IFERROR(_xlfn.XLOOKUP(C879&amp;A879, ESPN!A:A&amp;ESPN!C:C, ESPN!J:J), "N/A")</f>
        <v>N/A</v>
      </c>
      <c r="Q879" s="26" t="str" cm="1">
        <f t="array" ref="Q879">IFERROR(_xlfn.XLOOKUP(C879&amp;A879, ESPN!A:A&amp;ESPN!C:C, ESPN!K:K), "N/A")</f>
        <v>N/A</v>
      </c>
    </row>
    <row r="880" spans="1:17" x14ac:dyDescent="0.45">
      <c r="A880" s="6">
        <v>2021</v>
      </c>
      <c r="B880" s="1" t="s">
        <v>243</v>
      </c>
      <c r="C880" s="2" t="str">
        <f t="shared" si="26"/>
        <v>Avery Williams</v>
      </c>
      <c r="D880" s="2" t="str">
        <f t="shared" si="27"/>
        <v>ATL</v>
      </c>
      <c r="E880" s="2">
        <v>15</v>
      </c>
      <c r="F880" s="12">
        <v>0</v>
      </c>
      <c r="G880" s="11">
        <v>0</v>
      </c>
      <c r="H880" s="11">
        <v>0</v>
      </c>
      <c r="I880" s="11">
        <v>0</v>
      </c>
      <c r="J880" s="11">
        <v>0</v>
      </c>
      <c r="K880" s="11">
        <v>0</v>
      </c>
      <c r="L880" s="11" t="str" cm="1">
        <f t="array" ref="L880">IFERROR(_xlfn.XLOOKUP(C880&amp;A880, ESPN!A:A&amp;ESPN!C:C, ESPN!D:D), "N/A")</f>
        <v>N/A</v>
      </c>
      <c r="M880" s="23" t="str" cm="1">
        <f t="array" ref="M880">IFERROR(_xlfn.XLOOKUP(C880&amp;A880, ESPN!A:A&amp;ESPN!C:C, ESPN!G:G), "N/A")</f>
        <v>N/A</v>
      </c>
      <c r="N880" s="23" t="str" cm="1">
        <f t="array" ref="N880">IFERROR(_xlfn.XLOOKUP(C880&amp;A880, ESPN!A:A&amp;ESPN!C:C, ESPN!H:H), "N/A")</f>
        <v>N/A</v>
      </c>
      <c r="O880" s="26" t="str" cm="1">
        <f t="array" ref="O880">IFERROR(_xlfn.XLOOKUP(C880&amp;A880, ESPN!A:A&amp;ESPN!C:C, ESPN!I:I), "N/A")</f>
        <v>N/A</v>
      </c>
      <c r="P880" s="26" t="str" cm="1">
        <f t="array" ref="P880">IFERROR(_xlfn.XLOOKUP(C880&amp;A880, ESPN!A:A&amp;ESPN!C:C, ESPN!J:J), "N/A")</f>
        <v>N/A</v>
      </c>
      <c r="Q880" s="26" t="str" cm="1">
        <f t="array" ref="Q880">IFERROR(_xlfn.XLOOKUP(C880&amp;A880, ESPN!A:A&amp;ESPN!C:C, ESPN!K:K), "N/A")</f>
        <v>N/A</v>
      </c>
    </row>
    <row r="881" spans="1:17" x14ac:dyDescent="0.45">
      <c r="A881" s="7">
        <v>2021</v>
      </c>
      <c r="B881" s="3" t="s">
        <v>518</v>
      </c>
      <c r="C881" s="4" t="str">
        <f t="shared" si="26"/>
        <v>Gerrid Doaks</v>
      </c>
      <c r="D881" s="4" t="str">
        <f t="shared" si="27"/>
        <v>MIA</v>
      </c>
      <c r="E881" s="4">
        <v>4</v>
      </c>
      <c r="F881" s="12">
        <v>0</v>
      </c>
      <c r="G881" s="11">
        <v>0</v>
      </c>
      <c r="H881" s="11">
        <v>0</v>
      </c>
      <c r="I881" s="11">
        <v>0</v>
      </c>
      <c r="J881" s="11">
        <v>0</v>
      </c>
      <c r="K881" s="11">
        <v>0</v>
      </c>
      <c r="L881" s="11" t="str" cm="1">
        <f t="array" ref="L881">IFERROR(_xlfn.XLOOKUP(C881&amp;A881, ESPN!A:A&amp;ESPN!C:C, ESPN!D:D), "N/A")</f>
        <v>N/A</v>
      </c>
      <c r="M881" s="23" t="str" cm="1">
        <f t="array" ref="M881">IFERROR(_xlfn.XLOOKUP(C881&amp;A881, ESPN!A:A&amp;ESPN!C:C, ESPN!G:G), "N/A")</f>
        <v>N/A</v>
      </c>
      <c r="N881" s="23" t="str" cm="1">
        <f t="array" ref="N881">IFERROR(_xlfn.XLOOKUP(C881&amp;A881, ESPN!A:A&amp;ESPN!C:C, ESPN!H:H), "N/A")</f>
        <v>N/A</v>
      </c>
      <c r="O881" s="26" t="str" cm="1">
        <f t="array" ref="O881">IFERROR(_xlfn.XLOOKUP(C881&amp;A881, ESPN!A:A&amp;ESPN!C:C, ESPN!I:I), "N/A")</f>
        <v>N/A</v>
      </c>
      <c r="P881" s="26" t="str" cm="1">
        <f t="array" ref="P881">IFERROR(_xlfn.XLOOKUP(C881&amp;A881, ESPN!A:A&amp;ESPN!C:C, ESPN!J:J), "N/A")</f>
        <v>N/A</v>
      </c>
      <c r="Q881" s="26" t="str" cm="1">
        <f t="array" ref="Q881">IFERROR(_xlfn.XLOOKUP(C881&amp;A881, ESPN!A:A&amp;ESPN!C:C, ESPN!K:K), "N/A")</f>
        <v>N/A</v>
      </c>
    </row>
    <row r="882" spans="1:17" x14ac:dyDescent="0.45">
      <c r="A882" s="6">
        <v>2021</v>
      </c>
      <c r="B882" s="1" t="s">
        <v>519</v>
      </c>
      <c r="C882" s="2" t="str">
        <f t="shared" si="26"/>
        <v>Tory Carter</v>
      </c>
      <c r="D882" s="2" t="str">
        <f t="shared" si="27"/>
        <v>TEN</v>
      </c>
      <c r="E882" s="2">
        <v>5</v>
      </c>
      <c r="F882" s="12">
        <v>1</v>
      </c>
      <c r="G882" s="11">
        <v>0</v>
      </c>
      <c r="H882" s="11">
        <v>0</v>
      </c>
      <c r="I882" s="11">
        <v>0</v>
      </c>
      <c r="J882" s="11">
        <v>0</v>
      </c>
      <c r="K882" s="11">
        <v>0</v>
      </c>
      <c r="L882" s="11" t="str" cm="1">
        <f t="array" ref="L882">IFERROR(_xlfn.XLOOKUP(C882&amp;A882, ESPN!A:A&amp;ESPN!C:C, ESPN!D:D), "N/A")</f>
        <v>N/A</v>
      </c>
      <c r="M882" s="23" t="str" cm="1">
        <f t="array" ref="M882">IFERROR(_xlfn.XLOOKUP(C882&amp;A882, ESPN!A:A&amp;ESPN!C:C, ESPN!G:G), "N/A")</f>
        <v>N/A</v>
      </c>
      <c r="N882" s="23" t="str" cm="1">
        <f t="array" ref="N882">IFERROR(_xlfn.XLOOKUP(C882&amp;A882, ESPN!A:A&amp;ESPN!C:C, ESPN!H:H), "N/A")</f>
        <v>N/A</v>
      </c>
      <c r="O882" s="26" t="str" cm="1">
        <f t="array" ref="O882">IFERROR(_xlfn.XLOOKUP(C882&amp;A882, ESPN!A:A&amp;ESPN!C:C, ESPN!I:I), "N/A")</f>
        <v>N/A</v>
      </c>
      <c r="P882" s="26" t="str" cm="1">
        <f t="array" ref="P882">IFERROR(_xlfn.XLOOKUP(C882&amp;A882, ESPN!A:A&amp;ESPN!C:C, ESPN!J:J), "N/A")</f>
        <v>N/A</v>
      </c>
      <c r="Q882" s="26" t="str" cm="1">
        <f t="array" ref="Q882">IFERROR(_xlfn.XLOOKUP(C882&amp;A882, ESPN!A:A&amp;ESPN!C:C, ESPN!K:K), "N/A")</f>
        <v>N/A</v>
      </c>
    </row>
    <row r="883" spans="1:17" x14ac:dyDescent="0.45">
      <c r="A883" s="7">
        <v>2021</v>
      </c>
      <c r="B883" s="3" t="s">
        <v>520</v>
      </c>
      <c r="C883" s="4" t="str">
        <f t="shared" si="26"/>
        <v>Nick Ralston</v>
      </c>
      <c r="D883" s="4" t="str">
        <f t="shared" si="27"/>
        <v>DAL</v>
      </c>
      <c r="E883" s="4">
        <v>1</v>
      </c>
      <c r="F883" s="12">
        <v>0</v>
      </c>
      <c r="G883" s="11">
        <v>0</v>
      </c>
      <c r="H883" s="11">
        <v>0</v>
      </c>
      <c r="I883" s="11">
        <v>0</v>
      </c>
      <c r="J883" s="11">
        <v>0</v>
      </c>
      <c r="K883" s="11">
        <v>0</v>
      </c>
      <c r="L883" s="11" t="str" cm="1">
        <f t="array" ref="L883">IFERROR(_xlfn.XLOOKUP(C883&amp;A883, ESPN!A:A&amp;ESPN!C:C, ESPN!D:D), "N/A")</f>
        <v>N/A</v>
      </c>
      <c r="M883" s="23" t="str" cm="1">
        <f t="array" ref="M883">IFERROR(_xlfn.XLOOKUP(C883&amp;A883, ESPN!A:A&amp;ESPN!C:C, ESPN!G:G), "N/A")</f>
        <v>N/A</v>
      </c>
      <c r="N883" s="23" t="str" cm="1">
        <f t="array" ref="N883">IFERROR(_xlfn.XLOOKUP(C883&amp;A883, ESPN!A:A&amp;ESPN!C:C, ESPN!H:H), "N/A")</f>
        <v>N/A</v>
      </c>
      <c r="O883" s="26" t="str" cm="1">
        <f t="array" ref="O883">IFERROR(_xlfn.XLOOKUP(C883&amp;A883, ESPN!A:A&amp;ESPN!C:C, ESPN!I:I), "N/A")</f>
        <v>N/A</v>
      </c>
      <c r="P883" s="26" t="str" cm="1">
        <f t="array" ref="P883">IFERROR(_xlfn.XLOOKUP(C883&amp;A883, ESPN!A:A&amp;ESPN!C:C, ESPN!J:J), "N/A")</f>
        <v>N/A</v>
      </c>
      <c r="Q883" s="26" t="str" cm="1">
        <f t="array" ref="Q883">IFERROR(_xlfn.XLOOKUP(C883&amp;A883, ESPN!A:A&amp;ESPN!C:C, ESPN!K:K), "N/A")</f>
        <v>N/A</v>
      </c>
    </row>
    <row r="884" spans="1:17" x14ac:dyDescent="0.45">
      <c r="A884" s="6">
        <v>2021</v>
      </c>
      <c r="B884" s="1" t="s">
        <v>521</v>
      </c>
      <c r="C884" s="2" t="str">
        <f t="shared" si="26"/>
        <v>B.J. Emmons</v>
      </c>
      <c r="D884" s="2" t="str">
        <f t="shared" si="27"/>
        <v>SEA</v>
      </c>
      <c r="E884" s="2">
        <v>1</v>
      </c>
      <c r="F884" s="12">
        <v>0</v>
      </c>
      <c r="G884" s="11">
        <v>0</v>
      </c>
      <c r="H884" s="11">
        <v>0</v>
      </c>
      <c r="I884" s="11">
        <v>0</v>
      </c>
      <c r="J884" s="11">
        <v>0</v>
      </c>
      <c r="K884" s="11">
        <v>0</v>
      </c>
      <c r="L884" s="11" t="str" cm="1">
        <f t="array" ref="L884">IFERROR(_xlfn.XLOOKUP(C884&amp;A884, ESPN!A:A&amp;ESPN!C:C, ESPN!D:D), "N/A")</f>
        <v>N/A</v>
      </c>
      <c r="M884" s="23" t="str" cm="1">
        <f t="array" ref="M884">IFERROR(_xlfn.XLOOKUP(C884&amp;A884, ESPN!A:A&amp;ESPN!C:C, ESPN!G:G), "N/A")</f>
        <v>N/A</v>
      </c>
      <c r="N884" s="23" t="str" cm="1">
        <f t="array" ref="N884">IFERROR(_xlfn.XLOOKUP(C884&amp;A884, ESPN!A:A&amp;ESPN!C:C, ESPN!H:H), "N/A")</f>
        <v>N/A</v>
      </c>
      <c r="O884" s="26" t="str" cm="1">
        <f t="array" ref="O884">IFERROR(_xlfn.XLOOKUP(C884&amp;A884, ESPN!A:A&amp;ESPN!C:C, ESPN!I:I), "N/A")</f>
        <v>N/A</v>
      </c>
      <c r="P884" s="26" t="str" cm="1">
        <f t="array" ref="P884">IFERROR(_xlfn.XLOOKUP(C884&amp;A884, ESPN!A:A&amp;ESPN!C:C, ESPN!J:J), "N/A")</f>
        <v>N/A</v>
      </c>
      <c r="Q884" s="26" t="str" cm="1">
        <f t="array" ref="Q884">IFERROR(_xlfn.XLOOKUP(C884&amp;A884, ESPN!A:A&amp;ESPN!C:C, ESPN!K:K), "N/A")</f>
        <v>N/A</v>
      </c>
    </row>
    <row r="885" spans="1:17" x14ac:dyDescent="0.45">
      <c r="A885" s="7">
        <v>2021</v>
      </c>
      <c r="B885" s="3" t="s">
        <v>522</v>
      </c>
      <c r="C885" s="4" t="str">
        <f t="shared" si="26"/>
        <v>Josh Johnson</v>
      </c>
      <c r="D885" s="4" t="str">
        <f t="shared" si="27"/>
        <v>SEA</v>
      </c>
      <c r="E885" s="4">
        <v>1</v>
      </c>
      <c r="F885" s="12">
        <v>0</v>
      </c>
      <c r="G885" s="11">
        <v>0</v>
      </c>
      <c r="H885" s="11">
        <v>0</v>
      </c>
      <c r="I885" s="11">
        <v>0</v>
      </c>
      <c r="J885" s="11">
        <v>0</v>
      </c>
      <c r="K885" s="11">
        <v>0</v>
      </c>
      <c r="L885" s="11" t="str" cm="1">
        <f t="array" ref="L885">IFERROR(_xlfn.XLOOKUP(C885&amp;A885, ESPN!A:A&amp;ESPN!C:C, ESPN!D:D), "N/A")</f>
        <v>N/A</v>
      </c>
      <c r="M885" s="23" t="str" cm="1">
        <f t="array" ref="M885">IFERROR(_xlfn.XLOOKUP(C885&amp;A885, ESPN!A:A&amp;ESPN!C:C, ESPN!G:G), "N/A")</f>
        <v>N/A</v>
      </c>
      <c r="N885" s="23" t="str" cm="1">
        <f t="array" ref="N885">IFERROR(_xlfn.XLOOKUP(C885&amp;A885, ESPN!A:A&amp;ESPN!C:C, ESPN!H:H), "N/A")</f>
        <v>N/A</v>
      </c>
      <c r="O885" s="26" t="str" cm="1">
        <f t="array" ref="O885">IFERROR(_xlfn.XLOOKUP(C885&amp;A885, ESPN!A:A&amp;ESPN!C:C, ESPN!I:I), "N/A")</f>
        <v>N/A</v>
      </c>
      <c r="P885" s="26" t="str" cm="1">
        <f t="array" ref="P885">IFERROR(_xlfn.XLOOKUP(C885&amp;A885, ESPN!A:A&amp;ESPN!C:C, ESPN!J:J), "N/A")</f>
        <v>N/A</v>
      </c>
      <c r="Q885" s="26" t="str" cm="1">
        <f t="array" ref="Q885">IFERROR(_xlfn.XLOOKUP(C885&amp;A885, ESPN!A:A&amp;ESPN!C:C, ESPN!K:K), "N/A")</f>
        <v>N/A</v>
      </c>
    </row>
    <row r="886" spans="1:17" x14ac:dyDescent="0.45">
      <c r="A886" s="6">
        <v>2021</v>
      </c>
      <c r="B886" s="1" t="s">
        <v>523</v>
      </c>
      <c r="C886" s="2" t="str">
        <f t="shared" si="26"/>
        <v>Nate McCrary</v>
      </c>
      <c r="D886" s="2" t="str">
        <f t="shared" si="27"/>
        <v>BAL</v>
      </c>
      <c r="E886" s="2">
        <v>1</v>
      </c>
      <c r="F886" s="12">
        <v>0</v>
      </c>
      <c r="G886" s="11">
        <v>0</v>
      </c>
      <c r="H886" s="11">
        <v>0</v>
      </c>
      <c r="I886" s="11">
        <v>0</v>
      </c>
      <c r="J886" s="11">
        <v>0</v>
      </c>
      <c r="K886" s="11">
        <v>0</v>
      </c>
      <c r="L886" s="11" t="str" cm="1">
        <f t="array" ref="L886">IFERROR(_xlfn.XLOOKUP(C886&amp;A886, ESPN!A:A&amp;ESPN!C:C, ESPN!D:D), "N/A")</f>
        <v>N/A</v>
      </c>
      <c r="M886" s="23" t="str" cm="1">
        <f t="array" ref="M886">IFERROR(_xlfn.XLOOKUP(C886&amp;A886, ESPN!A:A&amp;ESPN!C:C, ESPN!G:G), "N/A")</f>
        <v>N/A</v>
      </c>
      <c r="N886" s="23" t="str" cm="1">
        <f t="array" ref="N886">IFERROR(_xlfn.XLOOKUP(C886&amp;A886, ESPN!A:A&amp;ESPN!C:C, ESPN!H:H), "N/A")</f>
        <v>N/A</v>
      </c>
      <c r="O886" s="26" t="str" cm="1">
        <f t="array" ref="O886">IFERROR(_xlfn.XLOOKUP(C886&amp;A886, ESPN!A:A&amp;ESPN!C:C, ESPN!I:I), "N/A")</f>
        <v>N/A</v>
      </c>
      <c r="P886" s="26" t="str" cm="1">
        <f t="array" ref="P886">IFERROR(_xlfn.XLOOKUP(C886&amp;A886, ESPN!A:A&amp;ESPN!C:C, ESPN!J:J), "N/A")</f>
        <v>N/A</v>
      </c>
      <c r="Q886" s="26" t="str" cm="1">
        <f t="array" ref="Q886">IFERROR(_xlfn.XLOOKUP(C886&amp;A886, ESPN!A:A&amp;ESPN!C:C, ESPN!K:K), "N/A")</f>
        <v>N/A</v>
      </c>
    </row>
    <row r="887" spans="1:17" x14ac:dyDescent="0.45">
      <c r="A887" s="7">
        <v>2021</v>
      </c>
      <c r="B887" s="3" t="s">
        <v>524</v>
      </c>
      <c r="C887" s="4" t="str">
        <f t="shared" si="26"/>
        <v>Khari Blasingame</v>
      </c>
      <c r="D887" s="4" t="str">
        <f t="shared" si="27"/>
        <v>TEN</v>
      </c>
      <c r="E887" s="4">
        <v>5</v>
      </c>
      <c r="F887" s="12">
        <v>2</v>
      </c>
      <c r="G887" s="11">
        <v>2</v>
      </c>
      <c r="H887" s="11">
        <v>4</v>
      </c>
      <c r="I887" s="11">
        <v>2</v>
      </c>
      <c r="J887" s="11">
        <v>0</v>
      </c>
      <c r="K887" s="11">
        <v>1</v>
      </c>
      <c r="L887" s="11" t="str" cm="1">
        <f t="array" ref="L887">IFERROR(_xlfn.XLOOKUP(C887&amp;A887, ESPN!A:A&amp;ESPN!C:C, ESPN!D:D), "N/A")</f>
        <v>N/A</v>
      </c>
      <c r="M887" s="23" t="str" cm="1">
        <f t="array" ref="M887">IFERROR(_xlfn.XLOOKUP(C887&amp;A887, ESPN!A:A&amp;ESPN!C:C, ESPN!G:G), "N/A")</f>
        <v>N/A</v>
      </c>
      <c r="N887" s="23" t="str" cm="1">
        <f t="array" ref="N887">IFERROR(_xlfn.XLOOKUP(C887&amp;A887, ESPN!A:A&amp;ESPN!C:C, ESPN!H:H), "N/A")</f>
        <v>N/A</v>
      </c>
      <c r="O887" s="26" t="str" cm="1">
        <f t="array" ref="O887">IFERROR(_xlfn.XLOOKUP(C887&amp;A887, ESPN!A:A&amp;ESPN!C:C, ESPN!I:I), "N/A")</f>
        <v>N/A</v>
      </c>
      <c r="P887" s="26" t="str" cm="1">
        <f t="array" ref="P887">IFERROR(_xlfn.XLOOKUP(C887&amp;A887, ESPN!A:A&amp;ESPN!C:C, ESPN!J:J), "N/A")</f>
        <v>N/A</v>
      </c>
      <c r="Q887" s="26" t="str" cm="1">
        <f t="array" ref="Q887">IFERROR(_xlfn.XLOOKUP(C887&amp;A887, ESPN!A:A&amp;ESPN!C:C, ESPN!K:K), "N/A")</f>
        <v>N/A</v>
      </c>
    </row>
    <row r="888" spans="1:17" x14ac:dyDescent="0.45">
      <c r="A888" s="6">
        <v>2021</v>
      </c>
      <c r="B888" s="1" t="s">
        <v>525</v>
      </c>
      <c r="C888" s="2" t="str">
        <f t="shared" si="26"/>
        <v>Trenton Cannon</v>
      </c>
      <c r="D888" s="2" t="str">
        <f t="shared" si="27"/>
        <v>SF</v>
      </c>
      <c r="E888" s="2">
        <v>10</v>
      </c>
      <c r="F888" s="12">
        <v>0</v>
      </c>
      <c r="G888" s="11">
        <v>0</v>
      </c>
      <c r="H888" s="11">
        <v>0</v>
      </c>
      <c r="I888" s="11">
        <v>0</v>
      </c>
      <c r="J888" s="11">
        <v>0</v>
      </c>
      <c r="K888" s="11">
        <v>1</v>
      </c>
      <c r="L888" s="11" t="str" cm="1">
        <f t="array" ref="L888">IFERROR(_xlfn.XLOOKUP(C888&amp;A888, ESPN!A:A&amp;ESPN!C:C, ESPN!D:D), "N/A")</f>
        <v>N/A</v>
      </c>
      <c r="M888" s="23" t="str" cm="1">
        <f t="array" ref="M888">IFERROR(_xlfn.XLOOKUP(C888&amp;A888, ESPN!A:A&amp;ESPN!C:C, ESPN!G:G), "N/A")</f>
        <v>N/A</v>
      </c>
      <c r="N888" s="23" t="str" cm="1">
        <f t="array" ref="N888">IFERROR(_xlfn.XLOOKUP(C888&amp;A888, ESPN!A:A&amp;ESPN!C:C, ESPN!H:H), "N/A")</f>
        <v>N/A</v>
      </c>
      <c r="O888" s="26" t="str" cm="1">
        <f t="array" ref="O888">IFERROR(_xlfn.XLOOKUP(C888&amp;A888, ESPN!A:A&amp;ESPN!C:C, ESPN!I:I), "N/A")</f>
        <v>N/A</v>
      </c>
      <c r="P888" s="26" t="str" cm="1">
        <f t="array" ref="P888">IFERROR(_xlfn.XLOOKUP(C888&amp;A888, ESPN!A:A&amp;ESPN!C:C, ESPN!J:J), "N/A")</f>
        <v>N/A</v>
      </c>
      <c r="Q888" s="26" t="str" cm="1">
        <f t="array" ref="Q888">IFERROR(_xlfn.XLOOKUP(C888&amp;A888, ESPN!A:A&amp;ESPN!C:C, ESPN!K:K), "N/A")</f>
        <v>N/A</v>
      </c>
    </row>
    <row r="889" spans="1:17" x14ac:dyDescent="0.45">
      <c r="A889" s="7">
        <v>2020</v>
      </c>
      <c r="B889" s="3" t="s">
        <v>252</v>
      </c>
      <c r="C889" s="4" t="str">
        <f t="shared" si="26"/>
        <v>Derrick Henry</v>
      </c>
      <c r="D889" s="4" t="str">
        <f t="shared" si="27"/>
        <v>TEN</v>
      </c>
      <c r="E889" s="4">
        <v>16</v>
      </c>
      <c r="F889" s="12">
        <v>31</v>
      </c>
      <c r="G889" s="11">
        <v>19</v>
      </c>
      <c r="H889" s="11">
        <v>114</v>
      </c>
      <c r="I889" s="11">
        <v>6</v>
      </c>
      <c r="J889" s="11">
        <v>0</v>
      </c>
      <c r="K889" s="11">
        <v>2</v>
      </c>
      <c r="L889" s="11" cm="1">
        <f t="array" ref="L889">IFERROR(_xlfn.XLOOKUP(C889&amp;A889, ESPN!A:A&amp;ESPN!C:C, ESPN!D:D), "N/A")</f>
        <v>170</v>
      </c>
      <c r="M889" s="23" cm="1">
        <f t="array" ref="M889">IFERROR(_xlfn.XLOOKUP(C889&amp;A889, ESPN!A:A&amp;ESPN!C:C, ESPN!G:G), "N/A")</f>
        <v>0.74</v>
      </c>
      <c r="N889" s="23" cm="1">
        <f t="array" ref="N889">IFERROR(_xlfn.XLOOKUP(C889&amp;A889, ESPN!A:A&amp;ESPN!C:C, ESPN!H:H), "N/A")</f>
        <v>28</v>
      </c>
      <c r="O889" s="26" cm="1">
        <f t="array" ref="O889">IFERROR(_xlfn.XLOOKUP(C889&amp;A889, ESPN!A:A&amp;ESPN!C:C, ESPN!I:I), "N/A")</f>
        <v>48</v>
      </c>
      <c r="P889" s="26" cm="1">
        <f t="array" ref="P889">IFERROR(_xlfn.XLOOKUP(C889&amp;A889, ESPN!A:A&amp;ESPN!C:C, ESPN!J:J), "N/A")</f>
        <v>35</v>
      </c>
      <c r="Q889" s="26" cm="1">
        <f t="array" ref="Q889">IFERROR(_xlfn.XLOOKUP(C889&amp;A889, ESPN!A:A&amp;ESPN!C:C, ESPN!K:K), "N/A")</f>
        <v>29</v>
      </c>
    </row>
    <row r="890" spans="1:17" x14ac:dyDescent="0.45">
      <c r="A890" s="6">
        <v>2020</v>
      </c>
      <c r="B890" s="1" t="s">
        <v>49</v>
      </c>
      <c r="C890" s="2" t="str">
        <f t="shared" si="26"/>
        <v>Alvin Kamara</v>
      </c>
      <c r="D890" s="2" t="str">
        <f t="shared" si="27"/>
        <v>NO</v>
      </c>
      <c r="E890" s="2">
        <v>15</v>
      </c>
      <c r="F890" s="12">
        <v>107</v>
      </c>
      <c r="G890" s="11">
        <v>83</v>
      </c>
      <c r="H890" s="11">
        <v>756</v>
      </c>
      <c r="I890" s="11">
        <v>9.1</v>
      </c>
      <c r="J890" s="11">
        <v>5</v>
      </c>
      <c r="K890" s="11">
        <v>0</v>
      </c>
      <c r="L890" s="11" cm="1">
        <f t="array" ref="L890">IFERROR(_xlfn.XLOOKUP(C890&amp;A890, ESPN!A:A&amp;ESPN!C:C, ESPN!D:D), "N/A")</f>
        <v>312</v>
      </c>
      <c r="M890" s="23" cm="1">
        <f t="array" ref="M890">IFERROR(_xlfn.XLOOKUP(C890&amp;A890, ESPN!A:A&amp;ESPN!C:C, ESPN!G:G), "N/A")</f>
        <v>2.54</v>
      </c>
      <c r="N890" s="23" cm="1">
        <f t="array" ref="N890">IFERROR(_xlfn.XLOOKUP(C890&amp;A890, ESPN!A:A&amp;ESPN!C:C, ESPN!H:H), "N/A")</f>
        <v>59</v>
      </c>
      <c r="O890" s="26" cm="1">
        <f t="array" ref="O890">IFERROR(_xlfn.XLOOKUP(C890&amp;A890, ESPN!A:A&amp;ESPN!C:C, ESPN!I:I), "N/A")</f>
        <v>21</v>
      </c>
      <c r="P890" s="26" cm="1">
        <f t="array" ref="P890">IFERROR(_xlfn.XLOOKUP(C890&amp;A890, ESPN!A:A&amp;ESPN!C:C, ESPN!J:J), "N/A")</f>
        <v>67</v>
      </c>
      <c r="Q890" s="26" cm="1">
        <f t="array" ref="Q890">IFERROR(_xlfn.XLOOKUP(C890&amp;A890, ESPN!A:A&amp;ESPN!C:C, ESPN!K:K), "N/A")</f>
        <v>54</v>
      </c>
    </row>
    <row r="891" spans="1:17" x14ac:dyDescent="0.45">
      <c r="A891" s="7">
        <v>2020</v>
      </c>
      <c r="B891" s="3" t="s">
        <v>342</v>
      </c>
      <c r="C891" s="4" t="str">
        <f t="shared" si="26"/>
        <v>Dalvin Cook</v>
      </c>
      <c r="D891" s="4" t="str">
        <f t="shared" si="27"/>
        <v>MIN</v>
      </c>
      <c r="E891" s="4">
        <v>14</v>
      </c>
      <c r="F891" s="12">
        <v>54</v>
      </c>
      <c r="G891" s="11">
        <v>44</v>
      </c>
      <c r="H891" s="11">
        <v>361</v>
      </c>
      <c r="I891" s="11">
        <v>8.1999999999999993</v>
      </c>
      <c r="J891" s="11">
        <v>1</v>
      </c>
      <c r="K891" s="11">
        <v>3</v>
      </c>
      <c r="L891" s="11" cm="1">
        <f t="array" ref="L891">IFERROR(_xlfn.XLOOKUP(C891&amp;A891, ESPN!A:A&amp;ESPN!C:C, ESPN!D:D), "N/A")</f>
        <v>189</v>
      </c>
      <c r="M891" s="23" cm="1">
        <f t="array" ref="M891">IFERROR(_xlfn.XLOOKUP(C891&amp;A891, ESPN!A:A&amp;ESPN!C:C, ESPN!G:G), "N/A")</f>
        <v>1.91</v>
      </c>
      <c r="N891" s="23" cm="1">
        <f t="array" ref="N891">IFERROR(_xlfn.XLOOKUP(C891&amp;A891, ESPN!A:A&amp;ESPN!C:C, ESPN!H:H), "N/A")</f>
        <v>46</v>
      </c>
      <c r="O891" s="26" cm="1">
        <f t="array" ref="O891">IFERROR(_xlfn.XLOOKUP(C891&amp;A891, ESPN!A:A&amp;ESPN!C:C, ESPN!I:I), "N/A")</f>
        <v>49</v>
      </c>
      <c r="P891" s="26" cm="1">
        <f t="array" ref="P891">IFERROR(_xlfn.XLOOKUP(C891&amp;A891, ESPN!A:A&amp;ESPN!C:C, ESPN!J:J), "N/A")</f>
        <v>60</v>
      </c>
      <c r="Q891" s="26" cm="1">
        <f t="array" ref="Q891">IFERROR(_xlfn.XLOOKUP(C891&amp;A891, ESPN!A:A&amp;ESPN!C:C, ESPN!K:K), "N/A")</f>
        <v>56</v>
      </c>
    </row>
    <row r="892" spans="1:17" x14ac:dyDescent="0.45">
      <c r="A892" s="6">
        <v>2020</v>
      </c>
      <c r="B892" s="1" t="s">
        <v>6</v>
      </c>
      <c r="C892" s="2" t="str">
        <f t="shared" si="26"/>
        <v>Jonathan Taylor</v>
      </c>
      <c r="D892" s="2" t="str">
        <f t="shared" si="27"/>
        <v>IND</v>
      </c>
      <c r="E892" s="2">
        <v>15</v>
      </c>
      <c r="F892" s="12">
        <v>40</v>
      </c>
      <c r="G892" s="11">
        <v>36</v>
      </c>
      <c r="H892" s="11">
        <v>299</v>
      </c>
      <c r="I892" s="11">
        <v>8.3000000000000007</v>
      </c>
      <c r="J892" s="11">
        <v>1</v>
      </c>
      <c r="K892" s="11">
        <v>1</v>
      </c>
      <c r="L892" s="11" cm="1">
        <f t="array" ref="L892">IFERROR(_xlfn.XLOOKUP(C892&amp;A892, ESPN!A:A&amp;ESPN!C:C, ESPN!D:D), "N/A")</f>
        <v>161</v>
      </c>
      <c r="M892" s="23" cm="1">
        <f t="array" ref="M892">IFERROR(_xlfn.XLOOKUP(C892&amp;A892, ESPN!A:A&amp;ESPN!C:C, ESPN!G:G), "N/A")</f>
        <v>1.89</v>
      </c>
      <c r="N892" s="23" cm="1">
        <f t="array" ref="N892">IFERROR(_xlfn.XLOOKUP(C892&amp;A892, ESPN!A:A&amp;ESPN!C:C, ESPN!H:H), "N/A")</f>
        <v>30</v>
      </c>
      <c r="O892" s="26" cm="1">
        <f t="array" ref="O892">IFERROR(_xlfn.XLOOKUP(C892&amp;A892, ESPN!A:A&amp;ESPN!C:C, ESPN!I:I), "N/A")</f>
        <v>41</v>
      </c>
      <c r="P892" s="26" cm="1">
        <f t="array" ref="P892">IFERROR(_xlfn.XLOOKUP(C892&amp;A892, ESPN!A:A&amp;ESPN!C:C, ESPN!J:J), "N/A")</f>
        <v>59</v>
      </c>
      <c r="Q892" s="26" cm="1">
        <f t="array" ref="Q892">IFERROR(_xlfn.XLOOKUP(C892&amp;A892, ESPN!A:A&amp;ESPN!C:C, ESPN!K:K), "N/A")</f>
        <v>46</v>
      </c>
    </row>
    <row r="893" spans="1:17" x14ac:dyDescent="0.45">
      <c r="A893" s="7">
        <v>2020</v>
      </c>
      <c r="B893" s="3" t="s">
        <v>263</v>
      </c>
      <c r="C893" s="4" t="str">
        <f t="shared" si="26"/>
        <v>Aaron Jones Sr.</v>
      </c>
      <c r="D893" s="4" t="str">
        <f t="shared" si="27"/>
        <v>GB</v>
      </c>
      <c r="E893" s="4">
        <v>14</v>
      </c>
      <c r="F893" s="12">
        <v>63</v>
      </c>
      <c r="G893" s="11">
        <v>47</v>
      </c>
      <c r="H893" s="11">
        <v>355</v>
      </c>
      <c r="I893" s="11">
        <v>7.6</v>
      </c>
      <c r="J893" s="11">
        <v>2</v>
      </c>
      <c r="K893" s="11">
        <v>0</v>
      </c>
      <c r="L893" s="11" cm="1">
        <f t="array" ref="L893">IFERROR(_xlfn.XLOOKUP(C893&amp;A893, ESPN!A:A&amp;ESPN!C:C, ESPN!D:D), "N/A")</f>
        <v>208</v>
      </c>
      <c r="M893" s="23" cm="1">
        <f t="array" ref="M893">IFERROR(_xlfn.XLOOKUP(C893&amp;A893, ESPN!A:A&amp;ESPN!C:C, ESPN!G:G), "N/A")</f>
        <v>1.81</v>
      </c>
      <c r="N893" s="23" cm="1">
        <f t="array" ref="N893">IFERROR(_xlfn.XLOOKUP(C893&amp;A893, ESPN!A:A&amp;ESPN!C:C, ESPN!H:H), "N/A")</f>
        <v>36</v>
      </c>
      <c r="O893" s="26" cm="1">
        <f t="array" ref="O893">IFERROR(_xlfn.XLOOKUP(C893&amp;A893, ESPN!A:A&amp;ESPN!C:C, ESPN!I:I), "N/A")</f>
        <v>26</v>
      </c>
      <c r="P893" s="26" cm="1">
        <f t="array" ref="P893">IFERROR(_xlfn.XLOOKUP(C893&amp;A893, ESPN!A:A&amp;ESPN!C:C, ESPN!J:J), "N/A")</f>
        <v>66</v>
      </c>
      <c r="Q893" s="26" cm="1">
        <f t="array" ref="Q893">IFERROR(_xlfn.XLOOKUP(C893&amp;A893, ESPN!A:A&amp;ESPN!C:C, ESPN!K:K), "N/A")</f>
        <v>47</v>
      </c>
    </row>
    <row r="894" spans="1:17" x14ac:dyDescent="0.45">
      <c r="A894" s="6">
        <v>2020</v>
      </c>
      <c r="B894" s="1" t="s">
        <v>345</v>
      </c>
      <c r="C894" s="2" t="str">
        <f t="shared" si="26"/>
        <v>David Montgomery</v>
      </c>
      <c r="D894" s="2" t="str">
        <f t="shared" si="27"/>
        <v>CHI</v>
      </c>
      <c r="E894" s="2">
        <v>15</v>
      </c>
      <c r="F894" s="12">
        <v>68</v>
      </c>
      <c r="G894" s="11">
        <v>54</v>
      </c>
      <c r="H894" s="11">
        <v>438</v>
      </c>
      <c r="I894" s="11">
        <v>8.1</v>
      </c>
      <c r="J894" s="11">
        <v>2</v>
      </c>
      <c r="K894" s="11">
        <v>1</v>
      </c>
      <c r="L894" s="11" cm="1">
        <f t="array" ref="L894">IFERROR(_xlfn.XLOOKUP(C894&amp;A894, ESPN!A:A&amp;ESPN!C:C, ESPN!D:D), "N/A")</f>
        <v>291</v>
      </c>
      <c r="M894" s="23" cm="1">
        <f t="array" ref="M894">IFERROR(_xlfn.XLOOKUP(C894&amp;A894, ESPN!A:A&amp;ESPN!C:C, ESPN!G:G), "N/A")</f>
        <v>1.51</v>
      </c>
      <c r="N894" s="23" cm="1">
        <f t="array" ref="N894">IFERROR(_xlfn.XLOOKUP(C894&amp;A894, ESPN!A:A&amp;ESPN!C:C, ESPN!H:H), "N/A")</f>
        <v>31</v>
      </c>
      <c r="O894" s="26" cm="1">
        <f t="array" ref="O894">IFERROR(_xlfn.XLOOKUP(C894&amp;A894, ESPN!A:A&amp;ESPN!C:C, ESPN!I:I), "N/A")</f>
        <v>31</v>
      </c>
      <c r="P894" s="26" cm="1">
        <f t="array" ref="P894">IFERROR(_xlfn.XLOOKUP(C894&amp;A894, ESPN!A:A&amp;ESPN!C:C, ESPN!J:J), "N/A")</f>
        <v>52</v>
      </c>
      <c r="Q894" s="26" cm="1">
        <f t="array" ref="Q894">IFERROR(_xlfn.XLOOKUP(C894&amp;A894, ESPN!A:A&amp;ESPN!C:C, ESPN!K:K), "N/A")</f>
        <v>35</v>
      </c>
    </row>
    <row r="895" spans="1:17" x14ac:dyDescent="0.45">
      <c r="A895" s="7">
        <v>2020</v>
      </c>
      <c r="B895" s="3" t="s">
        <v>424</v>
      </c>
      <c r="C895" s="4" t="str">
        <f t="shared" si="26"/>
        <v>James Robinson</v>
      </c>
      <c r="D895" s="4" t="str">
        <f t="shared" si="27"/>
        <v>JAC</v>
      </c>
      <c r="E895" s="4">
        <v>14</v>
      </c>
      <c r="F895" s="12">
        <v>60</v>
      </c>
      <c r="G895" s="11">
        <v>49</v>
      </c>
      <c r="H895" s="11">
        <v>344</v>
      </c>
      <c r="I895" s="11">
        <v>7</v>
      </c>
      <c r="J895" s="11">
        <v>3</v>
      </c>
      <c r="K895" s="11">
        <v>1</v>
      </c>
      <c r="L895" s="11" cm="1">
        <f t="array" ref="L895">IFERROR(_xlfn.XLOOKUP(C895&amp;A895, ESPN!A:A&amp;ESPN!C:C, ESPN!D:D), "N/A")</f>
        <v>172</v>
      </c>
      <c r="M895" s="23" cm="1">
        <f t="array" ref="M895">IFERROR(_xlfn.XLOOKUP(C895&amp;A895, ESPN!A:A&amp;ESPN!C:C, ESPN!G:G), "N/A")</f>
        <v>2</v>
      </c>
      <c r="N895" s="23" cm="1">
        <f t="array" ref="N895">IFERROR(_xlfn.XLOOKUP(C895&amp;A895, ESPN!A:A&amp;ESPN!C:C, ESPN!H:H), "N/A")</f>
        <v>52</v>
      </c>
      <c r="O895" s="26" cm="1">
        <f t="array" ref="O895">IFERROR(_xlfn.XLOOKUP(C895&amp;A895, ESPN!A:A&amp;ESPN!C:C, ESPN!I:I), "N/A")</f>
        <v>53</v>
      </c>
      <c r="P895" s="26" cm="1">
        <f t="array" ref="P895">IFERROR(_xlfn.XLOOKUP(C895&amp;A895, ESPN!A:A&amp;ESPN!C:C, ESPN!J:J), "N/A")</f>
        <v>61</v>
      </c>
      <c r="Q895" s="26" cm="1">
        <f t="array" ref="Q895">IFERROR(_xlfn.XLOOKUP(C895&amp;A895, ESPN!A:A&amp;ESPN!C:C, ESPN!K:K), "N/A")</f>
        <v>62</v>
      </c>
    </row>
    <row r="896" spans="1:17" x14ac:dyDescent="0.45">
      <c r="A896" s="6">
        <v>2020</v>
      </c>
      <c r="B896" s="1" t="s">
        <v>258</v>
      </c>
      <c r="C896" s="2" t="str">
        <f t="shared" si="26"/>
        <v>Josh Jacobs</v>
      </c>
      <c r="D896" s="2" t="str">
        <f t="shared" si="27"/>
        <v>LV</v>
      </c>
      <c r="E896" s="2">
        <v>15</v>
      </c>
      <c r="F896" s="12">
        <v>45</v>
      </c>
      <c r="G896" s="11">
        <v>33</v>
      </c>
      <c r="H896" s="11">
        <v>238</v>
      </c>
      <c r="I896" s="11">
        <v>7.2</v>
      </c>
      <c r="J896" s="11">
        <v>0</v>
      </c>
      <c r="K896" s="11">
        <v>2</v>
      </c>
      <c r="L896" s="11" cm="1">
        <f t="array" ref="L896">IFERROR(_xlfn.XLOOKUP(C896&amp;A896, ESPN!A:A&amp;ESPN!C:C, ESPN!D:D), "N/A")</f>
        <v>148</v>
      </c>
      <c r="M896" s="23" cm="1">
        <f t="array" ref="M896">IFERROR(_xlfn.XLOOKUP(C896&amp;A896, ESPN!A:A&amp;ESPN!C:C, ESPN!G:G), "N/A")</f>
        <v>1.61</v>
      </c>
      <c r="N896" s="23" cm="1">
        <f t="array" ref="N896">IFERROR(_xlfn.XLOOKUP(C896&amp;A896, ESPN!A:A&amp;ESPN!C:C, ESPN!H:H), "N/A")</f>
        <v>40</v>
      </c>
      <c r="O896" s="26" cm="1">
        <f t="array" ref="O896">IFERROR(_xlfn.XLOOKUP(C896&amp;A896, ESPN!A:A&amp;ESPN!C:C, ESPN!I:I), "N/A")</f>
        <v>46</v>
      </c>
      <c r="P896" s="26" cm="1">
        <f t="array" ref="P896">IFERROR(_xlfn.XLOOKUP(C896&amp;A896, ESPN!A:A&amp;ESPN!C:C, ESPN!J:J), "N/A")</f>
        <v>47</v>
      </c>
      <c r="Q896" s="26" cm="1">
        <f t="array" ref="Q896">IFERROR(_xlfn.XLOOKUP(C896&amp;A896, ESPN!A:A&amp;ESPN!C:C, ESPN!K:K), "N/A")</f>
        <v>42</v>
      </c>
    </row>
    <row r="897" spans="1:17" x14ac:dyDescent="0.45">
      <c r="A897" s="7">
        <v>2020</v>
      </c>
      <c r="B897" s="3" t="s">
        <v>190</v>
      </c>
      <c r="C897" s="4" t="str">
        <f t="shared" si="26"/>
        <v>Nick Chubb</v>
      </c>
      <c r="D897" s="4" t="str">
        <f t="shared" si="27"/>
        <v>CLE</v>
      </c>
      <c r="E897" s="4">
        <v>12</v>
      </c>
      <c r="F897" s="12">
        <v>18</v>
      </c>
      <c r="G897" s="11">
        <v>16</v>
      </c>
      <c r="H897" s="11">
        <v>150</v>
      </c>
      <c r="I897" s="11">
        <v>9.4</v>
      </c>
      <c r="J897" s="11">
        <v>0</v>
      </c>
      <c r="K897" s="11">
        <v>1</v>
      </c>
      <c r="L897" s="11" t="str" cm="1">
        <f t="array" ref="L897">IFERROR(_xlfn.XLOOKUP(C897&amp;A897, ESPN!A:A&amp;ESPN!C:C, ESPN!D:D), "N/A")</f>
        <v>N/A</v>
      </c>
      <c r="M897" s="23" t="str" cm="1">
        <f t="array" ref="M897">IFERROR(_xlfn.XLOOKUP(C897&amp;A897, ESPN!A:A&amp;ESPN!C:C, ESPN!G:G), "N/A")</f>
        <v>N/A</v>
      </c>
      <c r="N897" s="23" t="str" cm="1">
        <f t="array" ref="N897">IFERROR(_xlfn.XLOOKUP(C897&amp;A897, ESPN!A:A&amp;ESPN!C:C, ESPN!H:H), "N/A")</f>
        <v>N/A</v>
      </c>
      <c r="O897" s="26" t="str" cm="1">
        <f t="array" ref="O897">IFERROR(_xlfn.XLOOKUP(C897&amp;A897, ESPN!A:A&amp;ESPN!C:C, ESPN!I:I), "N/A")</f>
        <v>N/A</v>
      </c>
      <c r="P897" s="26" t="str" cm="1">
        <f t="array" ref="P897">IFERROR(_xlfn.XLOOKUP(C897&amp;A897, ESPN!A:A&amp;ESPN!C:C, ESPN!J:J), "N/A")</f>
        <v>N/A</v>
      </c>
      <c r="Q897" s="26" t="str" cm="1">
        <f t="array" ref="Q897">IFERROR(_xlfn.XLOOKUP(C897&amp;A897, ESPN!A:A&amp;ESPN!C:C, ESPN!K:K), "N/A")</f>
        <v>N/A</v>
      </c>
    </row>
    <row r="898" spans="1:17" x14ac:dyDescent="0.45">
      <c r="A898" s="6">
        <v>2020</v>
      </c>
      <c r="B898" s="1" t="s">
        <v>264</v>
      </c>
      <c r="C898" s="2" t="str">
        <f t="shared" ref="C898:C961" si="28">TRIM(LEFT(B898, LEN(B898) - LEN(TRIM(RIGHT(SUBSTITUTE(TRIM(B898)," ",REPT(" ",100)),100)))))</f>
        <v>Kareem Hunt</v>
      </c>
      <c r="D898" s="2" t="str">
        <f t="shared" ref="D898:D961" si="29">MID(B898, FIND("(", B898) + 1, FIND(")", B898) - FIND("(", B898) - 1)</f>
        <v>CLE</v>
      </c>
      <c r="E898" s="2">
        <v>16</v>
      </c>
      <c r="F898" s="12">
        <v>51</v>
      </c>
      <c r="G898" s="11">
        <v>38</v>
      </c>
      <c r="H898" s="11">
        <v>304</v>
      </c>
      <c r="I898" s="11">
        <v>8</v>
      </c>
      <c r="J898" s="11">
        <v>5</v>
      </c>
      <c r="K898" s="11">
        <v>0</v>
      </c>
      <c r="L898" s="11" cm="1">
        <f t="array" ref="L898">IFERROR(_xlfn.XLOOKUP(C898&amp;A898, ESPN!A:A&amp;ESPN!C:C, ESPN!D:D), "N/A")</f>
        <v>216</v>
      </c>
      <c r="M898" s="23" cm="1">
        <f t="array" ref="M898">IFERROR(_xlfn.XLOOKUP(C898&amp;A898, ESPN!A:A&amp;ESPN!C:C, ESPN!G:G), "N/A")</f>
        <v>1.48</v>
      </c>
      <c r="N898" s="23" cm="1">
        <f t="array" ref="N898">IFERROR(_xlfn.XLOOKUP(C898&amp;A898, ESPN!A:A&amp;ESPN!C:C, ESPN!H:H), "N/A")</f>
        <v>43</v>
      </c>
      <c r="O898" s="26" cm="1">
        <f t="array" ref="O898">IFERROR(_xlfn.XLOOKUP(C898&amp;A898, ESPN!A:A&amp;ESPN!C:C, ESPN!I:I), "N/A")</f>
        <v>43</v>
      </c>
      <c r="P898" s="26" cm="1">
        <f t="array" ref="P898">IFERROR(_xlfn.XLOOKUP(C898&amp;A898, ESPN!A:A&amp;ESPN!C:C, ESPN!J:J), "N/A")</f>
        <v>60</v>
      </c>
      <c r="Q898" s="26" cm="1">
        <f t="array" ref="Q898">IFERROR(_xlfn.XLOOKUP(C898&amp;A898, ESPN!A:A&amp;ESPN!C:C, ESPN!K:K), "N/A")</f>
        <v>53</v>
      </c>
    </row>
    <row r="899" spans="1:17" x14ac:dyDescent="0.45">
      <c r="A899" s="7">
        <v>2020</v>
      </c>
      <c r="B899" s="3" t="s">
        <v>195</v>
      </c>
      <c r="C899" s="4" t="str">
        <f t="shared" si="28"/>
        <v>Ezekiel Elliott</v>
      </c>
      <c r="D899" s="4" t="str">
        <f t="shared" si="29"/>
        <v>DAL</v>
      </c>
      <c r="E899" s="4">
        <v>15</v>
      </c>
      <c r="F899" s="12">
        <v>71</v>
      </c>
      <c r="G899" s="11">
        <v>52</v>
      </c>
      <c r="H899" s="11">
        <v>338</v>
      </c>
      <c r="I899" s="11">
        <v>6.5</v>
      </c>
      <c r="J899" s="11">
        <v>2</v>
      </c>
      <c r="K899" s="11">
        <v>5</v>
      </c>
      <c r="L899" s="11" cm="1">
        <f t="array" ref="L899">IFERROR(_xlfn.XLOOKUP(C899&amp;A899, ESPN!A:A&amp;ESPN!C:C, ESPN!D:D), "N/A")</f>
        <v>230</v>
      </c>
      <c r="M899" s="23" cm="1">
        <f t="array" ref="M899">IFERROR(_xlfn.XLOOKUP(C899&amp;A899, ESPN!A:A&amp;ESPN!C:C, ESPN!G:G), "N/A")</f>
        <v>1.47</v>
      </c>
      <c r="N899" s="23" cm="1">
        <f t="array" ref="N899">IFERROR(_xlfn.XLOOKUP(C899&amp;A899, ESPN!A:A&amp;ESPN!C:C, ESPN!H:H), "N/A")</f>
        <v>49</v>
      </c>
      <c r="O899" s="26" cm="1">
        <f t="array" ref="O899">IFERROR(_xlfn.XLOOKUP(C899&amp;A899, ESPN!A:A&amp;ESPN!C:C, ESPN!I:I), "N/A")</f>
        <v>37</v>
      </c>
      <c r="P899" s="26" cm="1">
        <f t="array" ref="P899">IFERROR(_xlfn.XLOOKUP(C899&amp;A899, ESPN!A:A&amp;ESPN!C:C, ESPN!J:J), "N/A")</f>
        <v>45</v>
      </c>
      <c r="Q899" s="26" cm="1">
        <f t="array" ref="Q899">IFERROR(_xlfn.XLOOKUP(C899&amp;A899, ESPN!A:A&amp;ESPN!C:C, ESPN!K:K), "N/A")</f>
        <v>39</v>
      </c>
    </row>
    <row r="900" spans="1:17" x14ac:dyDescent="0.45">
      <c r="A900" s="6">
        <v>2020</v>
      </c>
      <c r="B900" s="1" t="s">
        <v>526</v>
      </c>
      <c r="C900" s="2" t="str">
        <f t="shared" si="28"/>
        <v>Kenyan Drake</v>
      </c>
      <c r="D900" s="2" t="str">
        <f t="shared" si="29"/>
        <v>ARI</v>
      </c>
      <c r="E900" s="2">
        <v>15</v>
      </c>
      <c r="F900" s="12">
        <v>31</v>
      </c>
      <c r="G900" s="11">
        <v>25</v>
      </c>
      <c r="H900" s="11">
        <v>137</v>
      </c>
      <c r="I900" s="11">
        <v>5.5</v>
      </c>
      <c r="J900" s="11">
        <v>0</v>
      </c>
      <c r="K900" s="11">
        <v>1</v>
      </c>
      <c r="L900" s="11" cm="1">
        <f t="array" ref="L900">IFERROR(_xlfn.XLOOKUP(C900&amp;A900, ESPN!A:A&amp;ESPN!C:C, ESPN!D:D), "N/A")</f>
        <v>161</v>
      </c>
      <c r="M900" s="23" cm="1">
        <f t="array" ref="M900">IFERROR(_xlfn.XLOOKUP(C900&amp;A900, ESPN!A:A&amp;ESPN!C:C, ESPN!G:G), "N/A")</f>
        <v>0.85</v>
      </c>
      <c r="N900" s="23" cm="1">
        <f t="array" ref="N900">IFERROR(_xlfn.XLOOKUP(C900&amp;A900, ESPN!A:A&amp;ESPN!C:C, ESPN!H:H), "N/A")</f>
        <v>35</v>
      </c>
      <c r="O900" s="26" cm="1">
        <f t="array" ref="O900">IFERROR(_xlfn.XLOOKUP(C900&amp;A900, ESPN!A:A&amp;ESPN!C:C, ESPN!I:I), "N/A")</f>
        <v>40</v>
      </c>
      <c r="P900" s="26" cm="1">
        <f t="array" ref="P900">IFERROR(_xlfn.XLOOKUP(C900&amp;A900, ESPN!A:A&amp;ESPN!C:C, ESPN!J:J), "N/A")</f>
        <v>30</v>
      </c>
      <c r="Q900" s="26" cm="1">
        <f t="array" ref="Q900">IFERROR(_xlfn.XLOOKUP(C900&amp;A900, ESPN!A:A&amp;ESPN!C:C, ESPN!K:K), "N/A")</f>
        <v>23</v>
      </c>
    </row>
    <row r="901" spans="1:17" x14ac:dyDescent="0.45">
      <c r="A901" s="7">
        <v>2020</v>
      </c>
      <c r="B901" s="3" t="s">
        <v>356</v>
      </c>
      <c r="C901" s="4" t="str">
        <f t="shared" si="28"/>
        <v>Melvin Gordon III</v>
      </c>
      <c r="D901" s="4" t="str">
        <f t="shared" si="29"/>
        <v>DEN</v>
      </c>
      <c r="E901" s="4">
        <v>15</v>
      </c>
      <c r="F901" s="12">
        <v>44</v>
      </c>
      <c r="G901" s="11">
        <v>32</v>
      </c>
      <c r="H901" s="11">
        <v>158</v>
      </c>
      <c r="I901" s="11">
        <v>4.9000000000000004</v>
      </c>
      <c r="J901" s="11">
        <v>1</v>
      </c>
      <c r="K901" s="11">
        <v>4</v>
      </c>
      <c r="L901" s="11" cm="1">
        <f t="array" ref="L901">IFERROR(_xlfn.XLOOKUP(C901&amp;A901, ESPN!A:A&amp;ESPN!C:C, ESPN!D:D), "N/A")</f>
        <v>216</v>
      </c>
      <c r="M901" s="23" cm="1">
        <f t="array" ref="M901">IFERROR(_xlfn.XLOOKUP(C901&amp;A901, ESPN!A:A&amp;ESPN!C:C, ESPN!G:G), "N/A")</f>
        <v>0.73</v>
      </c>
      <c r="N901" s="23" cm="1">
        <f t="array" ref="N901">IFERROR(_xlfn.XLOOKUP(C901&amp;A901, ESPN!A:A&amp;ESPN!C:C, ESPN!H:H), "N/A")</f>
        <v>19</v>
      </c>
      <c r="O901" s="26" cm="1">
        <f t="array" ref="O901">IFERROR(_xlfn.XLOOKUP(C901&amp;A901, ESPN!A:A&amp;ESPN!C:C, ESPN!I:I), "N/A")</f>
        <v>46</v>
      </c>
      <c r="P901" s="26" cm="1">
        <f t="array" ref="P901">IFERROR(_xlfn.XLOOKUP(C901&amp;A901, ESPN!A:A&amp;ESPN!C:C, ESPN!J:J), "N/A")</f>
        <v>12</v>
      </c>
      <c r="Q901" s="26" cm="1">
        <f t="array" ref="Q901">IFERROR(_xlfn.XLOOKUP(C901&amp;A901, ESPN!A:A&amp;ESPN!C:C, ESPN!K:K), "N/A")</f>
        <v>5</v>
      </c>
    </row>
    <row r="902" spans="1:17" x14ac:dyDescent="0.45">
      <c r="A902" s="6">
        <v>2020</v>
      </c>
      <c r="B902" s="1" t="s">
        <v>269</v>
      </c>
      <c r="C902" s="2" t="str">
        <f t="shared" si="28"/>
        <v>Antonio Gibson</v>
      </c>
      <c r="D902" s="2" t="str">
        <f t="shared" si="29"/>
        <v>WAS</v>
      </c>
      <c r="E902" s="2">
        <v>14</v>
      </c>
      <c r="F902" s="12">
        <v>44</v>
      </c>
      <c r="G902" s="11">
        <v>36</v>
      </c>
      <c r="H902" s="11">
        <v>247</v>
      </c>
      <c r="I902" s="11">
        <v>6.9</v>
      </c>
      <c r="J902" s="11">
        <v>0</v>
      </c>
      <c r="K902" s="11">
        <v>2</v>
      </c>
      <c r="L902" s="11" cm="1">
        <f t="array" ref="L902">IFERROR(_xlfn.XLOOKUP(C902&amp;A902, ESPN!A:A&amp;ESPN!C:C, ESPN!D:D), "N/A")</f>
        <v>133</v>
      </c>
      <c r="M902" s="23" cm="1">
        <f t="array" ref="M902">IFERROR(_xlfn.XLOOKUP(C902&amp;A902, ESPN!A:A&amp;ESPN!C:C, ESPN!G:G), "N/A")</f>
        <v>1.89</v>
      </c>
      <c r="N902" s="23" cm="1">
        <f t="array" ref="N902">IFERROR(_xlfn.XLOOKUP(C902&amp;A902, ESPN!A:A&amp;ESPN!C:C, ESPN!H:H), "N/A")</f>
        <v>40</v>
      </c>
      <c r="O902" s="26" cm="1">
        <f t="array" ref="O902">IFERROR(_xlfn.XLOOKUP(C902&amp;A902, ESPN!A:A&amp;ESPN!C:C, ESPN!I:I), "N/A")</f>
        <v>42</v>
      </c>
      <c r="P902" s="26" cm="1">
        <f t="array" ref="P902">IFERROR(_xlfn.XLOOKUP(C902&amp;A902, ESPN!A:A&amp;ESPN!C:C, ESPN!J:J), "N/A")</f>
        <v>52</v>
      </c>
      <c r="Q902" s="26" cm="1">
        <f t="array" ref="Q902">IFERROR(_xlfn.XLOOKUP(C902&amp;A902, ESPN!A:A&amp;ESPN!C:C, ESPN!K:K), "N/A")</f>
        <v>44</v>
      </c>
    </row>
    <row r="903" spans="1:17" x14ac:dyDescent="0.45">
      <c r="A903" s="7">
        <v>2020</v>
      </c>
      <c r="B903" s="3" t="s">
        <v>437</v>
      </c>
      <c r="C903" s="4" t="str">
        <f t="shared" si="28"/>
        <v>Ronald Jones II</v>
      </c>
      <c r="D903" s="4" t="str">
        <f t="shared" si="29"/>
        <v>TB</v>
      </c>
      <c r="E903" s="4">
        <v>14</v>
      </c>
      <c r="F903" s="12">
        <v>42</v>
      </c>
      <c r="G903" s="11">
        <v>28</v>
      </c>
      <c r="H903" s="11">
        <v>165</v>
      </c>
      <c r="I903" s="11">
        <v>5.9</v>
      </c>
      <c r="J903" s="11">
        <v>1</v>
      </c>
      <c r="K903" s="11">
        <v>2</v>
      </c>
      <c r="L903" s="11" cm="1">
        <f t="array" ref="L903">IFERROR(_xlfn.XLOOKUP(C903&amp;A903, ESPN!A:A&amp;ESPN!C:C, ESPN!D:D), "N/A")</f>
        <v>139</v>
      </c>
      <c r="M903" s="23" cm="1">
        <f t="array" ref="M903">IFERROR(_xlfn.XLOOKUP(C903&amp;A903, ESPN!A:A&amp;ESPN!C:C, ESPN!G:G), "N/A")</f>
        <v>1.19</v>
      </c>
      <c r="N903" s="23" cm="1">
        <f t="array" ref="N903">IFERROR(_xlfn.XLOOKUP(C903&amp;A903, ESPN!A:A&amp;ESPN!C:C, ESPN!H:H), "N/A")</f>
        <v>54</v>
      </c>
      <c r="O903" s="26" cm="1">
        <f t="array" ref="O903">IFERROR(_xlfn.XLOOKUP(C903&amp;A903, ESPN!A:A&amp;ESPN!C:C, ESPN!I:I), "N/A")</f>
        <v>17</v>
      </c>
      <c r="P903" s="26" cm="1">
        <f t="array" ref="P903">IFERROR(_xlfn.XLOOKUP(C903&amp;A903, ESPN!A:A&amp;ESPN!C:C, ESPN!J:J), "N/A")</f>
        <v>24</v>
      </c>
      <c r="Q903" s="26" cm="1">
        <f t="array" ref="Q903">IFERROR(_xlfn.XLOOKUP(C903&amp;A903, ESPN!A:A&amp;ESPN!C:C, ESPN!K:K), "N/A")</f>
        <v>13</v>
      </c>
    </row>
    <row r="904" spans="1:17" x14ac:dyDescent="0.45">
      <c r="A904" s="6">
        <v>2020</v>
      </c>
      <c r="B904" s="1" t="s">
        <v>448</v>
      </c>
      <c r="C904" s="2" t="str">
        <f t="shared" si="28"/>
        <v>Chris Carson</v>
      </c>
      <c r="D904" s="2" t="str">
        <f t="shared" si="29"/>
        <v>SEA</v>
      </c>
      <c r="E904" s="2">
        <v>12</v>
      </c>
      <c r="F904" s="12">
        <v>46</v>
      </c>
      <c r="G904" s="11">
        <v>37</v>
      </c>
      <c r="H904" s="11">
        <v>287</v>
      </c>
      <c r="I904" s="11">
        <v>7.8</v>
      </c>
      <c r="J904" s="11">
        <v>4</v>
      </c>
      <c r="K904" s="11">
        <v>0</v>
      </c>
      <c r="L904" s="11" cm="1">
        <f t="array" ref="L904">IFERROR(_xlfn.XLOOKUP(C904&amp;A904, ESPN!A:A&amp;ESPN!C:C, ESPN!D:D), "N/A")</f>
        <v>166</v>
      </c>
      <c r="M904" s="23" cm="1">
        <f t="array" ref="M904">IFERROR(_xlfn.XLOOKUP(C904&amp;A904, ESPN!A:A&amp;ESPN!C:C, ESPN!G:G), "N/A")</f>
        <v>1.76</v>
      </c>
      <c r="N904" s="23" cm="1">
        <f t="array" ref="N904">IFERROR(_xlfn.XLOOKUP(C904&amp;A904, ESPN!A:A&amp;ESPN!C:C, ESPN!H:H), "N/A")</f>
        <v>22</v>
      </c>
      <c r="O904" s="26" cm="1">
        <f t="array" ref="O904">IFERROR(_xlfn.XLOOKUP(C904&amp;A904, ESPN!A:A&amp;ESPN!C:C, ESPN!I:I), "N/A")</f>
        <v>58</v>
      </c>
      <c r="P904" s="26" cm="1">
        <f t="array" ref="P904">IFERROR(_xlfn.XLOOKUP(C904&amp;A904, ESPN!A:A&amp;ESPN!C:C, ESPN!J:J), "N/A")</f>
        <v>48</v>
      </c>
      <c r="Q904" s="26" cm="1">
        <f t="array" ref="Q904">IFERROR(_xlfn.XLOOKUP(C904&amp;A904, ESPN!A:A&amp;ESPN!C:C, ESPN!K:K), "N/A")</f>
        <v>42</v>
      </c>
    </row>
    <row r="905" spans="1:17" x14ac:dyDescent="0.45">
      <c r="A905" s="7">
        <v>2020</v>
      </c>
      <c r="B905" s="3" t="s">
        <v>293</v>
      </c>
      <c r="C905" s="4" t="str">
        <f t="shared" si="28"/>
        <v>J.K. Dobbins</v>
      </c>
      <c r="D905" s="4" t="str">
        <f t="shared" si="29"/>
        <v>BAL</v>
      </c>
      <c r="E905" s="4">
        <v>15</v>
      </c>
      <c r="F905" s="12">
        <v>24</v>
      </c>
      <c r="G905" s="11">
        <v>18</v>
      </c>
      <c r="H905" s="11">
        <v>120</v>
      </c>
      <c r="I905" s="11">
        <v>6.7</v>
      </c>
      <c r="J905" s="11">
        <v>0</v>
      </c>
      <c r="K905" s="11">
        <v>0</v>
      </c>
      <c r="L905" s="11" cm="1">
        <f t="array" ref="L905">IFERROR(_xlfn.XLOOKUP(C905&amp;A905, ESPN!A:A&amp;ESPN!C:C, ESPN!D:D), "N/A")</f>
        <v>188</v>
      </c>
      <c r="M905" s="23" cm="1">
        <f t="array" ref="M905">IFERROR(_xlfn.XLOOKUP(C905&amp;A905, ESPN!A:A&amp;ESPN!C:C, ESPN!G:G), "N/A")</f>
        <v>0.88</v>
      </c>
      <c r="N905" s="23" cm="1">
        <f t="array" ref="N905">IFERROR(_xlfn.XLOOKUP(C905&amp;A905, ESPN!A:A&amp;ESPN!C:C, ESPN!H:H), "N/A")</f>
        <v>48</v>
      </c>
      <c r="O905" s="26" cm="1">
        <f t="array" ref="O905">IFERROR(_xlfn.XLOOKUP(C905&amp;A905, ESPN!A:A&amp;ESPN!C:C, ESPN!I:I), "N/A")</f>
        <v>29</v>
      </c>
      <c r="P905" s="26" cm="1">
        <f t="array" ref="P905">IFERROR(_xlfn.XLOOKUP(C905&amp;A905, ESPN!A:A&amp;ESPN!C:C, ESPN!J:J), "N/A")</f>
        <v>39</v>
      </c>
      <c r="Q905" s="26" cm="1">
        <f t="array" ref="Q905">IFERROR(_xlfn.XLOOKUP(C905&amp;A905, ESPN!A:A&amp;ESPN!C:C, ESPN!K:K), "N/A")</f>
        <v>30</v>
      </c>
    </row>
    <row r="906" spans="1:17" x14ac:dyDescent="0.45">
      <c r="A906" s="6">
        <v>2020</v>
      </c>
      <c r="B906" s="1" t="s">
        <v>527</v>
      </c>
      <c r="C906" s="2" t="str">
        <f t="shared" si="28"/>
        <v>Mike Davis</v>
      </c>
      <c r="D906" s="2" t="str">
        <f t="shared" si="29"/>
        <v>CAR</v>
      </c>
      <c r="E906" s="2">
        <v>15</v>
      </c>
      <c r="F906" s="12">
        <v>70</v>
      </c>
      <c r="G906" s="11">
        <v>59</v>
      </c>
      <c r="H906" s="11">
        <v>373</v>
      </c>
      <c r="I906" s="11">
        <v>6.3</v>
      </c>
      <c r="J906" s="11">
        <v>2</v>
      </c>
      <c r="K906" s="11">
        <v>1</v>
      </c>
      <c r="L906" s="11" cm="1">
        <f t="array" ref="L906">IFERROR(_xlfn.XLOOKUP(C906&amp;A906, ESPN!A:A&amp;ESPN!C:C, ESPN!D:D), "N/A")</f>
        <v>211</v>
      </c>
      <c r="M906" s="23" cm="1">
        <f t="array" ref="M906">IFERROR(_xlfn.XLOOKUP(C906&amp;A906, ESPN!A:A&amp;ESPN!C:C, ESPN!G:G), "N/A")</f>
        <v>1.77</v>
      </c>
      <c r="N906" s="23" cm="1">
        <f t="array" ref="N906">IFERROR(_xlfn.XLOOKUP(C906&amp;A906, ESPN!A:A&amp;ESPN!C:C, ESPN!H:H), "N/A")</f>
        <v>53</v>
      </c>
      <c r="O906" s="26" cm="1">
        <f t="array" ref="O906">IFERROR(_xlfn.XLOOKUP(C906&amp;A906, ESPN!A:A&amp;ESPN!C:C, ESPN!I:I), "N/A")</f>
        <v>58</v>
      </c>
      <c r="P906" s="26" cm="1">
        <f t="array" ref="P906">IFERROR(_xlfn.XLOOKUP(C906&amp;A906, ESPN!A:A&amp;ESPN!C:C, ESPN!J:J), "N/A")</f>
        <v>60</v>
      </c>
      <c r="Q906" s="26" cm="1">
        <f t="array" ref="Q906">IFERROR(_xlfn.XLOOKUP(C906&amp;A906, ESPN!A:A&amp;ESPN!C:C, ESPN!K:K), "N/A")</f>
        <v>63</v>
      </c>
    </row>
    <row r="907" spans="1:17" x14ac:dyDescent="0.45">
      <c r="A907" s="7">
        <v>2020</v>
      </c>
      <c r="B907" s="3" t="s">
        <v>443</v>
      </c>
      <c r="C907" s="4" t="str">
        <f t="shared" si="28"/>
        <v>David Johnson</v>
      </c>
      <c r="D907" s="4" t="str">
        <f t="shared" si="29"/>
        <v>HOU</v>
      </c>
      <c r="E907" s="4">
        <v>12</v>
      </c>
      <c r="F907" s="12">
        <v>46</v>
      </c>
      <c r="G907" s="11">
        <v>33</v>
      </c>
      <c r="H907" s="11">
        <v>314</v>
      </c>
      <c r="I907" s="11">
        <v>9.5</v>
      </c>
      <c r="J907" s="11">
        <v>2</v>
      </c>
      <c r="K907" s="11">
        <v>1</v>
      </c>
      <c r="L907" s="11" cm="1">
        <f t="array" ref="L907">IFERROR(_xlfn.XLOOKUP(C907&amp;A907, ESPN!A:A&amp;ESPN!C:C, ESPN!D:D), "N/A")</f>
        <v>246</v>
      </c>
      <c r="M907" s="23" cm="1">
        <f t="array" ref="M907">IFERROR(_xlfn.XLOOKUP(C907&amp;A907, ESPN!A:A&amp;ESPN!C:C, ESPN!G:G), "N/A")</f>
        <v>1.28</v>
      </c>
      <c r="N907" s="23" cm="1">
        <f t="array" ref="N907">IFERROR(_xlfn.XLOOKUP(C907&amp;A907, ESPN!A:A&amp;ESPN!C:C, ESPN!H:H), "N/A")</f>
        <v>51</v>
      </c>
      <c r="O907" s="26" cm="1">
        <f t="array" ref="O907">IFERROR(_xlfn.XLOOKUP(C907&amp;A907, ESPN!A:A&amp;ESPN!C:C, ESPN!I:I), "N/A")</f>
        <v>46</v>
      </c>
      <c r="P907" s="26" cm="1">
        <f t="array" ref="P907">IFERROR(_xlfn.XLOOKUP(C907&amp;A907, ESPN!A:A&amp;ESPN!C:C, ESPN!J:J), "N/A")</f>
        <v>53</v>
      </c>
      <c r="Q907" s="26" cm="1">
        <f t="array" ref="Q907">IFERROR(_xlfn.XLOOKUP(C907&amp;A907, ESPN!A:A&amp;ESPN!C:C, ESPN!K:K), "N/A")</f>
        <v>51</v>
      </c>
    </row>
    <row r="908" spans="1:17" x14ac:dyDescent="0.45">
      <c r="A908" s="6">
        <v>2020</v>
      </c>
      <c r="B908" s="1" t="s">
        <v>346</v>
      </c>
      <c r="C908" s="2" t="str">
        <f t="shared" si="28"/>
        <v>D'Andre Swift</v>
      </c>
      <c r="D908" s="2" t="str">
        <f t="shared" si="29"/>
        <v>DET</v>
      </c>
      <c r="E908" s="2">
        <v>13</v>
      </c>
      <c r="F908" s="12">
        <v>57</v>
      </c>
      <c r="G908" s="11">
        <v>46</v>
      </c>
      <c r="H908" s="11">
        <v>357</v>
      </c>
      <c r="I908" s="11">
        <v>7.8</v>
      </c>
      <c r="J908" s="11">
        <v>2</v>
      </c>
      <c r="K908" s="11">
        <v>2</v>
      </c>
      <c r="L908" s="11" cm="1">
        <f t="array" ref="L908">IFERROR(_xlfn.XLOOKUP(C908&amp;A908, ESPN!A:A&amp;ESPN!C:C, ESPN!D:D), "N/A")</f>
        <v>173</v>
      </c>
      <c r="M908" s="23" cm="1">
        <f t="array" ref="M908">IFERROR(_xlfn.XLOOKUP(C908&amp;A908, ESPN!A:A&amp;ESPN!C:C, ESPN!G:G), "N/A")</f>
        <v>2.06</v>
      </c>
      <c r="N908" s="23" cm="1">
        <f t="array" ref="N908">IFERROR(_xlfn.XLOOKUP(C908&amp;A908, ESPN!A:A&amp;ESPN!C:C, ESPN!H:H), "N/A")</f>
        <v>63</v>
      </c>
      <c r="O908" s="26" cm="1">
        <f t="array" ref="O908">IFERROR(_xlfn.XLOOKUP(C908&amp;A908, ESPN!A:A&amp;ESPN!C:C, ESPN!I:I), "N/A")</f>
        <v>42</v>
      </c>
      <c r="P908" s="26" cm="1">
        <f t="array" ref="P908">IFERROR(_xlfn.XLOOKUP(C908&amp;A908, ESPN!A:A&amp;ESPN!C:C, ESPN!J:J), "N/A")</f>
        <v>52</v>
      </c>
      <c r="Q908" s="26" cm="1">
        <f t="array" ref="Q908">IFERROR(_xlfn.XLOOKUP(C908&amp;A908, ESPN!A:A&amp;ESPN!C:C, ESPN!K:K), "N/A")</f>
        <v>53</v>
      </c>
    </row>
    <row r="909" spans="1:17" x14ac:dyDescent="0.45">
      <c r="A909" s="7">
        <v>2020</v>
      </c>
      <c r="B909" s="3" t="s">
        <v>343</v>
      </c>
      <c r="C909" s="4" t="str">
        <f t="shared" si="28"/>
        <v>Miles Sanders</v>
      </c>
      <c r="D909" s="4" t="str">
        <f t="shared" si="29"/>
        <v>PHI</v>
      </c>
      <c r="E909" s="4">
        <v>12</v>
      </c>
      <c r="F909" s="12">
        <v>52</v>
      </c>
      <c r="G909" s="11">
        <v>28</v>
      </c>
      <c r="H909" s="11">
        <v>197</v>
      </c>
      <c r="I909" s="11">
        <v>7</v>
      </c>
      <c r="J909" s="11">
        <v>0</v>
      </c>
      <c r="K909" s="11">
        <v>2</v>
      </c>
      <c r="L909" s="11" cm="1">
        <f t="array" ref="L909">IFERROR(_xlfn.XLOOKUP(C909&amp;A909, ESPN!A:A&amp;ESPN!C:C, ESPN!D:D), "N/A")</f>
        <v>216</v>
      </c>
      <c r="M909" s="23" cm="1">
        <f t="array" ref="M909">IFERROR(_xlfn.XLOOKUP(C909&amp;A909, ESPN!A:A&amp;ESPN!C:C, ESPN!G:G), "N/A")</f>
        <v>0.91</v>
      </c>
      <c r="N909" s="23" cm="1">
        <f t="array" ref="N909">IFERROR(_xlfn.XLOOKUP(C909&amp;A909, ESPN!A:A&amp;ESPN!C:C, ESPN!H:H), "N/A")</f>
        <v>43</v>
      </c>
      <c r="O909" s="26" cm="1">
        <f t="array" ref="O909">IFERROR(_xlfn.XLOOKUP(C909&amp;A909, ESPN!A:A&amp;ESPN!C:C, ESPN!I:I), "N/A")</f>
        <v>6</v>
      </c>
      <c r="P909" s="26" cm="1">
        <f t="array" ref="P909">IFERROR(_xlfn.XLOOKUP(C909&amp;A909, ESPN!A:A&amp;ESPN!C:C, ESPN!J:J), "N/A")</f>
        <v>41</v>
      </c>
      <c r="Q909" s="26" cm="1">
        <f t="array" ref="Q909">IFERROR(_xlfn.XLOOKUP(C909&amp;A909, ESPN!A:A&amp;ESPN!C:C, ESPN!K:K), "N/A")</f>
        <v>19</v>
      </c>
    </row>
    <row r="910" spans="1:17" x14ac:dyDescent="0.45">
      <c r="A910" s="6">
        <v>2020</v>
      </c>
      <c r="B910" s="1" t="s">
        <v>130</v>
      </c>
      <c r="C910" s="2" t="str">
        <f t="shared" si="28"/>
        <v>Clyde Edwards-Helaire</v>
      </c>
      <c r="D910" s="2" t="str">
        <f t="shared" si="29"/>
        <v>KC</v>
      </c>
      <c r="E910" s="2">
        <v>13</v>
      </c>
      <c r="F910" s="12">
        <v>54</v>
      </c>
      <c r="G910" s="11">
        <v>36</v>
      </c>
      <c r="H910" s="11">
        <v>297</v>
      </c>
      <c r="I910" s="11">
        <v>8.3000000000000007</v>
      </c>
      <c r="J910" s="11">
        <v>1</v>
      </c>
      <c r="K910" s="11">
        <v>0</v>
      </c>
      <c r="L910" s="11" cm="1">
        <f t="array" ref="L910">IFERROR(_xlfn.XLOOKUP(C910&amp;A910, ESPN!A:A&amp;ESPN!C:C, ESPN!D:D), "N/A")</f>
        <v>269</v>
      </c>
      <c r="M910" s="23" cm="1">
        <f t="array" ref="M910">IFERROR(_xlfn.XLOOKUP(C910&amp;A910, ESPN!A:A&amp;ESPN!C:C, ESPN!G:G), "N/A")</f>
        <v>1.19</v>
      </c>
      <c r="N910" s="23" cm="1">
        <f t="array" ref="N910">IFERROR(_xlfn.XLOOKUP(C910&amp;A910, ESPN!A:A&amp;ESPN!C:C, ESPN!H:H), "N/A")</f>
        <v>23</v>
      </c>
      <c r="O910" s="26" cm="1">
        <f t="array" ref="O910">IFERROR(_xlfn.XLOOKUP(C910&amp;A910, ESPN!A:A&amp;ESPN!C:C, ESPN!I:I), "N/A")</f>
        <v>25</v>
      </c>
      <c r="P910" s="26" cm="1">
        <f t="array" ref="P910">IFERROR(_xlfn.XLOOKUP(C910&amp;A910, ESPN!A:A&amp;ESPN!C:C, ESPN!J:J), "N/A")</f>
        <v>68</v>
      </c>
      <c r="Q910" s="26" cm="1">
        <f t="array" ref="Q910">IFERROR(_xlfn.XLOOKUP(C910&amp;A910, ESPN!A:A&amp;ESPN!C:C, ESPN!K:K), "N/A")</f>
        <v>43</v>
      </c>
    </row>
    <row r="911" spans="1:17" x14ac:dyDescent="0.45">
      <c r="A911" s="7">
        <v>2020</v>
      </c>
      <c r="B911" s="3" t="s">
        <v>528</v>
      </c>
      <c r="C911" s="4" t="str">
        <f t="shared" si="28"/>
        <v>Todd Gurley II</v>
      </c>
      <c r="D911" s="4" t="str">
        <f t="shared" si="29"/>
        <v>ATL</v>
      </c>
      <c r="E911" s="4">
        <v>15</v>
      </c>
      <c r="F911" s="12">
        <v>35</v>
      </c>
      <c r="G911" s="11">
        <v>25</v>
      </c>
      <c r="H911" s="11">
        <v>164</v>
      </c>
      <c r="I911" s="11">
        <v>6.6</v>
      </c>
      <c r="J911" s="11">
        <v>0</v>
      </c>
      <c r="K911" s="11">
        <v>0</v>
      </c>
      <c r="L911" s="11" cm="1">
        <f t="array" ref="L911">IFERROR(_xlfn.XLOOKUP(C911&amp;A911, ESPN!A:A&amp;ESPN!C:C, ESPN!D:D), "N/A")</f>
        <v>162</v>
      </c>
      <c r="M911" s="23" cm="1">
        <f t="array" ref="M911">IFERROR(_xlfn.XLOOKUP(C911&amp;A911, ESPN!A:A&amp;ESPN!C:C, ESPN!G:G), "N/A")</f>
        <v>1.01</v>
      </c>
      <c r="N911" s="23" cm="1">
        <f t="array" ref="N911">IFERROR(_xlfn.XLOOKUP(C911&amp;A911, ESPN!A:A&amp;ESPN!C:C, ESPN!H:H), "N/A")</f>
        <v>51</v>
      </c>
      <c r="O911" s="26" cm="1">
        <f t="array" ref="O911">IFERROR(_xlfn.XLOOKUP(C911&amp;A911, ESPN!A:A&amp;ESPN!C:C, ESPN!I:I), "N/A")</f>
        <v>53</v>
      </c>
      <c r="P911" s="26" cm="1">
        <f t="array" ref="P911">IFERROR(_xlfn.XLOOKUP(C911&amp;A911, ESPN!A:A&amp;ESPN!C:C, ESPN!J:J), "N/A")</f>
        <v>34</v>
      </c>
      <c r="Q911" s="26" cm="1">
        <f t="array" ref="Q911">IFERROR(_xlfn.XLOOKUP(C911&amp;A911, ESPN!A:A&amp;ESPN!C:C, ESPN!K:K), "N/A")</f>
        <v>38</v>
      </c>
    </row>
    <row r="912" spans="1:17" x14ac:dyDescent="0.45">
      <c r="A912" s="6">
        <v>2020</v>
      </c>
      <c r="B912" s="1" t="s">
        <v>435</v>
      </c>
      <c r="C912" s="2" t="str">
        <f t="shared" si="28"/>
        <v>Nyheim Miller-Hines</v>
      </c>
      <c r="D912" s="2" t="str">
        <f t="shared" si="29"/>
        <v>IND</v>
      </c>
      <c r="E912" s="2">
        <v>16</v>
      </c>
      <c r="F912" s="12">
        <v>76</v>
      </c>
      <c r="G912" s="11">
        <v>63</v>
      </c>
      <c r="H912" s="11">
        <v>482</v>
      </c>
      <c r="I912" s="11">
        <v>7.7</v>
      </c>
      <c r="J912" s="11">
        <v>4</v>
      </c>
      <c r="K912" s="11">
        <v>0</v>
      </c>
      <c r="L912" s="11" cm="1">
        <f t="array" ref="L912">IFERROR(_xlfn.XLOOKUP(C912&amp;A912, ESPN!A:A&amp;ESPN!C:C, ESPN!D:D), "N/A")</f>
        <v>222</v>
      </c>
      <c r="M912" s="23" cm="1">
        <f t="array" ref="M912">IFERROR(_xlfn.XLOOKUP(C912&amp;A912, ESPN!A:A&amp;ESPN!C:C, ESPN!G:G), "N/A")</f>
        <v>2.21</v>
      </c>
      <c r="N912" s="23" cm="1">
        <f t="array" ref="N912">IFERROR(_xlfn.XLOOKUP(C912&amp;A912, ESPN!A:A&amp;ESPN!C:C, ESPN!H:H), "N/A")</f>
        <v>43</v>
      </c>
      <c r="O912" s="26" cm="1">
        <f t="array" ref="O912">IFERROR(_xlfn.XLOOKUP(C912&amp;A912, ESPN!A:A&amp;ESPN!C:C, ESPN!I:I), "N/A")</f>
        <v>56</v>
      </c>
      <c r="P912" s="26" cm="1">
        <f t="array" ref="P912">IFERROR(_xlfn.XLOOKUP(C912&amp;A912, ESPN!A:A&amp;ESPN!C:C, ESPN!J:J), "N/A")</f>
        <v>49</v>
      </c>
      <c r="Q912" s="26" cm="1">
        <f t="array" ref="Q912">IFERROR(_xlfn.XLOOKUP(C912&amp;A912, ESPN!A:A&amp;ESPN!C:C, ESPN!K:K), "N/A")</f>
        <v>50</v>
      </c>
    </row>
    <row r="913" spans="1:17" x14ac:dyDescent="0.45">
      <c r="A913" s="7">
        <v>2020</v>
      </c>
      <c r="B913" s="3" t="s">
        <v>529</v>
      </c>
      <c r="C913" s="4" t="str">
        <f t="shared" si="28"/>
        <v>James Conner</v>
      </c>
      <c r="D913" s="4" t="str">
        <f t="shared" si="29"/>
        <v>PIT</v>
      </c>
      <c r="E913" s="4">
        <v>13</v>
      </c>
      <c r="F913" s="12">
        <v>43</v>
      </c>
      <c r="G913" s="11">
        <v>35</v>
      </c>
      <c r="H913" s="11">
        <v>215</v>
      </c>
      <c r="I913" s="11">
        <v>6.1</v>
      </c>
      <c r="J913" s="11">
        <v>0</v>
      </c>
      <c r="K913" s="11">
        <v>0</v>
      </c>
      <c r="L913" s="11" cm="1">
        <f t="array" ref="L913">IFERROR(_xlfn.XLOOKUP(C913&amp;A913, ESPN!A:A&amp;ESPN!C:C, ESPN!D:D), "N/A")</f>
        <v>166</v>
      </c>
      <c r="M913" s="23" cm="1">
        <f t="array" ref="M913">IFERROR(_xlfn.XLOOKUP(C913&amp;A913, ESPN!A:A&amp;ESPN!C:C, ESPN!G:G), "N/A")</f>
        <v>1.48</v>
      </c>
      <c r="N913" s="23" cm="1">
        <f t="array" ref="N913">IFERROR(_xlfn.XLOOKUP(C913&amp;A913, ESPN!A:A&amp;ESPN!C:C, ESPN!H:H), "N/A")</f>
        <v>45</v>
      </c>
      <c r="O913" s="26" cm="1">
        <f t="array" ref="O913">IFERROR(_xlfn.XLOOKUP(C913&amp;A913, ESPN!A:A&amp;ESPN!C:C, ESPN!I:I), "N/A")</f>
        <v>45</v>
      </c>
      <c r="P913" s="26" cm="1">
        <f t="array" ref="P913">IFERROR(_xlfn.XLOOKUP(C913&amp;A913, ESPN!A:A&amp;ESPN!C:C, ESPN!J:J), "N/A")</f>
        <v>39</v>
      </c>
      <c r="Q913" s="26" cm="1">
        <f t="array" ref="Q913">IFERROR(_xlfn.XLOOKUP(C913&amp;A913, ESPN!A:A&amp;ESPN!C:C, ESPN!K:K), "N/A")</f>
        <v>37</v>
      </c>
    </row>
    <row r="914" spans="1:17" x14ac:dyDescent="0.45">
      <c r="A914" s="6">
        <v>2020</v>
      </c>
      <c r="B914" s="1" t="s">
        <v>447</v>
      </c>
      <c r="C914" s="2" t="str">
        <f t="shared" si="28"/>
        <v>Jeff Wilson Jr.</v>
      </c>
      <c r="D914" s="2" t="str">
        <f t="shared" si="29"/>
        <v>SF</v>
      </c>
      <c r="E914" s="2">
        <v>12</v>
      </c>
      <c r="F914" s="12">
        <v>28</v>
      </c>
      <c r="G914" s="11">
        <v>13</v>
      </c>
      <c r="H914" s="11">
        <v>133</v>
      </c>
      <c r="I914" s="11">
        <v>10.199999999999999</v>
      </c>
      <c r="J914" s="11">
        <v>3</v>
      </c>
      <c r="K914" s="11">
        <v>2</v>
      </c>
      <c r="L914" s="11" cm="1">
        <f t="array" ref="L914">IFERROR(_xlfn.XLOOKUP(C914&amp;A914, ESPN!A:A&amp;ESPN!C:C, ESPN!D:D), "N/A")</f>
        <v>102</v>
      </c>
      <c r="M914" s="23" cm="1">
        <f t="array" ref="M914">IFERROR(_xlfn.XLOOKUP(C914&amp;A914, ESPN!A:A&amp;ESPN!C:C, ESPN!G:G), "N/A")</f>
        <v>1.3</v>
      </c>
      <c r="N914" s="23" cm="1">
        <f t="array" ref="N914">IFERROR(_xlfn.XLOOKUP(C914&amp;A914, ESPN!A:A&amp;ESPN!C:C, ESPN!H:H), "N/A")</f>
        <v>41</v>
      </c>
      <c r="O914" s="26" cm="1">
        <f t="array" ref="O914">IFERROR(_xlfn.XLOOKUP(C914&amp;A914, ESPN!A:A&amp;ESPN!C:C, ESPN!I:I), "N/A")</f>
        <v>8</v>
      </c>
      <c r="P914" s="26" cm="1">
        <f t="array" ref="P914">IFERROR(_xlfn.XLOOKUP(C914&amp;A914, ESPN!A:A&amp;ESPN!C:C, ESPN!J:J), "N/A")</f>
        <v>52</v>
      </c>
      <c r="Q914" s="26" cm="1">
        <f t="array" ref="Q914">IFERROR(_xlfn.XLOOKUP(C914&amp;A914, ESPN!A:A&amp;ESPN!C:C, ESPN!K:K), "N/A")</f>
        <v>28</v>
      </c>
    </row>
    <row r="915" spans="1:17" x14ac:dyDescent="0.45">
      <c r="A915" s="7">
        <v>2020</v>
      </c>
      <c r="B915" s="3" t="s">
        <v>387</v>
      </c>
      <c r="C915" s="4" t="str">
        <f t="shared" si="28"/>
        <v>Myles Gaskin</v>
      </c>
      <c r="D915" s="4" t="str">
        <f t="shared" si="29"/>
        <v>MIA</v>
      </c>
      <c r="E915" s="4">
        <v>10</v>
      </c>
      <c r="F915" s="12">
        <v>47</v>
      </c>
      <c r="G915" s="11">
        <v>41</v>
      </c>
      <c r="H915" s="11">
        <v>388</v>
      </c>
      <c r="I915" s="11">
        <v>9.5</v>
      </c>
      <c r="J915" s="11">
        <v>2</v>
      </c>
      <c r="K915" s="11">
        <v>2</v>
      </c>
      <c r="L915" s="11" cm="1">
        <f t="array" ref="L915">IFERROR(_xlfn.XLOOKUP(C915&amp;A915, ESPN!A:A&amp;ESPN!C:C, ESPN!D:D), "N/A")</f>
        <v>148</v>
      </c>
      <c r="M915" s="23" cm="1">
        <f t="array" ref="M915">IFERROR(_xlfn.XLOOKUP(C915&amp;A915, ESPN!A:A&amp;ESPN!C:C, ESPN!G:G), "N/A")</f>
        <v>2.62</v>
      </c>
      <c r="N915" s="23" cm="1">
        <f t="array" ref="N915">IFERROR(_xlfn.XLOOKUP(C915&amp;A915, ESPN!A:A&amp;ESPN!C:C, ESPN!H:H), "N/A")</f>
        <v>67</v>
      </c>
      <c r="O915" s="26" cm="1">
        <f t="array" ref="O915">IFERROR(_xlfn.XLOOKUP(C915&amp;A915, ESPN!A:A&amp;ESPN!C:C, ESPN!I:I), "N/A")</f>
        <v>57</v>
      </c>
      <c r="P915" s="26" cm="1">
        <f t="array" ref="P915">IFERROR(_xlfn.XLOOKUP(C915&amp;A915, ESPN!A:A&amp;ESPN!C:C, ESPN!J:J), "N/A")</f>
        <v>62</v>
      </c>
      <c r="Q915" s="26" cm="1">
        <f t="array" ref="Q915">IFERROR(_xlfn.XLOOKUP(C915&amp;A915, ESPN!A:A&amp;ESPN!C:C, ESPN!K:K), "N/A")</f>
        <v>70</v>
      </c>
    </row>
    <row r="916" spans="1:17" x14ac:dyDescent="0.45">
      <c r="A916" s="6">
        <v>2020</v>
      </c>
      <c r="B916" s="1" t="s">
        <v>255</v>
      </c>
      <c r="C916" s="2" t="str">
        <f t="shared" si="28"/>
        <v>Gus Edwards</v>
      </c>
      <c r="D916" s="2" t="str">
        <f t="shared" si="29"/>
        <v>BAL</v>
      </c>
      <c r="E916" s="2">
        <v>16</v>
      </c>
      <c r="F916" s="12">
        <v>13</v>
      </c>
      <c r="G916" s="11">
        <v>9</v>
      </c>
      <c r="H916" s="11">
        <v>129</v>
      </c>
      <c r="I916" s="11">
        <v>14.3</v>
      </c>
      <c r="J916" s="11">
        <v>0</v>
      </c>
      <c r="K916" s="11">
        <v>1</v>
      </c>
      <c r="L916" s="11" t="str" cm="1">
        <f t="array" ref="L916">IFERROR(_xlfn.XLOOKUP(C916&amp;A916, ESPN!A:A&amp;ESPN!C:C, ESPN!D:D), "N/A")</f>
        <v>N/A</v>
      </c>
      <c r="M916" s="23" t="str" cm="1">
        <f t="array" ref="M916">IFERROR(_xlfn.XLOOKUP(C916&amp;A916, ESPN!A:A&amp;ESPN!C:C, ESPN!G:G), "N/A")</f>
        <v>N/A</v>
      </c>
      <c r="N916" s="23" t="str" cm="1">
        <f t="array" ref="N916">IFERROR(_xlfn.XLOOKUP(C916&amp;A916, ESPN!A:A&amp;ESPN!C:C, ESPN!H:H), "N/A")</f>
        <v>N/A</v>
      </c>
      <c r="O916" s="26" t="str" cm="1">
        <f t="array" ref="O916">IFERROR(_xlfn.XLOOKUP(C916&amp;A916, ESPN!A:A&amp;ESPN!C:C, ESPN!I:I), "N/A")</f>
        <v>N/A</v>
      </c>
      <c r="P916" s="26" t="str" cm="1">
        <f t="array" ref="P916">IFERROR(_xlfn.XLOOKUP(C916&amp;A916, ESPN!A:A&amp;ESPN!C:C, ESPN!J:J), "N/A")</f>
        <v>N/A</v>
      </c>
      <c r="Q916" s="26" t="str" cm="1">
        <f t="array" ref="Q916">IFERROR(_xlfn.XLOOKUP(C916&amp;A916, ESPN!A:A&amp;ESPN!C:C, ESPN!K:K), "N/A")</f>
        <v>N/A</v>
      </c>
    </row>
    <row r="917" spans="1:17" x14ac:dyDescent="0.45">
      <c r="A917" s="7">
        <v>2020</v>
      </c>
      <c r="B917" s="3" t="s">
        <v>530</v>
      </c>
      <c r="C917" s="4" t="str">
        <f t="shared" si="28"/>
        <v>Wayne Gallman Jr.</v>
      </c>
      <c r="D917" s="4" t="str">
        <f t="shared" si="29"/>
        <v>NYG</v>
      </c>
      <c r="E917" s="4">
        <v>15</v>
      </c>
      <c r="F917" s="12">
        <v>27</v>
      </c>
      <c r="G917" s="11">
        <v>21</v>
      </c>
      <c r="H917" s="11">
        <v>114</v>
      </c>
      <c r="I917" s="11">
        <v>5.4</v>
      </c>
      <c r="J917" s="11">
        <v>0</v>
      </c>
      <c r="K917" s="11">
        <v>0</v>
      </c>
      <c r="L917" s="11" cm="1">
        <f t="array" ref="L917">IFERROR(_xlfn.XLOOKUP(C917&amp;A917, ESPN!A:A&amp;ESPN!C:C, ESPN!D:D), "N/A")</f>
        <v>112</v>
      </c>
      <c r="M917" s="23" cm="1">
        <f t="array" ref="M917">IFERROR(_xlfn.XLOOKUP(C917&amp;A917, ESPN!A:A&amp;ESPN!C:C, ESPN!G:G), "N/A")</f>
        <v>1.02</v>
      </c>
      <c r="N917" s="23" cm="1">
        <f t="array" ref="N917">IFERROR(_xlfn.XLOOKUP(C917&amp;A917, ESPN!A:A&amp;ESPN!C:C, ESPN!H:H), "N/A")</f>
        <v>40</v>
      </c>
      <c r="O917" s="26" cm="1">
        <f t="array" ref="O917">IFERROR(_xlfn.XLOOKUP(C917&amp;A917, ESPN!A:A&amp;ESPN!C:C, ESPN!I:I), "N/A")</f>
        <v>55</v>
      </c>
      <c r="P917" s="26" cm="1">
        <f t="array" ref="P917">IFERROR(_xlfn.XLOOKUP(C917&amp;A917, ESPN!A:A&amp;ESPN!C:C, ESPN!J:J), "N/A")</f>
        <v>40</v>
      </c>
      <c r="Q917" s="26" cm="1">
        <f t="array" ref="Q917">IFERROR(_xlfn.XLOOKUP(C917&amp;A917, ESPN!A:A&amp;ESPN!C:C, ESPN!K:K), "N/A")</f>
        <v>40</v>
      </c>
    </row>
    <row r="918" spans="1:17" x14ac:dyDescent="0.45">
      <c r="A918" s="6">
        <v>2020</v>
      </c>
      <c r="B918" s="1" t="s">
        <v>428</v>
      </c>
      <c r="C918" s="2" t="str">
        <f t="shared" si="28"/>
        <v>Chase Edmonds</v>
      </c>
      <c r="D918" s="2" t="str">
        <f t="shared" si="29"/>
        <v>ARI</v>
      </c>
      <c r="E918" s="2">
        <v>16</v>
      </c>
      <c r="F918" s="12">
        <v>67</v>
      </c>
      <c r="G918" s="11">
        <v>53</v>
      </c>
      <c r="H918" s="11">
        <v>402</v>
      </c>
      <c r="I918" s="11">
        <v>7.6</v>
      </c>
      <c r="J918" s="11">
        <v>4</v>
      </c>
      <c r="K918" s="11">
        <v>0</v>
      </c>
      <c r="L918" s="11" cm="1">
        <f t="array" ref="L918">IFERROR(_xlfn.XLOOKUP(C918&amp;A918, ESPN!A:A&amp;ESPN!C:C, ESPN!D:D), "N/A")</f>
        <v>220</v>
      </c>
      <c r="M918" s="23" cm="1">
        <f t="array" ref="M918">IFERROR(_xlfn.XLOOKUP(C918&amp;A918, ESPN!A:A&amp;ESPN!C:C, ESPN!G:G), "N/A")</f>
        <v>1.83</v>
      </c>
      <c r="N918" s="23" cm="1">
        <f t="array" ref="N918">IFERROR(_xlfn.XLOOKUP(C918&amp;A918, ESPN!A:A&amp;ESPN!C:C, ESPN!H:H), "N/A")</f>
        <v>54</v>
      </c>
      <c r="O918" s="26" cm="1">
        <f t="array" ref="O918">IFERROR(_xlfn.XLOOKUP(C918&amp;A918, ESPN!A:A&amp;ESPN!C:C, ESPN!I:I), "N/A")</f>
        <v>72</v>
      </c>
      <c r="P918" s="26" cm="1">
        <f t="array" ref="P918">IFERROR(_xlfn.XLOOKUP(C918&amp;A918, ESPN!A:A&amp;ESPN!C:C, ESPN!J:J), "N/A")</f>
        <v>53</v>
      </c>
      <c r="Q918" s="26" cm="1">
        <f t="array" ref="Q918">IFERROR(_xlfn.XLOOKUP(C918&amp;A918, ESPN!A:A&amp;ESPN!C:C, ESPN!K:K), "N/A")</f>
        <v>65</v>
      </c>
    </row>
    <row r="919" spans="1:17" x14ac:dyDescent="0.45">
      <c r="A919" s="7">
        <v>2020</v>
      </c>
      <c r="B919" s="3" t="s">
        <v>276</v>
      </c>
      <c r="C919" s="4" t="str">
        <f t="shared" si="28"/>
        <v>Darrell Henderson Jr.</v>
      </c>
      <c r="D919" s="4" t="str">
        <f t="shared" si="29"/>
        <v>LAR</v>
      </c>
      <c r="E919" s="4">
        <v>15</v>
      </c>
      <c r="F919" s="12">
        <v>24</v>
      </c>
      <c r="G919" s="11">
        <v>16</v>
      </c>
      <c r="H919" s="11">
        <v>159</v>
      </c>
      <c r="I919" s="11">
        <v>9.9</v>
      </c>
      <c r="J919" s="11">
        <v>1</v>
      </c>
      <c r="K919" s="11">
        <v>0</v>
      </c>
      <c r="L919" s="11" t="str" cm="1">
        <f t="array" ref="L919">IFERROR(_xlfn.XLOOKUP(C919&amp;A919, ESPN!A:A&amp;ESPN!C:C, ESPN!D:D), "N/A")</f>
        <v>N/A</v>
      </c>
      <c r="M919" s="23" t="str" cm="1">
        <f t="array" ref="M919">IFERROR(_xlfn.XLOOKUP(C919&amp;A919, ESPN!A:A&amp;ESPN!C:C, ESPN!G:G), "N/A")</f>
        <v>N/A</v>
      </c>
      <c r="N919" s="23" t="str" cm="1">
        <f t="array" ref="N919">IFERROR(_xlfn.XLOOKUP(C919&amp;A919, ESPN!A:A&amp;ESPN!C:C, ESPN!H:H), "N/A")</f>
        <v>N/A</v>
      </c>
      <c r="O919" s="26" t="str" cm="1">
        <f t="array" ref="O919">IFERROR(_xlfn.XLOOKUP(C919&amp;A919, ESPN!A:A&amp;ESPN!C:C, ESPN!I:I), "N/A")</f>
        <v>N/A</v>
      </c>
      <c r="P919" s="26" t="str" cm="1">
        <f t="array" ref="P919">IFERROR(_xlfn.XLOOKUP(C919&amp;A919, ESPN!A:A&amp;ESPN!C:C, ESPN!J:J), "N/A")</f>
        <v>N/A</v>
      </c>
      <c r="Q919" s="26" t="str" cm="1">
        <f t="array" ref="Q919">IFERROR(_xlfn.XLOOKUP(C919&amp;A919, ESPN!A:A&amp;ESPN!C:C, ESPN!K:K), "N/A")</f>
        <v>N/A</v>
      </c>
    </row>
    <row r="920" spans="1:17" x14ac:dyDescent="0.45">
      <c r="A920" s="6">
        <v>2020</v>
      </c>
      <c r="B920" s="1" t="s">
        <v>531</v>
      </c>
      <c r="C920" s="2" t="str">
        <f t="shared" si="28"/>
        <v>Latavius Murray</v>
      </c>
      <c r="D920" s="2" t="str">
        <f t="shared" si="29"/>
        <v>NO</v>
      </c>
      <c r="E920" s="2">
        <v>15</v>
      </c>
      <c r="F920" s="12">
        <v>26</v>
      </c>
      <c r="G920" s="11">
        <v>23</v>
      </c>
      <c r="H920" s="11">
        <v>176</v>
      </c>
      <c r="I920" s="11">
        <v>7.7</v>
      </c>
      <c r="J920" s="11">
        <v>1</v>
      </c>
      <c r="K920" s="11">
        <v>0</v>
      </c>
      <c r="L920" s="11" cm="1">
        <f t="array" ref="L920">IFERROR(_xlfn.XLOOKUP(C920&amp;A920, ESPN!A:A&amp;ESPN!C:C, ESPN!D:D), "N/A")</f>
        <v>103</v>
      </c>
      <c r="M920" s="23" cm="1">
        <f t="array" ref="M920">IFERROR(_xlfn.XLOOKUP(C920&amp;A920, ESPN!A:A&amp;ESPN!C:C, ESPN!G:G), "N/A")</f>
        <v>1.82</v>
      </c>
      <c r="N920" s="23" cm="1">
        <f t="array" ref="N920">IFERROR(_xlfn.XLOOKUP(C920&amp;A920, ESPN!A:A&amp;ESPN!C:C, ESPN!H:H), "N/A")</f>
        <v>70</v>
      </c>
      <c r="O920" s="26" cm="1">
        <f t="array" ref="O920">IFERROR(_xlfn.XLOOKUP(C920&amp;A920, ESPN!A:A&amp;ESPN!C:C, ESPN!I:I), "N/A")</f>
        <v>64</v>
      </c>
      <c r="P920" s="26" cm="1">
        <f t="array" ref="P920">IFERROR(_xlfn.XLOOKUP(C920&amp;A920, ESPN!A:A&amp;ESPN!C:C, ESPN!J:J), "N/A")</f>
        <v>63</v>
      </c>
      <c r="Q920" s="26" cm="1">
        <f t="array" ref="Q920">IFERROR(_xlfn.XLOOKUP(C920&amp;A920, ESPN!A:A&amp;ESPN!C:C, ESPN!K:K), "N/A")</f>
        <v>75</v>
      </c>
    </row>
    <row r="921" spans="1:17" x14ac:dyDescent="0.45">
      <c r="A921" s="7">
        <v>2020</v>
      </c>
      <c r="B921" s="3" t="s">
        <v>532</v>
      </c>
      <c r="C921" s="4" t="str">
        <f t="shared" si="28"/>
        <v>Adrian Peterson</v>
      </c>
      <c r="D921" s="4" t="str">
        <f t="shared" si="29"/>
        <v>DET</v>
      </c>
      <c r="E921" s="4">
        <v>16</v>
      </c>
      <c r="F921" s="12">
        <v>18</v>
      </c>
      <c r="G921" s="11">
        <v>12</v>
      </c>
      <c r="H921" s="11">
        <v>101</v>
      </c>
      <c r="I921" s="11">
        <v>8.4</v>
      </c>
      <c r="J921" s="11">
        <v>0</v>
      </c>
      <c r="K921" s="11">
        <v>0</v>
      </c>
      <c r="L921" s="11" t="str" cm="1">
        <f t="array" ref="L921">IFERROR(_xlfn.XLOOKUP(C921&amp;A921, ESPN!A:A&amp;ESPN!C:C, ESPN!D:D), "N/A")</f>
        <v>N/A</v>
      </c>
      <c r="M921" s="23" t="str" cm="1">
        <f t="array" ref="M921">IFERROR(_xlfn.XLOOKUP(C921&amp;A921, ESPN!A:A&amp;ESPN!C:C, ESPN!G:G), "N/A")</f>
        <v>N/A</v>
      </c>
      <c r="N921" s="23" t="str" cm="1">
        <f t="array" ref="N921">IFERROR(_xlfn.XLOOKUP(C921&amp;A921, ESPN!A:A&amp;ESPN!C:C, ESPN!H:H), "N/A")</f>
        <v>N/A</v>
      </c>
      <c r="O921" s="26" t="str" cm="1">
        <f t="array" ref="O921">IFERROR(_xlfn.XLOOKUP(C921&amp;A921, ESPN!A:A&amp;ESPN!C:C, ESPN!I:I), "N/A")</f>
        <v>N/A</v>
      </c>
      <c r="P921" s="26" t="str" cm="1">
        <f t="array" ref="P921">IFERROR(_xlfn.XLOOKUP(C921&amp;A921, ESPN!A:A&amp;ESPN!C:C, ESPN!J:J), "N/A")</f>
        <v>N/A</v>
      </c>
      <c r="Q921" s="26" t="str" cm="1">
        <f t="array" ref="Q921">IFERROR(_xlfn.XLOOKUP(C921&amp;A921, ESPN!A:A&amp;ESPN!C:C, ESPN!K:K), "N/A")</f>
        <v>N/A</v>
      </c>
    </row>
    <row r="922" spans="1:17" x14ac:dyDescent="0.45">
      <c r="A922" s="6">
        <v>2020</v>
      </c>
      <c r="B922" s="1" t="s">
        <v>369</v>
      </c>
      <c r="C922" s="2" t="str">
        <f t="shared" si="28"/>
        <v>J.D. McKissic</v>
      </c>
      <c r="D922" s="2" t="str">
        <f t="shared" si="29"/>
        <v>WAS</v>
      </c>
      <c r="E922" s="2">
        <v>16</v>
      </c>
      <c r="F922" s="12">
        <v>110</v>
      </c>
      <c r="G922" s="11">
        <v>80</v>
      </c>
      <c r="H922" s="11">
        <v>589</v>
      </c>
      <c r="I922" s="11">
        <v>7.4</v>
      </c>
      <c r="J922" s="11">
        <v>2</v>
      </c>
      <c r="K922" s="11">
        <v>1</v>
      </c>
      <c r="L922" s="11" cm="1">
        <f t="array" ref="L922">IFERROR(_xlfn.XLOOKUP(C922&amp;A922, ESPN!A:A&amp;ESPN!C:C, ESPN!D:D), "N/A")</f>
        <v>310</v>
      </c>
      <c r="M922" s="23" cm="1">
        <f t="array" ref="M922">IFERROR(_xlfn.XLOOKUP(C922&amp;A922, ESPN!A:A&amp;ESPN!C:C, ESPN!G:G), "N/A")</f>
        <v>1.93</v>
      </c>
      <c r="N922" s="23" cm="1">
        <f t="array" ref="N922">IFERROR(_xlfn.XLOOKUP(C922&amp;A922, ESPN!A:A&amp;ESPN!C:C, ESPN!H:H), "N/A")</f>
        <v>55</v>
      </c>
      <c r="O922" s="26" cm="1">
        <f t="array" ref="O922">IFERROR(_xlfn.XLOOKUP(C922&amp;A922, ESPN!A:A&amp;ESPN!C:C, ESPN!I:I), "N/A")</f>
        <v>27</v>
      </c>
      <c r="P922" s="26" cm="1">
        <f t="array" ref="P922">IFERROR(_xlfn.XLOOKUP(C922&amp;A922, ESPN!A:A&amp;ESPN!C:C, ESPN!J:J), "N/A")</f>
        <v>43</v>
      </c>
      <c r="Q922" s="26" cm="1">
        <f t="array" ref="Q922">IFERROR(_xlfn.XLOOKUP(C922&amp;A922, ESPN!A:A&amp;ESPN!C:C, ESPN!K:K), "N/A")</f>
        <v>35</v>
      </c>
    </row>
    <row r="923" spans="1:17" x14ac:dyDescent="0.45">
      <c r="A923" s="7">
        <v>2020</v>
      </c>
      <c r="B923" s="3" t="s">
        <v>261</v>
      </c>
      <c r="C923" s="4" t="str">
        <f t="shared" si="28"/>
        <v>Austin Ekeler</v>
      </c>
      <c r="D923" s="4" t="str">
        <f t="shared" si="29"/>
        <v>LAC</v>
      </c>
      <c r="E923" s="4">
        <v>10</v>
      </c>
      <c r="F923" s="12">
        <v>65</v>
      </c>
      <c r="G923" s="11">
        <v>54</v>
      </c>
      <c r="H923" s="11">
        <v>403</v>
      </c>
      <c r="I923" s="11">
        <v>7.5</v>
      </c>
      <c r="J923" s="11">
        <v>2</v>
      </c>
      <c r="K923" s="11">
        <v>0</v>
      </c>
      <c r="L923" s="11" cm="1">
        <f t="array" ref="L923">IFERROR(_xlfn.XLOOKUP(C923&amp;A923, ESPN!A:A&amp;ESPN!C:C, ESPN!D:D), "N/A")</f>
        <v>176</v>
      </c>
      <c r="M923" s="23" cm="1">
        <f t="array" ref="M923">IFERROR(_xlfn.XLOOKUP(C923&amp;A923, ESPN!A:A&amp;ESPN!C:C, ESPN!G:G), "N/A")</f>
        <v>2.29</v>
      </c>
      <c r="N923" s="23" cm="1">
        <f t="array" ref="N923">IFERROR(_xlfn.XLOOKUP(C923&amp;A923, ESPN!A:A&amp;ESPN!C:C, ESPN!H:H), "N/A")</f>
        <v>40</v>
      </c>
      <c r="O923" s="26" cm="1">
        <f t="array" ref="O923">IFERROR(_xlfn.XLOOKUP(C923&amp;A923, ESPN!A:A&amp;ESPN!C:C, ESPN!I:I), "N/A")</f>
        <v>53</v>
      </c>
      <c r="P923" s="26" cm="1">
        <f t="array" ref="P923">IFERROR(_xlfn.XLOOKUP(C923&amp;A923, ESPN!A:A&amp;ESPN!C:C, ESPN!J:J), "N/A")</f>
        <v>62</v>
      </c>
      <c r="Q923" s="26" cm="1">
        <f t="array" ref="Q923">IFERROR(_xlfn.XLOOKUP(C923&amp;A923, ESPN!A:A&amp;ESPN!C:C, ESPN!K:K), "N/A")</f>
        <v>58</v>
      </c>
    </row>
    <row r="924" spans="1:17" x14ac:dyDescent="0.45">
      <c r="A924" s="6">
        <v>2020</v>
      </c>
      <c r="B924" s="1" t="s">
        <v>533</v>
      </c>
      <c r="C924" s="2" t="str">
        <f t="shared" si="28"/>
        <v>Giovani Bernard</v>
      </c>
      <c r="D924" s="2" t="str">
        <f t="shared" si="29"/>
        <v>CIN</v>
      </c>
      <c r="E924" s="2">
        <v>16</v>
      </c>
      <c r="F924" s="12">
        <v>59</v>
      </c>
      <c r="G924" s="11">
        <v>47</v>
      </c>
      <c r="H924" s="11">
        <v>355</v>
      </c>
      <c r="I924" s="11">
        <v>7.6</v>
      </c>
      <c r="J924" s="11">
        <v>3</v>
      </c>
      <c r="K924" s="11">
        <v>1</v>
      </c>
      <c r="L924" s="11" cm="1">
        <f t="array" ref="L924">IFERROR(_xlfn.XLOOKUP(C924&amp;A924, ESPN!A:A&amp;ESPN!C:C, ESPN!D:D), "N/A")</f>
        <v>205</v>
      </c>
      <c r="M924" s="23" cm="1">
        <f t="array" ref="M924">IFERROR(_xlfn.XLOOKUP(C924&amp;A924, ESPN!A:A&amp;ESPN!C:C, ESPN!G:G), "N/A")</f>
        <v>1.73</v>
      </c>
      <c r="N924" s="23" cm="1">
        <f t="array" ref="N924">IFERROR(_xlfn.XLOOKUP(C924&amp;A924, ESPN!A:A&amp;ESPN!C:C, ESPN!H:H), "N/A")</f>
        <v>46</v>
      </c>
      <c r="O924" s="26" cm="1">
        <f t="array" ref="O924">IFERROR(_xlfn.XLOOKUP(C924&amp;A924, ESPN!A:A&amp;ESPN!C:C, ESPN!I:I), "N/A")</f>
        <v>47</v>
      </c>
      <c r="P924" s="26" cm="1">
        <f t="array" ref="P924">IFERROR(_xlfn.XLOOKUP(C924&amp;A924, ESPN!A:A&amp;ESPN!C:C, ESPN!J:J), "N/A")</f>
        <v>59</v>
      </c>
      <c r="Q924" s="26" cm="1">
        <f t="array" ref="Q924">IFERROR(_xlfn.XLOOKUP(C924&amp;A924, ESPN!A:A&amp;ESPN!C:C, ESPN!K:K), "N/A")</f>
        <v>55</v>
      </c>
    </row>
    <row r="925" spans="1:17" x14ac:dyDescent="0.45">
      <c r="A925" s="7">
        <v>2020</v>
      </c>
      <c r="B925" s="3" t="s">
        <v>347</v>
      </c>
      <c r="C925" s="4" t="str">
        <f t="shared" si="28"/>
        <v>Devin Singletary</v>
      </c>
      <c r="D925" s="4" t="str">
        <f t="shared" si="29"/>
        <v>BUF</v>
      </c>
      <c r="E925" s="4">
        <v>16</v>
      </c>
      <c r="F925" s="12">
        <v>50</v>
      </c>
      <c r="G925" s="11">
        <v>38</v>
      </c>
      <c r="H925" s="11">
        <v>269</v>
      </c>
      <c r="I925" s="11">
        <v>7.1</v>
      </c>
      <c r="J925" s="11">
        <v>0</v>
      </c>
      <c r="K925" s="11">
        <v>1</v>
      </c>
      <c r="L925" s="11" cm="1">
        <f t="array" ref="L925">IFERROR(_xlfn.XLOOKUP(C925&amp;A925, ESPN!A:A&amp;ESPN!C:C, ESPN!D:D), "N/A")</f>
        <v>285</v>
      </c>
      <c r="M925" s="23" cm="1">
        <f t="array" ref="M925">IFERROR(_xlfn.XLOOKUP(C925&amp;A925, ESPN!A:A&amp;ESPN!C:C, ESPN!G:G), "N/A")</f>
        <v>1.1000000000000001</v>
      </c>
      <c r="N925" s="23" cm="1">
        <f t="array" ref="N925">IFERROR(_xlfn.XLOOKUP(C925&amp;A925, ESPN!A:A&amp;ESPN!C:C, ESPN!H:H), "N/A")</f>
        <v>39</v>
      </c>
      <c r="O925" s="26" cm="1">
        <f t="array" ref="O925">IFERROR(_xlfn.XLOOKUP(C925&amp;A925, ESPN!A:A&amp;ESPN!C:C, ESPN!I:I), "N/A")</f>
        <v>47</v>
      </c>
      <c r="P925" s="26" cm="1">
        <f t="array" ref="P925">IFERROR(_xlfn.XLOOKUP(C925&amp;A925, ESPN!A:A&amp;ESPN!C:C, ESPN!J:J), "N/A")</f>
        <v>59</v>
      </c>
      <c r="Q925" s="26" cm="1">
        <f t="array" ref="Q925">IFERROR(_xlfn.XLOOKUP(C925&amp;A925, ESPN!A:A&amp;ESPN!C:C, ESPN!K:K), "N/A")</f>
        <v>52</v>
      </c>
    </row>
    <row r="926" spans="1:17" x14ac:dyDescent="0.45">
      <c r="A926" s="6">
        <v>2020</v>
      </c>
      <c r="B926" s="1" t="s">
        <v>534</v>
      </c>
      <c r="C926" s="2" t="str">
        <f t="shared" si="28"/>
        <v>Jamaal Williams</v>
      </c>
      <c r="D926" s="2" t="str">
        <f t="shared" si="29"/>
        <v>GB</v>
      </c>
      <c r="E926" s="2">
        <v>14</v>
      </c>
      <c r="F926" s="12">
        <v>35</v>
      </c>
      <c r="G926" s="11">
        <v>31</v>
      </c>
      <c r="H926" s="11">
        <v>236</v>
      </c>
      <c r="I926" s="11">
        <v>7.6</v>
      </c>
      <c r="J926" s="11">
        <v>1</v>
      </c>
      <c r="K926" s="11">
        <v>0</v>
      </c>
      <c r="L926" s="11" cm="1">
        <f t="array" ref="L926">IFERROR(_xlfn.XLOOKUP(C926&amp;A926, ESPN!A:A&amp;ESPN!C:C, ESPN!D:D), "N/A")</f>
        <v>164</v>
      </c>
      <c r="M926" s="23" cm="1">
        <f t="array" ref="M926">IFERROR(_xlfn.XLOOKUP(C926&amp;A926, ESPN!A:A&amp;ESPN!C:C, ESPN!G:G), "N/A")</f>
        <v>1.57</v>
      </c>
      <c r="N926" s="23" cm="1">
        <f t="array" ref="N926">IFERROR(_xlfn.XLOOKUP(C926&amp;A926, ESPN!A:A&amp;ESPN!C:C, ESPN!H:H), "N/A")</f>
        <v>34</v>
      </c>
      <c r="O926" s="26" cm="1">
        <f t="array" ref="O926">IFERROR(_xlfn.XLOOKUP(C926&amp;A926, ESPN!A:A&amp;ESPN!C:C, ESPN!I:I), "N/A")</f>
        <v>49</v>
      </c>
      <c r="P926" s="26" cm="1">
        <f t="array" ref="P926">IFERROR(_xlfn.XLOOKUP(C926&amp;A926, ESPN!A:A&amp;ESPN!C:C, ESPN!J:J), "N/A")</f>
        <v>38</v>
      </c>
      <c r="Q926" s="26" cm="1">
        <f t="array" ref="Q926">IFERROR(_xlfn.XLOOKUP(C926&amp;A926, ESPN!A:A&amp;ESPN!C:C, ESPN!K:K), "N/A")</f>
        <v>33</v>
      </c>
    </row>
    <row r="927" spans="1:17" x14ac:dyDescent="0.45">
      <c r="A927" s="7">
        <v>2020</v>
      </c>
      <c r="B927" s="3" t="s">
        <v>344</v>
      </c>
      <c r="C927" s="4" t="str">
        <f t="shared" si="28"/>
        <v>Leonard Fournette</v>
      </c>
      <c r="D927" s="4" t="str">
        <f t="shared" si="29"/>
        <v>TB</v>
      </c>
      <c r="E927" s="4">
        <v>13</v>
      </c>
      <c r="F927" s="12">
        <v>47</v>
      </c>
      <c r="G927" s="11">
        <v>36</v>
      </c>
      <c r="H927" s="11">
        <v>233</v>
      </c>
      <c r="I927" s="11">
        <v>6.5</v>
      </c>
      <c r="J927" s="11">
        <v>0</v>
      </c>
      <c r="K927" s="11">
        <v>0</v>
      </c>
      <c r="L927" s="11" cm="1">
        <f t="array" ref="L927">IFERROR(_xlfn.XLOOKUP(C927&amp;A927, ESPN!A:A&amp;ESPN!C:C, ESPN!D:D), "N/A")</f>
        <v>221</v>
      </c>
      <c r="M927" s="23" cm="1">
        <f t="array" ref="M927">IFERROR(_xlfn.XLOOKUP(C927&amp;A927, ESPN!A:A&amp;ESPN!C:C, ESPN!G:G), "N/A")</f>
        <v>1.72</v>
      </c>
      <c r="N927" s="23" cm="1">
        <f t="array" ref="N927">IFERROR(_xlfn.XLOOKUP(C927&amp;A927, ESPN!A:A&amp;ESPN!C:C, ESPN!H:H), "N/A")</f>
        <v>56</v>
      </c>
      <c r="O927" s="26" cm="1">
        <f t="array" ref="O927">IFERROR(_xlfn.XLOOKUP(C927&amp;A927, ESPN!A:A&amp;ESPN!C:C, ESPN!I:I), "N/A")</f>
        <v>26</v>
      </c>
      <c r="P927" s="26" cm="1">
        <f t="array" ref="P927">IFERROR(_xlfn.XLOOKUP(C927&amp;A927, ESPN!A:A&amp;ESPN!C:C, ESPN!J:J), "N/A")</f>
        <v>40</v>
      </c>
      <c r="Q927" s="26" cm="1">
        <f t="array" ref="Q927">IFERROR(_xlfn.XLOOKUP(C927&amp;A927, ESPN!A:A&amp;ESPN!C:C, ESPN!K:K), "N/A")</f>
        <v>32</v>
      </c>
    </row>
    <row r="928" spans="1:17" x14ac:dyDescent="0.45">
      <c r="A928" s="6">
        <v>2020</v>
      </c>
      <c r="B928" s="1" t="s">
        <v>535</v>
      </c>
      <c r="C928" s="2" t="str">
        <f t="shared" si="28"/>
        <v>Jerick McKinnon</v>
      </c>
      <c r="D928" s="2" t="str">
        <f t="shared" si="29"/>
        <v>SF</v>
      </c>
      <c r="E928" s="2">
        <v>16</v>
      </c>
      <c r="F928" s="12">
        <v>46</v>
      </c>
      <c r="G928" s="11">
        <v>33</v>
      </c>
      <c r="H928" s="11">
        <v>253</v>
      </c>
      <c r="I928" s="11">
        <v>7.7</v>
      </c>
      <c r="J928" s="11">
        <v>1</v>
      </c>
      <c r="K928" s="11">
        <v>0</v>
      </c>
      <c r="L928" s="11" cm="1">
        <f t="array" ref="L928">IFERROR(_xlfn.XLOOKUP(C928&amp;A928, ESPN!A:A&amp;ESPN!C:C, ESPN!D:D), "N/A")</f>
        <v>170</v>
      </c>
      <c r="M928" s="23" cm="1">
        <f t="array" ref="M928">IFERROR(_xlfn.XLOOKUP(C928&amp;A928, ESPN!A:A&amp;ESPN!C:C, ESPN!G:G), "N/A")</f>
        <v>1.49</v>
      </c>
      <c r="N928" s="23" cm="1">
        <f t="array" ref="N928">IFERROR(_xlfn.XLOOKUP(C928&amp;A928, ESPN!A:A&amp;ESPN!C:C, ESPN!H:H), "N/A")</f>
        <v>50</v>
      </c>
      <c r="O928" s="26" cm="1">
        <f t="array" ref="O928">IFERROR(_xlfn.XLOOKUP(C928&amp;A928, ESPN!A:A&amp;ESPN!C:C, ESPN!I:I), "N/A")</f>
        <v>41</v>
      </c>
      <c r="P928" s="26" cm="1">
        <f t="array" ref="P928">IFERROR(_xlfn.XLOOKUP(C928&amp;A928, ESPN!A:A&amp;ESPN!C:C, ESPN!J:J), "N/A")</f>
        <v>38</v>
      </c>
      <c r="Q928" s="26" cm="1">
        <f t="array" ref="Q928">IFERROR(_xlfn.XLOOKUP(C928&amp;A928, ESPN!A:A&amp;ESPN!C:C, ESPN!K:K), "N/A")</f>
        <v>35</v>
      </c>
    </row>
    <row r="929" spans="1:17" x14ac:dyDescent="0.45">
      <c r="A929" s="7">
        <v>2020</v>
      </c>
      <c r="B929" s="3" t="s">
        <v>256</v>
      </c>
      <c r="C929" s="4" t="str">
        <f t="shared" si="28"/>
        <v>Tony Pollard</v>
      </c>
      <c r="D929" s="4" t="str">
        <f t="shared" si="29"/>
        <v>DAL</v>
      </c>
      <c r="E929" s="4">
        <v>16</v>
      </c>
      <c r="F929" s="12">
        <v>40</v>
      </c>
      <c r="G929" s="11">
        <v>28</v>
      </c>
      <c r="H929" s="11">
        <v>193</v>
      </c>
      <c r="I929" s="11">
        <v>6.9</v>
      </c>
      <c r="J929" s="11">
        <v>1</v>
      </c>
      <c r="K929" s="11">
        <v>0</v>
      </c>
      <c r="L929" s="11" cm="1">
        <f t="array" ref="L929">IFERROR(_xlfn.XLOOKUP(C929&amp;A929, ESPN!A:A&amp;ESPN!C:C, ESPN!D:D), "N/A")</f>
        <v>133</v>
      </c>
      <c r="M929" s="23" cm="1">
        <f t="array" ref="M929">IFERROR(_xlfn.XLOOKUP(C929&amp;A929, ESPN!A:A&amp;ESPN!C:C, ESPN!G:G), "N/A")</f>
        <v>1.45</v>
      </c>
      <c r="N929" s="23" cm="1">
        <f t="array" ref="N929">IFERROR(_xlfn.XLOOKUP(C929&amp;A929, ESPN!A:A&amp;ESPN!C:C, ESPN!H:H), "N/A")</f>
        <v>57</v>
      </c>
      <c r="O929" s="26" cm="1">
        <f t="array" ref="O929">IFERROR(_xlfn.XLOOKUP(C929&amp;A929, ESPN!A:A&amp;ESPN!C:C, ESPN!I:I), "N/A")</f>
        <v>37</v>
      </c>
      <c r="P929" s="26" cm="1">
        <f t="array" ref="P929">IFERROR(_xlfn.XLOOKUP(C929&amp;A929, ESPN!A:A&amp;ESPN!C:C, ESPN!J:J), "N/A")</f>
        <v>72</v>
      </c>
      <c r="Q929" s="26" cm="1">
        <f t="array" ref="Q929">IFERROR(_xlfn.XLOOKUP(C929&amp;A929, ESPN!A:A&amp;ESPN!C:C, ESPN!K:K), "N/A")</f>
        <v>65</v>
      </c>
    </row>
    <row r="930" spans="1:17" x14ac:dyDescent="0.45">
      <c r="A930" s="6">
        <v>2020</v>
      </c>
      <c r="B930" s="1" t="s">
        <v>348</v>
      </c>
      <c r="C930" s="2" t="str">
        <f t="shared" si="28"/>
        <v>Cam Akers</v>
      </c>
      <c r="D930" s="2" t="str">
        <f t="shared" si="29"/>
        <v>LAR</v>
      </c>
      <c r="E930" s="2">
        <v>12</v>
      </c>
      <c r="F930" s="12">
        <v>14</v>
      </c>
      <c r="G930" s="11">
        <v>11</v>
      </c>
      <c r="H930" s="11">
        <v>123</v>
      </c>
      <c r="I930" s="11">
        <v>11.2</v>
      </c>
      <c r="J930" s="11">
        <v>1</v>
      </c>
      <c r="K930" s="11">
        <v>1</v>
      </c>
      <c r="L930" s="11" t="str" cm="1">
        <f t="array" ref="L930">IFERROR(_xlfn.XLOOKUP(C930&amp;A930, ESPN!A:A&amp;ESPN!C:C, ESPN!D:D), "N/A")</f>
        <v>N/A</v>
      </c>
      <c r="M930" s="23" t="str" cm="1">
        <f t="array" ref="M930">IFERROR(_xlfn.XLOOKUP(C930&amp;A930, ESPN!A:A&amp;ESPN!C:C, ESPN!G:G), "N/A")</f>
        <v>N/A</v>
      </c>
      <c r="N930" s="23" t="str" cm="1">
        <f t="array" ref="N930">IFERROR(_xlfn.XLOOKUP(C930&amp;A930, ESPN!A:A&amp;ESPN!C:C, ESPN!H:H), "N/A")</f>
        <v>N/A</v>
      </c>
      <c r="O930" s="26" t="str" cm="1">
        <f t="array" ref="O930">IFERROR(_xlfn.XLOOKUP(C930&amp;A930, ESPN!A:A&amp;ESPN!C:C, ESPN!I:I), "N/A")</f>
        <v>N/A</v>
      </c>
      <c r="P930" s="26" t="str" cm="1">
        <f t="array" ref="P930">IFERROR(_xlfn.XLOOKUP(C930&amp;A930, ESPN!A:A&amp;ESPN!C:C, ESPN!J:J), "N/A")</f>
        <v>N/A</v>
      </c>
      <c r="Q930" s="26" t="str" cm="1">
        <f t="array" ref="Q930">IFERROR(_xlfn.XLOOKUP(C930&amp;A930, ESPN!A:A&amp;ESPN!C:C, ESPN!K:K), "N/A")</f>
        <v>N/A</v>
      </c>
    </row>
    <row r="931" spans="1:17" x14ac:dyDescent="0.45">
      <c r="A931" s="7">
        <v>2020</v>
      </c>
      <c r="B931" s="3" t="s">
        <v>434</v>
      </c>
      <c r="C931" s="4" t="str">
        <f t="shared" si="28"/>
        <v>Zack Moss</v>
      </c>
      <c r="D931" s="4" t="str">
        <f t="shared" si="29"/>
        <v>BUF</v>
      </c>
      <c r="E931" s="4">
        <v>13</v>
      </c>
      <c r="F931" s="12">
        <v>18</v>
      </c>
      <c r="G931" s="11">
        <v>14</v>
      </c>
      <c r="H931" s="11">
        <v>95</v>
      </c>
      <c r="I931" s="11">
        <v>6.8</v>
      </c>
      <c r="J931" s="11">
        <v>1</v>
      </c>
      <c r="K931" s="11">
        <v>0</v>
      </c>
      <c r="L931" s="11" t="str" cm="1">
        <f t="array" ref="L931">IFERROR(_xlfn.XLOOKUP(C931&amp;A931, ESPN!A:A&amp;ESPN!C:C, ESPN!D:D), "N/A")</f>
        <v>N/A</v>
      </c>
      <c r="M931" s="23" t="str" cm="1">
        <f t="array" ref="M931">IFERROR(_xlfn.XLOOKUP(C931&amp;A931, ESPN!A:A&amp;ESPN!C:C, ESPN!G:G), "N/A")</f>
        <v>N/A</v>
      </c>
      <c r="N931" s="23" t="str" cm="1">
        <f t="array" ref="N931">IFERROR(_xlfn.XLOOKUP(C931&amp;A931, ESPN!A:A&amp;ESPN!C:C, ESPN!H:H), "N/A")</f>
        <v>N/A</v>
      </c>
      <c r="O931" s="26" t="str" cm="1">
        <f t="array" ref="O931">IFERROR(_xlfn.XLOOKUP(C931&amp;A931, ESPN!A:A&amp;ESPN!C:C, ESPN!I:I), "N/A")</f>
        <v>N/A</v>
      </c>
      <c r="P931" s="26" t="str" cm="1">
        <f t="array" ref="P931">IFERROR(_xlfn.XLOOKUP(C931&amp;A931, ESPN!A:A&amp;ESPN!C:C, ESPN!J:J), "N/A")</f>
        <v>N/A</v>
      </c>
      <c r="Q931" s="26" t="str" cm="1">
        <f t="array" ref="Q931">IFERROR(_xlfn.XLOOKUP(C931&amp;A931, ESPN!A:A&amp;ESPN!C:C, ESPN!K:K), "N/A")</f>
        <v>N/A</v>
      </c>
    </row>
    <row r="932" spans="1:17" x14ac:dyDescent="0.45">
      <c r="A932" s="6">
        <v>2020</v>
      </c>
      <c r="B932" s="1" t="s">
        <v>354</v>
      </c>
      <c r="C932" s="2" t="str">
        <f t="shared" si="28"/>
        <v>Damien Harris</v>
      </c>
      <c r="D932" s="2" t="str">
        <f t="shared" si="29"/>
        <v>NE</v>
      </c>
      <c r="E932" s="2">
        <v>10</v>
      </c>
      <c r="F932" s="12">
        <v>7</v>
      </c>
      <c r="G932" s="11">
        <v>5</v>
      </c>
      <c r="H932" s="11">
        <v>52</v>
      </c>
      <c r="I932" s="11">
        <v>10.4</v>
      </c>
      <c r="J932" s="11">
        <v>0</v>
      </c>
      <c r="K932" s="11">
        <v>0</v>
      </c>
      <c r="L932" s="11" t="str" cm="1">
        <f t="array" ref="L932">IFERROR(_xlfn.XLOOKUP(C932&amp;A932, ESPN!A:A&amp;ESPN!C:C, ESPN!D:D), "N/A")</f>
        <v>N/A</v>
      </c>
      <c r="M932" s="23" t="str" cm="1">
        <f t="array" ref="M932">IFERROR(_xlfn.XLOOKUP(C932&amp;A932, ESPN!A:A&amp;ESPN!C:C, ESPN!G:G), "N/A")</f>
        <v>N/A</v>
      </c>
      <c r="N932" s="23" t="str" cm="1">
        <f t="array" ref="N932">IFERROR(_xlfn.XLOOKUP(C932&amp;A932, ESPN!A:A&amp;ESPN!C:C, ESPN!H:H), "N/A")</f>
        <v>N/A</v>
      </c>
      <c r="O932" s="26" t="str" cm="1">
        <f t="array" ref="O932">IFERROR(_xlfn.XLOOKUP(C932&amp;A932, ESPN!A:A&amp;ESPN!C:C, ESPN!I:I), "N/A")</f>
        <v>N/A</v>
      </c>
      <c r="P932" s="26" t="str" cm="1">
        <f t="array" ref="P932">IFERROR(_xlfn.XLOOKUP(C932&amp;A932, ESPN!A:A&amp;ESPN!C:C, ESPN!J:J), "N/A")</f>
        <v>N/A</v>
      </c>
      <c r="Q932" s="26" t="str" cm="1">
        <f t="array" ref="Q932">IFERROR(_xlfn.XLOOKUP(C932&amp;A932, ESPN!A:A&amp;ESPN!C:C, ESPN!K:K), "N/A")</f>
        <v>N/A</v>
      </c>
    </row>
    <row r="933" spans="1:17" x14ac:dyDescent="0.45">
      <c r="A933" s="7">
        <v>2020</v>
      </c>
      <c r="B933" s="3" t="s">
        <v>374</v>
      </c>
      <c r="C933" s="4" t="str">
        <f t="shared" si="28"/>
        <v>Malcolm Brown</v>
      </c>
      <c r="D933" s="4" t="str">
        <f t="shared" si="29"/>
        <v>LAR</v>
      </c>
      <c r="E933" s="4">
        <v>16</v>
      </c>
      <c r="F933" s="12">
        <v>33</v>
      </c>
      <c r="G933" s="11">
        <v>23</v>
      </c>
      <c r="H933" s="11">
        <v>162</v>
      </c>
      <c r="I933" s="11">
        <v>7</v>
      </c>
      <c r="J933" s="11">
        <v>0</v>
      </c>
      <c r="K933" s="11">
        <v>1</v>
      </c>
      <c r="L933" s="11" cm="1">
        <f t="array" ref="L933">IFERROR(_xlfn.XLOOKUP(C933&amp;A933, ESPN!A:A&amp;ESPN!C:C, ESPN!D:D), "N/A")</f>
        <v>204</v>
      </c>
      <c r="M933" s="23" cm="1">
        <f t="array" ref="M933">IFERROR(_xlfn.XLOOKUP(C933&amp;A933, ESPN!A:A&amp;ESPN!C:C, ESPN!G:G), "N/A")</f>
        <v>0.86</v>
      </c>
      <c r="N933" s="23" cm="1">
        <f t="array" ref="N933">IFERROR(_xlfn.XLOOKUP(C933&amp;A933, ESPN!A:A&amp;ESPN!C:C, ESPN!H:H), "N/A")</f>
        <v>43</v>
      </c>
      <c r="O933" s="26" cm="1">
        <f t="array" ref="O933">IFERROR(_xlfn.XLOOKUP(C933&amp;A933, ESPN!A:A&amp;ESPN!C:C, ESPN!I:I), "N/A")</f>
        <v>39</v>
      </c>
      <c r="P933" s="26" cm="1">
        <f t="array" ref="P933">IFERROR(_xlfn.XLOOKUP(C933&amp;A933, ESPN!A:A&amp;ESPN!C:C, ESPN!J:J), "N/A")</f>
        <v>39</v>
      </c>
      <c r="Q933" s="26" cm="1">
        <f t="array" ref="Q933">IFERROR(_xlfn.XLOOKUP(C933&amp;A933, ESPN!A:A&amp;ESPN!C:C, ESPN!K:K), "N/A")</f>
        <v>33</v>
      </c>
    </row>
    <row r="934" spans="1:17" x14ac:dyDescent="0.45">
      <c r="A934" s="6">
        <v>2020</v>
      </c>
      <c r="B934" s="1" t="s">
        <v>536</v>
      </c>
      <c r="C934" s="2" t="str">
        <f t="shared" si="28"/>
        <v>Frank Gore</v>
      </c>
      <c r="D934" s="2" t="str">
        <f t="shared" si="29"/>
        <v>NYJ</v>
      </c>
      <c r="E934" s="2">
        <v>15</v>
      </c>
      <c r="F934" s="12">
        <v>19</v>
      </c>
      <c r="G934" s="11">
        <v>16</v>
      </c>
      <c r="H934" s="11">
        <v>89</v>
      </c>
      <c r="I934" s="11">
        <v>5.6</v>
      </c>
      <c r="J934" s="11">
        <v>0</v>
      </c>
      <c r="K934" s="11">
        <v>1</v>
      </c>
      <c r="L934" s="11" t="str" cm="1">
        <f t="array" ref="L934">IFERROR(_xlfn.XLOOKUP(C934&amp;A934, ESPN!A:A&amp;ESPN!C:C, ESPN!D:D), "N/A")</f>
        <v>N/A</v>
      </c>
      <c r="M934" s="23" t="str" cm="1">
        <f t="array" ref="M934">IFERROR(_xlfn.XLOOKUP(C934&amp;A934, ESPN!A:A&amp;ESPN!C:C, ESPN!G:G), "N/A")</f>
        <v>N/A</v>
      </c>
      <c r="N934" s="23" t="str" cm="1">
        <f t="array" ref="N934">IFERROR(_xlfn.XLOOKUP(C934&amp;A934, ESPN!A:A&amp;ESPN!C:C, ESPN!H:H), "N/A")</f>
        <v>N/A</v>
      </c>
      <c r="O934" s="26" t="str" cm="1">
        <f t="array" ref="O934">IFERROR(_xlfn.XLOOKUP(C934&amp;A934, ESPN!A:A&amp;ESPN!C:C, ESPN!I:I), "N/A")</f>
        <v>N/A</v>
      </c>
      <c r="P934" s="26" t="str" cm="1">
        <f t="array" ref="P934">IFERROR(_xlfn.XLOOKUP(C934&amp;A934, ESPN!A:A&amp;ESPN!C:C, ESPN!J:J), "N/A")</f>
        <v>N/A</v>
      </c>
      <c r="Q934" s="26" t="str" cm="1">
        <f t="array" ref="Q934">IFERROR(_xlfn.XLOOKUP(C934&amp;A934, ESPN!A:A&amp;ESPN!C:C, ESPN!K:K), "N/A")</f>
        <v>N/A</v>
      </c>
    </row>
    <row r="935" spans="1:17" x14ac:dyDescent="0.45">
      <c r="A935" s="7">
        <v>2020</v>
      </c>
      <c r="B935" s="3" t="s">
        <v>490</v>
      </c>
      <c r="C935" s="4" t="str">
        <f t="shared" si="28"/>
        <v>Raheem Mostert</v>
      </c>
      <c r="D935" s="4" t="str">
        <f t="shared" si="29"/>
        <v>SF</v>
      </c>
      <c r="E935" s="4">
        <v>8</v>
      </c>
      <c r="F935" s="12">
        <v>19</v>
      </c>
      <c r="G935" s="11">
        <v>16</v>
      </c>
      <c r="H935" s="11">
        <v>156</v>
      </c>
      <c r="I935" s="11">
        <v>9.8000000000000007</v>
      </c>
      <c r="J935" s="11">
        <v>1</v>
      </c>
      <c r="K935" s="11">
        <v>1</v>
      </c>
      <c r="L935" s="11" t="str" cm="1">
        <f t="array" ref="L935">IFERROR(_xlfn.XLOOKUP(C935&amp;A935, ESPN!A:A&amp;ESPN!C:C, ESPN!D:D), "N/A")</f>
        <v>N/A</v>
      </c>
      <c r="M935" s="23" t="str" cm="1">
        <f t="array" ref="M935">IFERROR(_xlfn.XLOOKUP(C935&amp;A935, ESPN!A:A&amp;ESPN!C:C, ESPN!G:G), "N/A")</f>
        <v>N/A</v>
      </c>
      <c r="N935" s="23" t="str" cm="1">
        <f t="array" ref="N935">IFERROR(_xlfn.XLOOKUP(C935&amp;A935, ESPN!A:A&amp;ESPN!C:C, ESPN!H:H), "N/A")</f>
        <v>N/A</v>
      </c>
      <c r="O935" s="26" t="str" cm="1">
        <f t="array" ref="O935">IFERROR(_xlfn.XLOOKUP(C935&amp;A935, ESPN!A:A&amp;ESPN!C:C, ESPN!I:I), "N/A")</f>
        <v>N/A</v>
      </c>
      <c r="P935" s="26" t="str" cm="1">
        <f t="array" ref="P935">IFERROR(_xlfn.XLOOKUP(C935&amp;A935, ESPN!A:A&amp;ESPN!C:C, ESPN!J:J), "N/A")</f>
        <v>N/A</v>
      </c>
      <c r="Q935" s="26" t="str" cm="1">
        <f t="array" ref="Q935">IFERROR(_xlfn.XLOOKUP(C935&amp;A935, ESPN!A:A&amp;ESPN!C:C, ESPN!K:K), "N/A")</f>
        <v>N/A</v>
      </c>
    </row>
    <row r="936" spans="1:17" x14ac:dyDescent="0.45">
      <c r="A936" s="6">
        <v>2020</v>
      </c>
      <c r="B936" s="1" t="s">
        <v>537</v>
      </c>
      <c r="C936" s="2" t="str">
        <f t="shared" si="28"/>
        <v>Rex Burkhead</v>
      </c>
      <c r="D936" s="2" t="str">
        <f t="shared" si="29"/>
        <v>NE</v>
      </c>
      <c r="E936" s="2">
        <v>10</v>
      </c>
      <c r="F936" s="12">
        <v>33</v>
      </c>
      <c r="G936" s="11">
        <v>25</v>
      </c>
      <c r="H936" s="11">
        <v>192</v>
      </c>
      <c r="I936" s="11">
        <v>7.7</v>
      </c>
      <c r="J936" s="11">
        <v>3</v>
      </c>
      <c r="K936" s="11">
        <v>0</v>
      </c>
      <c r="L936" s="11" t="str" cm="1">
        <f t="array" ref="L936">IFERROR(_xlfn.XLOOKUP(C936&amp;A936, ESPN!A:A&amp;ESPN!C:C, ESPN!D:D), "N/A")</f>
        <v>N/A</v>
      </c>
      <c r="M936" s="23" t="str" cm="1">
        <f t="array" ref="M936">IFERROR(_xlfn.XLOOKUP(C936&amp;A936, ESPN!A:A&amp;ESPN!C:C, ESPN!G:G), "N/A")</f>
        <v>N/A</v>
      </c>
      <c r="N936" s="23" t="str" cm="1">
        <f t="array" ref="N936">IFERROR(_xlfn.XLOOKUP(C936&amp;A936, ESPN!A:A&amp;ESPN!C:C, ESPN!H:H), "N/A")</f>
        <v>N/A</v>
      </c>
      <c r="O936" s="26" t="str" cm="1">
        <f t="array" ref="O936">IFERROR(_xlfn.XLOOKUP(C936&amp;A936, ESPN!A:A&amp;ESPN!C:C, ESPN!I:I), "N/A")</f>
        <v>N/A</v>
      </c>
      <c r="P936" s="26" t="str" cm="1">
        <f t="array" ref="P936">IFERROR(_xlfn.XLOOKUP(C936&amp;A936, ESPN!A:A&amp;ESPN!C:C, ESPN!J:J), "N/A")</f>
        <v>N/A</v>
      </c>
      <c r="Q936" s="26" t="str" cm="1">
        <f t="array" ref="Q936">IFERROR(_xlfn.XLOOKUP(C936&amp;A936, ESPN!A:A&amp;ESPN!C:C, ESPN!K:K), "N/A")</f>
        <v>N/A</v>
      </c>
    </row>
    <row r="937" spans="1:17" x14ac:dyDescent="0.45">
      <c r="A937" s="7">
        <v>2020</v>
      </c>
      <c r="B937" s="3" t="s">
        <v>253</v>
      </c>
      <c r="C937" s="4" t="str">
        <f t="shared" si="28"/>
        <v>Joe Mixon</v>
      </c>
      <c r="D937" s="4" t="str">
        <f t="shared" si="29"/>
        <v>CIN</v>
      </c>
      <c r="E937" s="4">
        <v>6</v>
      </c>
      <c r="F937" s="12">
        <v>26</v>
      </c>
      <c r="G937" s="11">
        <v>21</v>
      </c>
      <c r="H937" s="11">
        <v>138</v>
      </c>
      <c r="I937" s="11">
        <v>6.6</v>
      </c>
      <c r="J937" s="11">
        <v>1</v>
      </c>
      <c r="K937" s="11">
        <v>1</v>
      </c>
      <c r="L937" s="11" t="str" cm="1">
        <f t="array" ref="L937">IFERROR(_xlfn.XLOOKUP(C937&amp;A937, ESPN!A:A&amp;ESPN!C:C, ESPN!D:D), "N/A")</f>
        <v>N/A</v>
      </c>
      <c r="M937" s="23" t="str" cm="1">
        <f t="array" ref="M937">IFERROR(_xlfn.XLOOKUP(C937&amp;A937, ESPN!A:A&amp;ESPN!C:C, ESPN!G:G), "N/A")</f>
        <v>N/A</v>
      </c>
      <c r="N937" s="23" t="str" cm="1">
        <f t="array" ref="N937">IFERROR(_xlfn.XLOOKUP(C937&amp;A937, ESPN!A:A&amp;ESPN!C:C, ESPN!H:H), "N/A")</f>
        <v>N/A</v>
      </c>
      <c r="O937" s="26" t="str" cm="1">
        <f t="array" ref="O937">IFERROR(_xlfn.XLOOKUP(C937&amp;A937, ESPN!A:A&amp;ESPN!C:C, ESPN!I:I), "N/A")</f>
        <v>N/A</v>
      </c>
      <c r="P937" s="26" t="str" cm="1">
        <f t="array" ref="P937">IFERROR(_xlfn.XLOOKUP(C937&amp;A937, ESPN!A:A&amp;ESPN!C:C, ESPN!J:J), "N/A")</f>
        <v>N/A</v>
      </c>
      <c r="Q937" s="26" t="str" cm="1">
        <f t="array" ref="Q937">IFERROR(_xlfn.XLOOKUP(C937&amp;A937, ESPN!A:A&amp;ESPN!C:C, ESPN!K:K), "N/A")</f>
        <v>N/A</v>
      </c>
    </row>
    <row r="938" spans="1:17" x14ac:dyDescent="0.45">
      <c r="A938" s="6">
        <v>2020</v>
      </c>
      <c r="B938" s="1" t="s">
        <v>265</v>
      </c>
      <c r="C938" s="2" t="str">
        <f t="shared" si="28"/>
        <v>Alexander Mattison</v>
      </c>
      <c r="D938" s="2" t="str">
        <f t="shared" si="29"/>
        <v>MIN</v>
      </c>
      <c r="E938" s="2">
        <v>13</v>
      </c>
      <c r="F938" s="12">
        <v>15</v>
      </c>
      <c r="G938" s="11">
        <v>13</v>
      </c>
      <c r="H938" s="11">
        <v>125</v>
      </c>
      <c r="I938" s="11">
        <v>9.6</v>
      </c>
      <c r="J938" s="11">
        <v>1</v>
      </c>
      <c r="K938" s="11">
        <v>0</v>
      </c>
      <c r="L938" s="11" t="str" cm="1">
        <f t="array" ref="L938">IFERROR(_xlfn.XLOOKUP(C938&amp;A938, ESPN!A:A&amp;ESPN!C:C, ESPN!D:D), "N/A")</f>
        <v>N/A</v>
      </c>
      <c r="M938" s="23" t="str" cm="1">
        <f t="array" ref="M938">IFERROR(_xlfn.XLOOKUP(C938&amp;A938, ESPN!A:A&amp;ESPN!C:C, ESPN!G:G), "N/A")</f>
        <v>N/A</v>
      </c>
      <c r="N938" s="23" t="str" cm="1">
        <f t="array" ref="N938">IFERROR(_xlfn.XLOOKUP(C938&amp;A938, ESPN!A:A&amp;ESPN!C:C, ESPN!H:H), "N/A")</f>
        <v>N/A</v>
      </c>
      <c r="O938" s="26" t="str" cm="1">
        <f t="array" ref="O938">IFERROR(_xlfn.XLOOKUP(C938&amp;A938, ESPN!A:A&amp;ESPN!C:C, ESPN!I:I), "N/A")</f>
        <v>N/A</v>
      </c>
      <c r="P938" s="26" t="str" cm="1">
        <f t="array" ref="P938">IFERROR(_xlfn.XLOOKUP(C938&amp;A938, ESPN!A:A&amp;ESPN!C:C, ESPN!J:J), "N/A")</f>
        <v>N/A</v>
      </c>
      <c r="Q938" s="26" t="str" cm="1">
        <f t="array" ref="Q938">IFERROR(_xlfn.XLOOKUP(C938&amp;A938, ESPN!A:A&amp;ESPN!C:C, ESPN!K:K), "N/A")</f>
        <v>N/A</v>
      </c>
    </row>
    <row r="939" spans="1:17" x14ac:dyDescent="0.45">
      <c r="A939" s="7">
        <v>2020</v>
      </c>
      <c r="B939" s="3" t="s">
        <v>431</v>
      </c>
      <c r="C939" s="4" t="str">
        <f t="shared" si="28"/>
        <v>Christian McCaffrey</v>
      </c>
      <c r="D939" s="4" t="str">
        <f t="shared" si="29"/>
        <v>CAR</v>
      </c>
      <c r="E939" s="4">
        <v>3</v>
      </c>
      <c r="F939" s="12">
        <v>19</v>
      </c>
      <c r="G939" s="11">
        <v>17</v>
      </c>
      <c r="H939" s="11">
        <v>149</v>
      </c>
      <c r="I939" s="11">
        <v>8.8000000000000007</v>
      </c>
      <c r="J939" s="11">
        <v>1</v>
      </c>
      <c r="K939" s="11">
        <v>0</v>
      </c>
      <c r="L939" s="11" t="str" cm="1">
        <f t="array" ref="L939">IFERROR(_xlfn.XLOOKUP(C939&amp;A939, ESPN!A:A&amp;ESPN!C:C, ESPN!D:D), "N/A")</f>
        <v>N/A</v>
      </c>
      <c r="M939" s="23" t="str" cm="1">
        <f t="array" ref="M939">IFERROR(_xlfn.XLOOKUP(C939&amp;A939, ESPN!A:A&amp;ESPN!C:C, ESPN!G:G), "N/A")</f>
        <v>N/A</v>
      </c>
      <c r="N939" s="23" t="str" cm="1">
        <f t="array" ref="N939">IFERROR(_xlfn.XLOOKUP(C939&amp;A939, ESPN!A:A&amp;ESPN!C:C, ESPN!H:H), "N/A")</f>
        <v>N/A</v>
      </c>
      <c r="O939" s="26" t="str" cm="1">
        <f t="array" ref="O939">IFERROR(_xlfn.XLOOKUP(C939&amp;A939, ESPN!A:A&amp;ESPN!C:C, ESPN!I:I), "N/A")</f>
        <v>N/A</v>
      </c>
      <c r="P939" s="26" t="str" cm="1">
        <f t="array" ref="P939">IFERROR(_xlfn.XLOOKUP(C939&amp;A939, ESPN!A:A&amp;ESPN!C:C, ESPN!J:J), "N/A")</f>
        <v>N/A</v>
      </c>
      <c r="Q939" s="26" t="str" cm="1">
        <f t="array" ref="Q939">IFERROR(_xlfn.XLOOKUP(C939&amp;A939, ESPN!A:A&amp;ESPN!C:C, ESPN!K:K), "N/A")</f>
        <v>N/A</v>
      </c>
    </row>
    <row r="940" spans="1:17" x14ac:dyDescent="0.45">
      <c r="A940" s="6">
        <v>2020</v>
      </c>
      <c r="B940" s="1" t="s">
        <v>288</v>
      </c>
      <c r="C940" s="2" t="str">
        <f t="shared" si="28"/>
        <v>Boston Scott</v>
      </c>
      <c r="D940" s="2" t="str">
        <f t="shared" si="29"/>
        <v>PHI</v>
      </c>
      <c r="E940" s="2">
        <v>16</v>
      </c>
      <c r="F940" s="12">
        <v>36</v>
      </c>
      <c r="G940" s="11">
        <v>25</v>
      </c>
      <c r="H940" s="11">
        <v>212</v>
      </c>
      <c r="I940" s="11">
        <v>8.5</v>
      </c>
      <c r="J940" s="11">
        <v>1</v>
      </c>
      <c r="K940" s="11">
        <v>0</v>
      </c>
      <c r="L940" s="11" cm="1">
        <f t="array" ref="L940">IFERROR(_xlfn.XLOOKUP(C940&amp;A940, ESPN!A:A&amp;ESPN!C:C, ESPN!D:D), "N/A")</f>
        <v>157</v>
      </c>
      <c r="M940" s="23" cm="1">
        <f t="array" ref="M940">IFERROR(_xlfn.XLOOKUP(C940&amp;A940, ESPN!A:A&amp;ESPN!C:C, ESPN!G:G), "N/A")</f>
        <v>1.35</v>
      </c>
      <c r="N940" s="23" cm="1">
        <f t="array" ref="N940">IFERROR(_xlfn.XLOOKUP(C940&amp;A940, ESPN!A:A&amp;ESPN!C:C, ESPN!H:H), "N/A")</f>
        <v>23</v>
      </c>
      <c r="O940" s="26" cm="1">
        <f t="array" ref="O940">IFERROR(_xlfn.XLOOKUP(C940&amp;A940, ESPN!A:A&amp;ESPN!C:C, ESPN!I:I), "N/A")</f>
        <v>48</v>
      </c>
      <c r="P940" s="26" cm="1">
        <f t="array" ref="P940">IFERROR(_xlfn.XLOOKUP(C940&amp;A940, ESPN!A:A&amp;ESPN!C:C, ESPN!J:J), "N/A")</f>
        <v>64</v>
      </c>
      <c r="Q940" s="26" cm="1">
        <f t="array" ref="Q940">IFERROR(_xlfn.XLOOKUP(C940&amp;A940, ESPN!A:A&amp;ESPN!C:C, ESPN!K:K), "N/A")</f>
        <v>51</v>
      </c>
    </row>
    <row r="941" spans="1:17" x14ac:dyDescent="0.45">
      <c r="A941" s="7">
        <v>2020</v>
      </c>
      <c r="B941" s="3" t="s">
        <v>538</v>
      </c>
      <c r="C941" s="4" t="str">
        <f t="shared" si="28"/>
        <v>Brian Hill</v>
      </c>
      <c r="D941" s="4" t="str">
        <f t="shared" si="29"/>
        <v>ATL</v>
      </c>
      <c r="E941" s="4">
        <v>16</v>
      </c>
      <c r="F941" s="12">
        <v>30</v>
      </c>
      <c r="G941" s="11">
        <v>25</v>
      </c>
      <c r="H941" s="11">
        <v>199</v>
      </c>
      <c r="I941" s="11">
        <v>8</v>
      </c>
      <c r="J941" s="11">
        <v>0</v>
      </c>
      <c r="K941" s="11">
        <v>1</v>
      </c>
      <c r="L941" s="11" cm="1">
        <f t="array" ref="L941">IFERROR(_xlfn.XLOOKUP(C941&amp;A941, ESPN!A:A&amp;ESPN!C:C, ESPN!D:D), "N/A")</f>
        <v>134</v>
      </c>
      <c r="M941" s="23" cm="1">
        <f t="array" ref="M941">IFERROR(_xlfn.XLOOKUP(C941&amp;A941, ESPN!A:A&amp;ESPN!C:C, ESPN!G:G), "N/A")</f>
        <v>1.49</v>
      </c>
      <c r="N941" s="23" cm="1">
        <f t="array" ref="N941">IFERROR(_xlfn.XLOOKUP(C941&amp;A941, ESPN!A:A&amp;ESPN!C:C, ESPN!H:H), "N/A")</f>
        <v>62</v>
      </c>
      <c r="O941" s="26" cm="1">
        <f t="array" ref="O941">IFERROR(_xlfn.XLOOKUP(C941&amp;A941, ESPN!A:A&amp;ESPN!C:C, ESPN!I:I), "N/A")</f>
        <v>49</v>
      </c>
      <c r="P941" s="26" cm="1">
        <f t="array" ref="P941">IFERROR(_xlfn.XLOOKUP(C941&amp;A941, ESPN!A:A&amp;ESPN!C:C, ESPN!J:J), "N/A")</f>
        <v>36</v>
      </c>
      <c r="Q941" s="26" cm="1">
        <f t="array" ref="Q941">IFERROR(_xlfn.XLOOKUP(C941&amp;A941, ESPN!A:A&amp;ESPN!C:C, ESPN!K:K), "N/A")</f>
        <v>42</v>
      </c>
    </row>
    <row r="942" spans="1:17" x14ac:dyDescent="0.45">
      <c r="A942" s="6">
        <v>2020</v>
      </c>
      <c r="B942" s="1" t="s">
        <v>539</v>
      </c>
      <c r="C942" s="2" t="str">
        <f t="shared" si="28"/>
        <v>Carlos Hyde</v>
      </c>
      <c r="D942" s="2" t="str">
        <f t="shared" si="29"/>
        <v>SEA</v>
      </c>
      <c r="E942" s="2">
        <v>10</v>
      </c>
      <c r="F942" s="12">
        <v>20</v>
      </c>
      <c r="G942" s="11">
        <v>16</v>
      </c>
      <c r="H942" s="11">
        <v>93</v>
      </c>
      <c r="I942" s="11">
        <v>5.8</v>
      </c>
      <c r="J942" s="11">
        <v>0</v>
      </c>
      <c r="K942" s="11">
        <v>0</v>
      </c>
      <c r="L942" s="11" t="str" cm="1">
        <f t="array" ref="L942">IFERROR(_xlfn.XLOOKUP(C942&amp;A942, ESPN!A:A&amp;ESPN!C:C, ESPN!D:D), "N/A")</f>
        <v>N/A</v>
      </c>
      <c r="M942" s="23" t="str" cm="1">
        <f t="array" ref="M942">IFERROR(_xlfn.XLOOKUP(C942&amp;A942, ESPN!A:A&amp;ESPN!C:C, ESPN!G:G), "N/A")</f>
        <v>N/A</v>
      </c>
      <c r="N942" s="23" t="str" cm="1">
        <f t="array" ref="N942">IFERROR(_xlfn.XLOOKUP(C942&amp;A942, ESPN!A:A&amp;ESPN!C:C, ESPN!H:H), "N/A")</f>
        <v>N/A</v>
      </c>
      <c r="O942" s="26" t="str" cm="1">
        <f t="array" ref="O942">IFERROR(_xlfn.XLOOKUP(C942&amp;A942, ESPN!A:A&amp;ESPN!C:C, ESPN!I:I), "N/A")</f>
        <v>N/A</v>
      </c>
      <c r="P942" s="26" t="str" cm="1">
        <f t="array" ref="P942">IFERROR(_xlfn.XLOOKUP(C942&amp;A942, ESPN!A:A&amp;ESPN!C:C, ESPN!J:J), "N/A")</f>
        <v>N/A</v>
      </c>
      <c r="Q942" s="26" t="str" cm="1">
        <f t="array" ref="Q942">IFERROR(_xlfn.XLOOKUP(C942&amp;A942, ESPN!A:A&amp;ESPN!C:C, ESPN!K:K), "N/A")</f>
        <v>N/A</v>
      </c>
    </row>
    <row r="943" spans="1:17" x14ac:dyDescent="0.45">
      <c r="A943" s="7">
        <v>2020</v>
      </c>
      <c r="B943" s="3" t="s">
        <v>540</v>
      </c>
      <c r="C943" s="4" t="str">
        <f t="shared" si="28"/>
        <v>Devontae Booker</v>
      </c>
      <c r="D943" s="4" t="str">
        <f t="shared" si="29"/>
        <v>LV</v>
      </c>
      <c r="E943" s="4">
        <v>16</v>
      </c>
      <c r="F943" s="12">
        <v>21</v>
      </c>
      <c r="G943" s="11">
        <v>17</v>
      </c>
      <c r="H943" s="11">
        <v>84</v>
      </c>
      <c r="I943" s="11">
        <v>4.9000000000000004</v>
      </c>
      <c r="J943" s="11">
        <v>0</v>
      </c>
      <c r="K943" s="11">
        <v>0</v>
      </c>
      <c r="L943" s="11" cm="1">
        <f t="array" ref="L943">IFERROR(_xlfn.XLOOKUP(C943&amp;A943, ESPN!A:A&amp;ESPN!C:C, ESPN!D:D), "N/A")</f>
        <v>66</v>
      </c>
      <c r="M943" s="23" cm="1">
        <f t="array" ref="M943">IFERROR(_xlfn.XLOOKUP(C943&amp;A943, ESPN!A:A&amp;ESPN!C:C, ESPN!G:G), "N/A")</f>
        <v>1.27</v>
      </c>
      <c r="N943" s="23" cm="1">
        <f t="array" ref="N943">IFERROR(_xlfn.XLOOKUP(C943&amp;A943, ESPN!A:A&amp;ESPN!C:C, ESPN!H:H), "N/A")</f>
        <v>55</v>
      </c>
      <c r="O943" s="26" cm="1">
        <f t="array" ref="O943">IFERROR(_xlfn.XLOOKUP(C943&amp;A943, ESPN!A:A&amp;ESPN!C:C, ESPN!I:I), "N/A")</f>
        <v>53</v>
      </c>
      <c r="P943" s="26" cm="1">
        <f t="array" ref="P943">IFERROR(_xlfn.XLOOKUP(C943&amp;A943, ESPN!A:A&amp;ESPN!C:C, ESPN!J:J), "N/A")</f>
        <v>43</v>
      </c>
      <c r="Q943" s="26" cm="1">
        <f t="array" ref="Q943">IFERROR(_xlfn.XLOOKUP(C943&amp;A943, ESPN!A:A&amp;ESPN!C:C, ESPN!K:K), "N/A")</f>
        <v>48</v>
      </c>
    </row>
    <row r="944" spans="1:17" x14ac:dyDescent="0.45">
      <c r="A944" s="6">
        <v>2020</v>
      </c>
      <c r="B944" s="1" t="s">
        <v>541</v>
      </c>
      <c r="C944" s="2" t="str">
        <f t="shared" si="28"/>
        <v>Sony Michel</v>
      </c>
      <c r="D944" s="2" t="str">
        <f t="shared" si="29"/>
        <v>NE</v>
      </c>
      <c r="E944" s="2">
        <v>9</v>
      </c>
      <c r="F944" s="12">
        <v>9</v>
      </c>
      <c r="G944" s="11">
        <v>7</v>
      </c>
      <c r="H944" s="11">
        <v>114</v>
      </c>
      <c r="I944" s="11">
        <v>16.3</v>
      </c>
      <c r="J944" s="11">
        <v>1</v>
      </c>
      <c r="K944" s="11">
        <v>0</v>
      </c>
      <c r="L944" s="11" t="str" cm="1">
        <f t="array" ref="L944">IFERROR(_xlfn.XLOOKUP(C944&amp;A944, ESPN!A:A&amp;ESPN!C:C, ESPN!D:D), "N/A")</f>
        <v>N/A</v>
      </c>
      <c r="M944" s="23" t="str" cm="1">
        <f t="array" ref="M944">IFERROR(_xlfn.XLOOKUP(C944&amp;A944, ESPN!A:A&amp;ESPN!C:C, ESPN!G:G), "N/A")</f>
        <v>N/A</v>
      </c>
      <c r="N944" s="23" t="str" cm="1">
        <f t="array" ref="N944">IFERROR(_xlfn.XLOOKUP(C944&amp;A944, ESPN!A:A&amp;ESPN!C:C, ESPN!H:H), "N/A")</f>
        <v>N/A</v>
      </c>
      <c r="O944" s="26" t="str" cm="1">
        <f t="array" ref="O944">IFERROR(_xlfn.XLOOKUP(C944&amp;A944, ESPN!A:A&amp;ESPN!C:C, ESPN!I:I), "N/A")</f>
        <v>N/A</v>
      </c>
      <c r="P944" s="26" t="str" cm="1">
        <f t="array" ref="P944">IFERROR(_xlfn.XLOOKUP(C944&amp;A944, ESPN!A:A&amp;ESPN!C:C, ESPN!J:J), "N/A")</f>
        <v>N/A</v>
      </c>
      <c r="Q944" s="26" t="str" cm="1">
        <f t="array" ref="Q944">IFERROR(_xlfn.XLOOKUP(C944&amp;A944, ESPN!A:A&amp;ESPN!C:C, ESPN!K:K), "N/A")</f>
        <v>N/A</v>
      </c>
    </row>
    <row r="945" spans="1:17" x14ac:dyDescent="0.45">
      <c r="A945" s="7">
        <v>2020</v>
      </c>
      <c r="B945" s="3" t="s">
        <v>465</v>
      </c>
      <c r="C945" s="4" t="str">
        <f t="shared" si="28"/>
        <v>James White</v>
      </c>
      <c r="D945" s="4" t="str">
        <f t="shared" si="29"/>
        <v>NE</v>
      </c>
      <c r="E945" s="4">
        <v>14</v>
      </c>
      <c r="F945" s="12">
        <v>62</v>
      </c>
      <c r="G945" s="11">
        <v>49</v>
      </c>
      <c r="H945" s="11">
        <v>375</v>
      </c>
      <c r="I945" s="11">
        <v>7.7</v>
      </c>
      <c r="J945" s="11">
        <v>1</v>
      </c>
      <c r="K945" s="11">
        <v>0</v>
      </c>
      <c r="L945" s="11" cm="1">
        <f t="array" ref="L945">IFERROR(_xlfn.XLOOKUP(C945&amp;A945, ESPN!A:A&amp;ESPN!C:C, ESPN!D:D), "N/A")</f>
        <v>130</v>
      </c>
      <c r="M945" s="23" cm="1">
        <f t="array" ref="M945">IFERROR(_xlfn.XLOOKUP(C945&amp;A945, ESPN!A:A&amp;ESPN!C:C, ESPN!G:G), "N/A")</f>
        <v>2.88</v>
      </c>
      <c r="N945" s="23" cm="1">
        <f t="array" ref="N945">IFERROR(_xlfn.XLOOKUP(C945&amp;A945, ESPN!A:A&amp;ESPN!C:C, ESPN!H:H), "N/A")</f>
        <v>92</v>
      </c>
      <c r="O945" s="26" cm="1">
        <f t="array" ref="O945">IFERROR(_xlfn.XLOOKUP(C945&amp;A945, ESPN!A:A&amp;ESPN!C:C, ESPN!I:I), "N/A")</f>
        <v>56</v>
      </c>
      <c r="P945" s="26" cm="1">
        <f t="array" ref="P945">IFERROR(_xlfn.XLOOKUP(C945&amp;A945, ESPN!A:A&amp;ESPN!C:C, ESPN!J:J), "N/A")</f>
        <v>47</v>
      </c>
      <c r="Q945" s="26" cm="1">
        <f t="array" ref="Q945">IFERROR(_xlfn.XLOOKUP(C945&amp;A945, ESPN!A:A&amp;ESPN!C:C, ESPN!K:K), "N/A")</f>
        <v>65</v>
      </c>
    </row>
    <row r="946" spans="1:17" x14ac:dyDescent="0.45">
      <c r="A946" s="6">
        <v>2020</v>
      </c>
      <c r="B946" s="1" t="s">
        <v>542</v>
      </c>
      <c r="C946" s="2" t="str">
        <f t="shared" si="28"/>
        <v>Kalen Ballage</v>
      </c>
      <c r="D946" s="2" t="str">
        <f t="shared" si="29"/>
        <v>LAC</v>
      </c>
      <c r="E946" s="2">
        <v>11</v>
      </c>
      <c r="F946" s="12">
        <v>37</v>
      </c>
      <c r="G946" s="11">
        <v>29</v>
      </c>
      <c r="H946" s="11">
        <v>166</v>
      </c>
      <c r="I946" s="11">
        <v>5.7</v>
      </c>
      <c r="J946" s="11">
        <v>0</v>
      </c>
      <c r="K946" s="11">
        <v>0</v>
      </c>
      <c r="L946" s="11" cm="1">
        <f t="array" ref="L946">IFERROR(_xlfn.XLOOKUP(C946&amp;A946, ESPN!A:A&amp;ESPN!C:C, ESPN!D:D), "N/A")</f>
        <v>106</v>
      </c>
      <c r="M946" s="23" cm="1">
        <f t="array" ref="M946">IFERROR(_xlfn.XLOOKUP(C946&amp;A946, ESPN!A:A&amp;ESPN!C:C, ESPN!G:G), "N/A")</f>
        <v>1.57</v>
      </c>
      <c r="N946" s="23" cm="1">
        <f t="array" ref="N946">IFERROR(_xlfn.XLOOKUP(C946&amp;A946, ESPN!A:A&amp;ESPN!C:C, ESPN!H:H), "N/A")</f>
        <v>53</v>
      </c>
      <c r="O946" s="26" cm="1">
        <f t="array" ref="O946">IFERROR(_xlfn.XLOOKUP(C946&amp;A946, ESPN!A:A&amp;ESPN!C:C, ESPN!I:I), "N/A")</f>
        <v>48</v>
      </c>
      <c r="P946" s="26" cm="1">
        <f t="array" ref="P946">IFERROR(_xlfn.XLOOKUP(C946&amp;A946, ESPN!A:A&amp;ESPN!C:C, ESPN!J:J), "N/A")</f>
        <v>39</v>
      </c>
      <c r="Q946" s="26" cm="1">
        <f t="array" ref="Q946">IFERROR(_xlfn.XLOOKUP(C946&amp;A946, ESPN!A:A&amp;ESPN!C:C, ESPN!K:K), "N/A")</f>
        <v>41</v>
      </c>
    </row>
    <row r="947" spans="1:17" x14ac:dyDescent="0.45">
      <c r="A947" s="7">
        <v>2020</v>
      </c>
      <c r="B947" s="3" t="s">
        <v>376</v>
      </c>
      <c r="C947" s="4" t="str">
        <f t="shared" si="28"/>
        <v>Benny Snell Jr.</v>
      </c>
      <c r="D947" s="4" t="str">
        <f t="shared" si="29"/>
        <v>PIT</v>
      </c>
      <c r="E947" s="4">
        <v>16</v>
      </c>
      <c r="F947" s="12">
        <v>14</v>
      </c>
      <c r="G947" s="11">
        <v>10</v>
      </c>
      <c r="H947" s="11">
        <v>61</v>
      </c>
      <c r="I947" s="11">
        <v>6.1</v>
      </c>
      <c r="J947" s="11">
        <v>0</v>
      </c>
      <c r="K947" s="11">
        <v>1</v>
      </c>
      <c r="L947" s="11" t="str" cm="1">
        <f t="array" ref="L947">IFERROR(_xlfn.XLOOKUP(C947&amp;A947, ESPN!A:A&amp;ESPN!C:C, ESPN!D:D), "N/A")</f>
        <v>N/A</v>
      </c>
      <c r="M947" s="23" t="str" cm="1">
        <f t="array" ref="M947">IFERROR(_xlfn.XLOOKUP(C947&amp;A947, ESPN!A:A&amp;ESPN!C:C, ESPN!G:G), "N/A")</f>
        <v>N/A</v>
      </c>
      <c r="N947" s="23" t="str" cm="1">
        <f t="array" ref="N947">IFERROR(_xlfn.XLOOKUP(C947&amp;A947, ESPN!A:A&amp;ESPN!C:C, ESPN!H:H), "N/A")</f>
        <v>N/A</v>
      </c>
      <c r="O947" s="26" t="str" cm="1">
        <f t="array" ref="O947">IFERROR(_xlfn.XLOOKUP(C947&amp;A947, ESPN!A:A&amp;ESPN!C:C, ESPN!I:I), "N/A")</f>
        <v>N/A</v>
      </c>
      <c r="P947" s="26" t="str" cm="1">
        <f t="array" ref="P947">IFERROR(_xlfn.XLOOKUP(C947&amp;A947, ESPN!A:A&amp;ESPN!C:C, ESPN!J:J), "N/A")</f>
        <v>N/A</v>
      </c>
      <c r="Q947" s="26" t="str" cm="1">
        <f t="array" ref="Q947">IFERROR(_xlfn.XLOOKUP(C947&amp;A947, ESPN!A:A&amp;ESPN!C:C, ESPN!K:K), "N/A")</f>
        <v>N/A</v>
      </c>
    </row>
    <row r="948" spans="1:17" x14ac:dyDescent="0.45">
      <c r="A948" s="6">
        <v>2020</v>
      </c>
      <c r="B948" s="1" t="s">
        <v>176</v>
      </c>
      <c r="C948" s="2" t="str">
        <f t="shared" si="28"/>
        <v>Kyle Juszczyk</v>
      </c>
      <c r="D948" s="2" t="str">
        <f t="shared" si="29"/>
        <v>SF</v>
      </c>
      <c r="E948" s="2">
        <v>16</v>
      </c>
      <c r="F948" s="12">
        <v>29</v>
      </c>
      <c r="G948" s="11">
        <v>19</v>
      </c>
      <c r="H948" s="11">
        <v>202</v>
      </c>
      <c r="I948" s="11">
        <v>10.6</v>
      </c>
      <c r="J948" s="11">
        <v>4</v>
      </c>
      <c r="K948" s="11">
        <v>0</v>
      </c>
      <c r="L948" s="11" t="str" cm="1">
        <f t="array" ref="L948">IFERROR(_xlfn.XLOOKUP(C948&amp;A948, ESPN!A:A&amp;ESPN!C:C, ESPN!D:D), "N/A")</f>
        <v>N/A</v>
      </c>
      <c r="M948" s="23" t="str" cm="1">
        <f t="array" ref="M948">IFERROR(_xlfn.XLOOKUP(C948&amp;A948, ESPN!A:A&amp;ESPN!C:C, ESPN!G:G), "N/A")</f>
        <v>N/A</v>
      </c>
      <c r="N948" s="23" t="str" cm="1">
        <f t="array" ref="N948">IFERROR(_xlfn.XLOOKUP(C948&amp;A948, ESPN!A:A&amp;ESPN!C:C, ESPN!H:H), "N/A")</f>
        <v>N/A</v>
      </c>
      <c r="O948" s="26" t="str" cm="1">
        <f t="array" ref="O948">IFERROR(_xlfn.XLOOKUP(C948&amp;A948, ESPN!A:A&amp;ESPN!C:C, ESPN!I:I), "N/A")</f>
        <v>N/A</v>
      </c>
      <c r="P948" s="26" t="str" cm="1">
        <f t="array" ref="P948">IFERROR(_xlfn.XLOOKUP(C948&amp;A948, ESPN!A:A&amp;ESPN!C:C, ESPN!J:J), "N/A")</f>
        <v>N/A</v>
      </c>
      <c r="Q948" s="26" t="str" cm="1">
        <f t="array" ref="Q948">IFERROR(_xlfn.XLOOKUP(C948&amp;A948, ESPN!A:A&amp;ESPN!C:C, ESPN!K:K), "N/A")</f>
        <v>N/A</v>
      </c>
    </row>
    <row r="949" spans="1:17" x14ac:dyDescent="0.45">
      <c r="A949" s="7">
        <v>2020</v>
      </c>
      <c r="B949" s="3" t="s">
        <v>543</v>
      </c>
      <c r="C949" s="4" t="str">
        <f t="shared" si="28"/>
        <v>Phillip Lindsay</v>
      </c>
      <c r="D949" s="4" t="str">
        <f t="shared" si="29"/>
        <v>DEN</v>
      </c>
      <c r="E949" s="4">
        <v>11</v>
      </c>
      <c r="F949" s="12">
        <v>14</v>
      </c>
      <c r="G949" s="11">
        <v>7</v>
      </c>
      <c r="H949" s="11">
        <v>28</v>
      </c>
      <c r="I949" s="11">
        <v>4</v>
      </c>
      <c r="J949" s="11">
        <v>0</v>
      </c>
      <c r="K949" s="11">
        <v>0</v>
      </c>
      <c r="L949" s="11" t="str" cm="1">
        <f t="array" ref="L949">IFERROR(_xlfn.XLOOKUP(C949&amp;A949, ESPN!A:A&amp;ESPN!C:C, ESPN!D:D), "N/A")</f>
        <v>N/A</v>
      </c>
      <c r="M949" s="23" t="str" cm="1">
        <f t="array" ref="M949">IFERROR(_xlfn.XLOOKUP(C949&amp;A949, ESPN!A:A&amp;ESPN!C:C, ESPN!G:G), "N/A")</f>
        <v>N/A</v>
      </c>
      <c r="N949" s="23" t="str" cm="1">
        <f t="array" ref="N949">IFERROR(_xlfn.XLOOKUP(C949&amp;A949, ESPN!A:A&amp;ESPN!C:C, ESPN!H:H), "N/A")</f>
        <v>N/A</v>
      </c>
      <c r="O949" s="26" t="str" cm="1">
        <f t="array" ref="O949">IFERROR(_xlfn.XLOOKUP(C949&amp;A949, ESPN!A:A&amp;ESPN!C:C, ESPN!I:I), "N/A")</f>
        <v>N/A</v>
      </c>
      <c r="P949" s="26" t="str" cm="1">
        <f t="array" ref="P949">IFERROR(_xlfn.XLOOKUP(C949&amp;A949, ESPN!A:A&amp;ESPN!C:C, ESPN!J:J), "N/A")</f>
        <v>N/A</v>
      </c>
      <c r="Q949" s="26" t="str" cm="1">
        <f t="array" ref="Q949">IFERROR(_xlfn.XLOOKUP(C949&amp;A949, ESPN!A:A&amp;ESPN!C:C, ESPN!K:K), "N/A")</f>
        <v>N/A</v>
      </c>
    </row>
    <row r="950" spans="1:17" x14ac:dyDescent="0.45">
      <c r="A950" s="6">
        <v>2020</v>
      </c>
      <c r="B950" s="1" t="s">
        <v>544</v>
      </c>
      <c r="C950" s="2" t="str">
        <f t="shared" si="28"/>
        <v>Le'Veon Bell</v>
      </c>
      <c r="D950" s="2" t="str">
        <f t="shared" si="29"/>
        <v>KC</v>
      </c>
      <c r="E950" s="2">
        <v>11</v>
      </c>
      <c r="F950" s="12">
        <v>20</v>
      </c>
      <c r="G950" s="11">
        <v>16</v>
      </c>
      <c r="H950" s="11">
        <v>138</v>
      </c>
      <c r="I950" s="11">
        <v>8.6</v>
      </c>
      <c r="J950" s="11">
        <v>0</v>
      </c>
      <c r="K950" s="11">
        <v>0</v>
      </c>
      <c r="L950" s="11" t="str" cm="1">
        <f t="array" ref="L950">IFERROR(_xlfn.XLOOKUP(C950&amp;A950, ESPN!A:A&amp;ESPN!C:C, ESPN!D:D), "N/A")</f>
        <v>N/A</v>
      </c>
      <c r="M950" s="23" t="str" cm="1">
        <f t="array" ref="M950">IFERROR(_xlfn.XLOOKUP(C950&amp;A950, ESPN!A:A&amp;ESPN!C:C, ESPN!G:G), "N/A")</f>
        <v>N/A</v>
      </c>
      <c r="N950" s="23" t="str" cm="1">
        <f t="array" ref="N950">IFERROR(_xlfn.XLOOKUP(C950&amp;A950, ESPN!A:A&amp;ESPN!C:C, ESPN!H:H), "N/A")</f>
        <v>N/A</v>
      </c>
      <c r="O950" s="26" t="str" cm="1">
        <f t="array" ref="O950">IFERROR(_xlfn.XLOOKUP(C950&amp;A950, ESPN!A:A&amp;ESPN!C:C, ESPN!I:I), "N/A")</f>
        <v>N/A</v>
      </c>
      <c r="P950" s="26" t="str" cm="1">
        <f t="array" ref="P950">IFERROR(_xlfn.XLOOKUP(C950&amp;A950, ESPN!A:A&amp;ESPN!C:C, ESPN!J:J), "N/A")</f>
        <v>N/A</v>
      </c>
      <c r="Q950" s="26" t="str" cm="1">
        <f t="array" ref="Q950">IFERROR(_xlfn.XLOOKUP(C950&amp;A950, ESPN!A:A&amp;ESPN!C:C, ESPN!K:K), "N/A")</f>
        <v>N/A</v>
      </c>
    </row>
    <row r="951" spans="1:17" x14ac:dyDescent="0.45">
      <c r="A951" s="7">
        <v>2020</v>
      </c>
      <c r="B951" s="3" t="s">
        <v>273</v>
      </c>
      <c r="C951" s="4" t="str">
        <f t="shared" si="28"/>
        <v>Joshua Kelley</v>
      </c>
      <c r="D951" s="4" t="str">
        <f t="shared" si="29"/>
        <v>LAC</v>
      </c>
      <c r="E951" s="4">
        <v>14</v>
      </c>
      <c r="F951" s="12">
        <v>23</v>
      </c>
      <c r="G951" s="11">
        <v>23</v>
      </c>
      <c r="H951" s="11">
        <v>148</v>
      </c>
      <c r="I951" s="11">
        <v>6.4</v>
      </c>
      <c r="J951" s="11">
        <v>0</v>
      </c>
      <c r="K951" s="11">
        <v>2</v>
      </c>
      <c r="L951" s="11" cm="1">
        <f t="array" ref="L951">IFERROR(_xlfn.XLOOKUP(C951&amp;A951, ESPN!A:A&amp;ESPN!C:C, ESPN!D:D), "N/A")</f>
        <v>95</v>
      </c>
      <c r="M951" s="23" cm="1">
        <f t="array" ref="M951">IFERROR(_xlfn.XLOOKUP(C951&amp;A951, ESPN!A:A&amp;ESPN!C:C, ESPN!G:G), "N/A")</f>
        <v>1.56</v>
      </c>
      <c r="N951" s="23" cm="1">
        <f t="array" ref="N951">IFERROR(_xlfn.XLOOKUP(C951&amp;A951, ESPN!A:A&amp;ESPN!C:C, ESPN!H:H), "N/A")</f>
        <v>46</v>
      </c>
      <c r="O951" s="26" cm="1">
        <f t="array" ref="O951">IFERROR(_xlfn.XLOOKUP(C951&amp;A951, ESPN!A:A&amp;ESPN!C:C, ESPN!I:I), "N/A")</f>
        <v>67</v>
      </c>
      <c r="P951" s="26" cm="1">
        <f t="array" ref="P951">IFERROR(_xlfn.XLOOKUP(C951&amp;A951, ESPN!A:A&amp;ESPN!C:C, ESPN!J:J), "N/A")</f>
        <v>50</v>
      </c>
      <c r="Q951" s="26" cm="1">
        <f t="array" ref="Q951">IFERROR(_xlfn.XLOOKUP(C951&amp;A951, ESPN!A:A&amp;ESPN!C:C, ESPN!K:K), "N/A")</f>
        <v>57</v>
      </c>
    </row>
    <row r="952" spans="1:17" x14ac:dyDescent="0.45">
      <c r="A952" s="6">
        <v>2020</v>
      </c>
      <c r="B952" s="1" t="s">
        <v>279</v>
      </c>
      <c r="C952" s="2" t="str">
        <f t="shared" si="28"/>
        <v>Salvon Ahmed</v>
      </c>
      <c r="D952" s="2" t="str">
        <f t="shared" si="29"/>
        <v>MIA</v>
      </c>
      <c r="E952" s="2">
        <v>6</v>
      </c>
      <c r="F952" s="12">
        <v>14</v>
      </c>
      <c r="G952" s="11">
        <v>11</v>
      </c>
      <c r="H952" s="11">
        <v>61</v>
      </c>
      <c r="I952" s="11">
        <v>5.5</v>
      </c>
      <c r="J952" s="11">
        <v>0</v>
      </c>
      <c r="K952" s="11">
        <v>0</v>
      </c>
      <c r="L952" s="11" t="str" cm="1">
        <f t="array" ref="L952">IFERROR(_xlfn.XLOOKUP(C952&amp;A952, ESPN!A:A&amp;ESPN!C:C, ESPN!D:D), "N/A")</f>
        <v>N/A</v>
      </c>
      <c r="M952" s="23" t="str" cm="1">
        <f t="array" ref="M952">IFERROR(_xlfn.XLOOKUP(C952&amp;A952, ESPN!A:A&amp;ESPN!C:C, ESPN!G:G), "N/A")</f>
        <v>N/A</v>
      </c>
      <c r="N952" s="23" t="str" cm="1">
        <f t="array" ref="N952">IFERROR(_xlfn.XLOOKUP(C952&amp;A952, ESPN!A:A&amp;ESPN!C:C, ESPN!H:H), "N/A")</f>
        <v>N/A</v>
      </c>
      <c r="O952" s="26" t="str" cm="1">
        <f t="array" ref="O952">IFERROR(_xlfn.XLOOKUP(C952&amp;A952, ESPN!A:A&amp;ESPN!C:C, ESPN!I:I), "N/A")</f>
        <v>N/A</v>
      </c>
      <c r="P952" s="26" t="str" cm="1">
        <f t="array" ref="P952">IFERROR(_xlfn.XLOOKUP(C952&amp;A952, ESPN!A:A&amp;ESPN!C:C, ESPN!J:J), "N/A")</f>
        <v>N/A</v>
      </c>
      <c r="Q952" s="26" t="str" cm="1">
        <f t="array" ref="Q952">IFERROR(_xlfn.XLOOKUP(C952&amp;A952, ESPN!A:A&amp;ESPN!C:C, ESPN!K:K), "N/A")</f>
        <v>N/A</v>
      </c>
    </row>
    <row r="953" spans="1:17" x14ac:dyDescent="0.45">
      <c r="A953" s="7">
        <v>2020</v>
      </c>
      <c r="B953" s="3" t="s">
        <v>545</v>
      </c>
      <c r="C953" s="4" t="str">
        <f t="shared" si="28"/>
        <v>Duke Johnson Jr.</v>
      </c>
      <c r="D953" s="4" t="str">
        <f t="shared" si="29"/>
        <v>HOU</v>
      </c>
      <c r="E953" s="4">
        <v>11</v>
      </c>
      <c r="F953" s="12">
        <v>35</v>
      </c>
      <c r="G953" s="11">
        <v>28</v>
      </c>
      <c r="H953" s="11">
        <v>249</v>
      </c>
      <c r="I953" s="11">
        <v>8.9</v>
      </c>
      <c r="J953" s="11">
        <v>1</v>
      </c>
      <c r="K953" s="11">
        <v>2</v>
      </c>
      <c r="L953" s="11" cm="1">
        <f t="array" ref="L953">IFERROR(_xlfn.XLOOKUP(C953&amp;A953, ESPN!A:A&amp;ESPN!C:C, ESPN!D:D), "N/A")</f>
        <v>163</v>
      </c>
      <c r="M953" s="23" cm="1">
        <f t="array" ref="M953">IFERROR(_xlfn.XLOOKUP(C953&amp;A953, ESPN!A:A&amp;ESPN!C:C, ESPN!G:G), "N/A")</f>
        <v>1.53</v>
      </c>
      <c r="N953" s="23" cm="1">
        <f t="array" ref="N953">IFERROR(_xlfn.XLOOKUP(C953&amp;A953, ESPN!A:A&amp;ESPN!C:C, ESPN!H:H), "N/A")</f>
        <v>63</v>
      </c>
      <c r="O953" s="26" cm="1">
        <f t="array" ref="O953">IFERROR(_xlfn.XLOOKUP(C953&amp;A953, ESPN!A:A&amp;ESPN!C:C, ESPN!I:I), "N/A")</f>
        <v>53</v>
      </c>
      <c r="P953" s="26" cm="1">
        <f t="array" ref="P953">IFERROR(_xlfn.XLOOKUP(C953&amp;A953, ESPN!A:A&amp;ESPN!C:C, ESPN!J:J), "N/A")</f>
        <v>62</v>
      </c>
      <c r="Q953" s="26" cm="1">
        <f t="array" ref="Q953">IFERROR(_xlfn.XLOOKUP(C953&amp;A953, ESPN!A:A&amp;ESPN!C:C, ESPN!K:K), "N/A")</f>
        <v>66</v>
      </c>
    </row>
    <row r="954" spans="1:17" x14ac:dyDescent="0.45">
      <c r="A954" s="6">
        <v>2020</v>
      </c>
      <c r="B954" s="1" t="s">
        <v>54</v>
      </c>
      <c r="C954" s="2" t="str">
        <f t="shared" si="28"/>
        <v>Samaje Perine</v>
      </c>
      <c r="D954" s="2" t="str">
        <f t="shared" si="29"/>
        <v>CIN</v>
      </c>
      <c r="E954" s="2">
        <v>16</v>
      </c>
      <c r="F954" s="12">
        <v>12</v>
      </c>
      <c r="G954" s="11">
        <v>11</v>
      </c>
      <c r="H954" s="11">
        <v>66</v>
      </c>
      <c r="I954" s="11">
        <v>6</v>
      </c>
      <c r="J954" s="11">
        <v>0</v>
      </c>
      <c r="K954" s="11">
        <v>0</v>
      </c>
      <c r="L954" s="11" t="str" cm="1">
        <f t="array" ref="L954">IFERROR(_xlfn.XLOOKUP(C954&amp;A954, ESPN!A:A&amp;ESPN!C:C, ESPN!D:D), "N/A")</f>
        <v>N/A</v>
      </c>
      <c r="M954" s="23" t="str" cm="1">
        <f t="array" ref="M954">IFERROR(_xlfn.XLOOKUP(C954&amp;A954, ESPN!A:A&amp;ESPN!C:C, ESPN!G:G), "N/A")</f>
        <v>N/A</v>
      </c>
      <c r="N954" s="23" t="str" cm="1">
        <f t="array" ref="N954">IFERROR(_xlfn.XLOOKUP(C954&amp;A954, ESPN!A:A&amp;ESPN!C:C, ESPN!H:H), "N/A")</f>
        <v>N/A</v>
      </c>
      <c r="O954" s="26" t="str" cm="1">
        <f t="array" ref="O954">IFERROR(_xlfn.XLOOKUP(C954&amp;A954, ESPN!A:A&amp;ESPN!C:C, ESPN!I:I), "N/A")</f>
        <v>N/A</v>
      </c>
      <c r="P954" s="26" t="str" cm="1">
        <f t="array" ref="P954">IFERROR(_xlfn.XLOOKUP(C954&amp;A954, ESPN!A:A&amp;ESPN!C:C, ESPN!J:J), "N/A")</f>
        <v>N/A</v>
      </c>
      <c r="Q954" s="26" t="str" cm="1">
        <f t="array" ref="Q954">IFERROR(_xlfn.XLOOKUP(C954&amp;A954, ESPN!A:A&amp;ESPN!C:C, ESPN!K:K), "N/A")</f>
        <v>N/A</v>
      </c>
    </row>
    <row r="955" spans="1:17" x14ac:dyDescent="0.45">
      <c r="A955" s="7">
        <v>2020</v>
      </c>
      <c r="B955" s="3" t="s">
        <v>546</v>
      </c>
      <c r="C955" s="4" t="str">
        <f t="shared" si="28"/>
        <v>Kerryon Johnson</v>
      </c>
      <c r="D955" s="4" t="str">
        <f t="shared" si="29"/>
        <v>DET</v>
      </c>
      <c r="E955" s="4">
        <v>16</v>
      </c>
      <c r="F955" s="12">
        <v>26</v>
      </c>
      <c r="G955" s="11">
        <v>19</v>
      </c>
      <c r="H955" s="11">
        <v>187</v>
      </c>
      <c r="I955" s="11">
        <v>9.8000000000000007</v>
      </c>
      <c r="J955" s="11">
        <v>1</v>
      </c>
      <c r="K955" s="11">
        <v>1</v>
      </c>
      <c r="L955" s="11" t="str" cm="1">
        <f t="array" ref="L955">IFERROR(_xlfn.XLOOKUP(C955&amp;A955, ESPN!A:A&amp;ESPN!C:C, ESPN!D:D), "N/A")</f>
        <v>N/A</v>
      </c>
      <c r="M955" s="23" t="str" cm="1">
        <f t="array" ref="M955">IFERROR(_xlfn.XLOOKUP(C955&amp;A955, ESPN!A:A&amp;ESPN!C:C, ESPN!G:G), "N/A")</f>
        <v>N/A</v>
      </c>
      <c r="N955" s="23" t="str" cm="1">
        <f t="array" ref="N955">IFERROR(_xlfn.XLOOKUP(C955&amp;A955, ESPN!A:A&amp;ESPN!C:C, ESPN!H:H), "N/A")</f>
        <v>N/A</v>
      </c>
      <c r="O955" s="26" t="str" cm="1">
        <f t="array" ref="O955">IFERROR(_xlfn.XLOOKUP(C955&amp;A955, ESPN!A:A&amp;ESPN!C:C, ESPN!I:I), "N/A")</f>
        <v>N/A</v>
      </c>
      <c r="P955" s="26" t="str" cm="1">
        <f t="array" ref="P955">IFERROR(_xlfn.XLOOKUP(C955&amp;A955, ESPN!A:A&amp;ESPN!C:C, ESPN!J:J), "N/A")</f>
        <v>N/A</v>
      </c>
      <c r="Q955" s="26" t="str" cm="1">
        <f t="array" ref="Q955">IFERROR(_xlfn.XLOOKUP(C955&amp;A955, ESPN!A:A&amp;ESPN!C:C, ESPN!K:K), "N/A")</f>
        <v>N/A</v>
      </c>
    </row>
    <row r="956" spans="1:17" x14ac:dyDescent="0.45">
      <c r="A956" s="6">
        <v>2020</v>
      </c>
      <c r="B956" s="1" t="s">
        <v>547</v>
      </c>
      <c r="C956" s="2" t="str">
        <f t="shared" si="28"/>
        <v>Peyton Barber</v>
      </c>
      <c r="D956" s="2" t="str">
        <f t="shared" si="29"/>
        <v>WAS</v>
      </c>
      <c r="E956" s="2">
        <v>16</v>
      </c>
      <c r="F956" s="12">
        <v>7</v>
      </c>
      <c r="G956" s="11">
        <v>4</v>
      </c>
      <c r="H956" s="11">
        <v>12</v>
      </c>
      <c r="I956" s="11">
        <v>3</v>
      </c>
      <c r="J956" s="11">
        <v>0</v>
      </c>
      <c r="K956" s="11">
        <v>0</v>
      </c>
      <c r="L956" s="11" t="str" cm="1">
        <f t="array" ref="L956">IFERROR(_xlfn.XLOOKUP(C956&amp;A956, ESPN!A:A&amp;ESPN!C:C, ESPN!D:D), "N/A")</f>
        <v>N/A</v>
      </c>
      <c r="M956" s="23" t="str" cm="1">
        <f t="array" ref="M956">IFERROR(_xlfn.XLOOKUP(C956&amp;A956, ESPN!A:A&amp;ESPN!C:C, ESPN!G:G), "N/A")</f>
        <v>N/A</v>
      </c>
      <c r="N956" s="23" t="str" cm="1">
        <f t="array" ref="N956">IFERROR(_xlfn.XLOOKUP(C956&amp;A956, ESPN!A:A&amp;ESPN!C:C, ESPN!H:H), "N/A")</f>
        <v>N/A</v>
      </c>
      <c r="O956" s="26" t="str" cm="1">
        <f t="array" ref="O956">IFERROR(_xlfn.XLOOKUP(C956&amp;A956, ESPN!A:A&amp;ESPN!C:C, ESPN!I:I), "N/A")</f>
        <v>N/A</v>
      </c>
      <c r="P956" s="26" t="str" cm="1">
        <f t="array" ref="P956">IFERROR(_xlfn.XLOOKUP(C956&amp;A956, ESPN!A:A&amp;ESPN!C:C, ESPN!J:J), "N/A")</f>
        <v>N/A</v>
      </c>
      <c r="Q956" s="26" t="str" cm="1">
        <f t="array" ref="Q956">IFERROR(_xlfn.XLOOKUP(C956&amp;A956, ESPN!A:A&amp;ESPN!C:C, ESPN!K:K), "N/A")</f>
        <v>N/A</v>
      </c>
    </row>
    <row r="957" spans="1:17" x14ac:dyDescent="0.45">
      <c r="A957" s="7">
        <v>2020</v>
      </c>
      <c r="B957" s="3" t="s">
        <v>385</v>
      </c>
      <c r="C957" s="4" t="str">
        <f t="shared" si="28"/>
        <v>Jordan Wilkins</v>
      </c>
      <c r="D957" s="4" t="str">
        <f t="shared" si="29"/>
        <v>IND</v>
      </c>
      <c r="E957" s="4">
        <v>15</v>
      </c>
      <c r="F957" s="12">
        <v>16</v>
      </c>
      <c r="G957" s="11">
        <v>12</v>
      </c>
      <c r="H957" s="11">
        <v>105</v>
      </c>
      <c r="I957" s="11">
        <v>8.8000000000000007</v>
      </c>
      <c r="J957" s="11">
        <v>0</v>
      </c>
      <c r="K957" s="11">
        <v>0</v>
      </c>
      <c r="L957" s="11" t="str" cm="1">
        <f t="array" ref="L957">IFERROR(_xlfn.XLOOKUP(C957&amp;A957, ESPN!A:A&amp;ESPN!C:C, ESPN!D:D), "N/A")</f>
        <v>N/A</v>
      </c>
      <c r="M957" s="23" t="str" cm="1">
        <f t="array" ref="M957">IFERROR(_xlfn.XLOOKUP(C957&amp;A957, ESPN!A:A&amp;ESPN!C:C, ESPN!G:G), "N/A")</f>
        <v>N/A</v>
      </c>
      <c r="N957" s="23" t="str" cm="1">
        <f t="array" ref="N957">IFERROR(_xlfn.XLOOKUP(C957&amp;A957, ESPN!A:A&amp;ESPN!C:C, ESPN!H:H), "N/A")</f>
        <v>N/A</v>
      </c>
      <c r="O957" s="26" t="str" cm="1">
        <f t="array" ref="O957">IFERROR(_xlfn.XLOOKUP(C957&amp;A957, ESPN!A:A&amp;ESPN!C:C, ESPN!I:I), "N/A")</f>
        <v>N/A</v>
      </c>
      <c r="P957" s="26" t="str" cm="1">
        <f t="array" ref="P957">IFERROR(_xlfn.XLOOKUP(C957&amp;A957, ESPN!A:A&amp;ESPN!C:C, ESPN!J:J), "N/A")</f>
        <v>N/A</v>
      </c>
      <c r="Q957" s="26" t="str" cm="1">
        <f t="array" ref="Q957">IFERROR(_xlfn.XLOOKUP(C957&amp;A957, ESPN!A:A&amp;ESPN!C:C, ESPN!K:K), "N/A")</f>
        <v>N/A</v>
      </c>
    </row>
    <row r="958" spans="1:17" x14ac:dyDescent="0.45">
      <c r="A958" s="6">
        <v>2020</v>
      </c>
      <c r="B958" s="1" t="s">
        <v>367</v>
      </c>
      <c r="C958" s="2" t="str">
        <f t="shared" si="28"/>
        <v>Ty Johnson</v>
      </c>
      <c r="D958" s="2" t="str">
        <f t="shared" si="29"/>
        <v>NYJ</v>
      </c>
      <c r="E958" s="2">
        <v>13</v>
      </c>
      <c r="F958" s="12">
        <v>21</v>
      </c>
      <c r="G958" s="11">
        <v>16</v>
      </c>
      <c r="H958" s="11">
        <v>99</v>
      </c>
      <c r="I958" s="11">
        <v>6.2</v>
      </c>
      <c r="J958" s="11">
        <v>1</v>
      </c>
      <c r="K958" s="11">
        <v>0</v>
      </c>
      <c r="L958" s="11" t="str" cm="1">
        <f t="array" ref="L958">IFERROR(_xlfn.XLOOKUP(C958&amp;A958, ESPN!A:A&amp;ESPN!C:C, ESPN!D:D), "N/A")</f>
        <v>N/A</v>
      </c>
      <c r="M958" s="23" t="str" cm="1">
        <f t="array" ref="M958">IFERROR(_xlfn.XLOOKUP(C958&amp;A958, ESPN!A:A&amp;ESPN!C:C, ESPN!G:G), "N/A")</f>
        <v>N/A</v>
      </c>
      <c r="N958" s="23" t="str" cm="1">
        <f t="array" ref="N958">IFERROR(_xlfn.XLOOKUP(C958&amp;A958, ESPN!A:A&amp;ESPN!C:C, ESPN!H:H), "N/A")</f>
        <v>N/A</v>
      </c>
      <c r="O958" s="26" t="str" cm="1">
        <f t="array" ref="O958">IFERROR(_xlfn.XLOOKUP(C958&amp;A958, ESPN!A:A&amp;ESPN!C:C, ESPN!I:I), "N/A")</f>
        <v>N/A</v>
      </c>
      <c r="P958" s="26" t="str" cm="1">
        <f t="array" ref="P958">IFERROR(_xlfn.XLOOKUP(C958&amp;A958, ESPN!A:A&amp;ESPN!C:C, ESPN!J:J), "N/A")</f>
        <v>N/A</v>
      </c>
      <c r="Q958" s="26" t="str" cm="1">
        <f t="array" ref="Q958">IFERROR(_xlfn.XLOOKUP(C958&amp;A958, ESPN!A:A&amp;ESPN!C:C, ESPN!K:K), "N/A")</f>
        <v>N/A</v>
      </c>
    </row>
    <row r="959" spans="1:17" x14ac:dyDescent="0.45">
      <c r="A959" s="7">
        <v>2020</v>
      </c>
      <c r="B959" s="3" t="s">
        <v>548</v>
      </c>
      <c r="C959" s="4" t="str">
        <f t="shared" si="28"/>
        <v>Mark Ingram II</v>
      </c>
      <c r="D959" s="4" t="str">
        <f t="shared" si="29"/>
        <v>BAL</v>
      </c>
      <c r="E959" s="4">
        <v>11</v>
      </c>
      <c r="F959" s="12">
        <v>8</v>
      </c>
      <c r="G959" s="11">
        <v>6</v>
      </c>
      <c r="H959" s="11">
        <v>50</v>
      </c>
      <c r="I959" s="11">
        <v>8.3000000000000007</v>
      </c>
      <c r="J959" s="11">
        <v>0</v>
      </c>
      <c r="K959" s="11">
        <v>0</v>
      </c>
      <c r="L959" s="11" t="str" cm="1">
        <f t="array" ref="L959">IFERROR(_xlfn.XLOOKUP(C959&amp;A959, ESPN!A:A&amp;ESPN!C:C, ESPN!D:D), "N/A")</f>
        <v>N/A</v>
      </c>
      <c r="M959" s="23" t="str" cm="1">
        <f t="array" ref="M959">IFERROR(_xlfn.XLOOKUP(C959&amp;A959, ESPN!A:A&amp;ESPN!C:C, ESPN!G:G), "N/A")</f>
        <v>N/A</v>
      </c>
      <c r="N959" s="23" t="str" cm="1">
        <f t="array" ref="N959">IFERROR(_xlfn.XLOOKUP(C959&amp;A959, ESPN!A:A&amp;ESPN!C:C, ESPN!H:H), "N/A")</f>
        <v>N/A</v>
      </c>
      <c r="O959" s="26" t="str" cm="1">
        <f t="array" ref="O959">IFERROR(_xlfn.XLOOKUP(C959&amp;A959, ESPN!A:A&amp;ESPN!C:C, ESPN!I:I), "N/A")</f>
        <v>N/A</v>
      </c>
      <c r="P959" s="26" t="str" cm="1">
        <f t="array" ref="P959">IFERROR(_xlfn.XLOOKUP(C959&amp;A959, ESPN!A:A&amp;ESPN!C:C, ESPN!J:J), "N/A")</f>
        <v>N/A</v>
      </c>
      <c r="Q959" s="26" t="str" cm="1">
        <f t="array" ref="Q959">IFERROR(_xlfn.XLOOKUP(C959&amp;A959, ESPN!A:A&amp;ESPN!C:C, ESPN!K:K), "N/A")</f>
        <v>N/A</v>
      </c>
    </row>
    <row r="960" spans="1:17" x14ac:dyDescent="0.45">
      <c r="A960" s="6">
        <v>2020</v>
      </c>
      <c r="B960" s="1" t="s">
        <v>438</v>
      </c>
      <c r="C960" s="2" t="str">
        <f t="shared" si="28"/>
        <v>Justin Jackson</v>
      </c>
      <c r="D960" s="2" t="str">
        <f t="shared" si="29"/>
        <v>LAC</v>
      </c>
      <c r="E960" s="2">
        <v>9</v>
      </c>
      <c r="F960" s="12">
        <v>24</v>
      </c>
      <c r="G960" s="11">
        <v>19</v>
      </c>
      <c r="H960" s="11">
        <v>173</v>
      </c>
      <c r="I960" s="11">
        <v>9.1</v>
      </c>
      <c r="J960" s="11">
        <v>0</v>
      </c>
      <c r="K960" s="11">
        <v>0</v>
      </c>
      <c r="L960" s="11" t="str" cm="1">
        <f t="array" ref="L960">IFERROR(_xlfn.XLOOKUP(C960&amp;A960, ESPN!A:A&amp;ESPN!C:C, ESPN!D:D), "N/A")</f>
        <v>N/A</v>
      </c>
      <c r="M960" s="23" t="str" cm="1">
        <f t="array" ref="M960">IFERROR(_xlfn.XLOOKUP(C960&amp;A960, ESPN!A:A&amp;ESPN!C:C, ESPN!G:G), "N/A")</f>
        <v>N/A</v>
      </c>
      <c r="N960" s="23" t="str" cm="1">
        <f t="array" ref="N960">IFERROR(_xlfn.XLOOKUP(C960&amp;A960, ESPN!A:A&amp;ESPN!C:C, ESPN!H:H), "N/A")</f>
        <v>N/A</v>
      </c>
      <c r="O960" s="26" t="str" cm="1">
        <f t="array" ref="O960">IFERROR(_xlfn.XLOOKUP(C960&amp;A960, ESPN!A:A&amp;ESPN!C:C, ESPN!I:I), "N/A")</f>
        <v>N/A</v>
      </c>
      <c r="P960" s="26" t="str" cm="1">
        <f t="array" ref="P960">IFERROR(_xlfn.XLOOKUP(C960&amp;A960, ESPN!A:A&amp;ESPN!C:C, ESPN!J:J), "N/A")</f>
        <v>N/A</v>
      </c>
      <c r="Q960" s="26" t="str" cm="1">
        <f t="array" ref="Q960">IFERROR(_xlfn.XLOOKUP(C960&amp;A960, ESPN!A:A&amp;ESPN!C:C, ESPN!K:K), "N/A")</f>
        <v>N/A</v>
      </c>
    </row>
    <row r="961" spans="1:17" x14ac:dyDescent="0.45">
      <c r="A961" s="7">
        <v>2020</v>
      </c>
      <c r="B961" s="3" t="s">
        <v>485</v>
      </c>
      <c r="C961" s="4" t="str">
        <f t="shared" si="28"/>
        <v>La'Mical Perine</v>
      </c>
      <c r="D961" s="4" t="str">
        <f t="shared" si="29"/>
        <v>NYJ</v>
      </c>
      <c r="E961" s="4">
        <v>10</v>
      </c>
      <c r="F961" s="12">
        <v>15</v>
      </c>
      <c r="G961" s="11">
        <v>11</v>
      </c>
      <c r="H961" s="11">
        <v>63</v>
      </c>
      <c r="I961" s="11">
        <v>5.7</v>
      </c>
      <c r="J961" s="11">
        <v>0</v>
      </c>
      <c r="K961" s="11">
        <v>0</v>
      </c>
      <c r="L961" s="11" t="str" cm="1">
        <f t="array" ref="L961">IFERROR(_xlfn.XLOOKUP(C961&amp;A961, ESPN!A:A&amp;ESPN!C:C, ESPN!D:D), "N/A")</f>
        <v>N/A</v>
      </c>
      <c r="M961" s="23" t="str" cm="1">
        <f t="array" ref="M961">IFERROR(_xlfn.XLOOKUP(C961&amp;A961, ESPN!A:A&amp;ESPN!C:C, ESPN!G:G), "N/A")</f>
        <v>N/A</v>
      </c>
      <c r="N961" s="23" t="str" cm="1">
        <f t="array" ref="N961">IFERROR(_xlfn.XLOOKUP(C961&amp;A961, ESPN!A:A&amp;ESPN!C:C, ESPN!H:H), "N/A")</f>
        <v>N/A</v>
      </c>
      <c r="O961" s="26" t="str" cm="1">
        <f t="array" ref="O961">IFERROR(_xlfn.XLOOKUP(C961&amp;A961, ESPN!A:A&amp;ESPN!C:C, ESPN!I:I), "N/A")</f>
        <v>N/A</v>
      </c>
      <c r="P961" s="26" t="str" cm="1">
        <f t="array" ref="P961">IFERROR(_xlfn.XLOOKUP(C961&amp;A961, ESPN!A:A&amp;ESPN!C:C, ESPN!J:J), "N/A")</f>
        <v>N/A</v>
      </c>
      <c r="Q961" s="26" t="str" cm="1">
        <f t="array" ref="Q961">IFERROR(_xlfn.XLOOKUP(C961&amp;A961, ESPN!A:A&amp;ESPN!C:C, ESPN!K:K), "N/A")</f>
        <v>N/A</v>
      </c>
    </row>
    <row r="962" spans="1:17" x14ac:dyDescent="0.45">
      <c r="A962" s="6">
        <v>2020</v>
      </c>
      <c r="B962" s="1" t="s">
        <v>549</v>
      </c>
      <c r="C962" s="2" t="str">
        <f t="shared" ref="C962:C1025" si="30">TRIM(LEFT(B962, LEN(B962) - LEN(TRIM(RIGHT(SUBSTITUTE(TRIM(B962)," ",REPT(" ",100)),100)))))</f>
        <v>Ito Smith</v>
      </c>
      <c r="D962" s="2" t="str">
        <f t="shared" ref="D962:D1025" si="31">MID(B962, FIND("(", B962) + 1, FIND(")", B962) - FIND("(", B962) - 1)</f>
        <v>ATL</v>
      </c>
      <c r="E962" s="2">
        <v>14</v>
      </c>
      <c r="F962" s="12">
        <v>26</v>
      </c>
      <c r="G962" s="11">
        <v>17</v>
      </c>
      <c r="H962" s="11">
        <v>75</v>
      </c>
      <c r="I962" s="11">
        <v>4.4000000000000004</v>
      </c>
      <c r="J962" s="11">
        <v>0</v>
      </c>
      <c r="K962" s="11">
        <v>0</v>
      </c>
      <c r="L962" s="11" cm="1">
        <f t="array" ref="L962">IFERROR(_xlfn.XLOOKUP(C962&amp;A962, ESPN!A:A&amp;ESPN!C:C, ESPN!D:D), "N/A")</f>
        <v>103</v>
      </c>
      <c r="M962" s="23" cm="1">
        <f t="array" ref="M962">IFERROR(_xlfn.XLOOKUP(C962&amp;A962, ESPN!A:A&amp;ESPN!C:C, ESPN!G:G), "N/A")</f>
        <v>0.73</v>
      </c>
      <c r="N962" s="23" cm="1">
        <f t="array" ref="N962">IFERROR(_xlfn.XLOOKUP(C962&amp;A962, ESPN!A:A&amp;ESPN!C:C, ESPN!H:H), "N/A")</f>
        <v>39</v>
      </c>
      <c r="O962" s="26" cm="1">
        <f t="array" ref="O962">IFERROR(_xlfn.XLOOKUP(C962&amp;A962, ESPN!A:A&amp;ESPN!C:C, ESPN!I:I), "N/A")</f>
        <v>45</v>
      </c>
      <c r="P962" s="26" cm="1">
        <f t="array" ref="P962">IFERROR(_xlfn.XLOOKUP(C962&amp;A962, ESPN!A:A&amp;ESPN!C:C, ESPN!J:J), "N/A")</f>
        <v>35</v>
      </c>
      <c r="Q962" s="26" cm="1">
        <f t="array" ref="Q962">IFERROR(_xlfn.XLOOKUP(C962&amp;A962, ESPN!A:A&amp;ESPN!C:C, ESPN!K:K), "N/A")</f>
        <v>31</v>
      </c>
    </row>
    <row r="963" spans="1:17" x14ac:dyDescent="0.45">
      <c r="A963" s="7">
        <v>2020</v>
      </c>
      <c r="B963" s="3" t="s">
        <v>305</v>
      </c>
      <c r="C963" s="4" t="str">
        <f t="shared" si="30"/>
        <v>DeeJay Dallas</v>
      </c>
      <c r="D963" s="4" t="str">
        <f t="shared" si="31"/>
        <v>SEA</v>
      </c>
      <c r="E963" s="4">
        <v>12</v>
      </c>
      <c r="F963" s="12">
        <v>20</v>
      </c>
      <c r="G963" s="11">
        <v>17</v>
      </c>
      <c r="H963" s="11">
        <v>111</v>
      </c>
      <c r="I963" s="11">
        <v>6.5</v>
      </c>
      <c r="J963" s="11">
        <v>1</v>
      </c>
      <c r="K963" s="11">
        <v>0</v>
      </c>
      <c r="L963" s="11" t="str" cm="1">
        <f t="array" ref="L963">IFERROR(_xlfn.XLOOKUP(C963&amp;A963, ESPN!A:A&amp;ESPN!C:C, ESPN!D:D), "N/A")</f>
        <v>N/A</v>
      </c>
      <c r="M963" s="23" t="str" cm="1">
        <f t="array" ref="M963">IFERROR(_xlfn.XLOOKUP(C963&amp;A963, ESPN!A:A&amp;ESPN!C:C, ESPN!G:G), "N/A")</f>
        <v>N/A</v>
      </c>
      <c r="N963" s="23" t="str" cm="1">
        <f t="array" ref="N963">IFERROR(_xlfn.XLOOKUP(C963&amp;A963, ESPN!A:A&amp;ESPN!C:C, ESPN!H:H), "N/A")</f>
        <v>N/A</v>
      </c>
      <c r="O963" s="26" t="str" cm="1">
        <f t="array" ref="O963">IFERROR(_xlfn.XLOOKUP(C963&amp;A963, ESPN!A:A&amp;ESPN!C:C, ESPN!I:I), "N/A")</f>
        <v>N/A</v>
      </c>
      <c r="P963" s="26" t="str" cm="1">
        <f t="array" ref="P963">IFERROR(_xlfn.XLOOKUP(C963&amp;A963, ESPN!A:A&amp;ESPN!C:C, ESPN!J:J), "N/A")</f>
        <v>N/A</v>
      </c>
      <c r="Q963" s="26" t="str" cm="1">
        <f t="array" ref="Q963">IFERROR(_xlfn.XLOOKUP(C963&amp;A963, ESPN!A:A&amp;ESPN!C:C, ESPN!K:K), "N/A")</f>
        <v>N/A</v>
      </c>
    </row>
    <row r="964" spans="1:17" x14ac:dyDescent="0.45">
      <c r="A964" s="6">
        <v>2020</v>
      </c>
      <c r="B964" s="1" t="s">
        <v>266</v>
      </c>
      <c r="C964" s="2" t="str">
        <f t="shared" si="30"/>
        <v>AJ Dillon</v>
      </c>
      <c r="D964" s="2" t="str">
        <f t="shared" si="31"/>
        <v>GB</v>
      </c>
      <c r="E964" s="2">
        <v>11</v>
      </c>
      <c r="F964" s="12">
        <v>2</v>
      </c>
      <c r="G964" s="11">
        <v>2</v>
      </c>
      <c r="H964" s="11">
        <v>21</v>
      </c>
      <c r="I964" s="11">
        <v>10.5</v>
      </c>
      <c r="J964" s="11">
        <v>0</v>
      </c>
      <c r="K964" s="11">
        <v>0</v>
      </c>
      <c r="L964" s="11" t="str" cm="1">
        <f t="array" ref="L964">IFERROR(_xlfn.XLOOKUP(C964&amp;A964, ESPN!A:A&amp;ESPN!C:C, ESPN!D:D), "N/A")</f>
        <v>N/A</v>
      </c>
      <c r="M964" s="23" t="str" cm="1">
        <f t="array" ref="M964">IFERROR(_xlfn.XLOOKUP(C964&amp;A964, ESPN!A:A&amp;ESPN!C:C, ESPN!G:G), "N/A")</f>
        <v>N/A</v>
      </c>
      <c r="N964" s="23" t="str" cm="1">
        <f t="array" ref="N964">IFERROR(_xlfn.XLOOKUP(C964&amp;A964, ESPN!A:A&amp;ESPN!C:C, ESPN!H:H), "N/A")</f>
        <v>N/A</v>
      </c>
      <c r="O964" s="26" t="str" cm="1">
        <f t="array" ref="O964">IFERROR(_xlfn.XLOOKUP(C964&amp;A964, ESPN!A:A&amp;ESPN!C:C, ESPN!I:I), "N/A")</f>
        <v>N/A</v>
      </c>
      <c r="P964" s="26" t="str" cm="1">
        <f t="array" ref="P964">IFERROR(_xlfn.XLOOKUP(C964&amp;A964, ESPN!A:A&amp;ESPN!C:C, ESPN!J:J), "N/A")</f>
        <v>N/A</v>
      </c>
      <c r="Q964" s="26" t="str" cm="1">
        <f t="array" ref="Q964">IFERROR(_xlfn.XLOOKUP(C964&amp;A964, ESPN!A:A&amp;ESPN!C:C, ESPN!K:K), "N/A")</f>
        <v>N/A</v>
      </c>
    </row>
    <row r="965" spans="1:17" x14ac:dyDescent="0.45">
      <c r="A965" s="7">
        <v>2020</v>
      </c>
      <c r="B965" s="3" t="s">
        <v>550</v>
      </c>
      <c r="C965" s="4" t="str">
        <f t="shared" si="30"/>
        <v>Dion Lewis</v>
      </c>
      <c r="D965" s="4" t="str">
        <f t="shared" si="31"/>
        <v>NYG</v>
      </c>
      <c r="E965" s="4">
        <v>16</v>
      </c>
      <c r="F965" s="12">
        <v>30</v>
      </c>
      <c r="G965" s="11">
        <v>19</v>
      </c>
      <c r="H965" s="11">
        <v>127</v>
      </c>
      <c r="I965" s="11">
        <v>6.7</v>
      </c>
      <c r="J965" s="11">
        <v>1</v>
      </c>
      <c r="K965" s="11">
        <v>2</v>
      </c>
      <c r="L965" s="11" cm="1">
        <f t="array" ref="L965">IFERROR(_xlfn.XLOOKUP(C965&amp;A965, ESPN!A:A&amp;ESPN!C:C, ESPN!D:D), "N/A")</f>
        <v>146</v>
      </c>
      <c r="M965" s="23" cm="1">
        <f t="array" ref="M965">IFERROR(_xlfn.XLOOKUP(C965&amp;A965, ESPN!A:A&amp;ESPN!C:C, ESPN!G:G), "N/A")</f>
        <v>0.87</v>
      </c>
      <c r="N965" s="23" cm="1">
        <f t="array" ref="N965">IFERROR(_xlfn.XLOOKUP(C965&amp;A965, ESPN!A:A&amp;ESPN!C:C, ESPN!H:H), "N/A")</f>
        <v>49</v>
      </c>
      <c r="O965" s="26" cm="1">
        <f t="array" ref="O965">IFERROR(_xlfn.XLOOKUP(C965&amp;A965, ESPN!A:A&amp;ESPN!C:C, ESPN!I:I), "N/A")</f>
        <v>52</v>
      </c>
      <c r="P965" s="26" cm="1">
        <f t="array" ref="P965">IFERROR(_xlfn.XLOOKUP(C965&amp;A965, ESPN!A:A&amp;ESPN!C:C, ESPN!J:J), "N/A")</f>
        <v>30</v>
      </c>
      <c r="Q965" s="26" cm="1">
        <f t="array" ref="Q965">IFERROR(_xlfn.XLOOKUP(C965&amp;A965, ESPN!A:A&amp;ESPN!C:C, ESPN!K:K), "N/A")</f>
        <v>34</v>
      </c>
    </row>
    <row r="966" spans="1:17" x14ac:dyDescent="0.45">
      <c r="A966" s="6">
        <v>2020</v>
      </c>
      <c r="B966" s="1" t="s">
        <v>551</v>
      </c>
      <c r="C966" s="2" t="str">
        <f t="shared" si="30"/>
        <v>Alfred Morris</v>
      </c>
      <c r="D966" s="2" t="str">
        <f t="shared" si="31"/>
        <v>NYG</v>
      </c>
      <c r="E966" s="2">
        <v>9</v>
      </c>
      <c r="F966" s="12">
        <v>4</v>
      </c>
      <c r="G966" s="11">
        <v>3</v>
      </c>
      <c r="H966" s="11">
        <v>19</v>
      </c>
      <c r="I966" s="11">
        <v>6.3</v>
      </c>
      <c r="J966" s="11">
        <v>1</v>
      </c>
      <c r="K966" s="11">
        <v>0</v>
      </c>
      <c r="L966" s="11" t="str" cm="1">
        <f t="array" ref="L966">IFERROR(_xlfn.XLOOKUP(C966&amp;A966, ESPN!A:A&amp;ESPN!C:C, ESPN!D:D), "N/A")</f>
        <v>N/A</v>
      </c>
      <c r="M966" s="23" t="str" cm="1">
        <f t="array" ref="M966">IFERROR(_xlfn.XLOOKUP(C966&amp;A966, ESPN!A:A&amp;ESPN!C:C, ESPN!G:G), "N/A")</f>
        <v>N/A</v>
      </c>
      <c r="N966" s="23" t="str" cm="1">
        <f t="array" ref="N966">IFERROR(_xlfn.XLOOKUP(C966&amp;A966, ESPN!A:A&amp;ESPN!C:C, ESPN!H:H), "N/A")</f>
        <v>N/A</v>
      </c>
      <c r="O966" s="26" t="str" cm="1">
        <f t="array" ref="O966">IFERROR(_xlfn.XLOOKUP(C966&amp;A966, ESPN!A:A&amp;ESPN!C:C, ESPN!I:I), "N/A")</f>
        <v>N/A</v>
      </c>
      <c r="P966" s="26" t="str" cm="1">
        <f t="array" ref="P966">IFERROR(_xlfn.XLOOKUP(C966&amp;A966, ESPN!A:A&amp;ESPN!C:C, ESPN!J:J), "N/A")</f>
        <v>N/A</v>
      </c>
      <c r="Q966" s="26" t="str" cm="1">
        <f t="array" ref="Q966">IFERROR(_xlfn.XLOOKUP(C966&amp;A966, ESPN!A:A&amp;ESPN!C:C, ESPN!K:K), "N/A")</f>
        <v>N/A</v>
      </c>
    </row>
    <row r="967" spans="1:17" x14ac:dyDescent="0.45">
      <c r="A967" s="7">
        <v>2020</v>
      </c>
      <c r="B967" s="3" t="s">
        <v>552</v>
      </c>
      <c r="C967" s="4" t="str">
        <f t="shared" si="30"/>
        <v>Cordarrelle Patterson</v>
      </c>
      <c r="D967" s="4" t="str">
        <f t="shared" si="31"/>
        <v>CHI</v>
      </c>
      <c r="E967" s="4">
        <v>16</v>
      </c>
      <c r="F967" s="12">
        <v>25</v>
      </c>
      <c r="G967" s="11">
        <v>21</v>
      </c>
      <c r="H967" s="11">
        <v>132</v>
      </c>
      <c r="I967" s="11">
        <v>6.3</v>
      </c>
      <c r="J967" s="11">
        <v>0</v>
      </c>
      <c r="K967" s="11">
        <v>0</v>
      </c>
      <c r="L967" s="11" t="str" cm="1">
        <f t="array" ref="L967">IFERROR(_xlfn.XLOOKUP(C967&amp;A967, ESPN!A:A&amp;ESPN!C:C, ESPN!D:D), "N/A")</f>
        <v>N/A</v>
      </c>
      <c r="M967" s="23" t="str" cm="1">
        <f t="array" ref="M967">IFERROR(_xlfn.XLOOKUP(C967&amp;A967, ESPN!A:A&amp;ESPN!C:C, ESPN!G:G), "N/A")</f>
        <v>N/A</v>
      </c>
      <c r="N967" s="23" t="str" cm="1">
        <f t="array" ref="N967">IFERROR(_xlfn.XLOOKUP(C967&amp;A967, ESPN!A:A&amp;ESPN!C:C, ESPN!H:H), "N/A")</f>
        <v>N/A</v>
      </c>
      <c r="O967" s="26" t="str" cm="1">
        <f t="array" ref="O967">IFERROR(_xlfn.XLOOKUP(C967&amp;A967, ESPN!A:A&amp;ESPN!C:C, ESPN!I:I), "N/A")</f>
        <v>N/A</v>
      </c>
      <c r="P967" s="26" t="str" cm="1">
        <f t="array" ref="P967">IFERROR(_xlfn.XLOOKUP(C967&amp;A967, ESPN!A:A&amp;ESPN!C:C, ESPN!J:J), "N/A")</f>
        <v>N/A</v>
      </c>
      <c r="Q967" s="26" t="str" cm="1">
        <f t="array" ref="Q967">IFERROR(_xlfn.XLOOKUP(C967&amp;A967, ESPN!A:A&amp;ESPN!C:C, ESPN!K:K), "N/A")</f>
        <v>N/A</v>
      </c>
    </row>
    <row r="968" spans="1:17" x14ac:dyDescent="0.45">
      <c r="A968" s="6">
        <v>2020</v>
      </c>
      <c r="B968" s="1" t="s">
        <v>423</v>
      </c>
      <c r="C968" s="2" t="str">
        <f t="shared" si="30"/>
        <v>Darrel Williams</v>
      </c>
      <c r="D968" s="2" t="str">
        <f t="shared" si="31"/>
        <v>KC</v>
      </c>
      <c r="E968" s="2">
        <v>16</v>
      </c>
      <c r="F968" s="12">
        <v>26</v>
      </c>
      <c r="G968" s="11">
        <v>18</v>
      </c>
      <c r="H968" s="11">
        <v>116</v>
      </c>
      <c r="I968" s="11">
        <v>6.4</v>
      </c>
      <c r="J968" s="11">
        <v>0</v>
      </c>
      <c r="K968" s="11">
        <v>0</v>
      </c>
      <c r="L968" s="11" cm="1">
        <f t="array" ref="L968">IFERROR(_xlfn.XLOOKUP(C968&amp;A968, ESPN!A:A&amp;ESPN!C:C, ESPN!D:D), "N/A")</f>
        <v>206</v>
      </c>
      <c r="M968" s="23" cm="1">
        <f t="array" ref="M968">IFERROR(_xlfn.XLOOKUP(C968&amp;A968, ESPN!A:A&amp;ESPN!C:C, ESPN!G:G), "N/A")</f>
        <v>0.73</v>
      </c>
      <c r="N968" s="23" cm="1">
        <f t="array" ref="N968">IFERROR(_xlfn.XLOOKUP(C968&amp;A968, ESPN!A:A&amp;ESPN!C:C, ESPN!H:H), "N/A")</f>
        <v>17</v>
      </c>
      <c r="O968" s="26" cm="1">
        <f t="array" ref="O968">IFERROR(_xlfn.XLOOKUP(C968&amp;A968, ESPN!A:A&amp;ESPN!C:C, ESPN!I:I), "N/A")</f>
        <v>38</v>
      </c>
      <c r="P968" s="26" cm="1">
        <f t="array" ref="P968">IFERROR(_xlfn.XLOOKUP(C968&amp;A968, ESPN!A:A&amp;ESPN!C:C, ESPN!J:J), "N/A")</f>
        <v>35</v>
      </c>
      <c r="Q968" s="26" cm="1">
        <f t="array" ref="Q968">IFERROR(_xlfn.XLOOKUP(C968&amp;A968, ESPN!A:A&amp;ESPN!C:C, ESPN!K:K), "N/A")</f>
        <v>19</v>
      </c>
    </row>
    <row r="969" spans="1:17" x14ac:dyDescent="0.45">
      <c r="A969" s="7">
        <v>2020</v>
      </c>
      <c r="B969" s="3" t="s">
        <v>553</v>
      </c>
      <c r="C969" s="4" t="str">
        <f t="shared" si="30"/>
        <v>Matt Breida</v>
      </c>
      <c r="D969" s="4" t="str">
        <f t="shared" si="31"/>
        <v>MIA</v>
      </c>
      <c r="E969" s="4">
        <v>12</v>
      </c>
      <c r="F969" s="12">
        <v>10</v>
      </c>
      <c r="G969" s="11">
        <v>9</v>
      </c>
      <c r="H969" s="11">
        <v>96</v>
      </c>
      <c r="I969" s="11">
        <v>10.7</v>
      </c>
      <c r="J969" s="11">
        <v>0</v>
      </c>
      <c r="K969" s="11">
        <v>1</v>
      </c>
      <c r="L969" s="11" t="str" cm="1">
        <f t="array" ref="L969">IFERROR(_xlfn.XLOOKUP(C969&amp;A969, ESPN!A:A&amp;ESPN!C:C, ESPN!D:D), "N/A")</f>
        <v>N/A</v>
      </c>
      <c r="M969" s="23" t="str" cm="1">
        <f t="array" ref="M969">IFERROR(_xlfn.XLOOKUP(C969&amp;A969, ESPN!A:A&amp;ESPN!C:C, ESPN!G:G), "N/A")</f>
        <v>N/A</v>
      </c>
      <c r="N969" s="23" t="str" cm="1">
        <f t="array" ref="N969">IFERROR(_xlfn.XLOOKUP(C969&amp;A969, ESPN!A:A&amp;ESPN!C:C, ESPN!H:H), "N/A")</f>
        <v>N/A</v>
      </c>
      <c r="O969" s="26" t="str" cm="1">
        <f t="array" ref="O969">IFERROR(_xlfn.XLOOKUP(C969&amp;A969, ESPN!A:A&amp;ESPN!C:C, ESPN!I:I), "N/A")</f>
        <v>N/A</v>
      </c>
      <c r="P969" s="26" t="str" cm="1">
        <f t="array" ref="P969">IFERROR(_xlfn.XLOOKUP(C969&amp;A969, ESPN!A:A&amp;ESPN!C:C, ESPN!J:J), "N/A")</f>
        <v>N/A</v>
      </c>
      <c r="Q969" s="26" t="str" cm="1">
        <f t="array" ref="Q969">IFERROR(_xlfn.XLOOKUP(C969&amp;A969, ESPN!A:A&amp;ESPN!C:C, ESPN!K:K), "N/A")</f>
        <v>N/A</v>
      </c>
    </row>
    <row r="970" spans="1:17" x14ac:dyDescent="0.45">
      <c r="A970" s="6">
        <v>2020</v>
      </c>
      <c r="B970" s="1" t="s">
        <v>472</v>
      </c>
      <c r="C970" s="2" t="str">
        <f t="shared" si="30"/>
        <v>Jalen Richard</v>
      </c>
      <c r="D970" s="2" t="str">
        <f t="shared" si="31"/>
        <v>LV</v>
      </c>
      <c r="E970" s="2">
        <v>13</v>
      </c>
      <c r="F970" s="12">
        <v>23</v>
      </c>
      <c r="G970" s="11">
        <v>19</v>
      </c>
      <c r="H970" s="11">
        <v>138</v>
      </c>
      <c r="I970" s="11">
        <v>7.3</v>
      </c>
      <c r="J970" s="11">
        <v>0</v>
      </c>
      <c r="K970" s="11">
        <v>0</v>
      </c>
      <c r="L970" s="11" t="str" cm="1">
        <f t="array" ref="L970">IFERROR(_xlfn.XLOOKUP(C970&amp;A970, ESPN!A:A&amp;ESPN!C:C, ESPN!D:D), "N/A")</f>
        <v>N/A</v>
      </c>
      <c r="M970" s="23" t="str" cm="1">
        <f t="array" ref="M970">IFERROR(_xlfn.XLOOKUP(C970&amp;A970, ESPN!A:A&amp;ESPN!C:C, ESPN!G:G), "N/A")</f>
        <v>N/A</v>
      </c>
      <c r="N970" s="23" t="str" cm="1">
        <f t="array" ref="N970">IFERROR(_xlfn.XLOOKUP(C970&amp;A970, ESPN!A:A&amp;ESPN!C:C, ESPN!H:H), "N/A")</f>
        <v>N/A</v>
      </c>
      <c r="O970" s="26" t="str" cm="1">
        <f t="array" ref="O970">IFERROR(_xlfn.XLOOKUP(C970&amp;A970, ESPN!A:A&amp;ESPN!C:C, ESPN!I:I), "N/A")</f>
        <v>N/A</v>
      </c>
      <c r="P970" s="26" t="str" cm="1">
        <f t="array" ref="P970">IFERROR(_xlfn.XLOOKUP(C970&amp;A970, ESPN!A:A&amp;ESPN!C:C, ESPN!J:J), "N/A")</f>
        <v>N/A</v>
      </c>
      <c r="Q970" s="26" t="str" cm="1">
        <f t="array" ref="Q970">IFERROR(_xlfn.XLOOKUP(C970&amp;A970, ESPN!A:A&amp;ESPN!C:C, ESPN!K:K), "N/A")</f>
        <v>N/A</v>
      </c>
    </row>
    <row r="971" spans="1:17" x14ac:dyDescent="0.45">
      <c r="A971" s="7">
        <v>2020</v>
      </c>
      <c r="B971" s="3" t="s">
        <v>445</v>
      </c>
      <c r="C971" s="4" t="str">
        <f t="shared" si="30"/>
        <v>Jeremy McNichols</v>
      </c>
      <c r="D971" s="4" t="str">
        <f t="shared" si="31"/>
        <v>TEN</v>
      </c>
      <c r="E971" s="4">
        <v>16</v>
      </c>
      <c r="F971" s="12">
        <v>17</v>
      </c>
      <c r="G971" s="11">
        <v>12</v>
      </c>
      <c r="H971" s="11">
        <v>55</v>
      </c>
      <c r="I971" s="11">
        <v>4.5999999999999996</v>
      </c>
      <c r="J971" s="11">
        <v>0</v>
      </c>
      <c r="K971" s="11">
        <v>0</v>
      </c>
      <c r="L971" s="11" t="str" cm="1">
        <f t="array" ref="L971">IFERROR(_xlfn.XLOOKUP(C971&amp;A971, ESPN!A:A&amp;ESPN!C:C, ESPN!D:D), "N/A")</f>
        <v>N/A</v>
      </c>
      <c r="M971" s="23" t="str" cm="1">
        <f t="array" ref="M971">IFERROR(_xlfn.XLOOKUP(C971&amp;A971, ESPN!A:A&amp;ESPN!C:C, ESPN!G:G), "N/A")</f>
        <v>N/A</v>
      </c>
      <c r="N971" s="23" t="str" cm="1">
        <f t="array" ref="N971">IFERROR(_xlfn.XLOOKUP(C971&amp;A971, ESPN!A:A&amp;ESPN!C:C, ESPN!H:H), "N/A")</f>
        <v>N/A</v>
      </c>
      <c r="O971" s="26" t="str" cm="1">
        <f t="array" ref="O971">IFERROR(_xlfn.XLOOKUP(C971&amp;A971, ESPN!A:A&amp;ESPN!C:C, ESPN!I:I), "N/A")</f>
        <v>N/A</v>
      </c>
      <c r="P971" s="26" t="str" cm="1">
        <f t="array" ref="P971">IFERROR(_xlfn.XLOOKUP(C971&amp;A971, ESPN!A:A&amp;ESPN!C:C, ESPN!J:J), "N/A")</f>
        <v>N/A</v>
      </c>
      <c r="Q971" s="26" t="str" cm="1">
        <f t="array" ref="Q971">IFERROR(_xlfn.XLOOKUP(C971&amp;A971, ESPN!A:A&amp;ESPN!C:C, ESPN!K:K), "N/A")</f>
        <v>N/A</v>
      </c>
    </row>
    <row r="972" spans="1:17" x14ac:dyDescent="0.45">
      <c r="A972" s="6">
        <v>2020</v>
      </c>
      <c r="B972" s="1" t="s">
        <v>554</v>
      </c>
      <c r="C972" s="2" t="str">
        <f t="shared" si="30"/>
        <v>Josh Adams</v>
      </c>
      <c r="D972" s="2" t="str">
        <f t="shared" si="31"/>
        <v>NYJ</v>
      </c>
      <c r="E972" s="2">
        <v>8</v>
      </c>
      <c r="F972" s="12">
        <v>8</v>
      </c>
      <c r="G972" s="11">
        <v>6</v>
      </c>
      <c r="H972" s="11">
        <v>29</v>
      </c>
      <c r="I972" s="11">
        <v>4.8</v>
      </c>
      <c r="J972" s="11">
        <v>0</v>
      </c>
      <c r="K972" s="11">
        <v>0</v>
      </c>
      <c r="L972" s="11" t="str" cm="1">
        <f t="array" ref="L972">IFERROR(_xlfn.XLOOKUP(C972&amp;A972, ESPN!A:A&amp;ESPN!C:C, ESPN!D:D), "N/A")</f>
        <v>N/A</v>
      </c>
      <c r="M972" s="23" t="str" cm="1">
        <f t="array" ref="M972">IFERROR(_xlfn.XLOOKUP(C972&amp;A972, ESPN!A:A&amp;ESPN!C:C, ESPN!G:G), "N/A")</f>
        <v>N/A</v>
      </c>
      <c r="N972" s="23" t="str" cm="1">
        <f t="array" ref="N972">IFERROR(_xlfn.XLOOKUP(C972&amp;A972, ESPN!A:A&amp;ESPN!C:C, ESPN!H:H), "N/A")</f>
        <v>N/A</v>
      </c>
      <c r="O972" s="26" t="str" cm="1">
        <f t="array" ref="O972">IFERROR(_xlfn.XLOOKUP(C972&amp;A972, ESPN!A:A&amp;ESPN!C:C, ESPN!I:I), "N/A")</f>
        <v>N/A</v>
      </c>
      <c r="P972" s="26" t="str" cm="1">
        <f t="array" ref="P972">IFERROR(_xlfn.XLOOKUP(C972&amp;A972, ESPN!A:A&amp;ESPN!C:C, ESPN!J:J), "N/A")</f>
        <v>N/A</v>
      </c>
      <c r="Q972" s="26" t="str" cm="1">
        <f t="array" ref="Q972">IFERROR(_xlfn.XLOOKUP(C972&amp;A972, ESPN!A:A&amp;ESPN!C:C, ESPN!K:K), "N/A")</f>
        <v>N/A</v>
      </c>
    </row>
    <row r="973" spans="1:17" x14ac:dyDescent="0.45">
      <c r="A973" s="7">
        <v>2020</v>
      </c>
      <c r="B973" s="3" t="s">
        <v>439</v>
      </c>
      <c r="C973" s="4" t="str">
        <f t="shared" si="30"/>
        <v>Jordan Howard</v>
      </c>
      <c r="D973" s="4" t="str">
        <f t="shared" si="31"/>
        <v>PHI</v>
      </c>
      <c r="E973" s="4">
        <v>7</v>
      </c>
      <c r="F973" s="12">
        <v>1</v>
      </c>
      <c r="G973" s="11">
        <v>1</v>
      </c>
      <c r="H973" s="11">
        <v>-3</v>
      </c>
      <c r="I973" s="11">
        <v>-3</v>
      </c>
      <c r="J973" s="11">
        <v>0</v>
      </c>
      <c r="K973" s="11">
        <v>0</v>
      </c>
      <c r="L973" s="11" t="str" cm="1">
        <f t="array" ref="L973">IFERROR(_xlfn.XLOOKUP(C973&amp;A973, ESPN!A:A&amp;ESPN!C:C, ESPN!D:D), "N/A")</f>
        <v>N/A</v>
      </c>
      <c r="M973" s="23" t="str" cm="1">
        <f t="array" ref="M973">IFERROR(_xlfn.XLOOKUP(C973&amp;A973, ESPN!A:A&amp;ESPN!C:C, ESPN!G:G), "N/A")</f>
        <v>N/A</v>
      </c>
      <c r="N973" s="23" t="str" cm="1">
        <f t="array" ref="N973">IFERROR(_xlfn.XLOOKUP(C973&amp;A973, ESPN!A:A&amp;ESPN!C:C, ESPN!H:H), "N/A")</f>
        <v>N/A</v>
      </c>
      <c r="O973" s="26" t="str" cm="1">
        <f t="array" ref="O973">IFERROR(_xlfn.XLOOKUP(C973&amp;A973, ESPN!A:A&amp;ESPN!C:C, ESPN!I:I), "N/A")</f>
        <v>N/A</v>
      </c>
      <c r="P973" s="26" t="str" cm="1">
        <f t="array" ref="P973">IFERROR(_xlfn.XLOOKUP(C973&amp;A973, ESPN!A:A&amp;ESPN!C:C, ESPN!J:J), "N/A")</f>
        <v>N/A</v>
      </c>
      <c r="Q973" s="26" t="str" cm="1">
        <f t="array" ref="Q973">IFERROR(_xlfn.XLOOKUP(C973&amp;A973, ESPN!A:A&amp;ESPN!C:C, ESPN!K:K), "N/A")</f>
        <v>N/A</v>
      </c>
    </row>
    <row r="974" spans="1:17" x14ac:dyDescent="0.45">
      <c r="A974" s="6">
        <v>2020</v>
      </c>
      <c r="B974" s="1" t="s">
        <v>555</v>
      </c>
      <c r="C974" s="2" t="str">
        <f t="shared" si="30"/>
        <v>Devonta Freeman</v>
      </c>
      <c r="D974" s="2" t="str">
        <f t="shared" si="31"/>
        <v>NYG</v>
      </c>
      <c r="E974" s="2">
        <v>5</v>
      </c>
      <c r="F974" s="12">
        <v>10</v>
      </c>
      <c r="G974" s="11">
        <v>7</v>
      </c>
      <c r="H974" s="11">
        <v>58</v>
      </c>
      <c r="I974" s="11">
        <v>8.3000000000000007</v>
      </c>
      <c r="J974" s="11">
        <v>0</v>
      </c>
      <c r="K974" s="11">
        <v>0</v>
      </c>
      <c r="L974" s="11" t="str" cm="1">
        <f t="array" ref="L974">IFERROR(_xlfn.XLOOKUP(C974&amp;A974, ESPN!A:A&amp;ESPN!C:C, ESPN!D:D), "N/A")</f>
        <v>N/A</v>
      </c>
      <c r="M974" s="23" t="str" cm="1">
        <f t="array" ref="M974">IFERROR(_xlfn.XLOOKUP(C974&amp;A974, ESPN!A:A&amp;ESPN!C:C, ESPN!G:G), "N/A")</f>
        <v>N/A</v>
      </c>
      <c r="N974" s="23" t="str" cm="1">
        <f t="array" ref="N974">IFERROR(_xlfn.XLOOKUP(C974&amp;A974, ESPN!A:A&amp;ESPN!C:C, ESPN!H:H), "N/A")</f>
        <v>N/A</v>
      </c>
      <c r="O974" s="26" t="str" cm="1">
        <f t="array" ref="O974">IFERROR(_xlfn.XLOOKUP(C974&amp;A974, ESPN!A:A&amp;ESPN!C:C, ESPN!I:I), "N/A")</f>
        <v>N/A</v>
      </c>
      <c r="P974" s="26" t="str" cm="1">
        <f t="array" ref="P974">IFERROR(_xlfn.XLOOKUP(C974&amp;A974, ESPN!A:A&amp;ESPN!C:C, ESPN!J:J), "N/A")</f>
        <v>N/A</v>
      </c>
      <c r="Q974" s="26" t="str" cm="1">
        <f t="array" ref="Q974">IFERROR(_xlfn.XLOOKUP(C974&amp;A974, ESPN!A:A&amp;ESPN!C:C, ESPN!K:K), "N/A")</f>
        <v>N/A</v>
      </c>
    </row>
    <row r="975" spans="1:17" x14ac:dyDescent="0.45">
      <c r="A975" s="7">
        <v>2020</v>
      </c>
      <c r="B975" s="3" t="s">
        <v>481</v>
      </c>
      <c r="C975" s="4" t="str">
        <f t="shared" si="30"/>
        <v>Rodney Smith</v>
      </c>
      <c r="D975" s="4" t="str">
        <f t="shared" si="31"/>
        <v>CAR</v>
      </c>
      <c r="E975" s="4">
        <v>7</v>
      </c>
      <c r="F975" s="12">
        <v>11</v>
      </c>
      <c r="G975" s="11">
        <v>9</v>
      </c>
      <c r="H975" s="11">
        <v>59</v>
      </c>
      <c r="I975" s="11">
        <v>6.6</v>
      </c>
      <c r="J975" s="11">
        <v>0</v>
      </c>
      <c r="K975" s="11">
        <v>0</v>
      </c>
      <c r="L975" s="11" t="str" cm="1">
        <f t="array" ref="L975">IFERROR(_xlfn.XLOOKUP(C975&amp;A975, ESPN!A:A&amp;ESPN!C:C, ESPN!D:D), "N/A")</f>
        <v>N/A</v>
      </c>
      <c r="M975" s="23" t="str" cm="1">
        <f t="array" ref="M975">IFERROR(_xlfn.XLOOKUP(C975&amp;A975, ESPN!A:A&amp;ESPN!C:C, ESPN!G:G), "N/A")</f>
        <v>N/A</v>
      </c>
      <c r="N975" s="23" t="str" cm="1">
        <f t="array" ref="N975">IFERROR(_xlfn.XLOOKUP(C975&amp;A975, ESPN!A:A&amp;ESPN!C:C, ESPN!H:H), "N/A")</f>
        <v>N/A</v>
      </c>
      <c r="O975" s="26" t="str" cm="1">
        <f t="array" ref="O975">IFERROR(_xlfn.XLOOKUP(C975&amp;A975, ESPN!A:A&amp;ESPN!C:C, ESPN!I:I), "N/A")</f>
        <v>N/A</v>
      </c>
      <c r="P975" s="26" t="str" cm="1">
        <f t="array" ref="P975">IFERROR(_xlfn.XLOOKUP(C975&amp;A975, ESPN!A:A&amp;ESPN!C:C, ESPN!J:J), "N/A")</f>
        <v>N/A</v>
      </c>
      <c r="Q975" s="26" t="str" cm="1">
        <f t="array" ref="Q975">IFERROR(_xlfn.XLOOKUP(C975&amp;A975, ESPN!A:A&amp;ESPN!C:C, ESPN!K:K), "N/A")</f>
        <v>N/A</v>
      </c>
    </row>
    <row r="976" spans="1:17" x14ac:dyDescent="0.45">
      <c r="A976" s="6">
        <v>2020</v>
      </c>
      <c r="B976" s="1" t="s">
        <v>556</v>
      </c>
      <c r="C976" s="2" t="str">
        <f t="shared" si="30"/>
        <v>Darwin Thompson</v>
      </c>
      <c r="D976" s="2" t="str">
        <f t="shared" si="31"/>
        <v>KC</v>
      </c>
      <c r="E976" s="2">
        <v>13</v>
      </c>
      <c r="F976" s="12">
        <v>11</v>
      </c>
      <c r="G976" s="11">
        <v>7</v>
      </c>
      <c r="H976" s="11">
        <v>65</v>
      </c>
      <c r="I976" s="11">
        <v>9.3000000000000007</v>
      </c>
      <c r="J976" s="11">
        <v>1</v>
      </c>
      <c r="K976" s="11">
        <v>1</v>
      </c>
      <c r="L976" s="11" t="str" cm="1">
        <f t="array" ref="L976">IFERROR(_xlfn.XLOOKUP(C976&amp;A976, ESPN!A:A&amp;ESPN!C:C, ESPN!D:D), "N/A")</f>
        <v>N/A</v>
      </c>
      <c r="M976" s="23" t="str" cm="1">
        <f t="array" ref="M976">IFERROR(_xlfn.XLOOKUP(C976&amp;A976, ESPN!A:A&amp;ESPN!C:C, ESPN!G:G), "N/A")</f>
        <v>N/A</v>
      </c>
      <c r="N976" s="23" t="str" cm="1">
        <f t="array" ref="N976">IFERROR(_xlfn.XLOOKUP(C976&amp;A976, ESPN!A:A&amp;ESPN!C:C, ESPN!H:H), "N/A")</f>
        <v>N/A</v>
      </c>
      <c r="O976" s="26" t="str" cm="1">
        <f t="array" ref="O976">IFERROR(_xlfn.XLOOKUP(C976&amp;A976, ESPN!A:A&amp;ESPN!C:C, ESPN!I:I), "N/A")</f>
        <v>N/A</v>
      </c>
      <c r="P976" s="26" t="str" cm="1">
        <f t="array" ref="P976">IFERROR(_xlfn.XLOOKUP(C976&amp;A976, ESPN!A:A&amp;ESPN!C:C, ESPN!J:J), "N/A")</f>
        <v>N/A</v>
      </c>
      <c r="Q976" s="26" t="str" cm="1">
        <f t="array" ref="Q976">IFERROR(_xlfn.XLOOKUP(C976&amp;A976, ESPN!A:A&amp;ESPN!C:C, ESPN!K:K), "N/A")</f>
        <v>N/A</v>
      </c>
    </row>
    <row r="977" spans="1:17" x14ac:dyDescent="0.45">
      <c r="A977" s="7">
        <v>2020</v>
      </c>
      <c r="B977" s="3" t="s">
        <v>557</v>
      </c>
      <c r="C977" s="4" t="str">
        <f t="shared" si="30"/>
        <v>Royce Freeman</v>
      </c>
      <c r="D977" s="4" t="str">
        <f t="shared" si="31"/>
        <v>DEN</v>
      </c>
      <c r="E977" s="4">
        <v>16</v>
      </c>
      <c r="F977" s="12">
        <v>13</v>
      </c>
      <c r="G977" s="11">
        <v>12</v>
      </c>
      <c r="H977" s="11">
        <v>81</v>
      </c>
      <c r="I977" s="11">
        <v>6.8</v>
      </c>
      <c r="J977" s="11">
        <v>0</v>
      </c>
      <c r="K977" s="11">
        <v>0</v>
      </c>
      <c r="L977" s="11" t="str" cm="1">
        <f t="array" ref="L977">IFERROR(_xlfn.XLOOKUP(C977&amp;A977, ESPN!A:A&amp;ESPN!C:C, ESPN!D:D), "N/A")</f>
        <v>N/A</v>
      </c>
      <c r="M977" s="23" t="str" cm="1">
        <f t="array" ref="M977">IFERROR(_xlfn.XLOOKUP(C977&amp;A977, ESPN!A:A&amp;ESPN!C:C, ESPN!G:G), "N/A")</f>
        <v>N/A</v>
      </c>
      <c r="N977" s="23" t="str" cm="1">
        <f t="array" ref="N977">IFERROR(_xlfn.XLOOKUP(C977&amp;A977, ESPN!A:A&amp;ESPN!C:C, ESPN!H:H), "N/A")</f>
        <v>N/A</v>
      </c>
      <c r="O977" s="26" t="str" cm="1">
        <f t="array" ref="O977">IFERROR(_xlfn.XLOOKUP(C977&amp;A977, ESPN!A:A&amp;ESPN!C:C, ESPN!I:I), "N/A")</f>
        <v>N/A</v>
      </c>
      <c r="P977" s="26" t="str" cm="1">
        <f t="array" ref="P977">IFERROR(_xlfn.XLOOKUP(C977&amp;A977, ESPN!A:A&amp;ESPN!C:C, ESPN!J:J), "N/A")</f>
        <v>N/A</v>
      </c>
      <c r="Q977" s="26" t="str" cm="1">
        <f t="array" ref="Q977">IFERROR(_xlfn.XLOOKUP(C977&amp;A977, ESPN!A:A&amp;ESPN!C:C, ESPN!K:K), "N/A")</f>
        <v>N/A</v>
      </c>
    </row>
    <row r="978" spans="1:17" x14ac:dyDescent="0.45">
      <c r="A978" s="6">
        <v>2020</v>
      </c>
      <c r="B978" s="1" t="s">
        <v>458</v>
      </c>
      <c r="C978" s="2" t="str">
        <f t="shared" si="30"/>
        <v>JaMycal Hasty</v>
      </c>
      <c r="D978" s="2" t="str">
        <f t="shared" si="31"/>
        <v>SF</v>
      </c>
      <c r="E978" s="2">
        <v>8</v>
      </c>
      <c r="F978" s="12">
        <v>8</v>
      </c>
      <c r="G978" s="11">
        <v>7</v>
      </c>
      <c r="H978" s="11">
        <v>33</v>
      </c>
      <c r="I978" s="11">
        <v>4.7</v>
      </c>
      <c r="J978" s="11">
        <v>0</v>
      </c>
      <c r="K978" s="11">
        <v>0</v>
      </c>
      <c r="L978" s="11" t="str" cm="1">
        <f t="array" ref="L978">IFERROR(_xlfn.XLOOKUP(C978&amp;A978, ESPN!A:A&amp;ESPN!C:C, ESPN!D:D), "N/A")</f>
        <v>N/A</v>
      </c>
      <c r="M978" s="23" t="str" cm="1">
        <f t="array" ref="M978">IFERROR(_xlfn.XLOOKUP(C978&amp;A978, ESPN!A:A&amp;ESPN!C:C, ESPN!G:G), "N/A")</f>
        <v>N/A</v>
      </c>
      <c r="N978" s="23" t="str" cm="1">
        <f t="array" ref="N978">IFERROR(_xlfn.XLOOKUP(C978&amp;A978, ESPN!A:A&amp;ESPN!C:C, ESPN!H:H), "N/A")</f>
        <v>N/A</v>
      </c>
      <c r="O978" s="26" t="str" cm="1">
        <f t="array" ref="O978">IFERROR(_xlfn.XLOOKUP(C978&amp;A978, ESPN!A:A&amp;ESPN!C:C, ESPN!I:I), "N/A")</f>
        <v>N/A</v>
      </c>
      <c r="P978" s="26" t="str" cm="1">
        <f t="array" ref="P978">IFERROR(_xlfn.XLOOKUP(C978&amp;A978, ESPN!A:A&amp;ESPN!C:C, ESPN!J:J), "N/A")</f>
        <v>N/A</v>
      </c>
      <c r="Q978" s="26" t="str" cm="1">
        <f t="array" ref="Q978">IFERROR(_xlfn.XLOOKUP(C978&amp;A978, ESPN!A:A&amp;ESPN!C:C, ESPN!K:K), "N/A")</f>
        <v>N/A</v>
      </c>
    </row>
    <row r="979" spans="1:17" x14ac:dyDescent="0.45">
      <c r="A979" s="7">
        <v>2020</v>
      </c>
      <c r="B979" s="3" t="s">
        <v>370</v>
      </c>
      <c r="C979" s="4" t="str">
        <f t="shared" si="30"/>
        <v>Travis Homer</v>
      </c>
      <c r="D979" s="4" t="str">
        <f t="shared" si="31"/>
        <v>SEA</v>
      </c>
      <c r="E979" s="4">
        <v>9</v>
      </c>
      <c r="F979" s="12">
        <v>10</v>
      </c>
      <c r="G979" s="11">
        <v>9</v>
      </c>
      <c r="H979" s="11">
        <v>90</v>
      </c>
      <c r="I979" s="11">
        <v>10</v>
      </c>
      <c r="J979" s="11">
        <v>1</v>
      </c>
      <c r="K979" s="11">
        <v>0</v>
      </c>
      <c r="L979" s="11" t="str" cm="1">
        <f t="array" ref="L979">IFERROR(_xlfn.XLOOKUP(C979&amp;A979, ESPN!A:A&amp;ESPN!C:C, ESPN!D:D), "N/A")</f>
        <v>N/A</v>
      </c>
      <c r="M979" s="23" t="str" cm="1">
        <f t="array" ref="M979">IFERROR(_xlfn.XLOOKUP(C979&amp;A979, ESPN!A:A&amp;ESPN!C:C, ESPN!G:G), "N/A")</f>
        <v>N/A</v>
      </c>
      <c r="N979" s="23" t="str" cm="1">
        <f t="array" ref="N979">IFERROR(_xlfn.XLOOKUP(C979&amp;A979, ESPN!A:A&amp;ESPN!C:C, ESPN!H:H), "N/A")</f>
        <v>N/A</v>
      </c>
      <c r="O979" s="26" t="str" cm="1">
        <f t="array" ref="O979">IFERROR(_xlfn.XLOOKUP(C979&amp;A979, ESPN!A:A&amp;ESPN!C:C, ESPN!I:I), "N/A")</f>
        <v>N/A</v>
      </c>
      <c r="P979" s="26" t="str" cm="1">
        <f t="array" ref="P979">IFERROR(_xlfn.XLOOKUP(C979&amp;A979, ESPN!A:A&amp;ESPN!C:C, ESPN!J:J), "N/A")</f>
        <v>N/A</v>
      </c>
      <c r="Q979" s="26" t="str" cm="1">
        <f t="array" ref="Q979">IFERROR(_xlfn.XLOOKUP(C979&amp;A979, ESPN!A:A&amp;ESPN!C:C, ESPN!K:K), "N/A")</f>
        <v>N/A</v>
      </c>
    </row>
    <row r="980" spans="1:17" x14ac:dyDescent="0.45">
      <c r="A980" s="6">
        <v>2020</v>
      </c>
      <c r="B980" s="1" t="s">
        <v>558</v>
      </c>
      <c r="C980" s="2" t="str">
        <f t="shared" si="30"/>
        <v>Chris Thompson</v>
      </c>
      <c r="D980" s="2" t="str">
        <f t="shared" si="31"/>
        <v>JAC</v>
      </c>
      <c r="E980" s="2">
        <v>8</v>
      </c>
      <c r="F980" s="12">
        <v>23</v>
      </c>
      <c r="G980" s="11">
        <v>20</v>
      </c>
      <c r="H980" s="11">
        <v>146</v>
      </c>
      <c r="I980" s="11">
        <v>7.3</v>
      </c>
      <c r="J980" s="11">
        <v>1</v>
      </c>
      <c r="K980" s="11">
        <v>0</v>
      </c>
      <c r="L980" s="11" t="str" cm="1">
        <f t="array" ref="L980">IFERROR(_xlfn.XLOOKUP(C980&amp;A980, ESPN!A:A&amp;ESPN!C:C, ESPN!D:D), "N/A")</f>
        <v>N/A</v>
      </c>
      <c r="M980" s="23" t="str" cm="1">
        <f t="array" ref="M980">IFERROR(_xlfn.XLOOKUP(C980&amp;A980, ESPN!A:A&amp;ESPN!C:C, ESPN!G:G), "N/A")</f>
        <v>N/A</v>
      </c>
      <c r="N980" s="23" t="str" cm="1">
        <f t="array" ref="N980">IFERROR(_xlfn.XLOOKUP(C980&amp;A980, ESPN!A:A&amp;ESPN!C:C, ESPN!H:H), "N/A")</f>
        <v>N/A</v>
      </c>
      <c r="O980" s="26" t="str" cm="1">
        <f t="array" ref="O980">IFERROR(_xlfn.XLOOKUP(C980&amp;A980, ESPN!A:A&amp;ESPN!C:C, ESPN!I:I), "N/A")</f>
        <v>N/A</v>
      </c>
      <c r="P980" s="26" t="str" cm="1">
        <f t="array" ref="P980">IFERROR(_xlfn.XLOOKUP(C980&amp;A980, ESPN!A:A&amp;ESPN!C:C, ESPN!J:J), "N/A")</f>
        <v>N/A</v>
      </c>
      <c r="Q980" s="26" t="str" cm="1">
        <f t="array" ref="Q980">IFERROR(_xlfn.XLOOKUP(C980&amp;A980, ESPN!A:A&amp;ESPN!C:C, ESPN!K:K), "N/A")</f>
        <v>N/A</v>
      </c>
    </row>
    <row r="981" spans="1:17" x14ac:dyDescent="0.45">
      <c r="A981" s="7">
        <v>2020</v>
      </c>
      <c r="B981" s="3" t="s">
        <v>559</v>
      </c>
      <c r="C981" s="4" t="str">
        <f t="shared" si="30"/>
        <v>Ameer Abdullah</v>
      </c>
      <c r="D981" s="4" t="str">
        <f t="shared" si="31"/>
        <v>MIN</v>
      </c>
      <c r="E981" s="4">
        <v>16</v>
      </c>
      <c r="F981" s="12">
        <v>9</v>
      </c>
      <c r="G981" s="11">
        <v>8</v>
      </c>
      <c r="H981" s="11">
        <v>58</v>
      </c>
      <c r="I981" s="11">
        <v>7.3</v>
      </c>
      <c r="J981" s="11">
        <v>2</v>
      </c>
      <c r="K981" s="11">
        <v>0</v>
      </c>
      <c r="L981" s="11" t="str" cm="1">
        <f t="array" ref="L981">IFERROR(_xlfn.XLOOKUP(C981&amp;A981, ESPN!A:A&amp;ESPN!C:C, ESPN!D:D), "N/A")</f>
        <v>N/A</v>
      </c>
      <c r="M981" s="23" t="str" cm="1">
        <f t="array" ref="M981">IFERROR(_xlfn.XLOOKUP(C981&amp;A981, ESPN!A:A&amp;ESPN!C:C, ESPN!G:G), "N/A")</f>
        <v>N/A</v>
      </c>
      <c r="N981" s="23" t="str" cm="1">
        <f t="array" ref="N981">IFERROR(_xlfn.XLOOKUP(C981&amp;A981, ESPN!A:A&amp;ESPN!C:C, ESPN!H:H), "N/A")</f>
        <v>N/A</v>
      </c>
      <c r="O981" s="26" t="str" cm="1">
        <f t="array" ref="O981">IFERROR(_xlfn.XLOOKUP(C981&amp;A981, ESPN!A:A&amp;ESPN!C:C, ESPN!I:I), "N/A")</f>
        <v>N/A</v>
      </c>
      <c r="P981" s="26" t="str" cm="1">
        <f t="array" ref="P981">IFERROR(_xlfn.XLOOKUP(C981&amp;A981, ESPN!A:A&amp;ESPN!C:C, ESPN!J:J), "N/A")</f>
        <v>N/A</v>
      </c>
      <c r="Q981" s="26" t="str" cm="1">
        <f t="array" ref="Q981">IFERROR(_xlfn.XLOOKUP(C981&amp;A981, ESPN!A:A&amp;ESPN!C:C, ESPN!K:K), "N/A")</f>
        <v>N/A</v>
      </c>
    </row>
    <row r="982" spans="1:17" x14ac:dyDescent="0.45">
      <c r="A982" s="6">
        <v>2020</v>
      </c>
      <c r="B982" s="1" t="s">
        <v>560</v>
      </c>
      <c r="C982" s="2" t="str">
        <f t="shared" si="30"/>
        <v>Antonio Williams</v>
      </c>
      <c r="D982" s="2" t="str">
        <f t="shared" si="31"/>
        <v>BUF</v>
      </c>
      <c r="E982" s="2">
        <v>1</v>
      </c>
      <c r="F982" s="12">
        <v>1</v>
      </c>
      <c r="G982" s="11">
        <v>1</v>
      </c>
      <c r="H982" s="11">
        <v>20</v>
      </c>
      <c r="I982" s="11">
        <v>20</v>
      </c>
      <c r="J982" s="11">
        <v>0</v>
      </c>
      <c r="K982" s="11">
        <v>0</v>
      </c>
      <c r="L982" s="11" t="str" cm="1">
        <f t="array" ref="L982">IFERROR(_xlfn.XLOOKUP(C982&amp;A982, ESPN!A:A&amp;ESPN!C:C, ESPN!D:D), "N/A")</f>
        <v>N/A</v>
      </c>
      <c r="M982" s="23" t="str" cm="1">
        <f t="array" ref="M982">IFERROR(_xlfn.XLOOKUP(C982&amp;A982, ESPN!A:A&amp;ESPN!C:C, ESPN!G:G), "N/A")</f>
        <v>N/A</v>
      </c>
      <c r="N982" s="23" t="str" cm="1">
        <f t="array" ref="N982">IFERROR(_xlfn.XLOOKUP(C982&amp;A982, ESPN!A:A&amp;ESPN!C:C, ESPN!H:H), "N/A")</f>
        <v>N/A</v>
      </c>
      <c r="O982" s="26" t="str" cm="1">
        <f t="array" ref="O982">IFERROR(_xlfn.XLOOKUP(C982&amp;A982, ESPN!A:A&amp;ESPN!C:C, ESPN!I:I), "N/A")</f>
        <v>N/A</v>
      </c>
      <c r="P982" s="26" t="str" cm="1">
        <f t="array" ref="P982">IFERROR(_xlfn.XLOOKUP(C982&amp;A982, ESPN!A:A&amp;ESPN!C:C, ESPN!J:J), "N/A")</f>
        <v>N/A</v>
      </c>
      <c r="Q982" s="26" t="str" cm="1">
        <f t="array" ref="Q982">IFERROR(_xlfn.XLOOKUP(C982&amp;A982, ESPN!A:A&amp;ESPN!C:C, ESPN!K:K), "N/A")</f>
        <v>N/A</v>
      </c>
    </row>
    <row r="983" spans="1:17" x14ac:dyDescent="0.45">
      <c r="A983" s="7">
        <v>2020</v>
      </c>
      <c r="B983" s="3" t="s">
        <v>440</v>
      </c>
      <c r="C983" s="4" t="str">
        <f t="shared" si="30"/>
        <v>Alex Collins</v>
      </c>
      <c r="D983" s="4" t="str">
        <f t="shared" si="31"/>
        <v>SEA</v>
      </c>
      <c r="E983" s="4">
        <v>3</v>
      </c>
      <c r="F983" s="12">
        <v>2</v>
      </c>
      <c r="G983" s="11">
        <v>1</v>
      </c>
      <c r="H983" s="11">
        <v>4</v>
      </c>
      <c r="I983" s="11">
        <v>4</v>
      </c>
      <c r="J983" s="11">
        <v>0</v>
      </c>
      <c r="K983" s="11">
        <v>0</v>
      </c>
      <c r="L983" s="11" t="str" cm="1">
        <f t="array" ref="L983">IFERROR(_xlfn.XLOOKUP(C983&amp;A983, ESPN!A:A&amp;ESPN!C:C, ESPN!D:D), "N/A")</f>
        <v>N/A</v>
      </c>
      <c r="M983" s="23" t="str" cm="1">
        <f t="array" ref="M983">IFERROR(_xlfn.XLOOKUP(C983&amp;A983, ESPN!A:A&amp;ESPN!C:C, ESPN!G:G), "N/A")</f>
        <v>N/A</v>
      </c>
      <c r="N983" s="23" t="str" cm="1">
        <f t="array" ref="N983">IFERROR(_xlfn.XLOOKUP(C983&amp;A983, ESPN!A:A&amp;ESPN!C:C, ESPN!H:H), "N/A")</f>
        <v>N/A</v>
      </c>
      <c r="O983" s="26" t="str" cm="1">
        <f t="array" ref="O983">IFERROR(_xlfn.XLOOKUP(C983&amp;A983, ESPN!A:A&amp;ESPN!C:C, ESPN!I:I), "N/A")</f>
        <v>N/A</v>
      </c>
      <c r="P983" s="26" t="str" cm="1">
        <f t="array" ref="P983">IFERROR(_xlfn.XLOOKUP(C983&amp;A983, ESPN!A:A&amp;ESPN!C:C, ESPN!J:J), "N/A")</f>
        <v>N/A</v>
      </c>
      <c r="Q983" s="26" t="str" cm="1">
        <f t="array" ref="Q983">IFERROR(_xlfn.XLOOKUP(C983&amp;A983, ESPN!A:A&amp;ESPN!C:C, ESPN!K:K), "N/A")</f>
        <v>N/A</v>
      </c>
    </row>
    <row r="984" spans="1:17" x14ac:dyDescent="0.45">
      <c r="A984" s="6">
        <v>2020</v>
      </c>
      <c r="B984" s="1" t="s">
        <v>452</v>
      </c>
      <c r="C984" s="2" t="str">
        <f t="shared" si="30"/>
        <v>Dare Ogunbowale</v>
      </c>
      <c r="D984" s="2" t="str">
        <f t="shared" si="31"/>
        <v>JAC</v>
      </c>
      <c r="E984" s="2">
        <v>14</v>
      </c>
      <c r="F984" s="12">
        <v>20</v>
      </c>
      <c r="G984" s="11">
        <v>10</v>
      </c>
      <c r="H984" s="11">
        <v>54</v>
      </c>
      <c r="I984" s="11">
        <v>5.4</v>
      </c>
      <c r="J984" s="11">
        <v>0</v>
      </c>
      <c r="K984" s="11">
        <v>0</v>
      </c>
      <c r="L984" s="11" t="str" cm="1">
        <f t="array" ref="L984">IFERROR(_xlfn.XLOOKUP(C984&amp;A984, ESPN!A:A&amp;ESPN!C:C, ESPN!D:D), "N/A")</f>
        <v>N/A</v>
      </c>
      <c r="M984" s="23" t="str" cm="1">
        <f t="array" ref="M984">IFERROR(_xlfn.XLOOKUP(C984&amp;A984, ESPN!A:A&amp;ESPN!C:C, ESPN!G:G), "N/A")</f>
        <v>N/A</v>
      </c>
      <c r="N984" s="23" t="str" cm="1">
        <f t="array" ref="N984">IFERROR(_xlfn.XLOOKUP(C984&amp;A984, ESPN!A:A&amp;ESPN!C:C, ESPN!H:H), "N/A")</f>
        <v>N/A</v>
      </c>
      <c r="O984" s="26" t="str" cm="1">
        <f t="array" ref="O984">IFERROR(_xlfn.XLOOKUP(C984&amp;A984, ESPN!A:A&amp;ESPN!C:C, ESPN!I:I), "N/A")</f>
        <v>N/A</v>
      </c>
      <c r="P984" s="26" t="str" cm="1">
        <f t="array" ref="P984">IFERROR(_xlfn.XLOOKUP(C984&amp;A984, ESPN!A:A&amp;ESPN!C:C, ESPN!J:J), "N/A")</f>
        <v>N/A</v>
      </c>
      <c r="Q984" s="26" t="str" cm="1">
        <f t="array" ref="Q984">IFERROR(_xlfn.XLOOKUP(C984&amp;A984, ESPN!A:A&amp;ESPN!C:C, ESPN!K:K), "N/A")</f>
        <v>N/A</v>
      </c>
    </row>
    <row r="985" spans="1:17" x14ac:dyDescent="0.45">
      <c r="A985" s="7">
        <v>2020</v>
      </c>
      <c r="B985" s="3" t="s">
        <v>300</v>
      </c>
      <c r="C985" s="4" t="str">
        <f t="shared" si="30"/>
        <v>Ke'Shawn Vaughn</v>
      </c>
      <c r="D985" s="4" t="str">
        <f t="shared" si="31"/>
        <v>TB</v>
      </c>
      <c r="E985" s="4">
        <v>10</v>
      </c>
      <c r="F985" s="12">
        <v>10</v>
      </c>
      <c r="G985" s="11">
        <v>5</v>
      </c>
      <c r="H985" s="11">
        <v>34</v>
      </c>
      <c r="I985" s="11">
        <v>6.8</v>
      </c>
      <c r="J985" s="11">
        <v>1</v>
      </c>
      <c r="K985" s="11">
        <v>1</v>
      </c>
      <c r="L985" s="11" t="str" cm="1">
        <f t="array" ref="L985">IFERROR(_xlfn.XLOOKUP(C985&amp;A985, ESPN!A:A&amp;ESPN!C:C, ESPN!D:D), "N/A")</f>
        <v>N/A</v>
      </c>
      <c r="M985" s="23" t="str" cm="1">
        <f t="array" ref="M985">IFERROR(_xlfn.XLOOKUP(C985&amp;A985, ESPN!A:A&amp;ESPN!C:C, ESPN!G:G), "N/A")</f>
        <v>N/A</v>
      </c>
      <c r="N985" s="23" t="str" cm="1">
        <f t="array" ref="N985">IFERROR(_xlfn.XLOOKUP(C985&amp;A985, ESPN!A:A&amp;ESPN!C:C, ESPN!H:H), "N/A")</f>
        <v>N/A</v>
      </c>
      <c r="O985" s="26" t="str" cm="1">
        <f t="array" ref="O985">IFERROR(_xlfn.XLOOKUP(C985&amp;A985, ESPN!A:A&amp;ESPN!C:C, ESPN!I:I), "N/A")</f>
        <v>N/A</v>
      </c>
      <c r="P985" s="26" t="str" cm="1">
        <f t="array" ref="P985">IFERROR(_xlfn.XLOOKUP(C985&amp;A985, ESPN!A:A&amp;ESPN!C:C, ESPN!J:J), "N/A")</f>
        <v>N/A</v>
      </c>
      <c r="Q985" s="26" t="str" cm="1">
        <f t="array" ref="Q985">IFERROR(_xlfn.XLOOKUP(C985&amp;A985, ESPN!A:A&amp;ESPN!C:C, ESPN!K:K), "N/A")</f>
        <v>N/A</v>
      </c>
    </row>
    <row r="986" spans="1:17" x14ac:dyDescent="0.45">
      <c r="A986" s="6">
        <v>2020</v>
      </c>
      <c r="B986" s="1" t="s">
        <v>395</v>
      </c>
      <c r="C986" s="2" t="str">
        <f t="shared" si="30"/>
        <v>D'Ernest Johnson</v>
      </c>
      <c r="D986" s="2" t="str">
        <f t="shared" si="31"/>
        <v>CLE</v>
      </c>
      <c r="E986" s="2">
        <v>16</v>
      </c>
      <c r="F986" s="12">
        <v>4</v>
      </c>
      <c r="G986" s="11">
        <v>3</v>
      </c>
      <c r="H986" s="11">
        <v>14</v>
      </c>
      <c r="I986" s="11">
        <v>4.7</v>
      </c>
      <c r="J986" s="11">
        <v>0</v>
      </c>
      <c r="K986" s="11">
        <v>0</v>
      </c>
      <c r="L986" s="11" t="str" cm="1">
        <f t="array" ref="L986">IFERROR(_xlfn.XLOOKUP(C986&amp;A986, ESPN!A:A&amp;ESPN!C:C, ESPN!D:D), "N/A")</f>
        <v>N/A</v>
      </c>
      <c r="M986" s="23" t="str" cm="1">
        <f t="array" ref="M986">IFERROR(_xlfn.XLOOKUP(C986&amp;A986, ESPN!A:A&amp;ESPN!C:C, ESPN!G:G), "N/A")</f>
        <v>N/A</v>
      </c>
      <c r="N986" s="23" t="str" cm="1">
        <f t="array" ref="N986">IFERROR(_xlfn.XLOOKUP(C986&amp;A986, ESPN!A:A&amp;ESPN!C:C, ESPN!H:H), "N/A")</f>
        <v>N/A</v>
      </c>
      <c r="O986" s="26" t="str" cm="1">
        <f t="array" ref="O986">IFERROR(_xlfn.XLOOKUP(C986&amp;A986, ESPN!A:A&amp;ESPN!C:C, ESPN!I:I), "N/A")</f>
        <v>N/A</v>
      </c>
      <c r="P986" s="26" t="str" cm="1">
        <f t="array" ref="P986">IFERROR(_xlfn.XLOOKUP(C986&amp;A986, ESPN!A:A&amp;ESPN!C:C, ESPN!J:J), "N/A")</f>
        <v>N/A</v>
      </c>
      <c r="Q986" s="26" t="str" cm="1">
        <f t="array" ref="Q986">IFERROR(_xlfn.XLOOKUP(C986&amp;A986, ESPN!A:A&amp;ESPN!C:C, ESPN!K:K), "N/A")</f>
        <v>N/A</v>
      </c>
    </row>
    <row r="987" spans="1:17" x14ac:dyDescent="0.45">
      <c r="A987" s="7">
        <v>2020</v>
      </c>
      <c r="B987" s="3" t="s">
        <v>139</v>
      </c>
      <c r="C987" s="4" t="str">
        <f t="shared" si="30"/>
        <v>C.J. Ham</v>
      </c>
      <c r="D987" s="4" t="str">
        <f t="shared" si="31"/>
        <v>MIN</v>
      </c>
      <c r="E987" s="4">
        <v>15</v>
      </c>
      <c r="F987" s="12">
        <v>14</v>
      </c>
      <c r="G987" s="11">
        <v>8</v>
      </c>
      <c r="H987" s="11">
        <v>97</v>
      </c>
      <c r="I987" s="11">
        <v>12.1</v>
      </c>
      <c r="J987" s="11">
        <v>1</v>
      </c>
      <c r="K987" s="11">
        <v>0</v>
      </c>
      <c r="L987" s="11" t="str" cm="1">
        <f t="array" ref="L987">IFERROR(_xlfn.XLOOKUP(C987&amp;A987, ESPN!A:A&amp;ESPN!C:C, ESPN!D:D), "N/A")</f>
        <v>N/A</v>
      </c>
      <c r="M987" s="23" t="str" cm="1">
        <f t="array" ref="M987">IFERROR(_xlfn.XLOOKUP(C987&amp;A987, ESPN!A:A&amp;ESPN!C:C, ESPN!G:G), "N/A")</f>
        <v>N/A</v>
      </c>
      <c r="N987" s="23" t="str" cm="1">
        <f t="array" ref="N987">IFERROR(_xlfn.XLOOKUP(C987&amp;A987, ESPN!A:A&amp;ESPN!C:C, ESPN!H:H), "N/A")</f>
        <v>N/A</v>
      </c>
      <c r="O987" s="26" t="str" cm="1">
        <f t="array" ref="O987">IFERROR(_xlfn.XLOOKUP(C987&amp;A987, ESPN!A:A&amp;ESPN!C:C, ESPN!I:I), "N/A")</f>
        <v>N/A</v>
      </c>
      <c r="P987" s="26" t="str" cm="1">
        <f t="array" ref="P987">IFERROR(_xlfn.XLOOKUP(C987&amp;A987, ESPN!A:A&amp;ESPN!C:C, ESPN!J:J), "N/A")</f>
        <v>N/A</v>
      </c>
      <c r="Q987" s="26" t="str" cm="1">
        <f t="array" ref="Q987">IFERROR(_xlfn.XLOOKUP(C987&amp;A987, ESPN!A:A&amp;ESPN!C:C, ESPN!K:K), "N/A")</f>
        <v>N/A</v>
      </c>
    </row>
    <row r="988" spans="1:17" x14ac:dyDescent="0.45">
      <c r="A988" s="6">
        <v>2020</v>
      </c>
      <c r="B988" s="1" t="s">
        <v>469</v>
      </c>
      <c r="C988" s="2" t="str">
        <f t="shared" si="30"/>
        <v>Alec Ingold</v>
      </c>
      <c r="D988" s="2" t="str">
        <f t="shared" si="31"/>
        <v>LV</v>
      </c>
      <c r="E988" s="2">
        <v>16</v>
      </c>
      <c r="F988" s="12">
        <v>17</v>
      </c>
      <c r="G988" s="11">
        <v>12</v>
      </c>
      <c r="H988" s="11">
        <v>110</v>
      </c>
      <c r="I988" s="11">
        <v>9.1999999999999993</v>
      </c>
      <c r="J988" s="11">
        <v>1</v>
      </c>
      <c r="K988" s="11">
        <v>0</v>
      </c>
      <c r="L988" s="11" t="str" cm="1">
        <f t="array" ref="L988">IFERROR(_xlfn.XLOOKUP(C988&amp;A988, ESPN!A:A&amp;ESPN!C:C, ESPN!D:D), "N/A")</f>
        <v>N/A</v>
      </c>
      <c r="M988" s="23" t="str" cm="1">
        <f t="array" ref="M988">IFERROR(_xlfn.XLOOKUP(C988&amp;A988, ESPN!A:A&amp;ESPN!C:C, ESPN!G:G), "N/A")</f>
        <v>N/A</v>
      </c>
      <c r="N988" s="23" t="str" cm="1">
        <f t="array" ref="N988">IFERROR(_xlfn.XLOOKUP(C988&amp;A988, ESPN!A:A&amp;ESPN!C:C, ESPN!H:H), "N/A")</f>
        <v>N/A</v>
      </c>
      <c r="O988" s="26" t="str" cm="1">
        <f t="array" ref="O988">IFERROR(_xlfn.XLOOKUP(C988&amp;A988, ESPN!A:A&amp;ESPN!C:C, ESPN!I:I), "N/A")</f>
        <v>N/A</v>
      </c>
      <c r="P988" s="26" t="str" cm="1">
        <f t="array" ref="P988">IFERROR(_xlfn.XLOOKUP(C988&amp;A988, ESPN!A:A&amp;ESPN!C:C, ESPN!J:J), "N/A")</f>
        <v>N/A</v>
      </c>
      <c r="Q988" s="26" t="str" cm="1">
        <f t="array" ref="Q988">IFERROR(_xlfn.XLOOKUP(C988&amp;A988, ESPN!A:A&amp;ESPN!C:C, ESPN!K:K), "N/A")</f>
        <v>N/A</v>
      </c>
    </row>
    <row r="989" spans="1:17" x14ac:dyDescent="0.45">
      <c r="A989" s="7">
        <v>2020</v>
      </c>
      <c r="B989" s="3" t="s">
        <v>236</v>
      </c>
      <c r="C989" s="4" t="str">
        <f t="shared" si="30"/>
        <v>Trayveon Williams</v>
      </c>
      <c r="D989" s="4" t="str">
        <f t="shared" si="31"/>
        <v>CIN</v>
      </c>
      <c r="E989" s="4">
        <v>10</v>
      </c>
      <c r="F989" s="12">
        <v>5</v>
      </c>
      <c r="G989" s="11">
        <v>5</v>
      </c>
      <c r="H989" s="11">
        <v>30</v>
      </c>
      <c r="I989" s="11">
        <v>6</v>
      </c>
      <c r="J989" s="11">
        <v>0</v>
      </c>
      <c r="K989" s="11">
        <v>1</v>
      </c>
      <c r="L989" s="11" t="str" cm="1">
        <f t="array" ref="L989">IFERROR(_xlfn.XLOOKUP(C989&amp;A989, ESPN!A:A&amp;ESPN!C:C, ESPN!D:D), "N/A")</f>
        <v>N/A</v>
      </c>
      <c r="M989" s="23" t="str" cm="1">
        <f t="array" ref="M989">IFERROR(_xlfn.XLOOKUP(C989&amp;A989, ESPN!A:A&amp;ESPN!C:C, ESPN!G:G), "N/A")</f>
        <v>N/A</v>
      </c>
      <c r="N989" s="23" t="str" cm="1">
        <f t="array" ref="N989">IFERROR(_xlfn.XLOOKUP(C989&amp;A989, ESPN!A:A&amp;ESPN!C:C, ESPN!H:H), "N/A")</f>
        <v>N/A</v>
      </c>
      <c r="O989" s="26" t="str" cm="1">
        <f t="array" ref="O989">IFERROR(_xlfn.XLOOKUP(C989&amp;A989, ESPN!A:A&amp;ESPN!C:C, ESPN!I:I), "N/A")</f>
        <v>N/A</v>
      </c>
      <c r="P989" s="26" t="str" cm="1">
        <f t="array" ref="P989">IFERROR(_xlfn.XLOOKUP(C989&amp;A989, ESPN!A:A&amp;ESPN!C:C, ESPN!J:J), "N/A")</f>
        <v>N/A</v>
      </c>
      <c r="Q989" s="26" t="str" cm="1">
        <f t="array" ref="Q989">IFERROR(_xlfn.XLOOKUP(C989&amp;A989, ESPN!A:A&amp;ESPN!C:C, ESPN!K:K), "N/A")</f>
        <v>N/A</v>
      </c>
    </row>
    <row r="990" spans="1:17" x14ac:dyDescent="0.45">
      <c r="A990" s="6">
        <v>2020</v>
      </c>
      <c r="B990" s="1" t="s">
        <v>317</v>
      </c>
      <c r="C990" s="2" t="str">
        <f t="shared" si="30"/>
        <v>Anthony McFarland Jr.</v>
      </c>
      <c r="D990" s="2" t="str">
        <f t="shared" si="31"/>
        <v>PIT</v>
      </c>
      <c r="E990" s="2">
        <v>11</v>
      </c>
      <c r="F990" s="12">
        <v>10</v>
      </c>
      <c r="G990" s="11">
        <v>6</v>
      </c>
      <c r="H990" s="11">
        <v>54</v>
      </c>
      <c r="I990" s="11">
        <v>9</v>
      </c>
      <c r="J990" s="11">
        <v>0</v>
      </c>
      <c r="K990" s="11">
        <v>0</v>
      </c>
      <c r="L990" s="11" t="str" cm="1">
        <f t="array" ref="L990">IFERROR(_xlfn.XLOOKUP(C990&amp;A990, ESPN!A:A&amp;ESPN!C:C, ESPN!D:D), "N/A")</f>
        <v>N/A</v>
      </c>
      <c r="M990" s="23" t="str" cm="1">
        <f t="array" ref="M990">IFERROR(_xlfn.XLOOKUP(C990&amp;A990, ESPN!A:A&amp;ESPN!C:C, ESPN!G:G), "N/A")</f>
        <v>N/A</v>
      </c>
      <c r="N990" s="23" t="str" cm="1">
        <f t="array" ref="N990">IFERROR(_xlfn.XLOOKUP(C990&amp;A990, ESPN!A:A&amp;ESPN!C:C, ESPN!H:H), "N/A")</f>
        <v>N/A</v>
      </c>
      <c r="O990" s="26" t="str" cm="1">
        <f t="array" ref="O990">IFERROR(_xlfn.XLOOKUP(C990&amp;A990, ESPN!A:A&amp;ESPN!C:C, ESPN!I:I), "N/A")</f>
        <v>N/A</v>
      </c>
      <c r="P990" s="26" t="str" cm="1">
        <f t="array" ref="P990">IFERROR(_xlfn.XLOOKUP(C990&amp;A990, ESPN!A:A&amp;ESPN!C:C, ESPN!J:J), "N/A")</f>
        <v>N/A</v>
      </c>
      <c r="Q990" s="26" t="str" cm="1">
        <f t="array" ref="Q990">IFERROR(_xlfn.XLOOKUP(C990&amp;A990, ESPN!A:A&amp;ESPN!C:C, ESPN!K:K), "N/A")</f>
        <v>N/A</v>
      </c>
    </row>
    <row r="991" spans="1:17" x14ac:dyDescent="0.45">
      <c r="A991" s="7">
        <v>2020</v>
      </c>
      <c r="B991" s="3" t="s">
        <v>432</v>
      </c>
      <c r="C991" s="4" t="str">
        <f t="shared" si="30"/>
        <v>D'Onta Foreman</v>
      </c>
      <c r="D991" s="4" t="str">
        <f t="shared" si="31"/>
        <v>TEN</v>
      </c>
      <c r="E991" s="4">
        <v>6</v>
      </c>
      <c r="F991" s="12">
        <v>1</v>
      </c>
      <c r="G991" s="11">
        <v>1</v>
      </c>
      <c r="H991" s="11">
        <v>5</v>
      </c>
      <c r="I991" s="11">
        <v>5</v>
      </c>
      <c r="J991" s="11">
        <v>1</v>
      </c>
      <c r="K991" s="11">
        <v>0</v>
      </c>
      <c r="L991" s="11" t="str" cm="1">
        <f t="array" ref="L991">IFERROR(_xlfn.XLOOKUP(C991&amp;A991, ESPN!A:A&amp;ESPN!C:C, ESPN!D:D), "N/A")</f>
        <v>N/A</v>
      </c>
      <c r="M991" s="23" t="str" cm="1">
        <f t="array" ref="M991">IFERROR(_xlfn.XLOOKUP(C991&amp;A991, ESPN!A:A&amp;ESPN!C:C, ESPN!G:G), "N/A")</f>
        <v>N/A</v>
      </c>
      <c r="N991" s="23" t="str" cm="1">
        <f t="array" ref="N991">IFERROR(_xlfn.XLOOKUP(C991&amp;A991, ESPN!A:A&amp;ESPN!C:C, ESPN!H:H), "N/A")</f>
        <v>N/A</v>
      </c>
      <c r="O991" s="26" t="str" cm="1">
        <f t="array" ref="O991">IFERROR(_xlfn.XLOOKUP(C991&amp;A991, ESPN!A:A&amp;ESPN!C:C, ESPN!I:I), "N/A")</f>
        <v>N/A</v>
      </c>
      <c r="P991" s="26" t="str" cm="1">
        <f t="array" ref="P991">IFERROR(_xlfn.XLOOKUP(C991&amp;A991, ESPN!A:A&amp;ESPN!C:C, ESPN!J:J), "N/A")</f>
        <v>N/A</v>
      </c>
      <c r="Q991" s="26" t="str" cm="1">
        <f t="array" ref="Q991">IFERROR(_xlfn.XLOOKUP(C991&amp;A991, ESPN!A:A&amp;ESPN!C:C, ESPN!K:K), "N/A")</f>
        <v>N/A</v>
      </c>
    </row>
    <row r="992" spans="1:17" x14ac:dyDescent="0.45">
      <c r="A992" s="6">
        <v>2020</v>
      </c>
      <c r="B992" s="1" t="s">
        <v>561</v>
      </c>
      <c r="C992" s="2" t="str">
        <f t="shared" si="30"/>
        <v>Corey Clement</v>
      </c>
      <c r="D992" s="2" t="str">
        <f t="shared" si="31"/>
        <v>PHI</v>
      </c>
      <c r="E992" s="2">
        <v>15</v>
      </c>
      <c r="F992" s="12">
        <v>6</v>
      </c>
      <c r="G992" s="11">
        <v>5</v>
      </c>
      <c r="H992" s="11">
        <v>25</v>
      </c>
      <c r="I992" s="11">
        <v>5</v>
      </c>
      <c r="J992" s="11">
        <v>0</v>
      </c>
      <c r="K992" s="11">
        <v>0</v>
      </c>
      <c r="L992" s="11" t="str" cm="1">
        <f t="array" ref="L992">IFERROR(_xlfn.XLOOKUP(C992&amp;A992, ESPN!A:A&amp;ESPN!C:C, ESPN!D:D), "N/A")</f>
        <v>N/A</v>
      </c>
      <c r="M992" s="23" t="str" cm="1">
        <f t="array" ref="M992">IFERROR(_xlfn.XLOOKUP(C992&amp;A992, ESPN!A:A&amp;ESPN!C:C, ESPN!G:G), "N/A")</f>
        <v>N/A</v>
      </c>
      <c r="N992" s="23" t="str" cm="1">
        <f t="array" ref="N992">IFERROR(_xlfn.XLOOKUP(C992&amp;A992, ESPN!A:A&amp;ESPN!C:C, ESPN!H:H), "N/A")</f>
        <v>N/A</v>
      </c>
      <c r="O992" s="26" t="str" cm="1">
        <f t="array" ref="O992">IFERROR(_xlfn.XLOOKUP(C992&amp;A992, ESPN!A:A&amp;ESPN!C:C, ESPN!I:I), "N/A")</f>
        <v>N/A</v>
      </c>
      <c r="P992" s="26" t="str" cm="1">
        <f t="array" ref="P992">IFERROR(_xlfn.XLOOKUP(C992&amp;A992, ESPN!A:A&amp;ESPN!C:C, ESPN!J:J), "N/A")</f>
        <v>N/A</v>
      </c>
      <c r="Q992" s="26" t="str" cm="1">
        <f t="array" ref="Q992">IFERROR(_xlfn.XLOOKUP(C992&amp;A992, ESPN!A:A&amp;ESPN!C:C, ESPN!K:K), "N/A")</f>
        <v>N/A</v>
      </c>
    </row>
    <row r="993" spans="1:17" x14ac:dyDescent="0.45">
      <c r="A993" s="7">
        <v>2020</v>
      </c>
      <c r="B993" s="3" t="s">
        <v>562</v>
      </c>
      <c r="C993" s="4" t="str">
        <f t="shared" si="30"/>
        <v>T.J. Yeldon</v>
      </c>
      <c r="D993" s="4" t="str">
        <f t="shared" si="31"/>
        <v>BUF</v>
      </c>
      <c r="E993" s="4">
        <v>3</v>
      </c>
      <c r="F993" s="12">
        <v>4</v>
      </c>
      <c r="G993" s="11">
        <v>1</v>
      </c>
      <c r="H993" s="11">
        <v>22</v>
      </c>
      <c r="I993" s="11">
        <v>22</v>
      </c>
      <c r="J993" s="11">
        <v>1</v>
      </c>
      <c r="K993" s="11">
        <v>0</v>
      </c>
      <c r="L993" s="11" t="str" cm="1">
        <f t="array" ref="L993">IFERROR(_xlfn.XLOOKUP(C993&amp;A993, ESPN!A:A&amp;ESPN!C:C, ESPN!D:D), "N/A")</f>
        <v>N/A</v>
      </c>
      <c r="M993" s="23" t="str" cm="1">
        <f t="array" ref="M993">IFERROR(_xlfn.XLOOKUP(C993&amp;A993, ESPN!A:A&amp;ESPN!C:C, ESPN!G:G), "N/A")</f>
        <v>N/A</v>
      </c>
      <c r="N993" s="23" t="str" cm="1">
        <f t="array" ref="N993">IFERROR(_xlfn.XLOOKUP(C993&amp;A993, ESPN!A:A&amp;ESPN!C:C, ESPN!H:H), "N/A")</f>
        <v>N/A</v>
      </c>
      <c r="O993" s="26" t="str" cm="1">
        <f t="array" ref="O993">IFERROR(_xlfn.XLOOKUP(C993&amp;A993, ESPN!A:A&amp;ESPN!C:C, ESPN!I:I), "N/A")</f>
        <v>N/A</v>
      </c>
      <c r="P993" s="26" t="str" cm="1">
        <f t="array" ref="P993">IFERROR(_xlfn.XLOOKUP(C993&amp;A993, ESPN!A:A&amp;ESPN!C:C, ESPN!J:J), "N/A")</f>
        <v>N/A</v>
      </c>
      <c r="Q993" s="26" t="str" cm="1">
        <f t="array" ref="Q993">IFERROR(_xlfn.XLOOKUP(C993&amp;A993, ESPN!A:A&amp;ESPN!C:C, ESPN!K:K), "N/A")</f>
        <v>N/A</v>
      </c>
    </row>
    <row r="994" spans="1:17" x14ac:dyDescent="0.45">
      <c r="A994" s="6">
        <v>2020</v>
      </c>
      <c r="B994" s="1" t="s">
        <v>486</v>
      </c>
      <c r="C994" s="2" t="str">
        <f t="shared" si="30"/>
        <v>Gabe Nabers</v>
      </c>
      <c r="D994" s="2" t="str">
        <f t="shared" si="31"/>
        <v>LAC</v>
      </c>
      <c r="E994" s="2">
        <v>16</v>
      </c>
      <c r="F994" s="12">
        <v>7</v>
      </c>
      <c r="G994" s="11">
        <v>5</v>
      </c>
      <c r="H994" s="11">
        <v>25</v>
      </c>
      <c r="I994" s="11">
        <v>5</v>
      </c>
      <c r="J994" s="11">
        <v>2</v>
      </c>
      <c r="K994" s="11">
        <v>0</v>
      </c>
      <c r="L994" s="11" t="str" cm="1">
        <f t="array" ref="L994">IFERROR(_xlfn.XLOOKUP(C994&amp;A994, ESPN!A:A&amp;ESPN!C:C, ESPN!D:D), "N/A")</f>
        <v>N/A</v>
      </c>
      <c r="M994" s="23" t="str" cm="1">
        <f t="array" ref="M994">IFERROR(_xlfn.XLOOKUP(C994&amp;A994, ESPN!A:A&amp;ESPN!C:C, ESPN!G:G), "N/A")</f>
        <v>N/A</v>
      </c>
      <c r="N994" s="23" t="str" cm="1">
        <f t="array" ref="N994">IFERROR(_xlfn.XLOOKUP(C994&amp;A994, ESPN!A:A&amp;ESPN!C:C, ESPN!H:H), "N/A")</f>
        <v>N/A</v>
      </c>
      <c r="O994" s="26" t="str" cm="1">
        <f t="array" ref="O994">IFERROR(_xlfn.XLOOKUP(C994&amp;A994, ESPN!A:A&amp;ESPN!C:C, ESPN!I:I), "N/A")</f>
        <v>N/A</v>
      </c>
      <c r="P994" s="26" t="str" cm="1">
        <f t="array" ref="P994">IFERROR(_xlfn.XLOOKUP(C994&amp;A994, ESPN!A:A&amp;ESPN!C:C, ESPN!J:J), "N/A")</f>
        <v>N/A</v>
      </c>
      <c r="Q994" s="26" t="str" cm="1">
        <f t="array" ref="Q994">IFERROR(_xlfn.XLOOKUP(C994&amp;A994, ESPN!A:A&amp;ESPN!C:C, ESPN!K:K), "N/A")</f>
        <v>N/A</v>
      </c>
    </row>
    <row r="995" spans="1:17" x14ac:dyDescent="0.45">
      <c r="A995" s="7">
        <v>2020</v>
      </c>
      <c r="B995" s="3" t="s">
        <v>563</v>
      </c>
      <c r="C995" s="4" t="str">
        <f t="shared" si="30"/>
        <v>Tyler Ervin</v>
      </c>
      <c r="D995" s="4" t="str">
        <f t="shared" si="31"/>
        <v>GB</v>
      </c>
      <c r="E995" s="4">
        <v>8</v>
      </c>
      <c r="F995" s="12">
        <v>15</v>
      </c>
      <c r="G995" s="11">
        <v>11</v>
      </c>
      <c r="H995" s="11">
        <v>84</v>
      </c>
      <c r="I995" s="11">
        <v>7.6</v>
      </c>
      <c r="J995" s="11">
        <v>0</v>
      </c>
      <c r="K995" s="11">
        <v>0</v>
      </c>
      <c r="L995" s="11" t="str" cm="1">
        <f t="array" ref="L995">IFERROR(_xlfn.XLOOKUP(C995&amp;A995, ESPN!A:A&amp;ESPN!C:C, ESPN!D:D), "N/A")</f>
        <v>N/A</v>
      </c>
      <c r="M995" s="23" t="str" cm="1">
        <f t="array" ref="M995">IFERROR(_xlfn.XLOOKUP(C995&amp;A995, ESPN!A:A&amp;ESPN!C:C, ESPN!G:G), "N/A")</f>
        <v>N/A</v>
      </c>
      <c r="N995" s="23" t="str" cm="1">
        <f t="array" ref="N995">IFERROR(_xlfn.XLOOKUP(C995&amp;A995, ESPN!A:A&amp;ESPN!C:C, ESPN!H:H), "N/A")</f>
        <v>N/A</v>
      </c>
      <c r="O995" s="26" t="str" cm="1">
        <f t="array" ref="O995">IFERROR(_xlfn.XLOOKUP(C995&amp;A995, ESPN!A:A&amp;ESPN!C:C, ESPN!I:I), "N/A")</f>
        <v>N/A</v>
      </c>
      <c r="P995" s="26" t="str" cm="1">
        <f t="array" ref="P995">IFERROR(_xlfn.XLOOKUP(C995&amp;A995, ESPN!A:A&amp;ESPN!C:C, ESPN!J:J), "N/A")</f>
        <v>N/A</v>
      </c>
      <c r="Q995" s="26" t="str" cm="1">
        <f t="array" ref="Q995">IFERROR(_xlfn.XLOOKUP(C995&amp;A995, ESPN!A:A&amp;ESPN!C:C, ESPN!K:K), "N/A")</f>
        <v>N/A</v>
      </c>
    </row>
    <row r="996" spans="1:17" x14ac:dyDescent="0.45">
      <c r="A996" s="6">
        <v>2020</v>
      </c>
      <c r="B996" s="1" t="s">
        <v>492</v>
      </c>
      <c r="C996" s="2" t="str">
        <f t="shared" si="30"/>
        <v>Reggie Bonnafon</v>
      </c>
      <c r="D996" s="2" t="str">
        <f t="shared" si="31"/>
        <v>CAR</v>
      </c>
      <c r="E996" s="2">
        <v>2</v>
      </c>
      <c r="F996" s="12">
        <v>2</v>
      </c>
      <c r="G996" s="11">
        <v>2</v>
      </c>
      <c r="H996" s="11">
        <v>18</v>
      </c>
      <c r="I996" s="11">
        <v>9</v>
      </c>
      <c r="J996" s="11">
        <v>1</v>
      </c>
      <c r="K996" s="11">
        <v>0</v>
      </c>
      <c r="L996" s="11" t="str" cm="1">
        <f t="array" ref="L996">IFERROR(_xlfn.XLOOKUP(C996&amp;A996, ESPN!A:A&amp;ESPN!C:C, ESPN!D:D), "N/A")</f>
        <v>N/A</v>
      </c>
      <c r="M996" s="23" t="str" cm="1">
        <f t="array" ref="M996">IFERROR(_xlfn.XLOOKUP(C996&amp;A996, ESPN!A:A&amp;ESPN!C:C, ESPN!G:G), "N/A")</f>
        <v>N/A</v>
      </c>
      <c r="N996" s="23" t="str" cm="1">
        <f t="array" ref="N996">IFERROR(_xlfn.XLOOKUP(C996&amp;A996, ESPN!A:A&amp;ESPN!C:C, ESPN!H:H), "N/A")</f>
        <v>N/A</v>
      </c>
      <c r="O996" s="26" t="str" cm="1">
        <f t="array" ref="O996">IFERROR(_xlfn.XLOOKUP(C996&amp;A996, ESPN!A:A&amp;ESPN!C:C, ESPN!I:I), "N/A")</f>
        <v>N/A</v>
      </c>
      <c r="P996" s="26" t="str" cm="1">
        <f t="array" ref="P996">IFERROR(_xlfn.XLOOKUP(C996&amp;A996, ESPN!A:A&amp;ESPN!C:C, ESPN!J:J), "N/A")</f>
        <v>N/A</v>
      </c>
      <c r="Q996" s="26" t="str" cm="1">
        <f t="array" ref="Q996">IFERROR(_xlfn.XLOOKUP(C996&amp;A996, ESPN!A:A&amp;ESPN!C:C, ESPN!K:K), "N/A")</f>
        <v>N/A</v>
      </c>
    </row>
    <row r="997" spans="1:17" x14ac:dyDescent="0.45">
      <c r="A997" s="7">
        <v>2020</v>
      </c>
      <c r="B997" s="3" t="s">
        <v>491</v>
      </c>
      <c r="C997" s="4" t="str">
        <f t="shared" si="30"/>
        <v>Darrynton Evans</v>
      </c>
      <c r="D997" s="4" t="str">
        <f t="shared" si="31"/>
        <v>TEN</v>
      </c>
      <c r="E997" s="4">
        <v>5</v>
      </c>
      <c r="F997" s="12">
        <v>4</v>
      </c>
      <c r="G997" s="11">
        <v>2</v>
      </c>
      <c r="H997" s="11">
        <v>27</v>
      </c>
      <c r="I997" s="11">
        <v>13.5</v>
      </c>
      <c r="J997" s="11">
        <v>1</v>
      </c>
      <c r="K997" s="11">
        <v>0</v>
      </c>
      <c r="L997" s="11" t="str" cm="1">
        <f t="array" ref="L997">IFERROR(_xlfn.XLOOKUP(C997&amp;A997, ESPN!A:A&amp;ESPN!C:C, ESPN!D:D), "N/A")</f>
        <v>N/A</v>
      </c>
      <c r="M997" s="23" t="str" cm="1">
        <f t="array" ref="M997">IFERROR(_xlfn.XLOOKUP(C997&amp;A997, ESPN!A:A&amp;ESPN!C:C, ESPN!G:G), "N/A")</f>
        <v>N/A</v>
      </c>
      <c r="N997" s="23" t="str" cm="1">
        <f t="array" ref="N997">IFERROR(_xlfn.XLOOKUP(C997&amp;A997, ESPN!A:A&amp;ESPN!C:C, ESPN!H:H), "N/A")</f>
        <v>N/A</v>
      </c>
      <c r="O997" s="26" t="str" cm="1">
        <f t="array" ref="O997">IFERROR(_xlfn.XLOOKUP(C997&amp;A997, ESPN!A:A&amp;ESPN!C:C, ESPN!I:I), "N/A")</f>
        <v>N/A</v>
      </c>
      <c r="P997" s="26" t="str" cm="1">
        <f t="array" ref="P997">IFERROR(_xlfn.XLOOKUP(C997&amp;A997, ESPN!A:A&amp;ESPN!C:C, ESPN!J:J), "N/A")</f>
        <v>N/A</v>
      </c>
      <c r="Q997" s="26" t="str" cm="1">
        <f t="array" ref="Q997">IFERROR(_xlfn.XLOOKUP(C997&amp;A997, ESPN!A:A&amp;ESPN!C:C, ESPN!K:K), "N/A")</f>
        <v>N/A</v>
      </c>
    </row>
    <row r="998" spans="1:17" x14ac:dyDescent="0.45">
      <c r="A998" s="6">
        <v>2020</v>
      </c>
      <c r="B998" s="1" t="s">
        <v>564</v>
      </c>
      <c r="C998" s="2" t="str">
        <f t="shared" si="30"/>
        <v>LeSean McCoy</v>
      </c>
      <c r="D998" s="2" t="str">
        <f t="shared" si="31"/>
        <v>TB</v>
      </c>
      <c r="E998" s="2">
        <v>10</v>
      </c>
      <c r="F998" s="12">
        <v>19</v>
      </c>
      <c r="G998" s="11">
        <v>15</v>
      </c>
      <c r="H998" s="11">
        <v>101</v>
      </c>
      <c r="I998" s="11">
        <v>6.7</v>
      </c>
      <c r="J998" s="11">
        <v>0</v>
      </c>
      <c r="K998" s="11">
        <v>0</v>
      </c>
      <c r="L998" s="11" t="str" cm="1">
        <f t="array" ref="L998">IFERROR(_xlfn.XLOOKUP(C998&amp;A998, ESPN!A:A&amp;ESPN!C:C, ESPN!D:D), "N/A")</f>
        <v>N/A</v>
      </c>
      <c r="M998" s="23" t="str" cm="1">
        <f t="array" ref="M998">IFERROR(_xlfn.XLOOKUP(C998&amp;A998, ESPN!A:A&amp;ESPN!C:C, ESPN!G:G), "N/A")</f>
        <v>N/A</v>
      </c>
      <c r="N998" s="23" t="str" cm="1">
        <f t="array" ref="N998">IFERROR(_xlfn.XLOOKUP(C998&amp;A998, ESPN!A:A&amp;ESPN!C:C, ESPN!H:H), "N/A")</f>
        <v>N/A</v>
      </c>
      <c r="O998" s="26" t="str" cm="1">
        <f t="array" ref="O998">IFERROR(_xlfn.XLOOKUP(C998&amp;A998, ESPN!A:A&amp;ESPN!C:C, ESPN!I:I), "N/A")</f>
        <v>N/A</v>
      </c>
      <c r="P998" s="26" t="str" cm="1">
        <f t="array" ref="P998">IFERROR(_xlfn.XLOOKUP(C998&amp;A998, ESPN!A:A&amp;ESPN!C:C, ESPN!J:J), "N/A")</f>
        <v>N/A</v>
      </c>
      <c r="Q998" s="26" t="str" cm="1">
        <f t="array" ref="Q998">IFERROR(_xlfn.XLOOKUP(C998&amp;A998, ESPN!A:A&amp;ESPN!C:C, ESPN!K:K), "N/A")</f>
        <v>N/A</v>
      </c>
    </row>
    <row r="999" spans="1:17" x14ac:dyDescent="0.45">
      <c r="A999" s="7">
        <v>2020</v>
      </c>
      <c r="B999" s="3" t="s">
        <v>565</v>
      </c>
      <c r="C999" s="4" t="str">
        <f t="shared" si="30"/>
        <v>Mike Boone</v>
      </c>
      <c r="D999" s="4" t="str">
        <f t="shared" si="31"/>
        <v>MIN</v>
      </c>
      <c r="E999" s="4">
        <v>16</v>
      </c>
      <c r="F999" s="12">
        <v>2</v>
      </c>
      <c r="G999" s="11">
        <v>2</v>
      </c>
      <c r="H999" s="11">
        <v>10</v>
      </c>
      <c r="I999" s="11">
        <v>5</v>
      </c>
      <c r="J999" s="11">
        <v>0</v>
      </c>
      <c r="K999" s="11">
        <v>0</v>
      </c>
      <c r="L999" s="11" t="str" cm="1">
        <f t="array" ref="L999">IFERROR(_xlfn.XLOOKUP(C999&amp;A999, ESPN!A:A&amp;ESPN!C:C, ESPN!D:D), "N/A")</f>
        <v>N/A</v>
      </c>
      <c r="M999" s="23" t="str" cm="1">
        <f t="array" ref="M999">IFERROR(_xlfn.XLOOKUP(C999&amp;A999, ESPN!A:A&amp;ESPN!C:C, ESPN!G:G), "N/A")</f>
        <v>N/A</v>
      </c>
      <c r="N999" s="23" t="str" cm="1">
        <f t="array" ref="N999">IFERROR(_xlfn.XLOOKUP(C999&amp;A999, ESPN!A:A&amp;ESPN!C:C, ESPN!H:H), "N/A")</f>
        <v>N/A</v>
      </c>
      <c r="O999" s="26" t="str" cm="1">
        <f t="array" ref="O999">IFERROR(_xlfn.XLOOKUP(C999&amp;A999, ESPN!A:A&amp;ESPN!C:C, ESPN!I:I), "N/A")</f>
        <v>N/A</v>
      </c>
      <c r="P999" s="26" t="str" cm="1">
        <f t="array" ref="P999">IFERROR(_xlfn.XLOOKUP(C999&amp;A999, ESPN!A:A&amp;ESPN!C:C, ESPN!J:J), "N/A")</f>
        <v>N/A</v>
      </c>
      <c r="Q999" s="26" t="str" cm="1">
        <f t="array" ref="Q999">IFERROR(_xlfn.XLOOKUP(C999&amp;A999, ESPN!A:A&amp;ESPN!C:C, ESPN!K:K), "N/A")</f>
        <v>N/A</v>
      </c>
    </row>
    <row r="1000" spans="1:17" x14ac:dyDescent="0.45">
      <c r="A1000" s="6">
        <v>2020</v>
      </c>
      <c r="B1000" s="1" t="s">
        <v>470</v>
      </c>
      <c r="C1000" s="2" t="str">
        <f t="shared" si="30"/>
        <v>Ty Montgomery II</v>
      </c>
      <c r="D1000" s="2" t="str">
        <f t="shared" si="31"/>
        <v>NO</v>
      </c>
      <c r="E1000" s="2">
        <v>6</v>
      </c>
      <c r="F1000" s="12">
        <v>6</v>
      </c>
      <c r="G1000" s="11">
        <v>3</v>
      </c>
      <c r="H1000" s="11">
        <v>27</v>
      </c>
      <c r="I1000" s="11">
        <v>9</v>
      </c>
      <c r="J1000" s="11">
        <v>0</v>
      </c>
      <c r="K1000" s="11">
        <v>0</v>
      </c>
      <c r="L1000" s="11" t="str" cm="1">
        <f t="array" ref="L1000">IFERROR(_xlfn.XLOOKUP(C1000&amp;A1000, ESPN!A:A&amp;ESPN!C:C, ESPN!D:D), "N/A")</f>
        <v>N/A</v>
      </c>
      <c r="M1000" s="23" t="str" cm="1">
        <f t="array" ref="M1000">IFERROR(_xlfn.XLOOKUP(C1000&amp;A1000, ESPN!A:A&amp;ESPN!C:C, ESPN!G:G), "N/A")</f>
        <v>N/A</v>
      </c>
      <c r="N1000" s="23" t="str" cm="1">
        <f t="array" ref="N1000">IFERROR(_xlfn.XLOOKUP(C1000&amp;A1000, ESPN!A:A&amp;ESPN!C:C, ESPN!H:H), "N/A")</f>
        <v>N/A</v>
      </c>
      <c r="O1000" s="26" t="str" cm="1">
        <f t="array" ref="O1000">IFERROR(_xlfn.XLOOKUP(C1000&amp;A1000, ESPN!A:A&amp;ESPN!C:C, ESPN!I:I), "N/A")</f>
        <v>N/A</v>
      </c>
      <c r="P1000" s="26" t="str" cm="1">
        <f t="array" ref="P1000">IFERROR(_xlfn.XLOOKUP(C1000&amp;A1000, ESPN!A:A&amp;ESPN!C:C, ESPN!J:J), "N/A")</f>
        <v>N/A</v>
      </c>
      <c r="Q1000" s="26" t="str" cm="1">
        <f t="array" ref="Q1000">IFERROR(_xlfn.XLOOKUP(C1000&amp;A1000, ESPN!A:A&amp;ESPN!C:C, ESPN!K:K), "N/A")</f>
        <v>N/A</v>
      </c>
    </row>
    <row r="1001" spans="1:17" x14ac:dyDescent="0.45">
      <c r="A1001" s="7">
        <v>2020</v>
      </c>
      <c r="B1001" s="3" t="s">
        <v>498</v>
      </c>
      <c r="C1001" s="4" t="str">
        <f t="shared" si="30"/>
        <v>Ryan Nall</v>
      </c>
      <c r="D1001" s="4" t="str">
        <f t="shared" si="31"/>
        <v>CHI</v>
      </c>
      <c r="E1001" s="4">
        <v>15</v>
      </c>
      <c r="F1001" s="12">
        <v>9</v>
      </c>
      <c r="G1001" s="11">
        <v>8</v>
      </c>
      <c r="H1001" s="11">
        <v>67</v>
      </c>
      <c r="I1001" s="11">
        <v>8.4</v>
      </c>
      <c r="J1001" s="11">
        <v>1</v>
      </c>
      <c r="K1001" s="11">
        <v>0</v>
      </c>
      <c r="L1001" s="11" t="str" cm="1">
        <f t="array" ref="L1001">IFERROR(_xlfn.XLOOKUP(C1001&amp;A1001, ESPN!A:A&amp;ESPN!C:C, ESPN!D:D), "N/A")</f>
        <v>N/A</v>
      </c>
      <c r="M1001" s="23" t="str" cm="1">
        <f t="array" ref="M1001">IFERROR(_xlfn.XLOOKUP(C1001&amp;A1001, ESPN!A:A&amp;ESPN!C:C, ESPN!G:G), "N/A")</f>
        <v>N/A</v>
      </c>
      <c r="N1001" s="23" t="str" cm="1">
        <f t="array" ref="N1001">IFERROR(_xlfn.XLOOKUP(C1001&amp;A1001, ESPN!A:A&amp;ESPN!C:C, ESPN!H:H), "N/A")</f>
        <v>N/A</v>
      </c>
      <c r="O1001" s="26" t="str" cm="1">
        <f t="array" ref="O1001">IFERROR(_xlfn.XLOOKUP(C1001&amp;A1001, ESPN!A:A&amp;ESPN!C:C, ESPN!I:I), "N/A")</f>
        <v>N/A</v>
      </c>
      <c r="P1001" s="26" t="str" cm="1">
        <f t="array" ref="P1001">IFERROR(_xlfn.XLOOKUP(C1001&amp;A1001, ESPN!A:A&amp;ESPN!C:C, ESPN!J:J), "N/A")</f>
        <v>N/A</v>
      </c>
      <c r="Q1001" s="26" t="str" cm="1">
        <f t="array" ref="Q1001">IFERROR(_xlfn.XLOOKUP(C1001&amp;A1001, ESPN!A:A&amp;ESPN!C:C, ESPN!K:K), "N/A")</f>
        <v>N/A</v>
      </c>
    </row>
    <row r="1002" spans="1:17" x14ac:dyDescent="0.45">
      <c r="A1002" s="6">
        <v>2020</v>
      </c>
      <c r="B1002" s="1" t="s">
        <v>566</v>
      </c>
      <c r="C1002" s="2" t="str">
        <f t="shared" si="30"/>
        <v>DeAndre Washington</v>
      </c>
      <c r="D1002" s="2" t="str">
        <f t="shared" si="31"/>
        <v>MIA</v>
      </c>
      <c r="E1002" s="2">
        <v>4</v>
      </c>
      <c r="F1002" s="12">
        <v>10</v>
      </c>
      <c r="G1002" s="11">
        <v>5</v>
      </c>
      <c r="H1002" s="11">
        <v>30</v>
      </c>
      <c r="I1002" s="11">
        <v>6</v>
      </c>
      <c r="J1002" s="11">
        <v>0</v>
      </c>
      <c r="K1002" s="11">
        <v>0</v>
      </c>
      <c r="L1002" s="11" t="str" cm="1">
        <f t="array" ref="L1002">IFERROR(_xlfn.XLOOKUP(C1002&amp;A1002, ESPN!A:A&amp;ESPN!C:C, ESPN!D:D), "N/A")</f>
        <v>N/A</v>
      </c>
      <c r="M1002" s="23" t="str" cm="1">
        <f t="array" ref="M1002">IFERROR(_xlfn.XLOOKUP(C1002&amp;A1002, ESPN!A:A&amp;ESPN!C:C, ESPN!G:G), "N/A")</f>
        <v>N/A</v>
      </c>
      <c r="N1002" s="23" t="str" cm="1">
        <f t="array" ref="N1002">IFERROR(_xlfn.XLOOKUP(C1002&amp;A1002, ESPN!A:A&amp;ESPN!C:C, ESPN!H:H), "N/A")</f>
        <v>N/A</v>
      </c>
      <c r="O1002" s="26" t="str" cm="1">
        <f t="array" ref="O1002">IFERROR(_xlfn.XLOOKUP(C1002&amp;A1002, ESPN!A:A&amp;ESPN!C:C, ESPN!I:I), "N/A")</f>
        <v>N/A</v>
      </c>
      <c r="P1002" s="26" t="str" cm="1">
        <f t="array" ref="P1002">IFERROR(_xlfn.XLOOKUP(C1002&amp;A1002, ESPN!A:A&amp;ESPN!C:C, ESPN!J:J), "N/A")</f>
        <v>N/A</v>
      </c>
      <c r="Q1002" s="26" t="str" cm="1">
        <f t="array" ref="Q1002">IFERROR(_xlfn.XLOOKUP(C1002&amp;A1002, ESPN!A:A&amp;ESPN!C:C, ESPN!K:K), "N/A")</f>
        <v>N/A</v>
      </c>
    </row>
    <row r="1003" spans="1:17" x14ac:dyDescent="0.45">
      <c r="A1003" s="7">
        <v>2020</v>
      </c>
      <c r="B1003" s="3" t="s">
        <v>489</v>
      </c>
      <c r="C1003" s="4" t="str">
        <f t="shared" si="30"/>
        <v>Patrick Laird</v>
      </c>
      <c r="D1003" s="4" t="str">
        <f t="shared" si="31"/>
        <v>MIA</v>
      </c>
      <c r="E1003" s="4">
        <v>16</v>
      </c>
      <c r="F1003" s="12">
        <v>12</v>
      </c>
      <c r="G1003" s="11">
        <v>10</v>
      </c>
      <c r="H1003" s="11">
        <v>68</v>
      </c>
      <c r="I1003" s="11">
        <v>6.8</v>
      </c>
      <c r="J1003" s="11">
        <v>0</v>
      </c>
      <c r="K1003" s="11">
        <v>1</v>
      </c>
      <c r="L1003" s="11" t="str" cm="1">
        <f t="array" ref="L1003">IFERROR(_xlfn.XLOOKUP(C1003&amp;A1003, ESPN!A:A&amp;ESPN!C:C, ESPN!D:D), "N/A")</f>
        <v>N/A</v>
      </c>
      <c r="M1003" s="23" t="str" cm="1">
        <f t="array" ref="M1003">IFERROR(_xlfn.XLOOKUP(C1003&amp;A1003, ESPN!A:A&amp;ESPN!C:C, ESPN!G:G), "N/A")</f>
        <v>N/A</v>
      </c>
      <c r="N1003" s="23" t="str" cm="1">
        <f t="array" ref="N1003">IFERROR(_xlfn.XLOOKUP(C1003&amp;A1003, ESPN!A:A&amp;ESPN!C:C, ESPN!H:H), "N/A")</f>
        <v>N/A</v>
      </c>
      <c r="O1003" s="26" t="str" cm="1">
        <f t="array" ref="O1003">IFERROR(_xlfn.XLOOKUP(C1003&amp;A1003, ESPN!A:A&amp;ESPN!C:C, ESPN!I:I), "N/A")</f>
        <v>N/A</v>
      </c>
      <c r="P1003" s="26" t="str" cm="1">
        <f t="array" ref="P1003">IFERROR(_xlfn.XLOOKUP(C1003&amp;A1003, ESPN!A:A&amp;ESPN!C:C, ESPN!J:J), "N/A")</f>
        <v>N/A</v>
      </c>
      <c r="Q1003" s="26" t="str" cm="1">
        <f t="array" ref="Q1003">IFERROR(_xlfn.XLOOKUP(C1003&amp;A1003, ESPN!A:A&amp;ESPN!C:C, ESPN!K:K), "N/A")</f>
        <v>N/A</v>
      </c>
    </row>
    <row r="1004" spans="1:17" x14ac:dyDescent="0.45">
      <c r="A1004" s="6">
        <v>2020</v>
      </c>
      <c r="B1004" s="1" t="s">
        <v>567</v>
      </c>
      <c r="C1004" s="2" t="str">
        <f t="shared" si="30"/>
        <v>Troymaine Pope</v>
      </c>
      <c r="D1004" s="2" t="str">
        <f t="shared" si="31"/>
        <v>LAC</v>
      </c>
      <c r="E1004" s="2">
        <v>6</v>
      </c>
      <c r="F1004" s="12">
        <v>10</v>
      </c>
      <c r="G1004" s="11">
        <v>8</v>
      </c>
      <c r="H1004" s="11">
        <v>42</v>
      </c>
      <c r="I1004" s="11">
        <v>5.3</v>
      </c>
      <c r="J1004" s="11">
        <v>0</v>
      </c>
      <c r="K1004" s="11">
        <v>0</v>
      </c>
      <c r="L1004" s="11" t="str" cm="1">
        <f t="array" ref="L1004">IFERROR(_xlfn.XLOOKUP(C1004&amp;A1004, ESPN!A:A&amp;ESPN!C:C, ESPN!D:D), "N/A")</f>
        <v>N/A</v>
      </c>
      <c r="M1004" s="23" t="str" cm="1">
        <f t="array" ref="M1004">IFERROR(_xlfn.XLOOKUP(C1004&amp;A1004, ESPN!A:A&amp;ESPN!C:C, ESPN!G:G), "N/A")</f>
        <v>N/A</v>
      </c>
      <c r="N1004" s="23" t="str" cm="1">
        <f t="array" ref="N1004">IFERROR(_xlfn.XLOOKUP(C1004&amp;A1004, ESPN!A:A&amp;ESPN!C:C, ESPN!H:H), "N/A")</f>
        <v>N/A</v>
      </c>
      <c r="O1004" s="26" t="str" cm="1">
        <f t="array" ref="O1004">IFERROR(_xlfn.XLOOKUP(C1004&amp;A1004, ESPN!A:A&amp;ESPN!C:C, ESPN!I:I), "N/A")</f>
        <v>N/A</v>
      </c>
      <c r="P1004" s="26" t="str" cm="1">
        <f t="array" ref="P1004">IFERROR(_xlfn.XLOOKUP(C1004&amp;A1004, ESPN!A:A&amp;ESPN!C:C, ESPN!J:J), "N/A")</f>
        <v>N/A</v>
      </c>
      <c r="Q1004" s="26" t="str" cm="1">
        <f t="array" ref="Q1004">IFERROR(_xlfn.XLOOKUP(C1004&amp;A1004, ESPN!A:A&amp;ESPN!C:C, ESPN!K:K), "N/A")</f>
        <v>N/A</v>
      </c>
    </row>
    <row r="1005" spans="1:17" x14ac:dyDescent="0.45">
      <c r="A1005" s="7">
        <v>2020</v>
      </c>
      <c r="B1005" s="3" t="s">
        <v>504</v>
      </c>
      <c r="C1005" s="4" t="str">
        <f t="shared" si="30"/>
        <v>Tarik Cohen</v>
      </c>
      <c r="D1005" s="4" t="str">
        <f t="shared" si="31"/>
        <v>CHI</v>
      </c>
      <c r="E1005" s="4">
        <v>3</v>
      </c>
      <c r="F1005" s="12">
        <v>9</v>
      </c>
      <c r="G1005" s="11">
        <v>6</v>
      </c>
      <c r="H1005" s="11">
        <v>41</v>
      </c>
      <c r="I1005" s="11">
        <v>6.8</v>
      </c>
      <c r="J1005" s="11">
        <v>0</v>
      </c>
      <c r="K1005" s="11">
        <v>0</v>
      </c>
      <c r="L1005" s="11" t="str" cm="1">
        <f t="array" ref="L1005">IFERROR(_xlfn.XLOOKUP(C1005&amp;A1005, ESPN!A:A&amp;ESPN!C:C, ESPN!D:D), "N/A")</f>
        <v>N/A</v>
      </c>
      <c r="M1005" s="23" t="str" cm="1">
        <f t="array" ref="M1005">IFERROR(_xlfn.XLOOKUP(C1005&amp;A1005, ESPN!A:A&amp;ESPN!C:C, ESPN!G:G), "N/A")</f>
        <v>N/A</v>
      </c>
      <c r="N1005" s="23" t="str" cm="1">
        <f t="array" ref="N1005">IFERROR(_xlfn.XLOOKUP(C1005&amp;A1005, ESPN!A:A&amp;ESPN!C:C, ESPN!H:H), "N/A")</f>
        <v>N/A</v>
      </c>
      <c r="O1005" s="26" t="str" cm="1">
        <f t="array" ref="O1005">IFERROR(_xlfn.XLOOKUP(C1005&amp;A1005, ESPN!A:A&amp;ESPN!C:C, ESPN!I:I), "N/A")</f>
        <v>N/A</v>
      </c>
      <c r="P1005" s="26" t="str" cm="1">
        <f t="array" ref="P1005">IFERROR(_xlfn.XLOOKUP(C1005&amp;A1005, ESPN!A:A&amp;ESPN!C:C, ESPN!J:J), "N/A")</f>
        <v>N/A</v>
      </c>
      <c r="Q1005" s="26" t="str" cm="1">
        <f t="array" ref="Q1005">IFERROR(_xlfn.XLOOKUP(C1005&amp;A1005, ESPN!A:A&amp;ESPN!C:C, ESPN!K:K), "N/A")</f>
        <v>N/A</v>
      </c>
    </row>
    <row r="1006" spans="1:17" x14ac:dyDescent="0.45">
      <c r="A1006" s="6">
        <v>2020</v>
      </c>
      <c r="B1006" s="1" t="s">
        <v>399</v>
      </c>
      <c r="C1006" s="2" t="str">
        <f t="shared" si="30"/>
        <v>J.J. Taylor</v>
      </c>
      <c r="D1006" s="2" t="str">
        <f t="shared" si="31"/>
        <v>NE</v>
      </c>
      <c r="E1006" s="2">
        <v>6</v>
      </c>
      <c r="F1006" s="12">
        <v>2</v>
      </c>
      <c r="G1006" s="11">
        <v>1</v>
      </c>
      <c r="H1006" s="11">
        <v>4</v>
      </c>
      <c r="I1006" s="11">
        <v>4</v>
      </c>
      <c r="J1006" s="11">
        <v>0</v>
      </c>
      <c r="K1006" s="11">
        <v>0</v>
      </c>
      <c r="L1006" s="11" t="str" cm="1">
        <f t="array" ref="L1006">IFERROR(_xlfn.XLOOKUP(C1006&amp;A1006, ESPN!A:A&amp;ESPN!C:C, ESPN!D:D), "N/A")</f>
        <v>N/A</v>
      </c>
      <c r="M1006" s="23" t="str" cm="1">
        <f t="array" ref="M1006">IFERROR(_xlfn.XLOOKUP(C1006&amp;A1006, ESPN!A:A&amp;ESPN!C:C, ESPN!G:G), "N/A")</f>
        <v>N/A</v>
      </c>
      <c r="N1006" s="23" t="str" cm="1">
        <f t="array" ref="N1006">IFERROR(_xlfn.XLOOKUP(C1006&amp;A1006, ESPN!A:A&amp;ESPN!C:C, ESPN!H:H), "N/A")</f>
        <v>N/A</v>
      </c>
      <c r="O1006" s="26" t="str" cm="1">
        <f t="array" ref="O1006">IFERROR(_xlfn.XLOOKUP(C1006&amp;A1006, ESPN!A:A&amp;ESPN!C:C, ESPN!I:I), "N/A")</f>
        <v>N/A</v>
      </c>
      <c r="P1006" s="26" t="str" cm="1">
        <f t="array" ref="P1006">IFERROR(_xlfn.XLOOKUP(C1006&amp;A1006, ESPN!A:A&amp;ESPN!C:C, ESPN!J:J), "N/A")</f>
        <v>N/A</v>
      </c>
      <c r="Q1006" s="26" t="str" cm="1">
        <f t="array" ref="Q1006">IFERROR(_xlfn.XLOOKUP(C1006&amp;A1006, ESPN!A:A&amp;ESPN!C:C, ESPN!K:K), "N/A")</f>
        <v>N/A</v>
      </c>
    </row>
    <row r="1007" spans="1:17" x14ac:dyDescent="0.45">
      <c r="A1007" s="7">
        <v>2020</v>
      </c>
      <c r="B1007" s="3" t="s">
        <v>484</v>
      </c>
      <c r="C1007" s="4" t="str">
        <f t="shared" si="30"/>
        <v>Jakob Johnson</v>
      </c>
      <c r="D1007" s="4" t="str">
        <f t="shared" si="31"/>
        <v>NE</v>
      </c>
      <c r="E1007" s="4">
        <v>16</v>
      </c>
      <c r="F1007" s="12">
        <v>9</v>
      </c>
      <c r="G1007" s="11">
        <v>8</v>
      </c>
      <c r="H1007" s="11">
        <v>35</v>
      </c>
      <c r="I1007" s="11">
        <v>4.4000000000000004</v>
      </c>
      <c r="J1007" s="11">
        <v>1</v>
      </c>
      <c r="K1007" s="11">
        <v>0</v>
      </c>
      <c r="L1007" s="11" t="str" cm="1">
        <f t="array" ref="L1007">IFERROR(_xlfn.XLOOKUP(C1007&amp;A1007, ESPN!A:A&amp;ESPN!C:C, ESPN!D:D), "N/A")</f>
        <v>N/A</v>
      </c>
      <c r="M1007" s="23" t="str" cm="1">
        <f t="array" ref="M1007">IFERROR(_xlfn.XLOOKUP(C1007&amp;A1007, ESPN!A:A&amp;ESPN!C:C, ESPN!G:G), "N/A")</f>
        <v>N/A</v>
      </c>
      <c r="N1007" s="23" t="str" cm="1">
        <f t="array" ref="N1007">IFERROR(_xlfn.XLOOKUP(C1007&amp;A1007, ESPN!A:A&amp;ESPN!C:C, ESPN!H:H), "N/A")</f>
        <v>N/A</v>
      </c>
      <c r="O1007" s="26" t="str" cm="1">
        <f t="array" ref="O1007">IFERROR(_xlfn.XLOOKUP(C1007&amp;A1007, ESPN!A:A&amp;ESPN!C:C, ESPN!I:I), "N/A")</f>
        <v>N/A</v>
      </c>
      <c r="P1007" s="26" t="str" cm="1">
        <f t="array" ref="P1007">IFERROR(_xlfn.XLOOKUP(C1007&amp;A1007, ESPN!A:A&amp;ESPN!C:C, ESPN!J:J), "N/A")</f>
        <v>N/A</v>
      </c>
      <c r="Q1007" s="26" t="str" cm="1">
        <f t="array" ref="Q1007">IFERROR(_xlfn.XLOOKUP(C1007&amp;A1007, ESPN!A:A&amp;ESPN!C:C, ESPN!K:K), "N/A")</f>
        <v>N/A</v>
      </c>
    </row>
    <row r="1008" spans="1:17" x14ac:dyDescent="0.45">
      <c r="A1008" s="6">
        <v>2020</v>
      </c>
      <c r="B1008" s="1" t="s">
        <v>254</v>
      </c>
      <c r="C1008" s="2" t="str">
        <f t="shared" si="30"/>
        <v>Saquon Barkley</v>
      </c>
      <c r="D1008" s="2" t="str">
        <f t="shared" si="31"/>
        <v>NYG</v>
      </c>
      <c r="E1008" s="2">
        <v>2</v>
      </c>
      <c r="F1008" s="12">
        <v>9</v>
      </c>
      <c r="G1008" s="11">
        <v>6</v>
      </c>
      <c r="H1008" s="11">
        <v>60</v>
      </c>
      <c r="I1008" s="11">
        <v>10</v>
      </c>
      <c r="J1008" s="11">
        <v>0</v>
      </c>
      <c r="K1008" s="11">
        <v>0</v>
      </c>
      <c r="L1008" s="11" t="str" cm="1">
        <f t="array" ref="L1008">IFERROR(_xlfn.XLOOKUP(C1008&amp;A1008, ESPN!A:A&amp;ESPN!C:C, ESPN!D:D), "N/A")</f>
        <v>N/A</v>
      </c>
      <c r="M1008" s="23" t="str" cm="1">
        <f t="array" ref="M1008">IFERROR(_xlfn.XLOOKUP(C1008&amp;A1008, ESPN!A:A&amp;ESPN!C:C, ESPN!G:G), "N/A")</f>
        <v>N/A</v>
      </c>
      <c r="N1008" s="23" t="str" cm="1">
        <f t="array" ref="N1008">IFERROR(_xlfn.XLOOKUP(C1008&amp;A1008, ESPN!A:A&amp;ESPN!C:C, ESPN!H:H), "N/A")</f>
        <v>N/A</v>
      </c>
      <c r="O1008" s="26" t="str" cm="1">
        <f t="array" ref="O1008">IFERROR(_xlfn.XLOOKUP(C1008&amp;A1008, ESPN!A:A&amp;ESPN!C:C, ESPN!I:I), "N/A")</f>
        <v>N/A</v>
      </c>
      <c r="P1008" s="26" t="str" cm="1">
        <f t="array" ref="P1008">IFERROR(_xlfn.XLOOKUP(C1008&amp;A1008, ESPN!A:A&amp;ESPN!C:C, ESPN!J:J), "N/A")</f>
        <v>N/A</v>
      </c>
      <c r="Q1008" s="26" t="str" cm="1">
        <f t="array" ref="Q1008">IFERROR(_xlfn.XLOOKUP(C1008&amp;A1008, ESPN!A:A&amp;ESPN!C:C, ESPN!K:K), "N/A")</f>
        <v>N/A</v>
      </c>
    </row>
    <row r="1009" spans="1:17" x14ac:dyDescent="0.45">
      <c r="A1009" s="7">
        <v>2020</v>
      </c>
      <c r="B1009" s="3" t="s">
        <v>514</v>
      </c>
      <c r="C1009" s="4" t="str">
        <f t="shared" si="30"/>
        <v>Artavis Pierce</v>
      </c>
      <c r="D1009" s="4" t="str">
        <f t="shared" si="31"/>
        <v>CHI</v>
      </c>
      <c r="E1009" s="4">
        <v>5</v>
      </c>
      <c r="F1009" s="12">
        <v>0</v>
      </c>
      <c r="G1009" s="11">
        <v>0</v>
      </c>
      <c r="H1009" s="11">
        <v>0</v>
      </c>
      <c r="I1009" s="11">
        <v>0</v>
      </c>
      <c r="J1009" s="11">
        <v>0</v>
      </c>
      <c r="K1009" s="11">
        <v>0</v>
      </c>
      <c r="L1009" s="11" t="str" cm="1">
        <f t="array" ref="L1009">IFERROR(_xlfn.XLOOKUP(C1009&amp;A1009, ESPN!A:A&amp;ESPN!C:C, ESPN!D:D), "N/A")</f>
        <v>N/A</v>
      </c>
      <c r="M1009" s="23" t="str" cm="1">
        <f t="array" ref="M1009">IFERROR(_xlfn.XLOOKUP(C1009&amp;A1009, ESPN!A:A&amp;ESPN!C:C, ESPN!G:G), "N/A")</f>
        <v>N/A</v>
      </c>
      <c r="N1009" s="23" t="str" cm="1">
        <f t="array" ref="N1009">IFERROR(_xlfn.XLOOKUP(C1009&amp;A1009, ESPN!A:A&amp;ESPN!C:C, ESPN!H:H), "N/A")</f>
        <v>N/A</v>
      </c>
      <c r="O1009" s="26" t="str" cm="1">
        <f t="array" ref="O1009">IFERROR(_xlfn.XLOOKUP(C1009&amp;A1009, ESPN!A:A&amp;ESPN!C:C, ESPN!I:I), "N/A")</f>
        <v>N/A</v>
      </c>
      <c r="P1009" s="26" t="str" cm="1">
        <f t="array" ref="P1009">IFERROR(_xlfn.XLOOKUP(C1009&amp;A1009, ESPN!A:A&amp;ESPN!C:C, ESPN!J:J), "N/A")</f>
        <v>N/A</v>
      </c>
      <c r="Q1009" s="26" t="str" cm="1">
        <f t="array" ref="Q1009">IFERROR(_xlfn.XLOOKUP(C1009&amp;A1009, ESPN!A:A&amp;ESPN!C:C, ESPN!K:K), "N/A")</f>
        <v>N/A</v>
      </c>
    </row>
    <row r="1010" spans="1:17" x14ac:dyDescent="0.45">
      <c r="A1010" s="6">
        <v>2020</v>
      </c>
      <c r="B1010" s="1" t="s">
        <v>373</v>
      </c>
      <c r="C1010" s="2" t="str">
        <f t="shared" si="30"/>
        <v>Tevin Coleman</v>
      </c>
      <c r="D1010" s="2" t="str">
        <f t="shared" si="31"/>
        <v>SF</v>
      </c>
      <c r="E1010" s="2">
        <v>8</v>
      </c>
      <c r="F1010" s="12">
        <v>5</v>
      </c>
      <c r="G1010" s="11">
        <v>4</v>
      </c>
      <c r="H1010" s="11">
        <v>34</v>
      </c>
      <c r="I1010" s="11">
        <v>8.5</v>
      </c>
      <c r="J1010" s="11">
        <v>0</v>
      </c>
      <c r="K1010" s="11">
        <v>0</v>
      </c>
      <c r="L1010" s="11" t="str" cm="1">
        <f t="array" ref="L1010">IFERROR(_xlfn.XLOOKUP(C1010&amp;A1010, ESPN!A:A&amp;ESPN!C:C, ESPN!D:D), "N/A")</f>
        <v>N/A</v>
      </c>
      <c r="M1010" s="23" t="str" cm="1">
        <f t="array" ref="M1010">IFERROR(_xlfn.XLOOKUP(C1010&amp;A1010, ESPN!A:A&amp;ESPN!C:C, ESPN!G:G), "N/A")</f>
        <v>N/A</v>
      </c>
      <c r="N1010" s="23" t="str" cm="1">
        <f t="array" ref="N1010">IFERROR(_xlfn.XLOOKUP(C1010&amp;A1010, ESPN!A:A&amp;ESPN!C:C, ESPN!H:H), "N/A")</f>
        <v>N/A</v>
      </c>
      <c r="O1010" s="26" t="str" cm="1">
        <f t="array" ref="O1010">IFERROR(_xlfn.XLOOKUP(C1010&amp;A1010, ESPN!A:A&amp;ESPN!C:C, ESPN!I:I), "N/A")</f>
        <v>N/A</v>
      </c>
      <c r="P1010" s="26" t="str" cm="1">
        <f t="array" ref="P1010">IFERROR(_xlfn.XLOOKUP(C1010&amp;A1010, ESPN!A:A&amp;ESPN!C:C, ESPN!J:J), "N/A")</f>
        <v>N/A</v>
      </c>
      <c r="Q1010" s="26" t="str" cm="1">
        <f t="array" ref="Q1010">IFERROR(_xlfn.XLOOKUP(C1010&amp;A1010, ESPN!A:A&amp;ESPN!C:C, ESPN!K:K), "N/A")</f>
        <v>N/A</v>
      </c>
    </row>
    <row r="1011" spans="1:17" x14ac:dyDescent="0.45">
      <c r="A1011" s="7">
        <v>2020</v>
      </c>
      <c r="B1011" s="3" t="s">
        <v>144</v>
      </c>
      <c r="C1011" s="4" t="str">
        <f t="shared" si="30"/>
        <v>Patrick Ricard</v>
      </c>
      <c r="D1011" s="4" t="str">
        <f t="shared" si="31"/>
        <v>BAL</v>
      </c>
      <c r="E1011" s="4">
        <v>15</v>
      </c>
      <c r="F1011" s="12">
        <v>12</v>
      </c>
      <c r="G1011" s="11">
        <v>9</v>
      </c>
      <c r="H1011" s="11">
        <v>45</v>
      </c>
      <c r="I1011" s="11">
        <v>5</v>
      </c>
      <c r="J1011" s="11">
        <v>1</v>
      </c>
      <c r="K1011" s="11">
        <v>1</v>
      </c>
      <c r="L1011" s="11" t="str" cm="1">
        <f t="array" ref="L1011">IFERROR(_xlfn.XLOOKUP(C1011&amp;A1011, ESPN!A:A&amp;ESPN!C:C, ESPN!D:D), "N/A")</f>
        <v>N/A</v>
      </c>
      <c r="M1011" s="23" t="str" cm="1">
        <f t="array" ref="M1011">IFERROR(_xlfn.XLOOKUP(C1011&amp;A1011, ESPN!A:A&amp;ESPN!C:C, ESPN!G:G), "N/A")</f>
        <v>N/A</v>
      </c>
      <c r="N1011" s="23" t="str" cm="1">
        <f t="array" ref="N1011">IFERROR(_xlfn.XLOOKUP(C1011&amp;A1011, ESPN!A:A&amp;ESPN!C:C, ESPN!H:H), "N/A")</f>
        <v>N/A</v>
      </c>
      <c r="O1011" s="26" t="str" cm="1">
        <f t="array" ref="O1011">IFERROR(_xlfn.XLOOKUP(C1011&amp;A1011, ESPN!A:A&amp;ESPN!C:C, ESPN!I:I), "N/A")</f>
        <v>N/A</v>
      </c>
      <c r="P1011" s="26" t="str" cm="1">
        <f t="array" ref="P1011">IFERROR(_xlfn.XLOOKUP(C1011&amp;A1011, ESPN!A:A&amp;ESPN!C:C, ESPN!J:J), "N/A")</f>
        <v>N/A</v>
      </c>
      <c r="Q1011" s="26" t="str" cm="1">
        <f t="array" ref="Q1011">IFERROR(_xlfn.XLOOKUP(C1011&amp;A1011, ESPN!A:A&amp;ESPN!C:C, ESPN!K:K), "N/A")</f>
        <v>N/A</v>
      </c>
    </row>
    <row r="1012" spans="1:17" x14ac:dyDescent="0.45">
      <c r="A1012" s="6">
        <v>2020</v>
      </c>
      <c r="B1012" s="1" t="s">
        <v>89</v>
      </c>
      <c r="C1012" s="2" t="str">
        <f t="shared" si="30"/>
        <v>Justice Hill</v>
      </c>
      <c r="D1012" s="2" t="str">
        <f t="shared" si="31"/>
        <v>BAL</v>
      </c>
      <c r="E1012" s="2">
        <v>12</v>
      </c>
      <c r="F1012" s="12">
        <v>5</v>
      </c>
      <c r="G1012" s="11">
        <v>5</v>
      </c>
      <c r="H1012" s="11">
        <v>20</v>
      </c>
      <c r="I1012" s="11">
        <v>4</v>
      </c>
      <c r="J1012" s="11">
        <v>0</v>
      </c>
      <c r="K1012" s="11">
        <v>0</v>
      </c>
      <c r="L1012" s="11" t="str" cm="1">
        <f t="array" ref="L1012">IFERROR(_xlfn.XLOOKUP(C1012&amp;A1012, ESPN!A:A&amp;ESPN!C:C, ESPN!D:D), "N/A")</f>
        <v>N/A</v>
      </c>
      <c r="M1012" s="23" t="str" cm="1">
        <f t="array" ref="M1012">IFERROR(_xlfn.XLOOKUP(C1012&amp;A1012, ESPN!A:A&amp;ESPN!C:C, ESPN!G:G), "N/A")</f>
        <v>N/A</v>
      </c>
      <c r="N1012" s="23" t="str" cm="1">
        <f t="array" ref="N1012">IFERROR(_xlfn.XLOOKUP(C1012&amp;A1012, ESPN!A:A&amp;ESPN!C:C, ESPN!H:H), "N/A")</f>
        <v>N/A</v>
      </c>
      <c r="O1012" s="26" t="str" cm="1">
        <f t="array" ref="O1012">IFERROR(_xlfn.XLOOKUP(C1012&amp;A1012, ESPN!A:A&amp;ESPN!C:C, ESPN!I:I), "N/A")</f>
        <v>N/A</v>
      </c>
      <c r="P1012" s="26" t="str" cm="1">
        <f t="array" ref="P1012">IFERROR(_xlfn.XLOOKUP(C1012&amp;A1012, ESPN!A:A&amp;ESPN!C:C, ESPN!J:J), "N/A")</f>
        <v>N/A</v>
      </c>
      <c r="Q1012" s="26" t="str" cm="1">
        <f t="array" ref="Q1012">IFERROR(_xlfn.XLOOKUP(C1012&amp;A1012, ESPN!A:A&amp;ESPN!C:C, ESPN!K:K), "N/A")</f>
        <v>N/A</v>
      </c>
    </row>
    <row r="1013" spans="1:17" x14ac:dyDescent="0.45">
      <c r="A1013" s="7">
        <v>2020</v>
      </c>
      <c r="B1013" s="3" t="s">
        <v>568</v>
      </c>
      <c r="C1013" s="4" t="str">
        <f t="shared" si="30"/>
        <v>C.J. Prosise</v>
      </c>
      <c r="D1013" s="4" t="str">
        <f t="shared" si="31"/>
        <v>HOU</v>
      </c>
      <c r="E1013" s="4">
        <v>10</v>
      </c>
      <c r="F1013" s="12">
        <v>5</v>
      </c>
      <c r="G1013" s="11">
        <v>5</v>
      </c>
      <c r="H1013" s="11">
        <v>18</v>
      </c>
      <c r="I1013" s="11">
        <v>3.6</v>
      </c>
      <c r="J1013" s="11">
        <v>1</v>
      </c>
      <c r="K1013" s="11">
        <v>1</v>
      </c>
      <c r="L1013" s="11" t="str" cm="1">
        <f t="array" ref="L1013">IFERROR(_xlfn.XLOOKUP(C1013&amp;A1013, ESPN!A:A&amp;ESPN!C:C, ESPN!D:D), "N/A")</f>
        <v>N/A</v>
      </c>
      <c r="M1013" s="23" t="str" cm="1">
        <f t="array" ref="M1013">IFERROR(_xlfn.XLOOKUP(C1013&amp;A1013, ESPN!A:A&amp;ESPN!C:C, ESPN!G:G), "N/A")</f>
        <v>N/A</v>
      </c>
      <c r="N1013" s="23" t="str" cm="1">
        <f t="array" ref="N1013">IFERROR(_xlfn.XLOOKUP(C1013&amp;A1013, ESPN!A:A&amp;ESPN!C:C, ESPN!H:H), "N/A")</f>
        <v>N/A</v>
      </c>
      <c r="O1013" s="26" t="str" cm="1">
        <f t="array" ref="O1013">IFERROR(_xlfn.XLOOKUP(C1013&amp;A1013, ESPN!A:A&amp;ESPN!C:C, ESPN!I:I), "N/A")</f>
        <v>N/A</v>
      </c>
      <c r="P1013" s="26" t="str" cm="1">
        <f t="array" ref="P1013">IFERROR(_xlfn.XLOOKUP(C1013&amp;A1013, ESPN!A:A&amp;ESPN!C:C, ESPN!J:J), "N/A")</f>
        <v>N/A</v>
      </c>
      <c r="Q1013" s="26" t="str" cm="1">
        <f t="array" ref="Q1013">IFERROR(_xlfn.XLOOKUP(C1013&amp;A1013, ESPN!A:A&amp;ESPN!C:C, ESPN!K:K), "N/A")</f>
        <v>N/A</v>
      </c>
    </row>
    <row r="1014" spans="1:17" x14ac:dyDescent="0.45">
      <c r="A1014" s="6">
        <v>2020</v>
      </c>
      <c r="B1014" s="1" t="s">
        <v>142</v>
      </c>
      <c r="C1014" s="2" t="str">
        <f t="shared" si="30"/>
        <v>Reggie Gilliam</v>
      </c>
      <c r="D1014" s="2" t="str">
        <f t="shared" si="31"/>
        <v>BUF</v>
      </c>
      <c r="E1014" s="2">
        <v>14</v>
      </c>
      <c r="F1014" s="12">
        <v>2</v>
      </c>
      <c r="G1014" s="11">
        <v>2</v>
      </c>
      <c r="H1014" s="11">
        <v>16</v>
      </c>
      <c r="I1014" s="11">
        <v>8</v>
      </c>
      <c r="J1014" s="11">
        <v>1</v>
      </c>
      <c r="K1014" s="11">
        <v>0</v>
      </c>
      <c r="L1014" s="11" t="str" cm="1">
        <f t="array" ref="L1014">IFERROR(_xlfn.XLOOKUP(C1014&amp;A1014, ESPN!A:A&amp;ESPN!C:C, ESPN!D:D), "N/A")</f>
        <v>N/A</v>
      </c>
      <c r="M1014" s="23" t="str" cm="1">
        <f t="array" ref="M1014">IFERROR(_xlfn.XLOOKUP(C1014&amp;A1014, ESPN!A:A&amp;ESPN!C:C, ESPN!G:G), "N/A")</f>
        <v>N/A</v>
      </c>
      <c r="N1014" s="23" t="str" cm="1">
        <f t="array" ref="N1014">IFERROR(_xlfn.XLOOKUP(C1014&amp;A1014, ESPN!A:A&amp;ESPN!C:C, ESPN!H:H), "N/A")</f>
        <v>N/A</v>
      </c>
      <c r="O1014" s="26" t="str" cm="1">
        <f t="array" ref="O1014">IFERROR(_xlfn.XLOOKUP(C1014&amp;A1014, ESPN!A:A&amp;ESPN!C:C, ESPN!I:I), "N/A")</f>
        <v>N/A</v>
      </c>
      <c r="P1014" s="26" t="str" cm="1">
        <f t="array" ref="P1014">IFERROR(_xlfn.XLOOKUP(C1014&amp;A1014, ESPN!A:A&amp;ESPN!C:C, ESPN!J:J), "N/A")</f>
        <v>N/A</v>
      </c>
      <c r="Q1014" s="26" t="str" cm="1">
        <f t="array" ref="Q1014">IFERROR(_xlfn.XLOOKUP(C1014&amp;A1014, ESPN!A:A&amp;ESPN!C:C, ESPN!K:K), "N/A")</f>
        <v>N/A</v>
      </c>
    </row>
    <row r="1015" spans="1:17" x14ac:dyDescent="0.45">
      <c r="A1015" s="7">
        <v>2020</v>
      </c>
      <c r="B1015" s="3" t="s">
        <v>569</v>
      </c>
      <c r="C1015" s="4" t="str">
        <f t="shared" si="30"/>
        <v>Jaylen Samuels</v>
      </c>
      <c r="D1015" s="4" t="str">
        <f t="shared" si="31"/>
        <v>PIT</v>
      </c>
      <c r="E1015" s="4">
        <v>14</v>
      </c>
      <c r="F1015" s="12">
        <v>14</v>
      </c>
      <c r="G1015" s="11">
        <v>9</v>
      </c>
      <c r="H1015" s="11">
        <v>46</v>
      </c>
      <c r="I1015" s="11">
        <v>5.0999999999999996</v>
      </c>
      <c r="J1015" s="11">
        <v>0</v>
      </c>
      <c r="K1015" s="11">
        <v>0</v>
      </c>
      <c r="L1015" s="11" t="str" cm="1">
        <f t="array" ref="L1015">IFERROR(_xlfn.XLOOKUP(C1015&amp;A1015, ESPN!A:A&amp;ESPN!C:C, ESPN!D:D), "N/A")</f>
        <v>N/A</v>
      </c>
      <c r="M1015" s="23" t="str" cm="1">
        <f t="array" ref="M1015">IFERROR(_xlfn.XLOOKUP(C1015&amp;A1015, ESPN!A:A&amp;ESPN!C:C, ESPN!G:G), "N/A")</f>
        <v>N/A</v>
      </c>
      <c r="N1015" s="23" t="str" cm="1">
        <f t="array" ref="N1015">IFERROR(_xlfn.XLOOKUP(C1015&amp;A1015, ESPN!A:A&amp;ESPN!C:C, ESPN!H:H), "N/A")</f>
        <v>N/A</v>
      </c>
      <c r="O1015" s="26" t="str" cm="1">
        <f t="array" ref="O1015">IFERROR(_xlfn.XLOOKUP(C1015&amp;A1015, ESPN!A:A&amp;ESPN!C:C, ESPN!I:I), "N/A")</f>
        <v>N/A</v>
      </c>
      <c r="P1015" s="26" t="str" cm="1">
        <f t="array" ref="P1015">IFERROR(_xlfn.XLOOKUP(C1015&amp;A1015, ESPN!A:A&amp;ESPN!C:C, ESPN!J:J), "N/A")</f>
        <v>N/A</v>
      </c>
      <c r="Q1015" s="26" t="str" cm="1">
        <f t="array" ref="Q1015">IFERROR(_xlfn.XLOOKUP(C1015&amp;A1015, ESPN!A:A&amp;ESPN!C:C, ESPN!K:K), "N/A")</f>
        <v>N/A</v>
      </c>
    </row>
    <row r="1016" spans="1:17" x14ac:dyDescent="0.45">
      <c r="A1016" s="6">
        <v>2020</v>
      </c>
      <c r="B1016" s="1" t="s">
        <v>570</v>
      </c>
      <c r="C1016" s="2" t="str">
        <f t="shared" si="30"/>
        <v>Anthony Sherman</v>
      </c>
      <c r="D1016" s="2" t="str">
        <f t="shared" si="31"/>
        <v>KC</v>
      </c>
      <c r="E1016" s="2">
        <v>12</v>
      </c>
      <c r="F1016" s="12">
        <v>2</v>
      </c>
      <c r="G1016" s="11">
        <v>1</v>
      </c>
      <c r="H1016" s="11">
        <v>5</v>
      </c>
      <c r="I1016" s="11">
        <v>5</v>
      </c>
      <c r="J1016" s="11">
        <v>1</v>
      </c>
      <c r="K1016" s="11">
        <v>0</v>
      </c>
      <c r="L1016" s="11" t="str" cm="1">
        <f t="array" ref="L1016">IFERROR(_xlfn.XLOOKUP(C1016&amp;A1016, ESPN!A:A&amp;ESPN!C:C, ESPN!D:D), "N/A")</f>
        <v>N/A</v>
      </c>
      <c r="M1016" s="23" t="str" cm="1">
        <f t="array" ref="M1016">IFERROR(_xlfn.XLOOKUP(C1016&amp;A1016, ESPN!A:A&amp;ESPN!C:C, ESPN!G:G), "N/A")</f>
        <v>N/A</v>
      </c>
      <c r="N1016" s="23" t="str" cm="1">
        <f t="array" ref="N1016">IFERROR(_xlfn.XLOOKUP(C1016&amp;A1016, ESPN!A:A&amp;ESPN!C:C, ESPN!H:H), "N/A")</f>
        <v>N/A</v>
      </c>
      <c r="O1016" s="26" t="str" cm="1">
        <f t="array" ref="O1016">IFERROR(_xlfn.XLOOKUP(C1016&amp;A1016, ESPN!A:A&amp;ESPN!C:C, ESPN!I:I), "N/A")</f>
        <v>N/A</v>
      </c>
      <c r="P1016" s="26" t="str" cm="1">
        <f t="array" ref="P1016">IFERROR(_xlfn.XLOOKUP(C1016&amp;A1016, ESPN!A:A&amp;ESPN!C:C, ESPN!J:J), "N/A")</f>
        <v>N/A</v>
      </c>
      <c r="Q1016" s="26" t="str" cm="1">
        <f t="array" ref="Q1016">IFERROR(_xlfn.XLOOKUP(C1016&amp;A1016, ESPN!A:A&amp;ESPN!C:C, ESPN!K:K), "N/A")</f>
        <v>N/A</v>
      </c>
    </row>
    <row r="1017" spans="1:17" x14ac:dyDescent="0.45">
      <c r="A1017" s="7">
        <v>2020</v>
      </c>
      <c r="B1017" s="3" t="s">
        <v>478</v>
      </c>
      <c r="C1017" s="4" t="str">
        <f t="shared" si="30"/>
        <v>Jonathan Ward</v>
      </c>
      <c r="D1017" s="4" t="str">
        <f t="shared" si="31"/>
        <v>ARI</v>
      </c>
      <c r="E1017" s="4">
        <v>14</v>
      </c>
      <c r="F1017" s="12">
        <v>1</v>
      </c>
      <c r="G1017" s="11">
        <v>1</v>
      </c>
      <c r="H1017" s="11">
        <v>11</v>
      </c>
      <c r="I1017" s="11">
        <v>11</v>
      </c>
      <c r="J1017" s="11">
        <v>1</v>
      </c>
      <c r="K1017" s="11">
        <v>0</v>
      </c>
      <c r="L1017" s="11" t="str" cm="1">
        <f t="array" ref="L1017">IFERROR(_xlfn.XLOOKUP(C1017&amp;A1017, ESPN!A:A&amp;ESPN!C:C, ESPN!D:D), "N/A")</f>
        <v>N/A</v>
      </c>
      <c r="M1017" s="23" t="str" cm="1">
        <f t="array" ref="M1017">IFERROR(_xlfn.XLOOKUP(C1017&amp;A1017, ESPN!A:A&amp;ESPN!C:C, ESPN!G:G), "N/A")</f>
        <v>N/A</v>
      </c>
      <c r="N1017" s="23" t="str" cm="1">
        <f t="array" ref="N1017">IFERROR(_xlfn.XLOOKUP(C1017&amp;A1017, ESPN!A:A&amp;ESPN!C:C, ESPN!H:H), "N/A")</f>
        <v>N/A</v>
      </c>
      <c r="O1017" s="26" t="str" cm="1">
        <f t="array" ref="O1017">IFERROR(_xlfn.XLOOKUP(C1017&amp;A1017, ESPN!A:A&amp;ESPN!C:C, ESPN!I:I), "N/A")</f>
        <v>N/A</v>
      </c>
      <c r="P1017" s="26" t="str" cm="1">
        <f t="array" ref="P1017">IFERROR(_xlfn.XLOOKUP(C1017&amp;A1017, ESPN!A:A&amp;ESPN!C:C, ESPN!J:J), "N/A")</f>
        <v>N/A</v>
      </c>
      <c r="Q1017" s="26" t="str" cm="1">
        <f t="array" ref="Q1017">IFERROR(_xlfn.XLOOKUP(C1017&amp;A1017, ESPN!A:A&amp;ESPN!C:C, ESPN!K:K), "N/A")</f>
        <v>N/A</v>
      </c>
    </row>
    <row r="1018" spans="1:17" x14ac:dyDescent="0.45">
      <c r="A1018" s="6">
        <v>2020</v>
      </c>
      <c r="B1018" s="1" t="s">
        <v>571</v>
      </c>
      <c r="C1018" s="2" t="str">
        <f t="shared" si="30"/>
        <v>Buddy Howell</v>
      </c>
      <c r="D1018" s="2" t="str">
        <f t="shared" si="31"/>
        <v>HOU</v>
      </c>
      <c r="E1018" s="2">
        <v>14</v>
      </c>
      <c r="F1018" s="12">
        <v>2</v>
      </c>
      <c r="G1018" s="11">
        <v>1</v>
      </c>
      <c r="H1018" s="11">
        <v>3</v>
      </c>
      <c r="I1018" s="11">
        <v>3</v>
      </c>
      <c r="J1018" s="11">
        <v>0</v>
      </c>
      <c r="K1018" s="11">
        <v>0</v>
      </c>
      <c r="L1018" s="11" t="str" cm="1">
        <f t="array" ref="L1018">IFERROR(_xlfn.XLOOKUP(C1018&amp;A1018, ESPN!A:A&amp;ESPN!C:C, ESPN!D:D), "N/A")</f>
        <v>N/A</v>
      </c>
      <c r="M1018" s="23" t="str" cm="1">
        <f t="array" ref="M1018">IFERROR(_xlfn.XLOOKUP(C1018&amp;A1018, ESPN!A:A&amp;ESPN!C:C, ESPN!G:G), "N/A")</f>
        <v>N/A</v>
      </c>
      <c r="N1018" s="23" t="str" cm="1">
        <f t="array" ref="N1018">IFERROR(_xlfn.XLOOKUP(C1018&amp;A1018, ESPN!A:A&amp;ESPN!C:C, ESPN!H:H), "N/A")</f>
        <v>N/A</v>
      </c>
      <c r="O1018" s="26" t="str" cm="1">
        <f t="array" ref="O1018">IFERROR(_xlfn.XLOOKUP(C1018&amp;A1018, ESPN!A:A&amp;ESPN!C:C, ESPN!I:I), "N/A")</f>
        <v>N/A</v>
      </c>
      <c r="P1018" s="26" t="str" cm="1">
        <f t="array" ref="P1018">IFERROR(_xlfn.XLOOKUP(C1018&amp;A1018, ESPN!A:A&amp;ESPN!C:C, ESPN!J:J), "N/A")</f>
        <v>N/A</v>
      </c>
      <c r="Q1018" s="26" t="str" cm="1">
        <f t="array" ref="Q1018">IFERROR(_xlfn.XLOOKUP(C1018&amp;A1018, ESPN!A:A&amp;ESPN!C:C, ESPN!K:K), "N/A")</f>
        <v>N/A</v>
      </c>
    </row>
    <row r="1019" spans="1:17" x14ac:dyDescent="0.45">
      <c r="A1019" s="7">
        <v>2020</v>
      </c>
      <c r="B1019" s="3" t="s">
        <v>303</v>
      </c>
      <c r="C1019" s="4" t="str">
        <f t="shared" si="30"/>
        <v>Keith Smith</v>
      </c>
      <c r="D1019" s="4" t="str">
        <f t="shared" si="31"/>
        <v>ATL</v>
      </c>
      <c r="E1019" s="4">
        <v>16</v>
      </c>
      <c r="F1019" s="12">
        <v>15</v>
      </c>
      <c r="G1019" s="11">
        <v>11</v>
      </c>
      <c r="H1019" s="11">
        <v>59</v>
      </c>
      <c r="I1019" s="11">
        <v>5.4</v>
      </c>
      <c r="J1019" s="11">
        <v>0</v>
      </c>
      <c r="K1019" s="11">
        <v>0</v>
      </c>
      <c r="L1019" s="11" t="str" cm="1">
        <f t="array" ref="L1019">IFERROR(_xlfn.XLOOKUP(C1019&amp;A1019, ESPN!A:A&amp;ESPN!C:C, ESPN!D:D), "N/A")</f>
        <v>N/A</v>
      </c>
      <c r="M1019" s="23" t="str" cm="1">
        <f t="array" ref="M1019">IFERROR(_xlfn.XLOOKUP(C1019&amp;A1019, ESPN!A:A&amp;ESPN!C:C, ESPN!G:G), "N/A")</f>
        <v>N/A</v>
      </c>
      <c r="N1019" s="23" t="str" cm="1">
        <f t="array" ref="N1019">IFERROR(_xlfn.XLOOKUP(C1019&amp;A1019, ESPN!A:A&amp;ESPN!C:C, ESPN!H:H), "N/A")</f>
        <v>N/A</v>
      </c>
      <c r="O1019" s="26" t="str" cm="1">
        <f t="array" ref="O1019">IFERROR(_xlfn.XLOOKUP(C1019&amp;A1019, ESPN!A:A&amp;ESPN!C:C, ESPN!I:I), "N/A")</f>
        <v>N/A</v>
      </c>
      <c r="P1019" s="26" t="str" cm="1">
        <f t="array" ref="P1019">IFERROR(_xlfn.XLOOKUP(C1019&amp;A1019, ESPN!A:A&amp;ESPN!C:C, ESPN!J:J), "N/A")</f>
        <v>N/A</v>
      </c>
      <c r="Q1019" s="26" t="str" cm="1">
        <f t="array" ref="Q1019">IFERROR(_xlfn.XLOOKUP(C1019&amp;A1019, ESPN!A:A&amp;ESPN!C:C, ESPN!K:K), "N/A")</f>
        <v>N/A</v>
      </c>
    </row>
    <row r="1020" spans="1:17" x14ac:dyDescent="0.45">
      <c r="A1020" s="6">
        <v>2020</v>
      </c>
      <c r="B1020" s="1" t="s">
        <v>572</v>
      </c>
      <c r="C1020" s="2" t="str">
        <f t="shared" si="30"/>
        <v>Theo Riddick</v>
      </c>
      <c r="D1020" s="2" t="str">
        <f t="shared" si="31"/>
        <v>LV</v>
      </c>
      <c r="E1020" s="2">
        <v>5</v>
      </c>
      <c r="F1020" s="12">
        <v>6</v>
      </c>
      <c r="G1020" s="11">
        <v>5</v>
      </c>
      <c r="H1020" s="11">
        <v>43</v>
      </c>
      <c r="I1020" s="11">
        <v>8.6</v>
      </c>
      <c r="J1020" s="11">
        <v>0</v>
      </c>
      <c r="K1020" s="11">
        <v>0</v>
      </c>
      <c r="L1020" s="11" t="str" cm="1">
        <f t="array" ref="L1020">IFERROR(_xlfn.XLOOKUP(C1020&amp;A1020, ESPN!A:A&amp;ESPN!C:C, ESPN!D:D), "N/A")</f>
        <v>N/A</v>
      </c>
      <c r="M1020" s="23" t="str" cm="1">
        <f t="array" ref="M1020">IFERROR(_xlfn.XLOOKUP(C1020&amp;A1020, ESPN!A:A&amp;ESPN!C:C, ESPN!G:G), "N/A")</f>
        <v>N/A</v>
      </c>
      <c r="N1020" s="23" t="str" cm="1">
        <f t="array" ref="N1020">IFERROR(_xlfn.XLOOKUP(C1020&amp;A1020, ESPN!A:A&amp;ESPN!C:C, ESPN!H:H), "N/A")</f>
        <v>N/A</v>
      </c>
      <c r="O1020" s="26" t="str" cm="1">
        <f t="array" ref="O1020">IFERROR(_xlfn.XLOOKUP(C1020&amp;A1020, ESPN!A:A&amp;ESPN!C:C, ESPN!I:I), "N/A")</f>
        <v>N/A</v>
      </c>
      <c r="P1020" s="26" t="str" cm="1">
        <f t="array" ref="P1020">IFERROR(_xlfn.XLOOKUP(C1020&amp;A1020, ESPN!A:A&amp;ESPN!C:C, ESPN!J:J), "N/A")</f>
        <v>N/A</v>
      </c>
      <c r="Q1020" s="26" t="str" cm="1">
        <f t="array" ref="Q1020">IFERROR(_xlfn.XLOOKUP(C1020&amp;A1020, ESPN!A:A&amp;ESPN!C:C, ESPN!K:K), "N/A")</f>
        <v>N/A</v>
      </c>
    </row>
    <row r="1021" spans="1:17" x14ac:dyDescent="0.45">
      <c r="A1021" s="7">
        <v>2020</v>
      </c>
      <c r="B1021" s="3" t="s">
        <v>473</v>
      </c>
      <c r="C1021" s="4" t="str">
        <f t="shared" si="30"/>
        <v>Marlon Mack</v>
      </c>
      <c r="D1021" s="4" t="str">
        <f t="shared" si="31"/>
        <v>IND</v>
      </c>
      <c r="E1021" s="4">
        <v>1</v>
      </c>
      <c r="F1021" s="12">
        <v>3</v>
      </c>
      <c r="G1021" s="11">
        <v>3</v>
      </c>
      <c r="H1021" s="11">
        <v>30</v>
      </c>
      <c r="I1021" s="11">
        <v>10</v>
      </c>
      <c r="J1021" s="11">
        <v>0</v>
      </c>
      <c r="K1021" s="11">
        <v>0</v>
      </c>
      <c r="L1021" s="11" t="str" cm="1">
        <f t="array" ref="L1021">IFERROR(_xlfn.XLOOKUP(C1021&amp;A1021, ESPN!A:A&amp;ESPN!C:C, ESPN!D:D), "N/A")</f>
        <v>N/A</v>
      </c>
      <c r="M1021" s="23" t="str" cm="1">
        <f t="array" ref="M1021">IFERROR(_xlfn.XLOOKUP(C1021&amp;A1021, ESPN!A:A&amp;ESPN!C:C, ESPN!G:G), "N/A")</f>
        <v>N/A</v>
      </c>
      <c r="N1021" s="23" t="str" cm="1">
        <f t="array" ref="N1021">IFERROR(_xlfn.XLOOKUP(C1021&amp;A1021, ESPN!A:A&amp;ESPN!C:C, ESPN!H:H), "N/A")</f>
        <v>N/A</v>
      </c>
      <c r="O1021" s="26" t="str" cm="1">
        <f t="array" ref="O1021">IFERROR(_xlfn.XLOOKUP(C1021&amp;A1021, ESPN!A:A&amp;ESPN!C:C, ESPN!I:I), "N/A")</f>
        <v>N/A</v>
      </c>
      <c r="P1021" s="26" t="str" cm="1">
        <f t="array" ref="P1021">IFERROR(_xlfn.XLOOKUP(C1021&amp;A1021, ESPN!A:A&amp;ESPN!C:C, ESPN!J:J), "N/A")</f>
        <v>N/A</v>
      </c>
      <c r="Q1021" s="26" t="str" cm="1">
        <f t="array" ref="Q1021">IFERROR(_xlfn.XLOOKUP(C1021&amp;A1021, ESPN!A:A&amp;ESPN!C:C, ESPN!K:K), "N/A")</f>
        <v>N/A</v>
      </c>
    </row>
    <row r="1022" spans="1:17" x14ac:dyDescent="0.45">
      <c r="A1022" s="6">
        <v>2020</v>
      </c>
      <c r="B1022" s="1" t="s">
        <v>573</v>
      </c>
      <c r="C1022" s="2" t="str">
        <f t="shared" si="30"/>
        <v>Dontrell Hilliard</v>
      </c>
      <c r="D1022" s="2" t="str">
        <f t="shared" si="31"/>
        <v>HOU</v>
      </c>
      <c r="E1022" s="2">
        <v>7</v>
      </c>
      <c r="F1022" s="12">
        <v>1</v>
      </c>
      <c r="G1022" s="11">
        <v>1</v>
      </c>
      <c r="H1022" s="11">
        <v>2</v>
      </c>
      <c r="I1022" s="11">
        <v>2</v>
      </c>
      <c r="J1022" s="11">
        <v>0</v>
      </c>
      <c r="K1022" s="11">
        <v>0</v>
      </c>
      <c r="L1022" s="11" t="str" cm="1">
        <f t="array" ref="L1022">IFERROR(_xlfn.XLOOKUP(C1022&amp;A1022, ESPN!A:A&amp;ESPN!C:C, ESPN!D:D), "N/A")</f>
        <v>N/A</v>
      </c>
      <c r="M1022" s="23" t="str" cm="1">
        <f t="array" ref="M1022">IFERROR(_xlfn.XLOOKUP(C1022&amp;A1022, ESPN!A:A&amp;ESPN!C:C, ESPN!G:G), "N/A")</f>
        <v>N/A</v>
      </c>
      <c r="N1022" s="23" t="str" cm="1">
        <f t="array" ref="N1022">IFERROR(_xlfn.XLOOKUP(C1022&amp;A1022, ESPN!A:A&amp;ESPN!C:C, ESPN!H:H), "N/A")</f>
        <v>N/A</v>
      </c>
      <c r="O1022" s="26" t="str" cm="1">
        <f t="array" ref="O1022">IFERROR(_xlfn.XLOOKUP(C1022&amp;A1022, ESPN!A:A&amp;ESPN!C:C, ESPN!I:I), "N/A")</f>
        <v>N/A</v>
      </c>
      <c r="P1022" s="26" t="str" cm="1">
        <f t="array" ref="P1022">IFERROR(_xlfn.XLOOKUP(C1022&amp;A1022, ESPN!A:A&amp;ESPN!C:C, ESPN!J:J), "N/A")</f>
        <v>N/A</v>
      </c>
      <c r="Q1022" s="26" t="str" cm="1">
        <f t="array" ref="Q1022">IFERROR(_xlfn.XLOOKUP(C1022&amp;A1022, ESPN!A:A&amp;ESPN!C:C, ESPN!K:K), "N/A")</f>
        <v>N/A</v>
      </c>
    </row>
    <row r="1023" spans="1:17" x14ac:dyDescent="0.45">
      <c r="A1023" s="7">
        <v>2020</v>
      </c>
      <c r="B1023" s="3" t="s">
        <v>574</v>
      </c>
      <c r="C1023" s="4" t="str">
        <f t="shared" si="30"/>
        <v>Trenton Cannon</v>
      </c>
      <c r="D1023" s="4" t="str">
        <f t="shared" si="31"/>
        <v>CAR</v>
      </c>
      <c r="E1023" s="4">
        <v>14</v>
      </c>
      <c r="F1023" s="12">
        <v>3</v>
      </c>
      <c r="G1023" s="11">
        <v>3</v>
      </c>
      <c r="H1023" s="11">
        <v>16</v>
      </c>
      <c r="I1023" s="11">
        <v>5.3</v>
      </c>
      <c r="J1023" s="11">
        <v>0</v>
      </c>
      <c r="K1023" s="11">
        <v>0</v>
      </c>
      <c r="L1023" s="11" t="str" cm="1">
        <f t="array" ref="L1023">IFERROR(_xlfn.XLOOKUP(C1023&amp;A1023, ESPN!A:A&amp;ESPN!C:C, ESPN!D:D), "N/A")</f>
        <v>N/A</v>
      </c>
      <c r="M1023" s="23" t="str" cm="1">
        <f t="array" ref="M1023">IFERROR(_xlfn.XLOOKUP(C1023&amp;A1023, ESPN!A:A&amp;ESPN!C:C, ESPN!G:G), "N/A")</f>
        <v>N/A</v>
      </c>
      <c r="N1023" s="23" t="str" cm="1">
        <f t="array" ref="N1023">IFERROR(_xlfn.XLOOKUP(C1023&amp;A1023, ESPN!A:A&amp;ESPN!C:C, ESPN!H:H), "N/A")</f>
        <v>N/A</v>
      </c>
      <c r="O1023" s="26" t="str" cm="1">
        <f t="array" ref="O1023">IFERROR(_xlfn.XLOOKUP(C1023&amp;A1023, ESPN!A:A&amp;ESPN!C:C, ESPN!I:I), "N/A")</f>
        <v>N/A</v>
      </c>
      <c r="P1023" s="26" t="str" cm="1">
        <f t="array" ref="P1023">IFERROR(_xlfn.XLOOKUP(C1023&amp;A1023, ESPN!A:A&amp;ESPN!C:C, ESPN!J:J), "N/A")</f>
        <v>N/A</v>
      </c>
      <c r="Q1023" s="26" t="str" cm="1">
        <f t="array" ref="Q1023">IFERROR(_xlfn.XLOOKUP(C1023&amp;A1023, ESPN!A:A&amp;ESPN!C:C, ESPN!K:K), "N/A")</f>
        <v>N/A</v>
      </c>
    </row>
    <row r="1024" spans="1:17" x14ac:dyDescent="0.45">
      <c r="A1024" s="6">
        <v>2020</v>
      </c>
      <c r="B1024" s="1" t="s">
        <v>575</v>
      </c>
      <c r="C1024" s="2" t="str">
        <f t="shared" si="30"/>
        <v>Michael Burton</v>
      </c>
      <c r="D1024" s="2" t="str">
        <f t="shared" si="31"/>
        <v>NO</v>
      </c>
      <c r="E1024" s="2">
        <v>15</v>
      </c>
      <c r="F1024" s="12">
        <v>4</v>
      </c>
      <c r="G1024" s="11">
        <v>4</v>
      </c>
      <c r="H1024" s="11">
        <v>28</v>
      </c>
      <c r="I1024" s="11">
        <v>7</v>
      </c>
      <c r="J1024" s="11">
        <v>0</v>
      </c>
      <c r="K1024" s="11">
        <v>0</v>
      </c>
      <c r="L1024" s="11" t="str" cm="1">
        <f t="array" ref="L1024">IFERROR(_xlfn.XLOOKUP(C1024&amp;A1024, ESPN!A:A&amp;ESPN!C:C, ESPN!D:D), "N/A")</f>
        <v>N/A</v>
      </c>
      <c r="M1024" s="23" t="str" cm="1">
        <f t="array" ref="M1024">IFERROR(_xlfn.XLOOKUP(C1024&amp;A1024, ESPN!A:A&amp;ESPN!C:C, ESPN!G:G), "N/A")</f>
        <v>N/A</v>
      </c>
      <c r="N1024" s="23" t="str" cm="1">
        <f t="array" ref="N1024">IFERROR(_xlfn.XLOOKUP(C1024&amp;A1024, ESPN!A:A&amp;ESPN!C:C, ESPN!H:H), "N/A")</f>
        <v>N/A</v>
      </c>
      <c r="O1024" s="26" t="str" cm="1">
        <f t="array" ref="O1024">IFERROR(_xlfn.XLOOKUP(C1024&amp;A1024, ESPN!A:A&amp;ESPN!C:C, ESPN!I:I), "N/A")</f>
        <v>N/A</v>
      </c>
      <c r="P1024" s="26" t="str" cm="1">
        <f t="array" ref="P1024">IFERROR(_xlfn.XLOOKUP(C1024&amp;A1024, ESPN!A:A&amp;ESPN!C:C, ESPN!J:J), "N/A")</f>
        <v>N/A</v>
      </c>
      <c r="Q1024" s="26" t="str" cm="1">
        <f t="array" ref="Q1024">IFERROR(_xlfn.XLOOKUP(C1024&amp;A1024, ESPN!A:A&amp;ESPN!C:C, ESPN!K:K), "N/A")</f>
        <v>N/A</v>
      </c>
    </row>
    <row r="1025" spans="1:17" x14ac:dyDescent="0.45">
      <c r="A1025" s="7">
        <v>2020</v>
      </c>
      <c r="B1025" s="3" t="s">
        <v>500</v>
      </c>
      <c r="C1025" s="4" t="str">
        <f t="shared" si="30"/>
        <v>Devine Ozigbo</v>
      </c>
      <c r="D1025" s="4" t="str">
        <f t="shared" si="31"/>
        <v>JAC</v>
      </c>
      <c r="E1025" s="4">
        <v>8</v>
      </c>
      <c r="F1025" s="12">
        <v>9</v>
      </c>
      <c r="G1025" s="11">
        <v>9</v>
      </c>
      <c r="H1025" s="11">
        <v>42</v>
      </c>
      <c r="I1025" s="11">
        <v>4.7</v>
      </c>
      <c r="J1025" s="11">
        <v>0</v>
      </c>
      <c r="K1025" s="11">
        <v>0</v>
      </c>
      <c r="L1025" s="11" t="str" cm="1">
        <f t="array" ref="L1025">IFERROR(_xlfn.XLOOKUP(C1025&amp;A1025, ESPN!A:A&amp;ESPN!C:C, ESPN!D:D), "N/A")</f>
        <v>N/A</v>
      </c>
      <c r="M1025" s="23" t="str" cm="1">
        <f t="array" ref="M1025">IFERROR(_xlfn.XLOOKUP(C1025&amp;A1025, ESPN!A:A&amp;ESPN!C:C, ESPN!G:G), "N/A")</f>
        <v>N/A</v>
      </c>
      <c r="N1025" s="23" t="str" cm="1">
        <f t="array" ref="N1025">IFERROR(_xlfn.XLOOKUP(C1025&amp;A1025, ESPN!A:A&amp;ESPN!C:C, ESPN!H:H), "N/A")</f>
        <v>N/A</v>
      </c>
      <c r="O1025" s="26" t="str" cm="1">
        <f t="array" ref="O1025">IFERROR(_xlfn.XLOOKUP(C1025&amp;A1025, ESPN!A:A&amp;ESPN!C:C, ESPN!I:I), "N/A")</f>
        <v>N/A</v>
      </c>
      <c r="P1025" s="26" t="str" cm="1">
        <f t="array" ref="P1025">IFERROR(_xlfn.XLOOKUP(C1025&amp;A1025, ESPN!A:A&amp;ESPN!C:C, ESPN!J:J), "N/A")</f>
        <v>N/A</v>
      </c>
      <c r="Q1025" s="26" t="str" cm="1">
        <f t="array" ref="Q1025">IFERROR(_xlfn.XLOOKUP(C1025&amp;A1025, ESPN!A:A&amp;ESPN!C:C, ESPN!K:K), "N/A")</f>
        <v>N/A</v>
      </c>
    </row>
    <row r="1026" spans="1:17" x14ac:dyDescent="0.45">
      <c r="A1026" s="6">
        <v>2020</v>
      </c>
      <c r="B1026" s="1" t="s">
        <v>524</v>
      </c>
      <c r="C1026" s="2" t="str">
        <f t="shared" ref="C1026:C1089" si="32">TRIM(LEFT(B1026, LEN(B1026) - LEN(TRIM(RIGHT(SUBSTITUTE(TRIM(B1026)," ",REPT(" ",100)),100)))))</f>
        <v>Khari Blasingame</v>
      </c>
      <c r="D1026" s="2" t="str">
        <f t="shared" ref="D1026:D1089" si="33">MID(B1026, FIND("(", B1026) + 1, FIND(")", B1026) - FIND("(", B1026) - 1)</f>
        <v>TEN</v>
      </c>
      <c r="E1026" s="2">
        <v>15</v>
      </c>
      <c r="F1026" s="12">
        <v>5</v>
      </c>
      <c r="G1026" s="11">
        <v>4</v>
      </c>
      <c r="H1026" s="11">
        <v>39</v>
      </c>
      <c r="I1026" s="11">
        <v>9.8000000000000007</v>
      </c>
      <c r="J1026" s="11">
        <v>0</v>
      </c>
      <c r="K1026" s="11">
        <v>0</v>
      </c>
      <c r="L1026" s="11" t="str" cm="1">
        <f t="array" ref="L1026">IFERROR(_xlfn.XLOOKUP(C1026&amp;A1026, ESPN!A:A&amp;ESPN!C:C, ESPN!D:D), "N/A")</f>
        <v>N/A</v>
      </c>
      <c r="M1026" s="23" t="str" cm="1">
        <f t="array" ref="M1026">IFERROR(_xlfn.XLOOKUP(C1026&amp;A1026, ESPN!A:A&amp;ESPN!C:C, ESPN!G:G), "N/A")</f>
        <v>N/A</v>
      </c>
      <c r="N1026" s="23" t="str" cm="1">
        <f t="array" ref="N1026">IFERROR(_xlfn.XLOOKUP(C1026&amp;A1026, ESPN!A:A&amp;ESPN!C:C, ESPN!H:H), "N/A")</f>
        <v>N/A</v>
      </c>
      <c r="O1026" s="26" t="str" cm="1">
        <f t="array" ref="O1026">IFERROR(_xlfn.XLOOKUP(C1026&amp;A1026, ESPN!A:A&amp;ESPN!C:C, ESPN!I:I), "N/A")</f>
        <v>N/A</v>
      </c>
      <c r="P1026" s="26" t="str" cm="1">
        <f t="array" ref="P1026">IFERROR(_xlfn.XLOOKUP(C1026&amp;A1026, ESPN!A:A&amp;ESPN!C:C, ESPN!J:J), "N/A")</f>
        <v>N/A</v>
      </c>
      <c r="Q1026" s="26" t="str" cm="1">
        <f t="array" ref="Q1026">IFERROR(_xlfn.XLOOKUP(C1026&amp;A1026, ESPN!A:A&amp;ESPN!C:C, ESPN!K:K), "N/A")</f>
        <v>N/A</v>
      </c>
    </row>
    <row r="1027" spans="1:17" x14ac:dyDescent="0.45">
      <c r="A1027" s="7">
        <v>2020</v>
      </c>
      <c r="B1027" s="3" t="s">
        <v>457</v>
      </c>
      <c r="C1027" s="4" t="str">
        <f t="shared" si="32"/>
        <v>Elijhaa Penny</v>
      </c>
      <c r="D1027" s="4" t="str">
        <f t="shared" si="33"/>
        <v>NYG</v>
      </c>
      <c r="E1027" s="4">
        <v>14</v>
      </c>
      <c r="F1027" s="12">
        <v>3</v>
      </c>
      <c r="G1027" s="11">
        <v>2</v>
      </c>
      <c r="H1027" s="11">
        <v>20</v>
      </c>
      <c r="I1027" s="11">
        <v>10</v>
      </c>
      <c r="J1027" s="11">
        <v>0</v>
      </c>
      <c r="K1027" s="11">
        <v>0</v>
      </c>
      <c r="L1027" s="11" t="str" cm="1">
        <f t="array" ref="L1027">IFERROR(_xlfn.XLOOKUP(C1027&amp;A1027, ESPN!A:A&amp;ESPN!C:C, ESPN!D:D), "N/A")</f>
        <v>N/A</v>
      </c>
      <c r="M1027" s="23" t="str" cm="1">
        <f t="array" ref="M1027">IFERROR(_xlfn.XLOOKUP(C1027&amp;A1027, ESPN!A:A&amp;ESPN!C:C, ESPN!G:G), "N/A")</f>
        <v>N/A</v>
      </c>
      <c r="N1027" s="23" t="str" cm="1">
        <f t="array" ref="N1027">IFERROR(_xlfn.XLOOKUP(C1027&amp;A1027, ESPN!A:A&amp;ESPN!C:C, ESPN!H:H), "N/A")</f>
        <v>N/A</v>
      </c>
      <c r="O1027" s="26" t="str" cm="1">
        <f t="array" ref="O1027">IFERROR(_xlfn.XLOOKUP(C1027&amp;A1027, ESPN!A:A&amp;ESPN!C:C, ESPN!I:I), "N/A")</f>
        <v>N/A</v>
      </c>
      <c r="P1027" s="26" t="str" cm="1">
        <f t="array" ref="P1027">IFERROR(_xlfn.XLOOKUP(C1027&amp;A1027, ESPN!A:A&amp;ESPN!C:C, ESPN!J:J), "N/A")</f>
        <v>N/A</v>
      </c>
      <c r="Q1027" s="26" t="str" cm="1">
        <f t="array" ref="Q1027">IFERROR(_xlfn.XLOOKUP(C1027&amp;A1027, ESPN!A:A&amp;ESPN!C:C, ESPN!K:K), "N/A")</f>
        <v>N/A</v>
      </c>
    </row>
    <row r="1028" spans="1:17" x14ac:dyDescent="0.45">
      <c r="A1028" s="6">
        <v>2020</v>
      </c>
      <c r="B1028" s="1" t="s">
        <v>361</v>
      </c>
      <c r="C1028" s="2" t="str">
        <f t="shared" si="32"/>
        <v>Rashaad Penny</v>
      </c>
      <c r="D1028" s="2" t="str">
        <f t="shared" si="33"/>
        <v>SEA</v>
      </c>
      <c r="E1028" s="2">
        <v>3</v>
      </c>
      <c r="F1028" s="12">
        <v>0</v>
      </c>
      <c r="G1028" s="11">
        <v>0</v>
      </c>
      <c r="H1028" s="11">
        <v>0</v>
      </c>
      <c r="I1028" s="11">
        <v>0</v>
      </c>
      <c r="J1028" s="11">
        <v>0</v>
      </c>
      <c r="K1028" s="11">
        <v>0</v>
      </c>
      <c r="L1028" s="11" t="str" cm="1">
        <f t="array" ref="L1028">IFERROR(_xlfn.XLOOKUP(C1028&amp;A1028, ESPN!A:A&amp;ESPN!C:C, ESPN!D:D), "N/A")</f>
        <v>N/A</v>
      </c>
      <c r="M1028" s="23" t="str" cm="1">
        <f t="array" ref="M1028">IFERROR(_xlfn.XLOOKUP(C1028&amp;A1028, ESPN!A:A&amp;ESPN!C:C, ESPN!G:G), "N/A")</f>
        <v>N/A</v>
      </c>
      <c r="N1028" s="23" t="str" cm="1">
        <f t="array" ref="N1028">IFERROR(_xlfn.XLOOKUP(C1028&amp;A1028, ESPN!A:A&amp;ESPN!C:C, ESPN!H:H), "N/A")</f>
        <v>N/A</v>
      </c>
      <c r="O1028" s="26" t="str" cm="1">
        <f t="array" ref="O1028">IFERROR(_xlfn.XLOOKUP(C1028&amp;A1028, ESPN!A:A&amp;ESPN!C:C, ESPN!I:I), "N/A")</f>
        <v>N/A</v>
      </c>
      <c r="P1028" s="26" t="str" cm="1">
        <f t="array" ref="P1028">IFERROR(_xlfn.XLOOKUP(C1028&amp;A1028, ESPN!A:A&amp;ESPN!C:C, ESPN!J:J), "N/A")</f>
        <v>N/A</v>
      </c>
      <c r="Q1028" s="26" t="str" cm="1">
        <f t="array" ref="Q1028">IFERROR(_xlfn.XLOOKUP(C1028&amp;A1028, ESPN!A:A&amp;ESPN!C:C, ESPN!K:K), "N/A")</f>
        <v>N/A</v>
      </c>
    </row>
    <row r="1029" spans="1:17" x14ac:dyDescent="0.45">
      <c r="A1029" s="7">
        <v>2020</v>
      </c>
      <c r="B1029" s="3" t="s">
        <v>576</v>
      </c>
      <c r="C1029" s="4" t="str">
        <f t="shared" si="32"/>
        <v>Bo Scarbrough</v>
      </c>
      <c r="D1029" s="4" t="str">
        <f t="shared" si="33"/>
        <v>SEA</v>
      </c>
      <c r="E1029" s="4">
        <v>1</v>
      </c>
      <c r="F1029" s="12">
        <v>0</v>
      </c>
      <c r="G1029" s="11">
        <v>0</v>
      </c>
      <c r="H1029" s="11">
        <v>0</v>
      </c>
      <c r="I1029" s="11">
        <v>0</v>
      </c>
      <c r="J1029" s="11">
        <v>0</v>
      </c>
      <c r="K1029" s="11">
        <v>0</v>
      </c>
      <c r="L1029" s="11" t="str" cm="1">
        <f t="array" ref="L1029">IFERROR(_xlfn.XLOOKUP(C1029&amp;A1029, ESPN!A:A&amp;ESPN!C:C, ESPN!D:D), "N/A")</f>
        <v>N/A</v>
      </c>
      <c r="M1029" s="23" t="str" cm="1">
        <f t="array" ref="M1029">IFERROR(_xlfn.XLOOKUP(C1029&amp;A1029, ESPN!A:A&amp;ESPN!C:C, ESPN!G:G), "N/A")</f>
        <v>N/A</v>
      </c>
      <c r="N1029" s="23" t="str" cm="1">
        <f t="array" ref="N1029">IFERROR(_xlfn.XLOOKUP(C1029&amp;A1029, ESPN!A:A&amp;ESPN!C:C, ESPN!H:H), "N/A")</f>
        <v>N/A</v>
      </c>
      <c r="O1029" s="26" t="str" cm="1">
        <f t="array" ref="O1029">IFERROR(_xlfn.XLOOKUP(C1029&amp;A1029, ESPN!A:A&amp;ESPN!C:C, ESPN!I:I), "N/A")</f>
        <v>N/A</v>
      </c>
      <c r="P1029" s="26" t="str" cm="1">
        <f t="array" ref="P1029">IFERROR(_xlfn.XLOOKUP(C1029&amp;A1029, ESPN!A:A&amp;ESPN!C:C, ESPN!J:J), "N/A")</f>
        <v>N/A</v>
      </c>
      <c r="Q1029" s="26" t="str" cm="1">
        <f t="array" ref="Q1029">IFERROR(_xlfn.XLOOKUP(C1029&amp;A1029, ESPN!A:A&amp;ESPN!C:C, ESPN!K:K), "N/A")</f>
        <v>N/A</v>
      </c>
    </row>
    <row r="1030" spans="1:17" x14ac:dyDescent="0.45">
      <c r="A1030" s="6">
        <v>2020</v>
      </c>
      <c r="B1030" s="1" t="s">
        <v>577</v>
      </c>
      <c r="C1030" s="2" t="str">
        <f t="shared" si="32"/>
        <v>Austin Walter</v>
      </c>
      <c r="D1030" s="2" t="str">
        <f t="shared" si="33"/>
        <v>SF</v>
      </c>
      <c r="E1030" s="2">
        <v>4</v>
      </c>
      <c r="F1030" s="12">
        <v>1</v>
      </c>
      <c r="G1030" s="11">
        <v>1</v>
      </c>
      <c r="H1030" s="11">
        <v>27</v>
      </c>
      <c r="I1030" s="11">
        <v>27</v>
      </c>
      <c r="J1030" s="11">
        <v>0</v>
      </c>
      <c r="K1030" s="11">
        <v>0</v>
      </c>
      <c r="L1030" s="11" t="str" cm="1">
        <f t="array" ref="L1030">IFERROR(_xlfn.XLOOKUP(C1030&amp;A1030, ESPN!A:A&amp;ESPN!C:C, ESPN!D:D), "N/A")</f>
        <v>N/A</v>
      </c>
      <c r="M1030" s="23" t="str" cm="1">
        <f t="array" ref="M1030">IFERROR(_xlfn.XLOOKUP(C1030&amp;A1030, ESPN!A:A&amp;ESPN!C:C, ESPN!G:G), "N/A")</f>
        <v>N/A</v>
      </c>
      <c r="N1030" s="23" t="str" cm="1">
        <f t="array" ref="N1030">IFERROR(_xlfn.XLOOKUP(C1030&amp;A1030, ESPN!A:A&amp;ESPN!C:C, ESPN!H:H), "N/A")</f>
        <v>N/A</v>
      </c>
      <c r="O1030" s="26" t="str" cm="1">
        <f t="array" ref="O1030">IFERROR(_xlfn.XLOOKUP(C1030&amp;A1030, ESPN!A:A&amp;ESPN!C:C, ESPN!I:I), "N/A")</f>
        <v>N/A</v>
      </c>
      <c r="P1030" s="26" t="str" cm="1">
        <f t="array" ref="P1030">IFERROR(_xlfn.XLOOKUP(C1030&amp;A1030, ESPN!A:A&amp;ESPN!C:C, ESPN!J:J), "N/A")</f>
        <v>N/A</v>
      </c>
      <c r="Q1030" s="26" t="str" cm="1">
        <f t="array" ref="Q1030">IFERROR(_xlfn.XLOOKUP(C1030&amp;A1030, ESPN!A:A&amp;ESPN!C:C, ESPN!K:K), "N/A")</f>
        <v>N/A</v>
      </c>
    </row>
    <row r="1031" spans="1:17" x14ac:dyDescent="0.45">
      <c r="A1031" s="7">
        <v>2020</v>
      </c>
      <c r="B1031" s="3" t="s">
        <v>578</v>
      </c>
      <c r="C1031" s="4" t="str">
        <f t="shared" si="32"/>
        <v>Alex Armah Jr.</v>
      </c>
      <c r="D1031" s="4" t="str">
        <f t="shared" si="33"/>
        <v>CAR</v>
      </c>
      <c r="E1031" s="4">
        <v>16</v>
      </c>
      <c r="F1031" s="12">
        <v>9</v>
      </c>
      <c r="G1031" s="11">
        <v>5</v>
      </c>
      <c r="H1031" s="11">
        <v>18</v>
      </c>
      <c r="I1031" s="11">
        <v>3.6</v>
      </c>
      <c r="J1031" s="11">
        <v>0</v>
      </c>
      <c r="K1031" s="11">
        <v>0</v>
      </c>
      <c r="L1031" s="11" t="str" cm="1">
        <f t="array" ref="L1031">IFERROR(_xlfn.XLOOKUP(C1031&amp;A1031, ESPN!A:A&amp;ESPN!C:C, ESPN!D:D), "N/A")</f>
        <v>N/A</v>
      </c>
      <c r="M1031" s="23" t="str" cm="1">
        <f t="array" ref="M1031">IFERROR(_xlfn.XLOOKUP(C1031&amp;A1031, ESPN!A:A&amp;ESPN!C:C, ESPN!G:G), "N/A")</f>
        <v>N/A</v>
      </c>
      <c r="N1031" s="23" t="str" cm="1">
        <f t="array" ref="N1031">IFERROR(_xlfn.XLOOKUP(C1031&amp;A1031, ESPN!A:A&amp;ESPN!C:C, ESPN!H:H), "N/A")</f>
        <v>N/A</v>
      </c>
      <c r="O1031" s="26" t="str" cm="1">
        <f t="array" ref="O1031">IFERROR(_xlfn.XLOOKUP(C1031&amp;A1031, ESPN!A:A&amp;ESPN!C:C, ESPN!I:I), "N/A")</f>
        <v>N/A</v>
      </c>
      <c r="P1031" s="26" t="str" cm="1">
        <f t="array" ref="P1031">IFERROR(_xlfn.XLOOKUP(C1031&amp;A1031, ESPN!A:A&amp;ESPN!C:C, ESPN!J:J), "N/A")</f>
        <v>N/A</v>
      </c>
      <c r="Q1031" s="26" t="str" cm="1">
        <f t="array" ref="Q1031">IFERROR(_xlfn.XLOOKUP(C1031&amp;A1031, ESPN!A:A&amp;ESPN!C:C, ESPN!K:K), "N/A")</f>
        <v>N/A</v>
      </c>
    </row>
    <row r="1032" spans="1:17" x14ac:dyDescent="0.45">
      <c r="A1032" s="6">
        <v>2020</v>
      </c>
      <c r="B1032" s="1" t="s">
        <v>180</v>
      </c>
      <c r="C1032" s="2" t="str">
        <f t="shared" si="32"/>
        <v>Rico Dowdle</v>
      </c>
      <c r="D1032" s="2" t="str">
        <f t="shared" si="33"/>
        <v>DAL</v>
      </c>
      <c r="E1032" s="2">
        <v>15</v>
      </c>
      <c r="F1032" s="12">
        <v>0</v>
      </c>
      <c r="G1032" s="11">
        <v>0</v>
      </c>
      <c r="H1032" s="11">
        <v>0</v>
      </c>
      <c r="I1032" s="11">
        <v>0</v>
      </c>
      <c r="J1032" s="11">
        <v>0</v>
      </c>
      <c r="K1032" s="11">
        <v>0</v>
      </c>
      <c r="L1032" s="11" t="str" cm="1">
        <f t="array" ref="L1032">IFERROR(_xlfn.XLOOKUP(C1032&amp;A1032, ESPN!A:A&amp;ESPN!C:C, ESPN!D:D), "N/A")</f>
        <v>N/A</v>
      </c>
      <c r="M1032" s="23" t="str" cm="1">
        <f t="array" ref="M1032">IFERROR(_xlfn.XLOOKUP(C1032&amp;A1032, ESPN!A:A&amp;ESPN!C:C, ESPN!G:G), "N/A")</f>
        <v>N/A</v>
      </c>
      <c r="N1032" s="23" t="str" cm="1">
        <f t="array" ref="N1032">IFERROR(_xlfn.XLOOKUP(C1032&amp;A1032, ESPN!A:A&amp;ESPN!C:C, ESPN!H:H), "N/A")</f>
        <v>N/A</v>
      </c>
      <c r="O1032" s="26" t="str" cm="1">
        <f t="array" ref="O1032">IFERROR(_xlfn.XLOOKUP(C1032&amp;A1032, ESPN!A:A&amp;ESPN!C:C, ESPN!I:I), "N/A")</f>
        <v>N/A</v>
      </c>
      <c r="P1032" s="26" t="str" cm="1">
        <f t="array" ref="P1032">IFERROR(_xlfn.XLOOKUP(C1032&amp;A1032, ESPN!A:A&amp;ESPN!C:C, ESPN!J:J), "N/A")</f>
        <v>N/A</v>
      </c>
      <c r="Q1032" s="26" t="str" cm="1">
        <f t="array" ref="Q1032">IFERROR(_xlfn.XLOOKUP(C1032&amp;A1032, ESPN!A:A&amp;ESPN!C:C, ESPN!K:K), "N/A")</f>
        <v>N/A</v>
      </c>
    </row>
    <row r="1033" spans="1:17" x14ac:dyDescent="0.45">
      <c r="A1033" s="7">
        <v>2020</v>
      </c>
      <c r="B1033" s="3" t="s">
        <v>480</v>
      </c>
      <c r="C1033" s="4" t="str">
        <f t="shared" si="32"/>
        <v>Jason Huntley</v>
      </c>
      <c r="D1033" s="4" t="str">
        <f t="shared" si="33"/>
        <v>PHI</v>
      </c>
      <c r="E1033" s="4">
        <v>5</v>
      </c>
      <c r="F1033" s="12">
        <v>2</v>
      </c>
      <c r="G1033" s="11">
        <v>1</v>
      </c>
      <c r="H1033" s="11">
        <v>0</v>
      </c>
      <c r="I1033" s="11">
        <v>0</v>
      </c>
      <c r="J1033" s="11">
        <v>0</v>
      </c>
      <c r="K1033" s="11">
        <v>0</v>
      </c>
      <c r="L1033" s="11" t="str" cm="1">
        <f t="array" ref="L1033">IFERROR(_xlfn.XLOOKUP(C1033&amp;A1033, ESPN!A:A&amp;ESPN!C:C, ESPN!D:D), "N/A")</f>
        <v>N/A</v>
      </c>
      <c r="M1033" s="23" t="str" cm="1">
        <f t="array" ref="M1033">IFERROR(_xlfn.XLOOKUP(C1033&amp;A1033, ESPN!A:A&amp;ESPN!C:C, ESPN!G:G), "N/A")</f>
        <v>N/A</v>
      </c>
      <c r="N1033" s="23" t="str" cm="1">
        <f t="array" ref="N1033">IFERROR(_xlfn.XLOOKUP(C1033&amp;A1033, ESPN!A:A&amp;ESPN!C:C, ESPN!H:H), "N/A")</f>
        <v>N/A</v>
      </c>
      <c r="O1033" s="26" t="str" cm="1">
        <f t="array" ref="O1033">IFERROR(_xlfn.XLOOKUP(C1033&amp;A1033, ESPN!A:A&amp;ESPN!C:C, ESPN!I:I), "N/A")</f>
        <v>N/A</v>
      </c>
      <c r="P1033" s="26" t="str" cm="1">
        <f t="array" ref="P1033">IFERROR(_xlfn.XLOOKUP(C1033&amp;A1033, ESPN!A:A&amp;ESPN!C:C, ESPN!J:J), "N/A")</f>
        <v>N/A</v>
      </c>
      <c r="Q1033" s="26" t="str" cm="1">
        <f t="array" ref="Q1033">IFERROR(_xlfn.XLOOKUP(C1033&amp;A1033, ESPN!A:A&amp;ESPN!C:C, ESPN!K:K), "N/A")</f>
        <v>N/A</v>
      </c>
    </row>
    <row r="1034" spans="1:17" x14ac:dyDescent="0.45">
      <c r="A1034" s="6">
        <v>2020</v>
      </c>
      <c r="B1034" s="1" t="s">
        <v>475</v>
      </c>
      <c r="C1034" s="2" t="str">
        <f t="shared" si="32"/>
        <v>Andy Janovich</v>
      </c>
      <c r="D1034" s="2" t="str">
        <f t="shared" si="33"/>
        <v>CLE</v>
      </c>
      <c r="E1034" s="2">
        <v>14</v>
      </c>
      <c r="F1034" s="12">
        <v>5</v>
      </c>
      <c r="G1034" s="11">
        <v>2</v>
      </c>
      <c r="H1034" s="11">
        <v>13</v>
      </c>
      <c r="I1034" s="11">
        <v>6.5</v>
      </c>
      <c r="J1034" s="11">
        <v>0</v>
      </c>
      <c r="K1034" s="11">
        <v>0</v>
      </c>
      <c r="L1034" s="11" t="str" cm="1">
        <f t="array" ref="L1034">IFERROR(_xlfn.XLOOKUP(C1034&amp;A1034, ESPN!A:A&amp;ESPN!C:C, ESPN!D:D), "N/A")</f>
        <v>N/A</v>
      </c>
      <c r="M1034" s="23" t="str" cm="1">
        <f t="array" ref="M1034">IFERROR(_xlfn.XLOOKUP(C1034&amp;A1034, ESPN!A:A&amp;ESPN!C:C, ESPN!G:G), "N/A")</f>
        <v>N/A</v>
      </c>
      <c r="N1034" s="23" t="str" cm="1">
        <f t="array" ref="N1034">IFERROR(_xlfn.XLOOKUP(C1034&amp;A1034, ESPN!A:A&amp;ESPN!C:C, ESPN!H:H), "N/A")</f>
        <v>N/A</v>
      </c>
      <c r="O1034" s="26" t="str" cm="1">
        <f t="array" ref="O1034">IFERROR(_xlfn.XLOOKUP(C1034&amp;A1034, ESPN!A:A&amp;ESPN!C:C, ESPN!I:I), "N/A")</f>
        <v>N/A</v>
      </c>
      <c r="P1034" s="26" t="str" cm="1">
        <f t="array" ref="P1034">IFERROR(_xlfn.XLOOKUP(C1034&amp;A1034, ESPN!A:A&amp;ESPN!C:C, ESPN!J:J), "N/A")</f>
        <v>N/A</v>
      </c>
      <c r="Q1034" s="26" t="str" cm="1">
        <f t="array" ref="Q1034">IFERROR(_xlfn.XLOOKUP(C1034&amp;A1034, ESPN!A:A&amp;ESPN!C:C, ESPN!K:K), "N/A")</f>
        <v>N/A</v>
      </c>
    </row>
    <row r="1035" spans="1:17" x14ac:dyDescent="0.45">
      <c r="A1035" s="7">
        <v>2020</v>
      </c>
      <c r="B1035" s="3" t="s">
        <v>512</v>
      </c>
      <c r="C1035" s="4" t="str">
        <f t="shared" si="32"/>
        <v>LeVante Bellamy</v>
      </c>
      <c r="D1035" s="4" t="str">
        <f t="shared" si="33"/>
        <v>DEN</v>
      </c>
      <c r="E1035" s="4">
        <v>5</v>
      </c>
      <c r="F1035" s="12">
        <v>1</v>
      </c>
      <c r="G1035" s="11">
        <v>1</v>
      </c>
      <c r="H1035" s="11">
        <v>5</v>
      </c>
      <c r="I1035" s="11">
        <v>5</v>
      </c>
      <c r="J1035" s="11">
        <v>0</v>
      </c>
      <c r="K1035" s="11">
        <v>0</v>
      </c>
      <c r="L1035" s="11" t="str" cm="1">
        <f t="array" ref="L1035">IFERROR(_xlfn.XLOOKUP(C1035&amp;A1035, ESPN!A:A&amp;ESPN!C:C, ESPN!D:D), "N/A")</f>
        <v>N/A</v>
      </c>
      <c r="M1035" s="23" t="str" cm="1">
        <f t="array" ref="M1035">IFERROR(_xlfn.XLOOKUP(C1035&amp;A1035, ESPN!A:A&amp;ESPN!C:C, ESPN!G:G), "N/A")</f>
        <v>N/A</v>
      </c>
      <c r="N1035" s="23" t="str" cm="1">
        <f t="array" ref="N1035">IFERROR(_xlfn.XLOOKUP(C1035&amp;A1035, ESPN!A:A&amp;ESPN!C:C, ESPN!H:H), "N/A")</f>
        <v>N/A</v>
      </c>
      <c r="O1035" s="26" t="str" cm="1">
        <f t="array" ref="O1035">IFERROR(_xlfn.XLOOKUP(C1035&amp;A1035, ESPN!A:A&amp;ESPN!C:C, ESPN!I:I), "N/A")</f>
        <v>N/A</v>
      </c>
      <c r="P1035" s="26" t="str" cm="1">
        <f t="array" ref="P1035">IFERROR(_xlfn.XLOOKUP(C1035&amp;A1035, ESPN!A:A&amp;ESPN!C:C, ESPN!J:J), "N/A")</f>
        <v>N/A</v>
      </c>
      <c r="Q1035" s="26" t="str" cm="1">
        <f t="array" ref="Q1035">IFERROR(_xlfn.XLOOKUP(C1035&amp;A1035, ESPN!A:A&amp;ESPN!C:C, ESPN!K:K), "N/A")</f>
        <v>N/A</v>
      </c>
    </row>
    <row r="1036" spans="1:17" x14ac:dyDescent="0.45">
      <c r="A1036" s="6">
        <v>2020</v>
      </c>
      <c r="B1036" s="1" t="s">
        <v>488</v>
      </c>
      <c r="C1036" s="2" t="str">
        <f t="shared" si="32"/>
        <v>Scottie Phillips</v>
      </c>
      <c r="D1036" s="2" t="str">
        <f t="shared" si="33"/>
        <v>HOU</v>
      </c>
      <c r="E1036" s="2">
        <v>8</v>
      </c>
      <c r="F1036" s="12">
        <v>1</v>
      </c>
      <c r="G1036" s="11">
        <v>1</v>
      </c>
      <c r="H1036" s="11">
        <v>7</v>
      </c>
      <c r="I1036" s="11">
        <v>7</v>
      </c>
      <c r="J1036" s="11">
        <v>0</v>
      </c>
      <c r="K1036" s="11">
        <v>0</v>
      </c>
      <c r="L1036" s="11" t="str" cm="1">
        <f t="array" ref="L1036">IFERROR(_xlfn.XLOOKUP(C1036&amp;A1036, ESPN!A:A&amp;ESPN!C:C, ESPN!D:D), "N/A")</f>
        <v>N/A</v>
      </c>
      <c r="M1036" s="23" t="str" cm="1">
        <f t="array" ref="M1036">IFERROR(_xlfn.XLOOKUP(C1036&amp;A1036, ESPN!A:A&amp;ESPN!C:C, ESPN!G:G), "N/A")</f>
        <v>N/A</v>
      </c>
      <c r="N1036" s="23" t="str" cm="1">
        <f t="array" ref="N1036">IFERROR(_xlfn.XLOOKUP(C1036&amp;A1036, ESPN!A:A&amp;ESPN!C:C, ESPN!H:H), "N/A")</f>
        <v>N/A</v>
      </c>
      <c r="O1036" s="26" t="str" cm="1">
        <f t="array" ref="O1036">IFERROR(_xlfn.XLOOKUP(C1036&amp;A1036, ESPN!A:A&amp;ESPN!C:C, ESPN!I:I), "N/A")</f>
        <v>N/A</v>
      </c>
      <c r="P1036" s="26" t="str" cm="1">
        <f t="array" ref="P1036">IFERROR(_xlfn.XLOOKUP(C1036&amp;A1036, ESPN!A:A&amp;ESPN!C:C, ESPN!J:J), "N/A")</f>
        <v>N/A</v>
      </c>
      <c r="Q1036" s="26" t="str" cm="1">
        <f t="array" ref="Q1036">IFERROR(_xlfn.XLOOKUP(C1036&amp;A1036, ESPN!A:A&amp;ESPN!C:C, ESPN!K:K), "N/A")</f>
        <v>N/A</v>
      </c>
    </row>
    <row r="1037" spans="1:17" x14ac:dyDescent="0.45">
      <c r="A1037" s="7">
        <v>2020</v>
      </c>
      <c r="B1037" s="3" t="s">
        <v>391</v>
      </c>
      <c r="C1037" s="4" t="str">
        <f t="shared" si="32"/>
        <v>Dwayne Washington</v>
      </c>
      <c r="D1037" s="4" t="str">
        <f t="shared" si="33"/>
        <v>NO</v>
      </c>
      <c r="E1037" s="4">
        <v>11</v>
      </c>
      <c r="F1037" s="12">
        <v>0</v>
      </c>
      <c r="G1037" s="11">
        <v>0</v>
      </c>
      <c r="H1037" s="11">
        <v>0</v>
      </c>
      <c r="I1037" s="11">
        <v>0</v>
      </c>
      <c r="J1037" s="11">
        <v>0</v>
      </c>
      <c r="K1037" s="11">
        <v>0</v>
      </c>
      <c r="L1037" s="11" t="str" cm="1">
        <f t="array" ref="L1037">IFERROR(_xlfn.XLOOKUP(C1037&amp;A1037, ESPN!A:A&amp;ESPN!C:C, ESPN!D:D), "N/A")</f>
        <v>N/A</v>
      </c>
      <c r="M1037" s="23" t="str" cm="1">
        <f t="array" ref="M1037">IFERROR(_xlfn.XLOOKUP(C1037&amp;A1037, ESPN!A:A&amp;ESPN!C:C, ESPN!G:G), "N/A")</f>
        <v>N/A</v>
      </c>
      <c r="N1037" s="23" t="str" cm="1">
        <f t="array" ref="N1037">IFERROR(_xlfn.XLOOKUP(C1037&amp;A1037, ESPN!A:A&amp;ESPN!C:C, ESPN!H:H), "N/A")</f>
        <v>N/A</v>
      </c>
      <c r="O1037" s="26" t="str" cm="1">
        <f t="array" ref="O1037">IFERROR(_xlfn.XLOOKUP(C1037&amp;A1037, ESPN!A:A&amp;ESPN!C:C, ESPN!I:I), "N/A")</f>
        <v>N/A</v>
      </c>
      <c r="P1037" s="26" t="str" cm="1">
        <f t="array" ref="P1037">IFERROR(_xlfn.XLOOKUP(C1037&amp;A1037, ESPN!A:A&amp;ESPN!C:C, ESPN!J:J), "N/A")</f>
        <v>N/A</v>
      </c>
      <c r="Q1037" s="26" t="str" cm="1">
        <f t="array" ref="Q1037">IFERROR(_xlfn.XLOOKUP(C1037&amp;A1037, ESPN!A:A&amp;ESPN!C:C, ESPN!K:K), "N/A")</f>
        <v>N/A</v>
      </c>
    </row>
    <row r="1038" spans="1:17" x14ac:dyDescent="0.45">
      <c r="A1038" s="6">
        <v>2020</v>
      </c>
      <c r="B1038" s="1" t="s">
        <v>466</v>
      </c>
      <c r="C1038" s="2" t="str">
        <f t="shared" si="32"/>
        <v>Tony Jones Jr.</v>
      </c>
      <c r="D1038" s="2" t="str">
        <f t="shared" si="33"/>
        <v>NO</v>
      </c>
      <c r="E1038" s="2">
        <v>1</v>
      </c>
      <c r="F1038" s="12">
        <v>0</v>
      </c>
      <c r="G1038" s="11">
        <v>0</v>
      </c>
      <c r="H1038" s="11">
        <v>0</v>
      </c>
      <c r="I1038" s="11">
        <v>0</v>
      </c>
      <c r="J1038" s="11">
        <v>0</v>
      </c>
      <c r="K1038" s="11">
        <v>0</v>
      </c>
      <c r="L1038" s="11" t="str" cm="1">
        <f t="array" ref="L1038">IFERROR(_xlfn.XLOOKUP(C1038&amp;A1038, ESPN!A:A&amp;ESPN!C:C, ESPN!D:D), "N/A")</f>
        <v>N/A</v>
      </c>
      <c r="M1038" s="23" t="str" cm="1">
        <f t="array" ref="M1038">IFERROR(_xlfn.XLOOKUP(C1038&amp;A1038, ESPN!A:A&amp;ESPN!C:C, ESPN!G:G), "N/A")</f>
        <v>N/A</v>
      </c>
      <c r="N1038" s="23" t="str" cm="1">
        <f t="array" ref="N1038">IFERROR(_xlfn.XLOOKUP(C1038&amp;A1038, ESPN!A:A&amp;ESPN!C:C, ESPN!H:H), "N/A")</f>
        <v>N/A</v>
      </c>
      <c r="O1038" s="26" t="str" cm="1">
        <f t="array" ref="O1038">IFERROR(_xlfn.XLOOKUP(C1038&amp;A1038, ESPN!A:A&amp;ESPN!C:C, ESPN!I:I), "N/A")</f>
        <v>N/A</v>
      </c>
      <c r="P1038" s="26" t="str" cm="1">
        <f t="array" ref="P1038">IFERROR(_xlfn.XLOOKUP(C1038&amp;A1038, ESPN!A:A&amp;ESPN!C:C, ESPN!J:J), "N/A")</f>
        <v>N/A</v>
      </c>
      <c r="Q1038" s="26" t="str" cm="1">
        <f t="array" ref="Q1038">IFERROR(_xlfn.XLOOKUP(C1038&amp;A1038, ESPN!A:A&amp;ESPN!C:C, ESPN!K:K), "N/A")</f>
        <v>N/A</v>
      </c>
    </row>
    <row r="1039" spans="1:17" x14ac:dyDescent="0.45">
      <c r="A1039" s="7">
        <v>2020</v>
      </c>
      <c r="B1039" s="3" t="s">
        <v>579</v>
      </c>
      <c r="C1039" s="4" t="str">
        <f t="shared" si="32"/>
        <v>Senorise Perry</v>
      </c>
      <c r="D1039" s="4" t="str">
        <f t="shared" si="33"/>
        <v>TEN</v>
      </c>
      <c r="E1039" s="4">
        <v>7</v>
      </c>
      <c r="F1039" s="12">
        <v>0</v>
      </c>
      <c r="G1039" s="11">
        <v>0</v>
      </c>
      <c r="H1039" s="11">
        <v>0</v>
      </c>
      <c r="I1039" s="11">
        <v>0</v>
      </c>
      <c r="J1039" s="11">
        <v>0</v>
      </c>
      <c r="K1039" s="11">
        <v>0</v>
      </c>
      <c r="L1039" s="11" t="str" cm="1">
        <f t="array" ref="L1039">IFERROR(_xlfn.XLOOKUP(C1039&amp;A1039, ESPN!A:A&amp;ESPN!C:C, ESPN!D:D), "N/A")</f>
        <v>N/A</v>
      </c>
      <c r="M1039" s="23" t="str" cm="1">
        <f t="array" ref="M1039">IFERROR(_xlfn.XLOOKUP(C1039&amp;A1039, ESPN!A:A&amp;ESPN!C:C, ESPN!G:G), "N/A")</f>
        <v>N/A</v>
      </c>
      <c r="N1039" s="23" t="str" cm="1">
        <f t="array" ref="N1039">IFERROR(_xlfn.XLOOKUP(C1039&amp;A1039, ESPN!A:A&amp;ESPN!C:C, ESPN!H:H), "N/A")</f>
        <v>N/A</v>
      </c>
      <c r="O1039" s="26" t="str" cm="1">
        <f t="array" ref="O1039">IFERROR(_xlfn.XLOOKUP(C1039&amp;A1039, ESPN!A:A&amp;ESPN!C:C, ESPN!I:I), "N/A")</f>
        <v>N/A</v>
      </c>
      <c r="P1039" s="26" t="str" cm="1">
        <f t="array" ref="P1039">IFERROR(_xlfn.XLOOKUP(C1039&amp;A1039, ESPN!A:A&amp;ESPN!C:C, ESPN!J:J), "N/A")</f>
        <v>N/A</v>
      </c>
      <c r="Q1039" s="26" t="str" cm="1">
        <f t="array" ref="Q1039">IFERROR(_xlfn.XLOOKUP(C1039&amp;A1039, ESPN!A:A&amp;ESPN!C:C, ESPN!K:K), "N/A")</f>
        <v>N/A</v>
      </c>
    </row>
    <row r="1040" spans="1:17" x14ac:dyDescent="0.45">
      <c r="A1040" s="6">
        <v>2020</v>
      </c>
      <c r="B1040" s="1" t="s">
        <v>580</v>
      </c>
      <c r="C1040" s="2" t="str">
        <f t="shared" si="32"/>
        <v>D.J. Foster</v>
      </c>
      <c r="D1040" s="2" t="str">
        <f t="shared" si="33"/>
        <v>ARI</v>
      </c>
      <c r="E1040" s="2">
        <v>10</v>
      </c>
      <c r="F1040" s="12">
        <v>1</v>
      </c>
      <c r="G1040" s="11">
        <v>1</v>
      </c>
      <c r="H1040" s="11">
        <v>7</v>
      </c>
      <c r="I1040" s="11">
        <v>7</v>
      </c>
      <c r="J1040" s="11">
        <v>0</v>
      </c>
      <c r="K1040" s="11">
        <v>0</v>
      </c>
      <c r="L1040" s="11" t="str" cm="1">
        <f t="array" ref="L1040">IFERROR(_xlfn.XLOOKUP(C1040&amp;A1040, ESPN!A:A&amp;ESPN!C:C, ESPN!D:D), "N/A")</f>
        <v>N/A</v>
      </c>
      <c r="M1040" s="23" t="str" cm="1">
        <f t="array" ref="M1040">IFERROR(_xlfn.XLOOKUP(C1040&amp;A1040, ESPN!A:A&amp;ESPN!C:C, ESPN!G:G), "N/A")</f>
        <v>N/A</v>
      </c>
      <c r="N1040" s="23" t="str" cm="1">
        <f t="array" ref="N1040">IFERROR(_xlfn.XLOOKUP(C1040&amp;A1040, ESPN!A:A&amp;ESPN!C:C, ESPN!H:H), "N/A")</f>
        <v>N/A</v>
      </c>
      <c r="O1040" s="26" t="str" cm="1">
        <f t="array" ref="O1040">IFERROR(_xlfn.XLOOKUP(C1040&amp;A1040, ESPN!A:A&amp;ESPN!C:C, ESPN!I:I), "N/A")</f>
        <v>N/A</v>
      </c>
      <c r="P1040" s="26" t="str" cm="1">
        <f t="array" ref="P1040">IFERROR(_xlfn.XLOOKUP(C1040&amp;A1040, ESPN!A:A&amp;ESPN!C:C, ESPN!J:J), "N/A")</f>
        <v>N/A</v>
      </c>
      <c r="Q1040" s="26" t="str" cm="1">
        <f t="array" ref="Q1040">IFERROR(_xlfn.XLOOKUP(C1040&amp;A1040, ESPN!A:A&amp;ESPN!C:C, ESPN!K:K), "N/A")</f>
        <v>N/A</v>
      </c>
    </row>
    <row r="1041" spans="1:17" x14ac:dyDescent="0.45">
      <c r="A1041" s="7">
        <v>2020</v>
      </c>
      <c r="B1041" s="3" t="s">
        <v>581</v>
      </c>
      <c r="C1041" s="4" t="str">
        <f t="shared" si="32"/>
        <v>Chandler Cox</v>
      </c>
      <c r="D1041" s="4" t="str">
        <f t="shared" si="33"/>
        <v>MIA</v>
      </c>
      <c r="E1041" s="4">
        <v>8</v>
      </c>
      <c r="F1041" s="12">
        <v>2</v>
      </c>
      <c r="G1041" s="11">
        <v>2</v>
      </c>
      <c r="H1041" s="11">
        <v>9</v>
      </c>
      <c r="I1041" s="11">
        <v>4.5</v>
      </c>
      <c r="J1041" s="11">
        <v>0</v>
      </c>
      <c r="K1041" s="11">
        <v>0</v>
      </c>
      <c r="L1041" s="11" t="str" cm="1">
        <f t="array" ref="L1041">IFERROR(_xlfn.XLOOKUP(C1041&amp;A1041, ESPN!A:A&amp;ESPN!C:C, ESPN!D:D), "N/A")</f>
        <v>N/A</v>
      </c>
      <c r="M1041" s="23" t="str" cm="1">
        <f t="array" ref="M1041">IFERROR(_xlfn.XLOOKUP(C1041&amp;A1041, ESPN!A:A&amp;ESPN!C:C, ESPN!G:G), "N/A")</f>
        <v>N/A</v>
      </c>
      <c r="N1041" s="23" t="str" cm="1">
        <f t="array" ref="N1041">IFERROR(_xlfn.XLOOKUP(C1041&amp;A1041, ESPN!A:A&amp;ESPN!C:C, ESPN!H:H), "N/A")</f>
        <v>N/A</v>
      </c>
      <c r="O1041" s="26" t="str" cm="1">
        <f t="array" ref="O1041">IFERROR(_xlfn.XLOOKUP(C1041&amp;A1041, ESPN!A:A&amp;ESPN!C:C, ESPN!I:I), "N/A")</f>
        <v>N/A</v>
      </c>
      <c r="P1041" s="26" t="str" cm="1">
        <f t="array" ref="P1041">IFERROR(_xlfn.XLOOKUP(C1041&amp;A1041, ESPN!A:A&amp;ESPN!C:C, ESPN!J:J), "N/A")</f>
        <v>N/A</v>
      </c>
      <c r="Q1041" s="26" t="str" cm="1">
        <f t="array" ref="Q1041">IFERROR(_xlfn.XLOOKUP(C1041&amp;A1041, ESPN!A:A&amp;ESPN!C:C, ESPN!K:K), "N/A")</f>
        <v>N/A</v>
      </c>
    </row>
    <row r="1042" spans="1:17" x14ac:dyDescent="0.45">
      <c r="A1042" s="6">
        <v>2020</v>
      </c>
      <c r="B1042" s="1" t="s">
        <v>582</v>
      </c>
      <c r="C1042" s="2" t="str">
        <f t="shared" si="32"/>
        <v>Dexter Williams</v>
      </c>
      <c r="D1042" s="2" t="str">
        <f t="shared" si="33"/>
        <v>GB</v>
      </c>
      <c r="E1042" s="2">
        <v>3</v>
      </c>
      <c r="F1042" s="12">
        <v>0</v>
      </c>
      <c r="G1042" s="11">
        <v>0</v>
      </c>
      <c r="H1042" s="11">
        <v>0</v>
      </c>
      <c r="I1042" s="11">
        <v>0</v>
      </c>
      <c r="J1042" s="11">
        <v>0</v>
      </c>
      <c r="K1042" s="11">
        <v>0</v>
      </c>
      <c r="L1042" s="11" t="str" cm="1">
        <f t="array" ref="L1042">IFERROR(_xlfn.XLOOKUP(C1042&amp;A1042, ESPN!A:A&amp;ESPN!C:C, ESPN!D:D), "N/A")</f>
        <v>N/A</v>
      </c>
      <c r="M1042" s="23" t="str" cm="1">
        <f t="array" ref="M1042">IFERROR(_xlfn.XLOOKUP(C1042&amp;A1042, ESPN!A:A&amp;ESPN!C:C, ESPN!G:G), "N/A")</f>
        <v>N/A</v>
      </c>
      <c r="N1042" s="23" t="str" cm="1">
        <f t="array" ref="N1042">IFERROR(_xlfn.XLOOKUP(C1042&amp;A1042, ESPN!A:A&amp;ESPN!C:C, ESPN!H:H), "N/A")</f>
        <v>N/A</v>
      </c>
      <c r="O1042" s="26" t="str" cm="1">
        <f t="array" ref="O1042">IFERROR(_xlfn.XLOOKUP(C1042&amp;A1042, ESPN!A:A&amp;ESPN!C:C, ESPN!I:I), "N/A")</f>
        <v>N/A</v>
      </c>
      <c r="P1042" s="26" t="str" cm="1">
        <f t="array" ref="P1042">IFERROR(_xlfn.XLOOKUP(C1042&amp;A1042, ESPN!A:A&amp;ESPN!C:C, ESPN!J:J), "N/A")</f>
        <v>N/A</v>
      </c>
      <c r="Q1042" s="26" t="str" cm="1">
        <f t="array" ref="Q1042">IFERROR(_xlfn.XLOOKUP(C1042&amp;A1042, ESPN!A:A&amp;ESPN!C:C, ESPN!K:K), "N/A")</f>
        <v>N/A</v>
      </c>
    </row>
    <row r="1043" spans="1:17" x14ac:dyDescent="0.45">
      <c r="A1043" s="7">
        <v>2020</v>
      </c>
      <c r="B1043" s="3" t="s">
        <v>583</v>
      </c>
      <c r="C1043" s="4" t="str">
        <f t="shared" si="32"/>
        <v>Craig Reynolds</v>
      </c>
      <c r="D1043" s="4" t="str">
        <f t="shared" si="33"/>
        <v>JAC</v>
      </c>
      <c r="E1043" s="4">
        <v>2</v>
      </c>
      <c r="F1043" s="12">
        <v>1</v>
      </c>
      <c r="G1043" s="11">
        <v>1</v>
      </c>
      <c r="H1043" s="11">
        <v>3</v>
      </c>
      <c r="I1043" s="11">
        <v>3</v>
      </c>
      <c r="J1043" s="11">
        <v>0</v>
      </c>
      <c r="K1043" s="11">
        <v>0</v>
      </c>
      <c r="L1043" s="11" t="str" cm="1">
        <f t="array" ref="L1043">IFERROR(_xlfn.XLOOKUP(C1043&amp;A1043, ESPN!A:A&amp;ESPN!C:C, ESPN!D:D), "N/A")</f>
        <v>N/A</v>
      </c>
      <c r="M1043" s="23" t="str" cm="1">
        <f t="array" ref="M1043">IFERROR(_xlfn.XLOOKUP(C1043&amp;A1043, ESPN!A:A&amp;ESPN!C:C, ESPN!G:G), "N/A")</f>
        <v>N/A</v>
      </c>
      <c r="N1043" s="23" t="str" cm="1">
        <f t="array" ref="N1043">IFERROR(_xlfn.XLOOKUP(C1043&amp;A1043, ESPN!A:A&amp;ESPN!C:C, ESPN!H:H), "N/A")</f>
        <v>N/A</v>
      </c>
      <c r="O1043" s="26" t="str" cm="1">
        <f t="array" ref="O1043">IFERROR(_xlfn.XLOOKUP(C1043&amp;A1043, ESPN!A:A&amp;ESPN!C:C, ESPN!I:I), "N/A")</f>
        <v>N/A</v>
      </c>
      <c r="P1043" s="26" t="str" cm="1">
        <f t="array" ref="P1043">IFERROR(_xlfn.XLOOKUP(C1043&amp;A1043, ESPN!A:A&amp;ESPN!C:C, ESPN!J:J), "N/A")</f>
        <v>N/A</v>
      </c>
      <c r="Q1043" s="26" t="str" cm="1">
        <f t="array" ref="Q1043">IFERROR(_xlfn.XLOOKUP(C1043&amp;A1043, ESPN!A:A&amp;ESPN!C:C, ESPN!K:K), "N/A")</f>
        <v>N/A</v>
      </c>
    </row>
    <row r="1044" spans="1:17" x14ac:dyDescent="0.45">
      <c r="A1044" s="6">
        <v>2020</v>
      </c>
      <c r="B1044" s="1" t="s">
        <v>584</v>
      </c>
      <c r="C1044" s="2" t="str">
        <f t="shared" si="32"/>
        <v>Lamar Miller</v>
      </c>
      <c r="D1044" s="2" t="str">
        <f t="shared" si="33"/>
        <v>CHI</v>
      </c>
      <c r="E1044" s="2">
        <v>1</v>
      </c>
      <c r="F1044" s="12">
        <v>2</v>
      </c>
      <c r="G1044" s="11">
        <v>2</v>
      </c>
      <c r="H1044" s="11">
        <v>6</v>
      </c>
      <c r="I1044" s="11">
        <v>3</v>
      </c>
      <c r="J1044" s="11">
        <v>0</v>
      </c>
      <c r="K1044" s="11">
        <v>0</v>
      </c>
      <c r="L1044" s="11" t="str" cm="1">
        <f t="array" ref="L1044">IFERROR(_xlfn.XLOOKUP(C1044&amp;A1044, ESPN!A:A&amp;ESPN!C:C, ESPN!D:D), "N/A")</f>
        <v>N/A</v>
      </c>
      <c r="M1044" s="23" t="str" cm="1">
        <f t="array" ref="M1044">IFERROR(_xlfn.XLOOKUP(C1044&amp;A1044, ESPN!A:A&amp;ESPN!C:C, ESPN!G:G), "N/A")</f>
        <v>N/A</v>
      </c>
      <c r="N1044" s="23" t="str" cm="1">
        <f t="array" ref="N1044">IFERROR(_xlfn.XLOOKUP(C1044&amp;A1044, ESPN!A:A&amp;ESPN!C:C, ESPN!H:H), "N/A")</f>
        <v>N/A</v>
      </c>
      <c r="O1044" s="26" t="str" cm="1">
        <f t="array" ref="O1044">IFERROR(_xlfn.XLOOKUP(C1044&amp;A1044, ESPN!A:A&amp;ESPN!C:C, ESPN!I:I), "N/A")</f>
        <v>N/A</v>
      </c>
      <c r="P1044" s="26" t="str" cm="1">
        <f t="array" ref="P1044">IFERROR(_xlfn.XLOOKUP(C1044&amp;A1044, ESPN!A:A&amp;ESPN!C:C, ESPN!J:J), "N/A")</f>
        <v>N/A</v>
      </c>
      <c r="Q1044" s="26" t="str" cm="1">
        <f t="array" ref="Q1044">IFERROR(_xlfn.XLOOKUP(C1044&amp;A1044, ESPN!A:A&amp;ESPN!C:C, ESPN!K:K), "N/A")</f>
        <v>N/A</v>
      </c>
    </row>
    <row r="1045" spans="1:17" x14ac:dyDescent="0.45">
      <c r="A1045" s="7">
        <v>2020</v>
      </c>
      <c r="B1045" s="3" t="s">
        <v>585</v>
      </c>
      <c r="C1045" s="4" t="str">
        <f t="shared" si="32"/>
        <v>Jonathan Williams</v>
      </c>
      <c r="D1045" s="4" t="str">
        <f t="shared" si="33"/>
        <v>DET</v>
      </c>
      <c r="E1045" s="4">
        <v>5</v>
      </c>
      <c r="F1045" s="12">
        <v>4</v>
      </c>
      <c r="G1045" s="11">
        <v>4</v>
      </c>
      <c r="H1045" s="11">
        <v>21</v>
      </c>
      <c r="I1045" s="11">
        <v>5.3</v>
      </c>
      <c r="J1045" s="11">
        <v>0</v>
      </c>
      <c r="K1045" s="11">
        <v>1</v>
      </c>
      <c r="L1045" s="11" t="str" cm="1">
        <f t="array" ref="L1045">IFERROR(_xlfn.XLOOKUP(C1045&amp;A1045, ESPN!A:A&amp;ESPN!C:C, ESPN!D:D), "N/A")</f>
        <v>N/A</v>
      </c>
      <c r="M1045" s="23" t="str" cm="1">
        <f t="array" ref="M1045">IFERROR(_xlfn.XLOOKUP(C1045&amp;A1045, ESPN!A:A&amp;ESPN!C:C, ESPN!G:G), "N/A")</f>
        <v>N/A</v>
      </c>
      <c r="N1045" s="23" t="str" cm="1">
        <f t="array" ref="N1045">IFERROR(_xlfn.XLOOKUP(C1045&amp;A1045, ESPN!A:A&amp;ESPN!C:C, ESPN!H:H), "N/A")</f>
        <v>N/A</v>
      </c>
      <c r="O1045" s="26" t="str" cm="1">
        <f t="array" ref="O1045">IFERROR(_xlfn.XLOOKUP(C1045&amp;A1045, ESPN!A:A&amp;ESPN!C:C, ESPN!I:I), "N/A")</f>
        <v>N/A</v>
      </c>
      <c r="P1045" s="26" t="str" cm="1">
        <f t="array" ref="P1045">IFERROR(_xlfn.XLOOKUP(C1045&amp;A1045, ESPN!A:A&amp;ESPN!C:C, ESPN!J:J), "N/A")</f>
        <v>N/A</v>
      </c>
      <c r="Q1045" s="26" t="str" cm="1">
        <f t="array" ref="Q1045">IFERROR(_xlfn.XLOOKUP(C1045&amp;A1045, ESPN!A:A&amp;ESPN!C:C, ESPN!K:K), "N/A")</f>
        <v>N/A</v>
      </c>
    </row>
    <row r="1046" spans="1:17" x14ac:dyDescent="0.45">
      <c r="A1046" s="6">
        <v>2020</v>
      </c>
      <c r="B1046" s="1" t="s">
        <v>586</v>
      </c>
      <c r="C1046" s="2" t="str">
        <f t="shared" si="32"/>
        <v>Cullen Gillaspia</v>
      </c>
      <c r="D1046" s="2" t="str">
        <f t="shared" si="33"/>
        <v>HOU</v>
      </c>
      <c r="E1046" s="2">
        <v>7</v>
      </c>
      <c r="F1046" s="12">
        <v>1</v>
      </c>
      <c r="G1046" s="11">
        <v>1</v>
      </c>
      <c r="H1046" s="11">
        <v>6</v>
      </c>
      <c r="I1046" s="11">
        <v>6</v>
      </c>
      <c r="J1046" s="11">
        <v>0</v>
      </c>
      <c r="K1046" s="11">
        <v>0</v>
      </c>
      <c r="L1046" s="11" t="str" cm="1">
        <f t="array" ref="L1046">IFERROR(_xlfn.XLOOKUP(C1046&amp;A1046, ESPN!A:A&amp;ESPN!C:C, ESPN!D:D), "N/A")</f>
        <v>N/A</v>
      </c>
      <c r="M1046" s="23" t="str" cm="1">
        <f t="array" ref="M1046">IFERROR(_xlfn.XLOOKUP(C1046&amp;A1046, ESPN!A:A&amp;ESPN!C:C, ESPN!G:G), "N/A")</f>
        <v>N/A</v>
      </c>
      <c r="N1046" s="23" t="str" cm="1">
        <f t="array" ref="N1046">IFERROR(_xlfn.XLOOKUP(C1046&amp;A1046, ESPN!A:A&amp;ESPN!C:C, ESPN!H:H), "N/A")</f>
        <v>N/A</v>
      </c>
      <c r="O1046" s="26" t="str" cm="1">
        <f t="array" ref="O1046">IFERROR(_xlfn.XLOOKUP(C1046&amp;A1046, ESPN!A:A&amp;ESPN!C:C, ESPN!I:I), "N/A")</f>
        <v>N/A</v>
      </c>
      <c r="P1046" s="26" t="str" cm="1">
        <f t="array" ref="P1046">IFERROR(_xlfn.XLOOKUP(C1046&amp;A1046, ESPN!A:A&amp;ESPN!C:C, ESPN!J:J), "N/A")</f>
        <v>N/A</v>
      </c>
      <c r="Q1046" s="26" t="str" cm="1">
        <f t="array" ref="Q1046">IFERROR(_xlfn.XLOOKUP(C1046&amp;A1046, ESPN!A:A&amp;ESPN!C:C, ESPN!K:K), "N/A")</f>
        <v>N/A</v>
      </c>
    </row>
    <row r="1047" spans="1:17" x14ac:dyDescent="0.45">
      <c r="A1047" s="7">
        <v>2020</v>
      </c>
      <c r="B1047" s="3" t="s">
        <v>587</v>
      </c>
      <c r="C1047" s="4" t="str">
        <f t="shared" si="32"/>
        <v>Tony Brooks-James</v>
      </c>
      <c r="D1047" s="4" t="str">
        <f t="shared" si="33"/>
        <v>ATL</v>
      </c>
      <c r="E1047" s="4">
        <v>1</v>
      </c>
      <c r="F1047" s="12">
        <v>0</v>
      </c>
      <c r="G1047" s="11">
        <v>0</v>
      </c>
      <c r="H1047" s="11">
        <v>0</v>
      </c>
      <c r="I1047" s="11">
        <v>0</v>
      </c>
      <c r="J1047" s="11">
        <v>0</v>
      </c>
      <c r="K1047" s="11">
        <v>0</v>
      </c>
      <c r="L1047" s="11" t="str" cm="1">
        <f t="array" ref="L1047">IFERROR(_xlfn.XLOOKUP(C1047&amp;A1047, ESPN!A:A&amp;ESPN!C:C, ESPN!D:D), "N/A")</f>
        <v>N/A</v>
      </c>
      <c r="M1047" s="23" t="str" cm="1">
        <f t="array" ref="M1047">IFERROR(_xlfn.XLOOKUP(C1047&amp;A1047, ESPN!A:A&amp;ESPN!C:C, ESPN!G:G), "N/A")</f>
        <v>N/A</v>
      </c>
      <c r="N1047" s="23" t="str" cm="1">
        <f t="array" ref="N1047">IFERROR(_xlfn.XLOOKUP(C1047&amp;A1047, ESPN!A:A&amp;ESPN!C:C, ESPN!H:H), "N/A")</f>
        <v>N/A</v>
      </c>
      <c r="O1047" s="26" t="str" cm="1">
        <f t="array" ref="O1047">IFERROR(_xlfn.XLOOKUP(C1047&amp;A1047, ESPN!A:A&amp;ESPN!C:C, ESPN!I:I), "N/A")</f>
        <v>N/A</v>
      </c>
      <c r="P1047" s="26" t="str" cm="1">
        <f t="array" ref="P1047">IFERROR(_xlfn.XLOOKUP(C1047&amp;A1047, ESPN!A:A&amp;ESPN!C:C, ESPN!J:J), "N/A")</f>
        <v>N/A</v>
      </c>
      <c r="Q1047" s="26" t="str" cm="1">
        <f t="array" ref="Q1047">IFERROR(_xlfn.XLOOKUP(C1047&amp;A1047, ESPN!A:A&amp;ESPN!C:C, ESPN!K:K), "N/A")</f>
        <v>N/A</v>
      </c>
    </row>
    <row r="1048" spans="1:17" x14ac:dyDescent="0.45">
      <c r="A1048" s="6">
        <v>2020</v>
      </c>
      <c r="B1048" s="1" t="s">
        <v>468</v>
      </c>
      <c r="C1048" s="2" t="str">
        <f t="shared" si="32"/>
        <v>Qadree Ollison</v>
      </c>
      <c r="D1048" s="2" t="str">
        <f t="shared" si="33"/>
        <v>ATL</v>
      </c>
      <c r="E1048" s="2">
        <v>3</v>
      </c>
      <c r="F1048" s="12">
        <v>0</v>
      </c>
      <c r="G1048" s="11">
        <v>0</v>
      </c>
      <c r="H1048" s="11">
        <v>0</v>
      </c>
      <c r="I1048" s="11">
        <v>0</v>
      </c>
      <c r="J1048" s="11">
        <v>0</v>
      </c>
      <c r="K1048" s="11">
        <v>0</v>
      </c>
      <c r="L1048" s="11" t="str" cm="1">
        <f t="array" ref="L1048">IFERROR(_xlfn.XLOOKUP(C1048&amp;A1048, ESPN!A:A&amp;ESPN!C:C, ESPN!D:D), "N/A")</f>
        <v>N/A</v>
      </c>
      <c r="M1048" s="23" t="str" cm="1">
        <f t="array" ref="M1048">IFERROR(_xlfn.XLOOKUP(C1048&amp;A1048, ESPN!A:A&amp;ESPN!C:C, ESPN!G:G), "N/A")</f>
        <v>N/A</v>
      </c>
      <c r="N1048" s="23" t="str" cm="1">
        <f t="array" ref="N1048">IFERROR(_xlfn.XLOOKUP(C1048&amp;A1048, ESPN!A:A&amp;ESPN!C:C, ESPN!H:H), "N/A")</f>
        <v>N/A</v>
      </c>
      <c r="O1048" s="26" t="str" cm="1">
        <f t="array" ref="O1048">IFERROR(_xlfn.XLOOKUP(C1048&amp;A1048, ESPN!A:A&amp;ESPN!C:C, ESPN!I:I), "N/A")</f>
        <v>N/A</v>
      </c>
      <c r="P1048" s="26" t="str" cm="1">
        <f t="array" ref="P1048">IFERROR(_xlfn.XLOOKUP(C1048&amp;A1048, ESPN!A:A&amp;ESPN!C:C, ESPN!J:J), "N/A")</f>
        <v>N/A</v>
      </c>
      <c r="Q1048" s="26" t="str" cm="1">
        <f t="array" ref="Q1048">IFERROR(_xlfn.XLOOKUP(C1048&amp;A1048, ESPN!A:A&amp;ESPN!C:C, ESPN!K:K), "N/A")</f>
        <v>N/A</v>
      </c>
    </row>
    <row r="1049" spans="1:17" x14ac:dyDescent="0.45">
      <c r="A1049" s="7">
        <v>2020</v>
      </c>
      <c r="B1049" s="3" t="s">
        <v>422</v>
      </c>
      <c r="C1049" s="4" t="str">
        <f t="shared" si="32"/>
        <v>Taiwan Jones</v>
      </c>
      <c r="D1049" s="4" t="str">
        <f t="shared" si="33"/>
        <v>BUF</v>
      </c>
      <c r="E1049" s="4">
        <v>13</v>
      </c>
      <c r="F1049" s="12">
        <v>2</v>
      </c>
      <c r="G1049" s="11">
        <v>0</v>
      </c>
      <c r="H1049" s="11">
        <v>0</v>
      </c>
      <c r="I1049" s="11">
        <v>0</v>
      </c>
      <c r="J1049" s="11">
        <v>0</v>
      </c>
      <c r="K1049" s="11">
        <v>0</v>
      </c>
      <c r="L1049" s="11" t="str" cm="1">
        <f t="array" ref="L1049">IFERROR(_xlfn.XLOOKUP(C1049&amp;A1049, ESPN!A:A&amp;ESPN!C:C, ESPN!D:D), "N/A")</f>
        <v>N/A</v>
      </c>
      <c r="M1049" s="23" t="str" cm="1">
        <f t="array" ref="M1049">IFERROR(_xlfn.XLOOKUP(C1049&amp;A1049, ESPN!A:A&amp;ESPN!C:C, ESPN!G:G), "N/A")</f>
        <v>N/A</v>
      </c>
      <c r="N1049" s="23" t="str" cm="1">
        <f t="array" ref="N1049">IFERROR(_xlfn.XLOOKUP(C1049&amp;A1049, ESPN!A:A&amp;ESPN!C:C, ESPN!H:H), "N/A")</f>
        <v>N/A</v>
      </c>
      <c r="O1049" s="26" t="str" cm="1">
        <f t="array" ref="O1049">IFERROR(_xlfn.XLOOKUP(C1049&amp;A1049, ESPN!A:A&amp;ESPN!C:C, ESPN!I:I), "N/A")</f>
        <v>N/A</v>
      </c>
      <c r="P1049" s="26" t="str" cm="1">
        <f t="array" ref="P1049">IFERROR(_xlfn.XLOOKUP(C1049&amp;A1049, ESPN!A:A&amp;ESPN!C:C, ESPN!J:J), "N/A")</f>
        <v>N/A</v>
      </c>
      <c r="Q1049" s="26" t="str" cm="1">
        <f t="array" ref="Q1049">IFERROR(_xlfn.XLOOKUP(C1049&amp;A1049, ESPN!A:A&amp;ESPN!C:C, ESPN!K:K), "N/A")</f>
        <v>N/A</v>
      </c>
    </row>
    <row r="1050" spans="1:17" x14ac:dyDescent="0.45">
      <c r="A1050" s="6">
        <v>2020</v>
      </c>
      <c r="B1050" s="1" t="s">
        <v>588</v>
      </c>
      <c r="C1050" s="2" t="str">
        <f t="shared" si="32"/>
        <v>Bruce Miller</v>
      </c>
      <c r="D1050" s="2" t="str">
        <f t="shared" si="33"/>
        <v>JAC</v>
      </c>
      <c r="E1050" s="2">
        <v>8</v>
      </c>
      <c r="F1050" s="12">
        <v>2</v>
      </c>
      <c r="G1050" s="11">
        <v>1</v>
      </c>
      <c r="H1050" s="11">
        <v>2</v>
      </c>
      <c r="I1050" s="11">
        <v>2</v>
      </c>
      <c r="J1050" s="11">
        <v>0</v>
      </c>
      <c r="K1050" s="11">
        <v>0</v>
      </c>
      <c r="L1050" s="11" t="str" cm="1">
        <f t="array" ref="L1050">IFERROR(_xlfn.XLOOKUP(C1050&amp;A1050, ESPN!A:A&amp;ESPN!C:C, ESPN!D:D), "N/A")</f>
        <v>N/A</v>
      </c>
      <c r="M1050" s="23" t="str" cm="1">
        <f t="array" ref="M1050">IFERROR(_xlfn.XLOOKUP(C1050&amp;A1050, ESPN!A:A&amp;ESPN!C:C, ESPN!G:G), "N/A")</f>
        <v>N/A</v>
      </c>
      <c r="N1050" s="23" t="str" cm="1">
        <f t="array" ref="N1050">IFERROR(_xlfn.XLOOKUP(C1050&amp;A1050, ESPN!A:A&amp;ESPN!C:C, ESPN!H:H), "N/A")</f>
        <v>N/A</v>
      </c>
      <c r="O1050" s="26" t="str" cm="1">
        <f t="array" ref="O1050">IFERROR(_xlfn.XLOOKUP(C1050&amp;A1050, ESPN!A:A&amp;ESPN!C:C, ESPN!I:I), "N/A")</f>
        <v>N/A</v>
      </c>
      <c r="P1050" s="26" t="str" cm="1">
        <f t="array" ref="P1050">IFERROR(_xlfn.XLOOKUP(C1050&amp;A1050, ESPN!A:A&amp;ESPN!C:C, ESPN!J:J), "N/A")</f>
        <v>N/A</v>
      </c>
      <c r="Q1050" s="26" t="str" cm="1">
        <f t="array" ref="Q1050">IFERROR(_xlfn.XLOOKUP(C1050&amp;A1050, ESPN!A:A&amp;ESPN!C:C, ESPN!K:K), "N/A")</f>
        <v>N/A</v>
      </c>
    </row>
    <row r="1051" spans="1:17" x14ac:dyDescent="0.45">
      <c r="A1051" s="7">
        <v>2020</v>
      </c>
      <c r="B1051" s="3" t="s">
        <v>409</v>
      </c>
      <c r="C1051" s="4" t="str">
        <f t="shared" si="32"/>
        <v>Kenjon Barner</v>
      </c>
      <c r="D1051" s="4" t="str">
        <f t="shared" si="33"/>
        <v>TB</v>
      </c>
      <c r="E1051" s="4">
        <v>6</v>
      </c>
      <c r="F1051" s="12">
        <v>1</v>
      </c>
      <c r="G1051" s="11">
        <v>0</v>
      </c>
      <c r="H1051" s="11">
        <v>0</v>
      </c>
      <c r="I1051" s="11">
        <v>0</v>
      </c>
      <c r="J1051" s="11">
        <v>0</v>
      </c>
      <c r="K1051" s="11">
        <v>0</v>
      </c>
      <c r="L1051" s="11" t="str" cm="1">
        <f t="array" ref="L1051">IFERROR(_xlfn.XLOOKUP(C1051&amp;A1051, ESPN!A:A&amp;ESPN!C:C, ESPN!D:D), "N/A")</f>
        <v>N/A</v>
      </c>
      <c r="M1051" s="23" t="str" cm="1">
        <f t="array" ref="M1051">IFERROR(_xlfn.XLOOKUP(C1051&amp;A1051, ESPN!A:A&amp;ESPN!C:C, ESPN!G:G), "N/A")</f>
        <v>N/A</v>
      </c>
      <c r="N1051" s="23" t="str" cm="1">
        <f t="array" ref="N1051">IFERROR(_xlfn.XLOOKUP(C1051&amp;A1051, ESPN!A:A&amp;ESPN!C:C, ESPN!H:H), "N/A")</f>
        <v>N/A</v>
      </c>
      <c r="O1051" s="26" t="str" cm="1">
        <f t="array" ref="O1051">IFERROR(_xlfn.XLOOKUP(C1051&amp;A1051, ESPN!A:A&amp;ESPN!C:C, ESPN!I:I), "N/A")</f>
        <v>N/A</v>
      </c>
      <c r="P1051" s="26" t="str" cm="1">
        <f t="array" ref="P1051">IFERROR(_xlfn.XLOOKUP(C1051&amp;A1051, ESPN!A:A&amp;ESPN!C:C, ESPN!J:J), "N/A")</f>
        <v>N/A</v>
      </c>
      <c r="Q1051" s="26" t="str" cm="1">
        <f t="array" ref="Q1051">IFERROR(_xlfn.XLOOKUP(C1051&amp;A1051, ESPN!A:A&amp;ESPN!C:C, ESPN!K:K), "N/A")</f>
        <v>N/A</v>
      </c>
    </row>
    <row r="1052" spans="1:17" x14ac:dyDescent="0.45">
      <c r="A1052" s="6">
        <v>2020</v>
      </c>
      <c r="B1052" s="1" t="s">
        <v>589</v>
      </c>
      <c r="C1052" s="2" t="str">
        <f t="shared" si="32"/>
        <v>Wendell Smallwood</v>
      </c>
      <c r="D1052" s="2" t="str">
        <f t="shared" si="33"/>
        <v>PIT</v>
      </c>
      <c r="E1052" s="2">
        <v>1</v>
      </c>
      <c r="F1052" s="12">
        <v>0</v>
      </c>
      <c r="G1052" s="11">
        <v>0</v>
      </c>
      <c r="H1052" s="11">
        <v>0</v>
      </c>
      <c r="I1052" s="11">
        <v>0</v>
      </c>
      <c r="J1052" s="11">
        <v>0</v>
      </c>
      <c r="K1052" s="11">
        <v>0</v>
      </c>
      <c r="L1052" s="11" t="str" cm="1">
        <f t="array" ref="L1052">IFERROR(_xlfn.XLOOKUP(C1052&amp;A1052, ESPN!A:A&amp;ESPN!C:C, ESPN!D:D), "N/A")</f>
        <v>N/A</v>
      </c>
      <c r="M1052" s="23" t="str" cm="1">
        <f t="array" ref="M1052">IFERROR(_xlfn.XLOOKUP(C1052&amp;A1052, ESPN!A:A&amp;ESPN!C:C, ESPN!G:G), "N/A")</f>
        <v>N/A</v>
      </c>
      <c r="N1052" s="23" t="str" cm="1">
        <f t="array" ref="N1052">IFERROR(_xlfn.XLOOKUP(C1052&amp;A1052, ESPN!A:A&amp;ESPN!C:C, ESPN!H:H), "N/A")</f>
        <v>N/A</v>
      </c>
      <c r="O1052" s="26" t="str" cm="1">
        <f t="array" ref="O1052">IFERROR(_xlfn.XLOOKUP(C1052&amp;A1052, ESPN!A:A&amp;ESPN!C:C, ESPN!I:I), "N/A")</f>
        <v>N/A</v>
      </c>
      <c r="P1052" s="26" t="str" cm="1">
        <f t="array" ref="P1052">IFERROR(_xlfn.XLOOKUP(C1052&amp;A1052, ESPN!A:A&amp;ESPN!C:C, ESPN!J:J), "N/A")</f>
        <v>N/A</v>
      </c>
      <c r="Q1052" s="26" t="str" cm="1">
        <f t="array" ref="Q1052">IFERROR(_xlfn.XLOOKUP(C1052&amp;A1052, ESPN!A:A&amp;ESPN!C:C, ESPN!K:K), "N/A")</f>
        <v>N/A</v>
      </c>
    </row>
    <row r="1053" spans="1:17" x14ac:dyDescent="0.45">
      <c r="A1053" s="7">
        <v>2020</v>
      </c>
      <c r="B1053" s="3" t="s">
        <v>378</v>
      </c>
      <c r="C1053" s="4" t="str">
        <f t="shared" si="32"/>
        <v>Derek Watt</v>
      </c>
      <c r="D1053" s="4" t="str">
        <f t="shared" si="33"/>
        <v>PIT</v>
      </c>
      <c r="E1053" s="4">
        <v>12</v>
      </c>
      <c r="F1053" s="12">
        <v>0</v>
      </c>
      <c r="G1053" s="11">
        <v>0</v>
      </c>
      <c r="H1053" s="11">
        <v>0</v>
      </c>
      <c r="I1053" s="11">
        <v>0</v>
      </c>
      <c r="J1053" s="11">
        <v>0</v>
      </c>
      <c r="K1053" s="11">
        <v>0</v>
      </c>
      <c r="L1053" s="11" t="str" cm="1">
        <f t="array" ref="L1053">IFERROR(_xlfn.XLOOKUP(C1053&amp;A1053, ESPN!A:A&amp;ESPN!C:C, ESPN!D:D), "N/A")</f>
        <v>N/A</v>
      </c>
      <c r="M1053" s="23" t="str" cm="1">
        <f t="array" ref="M1053">IFERROR(_xlfn.XLOOKUP(C1053&amp;A1053, ESPN!A:A&amp;ESPN!C:C, ESPN!G:G), "N/A")</f>
        <v>N/A</v>
      </c>
      <c r="N1053" s="23" t="str" cm="1">
        <f t="array" ref="N1053">IFERROR(_xlfn.XLOOKUP(C1053&amp;A1053, ESPN!A:A&amp;ESPN!C:C, ESPN!H:H), "N/A")</f>
        <v>N/A</v>
      </c>
      <c r="O1053" s="26" t="str" cm="1">
        <f t="array" ref="O1053">IFERROR(_xlfn.XLOOKUP(C1053&amp;A1053, ESPN!A:A&amp;ESPN!C:C, ESPN!I:I), "N/A")</f>
        <v>N/A</v>
      </c>
      <c r="P1053" s="26" t="str" cm="1">
        <f t="array" ref="P1053">IFERROR(_xlfn.XLOOKUP(C1053&amp;A1053, ESPN!A:A&amp;ESPN!C:C, ESPN!J:J), "N/A")</f>
        <v>N/A</v>
      </c>
      <c r="Q1053" s="26" t="str" cm="1">
        <f t="array" ref="Q1053">IFERROR(_xlfn.XLOOKUP(C1053&amp;A1053, ESPN!A:A&amp;ESPN!C:C, ESPN!K:K), "N/A")</f>
        <v>N/A</v>
      </c>
    </row>
    <row r="1054" spans="1:17" x14ac:dyDescent="0.45">
      <c r="A1054" s="6">
        <v>2020</v>
      </c>
      <c r="B1054" s="1" t="s">
        <v>502</v>
      </c>
      <c r="C1054" s="2" t="str">
        <f t="shared" si="32"/>
        <v>J.P. Holtz</v>
      </c>
      <c r="D1054" s="2" t="str">
        <f t="shared" si="33"/>
        <v>CHI</v>
      </c>
      <c r="E1054" s="2">
        <v>16</v>
      </c>
      <c r="F1054" s="12">
        <v>1</v>
      </c>
      <c r="G1054" s="11">
        <v>0</v>
      </c>
      <c r="H1054" s="11">
        <v>0</v>
      </c>
      <c r="I1054" s="11">
        <v>0</v>
      </c>
      <c r="J1054" s="11">
        <v>0</v>
      </c>
      <c r="K1054" s="11">
        <v>0</v>
      </c>
      <c r="L1054" s="11" t="str" cm="1">
        <f t="array" ref="L1054">IFERROR(_xlfn.XLOOKUP(C1054&amp;A1054, ESPN!A:A&amp;ESPN!C:C, ESPN!D:D), "N/A")</f>
        <v>N/A</v>
      </c>
      <c r="M1054" s="23" t="str" cm="1">
        <f t="array" ref="M1054">IFERROR(_xlfn.XLOOKUP(C1054&amp;A1054, ESPN!A:A&amp;ESPN!C:C, ESPN!G:G), "N/A")</f>
        <v>N/A</v>
      </c>
      <c r="N1054" s="23" t="str" cm="1">
        <f t="array" ref="N1054">IFERROR(_xlfn.XLOOKUP(C1054&amp;A1054, ESPN!A:A&amp;ESPN!C:C, ESPN!H:H), "N/A")</f>
        <v>N/A</v>
      </c>
      <c r="O1054" s="26" t="str" cm="1">
        <f t="array" ref="O1054">IFERROR(_xlfn.XLOOKUP(C1054&amp;A1054, ESPN!A:A&amp;ESPN!C:C, ESPN!I:I), "N/A")</f>
        <v>N/A</v>
      </c>
      <c r="P1054" s="26" t="str" cm="1">
        <f t="array" ref="P1054">IFERROR(_xlfn.XLOOKUP(C1054&amp;A1054, ESPN!A:A&amp;ESPN!C:C, ESPN!J:J), "N/A")</f>
        <v>N/A</v>
      </c>
      <c r="Q1054" s="26" t="str" cm="1">
        <f t="array" ref="Q1054">IFERROR(_xlfn.XLOOKUP(C1054&amp;A1054, ESPN!A:A&amp;ESPN!C:C, ESPN!K:K), "N/A")</f>
        <v>N/A</v>
      </c>
    </row>
    <row r="1055" spans="1:17" x14ac:dyDescent="0.45">
      <c r="A1055" s="7">
        <v>2020</v>
      </c>
      <c r="B1055" s="3" t="s">
        <v>411</v>
      </c>
      <c r="C1055" s="4" t="str">
        <f t="shared" si="32"/>
        <v>Brandin Bryant</v>
      </c>
      <c r="D1055" s="4" t="str">
        <f t="shared" si="33"/>
        <v>BUF</v>
      </c>
      <c r="E1055" s="4">
        <v>1</v>
      </c>
      <c r="F1055" s="12">
        <v>0</v>
      </c>
      <c r="G1055" s="11">
        <v>0</v>
      </c>
      <c r="H1055" s="11">
        <v>0</v>
      </c>
      <c r="I1055" s="11">
        <v>0</v>
      </c>
      <c r="J1055" s="11">
        <v>0</v>
      </c>
      <c r="K1055" s="11">
        <v>0</v>
      </c>
      <c r="L1055" s="11" t="str" cm="1">
        <f t="array" ref="L1055">IFERROR(_xlfn.XLOOKUP(C1055&amp;A1055, ESPN!A:A&amp;ESPN!C:C, ESPN!D:D), "N/A")</f>
        <v>N/A</v>
      </c>
      <c r="M1055" s="23" t="str" cm="1">
        <f t="array" ref="M1055">IFERROR(_xlfn.XLOOKUP(C1055&amp;A1055, ESPN!A:A&amp;ESPN!C:C, ESPN!G:G), "N/A")</f>
        <v>N/A</v>
      </c>
      <c r="N1055" s="23" t="str" cm="1">
        <f t="array" ref="N1055">IFERROR(_xlfn.XLOOKUP(C1055&amp;A1055, ESPN!A:A&amp;ESPN!C:C, ESPN!H:H), "N/A")</f>
        <v>N/A</v>
      </c>
      <c r="O1055" s="26" t="str" cm="1">
        <f t="array" ref="O1055">IFERROR(_xlfn.XLOOKUP(C1055&amp;A1055, ESPN!A:A&amp;ESPN!C:C, ESPN!I:I), "N/A")</f>
        <v>N/A</v>
      </c>
      <c r="P1055" s="26" t="str" cm="1">
        <f t="array" ref="P1055">IFERROR(_xlfn.XLOOKUP(C1055&amp;A1055, ESPN!A:A&amp;ESPN!C:C, ESPN!J:J), "N/A")</f>
        <v>N/A</v>
      </c>
      <c r="Q1055" s="26" t="str" cm="1">
        <f t="array" ref="Q1055">IFERROR(_xlfn.XLOOKUP(C1055&amp;A1055, ESPN!A:A&amp;ESPN!C:C, ESPN!K:K), "N/A")</f>
        <v>N/A</v>
      </c>
    </row>
    <row r="1056" spans="1:17" x14ac:dyDescent="0.45">
      <c r="A1056" s="6">
        <v>2020</v>
      </c>
      <c r="B1056" s="1" t="s">
        <v>590</v>
      </c>
      <c r="C1056" s="2" t="str">
        <f t="shared" si="32"/>
        <v>Cethan Carter</v>
      </c>
      <c r="D1056" s="2" t="str">
        <f t="shared" si="33"/>
        <v>CIN</v>
      </c>
      <c r="E1056" s="2">
        <v>15</v>
      </c>
      <c r="F1056" s="12">
        <v>7</v>
      </c>
      <c r="G1056" s="11">
        <v>5</v>
      </c>
      <c r="H1056" s="11">
        <v>53</v>
      </c>
      <c r="I1056" s="11">
        <v>10.6</v>
      </c>
      <c r="J1056" s="11">
        <v>0</v>
      </c>
      <c r="K1056" s="11">
        <v>0</v>
      </c>
      <c r="L1056" s="11" t="str" cm="1">
        <f t="array" ref="L1056">IFERROR(_xlfn.XLOOKUP(C1056&amp;A1056, ESPN!A:A&amp;ESPN!C:C, ESPN!D:D), "N/A")</f>
        <v>N/A</v>
      </c>
      <c r="M1056" s="23" t="str" cm="1">
        <f t="array" ref="M1056">IFERROR(_xlfn.XLOOKUP(C1056&amp;A1056, ESPN!A:A&amp;ESPN!C:C, ESPN!G:G), "N/A")</f>
        <v>N/A</v>
      </c>
      <c r="N1056" s="23" t="str" cm="1">
        <f t="array" ref="N1056">IFERROR(_xlfn.XLOOKUP(C1056&amp;A1056, ESPN!A:A&amp;ESPN!C:C, ESPN!H:H), "N/A")</f>
        <v>N/A</v>
      </c>
      <c r="O1056" s="26" t="str" cm="1">
        <f t="array" ref="O1056">IFERROR(_xlfn.XLOOKUP(C1056&amp;A1056, ESPN!A:A&amp;ESPN!C:C, ESPN!I:I), "N/A")</f>
        <v>N/A</v>
      </c>
      <c r="P1056" s="26" t="str" cm="1">
        <f t="array" ref="P1056">IFERROR(_xlfn.XLOOKUP(C1056&amp;A1056, ESPN!A:A&amp;ESPN!C:C, ESPN!J:J), "N/A")</f>
        <v>N/A</v>
      </c>
      <c r="Q1056" s="26" t="str" cm="1">
        <f t="array" ref="Q1056">IFERROR(_xlfn.XLOOKUP(C1056&amp;A1056, ESPN!A:A&amp;ESPN!C:C, ESPN!K:K), "N/A")</f>
        <v>N/A</v>
      </c>
    </row>
    <row r="1057" spans="1:17" x14ac:dyDescent="0.45">
      <c r="A1057" s="7">
        <v>2020</v>
      </c>
      <c r="B1057" s="3" t="s">
        <v>507</v>
      </c>
      <c r="C1057" s="4" t="str">
        <f t="shared" si="32"/>
        <v>Trey Edmunds</v>
      </c>
      <c r="D1057" s="4" t="str">
        <f t="shared" si="33"/>
        <v>PIT</v>
      </c>
      <c r="E1057" s="4">
        <v>4</v>
      </c>
      <c r="F1057" s="12">
        <v>0</v>
      </c>
      <c r="G1057" s="11">
        <v>0</v>
      </c>
      <c r="H1057" s="11">
        <v>0</v>
      </c>
      <c r="I1057" s="11">
        <v>0</v>
      </c>
      <c r="J1057" s="11">
        <v>0</v>
      </c>
      <c r="K1057" s="11">
        <v>0</v>
      </c>
      <c r="L1057" s="11" t="str" cm="1">
        <f t="array" ref="L1057">IFERROR(_xlfn.XLOOKUP(C1057&amp;A1057, ESPN!A:A&amp;ESPN!C:C, ESPN!D:D), "N/A")</f>
        <v>N/A</v>
      </c>
      <c r="M1057" s="23" t="str" cm="1">
        <f t="array" ref="M1057">IFERROR(_xlfn.XLOOKUP(C1057&amp;A1057, ESPN!A:A&amp;ESPN!C:C, ESPN!G:G), "N/A")</f>
        <v>N/A</v>
      </c>
      <c r="N1057" s="23" t="str" cm="1">
        <f t="array" ref="N1057">IFERROR(_xlfn.XLOOKUP(C1057&amp;A1057, ESPN!A:A&amp;ESPN!C:C, ESPN!H:H), "N/A")</f>
        <v>N/A</v>
      </c>
      <c r="O1057" s="26" t="str" cm="1">
        <f t="array" ref="O1057">IFERROR(_xlfn.XLOOKUP(C1057&amp;A1057, ESPN!A:A&amp;ESPN!C:C, ESPN!I:I), "N/A")</f>
        <v>N/A</v>
      </c>
      <c r="P1057" s="26" t="str" cm="1">
        <f t="array" ref="P1057">IFERROR(_xlfn.XLOOKUP(C1057&amp;A1057, ESPN!A:A&amp;ESPN!C:C, ESPN!J:J), "N/A")</f>
        <v>N/A</v>
      </c>
      <c r="Q1057" s="26" t="str" cm="1">
        <f t="array" ref="Q1057">IFERROR(_xlfn.XLOOKUP(C1057&amp;A1057, ESPN!A:A&amp;ESPN!C:C, ESPN!K:K), "N/A")</f>
        <v>N/A</v>
      </c>
    </row>
    <row r="1058" spans="1:17" x14ac:dyDescent="0.45">
      <c r="A1058" s="6">
        <v>2020</v>
      </c>
      <c r="B1058" s="1" t="s">
        <v>326</v>
      </c>
      <c r="C1058" s="2" t="str">
        <f t="shared" si="32"/>
        <v>Jason Cabinda</v>
      </c>
      <c r="D1058" s="2" t="str">
        <f t="shared" si="33"/>
        <v>DET</v>
      </c>
      <c r="E1058" s="2">
        <v>16</v>
      </c>
      <c r="F1058" s="12">
        <v>3</v>
      </c>
      <c r="G1058" s="11">
        <v>2</v>
      </c>
      <c r="H1058" s="11">
        <v>8</v>
      </c>
      <c r="I1058" s="11">
        <v>4</v>
      </c>
      <c r="J1058" s="11">
        <v>0</v>
      </c>
      <c r="K1058" s="11">
        <v>0</v>
      </c>
      <c r="L1058" s="11" t="str" cm="1">
        <f t="array" ref="L1058">IFERROR(_xlfn.XLOOKUP(C1058&amp;A1058, ESPN!A:A&amp;ESPN!C:C, ESPN!D:D), "N/A")</f>
        <v>N/A</v>
      </c>
      <c r="M1058" s="23" t="str" cm="1">
        <f t="array" ref="M1058">IFERROR(_xlfn.XLOOKUP(C1058&amp;A1058, ESPN!A:A&amp;ESPN!C:C, ESPN!G:G), "N/A")</f>
        <v>N/A</v>
      </c>
      <c r="N1058" s="23" t="str" cm="1">
        <f t="array" ref="N1058">IFERROR(_xlfn.XLOOKUP(C1058&amp;A1058, ESPN!A:A&amp;ESPN!C:C, ESPN!H:H), "N/A")</f>
        <v>N/A</v>
      </c>
      <c r="O1058" s="26" t="str" cm="1">
        <f t="array" ref="O1058">IFERROR(_xlfn.XLOOKUP(C1058&amp;A1058, ESPN!A:A&amp;ESPN!C:C, ESPN!I:I), "N/A")</f>
        <v>N/A</v>
      </c>
      <c r="P1058" s="26" t="str" cm="1">
        <f t="array" ref="P1058">IFERROR(_xlfn.XLOOKUP(C1058&amp;A1058, ESPN!A:A&amp;ESPN!C:C, ESPN!J:J), "N/A")</f>
        <v>N/A</v>
      </c>
      <c r="Q1058" s="26" t="str" cm="1">
        <f t="array" ref="Q1058">IFERROR(_xlfn.XLOOKUP(C1058&amp;A1058, ESPN!A:A&amp;ESPN!C:C, ESPN!K:K), "N/A")</f>
        <v>N/A</v>
      </c>
    </row>
    <row r="1059" spans="1:17" x14ac:dyDescent="0.45">
      <c r="A1059" s="7">
        <v>2020</v>
      </c>
      <c r="B1059" s="3" t="s">
        <v>477</v>
      </c>
      <c r="C1059" s="4" t="str">
        <f t="shared" si="32"/>
        <v>Johnny Stanton IV</v>
      </c>
      <c r="D1059" s="4" t="str">
        <f t="shared" si="33"/>
        <v>CLE</v>
      </c>
      <c r="E1059" s="4">
        <v>1</v>
      </c>
      <c r="F1059" s="12">
        <v>0</v>
      </c>
      <c r="G1059" s="11">
        <v>0</v>
      </c>
      <c r="H1059" s="11">
        <v>0</v>
      </c>
      <c r="I1059" s="11">
        <v>0</v>
      </c>
      <c r="J1059" s="11">
        <v>0</v>
      </c>
      <c r="K1059" s="11">
        <v>0</v>
      </c>
      <c r="L1059" s="11" t="str" cm="1">
        <f t="array" ref="L1059">IFERROR(_xlfn.XLOOKUP(C1059&amp;A1059, ESPN!A:A&amp;ESPN!C:C, ESPN!D:D), "N/A")</f>
        <v>N/A</v>
      </c>
      <c r="M1059" s="23" t="str" cm="1">
        <f t="array" ref="M1059">IFERROR(_xlfn.XLOOKUP(C1059&amp;A1059, ESPN!A:A&amp;ESPN!C:C, ESPN!G:G), "N/A")</f>
        <v>N/A</v>
      </c>
      <c r="N1059" s="23" t="str" cm="1">
        <f t="array" ref="N1059">IFERROR(_xlfn.XLOOKUP(C1059&amp;A1059, ESPN!A:A&amp;ESPN!C:C, ESPN!H:H), "N/A")</f>
        <v>N/A</v>
      </c>
      <c r="O1059" s="26" t="str" cm="1">
        <f t="array" ref="O1059">IFERROR(_xlfn.XLOOKUP(C1059&amp;A1059, ESPN!A:A&amp;ESPN!C:C, ESPN!I:I), "N/A")</f>
        <v>N/A</v>
      </c>
      <c r="P1059" s="26" t="str" cm="1">
        <f t="array" ref="P1059">IFERROR(_xlfn.XLOOKUP(C1059&amp;A1059, ESPN!A:A&amp;ESPN!C:C, ESPN!J:J), "N/A")</f>
        <v>N/A</v>
      </c>
      <c r="Q1059" s="26" t="str" cm="1">
        <f t="array" ref="Q1059">IFERROR(_xlfn.XLOOKUP(C1059&amp;A1059, ESPN!A:A&amp;ESPN!C:C, ESPN!K:K), "N/A")</f>
        <v>N/A</v>
      </c>
    </row>
    <row r="1060" spans="1:17" x14ac:dyDescent="0.45">
      <c r="A1060" s="6">
        <v>2020</v>
      </c>
      <c r="B1060" s="1" t="s">
        <v>591</v>
      </c>
      <c r="C1060" s="2" t="str">
        <f t="shared" si="32"/>
        <v>Elijah Holyfield</v>
      </c>
      <c r="D1060" s="2" t="str">
        <f t="shared" si="33"/>
        <v>PHI</v>
      </c>
      <c r="E1060" s="2">
        <v>1</v>
      </c>
      <c r="F1060" s="12">
        <v>0</v>
      </c>
      <c r="G1060" s="11">
        <v>0</v>
      </c>
      <c r="H1060" s="11">
        <v>0</v>
      </c>
      <c r="I1060" s="11">
        <v>0</v>
      </c>
      <c r="J1060" s="11">
        <v>0</v>
      </c>
      <c r="K1060" s="11">
        <v>0</v>
      </c>
      <c r="L1060" s="11" t="str" cm="1">
        <f t="array" ref="L1060">IFERROR(_xlfn.XLOOKUP(C1060&amp;A1060, ESPN!A:A&amp;ESPN!C:C, ESPN!D:D), "N/A")</f>
        <v>N/A</v>
      </c>
      <c r="M1060" s="23" t="str" cm="1">
        <f t="array" ref="M1060">IFERROR(_xlfn.XLOOKUP(C1060&amp;A1060, ESPN!A:A&amp;ESPN!C:C, ESPN!G:G), "N/A")</f>
        <v>N/A</v>
      </c>
      <c r="N1060" s="23" t="str" cm="1">
        <f t="array" ref="N1060">IFERROR(_xlfn.XLOOKUP(C1060&amp;A1060, ESPN!A:A&amp;ESPN!C:C, ESPN!H:H), "N/A")</f>
        <v>N/A</v>
      </c>
      <c r="O1060" s="26" t="str" cm="1">
        <f t="array" ref="O1060">IFERROR(_xlfn.XLOOKUP(C1060&amp;A1060, ESPN!A:A&amp;ESPN!C:C, ESPN!I:I), "N/A")</f>
        <v>N/A</v>
      </c>
      <c r="P1060" s="26" t="str" cm="1">
        <f t="array" ref="P1060">IFERROR(_xlfn.XLOOKUP(C1060&amp;A1060, ESPN!A:A&amp;ESPN!C:C, ESPN!J:J), "N/A")</f>
        <v>N/A</v>
      </c>
      <c r="Q1060" s="26" t="str" cm="1">
        <f t="array" ref="Q1060">IFERROR(_xlfn.XLOOKUP(C1060&amp;A1060, ESPN!A:A&amp;ESPN!C:C, ESPN!K:K), "N/A")</f>
        <v>N/A</v>
      </c>
    </row>
    <row r="1061" spans="1:17" x14ac:dyDescent="0.45">
      <c r="A1061" s="7">
        <v>2020</v>
      </c>
      <c r="B1061" s="3" t="s">
        <v>415</v>
      </c>
      <c r="C1061" s="4" t="str">
        <f t="shared" si="32"/>
        <v>Andrew Beck</v>
      </c>
      <c r="D1061" s="4" t="str">
        <f t="shared" si="33"/>
        <v>DEN</v>
      </c>
      <c r="E1061" s="4">
        <v>10</v>
      </c>
      <c r="F1061" s="12">
        <v>0</v>
      </c>
      <c r="G1061" s="11">
        <v>0</v>
      </c>
      <c r="H1061" s="11">
        <v>0</v>
      </c>
      <c r="I1061" s="11">
        <v>0</v>
      </c>
      <c r="J1061" s="11">
        <v>0</v>
      </c>
      <c r="K1061" s="11">
        <v>0</v>
      </c>
      <c r="L1061" s="11" t="str" cm="1">
        <f t="array" ref="L1061">IFERROR(_xlfn.XLOOKUP(C1061&amp;A1061, ESPN!A:A&amp;ESPN!C:C, ESPN!D:D), "N/A")</f>
        <v>N/A</v>
      </c>
      <c r="M1061" s="23" t="str" cm="1">
        <f t="array" ref="M1061">IFERROR(_xlfn.XLOOKUP(C1061&amp;A1061, ESPN!A:A&amp;ESPN!C:C, ESPN!G:G), "N/A")</f>
        <v>N/A</v>
      </c>
      <c r="N1061" s="23" t="str" cm="1">
        <f t="array" ref="N1061">IFERROR(_xlfn.XLOOKUP(C1061&amp;A1061, ESPN!A:A&amp;ESPN!C:C, ESPN!H:H), "N/A")</f>
        <v>N/A</v>
      </c>
      <c r="O1061" s="26" t="str" cm="1">
        <f t="array" ref="O1061">IFERROR(_xlfn.XLOOKUP(C1061&amp;A1061, ESPN!A:A&amp;ESPN!C:C, ESPN!I:I), "N/A")</f>
        <v>N/A</v>
      </c>
      <c r="P1061" s="26" t="str" cm="1">
        <f t="array" ref="P1061">IFERROR(_xlfn.XLOOKUP(C1061&amp;A1061, ESPN!A:A&amp;ESPN!C:C, ESPN!J:J), "N/A")</f>
        <v>N/A</v>
      </c>
      <c r="Q1061" s="26" t="str" cm="1">
        <f t="array" ref="Q1061">IFERROR(_xlfn.XLOOKUP(C1061&amp;A1061, ESPN!A:A&amp;ESPN!C:C, ESPN!K:K), "N/A")</f>
        <v>N/A</v>
      </c>
    </row>
    <row r="1062" spans="1:17" x14ac:dyDescent="0.45">
      <c r="A1062" s="6">
        <v>2020</v>
      </c>
      <c r="B1062" s="1" t="s">
        <v>592</v>
      </c>
      <c r="C1062" s="2" t="str">
        <f t="shared" si="32"/>
        <v>John Lovett</v>
      </c>
      <c r="D1062" s="2" t="str">
        <f t="shared" si="33"/>
        <v>GB</v>
      </c>
      <c r="E1062" s="2">
        <v>8</v>
      </c>
      <c r="F1062" s="12">
        <v>0</v>
      </c>
      <c r="G1062" s="11">
        <v>0</v>
      </c>
      <c r="H1062" s="11">
        <v>0</v>
      </c>
      <c r="I1062" s="11">
        <v>0</v>
      </c>
      <c r="J1062" s="11">
        <v>0</v>
      </c>
      <c r="K1062" s="11">
        <v>0</v>
      </c>
      <c r="L1062" s="11" t="str" cm="1">
        <f t="array" ref="L1062">IFERROR(_xlfn.XLOOKUP(C1062&amp;A1062, ESPN!A:A&amp;ESPN!C:C, ESPN!D:D), "N/A")</f>
        <v>N/A</v>
      </c>
      <c r="M1062" s="23" t="str" cm="1">
        <f t="array" ref="M1062">IFERROR(_xlfn.XLOOKUP(C1062&amp;A1062, ESPN!A:A&amp;ESPN!C:C, ESPN!G:G), "N/A")</f>
        <v>N/A</v>
      </c>
      <c r="N1062" s="23" t="str" cm="1">
        <f t="array" ref="N1062">IFERROR(_xlfn.XLOOKUP(C1062&amp;A1062, ESPN!A:A&amp;ESPN!C:C, ESPN!H:H), "N/A")</f>
        <v>N/A</v>
      </c>
      <c r="O1062" s="26" t="str" cm="1">
        <f t="array" ref="O1062">IFERROR(_xlfn.XLOOKUP(C1062&amp;A1062, ESPN!A:A&amp;ESPN!C:C, ESPN!I:I), "N/A")</f>
        <v>N/A</v>
      </c>
      <c r="P1062" s="26" t="str" cm="1">
        <f t="array" ref="P1062">IFERROR(_xlfn.XLOOKUP(C1062&amp;A1062, ESPN!A:A&amp;ESPN!C:C, ESPN!J:J), "N/A")</f>
        <v>N/A</v>
      </c>
      <c r="Q1062" s="26" t="str" cm="1">
        <f t="array" ref="Q1062">IFERROR(_xlfn.XLOOKUP(C1062&amp;A1062, ESPN!A:A&amp;ESPN!C:C, ESPN!K:K), "N/A")</f>
        <v>N/A</v>
      </c>
    </row>
    <row r="1063" spans="1:17" x14ac:dyDescent="0.45">
      <c r="A1063" s="7">
        <v>2020</v>
      </c>
      <c r="B1063" s="3" t="s">
        <v>593</v>
      </c>
      <c r="C1063" s="4" t="str">
        <f t="shared" si="32"/>
        <v>Jeremy Cox</v>
      </c>
      <c r="D1063" s="4" t="str">
        <f t="shared" si="33"/>
        <v>DEN</v>
      </c>
      <c r="E1063" s="4">
        <v>7</v>
      </c>
      <c r="F1063" s="12">
        <v>0</v>
      </c>
      <c r="G1063" s="11">
        <v>0</v>
      </c>
      <c r="H1063" s="11">
        <v>0</v>
      </c>
      <c r="I1063" s="11">
        <v>0</v>
      </c>
      <c r="J1063" s="11">
        <v>0</v>
      </c>
      <c r="K1063" s="11">
        <v>0</v>
      </c>
      <c r="L1063" s="11" t="str" cm="1">
        <f t="array" ref="L1063">IFERROR(_xlfn.XLOOKUP(C1063&amp;A1063, ESPN!A:A&amp;ESPN!C:C, ESPN!D:D), "N/A")</f>
        <v>N/A</v>
      </c>
      <c r="M1063" s="23" t="str" cm="1">
        <f t="array" ref="M1063">IFERROR(_xlfn.XLOOKUP(C1063&amp;A1063, ESPN!A:A&amp;ESPN!C:C, ESPN!G:G), "N/A")</f>
        <v>N/A</v>
      </c>
      <c r="N1063" s="23" t="str" cm="1">
        <f t="array" ref="N1063">IFERROR(_xlfn.XLOOKUP(C1063&amp;A1063, ESPN!A:A&amp;ESPN!C:C, ESPN!H:H), "N/A")</f>
        <v>N/A</v>
      </c>
      <c r="O1063" s="26" t="str" cm="1">
        <f t="array" ref="O1063">IFERROR(_xlfn.XLOOKUP(C1063&amp;A1063, ESPN!A:A&amp;ESPN!C:C, ESPN!I:I), "N/A")</f>
        <v>N/A</v>
      </c>
      <c r="P1063" s="26" t="str" cm="1">
        <f t="array" ref="P1063">IFERROR(_xlfn.XLOOKUP(C1063&amp;A1063, ESPN!A:A&amp;ESPN!C:C, ESPN!J:J), "N/A")</f>
        <v>N/A</v>
      </c>
      <c r="Q1063" s="26" t="str" cm="1">
        <f t="array" ref="Q1063">IFERROR(_xlfn.XLOOKUP(C1063&amp;A1063, ESPN!A:A&amp;ESPN!C:C, ESPN!K:K), "N/A")</f>
        <v>N/A</v>
      </c>
    </row>
    <row r="1064" spans="1:17" x14ac:dyDescent="0.45">
      <c r="A1064" s="6">
        <v>2020</v>
      </c>
      <c r="B1064" s="1" t="s">
        <v>594</v>
      </c>
      <c r="C1064" s="2" t="str">
        <f t="shared" si="32"/>
        <v>Michael Warren II</v>
      </c>
      <c r="D1064" s="2" t="str">
        <f t="shared" si="33"/>
        <v>WAS</v>
      </c>
      <c r="E1064" s="2">
        <v>1</v>
      </c>
      <c r="F1064" s="12">
        <v>0</v>
      </c>
      <c r="G1064" s="11">
        <v>0</v>
      </c>
      <c r="H1064" s="11">
        <v>0</v>
      </c>
      <c r="I1064" s="11">
        <v>0</v>
      </c>
      <c r="J1064" s="11">
        <v>0</v>
      </c>
      <c r="K1064" s="11">
        <v>0</v>
      </c>
      <c r="L1064" s="11" t="str" cm="1">
        <f t="array" ref="L1064">IFERROR(_xlfn.XLOOKUP(C1064&amp;A1064, ESPN!A:A&amp;ESPN!C:C, ESPN!D:D), "N/A")</f>
        <v>N/A</v>
      </c>
      <c r="M1064" s="23" t="str" cm="1">
        <f t="array" ref="M1064">IFERROR(_xlfn.XLOOKUP(C1064&amp;A1064, ESPN!A:A&amp;ESPN!C:C, ESPN!G:G), "N/A")</f>
        <v>N/A</v>
      </c>
      <c r="N1064" s="23" t="str" cm="1">
        <f t="array" ref="N1064">IFERROR(_xlfn.XLOOKUP(C1064&amp;A1064, ESPN!A:A&amp;ESPN!C:C, ESPN!H:H), "N/A")</f>
        <v>N/A</v>
      </c>
      <c r="O1064" s="26" t="str" cm="1">
        <f t="array" ref="O1064">IFERROR(_xlfn.XLOOKUP(C1064&amp;A1064, ESPN!A:A&amp;ESPN!C:C, ESPN!I:I), "N/A")</f>
        <v>N/A</v>
      </c>
      <c r="P1064" s="26" t="str" cm="1">
        <f t="array" ref="P1064">IFERROR(_xlfn.XLOOKUP(C1064&amp;A1064, ESPN!A:A&amp;ESPN!C:C, ESPN!J:J), "N/A")</f>
        <v>N/A</v>
      </c>
      <c r="Q1064" s="26" t="str" cm="1">
        <f t="array" ref="Q1064">IFERROR(_xlfn.XLOOKUP(C1064&amp;A1064, ESPN!A:A&amp;ESPN!C:C, ESPN!K:K), "N/A")</f>
        <v>N/A</v>
      </c>
    </row>
    <row r="1065" spans="1:17" x14ac:dyDescent="0.45">
      <c r="A1065" s="7">
        <v>2020</v>
      </c>
      <c r="B1065" s="3" t="s">
        <v>595</v>
      </c>
      <c r="C1065" s="4" t="str">
        <f t="shared" si="32"/>
        <v>Javon Leake</v>
      </c>
      <c r="D1065" s="4" t="str">
        <f t="shared" si="33"/>
        <v>WAS</v>
      </c>
      <c r="E1065" s="4">
        <v>1</v>
      </c>
      <c r="F1065" s="12">
        <v>0</v>
      </c>
      <c r="G1065" s="11">
        <v>0</v>
      </c>
      <c r="H1065" s="11">
        <v>0</v>
      </c>
      <c r="I1065" s="11">
        <v>0</v>
      </c>
      <c r="J1065" s="11">
        <v>0</v>
      </c>
      <c r="K1065" s="11">
        <v>0</v>
      </c>
      <c r="L1065" s="11" t="str" cm="1">
        <f t="array" ref="L1065">IFERROR(_xlfn.XLOOKUP(C1065&amp;A1065, ESPN!A:A&amp;ESPN!C:C, ESPN!D:D), "N/A")</f>
        <v>N/A</v>
      </c>
      <c r="M1065" s="23" t="str" cm="1">
        <f t="array" ref="M1065">IFERROR(_xlfn.XLOOKUP(C1065&amp;A1065, ESPN!A:A&amp;ESPN!C:C, ESPN!G:G), "N/A")</f>
        <v>N/A</v>
      </c>
      <c r="N1065" s="23" t="str" cm="1">
        <f t="array" ref="N1065">IFERROR(_xlfn.XLOOKUP(C1065&amp;A1065, ESPN!A:A&amp;ESPN!C:C, ESPN!H:H), "N/A")</f>
        <v>N/A</v>
      </c>
      <c r="O1065" s="26" t="str" cm="1">
        <f t="array" ref="O1065">IFERROR(_xlfn.XLOOKUP(C1065&amp;A1065, ESPN!A:A&amp;ESPN!C:C, ESPN!I:I), "N/A")</f>
        <v>N/A</v>
      </c>
      <c r="P1065" s="26" t="str" cm="1">
        <f t="array" ref="P1065">IFERROR(_xlfn.XLOOKUP(C1065&amp;A1065, ESPN!A:A&amp;ESPN!C:C, ESPN!J:J), "N/A")</f>
        <v>N/A</v>
      </c>
      <c r="Q1065" s="26" t="str" cm="1">
        <f t="array" ref="Q1065">IFERROR(_xlfn.XLOOKUP(C1065&amp;A1065, ESPN!A:A&amp;ESPN!C:C, ESPN!K:K), "N/A")</f>
        <v>N/A</v>
      </c>
    </row>
    <row r="1066" spans="1:17" x14ac:dyDescent="0.45">
      <c r="A1066" s="6">
        <v>2020</v>
      </c>
      <c r="B1066" s="1" t="s">
        <v>513</v>
      </c>
      <c r="C1066" s="2" t="str">
        <f t="shared" si="32"/>
        <v>Darius Bradwell</v>
      </c>
      <c r="D1066" s="2" t="str">
        <f t="shared" si="33"/>
        <v>LAC</v>
      </c>
      <c r="E1066" s="2">
        <v>2</v>
      </c>
      <c r="F1066" s="12">
        <v>0</v>
      </c>
      <c r="G1066" s="11">
        <v>0</v>
      </c>
      <c r="H1066" s="11">
        <v>0</v>
      </c>
      <c r="I1066" s="11">
        <v>0</v>
      </c>
      <c r="J1066" s="11">
        <v>0</v>
      </c>
      <c r="K1066" s="11">
        <v>0</v>
      </c>
      <c r="L1066" s="11" t="str" cm="1">
        <f t="array" ref="L1066">IFERROR(_xlfn.XLOOKUP(C1066&amp;A1066, ESPN!A:A&amp;ESPN!C:C, ESPN!D:D), "N/A")</f>
        <v>N/A</v>
      </c>
      <c r="M1066" s="23" t="str" cm="1">
        <f t="array" ref="M1066">IFERROR(_xlfn.XLOOKUP(C1066&amp;A1066, ESPN!A:A&amp;ESPN!C:C, ESPN!G:G), "N/A")</f>
        <v>N/A</v>
      </c>
      <c r="N1066" s="23" t="str" cm="1">
        <f t="array" ref="N1066">IFERROR(_xlfn.XLOOKUP(C1066&amp;A1066, ESPN!A:A&amp;ESPN!C:C, ESPN!H:H), "N/A")</f>
        <v>N/A</v>
      </c>
      <c r="O1066" s="26" t="str" cm="1">
        <f t="array" ref="O1066">IFERROR(_xlfn.XLOOKUP(C1066&amp;A1066, ESPN!A:A&amp;ESPN!C:C, ESPN!I:I), "N/A")</f>
        <v>N/A</v>
      </c>
      <c r="P1066" s="26" t="str" cm="1">
        <f t="array" ref="P1066">IFERROR(_xlfn.XLOOKUP(C1066&amp;A1066, ESPN!A:A&amp;ESPN!C:C, ESPN!J:J), "N/A")</f>
        <v>N/A</v>
      </c>
      <c r="Q1066" s="26" t="str" cm="1">
        <f t="array" ref="Q1066">IFERROR(_xlfn.XLOOKUP(C1066&amp;A1066, ESPN!A:A&amp;ESPN!C:C, ESPN!K:K), "N/A")</f>
        <v>N/A</v>
      </c>
    </row>
    <row r="1067" spans="1:17" x14ac:dyDescent="0.45">
      <c r="A1067" s="7">
        <v>2020</v>
      </c>
      <c r="B1067" s="3" t="s">
        <v>596</v>
      </c>
      <c r="C1067" s="4" t="str">
        <f t="shared" si="32"/>
        <v>Xavier Jones</v>
      </c>
      <c r="D1067" s="4" t="str">
        <f t="shared" si="33"/>
        <v>LAR</v>
      </c>
      <c r="E1067" s="4">
        <v>13</v>
      </c>
      <c r="F1067" s="12">
        <v>0</v>
      </c>
      <c r="G1067" s="11">
        <v>0</v>
      </c>
      <c r="H1067" s="11">
        <v>0</v>
      </c>
      <c r="I1067" s="11">
        <v>0</v>
      </c>
      <c r="J1067" s="11">
        <v>0</v>
      </c>
      <c r="K1067" s="11">
        <v>0</v>
      </c>
      <c r="L1067" s="11" t="str" cm="1">
        <f t="array" ref="L1067">IFERROR(_xlfn.XLOOKUP(C1067&amp;A1067, ESPN!A:A&amp;ESPN!C:C, ESPN!D:D), "N/A")</f>
        <v>N/A</v>
      </c>
      <c r="M1067" s="23" t="str" cm="1">
        <f t="array" ref="M1067">IFERROR(_xlfn.XLOOKUP(C1067&amp;A1067, ESPN!A:A&amp;ESPN!C:C, ESPN!G:G), "N/A")</f>
        <v>N/A</v>
      </c>
      <c r="N1067" s="23" t="str" cm="1">
        <f t="array" ref="N1067">IFERROR(_xlfn.XLOOKUP(C1067&amp;A1067, ESPN!A:A&amp;ESPN!C:C, ESPN!H:H), "N/A")</f>
        <v>N/A</v>
      </c>
      <c r="O1067" s="26" t="str" cm="1">
        <f t="array" ref="O1067">IFERROR(_xlfn.XLOOKUP(C1067&amp;A1067, ESPN!A:A&amp;ESPN!C:C, ESPN!I:I), "N/A")</f>
        <v>N/A</v>
      </c>
      <c r="P1067" s="26" t="str" cm="1">
        <f t="array" ref="P1067">IFERROR(_xlfn.XLOOKUP(C1067&amp;A1067, ESPN!A:A&amp;ESPN!C:C, ESPN!J:J), "N/A")</f>
        <v>N/A</v>
      </c>
      <c r="Q1067" s="26" t="str" cm="1">
        <f t="array" ref="Q1067">IFERROR(_xlfn.XLOOKUP(C1067&amp;A1067, ESPN!A:A&amp;ESPN!C:C, ESPN!K:K), "N/A")</f>
        <v>N/A</v>
      </c>
    </row>
    <row r="1068" spans="1:17" x14ac:dyDescent="0.45">
      <c r="A1068" s="6">
        <v>2020</v>
      </c>
      <c r="B1068" s="1" t="s">
        <v>597</v>
      </c>
      <c r="C1068" s="2" t="str">
        <f t="shared" si="32"/>
        <v>Raymond Calais</v>
      </c>
      <c r="D1068" s="2" t="str">
        <f t="shared" si="33"/>
        <v>LAR</v>
      </c>
      <c r="E1068" s="2">
        <v>4</v>
      </c>
      <c r="F1068" s="12">
        <v>0</v>
      </c>
      <c r="G1068" s="11">
        <v>0</v>
      </c>
      <c r="H1068" s="11">
        <v>0</v>
      </c>
      <c r="I1068" s="11">
        <v>0</v>
      </c>
      <c r="J1068" s="11">
        <v>0</v>
      </c>
      <c r="K1068" s="11">
        <v>0</v>
      </c>
      <c r="L1068" s="11" t="str" cm="1">
        <f t="array" ref="L1068">IFERROR(_xlfn.XLOOKUP(C1068&amp;A1068, ESPN!A:A&amp;ESPN!C:C, ESPN!D:D), "N/A")</f>
        <v>N/A</v>
      </c>
      <c r="M1068" s="23" t="str" cm="1">
        <f t="array" ref="M1068">IFERROR(_xlfn.XLOOKUP(C1068&amp;A1068, ESPN!A:A&amp;ESPN!C:C, ESPN!G:G), "N/A")</f>
        <v>N/A</v>
      </c>
      <c r="N1068" s="23" t="str" cm="1">
        <f t="array" ref="N1068">IFERROR(_xlfn.XLOOKUP(C1068&amp;A1068, ESPN!A:A&amp;ESPN!C:C, ESPN!H:H), "N/A")</f>
        <v>N/A</v>
      </c>
      <c r="O1068" s="26" t="str" cm="1">
        <f t="array" ref="O1068">IFERROR(_xlfn.XLOOKUP(C1068&amp;A1068, ESPN!A:A&amp;ESPN!C:C, ESPN!I:I), "N/A")</f>
        <v>N/A</v>
      </c>
      <c r="P1068" s="26" t="str" cm="1">
        <f t="array" ref="P1068">IFERROR(_xlfn.XLOOKUP(C1068&amp;A1068, ESPN!A:A&amp;ESPN!C:C, ESPN!J:J), "N/A")</f>
        <v>N/A</v>
      </c>
      <c r="Q1068" s="26" t="str" cm="1">
        <f t="array" ref="Q1068">IFERROR(_xlfn.XLOOKUP(C1068&amp;A1068, ESPN!A:A&amp;ESPN!C:C, ESPN!K:K), "N/A")</f>
        <v>N/A</v>
      </c>
    </row>
    <row r="1069" spans="1:17" x14ac:dyDescent="0.45">
      <c r="A1069" s="7">
        <v>2020</v>
      </c>
      <c r="B1069" s="3" t="s">
        <v>515</v>
      </c>
      <c r="C1069" s="4" t="str">
        <f t="shared" si="32"/>
        <v>Sewo Olonilua</v>
      </c>
      <c r="D1069" s="4" t="str">
        <f t="shared" si="33"/>
        <v>DAL</v>
      </c>
      <c r="E1069" s="4">
        <v>2</v>
      </c>
      <c r="F1069" s="12">
        <v>0</v>
      </c>
      <c r="G1069" s="11">
        <v>0</v>
      </c>
      <c r="H1069" s="11">
        <v>0</v>
      </c>
      <c r="I1069" s="11">
        <v>0</v>
      </c>
      <c r="J1069" s="11">
        <v>0</v>
      </c>
      <c r="K1069" s="11">
        <v>0</v>
      </c>
      <c r="L1069" s="11" t="str" cm="1">
        <f t="array" ref="L1069">IFERROR(_xlfn.XLOOKUP(C1069&amp;A1069, ESPN!A:A&amp;ESPN!C:C, ESPN!D:D), "N/A")</f>
        <v>N/A</v>
      </c>
      <c r="M1069" s="23" t="str" cm="1">
        <f t="array" ref="M1069">IFERROR(_xlfn.XLOOKUP(C1069&amp;A1069, ESPN!A:A&amp;ESPN!C:C, ESPN!G:G), "N/A")</f>
        <v>N/A</v>
      </c>
      <c r="N1069" s="23" t="str" cm="1">
        <f t="array" ref="N1069">IFERROR(_xlfn.XLOOKUP(C1069&amp;A1069, ESPN!A:A&amp;ESPN!C:C, ESPN!H:H), "N/A")</f>
        <v>N/A</v>
      </c>
      <c r="O1069" s="26" t="str" cm="1">
        <f t="array" ref="O1069">IFERROR(_xlfn.XLOOKUP(C1069&amp;A1069, ESPN!A:A&amp;ESPN!C:C, ESPN!I:I), "N/A")</f>
        <v>N/A</v>
      </c>
      <c r="P1069" s="26" t="str" cm="1">
        <f t="array" ref="P1069">IFERROR(_xlfn.XLOOKUP(C1069&amp;A1069, ESPN!A:A&amp;ESPN!C:C, ESPN!J:J), "N/A")</f>
        <v>N/A</v>
      </c>
      <c r="Q1069" s="26" t="str" cm="1">
        <f t="array" ref="Q1069">IFERROR(_xlfn.XLOOKUP(C1069&amp;A1069, ESPN!A:A&amp;ESPN!C:C, ESPN!K:K), "N/A")</f>
        <v>N/A</v>
      </c>
    </row>
    <row r="1070" spans="1:17" x14ac:dyDescent="0.45">
      <c r="A1070" s="6">
        <v>2020</v>
      </c>
      <c r="B1070" s="1" t="s">
        <v>516</v>
      </c>
      <c r="C1070" s="2" t="str">
        <f t="shared" si="32"/>
        <v>Kirk Merritt</v>
      </c>
      <c r="D1070" s="2" t="str">
        <f t="shared" si="33"/>
        <v>MIA</v>
      </c>
      <c r="E1070" s="2">
        <v>1</v>
      </c>
      <c r="F1070" s="12">
        <v>0</v>
      </c>
      <c r="G1070" s="11">
        <v>0</v>
      </c>
      <c r="H1070" s="11">
        <v>0</v>
      </c>
      <c r="I1070" s="11">
        <v>0</v>
      </c>
      <c r="J1070" s="11">
        <v>0</v>
      </c>
      <c r="K1070" s="11">
        <v>0</v>
      </c>
      <c r="L1070" s="11" t="str" cm="1">
        <f t="array" ref="L1070">IFERROR(_xlfn.XLOOKUP(C1070&amp;A1070, ESPN!A:A&amp;ESPN!C:C, ESPN!D:D), "N/A")</f>
        <v>N/A</v>
      </c>
      <c r="M1070" s="23" t="str" cm="1">
        <f t="array" ref="M1070">IFERROR(_xlfn.XLOOKUP(C1070&amp;A1070, ESPN!A:A&amp;ESPN!C:C, ESPN!G:G), "N/A")</f>
        <v>N/A</v>
      </c>
      <c r="N1070" s="23" t="str" cm="1">
        <f t="array" ref="N1070">IFERROR(_xlfn.XLOOKUP(C1070&amp;A1070, ESPN!A:A&amp;ESPN!C:C, ESPN!H:H), "N/A")</f>
        <v>N/A</v>
      </c>
      <c r="O1070" s="26" t="str" cm="1">
        <f t="array" ref="O1070">IFERROR(_xlfn.XLOOKUP(C1070&amp;A1070, ESPN!A:A&amp;ESPN!C:C, ESPN!I:I), "N/A")</f>
        <v>N/A</v>
      </c>
      <c r="P1070" s="26" t="str" cm="1">
        <f t="array" ref="P1070">IFERROR(_xlfn.XLOOKUP(C1070&amp;A1070, ESPN!A:A&amp;ESPN!C:C, ESPN!J:J), "N/A")</f>
        <v>N/A</v>
      </c>
      <c r="Q1070" s="26" t="str" cm="1">
        <f t="array" ref="Q1070">IFERROR(_xlfn.XLOOKUP(C1070&amp;A1070, ESPN!A:A&amp;ESPN!C:C, ESPN!K:K), "N/A")</f>
        <v>N/A</v>
      </c>
    </row>
    <row r="1071" spans="1:17" x14ac:dyDescent="0.45">
      <c r="A1071" s="7">
        <v>2020</v>
      </c>
      <c r="B1071" s="3" t="s">
        <v>501</v>
      </c>
      <c r="C1071" s="4" t="str">
        <f t="shared" si="32"/>
        <v>Nathan Cottrell</v>
      </c>
      <c r="D1071" s="4" t="str">
        <f t="shared" si="33"/>
        <v>JAC</v>
      </c>
      <c r="E1071" s="4">
        <v>8</v>
      </c>
      <c r="F1071" s="12">
        <v>0</v>
      </c>
      <c r="G1071" s="11">
        <v>0</v>
      </c>
      <c r="H1071" s="11">
        <v>0</v>
      </c>
      <c r="I1071" s="11">
        <v>0</v>
      </c>
      <c r="J1071" s="11">
        <v>0</v>
      </c>
      <c r="K1071" s="11">
        <v>0</v>
      </c>
      <c r="L1071" s="11" t="str" cm="1">
        <f t="array" ref="L1071">IFERROR(_xlfn.XLOOKUP(C1071&amp;A1071, ESPN!A:A&amp;ESPN!C:C, ESPN!D:D), "N/A")</f>
        <v>N/A</v>
      </c>
      <c r="M1071" s="23" t="str" cm="1">
        <f t="array" ref="M1071">IFERROR(_xlfn.XLOOKUP(C1071&amp;A1071, ESPN!A:A&amp;ESPN!C:C, ESPN!G:G), "N/A")</f>
        <v>N/A</v>
      </c>
      <c r="N1071" s="23" t="str" cm="1">
        <f t="array" ref="N1071">IFERROR(_xlfn.XLOOKUP(C1071&amp;A1071, ESPN!A:A&amp;ESPN!C:C, ESPN!H:H), "N/A")</f>
        <v>N/A</v>
      </c>
      <c r="O1071" s="26" t="str" cm="1">
        <f t="array" ref="O1071">IFERROR(_xlfn.XLOOKUP(C1071&amp;A1071, ESPN!A:A&amp;ESPN!C:C, ESPN!I:I), "N/A")</f>
        <v>N/A</v>
      </c>
      <c r="P1071" s="26" t="str" cm="1">
        <f t="array" ref="P1071">IFERROR(_xlfn.XLOOKUP(C1071&amp;A1071, ESPN!A:A&amp;ESPN!C:C, ESPN!J:J), "N/A")</f>
        <v>N/A</v>
      </c>
      <c r="Q1071" s="26" t="str" cm="1">
        <f t="array" ref="Q1071">IFERROR(_xlfn.XLOOKUP(C1071&amp;A1071, ESPN!A:A&amp;ESPN!C:C, ESPN!K:K), "N/A")</f>
        <v>N/A</v>
      </c>
    </row>
    <row r="1072" spans="1:17" x14ac:dyDescent="0.45">
      <c r="A1072" s="6">
        <v>2020</v>
      </c>
      <c r="B1072" s="1" t="s">
        <v>598</v>
      </c>
      <c r="C1072" s="2" t="str">
        <f t="shared" si="32"/>
        <v>Jake Bargas</v>
      </c>
      <c r="D1072" s="2" t="str">
        <f t="shared" si="33"/>
        <v>MIN</v>
      </c>
      <c r="E1072" s="2">
        <v>1</v>
      </c>
      <c r="F1072" s="12">
        <v>0</v>
      </c>
      <c r="G1072" s="11">
        <v>0</v>
      </c>
      <c r="H1072" s="11">
        <v>0</v>
      </c>
      <c r="I1072" s="11">
        <v>0</v>
      </c>
      <c r="J1072" s="11">
        <v>0</v>
      </c>
      <c r="K1072" s="11">
        <v>0</v>
      </c>
      <c r="L1072" s="11" t="str" cm="1">
        <f t="array" ref="L1072">IFERROR(_xlfn.XLOOKUP(C1072&amp;A1072, ESPN!A:A&amp;ESPN!C:C, ESPN!D:D), "N/A")</f>
        <v>N/A</v>
      </c>
      <c r="M1072" s="23" t="str" cm="1">
        <f t="array" ref="M1072">IFERROR(_xlfn.XLOOKUP(C1072&amp;A1072, ESPN!A:A&amp;ESPN!C:C, ESPN!G:G), "N/A")</f>
        <v>N/A</v>
      </c>
      <c r="N1072" s="23" t="str" cm="1">
        <f t="array" ref="N1072">IFERROR(_xlfn.XLOOKUP(C1072&amp;A1072, ESPN!A:A&amp;ESPN!C:C, ESPN!H:H), "N/A")</f>
        <v>N/A</v>
      </c>
      <c r="O1072" s="26" t="str" cm="1">
        <f t="array" ref="O1072">IFERROR(_xlfn.XLOOKUP(C1072&amp;A1072, ESPN!A:A&amp;ESPN!C:C, ESPN!I:I), "N/A")</f>
        <v>N/A</v>
      </c>
      <c r="P1072" s="26" t="str" cm="1">
        <f t="array" ref="P1072">IFERROR(_xlfn.XLOOKUP(C1072&amp;A1072, ESPN!A:A&amp;ESPN!C:C, ESPN!J:J), "N/A")</f>
        <v>N/A</v>
      </c>
      <c r="Q1072" s="26" t="str" cm="1">
        <f t="array" ref="Q1072">IFERROR(_xlfn.XLOOKUP(C1072&amp;A1072, ESPN!A:A&amp;ESPN!C:C, ESPN!K:K), "N/A")</f>
        <v>N/A</v>
      </c>
    </row>
    <row r="1073" spans="1:17" x14ac:dyDescent="0.45">
      <c r="A1073" s="7">
        <v>2020</v>
      </c>
      <c r="B1073" s="3" t="s">
        <v>599</v>
      </c>
      <c r="C1073" s="4" t="str">
        <f t="shared" si="32"/>
        <v>Adrian Killins Jr.</v>
      </c>
      <c r="D1073" s="4" t="str">
        <f t="shared" si="33"/>
        <v>PHI</v>
      </c>
      <c r="E1073" s="4">
        <v>1</v>
      </c>
      <c r="F1073" s="12">
        <v>1</v>
      </c>
      <c r="G1073" s="11">
        <v>1</v>
      </c>
      <c r="H1073" s="11">
        <v>2</v>
      </c>
      <c r="I1073" s="11">
        <v>2</v>
      </c>
      <c r="J1073" s="11">
        <v>0</v>
      </c>
      <c r="K1073" s="11">
        <v>0</v>
      </c>
      <c r="L1073" s="11" t="str" cm="1">
        <f t="array" ref="L1073">IFERROR(_xlfn.XLOOKUP(C1073&amp;A1073, ESPN!A:A&amp;ESPN!C:C, ESPN!D:D), "N/A")</f>
        <v>N/A</v>
      </c>
      <c r="M1073" s="23" t="str" cm="1">
        <f t="array" ref="M1073">IFERROR(_xlfn.XLOOKUP(C1073&amp;A1073, ESPN!A:A&amp;ESPN!C:C, ESPN!G:G), "N/A")</f>
        <v>N/A</v>
      </c>
      <c r="N1073" s="23" t="str" cm="1">
        <f t="array" ref="N1073">IFERROR(_xlfn.XLOOKUP(C1073&amp;A1073, ESPN!A:A&amp;ESPN!C:C, ESPN!H:H), "N/A")</f>
        <v>N/A</v>
      </c>
      <c r="O1073" s="26" t="str" cm="1">
        <f t="array" ref="O1073">IFERROR(_xlfn.XLOOKUP(C1073&amp;A1073, ESPN!A:A&amp;ESPN!C:C, ESPN!I:I), "N/A")</f>
        <v>N/A</v>
      </c>
      <c r="P1073" s="26" t="str" cm="1">
        <f t="array" ref="P1073">IFERROR(_xlfn.XLOOKUP(C1073&amp;A1073, ESPN!A:A&amp;ESPN!C:C, ESPN!J:J), "N/A")</f>
        <v>N/A</v>
      </c>
      <c r="Q1073" s="26" t="str" cm="1">
        <f t="array" ref="Q1073">IFERROR(_xlfn.XLOOKUP(C1073&amp;A1073, ESPN!A:A&amp;ESPN!C:C, ESPN!K:K), "N/A")</f>
        <v>N/A</v>
      </c>
    </row>
    <row r="1074" spans="1:17" x14ac:dyDescent="0.45">
      <c r="A1074" s="6">
        <v>2019</v>
      </c>
      <c r="B1074" s="1" t="s">
        <v>431</v>
      </c>
      <c r="C1074" s="2" t="str">
        <f t="shared" si="32"/>
        <v>Christian McCaffrey</v>
      </c>
      <c r="D1074" s="2" t="str">
        <f t="shared" si="33"/>
        <v>CAR</v>
      </c>
      <c r="E1074" s="2">
        <v>16</v>
      </c>
      <c r="F1074" s="12">
        <v>142</v>
      </c>
      <c r="G1074" s="11">
        <v>116</v>
      </c>
      <c r="H1074" s="17">
        <v>1005</v>
      </c>
      <c r="I1074" s="11">
        <v>8.6999999999999993</v>
      </c>
      <c r="J1074" s="11">
        <v>4</v>
      </c>
      <c r="K1074" s="11">
        <v>0</v>
      </c>
      <c r="L1074" s="11" cm="1">
        <f t="array" ref="L1074">IFERROR(_xlfn.XLOOKUP(C1074&amp;A1074, ESPN!A:A&amp;ESPN!C:C, ESPN!D:D), "N/A")</f>
        <v>439</v>
      </c>
      <c r="M1074" s="23" cm="1">
        <f t="array" ref="M1074">IFERROR(_xlfn.XLOOKUP(C1074&amp;A1074, ESPN!A:A&amp;ESPN!C:C, ESPN!G:G), "N/A")</f>
        <v>2.29</v>
      </c>
      <c r="N1074" s="23" cm="1">
        <f t="array" ref="N1074">IFERROR(_xlfn.XLOOKUP(C1074&amp;A1074, ESPN!A:A&amp;ESPN!C:C, ESPN!H:H), "N/A")</f>
        <v>45</v>
      </c>
      <c r="O1074" s="26" cm="1">
        <f t="array" ref="O1074">IFERROR(_xlfn.XLOOKUP(C1074&amp;A1074, ESPN!A:A&amp;ESPN!C:C, ESPN!I:I), "N/A")</f>
        <v>65</v>
      </c>
      <c r="P1074" s="26" cm="1">
        <f t="array" ref="P1074">IFERROR(_xlfn.XLOOKUP(C1074&amp;A1074, ESPN!A:A&amp;ESPN!C:C, ESPN!J:J), "N/A")</f>
        <v>61</v>
      </c>
      <c r="Q1074" s="26" cm="1">
        <f t="array" ref="Q1074">IFERROR(_xlfn.XLOOKUP(C1074&amp;A1074, ESPN!A:A&amp;ESPN!C:C, ESPN!K:K), "N/A")</f>
        <v>65</v>
      </c>
    </row>
    <row r="1075" spans="1:17" x14ac:dyDescent="0.45">
      <c r="A1075" s="7">
        <v>2019</v>
      </c>
      <c r="B1075" s="3" t="s">
        <v>252</v>
      </c>
      <c r="C1075" s="4" t="str">
        <f t="shared" si="32"/>
        <v>Derrick Henry</v>
      </c>
      <c r="D1075" s="4" t="str">
        <f t="shared" si="33"/>
        <v>TEN</v>
      </c>
      <c r="E1075" s="4">
        <v>15</v>
      </c>
      <c r="F1075" s="12">
        <v>24</v>
      </c>
      <c r="G1075" s="11">
        <v>18</v>
      </c>
      <c r="H1075" s="11">
        <v>206</v>
      </c>
      <c r="I1075" s="11">
        <v>11.4</v>
      </c>
      <c r="J1075" s="11">
        <v>2</v>
      </c>
      <c r="K1075" s="11">
        <v>3</v>
      </c>
      <c r="L1075" s="11" t="str" cm="1">
        <f t="array" ref="L1075">IFERROR(_xlfn.XLOOKUP(C1075&amp;A1075, ESPN!A:A&amp;ESPN!C:C, ESPN!D:D), "N/A")</f>
        <v>N/A</v>
      </c>
      <c r="M1075" s="23" t="str" cm="1">
        <f t="array" ref="M1075">IFERROR(_xlfn.XLOOKUP(C1075&amp;A1075, ESPN!A:A&amp;ESPN!C:C, ESPN!G:G), "N/A")</f>
        <v>N/A</v>
      </c>
      <c r="N1075" s="23" t="str" cm="1">
        <f t="array" ref="N1075">IFERROR(_xlfn.XLOOKUP(C1075&amp;A1075, ESPN!A:A&amp;ESPN!C:C, ESPN!H:H), "N/A")</f>
        <v>N/A</v>
      </c>
      <c r="O1075" s="26" t="str" cm="1">
        <f t="array" ref="O1075">IFERROR(_xlfn.XLOOKUP(C1075&amp;A1075, ESPN!A:A&amp;ESPN!C:C, ESPN!I:I), "N/A")</f>
        <v>N/A</v>
      </c>
      <c r="P1075" s="26" t="str" cm="1">
        <f t="array" ref="P1075">IFERROR(_xlfn.XLOOKUP(C1075&amp;A1075, ESPN!A:A&amp;ESPN!C:C, ESPN!J:J), "N/A")</f>
        <v>N/A</v>
      </c>
      <c r="Q1075" s="26" t="str" cm="1">
        <f t="array" ref="Q1075">IFERROR(_xlfn.XLOOKUP(C1075&amp;A1075, ESPN!A:A&amp;ESPN!C:C, ESPN!K:K), "N/A")</f>
        <v>N/A</v>
      </c>
    </row>
    <row r="1076" spans="1:17" x14ac:dyDescent="0.45">
      <c r="A1076" s="6">
        <v>2019</v>
      </c>
      <c r="B1076" s="1" t="s">
        <v>263</v>
      </c>
      <c r="C1076" s="2" t="str">
        <f t="shared" si="32"/>
        <v>Aaron Jones Sr.</v>
      </c>
      <c r="D1076" s="2" t="str">
        <f t="shared" si="33"/>
        <v>GB</v>
      </c>
      <c r="E1076" s="2">
        <v>16</v>
      </c>
      <c r="F1076" s="12">
        <v>68</v>
      </c>
      <c r="G1076" s="11">
        <v>49</v>
      </c>
      <c r="H1076" s="11">
        <v>474</v>
      </c>
      <c r="I1076" s="11">
        <v>9.6999999999999993</v>
      </c>
      <c r="J1076" s="11">
        <v>3</v>
      </c>
      <c r="K1076" s="11">
        <v>2</v>
      </c>
      <c r="L1076" s="11" cm="1">
        <f t="array" ref="L1076">IFERROR(_xlfn.XLOOKUP(C1076&amp;A1076, ESPN!A:A&amp;ESPN!C:C, ESPN!D:D), "N/A")</f>
        <v>249</v>
      </c>
      <c r="M1076" s="23" cm="1">
        <f t="array" ref="M1076">IFERROR(_xlfn.XLOOKUP(C1076&amp;A1076, ESPN!A:A&amp;ESPN!C:C, ESPN!G:G), "N/A")</f>
        <v>2.0299999999999998</v>
      </c>
      <c r="N1076" s="23" cm="1">
        <f t="array" ref="N1076">IFERROR(_xlfn.XLOOKUP(C1076&amp;A1076, ESPN!A:A&amp;ESPN!C:C, ESPN!H:H), "N/A")</f>
        <v>39</v>
      </c>
      <c r="O1076" s="26" cm="1">
        <f t="array" ref="O1076">IFERROR(_xlfn.XLOOKUP(C1076&amp;A1076, ESPN!A:A&amp;ESPN!C:C, ESPN!I:I), "N/A")</f>
        <v>46</v>
      </c>
      <c r="P1076" s="26" cm="1">
        <f t="array" ref="P1076">IFERROR(_xlfn.XLOOKUP(C1076&amp;A1076, ESPN!A:A&amp;ESPN!C:C, ESPN!J:J), "N/A")</f>
        <v>51</v>
      </c>
      <c r="Q1076" s="26" cm="1">
        <f t="array" ref="Q1076">IFERROR(_xlfn.XLOOKUP(C1076&amp;A1076, ESPN!A:A&amp;ESPN!C:C, ESPN!K:K), "N/A")</f>
        <v>45</v>
      </c>
    </row>
    <row r="1077" spans="1:17" x14ac:dyDescent="0.45">
      <c r="A1077" s="7">
        <v>2019</v>
      </c>
      <c r="B1077" s="3" t="s">
        <v>195</v>
      </c>
      <c r="C1077" s="4" t="str">
        <f t="shared" si="32"/>
        <v>Ezekiel Elliott</v>
      </c>
      <c r="D1077" s="4" t="str">
        <f t="shared" si="33"/>
        <v>DAL</v>
      </c>
      <c r="E1077" s="4">
        <v>16</v>
      </c>
      <c r="F1077" s="12">
        <v>71</v>
      </c>
      <c r="G1077" s="11">
        <v>54</v>
      </c>
      <c r="H1077" s="11">
        <v>420</v>
      </c>
      <c r="I1077" s="11">
        <v>7.8</v>
      </c>
      <c r="J1077" s="11">
        <v>2</v>
      </c>
      <c r="K1077" s="11">
        <v>2</v>
      </c>
      <c r="L1077" s="11" cm="1">
        <f t="array" ref="L1077">IFERROR(_xlfn.XLOOKUP(C1077&amp;A1077, ESPN!A:A&amp;ESPN!C:C, ESPN!D:D), "N/A")</f>
        <v>325</v>
      </c>
      <c r="M1077" s="23" cm="1">
        <f t="array" ref="M1077">IFERROR(_xlfn.XLOOKUP(C1077&amp;A1077, ESPN!A:A&amp;ESPN!C:C, ESPN!G:G), "N/A")</f>
        <v>1.29</v>
      </c>
      <c r="N1077" s="23" cm="1">
        <f t="array" ref="N1077">IFERROR(_xlfn.XLOOKUP(C1077&amp;A1077, ESPN!A:A&amp;ESPN!C:C, ESPN!H:H), "N/A")</f>
        <v>49</v>
      </c>
      <c r="O1077" s="26" cm="1">
        <f t="array" ref="O1077">IFERROR(_xlfn.XLOOKUP(C1077&amp;A1077, ESPN!A:A&amp;ESPN!C:C, ESPN!I:I), "N/A")</f>
        <v>26</v>
      </c>
      <c r="P1077" s="26" cm="1">
        <f t="array" ref="P1077">IFERROR(_xlfn.XLOOKUP(C1077&amp;A1077, ESPN!A:A&amp;ESPN!C:C, ESPN!J:J), "N/A")</f>
        <v>55</v>
      </c>
      <c r="Q1077" s="26" cm="1">
        <f t="array" ref="Q1077">IFERROR(_xlfn.XLOOKUP(C1077&amp;A1077, ESPN!A:A&amp;ESPN!C:C, ESPN!K:K), "N/A")</f>
        <v>42</v>
      </c>
    </row>
    <row r="1078" spans="1:17" x14ac:dyDescent="0.45">
      <c r="A1078" s="6">
        <v>2019</v>
      </c>
      <c r="B1078" s="1" t="s">
        <v>342</v>
      </c>
      <c r="C1078" s="2" t="str">
        <f t="shared" si="32"/>
        <v>Dalvin Cook</v>
      </c>
      <c r="D1078" s="2" t="str">
        <f t="shared" si="33"/>
        <v>MIN</v>
      </c>
      <c r="E1078" s="2">
        <v>14</v>
      </c>
      <c r="F1078" s="12">
        <v>63</v>
      </c>
      <c r="G1078" s="11">
        <v>53</v>
      </c>
      <c r="H1078" s="11">
        <v>519</v>
      </c>
      <c r="I1078" s="11">
        <v>9.8000000000000007</v>
      </c>
      <c r="J1078" s="11">
        <v>0</v>
      </c>
      <c r="K1078" s="11">
        <v>2</v>
      </c>
      <c r="L1078" s="11" cm="1">
        <f t="array" ref="L1078">IFERROR(_xlfn.XLOOKUP(C1078&amp;A1078, ESPN!A:A&amp;ESPN!C:C, ESPN!D:D), "N/A")</f>
        <v>212</v>
      </c>
      <c r="M1078" s="23" cm="1">
        <f t="array" ref="M1078">IFERROR(_xlfn.XLOOKUP(C1078&amp;A1078, ESPN!A:A&amp;ESPN!C:C, ESPN!G:G), "N/A")</f>
        <v>2.66</v>
      </c>
      <c r="N1078" s="23" cm="1">
        <f t="array" ref="N1078">IFERROR(_xlfn.XLOOKUP(C1078&amp;A1078, ESPN!A:A&amp;ESPN!C:C, ESPN!H:H), "N/A")</f>
        <v>50</v>
      </c>
      <c r="O1078" s="26" cm="1">
        <f t="array" ref="O1078">IFERROR(_xlfn.XLOOKUP(C1078&amp;A1078, ESPN!A:A&amp;ESPN!C:C, ESPN!I:I), "N/A")</f>
        <v>53</v>
      </c>
      <c r="P1078" s="26" cm="1">
        <f t="array" ref="P1078">IFERROR(_xlfn.XLOOKUP(C1078&amp;A1078, ESPN!A:A&amp;ESPN!C:C, ESPN!J:J), "N/A")</f>
        <v>74</v>
      </c>
      <c r="Q1078" s="26" cm="1">
        <f t="array" ref="Q1078">IFERROR(_xlfn.XLOOKUP(C1078&amp;A1078, ESPN!A:A&amp;ESPN!C:C, ESPN!K:K), "N/A")</f>
        <v>72</v>
      </c>
    </row>
    <row r="1079" spans="1:17" x14ac:dyDescent="0.45">
      <c r="A1079" s="7">
        <v>2019</v>
      </c>
      <c r="B1079" s="3" t="s">
        <v>190</v>
      </c>
      <c r="C1079" s="4" t="str">
        <f t="shared" si="32"/>
        <v>Nick Chubb</v>
      </c>
      <c r="D1079" s="4" t="str">
        <f t="shared" si="33"/>
        <v>CLE</v>
      </c>
      <c r="E1079" s="4">
        <v>16</v>
      </c>
      <c r="F1079" s="12">
        <v>49</v>
      </c>
      <c r="G1079" s="11">
        <v>36</v>
      </c>
      <c r="H1079" s="11">
        <v>278</v>
      </c>
      <c r="I1079" s="11">
        <v>7.7</v>
      </c>
      <c r="J1079" s="11">
        <v>0</v>
      </c>
      <c r="K1079" s="11">
        <v>3</v>
      </c>
      <c r="L1079" s="11" cm="1">
        <f t="array" ref="L1079">IFERROR(_xlfn.XLOOKUP(C1079&amp;A1079, ESPN!A:A&amp;ESPN!C:C, ESPN!D:D), "N/A")</f>
        <v>168</v>
      </c>
      <c r="M1079" s="23" cm="1">
        <f t="array" ref="M1079">IFERROR(_xlfn.XLOOKUP(C1079&amp;A1079, ESPN!A:A&amp;ESPN!C:C, ESPN!G:G), "N/A")</f>
        <v>1.65</v>
      </c>
      <c r="N1079" s="23" cm="1">
        <f t="array" ref="N1079">IFERROR(_xlfn.XLOOKUP(C1079&amp;A1079, ESPN!A:A&amp;ESPN!C:C, ESPN!H:H), "N/A")</f>
        <v>31</v>
      </c>
      <c r="O1079" s="26" cm="1">
        <f t="array" ref="O1079">IFERROR(_xlfn.XLOOKUP(C1079&amp;A1079, ESPN!A:A&amp;ESPN!C:C, ESPN!I:I), "N/A")</f>
        <v>43</v>
      </c>
      <c r="P1079" s="26" cm="1">
        <f t="array" ref="P1079">IFERROR(_xlfn.XLOOKUP(C1079&amp;A1079, ESPN!A:A&amp;ESPN!C:C, ESPN!J:J), "N/A")</f>
        <v>64</v>
      </c>
      <c r="Q1079" s="26" cm="1">
        <f t="array" ref="Q1079">IFERROR(_xlfn.XLOOKUP(C1079&amp;A1079, ESPN!A:A&amp;ESPN!C:C, ESPN!K:K), "N/A")</f>
        <v>51</v>
      </c>
    </row>
    <row r="1080" spans="1:17" x14ac:dyDescent="0.45">
      <c r="A1080" s="6">
        <v>2019</v>
      </c>
      <c r="B1080" s="1" t="s">
        <v>261</v>
      </c>
      <c r="C1080" s="2" t="str">
        <f t="shared" si="32"/>
        <v>Austin Ekeler</v>
      </c>
      <c r="D1080" s="2" t="str">
        <f t="shared" si="33"/>
        <v>LAC</v>
      </c>
      <c r="E1080" s="2">
        <v>16</v>
      </c>
      <c r="F1080" s="12">
        <v>108</v>
      </c>
      <c r="G1080" s="11">
        <v>92</v>
      </c>
      <c r="H1080" s="11">
        <v>993</v>
      </c>
      <c r="I1080" s="11">
        <v>10.8</v>
      </c>
      <c r="J1080" s="11">
        <v>8</v>
      </c>
      <c r="K1080" s="11">
        <v>2</v>
      </c>
      <c r="L1080" s="11" cm="1">
        <f t="array" ref="L1080">IFERROR(_xlfn.XLOOKUP(C1080&amp;A1080, ESPN!A:A&amp;ESPN!C:C, ESPN!D:D), "N/A")</f>
        <v>267</v>
      </c>
      <c r="M1080" s="23" cm="1">
        <f t="array" ref="M1080">IFERROR(_xlfn.XLOOKUP(C1080&amp;A1080, ESPN!A:A&amp;ESPN!C:C, ESPN!G:G), "N/A")</f>
        <v>3.72</v>
      </c>
      <c r="N1080" s="23" cm="1">
        <f t="array" ref="N1080">IFERROR(_xlfn.XLOOKUP(C1080&amp;A1080, ESPN!A:A&amp;ESPN!C:C, ESPN!H:H), "N/A")</f>
        <v>63</v>
      </c>
      <c r="O1080" s="26" cm="1">
        <f t="array" ref="O1080">IFERROR(_xlfn.XLOOKUP(C1080&amp;A1080, ESPN!A:A&amp;ESPN!C:C, ESPN!I:I), "N/A")</f>
        <v>92</v>
      </c>
      <c r="P1080" s="26" cm="1">
        <f t="array" ref="P1080">IFERROR(_xlfn.XLOOKUP(C1080&amp;A1080, ESPN!A:A&amp;ESPN!C:C, ESPN!J:J), "N/A")</f>
        <v>72</v>
      </c>
      <c r="Q1080" s="26" cm="1">
        <f t="array" ref="Q1080">IFERROR(_xlfn.XLOOKUP(C1080&amp;A1080, ESPN!A:A&amp;ESPN!C:C, ESPN!K:K), "N/A")</f>
        <v>94</v>
      </c>
    </row>
    <row r="1081" spans="1:17" x14ac:dyDescent="0.45">
      <c r="A1081" s="7">
        <v>2019</v>
      </c>
      <c r="B1081" s="3" t="s">
        <v>548</v>
      </c>
      <c r="C1081" s="4" t="str">
        <f t="shared" si="32"/>
        <v>Mark Ingram II</v>
      </c>
      <c r="D1081" s="4" t="str">
        <f t="shared" si="33"/>
        <v>BAL</v>
      </c>
      <c r="E1081" s="4">
        <v>15</v>
      </c>
      <c r="F1081" s="12">
        <v>29</v>
      </c>
      <c r="G1081" s="11">
        <v>26</v>
      </c>
      <c r="H1081" s="11">
        <v>247</v>
      </c>
      <c r="I1081" s="11">
        <v>9.5</v>
      </c>
      <c r="J1081" s="11">
        <v>5</v>
      </c>
      <c r="K1081" s="11">
        <v>2</v>
      </c>
      <c r="L1081" s="11" cm="1">
        <f t="array" ref="L1081">IFERROR(_xlfn.XLOOKUP(C1081&amp;A1081, ESPN!A:A&amp;ESPN!C:C, ESPN!D:D), "N/A")</f>
        <v>139</v>
      </c>
      <c r="M1081" s="23" cm="1">
        <f t="array" ref="M1081">IFERROR(_xlfn.XLOOKUP(C1081&amp;A1081, ESPN!A:A&amp;ESPN!C:C, ESPN!G:G), "N/A")</f>
        <v>1.84</v>
      </c>
      <c r="N1081" s="23" cm="1">
        <f t="array" ref="N1081">IFERROR(_xlfn.XLOOKUP(C1081&amp;A1081, ESPN!A:A&amp;ESPN!C:C, ESPN!H:H), "N/A")</f>
        <v>61</v>
      </c>
      <c r="O1081" s="26" cm="1">
        <f t="array" ref="O1081">IFERROR(_xlfn.XLOOKUP(C1081&amp;A1081, ESPN!A:A&amp;ESPN!C:C, ESPN!I:I), "N/A")</f>
        <v>70</v>
      </c>
      <c r="P1081" s="26" cm="1">
        <f t="array" ref="P1081">IFERROR(_xlfn.XLOOKUP(C1081&amp;A1081, ESPN!A:A&amp;ESPN!C:C, ESPN!J:J), "N/A")</f>
        <v>59</v>
      </c>
      <c r="Q1081" s="26" cm="1">
        <f t="array" ref="Q1081">IFERROR(_xlfn.XLOOKUP(C1081&amp;A1081, ESPN!A:A&amp;ESPN!C:C, ESPN!K:K), "N/A")</f>
        <v>71</v>
      </c>
    </row>
    <row r="1082" spans="1:17" x14ac:dyDescent="0.45">
      <c r="A1082" s="6">
        <v>2019</v>
      </c>
      <c r="B1082" s="1" t="s">
        <v>448</v>
      </c>
      <c r="C1082" s="2" t="str">
        <f t="shared" si="32"/>
        <v>Chris Carson</v>
      </c>
      <c r="D1082" s="2" t="str">
        <f t="shared" si="33"/>
        <v>SEA</v>
      </c>
      <c r="E1082" s="2">
        <v>15</v>
      </c>
      <c r="F1082" s="12">
        <v>47</v>
      </c>
      <c r="G1082" s="11">
        <v>37</v>
      </c>
      <c r="H1082" s="11">
        <v>266</v>
      </c>
      <c r="I1082" s="11">
        <v>7.2</v>
      </c>
      <c r="J1082" s="11">
        <v>2</v>
      </c>
      <c r="K1082" s="11">
        <v>4</v>
      </c>
      <c r="L1082" s="11" cm="1">
        <f t="array" ref="L1082">IFERROR(_xlfn.XLOOKUP(C1082&amp;A1082, ESPN!A:A&amp;ESPN!C:C, ESPN!D:D), "N/A")</f>
        <v>222</v>
      </c>
      <c r="M1082" s="23" cm="1">
        <f t="array" ref="M1082">IFERROR(_xlfn.XLOOKUP(C1082&amp;A1082, ESPN!A:A&amp;ESPN!C:C, ESPN!G:G), "N/A")</f>
        <v>1.2</v>
      </c>
      <c r="N1082" s="23" cm="1">
        <f t="array" ref="N1082">IFERROR(_xlfn.XLOOKUP(C1082&amp;A1082, ESPN!A:A&amp;ESPN!C:C, ESPN!H:H), "N/A")</f>
        <v>32</v>
      </c>
      <c r="O1082" s="26" cm="1">
        <f t="array" ref="O1082">IFERROR(_xlfn.XLOOKUP(C1082&amp;A1082, ESPN!A:A&amp;ESPN!C:C, ESPN!I:I), "N/A")</f>
        <v>41</v>
      </c>
      <c r="P1082" s="26" cm="1">
        <f t="array" ref="P1082">IFERROR(_xlfn.XLOOKUP(C1082&amp;A1082, ESPN!A:A&amp;ESPN!C:C, ESPN!J:J), "N/A")</f>
        <v>55</v>
      </c>
      <c r="Q1082" s="26" cm="1">
        <f t="array" ref="Q1082">IFERROR(_xlfn.XLOOKUP(C1082&amp;A1082, ESPN!A:A&amp;ESPN!C:C, ESPN!K:K), "N/A")</f>
        <v>43</v>
      </c>
    </row>
    <row r="1083" spans="1:17" x14ac:dyDescent="0.45">
      <c r="A1083" s="7">
        <v>2019</v>
      </c>
      <c r="B1083" s="3" t="s">
        <v>254</v>
      </c>
      <c r="C1083" s="4" t="str">
        <f t="shared" si="32"/>
        <v>Saquon Barkley</v>
      </c>
      <c r="D1083" s="4" t="str">
        <f t="shared" si="33"/>
        <v>NYG</v>
      </c>
      <c r="E1083" s="4">
        <v>13</v>
      </c>
      <c r="F1083" s="12">
        <v>73</v>
      </c>
      <c r="G1083" s="11">
        <v>52</v>
      </c>
      <c r="H1083" s="11">
        <v>438</v>
      </c>
      <c r="I1083" s="11">
        <v>8.4</v>
      </c>
      <c r="J1083" s="11">
        <v>2</v>
      </c>
      <c r="K1083" s="11">
        <v>0</v>
      </c>
      <c r="L1083" s="11" t="str" cm="1">
        <f t="array" ref="L1083">IFERROR(_xlfn.XLOOKUP(C1083&amp;A1083, ESPN!A:A&amp;ESPN!C:C, ESPN!D:D), "N/A")</f>
        <v>N/A</v>
      </c>
      <c r="M1083" s="23" t="str" cm="1">
        <f t="array" ref="M1083">IFERROR(_xlfn.XLOOKUP(C1083&amp;A1083, ESPN!A:A&amp;ESPN!C:C, ESPN!G:G), "N/A")</f>
        <v>N/A</v>
      </c>
      <c r="N1083" s="23" t="str" cm="1">
        <f t="array" ref="N1083">IFERROR(_xlfn.XLOOKUP(C1083&amp;A1083, ESPN!A:A&amp;ESPN!C:C, ESPN!H:H), "N/A")</f>
        <v>N/A</v>
      </c>
      <c r="O1083" s="26" t="str" cm="1">
        <f t="array" ref="O1083">IFERROR(_xlfn.XLOOKUP(C1083&amp;A1083, ESPN!A:A&amp;ESPN!C:C, ESPN!I:I), "N/A")</f>
        <v>N/A</v>
      </c>
      <c r="P1083" s="26" t="str" cm="1">
        <f t="array" ref="P1083">IFERROR(_xlfn.XLOOKUP(C1083&amp;A1083, ESPN!A:A&amp;ESPN!C:C, ESPN!J:J), "N/A")</f>
        <v>N/A</v>
      </c>
      <c r="Q1083" s="26" t="str" cm="1">
        <f t="array" ref="Q1083">IFERROR(_xlfn.XLOOKUP(C1083&amp;A1083, ESPN!A:A&amp;ESPN!C:C, ESPN!K:K), "N/A")</f>
        <v>N/A</v>
      </c>
    </row>
    <row r="1084" spans="1:17" x14ac:dyDescent="0.45">
      <c r="A1084" s="6">
        <v>2019</v>
      </c>
      <c r="B1084" s="1" t="s">
        <v>253</v>
      </c>
      <c r="C1084" s="2" t="str">
        <f t="shared" si="32"/>
        <v>Joe Mixon</v>
      </c>
      <c r="D1084" s="2" t="str">
        <f t="shared" si="33"/>
        <v>CIN</v>
      </c>
      <c r="E1084" s="2">
        <v>16</v>
      </c>
      <c r="F1084" s="12">
        <v>45</v>
      </c>
      <c r="G1084" s="11">
        <v>35</v>
      </c>
      <c r="H1084" s="11">
        <v>287</v>
      </c>
      <c r="I1084" s="11">
        <v>8.1999999999999993</v>
      </c>
      <c r="J1084" s="11">
        <v>3</v>
      </c>
      <c r="K1084" s="11">
        <v>0</v>
      </c>
      <c r="L1084" s="11" t="str" cm="1">
        <f t="array" ref="L1084">IFERROR(_xlfn.XLOOKUP(C1084&amp;A1084, ESPN!A:A&amp;ESPN!C:C, ESPN!D:D), "N/A")</f>
        <v>N/A</v>
      </c>
      <c r="M1084" s="23" t="str" cm="1">
        <f t="array" ref="M1084">IFERROR(_xlfn.XLOOKUP(C1084&amp;A1084, ESPN!A:A&amp;ESPN!C:C, ESPN!G:G), "N/A")</f>
        <v>N/A</v>
      </c>
      <c r="N1084" s="23" t="str" cm="1">
        <f t="array" ref="N1084">IFERROR(_xlfn.XLOOKUP(C1084&amp;A1084, ESPN!A:A&amp;ESPN!C:C, ESPN!H:H), "N/A")</f>
        <v>N/A</v>
      </c>
      <c r="O1084" s="26" t="str" cm="1">
        <f t="array" ref="O1084">IFERROR(_xlfn.XLOOKUP(C1084&amp;A1084, ESPN!A:A&amp;ESPN!C:C, ESPN!I:I), "N/A")</f>
        <v>N/A</v>
      </c>
      <c r="P1084" s="26" t="str" cm="1">
        <f t="array" ref="P1084">IFERROR(_xlfn.XLOOKUP(C1084&amp;A1084, ESPN!A:A&amp;ESPN!C:C, ESPN!J:J), "N/A")</f>
        <v>N/A</v>
      </c>
      <c r="Q1084" s="26" t="str" cm="1">
        <f t="array" ref="Q1084">IFERROR(_xlfn.XLOOKUP(C1084&amp;A1084, ESPN!A:A&amp;ESPN!C:C, ESPN!K:K), "N/A")</f>
        <v>N/A</v>
      </c>
    </row>
    <row r="1085" spans="1:17" x14ac:dyDescent="0.45">
      <c r="A1085" s="7">
        <v>2019</v>
      </c>
      <c r="B1085" s="3" t="s">
        <v>600</v>
      </c>
      <c r="C1085" s="4" t="str">
        <f t="shared" si="32"/>
        <v>Todd Gurley II</v>
      </c>
      <c r="D1085" s="4" t="str">
        <f t="shared" si="33"/>
        <v>LAR</v>
      </c>
      <c r="E1085" s="4">
        <v>15</v>
      </c>
      <c r="F1085" s="12">
        <v>49</v>
      </c>
      <c r="G1085" s="11">
        <v>31</v>
      </c>
      <c r="H1085" s="11">
        <v>207</v>
      </c>
      <c r="I1085" s="11">
        <v>6.7</v>
      </c>
      <c r="J1085" s="11">
        <v>2</v>
      </c>
      <c r="K1085" s="11">
        <v>2</v>
      </c>
      <c r="L1085" s="11" cm="1">
        <f t="array" ref="L1085">IFERROR(_xlfn.XLOOKUP(C1085&amp;A1085, ESPN!A:A&amp;ESPN!C:C, ESPN!D:D), "N/A")</f>
        <v>286</v>
      </c>
      <c r="M1085" s="23" cm="1">
        <f t="array" ref="M1085">IFERROR(_xlfn.XLOOKUP(C1085&amp;A1085, ESPN!A:A&amp;ESPN!C:C, ESPN!G:G), "N/A")</f>
        <v>0.72</v>
      </c>
      <c r="N1085" s="23" cm="1">
        <f t="array" ref="N1085">IFERROR(_xlfn.XLOOKUP(C1085&amp;A1085, ESPN!A:A&amp;ESPN!C:C, ESPN!H:H), "N/A")</f>
        <v>36</v>
      </c>
      <c r="O1085" s="26" cm="1">
        <f t="array" ref="O1085">IFERROR(_xlfn.XLOOKUP(C1085&amp;A1085, ESPN!A:A&amp;ESPN!C:C, ESPN!I:I), "N/A")</f>
        <v>31</v>
      </c>
      <c r="P1085" s="26" cm="1">
        <f t="array" ref="P1085">IFERROR(_xlfn.XLOOKUP(C1085&amp;A1085, ESPN!A:A&amp;ESPN!C:C, ESPN!J:J), "N/A")</f>
        <v>50</v>
      </c>
      <c r="Q1085" s="26" cm="1">
        <f t="array" ref="Q1085">IFERROR(_xlfn.XLOOKUP(C1085&amp;A1085, ESPN!A:A&amp;ESPN!C:C, ESPN!K:K), "N/A")</f>
        <v>36</v>
      </c>
    </row>
    <row r="1086" spans="1:17" x14ac:dyDescent="0.45">
      <c r="A1086" s="6">
        <v>2019</v>
      </c>
      <c r="B1086" s="1" t="s">
        <v>601</v>
      </c>
      <c r="C1086" s="2" t="str">
        <f t="shared" si="32"/>
        <v>Leonard Fournette</v>
      </c>
      <c r="D1086" s="2" t="str">
        <f t="shared" si="33"/>
        <v>JAC</v>
      </c>
      <c r="E1086" s="2">
        <v>15</v>
      </c>
      <c r="F1086" s="12">
        <v>100</v>
      </c>
      <c r="G1086" s="11">
        <v>76</v>
      </c>
      <c r="H1086" s="11">
        <v>522</v>
      </c>
      <c r="I1086" s="11">
        <v>6.9</v>
      </c>
      <c r="J1086" s="11">
        <v>0</v>
      </c>
      <c r="K1086" s="11">
        <v>1</v>
      </c>
      <c r="L1086" s="11" cm="1">
        <f t="array" ref="L1086">IFERROR(_xlfn.XLOOKUP(C1086&amp;A1086, ESPN!A:A&amp;ESPN!C:C, ESPN!D:D), "N/A")</f>
        <v>347</v>
      </c>
      <c r="M1086" s="23" cm="1">
        <f t="array" ref="M1086">IFERROR(_xlfn.XLOOKUP(C1086&amp;A1086, ESPN!A:A&amp;ESPN!C:C, ESPN!G:G), "N/A")</f>
        <v>1.5</v>
      </c>
      <c r="N1086" s="23" cm="1">
        <f t="array" ref="N1086">IFERROR(_xlfn.XLOOKUP(C1086&amp;A1086, ESPN!A:A&amp;ESPN!C:C, ESPN!H:H), "N/A")</f>
        <v>64</v>
      </c>
      <c r="O1086" s="26" cm="1">
        <f t="array" ref="O1086">IFERROR(_xlfn.XLOOKUP(C1086&amp;A1086, ESPN!A:A&amp;ESPN!C:C, ESPN!I:I), "N/A")</f>
        <v>54</v>
      </c>
      <c r="P1086" s="26" cm="1">
        <f t="array" ref="P1086">IFERROR(_xlfn.XLOOKUP(C1086&amp;A1086, ESPN!A:A&amp;ESPN!C:C, ESPN!J:J), "N/A")</f>
        <v>46</v>
      </c>
      <c r="Q1086" s="26" cm="1">
        <f t="array" ref="Q1086">IFERROR(_xlfn.XLOOKUP(C1086&amp;A1086, ESPN!A:A&amp;ESPN!C:C, ESPN!K:K), "N/A")</f>
        <v>54</v>
      </c>
    </row>
    <row r="1087" spans="1:17" x14ac:dyDescent="0.45">
      <c r="A1087" s="7">
        <v>2019</v>
      </c>
      <c r="B1087" s="3" t="s">
        <v>602</v>
      </c>
      <c r="C1087" s="4" t="str">
        <f t="shared" si="32"/>
        <v>Josh Jacobs</v>
      </c>
      <c r="D1087" s="4" t="str">
        <f t="shared" si="33"/>
        <v>OAK</v>
      </c>
      <c r="E1087" s="4">
        <v>13</v>
      </c>
      <c r="F1087" s="12">
        <v>27</v>
      </c>
      <c r="G1087" s="11">
        <v>20</v>
      </c>
      <c r="H1087" s="11">
        <v>166</v>
      </c>
      <c r="I1087" s="11">
        <v>8.3000000000000007</v>
      </c>
      <c r="J1087" s="11">
        <v>0</v>
      </c>
      <c r="K1087" s="11">
        <v>1</v>
      </c>
      <c r="L1087" s="11" cm="1">
        <f t="array" ref="L1087">IFERROR(_xlfn.XLOOKUP(C1087&amp;A1087, ESPN!A:A&amp;ESPN!C:C, ESPN!D:D), "N/A")</f>
        <v>96</v>
      </c>
      <c r="M1087" s="23" cm="1">
        <f t="array" ref="M1087">IFERROR(_xlfn.XLOOKUP(C1087&amp;A1087, ESPN!A:A&amp;ESPN!C:C, ESPN!G:G), "N/A")</f>
        <v>1.73</v>
      </c>
      <c r="N1087" s="23" cm="1">
        <f t="array" ref="N1087">IFERROR(_xlfn.XLOOKUP(C1087&amp;A1087, ESPN!A:A&amp;ESPN!C:C, ESPN!H:H), "N/A")</f>
        <v>46</v>
      </c>
      <c r="O1087" s="26" cm="1">
        <f t="array" ref="O1087">IFERROR(_xlfn.XLOOKUP(C1087&amp;A1087, ESPN!A:A&amp;ESPN!C:C, ESPN!I:I), "N/A")</f>
        <v>37</v>
      </c>
      <c r="P1087" s="26" cm="1">
        <f t="array" ref="P1087">IFERROR(_xlfn.XLOOKUP(C1087&amp;A1087, ESPN!A:A&amp;ESPN!C:C, ESPN!J:J), "N/A")</f>
        <v>69</v>
      </c>
      <c r="Q1087" s="26" cm="1">
        <f t="array" ref="Q1087">IFERROR(_xlfn.XLOOKUP(C1087&amp;A1087, ESPN!A:A&amp;ESPN!C:C, ESPN!K:K), "N/A")</f>
        <v>59</v>
      </c>
    </row>
    <row r="1088" spans="1:17" x14ac:dyDescent="0.45">
      <c r="A1088" s="6">
        <v>2019</v>
      </c>
      <c r="B1088" s="1" t="s">
        <v>343</v>
      </c>
      <c r="C1088" s="2" t="str">
        <f t="shared" si="32"/>
        <v>Miles Sanders</v>
      </c>
      <c r="D1088" s="2" t="str">
        <f t="shared" si="33"/>
        <v>PHI</v>
      </c>
      <c r="E1088" s="2">
        <v>16</v>
      </c>
      <c r="F1088" s="12">
        <v>63</v>
      </c>
      <c r="G1088" s="11">
        <v>50</v>
      </c>
      <c r="H1088" s="11">
        <v>509</v>
      </c>
      <c r="I1088" s="11">
        <v>10.199999999999999</v>
      </c>
      <c r="J1088" s="11">
        <v>3</v>
      </c>
      <c r="K1088" s="11">
        <v>1</v>
      </c>
      <c r="L1088" s="11" cm="1">
        <f t="array" ref="L1088">IFERROR(_xlfn.XLOOKUP(C1088&amp;A1088, ESPN!A:A&amp;ESPN!C:C, ESPN!D:D), "N/A")</f>
        <v>251</v>
      </c>
      <c r="M1088" s="23" cm="1">
        <f t="array" ref="M1088">IFERROR(_xlfn.XLOOKUP(C1088&amp;A1088, ESPN!A:A&amp;ESPN!C:C, ESPN!G:G), "N/A")</f>
        <v>2.06</v>
      </c>
      <c r="N1088" s="23" cm="1">
        <f t="array" ref="N1088">IFERROR(_xlfn.XLOOKUP(C1088&amp;A1088, ESPN!A:A&amp;ESPN!C:C, ESPN!H:H), "N/A")</f>
        <v>41</v>
      </c>
      <c r="O1088" s="26" cm="1">
        <f t="array" ref="O1088">IFERROR(_xlfn.XLOOKUP(C1088&amp;A1088, ESPN!A:A&amp;ESPN!C:C, ESPN!I:I), "N/A")</f>
        <v>71</v>
      </c>
      <c r="P1088" s="26" cm="1">
        <f t="array" ref="P1088">IFERROR(_xlfn.XLOOKUP(C1088&amp;A1088, ESPN!A:A&amp;ESPN!C:C, ESPN!J:J), "N/A")</f>
        <v>61</v>
      </c>
      <c r="Q1088" s="26" cm="1">
        <f t="array" ref="Q1088">IFERROR(_xlfn.XLOOKUP(C1088&amp;A1088, ESPN!A:A&amp;ESPN!C:C, ESPN!K:K), "N/A")</f>
        <v>67</v>
      </c>
    </row>
    <row r="1089" spans="1:17" x14ac:dyDescent="0.45">
      <c r="A1089" s="7">
        <v>2019</v>
      </c>
      <c r="B1089" s="3" t="s">
        <v>49</v>
      </c>
      <c r="C1089" s="4" t="str">
        <f t="shared" si="32"/>
        <v>Alvin Kamara</v>
      </c>
      <c r="D1089" s="4" t="str">
        <f t="shared" si="33"/>
        <v>NO</v>
      </c>
      <c r="E1089" s="4">
        <v>14</v>
      </c>
      <c r="F1089" s="12">
        <v>97</v>
      </c>
      <c r="G1089" s="11">
        <v>81</v>
      </c>
      <c r="H1089" s="11">
        <v>533</v>
      </c>
      <c r="I1089" s="11">
        <v>6.6</v>
      </c>
      <c r="J1089" s="11">
        <v>1</v>
      </c>
      <c r="K1089" s="11">
        <v>1</v>
      </c>
      <c r="L1089" s="11" cm="1">
        <f t="array" ref="L1089">IFERROR(_xlfn.XLOOKUP(C1089&amp;A1089, ESPN!A:A&amp;ESPN!C:C, ESPN!D:D), "N/A")</f>
        <v>297</v>
      </c>
      <c r="M1089" s="23" cm="1">
        <f t="array" ref="M1089">IFERROR(_xlfn.XLOOKUP(C1089&amp;A1089, ESPN!A:A&amp;ESPN!C:C, ESPN!G:G), "N/A")</f>
        <v>1.91</v>
      </c>
      <c r="N1089" s="23" cm="1">
        <f t="array" ref="N1089">IFERROR(_xlfn.XLOOKUP(C1089&amp;A1089, ESPN!A:A&amp;ESPN!C:C, ESPN!H:H), "N/A")</f>
        <v>51</v>
      </c>
      <c r="O1089" s="26" cm="1">
        <f t="array" ref="O1089">IFERROR(_xlfn.XLOOKUP(C1089&amp;A1089, ESPN!A:A&amp;ESPN!C:C, ESPN!I:I), "N/A")</f>
        <v>49</v>
      </c>
      <c r="P1089" s="26" cm="1">
        <f t="array" ref="P1089">IFERROR(_xlfn.XLOOKUP(C1089&amp;A1089, ESPN!A:A&amp;ESPN!C:C, ESPN!J:J), "N/A")</f>
        <v>48</v>
      </c>
      <c r="Q1089" s="26" cm="1">
        <f t="array" ref="Q1089">IFERROR(_xlfn.XLOOKUP(C1089&amp;A1089, ESPN!A:A&amp;ESPN!C:C, ESPN!K:K), "N/A")</f>
        <v>48</v>
      </c>
    </row>
    <row r="1090" spans="1:17" x14ac:dyDescent="0.45">
      <c r="A1090" s="6">
        <v>2019</v>
      </c>
      <c r="B1090" s="1" t="s">
        <v>473</v>
      </c>
      <c r="C1090" s="2" t="str">
        <f t="shared" ref="C1090:C1153" si="34">TRIM(LEFT(B1090, LEN(B1090) - LEN(TRIM(RIGHT(SUBSTITUTE(TRIM(B1090)," ",REPT(" ",100)),100)))))</f>
        <v>Marlon Mack</v>
      </c>
      <c r="D1090" s="2" t="str">
        <f t="shared" ref="D1090:D1153" si="35">MID(B1090, FIND("(", B1090) + 1, FIND(")", B1090) - FIND("(", B1090) - 1)</f>
        <v>IND</v>
      </c>
      <c r="E1090" s="2">
        <v>14</v>
      </c>
      <c r="F1090" s="12">
        <v>17</v>
      </c>
      <c r="G1090" s="11">
        <v>14</v>
      </c>
      <c r="H1090" s="11">
        <v>82</v>
      </c>
      <c r="I1090" s="11">
        <v>5.9</v>
      </c>
      <c r="J1090" s="11">
        <v>0</v>
      </c>
      <c r="K1090" s="11">
        <v>0</v>
      </c>
      <c r="L1090" s="11" t="str" cm="1">
        <f t="array" ref="L1090">IFERROR(_xlfn.XLOOKUP(C1090&amp;A1090, ESPN!A:A&amp;ESPN!C:C, ESPN!D:D), "N/A")</f>
        <v>N/A</v>
      </c>
      <c r="M1090" s="23" t="str" cm="1">
        <f t="array" ref="M1090">IFERROR(_xlfn.XLOOKUP(C1090&amp;A1090, ESPN!A:A&amp;ESPN!C:C, ESPN!G:G), "N/A")</f>
        <v>N/A</v>
      </c>
      <c r="N1090" s="23" t="str" cm="1">
        <f t="array" ref="N1090">IFERROR(_xlfn.XLOOKUP(C1090&amp;A1090, ESPN!A:A&amp;ESPN!C:C, ESPN!H:H), "N/A")</f>
        <v>N/A</v>
      </c>
      <c r="O1090" s="26" t="str" cm="1">
        <f t="array" ref="O1090">IFERROR(_xlfn.XLOOKUP(C1090&amp;A1090, ESPN!A:A&amp;ESPN!C:C, ESPN!I:I), "N/A")</f>
        <v>N/A</v>
      </c>
      <c r="P1090" s="26" t="str" cm="1">
        <f t="array" ref="P1090">IFERROR(_xlfn.XLOOKUP(C1090&amp;A1090, ESPN!A:A&amp;ESPN!C:C, ESPN!J:J), "N/A")</f>
        <v>N/A</v>
      </c>
      <c r="Q1090" s="26" t="str" cm="1">
        <f t="array" ref="Q1090">IFERROR(_xlfn.XLOOKUP(C1090&amp;A1090, ESPN!A:A&amp;ESPN!C:C, ESPN!K:K), "N/A")</f>
        <v>N/A</v>
      </c>
    </row>
    <row r="1091" spans="1:17" x14ac:dyDescent="0.45">
      <c r="A1091" s="7">
        <v>2019</v>
      </c>
      <c r="B1091" s="3" t="s">
        <v>526</v>
      </c>
      <c r="C1091" s="4" t="str">
        <f t="shared" si="34"/>
        <v>Kenyan Drake</v>
      </c>
      <c r="D1091" s="4" t="str">
        <f t="shared" si="35"/>
        <v>ARI</v>
      </c>
      <c r="E1091" s="4">
        <v>14</v>
      </c>
      <c r="F1091" s="12">
        <v>68</v>
      </c>
      <c r="G1091" s="11">
        <v>50</v>
      </c>
      <c r="H1091" s="11">
        <v>345</v>
      </c>
      <c r="I1091" s="11">
        <v>6.9</v>
      </c>
      <c r="J1091" s="11">
        <v>0</v>
      </c>
      <c r="K1091" s="11">
        <v>1</v>
      </c>
      <c r="L1091" s="11" cm="1">
        <f t="array" ref="L1091">IFERROR(_xlfn.XLOOKUP(C1091&amp;A1091, ESPN!A:A&amp;ESPN!C:C, ESPN!D:D), "N/A")</f>
        <v>184</v>
      </c>
      <c r="M1091" s="23" cm="1">
        <f t="array" ref="M1091">IFERROR(_xlfn.XLOOKUP(C1091&amp;A1091, ESPN!A:A&amp;ESPN!C:C, ESPN!G:G), "N/A")</f>
        <v>1.88</v>
      </c>
      <c r="N1091" s="23" cm="1">
        <f t="array" ref="N1091">IFERROR(_xlfn.XLOOKUP(C1091&amp;A1091, ESPN!A:A&amp;ESPN!C:C, ESPN!H:H), "N/A")</f>
        <v>41</v>
      </c>
      <c r="O1091" s="26" cm="1">
        <f t="array" ref="O1091">IFERROR(_xlfn.XLOOKUP(C1091&amp;A1091, ESPN!A:A&amp;ESPN!C:C, ESPN!I:I), "N/A")</f>
        <v>29</v>
      </c>
      <c r="P1091" s="26" cm="1">
        <f t="array" ref="P1091">IFERROR(_xlfn.XLOOKUP(C1091&amp;A1091, ESPN!A:A&amp;ESPN!C:C, ESPN!J:J), "N/A")</f>
        <v>45</v>
      </c>
      <c r="Q1091" s="26" cm="1">
        <f t="array" ref="Q1091">IFERROR(_xlfn.XLOOKUP(C1091&amp;A1091, ESPN!A:A&amp;ESPN!C:C, ESPN!K:K), "N/A")</f>
        <v>32</v>
      </c>
    </row>
    <row r="1092" spans="1:17" x14ac:dyDescent="0.45">
      <c r="A1092" s="6">
        <v>2019</v>
      </c>
      <c r="B1092" s="1" t="s">
        <v>543</v>
      </c>
      <c r="C1092" s="2" t="str">
        <f t="shared" si="34"/>
        <v>Phillip Lindsay</v>
      </c>
      <c r="D1092" s="2" t="str">
        <f t="shared" si="35"/>
        <v>DEN</v>
      </c>
      <c r="E1092" s="2">
        <v>16</v>
      </c>
      <c r="F1092" s="12">
        <v>48</v>
      </c>
      <c r="G1092" s="11">
        <v>35</v>
      </c>
      <c r="H1092" s="11">
        <v>196</v>
      </c>
      <c r="I1092" s="11">
        <v>5.6</v>
      </c>
      <c r="J1092" s="11">
        <v>0</v>
      </c>
      <c r="K1092" s="11">
        <v>0</v>
      </c>
      <c r="L1092" s="11" cm="1">
        <f t="array" ref="L1092">IFERROR(_xlfn.XLOOKUP(C1092&amp;A1092, ESPN!A:A&amp;ESPN!C:C, ESPN!D:D), "N/A")</f>
        <v>142</v>
      </c>
      <c r="M1092" s="23" cm="1">
        <f t="array" ref="M1092">IFERROR(_xlfn.XLOOKUP(C1092&amp;A1092, ESPN!A:A&amp;ESPN!C:C, ESPN!G:G), "N/A")</f>
        <v>1.38</v>
      </c>
      <c r="N1092" s="23" cm="1">
        <f t="array" ref="N1092">IFERROR(_xlfn.XLOOKUP(C1092&amp;A1092, ESPN!A:A&amp;ESPN!C:C, ESPN!H:H), "N/A")</f>
        <v>61</v>
      </c>
      <c r="O1092" s="26" cm="1">
        <f t="array" ref="O1092">IFERROR(_xlfn.XLOOKUP(C1092&amp;A1092, ESPN!A:A&amp;ESPN!C:C, ESPN!I:I), "N/A")</f>
        <v>23</v>
      </c>
      <c r="P1092" s="26" cm="1">
        <f t="array" ref="P1092">IFERROR(_xlfn.XLOOKUP(C1092&amp;A1092, ESPN!A:A&amp;ESPN!C:C, ESPN!J:J), "N/A")</f>
        <v>37</v>
      </c>
      <c r="Q1092" s="26" cm="1">
        <f t="array" ref="Q1092">IFERROR(_xlfn.XLOOKUP(C1092&amp;A1092, ESPN!A:A&amp;ESPN!C:C, ESPN!K:K), "N/A")</f>
        <v>30</v>
      </c>
    </row>
    <row r="1093" spans="1:17" x14ac:dyDescent="0.45">
      <c r="A1093" s="7">
        <v>2019</v>
      </c>
      <c r="B1093" s="3" t="s">
        <v>490</v>
      </c>
      <c r="C1093" s="4" t="str">
        <f t="shared" si="34"/>
        <v>Raheem Mostert</v>
      </c>
      <c r="D1093" s="4" t="str">
        <f t="shared" si="35"/>
        <v>SF</v>
      </c>
      <c r="E1093" s="4">
        <v>16</v>
      </c>
      <c r="F1093" s="12">
        <v>22</v>
      </c>
      <c r="G1093" s="11">
        <v>14</v>
      </c>
      <c r="H1093" s="11">
        <v>180</v>
      </c>
      <c r="I1093" s="11">
        <v>12.9</v>
      </c>
      <c r="J1093" s="11">
        <v>2</v>
      </c>
      <c r="K1093" s="11">
        <v>2</v>
      </c>
      <c r="L1093" s="11" t="str" cm="1">
        <f t="array" ref="L1093">IFERROR(_xlfn.XLOOKUP(C1093&amp;A1093, ESPN!A:A&amp;ESPN!C:C, ESPN!D:D), "N/A")</f>
        <v>N/A</v>
      </c>
      <c r="M1093" s="23" t="str" cm="1">
        <f t="array" ref="M1093">IFERROR(_xlfn.XLOOKUP(C1093&amp;A1093, ESPN!A:A&amp;ESPN!C:C, ESPN!G:G), "N/A")</f>
        <v>N/A</v>
      </c>
      <c r="N1093" s="23" t="str" cm="1">
        <f t="array" ref="N1093">IFERROR(_xlfn.XLOOKUP(C1093&amp;A1093, ESPN!A:A&amp;ESPN!C:C, ESPN!H:H), "N/A")</f>
        <v>N/A</v>
      </c>
      <c r="O1093" s="26" t="str" cm="1">
        <f t="array" ref="O1093">IFERROR(_xlfn.XLOOKUP(C1093&amp;A1093, ESPN!A:A&amp;ESPN!C:C, ESPN!I:I), "N/A")</f>
        <v>N/A</v>
      </c>
      <c r="P1093" s="26" t="str" cm="1">
        <f t="array" ref="P1093">IFERROR(_xlfn.XLOOKUP(C1093&amp;A1093, ESPN!A:A&amp;ESPN!C:C, ESPN!J:J), "N/A")</f>
        <v>N/A</v>
      </c>
      <c r="Q1093" s="26" t="str" cm="1">
        <f t="array" ref="Q1093">IFERROR(_xlfn.XLOOKUP(C1093&amp;A1093, ESPN!A:A&amp;ESPN!C:C, ESPN!K:K), "N/A")</f>
        <v>N/A</v>
      </c>
    </row>
    <row r="1094" spans="1:17" x14ac:dyDescent="0.45">
      <c r="A1094" s="6">
        <v>2019</v>
      </c>
      <c r="B1094" s="1" t="s">
        <v>603</v>
      </c>
      <c r="C1094" s="2" t="str">
        <f t="shared" si="34"/>
        <v>Le'Veon Bell</v>
      </c>
      <c r="D1094" s="2" t="str">
        <f t="shared" si="35"/>
        <v>NYJ</v>
      </c>
      <c r="E1094" s="2">
        <v>15</v>
      </c>
      <c r="F1094" s="12">
        <v>78</v>
      </c>
      <c r="G1094" s="11">
        <v>66</v>
      </c>
      <c r="H1094" s="11">
        <v>461</v>
      </c>
      <c r="I1094" s="11">
        <v>7</v>
      </c>
      <c r="J1094" s="11">
        <v>1</v>
      </c>
      <c r="K1094" s="11">
        <v>1</v>
      </c>
      <c r="L1094" s="11" cm="1">
        <f t="array" ref="L1094">IFERROR(_xlfn.XLOOKUP(C1094&amp;A1094, ESPN!A:A&amp;ESPN!C:C, ESPN!D:D), "N/A")</f>
        <v>277</v>
      </c>
      <c r="M1094" s="23" cm="1">
        <f t="array" ref="M1094">IFERROR(_xlfn.XLOOKUP(C1094&amp;A1094, ESPN!A:A&amp;ESPN!C:C, ESPN!G:G), "N/A")</f>
        <v>1.66</v>
      </c>
      <c r="N1094" s="23" cm="1">
        <f t="array" ref="N1094">IFERROR(_xlfn.XLOOKUP(C1094&amp;A1094, ESPN!A:A&amp;ESPN!C:C, ESPN!H:H), "N/A")</f>
        <v>35</v>
      </c>
      <c r="O1094" s="26" cm="1">
        <f t="array" ref="O1094">IFERROR(_xlfn.XLOOKUP(C1094&amp;A1094, ESPN!A:A&amp;ESPN!C:C, ESPN!I:I), "N/A")</f>
        <v>81</v>
      </c>
      <c r="P1094" s="26" cm="1">
        <f t="array" ref="P1094">IFERROR(_xlfn.XLOOKUP(C1094&amp;A1094, ESPN!A:A&amp;ESPN!C:C, ESPN!J:J), "N/A")</f>
        <v>53</v>
      </c>
      <c r="Q1094" s="26" cm="1">
        <f t="array" ref="Q1094">IFERROR(_xlfn.XLOOKUP(C1094&amp;A1094, ESPN!A:A&amp;ESPN!C:C, ESPN!K:K), "N/A")</f>
        <v>62</v>
      </c>
    </row>
    <row r="1095" spans="1:17" x14ac:dyDescent="0.45">
      <c r="A1095" s="7">
        <v>2019</v>
      </c>
      <c r="B1095" s="3" t="s">
        <v>345</v>
      </c>
      <c r="C1095" s="4" t="str">
        <f t="shared" si="34"/>
        <v>David Montgomery</v>
      </c>
      <c r="D1095" s="4" t="str">
        <f t="shared" si="35"/>
        <v>CHI</v>
      </c>
      <c r="E1095" s="4">
        <v>16</v>
      </c>
      <c r="F1095" s="12">
        <v>35</v>
      </c>
      <c r="G1095" s="11">
        <v>25</v>
      </c>
      <c r="H1095" s="11">
        <v>185</v>
      </c>
      <c r="I1095" s="11">
        <v>7.4</v>
      </c>
      <c r="J1095" s="11">
        <v>1</v>
      </c>
      <c r="K1095" s="11">
        <v>2</v>
      </c>
      <c r="L1095" s="11" cm="1">
        <f t="array" ref="L1095">IFERROR(_xlfn.XLOOKUP(C1095&amp;A1095, ESPN!A:A&amp;ESPN!C:C, ESPN!D:D), "N/A")</f>
        <v>147</v>
      </c>
      <c r="M1095" s="23" cm="1">
        <f t="array" ref="M1095">IFERROR(_xlfn.XLOOKUP(C1095&amp;A1095, ESPN!A:A&amp;ESPN!C:C, ESPN!G:G), "N/A")</f>
        <v>1.26</v>
      </c>
      <c r="N1095" s="23" cm="1">
        <f t="array" ref="N1095">IFERROR(_xlfn.XLOOKUP(C1095&amp;A1095, ESPN!A:A&amp;ESPN!C:C, ESPN!H:H), "N/A")</f>
        <v>39</v>
      </c>
      <c r="O1095" s="26" cm="1">
        <f t="array" ref="O1095">IFERROR(_xlfn.XLOOKUP(C1095&amp;A1095, ESPN!A:A&amp;ESPN!C:C, ESPN!I:I), "N/A")</f>
        <v>47</v>
      </c>
      <c r="P1095" s="26" cm="1">
        <f t="array" ref="P1095">IFERROR(_xlfn.XLOOKUP(C1095&amp;A1095, ESPN!A:A&amp;ESPN!C:C, ESPN!J:J), "N/A")</f>
        <v>42</v>
      </c>
      <c r="Q1095" s="26" cm="1">
        <f t="array" ref="Q1095">IFERROR(_xlfn.XLOOKUP(C1095&amp;A1095, ESPN!A:A&amp;ESPN!C:C, ESPN!K:K), "N/A")</f>
        <v>38</v>
      </c>
    </row>
    <row r="1096" spans="1:17" x14ac:dyDescent="0.45">
      <c r="A1096" s="6">
        <v>2019</v>
      </c>
      <c r="B1096" s="1" t="s">
        <v>604</v>
      </c>
      <c r="C1096" s="2" t="str">
        <f t="shared" si="34"/>
        <v>Carlos Hyde</v>
      </c>
      <c r="D1096" s="2" t="str">
        <f t="shared" si="35"/>
        <v>HOU</v>
      </c>
      <c r="E1096" s="2">
        <v>16</v>
      </c>
      <c r="F1096" s="12">
        <v>16</v>
      </c>
      <c r="G1096" s="11">
        <v>10</v>
      </c>
      <c r="H1096" s="11">
        <v>42</v>
      </c>
      <c r="I1096" s="11">
        <v>4.2</v>
      </c>
      <c r="J1096" s="11">
        <v>0</v>
      </c>
      <c r="K1096" s="11">
        <v>2</v>
      </c>
      <c r="L1096" s="11" t="str" cm="1">
        <f t="array" ref="L1096">IFERROR(_xlfn.XLOOKUP(C1096&amp;A1096, ESPN!A:A&amp;ESPN!C:C, ESPN!D:D), "N/A")</f>
        <v>N/A</v>
      </c>
      <c r="M1096" s="23" t="str" cm="1">
        <f t="array" ref="M1096">IFERROR(_xlfn.XLOOKUP(C1096&amp;A1096, ESPN!A:A&amp;ESPN!C:C, ESPN!G:G), "N/A")</f>
        <v>N/A</v>
      </c>
      <c r="N1096" s="23" t="str" cm="1">
        <f t="array" ref="N1096">IFERROR(_xlfn.XLOOKUP(C1096&amp;A1096, ESPN!A:A&amp;ESPN!C:C, ESPN!H:H), "N/A")</f>
        <v>N/A</v>
      </c>
      <c r="O1096" s="26" t="str" cm="1">
        <f t="array" ref="O1096">IFERROR(_xlfn.XLOOKUP(C1096&amp;A1096, ESPN!A:A&amp;ESPN!C:C, ESPN!I:I), "N/A")</f>
        <v>N/A</v>
      </c>
      <c r="P1096" s="26" t="str" cm="1">
        <f t="array" ref="P1096">IFERROR(_xlfn.XLOOKUP(C1096&amp;A1096, ESPN!A:A&amp;ESPN!C:C, ESPN!J:J), "N/A")</f>
        <v>N/A</v>
      </c>
      <c r="Q1096" s="26" t="str" cm="1">
        <f t="array" ref="Q1096">IFERROR(_xlfn.XLOOKUP(C1096&amp;A1096, ESPN!A:A&amp;ESPN!C:C, ESPN!K:K), "N/A")</f>
        <v>N/A</v>
      </c>
    </row>
    <row r="1097" spans="1:17" x14ac:dyDescent="0.45">
      <c r="A1097" s="7">
        <v>2019</v>
      </c>
      <c r="B1097" s="3" t="s">
        <v>541</v>
      </c>
      <c r="C1097" s="4" t="str">
        <f t="shared" si="34"/>
        <v>Sony Michel</v>
      </c>
      <c r="D1097" s="4" t="str">
        <f t="shared" si="35"/>
        <v>NE</v>
      </c>
      <c r="E1097" s="4">
        <v>16</v>
      </c>
      <c r="F1097" s="12">
        <v>20</v>
      </c>
      <c r="G1097" s="11">
        <v>12</v>
      </c>
      <c r="H1097" s="11">
        <v>94</v>
      </c>
      <c r="I1097" s="11">
        <v>7.8</v>
      </c>
      <c r="J1097" s="11">
        <v>0</v>
      </c>
      <c r="K1097" s="11">
        <v>1</v>
      </c>
      <c r="L1097" s="11" t="str" cm="1">
        <f t="array" ref="L1097">IFERROR(_xlfn.XLOOKUP(C1097&amp;A1097, ESPN!A:A&amp;ESPN!C:C, ESPN!D:D), "N/A")</f>
        <v>N/A</v>
      </c>
      <c r="M1097" s="23" t="str" cm="1">
        <f t="array" ref="M1097">IFERROR(_xlfn.XLOOKUP(C1097&amp;A1097, ESPN!A:A&amp;ESPN!C:C, ESPN!G:G), "N/A")</f>
        <v>N/A</v>
      </c>
      <c r="N1097" s="23" t="str" cm="1">
        <f t="array" ref="N1097">IFERROR(_xlfn.XLOOKUP(C1097&amp;A1097, ESPN!A:A&amp;ESPN!C:C, ESPN!H:H), "N/A")</f>
        <v>N/A</v>
      </c>
      <c r="O1097" s="26" t="str" cm="1">
        <f t="array" ref="O1097">IFERROR(_xlfn.XLOOKUP(C1097&amp;A1097, ESPN!A:A&amp;ESPN!C:C, ESPN!I:I), "N/A")</f>
        <v>N/A</v>
      </c>
      <c r="P1097" s="26" t="str" cm="1">
        <f t="array" ref="P1097">IFERROR(_xlfn.XLOOKUP(C1097&amp;A1097, ESPN!A:A&amp;ESPN!C:C, ESPN!J:J), "N/A")</f>
        <v>N/A</v>
      </c>
      <c r="Q1097" s="26" t="str" cm="1">
        <f t="array" ref="Q1097">IFERROR(_xlfn.XLOOKUP(C1097&amp;A1097, ESPN!A:A&amp;ESPN!C:C, ESPN!K:K), "N/A")</f>
        <v>N/A</v>
      </c>
    </row>
    <row r="1098" spans="1:17" x14ac:dyDescent="0.45">
      <c r="A1098" s="6">
        <v>2019</v>
      </c>
      <c r="B1098" s="1" t="s">
        <v>605</v>
      </c>
      <c r="C1098" s="2" t="str">
        <f t="shared" si="34"/>
        <v>Melvin Gordon III</v>
      </c>
      <c r="D1098" s="2" t="str">
        <f t="shared" si="35"/>
        <v>LAC</v>
      </c>
      <c r="E1098" s="2">
        <v>12</v>
      </c>
      <c r="F1098" s="12">
        <v>55</v>
      </c>
      <c r="G1098" s="11">
        <v>42</v>
      </c>
      <c r="H1098" s="11">
        <v>296</v>
      </c>
      <c r="I1098" s="11">
        <v>7</v>
      </c>
      <c r="J1098" s="11">
        <v>1</v>
      </c>
      <c r="K1098" s="11">
        <v>3</v>
      </c>
      <c r="L1098" s="11" cm="1">
        <f t="array" ref="L1098">IFERROR(_xlfn.XLOOKUP(C1098&amp;A1098, ESPN!A:A&amp;ESPN!C:C, ESPN!D:D), "N/A")</f>
        <v>156</v>
      </c>
      <c r="M1098" s="23" cm="1">
        <f t="array" ref="M1098">IFERROR(_xlfn.XLOOKUP(C1098&amp;A1098, ESPN!A:A&amp;ESPN!C:C, ESPN!G:G), "N/A")</f>
        <v>1.9</v>
      </c>
      <c r="N1098" s="23" cm="1">
        <f t="array" ref="N1098">IFERROR(_xlfn.XLOOKUP(C1098&amp;A1098, ESPN!A:A&amp;ESPN!C:C, ESPN!H:H), "N/A")</f>
        <v>46</v>
      </c>
      <c r="O1098" s="26" cm="1">
        <f t="array" ref="O1098">IFERROR(_xlfn.XLOOKUP(C1098&amp;A1098, ESPN!A:A&amp;ESPN!C:C, ESPN!I:I), "N/A")</f>
        <v>36</v>
      </c>
      <c r="P1098" s="26" cm="1">
        <f t="array" ref="P1098">IFERROR(_xlfn.XLOOKUP(C1098&amp;A1098, ESPN!A:A&amp;ESPN!C:C, ESPN!J:J), "N/A")</f>
        <v>61</v>
      </c>
      <c r="Q1098" s="26" cm="1">
        <f t="array" ref="Q1098">IFERROR(_xlfn.XLOOKUP(C1098&amp;A1098, ESPN!A:A&amp;ESPN!C:C, ESPN!K:K), "N/A")</f>
        <v>50</v>
      </c>
    </row>
    <row r="1099" spans="1:17" x14ac:dyDescent="0.45">
      <c r="A1099" s="7">
        <v>2019</v>
      </c>
      <c r="B1099" s="3" t="s">
        <v>606</v>
      </c>
      <c r="C1099" s="4" t="str">
        <f t="shared" si="34"/>
        <v>Devonta Freeman</v>
      </c>
      <c r="D1099" s="4" t="str">
        <f t="shared" si="35"/>
        <v>ATL</v>
      </c>
      <c r="E1099" s="4">
        <v>14</v>
      </c>
      <c r="F1099" s="12">
        <v>70</v>
      </c>
      <c r="G1099" s="11">
        <v>59</v>
      </c>
      <c r="H1099" s="11">
        <v>410</v>
      </c>
      <c r="I1099" s="11">
        <v>6.9</v>
      </c>
      <c r="J1099" s="11">
        <v>4</v>
      </c>
      <c r="K1099" s="11">
        <v>2</v>
      </c>
      <c r="L1099" s="11" cm="1">
        <f t="array" ref="L1099">IFERROR(_xlfn.XLOOKUP(C1099&amp;A1099, ESPN!A:A&amp;ESPN!C:C, ESPN!D:D), "N/A")</f>
        <v>235</v>
      </c>
      <c r="M1099" s="23" cm="1">
        <f t="array" ref="M1099">IFERROR(_xlfn.XLOOKUP(C1099&amp;A1099, ESPN!A:A&amp;ESPN!C:C, ESPN!G:G), "N/A")</f>
        <v>1.74</v>
      </c>
      <c r="N1099" s="23" cm="1">
        <f t="array" ref="N1099">IFERROR(_xlfn.XLOOKUP(C1099&amp;A1099, ESPN!A:A&amp;ESPN!C:C, ESPN!H:H), "N/A")</f>
        <v>51</v>
      </c>
      <c r="O1099" s="26" cm="1">
        <f t="array" ref="O1099">IFERROR(_xlfn.XLOOKUP(C1099&amp;A1099, ESPN!A:A&amp;ESPN!C:C, ESPN!I:I), "N/A")</f>
        <v>68</v>
      </c>
      <c r="P1099" s="26" cm="1">
        <f t="array" ref="P1099">IFERROR(_xlfn.XLOOKUP(C1099&amp;A1099, ESPN!A:A&amp;ESPN!C:C, ESPN!J:J), "N/A")</f>
        <v>41</v>
      </c>
      <c r="Q1099" s="26" cm="1">
        <f t="array" ref="Q1099">IFERROR(_xlfn.XLOOKUP(C1099&amp;A1099, ESPN!A:A&amp;ESPN!C:C, ESPN!K:K), "N/A")</f>
        <v>52</v>
      </c>
    </row>
    <row r="1100" spans="1:17" x14ac:dyDescent="0.45">
      <c r="A1100" s="6">
        <v>2019</v>
      </c>
      <c r="B1100" s="1" t="s">
        <v>437</v>
      </c>
      <c r="C1100" s="2" t="str">
        <f t="shared" si="34"/>
        <v>Ronald Jones II</v>
      </c>
      <c r="D1100" s="2" t="str">
        <f t="shared" si="35"/>
        <v>TB</v>
      </c>
      <c r="E1100" s="2">
        <v>16</v>
      </c>
      <c r="F1100" s="12">
        <v>40</v>
      </c>
      <c r="G1100" s="11">
        <v>31</v>
      </c>
      <c r="H1100" s="11">
        <v>309</v>
      </c>
      <c r="I1100" s="11">
        <v>10</v>
      </c>
      <c r="J1100" s="11">
        <v>0</v>
      </c>
      <c r="K1100" s="11">
        <v>2</v>
      </c>
      <c r="L1100" s="11" cm="1">
        <f t="array" ref="L1100">IFERROR(_xlfn.XLOOKUP(C1100&amp;A1100, ESPN!A:A&amp;ESPN!C:C, ESPN!D:D), "N/A")</f>
        <v>107</v>
      </c>
      <c r="M1100" s="23" cm="1">
        <f t="array" ref="M1100">IFERROR(_xlfn.XLOOKUP(C1100&amp;A1100, ESPN!A:A&amp;ESPN!C:C, ESPN!G:G), "N/A")</f>
        <v>2.89</v>
      </c>
      <c r="N1100" s="23" cm="1">
        <f t="array" ref="N1100">IFERROR(_xlfn.XLOOKUP(C1100&amp;A1100, ESPN!A:A&amp;ESPN!C:C, ESPN!H:H), "N/A")</f>
        <v>51</v>
      </c>
      <c r="O1100" s="26" cm="1">
        <f t="array" ref="O1100">IFERROR(_xlfn.XLOOKUP(C1100&amp;A1100, ESPN!A:A&amp;ESPN!C:C, ESPN!I:I), "N/A")</f>
        <v>41</v>
      </c>
      <c r="P1100" s="26" cm="1">
        <f t="array" ref="P1100">IFERROR(_xlfn.XLOOKUP(C1100&amp;A1100, ESPN!A:A&amp;ESPN!C:C, ESPN!J:J), "N/A")</f>
        <v>49</v>
      </c>
      <c r="Q1100" s="26" cm="1">
        <f t="array" ref="Q1100">IFERROR(_xlfn.XLOOKUP(C1100&amp;A1100, ESPN!A:A&amp;ESPN!C:C, ESPN!K:K), "N/A")</f>
        <v>45</v>
      </c>
    </row>
    <row r="1101" spans="1:17" x14ac:dyDescent="0.45">
      <c r="A1101" s="7">
        <v>2019</v>
      </c>
      <c r="B1101" s="3" t="s">
        <v>607</v>
      </c>
      <c r="C1101" s="4" t="str">
        <f t="shared" si="34"/>
        <v>Adrian Peterson</v>
      </c>
      <c r="D1101" s="4" t="str">
        <f t="shared" si="35"/>
        <v>WAS</v>
      </c>
      <c r="E1101" s="4">
        <v>16</v>
      </c>
      <c r="F1101" s="12">
        <v>23</v>
      </c>
      <c r="G1101" s="11">
        <v>17</v>
      </c>
      <c r="H1101" s="11">
        <v>142</v>
      </c>
      <c r="I1101" s="11">
        <v>8.4</v>
      </c>
      <c r="J1101" s="11">
        <v>0</v>
      </c>
      <c r="K1101" s="11">
        <v>2</v>
      </c>
      <c r="L1101" s="11" t="str" cm="1">
        <f t="array" ref="L1101">IFERROR(_xlfn.XLOOKUP(C1101&amp;A1101, ESPN!A:A&amp;ESPN!C:C, ESPN!D:D), "N/A")</f>
        <v>N/A</v>
      </c>
      <c r="M1101" s="23" t="str" cm="1">
        <f t="array" ref="M1101">IFERROR(_xlfn.XLOOKUP(C1101&amp;A1101, ESPN!A:A&amp;ESPN!C:C, ESPN!G:G), "N/A")</f>
        <v>N/A</v>
      </c>
      <c r="N1101" s="23" t="str" cm="1">
        <f t="array" ref="N1101">IFERROR(_xlfn.XLOOKUP(C1101&amp;A1101, ESPN!A:A&amp;ESPN!C:C, ESPN!H:H), "N/A")</f>
        <v>N/A</v>
      </c>
      <c r="O1101" s="26" t="str" cm="1">
        <f t="array" ref="O1101">IFERROR(_xlfn.XLOOKUP(C1101&amp;A1101, ESPN!A:A&amp;ESPN!C:C, ESPN!I:I), "N/A")</f>
        <v>N/A</v>
      </c>
      <c r="P1101" s="26" t="str" cm="1">
        <f t="array" ref="P1101">IFERROR(_xlfn.XLOOKUP(C1101&amp;A1101, ESPN!A:A&amp;ESPN!C:C, ESPN!J:J), "N/A")</f>
        <v>N/A</v>
      </c>
      <c r="Q1101" s="26" t="str" cm="1">
        <f t="array" ref="Q1101">IFERROR(_xlfn.XLOOKUP(C1101&amp;A1101, ESPN!A:A&amp;ESPN!C:C, ESPN!K:K), "N/A")</f>
        <v>N/A</v>
      </c>
    </row>
    <row r="1102" spans="1:17" x14ac:dyDescent="0.45">
      <c r="A1102" s="6">
        <v>2019</v>
      </c>
      <c r="B1102" s="1" t="s">
        <v>465</v>
      </c>
      <c r="C1102" s="2" t="str">
        <f t="shared" si="34"/>
        <v>James White</v>
      </c>
      <c r="D1102" s="2" t="str">
        <f t="shared" si="35"/>
        <v>NE</v>
      </c>
      <c r="E1102" s="2">
        <v>15</v>
      </c>
      <c r="F1102" s="12">
        <v>95</v>
      </c>
      <c r="G1102" s="11">
        <v>72</v>
      </c>
      <c r="H1102" s="11">
        <v>645</v>
      </c>
      <c r="I1102" s="11">
        <v>9</v>
      </c>
      <c r="J1102" s="11">
        <v>5</v>
      </c>
      <c r="K1102" s="11">
        <v>1</v>
      </c>
      <c r="L1102" s="11" cm="1">
        <f t="array" ref="L1102">IFERROR(_xlfn.XLOOKUP(C1102&amp;A1102, ESPN!A:A&amp;ESPN!C:C, ESPN!D:D), "N/A")</f>
        <v>266</v>
      </c>
      <c r="M1102" s="23" cm="1">
        <f t="array" ref="M1102">IFERROR(_xlfn.XLOOKUP(C1102&amp;A1102, ESPN!A:A&amp;ESPN!C:C, ESPN!G:G), "N/A")</f>
        <v>2.66</v>
      </c>
      <c r="N1102" s="23" cm="1">
        <f t="array" ref="N1102">IFERROR(_xlfn.XLOOKUP(C1102&amp;A1102, ESPN!A:A&amp;ESPN!C:C, ESPN!H:H), "N/A")</f>
        <v>55</v>
      </c>
      <c r="O1102" s="26" cm="1">
        <f t="array" ref="O1102">IFERROR(_xlfn.XLOOKUP(C1102&amp;A1102, ESPN!A:A&amp;ESPN!C:C, ESPN!I:I), "N/A")</f>
        <v>68</v>
      </c>
      <c r="P1102" s="26" cm="1">
        <f t="array" ref="P1102">IFERROR(_xlfn.XLOOKUP(C1102&amp;A1102, ESPN!A:A&amp;ESPN!C:C, ESPN!J:J), "N/A")</f>
        <v>54</v>
      </c>
      <c r="Q1102" s="26" cm="1">
        <f t="array" ref="Q1102">IFERROR(_xlfn.XLOOKUP(C1102&amp;A1102, ESPN!A:A&amp;ESPN!C:C, ESPN!K:K), "N/A")</f>
        <v>63</v>
      </c>
    </row>
    <row r="1103" spans="1:17" x14ac:dyDescent="0.45">
      <c r="A1103" s="7">
        <v>2019</v>
      </c>
      <c r="B1103" s="3" t="s">
        <v>531</v>
      </c>
      <c r="C1103" s="4" t="str">
        <f t="shared" si="34"/>
        <v>Latavius Murray</v>
      </c>
      <c r="D1103" s="4" t="str">
        <f t="shared" si="35"/>
        <v>NO</v>
      </c>
      <c r="E1103" s="4">
        <v>16</v>
      </c>
      <c r="F1103" s="12">
        <v>43</v>
      </c>
      <c r="G1103" s="11">
        <v>34</v>
      </c>
      <c r="H1103" s="11">
        <v>235</v>
      </c>
      <c r="I1103" s="11">
        <v>6.9</v>
      </c>
      <c r="J1103" s="11">
        <v>1</v>
      </c>
      <c r="K1103" s="11">
        <v>0</v>
      </c>
      <c r="L1103" s="11" cm="1">
        <f t="array" ref="L1103">IFERROR(_xlfn.XLOOKUP(C1103&amp;A1103, ESPN!A:A&amp;ESPN!C:C, ESPN!D:D), "N/A")</f>
        <v>150</v>
      </c>
      <c r="M1103" s="23" cm="1">
        <f t="array" ref="M1103">IFERROR(_xlfn.XLOOKUP(C1103&amp;A1103, ESPN!A:A&amp;ESPN!C:C, ESPN!G:G), "N/A")</f>
        <v>1.59</v>
      </c>
      <c r="N1103" s="23" cm="1">
        <f t="array" ref="N1103">IFERROR(_xlfn.XLOOKUP(C1103&amp;A1103, ESPN!A:A&amp;ESPN!C:C, ESPN!H:H), "N/A")</f>
        <v>49</v>
      </c>
      <c r="O1103" s="26" cm="1">
        <f t="array" ref="O1103">IFERROR(_xlfn.XLOOKUP(C1103&amp;A1103, ESPN!A:A&amp;ESPN!C:C, ESPN!I:I), "N/A")</f>
        <v>48</v>
      </c>
      <c r="P1103" s="26" cm="1">
        <f t="array" ref="P1103">IFERROR(_xlfn.XLOOKUP(C1103&amp;A1103, ESPN!A:A&amp;ESPN!C:C, ESPN!J:J), "N/A")</f>
        <v>67</v>
      </c>
      <c r="Q1103" s="26" cm="1">
        <f t="array" ref="Q1103">IFERROR(_xlfn.XLOOKUP(C1103&amp;A1103, ESPN!A:A&amp;ESPN!C:C, ESPN!K:K), "N/A")</f>
        <v>63</v>
      </c>
    </row>
    <row r="1104" spans="1:17" x14ac:dyDescent="0.45">
      <c r="A1104" s="6">
        <v>2019</v>
      </c>
      <c r="B1104" s="1" t="s">
        <v>347</v>
      </c>
      <c r="C1104" s="2" t="str">
        <f t="shared" si="34"/>
        <v>Devin Singletary</v>
      </c>
      <c r="D1104" s="2" t="str">
        <f t="shared" si="35"/>
        <v>BUF</v>
      </c>
      <c r="E1104" s="2">
        <v>12</v>
      </c>
      <c r="F1104" s="12">
        <v>41</v>
      </c>
      <c r="G1104" s="11">
        <v>29</v>
      </c>
      <c r="H1104" s="11">
        <v>194</v>
      </c>
      <c r="I1104" s="11">
        <v>6.7</v>
      </c>
      <c r="J1104" s="11">
        <v>2</v>
      </c>
      <c r="K1104" s="11">
        <v>1</v>
      </c>
      <c r="L1104" s="11" cm="1">
        <f t="array" ref="L1104">IFERROR(_xlfn.XLOOKUP(C1104&amp;A1104, ESPN!A:A&amp;ESPN!C:C, ESPN!D:D), "N/A")</f>
        <v>227</v>
      </c>
      <c r="M1104" s="23" cm="1">
        <f t="array" ref="M1104">IFERROR(_xlfn.XLOOKUP(C1104&amp;A1104, ESPN!A:A&amp;ESPN!C:C, ESPN!G:G), "N/A")</f>
        <v>1.19</v>
      </c>
      <c r="N1104" s="23" cm="1">
        <f t="array" ref="N1104">IFERROR(_xlfn.XLOOKUP(C1104&amp;A1104, ESPN!A:A&amp;ESPN!C:C, ESPN!H:H), "N/A")</f>
        <v>44</v>
      </c>
      <c r="O1104" s="26" cm="1">
        <f t="array" ref="O1104">IFERROR(_xlfn.XLOOKUP(C1104&amp;A1104, ESPN!A:A&amp;ESPN!C:C, ESPN!I:I), "N/A")</f>
        <v>31</v>
      </c>
      <c r="P1104" s="26" cm="1">
        <f t="array" ref="P1104">IFERROR(_xlfn.XLOOKUP(C1104&amp;A1104, ESPN!A:A&amp;ESPN!C:C, ESPN!J:J), "N/A")</f>
        <v>52</v>
      </c>
      <c r="Q1104" s="26" cm="1">
        <f t="array" ref="Q1104">IFERROR(_xlfn.XLOOKUP(C1104&amp;A1104, ESPN!A:A&amp;ESPN!C:C, ESPN!K:K), "N/A")</f>
        <v>40</v>
      </c>
    </row>
    <row r="1105" spans="1:17" x14ac:dyDescent="0.45">
      <c r="A1105" s="7">
        <v>2019</v>
      </c>
      <c r="B1105" s="3" t="s">
        <v>373</v>
      </c>
      <c r="C1105" s="4" t="str">
        <f t="shared" si="34"/>
        <v>Tevin Coleman</v>
      </c>
      <c r="D1105" s="4" t="str">
        <f t="shared" si="35"/>
        <v>SF</v>
      </c>
      <c r="E1105" s="4">
        <v>14</v>
      </c>
      <c r="F1105" s="12">
        <v>30</v>
      </c>
      <c r="G1105" s="11">
        <v>21</v>
      </c>
      <c r="H1105" s="11">
        <v>180</v>
      </c>
      <c r="I1105" s="11">
        <v>8.6</v>
      </c>
      <c r="J1105" s="11">
        <v>1</v>
      </c>
      <c r="K1105" s="11">
        <v>0</v>
      </c>
      <c r="L1105" s="11" cm="1">
        <f t="array" ref="L1105">IFERROR(_xlfn.XLOOKUP(C1105&amp;A1105, ESPN!A:A&amp;ESPN!C:C, ESPN!D:D), "N/A")</f>
        <v>125</v>
      </c>
      <c r="M1105" s="23" cm="1">
        <f t="array" ref="M1105">IFERROR(_xlfn.XLOOKUP(C1105&amp;A1105, ESPN!A:A&amp;ESPN!C:C, ESPN!G:G), "N/A")</f>
        <v>1.46</v>
      </c>
      <c r="N1105" s="23" cm="1">
        <f t="array" ref="N1105">IFERROR(_xlfn.XLOOKUP(C1105&amp;A1105, ESPN!A:A&amp;ESPN!C:C, ESPN!H:H), "N/A")</f>
        <v>44</v>
      </c>
      <c r="O1105" s="26" cm="1">
        <f t="array" ref="O1105">IFERROR(_xlfn.XLOOKUP(C1105&amp;A1105, ESPN!A:A&amp;ESPN!C:C, ESPN!I:I), "N/A")</f>
        <v>45</v>
      </c>
      <c r="P1105" s="26" cm="1">
        <f t="array" ref="P1105">IFERROR(_xlfn.XLOOKUP(C1105&amp;A1105, ESPN!A:A&amp;ESPN!C:C, ESPN!J:J), "N/A")</f>
        <v>53</v>
      </c>
      <c r="Q1105" s="26" cm="1">
        <f t="array" ref="Q1105">IFERROR(_xlfn.XLOOKUP(C1105&amp;A1105, ESPN!A:A&amp;ESPN!C:C, ESPN!K:K), "N/A")</f>
        <v>48</v>
      </c>
    </row>
    <row r="1106" spans="1:17" x14ac:dyDescent="0.45">
      <c r="A1106" s="6">
        <v>2019</v>
      </c>
      <c r="B1106" s="1" t="s">
        <v>529</v>
      </c>
      <c r="C1106" s="2" t="str">
        <f t="shared" si="34"/>
        <v>James Conner</v>
      </c>
      <c r="D1106" s="2" t="str">
        <f t="shared" si="35"/>
        <v>PIT</v>
      </c>
      <c r="E1106" s="2">
        <v>10</v>
      </c>
      <c r="F1106" s="12">
        <v>38</v>
      </c>
      <c r="G1106" s="11">
        <v>34</v>
      </c>
      <c r="H1106" s="11">
        <v>251</v>
      </c>
      <c r="I1106" s="11">
        <v>7.4</v>
      </c>
      <c r="J1106" s="11">
        <v>3</v>
      </c>
      <c r="K1106" s="11">
        <v>1</v>
      </c>
      <c r="L1106" s="11" cm="1">
        <f t="array" ref="L1106">IFERROR(_xlfn.XLOOKUP(C1106&amp;A1106, ESPN!A:A&amp;ESPN!C:C, ESPN!D:D), "N/A")</f>
        <v>92</v>
      </c>
      <c r="M1106" s="23" cm="1">
        <f t="array" ref="M1106">IFERROR(_xlfn.XLOOKUP(C1106&amp;A1106, ESPN!A:A&amp;ESPN!C:C, ESPN!G:G), "N/A")</f>
        <v>2.73</v>
      </c>
      <c r="N1106" s="23" cm="1">
        <f t="array" ref="N1106">IFERROR(_xlfn.XLOOKUP(C1106&amp;A1106, ESPN!A:A&amp;ESPN!C:C, ESPN!H:H), "N/A")</f>
        <v>43</v>
      </c>
      <c r="O1106" s="26" cm="1">
        <f t="array" ref="O1106">IFERROR(_xlfn.XLOOKUP(C1106&amp;A1106, ESPN!A:A&amp;ESPN!C:C, ESPN!I:I), "N/A")</f>
        <v>61</v>
      </c>
      <c r="P1106" s="26" cm="1">
        <f t="array" ref="P1106">IFERROR(_xlfn.XLOOKUP(C1106&amp;A1106, ESPN!A:A&amp;ESPN!C:C, ESPN!J:J), "N/A")</f>
        <v>82</v>
      </c>
      <c r="Q1106" s="26" cm="1">
        <f t="array" ref="Q1106">IFERROR(_xlfn.XLOOKUP(C1106&amp;A1106, ESPN!A:A&amp;ESPN!C:C, ESPN!K:K), "N/A")</f>
        <v>80</v>
      </c>
    </row>
    <row r="1107" spans="1:17" x14ac:dyDescent="0.45">
      <c r="A1107" s="7">
        <v>2019</v>
      </c>
      <c r="B1107" s="3" t="s">
        <v>608</v>
      </c>
      <c r="C1107" s="4" t="str">
        <f t="shared" si="34"/>
        <v>Damien Williams</v>
      </c>
      <c r="D1107" s="4" t="str">
        <f t="shared" si="35"/>
        <v>KC</v>
      </c>
      <c r="E1107" s="4">
        <v>11</v>
      </c>
      <c r="F1107" s="12">
        <v>37</v>
      </c>
      <c r="G1107" s="11">
        <v>30</v>
      </c>
      <c r="H1107" s="11">
        <v>213</v>
      </c>
      <c r="I1107" s="11">
        <v>7.1</v>
      </c>
      <c r="J1107" s="11">
        <v>2</v>
      </c>
      <c r="K1107" s="11">
        <v>1</v>
      </c>
      <c r="L1107" s="11" cm="1">
        <f t="array" ref="L1107">IFERROR(_xlfn.XLOOKUP(C1107&amp;A1107, ESPN!A:A&amp;ESPN!C:C, ESPN!D:D), "N/A")</f>
        <v>231</v>
      </c>
      <c r="M1107" s="23" cm="1">
        <f t="array" ref="M1107">IFERROR(_xlfn.XLOOKUP(C1107&amp;A1107, ESPN!A:A&amp;ESPN!C:C, ESPN!G:G), "N/A")</f>
        <v>1.33</v>
      </c>
      <c r="N1107" s="23" cm="1">
        <f t="array" ref="N1107">IFERROR(_xlfn.XLOOKUP(C1107&amp;A1107, ESPN!A:A&amp;ESPN!C:C, ESPN!H:H), "N/A")</f>
        <v>36</v>
      </c>
      <c r="O1107" s="26" cm="1">
        <f t="array" ref="O1107">IFERROR(_xlfn.XLOOKUP(C1107&amp;A1107, ESPN!A:A&amp;ESPN!C:C, ESPN!I:I), "N/A")</f>
        <v>58</v>
      </c>
      <c r="P1107" s="26" cm="1">
        <f t="array" ref="P1107">IFERROR(_xlfn.XLOOKUP(C1107&amp;A1107, ESPN!A:A&amp;ESPN!C:C, ESPN!J:J), "N/A")</f>
        <v>53</v>
      </c>
      <c r="Q1107" s="26" cm="1">
        <f t="array" ref="Q1107">IFERROR(_xlfn.XLOOKUP(C1107&amp;A1107, ESPN!A:A&amp;ESPN!C:C, ESPN!K:K), "N/A")</f>
        <v>51</v>
      </c>
    </row>
    <row r="1108" spans="1:17" x14ac:dyDescent="0.45">
      <c r="A1108" s="6">
        <v>2019</v>
      </c>
      <c r="B1108" s="1" t="s">
        <v>545</v>
      </c>
      <c r="C1108" s="2" t="str">
        <f t="shared" si="34"/>
        <v>Duke Johnson Jr.</v>
      </c>
      <c r="D1108" s="2" t="str">
        <f t="shared" si="35"/>
        <v>HOU</v>
      </c>
      <c r="E1108" s="2">
        <v>16</v>
      </c>
      <c r="F1108" s="12">
        <v>62</v>
      </c>
      <c r="G1108" s="11">
        <v>44</v>
      </c>
      <c r="H1108" s="11">
        <v>410</v>
      </c>
      <c r="I1108" s="11">
        <v>9.3000000000000007</v>
      </c>
      <c r="J1108" s="11">
        <v>3</v>
      </c>
      <c r="K1108" s="11">
        <v>1</v>
      </c>
      <c r="L1108" s="11" cm="1">
        <f t="array" ref="L1108">IFERROR(_xlfn.XLOOKUP(C1108&amp;A1108, ESPN!A:A&amp;ESPN!C:C, ESPN!D:D), "N/A")</f>
        <v>341</v>
      </c>
      <c r="M1108" s="23" cm="1">
        <f t="array" ref="M1108">IFERROR(_xlfn.XLOOKUP(C1108&amp;A1108, ESPN!A:A&amp;ESPN!C:C, ESPN!G:G), "N/A")</f>
        <v>1.36</v>
      </c>
      <c r="N1108" s="23" cm="1">
        <f t="array" ref="N1108">IFERROR(_xlfn.XLOOKUP(C1108&amp;A1108, ESPN!A:A&amp;ESPN!C:C, ESPN!H:H), "N/A")</f>
        <v>39</v>
      </c>
      <c r="O1108" s="26" cm="1">
        <f t="array" ref="O1108">IFERROR(_xlfn.XLOOKUP(C1108&amp;A1108, ESPN!A:A&amp;ESPN!C:C, ESPN!I:I), "N/A")</f>
        <v>52</v>
      </c>
      <c r="P1108" s="26" cm="1">
        <f t="array" ref="P1108">IFERROR(_xlfn.XLOOKUP(C1108&amp;A1108, ESPN!A:A&amp;ESPN!C:C, ESPN!J:J), "N/A")</f>
        <v>59</v>
      </c>
      <c r="Q1108" s="26" cm="1">
        <f t="array" ref="Q1108">IFERROR(_xlfn.XLOOKUP(C1108&amp;A1108, ESPN!A:A&amp;ESPN!C:C, ESPN!K:K), "N/A")</f>
        <v>54</v>
      </c>
    </row>
    <row r="1109" spans="1:17" x14ac:dyDescent="0.45">
      <c r="A1109" s="7">
        <v>2019</v>
      </c>
      <c r="B1109" s="3" t="s">
        <v>534</v>
      </c>
      <c r="C1109" s="4" t="str">
        <f t="shared" si="34"/>
        <v>Jamaal Williams</v>
      </c>
      <c r="D1109" s="4" t="str">
        <f t="shared" si="35"/>
        <v>GB</v>
      </c>
      <c r="E1109" s="4">
        <v>14</v>
      </c>
      <c r="F1109" s="12">
        <v>45</v>
      </c>
      <c r="G1109" s="11">
        <v>39</v>
      </c>
      <c r="H1109" s="11">
        <v>253</v>
      </c>
      <c r="I1109" s="11">
        <v>6.5</v>
      </c>
      <c r="J1109" s="11">
        <v>5</v>
      </c>
      <c r="K1109" s="11">
        <v>0</v>
      </c>
      <c r="L1109" s="11" cm="1">
        <f t="array" ref="L1109">IFERROR(_xlfn.XLOOKUP(C1109&amp;A1109, ESPN!A:A&amp;ESPN!C:C, ESPN!D:D), "N/A")</f>
        <v>154</v>
      </c>
      <c r="M1109" s="23" cm="1">
        <f t="array" ref="M1109">IFERROR(_xlfn.XLOOKUP(C1109&amp;A1109, ESPN!A:A&amp;ESPN!C:C, ESPN!G:G), "N/A")</f>
        <v>1.71</v>
      </c>
      <c r="N1109" s="23" cm="1">
        <f t="array" ref="N1109">IFERROR(_xlfn.XLOOKUP(C1109&amp;A1109, ESPN!A:A&amp;ESPN!C:C, ESPN!H:H), "N/A")</f>
        <v>53</v>
      </c>
      <c r="O1109" s="26" cm="1">
        <f t="array" ref="O1109">IFERROR(_xlfn.XLOOKUP(C1109&amp;A1109, ESPN!A:A&amp;ESPN!C:C, ESPN!I:I), "N/A")</f>
        <v>59</v>
      </c>
      <c r="P1109" s="26" cm="1">
        <f t="array" ref="P1109">IFERROR(_xlfn.XLOOKUP(C1109&amp;A1109, ESPN!A:A&amp;ESPN!C:C, ESPN!J:J), "N/A")</f>
        <v>49</v>
      </c>
      <c r="Q1109" s="26" cm="1">
        <f t="array" ref="Q1109">IFERROR(_xlfn.XLOOKUP(C1109&amp;A1109, ESPN!A:A&amp;ESPN!C:C, ESPN!K:K), "N/A")</f>
        <v>55</v>
      </c>
    </row>
    <row r="1110" spans="1:17" x14ac:dyDescent="0.45">
      <c r="A1110" s="6">
        <v>2019</v>
      </c>
      <c r="B1110" s="1" t="s">
        <v>609</v>
      </c>
      <c r="C1110" s="2" t="str">
        <f t="shared" si="34"/>
        <v>David Johnson</v>
      </c>
      <c r="D1110" s="2" t="str">
        <f t="shared" si="35"/>
        <v>ARI</v>
      </c>
      <c r="E1110" s="2">
        <v>13</v>
      </c>
      <c r="F1110" s="12">
        <v>47</v>
      </c>
      <c r="G1110" s="11">
        <v>36</v>
      </c>
      <c r="H1110" s="11">
        <v>370</v>
      </c>
      <c r="I1110" s="11">
        <v>10.3</v>
      </c>
      <c r="J1110" s="11">
        <v>4</v>
      </c>
      <c r="K1110" s="11">
        <v>1</v>
      </c>
      <c r="L1110" s="11" cm="1">
        <f t="array" ref="L1110">IFERROR(_xlfn.XLOOKUP(C1110&amp;A1110, ESPN!A:A&amp;ESPN!C:C, ESPN!D:D), "N/A")</f>
        <v>155</v>
      </c>
      <c r="M1110" s="23" cm="1">
        <f t="array" ref="M1110">IFERROR(_xlfn.XLOOKUP(C1110&amp;A1110, ESPN!A:A&amp;ESPN!C:C, ESPN!G:G), "N/A")</f>
        <v>2.39</v>
      </c>
      <c r="N1110" s="23" cm="1">
        <f t="array" ref="N1110">IFERROR(_xlfn.XLOOKUP(C1110&amp;A1110, ESPN!A:A&amp;ESPN!C:C, ESPN!H:H), "N/A")</f>
        <v>51</v>
      </c>
      <c r="O1110" s="26" cm="1">
        <f t="array" ref="O1110">IFERROR(_xlfn.XLOOKUP(C1110&amp;A1110, ESPN!A:A&amp;ESPN!C:C, ESPN!I:I), "N/A")</f>
        <v>70</v>
      </c>
      <c r="P1110" s="26" cm="1">
        <f t="array" ref="P1110">IFERROR(_xlfn.XLOOKUP(C1110&amp;A1110, ESPN!A:A&amp;ESPN!C:C, ESPN!J:J), "N/A")</f>
        <v>62</v>
      </c>
      <c r="Q1110" s="26" cm="1">
        <f t="array" ref="Q1110">IFERROR(_xlfn.XLOOKUP(C1110&amp;A1110, ESPN!A:A&amp;ESPN!C:C, ESPN!K:K), "N/A")</f>
        <v>70</v>
      </c>
    </row>
    <row r="1111" spans="1:17" x14ac:dyDescent="0.45">
      <c r="A1111" s="7">
        <v>2019</v>
      </c>
      <c r="B1111" s="3" t="s">
        <v>439</v>
      </c>
      <c r="C1111" s="4" t="str">
        <f t="shared" si="34"/>
        <v>Jordan Howard</v>
      </c>
      <c r="D1111" s="4" t="str">
        <f t="shared" si="35"/>
        <v>PHI</v>
      </c>
      <c r="E1111" s="4">
        <v>10</v>
      </c>
      <c r="F1111" s="12">
        <v>14</v>
      </c>
      <c r="G1111" s="11">
        <v>10</v>
      </c>
      <c r="H1111" s="11">
        <v>69</v>
      </c>
      <c r="I1111" s="11">
        <v>6.9</v>
      </c>
      <c r="J1111" s="11">
        <v>1</v>
      </c>
      <c r="K1111" s="11">
        <v>0</v>
      </c>
      <c r="L1111" s="11" t="str" cm="1">
        <f t="array" ref="L1111">IFERROR(_xlfn.XLOOKUP(C1111&amp;A1111, ESPN!A:A&amp;ESPN!C:C, ESPN!D:D), "N/A")</f>
        <v>N/A</v>
      </c>
      <c r="M1111" s="23" t="str" cm="1">
        <f t="array" ref="M1111">IFERROR(_xlfn.XLOOKUP(C1111&amp;A1111, ESPN!A:A&amp;ESPN!C:C, ESPN!G:G), "N/A")</f>
        <v>N/A</v>
      </c>
      <c r="N1111" s="23" t="str" cm="1">
        <f t="array" ref="N1111">IFERROR(_xlfn.XLOOKUP(C1111&amp;A1111, ESPN!A:A&amp;ESPN!C:C, ESPN!H:H), "N/A")</f>
        <v>N/A</v>
      </c>
      <c r="O1111" s="26" t="str" cm="1">
        <f t="array" ref="O1111">IFERROR(_xlfn.XLOOKUP(C1111&amp;A1111, ESPN!A:A&amp;ESPN!C:C, ESPN!I:I), "N/A")</f>
        <v>N/A</v>
      </c>
      <c r="P1111" s="26" t="str" cm="1">
        <f t="array" ref="P1111">IFERROR(_xlfn.XLOOKUP(C1111&amp;A1111, ESPN!A:A&amp;ESPN!C:C, ESPN!J:J), "N/A")</f>
        <v>N/A</v>
      </c>
      <c r="Q1111" s="26" t="str" cm="1">
        <f t="array" ref="Q1111">IFERROR(_xlfn.XLOOKUP(C1111&amp;A1111, ESPN!A:A&amp;ESPN!C:C, ESPN!K:K), "N/A")</f>
        <v>N/A</v>
      </c>
    </row>
    <row r="1112" spans="1:17" x14ac:dyDescent="0.45">
      <c r="A1112" s="6">
        <v>2019</v>
      </c>
      <c r="B1112" s="1" t="s">
        <v>610</v>
      </c>
      <c r="C1112" s="2" t="str">
        <f t="shared" si="34"/>
        <v>Peyton Barber</v>
      </c>
      <c r="D1112" s="2" t="str">
        <f t="shared" si="35"/>
        <v>TB</v>
      </c>
      <c r="E1112" s="2">
        <v>16</v>
      </c>
      <c r="F1112" s="12">
        <v>24</v>
      </c>
      <c r="G1112" s="11">
        <v>16</v>
      </c>
      <c r="H1112" s="11">
        <v>115</v>
      </c>
      <c r="I1112" s="11">
        <v>7.2</v>
      </c>
      <c r="J1112" s="11">
        <v>1</v>
      </c>
      <c r="K1112" s="11">
        <v>1</v>
      </c>
      <c r="L1112" s="11" t="str" cm="1">
        <f t="array" ref="L1112">IFERROR(_xlfn.XLOOKUP(C1112&amp;A1112, ESPN!A:A&amp;ESPN!C:C, ESPN!D:D), "N/A")</f>
        <v>N/A</v>
      </c>
      <c r="M1112" s="23" t="str" cm="1">
        <f t="array" ref="M1112">IFERROR(_xlfn.XLOOKUP(C1112&amp;A1112, ESPN!A:A&amp;ESPN!C:C, ESPN!G:G), "N/A")</f>
        <v>N/A</v>
      </c>
      <c r="N1112" s="23" t="str" cm="1">
        <f t="array" ref="N1112">IFERROR(_xlfn.XLOOKUP(C1112&amp;A1112, ESPN!A:A&amp;ESPN!C:C, ESPN!H:H), "N/A")</f>
        <v>N/A</v>
      </c>
      <c r="O1112" s="26" t="str" cm="1">
        <f t="array" ref="O1112">IFERROR(_xlfn.XLOOKUP(C1112&amp;A1112, ESPN!A:A&amp;ESPN!C:C, ESPN!I:I), "N/A")</f>
        <v>N/A</v>
      </c>
      <c r="P1112" s="26" t="str" cm="1">
        <f t="array" ref="P1112">IFERROR(_xlfn.XLOOKUP(C1112&amp;A1112, ESPN!A:A&amp;ESPN!C:C, ESPN!J:J), "N/A")</f>
        <v>N/A</v>
      </c>
      <c r="Q1112" s="26" t="str" cm="1">
        <f t="array" ref="Q1112">IFERROR(_xlfn.XLOOKUP(C1112&amp;A1112, ESPN!A:A&amp;ESPN!C:C, ESPN!K:K), "N/A")</f>
        <v>N/A</v>
      </c>
    </row>
    <row r="1113" spans="1:17" x14ac:dyDescent="0.45">
      <c r="A1113" s="7">
        <v>2019</v>
      </c>
      <c r="B1113" s="3" t="s">
        <v>557</v>
      </c>
      <c r="C1113" s="4" t="str">
        <f t="shared" si="34"/>
        <v>Royce Freeman</v>
      </c>
      <c r="D1113" s="4" t="str">
        <f t="shared" si="35"/>
        <v>DEN</v>
      </c>
      <c r="E1113" s="4">
        <v>16</v>
      </c>
      <c r="F1113" s="12">
        <v>50</v>
      </c>
      <c r="G1113" s="11">
        <v>43</v>
      </c>
      <c r="H1113" s="11">
        <v>256</v>
      </c>
      <c r="I1113" s="11">
        <v>6</v>
      </c>
      <c r="J1113" s="11">
        <v>1</v>
      </c>
      <c r="K1113" s="11">
        <v>0</v>
      </c>
      <c r="L1113" s="11" cm="1">
        <f t="array" ref="L1113">IFERROR(_xlfn.XLOOKUP(C1113&amp;A1113, ESPN!A:A&amp;ESPN!C:C, ESPN!D:D), "N/A")</f>
        <v>207</v>
      </c>
      <c r="M1113" s="23" cm="1">
        <f t="array" ref="M1113">IFERROR(_xlfn.XLOOKUP(C1113&amp;A1113, ESPN!A:A&amp;ESPN!C:C, ESPN!G:G), "N/A")</f>
        <v>1.24</v>
      </c>
      <c r="N1113" s="23" cm="1">
        <f t="array" ref="N1113">IFERROR(_xlfn.XLOOKUP(C1113&amp;A1113, ESPN!A:A&amp;ESPN!C:C, ESPN!H:H), "N/A")</f>
        <v>47</v>
      </c>
      <c r="O1113" s="26" cm="1">
        <f t="array" ref="O1113">IFERROR(_xlfn.XLOOKUP(C1113&amp;A1113, ESPN!A:A&amp;ESPN!C:C, ESPN!I:I), "N/A")</f>
        <v>60</v>
      </c>
      <c r="P1113" s="26" cm="1">
        <f t="array" ref="P1113">IFERROR(_xlfn.XLOOKUP(C1113&amp;A1113, ESPN!A:A&amp;ESPN!C:C, ESPN!J:J), "N/A")</f>
        <v>43</v>
      </c>
      <c r="Q1113" s="26" cm="1">
        <f t="array" ref="Q1113">IFERROR(_xlfn.XLOOKUP(C1113&amp;A1113, ESPN!A:A&amp;ESPN!C:C, ESPN!K:K), "N/A")</f>
        <v>48</v>
      </c>
    </row>
    <row r="1114" spans="1:17" x14ac:dyDescent="0.45">
      <c r="A1114" s="6">
        <v>2019</v>
      </c>
      <c r="B1114" s="1" t="s">
        <v>611</v>
      </c>
      <c r="C1114" s="2" t="str">
        <f t="shared" si="34"/>
        <v>LeSean McCoy</v>
      </c>
      <c r="D1114" s="2" t="str">
        <f t="shared" si="35"/>
        <v>KC</v>
      </c>
      <c r="E1114" s="2">
        <v>13</v>
      </c>
      <c r="F1114" s="12">
        <v>34</v>
      </c>
      <c r="G1114" s="11">
        <v>28</v>
      </c>
      <c r="H1114" s="11">
        <v>181</v>
      </c>
      <c r="I1114" s="11">
        <v>6.5</v>
      </c>
      <c r="J1114" s="11">
        <v>1</v>
      </c>
      <c r="K1114" s="11">
        <v>2</v>
      </c>
      <c r="L1114" s="11" cm="1">
        <f t="array" ref="L1114">IFERROR(_xlfn.XLOOKUP(C1114&amp;A1114, ESPN!A:A&amp;ESPN!C:C, ESPN!D:D), "N/A")</f>
        <v>117</v>
      </c>
      <c r="M1114" s="23" cm="1">
        <f t="array" ref="M1114">IFERROR(_xlfn.XLOOKUP(C1114&amp;A1114, ESPN!A:A&amp;ESPN!C:C, ESPN!G:G), "N/A")</f>
        <v>1.55</v>
      </c>
      <c r="N1114" s="23" cm="1">
        <f t="array" ref="N1114">IFERROR(_xlfn.XLOOKUP(C1114&amp;A1114, ESPN!A:A&amp;ESPN!C:C, ESPN!H:H), "N/A")</f>
        <v>52</v>
      </c>
      <c r="O1114" s="26" cm="1">
        <f t="array" ref="O1114">IFERROR(_xlfn.XLOOKUP(C1114&amp;A1114, ESPN!A:A&amp;ESPN!C:C, ESPN!I:I), "N/A")</f>
        <v>60</v>
      </c>
      <c r="P1114" s="26" cm="1">
        <f t="array" ref="P1114">IFERROR(_xlfn.XLOOKUP(C1114&amp;A1114, ESPN!A:A&amp;ESPN!C:C, ESPN!J:J), "N/A")</f>
        <v>30</v>
      </c>
      <c r="Q1114" s="26" cm="1">
        <f t="array" ref="Q1114">IFERROR(_xlfn.XLOOKUP(C1114&amp;A1114, ESPN!A:A&amp;ESPN!C:C, ESPN!K:K), "N/A")</f>
        <v>39</v>
      </c>
    </row>
    <row r="1115" spans="1:17" x14ac:dyDescent="0.45">
      <c r="A1115" s="7">
        <v>2019</v>
      </c>
      <c r="B1115" s="3" t="s">
        <v>612</v>
      </c>
      <c r="C1115" s="4" t="str">
        <f t="shared" si="34"/>
        <v>DeAndre Washington</v>
      </c>
      <c r="D1115" s="4" t="str">
        <f t="shared" si="35"/>
        <v>OAK</v>
      </c>
      <c r="E1115" s="4">
        <v>16</v>
      </c>
      <c r="F1115" s="12">
        <v>41</v>
      </c>
      <c r="G1115" s="11">
        <v>36</v>
      </c>
      <c r="H1115" s="11">
        <v>292</v>
      </c>
      <c r="I1115" s="11">
        <v>8.1</v>
      </c>
      <c r="J1115" s="11">
        <v>0</v>
      </c>
      <c r="K1115" s="11">
        <v>0</v>
      </c>
      <c r="L1115" s="11" cm="1">
        <f t="array" ref="L1115">IFERROR(_xlfn.XLOOKUP(C1115&amp;A1115, ESPN!A:A&amp;ESPN!C:C, ESPN!D:D), "N/A")</f>
        <v>89</v>
      </c>
      <c r="M1115" s="23" cm="1">
        <f t="array" ref="M1115">IFERROR(_xlfn.XLOOKUP(C1115&amp;A1115, ESPN!A:A&amp;ESPN!C:C, ESPN!G:G), "N/A")</f>
        <v>3.28</v>
      </c>
      <c r="N1115" s="23" cm="1">
        <f t="array" ref="N1115">IFERROR(_xlfn.XLOOKUP(C1115&amp;A1115, ESPN!A:A&amp;ESPN!C:C, ESPN!H:H), "N/A")</f>
        <v>68</v>
      </c>
      <c r="O1115" s="26" cm="1">
        <f t="array" ref="O1115">IFERROR(_xlfn.XLOOKUP(C1115&amp;A1115, ESPN!A:A&amp;ESPN!C:C, ESPN!I:I), "N/A")</f>
        <v>54</v>
      </c>
      <c r="P1115" s="26" cm="1">
        <f t="array" ref="P1115">IFERROR(_xlfn.XLOOKUP(C1115&amp;A1115, ESPN!A:A&amp;ESPN!C:C, ESPN!J:J), "N/A")</f>
        <v>44</v>
      </c>
      <c r="Q1115" s="26" cm="1">
        <f t="array" ref="Q1115">IFERROR(_xlfn.XLOOKUP(C1115&amp;A1115, ESPN!A:A&amp;ESPN!C:C, ESPN!K:K), "N/A")</f>
        <v>54</v>
      </c>
    </row>
    <row r="1116" spans="1:17" x14ac:dyDescent="0.45">
      <c r="A1116" s="6">
        <v>2019</v>
      </c>
      <c r="B1116" s="1" t="s">
        <v>255</v>
      </c>
      <c r="C1116" s="2" t="str">
        <f t="shared" si="34"/>
        <v>Gus Edwards</v>
      </c>
      <c r="D1116" s="2" t="str">
        <f t="shared" si="35"/>
        <v>BAL</v>
      </c>
      <c r="E1116" s="2">
        <v>16</v>
      </c>
      <c r="F1116" s="12">
        <v>7</v>
      </c>
      <c r="G1116" s="11">
        <v>7</v>
      </c>
      <c r="H1116" s="11">
        <v>45</v>
      </c>
      <c r="I1116" s="11">
        <v>6.4</v>
      </c>
      <c r="J1116" s="11">
        <v>0</v>
      </c>
      <c r="K1116" s="11">
        <v>1</v>
      </c>
      <c r="L1116" s="11" t="str" cm="1">
        <f t="array" ref="L1116">IFERROR(_xlfn.XLOOKUP(C1116&amp;A1116, ESPN!A:A&amp;ESPN!C:C, ESPN!D:D), "N/A")</f>
        <v>N/A</v>
      </c>
      <c r="M1116" s="23" t="str" cm="1">
        <f t="array" ref="M1116">IFERROR(_xlfn.XLOOKUP(C1116&amp;A1116, ESPN!A:A&amp;ESPN!C:C, ESPN!G:G), "N/A")</f>
        <v>N/A</v>
      </c>
      <c r="N1116" s="23" t="str" cm="1">
        <f t="array" ref="N1116">IFERROR(_xlfn.XLOOKUP(C1116&amp;A1116, ESPN!A:A&amp;ESPN!C:C, ESPN!H:H), "N/A")</f>
        <v>N/A</v>
      </c>
      <c r="O1116" s="26" t="str" cm="1">
        <f t="array" ref="O1116">IFERROR(_xlfn.XLOOKUP(C1116&amp;A1116, ESPN!A:A&amp;ESPN!C:C, ESPN!I:I), "N/A")</f>
        <v>N/A</v>
      </c>
      <c r="P1116" s="26" t="str" cm="1">
        <f t="array" ref="P1116">IFERROR(_xlfn.XLOOKUP(C1116&amp;A1116, ESPN!A:A&amp;ESPN!C:C, ESPN!J:J), "N/A")</f>
        <v>N/A</v>
      </c>
      <c r="Q1116" s="26" t="str" cm="1">
        <f t="array" ref="Q1116">IFERROR(_xlfn.XLOOKUP(C1116&amp;A1116, ESPN!A:A&amp;ESPN!C:C, ESPN!K:K), "N/A")</f>
        <v>N/A</v>
      </c>
    </row>
    <row r="1117" spans="1:17" x14ac:dyDescent="0.45">
      <c r="A1117" s="7">
        <v>2019</v>
      </c>
      <c r="B1117" s="3" t="s">
        <v>504</v>
      </c>
      <c r="C1117" s="4" t="str">
        <f t="shared" si="34"/>
        <v>Tarik Cohen</v>
      </c>
      <c r="D1117" s="4" t="str">
        <f t="shared" si="35"/>
        <v>CHI</v>
      </c>
      <c r="E1117" s="4">
        <v>16</v>
      </c>
      <c r="F1117" s="12">
        <v>104</v>
      </c>
      <c r="G1117" s="11">
        <v>79</v>
      </c>
      <c r="H1117" s="11">
        <v>456</v>
      </c>
      <c r="I1117" s="11">
        <v>5.8</v>
      </c>
      <c r="J1117" s="11">
        <v>3</v>
      </c>
      <c r="K1117" s="11">
        <v>0</v>
      </c>
      <c r="L1117" s="11" cm="1">
        <f t="array" ref="L1117">IFERROR(_xlfn.XLOOKUP(C1117&amp;A1117, ESPN!A:A&amp;ESPN!C:C, ESPN!D:D), "N/A")</f>
        <v>291</v>
      </c>
      <c r="M1117" s="23" cm="1">
        <f t="array" ref="M1117">IFERROR(_xlfn.XLOOKUP(C1117&amp;A1117, ESPN!A:A&amp;ESPN!C:C, ESPN!G:G), "N/A")</f>
        <v>1.57</v>
      </c>
      <c r="N1117" s="23" cm="1">
        <f t="array" ref="N1117">IFERROR(_xlfn.XLOOKUP(C1117&amp;A1117, ESPN!A:A&amp;ESPN!C:C, ESPN!H:H), "N/A")</f>
        <v>41</v>
      </c>
      <c r="O1117" s="26" cm="1">
        <f t="array" ref="O1117">IFERROR(_xlfn.XLOOKUP(C1117&amp;A1117, ESPN!A:A&amp;ESPN!C:C, ESPN!I:I), "N/A")</f>
        <v>30</v>
      </c>
      <c r="P1117" s="26" cm="1">
        <f t="array" ref="P1117">IFERROR(_xlfn.XLOOKUP(C1117&amp;A1117, ESPN!A:A&amp;ESPN!C:C, ESPN!J:J), "N/A")</f>
        <v>43</v>
      </c>
      <c r="Q1117" s="26" cm="1">
        <f t="array" ref="Q1117">IFERROR(_xlfn.XLOOKUP(C1117&amp;A1117, ESPN!A:A&amp;ESPN!C:C, ESPN!K:K), "N/A")</f>
        <v>31</v>
      </c>
    </row>
    <row r="1118" spans="1:17" x14ac:dyDescent="0.45">
      <c r="A1118" s="6">
        <v>2019</v>
      </c>
      <c r="B1118" s="1" t="s">
        <v>613</v>
      </c>
      <c r="C1118" s="2" t="str">
        <f t="shared" si="34"/>
        <v>Matt Breida</v>
      </c>
      <c r="D1118" s="2" t="str">
        <f t="shared" si="35"/>
        <v>SF</v>
      </c>
      <c r="E1118" s="2">
        <v>13</v>
      </c>
      <c r="F1118" s="12">
        <v>22</v>
      </c>
      <c r="G1118" s="11">
        <v>19</v>
      </c>
      <c r="H1118" s="11">
        <v>120</v>
      </c>
      <c r="I1118" s="11">
        <v>6.3</v>
      </c>
      <c r="J1118" s="11">
        <v>1</v>
      </c>
      <c r="K1118" s="11">
        <v>1</v>
      </c>
      <c r="L1118" s="11" t="str" cm="1">
        <f t="array" ref="L1118">IFERROR(_xlfn.XLOOKUP(C1118&amp;A1118, ESPN!A:A&amp;ESPN!C:C, ESPN!D:D), "N/A")</f>
        <v>N/A</v>
      </c>
      <c r="M1118" s="23" t="str" cm="1">
        <f t="array" ref="M1118">IFERROR(_xlfn.XLOOKUP(C1118&amp;A1118, ESPN!A:A&amp;ESPN!C:C, ESPN!G:G), "N/A")</f>
        <v>N/A</v>
      </c>
      <c r="N1118" s="23" t="str" cm="1">
        <f t="array" ref="N1118">IFERROR(_xlfn.XLOOKUP(C1118&amp;A1118, ESPN!A:A&amp;ESPN!C:C, ESPN!H:H), "N/A")</f>
        <v>N/A</v>
      </c>
      <c r="O1118" s="26" t="str" cm="1">
        <f t="array" ref="O1118">IFERROR(_xlfn.XLOOKUP(C1118&amp;A1118, ESPN!A:A&amp;ESPN!C:C, ESPN!I:I), "N/A")</f>
        <v>N/A</v>
      </c>
      <c r="P1118" s="26" t="str" cm="1">
        <f t="array" ref="P1118">IFERROR(_xlfn.XLOOKUP(C1118&amp;A1118, ESPN!A:A&amp;ESPN!C:C, ESPN!J:J), "N/A")</f>
        <v>N/A</v>
      </c>
      <c r="Q1118" s="26" t="str" cm="1">
        <f t="array" ref="Q1118">IFERROR(_xlfn.XLOOKUP(C1118&amp;A1118, ESPN!A:A&amp;ESPN!C:C, ESPN!K:K), "N/A")</f>
        <v>N/A</v>
      </c>
    </row>
    <row r="1119" spans="1:17" x14ac:dyDescent="0.45">
      <c r="A1119" s="7">
        <v>2019</v>
      </c>
      <c r="B1119" s="3" t="s">
        <v>614</v>
      </c>
      <c r="C1119" s="4" t="str">
        <f t="shared" si="34"/>
        <v>Frank Gore</v>
      </c>
      <c r="D1119" s="4" t="str">
        <f t="shared" si="35"/>
        <v>BUF</v>
      </c>
      <c r="E1119" s="4">
        <v>16</v>
      </c>
      <c r="F1119" s="12">
        <v>16</v>
      </c>
      <c r="G1119" s="11">
        <v>13</v>
      </c>
      <c r="H1119" s="11">
        <v>100</v>
      </c>
      <c r="I1119" s="11">
        <v>7.7</v>
      </c>
      <c r="J1119" s="11">
        <v>0</v>
      </c>
      <c r="K1119" s="11">
        <v>0</v>
      </c>
      <c r="L1119" s="11" t="str" cm="1">
        <f t="array" ref="L1119">IFERROR(_xlfn.XLOOKUP(C1119&amp;A1119, ESPN!A:A&amp;ESPN!C:C, ESPN!D:D), "N/A")</f>
        <v>N/A</v>
      </c>
      <c r="M1119" s="23" t="str" cm="1">
        <f t="array" ref="M1119">IFERROR(_xlfn.XLOOKUP(C1119&amp;A1119, ESPN!A:A&amp;ESPN!C:C, ESPN!G:G), "N/A")</f>
        <v>N/A</v>
      </c>
      <c r="N1119" s="23" t="str" cm="1">
        <f t="array" ref="N1119">IFERROR(_xlfn.XLOOKUP(C1119&amp;A1119, ESPN!A:A&amp;ESPN!C:C, ESPN!H:H), "N/A")</f>
        <v>N/A</v>
      </c>
      <c r="O1119" s="26" t="str" cm="1">
        <f t="array" ref="O1119">IFERROR(_xlfn.XLOOKUP(C1119&amp;A1119, ESPN!A:A&amp;ESPN!C:C, ESPN!I:I), "N/A")</f>
        <v>N/A</v>
      </c>
      <c r="P1119" s="26" t="str" cm="1">
        <f t="array" ref="P1119">IFERROR(_xlfn.XLOOKUP(C1119&amp;A1119, ESPN!A:A&amp;ESPN!C:C, ESPN!J:J), "N/A")</f>
        <v>N/A</v>
      </c>
      <c r="Q1119" s="26" t="str" cm="1">
        <f t="array" ref="Q1119">IFERROR(_xlfn.XLOOKUP(C1119&amp;A1119, ESPN!A:A&amp;ESPN!C:C, ESPN!K:K), "N/A")</f>
        <v>N/A</v>
      </c>
    </row>
    <row r="1120" spans="1:17" x14ac:dyDescent="0.45">
      <c r="A1120" s="6">
        <v>2019</v>
      </c>
      <c r="B1120" s="1" t="s">
        <v>546</v>
      </c>
      <c r="C1120" s="2" t="str">
        <f t="shared" si="34"/>
        <v>Kerryon Johnson</v>
      </c>
      <c r="D1120" s="2" t="str">
        <f t="shared" si="35"/>
        <v>DET</v>
      </c>
      <c r="E1120" s="2">
        <v>8</v>
      </c>
      <c r="F1120" s="12">
        <v>15</v>
      </c>
      <c r="G1120" s="11">
        <v>10</v>
      </c>
      <c r="H1120" s="11">
        <v>127</v>
      </c>
      <c r="I1120" s="11">
        <v>12.7</v>
      </c>
      <c r="J1120" s="11">
        <v>1</v>
      </c>
      <c r="K1120" s="11">
        <v>1</v>
      </c>
      <c r="L1120" s="11" t="str" cm="1">
        <f t="array" ref="L1120">IFERROR(_xlfn.XLOOKUP(C1120&amp;A1120, ESPN!A:A&amp;ESPN!C:C, ESPN!D:D), "N/A")</f>
        <v>N/A</v>
      </c>
      <c r="M1120" s="23" t="str" cm="1">
        <f t="array" ref="M1120">IFERROR(_xlfn.XLOOKUP(C1120&amp;A1120, ESPN!A:A&amp;ESPN!C:C, ESPN!G:G), "N/A")</f>
        <v>N/A</v>
      </c>
      <c r="N1120" s="23" t="str" cm="1">
        <f t="array" ref="N1120">IFERROR(_xlfn.XLOOKUP(C1120&amp;A1120, ESPN!A:A&amp;ESPN!C:C, ESPN!H:H), "N/A")</f>
        <v>N/A</v>
      </c>
      <c r="O1120" s="26" t="str" cm="1">
        <f t="array" ref="O1120">IFERROR(_xlfn.XLOOKUP(C1120&amp;A1120, ESPN!A:A&amp;ESPN!C:C, ESPN!I:I), "N/A")</f>
        <v>N/A</v>
      </c>
      <c r="P1120" s="26" t="str" cm="1">
        <f t="array" ref="P1120">IFERROR(_xlfn.XLOOKUP(C1120&amp;A1120, ESPN!A:A&amp;ESPN!C:C, ESPN!J:J), "N/A")</f>
        <v>N/A</v>
      </c>
      <c r="Q1120" s="26" t="str" cm="1">
        <f t="array" ref="Q1120">IFERROR(_xlfn.XLOOKUP(C1120&amp;A1120, ESPN!A:A&amp;ESPN!C:C, ESPN!K:K), "N/A")</f>
        <v>N/A</v>
      </c>
    </row>
    <row r="1121" spans="1:17" x14ac:dyDescent="0.45">
      <c r="A1121" s="7">
        <v>2019</v>
      </c>
      <c r="B1121" s="3" t="s">
        <v>256</v>
      </c>
      <c r="C1121" s="4" t="str">
        <f t="shared" si="34"/>
        <v>Tony Pollard</v>
      </c>
      <c r="D1121" s="4" t="str">
        <f t="shared" si="35"/>
        <v>DAL</v>
      </c>
      <c r="E1121" s="4">
        <v>15</v>
      </c>
      <c r="F1121" s="12">
        <v>20</v>
      </c>
      <c r="G1121" s="11">
        <v>15</v>
      </c>
      <c r="H1121" s="11">
        <v>107</v>
      </c>
      <c r="I1121" s="11">
        <v>7.1</v>
      </c>
      <c r="J1121" s="11">
        <v>1</v>
      </c>
      <c r="K1121" s="11">
        <v>1</v>
      </c>
      <c r="L1121" s="11" t="str" cm="1">
        <f t="array" ref="L1121">IFERROR(_xlfn.XLOOKUP(C1121&amp;A1121, ESPN!A:A&amp;ESPN!C:C, ESPN!D:D), "N/A")</f>
        <v>N/A</v>
      </c>
      <c r="M1121" s="23" t="str" cm="1">
        <f t="array" ref="M1121">IFERROR(_xlfn.XLOOKUP(C1121&amp;A1121, ESPN!A:A&amp;ESPN!C:C, ESPN!G:G), "N/A")</f>
        <v>N/A</v>
      </c>
      <c r="N1121" s="23" t="str" cm="1">
        <f t="array" ref="N1121">IFERROR(_xlfn.XLOOKUP(C1121&amp;A1121, ESPN!A:A&amp;ESPN!C:C, ESPN!H:H), "N/A")</f>
        <v>N/A</v>
      </c>
      <c r="O1121" s="26" t="str" cm="1">
        <f t="array" ref="O1121">IFERROR(_xlfn.XLOOKUP(C1121&amp;A1121, ESPN!A:A&amp;ESPN!C:C, ESPN!I:I), "N/A")</f>
        <v>N/A</v>
      </c>
      <c r="P1121" s="26" t="str" cm="1">
        <f t="array" ref="P1121">IFERROR(_xlfn.XLOOKUP(C1121&amp;A1121, ESPN!A:A&amp;ESPN!C:C, ESPN!J:J), "N/A")</f>
        <v>N/A</v>
      </c>
      <c r="Q1121" s="26" t="str" cm="1">
        <f t="array" ref="Q1121">IFERROR(_xlfn.XLOOKUP(C1121&amp;A1121, ESPN!A:A&amp;ESPN!C:C, ESPN!K:K), "N/A")</f>
        <v>N/A</v>
      </c>
    </row>
    <row r="1122" spans="1:17" x14ac:dyDescent="0.45">
      <c r="A1122" s="6">
        <v>2019</v>
      </c>
      <c r="B1122" s="1" t="s">
        <v>537</v>
      </c>
      <c r="C1122" s="2" t="str">
        <f t="shared" si="34"/>
        <v>Rex Burkhead</v>
      </c>
      <c r="D1122" s="2" t="str">
        <f t="shared" si="35"/>
        <v>NE</v>
      </c>
      <c r="E1122" s="2">
        <v>13</v>
      </c>
      <c r="F1122" s="12">
        <v>38</v>
      </c>
      <c r="G1122" s="11">
        <v>27</v>
      </c>
      <c r="H1122" s="11">
        <v>279</v>
      </c>
      <c r="I1122" s="11">
        <v>10.3</v>
      </c>
      <c r="J1122" s="11">
        <v>0</v>
      </c>
      <c r="K1122" s="11">
        <v>1</v>
      </c>
      <c r="L1122" s="11" cm="1">
        <f t="array" ref="L1122">IFERROR(_xlfn.XLOOKUP(C1122&amp;A1122, ESPN!A:A&amp;ESPN!C:C, ESPN!D:D), "N/A")</f>
        <v>127</v>
      </c>
      <c r="M1122" s="23" cm="1">
        <f t="array" ref="M1122">IFERROR(_xlfn.XLOOKUP(C1122&amp;A1122, ESPN!A:A&amp;ESPN!C:C, ESPN!G:G), "N/A")</f>
        <v>2.4500000000000002</v>
      </c>
      <c r="N1122" s="23" cm="1">
        <f t="array" ref="N1122">IFERROR(_xlfn.XLOOKUP(C1122&amp;A1122, ESPN!A:A&amp;ESPN!C:C, ESPN!H:H), "N/A")</f>
        <v>50</v>
      </c>
      <c r="O1122" s="26" cm="1">
        <f t="array" ref="O1122">IFERROR(_xlfn.XLOOKUP(C1122&amp;A1122, ESPN!A:A&amp;ESPN!C:C, ESPN!I:I), "N/A")</f>
        <v>52</v>
      </c>
      <c r="P1122" s="26" cm="1">
        <f t="array" ref="P1122">IFERROR(_xlfn.XLOOKUP(C1122&amp;A1122, ESPN!A:A&amp;ESPN!C:C, ESPN!J:J), "N/A")</f>
        <v>57</v>
      </c>
      <c r="Q1122" s="26" cm="1">
        <f t="array" ref="Q1122">IFERROR(_xlfn.XLOOKUP(C1122&amp;A1122, ESPN!A:A&amp;ESPN!C:C, ESPN!K:K), "N/A")</f>
        <v>57</v>
      </c>
    </row>
    <row r="1123" spans="1:17" x14ac:dyDescent="0.45">
      <c r="A1123" s="7">
        <v>2019</v>
      </c>
      <c r="B1123" s="3" t="s">
        <v>435</v>
      </c>
      <c r="C1123" s="4" t="str">
        <f t="shared" si="34"/>
        <v>Nyheim Miller-Hines</v>
      </c>
      <c r="D1123" s="4" t="str">
        <f t="shared" si="35"/>
        <v>IND</v>
      </c>
      <c r="E1123" s="4">
        <v>16</v>
      </c>
      <c r="F1123" s="12">
        <v>58</v>
      </c>
      <c r="G1123" s="11">
        <v>44</v>
      </c>
      <c r="H1123" s="11">
        <v>320</v>
      </c>
      <c r="I1123" s="11">
        <v>7.3</v>
      </c>
      <c r="J1123" s="11">
        <v>0</v>
      </c>
      <c r="K1123" s="11">
        <v>1</v>
      </c>
      <c r="L1123" s="11" cm="1">
        <f t="array" ref="L1123">IFERROR(_xlfn.XLOOKUP(C1123&amp;A1123, ESPN!A:A&amp;ESPN!C:C, ESPN!D:D), "N/A")</f>
        <v>167</v>
      </c>
      <c r="M1123" s="23" cm="1">
        <f t="array" ref="M1123">IFERROR(_xlfn.XLOOKUP(C1123&amp;A1123, ESPN!A:A&amp;ESPN!C:C, ESPN!G:G), "N/A")</f>
        <v>1.92</v>
      </c>
      <c r="N1123" s="23" cm="1">
        <f t="array" ref="N1123">IFERROR(_xlfn.XLOOKUP(C1123&amp;A1123, ESPN!A:A&amp;ESPN!C:C, ESPN!H:H), "N/A")</f>
        <v>45</v>
      </c>
      <c r="O1123" s="26" cm="1">
        <f t="array" ref="O1123">IFERROR(_xlfn.XLOOKUP(C1123&amp;A1123, ESPN!A:A&amp;ESPN!C:C, ESPN!I:I), "N/A")</f>
        <v>32</v>
      </c>
      <c r="P1123" s="26" cm="1">
        <f t="array" ref="P1123">IFERROR(_xlfn.XLOOKUP(C1123&amp;A1123, ESPN!A:A&amp;ESPN!C:C, ESPN!J:J), "N/A")</f>
        <v>49</v>
      </c>
      <c r="Q1123" s="26" cm="1">
        <f t="array" ref="Q1123">IFERROR(_xlfn.XLOOKUP(C1123&amp;A1123, ESPN!A:A&amp;ESPN!C:C, ESPN!K:K), "N/A")</f>
        <v>39</v>
      </c>
    </row>
    <row r="1124" spans="1:17" x14ac:dyDescent="0.45">
      <c r="A1124" s="6">
        <v>2019</v>
      </c>
      <c r="B1124" s="1" t="s">
        <v>288</v>
      </c>
      <c r="C1124" s="2" t="str">
        <f t="shared" si="34"/>
        <v>Boston Scott</v>
      </c>
      <c r="D1124" s="2" t="str">
        <f t="shared" si="35"/>
        <v>PHI</v>
      </c>
      <c r="E1124" s="2">
        <v>11</v>
      </c>
      <c r="F1124" s="12">
        <v>26</v>
      </c>
      <c r="G1124" s="11">
        <v>24</v>
      </c>
      <c r="H1124" s="11">
        <v>204</v>
      </c>
      <c r="I1124" s="11">
        <v>8.5</v>
      </c>
      <c r="J1124" s="11">
        <v>0</v>
      </c>
      <c r="K1124" s="11">
        <v>1</v>
      </c>
      <c r="L1124" s="11" t="str" cm="1">
        <f t="array" ref="L1124">IFERROR(_xlfn.XLOOKUP(C1124&amp;A1124, ESPN!A:A&amp;ESPN!C:C, ESPN!D:D), "N/A")</f>
        <v>N/A</v>
      </c>
      <c r="M1124" s="23" t="str" cm="1">
        <f t="array" ref="M1124">IFERROR(_xlfn.XLOOKUP(C1124&amp;A1124, ESPN!A:A&amp;ESPN!C:C, ESPN!G:G), "N/A")</f>
        <v>N/A</v>
      </c>
      <c r="N1124" s="23" t="str" cm="1">
        <f t="array" ref="N1124">IFERROR(_xlfn.XLOOKUP(C1124&amp;A1124, ESPN!A:A&amp;ESPN!C:C, ESPN!H:H), "N/A")</f>
        <v>N/A</v>
      </c>
      <c r="O1124" s="26" t="str" cm="1">
        <f t="array" ref="O1124">IFERROR(_xlfn.XLOOKUP(C1124&amp;A1124, ESPN!A:A&amp;ESPN!C:C, ESPN!I:I), "N/A")</f>
        <v>N/A</v>
      </c>
      <c r="P1124" s="26" t="str" cm="1">
        <f t="array" ref="P1124">IFERROR(_xlfn.XLOOKUP(C1124&amp;A1124, ESPN!A:A&amp;ESPN!C:C, ESPN!J:J), "N/A")</f>
        <v>N/A</v>
      </c>
      <c r="Q1124" s="26" t="str" cm="1">
        <f t="array" ref="Q1124">IFERROR(_xlfn.XLOOKUP(C1124&amp;A1124, ESPN!A:A&amp;ESPN!C:C, ESPN!K:K), "N/A")</f>
        <v>N/A</v>
      </c>
    </row>
    <row r="1125" spans="1:17" x14ac:dyDescent="0.45">
      <c r="A1125" s="7">
        <v>2019</v>
      </c>
      <c r="B1125" s="3" t="s">
        <v>428</v>
      </c>
      <c r="C1125" s="4" t="str">
        <f t="shared" si="34"/>
        <v>Chase Edmonds</v>
      </c>
      <c r="D1125" s="4" t="str">
        <f t="shared" si="35"/>
        <v>ARI</v>
      </c>
      <c r="E1125" s="4">
        <v>13</v>
      </c>
      <c r="F1125" s="12">
        <v>21</v>
      </c>
      <c r="G1125" s="11">
        <v>12</v>
      </c>
      <c r="H1125" s="11">
        <v>105</v>
      </c>
      <c r="I1125" s="11">
        <v>8.8000000000000007</v>
      </c>
      <c r="J1125" s="11">
        <v>1</v>
      </c>
      <c r="K1125" s="11">
        <v>0</v>
      </c>
      <c r="L1125" s="11" t="str" cm="1">
        <f t="array" ref="L1125">IFERROR(_xlfn.XLOOKUP(C1125&amp;A1125, ESPN!A:A&amp;ESPN!C:C, ESPN!D:D), "N/A")</f>
        <v>N/A</v>
      </c>
      <c r="M1125" s="23" t="str" cm="1">
        <f t="array" ref="M1125">IFERROR(_xlfn.XLOOKUP(C1125&amp;A1125, ESPN!A:A&amp;ESPN!C:C, ESPN!G:G), "N/A")</f>
        <v>N/A</v>
      </c>
      <c r="N1125" s="23" t="str" cm="1">
        <f t="array" ref="N1125">IFERROR(_xlfn.XLOOKUP(C1125&amp;A1125, ESPN!A:A&amp;ESPN!C:C, ESPN!H:H), "N/A")</f>
        <v>N/A</v>
      </c>
      <c r="O1125" s="26" t="str" cm="1">
        <f t="array" ref="O1125">IFERROR(_xlfn.XLOOKUP(C1125&amp;A1125, ESPN!A:A&amp;ESPN!C:C, ESPN!I:I), "N/A")</f>
        <v>N/A</v>
      </c>
      <c r="P1125" s="26" t="str" cm="1">
        <f t="array" ref="P1125">IFERROR(_xlfn.XLOOKUP(C1125&amp;A1125, ESPN!A:A&amp;ESPN!C:C, ESPN!J:J), "N/A")</f>
        <v>N/A</v>
      </c>
      <c r="Q1125" s="26" t="str" cm="1">
        <f t="array" ref="Q1125">IFERROR(_xlfn.XLOOKUP(C1125&amp;A1125, ESPN!A:A&amp;ESPN!C:C, ESPN!K:K), "N/A")</f>
        <v>N/A</v>
      </c>
    </row>
    <row r="1126" spans="1:17" x14ac:dyDescent="0.45">
      <c r="A1126" s="6">
        <v>2019</v>
      </c>
      <c r="B1126" s="1" t="s">
        <v>361</v>
      </c>
      <c r="C1126" s="2" t="str">
        <f t="shared" si="34"/>
        <v>Rashaad Penny</v>
      </c>
      <c r="D1126" s="2" t="str">
        <f t="shared" si="35"/>
        <v>SEA</v>
      </c>
      <c r="E1126" s="2">
        <v>10</v>
      </c>
      <c r="F1126" s="12">
        <v>11</v>
      </c>
      <c r="G1126" s="11">
        <v>8</v>
      </c>
      <c r="H1126" s="11">
        <v>83</v>
      </c>
      <c r="I1126" s="11">
        <v>10.4</v>
      </c>
      <c r="J1126" s="11">
        <v>1</v>
      </c>
      <c r="K1126" s="11">
        <v>1</v>
      </c>
      <c r="L1126" s="11" t="str" cm="1">
        <f t="array" ref="L1126">IFERROR(_xlfn.XLOOKUP(C1126&amp;A1126, ESPN!A:A&amp;ESPN!C:C, ESPN!D:D), "N/A")</f>
        <v>N/A</v>
      </c>
      <c r="M1126" s="23" t="str" cm="1">
        <f t="array" ref="M1126">IFERROR(_xlfn.XLOOKUP(C1126&amp;A1126, ESPN!A:A&amp;ESPN!C:C, ESPN!G:G), "N/A")</f>
        <v>N/A</v>
      </c>
      <c r="N1126" s="23" t="str" cm="1">
        <f t="array" ref="N1126">IFERROR(_xlfn.XLOOKUP(C1126&amp;A1126, ESPN!A:A&amp;ESPN!C:C, ESPN!H:H), "N/A")</f>
        <v>N/A</v>
      </c>
      <c r="O1126" s="26" t="str" cm="1">
        <f t="array" ref="O1126">IFERROR(_xlfn.XLOOKUP(C1126&amp;A1126, ESPN!A:A&amp;ESPN!C:C, ESPN!I:I), "N/A")</f>
        <v>N/A</v>
      </c>
      <c r="P1126" s="26" t="str" cm="1">
        <f t="array" ref="P1126">IFERROR(_xlfn.XLOOKUP(C1126&amp;A1126, ESPN!A:A&amp;ESPN!C:C, ESPN!J:J), "N/A")</f>
        <v>N/A</v>
      </c>
      <c r="Q1126" s="26" t="str" cm="1">
        <f t="array" ref="Q1126">IFERROR(_xlfn.XLOOKUP(C1126&amp;A1126, ESPN!A:A&amp;ESPN!C:C, ESPN!K:K), "N/A")</f>
        <v>N/A</v>
      </c>
    </row>
    <row r="1127" spans="1:17" x14ac:dyDescent="0.45">
      <c r="A1127" s="7">
        <v>2019</v>
      </c>
      <c r="B1127" s="3" t="s">
        <v>264</v>
      </c>
      <c r="C1127" s="4" t="str">
        <f t="shared" si="34"/>
        <v>Kareem Hunt</v>
      </c>
      <c r="D1127" s="4" t="str">
        <f t="shared" si="35"/>
        <v>CLE</v>
      </c>
      <c r="E1127" s="4">
        <v>9</v>
      </c>
      <c r="F1127" s="12">
        <v>44</v>
      </c>
      <c r="G1127" s="11">
        <v>37</v>
      </c>
      <c r="H1127" s="11">
        <v>285</v>
      </c>
      <c r="I1127" s="11">
        <v>7.7</v>
      </c>
      <c r="J1127" s="11">
        <v>1</v>
      </c>
      <c r="K1127" s="11">
        <v>0</v>
      </c>
      <c r="L1127" s="11" cm="1">
        <f t="array" ref="L1127">IFERROR(_xlfn.XLOOKUP(C1127&amp;A1127, ESPN!A:A&amp;ESPN!C:C, ESPN!D:D), "N/A")</f>
        <v>141</v>
      </c>
      <c r="M1127" s="23" cm="1">
        <f t="array" ref="M1127">IFERROR(_xlfn.XLOOKUP(C1127&amp;A1127, ESPN!A:A&amp;ESPN!C:C, ESPN!G:G), "N/A")</f>
        <v>2.02</v>
      </c>
      <c r="N1127" s="23" cm="1">
        <f t="array" ref="N1127">IFERROR(_xlfn.XLOOKUP(C1127&amp;A1127, ESPN!A:A&amp;ESPN!C:C, ESPN!H:H), "N/A")</f>
        <v>50</v>
      </c>
      <c r="O1127" s="26" cm="1">
        <f t="array" ref="O1127">IFERROR(_xlfn.XLOOKUP(C1127&amp;A1127, ESPN!A:A&amp;ESPN!C:C, ESPN!I:I), "N/A")</f>
        <v>59</v>
      </c>
      <c r="P1127" s="26" cm="1">
        <f t="array" ref="P1127">IFERROR(_xlfn.XLOOKUP(C1127&amp;A1127, ESPN!A:A&amp;ESPN!C:C, ESPN!J:J), "N/A")</f>
        <v>49</v>
      </c>
      <c r="Q1127" s="26" cm="1">
        <f t="array" ref="Q1127">IFERROR(_xlfn.XLOOKUP(C1127&amp;A1127, ESPN!A:A&amp;ESPN!C:C, ESPN!K:K), "N/A")</f>
        <v>54</v>
      </c>
    </row>
    <row r="1128" spans="1:17" x14ac:dyDescent="0.45">
      <c r="A1128" s="6">
        <v>2019</v>
      </c>
      <c r="B1128" s="1" t="s">
        <v>569</v>
      </c>
      <c r="C1128" s="2" t="str">
        <f t="shared" si="34"/>
        <v>Jaylen Samuels</v>
      </c>
      <c r="D1128" s="2" t="str">
        <f t="shared" si="35"/>
        <v>PIT</v>
      </c>
      <c r="E1128" s="2">
        <v>14</v>
      </c>
      <c r="F1128" s="12">
        <v>57</v>
      </c>
      <c r="G1128" s="11">
        <v>47</v>
      </c>
      <c r="H1128" s="11">
        <v>305</v>
      </c>
      <c r="I1128" s="11">
        <v>6.5</v>
      </c>
      <c r="J1128" s="11">
        <v>1</v>
      </c>
      <c r="K1128" s="11">
        <v>1</v>
      </c>
      <c r="L1128" s="11" cm="1">
        <f t="array" ref="L1128">IFERROR(_xlfn.XLOOKUP(C1128&amp;A1128, ESPN!A:A&amp;ESPN!C:C, ESPN!D:D), "N/A")</f>
        <v>137</v>
      </c>
      <c r="M1128" s="23" cm="1">
        <f t="array" ref="M1128">IFERROR(_xlfn.XLOOKUP(C1128&amp;A1128, ESPN!A:A&amp;ESPN!C:C, ESPN!G:G), "N/A")</f>
        <v>2.23</v>
      </c>
      <c r="N1128" s="23" cm="1">
        <f t="array" ref="N1128">IFERROR(_xlfn.XLOOKUP(C1128&amp;A1128, ESPN!A:A&amp;ESPN!C:C, ESPN!H:H), "N/A")</f>
        <v>57</v>
      </c>
      <c r="O1128" s="26" cm="1">
        <f t="array" ref="O1128">IFERROR(_xlfn.XLOOKUP(C1128&amp;A1128, ESPN!A:A&amp;ESPN!C:C, ESPN!I:I), "N/A")</f>
        <v>35</v>
      </c>
      <c r="P1128" s="26" cm="1">
        <f t="array" ref="P1128">IFERROR(_xlfn.XLOOKUP(C1128&amp;A1128, ESPN!A:A&amp;ESPN!C:C, ESPN!J:J), "N/A")</f>
        <v>37</v>
      </c>
      <c r="Q1128" s="26" cm="1">
        <f t="array" ref="Q1128">IFERROR(_xlfn.XLOOKUP(C1128&amp;A1128, ESPN!A:A&amp;ESPN!C:C, ESPN!K:K), "N/A")</f>
        <v>34</v>
      </c>
    </row>
    <row r="1129" spans="1:17" x14ac:dyDescent="0.45">
      <c r="A1129" s="7">
        <v>2019</v>
      </c>
      <c r="B1129" s="3" t="s">
        <v>265</v>
      </c>
      <c r="C1129" s="4" t="str">
        <f t="shared" si="34"/>
        <v>Alexander Mattison</v>
      </c>
      <c r="D1129" s="4" t="str">
        <f t="shared" si="35"/>
        <v>MIN</v>
      </c>
      <c r="E1129" s="4">
        <v>13</v>
      </c>
      <c r="F1129" s="12">
        <v>12</v>
      </c>
      <c r="G1129" s="11">
        <v>10</v>
      </c>
      <c r="H1129" s="11">
        <v>82</v>
      </c>
      <c r="I1129" s="11">
        <v>8.1999999999999993</v>
      </c>
      <c r="J1129" s="11">
        <v>0</v>
      </c>
      <c r="K1129" s="11">
        <v>1</v>
      </c>
      <c r="L1129" s="11" t="str" cm="1">
        <f t="array" ref="L1129">IFERROR(_xlfn.XLOOKUP(C1129&amp;A1129, ESPN!A:A&amp;ESPN!C:C, ESPN!D:D), "N/A")</f>
        <v>N/A</v>
      </c>
      <c r="M1129" s="23" t="str" cm="1">
        <f t="array" ref="M1129">IFERROR(_xlfn.XLOOKUP(C1129&amp;A1129, ESPN!A:A&amp;ESPN!C:C, ESPN!G:G), "N/A")</f>
        <v>N/A</v>
      </c>
      <c r="N1129" s="23" t="str" cm="1">
        <f t="array" ref="N1129">IFERROR(_xlfn.XLOOKUP(C1129&amp;A1129, ESPN!A:A&amp;ESPN!C:C, ESPN!H:H), "N/A")</f>
        <v>N/A</v>
      </c>
      <c r="O1129" s="26" t="str" cm="1">
        <f t="array" ref="O1129">IFERROR(_xlfn.XLOOKUP(C1129&amp;A1129, ESPN!A:A&amp;ESPN!C:C, ESPN!I:I), "N/A")</f>
        <v>N/A</v>
      </c>
      <c r="P1129" s="26" t="str" cm="1">
        <f t="array" ref="P1129">IFERROR(_xlfn.XLOOKUP(C1129&amp;A1129, ESPN!A:A&amp;ESPN!C:C, ESPN!J:J), "N/A")</f>
        <v>N/A</v>
      </c>
      <c r="Q1129" s="26" t="str" cm="1">
        <f t="array" ref="Q1129">IFERROR(_xlfn.XLOOKUP(C1129&amp;A1129, ESPN!A:A&amp;ESPN!C:C, ESPN!K:K), "N/A")</f>
        <v>N/A</v>
      </c>
    </row>
    <row r="1130" spans="1:17" x14ac:dyDescent="0.45">
      <c r="A1130" s="6">
        <v>2019</v>
      </c>
      <c r="B1130" s="1" t="s">
        <v>538</v>
      </c>
      <c r="C1130" s="2" t="str">
        <f t="shared" si="34"/>
        <v>Brian Hill</v>
      </c>
      <c r="D1130" s="2" t="str">
        <f t="shared" si="35"/>
        <v>ATL</v>
      </c>
      <c r="E1130" s="2">
        <v>12</v>
      </c>
      <c r="F1130" s="12">
        <v>14</v>
      </c>
      <c r="G1130" s="11">
        <v>10</v>
      </c>
      <c r="H1130" s="11">
        <v>69</v>
      </c>
      <c r="I1130" s="11">
        <v>6.9</v>
      </c>
      <c r="J1130" s="11">
        <v>1</v>
      </c>
      <c r="K1130" s="11">
        <v>0</v>
      </c>
      <c r="L1130" s="11" t="str" cm="1">
        <f t="array" ref="L1130">IFERROR(_xlfn.XLOOKUP(C1130&amp;A1130, ESPN!A:A&amp;ESPN!C:C, ESPN!D:D), "N/A")</f>
        <v>N/A</v>
      </c>
      <c r="M1130" s="23" t="str" cm="1">
        <f t="array" ref="M1130">IFERROR(_xlfn.XLOOKUP(C1130&amp;A1130, ESPN!A:A&amp;ESPN!C:C, ESPN!G:G), "N/A")</f>
        <v>N/A</v>
      </c>
      <c r="N1130" s="23" t="str" cm="1">
        <f t="array" ref="N1130">IFERROR(_xlfn.XLOOKUP(C1130&amp;A1130, ESPN!A:A&amp;ESPN!C:C, ESPN!H:H), "N/A")</f>
        <v>N/A</v>
      </c>
      <c r="O1130" s="26" t="str" cm="1">
        <f t="array" ref="O1130">IFERROR(_xlfn.XLOOKUP(C1130&amp;A1130, ESPN!A:A&amp;ESPN!C:C, ESPN!I:I), "N/A")</f>
        <v>N/A</v>
      </c>
      <c r="P1130" s="26" t="str" cm="1">
        <f t="array" ref="P1130">IFERROR(_xlfn.XLOOKUP(C1130&amp;A1130, ESPN!A:A&amp;ESPN!C:C, ESPN!J:J), "N/A")</f>
        <v>N/A</v>
      </c>
      <c r="Q1130" s="26" t="str" cm="1">
        <f t="array" ref="Q1130">IFERROR(_xlfn.XLOOKUP(C1130&amp;A1130, ESPN!A:A&amp;ESPN!C:C, ESPN!K:K), "N/A")</f>
        <v>N/A</v>
      </c>
    </row>
    <row r="1131" spans="1:17" x14ac:dyDescent="0.45">
      <c r="A1131" s="7">
        <v>2019</v>
      </c>
      <c r="B1131" s="3" t="s">
        <v>374</v>
      </c>
      <c r="C1131" s="4" t="str">
        <f t="shared" si="34"/>
        <v>Malcolm Brown</v>
      </c>
      <c r="D1131" s="4" t="str">
        <f t="shared" si="35"/>
        <v>LAR</v>
      </c>
      <c r="E1131" s="4">
        <v>14</v>
      </c>
      <c r="F1131" s="12">
        <v>6</v>
      </c>
      <c r="G1131" s="11">
        <v>2</v>
      </c>
      <c r="H1131" s="11">
        <v>16</v>
      </c>
      <c r="I1131" s="11">
        <v>8</v>
      </c>
      <c r="J1131" s="11">
        <v>0</v>
      </c>
      <c r="K1131" s="11">
        <v>0</v>
      </c>
      <c r="L1131" s="11" t="str" cm="1">
        <f t="array" ref="L1131">IFERROR(_xlfn.XLOOKUP(C1131&amp;A1131, ESPN!A:A&amp;ESPN!C:C, ESPN!D:D), "N/A")</f>
        <v>N/A</v>
      </c>
      <c r="M1131" s="23" t="str" cm="1">
        <f t="array" ref="M1131">IFERROR(_xlfn.XLOOKUP(C1131&amp;A1131, ESPN!A:A&amp;ESPN!C:C, ESPN!G:G), "N/A")</f>
        <v>N/A</v>
      </c>
      <c r="N1131" s="23" t="str" cm="1">
        <f t="array" ref="N1131">IFERROR(_xlfn.XLOOKUP(C1131&amp;A1131, ESPN!A:A&amp;ESPN!C:C, ESPN!H:H), "N/A")</f>
        <v>N/A</v>
      </c>
      <c r="O1131" s="26" t="str" cm="1">
        <f t="array" ref="O1131">IFERROR(_xlfn.XLOOKUP(C1131&amp;A1131, ESPN!A:A&amp;ESPN!C:C, ESPN!I:I), "N/A")</f>
        <v>N/A</v>
      </c>
      <c r="P1131" s="26" t="str" cm="1">
        <f t="array" ref="P1131">IFERROR(_xlfn.XLOOKUP(C1131&amp;A1131, ESPN!A:A&amp;ESPN!C:C, ESPN!J:J), "N/A")</f>
        <v>N/A</v>
      </c>
      <c r="Q1131" s="26" t="str" cm="1">
        <f t="array" ref="Q1131">IFERROR(_xlfn.XLOOKUP(C1131&amp;A1131, ESPN!A:A&amp;ESPN!C:C, ESPN!K:K), "N/A")</f>
        <v>N/A</v>
      </c>
    </row>
    <row r="1132" spans="1:17" x14ac:dyDescent="0.45">
      <c r="A1132" s="6">
        <v>2019</v>
      </c>
      <c r="B1132" s="1" t="s">
        <v>376</v>
      </c>
      <c r="C1132" s="2" t="str">
        <f t="shared" si="34"/>
        <v>Benny Snell Jr.</v>
      </c>
      <c r="D1132" s="2" t="str">
        <f t="shared" si="35"/>
        <v>PIT</v>
      </c>
      <c r="E1132" s="2">
        <v>13</v>
      </c>
      <c r="F1132" s="12">
        <v>4</v>
      </c>
      <c r="G1132" s="11">
        <v>3</v>
      </c>
      <c r="H1132" s="11">
        <v>23</v>
      </c>
      <c r="I1132" s="11">
        <v>7.7</v>
      </c>
      <c r="J1132" s="11">
        <v>0</v>
      </c>
      <c r="K1132" s="11">
        <v>1</v>
      </c>
      <c r="L1132" s="11" t="str" cm="1">
        <f t="array" ref="L1132">IFERROR(_xlfn.XLOOKUP(C1132&amp;A1132, ESPN!A:A&amp;ESPN!C:C, ESPN!D:D), "N/A")</f>
        <v>N/A</v>
      </c>
      <c r="M1132" s="23" t="str" cm="1">
        <f t="array" ref="M1132">IFERROR(_xlfn.XLOOKUP(C1132&amp;A1132, ESPN!A:A&amp;ESPN!C:C, ESPN!G:G), "N/A")</f>
        <v>N/A</v>
      </c>
      <c r="N1132" s="23" t="str" cm="1">
        <f t="array" ref="N1132">IFERROR(_xlfn.XLOOKUP(C1132&amp;A1132, ESPN!A:A&amp;ESPN!C:C, ESPN!H:H), "N/A")</f>
        <v>N/A</v>
      </c>
      <c r="O1132" s="26" t="str" cm="1">
        <f t="array" ref="O1132">IFERROR(_xlfn.XLOOKUP(C1132&amp;A1132, ESPN!A:A&amp;ESPN!C:C, ESPN!I:I), "N/A")</f>
        <v>N/A</v>
      </c>
      <c r="P1132" s="26" t="str" cm="1">
        <f t="array" ref="P1132">IFERROR(_xlfn.XLOOKUP(C1132&amp;A1132, ESPN!A:A&amp;ESPN!C:C, ESPN!J:J), "N/A")</f>
        <v>N/A</v>
      </c>
      <c r="Q1132" s="26" t="str" cm="1">
        <f t="array" ref="Q1132">IFERROR(_xlfn.XLOOKUP(C1132&amp;A1132, ESPN!A:A&amp;ESPN!C:C, ESPN!K:K), "N/A")</f>
        <v>N/A</v>
      </c>
    </row>
    <row r="1133" spans="1:17" x14ac:dyDescent="0.45">
      <c r="A1133" s="7">
        <v>2019</v>
      </c>
      <c r="B1133" s="3" t="s">
        <v>423</v>
      </c>
      <c r="C1133" s="4" t="str">
        <f t="shared" si="34"/>
        <v>Darrel Williams</v>
      </c>
      <c r="D1133" s="4" t="str">
        <f t="shared" si="35"/>
        <v>KC</v>
      </c>
      <c r="E1133" s="4">
        <v>12</v>
      </c>
      <c r="F1133" s="12">
        <v>20</v>
      </c>
      <c r="G1133" s="11">
        <v>15</v>
      </c>
      <c r="H1133" s="11">
        <v>167</v>
      </c>
      <c r="I1133" s="11">
        <v>11.1</v>
      </c>
      <c r="J1133" s="11">
        <v>1</v>
      </c>
      <c r="K1133" s="11">
        <v>1</v>
      </c>
      <c r="L1133" s="11" t="str" cm="1">
        <f t="array" ref="L1133">IFERROR(_xlfn.XLOOKUP(C1133&amp;A1133, ESPN!A:A&amp;ESPN!C:C, ESPN!D:D), "N/A")</f>
        <v>N/A</v>
      </c>
      <c r="M1133" s="23" t="str" cm="1">
        <f t="array" ref="M1133">IFERROR(_xlfn.XLOOKUP(C1133&amp;A1133, ESPN!A:A&amp;ESPN!C:C, ESPN!G:G), "N/A")</f>
        <v>N/A</v>
      </c>
      <c r="N1133" s="23" t="str" cm="1">
        <f t="array" ref="N1133">IFERROR(_xlfn.XLOOKUP(C1133&amp;A1133, ESPN!A:A&amp;ESPN!C:C, ESPN!H:H), "N/A")</f>
        <v>N/A</v>
      </c>
      <c r="O1133" s="26" t="str" cm="1">
        <f t="array" ref="O1133">IFERROR(_xlfn.XLOOKUP(C1133&amp;A1133, ESPN!A:A&amp;ESPN!C:C, ESPN!I:I), "N/A")</f>
        <v>N/A</v>
      </c>
      <c r="P1133" s="26" t="str" cm="1">
        <f t="array" ref="P1133">IFERROR(_xlfn.XLOOKUP(C1133&amp;A1133, ESPN!A:A&amp;ESPN!C:C, ESPN!J:J), "N/A")</f>
        <v>N/A</v>
      </c>
      <c r="Q1133" s="26" t="str" cm="1">
        <f t="array" ref="Q1133">IFERROR(_xlfn.XLOOKUP(C1133&amp;A1133, ESPN!A:A&amp;ESPN!C:C, ESPN!K:K), "N/A")</f>
        <v>N/A</v>
      </c>
    </row>
    <row r="1134" spans="1:17" x14ac:dyDescent="0.45">
      <c r="A1134" s="6">
        <v>2019</v>
      </c>
      <c r="B1134" s="1" t="s">
        <v>615</v>
      </c>
      <c r="C1134" s="2" t="str">
        <f t="shared" si="34"/>
        <v>Chris Thompson</v>
      </c>
      <c r="D1134" s="2" t="str">
        <f t="shared" si="35"/>
        <v>WAS</v>
      </c>
      <c r="E1134" s="2">
        <v>11</v>
      </c>
      <c r="F1134" s="12">
        <v>58</v>
      </c>
      <c r="G1134" s="11">
        <v>42</v>
      </c>
      <c r="H1134" s="11">
        <v>378</v>
      </c>
      <c r="I1134" s="11">
        <v>9</v>
      </c>
      <c r="J1134" s="11">
        <v>0</v>
      </c>
      <c r="K1134" s="11">
        <v>0</v>
      </c>
      <c r="L1134" s="11" cm="1">
        <f t="array" ref="L1134">IFERROR(_xlfn.XLOOKUP(C1134&amp;A1134, ESPN!A:A&amp;ESPN!C:C, ESPN!D:D), "N/A")</f>
        <v>176</v>
      </c>
      <c r="M1134" s="23" cm="1">
        <f t="array" ref="M1134">IFERROR(_xlfn.XLOOKUP(C1134&amp;A1134, ESPN!A:A&amp;ESPN!C:C, ESPN!G:G), "N/A")</f>
        <v>2.15</v>
      </c>
      <c r="N1134" s="23" cm="1">
        <f t="array" ref="N1134">IFERROR(_xlfn.XLOOKUP(C1134&amp;A1134, ESPN!A:A&amp;ESPN!C:C, ESPN!H:H), "N/A")</f>
        <v>33</v>
      </c>
      <c r="O1134" s="26" cm="1">
        <f t="array" ref="O1134">IFERROR(_xlfn.XLOOKUP(C1134&amp;A1134, ESPN!A:A&amp;ESPN!C:C, ESPN!I:I), "N/A")</f>
        <v>55</v>
      </c>
      <c r="P1134" s="26" cm="1">
        <f t="array" ref="P1134">IFERROR(_xlfn.XLOOKUP(C1134&amp;A1134, ESPN!A:A&amp;ESPN!C:C, ESPN!J:J), "N/A")</f>
        <v>52</v>
      </c>
      <c r="Q1134" s="26" cm="1">
        <f t="array" ref="Q1134">IFERROR(_xlfn.XLOOKUP(C1134&amp;A1134, ESPN!A:A&amp;ESPN!C:C, ESPN!K:K), "N/A")</f>
        <v>48</v>
      </c>
    </row>
    <row r="1135" spans="1:17" x14ac:dyDescent="0.45">
      <c r="A1135" s="7">
        <v>2019</v>
      </c>
      <c r="B1135" s="3" t="s">
        <v>616</v>
      </c>
      <c r="C1135" s="4" t="str">
        <f t="shared" si="34"/>
        <v>Derrius Guice</v>
      </c>
      <c r="D1135" s="4" t="str">
        <f t="shared" si="35"/>
        <v>WAS</v>
      </c>
      <c r="E1135" s="4">
        <v>5</v>
      </c>
      <c r="F1135" s="12">
        <v>9</v>
      </c>
      <c r="G1135" s="11">
        <v>7</v>
      </c>
      <c r="H1135" s="11">
        <v>79</v>
      </c>
      <c r="I1135" s="11">
        <v>11.3</v>
      </c>
      <c r="J1135" s="11">
        <v>1</v>
      </c>
      <c r="K1135" s="11">
        <v>0</v>
      </c>
      <c r="L1135" s="11" t="str" cm="1">
        <f t="array" ref="L1135">IFERROR(_xlfn.XLOOKUP(C1135&amp;A1135, ESPN!A:A&amp;ESPN!C:C, ESPN!D:D), "N/A")</f>
        <v>N/A</v>
      </c>
      <c r="M1135" s="23" t="str" cm="1">
        <f t="array" ref="M1135">IFERROR(_xlfn.XLOOKUP(C1135&amp;A1135, ESPN!A:A&amp;ESPN!C:C, ESPN!G:G), "N/A")</f>
        <v>N/A</v>
      </c>
      <c r="N1135" s="23" t="str" cm="1">
        <f t="array" ref="N1135">IFERROR(_xlfn.XLOOKUP(C1135&amp;A1135, ESPN!A:A&amp;ESPN!C:C, ESPN!H:H), "N/A")</f>
        <v>N/A</v>
      </c>
      <c r="O1135" s="26" t="str" cm="1">
        <f t="array" ref="O1135">IFERROR(_xlfn.XLOOKUP(C1135&amp;A1135, ESPN!A:A&amp;ESPN!C:C, ESPN!I:I), "N/A")</f>
        <v>N/A</v>
      </c>
      <c r="P1135" s="26" t="str" cm="1">
        <f t="array" ref="P1135">IFERROR(_xlfn.XLOOKUP(C1135&amp;A1135, ESPN!A:A&amp;ESPN!C:C, ESPN!J:J), "N/A")</f>
        <v>N/A</v>
      </c>
      <c r="Q1135" s="26" t="str" cm="1">
        <f t="array" ref="Q1135">IFERROR(_xlfn.XLOOKUP(C1135&amp;A1135, ESPN!A:A&amp;ESPN!C:C, ESPN!K:K), "N/A")</f>
        <v>N/A</v>
      </c>
    </row>
    <row r="1136" spans="1:17" x14ac:dyDescent="0.45">
      <c r="A1136" s="6">
        <v>2019</v>
      </c>
      <c r="B1136" s="1" t="s">
        <v>617</v>
      </c>
      <c r="C1136" s="2" t="str">
        <f t="shared" si="34"/>
        <v>J.D. McKissic</v>
      </c>
      <c r="D1136" s="2" t="str">
        <f t="shared" si="35"/>
        <v>DET</v>
      </c>
      <c r="E1136" s="2">
        <v>16</v>
      </c>
      <c r="F1136" s="12">
        <v>42</v>
      </c>
      <c r="G1136" s="11">
        <v>34</v>
      </c>
      <c r="H1136" s="11">
        <v>233</v>
      </c>
      <c r="I1136" s="11">
        <v>6.9</v>
      </c>
      <c r="J1136" s="11">
        <v>1</v>
      </c>
      <c r="K1136" s="11">
        <v>0</v>
      </c>
      <c r="L1136" s="11" cm="1">
        <f t="array" ref="L1136">IFERROR(_xlfn.XLOOKUP(C1136&amp;A1136, ESPN!A:A&amp;ESPN!C:C, ESPN!D:D), "N/A")</f>
        <v>117</v>
      </c>
      <c r="M1136" s="23" cm="1">
        <f t="array" ref="M1136">IFERROR(_xlfn.XLOOKUP(C1136&amp;A1136, ESPN!A:A&amp;ESPN!C:C, ESPN!G:G), "N/A")</f>
        <v>1.99</v>
      </c>
      <c r="N1136" s="23" cm="1">
        <f t="array" ref="N1136">IFERROR(_xlfn.XLOOKUP(C1136&amp;A1136, ESPN!A:A&amp;ESPN!C:C, ESPN!H:H), "N/A")</f>
        <v>56</v>
      </c>
      <c r="O1136" s="26" cm="1">
        <f t="array" ref="O1136">IFERROR(_xlfn.XLOOKUP(C1136&amp;A1136, ESPN!A:A&amp;ESPN!C:C, ESPN!I:I), "N/A")</f>
        <v>56</v>
      </c>
      <c r="P1136" s="26" cm="1">
        <f t="array" ref="P1136">IFERROR(_xlfn.XLOOKUP(C1136&amp;A1136, ESPN!A:A&amp;ESPN!C:C, ESPN!J:J), "N/A")</f>
        <v>43</v>
      </c>
      <c r="Q1136" s="26" cm="1">
        <f t="array" ref="Q1136">IFERROR(_xlfn.XLOOKUP(C1136&amp;A1136, ESPN!A:A&amp;ESPN!C:C, ESPN!K:K), "N/A")</f>
        <v>49</v>
      </c>
    </row>
    <row r="1137" spans="1:17" x14ac:dyDescent="0.45">
      <c r="A1137" s="7">
        <v>2019</v>
      </c>
      <c r="B1137" s="3" t="s">
        <v>385</v>
      </c>
      <c r="C1137" s="4" t="str">
        <f t="shared" si="34"/>
        <v>Jordan Wilkins</v>
      </c>
      <c r="D1137" s="4" t="str">
        <f t="shared" si="35"/>
        <v>IND</v>
      </c>
      <c r="E1137" s="4">
        <v>14</v>
      </c>
      <c r="F1137" s="12">
        <v>11</v>
      </c>
      <c r="G1137" s="11">
        <v>7</v>
      </c>
      <c r="H1137" s="11">
        <v>43</v>
      </c>
      <c r="I1137" s="11">
        <v>6.1</v>
      </c>
      <c r="J1137" s="11">
        <v>0</v>
      </c>
      <c r="K1137" s="11">
        <v>0</v>
      </c>
      <c r="L1137" s="11" t="str" cm="1">
        <f t="array" ref="L1137">IFERROR(_xlfn.XLOOKUP(C1137&amp;A1137, ESPN!A:A&amp;ESPN!C:C, ESPN!D:D), "N/A")</f>
        <v>N/A</v>
      </c>
      <c r="M1137" s="23" t="str" cm="1">
        <f t="array" ref="M1137">IFERROR(_xlfn.XLOOKUP(C1137&amp;A1137, ESPN!A:A&amp;ESPN!C:C, ESPN!G:G), "N/A")</f>
        <v>N/A</v>
      </c>
      <c r="N1137" s="23" t="str" cm="1">
        <f t="array" ref="N1137">IFERROR(_xlfn.XLOOKUP(C1137&amp;A1137, ESPN!A:A&amp;ESPN!C:C, ESPN!H:H), "N/A")</f>
        <v>N/A</v>
      </c>
      <c r="O1137" s="26" t="str" cm="1">
        <f t="array" ref="O1137">IFERROR(_xlfn.XLOOKUP(C1137&amp;A1137, ESPN!A:A&amp;ESPN!C:C, ESPN!I:I), "N/A")</f>
        <v>N/A</v>
      </c>
      <c r="P1137" s="26" t="str" cm="1">
        <f t="array" ref="P1137">IFERROR(_xlfn.XLOOKUP(C1137&amp;A1137, ESPN!A:A&amp;ESPN!C:C, ESPN!J:J), "N/A")</f>
        <v>N/A</v>
      </c>
      <c r="Q1137" s="26" t="str" cm="1">
        <f t="array" ref="Q1137">IFERROR(_xlfn.XLOOKUP(C1137&amp;A1137, ESPN!A:A&amp;ESPN!C:C, ESPN!K:K), "N/A")</f>
        <v>N/A</v>
      </c>
    </row>
    <row r="1138" spans="1:17" x14ac:dyDescent="0.45">
      <c r="A1138" s="6">
        <v>2019</v>
      </c>
      <c r="B1138" s="1" t="s">
        <v>565</v>
      </c>
      <c r="C1138" s="2" t="str">
        <f t="shared" si="34"/>
        <v>Mike Boone</v>
      </c>
      <c r="D1138" s="2" t="str">
        <f t="shared" si="35"/>
        <v>MIN</v>
      </c>
      <c r="E1138" s="2">
        <v>16</v>
      </c>
      <c r="F1138" s="12">
        <v>4</v>
      </c>
      <c r="G1138" s="11">
        <v>3</v>
      </c>
      <c r="H1138" s="11">
        <v>17</v>
      </c>
      <c r="I1138" s="11">
        <v>5.7</v>
      </c>
      <c r="J1138" s="11">
        <v>0</v>
      </c>
      <c r="K1138" s="11">
        <v>0</v>
      </c>
      <c r="L1138" s="11" t="str" cm="1">
        <f t="array" ref="L1138">IFERROR(_xlfn.XLOOKUP(C1138&amp;A1138, ESPN!A:A&amp;ESPN!C:C, ESPN!D:D), "N/A")</f>
        <v>N/A</v>
      </c>
      <c r="M1138" s="23" t="str" cm="1">
        <f t="array" ref="M1138">IFERROR(_xlfn.XLOOKUP(C1138&amp;A1138, ESPN!A:A&amp;ESPN!C:C, ESPN!G:G), "N/A")</f>
        <v>N/A</v>
      </c>
      <c r="N1138" s="23" t="str" cm="1">
        <f t="array" ref="N1138">IFERROR(_xlfn.XLOOKUP(C1138&amp;A1138, ESPN!A:A&amp;ESPN!C:C, ESPN!H:H), "N/A")</f>
        <v>N/A</v>
      </c>
      <c r="O1138" s="26" t="str" cm="1">
        <f t="array" ref="O1138">IFERROR(_xlfn.XLOOKUP(C1138&amp;A1138, ESPN!A:A&amp;ESPN!C:C, ESPN!I:I), "N/A")</f>
        <v>N/A</v>
      </c>
      <c r="P1138" s="26" t="str" cm="1">
        <f t="array" ref="P1138">IFERROR(_xlfn.XLOOKUP(C1138&amp;A1138, ESPN!A:A&amp;ESPN!C:C, ESPN!J:J), "N/A")</f>
        <v>N/A</v>
      </c>
      <c r="Q1138" s="26" t="str" cm="1">
        <f t="array" ref="Q1138">IFERROR(_xlfn.XLOOKUP(C1138&amp;A1138, ESPN!A:A&amp;ESPN!C:C, ESPN!K:K), "N/A")</f>
        <v>N/A</v>
      </c>
    </row>
    <row r="1139" spans="1:17" x14ac:dyDescent="0.45">
      <c r="A1139" s="7">
        <v>2019</v>
      </c>
      <c r="B1139" s="3" t="s">
        <v>618</v>
      </c>
      <c r="C1139" s="4" t="str">
        <f t="shared" si="34"/>
        <v>Jalen Richard</v>
      </c>
      <c r="D1139" s="4" t="str">
        <f t="shared" si="35"/>
        <v>OAK</v>
      </c>
      <c r="E1139" s="4">
        <v>16</v>
      </c>
      <c r="F1139" s="12">
        <v>43</v>
      </c>
      <c r="G1139" s="11">
        <v>36</v>
      </c>
      <c r="H1139" s="11">
        <v>323</v>
      </c>
      <c r="I1139" s="11">
        <v>9</v>
      </c>
      <c r="J1139" s="11">
        <v>0</v>
      </c>
      <c r="K1139" s="11">
        <v>0</v>
      </c>
      <c r="L1139" s="11" cm="1">
        <f t="array" ref="L1139">IFERROR(_xlfn.XLOOKUP(C1139&amp;A1139, ESPN!A:A&amp;ESPN!C:C, ESPN!D:D), "N/A")</f>
        <v>153</v>
      </c>
      <c r="M1139" s="23" cm="1">
        <f t="array" ref="M1139">IFERROR(_xlfn.XLOOKUP(C1139&amp;A1139, ESPN!A:A&amp;ESPN!C:C, ESPN!G:G), "N/A")</f>
        <v>2.11</v>
      </c>
      <c r="N1139" s="23" cm="1">
        <f t="array" ref="N1139">IFERROR(_xlfn.XLOOKUP(C1139&amp;A1139, ESPN!A:A&amp;ESPN!C:C, ESPN!H:H), "N/A")</f>
        <v>68</v>
      </c>
      <c r="O1139" s="26" cm="1">
        <f t="array" ref="O1139">IFERROR(_xlfn.XLOOKUP(C1139&amp;A1139, ESPN!A:A&amp;ESPN!C:C, ESPN!I:I), "N/A")</f>
        <v>57</v>
      </c>
      <c r="P1139" s="26" cm="1">
        <f t="array" ref="P1139">IFERROR(_xlfn.XLOOKUP(C1139&amp;A1139, ESPN!A:A&amp;ESPN!C:C, ESPN!J:J), "N/A")</f>
        <v>45</v>
      </c>
      <c r="Q1139" s="26" cm="1">
        <f t="array" ref="Q1139">IFERROR(_xlfn.XLOOKUP(C1139&amp;A1139, ESPN!A:A&amp;ESPN!C:C, ESPN!K:K), "N/A")</f>
        <v>56</v>
      </c>
    </row>
    <row r="1140" spans="1:17" x14ac:dyDescent="0.45">
      <c r="A1140" s="6">
        <v>2019</v>
      </c>
      <c r="B1140" s="1" t="s">
        <v>489</v>
      </c>
      <c r="C1140" s="2" t="str">
        <f t="shared" si="34"/>
        <v>Patrick Laird</v>
      </c>
      <c r="D1140" s="2" t="str">
        <f t="shared" si="35"/>
        <v>MIA</v>
      </c>
      <c r="E1140" s="2">
        <v>15</v>
      </c>
      <c r="F1140" s="12">
        <v>30</v>
      </c>
      <c r="G1140" s="11">
        <v>23</v>
      </c>
      <c r="H1140" s="11">
        <v>204</v>
      </c>
      <c r="I1140" s="11">
        <v>8.9</v>
      </c>
      <c r="J1140" s="11">
        <v>0</v>
      </c>
      <c r="K1140" s="11">
        <v>0</v>
      </c>
      <c r="L1140" s="11" cm="1">
        <f t="array" ref="L1140">IFERROR(_xlfn.XLOOKUP(C1140&amp;A1140, ESPN!A:A&amp;ESPN!C:C, ESPN!D:D), "N/A")</f>
        <v>126</v>
      </c>
      <c r="M1140" s="23" cm="1">
        <f t="array" ref="M1140">IFERROR(_xlfn.XLOOKUP(C1140&amp;A1140, ESPN!A:A&amp;ESPN!C:C, ESPN!G:G), "N/A")</f>
        <v>1.62</v>
      </c>
      <c r="N1140" s="23" cm="1">
        <f t="array" ref="N1140">IFERROR(_xlfn.XLOOKUP(C1140&amp;A1140, ESPN!A:A&amp;ESPN!C:C, ESPN!H:H), "N/A")</f>
        <v>55</v>
      </c>
      <c r="O1140" s="26" cm="1">
        <f t="array" ref="O1140">IFERROR(_xlfn.XLOOKUP(C1140&amp;A1140, ESPN!A:A&amp;ESPN!C:C, ESPN!I:I), "N/A")</f>
        <v>42</v>
      </c>
      <c r="P1140" s="26" cm="1">
        <f t="array" ref="P1140">IFERROR(_xlfn.XLOOKUP(C1140&amp;A1140, ESPN!A:A&amp;ESPN!C:C, ESPN!J:J), "N/A")</f>
        <v>41</v>
      </c>
      <c r="Q1140" s="26" cm="1">
        <f t="array" ref="Q1140">IFERROR(_xlfn.XLOOKUP(C1140&amp;A1140, ESPN!A:A&amp;ESPN!C:C, ESPN!K:K), "N/A")</f>
        <v>41</v>
      </c>
    </row>
    <row r="1141" spans="1:17" x14ac:dyDescent="0.45">
      <c r="A1141" s="7">
        <v>2019</v>
      </c>
      <c r="B1141" s="3" t="s">
        <v>447</v>
      </c>
      <c r="C1141" s="4" t="str">
        <f t="shared" si="34"/>
        <v>Jeff Wilson Jr.</v>
      </c>
      <c r="D1141" s="4" t="str">
        <f t="shared" si="35"/>
        <v>SF</v>
      </c>
      <c r="E1141" s="4">
        <v>11</v>
      </c>
      <c r="F1141" s="12">
        <v>5</v>
      </c>
      <c r="G1141" s="11">
        <v>3</v>
      </c>
      <c r="H1141" s="11">
        <v>34</v>
      </c>
      <c r="I1141" s="11">
        <v>11.3</v>
      </c>
      <c r="J1141" s="11">
        <v>1</v>
      </c>
      <c r="K1141" s="11">
        <v>0</v>
      </c>
      <c r="L1141" s="11" t="str" cm="1">
        <f t="array" ref="L1141">IFERROR(_xlfn.XLOOKUP(C1141&amp;A1141, ESPN!A:A&amp;ESPN!C:C, ESPN!D:D), "N/A")</f>
        <v>N/A</v>
      </c>
      <c r="M1141" s="23" t="str" cm="1">
        <f t="array" ref="M1141">IFERROR(_xlfn.XLOOKUP(C1141&amp;A1141, ESPN!A:A&amp;ESPN!C:C, ESPN!G:G), "N/A")</f>
        <v>N/A</v>
      </c>
      <c r="N1141" s="23" t="str" cm="1">
        <f t="array" ref="N1141">IFERROR(_xlfn.XLOOKUP(C1141&amp;A1141, ESPN!A:A&amp;ESPN!C:C, ESPN!H:H), "N/A")</f>
        <v>N/A</v>
      </c>
      <c r="O1141" s="26" t="str" cm="1">
        <f t="array" ref="O1141">IFERROR(_xlfn.XLOOKUP(C1141&amp;A1141, ESPN!A:A&amp;ESPN!C:C, ESPN!I:I), "N/A")</f>
        <v>N/A</v>
      </c>
      <c r="P1141" s="26" t="str" cm="1">
        <f t="array" ref="P1141">IFERROR(_xlfn.XLOOKUP(C1141&amp;A1141, ESPN!A:A&amp;ESPN!C:C, ESPN!J:J), "N/A")</f>
        <v>N/A</v>
      </c>
      <c r="Q1141" s="26" t="str" cm="1">
        <f t="array" ref="Q1141">IFERROR(_xlfn.XLOOKUP(C1141&amp;A1141, ESPN!A:A&amp;ESPN!C:C, ESPN!K:K), "N/A")</f>
        <v>N/A</v>
      </c>
    </row>
    <row r="1142" spans="1:17" x14ac:dyDescent="0.45">
      <c r="A1142" s="6">
        <v>2019</v>
      </c>
      <c r="B1142" s="1" t="s">
        <v>619</v>
      </c>
      <c r="C1142" s="2" t="str">
        <f t="shared" si="34"/>
        <v>Bo Scarbrough</v>
      </c>
      <c r="D1142" s="2" t="str">
        <f t="shared" si="35"/>
        <v>DET</v>
      </c>
      <c r="E1142" s="2">
        <v>6</v>
      </c>
      <c r="F1142" s="12">
        <v>4</v>
      </c>
      <c r="G1142" s="11">
        <v>1</v>
      </c>
      <c r="H1142" s="11">
        <v>5</v>
      </c>
      <c r="I1142" s="11">
        <v>5</v>
      </c>
      <c r="J1142" s="11">
        <v>0</v>
      </c>
      <c r="K1142" s="11">
        <v>1</v>
      </c>
      <c r="L1142" s="11" t="str" cm="1">
        <f t="array" ref="L1142">IFERROR(_xlfn.XLOOKUP(C1142&amp;A1142, ESPN!A:A&amp;ESPN!C:C, ESPN!D:D), "N/A")</f>
        <v>N/A</v>
      </c>
      <c r="M1142" s="23" t="str" cm="1">
        <f t="array" ref="M1142">IFERROR(_xlfn.XLOOKUP(C1142&amp;A1142, ESPN!A:A&amp;ESPN!C:C, ESPN!G:G), "N/A")</f>
        <v>N/A</v>
      </c>
      <c r="N1142" s="23" t="str" cm="1">
        <f t="array" ref="N1142">IFERROR(_xlfn.XLOOKUP(C1142&amp;A1142, ESPN!A:A&amp;ESPN!C:C, ESPN!H:H), "N/A")</f>
        <v>N/A</v>
      </c>
      <c r="O1142" s="26" t="str" cm="1">
        <f t="array" ref="O1142">IFERROR(_xlfn.XLOOKUP(C1142&amp;A1142, ESPN!A:A&amp;ESPN!C:C, ESPN!I:I), "N/A")</f>
        <v>N/A</v>
      </c>
      <c r="P1142" s="26" t="str" cm="1">
        <f t="array" ref="P1142">IFERROR(_xlfn.XLOOKUP(C1142&amp;A1142, ESPN!A:A&amp;ESPN!C:C, ESPN!J:J), "N/A")</f>
        <v>N/A</v>
      </c>
      <c r="Q1142" s="26" t="str" cm="1">
        <f t="array" ref="Q1142">IFERROR(_xlfn.XLOOKUP(C1142&amp;A1142, ESPN!A:A&amp;ESPN!C:C, ESPN!K:K), "N/A")</f>
        <v>N/A</v>
      </c>
    </row>
    <row r="1143" spans="1:17" x14ac:dyDescent="0.45">
      <c r="A1143" s="7">
        <v>2019</v>
      </c>
      <c r="B1143" s="3" t="s">
        <v>433</v>
      </c>
      <c r="C1143" s="4" t="str">
        <f t="shared" si="34"/>
        <v>Brandon Bolden</v>
      </c>
      <c r="D1143" s="4" t="str">
        <f t="shared" si="35"/>
        <v>NE</v>
      </c>
      <c r="E1143" s="4">
        <v>15</v>
      </c>
      <c r="F1143" s="12">
        <v>11</v>
      </c>
      <c r="G1143" s="11">
        <v>9</v>
      </c>
      <c r="H1143" s="11">
        <v>111</v>
      </c>
      <c r="I1143" s="11">
        <v>12.3</v>
      </c>
      <c r="J1143" s="11">
        <v>1</v>
      </c>
      <c r="K1143" s="11">
        <v>0</v>
      </c>
      <c r="L1143" s="11" t="str" cm="1">
        <f t="array" ref="L1143">IFERROR(_xlfn.XLOOKUP(C1143&amp;A1143, ESPN!A:A&amp;ESPN!C:C, ESPN!D:D), "N/A")</f>
        <v>N/A</v>
      </c>
      <c r="M1143" s="23" t="str" cm="1">
        <f t="array" ref="M1143">IFERROR(_xlfn.XLOOKUP(C1143&amp;A1143, ESPN!A:A&amp;ESPN!C:C, ESPN!G:G), "N/A")</f>
        <v>N/A</v>
      </c>
      <c r="N1143" s="23" t="str" cm="1">
        <f t="array" ref="N1143">IFERROR(_xlfn.XLOOKUP(C1143&amp;A1143, ESPN!A:A&amp;ESPN!C:C, ESPN!H:H), "N/A")</f>
        <v>N/A</v>
      </c>
      <c r="O1143" s="26" t="str" cm="1">
        <f t="array" ref="O1143">IFERROR(_xlfn.XLOOKUP(C1143&amp;A1143, ESPN!A:A&amp;ESPN!C:C, ESPN!I:I), "N/A")</f>
        <v>N/A</v>
      </c>
      <c r="P1143" s="26" t="str" cm="1">
        <f t="array" ref="P1143">IFERROR(_xlfn.XLOOKUP(C1143&amp;A1143, ESPN!A:A&amp;ESPN!C:C, ESPN!J:J), "N/A")</f>
        <v>N/A</v>
      </c>
      <c r="Q1143" s="26" t="str" cm="1">
        <f t="array" ref="Q1143">IFERROR(_xlfn.XLOOKUP(C1143&amp;A1143, ESPN!A:A&amp;ESPN!C:C, ESPN!K:K), "N/A")</f>
        <v>N/A</v>
      </c>
    </row>
    <row r="1144" spans="1:17" x14ac:dyDescent="0.45">
      <c r="A1144" s="6">
        <v>2019</v>
      </c>
      <c r="B1144" s="1" t="s">
        <v>89</v>
      </c>
      <c r="C1144" s="2" t="str">
        <f t="shared" si="34"/>
        <v>Justice Hill</v>
      </c>
      <c r="D1144" s="2" t="str">
        <f t="shared" si="35"/>
        <v>BAL</v>
      </c>
      <c r="E1144" s="2">
        <v>16</v>
      </c>
      <c r="F1144" s="12">
        <v>15</v>
      </c>
      <c r="G1144" s="11">
        <v>8</v>
      </c>
      <c r="H1144" s="11">
        <v>70</v>
      </c>
      <c r="I1144" s="11">
        <v>8.8000000000000007</v>
      </c>
      <c r="J1144" s="11">
        <v>0</v>
      </c>
      <c r="K1144" s="11">
        <v>0</v>
      </c>
      <c r="L1144" s="11" t="str" cm="1">
        <f t="array" ref="L1144">IFERROR(_xlfn.XLOOKUP(C1144&amp;A1144, ESPN!A:A&amp;ESPN!C:C, ESPN!D:D), "N/A")</f>
        <v>N/A</v>
      </c>
      <c r="M1144" s="23" t="str" cm="1">
        <f t="array" ref="M1144">IFERROR(_xlfn.XLOOKUP(C1144&amp;A1144, ESPN!A:A&amp;ESPN!C:C, ESPN!G:G), "N/A")</f>
        <v>N/A</v>
      </c>
      <c r="N1144" s="23" t="str" cm="1">
        <f t="array" ref="N1144">IFERROR(_xlfn.XLOOKUP(C1144&amp;A1144, ESPN!A:A&amp;ESPN!C:C, ESPN!H:H), "N/A")</f>
        <v>N/A</v>
      </c>
      <c r="O1144" s="26" t="str" cm="1">
        <f t="array" ref="O1144">IFERROR(_xlfn.XLOOKUP(C1144&amp;A1144, ESPN!A:A&amp;ESPN!C:C, ESPN!I:I), "N/A")</f>
        <v>N/A</v>
      </c>
      <c r="P1144" s="26" t="str" cm="1">
        <f t="array" ref="P1144">IFERROR(_xlfn.XLOOKUP(C1144&amp;A1144, ESPN!A:A&amp;ESPN!C:C, ESPN!J:J), "N/A")</f>
        <v>N/A</v>
      </c>
      <c r="Q1144" s="26" t="str" cm="1">
        <f t="array" ref="Q1144">IFERROR(_xlfn.XLOOKUP(C1144&amp;A1144, ESPN!A:A&amp;ESPN!C:C, ESPN!K:K), "N/A")</f>
        <v>N/A</v>
      </c>
    </row>
    <row r="1145" spans="1:17" x14ac:dyDescent="0.45">
      <c r="A1145" s="7">
        <v>2019</v>
      </c>
      <c r="B1145" s="3" t="s">
        <v>620</v>
      </c>
      <c r="C1145" s="4" t="str">
        <f t="shared" si="34"/>
        <v>Dion Lewis</v>
      </c>
      <c r="D1145" s="4" t="str">
        <f t="shared" si="35"/>
        <v>TEN</v>
      </c>
      <c r="E1145" s="4">
        <v>16</v>
      </c>
      <c r="F1145" s="12">
        <v>32</v>
      </c>
      <c r="G1145" s="11">
        <v>25</v>
      </c>
      <c r="H1145" s="11">
        <v>164</v>
      </c>
      <c r="I1145" s="11">
        <v>6.6</v>
      </c>
      <c r="J1145" s="11">
        <v>1</v>
      </c>
      <c r="K1145" s="11">
        <v>1</v>
      </c>
      <c r="L1145" s="11" cm="1">
        <f t="array" ref="L1145">IFERROR(_xlfn.XLOOKUP(C1145&amp;A1145, ESPN!A:A&amp;ESPN!C:C, ESPN!D:D), "N/A")</f>
        <v>150</v>
      </c>
      <c r="M1145" s="23" cm="1">
        <f t="array" ref="M1145">IFERROR(_xlfn.XLOOKUP(C1145&amp;A1145, ESPN!A:A&amp;ESPN!C:C, ESPN!G:G), "N/A")</f>
        <v>1.19</v>
      </c>
      <c r="N1145" s="23" cm="1">
        <f t="array" ref="N1145">IFERROR(_xlfn.XLOOKUP(C1145&amp;A1145, ESPN!A:A&amp;ESPN!C:C, ESPN!H:H), "N/A")</f>
        <v>42</v>
      </c>
      <c r="O1145" s="26" cm="1">
        <f t="array" ref="O1145">IFERROR(_xlfn.XLOOKUP(C1145&amp;A1145, ESPN!A:A&amp;ESPN!C:C, ESPN!I:I), "N/A")</f>
        <v>50</v>
      </c>
      <c r="P1145" s="26" cm="1">
        <f t="array" ref="P1145">IFERROR(_xlfn.XLOOKUP(C1145&amp;A1145, ESPN!A:A&amp;ESPN!C:C, ESPN!J:J), "N/A")</f>
        <v>30</v>
      </c>
      <c r="Q1145" s="26" cm="1">
        <f t="array" ref="Q1145">IFERROR(_xlfn.XLOOKUP(C1145&amp;A1145, ESPN!A:A&amp;ESPN!C:C, ESPN!K:K), "N/A")</f>
        <v>30</v>
      </c>
    </row>
    <row r="1146" spans="1:17" x14ac:dyDescent="0.45">
      <c r="A1146" s="6">
        <v>2019</v>
      </c>
      <c r="B1146" s="1" t="s">
        <v>621</v>
      </c>
      <c r="C1146" s="2" t="str">
        <f t="shared" si="34"/>
        <v>Dare Ogunbowale</v>
      </c>
      <c r="D1146" s="2" t="str">
        <f t="shared" si="35"/>
        <v>TB</v>
      </c>
      <c r="E1146" s="2">
        <v>16</v>
      </c>
      <c r="F1146" s="12">
        <v>46</v>
      </c>
      <c r="G1146" s="11">
        <v>35</v>
      </c>
      <c r="H1146" s="11">
        <v>286</v>
      </c>
      <c r="I1146" s="11">
        <v>8.1999999999999993</v>
      </c>
      <c r="J1146" s="11">
        <v>0</v>
      </c>
      <c r="K1146" s="11">
        <v>1</v>
      </c>
      <c r="L1146" s="11" cm="1">
        <f t="array" ref="L1146">IFERROR(_xlfn.XLOOKUP(C1146&amp;A1146, ESPN!A:A&amp;ESPN!C:C, ESPN!D:D), "N/A")</f>
        <v>161</v>
      </c>
      <c r="M1146" s="23" cm="1">
        <f t="array" ref="M1146">IFERROR(_xlfn.XLOOKUP(C1146&amp;A1146, ESPN!A:A&amp;ESPN!C:C, ESPN!G:G), "N/A")</f>
        <v>1.78</v>
      </c>
      <c r="N1146" s="23" cm="1">
        <f t="array" ref="N1146">IFERROR(_xlfn.XLOOKUP(C1146&amp;A1146, ESPN!A:A&amp;ESPN!C:C, ESPN!H:H), "N/A")</f>
        <v>59</v>
      </c>
      <c r="O1146" s="26" cm="1">
        <f t="array" ref="O1146">IFERROR(_xlfn.XLOOKUP(C1146&amp;A1146, ESPN!A:A&amp;ESPN!C:C, ESPN!I:I), "N/A")</f>
        <v>56</v>
      </c>
      <c r="P1146" s="26" cm="1">
        <f t="array" ref="P1146">IFERROR(_xlfn.XLOOKUP(C1146&amp;A1146, ESPN!A:A&amp;ESPN!C:C, ESPN!J:J), "N/A")</f>
        <v>21</v>
      </c>
      <c r="Q1146" s="26" cm="1">
        <f t="array" ref="Q1146">IFERROR(_xlfn.XLOOKUP(C1146&amp;A1146, ESPN!A:A&amp;ESPN!C:C, ESPN!K:K), "N/A")</f>
        <v>32</v>
      </c>
    </row>
    <row r="1147" spans="1:17" x14ac:dyDescent="0.45">
      <c r="A1147" s="7">
        <v>2019</v>
      </c>
      <c r="B1147" s="3" t="s">
        <v>533</v>
      </c>
      <c r="C1147" s="4" t="str">
        <f t="shared" si="34"/>
        <v>Giovani Bernard</v>
      </c>
      <c r="D1147" s="4" t="str">
        <f t="shared" si="35"/>
        <v>CIN</v>
      </c>
      <c r="E1147" s="4">
        <v>16</v>
      </c>
      <c r="F1147" s="12">
        <v>43</v>
      </c>
      <c r="G1147" s="11">
        <v>30</v>
      </c>
      <c r="H1147" s="11">
        <v>234</v>
      </c>
      <c r="I1147" s="11">
        <v>7.8</v>
      </c>
      <c r="J1147" s="11">
        <v>0</v>
      </c>
      <c r="K1147" s="11">
        <v>1</v>
      </c>
      <c r="L1147" s="11" t="str" cm="1">
        <f t="array" ref="L1147">IFERROR(_xlfn.XLOOKUP(C1147&amp;A1147, ESPN!A:A&amp;ESPN!C:C, ESPN!D:D), "N/A")</f>
        <v>N/A</v>
      </c>
      <c r="M1147" s="23" t="str" cm="1">
        <f t="array" ref="M1147">IFERROR(_xlfn.XLOOKUP(C1147&amp;A1147, ESPN!A:A&amp;ESPN!C:C, ESPN!G:G), "N/A")</f>
        <v>N/A</v>
      </c>
      <c r="N1147" s="23" t="str" cm="1">
        <f t="array" ref="N1147">IFERROR(_xlfn.XLOOKUP(C1147&amp;A1147, ESPN!A:A&amp;ESPN!C:C, ESPN!H:H), "N/A")</f>
        <v>N/A</v>
      </c>
      <c r="O1147" s="26" t="str" cm="1">
        <f t="array" ref="O1147">IFERROR(_xlfn.XLOOKUP(C1147&amp;A1147, ESPN!A:A&amp;ESPN!C:C, ESPN!I:I), "N/A")</f>
        <v>N/A</v>
      </c>
      <c r="P1147" s="26" t="str" cm="1">
        <f t="array" ref="P1147">IFERROR(_xlfn.XLOOKUP(C1147&amp;A1147, ESPN!A:A&amp;ESPN!C:C, ESPN!J:J), "N/A")</f>
        <v>N/A</v>
      </c>
      <c r="Q1147" s="26" t="str" cm="1">
        <f t="array" ref="Q1147">IFERROR(_xlfn.XLOOKUP(C1147&amp;A1147, ESPN!A:A&amp;ESPN!C:C, ESPN!K:K), "N/A")</f>
        <v>N/A</v>
      </c>
    </row>
    <row r="1148" spans="1:17" x14ac:dyDescent="0.45">
      <c r="A1148" s="6">
        <v>2019</v>
      </c>
      <c r="B1148" s="1" t="s">
        <v>622</v>
      </c>
      <c r="C1148" s="2" t="str">
        <f t="shared" si="34"/>
        <v>Kalen Ballage</v>
      </c>
      <c r="D1148" s="2" t="str">
        <f t="shared" si="35"/>
        <v>MIA</v>
      </c>
      <c r="E1148" s="2">
        <v>12</v>
      </c>
      <c r="F1148" s="12">
        <v>24</v>
      </c>
      <c r="G1148" s="11">
        <v>14</v>
      </c>
      <c r="H1148" s="11">
        <v>63</v>
      </c>
      <c r="I1148" s="11">
        <v>4.5</v>
      </c>
      <c r="J1148" s="11">
        <v>0</v>
      </c>
      <c r="K1148" s="11">
        <v>0</v>
      </c>
      <c r="L1148" s="11" t="str" cm="1">
        <f t="array" ref="L1148">IFERROR(_xlfn.XLOOKUP(C1148&amp;A1148, ESPN!A:A&amp;ESPN!C:C, ESPN!D:D), "N/A")</f>
        <v>N/A</v>
      </c>
      <c r="M1148" s="23" t="str" cm="1">
        <f t="array" ref="M1148">IFERROR(_xlfn.XLOOKUP(C1148&amp;A1148, ESPN!A:A&amp;ESPN!C:C, ESPN!G:G), "N/A")</f>
        <v>N/A</v>
      </c>
      <c r="N1148" s="23" t="str" cm="1">
        <f t="array" ref="N1148">IFERROR(_xlfn.XLOOKUP(C1148&amp;A1148, ESPN!A:A&amp;ESPN!C:C, ESPN!H:H), "N/A")</f>
        <v>N/A</v>
      </c>
      <c r="O1148" s="26" t="str" cm="1">
        <f t="array" ref="O1148">IFERROR(_xlfn.XLOOKUP(C1148&amp;A1148, ESPN!A:A&amp;ESPN!C:C, ESPN!I:I), "N/A")</f>
        <v>N/A</v>
      </c>
      <c r="P1148" s="26" t="str" cm="1">
        <f t="array" ref="P1148">IFERROR(_xlfn.XLOOKUP(C1148&amp;A1148, ESPN!A:A&amp;ESPN!C:C, ESPN!J:J), "N/A")</f>
        <v>N/A</v>
      </c>
      <c r="Q1148" s="26" t="str" cm="1">
        <f t="array" ref="Q1148">IFERROR(_xlfn.XLOOKUP(C1148&amp;A1148, ESPN!A:A&amp;ESPN!C:C, ESPN!K:K), "N/A")</f>
        <v>N/A</v>
      </c>
    </row>
    <row r="1149" spans="1:17" x14ac:dyDescent="0.45">
      <c r="A1149" s="7">
        <v>2019</v>
      </c>
      <c r="B1149" s="3" t="s">
        <v>530</v>
      </c>
      <c r="C1149" s="4" t="str">
        <f t="shared" si="34"/>
        <v>Wayne Gallman Jr.</v>
      </c>
      <c r="D1149" s="4" t="str">
        <f t="shared" si="35"/>
        <v>NYG</v>
      </c>
      <c r="E1149" s="4">
        <v>10</v>
      </c>
      <c r="F1149" s="12">
        <v>16</v>
      </c>
      <c r="G1149" s="11">
        <v>11</v>
      </c>
      <c r="H1149" s="11">
        <v>102</v>
      </c>
      <c r="I1149" s="11">
        <v>9.3000000000000007</v>
      </c>
      <c r="J1149" s="11">
        <v>1</v>
      </c>
      <c r="K1149" s="11">
        <v>1</v>
      </c>
      <c r="L1149" s="11" t="str" cm="1">
        <f t="array" ref="L1149">IFERROR(_xlfn.XLOOKUP(C1149&amp;A1149, ESPN!A:A&amp;ESPN!C:C, ESPN!D:D), "N/A")</f>
        <v>N/A</v>
      </c>
      <c r="M1149" s="23" t="str" cm="1">
        <f t="array" ref="M1149">IFERROR(_xlfn.XLOOKUP(C1149&amp;A1149, ESPN!A:A&amp;ESPN!C:C, ESPN!G:G), "N/A")</f>
        <v>N/A</v>
      </c>
      <c r="N1149" s="23" t="str" cm="1">
        <f t="array" ref="N1149">IFERROR(_xlfn.XLOOKUP(C1149&amp;A1149, ESPN!A:A&amp;ESPN!C:C, ESPN!H:H), "N/A")</f>
        <v>N/A</v>
      </c>
      <c r="O1149" s="26" t="str" cm="1">
        <f t="array" ref="O1149">IFERROR(_xlfn.XLOOKUP(C1149&amp;A1149, ESPN!A:A&amp;ESPN!C:C, ESPN!I:I), "N/A")</f>
        <v>N/A</v>
      </c>
      <c r="P1149" s="26" t="str" cm="1">
        <f t="array" ref="P1149">IFERROR(_xlfn.XLOOKUP(C1149&amp;A1149, ESPN!A:A&amp;ESPN!C:C, ESPN!J:J), "N/A")</f>
        <v>N/A</v>
      </c>
      <c r="Q1149" s="26" t="str" cm="1">
        <f t="array" ref="Q1149">IFERROR(_xlfn.XLOOKUP(C1149&amp;A1149, ESPN!A:A&amp;ESPN!C:C, ESPN!K:K), "N/A")</f>
        <v>N/A</v>
      </c>
    </row>
    <row r="1150" spans="1:17" x14ac:dyDescent="0.45">
      <c r="A1150" s="6">
        <v>2019</v>
      </c>
      <c r="B1150" s="1" t="s">
        <v>474</v>
      </c>
      <c r="C1150" s="2" t="str">
        <f t="shared" si="34"/>
        <v>Ryquell Armstead</v>
      </c>
      <c r="D1150" s="2" t="str">
        <f t="shared" si="35"/>
        <v>JAC</v>
      </c>
      <c r="E1150" s="2">
        <v>16</v>
      </c>
      <c r="F1150" s="12">
        <v>24</v>
      </c>
      <c r="G1150" s="11">
        <v>14</v>
      </c>
      <c r="H1150" s="11">
        <v>144</v>
      </c>
      <c r="I1150" s="11">
        <v>10.3</v>
      </c>
      <c r="J1150" s="11">
        <v>2</v>
      </c>
      <c r="K1150" s="11">
        <v>0</v>
      </c>
      <c r="L1150" s="11" cm="1">
        <f t="array" ref="L1150">IFERROR(_xlfn.XLOOKUP(C1150&amp;A1150, ESPN!A:A&amp;ESPN!C:C, ESPN!D:D), "N/A")</f>
        <v>75</v>
      </c>
      <c r="M1150" s="23" cm="1">
        <f t="array" ref="M1150">IFERROR(_xlfn.XLOOKUP(C1150&amp;A1150, ESPN!A:A&amp;ESPN!C:C, ESPN!G:G), "N/A")</f>
        <v>1.92</v>
      </c>
      <c r="N1150" s="23" cm="1">
        <f t="array" ref="N1150">IFERROR(_xlfn.XLOOKUP(C1150&amp;A1150, ESPN!A:A&amp;ESPN!C:C, ESPN!H:H), "N/A")</f>
        <v>75</v>
      </c>
      <c r="O1150" s="26" cm="1">
        <f t="array" ref="O1150">IFERROR(_xlfn.XLOOKUP(C1150&amp;A1150, ESPN!A:A&amp;ESPN!C:C, ESPN!I:I), "N/A")</f>
        <v>39</v>
      </c>
      <c r="P1150" s="26" cm="1">
        <f t="array" ref="P1150">IFERROR(_xlfn.XLOOKUP(C1150&amp;A1150, ESPN!A:A&amp;ESPN!C:C, ESPN!J:J), "N/A")</f>
        <v>50</v>
      </c>
      <c r="Q1150" s="26" cm="1">
        <f t="array" ref="Q1150">IFERROR(_xlfn.XLOOKUP(C1150&amp;A1150, ESPN!A:A&amp;ESPN!C:C, ESPN!K:K), "N/A")</f>
        <v>53</v>
      </c>
    </row>
    <row r="1151" spans="1:17" x14ac:dyDescent="0.45">
      <c r="A1151" s="7">
        <v>2019</v>
      </c>
      <c r="B1151" s="3" t="s">
        <v>623</v>
      </c>
      <c r="C1151" s="4" t="str">
        <f t="shared" si="34"/>
        <v>Ty Johnson</v>
      </c>
      <c r="D1151" s="4" t="str">
        <f t="shared" si="35"/>
        <v>DET</v>
      </c>
      <c r="E1151" s="4">
        <v>16</v>
      </c>
      <c r="F1151" s="12">
        <v>31</v>
      </c>
      <c r="G1151" s="11">
        <v>24</v>
      </c>
      <c r="H1151" s="11">
        <v>109</v>
      </c>
      <c r="I1151" s="11">
        <v>4.5</v>
      </c>
      <c r="J1151" s="11">
        <v>0</v>
      </c>
      <c r="K1151" s="11">
        <v>1</v>
      </c>
      <c r="L1151" s="11" cm="1">
        <f t="array" ref="L1151">IFERROR(_xlfn.XLOOKUP(C1151&amp;A1151, ESPN!A:A&amp;ESPN!C:C, ESPN!D:D), "N/A")</f>
        <v>156</v>
      </c>
      <c r="M1151" s="23" cm="1">
        <f t="array" ref="M1151">IFERROR(_xlfn.XLOOKUP(C1151&amp;A1151, ESPN!A:A&amp;ESPN!C:C, ESPN!G:G), "N/A")</f>
        <v>0.7</v>
      </c>
      <c r="N1151" s="23" cm="1">
        <f t="array" ref="N1151">IFERROR(_xlfn.XLOOKUP(C1151&amp;A1151, ESPN!A:A&amp;ESPN!C:C, ESPN!H:H), "N/A")</f>
        <v>44</v>
      </c>
      <c r="O1151" s="26" cm="1">
        <f t="array" ref="O1151">IFERROR(_xlfn.XLOOKUP(C1151&amp;A1151, ESPN!A:A&amp;ESPN!C:C, ESPN!I:I), "N/A")</f>
        <v>47</v>
      </c>
      <c r="P1151" s="26" cm="1">
        <f t="array" ref="P1151">IFERROR(_xlfn.XLOOKUP(C1151&amp;A1151, ESPN!A:A&amp;ESPN!C:C, ESPN!J:J), "N/A")</f>
        <v>12</v>
      </c>
      <c r="Q1151" s="26" cm="1">
        <f t="array" ref="Q1151">IFERROR(_xlfn.XLOOKUP(C1151&amp;A1151, ESPN!A:A&amp;ESPN!C:C, ESPN!K:K), "N/A")</f>
        <v>15</v>
      </c>
    </row>
    <row r="1152" spans="1:17" x14ac:dyDescent="0.45">
      <c r="A1152" s="6">
        <v>2019</v>
      </c>
      <c r="B1152" s="1" t="s">
        <v>624</v>
      </c>
      <c r="C1152" s="2" t="str">
        <f t="shared" si="34"/>
        <v>Jonathan Williams</v>
      </c>
      <c r="D1152" s="2" t="str">
        <f t="shared" si="35"/>
        <v>IND</v>
      </c>
      <c r="E1152" s="2">
        <v>9</v>
      </c>
      <c r="F1152" s="12">
        <v>5</v>
      </c>
      <c r="G1152" s="11">
        <v>5</v>
      </c>
      <c r="H1152" s="11">
        <v>59</v>
      </c>
      <c r="I1152" s="11">
        <v>11.8</v>
      </c>
      <c r="J1152" s="11">
        <v>0</v>
      </c>
      <c r="K1152" s="11">
        <v>0</v>
      </c>
      <c r="L1152" s="11" t="str" cm="1">
        <f t="array" ref="L1152">IFERROR(_xlfn.XLOOKUP(C1152&amp;A1152, ESPN!A:A&amp;ESPN!C:C, ESPN!D:D), "N/A")</f>
        <v>N/A</v>
      </c>
      <c r="M1152" s="23" t="str" cm="1">
        <f t="array" ref="M1152">IFERROR(_xlfn.XLOOKUP(C1152&amp;A1152, ESPN!A:A&amp;ESPN!C:C, ESPN!G:G), "N/A")</f>
        <v>N/A</v>
      </c>
      <c r="N1152" s="23" t="str" cm="1">
        <f t="array" ref="N1152">IFERROR(_xlfn.XLOOKUP(C1152&amp;A1152, ESPN!A:A&amp;ESPN!C:C, ESPN!H:H), "N/A")</f>
        <v>N/A</v>
      </c>
      <c r="O1152" s="26" t="str" cm="1">
        <f t="array" ref="O1152">IFERROR(_xlfn.XLOOKUP(C1152&amp;A1152, ESPN!A:A&amp;ESPN!C:C, ESPN!I:I), "N/A")</f>
        <v>N/A</v>
      </c>
      <c r="P1152" s="26" t="str" cm="1">
        <f t="array" ref="P1152">IFERROR(_xlfn.XLOOKUP(C1152&amp;A1152, ESPN!A:A&amp;ESPN!C:C, ESPN!J:J), "N/A")</f>
        <v>N/A</v>
      </c>
      <c r="Q1152" s="26" t="str" cm="1">
        <f t="array" ref="Q1152">IFERROR(_xlfn.XLOOKUP(C1152&amp;A1152, ESPN!A:A&amp;ESPN!C:C, ESPN!K:K), "N/A")</f>
        <v>N/A</v>
      </c>
    </row>
    <row r="1153" spans="1:17" x14ac:dyDescent="0.45">
      <c r="A1153" s="7">
        <v>2019</v>
      </c>
      <c r="B1153" s="3" t="s">
        <v>176</v>
      </c>
      <c r="C1153" s="4" t="str">
        <f t="shared" si="34"/>
        <v>Kyle Juszczyk</v>
      </c>
      <c r="D1153" s="4" t="str">
        <f t="shared" si="35"/>
        <v>SF</v>
      </c>
      <c r="E1153" s="4">
        <v>12</v>
      </c>
      <c r="F1153" s="12">
        <v>24</v>
      </c>
      <c r="G1153" s="11">
        <v>20</v>
      </c>
      <c r="H1153" s="11">
        <v>239</v>
      </c>
      <c r="I1153" s="11">
        <v>12</v>
      </c>
      <c r="J1153" s="11">
        <v>1</v>
      </c>
      <c r="K1153" s="11">
        <v>0</v>
      </c>
      <c r="L1153" s="11" t="str" cm="1">
        <f t="array" ref="L1153">IFERROR(_xlfn.XLOOKUP(C1153&amp;A1153, ESPN!A:A&amp;ESPN!C:C, ESPN!D:D), "N/A")</f>
        <v>N/A</v>
      </c>
      <c r="M1153" s="23" t="str" cm="1">
        <f t="array" ref="M1153">IFERROR(_xlfn.XLOOKUP(C1153&amp;A1153, ESPN!A:A&amp;ESPN!C:C, ESPN!G:G), "N/A")</f>
        <v>N/A</v>
      </c>
      <c r="N1153" s="23" t="str" cm="1">
        <f t="array" ref="N1153">IFERROR(_xlfn.XLOOKUP(C1153&amp;A1153, ESPN!A:A&amp;ESPN!C:C, ESPN!H:H), "N/A")</f>
        <v>N/A</v>
      </c>
      <c r="O1153" s="26" t="str" cm="1">
        <f t="array" ref="O1153">IFERROR(_xlfn.XLOOKUP(C1153&amp;A1153, ESPN!A:A&amp;ESPN!C:C, ESPN!I:I), "N/A")</f>
        <v>N/A</v>
      </c>
      <c r="P1153" s="26" t="str" cm="1">
        <f t="array" ref="P1153">IFERROR(_xlfn.XLOOKUP(C1153&amp;A1153, ESPN!A:A&amp;ESPN!C:C, ESPN!J:J), "N/A")</f>
        <v>N/A</v>
      </c>
      <c r="Q1153" s="26" t="str" cm="1">
        <f t="array" ref="Q1153">IFERROR(_xlfn.XLOOKUP(C1153&amp;A1153, ESPN!A:A&amp;ESPN!C:C, ESPN!K:K), "N/A")</f>
        <v>N/A</v>
      </c>
    </row>
    <row r="1154" spans="1:17" x14ac:dyDescent="0.45">
      <c r="A1154" s="6">
        <v>2019</v>
      </c>
      <c r="B1154" s="1" t="s">
        <v>468</v>
      </c>
      <c r="C1154" s="2" t="str">
        <f t="shared" ref="C1154:C1217" si="36">TRIM(LEFT(B1154, LEN(B1154) - LEN(TRIM(RIGHT(SUBSTITUTE(TRIM(B1154)," ",REPT(" ",100)),100)))))</f>
        <v>Qadree Ollison</v>
      </c>
      <c r="D1154" s="2" t="str">
        <f t="shared" ref="D1154:D1217" si="37">MID(B1154, FIND("(", B1154) + 1, FIND(")", B1154) - FIND("(", B1154) - 1)</f>
        <v>ATL</v>
      </c>
      <c r="E1154" s="2">
        <v>8</v>
      </c>
      <c r="F1154" s="12">
        <v>2</v>
      </c>
      <c r="G1154" s="11">
        <v>1</v>
      </c>
      <c r="H1154" s="11">
        <v>7</v>
      </c>
      <c r="I1154" s="11">
        <v>7</v>
      </c>
      <c r="J1154" s="11">
        <v>0</v>
      </c>
      <c r="K1154" s="11">
        <v>0</v>
      </c>
      <c r="L1154" s="11" t="str" cm="1">
        <f t="array" ref="L1154">IFERROR(_xlfn.XLOOKUP(C1154&amp;A1154, ESPN!A:A&amp;ESPN!C:C, ESPN!D:D), "N/A")</f>
        <v>N/A</v>
      </c>
      <c r="M1154" s="23" t="str" cm="1">
        <f t="array" ref="M1154">IFERROR(_xlfn.XLOOKUP(C1154&amp;A1154, ESPN!A:A&amp;ESPN!C:C, ESPN!G:G), "N/A")</f>
        <v>N/A</v>
      </c>
      <c r="N1154" s="23" t="str" cm="1">
        <f t="array" ref="N1154">IFERROR(_xlfn.XLOOKUP(C1154&amp;A1154, ESPN!A:A&amp;ESPN!C:C, ESPN!H:H), "N/A")</f>
        <v>N/A</v>
      </c>
      <c r="O1154" s="26" t="str" cm="1">
        <f t="array" ref="O1154">IFERROR(_xlfn.XLOOKUP(C1154&amp;A1154, ESPN!A:A&amp;ESPN!C:C, ESPN!I:I), "N/A")</f>
        <v>N/A</v>
      </c>
      <c r="P1154" s="26" t="str" cm="1">
        <f t="array" ref="P1154">IFERROR(_xlfn.XLOOKUP(C1154&amp;A1154, ESPN!A:A&amp;ESPN!C:C, ESPN!J:J), "N/A")</f>
        <v>N/A</v>
      </c>
      <c r="Q1154" s="26" t="str" cm="1">
        <f t="array" ref="Q1154">IFERROR(_xlfn.XLOOKUP(C1154&amp;A1154, ESPN!A:A&amp;ESPN!C:C, ESPN!K:K), "N/A")</f>
        <v>N/A</v>
      </c>
    </row>
    <row r="1155" spans="1:17" x14ac:dyDescent="0.45">
      <c r="A1155" s="7">
        <v>2019</v>
      </c>
      <c r="B1155" s="3" t="s">
        <v>625</v>
      </c>
      <c r="C1155" s="4" t="str">
        <f t="shared" si="36"/>
        <v>Mark Walton</v>
      </c>
      <c r="D1155" s="4" t="str">
        <f t="shared" si="37"/>
        <v>MIA</v>
      </c>
      <c r="E1155" s="4">
        <v>7</v>
      </c>
      <c r="F1155" s="12">
        <v>21</v>
      </c>
      <c r="G1155" s="11">
        <v>15</v>
      </c>
      <c r="H1155" s="11">
        <v>89</v>
      </c>
      <c r="I1155" s="11">
        <v>5.9</v>
      </c>
      <c r="J1155" s="11">
        <v>0</v>
      </c>
      <c r="K1155" s="11">
        <v>1</v>
      </c>
      <c r="L1155" s="11" t="str" cm="1">
        <f t="array" ref="L1155">IFERROR(_xlfn.XLOOKUP(C1155&amp;A1155, ESPN!A:A&amp;ESPN!C:C, ESPN!D:D), "N/A")</f>
        <v>N/A</v>
      </c>
      <c r="M1155" s="23" t="str" cm="1">
        <f t="array" ref="M1155">IFERROR(_xlfn.XLOOKUP(C1155&amp;A1155, ESPN!A:A&amp;ESPN!C:C, ESPN!G:G), "N/A")</f>
        <v>N/A</v>
      </c>
      <c r="N1155" s="23" t="str" cm="1">
        <f t="array" ref="N1155">IFERROR(_xlfn.XLOOKUP(C1155&amp;A1155, ESPN!A:A&amp;ESPN!C:C, ESPN!H:H), "N/A")</f>
        <v>N/A</v>
      </c>
      <c r="O1155" s="26" t="str" cm="1">
        <f t="array" ref="O1155">IFERROR(_xlfn.XLOOKUP(C1155&amp;A1155, ESPN!A:A&amp;ESPN!C:C, ESPN!I:I), "N/A")</f>
        <v>N/A</v>
      </c>
      <c r="P1155" s="26" t="str" cm="1">
        <f t="array" ref="P1155">IFERROR(_xlfn.XLOOKUP(C1155&amp;A1155, ESPN!A:A&amp;ESPN!C:C, ESPN!J:J), "N/A")</f>
        <v>N/A</v>
      </c>
      <c r="Q1155" s="26" t="str" cm="1">
        <f t="array" ref="Q1155">IFERROR(_xlfn.XLOOKUP(C1155&amp;A1155, ESPN!A:A&amp;ESPN!C:C, ESPN!K:K), "N/A")</f>
        <v>N/A</v>
      </c>
    </row>
    <row r="1156" spans="1:17" x14ac:dyDescent="0.45">
      <c r="A1156" s="6">
        <v>2019</v>
      </c>
      <c r="B1156" s="1" t="s">
        <v>626</v>
      </c>
      <c r="C1156" s="2" t="str">
        <f t="shared" si="36"/>
        <v>Bilal Powell</v>
      </c>
      <c r="D1156" s="2" t="str">
        <f t="shared" si="37"/>
        <v>NYJ</v>
      </c>
      <c r="E1156" s="2">
        <v>14</v>
      </c>
      <c r="F1156" s="12">
        <v>12</v>
      </c>
      <c r="G1156" s="11">
        <v>7</v>
      </c>
      <c r="H1156" s="11">
        <v>33</v>
      </c>
      <c r="I1156" s="11">
        <v>4.7</v>
      </c>
      <c r="J1156" s="11">
        <v>0</v>
      </c>
      <c r="K1156" s="11">
        <v>0</v>
      </c>
      <c r="L1156" s="11" t="str" cm="1">
        <f t="array" ref="L1156">IFERROR(_xlfn.XLOOKUP(C1156&amp;A1156, ESPN!A:A&amp;ESPN!C:C, ESPN!D:D), "N/A")</f>
        <v>N/A</v>
      </c>
      <c r="M1156" s="23" t="str" cm="1">
        <f t="array" ref="M1156">IFERROR(_xlfn.XLOOKUP(C1156&amp;A1156, ESPN!A:A&amp;ESPN!C:C, ESPN!G:G), "N/A")</f>
        <v>N/A</v>
      </c>
      <c r="N1156" s="23" t="str" cm="1">
        <f t="array" ref="N1156">IFERROR(_xlfn.XLOOKUP(C1156&amp;A1156, ESPN!A:A&amp;ESPN!C:C, ESPN!H:H), "N/A")</f>
        <v>N/A</v>
      </c>
      <c r="O1156" s="26" t="str" cm="1">
        <f t="array" ref="O1156">IFERROR(_xlfn.XLOOKUP(C1156&amp;A1156, ESPN!A:A&amp;ESPN!C:C, ESPN!I:I), "N/A")</f>
        <v>N/A</v>
      </c>
      <c r="P1156" s="26" t="str" cm="1">
        <f t="array" ref="P1156">IFERROR(_xlfn.XLOOKUP(C1156&amp;A1156, ESPN!A:A&amp;ESPN!C:C, ESPN!J:J), "N/A")</f>
        <v>N/A</v>
      </c>
      <c r="Q1156" s="26" t="str" cm="1">
        <f t="array" ref="Q1156">IFERROR(_xlfn.XLOOKUP(C1156&amp;A1156, ESPN!A:A&amp;ESPN!C:C, ESPN!K:K), "N/A")</f>
        <v>N/A</v>
      </c>
    </row>
    <row r="1157" spans="1:17" x14ac:dyDescent="0.45">
      <c r="A1157" s="7">
        <v>2019</v>
      </c>
      <c r="B1157" s="3" t="s">
        <v>627</v>
      </c>
      <c r="C1157" s="4" t="str">
        <f t="shared" si="36"/>
        <v>Dontrell Hilliard</v>
      </c>
      <c r="D1157" s="4" t="str">
        <f t="shared" si="37"/>
        <v>CLE</v>
      </c>
      <c r="E1157" s="4">
        <v>14</v>
      </c>
      <c r="F1157" s="12">
        <v>15</v>
      </c>
      <c r="G1157" s="11">
        <v>12</v>
      </c>
      <c r="H1157" s="11">
        <v>92</v>
      </c>
      <c r="I1157" s="11">
        <v>7.7</v>
      </c>
      <c r="J1157" s="11">
        <v>0</v>
      </c>
      <c r="K1157" s="11">
        <v>0</v>
      </c>
      <c r="L1157" s="11" t="str" cm="1">
        <f t="array" ref="L1157">IFERROR(_xlfn.XLOOKUP(C1157&amp;A1157, ESPN!A:A&amp;ESPN!C:C, ESPN!D:D), "N/A")</f>
        <v>N/A</v>
      </c>
      <c r="M1157" s="23" t="str" cm="1">
        <f t="array" ref="M1157">IFERROR(_xlfn.XLOOKUP(C1157&amp;A1157, ESPN!A:A&amp;ESPN!C:C, ESPN!G:G), "N/A")</f>
        <v>N/A</v>
      </c>
      <c r="N1157" s="23" t="str" cm="1">
        <f t="array" ref="N1157">IFERROR(_xlfn.XLOOKUP(C1157&amp;A1157, ESPN!A:A&amp;ESPN!C:C, ESPN!H:H), "N/A")</f>
        <v>N/A</v>
      </c>
      <c r="O1157" s="26" t="str" cm="1">
        <f t="array" ref="O1157">IFERROR(_xlfn.XLOOKUP(C1157&amp;A1157, ESPN!A:A&amp;ESPN!C:C, ESPN!I:I), "N/A")</f>
        <v>N/A</v>
      </c>
      <c r="P1157" s="26" t="str" cm="1">
        <f t="array" ref="P1157">IFERROR(_xlfn.XLOOKUP(C1157&amp;A1157, ESPN!A:A&amp;ESPN!C:C, ESPN!J:J), "N/A")</f>
        <v>N/A</v>
      </c>
      <c r="Q1157" s="26" t="str" cm="1">
        <f t="array" ref="Q1157">IFERROR(_xlfn.XLOOKUP(C1157&amp;A1157, ESPN!A:A&amp;ESPN!C:C, ESPN!K:K), "N/A")</f>
        <v>N/A</v>
      </c>
    </row>
    <row r="1158" spans="1:17" x14ac:dyDescent="0.45">
      <c r="A1158" s="6">
        <v>2019</v>
      </c>
      <c r="B1158" s="1" t="s">
        <v>549</v>
      </c>
      <c r="C1158" s="2" t="str">
        <f t="shared" si="36"/>
        <v>Ito Smith</v>
      </c>
      <c r="D1158" s="2" t="str">
        <f t="shared" si="37"/>
        <v>ATL</v>
      </c>
      <c r="E1158" s="2">
        <v>7</v>
      </c>
      <c r="F1158" s="12">
        <v>14</v>
      </c>
      <c r="G1158" s="11">
        <v>11</v>
      </c>
      <c r="H1158" s="11">
        <v>87</v>
      </c>
      <c r="I1158" s="11">
        <v>7.9</v>
      </c>
      <c r="J1158" s="11">
        <v>0</v>
      </c>
      <c r="K1158" s="11">
        <v>0</v>
      </c>
      <c r="L1158" s="11" t="str" cm="1">
        <f t="array" ref="L1158">IFERROR(_xlfn.XLOOKUP(C1158&amp;A1158, ESPN!A:A&amp;ESPN!C:C, ESPN!D:D), "N/A")</f>
        <v>N/A</v>
      </c>
      <c r="M1158" s="23" t="str" cm="1">
        <f t="array" ref="M1158">IFERROR(_xlfn.XLOOKUP(C1158&amp;A1158, ESPN!A:A&amp;ESPN!C:C, ESPN!G:G), "N/A")</f>
        <v>N/A</v>
      </c>
      <c r="N1158" s="23" t="str" cm="1">
        <f t="array" ref="N1158">IFERROR(_xlfn.XLOOKUP(C1158&amp;A1158, ESPN!A:A&amp;ESPN!C:C, ESPN!H:H), "N/A")</f>
        <v>N/A</v>
      </c>
      <c r="O1158" s="26" t="str" cm="1">
        <f t="array" ref="O1158">IFERROR(_xlfn.XLOOKUP(C1158&amp;A1158, ESPN!A:A&amp;ESPN!C:C, ESPN!I:I), "N/A")</f>
        <v>N/A</v>
      </c>
      <c r="P1158" s="26" t="str" cm="1">
        <f t="array" ref="P1158">IFERROR(_xlfn.XLOOKUP(C1158&amp;A1158, ESPN!A:A&amp;ESPN!C:C, ESPN!J:J), "N/A")</f>
        <v>N/A</v>
      </c>
      <c r="Q1158" s="26" t="str" cm="1">
        <f t="array" ref="Q1158">IFERROR(_xlfn.XLOOKUP(C1158&amp;A1158, ESPN!A:A&amp;ESPN!C:C, ESPN!K:K), "N/A")</f>
        <v>N/A</v>
      </c>
    </row>
    <row r="1159" spans="1:17" x14ac:dyDescent="0.45">
      <c r="A1159" s="7">
        <v>2019</v>
      </c>
      <c r="B1159" s="3" t="s">
        <v>552</v>
      </c>
      <c r="C1159" s="4" t="str">
        <f t="shared" si="36"/>
        <v>Cordarrelle Patterson</v>
      </c>
      <c r="D1159" s="4" t="str">
        <f t="shared" si="37"/>
        <v>CHI</v>
      </c>
      <c r="E1159" s="4">
        <v>16</v>
      </c>
      <c r="F1159" s="12">
        <v>17</v>
      </c>
      <c r="G1159" s="11">
        <v>11</v>
      </c>
      <c r="H1159" s="11">
        <v>83</v>
      </c>
      <c r="I1159" s="11">
        <v>7.5</v>
      </c>
      <c r="J1159" s="11">
        <v>0</v>
      </c>
      <c r="K1159" s="11">
        <v>0</v>
      </c>
      <c r="L1159" s="11" t="str" cm="1">
        <f t="array" ref="L1159">IFERROR(_xlfn.XLOOKUP(C1159&amp;A1159, ESPN!A:A&amp;ESPN!C:C, ESPN!D:D), "N/A")</f>
        <v>N/A</v>
      </c>
      <c r="M1159" s="23" t="str" cm="1">
        <f t="array" ref="M1159">IFERROR(_xlfn.XLOOKUP(C1159&amp;A1159, ESPN!A:A&amp;ESPN!C:C, ESPN!G:G), "N/A")</f>
        <v>N/A</v>
      </c>
      <c r="N1159" s="23" t="str" cm="1">
        <f t="array" ref="N1159">IFERROR(_xlfn.XLOOKUP(C1159&amp;A1159, ESPN!A:A&amp;ESPN!C:C, ESPN!H:H), "N/A")</f>
        <v>N/A</v>
      </c>
      <c r="O1159" s="26" t="str" cm="1">
        <f t="array" ref="O1159">IFERROR(_xlfn.XLOOKUP(C1159&amp;A1159, ESPN!A:A&amp;ESPN!C:C, ESPN!I:I), "N/A")</f>
        <v>N/A</v>
      </c>
      <c r="P1159" s="26" t="str" cm="1">
        <f t="array" ref="P1159">IFERROR(_xlfn.XLOOKUP(C1159&amp;A1159, ESPN!A:A&amp;ESPN!C:C, ESPN!J:J), "N/A")</f>
        <v>N/A</v>
      </c>
      <c r="Q1159" s="26" t="str" cm="1">
        <f t="array" ref="Q1159">IFERROR(_xlfn.XLOOKUP(C1159&amp;A1159, ESPN!A:A&amp;ESPN!C:C, ESPN!K:K), "N/A")</f>
        <v>N/A</v>
      </c>
    </row>
    <row r="1160" spans="1:17" x14ac:dyDescent="0.45">
      <c r="A1160" s="6">
        <v>2019</v>
      </c>
      <c r="B1160" s="1" t="s">
        <v>387</v>
      </c>
      <c r="C1160" s="2" t="str">
        <f t="shared" si="36"/>
        <v>Myles Gaskin</v>
      </c>
      <c r="D1160" s="2" t="str">
        <f t="shared" si="37"/>
        <v>MIA</v>
      </c>
      <c r="E1160" s="2">
        <v>7</v>
      </c>
      <c r="F1160" s="12">
        <v>12</v>
      </c>
      <c r="G1160" s="11">
        <v>7</v>
      </c>
      <c r="H1160" s="11">
        <v>51</v>
      </c>
      <c r="I1160" s="11">
        <v>7.3</v>
      </c>
      <c r="J1160" s="11">
        <v>0</v>
      </c>
      <c r="K1160" s="11">
        <v>0</v>
      </c>
      <c r="L1160" s="11" t="str" cm="1">
        <f t="array" ref="L1160">IFERROR(_xlfn.XLOOKUP(C1160&amp;A1160, ESPN!A:A&amp;ESPN!C:C, ESPN!D:D), "N/A")</f>
        <v>N/A</v>
      </c>
      <c r="M1160" s="23" t="str" cm="1">
        <f t="array" ref="M1160">IFERROR(_xlfn.XLOOKUP(C1160&amp;A1160, ESPN!A:A&amp;ESPN!C:C, ESPN!G:G), "N/A")</f>
        <v>N/A</v>
      </c>
      <c r="N1160" s="23" t="str" cm="1">
        <f t="array" ref="N1160">IFERROR(_xlfn.XLOOKUP(C1160&amp;A1160, ESPN!A:A&amp;ESPN!C:C, ESPN!H:H), "N/A")</f>
        <v>N/A</v>
      </c>
      <c r="O1160" s="26" t="str" cm="1">
        <f t="array" ref="O1160">IFERROR(_xlfn.XLOOKUP(C1160&amp;A1160, ESPN!A:A&amp;ESPN!C:C, ESPN!I:I), "N/A")</f>
        <v>N/A</v>
      </c>
      <c r="P1160" s="26" t="str" cm="1">
        <f t="array" ref="P1160">IFERROR(_xlfn.XLOOKUP(C1160&amp;A1160, ESPN!A:A&amp;ESPN!C:C, ESPN!J:J), "N/A")</f>
        <v>N/A</v>
      </c>
      <c r="Q1160" s="26" t="str" cm="1">
        <f t="array" ref="Q1160">IFERROR(_xlfn.XLOOKUP(C1160&amp;A1160, ESPN!A:A&amp;ESPN!C:C, ESPN!K:K), "N/A")</f>
        <v>N/A</v>
      </c>
    </row>
    <row r="1161" spans="1:17" x14ac:dyDescent="0.45">
      <c r="A1161" s="7">
        <v>2019</v>
      </c>
      <c r="B1161" s="3" t="s">
        <v>559</v>
      </c>
      <c r="C1161" s="4" t="str">
        <f t="shared" si="36"/>
        <v>Ameer Abdullah</v>
      </c>
      <c r="D1161" s="4" t="str">
        <f t="shared" si="37"/>
        <v>MIN</v>
      </c>
      <c r="E1161" s="4">
        <v>16</v>
      </c>
      <c r="F1161" s="12">
        <v>21</v>
      </c>
      <c r="G1161" s="11">
        <v>15</v>
      </c>
      <c r="H1161" s="11">
        <v>88</v>
      </c>
      <c r="I1161" s="11">
        <v>5.9</v>
      </c>
      <c r="J1161" s="11">
        <v>1</v>
      </c>
      <c r="K1161" s="11">
        <v>1</v>
      </c>
      <c r="L1161" s="11" t="str" cm="1">
        <f t="array" ref="L1161">IFERROR(_xlfn.XLOOKUP(C1161&amp;A1161, ESPN!A:A&amp;ESPN!C:C, ESPN!D:D), "N/A")</f>
        <v>N/A</v>
      </c>
      <c r="M1161" s="23" t="str" cm="1">
        <f t="array" ref="M1161">IFERROR(_xlfn.XLOOKUP(C1161&amp;A1161, ESPN!A:A&amp;ESPN!C:C, ESPN!G:G), "N/A")</f>
        <v>N/A</v>
      </c>
      <c r="N1161" s="23" t="str" cm="1">
        <f t="array" ref="N1161">IFERROR(_xlfn.XLOOKUP(C1161&amp;A1161, ESPN!A:A&amp;ESPN!C:C, ESPN!H:H), "N/A")</f>
        <v>N/A</v>
      </c>
      <c r="O1161" s="26" t="str" cm="1">
        <f t="array" ref="O1161">IFERROR(_xlfn.XLOOKUP(C1161&amp;A1161, ESPN!A:A&amp;ESPN!C:C, ESPN!I:I), "N/A")</f>
        <v>N/A</v>
      </c>
      <c r="P1161" s="26" t="str" cm="1">
        <f t="array" ref="P1161">IFERROR(_xlfn.XLOOKUP(C1161&amp;A1161, ESPN!A:A&amp;ESPN!C:C, ESPN!J:J), "N/A")</f>
        <v>N/A</v>
      </c>
      <c r="Q1161" s="26" t="str" cm="1">
        <f t="array" ref="Q1161">IFERROR(_xlfn.XLOOKUP(C1161&amp;A1161, ESPN!A:A&amp;ESPN!C:C, ESPN!K:K), "N/A")</f>
        <v>N/A</v>
      </c>
    </row>
    <row r="1162" spans="1:17" x14ac:dyDescent="0.45">
      <c r="A1162" s="6">
        <v>2019</v>
      </c>
      <c r="B1162" s="1" t="s">
        <v>492</v>
      </c>
      <c r="C1162" s="2" t="str">
        <f t="shared" si="36"/>
        <v>Reggie Bonnafon</v>
      </c>
      <c r="D1162" s="2" t="str">
        <f t="shared" si="37"/>
        <v>CAR</v>
      </c>
      <c r="E1162" s="2">
        <v>16</v>
      </c>
      <c r="F1162" s="12">
        <v>10</v>
      </c>
      <c r="G1162" s="11">
        <v>6</v>
      </c>
      <c r="H1162" s="11">
        <v>57</v>
      </c>
      <c r="I1162" s="11">
        <v>9.5</v>
      </c>
      <c r="J1162" s="11">
        <v>0</v>
      </c>
      <c r="K1162" s="11">
        <v>0</v>
      </c>
      <c r="L1162" s="11" t="str" cm="1">
        <f t="array" ref="L1162">IFERROR(_xlfn.XLOOKUP(C1162&amp;A1162, ESPN!A:A&amp;ESPN!C:C, ESPN!D:D), "N/A")</f>
        <v>N/A</v>
      </c>
      <c r="M1162" s="23" t="str" cm="1">
        <f t="array" ref="M1162">IFERROR(_xlfn.XLOOKUP(C1162&amp;A1162, ESPN!A:A&amp;ESPN!C:C, ESPN!G:G), "N/A")</f>
        <v>N/A</v>
      </c>
      <c r="N1162" s="23" t="str" cm="1">
        <f t="array" ref="N1162">IFERROR(_xlfn.XLOOKUP(C1162&amp;A1162, ESPN!A:A&amp;ESPN!C:C, ESPN!H:H), "N/A")</f>
        <v>N/A</v>
      </c>
      <c r="O1162" s="26" t="str" cm="1">
        <f t="array" ref="O1162">IFERROR(_xlfn.XLOOKUP(C1162&amp;A1162, ESPN!A:A&amp;ESPN!C:C, ESPN!I:I), "N/A")</f>
        <v>N/A</v>
      </c>
      <c r="P1162" s="26" t="str" cm="1">
        <f t="array" ref="P1162">IFERROR(_xlfn.XLOOKUP(C1162&amp;A1162, ESPN!A:A&amp;ESPN!C:C, ESPN!J:J), "N/A")</f>
        <v>N/A</v>
      </c>
      <c r="Q1162" s="26" t="str" cm="1">
        <f t="array" ref="Q1162">IFERROR(_xlfn.XLOOKUP(C1162&amp;A1162, ESPN!A:A&amp;ESPN!C:C, ESPN!K:K), "N/A")</f>
        <v>N/A</v>
      </c>
    </row>
    <row r="1163" spans="1:17" x14ac:dyDescent="0.45">
      <c r="A1163" s="7">
        <v>2019</v>
      </c>
      <c r="B1163" s="3" t="s">
        <v>556</v>
      </c>
      <c r="C1163" s="4" t="str">
        <f t="shared" si="36"/>
        <v>Darwin Thompson</v>
      </c>
      <c r="D1163" s="4" t="str">
        <f t="shared" si="37"/>
        <v>KC</v>
      </c>
      <c r="E1163" s="4">
        <v>12</v>
      </c>
      <c r="F1163" s="12">
        <v>10</v>
      </c>
      <c r="G1163" s="11">
        <v>9</v>
      </c>
      <c r="H1163" s="11">
        <v>43</v>
      </c>
      <c r="I1163" s="11">
        <v>4.8</v>
      </c>
      <c r="J1163" s="11">
        <v>0</v>
      </c>
      <c r="K1163" s="11">
        <v>0</v>
      </c>
      <c r="L1163" s="11" t="str" cm="1">
        <f t="array" ref="L1163">IFERROR(_xlfn.XLOOKUP(C1163&amp;A1163, ESPN!A:A&amp;ESPN!C:C, ESPN!D:D), "N/A")</f>
        <v>N/A</v>
      </c>
      <c r="M1163" s="23" t="str" cm="1">
        <f t="array" ref="M1163">IFERROR(_xlfn.XLOOKUP(C1163&amp;A1163, ESPN!A:A&amp;ESPN!C:C, ESPN!G:G), "N/A")</f>
        <v>N/A</v>
      </c>
      <c r="N1163" s="23" t="str" cm="1">
        <f t="array" ref="N1163">IFERROR(_xlfn.XLOOKUP(C1163&amp;A1163, ESPN!A:A&amp;ESPN!C:C, ESPN!H:H), "N/A")</f>
        <v>N/A</v>
      </c>
      <c r="O1163" s="26" t="str" cm="1">
        <f t="array" ref="O1163">IFERROR(_xlfn.XLOOKUP(C1163&amp;A1163, ESPN!A:A&amp;ESPN!C:C, ESPN!I:I), "N/A")</f>
        <v>N/A</v>
      </c>
      <c r="P1163" s="26" t="str" cm="1">
        <f t="array" ref="P1163">IFERROR(_xlfn.XLOOKUP(C1163&amp;A1163, ESPN!A:A&amp;ESPN!C:C, ESPN!J:J), "N/A")</f>
        <v>N/A</v>
      </c>
      <c r="Q1163" s="26" t="str" cm="1">
        <f t="array" ref="Q1163">IFERROR(_xlfn.XLOOKUP(C1163&amp;A1163, ESPN!A:A&amp;ESPN!C:C, ESPN!K:K), "N/A")</f>
        <v>N/A</v>
      </c>
    </row>
    <row r="1164" spans="1:17" x14ac:dyDescent="0.45">
      <c r="A1164" s="6">
        <v>2019</v>
      </c>
      <c r="B1164" s="1" t="s">
        <v>438</v>
      </c>
      <c r="C1164" s="2" t="str">
        <f t="shared" si="36"/>
        <v>Justin Jackson</v>
      </c>
      <c r="D1164" s="2" t="str">
        <f t="shared" si="37"/>
        <v>LAC</v>
      </c>
      <c r="E1164" s="2">
        <v>7</v>
      </c>
      <c r="F1164" s="12">
        <v>11</v>
      </c>
      <c r="G1164" s="11">
        <v>9</v>
      </c>
      <c r="H1164" s="11">
        <v>22</v>
      </c>
      <c r="I1164" s="11">
        <v>2.4</v>
      </c>
      <c r="J1164" s="11">
        <v>0</v>
      </c>
      <c r="K1164" s="11">
        <v>0</v>
      </c>
      <c r="L1164" s="11" t="str" cm="1">
        <f t="array" ref="L1164">IFERROR(_xlfn.XLOOKUP(C1164&amp;A1164, ESPN!A:A&amp;ESPN!C:C, ESPN!D:D), "N/A")</f>
        <v>N/A</v>
      </c>
      <c r="M1164" s="23" t="str" cm="1">
        <f t="array" ref="M1164">IFERROR(_xlfn.XLOOKUP(C1164&amp;A1164, ESPN!A:A&amp;ESPN!C:C, ESPN!G:G), "N/A")</f>
        <v>N/A</v>
      </c>
      <c r="N1164" s="23" t="str" cm="1">
        <f t="array" ref="N1164">IFERROR(_xlfn.XLOOKUP(C1164&amp;A1164, ESPN!A:A&amp;ESPN!C:C, ESPN!H:H), "N/A")</f>
        <v>N/A</v>
      </c>
      <c r="O1164" s="26" t="str" cm="1">
        <f t="array" ref="O1164">IFERROR(_xlfn.XLOOKUP(C1164&amp;A1164, ESPN!A:A&amp;ESPN!C:C, ESPN!I:I), "N/A")</f>
        <v>N/A</v>
      </c>
      <c r="P1164" s="26" t="str" cm="1">
        <f t="array" ref="P1164">IFERROR(_xlfn.XLOOKUP(C1164&amp;A1164, ESPN!A:A&amp;ESPN!C:C, ESPN!J:J), "N/A")</f>
        <v>N/A</v>
      </c>
      <c r="Q1164" s="26" t="str" cm="1">
        <f t="array" ref="Q1164">IFERROR(_xlfn.XLOOKUP(C1164&amp;A1164, ESPN!A:A&amp;ESPN!C:C, ESPN!K:K), "N/A")</f>
        <v>N/A</v>
      </c>
    </row>
    <row r="1165" spans="1:17" x14ac:dyDescent="0.45">
      <c r="A1165" s="7">
        <v>2019</v>
      </c>
      <c r="B1165" s="3" t="s">
        <v>139</v>
      </c>
      <c r="C1165" s="4" t="str">
        <f t="shared" si="36"/>
        <v>C.J. Ham</v>
      </c>
      <c r="D1165" s="4" t="str">
        <f t="shared" si="37"/>
        <v>MIN</v>
      </c>
      <c r="E1165" s="4">
        <v>16</v>
      </c>
      <c r="F1165" s="12">
        <v>26</v>
      </c>
      <c r="G1165" s="11">
        <v>17</v>
      </c>
      <c r="H1165" s="11">
        <v>149</v>
      </c>
      <c r="I1165" s="11">
        <v>8.8000000000000007</v>
      </c>
      <c r="J1165" s="11">
        <v>1</v>
      </c>
      <c r="K1165" s="11">
        <v>1</v>
      </c>
      <c r="L1165" s="11" t="str" cm="1">
        <f t="array" ref="L1165">IFERROR(_xlfn.XLOOKUP(C1165&amp;A1165, ESPN!A:A&amp;ESPN!C:C, ESPN!D:D), "N/A")</f>
        <v>N/A</v>
      </c>
      <c r="M1165" s="23" t="str" cm="1">
        <f t="array" ref="M1165">IFERROR(_xlfn.XLOOKUP(C1165&amp;A1165, ESPN!A:A&amp;ESPN!C:C, ESPN!G:G), "N/A")</f>
        <v>N/A</v>
      </c>
      <c r="N1165" s="23" t="str" cm="1">
        <f t="array" ref="N1165">IFERROR(_xlfn.XLOOKUP(C1165&amp;A1165, ESPN!A:A&amp;ESPN!C:C, ESPN!H:H), "N/A")</f>
        <v>N/A</v>
      </c>
      <c r="O1165" s="26" t="str" cm="1">
        <f t="array" ref="O1165">IFERROR(_xlfn.XLOOKUP(C1165&amp;A1165, ESPN!A:A&amp;ESPN!C:C, ESPN!I:I), "N/A")</f>
        <v>N/A</v>
      </c>
      <c r="P1165" s="26" t="str" cm="1">
        <f t="array" ref="P1165">IFERROR(_xlfn.XLOOKUP(C1165&amp;A1165, ESPN!A:A&amp;ESPN!C:C, ESPN!J:J), "N/A")</f>
        <v>N/A</v>
      </c>
      <c r="Q1165" s="26" t="str" cm="1">
        <f t="array" ref="Q1165">IFERROR(_xlfn.XLOOKUP(C1165&amp;A1165, ESPN!A:A&amp;ESPN!C:C, ESPN!K:K), "N/A")</f>
        <v>N/A</v>
      </c>
    </row>
    <row r="1166" spans="1:17" x14ac:dyDescent="0.45">
      <c r="A1166" s="6">
        <v>2019</v>
      </c>
      <c r="B1166" s="1" t="s">
        <v>628</v>
      </c>
      <c r="C1166" s="2" t="str">
        <f t="shared" si="36"/>
        <v>Ty Montgomery II</v>
      </c>
      <c r="D1166" s="2" t="str">
        <f t="shared" si="37"/>
        <v>NYJ</v>
      </c>
      <c r="E1166" s="2">
        <v>16</v>
      </c>
      <c r="F1166" s="12">
        <v>17</v>
      </c>
      <c r="G1166" s="11">
        <v>13</v>
      </c>
      <c r="H1166" s="11">
        <v>90</v>
      </c>
      <c r="I1166" s="11">
        <v>6.9</v>
      </c>
      <c r="J1166" s="11">
        <v>0</v>
      </c>
      <c r="K1166" s="11">
        <v>0</v>
      </c>
      <c r="L1166" s="11" t="str" cm="1">
        <f t="array" ref="L1166">IFERROR(_xlfn.XLOOKUP(C1166&amp;A1166, ESPN!A:A&amp;ESPN!C:C, ESPN!D:D), "N/A")</f>
        <v>N/A</v>
      </c>
      <c r="M1166" s="23" t="str" cm="1">
        <f t="array" ref="M1166">IFERROR(_xlfn.XLOOKUP(C1166&amp;A1166, ESPN!A:A&amp;ESPN!C:C, ESPN!G:G), "N/A")</f>
        <v>N/A</v>
      </c>
      <c r="N1166" s="23" t="str" cm="1">
        <f t="array" ref="N1166">IFERROR(_xlfn.XLOOKUP(C1166&amp;A1166, ESPN!A:A&amp;ESPN!C:C, ESPN!H:H), "N/A")</f>
        <v>N/A</v>
      </c>
      <c r="O1166" s="26" t="str" cm="1">
        <f t="array" ref="O1166">IFERROR(_xlfn.XLOOKUP(C1166&amp;A1166, ESPN!A:A&amp;ESPN!C:C, ESPN!I:I), "N/A")</f>
        <v>N/A</v>
      </c>
      <c r="P1166" s="26" t="str" cm="1">
        <f t="array" ref="P1166">IFERROR(_xlfn.XLOOKUP(C1166&amp;A1166, ESPN!A:A&amp;ESPN!C:C, ESPN!J:J), "N/A")</f>
        <v>N/A</v>
      </c>
      <c r="Q1166" s="26" t="str" cm="1">
        <f t="array" ref="Q1166">IFERROR(_xlfn.XLOOKUP(C1166&amp;A1166, ESPN!A:A&amp;ESPN!C:C, ESPN!K:K), "N/A")</f>
        <v>N/A</v>
      </c>
    </row>
    <row r="1167" spans="1:17" x14ac:dyDescent="0.45">
      <c r="A1167" s="7">
        <v>2019</v>
      </c>
      <c r="B1167" s="3" t="s">
        <v>629</v>
      </c>
      <c r="C1167" s="4" t="str">
        <f t="shared" si="36"/>
        <v>C.J. Prosise</v>
      </c>
      <c r="D1167" s="4" t="str">
        <f t="shared" si="37"/>
        <v>SEA</v>
      </c>
      <c r="E1167" s="4">
        <v>9</v>
      </c>
      <c r="F1167" s="12">
        <v>12</v>
      </c>
      <c r="G1167" s="11">
        <v>10</v>
      </c>
      <c r="H1167" s="11">
        <v>76</v>
      </c>
      <c r="I1167" s="11">
        <v>7.6</v>
      </c>
      <c r="J1167" s="11">
        <v>0</v>
      </c>
      <c r="K1167" s="11">
        <v>1</v>
      </c>
      <c r="L1167" s="11" t="str" cm="1">
        <f t="array" ref="L1167">IFERROR(_xlfn.XLOOKUP(C1167&amp;A1167, ESPN!A:A&amp;ESPN!C:C, ESPN!D:D), "N/A")</f>
        <v>N/A</v>
      </c>
      <c r="M1167" s="23" t="str" cm="1">
        <f t="array" ref="M1167">IFERROR(_xlfn.XLOOKUP(C1167&amp;A1167, ESPN!A:A&amp;ESPN!C:C, ESPN!G:G), "N/A")</f>
        <v>N/A</v>
      </c>
      <c r="N1167" s="23" t="str" cm="1">
        <f t="array" ref="N1167">IFERROR(_xlfn.XLOOKUP(C1167&amp;A1167, ESPN!A:A&amp;ESPN!C:C, ESPN!H:H), "N/A")</f>
        <v>N/A</v>
      </c>
      <c r="O1167" s="26" t="str" cm="1">
        <f t="array" ref="O1167">IFERROR(_xlfn.XLOOKUP(C1167&amp;A1167, ESPN!A:A&amp;ESPN!C:C, ESPN!I:I), "N/A")</f>
        <v>N/A</v>
      </c>
      <c r="P1167" s="26" t="str" cm="1">
        <f t="array" ref="P1167">IFERROR(_xlfn.XLOOKUP(C1167&amp;A1167, ESPN!A:A&amp;ESPN!C:C, ESPN!J:J), "N/A")</f>
        <v>N/A</v>
      </c>
      <c r="Q1167" s="26" t="str" cm="1">
        <f t="array" ref="Q1167">IFERROR(_xlfn.XLOOKUP(C1167&amp;A1167, ESPN!A:A&amp;ESPN!C:C, ESPN!K:K), "N/A")</f>
        <v>N/A</v>
      </c>
    </row>
    <row r="1168" spans="1:17" x14ac:dyDescent="0.45">
      <c r="A1168" s="6">
        <v>2019</v>
      </c>
      <c r="B1168" s="1" t="s">
        <v>276</v>
      </c>
      <c r="C1168" s="2" t="str">
        <f t="shared" si="36"/>
        <v>Darrell Henderson Jr.</v>
      </c>
      <c r="D1168" s="2" t="str">
        <f t="shared" si="37"/>
        <v>LAR</v>
      </c>
      <c r="E1168" s="2">
        <v>13</v>
      </c>
      <c r="F1168" s="12">
        <v>6</v>
      </c>
      <c r="G1168" s="11">
        <v>4</v>
      </c>
      <c r="H1168" s="11">
        <v>37</v>
      </c>
      <c r="I1168" s="11">
        <v>9.3000000000000007</v>
      </c>
      <c r="J1168" s="11">
        <v>0</v>
      </c>
      <c r="K1168" s="11">
        <v>0</v>
      </c>
      <c r="L1168" s="11" t="str" cm="1">
        <f t="array" ref="L1168">IFERROR(_xlfn.XLOOKUP(C1168&amp;A1168, ESPN!A:A&amp;ESPN!C:C, ESPN!D:D), "N/A")</f>
        <v>N/A</v>
      </c>
      <c r="M1168" s="23" t="str" cm="1">
        <f t="array" ref="M1168">IFERROR(_xlfn.XLOOKUP(C1168&amp;A1168, ESPN!A:A&amp;ESPN!C:C, ESPN!G:G), "N/A")</f>
        <v>N/A</v>
      </c>
      <c r="N1168" s="23" t="str" cm="1">
        <f t="array" ref="N1168">IFERROR(_xlfn.XLOOKUP(C1168&amp;A1168, ESPN!A:A&amp;ESPN!C:C, ESPN!H:H), "N/A")</f>
        <v>N/A</v>
      </c>
      <c r="O1168" s="26" t="str" cm="1">
        <f t="array" ref="O1168">IFERROR(_xlfn.XLOOKUP(C1168&amp;A1168, ESPN!A:A&amp;ESPN!C:C, ESPN!I:I), "N/A")</f>
        <v>N/A</v>
      </c>
      <c r="P1168" s="26" t="str" cm="1">
        <f t="array" ref="P1168">IFERROR(_xlfn.XLOOKUP(C1168&amp;A1168, ESPN!A:A&amp;ESPN!C:C, ESPN!J:J), "N/A")</f>
        <v>N/A</v>
      </c>
      <c r="Q1168" s="26" t="str" cm="1">
        <f t="array" ref="Q1168">IFERROR(_xlfn.XLOOKUP(C1168&amp;A1168, ESPN!A:A&amp;ESPN!C:C, ESPN!K:K), "N/A")</f>
        <v>N/A</v>
      </c>
    </row>
    <row r="1169" spans="1:17" x14ac:dyDescent="0.45">
      <c r="A1169" s="7">
        <v>2019</v>
      </c>
      <c r="B1169" s="3" t="s">
        <v>370</v>
      </c>
      <c r="C1169" s="4" t="str">
        <f t="shared" si="36"/>
        <v>Travis Homer</v>
      </c>
      <c r="D1169" s="4" t="str">
        <f t="shared" si="37"/>
        <v>SEA</v>
      </c>
      <c r="E1169" s="4">
        <v>16</v>
      </c>
      <c r="F1169" s="12">
        <v>13</v>
      </c>
      <c r="G1169" s="11">
        <v>11</v>
      </c>
      <c r="H1169" s="11">
        <v>56</v>
      </c>
      <c r="I1169" s="11">
        <v>5.0999999999999996</v>
      </c>
      <c r="J1169" s="11">
        <v>0</v>
      </c>
      <c r="K1169" s="11">
        <v>0</v>
      </c>
      <c r="L1169" s="11" t="str" cm="1">
        <f t="array" ref="L1169">IFERROR(_xlfn.XLOOKUP(C1169&amp;A1169, ESPN!A:A&amp;ESPN!C:C, ESPN!D:D), "N/A")</f>
        <v>N/A</v>
      </c>
      <c r="M1169" s="23" t="str" cm="1">
        <f t="array" ref="M1169">IFERROR(_xlfn.XLOOKUP(C1169&amp;A1169, ESPN!A:A&amp;ESPN!C:C, ESPN!G:G), "N/A")</f>
        <v>N/A</v>
      </c>
      <c r="N1169" s="23" t="str" cm="1">
        <f t="array" ref="N1169">IFERROR(_xlfn.XLOOKUP(C1169&amp;A1169, ESPN!A:A&amp;ESPN!C:C, ESPN!H:H), "N/A")</f>
        <v>N/A</v>
      </c>
      <c r="O1169" s="26" t="str" cm="1">
        <f t="array" ref="O1169">IFERROR(_xlfn.XLOOKUP(C1169&amp;A1169, ESPN!A:A&amp;ESPN!C:C, ESPN!I:I), "N/A")</f>
        <v>N/A</v>
      </c>
      <c r="P1169" s="26" t="str" cm="1">
        <f t="array" ref="P1169">IFERROR(_xlfn.XLOOKUP(C1169&amp;A1169, ESPN!A:A&amp;ESPN!C:C, ESPN!J:J), "N/A")</f>
        <v>N/A</v>
      </c>
      <c r="Q1169" s="26" t="str" cm="1">
        <f t="array" ref="Q1169">IFERROR(_xlfn.XLOOKUP(C1169&amp;A1169, ESPN!A:A&amp;ESPN!C:C, ESPN!K:K), "N/A")</f>
        <v>N/A</v>
      </c>
    </row>
    <row r="1170" spans="1:17" x14ac:dyDescent="0.45">
      <c r="A1170" s="6">
        <v>2019</v>
      </c>
      <c r="B1170" s="1" t="s">
        <v>562</v>
      </c>
      <c r="C1170" s="2" t="str">
        <f t="shared" si="36"/>
        <v>T.J. Yeldon</v>
      </c>
      <c r="D1170" s="2" t="str">
        <f t="shared" si="37"/>
        <v>BUF</v>
      </c>
      <c r="E1170" s="2">
        <v>6</v>
      </c>
      <c r="F1170" s="12">
        <v>15</v>
      </c>
      <c r="G1170" s="11">
        <v>13</v>
      </c>
      <c r="H1170" s="11">
        <v>124</v>
      </c>
      <c r="I1170" s="11">
        <v>9.5</v>
      </c>
      <c r="J1170" s="11">
        <v>0</v>
      </c>
      <c r="K1170" s="11">
        <v>1</v>
      </c>
      <c r="L1170" s="11" t="str" cm="1">
        <f t="array" ref="L1170">IFERROR(_xlfn.XLOOKUP(C1170&amp;A1170, ESPN!A:A&amp;ESPN!C:C, ESPN!D:D), "N/A")</f>
        <v>N/A</v>
      </c>
      <c r="M1170" s="23" t="str" cm="1">
        <f t="array" ref="M1170">IFERROR(_xlfn.XLOOKUP(C1170&amp;A1170, ESPN!A:A&amp;ESPN!C:C, ESPN!G:G), "N/A")</f>
        <v>N/A</v>
      </c>
      <c r="N1170" s="23" t="str" cm="1">
        <f t="array" ref="N1170">IFERROR(_xlfn.XLOOKUP(C1170&amp;A1170, ESPN!A:A&amp;ESPN!C:C, ESPN!H:H), "N/A")</f>
        <v>N/A</v>
      </c>
      <c r="O1170" s="26" t="str" cm="1">
        <f t="array" ref="O1170">IFERROR(_xlfn.XLOOKUP(C1170&amp;A1170, ESPN!A:A&amp;ESPN!C:C, ESPN!I:I), "N/A")</f>
        <v>N/A</v>
      </c>
      <c r="P1170" s="26" t="str" cm="1">
        <f t="array" ref="P1170">IFERROR(_xlfn.XLOOKUP(C1170&amp;A1170, ESPN!A:A&amp;ESPN!C:C, ESPN!J:J), "N/A")</f>
        <v>N/A</v>
      </c>
      <c r="Q1170" s="26" t="str" cm="1">
        <f t="array" ref="Q1170">IFERROR(_xlfn.XLOOKUP(C1170&amp;A1170, ESPN!A:A&amp;ESPN!C:C, ESPN!K:K), "N/A")</f>
        <v>N/A</v>
      </c>
    </row>
    <row r="1171" spans="1:17" x14ac:dyDescent="0.45">
      <c r="A1171" s="7">
        <v>2019</v>
      </c>
      <c r="B1171" s="3" t="s">
        <v>482</v>
      </c>
      <c r="C1171" s="4" t="str">
        <f t="shared" si="36"/>
        <v>Wendell Smallwood</v>
      </c>
      <c r="D1171" s="4" t="str">
        <f t="shared" si="37"/>
        <v>WAS</v>
      </c>
      <c r="E1171" s="4">
        <v>15</v>
      </c>
      <c r="F1171" s="12">
        <v>13</v>
      </c>
      <c r="G1171" s="11">
        <v>9</v>
      </c>
      <c r="H1171" s="11">
        <v>64</v>
      </c>
      <c r="I1171" s="11">
        <v>7.1</v>
      </c>
      <c r="J1171" s="11">
        <v>0</v>
      </c>
      <c r="K1171" s="11">
        <v>0</v>
      </c>
      <c r="L1171" s="11" t="str" cm="1">
        <f t="array" ref="L1171">IFERROR(_xlfn.XLOOKUP(C1171&amp;A1171, ESPN!A:A&amp;ESPN!C:C, ESPN!D:D), "N/A")</f>
        <v>N/A</v>
      </c>
      <c r="M1171" s="23" t="str" cm="1">
        <f t="array" ref="M1171">IFERROR(_xlfn.XLOOKUP(C1171&amp;A1171, ESPN!A:A&amp;ESPN!C:C, ESPN!G:G), "N/A")</f>
        <v>N/A</v>
      </c>
      <c r="N1171" s="23" t="str" cm="1">
        <f t="array" ref="N1171">IFERROR(_xlfn.XLOOKUP(C1171&amp;A1171, ESPN!A:A&amp;ESPN!C:C, ESPN!H:H), "N/A")</f>
        <v>N/A</v>
      </c>
      <c r="O1171" s="26" t="str" cm="1">
        <f t="array" ref="O1171">IFERROR(_xlfn.XLOOKUP(C1171&amp;A1171, ESPN!A:A&amp;ESPN!C:C, ESPN!I:I), "N/A")</f>
        <v>N/A</v>
      </c>
      <c r="P1171" s="26" t="str" cm="1">
        <f t="array" ref="P1171">IFERROR(_xlfn.XLOOKUP(C1171&amp;A1171, ESPN!A:A&amp;ESPN!C:C, ESPN!J:J), "N/A")</f>
        <v>N/A</v>
      </c>
      <c r="Q1171" s="26" t="str" cm="1">
        <f t="array" ref="Q1171">IFERROR(_xlfn.XLOOKUP(C1171&amp;A1171, ESPN!A:A&amp;ESPN!C:C, ESPN!K:K), "N/A")</f>
        <v>N/A</v>
      </c>
    </row>
    <row r="1172" spans="1:17" x14ac:dyDescent="0.45">
      <c r="A1172" s="6">
        <v>2019</v>
      </c>
      <c r="B1172" s="1" t="s">
        <v>630</v>
      </c>
      <c r="C1172" s="2" t="str">
        <f t="shared" si="36"/>
        <v>Wes Hills</v>
      </c>
      <c r="D1172" s="2" t="str">
        <f t="shared" si="37"/>
        <v>DET</v>
      </c>
      <c r="E1172" s="2">
        <v>1</v>
      </c>
      <c r="F1172" s="12">
        <v>2</v>
      </c>
      <c r="G1172" s="11">
        <v>2</v>
      </c>
      <c r="H1172" s="11">
        <v>1</v>
      </c>
      <c r="I1172" s="11">
        <v>0.5</v>
      </c>
      <c r="J1172" s="11">
        <v>0</v>
      </c>
      <c r="K1172" s="11">
        <v>0</v>
      </c>
      <c r="L1172" s="11" t="str" cm="1">
        <f t="array" ref="L1172">IFERROR(_xlfn.XLOOKUP(C1172&amp;A1172, ESPN!A:A&amp;ESPN!C:C, ESPN!D:D), "N/A")</f>
        <v>N/A</v>
      </c>
      <c r="M1172" s="23" t="str" cm="1">
        <f t="array" ref="M1172">IFERROR(_xlfn.XLOOKUP(C1172&amp;A1172, ESPN!A:A&amp;ESPN!C:C, ESPN!G:G), "N/A")</f>
        <v>N/A</v>
      </c>
      <c r="N1172" s="23" t="str" cm="1">
        <f t="array" ref="N1172">IFERROR(_xlfn.XLOOKUP(C1172&amp;A1172, ESPN!A:A&amp;ESPN!C:C, ESPN!H:H), "N/A")</f>
        <v>N/A</v>
      </c>
      <c r="O1172" s="26" t="str" cm="1">
        <f t="array" ref="O1172">IFERROR(_xlfn.XLOOKUP(C1172&amp;A1172, ESPN!A:A&amp;ESPN!C:C, ESPN!I:I), "N/A")</f>
        <v>N/A</v>
      </c>
      <c r="P1172" s="26" t="str" cm="1">
        <f t="array" ref="P1172">IFERROR(_xlfn.XLOOKUP(C1172&amp;A1172, ESPN!A:A&amp;ESPN!C:C, ESPN!J:J), "N/A")</f>
        <v>N/A</v>
      </c>
      <c r="Q1172" s="26" t="str" cm="1">
        <f t="array" ref="Q1172">IFERROR(_xlfn.XLOOKUP(C1172&amp;A1172, ESPN!A:A&amp;ESPN!C:C, ESPN!K:K), "N/A")</f>
        <v>N/A</v>
      </c>
    </row>
    <row r="1173" spans="1:17" x14ac:dyDescent="0.45">
      <c r="A1173" s="7">
        <v>2019</v>
      </c>
      <c r="B1173" s="3" t="s">
        <v>507</v>
      </c>
      <c r="C1173" s="4" t="str">
        <f t="shared" si="36"/>
        <v>Trey Edmunds</v>
      </c>
      <c r="D1173" s="4" t="str">
        <f t="shared" si="37"/>
        <v>PIT</v>
      </c>
      <c r="E1173" s="4">
        <v>12</v>
      </c>
      <c r="F1173" s="12">
        <v>7</v>
      </c>
      <c r="G1173" s="11">
        <v>6</v>
      </c>
      <c r="H1173" s="11">
        <v>48</v>
      </c>
      <c r="I1173" s="11">
        <v>8</v>
      </c>
      <c r="J1173" s="11">
        <v>0</v>
      </c>
      <c r="K1173" s="11">
        <v>0</v>
      </c>
      <c r="L1173" s="11" t="str" cm="1">
        <f t="array" ref="L1173">IFERROR(_xlfn.XLOOKUP(C1173&amp;A1173, ESPN!A:A&amp;ESPN!C:C, ESPN!D:D), "N/A")</f>
        <v>N/A</v>
      </c>
      <c r="M1173" s="23" t="str" cm="1">
        <f t="array" ref="M1173">IFERROR(_xlfn.XLOOKUP(C1173&amp;A1173, ESPN!A:A&amp;ESPN!C:C, ESPN!G:G), "N/A")</f>
        <v>N/A</v>
      </c>
      <c r="N1173" s="23" t="str" cm="1">
        <f t="array" ref="N1173">IFERROR(_xlfn.XLOOKUP(C1173&amp;A1173, ESPN!A:A&amp;ESPN!C:C, ESPN!H:H), "N/A")</f>
        <v>N/A</v>
      </c>
      <c r="O1173" s="26" t="str" cm="1">
        <f t="array" ref="O1173">IFERROR(_xlfn.XLOOKUP(C1173&amp;A1173, ESPN!A:A&amp;ESPN!C:C, ESPN!I:I), "N/A")</f>
        <v>N/A</v>
      </c>
      <c r="P1173" s="26" t="str" cm="1">
        <f t="array" ref="P1173">IFERROR(_xlfn.XLOOKUP(C1173&amp;A1173, ESPN!A:A&amp;ESPN!C:C, ESPN!J:J), "N/A")</f>
        <v>N/A</v>
      </c>
      <c r="Q1173" s="26" t="str" cm="1">
        <f t="array" ref="Q1173">IFERROR(_xlfn.XLOOKUP(C1173&amp;A1173, ESPN!A:A&amp;ESPN!C:C, ESPN!K:K), "N/A")</f>
        <v>N/A</v>
      </c>
    </row>
    <row r="1174" spans="1:17" x14ac:dyDescent="0.45">
      <c r="A1174" s="6">
        <v>2019</v>
      </c>
      <c r="B1174" s="1" t="s">
        <v>631</v>
      </c>
      <c r="C1174" s="2" t="str">
        <f t="shared" si="36"/>
        <v>Kerrith Whyte Jr.</v>
      </c>
      <c r="D1174" s="2" t="str">
        <f t="shared" si="37"/>
        <v>PIT</v>
      </c>
      <c r="E1174" s="2">
        <v>6</v>
      </c>
      <c r="F1174" s="12">
        <v>1</v>
      </c>
      <c r="G1174" s="11">
        <v>1</v>
      </c>
      <c r="H1174" s="11">
        <v>9</v>
      </c>
      <c r="I1174" s="11">
        <v>9</v>
      </c>
      <c r="J1174" s="11">
        <v>0</v>
      </c>
      <c r="K1174" s="11">
        <v>0</v>
      </c>
      <c r="L1174" s="11" t="str" cm="1">
        <f t="array" ref="L1174">IFERROR(_xlfn.XLOOKUP(C1174&amp;A1174, ESPN!A:A&amp;ESPN!C:C, ESPN!D:D), "N/A")</f>
        <v>N/A</v>
      </c>
      <c r="M1174" s="23" t="str" cm="1">
        <f t="array" ref="M1174">IFERROR(_xlfn.XLOOKUP(C1174&amp;A1174, ESPN!A:A&amp;ESPN!C:C, ESPN!G:G), "N/A")</f>
        <v>N/A</v>
      </c>
      <c r="N1174" s="23" t="str" cm="1">
        <f t="array" ref="N1174">IFERROR(_xlfn.XLOOKUP(C1174&amp;A1174, ESPN!A:A&amp;ESPN!C:C, ESPN!H:H), "N/A")</f>
        <v>N/A</v>
      </c>
      <c r="O1174" s="26" t="str" cm="1">
        <f t="array" ref="O1174">IFERROR(_xlfn.XLOOKUP(C1174&amp;A1174, ESPN!A:A&amp;ESPN!C:C, ESPN!I:I), "N/A")</f>
        <v>N/A</v>
      </c>
      <c r="P1174" s="26" t="str" cm="1">
        <f t="array" ref="P1174">IFERROR(_xlfn.XLOOKUP(C1174&amp;A1174, ESPN!A:A&amp;ESPN!C:C, ESPN!J:J), "N/A")</f>
        <v>N/A</v>
      </c>
      <c r="Q1174" s="26" t="str" cm="1">
        <f t="array" ref="Q1174">IFERROR(_xlfn.XLOOKUP(C1174&amp;A1174, ESPN!A:A&amp;ESPN!C:C, ESPN!K:K), "N/A")</f>
        <v>N/A</v>
      </c>
    </row>
    <row r="1175" spans="1:17" x14ac:dyDescent="0.45">
      <c r="A1175" s="7">
        <v>2019</v>
      </c>
      <c r="B1175" s="3" t="s">
        <v>632</v>
      </c>
      <c r="C1175" s="4" t="str">
        <f t="shared" si="36"/>
        <v>Alec Ingold</v>
      </c>
      <c r="D1175" s="4" t="str">
        <f t="shared" si="37"/>
        <v>OAK</v>
      </c>
      <c r="E1175" s="4">
        <v>16</v>
      </c>
      <c r="F1175" s="12">
        <v>6</v>
      </c>
      <c r="G1175" s="11">
        <v>6</v>
      </c>
      <c r="H1175" s="11">
        <v>44</v>
      </c>
      <c r="I1175" s="11">
        <v>7.3</v>
      </c>
      <c r="J1175" s="11">
        <v>1</v>
      </c>
      <c r="K1175" s="11">
        <v>0</v>
      </c>
      <c r="L1175" s="11" t="str" cm="1">
        <f t="array" ref="L1175">IFERROR(_xlfn.XLOOKUP(C1175&amp;A1175, ESPN!A:A&amp;ESPN!C:C, ESPN!D:D), "N/A")</f>
        <v>N/A</v>
      </c>
      <c r="M1175" s="23" t="str" cm="1">
        <f t="array" ref="M1175">IFERROR(_xlfn.XLOOKUP(C1175&amp;A1175, ESPN!A:A&amp;ESPN!C:C, ESPN!G:G), "N/A")</f>
        <v>N/A</v>
      </c>
      <c r="N1175" s="23" t="str" cm="1">
        <f t="array" ref="N1175">IFERROR(_xlfn.XLOOKUP(C1175&amp;A1175, ESPN!A:A&amp;ESPN!C:C, ESPN!H:H), "N/A")</f>
        <v>N/A</v>
      </c>
      <c r="O1175" s="26" t="str" cm="1">
        <f t="array" ref="O1175">IFERROR(_xlfn.XLOOKUP(C1175&amp;A1175, ESPN!A:A&amp;ESPN!C:C, ESPN!I:I), "N/A")</f>
        <v>N/A</v>
      </c>
      <c r="P1175" s="26" t="str" cm="1">
        <f t="array" ref="P1175">IFERROR(_xlfn.XLOOKUP(C1175&amp;A1175, ESPN!A:A&amp;ESPN!C:C, ESPN!J:J), "N/A")</f>
        <v>N/A</v>
      </c>
      <c r="Q1175" s="26" t="str" cm="1">
        <f t="array" ref="Q1175">IFERROR(_xlfn.XLOOKUP(C1175&amp;A1175, ESPN!A:A&amp;ESPN!C:C, ESPN!K:K), "N/A")</f>
        <v>N/A</v>
      </c>
    </row>
    <row r="1176" spans="1:17" x14ac:dyDescent="0.45">
      <c r="A1176" s="6">
        <v>2019</v>
      </c>
      <c r="B1176" s="1" t="s">
        <v>633</v>
      </c>
      <c r="C1176" s="2" t="str">
        <f t="shared" si="36"/>
        <v>Darren Sproles</v>
      </c>
      <c r="D1176" s="2" t="str">
        <f t="shared" si="37"/>
        <v>PHI</v>
      </c>
      <c r="E1176" s="2">
        <v>6</v>
      </c>
      <c r="F1176" s="12">
        <v>10</v>
      </c>
      <c r="G1176" s="11">
        <v>6</v>
      </c>
      <c r="H1176" s="11">
        <v>24</v>
      </c>
      <c r="I1176" s="11">
        <v>4</v>
      </c>
      <c r="J1176" s="11">
        <v>0</v>
      </c>
      <c r="K1176" s="11">
        <v>0</v>
      </c>
      <c r="L1176" s="11" t="str" cm="1">
        <f t="array" ref="L1176">IFERROR(_xlfn.XLOOKUP(C1176&amp;A1176, ESPN!A:A&amp;ESPN!C:C, ESPN!D:D), "N/A")</f>
        <v>N/A</v>
      </c>
      <c r="M1176" s="23" t="str" cm="1">
        <f t="array" ref="M1176">IFERROR(_xlfn.XLOOKUP(C1176&amp;A1176, ESPN!A:A&amp;ESPN!C:C, ESPN!G:G), "N/A")</f>
        <v>N/A</v>
      </c>
      <c r="N1176" s="23" t="str" cm="1">
        <f t="array" ref="N1176">IFERROR(_xlfn.XLOOKUP(C1176&amp;A1176, ESPN!A:A&amp;ESPN!C:C, ESPN!H:H), "N/A")</f>
        <v>N/A</v>
      </c>
      <c r="O1176" s="26" t="str" cm="1">
        <f t="array" ref="O1176">IFERROR(_xlfn.XLOOKUP(C1176&amp;A1176, ESPN!A:A&amp;ESPN!C:C, ESPN!I:I), "N/A")</f>
        <v>N/A</v>
      </c>
      <c r="P1176" s="26" t="str" cm="1">
        <f t="array" ref="P1176">IFERROR(_xlfn.XLOOKUP(C1176&amp;A1176, ESPN!A:A&amp;ESPN!C:C, ESPN!J:J), "N/A")</f>
        <v>N/A</v>
      </c>
      <c r="Q1176" s="26" t="str" cm="1">
        <f t="array" ref="Q1176">IFERROR(_xlfn.XLOOKUP(C1176&amp;A1176, ESPN!A:A&amp;ESPN!C:C, ESPN!K:K), "N/A")</f>
        <v>N/A</v>
      </c>
    </row>
    <row r="1177" spans="1:17" x14ac:dyDescent="0.45">
      <c r="A1177" s="7">
        <v>2019</v>
      </c>
      <c r="B1177" s="3" t="s">
        <v>144</v>
      </c>
      <c r="C1177" s="4" t="str">
        <f t="shared" si="36"/>
        <v>Patrick Ricard</v>
      </c>
      <c r="D1177" s="4" t="str">
        <f t="shared" si="37"/>
        <v>BAL</v>
      </c>
      <c r="E1177" s="4">
        <v>16</v>
      </c>
      <c r="F1177" s="12">
        <v>11</v>
      </c>
      <c r="G1177" s="11">
        <v>8</v>
      </c>
      <c r="H1177" s="11">
        <v>47</v>
      </c>
      <c r="I1177" s="11">
        <v>5.9</v>
      </c>
      <c r="J1177" s="11">
        <v>1</v>
      </c>
      <c r="K1177" s="11">
        <v>0</v>
      </c>
      <c r="L1177" s="11" t="str" cm="1">
        <f t="array" ref="L1177">IFERROR(_xlfn.XLOOKUP(C1177&amp;A1177, ESPN!A:A&amp;ESPN!C:C, ESPN!D:D), "N/A")</f>
        <v>N/A</v>
      </c>
      <c r="M1177" s="23" t="str" cm="1">
        <f t="array" ref="M1177">IFERROR(_xlfn.XLOOKUP(C1177&amp;A1177, ESPN!A:A&amp;ESPN!C:C, ESPN!G:G), "N/A")</f>
        <v>N/A</v>
      </c>
      <c r="N1177" s="23" t="str" cm="1">
        <f t="array" ref="N1177">IFERROR(_xlfn.XLOOKUP(C1177&amp;A1177, ESPN!A:A&amp;ESPN!C:C, ESPN!H:H), "N/A")</f>
        <v>N/A</v>
      </c>
      <c r="O1177" s="26" t="str" cm="1">
        <f t="array" ref="O1177">IFERROR(_xlfn.XLOOKUP(C1177&amp;A1177, ESPN!A:A&amp;ESPN!C:C, ESPN!I:I), "N/A")</f>
        <v>N/A</v>
      </c>
      <c r="P1177" s="26" t="str" cm="1">
        <f t="array" ref="P1177">IFERROR(_xlfn.XLOOKUP(C1177&amp;A1177, ESPN!A:A&amp;ESPN!C:C, ESPN!J:J), "N/A")</f>
        <v>N/A</v>
      </c>
      <c r="Q1177" s="26" t="str" cm="1">
        <f t="array" ref="Q1177">IFERROR(_xlfn.XLOOKUP(C1177&amp;A1177, ESPN!A:A&amp;ESPN!C:C, ESPN!K:K), "N/A")</f>
        <v>N/A</v>
      </c>
    </row>
    <row r="1178" spans="1:17" x14ac:dyDescent="0.45">
      <c r="A1178" s="6">
        <v>2019</v>
      </c>
      <c r="B1178" s="1" t="s">
        <v>634</v>
      </c>
      <c r="C1178" s="2" t="str">
        <f t="shared" si="36"/>
        <v>Javorius Allen</v>
      </c>
      <c r="D1178" s="2" t="str">
        <f t="shared" si="37"/>
        <v>NYG</v>
      </c>
      <c r="E1178" s="2">
        <v>11</v>
      </c>
      <c r="F1178" s="12">
        <v>2</v>
      </c>
      <c r="G1178" s="11">
        <v>1</v>
      </c>
      <c r="H1178" s="11">
        <v>9</v>
      </c>
      <c r="I1178" s="11">
        <v>9</v>
      </c>
      <c r="J1178" s="11">
        <v>0</v>
      </c>
      <c r="K1178" s="11">
        <v>0</v>
      </c>
      <c r="L1178" s="11" t="str" cm="1">
        <f t="array" ref="L1178">IFERROR(_xlfn.XLOOKUP(C1178&amp;A1178, ESPN!A:A&amp;ESPN!C:C, ESPN!D:D), "N/A")</f>
        <v>N/A</v>
      </c>
      <c r="M1178" s="23" t="str" cm="1">
        <f t="array" ref="M1178">IFERROR(_xlfn.XLOOKUP(C1178&amp;A1178, ESPN!A:A&amp;ESPN!C:C, ESPN!G:G), "N/A")</f>
        <v>N/A</v>
      </c>
      <c r="N1178" s="23" t="str" cm="1">
        <f t="array" ref="N1178">IFERROR(_xlfn.XLOOKUP(C1178&amp;A1178, ESPN!A:A&amp;ESPN!C:C, ESPN!H:H), "N/A")</f>
        <v>N/A</v>
      </c>
      <c r="O1178" s="26" t="str" cm="1">
        <f t="array" ref="O1178">IFERROR(_xlfn.XLOOKUP(C1178&amp;A1178, ESPN!A:A&amp;ESPN!C:C, ESPN!I:I), "N/A")</f>
        <v>N/A</v>
      </c>
      <c r="P1178" s="26" t="str" cm="1">
        <f t="array" ref="P1178">IFERROR(_xlfn.XLOOKUP(C1178&amp;A1178, ESPN!A:A&amp;ESPN!C:C, ESPN!J:J), "N/A")</f>
        <v>N/A</v>
      </c>
      <c r="Q1178" s="26" t="str" cm="1">
        <f t="array" ref="Q1178">IFERROR(_xlfn.XLOOKUP(C1178&amp;A1178, ESPN!A:A&amp;ESPN!C:C, ESPN!K:K), "N/A")</f>
        <v>N/A</v>
      </c>
    </row>
    <row r="1179" spans="1:17" x14ac:dyDescent="0.45">
      <c r="A1179" s="7">
        <v>2019</v>
      </c>
      <c r="B1179" s="3" t="s">
        <v>635</v>
      </c>
      <c r="C1179" s="4" t="str">
        <f t="shared" si="36"/>
        <v>Andy Janovich</v>
      </c>
      <c r="D1179" s="4" t="str">
        <f t="shared" si="37"/>
        <v>DEN</v>
      </c>
      <c r="E1179" s="4">
        <v>8</v>
      </c>
      <c r="F1179" s="12">
        <v>5</v>
      </c>
      <c r="G1179" s="11">
        <v>5</v>
      </c>
      <c r="H1179" s="11">
        <v>42</v>
      </c>
      <c r="I1179" s="11">
        <v>8.4</v>
      </c>
      <c r="J1179" s="11">
        <v>0</v>
      </c>
      <c r="K1179" s="11">
        <v>0</v>
      </c>
      <c r="L1179" s="11" t="str" cm="1">
        <f t="array" ref="L1179">IFERROR(_xlfn.XLOOKUP(C1179&amp;A1179, ESPN!A:A&amp;ESPN!C:C, ESPN!D:D), "N/A")</f>
        <v>N/A</v>
      </c>
      <c r="M1179" s="23" t="str" cm="1">
        <f t="array" ref="M1179">IFERROR(_xlfn.XLOOKUP(C1179&amp;A1179, ESPN!A:A&amp;ESPN!C:C, ESPN!G:G), "N/A")</f>
        <v>N/A</v>
      </c>
      <c r="N1179" s="23" t="str" cm="1">
        <f t="array" ref="N1179">IFERROR(_xlfn.XLOOKUP(C1179&amp;A1179, ESPN!A:A&amp;ESPN!C:C, ESPN!H:H), "N/A")</f>
        <v>N/A</v>
      </c>
      <c r="O1179" s="26" t="str" cm="1">
        <f t="array" ref="O1179">IFERROR(_xlfn.XLOOKUP(C1179&amp;A1179, ESPN!A:A&amp;ESPN!C:C, ESPN!I:I), "N/A")</f>
        <v>N/A</v>
      </c>
      <c r="P1179" s="26" t="str" cm="1">
        <f t="array" ref="P1179">IFERROR(_xlfn.XLOOKUP(C1179&amp;A1179, ESPN!A:A&amp;ESPN!C:C, ESPN!J:J), "N/A")</f>
        <v>N/A</v>
      </c>
      <c r="Q1179" s="26" t="str" cm="1">
        <f t="array" ref="Q1179">IFERROR(_xlfn.XLOOKUP(C1179&amp;A1179, ESPN!A:A&amp;ESPN!C:C, ESPN!K:K), "N/A")</f>
        <v>N/A</v>
      </c>
    </row>
    <row r="1180" spans="1:17" x14ac:dyDescent="0.45">
      <c r="A1180" s="6">
        <v>2019</v>
      </c>
      <c r="B1180" s="1" t="s">
        <v>636</v>
      </c>
      <c r="C1180" s="2" t="str">
        <f t="shared" si="36"/>
        <v>Derek Watt</v>
      </c>
      <c r="D1180" s="2" t="str">
        <f t="shared" si="37"/>
        <v>LAC</v>
      </c>
      <c r="E1180" s="2">
        <v>16</v>
      </c>
      <c r="F1180" s="12">
        <v>5</v>
      </c>
      <c r="G1180" s="11">
        <v>3</v>
      </c>
      <c r="H1180" s="11">
        <v>32</v>
      </c>
      <c r="I1180" s="11">
        <v>10.7</v>
      </c>
      <c r="J1180" s="11">
        <v>0</v>
      </c>
      <c r="K1180" s="11">
        <v>0</v>
      </c>
      <c r="L1180" s="11" t="str" cm="1">
        <f t="array" ref="L1180">IFERROR(_xlfn.XLOOKUP(C1180&amp;A1180, ESPN!A:A&amp;ESPN!C:C, ESPN!D:D), "N/A")</f>
        <v>N/A</v>
      </c>
      <c r="M1180" s="23" t="str" cm="1">
        <f t="array" ref="M1180">IFERROR(_xlfn.XLOOKUP(C1180&amp;A1180, ESPN!A:A&amp;ESPN!C:C, ESPN!G:G), "N/A")</f>
        <v>N/A</v>
      </c>
      <c r="N1180" s="23" t="str" cm="1">
        <f t="array" ref="N1180">IFERROR(_xlfn.XLOOKUP(C1180&amp;A1180, ESPN!A:A&amp;ESPN!C:C, ESPN!H:H), "N/A")</f>
        <v>N/A</v>
      </c>
      <c r="O1180" s="26" t="str" cm="1">
        <f t="array" ref="O1180">IFERROR(_xlfn.XLOOKUP(C1180&amp;A1180, ESPN!A:A&amp;ESPN!C:C, ESPN!I:I), "N/A")</f>
        <v>N/A</v>
      </c>
      <c r="P1180" s="26" t="str" cm="1">
        <f t="array" ref="P1180">IFERROR(_xlfn.XLOOKUP(C1180&amp;A1180, ESPN!A:A&amp;ESPN!C:C, ESPN!J:J), "N/A")</f>
        <v>N/A</v>
      </c>
      <c r="Q1180" s="26" t="str" cm="1">
        <f t="array" ref="Q1180">IFERROR(_xlfn.XLOOKUP(C1180&amp;A1180, ESPN!A:A&amp;ESPN!C:C, ESPN!K:K), "N/A")</f>
        <v>N/A</v>
      </c>
    </row>
    <row r="1181" spans="1:17" x14ac:dyDescent="0.45">
      <c r="A1181" s="7">
        <v>2019</v>
      </c>
      <c r="B1181" s="3" t="s">
        <v>637</v>
      </c>
      <c r="C1181" s="4" t="str">
        <f t="shared" si="36"/>
        <v>Danny Vitale</v>
      </c>
      <c r="D1181" s="4" t="str">
        <f t="shared" si="37"/>
        <v>GB</v>
      </c>
      <c r="E1181" s="4">
        <v>15</v>
      </c>
      <c r="F1181" s="12">
        <v>12</v>
      </c>
      <c r="G1181" s="11">
        <v>7</v>
      </c>
      <c r="H1181" s="11">
        <v>97</v>
      </c>
      <c r="I1181" s="11">
        <v>13.9</v>
      </c>
      <c r="J1181" s="11">
        <v>0</v>
      </c>
      <c r="K1181" s="11">
        <v>0</v>
      </c>
      <c r="L1181" s="11" t="str" cm="1">
        <f t="array" ref="L1181">IFERROR(_xlfn.XLOOKUP(C1181&amp;A1181, ESPN!A:A&amp;ESPN!C:C, ESPN!D:D), "N/A")</f>
        <v>N/A</v>
      </c>
      <c r="M1181" s="23" t="str" cm="1">
        <f t="array" ref="M1181">IFERROR(_xlfn.XLOOKUP(C1181&amp;A1181, ESPN!A:A&amp;ESPN!C:C, ESPN!G:G), "N/A")</f>
        <v>N/A</v>
      </c>
      <c r="N1181" s="23" t="str" cm="1">
        <f t="array" ref="N1181">IFERROR(_xlfn.XLOOKUP(C1181&amp;A1181, ESPN!A:A&amp;ESPN!C:C, ESPN!H:H), "N/A")</f>
        <v>N/A</v>
      </c>
      <c r="O1181" s="26" t="str" cm="1">
        <f t="array" ref="O1181">IFERROR(_xlfn.XLOOKUP(C1181&amp;A1181, ESPN!A:A&amp;ESPN!C:C, ESPN!I:I), "N/A")</f>
        <v>N/A</v>
      </c>
      <c r="P1181" s="26" t="str" cm="1">
        <f t="array" ref="P1181">IFERROR(_xlfn.XLOOKUP(C1181&amp;A1181, ESPN!A:A&amp;ESPN!C:C, ESPN!J:J), "N/A")</f>
        <v>N/A</v>
      </c>
      <c r="Q1181" s="26" t="str" cm="1">
        <f t="array" ref="Q1181">IFERROR(_xlfn.XLOOKUP(C1181&amp;A1181, ESPN!A:A&amp;ESPN!C:C, ESPN!K:K), "N/A")</f>
        <v>N/A</v>
      </c>
    </row>
    <row r="1182" spans="1:17" x14ac:dyDescent="0.45">
      <c r="A1182" s="6">
        <v>2019</v>
      </c>
      <c r="B1182" s="1" t="s">
        <v>638</v>
      </c>
      <c r="C1182" s="2" t="str">
        <f t="shared" si="36"/>
        <v>Marshawn Lynch</v>
      </c>
      <c r="D1182" s="2" t="str">
        <f t="shared" si="37"/>
        <v>SEA</v>
      </c>
      <c r="E1182" s="2">
        <v>2</v>
      </c>
      <c r="F1182" s="12">
        <v>0</v>
      </c>
      <c r="G1182" s="11">
        <v>0</v>
      </c>
      <c r="H1182" s="11">
        <v>0</v>
      </c>
      <c r="I1182" s="11">
        <v>0</v>
      </c>
      <c r="J1182" s="11">
        <v>0</v>
      </c>
      <c r="K1182" s="11">
        <v>0</v>
      </c>
      <c r="L1182" s="11" t="str" cm="1">
        <f t="array" ref="L1182">IFERROR(_xlfn.XLOOKUP(C1182&amp;A1182, ESPN!A:A&amp;ESPN!C:C, ESPN!D:D), "N/A")</f>
        <v>N/A</v>
      </c>
      <c r="M1182" s="23" t="str" cm="1">
        <f t="array" ref="M1182">IFERROR(_xlfn.XLOOKUP(C1182&amp;A1182, ESPN!A:A&amp;ESPN!C:C, ESPN!G:G), "N/A")</f>
        <v>N/A</v>
      </c>
      <c r="N1182" s="23" t="str" cm="1">
        <f t="array" ref="N1182">IFERROR(_xlfn.XLOOKUP(C1182&amp;A1182, ESPN!A:A&amp;ESPN!C:C, ESPN!H:H), "N/A")</f>
        <v>N/A</v>
      </c>
      <c r="O1182" s="26" t="str" cm="1">
        <f t="array" ref="O1182">IFERROR(_xlfn.XLOOKUP(C1182&amp;A1182, ESPN!A:A&amp;ESPN!C:C, ESPN!I:I), "N/A")</f>
        <v>N/A</v>
      </c>
      <c r="P1182" s="26" t="str" cm="1">
        <f t="array" ref="P1182">IFERROR(_xlfn.XLOOKUP(C1182&amp;A1182, ESPN!A:A&amp;ESPN!C:C, ESPN!J:J), "N/A")</f>
        <v>N/A</v>
      </c>
      <c r="Q1182" s="26" t="str" cm="1">
        <f t="array" ref="Q1182">IFERROR(_xlfn.XLOOKUP(C1182&amp;A1182, ESPN!A:A&amp;ESPN!C:C, ESPN!K:K), "N/A")</f>
        <v>N/A</v>
      </c>
    </row>
    <row r="1183" spans="1:17" x14ac:dyDescent="0.45">
      <c r="A1183" s="7">
        <v>2019</v>
      </c>
      <c r="B1183" s="3" t="s">
        <v>395</v>
      </c>
      <c r="C1183" s="4" t="str">
        <f t="shared" si="36"/>
        <v>D'Ernest Johnson</v>
      </c>
      <c r="D1183" s="4" t="str">
        <f t="shared" si="37"/>
        <v>CLE</v>
      </c>
      <c r="E1183" s="4">
        <v>16</v>
      </c>
      <c r="F1183" s="12">
        <v>7</v>
      </c>
      <c r="G1183" s="11">
        <v>6</v>
      </c>
      <c r="H1183" s="11">
        <v>71</v>
      </c>
      <c r="I1183" s="11">
        <v>11.8</v>
      </c>
      <c r="J1183" s="11">
        <v>0</v>
      </c>
      <c r="K1183" s="11">
        <v>0</v>
      </c>
      <c r="L1183" s="11" t="str" cm="1">
        <f t="array" ref="L1183">IFERROR(_xlfn.XLOOKUP(C1183&amp;A1183, ESPN!A:A&amp;ESPN!C:C, ESPN!D:D), "N/A")</f>
        <v>N/A</v>
      </c>
      <c r="M1183" s="23" t="str" cm="1">
        <f t="array" ref="M1183">IFERROR(_xlfn.XLOOKUP(C1183&amp;A1183, ESPN!A:A&amp;ESPN!C:C, ESPN!G:G), "N/A")</f>
        <v>N/A</v>
      </c>
      <c r="N1183" s="23" t="str" cm="1">
        <f t="array" ref="N1183">IFERROR(_xlfn.XLOOKUP(C1183&amp;A1183, ESPN!A:A&amp;ESPN!C:C, ESPN!H:H), "N/A")</f>
        <v>N/A</v>
      </c>
      <c r="O1183" s="26" t="str" cm="1">
        <f t="array" ref="O1183">IFERROR(_xlfn.XLOOKUP(C1183&amp;A1183, ESPN!A:A&amp;ESPN!C:C, ESPN!I:I), "N/A")</f>
        <v>N/A</v>
      </c>
      <c r="P1183" s="26" t="str" cm="1">
        <f t="array" ref="P1183">IFERROR(_xlfn.XLOOKUP(C1183&amp;A1183, ESPN!A:A&amp;ESPN!C:C, ESPN!J:J), "N/A")</f>
        <v>N/A</v>
      </c>
      <c r="Q1183" s="26" t="str" cm="1">
        <f t="array" ref="Q1183">IFERROR(_xlfn.XLOOKUP(C1183&amp;A1183, ESPN!A:A&amp;ESPN!C:C, ESPN!K:K), "N/A")</f>
        <v>N/A</v>
      </c>
    </row>
    <row r="1184" spans="1:17" x14ac:dyDescent="0.45">
      <c r="A1184" s="6">
        <v>2019</v>
      </c>
      <c r="B1184" s="1" t="s">
        <v>639</v>
      </c>
      <c r="C1184" s="2" t="str">
        <f t="shared" si="36"/>
        <v>Kenjon Barner</v>
      </c>
      <c r="D1184" s="2" t="str">
        <f t="shared" si="37"/>
        <v>ATL</v>
      </c>
      <c r="E1184" s="2">
        <v>14</v>
      </c>
      <c r="F1184" s="12">
        <v>8</v>
      </c>
      <c r="G1184" s="11">
        <v>6</v>
      </c>
      <c r="H1184" s="11">
        <v>22</v>
      </c>
      <c r="I1184" s="11">
        <v>3.7</v>
      </c>
      <c r="J1184" s="11">
        <v>0</v>
      </c>
      <c r="K1184" s="11">
        <v>1</v>
      </c>
      <c r="L1184" s="11" t="str" cm="1">
        <f t="array" ref="L1184">IFERROR(_xlfn.XLOOKUP(C1184&amp;A1184, ESPN!A:A&amp;ESPN!C:C, ESPN!D:D), "N/A")</f>
        <v>N/A</v>
      </c>
      <c r="M1184" s="23" t="str" cm="1">
        <f t="array" ref="M1184">IFERROR(_xlfn.XLOOKUP(C1184&amp;A1184, ESPN!A:A&amp;ESPN!C:C, ESPN!G:G), "N/A")</f>
        <v>N/A</v>
      </c>
      <c r="N1184" s="23" t="str" cm="1">
        <f t="array" ref="N1184">IFERROR(_xlfn.XLOOKUP(C1184&amp;A1184, ESPN!A:A&amp;ESPN!C:C, ESPN!H:H), "N/A")</f>
        <v>N/A</v>
      </c>
      <c r="O1184" s="26" t="str" cm="1">
        <f t="array" ref="O1184">IFERROR(_xlfn.XLOOKUP(C1184&amp;A1184, ESPN!A:A&amp;ESPN!C:C, ESPN!I:I), "N/A")</f>
        <v>N/A</v>
      </c>
      <c r="P1184" s="26" t="str" cm="1">
        <f t="array" ref="P1184">IFERROR(_xlfn.XLOOKUP(C1184&amp;A1184, ESPN!A:A&amp;ESPN!C:C, ESPN!J:J), "N/A")</f>
        <v>N/A</v>
      </c>
      <c r="Q1184" s="26" t="str" cm="1">
        <f t="array" ref="Q1184">IFERROR(_xlfn.XLOOKUP(C1184&amp;A1184, ESPN!A:A&amp;ESPN!C:C, ESPN!K:K), "N/A")</f>
        <v>N/A</v>
      </c>
    </row>
    <row r="1185" spans="1:17" x14ac:dyDescent="0.45">
      <c r="A1185" s="7">
        <v>2019</v>
      </c>
      <c r="B1185" s="3" t="s">
        <v>578</v>
      </c>
      <c r="C1185" s="4" t="str">
        <f t="shared" si="36"/>
        <v>Alex Armah Jr.</v>
      </c>
      <c r="D1185" s="4" t="str">
        <f t="shared" si="37"/>
        <v>CAR</v>
      </c>
      <c r="E1185" s="4">
        <v>16</v>
      </c>
      <c r="F1185" s="12">
        <v>2</v>
      </c>
      <c r="G1185" s="11">
        <v>2</v>
      </c>
      <c r="H1185" s="11">
        <v>6</v>
      </c>
      <c r="I1185" s="11">
        <v>3</v>
      </c>
      <c r="J1185" s="11">
        <v>0</v>
      </c>
      <c r="K1185" s="11">
        <v>0</v>
      </c>
      <c r="L1185" s="11" t="str" cm="1">
        <f t="array" ref="L1185">IFERROR(_xlfn.XLOOKUP(C1185&amp;A1185, ESPN!A:A&amp;ESPN!C:C, ESPN!D:D), "N/A")</f>
        <v>N/A</v>
      </c>
      <c r="M1185" s="23" t="str" cm="1">
        <f t="array" ref="M1185">IFERROR(_xlfn.XLOOKUP(C1185&amp;A1185, ESPN!A:A&amp;ESPN!C:C, ESPN!G:G), "N/A")</f>
        <v>N/A</v>
      </c>
      <c r="N1185" s="23" t="str" cm="1">
        <f t="array" ref="N1185">IFERROR(_xlfn.XLOOKUP(C1185&amp;A1185, ESPN!A:A&amp;ESPN!C:C, ESPN!H:H), "N/A")</f>
        <v>N/A</v>
      </c>
      <c r="O1185" s="26" t="str" cm="1">
        <f t="array" ref="O1185">IFERROR(_xlfn.XLOOKUP(C1185&amp;A1185, ESPN!A:A&amp;ESPN!C:C, ESPN!I:I), "N/A")</f>
        <v>N/A</v>
      </c>
      <c r="P1185" s="26" t="str" cm="1">
        <f t="array" ref="P1185">IFERROR(_xlfn.XLOOKUP(C1185&amp;A1185, ESPN!A:A&amp;ESPN!C:C, ESPN!J:J), "N/A")</f>
        <v>N/A</v>
      </c>
      <c r="Q1185" s="26" t="str" cm="1">
        <f t="array" ref="Q1185">IFERROR(_xlfn.XLOOKUP(C1185&amp;A1185, ESPN!A:A&amp;ESPN!C:C, ESPN!K:K), "N/A")</f>
        <v>N/A</v>
      </c>
    </row>
    <row r="1186" spans="1:17" x14ac:dyDescent="0.45">
      <c r="A1186" s="6">
        <v>2019</v>
      </c>
      <c r="B1186" s="1" t="s">
        <v>567</v>
      </c>
      <c r="C1186" s="2" t="str">
        <f t="shared" si="36"/>
        <v>Troymaine Pope</v>
      </c>
      <c r="D1186" s="2" t="str">
        <f t="shared" si="37"/>
        <v>LAC</v>
      </c>
      <c r="E1186" s="2">
        <v>14</v>
      </c>
      <c r="F1186" s="12">
        <v>3</v>
      </c>
      <c r="G1186" s="11">
        <v>2</v>
      </c>
      <c r="H1186" s="11">
        <v>14</v>
      </c>
      <c r="I1186" s="11">
        <v>7</v>
      </c>
      <c r="J1186" s="11">
        <v>1</v>
      </c>
      <c r="K1186" s="11">
        <v>1</v>
      </c>
      <c r="L1186" s="11" t="str" cm="1">
        <f t="array" ref="L1186">IFERROR(_xlfn.XLOOKUP(C1186&amp;A1186, ESPN!A:A&amp;ESPN!C:C, ESPN!D:D), "N/A")</f>
        <v>N/A</v>
      </c>
      <c r="M1186" s="23" t="str" cm="1">
        <f t="array" ref="M1186">IFERROR(_xlfn.XLOOKUP(C1186&amp;A1186, ESPN!A:A&amp;ESPN!C:C, ESPN!G:G), "N/A")</f>
        <v>N/A</v>
      </c>
      <c r="N1186" s="23" t="str" cm="1">
        <f t="array" ref="N1186">IFERROR(_xlfn.XLOOKUP(C1186&amp;A1186, ESPN!A:A&amp;ESPN!C:C, ESPN!H:H), "N/A")</f>
        <v>N/A</v>
      </c>
      <c r="O1186" s="26" t="str" cm="1">
        <f t="array" ref="O1186">IFERROR(_xlfn.XLOOKUP(C1186&amp;A1186, ESPN!A:A&amp;ESPN!C:C, ESPN!I:I), "N/A")</f>
        <v>N/A</v>
      </c>
      <c r="P1186" s="26" t="str" cm="1">
        <f t="array" ref="P1186">IFERROR(_xlfn.XLOOKUP(C1186&amp;A1186, ESPN!A:A&amp;ESPN!C:C, ESPN!J:J), "N/A")</f>
        <v>N/A</v>
      </c>
      <c r="Q1186" s="26" t="str" cm="1">
        <f t="array" ref="Q1186">IFERROR(_xlfn.XLOOKUP(C1186&amp;A1186, ESPN!A:A&amp;ESPN!C:C, ESPN!K:K), "N/A")</f>
        <v>N/A</v>
      </c>
    </row>
    <row r="1187" spans="1:17" x14ac:dyDescent="0.45">
      <c r="A1187" s="7">
        <v>2019</v>
      </c>
      <c r="B1187" s="3" t="s">
        <v>640</v>
      </c>
      <c r="C1187" s="4" t="str">
        <f t="shared" si="36"/>
        <v>Spencer Ware</v>
      </c>
      <c r="D1187" s="4" t="str">
        <f t="shared" si="37"/>
        <v>KC</v>
      </c>
      <c r="E1187" s="4">
        <v>3</v>
      </c>
      <c r="F1187" s="12">
        <v>7</v>
      </c>
      <c r="G1187" s="11">
        <v>5</v>
      </c>
      <c r="H1187" s="11">
        <v>22</v>
      </c>
      <c r="I1187" s="11">
        <v>4.4000000000000004</v>
      </c>
      <c r="J1187" s="11">
        <v>0</v>
      </c>
      <c r="K1187" s="11">
        <v>0</v>
      </c>
      <c r="L1187" s="11" t="str" cm="1">
        <f t="array" ref="L1187">IFERROR(_xlfn.XLOOKUP(C1187&amp;A1187, ESPN!A:A&amp;ESPN!C:C, ESPN!D:D), "N/A")</f>
        <v>N/A</v>
      </c>
      <c r="M1187" s="23" t="str" cm="1">
        <f t="array" ref="M1187">IFERROR(_xlfn.XLOOKUP(C1187&amp;A1187, ESPN!A:A&amp;ESPN!C:C, ESPN!G:G), "N/A")</f>
        <v>N/A</v>
      </c>
      <c r="N1187" s="23" t="str" cm="1">
        <f t="array" ref="N1187">IFERROR(_xlfn.XLOOKUP(C1187&amp;A1187, ESPN!A:A&amp;ESPN!C:C, ESPN!H:H), "N/A")</f>
        <v>N/A</v>
      </c>
      <c r="O1187" s="26" t="str" cm="1">
        <f t="array" ref="O1187">IFERROR(_xlfn.XLOOKUP(C1187&amp;A1187, ESPN!A:A&amp;ESPN!C:C, ESPN!I:I), "N/A")</f>
        <v>N/A</v>
      </c>
      <c r="P1187" s="26" t="str" cm="1">
        <f t="array" ref="P1187">IFERROR(_xlfn.XLOOKUP(C1187&amp;A1187, ESPN!A:A&amp;ESPN!C:C, ESPN!J:J), "N/A")</f>
        <v>N/A</v>
      </c>
      <c r="Q1187" s="26" t="str" cm="1">
        <f t="array" ref="Q1187">IFERROR(_xlfn.XLOOKUP(C1187&amp;A1187, ESPN!A:A&amp;ESPN!C:C, ESPN!K:K), "N/A")</f>
        <v>N/A</v>
      </c>
    </row>
    <row r="1188" spans="1:17" x14ac:dyDescent="0.45">
      <c r="A1188" s="6">
        <v>2019</v>
      </c>
      <c r="B1188" s="1" t="s">
        <v>641</v>
      </c>
      <c r="C1188" s="2" t="str">
        <f t="shared" si="36"/>
        <v>Devontae Booker</v>
      </c>
      <c r="D1188" s="2" t="str">
        <f t="shared" si="37"/>
        <v>DEN</v>
      </c>
      <c r="E1188" s="2">
        <v>16</v>
      </c>
      <c r="F1188" s="12">
        <v>9</v>
      </c>
      <c r="G1188" s="11">
        <v>6</v>
      </c>
      <c r="H1188" s="11">
        <v>57</v>
      </c>
      <c r="I1188" s="11">
        <v>9.5</v>
      </c>
      <c r="J1188" s="11">
        <v>0</v>
      </c>
      <c r="K1188" s="11">
        <v>0</v>
      </c>
      <c r="L1188" s="11" t="str" cm="1">
        <f t="array" ref="L1188">IFERROR(_xlfn.XLOOKUP(C1188&amp;A1188, ESPN!A:A&amp;ESPN!C:C, ESPN!D:D), "N/A")</f>
        <v>N/A</v>
      </c>
      <c r="M1188" s="23" t="str" cm="1">
        <f t="array" ref="M1188">IFERROR(_xlfn.XLOOKUP(C1188&amp;A1188, ESPN!A:A&amp;ESPN!C:C, ESPN!G:G), "N/A")</f>
        <v>N/A</v>
      </c>
      <c r="N1188" s="23" t="str" cm="1">
        <f t="array" ref="N1188">IFERROR(_xlfn.XLOOKUP(C1188&amp;A1188, ESPN!A:A&amp;ESPN!C:C, ESPN!H:H), "N/A")</f>
        <v>N/A</v>
      </c>
      <c r="O1188" s="26" t="str" cm="1">
        <f t="array" ref="O1188">IFERROR(_xlfn.XLOOKUP(C1188&amp;A1188, ESPN!A:A&amp;ESPN!C:C, ESPN!I:I), "N/A")</f>
        <v>N/A</v>
      </c>
      <c r="P1188" s="26" t="str" cm="1">
        <f t="array" ref="P1188">IFERROR(_xlfn.XLOOKUP(C1188&amp;A1188, ESPN!A:A&amp;ESPN!C:C, ESPN!J:J), "N/A")</f>
        <v>N/A</v>
      </c>
      <c r="Q1188" s="26" t="str" cm="1">
        <f t="array" ref="Q1188">IFERROR(_xlfn.XLOOKUP(C1188&amp;A1188, ESPN!A:A&amp;ESPN!C:C, ESPN!K:K), "N/A")</f>
        <v>N/A</v>
      </c>
    </row>
    <row r="1189" spans="1:17" x14ac:dyDescent="0.45">
      <c r="A1189" s="7">
        <v>2019</v>
      </c>
      <c r="B1189" s="3" t="s">
        <v>391</v>
      </c>
      <c r="C1189" s="4" t="str">
        <f t="shared" si="36"/>
        <v>Dwayne Washington</v>
      </c>
      <c r="D1189" s="4" t="str">
        <f t="shared" si="37"/>
        <v>NO</v>
      </c>
      <c r="E1189" s="4">
        <v>16</v>
      </c>
      <c r="F1189" s="12">
        <v>1</v>
      </c>
      <c r="G1189" s="11">
        <v>1</v>
      </c>
      <c r="H1189" s="11">
        <v>6</v>
      </c>
      <c r="I1189" s="11">
        <v>6</v>
      </c>
      <c r="J1189" s="11">
        <v>0</v>
      </c>
      <c r="K1189" s="11">
        <v>0</v>
      </c>
      <c r="L1189" s="11" t="str" cm="1">
        <f t="array" ref="L1189">IFERROR(_xlfn.XLOOKUP(C1189&amp;A1189, ESPN!A:A&amp;ESPN!C:C, ESPN!D:D), "N/A")</f>
        <v>N/A</v>
      </c>
      <c r="M1189" s="23" t="str" cm="1">
        <f t="array" ref="M1189">IFERROR(_xlfn.XLOOKUP(C1189&amp;A1189, ESPN!A:A&amp;ESPN!C:C, ESPN!G:G), "N/A")</f>
        <v>N/A</v>
      </c>
      <c r="N1189" s="23" t="str" cm="1">
        <f t="array" ref="N1189">IFERROR(_xlfn.XLOOKUP(C1189&amp;A1189, ESPN!A:A&amp;ESPN!C:C, ESPN!H:H), "N/A")</f>
        <v>N/A</v>
      </c>
      <c r="O1189" s="26" t="str" cm="1">
        <f t="array" ref="O1189">IFERROR(_xlfn.XLOOKUP(C1189&amp;A1189, ESPN!A:A&amp;ESPN!C:C, ESPN!I:I), "N/A")</f>
        <v>N/A</v>
      </c>
      <c r="P1189" s="26" t="str" cm="1">
        <f t="array" ref="P1189">IFERROR(_xlfn.XLOOKUP(C1189&amp;A1189, ESPN!A:A&amp;ESPN!C:C, ESPN!J:J), "N/A")</f>
        <v>N/A</v>
      </c>
      <c r="Q1189" s="26" t="str" cm="1">
        <f t="array" ref="Q1189">IFERROR(_xlfn.XLOOKUP(C1189&amp;A1189, ESPN!A:A&amp;ESPN!C:C, ESPN!K:K), "N/A")</f>
        <v>N/A</v>
      </c>
    </row>
    <row r="1190" spans="1:17" x14ac:dyDescent="0.45">
      <c r="A1190" s="6">
        <v>2019</v>
      </c>
      <c r="B1190" s="1" t="s">
        <v>642</v>
      </c>
      <c r="C1190" s="2" t="str">
        <f t="shared" si="36"/>
        <v>Tra Carson</v>
      </c>
      <c r="D1190" s="2" t="str">
        <f t="shared" si="37"/>
        <v>DET</v>
      </c>
      <c r="E1190" s="2">
        <v>4</v>
      </c>
      <c r="F1190" s="12">
        <v>4</v>
      </c>
      <c r="G1190" s="11">
        <v>4</v>
      </c>
      <c r="H1190" s="11">
        <v>18</v>
      </c>
      <c r="I1190" s="11">
        <v>4.5</v>
      </c>
      <c r="J1190" s="11">
        <v>0</v>
      </c>
      <c r="K1190" s="11">
        <v>0</v>
      </c>
      <c r="L1190" s="11" t="str" cm="1">
        <f t="array" ref="L1190">IFERROR(_xlfn.XLOOKUP(C1190&amp;A1190, ESPN!A:A&amp;ESPN!C:C, ESPN!D:D), "N/A")</f>
        <v>N/A</v>
      </c>
      <c r="M1190" s="23" t="str" cm="1">
        <f t="array" ref="M1190">IFERROR(_xlfn.XLOOKUP(C1190&amp;A1190, ESPN!A:A&amp;ESPN!C:C, ESPN!G:G), "N/A")</f>
        <v>N/A</v>
      </c>
      <c r="N1190" s="23" t="str" cm="1">
        <f t="array" ref="N1190">IFERROR(_xlfn.XLOOKUP(C1190&amp;A1190, ESPN!A:A&amp;ESPN!C:C, ESPN!H:H), "N/A")</f>
        <v>N/A</v>
      </c>
      <c r="O1190" s="26" t="str" cm="1">
        <f t="array" ref="O1190">IFERROR(_xlfn.XLOOKUP(C1190&amp;A1190, ESPN!A:A&amp;ESPN!C:C, ESPN!I:I), "N/A")</f>
        <v>N/A</v>
      </c>
      <c r="P1190" s="26" t="str" cm="1">
        <f t="array" ref="P1190">IFERROR(_xlfn.XLOOKUP(C1190&amp;A1190, ESPN!A:A&amp;ESPN!C:C, ESPN!J:J), "N/A")</f>
        <v>N/A</v>
      </c>
      <c r="Q1190" s="26" t="str" cm="1">
        <f t="array" ref="Q1190">IFERROR(_xlfn.XLOOKUP(C1190&amp;A1190, ESPN!A:A&amp;ESPN!C:C, ESPN!K:K), "N/A")</f>
        <v>N/A</v>
      </c>
    </row>
    <row r="1191" spans="1:17" x14ac:dyDescent="0.45">
      <c r="A1191" s="7">
        <v>2019</v>
      </c>
      <c r="B1191" s="3" t="s">
        <v>643</v>
      </c>
      <c r="C1191" s="4" t="str">
        <f t="shared" si="36"/>
        <v>Zach Line</v>
      </c>
      <c r="D1191" s="4" t="str">
        <f t="shared" si="37"/>
        <v>NO</v>
      </c>
      <c r="E1191" s="4">
        <v>12</v>
      </c>
      <c r="F1191" s="12">
        <v>10</v>
      </c>
      <c r="G1191" s="11">
        <v>6</v>
      </c>
      <c r="H1191" s="11">
        <v>36</v>
      </c>
      <c r="I1191" s="11">
        <v>6</v>
      </c>
      <c r="J1191" s="11">
        <v>0</v>
      </c>
      <c r="K1191" s="11">
        <v>0</v>
      </c>
      <c r="L1191" s="11" t="str" cm="1">
        <f t="array" ref="L1191">IFERROR(_xlfn.XLOOKUP(C1191&amp;A1191, ESPN!A:A&amp;ESPN!C:C, ESPN!D:D), "N/A")</f>
        <v>N/A</v>
      </c>
      <c r="M1191" s="23" t="str" cm="1">
        <f t="array" ref="M1191">IFERROR(_xlfn.XLOOKUP(C1191&amp;A1191, ESPN!A:A&amp;ESPN!C:C, ESPN!G:G), "N/A")</f>
        <v>N/A</v>
      </c>
      <c r="N1191" s="23" t="str" cm="1">
        <f t="array" ref="N1191">IFERROR(_xlfn.XLOOKUP(C1191&amp;A1191, ESPN!A:A&amp;ESPN!C:C, ESPN!H:H), "N/A")</f>
        <v>N/A</v>
      </c>
      <c r="O1191" s="26" t="str" cm="1">
        <f t="array" ref="O1191">IFERROR(_xlfn.XLOOKUP(C1191&amp;A1191, ESPN!A:A&amp;ESPN!C:C, ESPN!I:I), "N/A")</f>
        <v>N/A</v>
      </c>
      <c r="P1191" s="26" t="str" cm="1">
        <f t="array" ref="P1191">IFERROR(_xlfn.XLOOKUP(C1191&amp;A1191, ESPN!A:A&amp;ESPN!C:C, ESPN!J:J), "N/A")</f>
        <v>N/A</v>
      </c>
      <c r="Q1191" s="26" t="str" cm="1">
        <f t="array" ref="Q1191">IFERROR(_xlfn.XLOOKUP(C1191&amp;A1191, ESPN!A:A&amp;ESPN!C:C, ESPN!K:K), "N/A")</f>
        <v>N/A</v>
      </c>
    </row>
    <row r="1192" spans="1:17" x14ac:dyDescent="0.45">
      <c r="A1192" s="6">
        <v>2019</v>
      </c>
      <c r="B1192" s="1" t="s">
        <v>524</v>
      </c>
      <c r="C1192" s="2" t="str">
        <f t="shared" si="36"/>
        <v>Khari Blasingame</v>
      </c>
      <c r="D1192" s="2" t="str">
        <f t="shared" si="37"/>
        <v>TEN</v>
      </c>
      <c r="E1192" s="2">
        <v>6</v>
      </c>
      <c r="F1192" s="12">
        <v>5</v>
      </c>
      <c r="G1192" s="11">
        <v>4</v>
      </c>
      <c r="H1192" s="11">
        <v>54</v>
      </c>
      <c r="I1192" s="11">
        <v>13.5</v>
      </c>
      <c r="J1192" s="11">
        <v>0</v>
      </c>
      <c r="K1192" s="11">
        <v>0</v>
      </c>
      <c r="L1192" s="11" t="str" cm="1">
        <f t="array" ref="L1192">IFERROR(_xlfn.XLOOKUP(C1192&amp;A1192, ESPN!A:A&amp;ESPN!C:C, ESPN!D:D), "N/A")</f>
        <v>N/A</v>
      </c>
      <c r="M1192" s="23" t="str" cm="1">
        <f t="array" ref="M1192">IFERROR(_xlfn.XLOOKUP(C1192&amp;A1192, ESPN!A:A&amp;ESPN!C:C, ESPN!G:G), "N/A")</f>
        <v>N/A</v>
      </c>
      <c r="N1192" s="23" t="str" cm="1">
        <f t="array" ref="N1192">IFERROR(_xlfn.XLOOKUP(C1192&amp;A1192, ESPN!A:A&amp;ESPN!C:C, ESPN!H:H), "N/A")</f>
        <v>N/A</v>
      </c>
      <c r="O1192" s="26" t="str" cm="1">
        <f t="array" ref="O1192">IFERROR(_xlfn.XLOOKUP(C1192&amp;A1192, ESPN!A:A&amp;ESPN!C:C, ESPN!I:I), "N/A")</f>
        <v>N/A</v>
      </c>
      <c r="P1192" s="26" t="str" cm="1">
        <f t="array" ref="P1192">IFERROR(_xlfn.XLOOKUP(C1192&amp;A1192, ESPN!A:A&amp;ESPN!C:C, ESPN!J:J), "N/A")</f>
        <v>N/A</v>
      </c>
      <c r="Q1192" s="26" t="str" cm="1">
        <f t="array" ref="Q1192">IFERROR(_xlfn.XLOOKUP(C1192&amp;A1192, ESPN!A:A&amp;ESPN!C:C, ESPN!K:K), "N/A")</f>
        <v>N/A</v>
      </c>
    </row>
    <row r="1193" spans="1:17" x14ac:dyDescent="0.45">
      <c r="A1193" s="7">
        <v>2019</v>
      </c>
      <c r="B1193" s="3" t="s">
        <v>644</v>
      </c>
      <c r="C1193" s="4" t="str">
        <f t="shared" si="36"/>
        <v>Jon Hilliman</v>
      </c>
      <c r="D1193" s="4" t="str">
        <f t="shared" si="37"/>
        <v>NYG</v>
      </c>
      <c r="E1193" s="4">
        <v>3</v>
      </c>
      <c r="F1193" s="12">
        <v>4</v>
      </c>
      <c r="G1193" s="11">
        <v>3</v>
      </c>
      <c r="H1193" s="11">
        <v>1</v>
      </c>
      <c r="I1193" s="11">
        <v>0.3</v>
      </c>
      <c r="J1193" s="11">
        <v>0</v>
      </c>
      <c r="K1193" s="11">
        <v>2</v>
      </c>
      <c r="L1193" s="11" t="str" cm="1">
        <f t="array" ref="L1193">IFERROR(_xlfn.XLOOKUP(C1193&amp;A1193, ESPN!A:A&amp;ESPN!C:C, ESPN!D:D), "N/A")</f>
        <v>N/A</v>
      </c>
      <c r="M1193" s="23" t="str" cm="1">
        <f t="array" ref="M1193">IFERROR(_xlfn.XLOOKUP(C1193&amp;A1193, ESPN!A:A&amp;ESPN!C:C, ESPN!G:G), "N/A")</f>
        <v>N/A</v>
      </c>
      <c r="N1193" s="23" t="str" cm="1">
        <f t="array" ref="N1193">IFERROR(_xlfn.XLOOKUP(C1193&amp;A1193, ESPN!A:A&amp;ESPN!C:C, ESPN!H:H), "N/A")</f>
        <v>N/A</v>
      </c>
      <c r="O1193" s="26" t="str" cm="1">
        <f t="array" ref="O1193">IFERROR(_xlfn.XLOOKUP(C1193&amp;A1193, ESPN!A:A&amp;ESPN!C:C, ESPN!I:I), "N/A")</f>
        <v>N/A</v>
      </c>
      <c r="P1193" s="26" t="str" cm="1">
        <f t="array" ref="P1193">IFERROR(_xlfn.XLOOKUP(C1193&amp;A1193, ESPN!A:A&amp;ESPN!C:C, ESPN!J:J), "N/A")</f>
        <v>N/A</v>
      </c>
      <c r="Q1193" s="26" t="str" cm="1">
        <f t="array" ref="Q1193">IFERROR(_xlfn.XLOOKUP(C1193&amp;A1193, ESPN!A:A&amp;ESPN!C:C, ESPN!K:K), "N/A")</f>
        <v>N/A</v>
      </c>
    </row>
    <row r="1194" spans="1:17" x14ac:dyDescent="0.45">
      <c r="A1194" s="6">
        <v>2019</v>
      </c>
      <c r="B1194" s="1" t="s">
        <v>500</v>
      </c>
      <c r="C1194" s="2" t="str">
        <f t="shared" si="36"/>
        <v>Devine Ozigbo</v>
      </c>
      <c r="D1194" s="2" t="str">
        <f t="shared" si="37"/>
        <v>JAC</v>
      </c>
      <c r="E1194" s="2">
        <v>10</v>
      </c>
      <c r="F1194" s="12">
        <v>5</v>
      </c>
      <c r="G1194" s="11">
        <v>3</v>
      </c>
      <c r="H1194" s="11">
        <v>23</v>
      </c>
      <c r="I1194" s="11">
        <v>7.7</v>
      </c>
      <c r="J1194" s="11">
        <v>0</v>
      </c>
      <c r="K1194" s="11">
        <v>0</v>
      </c>
      <c r="L1194" s="11" t="str" cm="1">
        <f t="array" ref="L1194">IFERROR(_xlfn.XLOOKUP(C1194&amp;A1194, ESPN!A:A&amp;ESPN!C:C, ESPN!D:D), "N/A")</f>
        <v>N/A</v>
      </c>
      <c r="M1194" s="23" t="str" cm="1">
        <f t="array" ref="M1194">IFERROR(_xlfn.XLOOKUP(C1194&amp;A1194, ESPN!A:A&amp;ESPN!C:C, ESPN!G:G), "N/A")</f>
        <v>N/A</v>
      </c>
      <c r="N1194" s="23" t="str" cm="1">
        <f t="array" ref="N1194">IFERROR(_xlfn.XLOOKUP(C1194&amp;A1194, ESPN!A:A&amp;ESPN!C:C, ESPN!H:H), "N/A")</f>
        <v>N/A</v>
      </c>
      <c r="O1194" s="26" t="str" cm="1">
        <f t="array" ref="O1194">IFERROR(_xlfn.XLOOKUP(C1194&amp;A1194, ESPN!A:A&amp;ESPN!C:C, ESPN!I:I), "N/A")</f>
        <v>N/A</v>
      </c>
      <c r="P1194" s="26" t="str" cm="1">
        <f t="array" ref="P1194">IFERROR(_xlfn.XLOOKUP(C1194&amp;A1194, ESPN!A:A&amp;ESPN!C:C, ESPN!J:J), "N/A")</f>
        <v>N/A</v>
      </c>
      <c r="Q1194" s="26" t="str" cm="1">
        <f t="array" ref="Q1194">IFERROR(_xlfn.XLOOKUP(C1194&amp;A1194, ESPN!A:A&amp;ESPN!C:C, ESPN!K:K), "N/A")</f>
        <v>N/A</v>
      </c>
    </row>
    <row r="1195" spans="1:17" x14ac:dyDescent="0.45">
      <c r="A1195" s="7">
        <v>2019</v>
      </c>
      <c r="B1195" s="3" t="s">
        <v>645</v>
      </c>
      <c r="C1195" s="4" t="str">
        <f t="shared" si="36"/>
        <v>Taiwan Jones</v>
      </c>
      <c r="D1195" s="4" t="str">
        <f t="shared" si="37"/>
        <v>HOU</v>
      </c>
      <c r="E1195" s="4">
        <v>11</v>
      </c>
      <c r="F1195" s="12">
        <v>1</v>
      </c>
      <c r="G1195" s="11">
        <v>1</v>
      </c>
      <c r="H1195" s="11">
        <v>9</v>
      </c>
      <c r="I1195" s="11">
        <v>9</v>
      </c>
      <c r="J1195" s="11">
        <v>0</v>
      </c>
      <c r="K1195" s="11">
        <v>0</v>
      </c>
      <c r="L1195" s="11" t="str" cm="1">
        <f t="array" ref="L1195">IFERROR(_xlfn.XLOOKUP(C1195&amp;A1195, ESPN!A:A&amp;ESPN!C:C, ESPN!D:D), "N/A")</f>
        <v>N/A</v>
      </c>
      <c r="M1195" s="23" t="str" cm="1">
        <f t="array" ref="M1195">IFERROR(_xlfn.XLOOKUP(C1195&amp;A1195, ESPN!A:A&amp;ESPN!C:C, ESPN!G:G), "N/A")</f>
        <v>N/A</v>
      </c>
      <c r="N1195" s="23" t="str" cm="1">
        <f t="array" ref="N1195">IFERROR(_xlfn.XLOOKUP(C1195&amp;A1195, ESPN!A:A&amp;ESPN!C:C, ESPN!H:H), "N/A")</f>
        <v>N/A</v>
      </c>
      <c r="O1195" s="26" t="str" cm="1">
        <f t="array" ref="O1195">IFERROR(_xlfn.XLOOKUP(C1195&amp;A1195, ESPN!A:A&amp;ESPN!C:C, ESPN!I:I), "N/A")</f>
        <v>N/A</v>
      </c>
      <c r="P1195" s="26" t="str" cm="1">
        <f t="array" ref="P1195">IFERROR(_xlfn.XLOOKUP(C1195&amp;A1195, ESPN!A:A&amp;ESPN!C:C, ESPN!J:J), "N/A")</f>
        <v>N/A</v>
      </c>
      <c r="Q1195" s="26" t="str" cm="1">
        <f t="array" ref="Q1195">IFERROR(_xlfn.XLOOKUP(C1195&amp;A1195, ESPN!A:A&amp;ESPN!C:C, ESPN!K:K), "N/A")</f>
        <v>N/A</v>
      </c>
    </row>
    <row r="1196" spans="1:17" x14ac:dyDescent="0.45">
      <c r="A1196" s="6">
        <v>2019</v>
      </c>
      <c r="B1196" s="1" t="s">
        <v>527</v>
      </c>
      <c r="C1196" s="2" t="str">
        <f t="shared" si="36"/>
        <v>Mike Davis</v>
      </c>
      <c r="D1196" s="2" t="str">
        <f t="shared" si="37"/>
        <v>CAR</v>
      </c>
      <c r="E1196" s="2">
        <v>12</v>
      </c>
      <c r="F1196" s="12">
        <v>8</v>
      </c>
      <c r="G1196" s="11">
        <v>7</v>
      </c>
      <c r="H1196" s="11">
        <v>22</v>
      </c>
      <c r="I1196" s="11">
        <v>3.1</v>
      </c>
      <c r="J1196" s="11">
        <v>0</v>
      </c>
      <c r="K1196" s="11">
        <v>0</v>
      </c>
      <c r="L1196" s="11" t="str" cm="1">
        <f t="array" ref="L1196">IFERROR(_xlfn.XLOOKUP(C1196&amp;A1196, ESPN!A:A&amp;ESPN!C:C, ESPN!D:D), "N/A")</f>
        <v>N/A</v>
      </c>
      <c r="M1196" s="23" t="str" cm="1">
        <f t="array" ref="M1196">IFERROR(_xlfn.XLOOKUP(C1196&amp;A1196, ESPN!A:A&amp;ESPN!C:C, ESPN!G:G), "N/A")</f>
        <v>N/A</v>
      </c>
      <c r="N1196" s="23" t="str" cm="1">
        <f t="array" ref="N1196">IFERROR(_xlfn.XLOOKUP(C1196&amp;A1196, ESPN!A:A&amp;ESPN!C:C, ESPN!H:H), "N/A")</f>
        <v>N/A</v>
      </c>
      <c r="O1196" s="26" t="str" cm="1">
        <f t="array" ref="O1196">IFERROR(_xlfn.XLOOKUP(C1196&amp;A1196, ESPN!A:A&amp;ESPN!C:C, ESPN!I:I), "N/A")</f>
        <v>N/A</v>
      </c>
      <c r="P1196" s="26" t="str" cm="1">
        <f t="array" ref="P1196">IFERROR(_xlfn.XLOOKUP(C1196&amp;A1196, ESPN!A:A&amp;ESPN!C:C, ESPN!J:J), "N/A")</f>
        <v>N/A</v>
      </c>
      <c r="Q1196" s="26" t="str" cm="1">
        <f t="array" ref="Q1196">IFERROR(_xlfn.XLOOKUP(C1196&amp;A1196, ESPN!A:A&amp;ESPN!C:C, ESPN!K:K), "N/A")</f>
        <v>N/A</v>
      </c>
    </row>
    <row r="1197" spans="1:17" x14ac:dyDescent="0.45">
      <c r="A1197" s="7">
        <v>2019</v>
      </c>
      <c r="B1197" s="3" t="s">
        <v>646</v>
      </c>
      <c r="C1197" s="4" t="str">
        <f t="shared" si="36"/>
        <v>Patrick DiMarco</v>
      </c>
      <c r="D1197" s="4" t="str">
        <f t="shared" si="37"/>
        <v>BUF</v>
      </c>
      <c r="E1197" s="4">
        <v>16</v>
      </c>
      <c r="F1197" s="12">
        <v>7</v>
      </c>
      <c r="G1197" s="11">
        <v>5</v>
      </c>
      <c r="H1197" s="11">
        <v>41</v>
      </c>
      <c r="I1197" s="11">
        <v>8.1999999999999993</v>
      </c>
      <c r="J1197" s="11">
        <v>0</v>
      </c>
      <c r="K1197" s="11">
        <v>0</v>
      </c>
      <c r="L1197" s="11" t="str" cm="1">
        <f t="array" ref="L1197">IFERROR(_xlfn.XLOOKUP(C1197&amp;A1197, ESPN!A:A&amp;ESPN!C:C, ESPN!D:D), "N/A")</f>
        <v>N/A</v>
      </c>
      <c r="M1197" s="23" t="str" cm="1">
        <f t="array" ref="M1197">IFERROR(_xlfn.XLOOKUP(C1197&amp;A1197, ESPN!A:A&amp;ESPN!C:C, ESPN!G:G), "N/A")</f>
        <v>N/A</v>
      </c>
      <c r="N1197" s="23" t="str" cm="1">
        <f t="array" ref="N1197">IFERROR(_xlfn.XLOOKUP(C1197&amp;A1197, ESPN!A:A&amp;ESPN!C:C, ESPN!H:H), "N/A")</f>
        <v>N/A</v>
      </c>
      <c r="O1197" s="26" t="str" cm="1">
        <f t="array" ref="O1197">IFERROR(_xlfn.XLOOKUP(C1197&amp;A1197, ESPN!A:A&amp;ESPN!C:C, ESPN!I:I), "N/A")</f>
        <v>N/A</v>
      </c>
      <c r="P1197" s="26" t="str" cm="1">
        <f t="array" ref="P1197">IFERROR(_xlfn.XLOOKUP(C1197&amp;A1197, ESPN!A:A&amp;ESPN!C:C, ESPN!J:J), "N/A")</f>
        <v>N/A</v>
      </c>
      <c r="Q1197" s="26" t="str" cm="1">
        <f t="array" ref="Q1197">IFERROR(_xlfn.XLOOKUP(C1197&amp;A1197, ESPN!A:A&amp;ESPN!C:C, ESPN!K:K), "N/A")</f>
        <v>N/A</v>
      </c>
    </row>
    <row r="1198" spans="1:17" x14ac:dyDescent="0.45">
      <c r="A1198" s="6">
        <v>2019</v>
      </c>
      <c r="B1198" s="1" t="s">
        <v>457</v>
      </c>
      <c r="C1198" s="2" t="str">
        <f t="shared" si="36"/>
        <v>Elijhaa Penny</v>
      </c>
      <c r="D1198" s="2" t="str">
        <f t="shared" si="37"/>
        <v>NYG</v>
      </c>
      <c r="E1198" s="2">
        <v>16</v>
      </c>
      <c r="F1198" s="12">
        <v>4</v>
      </c>
      <c r="G1198" s="11">
        <v>2</v>
      </c>
      <c r="H1198" s="11">
        <v>9</v>
      </c>
      <c r="I1198" s="11">
        <v>4.5</v>
      </c>
      <c r="J1198" s="11">
        <v>0</v>
      </c>
      <c r="K1198" s="11">
        <v>0</v>
      </c>
      <c r="L1198" s="11" t="str" cm="1">
        <f t="array" ref="L1198">IFERROR(_xlfn.XLOOKUP(C1198&amp;A1198, ESPN!A:A&amp;ESPN!C:C, ESPN!D:D), "N/A")</f>
        <v>N/A</v>
      </c>
      <c r="M1198" s="23" t="str" cm="1">
        <f t="array" ref="M1198">IFERROR(_xlfn.XLOOKUP(C1198&amp;A1198, ESPN!A:A&amp;ESPN!C:C, ESPN!G:G), "N/A")</f>
        <v>N/A</v>
      </c>
      <c r="N1198" s="23" t="str" cm="1">
        <f t="array" ref="N1198">IFERROR(_xlfn.XLOOKUP(C1198&amp;A1198, ESPN!A:A&amp;ESPN!C:C, ESPN!H:H), "N/A")</f>
        <v>N/A</v>
      </c>
      <c r="O1198" s="26" t="str" cm="1">
        <f t="array" ref="O1198">IFERROR(_xlfn.XLOOKUP(C1198&amp;A1198, ESPN!A:A&amp;ESPN!C:C, ESPN!I:I), "N/A")</f>
        <v>N/A</v>
      </c>
      <c r="P1198" s="26" t="str" cm="1">
        <f t="array" ref="P1198">IFERROR(_xlfn.XLOOKUP(C1198&amp;A1198, ESPN!A:A&amp;ESPN!C:C, ESPN!J:J), "N/A")</f>
        <v>N/A</v>
      </c>
      <c r="Q1198" s="26" t="str" cm="1">
        <f t="array" ref="Q1198">IFERROR(_xlfn.XLOOKUP(C1198&amp;A1198, ESPN!A:A&amp;ESPN!C:C, ESPN!K:K), "N/A")</f>
        <v>N/A</v>
      </c>
    </row>
    <row r="1199" spans="1:17" x14ac:dyDescent="0.45">
      <c r="A1199" s="7">
        <v>2019</v>
      </c>
      <c r="B1199" s="3" t="s">
        <v>647</v>
      </c>
      <c r="C1199" s="4" t="str">
        <f t="shared" si="36"/>
        <v>C.J. Anderson</v>
      </c>
      <c r="D1199" s="4" t="str">
        <f t="shared" si="37"/>
        <v>DET</v>
      </c>
      <c r="E1199" s="4">
        <v>2</v>
      </c>
      <c r="F1199" s="12">
        <v>0</v>
      </c>
      <c r="G1199" s="11">
        <v>0</v>
      </c>
      <c r="H1199" s="11">
        <v>0</v>
      </c>
      <c r="I1199" s="11">
        <v>0</v>
      </c>
      <c r="J1199" s="11">
        <v>0</v>
      </c>
      <c r="K1199" s="11">
        <v>0</v>
      </c>
      <c r="L1199" s="11" t="str" cm="1">
        <f t="array" ref="L1199">IFERROR(_xlfn.XLOOKUP(C1199&amp;A1199, ESPN!A:A&amp;ESPN!C:C, ESPN!D:D), "N/A")</f>
        <v>N/A</v>
      </c>
      <c r="M1199" s="23" t="str" cm="1">
        <f t="array" ref="M1199">IFERROR(_xlfn.XLOOKUP(C1199&amp;A1199, ESPN!A:A&amp;ESPN!C:C, ESPN!G:G), "N/A")</f>
        <v>N/A</v>
      </c>
      <c r="N1199" s="23" t="str" cm="1">
        <f t="array" ref="N1199">IFERROR(_xlfn.XLOOKUP(C1199&amp;A1199, ESPN!A:A&amp;ESPN!C:C, ESPN!H:H), "N/A")</f>
        <v>N/A</v>
      </c>
      <c r="O1199" s="26" t="str" cm="1">
        <f t="array" ref="O1199">IFERROR(_xlfn.XLOOKUP(C1199&amp;A1199, ESPN!A:A&amp;ESPN!C:C, ESPN!I:I), "N/A")</f>
        <v>N/A</v>
      </c>
      <c r="P1199" s="26" t="str" cm="1">
        <f t="array" ref="P1199">IFERROR(_xlfn.XLOOKUP(C1199&amp;A1199, ESPN!A:A&amp;ESPN!C:C, ESPN!J:J), "N/A")</f>
        <v>N/A</v>
      </c>
      <c r="Q1199" s="26" t="str" cm="1">
        <f t="array" ref="Q1199">IFERROR(_xlfn.XLOOKUP(C1199&amp;A1199, ESPN!A:A&amp;ESPN!C:C, ESPN!K:K), "N/A")</f>
        <v>N/A</v>
      </c>
    </row>
    <row r="1200" spans="1:17" x14ac:dyDescent="0.45">
      <c r="A1200" s="6">
        <v>2019</v>
      </c>
      <c r="B1200" s="1" t="s">
        <v>648</v>
      </c>
      <c r="C1200" s="2" t="str">
        <f t="shared" si="36"/>
        <v>Paul Perkins</v>
      </c>
      <c r="D1200" s="2" t="str">
        <f t="shared" si="37"/>
        <v>DET</v>
      </c>
      <c r="E1200" s="2">
        <v>4</v>
      </c>
      <c r="F1200" s="12">
        <v>1</v>
      </c>
      <c r="G1200" s="11">
        <v>1</v>
      </c>
      <c r="H1200" s="11">
        <v>9</v>
      </c>
      <c r="I1200" s="11">
        <v>9</v>
      </c>
      <c r="J1200" s="11">
        <v>0</v>
      </c>
      <c r="K1200" s="11">
        <v>0</v>
      </c>
      <c r="L1200" s="11" t="str" cm="1">
        <f t="array" ref="L1200">IFERROR(_xlfn.XLOOKUP(C1200&amp;A1200, ESPN!A:A&amp;ESPN!C:C, ESPN!D:D), "N/A")</f>
        <v>N/A</v>
      </c>
      <c r="M1200" s="23" t="str" cm="1">
        <f t="array" ref="M1200">IFERROR(_xlfn.XLOOKUP(C1200&amp;A1200, ESPN!A:A&amp;ESPN!C:C, ESPN!G:G), "N/A")</f>
        <v>N/A</v>
      </c>
      <c r="N1200" s="23" t="str" cm="1">
        <f t="array" ref="N1200">IFERROR(_xlfn.XLOOKUP(C1200&amp;A1200, ESPN!A:A&amp;ESPN!C:C, ESPN!H:H), "N/A")</f>
        <v>N/A</v>
      </c>
      <c r="O1200" s="26" t="str" cm="1">
        <f t="array" ref="O1200">IFERROR(_xlfn.XLOOKUP(C1200&amp;A1200, ESPN!A:A&amp;ESPN!C:C, ESPN!I:I), "N/A")</f>
        <v>N/A</v>
      </c>
      <c r="P1200" s="26" t="str" cm="1">
        <f t="array" ref="P1200">IFERROR(_xlfn.XLOOKUP(C1200&amp;A1200, ESPN!A:A&amp;ESPN!C:C, ESPN!J:J), "N/A")</f>
        <v>N/A</v>
      </c>
      <c r="Q1200" s="26" t="str" cm="1">
        <f t="array" ref="Q1200">IFERROR(_xlfn.XLOOKUP(C1200&amp;A1200, ESPN!A:A&amp;ESPN!C:C, ESPN!K:K), "N/A")</f>
        <v>N/A</v>
      </c>
    </row>
    <row r="1201" spans="1:17" x14ac:dyDescent="0.45">
      <c r="A1201" s="7">
        <v>2019</v>
      </c>
      <c r="B1201" s="3" t="s">
        <v>570</v>
      </c>
      <c r="C1201" s="4" t="str">
        <f t="shared" si="36"/>
        <v>Anthony Sherman</v>
      </c>
      <c r="D1201" s="4" t="str">
        <f t="shared" si="37"/>
        <v>KC</v>
      </c>
      <c r="E1201" s="4">
        <v>16</v>
      </c>
      <c r="F1201" s="12">
        <v>3</v>
      </c>
      <c r="G1201" s="11">
        <v>2</v>
      </c>
      <c r="H1201" s="11">
        <v>22</v>
      </c>
      <c r="I1201" s="11">
        <v>11</v>
      </c>
      <c r="J1201" s="11">
        <v>0</v>
      </c>
      <c r="K1201" s="11">
        <v>0</v>
      </c>
      <c r="L1201" s="11" t="str" cm="1">
        <f t="array" ref="L1201">IFERROR(_xlfn.XLOOKUP(C1201&amp;A1201, ESPN!A:A&amp;ESPN!C:C, ESPN!D:D), "N/A")</f>
        <v>N/A</v>
      </c>
      <c r="M1201" s="23" t="str" cm="1">
        <f t="array" ref="M1201">IFERROR(_xlfn.XLOOKUP(C1201&amp;A1201, ESPN!A:A&amp;ESPN!C:C, ESPN!G:G), "N/A")</f>
        <v>N/A</v>
      </c>
      <c r="N1201" s="23" t="str" cm="1">
        <f t="array" ref="N1201">IFERROR(_xlfn.XLOOKUP(C1201&amp;A1201, ESPN!A:A&amp;ESPN!C:C, ESPN!H:H), "N/A")</f>
        <v>N/A</v>
      </c>
      <c r="O1201" s="26" t="str" cm="1">
        <f t="array" ref="O1201">IFERROR(_xlfn.XLOOKUP(C1201&amp;A1201, ESPN!A:A&amp;ESPN!C:C, ESPN!I:I), "N/A")</f>
        <v>N/A</v>
      </c>
      <c r="P1201" s="26" t="str" cm="1">
        <f t="array" ref="P1201">IFERROR(_xlfn.XLOOKUP(C1201&amp;A1201, ESPN!A:A&amp;ESPN!C:C, ESPN!J:J), "N/A")</f>
        <v>N/A</v>
      </c>
      <c r="Q1201" s="26" t="str" cm="1">
        <f t="array" ref="Q1201">IFERROR(_xlfn.XLOOKUP(C1201&amp;A1201, ESPN!A:A&amp;ESPN!C:C, ESPN!K:K), "N/A")</f>
        <v>N/A</v>
      </c>
    </row>
    <row r="1202" spans="1:17" x14ac:dyDescent="0.45">
      <c r="A1202" s="6">
        <v>2019</v>
      </c>
      <c r="B1202" s="1" t="s">
        <v>649</v>
      </c>
      <c r="C1202" s="2" t="str">
        <f t="shared" si="36"/>
        <v>Jay Ajayi</v>
      </c>
      <c r="D1202" s="2" t="str">
        <f t="shared" si="37"/>
        <v>PHI</v>
      </c>
      <c r="E1202" s="2">
        <v>4</v>
      </c>
      <c r="F1202" s="12">
        <v>1</v>
      </c>
      <c r="G1202" s="11">
        <v>0</v>
      </c>
      <c r="H1202" s="11">
        <v>0</v>
      </c>
      <c r="I1202" s="11">
        <v>0</v>
      </c>
      <c r="J1202" s="11">
        <v>0</v>
      </c>
      <c r="K1202" s="11">
        <v>0</v>
      </c>
      <c r="L1202" s="11" t="str" cm="1">
        <f t="array" ref="L1202">IFERROR(_xlfn.XLOOKUP(C1202&amp;A1202, ESPN!A:A&amp;ESPN!C:C, ESPN!D:D), "N/A")</f>
        <v>N/A</v>
      </c>
      <c r="M1202" s="23" t="str" cm="1">
        <f t="array" ref="M1202">IFERROR(_xlfn.XLOOKUP(C1202&amp;A1202, ESPN!A:A&amp;ESPN!C:C, ESPN!G:G), "N/A")</f>
        <v>N/A</v>
      </c>
      <c r="N1202" s="23" t="str" cm="1">
        <f t="array" ref="N1202">IFERROR(_xlfn.XLOOKUP(C1202&amp;A1202, ESPN!A:A&amp;ESPN!C:C, ESPN!H:H), "N/A")</f>
        <v>N/A</v>
      </c>
      <c r="O1202" s="26" t="str" cm="1">
        <f t="array" ref="O1202">IFERROR(_xlfn.XLOOKUP(C1202&amp;A1202, ESPN!A:A&amp;ESPN!C:C, ESPN!I:I), "N/A")</f>
        <v>N/A</v>
      </c>
      <c r="P1202" s="26" t="str" cm="1">
        <f t="array" ref="P1202">IFERROR(_xlfn.XLOOKUP(C1202&amp;A1202, ESPN!A:A&amp;ESPN!C:C, ESPN!J:J), "N/A")</f>
        <v>N/A</v>
      </c>
      <c r="Q1202" s="26" t="str" cm="1">
        <f t="array" ref="Q1202">IFERROR(_xlfn.XLOOKUP(C1202&amp;A1202, ESPN!A:A&amp;ESPN!C:C, ESPN!K:K), "N/A")</f>
        <v>N/A</v>
      </c>
    </row>
    <row r="1203" spans="1:17" x14ac:dyDescent="0.45">
      <c r="A1203" s="7">
        <v>2019</v>
      </c>
      <c r="B1203" s="3" t="s">
        <v>650</v>
      </c>
      <c r="C1203" s="4" t="str">
        <f t="shared" si="36"/>
        <v>Dalyn Dawkins</v>
      </c>
      <c r="D1203" s="4" t="str">
        <f t="shared" si="37"/>
        <v>TEN</v>
      </c>
      <c r="E1203" s="4">
        <v>2</v>
      </c>
      <c r="F1203" s="12">
        <v>1</v>
      </c>
      <c r="G1203" s="11">
        <v>0</v>
      </c>
      <c r="H1203" s="11">
        <v>0</v>
      </c>
      <c r="I1203" s="11">
        <v>0</v>
      </c>
      <c r="J1203" s="11">
        <v>0</v>
      </c>
      <c r="K1203" s="11">
        <v>0</v>
      </c>
      <c r="L1203" s="11" t="str" cm="1">
        <f t="array" ref="L1203">IFERROR(_xlfn.XLOOKUP(C1203&amp;A1203, ESPN!A:A&amp;ESPN!C:C, ESPN!D:D), "N/A")</f>
        <v>N/A</v>
      </c>
      <c r="M1203" s="23" t="str" cm="1">
        <f t="array" ref="M1203">IFERROR(_xlfn.XLOOKUP(C1203&amp;A1203, ESPN!A:A&amp;ESPN!C:C, ESPN!G:G), "N/A")</f>
        <v>N/A</v>
      </c>
      <c r="N1203" s="23" t="str" cm="1">
        <f t="array" ref="N1203">IFERROR(_xlfn.XLOOKUP(C1203&amp;A1203, ESPN!A:A&amp;ESPN!C:C, ESPN!H:H), "N/A")</f>
        <v>N/A</v>
      </c>
      <c r="O1203" s="26" t="str" cm="1">
        <f t="array" ref="O1203">IFERROR(_xlfn.XLOOKUP(C1203&amp;A1203, ESPN!A:A&amp;ESPN!C:C, ESPN!I:I), "N/A")</f>
        <v>N/A</v>
      </c>
      <c r="P1203" s="26" t="str" cm="1">
        <f t="array" ref="P1203">IFERROR(_xlfn.XLOOKUP(C1203&amp;A1203, ESPN!A:A&amp;ESPN!C:C, ESPN!J:J), "N/A")</f>
        <v>N/A</v>
      </c>
      <c r="Q1203" s="26" t="str" cm="1">
        <f t="array" ref="Q1203">IFERROR(_xlfn.XLOOKUP(C1203&amp;A1203, ESPN!A:A&amp;ESPN!C:C, ESPN!K:K), "N/A")</f>
        <v>N/A</v>
      </c>
    </row>
    <row r="1204" spans="1:17" x14ac:dyDescent="0.45">
      <c r="A1204" s="6">
        <v>2019</v>
      </c>
      <c r="B1204" s="1" t="s">
        <v>651</v>
      </c>
      <c r="C1204" s="2" t="str">
        <f t="shared" si="36"/>
        <v>T.J. Logan</v>
      </c>
      <c r="D1204" s="2" t="str">
        <f t="shared" si="37"/>
        <v>TB</v>
      </c>
      <c r="E1204" s="2">
        <v>12</v>
      </c>
      <c r="F1204" s="12">
        <v>3</v>
      </c>
      <c r="G1204" s="11">
        <v>2</v>
      </c>
      <c r="H1204" s="11">
        <v>13</v>
      </c>
      <c r="I1204" s="11">
        <v>6.5</v>
      </c>
      <c r="J1204" s="11">
        <v>0</v>
      </c>
      <c r="K1204" s="11">
        <v>0</v>
      </c>
      <c r="L1204" s="11" t="str" cm="1">
        <f t="array" ref="L1204">IFERROR(_xlfn.XLOOKUP(C1204&amp;A1204, ESPN!A:A&amp;ESPN!C:C, ESPN!D:D), "N/A")</f>
        <v>N/A</v>
      </c>
      <c r="M1204" s="23" t="str" cm="1">
        <f t="array" ref="M1204">IFERROR(_xlfn.XLOOKUP(C1204&amp;A1204, ESPN!A:A&amp;ESPN!C:C, ESPN!G:G), "N/A")</f>
        <v>N/A</v>
      </c>
      <c r="N1204" s="23" t="str" cm="1">
        <f t="array" ref="N1204">IFERROR(_xlfn.XLOOKUP(C1204&amp;A1204, ESPN!A:A&amp;ESPN!C:C, ESPN!H:H), "N/A")</f>
        <v>N/A</v>
      </c>
      <c r="O1204" s="26" t="str" cm="1">
        <f t="array" ref="O1204">IFERROR(_xlfn.XLOOKUP(C1204&amp;A1204, ESPN!A:A&amp;ESPN!C:C, ESPN!I:I), "N/A")</f>
        <v>N/A</v>
      </c>
      <c r="P1204" s="26" t="str" cm="1">
        <f t="array" ref="P1204">IFERROR(_xlfn.XLOOKUP(C1204&amp;A1204, ESPN!A:A&amp;ESPN!C:C, ESPN!J:J), "N/A")</f>
        <v>N/A</v>
      </c>
      <c r="Q1204" s="26" t="str" cm="1">
        <f t="array" ref="Q1204">IFERROR(_xlfn.XLOOKUP(C1204&amp;A1204, ESPN!A:A&amp;ESPN!C:C, ESPN!K:K), "N/A")</f>
        <v>N/A</v>
      </c>
    </row>
    <row r="1205" spans="1:17" x14ac:dyDescent="0.45">
      <c r="A1205" s="7">
        <v>2019</v>
      </c>
      <c r="B1205" s="3" t="s">
        <v>303</v>
      </c>
      <c r="C1205" s="4" t="str">
        <f t="shared" si="36"/>
        <v>Keith Smith</v>
      </c>
      <c r="D1205" s="4" t="str">
        <f t="shared" si="37"/>
        <v>ATL</v>
      </c>
      <c r="E1205" s="4">
        <v>16</v>
      </c>
      <c r="F1205" s="12">
        <v>4</v>
      </c>
      <c r="G1205" s="11">
        <v>1</v>
      </c>
      <c r="H1205" s="11">
        <v>13</v>
      </c>
      <c r="I1205" s="11">
        <v>13</v>
      </c>
      <c r="J1205" s="11">
        <v>0</v>
      </c>
      <c r="K1205" s="11">
        <v>0</v>
      </c>
      <c r="L1205" s="11" t="str" cm="1">
        <f t="array" ref="L1205">IFERROR(_xlfn.XLOOKUP(C1205&amp;A1205, ESPN!A:A&amp;ESPN!C:C, ESPN!D:D), "N/A")</f>
        <v>N/A</v>
      </c>
      <c r="M1205" s="23" t="str" cm="1">
        <f t="array" ref="M1205">IFERROR(_xlfn.XLOOKUP(C1205&amp;A1205, ESPN!A:A&amp;ESPN!C:C, ESPN!G:G), "N/A")</f>
        <v>N/A</v>
      </c>
      <c r="N1205" s="23" t="str" cm="1">
        <f t="array" ref="N1205">IFERROR(_xlfn.XLOOKUP(C1205&amp;A1205, ESPN!A:A&amp;ESPN!C:C, ESPN!H:H), "N/A")</f>
        <v>N/A</v>
      </c>
      <c r="O1205" s="26" t="str" cm="1">
        <f t="array" ref="O1205">IFERROR(_xlfn.XLOOKUP(C1205&amp;A1205, ESPN!A:A&amp;ESPN!C:C, ESPN!I:I), "N/A")</f>
        <v>N/A</v>
      </c>
      <c r="P1205" s="26" t="str" cm="1">
        <f t="array" ref="P1205">IFERROR(_xlfn.XLOOKUP(C1205&amp;A1205, ESPN!A:A&amp;ESPN!C:C, ESPN!J:J), "N/A")</f>
        <v>N/A</v>
      </c>
      <c r="Q1205" s="26" t="str" cm="1">
        <f t="array" ref="Q1205">IFERROR(_xlfn.XLOOKUP(C1205&amp;A1205, ESPN!A:A&amp;ESPN!C:C, ESPN!K:K), "N/A")</f>
        <v>N/A</v>
      </c>
    </row>
    <row r="1206" spans="1:17" x14ac:dyDescent="0.45">
      <c r="A1206" s="6">
        <v>2019</v>
      </c>
      <c r="B1206" s="1" t="s">
        <v>563</v>
      </c>
      <c r="C1206" s="2" t="str">
        <f t="shared" si="36"/>
        <v>Tyler Ervin</v>
      </c>
      <c r="D1206" s="2" t="str">
        <f t="shared" si="37"/>
        <v>GB</v>
      </c>
      <c r="E1206" s="2">
        <v>10</v>
      </c>
      <c r="F1206" s="12">
        <v>4</v>
      </c>
      <c r="G1206" s="11">
        <v>2</v>
      </c>
      <c r="H1206" s="11">
        <v>11</v>
      </c>
      <c r="I1206" s="11">
        <v>5.5</v>
      </c>
      <c r="J1206" s="11">
        <v>0</v>
      </c>
      <c r="K1206" s="11">
        <v>0</v>
      </c>
      <c r="L1206" s="11" t="str" cm="1">
        <f t="array" ref="L1206">IFERROR(_xlfn.XLOOKUP(C1206&amp;A1206, ESPN!A:A&amp;ESPN!C:C, ESPN!D:D), "N/A")</f>
        <v>N/A</v>
      </c>
      <c r="M1206" s="23" t="str" cm="1">
        <f t="array" ref="M1206">IFERROR(_xlfn.XLOOKUP(C1206&amp;A1206, ESPN!A:A&amp;ESPN!C:C, ESPN!G:G), "N/A")</f>
        <v>N/A</v>
      </c>
      <c r="N1206" s="23" t="str" cm="1">
        <f t="array" ref="N1206">IFERROR(_xlfn.XLOOKUP(C1206&amp;A1206, ESPN!A:A&amp;ESPN!C:C, ESPN!H:H), "N/A")</f>
        <v>N/A</v>
      </c>
      <c r="O1206" s="26" t="str" cm="1">
        <f t="array" ref="O1206">IFERROR(_xlfn.XLOOKUP(C1206&amp;A1206, ESPN!A:A&amp;ESPN!C:C, ESPN!I:I), "N/A")</f>
        <v>N/A</v>
      </c>
      <c r="P1206" s="26" t="str" cm="1">
        <f t="array" ref="P1206">IFERROR(_xlfn.XLOOKUP(C1206&amp;A1206, ESPN!A:A&amp;ESPN!C:C, ESPN!J:J), "N/A")</f>
        <v>N/A</v>
      </c>
      <c r="Q1206" s="26" t="str" cm="1">
        <f t="array" ref="Q1206">IFERROR(_xlfn.XLOOKUP(C1206&amp;A1206, ESPN!A:A&amp;ESPN!C:C, ESPN!K:K), "N/A")</f>
        <v>N/A</v>
      </c>
    </row>
    <row r="1207" spans="1:17" x14ac:dyDescent="0.45">
      <c r="A1207" s="7">
        <v>2019</v>
      </c>
      <c r="B1207" s="3" t="s">
        <v>652</v>
      </c>
      <c r="C1207" s="4" t="str">
        <f t="shared" si="36"/>
        <v>Zach Zenner</v>
      </c>
      <c r="D1207" s="4" t="str">
        <f t="shared" si="37"/>
        <v>MIA</v>
      </c>
      <c r="E1207" s="4">
        <v>6</v>
      </c>
      <c r="F1207" s="12">
        <v>3</v>
      </c>
      <c r="G1207" s="11">
        <v>2</v>
      </c>
      <c r="H1207" s="11">
        <v>19</v>
      </c>
      <c r="I1207" s="11">
        <v>9.5</v>
      </c>
      <c r="J1207" s="11">
        <v>0</v>
      </c>
      <c r="K1207" s="11">
        <v>0</v>
      </c>
      <c r="L1207" s="11" t="str" cm="1">
        <f t="array" ref="L1207">IFERROR(_xlfn.XLOOKUP(C1207&amp;A1207, ESPN!A:A&amp;ESPN!C:C, ESPN!D:D), "N/A")</f>
        <v>N/A</v>
      </c>
      <c r="M1207" s="23" t="str" cm="1">
        <f t="array" ref="M1207">IFERROR(_xlfn.XLOOKUP(C1207&amp;A1207, ESPN!A:A&amp;ESPN!C:C, ESPN!G:G), "N/A")</f>
        <v>N/A</v>
      </c>
      <c r="N1207" s="23" t="str" cm="1">
        <f t="array" ref="N1207">IFERROR(_xlfn.XLOOKUP(C1207&amp;A1207, ESPN!A:A&amp;ESPN!C:C, ESPN!H:H), "N/A")</f>
        <v>N/A</v>
      </c>
      <c r="O1207" s="26" t="str" cm="1">
        <f t="array" ref="O1207">IFERROR(_xlfn.XLOOKUP(C1207&amp;A1207, ESPN!A:A&amp;ESPN!C:C, ESPN!I:I), "N/A")</f>
        <v>N/A</v>
      </c>
      <c r="P1207" s="26" t="str" cm="1">
        <f t="array" ref="P1207">IFERROR(_xlfn.XLOOKUP(C1207&amp;A1207, ESPN!A:A&amp;ESPN!C:C, ESPN!J:J), "N/A")</f>
        <v>N/A</v>
      </c>
      <c r="Q1207" s="26" t="str" cm="1">
        <f t="array" ref="Q1207">IFERROR(_xlfn.XLOOKUP(C1207&amp;A1207, ESPN!A:A&amp;ESPN!C:C, ESPN!K:K), "N/A")</f>
        <v>N/A</v>
      </c>
    </row>
    <row r="1208" spans="1:17" x14ac:dyDescent="0.45">
      <c r="A1208" s="6">
        <v>2019</v>
      </c>
      <c r="B1208" s="1" t="s">
        <v>653</v>
      </c>
      <c r="C1208" s="2" t="str">
        <f t="shared" si="36"/>
        <v>Nick Bawden</v>
      </c>
      <c r="D1208" s="2" t="str">
        <f t="shared" si="37"/>
        <v>DET</v>
      </c>
      <c r="E1208" s="2">
        <v>10</v>
      </c>
      <c r="F1208" s="12">
        <v>6</v>
      </c>
      <c r="G1208" s="11">
        <v>4</v>
      </c>
      <c r="H1208" s="11">
        <v>17</v>
      </c>
      <c r="I1208" s="11">
        <v>4.3</v>
      </c>
      <c r="J1208" s="11">
        <v>0</v>
      </c>
      <c r="K1208" s="11">
        <v>0</v>
      </c>
      <c r="L1208" s="11" t="str" cm="1">
        <f t="array" ref="L1208">IFERROR(_xlfn.XLOOKUP(C1208&amp;A1208, ESPN!A:A&amp;ESPN!C:C, ESPN!D:D), "N/A")</f>
        <v>N/A</v>
      </c>
      <c r="M1208" s="23" t="str" cm="1">
        <f t="array" ref="M1208">IFERROR(_xlfn.XLOOKUP(C1208&amp;A1208, ESPN!A:A&amp;ESPN!C:C, ESPN!G:G), "N/A")</f>
        <v>N/A</v>
      </c>
      <c r="N1208" s="23" t="str" cm="1">
        <f t="array" ref="N1208">IFERROR(_xlfn.XLOOKUP(C1208&amp;A1208, ESPN!A:A&amp;ESPN!C:C, ESPN!H:H), "N/A")</f>
        <v>N/A</v>
      </c>
      <c r="O1208" s="26" t="str" cm="1">
        <f t="array" ref="O1208">IFERROR(_xlfn.XLOOKUP(C1208&amp;A1208, ESPN!A:A&amp;ESPN!C:C, ESPN!I:I), "N/A")</f>
        <v>N/A</v>
      </c>
      <c r="P1208" s="26" t="str" cm="1">
        <f t="array" ref="P1208">IFERROR(_xlfn.XLOOKUP(C1208&amp;A1208, ESPN!A:A&amp;ESPN!C:C, ESPN!J:J), "N/A")</f>
        <v>N/A</v>
      </c>
      <c r="Q1208" s="26" t="str" cm="1">
        <f t="array" ref="Q1208">IFERROR(_xlfn.XLOOKUP(C1208&amp;A1208, ESPN!A:A&amp;ESPN!C:C, ESPN!K:K), "N/A")</f>
        <v>N/A</v>
      </c>
    </row>
    <row r="1209" spans="1:17" x14ac:dyDescent="0.45">
      <c r="A1209" s="7">
        <v>2019</v>
      </c>
      <c r="B1209" s="3" t="s">
        <v>654</v>
      </c>
      <c r="C1209" s="4" t="str">
        <f t="shared" si="36"/>
        <v>Samaje Perine</v>
      </c>
      <c r="D1209" s="4" t="str">
        <f t="shared" si="37"/>
        <v>MIA</v>
      </c>
      <c r="E1209" s="4">
        <v>7</v>
      </c>
      <c r="F1209" s="12">
        <v>0</v>
      </c>
      <c r="G1209" s="11">
        <v>0</v>
      </c>
      <c r="H1209" s="11">
        <v>0</v>
      </c>
      <c r="I1209" s="11">
        <v>0</v>
      </c>
      <c r="J1209" s="11">
        <v>0</v>
      </c>
      <c r="K1209" s="11">
        <v>0</v>
      </c>
      <c r="L1209" s="11" t="str" cm="1">
        <f t="array" ref="L1209">IFERROR(_xlfn.XLOOKUP(C1209&amp;A1209, ESPN!A:A&amp;ESPN!C:C, ESPN!D:D), "N/A")</f>
        <v>N/A</v>
      </c>
      <c r="M1209" s="23" t="str" cm="1">
        <f t="array" ref="M1209">IFERROR(_xlfn.XLOOKUP(C1209&amp;A1209, ESPN!A:A&amp;ESPN!C:C, ESPN!G:G), "N/A")</f>
        <v>N/A</v>
      </c>
      <c r="N1209" s="23" t="str" cm="1">
        <f t="array" ref="N1209">IFERROR(_xlfn.XLOOKUP(C1209&amp;A1209, ESPN!A:A&amp;ESPN!C:C, ESPN!H:H), "N/A")</f>
        <v>N/A</v>
      </c>
      <c r="O1209" s="26" t="str" cm="1">
        <f t="array" ref="O1209">IFERROR(_xlfn.XLOOKUP(C1209&amp;A1209, ESPN!A:A&amp;ESPN!C:C, ESPN!I:I), "N/A")</f>
        <v>N/A</v>
      </c>
      <c r="P1209" s="26" t="str" cm="1">
        <f t="array" ref="P1209">IFERROR(_xlfn.XLOOKUP(C1209&amp;A1209, ESPN!A:A&amp;ESPN!C:C, ESPN!J:J), "N/A")</f>
        <v>N/A</v>
      </c>
      <c r="Q1209" s="26" t="str" cm="1">
        <f t="array" ref="Q1209">IFERROR(_xlfn.XLOOKUP(C1209&amp;A1209, ESPN!A:A&amp;ESPN!C:C, ESPN!K:K), "N/A")</f>
        <v>N/A</v>
      </c>
    </row>
    <row r="1210" spans="1:17" x14ac:dyDescent="0.45">
      <c r="A1210" s="6">
        <v>2019</v>
      </c>
      <c r="B1210" s="1" t="s">
        <v>554</v>
      </c>
      <c r="C1210" s="2" t="str">
        <f t="shared" si="36"/>
        <v>Josh Adams</v>
      </c>
      <c r="D1210" s="2" t="str">
        <f t="shared" si="37"/>
        <v>NYJ</v>
      </c>
      <c r="E1210" s="2">
        <v>3</v>
      </c>
      <c r="F1210" s="12">
        <v>0</v>
      </c>
      <c r="G1210" s="11">
        <v>0</v>
      </c>
      <c r="H1210" s="11">
        <v>0</v>
      </c>
      <c r="I1210" s="11">
        <v>0</v>
      </c>
      <c r="J1210" s="11">
        <v>0</v>
      </c>
      <c r="K1210" s="11">
        <v>0</v>
      </c>
      <c r="L1210" s="11" t="str" cm="1">
        <f t="array" ref="L1210">IFERROR(_xlfn.XLOOKUP(C1210&amp;A1210, ESPN!A:A&amp;ESPN!C:C, ESPN!D:D), "N/A")</f>
        <v>N/A</v>
      </c>
      <c r="M1210" s="23" t="str" cm="1">
        <f t="array" ref="M1210">IFERROR(_xlfn.XLOOKUP(C1210&amp;A1210, ESPN!A:A&amp;ESPN!C:C, ESPN!G:G), "N/A")</f>
        <v>N/A</v>
      </c>
      <c r="N1210" s="23" t="str" cm="1">
        <f t="array" ref="N1210">IFERROR(_xlfn.XLOOKUP(C1210&amp;A1210, ESPN!A:A&amp;ESPN!C:C, ESPN!H:H), "N/A")</f>
        <v>N/A</v>
      </c>
      <c r="O1210" s="26" t="str" cm="1">
        <f t="array" ref="O1210">IFERROR(_xlfn.XLOOKUP(C1210&amp;A1210, ESPN!A:A&amp;ESPN!C:C, ESPN!I:I), "N/A")</f>
        <v>N/A</v>
      </c>
      <c r="P1210" s="26" t="str" cm="1">
        <f t="array" ref="P1210">IFERROR(_xlfn.XLOOKUP(C1210&amp;A1210, ESPN!A:A&amp;ESPN!C:C, ESPN!J:J), "N/A")</f>
        <v>N/A</v>
      </c>
      <c r="Q1210" s="26" t="str" cm="1">
        <f t="array" ref="Q1210">IFERROR(_xlfn.XLOOKUP(C1210&amp;A1210, ESPN!A:A&amp;ESPN!C:C, ESPN!K:K), "N/A")</f>
        <v>N/A</v>
      </c>
    </row>
    <row r="1211" spans="1:17" x14ac:dyDescent="0.45">
      <c r="A1211" s="7">
        <v>2019</v>
      </c>
      <c r="B1211" s="3" t="s">
        <v>354</v>
      </c>
      <c r="C1211" s="4" t="str">
        <f t="shared" si="36"/>
        <v>Damien Harris</v>
      </c>
      <c r="D1211" s="4" t="str">
        <f t="shared" si="37"/>
        <v>NE</v>
      </c>
      <c r="E1211" s="4">
        <v>2</v>
      </c>
      <c r="F1211" s="12">
        <v>0</v>
      </c>
      <c r="G1211" s="11">
        <v>0</v>
      </c>
      <c r="H1211" s="11">
        <v>0</v>
      </c>
      <c r="I1211" s="11">
        <v>0</v>
      </c>
      <c r="J1211" s="11">
        <v>0</v>
      </c>
      <c r="K1211" s="11">
        <v>0</v>
      </c>
      <c r="L1211" s="11" t="str" cm="1">
        <f t="array" ref="L1211">IFERROR(_xlfn.XLOOKUP(C1211&amp;A1211, ESPN!A:A&amp;ESPN!C:C, ESPN!D:D), "N/A")</f>
        <v>N/A</v>
      </c>
      <c r="M1211" s="23" t="str" cm="1">
        <f t="array" ref="M1211">IFERROR(_xlfn.XLOOKUP(C1211&amp;A1211, ESPN!A:A&amp;ESPN!C:C, ESPN!G:G), "N/A")</f>
        <v>N/A</v>
      </c>
      <c r="N1211" s="23" t="str" cm="1">
        <f t="array" ref="N1211">IFERROR(_xlfn.XLOOKUP(C1211&amp;A1211, ESPN!A:A&amp;ESPN!C:C, ESPN!H:H), "N/A")</f>
        <v>N/A</v>
      </c>
      <c r="O1211" s="26" t="str" cm="1">
        <f t="array" ref="O1211">IFERROR(_xlfn.XLOOKUP(C1211&amp;A1211, ESPN!A:A&amp;ESPN!C:C, ESPN!I:I), "N/A")</f>
        <v>N/A</v>
      </c>
      <c r="P1211" s="26" t="str" cm="1">
        <f t="array" ref="P1211">IFERROR(_xlfn.XLOOKUP(C1211&amp;A1211, ESPN!A:A&amp;ESPN!C:C, ESPN!J:J), "N/A")</f>
        <v>N/A</v>
      </c>
      <c r="Q1211" s="26" t="str" cm="1">
        <f t="array" ref="Q1211">IFERROR(_xlfn.XLOOKUP(C1211&amp;A1211, ESPN!A:A&amp;ESPN!C:C, ESPN!K:K), "N/A")</f>
        <v>N/A</v>
      </c>
    </row>
    <row r="1212" spans="1:17" x14ac:dyDescent="0.45">
      <c r="A1212" s="6">
        <v>2019</v>
      </c>
      <c r="B1212" s="1" t="s">
        <v>582</v>
      </c>
      <c r="C1212" s="2" t="str">
        <f t="shared" si="36"/>
        <v>Dexter Williams</v>
      </c>
      <c r="D1212" s="2" t="str">
        <f t="shared" si="37"/>
        <v>GB</v>
      </c>
      <c r="E1212" s="2">
        <v>4</v>
      </c>
      <c r="F1212" s="12">
        <v>0</v>
      </c>
      <c r="G1212" s="11">
        <v>0</v>
      </c>
      <c r="H1212" s="11">
        <v>0</v>
      </c>
      <c r="I1212" s="11">
        <v>0</v>
      </c>
      <c r="J1212" s="11">
        <v>0</v>
      </c>
      <c r="K1212" s="11">
        <v>0</v>
      </c>
      <c r="L1212" s="11" t="str" cm="1">
        <f t="array" ref="L1212">IFERROR(_xlfn.XLOOKUP(C1212&amp;A1212, ESPN!A:A&amp;ESPN!C:C, ESPN!D:D), "N/A")</f>
        <v>N/A</v>
      </c>
      <c r="M1212" s="23" t="str" cm="1">
        <f t="array" ref="M1212">IFERROR(_xlfn.XLOOKUP(C1212&amp;A1212, ESPN!A:A&amp;ESPN!C:C, ESPN!G:G), "N/A")</f>
        <v>N/A</v>
      </c>
      <c r="N1212" s="23" t="str" cm="1">
        <f t="array" ref="N1212">IFERROR(_xlfn.XLOOKUP(C1212&amp;A1212, ESPN!A:A&amp;ESPN!C:C, ESPN!H:H), "N/A")</f>
        <v>N/A</v>
      </c>
      <c r="O1212" s="26" t="str" cm="1">
        <f t="array" ref="O1212">IFERROR(_xlfn.XLOOKUP(C1212&amp;A1212, ESPN!A:A&amp;ESPN!C:C, ESPN!I:I), "N/A")</f>
        <v>N/A</v>
      </c>
      <c r="P1212" s="26" t="str" cm="1">
        <f t="array" ref="P1212">IFERROR(_xlfn.XLOOKUP(C1212&amp;A1212, ESPN!A:A&amp;ESPN!C:C, ESPN!J:J), "N/A")</f>
        <v>N/A</v>
      </c>
      <c r="Q1212" s="26" t="str" cm="1">
        <f t="array" ref="Q1212">IFERROR(_xlfn.XLOOKUP(C1212&amp;A1212, ESPN!A:A&amp;ESPN!C:C, ESPN!K:K), "N/A")</f>
        <v>N/A</v>
      </c>
    </row>
    <row r="1213" spans="1:17" x14ac:dyDescent="0.45">
      <c r="A1213" s="7">
        <v>2019</v>
      </c>
      <c r="B1213" s="3" t="s">
        <v>571</v>
      </c>
      <c r="C1213" s="4" t="str">
        <f t="shared" si="36"/>
        <v>Buddy Howell</v>
      </c>
      <c r="D1213" s="4" t="str">
        <f t="shared" si="37"/>
        <v>HOU</v>
      </c>
      <c r="E1213" s="4">
        <v>16</v>
      </c>
      <c r="F1213" s="12">
        <v>0</v>
      </c>
      <c r="G1213" s="11">
        <v>0</v>
      </c>
      <c r="H1213" s="11">
        <v>0</v>
      </c>
      <c r="I1213" s="11">
        <v>0</v>
      </c>
      <c r="J1213" s="11">
        <v>0</v>
      </c>
      <c r="K1213" s="11">
        <v>0</v>
      </c>
      <c r="L1213" s="11" t="str" cm="1">
        <f t="array" ref="L1213">IFERROR(_xlfn.XLOOKUP(C1213&amp;A1213, ESPN!A:A&amp;ESPN!C:C, ESPN!D:D), "N/A")</f>
        <v>N/A</v>
      </c>
      <c r="M1213" s="23" t="str" cm="1">
        <f t="array" ref="M1213">IFERROR(_xlfn.XLOOKUP(C1213&amp;A1213, ESPN!A:A&amp;ESPN!C:C, ESPN!G:G), "N/A")</f>
        <v>N/A</v>
      </c>
      <c r="N1213" s="23" t="str" cm="1">
        <f t="array" ref="N1213">IFERROR(_xlfn.XLOOKUP(C1213&amp;A1213, ESPN!A:A&amp;ESPN!C:C, ESPN!H:H), "N/A")</f>
        <v>N/A</v>
      </c>
      <c r="O1213" s="26" t="str" cm="1">
        <f t="array" ref="O1213">IFERROR(_xlfn.XLOOKUP(C1213&amp;A1213, ESPN!A:A&amp;ESPN!C:C, ESPN!I:I), "N/A")</f>
        <v>N/A</v>
      </c>
      <c r="P1213" s="26" t="str" cm="1">
        <f t="array" ref="P1213">IFERROR(_xlfn.XLOOKUP(C1213&amp;A1213, ESPN!A:A&amp;ESPN!C:C, ESPN!J:J), "N/A")</f>
        <v>N/A</v>
      </c>
      <c r="Q1213" s="26" t="str" cm="1">
        <f t="array" ref="Q1213">IFERROR(_xlfn.XLOOKUP(C1213&amp;A1213, ESPN!A:A&amp;ESPN!C:C, ESPN!K:K), "N/A")</f>
        <v>N/A</v>
      </c>
    </row>
    <row r="1214" spans="1:17" x14ac:dyDescent="0.45">
      <c r="A1214" s="6">
        <v>2019</v>
      </c>
      <c r="B1214" s="1" t="s">
        <v>655</v>
      </c>
      <c r="C1214" s="2" t="str">
        <f t="shared" si="36"/>
        <v>Josh Ferguson</v>
      </c>
      <c r="D1214" s="2" t="str">
        <f t="shared" si="37"/>
        <v>WAS</v>
      </c>
      <c r="E1214" s="2">
        <v>2</v>
      </c>
      <c r="F1214" s="12">
        <v>0</v>
      </c>
      <c r="G1214" s="11">
        <v>0</v>
      </c>
      <c r="H1214" s="11">
        <v>0</v>
      </c>
      <c r="I1214" s="11">
        <v>0</v>
      </c>
      <c r="J1214" s="11">
        <v>0</v>
      </c>
      <c r="K1214" s="11">
        <v>0</v>
      </c>
      <c r="L1214" s="11" t="str" cm="1">
        <f t="array" ref="L1214">IFERROR(_xlfn.XLOOKUP(C1214&amp;A1214, ESPN!A:A&amp;ESPN!C:C, ESPN!D:D), "N/A")</f>
        <v>N/A</v>
      </c>
      <c r="M1214" s="23" t="str" cm="1">
        <f t="array" ref="M1214">IFERROR(_xlfn.XLOOKUP(C1214&amp;A1214, ESPN!A:A&amp;ESPN!C:C, ESPN!G:G), "N/A")</f>
        <v>N/A</v>
      </c>
      <c r="N1214" s="23" t="str" cm="1">
        <f t="array" ref="N1214">IFERROR(_xlfn.XLOOKUP(C1214&amp;A1214, ESPN!A:A&amp;ESPN!C:C, ESPN!H:H), "N/A")</f>
        <v>N/A</v>
      </c>
      <c r="O1214" s="26" t="str" cm="1">
        <f t="array" ref="O1214">IFERROR(_xlfn.XLOOKUP(C1214&amp;A1214, ESPN!A:A&amp;ESPN!C:C, ESPN!I:I), "N/A")</f>
        <v>N/A</v>
      </c>
      <c r="P1214" s="26" t="str" cm="1">
        <f t="array" ref="P1214">IFERROR(_xlfn.XLOOKUP(C1214&amp;A1214, ESPN!A:A&amp;ESPN!C:C, ESPN!J:J), "N/A")</f>
        <v>N/A</v>
      </c>
      <c r="Q1214" s="26" t="str" cm="1">
        <f t="array" ref="Q1214">IFERROR(_xlfn.XLOOKUP(C1214&amp;A1214, ESPN!A:A&amp;ESPN!C:C, ESPN!K:K), "N/A")</f>
        <v>N/A</v>
      </c>
    </row>
    <row r="1215" spans="1:17" x14ac:dyDescent="0.45">
      <c r="A1215" s="7">
        <v>2019</v>
      </c>
      <c r="B1215" s="3" t="s">
        <v>656</v>
      </c>
      <c r="C1215" s="4" t="str">
        <f t="shared" si="36"/>
        <v>John Kelly Jr.</v>
      </c>
      <c r="D1215" s="4" t="str">
        <f t="shared" si="37"/>
        <v>LAR</v>
      </c>
      <c r="E1215" s="4">
        <v>5</v>
      </c>
      <c r="F1215" s="12">
        <v>0</v>
      </c>
      <c r="G1215" s="11">
        <v>0</v>
      </c>
      <c r="H1215" s="11">
        <v>0</v>
      </c>
      <c r="I1215" s="11">
        <v>0</v>
      </c>
      <c r="J1215" s="11">
        <v>0</v>
      </c>
      <c r="K1215" s="11">
        <v>0</v>
      </c>
      <c r="L1215" s="11" t="str" cm="1">
        <f t="array" ref="L1215">IFERROR(_xlfn.XLOOKUP(C1215&amp;A1215, ESPN!A:A&amp;ESPN!C:C, ESPN!D:D), "N/A")</f>
        <v>N/A</v>
      </c>
      <c r="M1215" s="23" t="str" cm="1">
        <f t="array" ref="M1215">IFERROR(_xlfn.XLOOKUP(C1215&amp;A1215, ESPN!A:A&amp;ESPN!C:C, ESPN!G:G), "N/A")</f>
        <v>N/A</v>
      </c>
      <c r="N1215" s="23" t="str" cm="1">
        <f t="array" ref="N1215">IFERROR(_xlfn.XLOOKUP(C1215&amp;A1215, ESPN!A:A&amp;ESPN!C:C, ESPN!H:H), "N/A")</f>
        <v>N/A</v>
      </c>
      <c r="O1215" s="26" t="str" cm="1">
        <f t="array" ref="O1215">IFERROR(_xlfn.XLOOKUP(C1215&amp;A1215, ESPN!A:A&amp;ESPN!C:C, ESPN!I:I), "N/A")</f>
        <v>N/A</v>
      </c>
      <c r="P1215" s="26" t="str" cm="1">
        <f t="array" ref="P1215">IFERROR(_xlfn.XLOOKUP(C1215&amp;A1215, ESPN!A:A&amp;ESPN!C:C, ESPN!J:J), "N/A")</f>
        <v>N/A</v>
      </c>
      <c r="Q1215" s="26" t="str" cm="1">
        <f t="array" ref="Q1215">IFERROR(_xlfn.XLOOKUP(C1215&amp;A1215, ESPN!A:A&amp;ESPN!C:C, ESPN!K:K), "N/A")</f>
        <v>N/A</v>
      </c>
    </row>
    <row r="1216" spans="1:17" x14ac:dyDescent="0.45">
      <c r="A1216" s="6">
        <v>2019</v>
      </c>
      <c r="B1216" s="1" t="s">
        <v>657</v>
      </c>
      <c r="C1216" s="2" t="str">
        <f t="shared" si="36"/>
        <v>Jordan Scarlett</v>
      </c>
      <c r="D1216" s="2" t="str">
        <f t="shared" si="37"/>
        <v>CAR</v>
      </c>
      <c r="E1216" s="2">
        <v>9</v>
      </c>
      <c r="F1216" s="12">
        <v>0</v>
      </c>
      <c r="G1216" s="11">
        <v>0</v>
      </c>
      <c r="H1216" s="11">
        <v>0</v>
      </c>
      <c r="I1216" s="11">
        <v>0</v>
      </c>
      <c r="J1216" s="11">
        <v>0</v>
      </c>
      <c r="K1216" s="11">
        <v>0</v>
      </c>
      <c r="L1216" s="11" t="str" cm="1">
        <f t="array" ref="L1216">IFERROR(_xlfn.XLOOKUP(C1216&amp;A1216, ESPN!A:A&amp;ESPN!C:C, ESPN!D:D), "N/A")</f>
        <v>N/A</v>
      </c>
      <c r="M1216" s="23" t="str" cm="1">
        <f t="array" ref="M1216">IFERROR(_xlfn.XLOOKUP(C1216&amp;A1216, ESPN!A:A&amp;ESPN!C:C, ESPN!G:G), "N/A")</f>
        <v>N/A</v>
      </c>
      <c r="N1216" s="23" t="str" cm="1">
        <f t="array" ref="N1216">IFERROR(_xlfn.XLOOKUP(C1216&amp;A1216, ESPN!A:A&amp;ESPN!C:C, ESPN!H:H), "N/A")</f>
        <v>N/A</v>
      </c>
      <c r="O1216" s="26" t="str" cm="1">
        <f t="array" ref="O1216">IFERROR(_xlfn.XLOOKUP(C1216&amp;A1216, ESPN!A:A&amp;ESPN!C:C, ESPN!I:I), "N/A")</f>
        <v>N/A</v>
      </c>
      <c r="P1216" s="26" t="str" cm="1">
        <f t="array" ref="P1216">IFERROR(_xlfn.XLOOKUP(C1216&amp;A1216, ESPN!A:A&amp;ESPN!C:C, ESPN!J:J), "N/A")</f>
        <v>N/A</v>
      </c>
      <c r="Q1216" s="26" t="str" cm="1">
        <f t="array" ref="Q1216">IFERROR(_xlfn.XLOOKUP(C1216&amp;A1216, ESPN!A:A&amp;ESPN!C:C, ESPN!K:K), "N/A")</f>
        <v>N/A</v>
      </c>
    </row>
    <row r="1217" spans="1:17" x14ac:dyDescent="0.45">
      <c r="A1217" s="7">
        <v>2019</v>
      </c>
      <c r="B1217" s="3" t="s">
        <v>658</v>
      </c>
      <c r="C1217" s="4" t="str">
        <f t="shared" si="36"/>
        <v>Ricky Ortiz</v>
      </c>
      <c r="D1217" s="4" t="str">
        <f t="shared" si="37"/>
        <v>NO</v>
      </c>
      <c r="E1217" s="4">
        <v>2</v>
      </c>
      <c r="F1217" s="12">
        <v>1</v>
      </c>
      <c r="G1217" s="11">
        <v>1</v>
      </c>
      <c r="H1217" s="11">
        <v>8</v>
      </c>
      <c r="I1217" s="11">
        <v>8</v>
      </c>
      <c r="J1217" s="11">
        <v>0</v>
      </c>
      <c r="K1217" s="11">
        <v>0</v>
      </c>
      <c r="L1217" s="11" t="str" cm="1">
        <f t="array" ref="L1217">IFERROR(_xlfn.XLOOKUP(C1217&amp;A1217, ESPN!A:A&amp;ESPN!C:C, ESPN!D:D), "N/A")</f>
        <v>N/A</v>
      </c>
      <c r="M1217" s="23" t="str" cm="1">
        <f t="array" ref="M1217">IFERROR(_xlfn.XLOOKUP(C1217&amp;A1217, ESPN!A:A&amp;ESPN!C:C, ESPN!G:G), "N/A")</f>
        <v>N/A</v>
      </c>
      <c r="N1217" s="23" t="str" cm="1">
        <f t="array" ref="N1217">IFERROR(_xlfn.XLOOKUP(C1217&amp;A1217, ESPN!A:A&amp;ESPN!C:C, ESPN!H:H), "N/A")</f>
        <v>N/A</v>
      </c>
      <c r="O1217" s="26" t="str" cm="1">
        <f t="array" ref="O1217">IFERROR(_xlfn.XLOOKUP(C1217&amp;A1217, ESPN!A:A&amp;ESPN!C:C, ESPN!I:I), "N/A")</f>
        <v>N/A</v>
      </c>
      <c r="P1217" s="26" t="str" cm="1">
        <f t="array" ref="P1217">IFERROR(_xlfn.XLOOKUP(C1217&amp;A1217, ESPN!A:A&amp;ESPN!C:C, ESPN!J:J), "N/A")</f>
        <v>N/A</v>
      </c>
      <c r="Q1217" s="26" t="str" cm="1">
        <f t="array" ref="Q1217">IFERROR(_xlfn.XLOOKUP(C1217&amp;A1217, ESPN!A:A&amp;ESPN!C:C, ESPN!K:K), "N/A")</f>
        <v>N/A</v>
      </c>
    </row>
    <row r="1218" spans="1:17" x14ac:dyDescent="0.45">
      <c r="A1218" s="6">
        <v>2019</v>
      </c>
      <c r="B1218" s="1" t="s">
        <v>498</v>
      </c>
      <c r="C1218" s="2" t="str">
        <f t="shared" ref="C1218:C1281" si="38">TRIM(LEFT(B1218, LEN(B1218) - LEN(TRIM(RIGHT(SUBSTITUTE(TRIM(B1218)," ",REPT(" ",100)),100)))))</f>
        <v>Ryan Nall</v>
      </c>
      <c r="D1218" s="2" t="str">
        <f t="shared" ref="D1218:D1281" si="39">MID(B1218, FIND("(", B1218) + 1, FIND(")", B1218) - FIND("(", B1218) - 1)</f>
        <v>CHI</v>
      </c>
      <c r="E1218" s="2">
        <v>8</v>
      </c>
      <c r="F1218" s="12">
        <v>0</v>
      </c>
      <c r="G1218" s="11">
        <v>0</v>
      </c>
      <c r="H1218" s="11">
        <v>0</v>
      </c>
      <c r="I1218" s="11">
        <v>0</v>
      </c>
      <c r="J1218" s="11">
        <v>0</v>
      </c>
      <c r="K1218" s="11">
        <v>0</v>
      </c>
      <c r="L1218" s="11" t="str" cm="1">
        <f t="array" ref="L1218">IFERROR(_xlfn.XLOOKUP(C1218&amp;A1218, ESPN!A:A&amp;ESPN!C:C, ESPN!D:D), "N/A")</f>
        <v>N/A</v>
      </c>
      <c r="M1218" s="23" t="str" cm="1">
        <f t="array" ref="M1218">IFERROR(_xlfn.XLOOKUP(C1218&amp;A1218, ESPN!A:A&amp;ESPN!C:C, ESPN!G:G), "N/A")</f>
        <v>N/A</v>
      </c>
      <c r="N1218" s="23" t="str" cm="1">
        <f t="array" ref="N1218">IFERROR(_xlfn.XLOOKUP(C1218&amp;A1218, ESPN!A:A&amp;ESPN!C:C, ESPN!H:H), "N/A")</f>
        <v>N/A</v>
      </c>
      <c r="O1218" s="26" t="str" cm="1">
        <f t="array" ref="O1218">IFERROR(_xlfn.XLOOKUP(C1218&amp;A1218, ESPN!A:A&amp;ESPN!C:C, ESPN!I:I), "N/A")</f>
        <v>N/A</v>
      </c>
      <c r="P1218" s="26" t="str" cm="1">
        <f t="array" ref="P1218">IFERROR(_xlfn.XLOOKUP(C1218&amp;A1218, ESPN!A:A&amp;ESPN!C:C, ESPN!J:J), "N/A")</f>
        <v>N/A</v>
      </c>
      <c r="Q1218" s="26" t="str" cm="1">
        <f t="array" ref="Q1218">IFERROR(_xlfn.XLOOKUP(C1218&amp;A1218, ESPN!A:A&amp;ESPN!C:C, ESPN!K:K), "N/A")</f>
        <v>N/A</v>
      </c>
    </row>
    <row r="1219" spans="1:17" x14ac:dyDescent="0.45">
      <c r="A1219" s="7">
        <v>2019</v>
      </c>
      <c r="B1219" s="3" t="s">
        <v>659</v>
      </c>
      <c r="C1219" s="4" t="str">
        <f t="shared" si="38"/>
        <v>Tony Brooks-James</v>
      </c>
      <c r="D1219" s="4" t="str">
        <f t="shared" si="39"/>
        <v>PIT</v>
      </c>
      <c r="E1219" s="4">
        <v>3</v>
      </c>
      <c r="F1219" s="12">
        <v>0</v>
      </c>
      <c r="G1219" s="11">
        <v>0</v>
      </c>
      <c r="H1219" s="11">
        <v>0</v>
      </c>
      <c r="I1219" s="11">
        <v>0</v>
      </c>
      <c r="J1219" s="11">
        <v>0</v>
      </c>
      <c r="K1219" s="11">
        <v>0</v>
      </c>
      <c r="L1219" s="11" t="str" cm="1">
        <f t="array" ref="L1219">IFERROR(_xlfn.XLOOKUP(C1219&amp;A1219, ESPN!A:A&amp;ESPN!C:C, ESPN!D:D), "N/A")</f>
        <v>N/A</v>
      </c>
      <c r="M1219" s="23" t="str" cm="1">
        <f t="array" ref="M1219">IFERROR(_xlfn.XLOOKUP(C1219&amp;A1219, ESPN!A:A&amp;ESPN!C:C, ESPN!G:G), "N/A")</f>
        <v>N/A</v>
      </c>
      <c r="N1219" s="23" t="str" cm="1">
        <f t="array" ref="N1219">IFERROR(_xlfn.XLOOKUP(C1219&amp;A1219, ESPN!A:A&amp;ESPN!C:C, ESPN!H:H), "N/A")</f>
        <v>N/A</v>
      </c>
      <c r="O1219" s="26" t="str" cm="1">
        <f t="array" ref="O1219">IFERROR(_xlfn.XLOOKUP(C1219&amp;A1219, ESPN!A:A&amp;ESPN!C:C, ESPN!I:I), "N/A")</f>
        <v>N/A</v>
      </c>
      <c r="P1219" s="26" t="str" cm="1">
        <f t="array" ref="P1219">IFERROR(_xlfn.XLOOKUP(C1219&amp;A1219, ESPN!A:A&amp;ESPN!C:C, ESPN!J:J), "N/A")</f>
        <v>N/A</v>
      </c>
      <c r="Q1219" s="26" t="str" cm="1">
        <f t="array" ref="Q1219">IFERROR(_xlfn.XLOOKUP(C1219&amp;A1219, ESPN!A:A&amp;ESPN!C:C, ESPN!K:K), "N/A")</f>
        <v>N/A</v>
      </c>
    </row>
    <row r="1220" spans="1:17" x14ac:dyDescent="0.45">
      <c r="A1220" s="6">
        <v>2019</v>
      </c>
      <c r="B1220" s="1" t="s">
        <v>660</v>
      </c>
      <c r="C1220" s="2" t="str">
        <f t="shared" si="38"/>
        <v>De'Lance Turner</v>
      </c>
      <c r="D1220" s="2" t="str">
        <f t="shared" si="39"/>
        <v>MIA</v>
      </c>
      <c r="E1220" s="2">
        <v>9</v>
      </c>
      <c r="F1220" s="12">
        <v>0</v>
      </c>
      <c r="G1220" s="11">
        <v>0</v>
      </c>
      <c r="H1220" s="11">
        <v>0</v>
      </c>
      <c r="I1220" s="11">
        <v>0</v>
      </c>
      <c r="J1220" s="11">
        <v>0</v>
      </c>
      <c r="K1220" s="11">
        <v>0</v>
      </c>
      <c r="L1220" s="11" t="str" cm="1">
        <f t="array" ref="L1220">IFERROR(_xlfn.XLOOKUP(C1220&amp;A1220, ESPN!A:A&amp;ESPN!C:C, ESPN!D:D), "N/A")</f>
        <v>N/A</v>
      </c>
      <c r="M1220" s="23" t="str" cm="1">
        <f t="array" ref="M1220">IFERROR(_xlfn.XLOOKUP(C1220&amp;A1220, ESPN!A:A&amp;ESPN!C:C, ESPN!G:G), "N/A")</f>
        <v>N/A</v>
      </c>
      <c r="N1220" s="23" t="str" cm="1">
        <f t="array" ref="N1220">IFERROR(_xlfn.XLOOKUP(C1220&amp;A1220, ESPN!A:A&amp;ESPN!C:C, ESPN!H:H), "N/A")</f>
        <v>N/A</v>
      </c>
      <c r="O1220" s="26" t="str" cm="1">
        <f t="array" ref="O1220">IFERROR(_xlfn.XLOOKUP(C1220&amp;A1220, ESPN!A:A&amp;ESPN!C:C, ESPN!I:I), "N/A")</f>
        <v>N/A</v>
      </c>
      <c r="P1220" s="26" t="str" cm="1">
        <f t="array" ref="P1220">IFERROR(_xlfn.XLOOKUP(C1220&amp;A1220, ESPN!A:A&amp;ESPN!C:C, ESPN!J:J), "N/A")</f>
        <v>N/A</v>
      </c>
      <c r="Q1220" s="26" t="str" cm="1">
        <f t="array" ref="Q1220">IFERROR(_xlfn.XLOOKUP(C1220&amp;A1220, ESPN!A:A&amp;ESPN!C:C, ESPN!K:K), "N/A")</f>
        <v>N/A</v>
      </c>
    </row>
    <row r="1221" spans="1:17" x14ac:dyDescent="0.45">
      <c r="A1221" s="7">
        <v>2019</v>
      </c>
      <c r="B1221" s="3" t="s">
        <v>484</v>
      </c>
      <c r="C1221" s="4" t="str">
        <f t="shared" si="38"/>
        <v>Jakob Johnson</v>
      </c>
      <c r="D1221" s="4" t="str">
        <f t="shared" si="39"/>
        <v>NE</v>
      </c>
      <c r="E1221" s="4">
        <v>4</v>
      </c>
      <c r="F1221" s="12">
        <v>2</v>
      </c>
      <c r="G1221" s="11">
        <v>1</v>
      </c>
      <c r="H1221" s="11">
        <v>5</v>
      </c>
      <c r="I1221" s="11">
        <v>5</v>
      </c>
      <c r="J1221" s="11">
        <v>0</v>
      </c>
      <c r="K1221" s="11">
        <v>0</v>
      </c>
      <c r="L1221" s="11" t="str" cm="1">
        <f t="array" ref="L1221">IFERROR(_xlfn.XLOOKUP(C1221&amp;A1221, ESPN!A:A&amp;ESPN!C:C, ESPN!D:D), "N/A")</f>
        <v>N/A</v>
      </c>
      <c r="M1221" s="23" t="str" cm="1">
        <f t="array" ref="M1221">IFERROR(_xlfn.XLOOKUP(C1221&amp;A1221, ESPN!A:A&amp;ESPN!C:C, ESPN!G:G), "N/A")</f>
        <v>N/A</v>
      </c>
      <c r="N1221" s="23" t="str" cm="1">
        <f t="array" ref="N1221">IFERROR(_xlfn.XLOOKUP(C1221&amp;A1221, ESPN!A:A&amp;ESPN!C:C, ESPN!H:H), "N/A")</f>
        <v>N/A</v>
      </c>
      <c r="O1221" s="26" t="str" cm="1">
        <f t="array" ref="O1221">IFERROR(_xlfn.XLOOKUP(C1221&amp;A1221, ESPN!A:A&amp;ESPN!C:C, ESPN!I:I), "N/A")</f>
        <v>N/A</v>
      </c>
      <c r="P1221" s="26" t="str" cm="1">
        <f t="array" ref="P1221">IFERROR(_xlfn.XLOOKUP(C1221&amp;A1221, ESPN!A:A&amp;ESPN!C:C, ESPN!J:J), "N/A")</f>
        <v>N/A</v>
      </c>
      <c r="Q1221" s="26" t="str" cm="1">
        <f t="array" ref="Q1221">IFERROR(_xlfn.XLOOKUP(C1221&amp;A1221, ESPN!A:A&amp;ESPN!C:C, ESPN!K:K), "N/A")</f>
        <v>N/A</v>
      </c>
    </row>
    <row r="1222" spans="1:17" x14ac:dyDescent="0.45">
      <c r="A1222" s="6">
        <v>2019</v>
      </c>
      <c r="B1222" s="1" t="s">
        <v>661</v>
      </c>
      <c r="C1222" s="2" t="str">
        <f t="shared" si="38"/>
        <v>Alfred Morris</v>
      </c>
      <c r="D1222" s="2" t="str">
        <f t="shared" si="39"/>
        <v>ARI</v>
      </c>
      <c r="E1222" s="2">
        <v>1</v>
      </c>
      <c r="F1222" s="12">
        <v>0</v>
      </c>
      <c r="G1222" s="11">
        <v>0</v>
      </c>
      <c r="H1222" s="11">
        <v>0</v>
      </c>
      <c r="I1222" s="11">
        <v>0</v>
      </c>
      <c r="J1222" s="11">
        <v>0</v>
      </c>
      <c r="K1222" s="11">
        <v>0</v>
      </c>
      <c r="L1222" s="11" t="str" cm="1">
        <f t="array" ref="L1222">IFERROR(_xlfn.XLOOKUP(C1222&amp;A1222, ESPN!A:A&amp;ESPN!C:C, ESPN!D:D), "N/A")</f>
        <v>N/A</v>
      </c>
      <c r="M1222" s="23" t="str" cm="1">
        <f t="array" ref="M1222">IFERROR(_xlfn.XLOOKUP(C1222&amp;A1222, ESPN!A:A&amp;ESPN!C:C, ESPN!G:G), "N/A")</f>
        <v>N/A</v>
      </c>
      <c r="N1222" s="23" t="str" cm="1">
        <f t="array" ref="N1222">IFERROR(_xlfn.XLOOKUP(C1222&amp;A1222, ESPN!A:A&amp;ESPN!C:C, ESPN!H:H), "N/A")</f>
        <v>N/A</v>
      </c>
      <c r="O1222" s="26" t="str" cm="1">
        <f t="array" ref="O1222">IFERROR(_xlfn.XLOOKUP(C1222&amp;A1222, ESPN!A:A&amp;ESPN!C:C, ESPN!I:I), "N/A")</f>
        <v>N/A</v>
      </c>
      <c r="P1222" s="26" t="str" cm="1">
        <f t="array" ref="P1222">IFERROR(_xlfn.XLOOKUP(C1222&amp;A1222, ESPN!A:A&amp;ESPN!C:C, ESPN!J:J), "N/A")</f>
        <v>N/A</v>
      </c>
      <c r="Q1222" s="26" t="str" cm="1">
        <f t="array" ref="Q1222">IFERROR(_xlfn.XLOOKUP(C1222&amp;A1222, ESPN!A:A&amp;ESPN!C:C, ESPN!K:K), "N/A")</f>
        <v>N/A</v>
      </c>
    </row>
    <row r="1223" spans="1:17" x14ac:dyDescent="0.45">
      <c r="A1223" s="7">
        <v>2019</v>
      </c>
      <c r="B1223" s="3" t="s">
        <v>662</v>
      </c>
      <c r="C1223" s="4" t="str">
        <f t="shared" si="38"/>
        <v>Senorise Perry</v>
      </c>
      <c r="D1223" s="4" t="str">
        <f t="shared" si="39"/>
        <v>BUF</v>
      </c>
      <c r="E1223" s="4">
        <v>11</v>
      </c>
      <c r="F1223" s="12">
        <v>1</v>
      </c>
      <c r="G1223" s="11">
        <v>1</v>
      </c>
      <c r="H1223" s="11">
        <v>1</v>
      </c>
      <c r="I1223" s="11">
        <v>1</v>
      </c>
      <c r="J1223" s="11">
        <v>0</v>
      </c>
      <c r="K1223" s="11">
        <v>0</v>
      </c>
      <c r="L1223" s="11" t="str" cm="1">
        <f t="array" ref="L1223">IFERROR(_xlfn.XLOOKUP(C1223&amp;A1223, ESPN!A:A&amp;ESPN!C:C, ESPN!D:D), "N/A")</f>
        <v>N/A</v>
      </c>
      <c r="M1223" s="23" t="str" cm="1">
        <f t="array" ref="M1223">IFERROR(_xlfn.XLOOKUP(C1223&amp;A1223, ESPN!A:A&amp;ESPN!C:C, ESPN!G:G), "N/A")</f>
        <v>N/A</v>
      </c>
      <c r="N1223" s="23" t="str" cm="1">
        <f t="array" ref="N1223">IFERROR(_xlfn.XLOOKUP(C1223&amp;A1223, ESPN!A:A&amp;ESPN!C:C, ESPN!H:H), "N/A")</f>
        <v>N/A</v>
      </c>
      <c r="O1223" s="26" t="str" cm="1">
        <f t="array" ref="O1223">IFERROR(_xlfn.XLOOKUP(C1223&amp;A1223, ESPN!A:A&amp;ESPN!C:C, ESPN!I:I), "N/A")</f>
        <v>N/A</v>
      </c>
      <c r="P1223" s="26" t="str" cm="1">
        <f t="array" ref="P1223">IFERROR(_xlfn.XLOOKUP(C1223&amp;A1223, ESPN!A:A&amp;ESPN!C:C, ESPN!J:J), "N/A")</f>
        <v>N/A</v>
      </c>
      <c r="Q1223" s="26" t="str" cm="1">
        <f t="array" ref="Q1223">IFERROR(_xlfn.XLOOKUP(C1223&amp;A1223, ESPN!A:A&amp;ESPN!C:C, ESPN!K:K), "N/A")</f>
        <v>N/A</v>
      </c>
    </row>
    <row r="1224" spans="1:17" x14ac:dyDescent="0.45">
      <c r="A1224" s="6">
        <v>2019</v>
      </c>
      <c r="B1224" s="1" t="s">
        <v>663</v>
      </c>
      <c r="C1224" s="2" t="str">
        <f t="shared" si="38"/>
        <v>Roosevelt Nix</v>
      </c>
      <c r="D1224" s="2" t="str">
        <f t="shared" si="39"/>
        <v>PIT</v>
      </c>
      <c r="E1224" s="2">
        <v>3</v>
      </c>
      <c r="F1224" s="12">
        <v>3</v>
      </c>
      <c r="G1224" s="11">
        <v>2</v>
      </c>
      <c r="H1224" s="11">
        <v>4</v>
      </c>
      <c r="I1224" s="11">
        <v>2</v>
      </c>
      <c r="J1224" s="11">
        <v>0</v>
      </c>
      <c r="K1224" s="11">
        <v>0</v>
      </c>
      <c r="L1224" s="11" t="str" cm="1">
        <f t="array" ref="L1224">IFERROR(_xlfn.XLOOKUP(C1224&amp;A1224, ESPN!A:A&amp;ESPN!C:C, ESPN!D:D), "N/A")</f>
        <v>N/A</v>
      </c>
      <c r="M1224" s="23" t="str" cm="1">
        <f t="array" ref="M1224">IFERROR(_xlfn.XLOOKUP(C1224&amp;A1224, ESPN!A:A&amp;ESPN!C:C, ESPN!G:G), "N/A")</f>
        <v>N/A</v>
      </c>
      <c r="N1224" s="23" t="str" cm="1">
        <f t="array" ref="N1224">IFERROR(_xlfn.XLOOKUP(C1224&amp;A1224, ESPN!A:A&amp;ESPN!C:C, ESPN!H:H), "N/A")</f>
        <v>N/A</v>
      </c>
      <c r="O1224" s="26" t="str" cm="1">
        <f t="array" ref="O1224">IFERROR(_xlfn.XLOOKUP(C1224&amp;A1224, ESPN!A:A&amp;ESPN!C:C, ESPN!I:I), "N/A")</f>
        <v>N/A</v>
      </c>
      <c r="P1224" s="26" t="str" cm="1">
        <f t="array" ref="P1224">IFERROR(_xlfn.XLOOKUP(C1224&amp;A1224, ESPN!A:A&amp;ESPN!C:C, ESPN!J:J), "N/A")</f>
        <v>N/A</v>
      </c>
      <c r="Q1224" s="26" t="str" cm="1">
        <f t="array" ref="Q1224">IFERROR(_xlfn.XLOOKUP(C1224&amp;A1224, ESPN!A:A&amp;ESPN!C:C, ESPN!K:K), "N/A")</f>
        <v>N/A</v>
      </c>
    </row>
    <row r="1225" spans="1:17" x14ac:dyDescent="0.45">
      <c r="A1225" s="7">
        <v>2019</v>
      </c>
      <c r="B1225" s="3" t="s">
        <v>664</v>
      </c>
      <c r="C1225" s="4" t="str">
        <f t="shared" si="38"/>
        <v>James Develin</v>
      </c>
      <c r="D1225" s="4" t="str">
        <f t="shared" si="39"/>
        <v>NE</v>
      </c>
      <c r="E1225" s="4">
        <v>2</v>
      </c>
      <c r="F1225" s="12">
        <v>0</v>
      </c>
      <c r="G1225" s="11">
        <v>0</v>
      </c>
      <c r="H1225" s="11">
        <v>0</v>
      </c>
      <c r="I1225" s="11">
        <v>0</v>
      </c>
      <c r="J1225" s="11">
        <v>0</v>
      </c>
      <c r="K1225" s="11">
        <v>0</v>
      </c>
      <c r="L1225" s="11" t="str" cm="1">
        <f t="array" ref="L1225">IFERROR(_xlfn.XLOOKUP(C1225&amp;A1225, ESPN!A:A&amp;ESPN!C:C, ESPN!D:D), "N/A")</f>
        <v>N/A</v>
      </c>
      <c r="M1225" s="23" t="str" cm="1">
        <f t="array" ref="M1225">IFERROR(_xlfn.XLOOKUP(C1225&amp;A1225, ESPN!A:A&amp;ESPN!C:C, ESPN!G:G), "N/A")</f>
        <v>N/A</v>
      </c>
      <c r="N1225" s="23" t="str" cm="1">
        <f t="array" ref="N1225">IFERROR(_xlfn.XLOOKUP(C1225&amp;A1225, ESPN!A:A&amp;ESPN!C:C, ESPN!H:H), "N/A")</f>
        <v>N/A</v>
      </c>
      <c r="O1225" s="26" t="str" cm="1">
        <f t="array" ref="O1225">IFERROR(_xlfn.XLOOKUP(C1225&amp;A1225, ESPN!A:A&amp;ESPN!C:C, ESPN!I:I), "N/A")</f>
        <v>N/A</v>
      </c>
      <c r="P1225" s="26" t="str" cm="1">
        <f t="array" ref="P1225">IFERROR(_xlfn.XLOOKUP(C1225&amp;A1225, ESPN!A:A&amp;ESPN!C:C, ESPN!J:J), "N/A")</f>
        <v>N/A</v>
      </c>
      <c r="Q1225" s="26" t="str" cm="1">
        <f t="array" ref="Q1225">IFERROR(_xlfn.XLOOKUP(C1225&amp;A1225, ESPN!A:A&amp;ESPN!C:C, ESPN!K:K), "N/A")</f>
        <v>N/A</v>
      </c>
    </row>
    <row r="1226" spans="1:17" x14ac:dyDescent="0.45">
      <c r="A1226" s="6">
        <v>2019</v>
      </c>
      <c r="B1226" s="1" t="s">
        <v>665</v>
      </c>
      <c r="C1226" s="2" t="str">
        <f t="shared" si="38"/>
        <v>Jamaal Charles</v>
      </c>
      <c r="D1226" s="2" t="str">
        <f t="shared" si="39"/>
        <v>JAC</v>
      </c>
      <c r="E1226" s="2">
        <v>1</v>
      </c>
      <c r="F1226" s="12">
        <v>0</v>
      </c>
      <c r="G1226" s="11">
        <v>0</v>
      </c>
      <c r="H1226" s="11">
        <v>0</v>
      </c>
      <c r="I1226" s="11">
        <v>0</v>
      </c>
      <c r="J1226" s="11">
        <v>0</v>
      </c>
      <c r="K1226" s="11">
        <v>0</v>
      </c>
      <c r="L1226" s="11" t="str" cm="1">
        <f t="array" ref="L1226">IFERROR(_xlfn.XLOOKUP(C1226&amp;A1226, ESPN!A:A&amp;ESPN!C:C, ESPN!D:D), "N/A")</f>
        <v>N/A</v>
      </c>
      <c r="M1226" s="23" t="str" cm="1">
        <f t="array" ref="M1226">IFERROR(_xlfn.XLOOKUP(C1226&amp;A1226, ESPN!A:A&amp;ESPN!C:C, ESPN!G:G), "N/A")</f>
        <v>N/A</v>
      </c>
      <c r="N1226" s="23" t="str" cm="1">
        <f t="array" ref="N1226">IFERROR(_xlfn.XLOOKUP(C1226&amp;A1226, ESPN!A:A&amp;ESPN!C:C, ESPN!H:H), "N/A")</f>
        <v>N/A</v>
      </c>
      <c r="O1226" s="26" t="str" cm="1">
        <f t="array" ref="O1226">IFERROR(_xlfn.XLOOKUP(C1226&amp;A1226, ESPN!A:A&amp;ESPN!C:C, ESPN!I:I), "N/A")</f>
        <v>N/A</v>
      </c>
      <c r="P1226" s="26" t="str" cm="1">
        <f t="array" ref="P1226">IFERROR(_xlfn.XLOOKUP(C1226&amp;A1226, ESPN!A:A&amp;ESPN!C:C, ESPN!J:J), "N/A")</f>
        <v>N/A</v>
      </c>
      <c r="Q1226" s="26" t="str" cm="1">
        <f t="array" ref="Q1226">IFERROR(_xlfn.XLOOKUP(C1226&amp;A1226, ESPN!A:A&amp;ESPN!C:C, ESPN!K:K), "N/A")</f>
        <v>N/A</v>
      </c>
    </row>
    <row r="1227" spans="1:17" x14ac:dyDescent="0.45">
      <c r="A1227" s="7">
        <v>2019</v>
      </c>
      <c r="B1227" s="3" t="s">
        <v>666</v>
      </c>
      <c r="C1227" s="4" t="str">
        <f t="shared" si="38"/>
        <v>Jonathan Stewart</v>
      </c>
      <c r="D1227" s="4" t="str">
        <f t="shared" si="39"/>
        <v>NYG</v>
      </c>
      <c r="E1227" s="4">
        <v>1</v>
      </c>
      <c r="F1227" s="12">
        <v>0</v>
      </c>
      <c r="G1227" s="11">
        <v>0</v>
      </c>
      <c r="H1227" s="11">
        <v>0</v>
      </c>
      <c r="I1227" s="11">
        <v>0</v>
      </c>
      <c r="J1227" s="11">
        <v>0</v>
      </c>
      <c r="K1227" s="11">
        <v>0</v>
      </c>
      <c r="L1227" s="11" t="str" cm="1">
        <f t="array" ref="L1227">IFERROR(_xlfn.XLOOKUP(C1227&amp;A1227, ESPN!A:A&amp;ESPN!C:C, ESPN!D:D), "N/A")</f>
        <v>N/A</v>
      </c>
      <c r="M1227" s="23" t="str" cm="1">
        <f t="array" ref="M1227">IFERROR(_xlfn.XLOOKUP(C1227&amp;A1227, ESPN!A:A&amp;ESPN!C:C, ESPN!G:G), "N/A")</f>
        <v>N/A</v>
      </c>
      <c r="N1227" s="23" t="str" cm="1">
        <f t="array" ref="N1227">IFERROR(_xlfn.XLOOKUP(C1227&amp;A1227, ESPN!A:A&amp;ESPN!C:C, ESPN!H:H), "N/A")</f>
        <v>N/A</v>
      </c>
      <c r="O1227" s="26" t="str" cm="1">
        <f t="array" ref="O1227">IFERROR(_xlfn.XLOOKUP(C1227&amp;A1227, ESPN!A:A&amp;ESPN!C:C, ESPN!I:I), "N/A")</f>
        <v>N/A</v>
      </c>
      <c r="P1227" s="26" t="str" cm="1">
        <f t="array" ref="P1227">IFERROR(_xlfn.XLOOKUP(C1227&amp;A1227, ESPN!A:A&amp;ESPN!C:C, ESPN!J:J), "N/A")</f>
        <v>N/A</v>
      </c>
      <c r="Q1227" s="26" t="str" cm="1">
        <f t="array" ref="Q1227">IFERROR(_xlfn.XLOOKUP(C1227&amp;A1227, ESPN!A:A&amp;ESPN!C:C, ESPN!K:K), "N/A")</f>
        <v>N/A</v>
      </c>
    </row>
    <row r="1228" spans="1:17" x14ac:dyDescent="0.45">
      <c r="A1228" s="6">
        <v>2019</v>
      </c>
      <c r="B1228" s="1" t="s">
        <v>667</v>
      </c>
      <c r="C1228" s="2" t="str">
        <f t="shared" si="38"/>
        <v>LeGarrette Blount</v>
      </c>
      <c r="D1228" s="2" t="str">
        <f t="shared" si="39"/>
        <v>DET</v>
      </c>
      <c r="E1228" s="2">
        <v>1</v>
      </c>
      <c r="F1228" s="12">
        <v>0</v>
      </c>
      <c r="G1228" s="11">
        <v>0</v>
      </c>
      <c r="H1228" s="11">
        <v>0</v>
      </c>
      <c r="I1228" s="11">
        <v>0</v>
      </c>
      <c r="J1228" s="11">
        <v>0</v>
      </c>
      <c r="K1228" s="11">
        <v>0</v>
      </c>
      <c r="L1228" s="11" t="str" cm="1">
        <f t="array" ref="L1228">IFERROR(_xlfn.XLOOKUP(C1228&amp;A1228, ESPN!A:A&amp;ESPN!C:C, ESPN!D:D), "N/A")</f>
        <v>N/A</v>
      </c>
      <c r="M1228" s="23" t="str" cm="1">
        <f t="array" ref="M1228">IFERROR(_xlfn.XLOOKUP(C1228&amp;A1228, ESPN!A:A&amp;ESPN!C:C, ESPN!G:G), "N/A")</f>
        <v>N/A</v>
      </c>
      <c r="N1228" s="23" t="str" cm="1">
        <f t="array" ref="N1228">IFERROR(_xlfn.XLOOKUP(C1228&amp;A1228, ESPN!A:A&amp;ESPN!C:C, ESPN!H:H), "N/A")</f>
        <v>N/A</v>
      </c>
      <c r="O1228" s="26" t="str" cm="1">
        <f t="array" ref="O1228">IFERROR(_xlfn.XLOOKUP(C1228&amp;A1228, ESPN!A:A&amp;ESPN!C:C, ESPN!I:I), "N/A")</f>
        <v>N/A</v>
      </c>
      <c r="P1228" s="26" t="str" cm="1">
        <f t="array" ref="P1228">IFERROR(_xlfn.XLOOKUP(C1228&amp;A1228, ESPN!A:A&amp;ESPN!C:C, ESPN!J:J), "N/A")</f>
        <v>N/A</v>
      </c>
      <c r="Q1228" s="26" t="str" cm="1">
        <f t="array" ref="Q1228">IFERROR(_xlfn.XLOOKUP(C1228&amp;A1228, ESPN!A:A&amp;ESPN!C:C, ESPN!K:K), "N/A")</f>
        <v>N/A</v>
      </c>
    </row>
    <row r="1229" spans="1:17" x14ac:dyDescent="0.45">
      <c r="A1229" s="7">
        <v>2019</v>
      </c>
      <c r="B1229" s="3" t="s">
        <v>668</v>
      </c>
      <c r="C1229" s="4" t="str">
        <f t="shared" si="38"/>
        <v>Chris Ivory</v>
      </c>
      <c r="D1229" s="4" t="str">
        <f t="shared" si="39"/>
        <v>BUF</v>
      </c>
      <c r="E1229" s="4">
        <v>1</v>
      </c>
      <c r="F1229" s="12">
        <v>0</v>
      </c>
      <c r="G1229" s="11">
        <v>0</v>
      </c>
      <c r="H1229" s="11">
        <v>0</v>
      </c>
      <c r="I1229" s="11">
        <v>0</v>
      </c>
      <c r="J1229" s="11">
        <v>0</v>
      </c>
      <c r="K1229" s="11">
        <v>0</v>
      </c>
      <c r="L1229" s="11" t="str" cm="1">
        <f t="array" ref="L1229">IFERROR(_xlfn.XLOOKUP(C1229&amp;A1229, ESPN!A:A&amp;ESPN!C:C, ESPN!D:D), "N/A")</f>
        <v>N/A</v>
      </c>
      <c r="M1229" s="23" t="str" cm="1">
        <f t="array" ref="M1229">IFERROR(_xlfn.XLOOKUP(C1229&amp;A1229, ESPN!A:A&amp;ESPN!C:C, ESPN!G:G), "N/A")</f>
        <v>N/A</v>
      </c>
      <c r="N1229" s="23" t="str" cm="1">
        <f t="array" ref="N1229">IFERROR(_xlfn.XLOOKUP(C1229&amp;A1229, ESPN!A:A&amp;ESPN!C:C, ESPN!H:H), "N/A")</f>
        <v>N/A</v>
      </c>
      <c r="O1229" s="26" t="str" cm="1">
        <f t="array" ref="O1229">IFERROR(_xlfn.XLOOKUP(C1229&amp;A1229, ESPN!A:A&amp;ESPN!C:C, ESPN!I:I), "N/A")</f>
        <v>N/A</v>
      </c>
      <c r="P1229" s="26" t="str" cm="1">
        <f t="array" ref="P1229">IFERROR(_xlfn.XLOOKUP(C1229&amp;A1229, ESPN!A:A&amp;ESPN!C:C, ESPN!J:J), "N/A")</f>
        <v>N/A</v>
      </c>
      <c r="Q1229" s="26" t="str" cm="1">
        <f t="array" ref="Q1229">IFERROR(_xlfn.XLOOKUP(C1229&amp;A1229, ESPN!A:A&amp;ESPN!C:C, ESPN!K:K), "N/A")</f>
        <v>N/A</v>
      </c>
    </row>
    <row r="1230" spans="1:17" x14ac:dyDescent="0.45">
      <c r="A1230" s="6">
        <v>2019</v>
      </c>
      <c r="B1230" s="1" t="s">
        <v>669</v>
      </c>
      <c r="C1230" s="2" t="str">
        <f t="shared" si="38"/>
        <v>Stevan Ridley</v>
      </c>
      <c r="D1230" s="2" t="str">
        <f t="shared" si="39"/>
        <v>PIT</v>
      </c>
      <c r="E1230" s="2">
        <v>1</v>
      </c>
      <c r="F1230" s="12">
        <v>0</v>
      </c>
      <c r="G1230" s="11">
        <v>0</v>
      </c>
      <c r="H1230" s="11">
        <v>0</v>
      </c>
      <c r="I1230" s="11">
        <v>0</v>
      </c>
      <c r="J1230" s="11">
        <v>0</v>
      </c>
      <c r="K1230" s="11">
        <v>0</v>
      </c>
      <c r="L1230" s="11" t="str" cm="1">
        <f t="array" ref="L1230">IFERROR(_xlfn.XLOOKUP(C1230&amp;A1230, ESPN!A:A&amp;ESPN!C:C, ESPN!D:D), "N/A")</f>
        <v>N/A</v>
      </c>
      <c r="M1230" s="23" t="str" cm="1">
        <f t="array" ref="M1230">IFERROR(_xlfn.XLOOKUP(C1230&amp;A1230, ESPN!A:A&amp;ESPN!C:C, ESPN!G:G), "N/A")</f>
        <v>N/A</v>
      </c>
      <c r="N1230" s="23" t="str" cm="1">
        <f t="array" ref="N1230">IFERROR(_xlfn.XLOOKUP(C1230&amp;A1230, ESPN!A:A&amp;ESPN!C:C, ESPN!H:H), "N/A")</f>
        <v>N/A</v>
      </c>
      <c r="O1230" s="26" t="str" cm="1">
        <f t="array" ref="O1230">IFERROR(_xlfn.XLOOKUP(C1230&amp;A1230, ESPN!A:A&amp;ESPN!C:C, ESPN!I:I), "N/A")</f>
        <v>N/A</v>
      </c>
      <c r="P1230" s="26" t="str" cm="1">
        <f t="array" ref="P1230">IFERROR(_xlfn.XLOOKUP(C1230&amp;A1230, ESPN!A:A&amp;ESPN!C:C, ESPN!J:J), "N/A")</f>
        <v>N/A</v>
      </c>
      <c r="Q1230" s="26" t="str" cm="1">
        <f t="array" ref="Q1230">IFERROR(_xlfn.XLOOKUP(C1230&amp;A1230, ESPN!A:A&amp;ESPN!C:C, ESPN!K:K), "N/A")</f>
        <v>N/A</v>
      </c>
    </row>
    <row r="1231" spans="1:17" x14ac:dyDescent="0.45">
      <c r="A1231" s="7">
        <v>2019</v>
      </c>
      <c r="B1231" s="3" t="s">
        <v>670</v>
      </c>
      <c r="C1231" s="4" t="str">
        <f t="shared" si="38"/>
        <v>DuJuan Harris</v>
      </c>
      <c r="D1231" s="4" t="str">
        <f t="shared" si="39"/>
        <v>CIN</v>
      </c>
      <c r="E1231" s="4">
        <v>1</v>
      </c>
      <c r="F1231" s="12">
        <v>0</v>
      </c>
      <c r="G1231" s="11">
        <v>0</v>
      </c>
      <c r="H1231" s="11">
        <v>0</v>
      </c>
      <c r="I1231" s="11">
        <v>0</v>
      </c>
      <c r="J1231" s="11">
        <v>0</v>
      </c>
      <c r="K1231" s="11">
        <v>0</v>
      </c>
      <c r="L1231" s="11" t="str" cm="1">
        <f t="array" ref="L1231">IFERROR(_xlfn.XLOOKUP(C1231&amp;A1231, ESPN!A:A&amp;ESPN!C:C, ESPN!D:D), "N/A")</f>
        <v>N/A</v>
      </c>
      <c r="M1231" s="23" t="str" cm="1">
        <f t="array" ref="M1231">IFERROR(_xlfn.XLOOKUP(C1231&amp;A1231, ESPN!A:A&amp;ESPN!C:C, ESPN!G:G), "N/A")</f>
        <v>N/A</v>
      </c>
      <c r="N1231" s="23" t="str" cm="1">
        <f t="array" ref="N1231">IFERROR(_xlfn.XLOOKUP(C1231&amp;A1231, ESPN!A:A&amp;ESPN!C:C, ESPN!H:H), "N/A")</f>
        <v>N/A</v>
      </c>
      <c r="O1231" s="26" t="str" cm="1">
        <f t="array" ref="O1231">IFERROR(_xlfn.XLOOKUP(C1231&amp;A1231, ESPN!A:A&amp;ESPN!C:C, ESPN!I:I), "N/A")</f>
        <v>N/A</v>
      </c>
      <c r="P1231" s="26" t="str" cm="1">
        <f t="array" ref="P1231">IFERROR(_xlfn.XLOOKUP(C1231&amp;A1231, ESPN!A:A&amp;ESPN!C:C, ESPN!J:J), "N/A")</f>
        <v>N/A</v>
      </c>
      <c r="Q1231" s="26" t="str" cm="1">
        <f t="array" ref="Q1231">IFERROR(_xlfn.XLOOKUP(C1231&amp;A1231, ESPN!A:A&amp;ESPN!C:C, ESPN!K:K), "N/A")</f>
        <v>N/A</v>
      </c>
    </row>
    <row r="1232" spans="1:17" x14ac:dyDescent="0.45">
      <c r="A1232" s="6">
        <v>2019</v>
      </c>
      <c r="B1232" s="1" t="s">
        <v>671</v>
      </c>
      <c r="C1232" s="2" t="str">
        <f t="shared" si="38"/>
        <v>Lamar Miller</v>
      </c>
      <c r="D1232" s="2" t="str">
        <f t="shared" si="39"/>
        <v>HOU</v>
      </c>
      <c r="E1232" s="2">
        <v>1</v>
      </c>
      <c r="F1232" s="12">
        <v>0</v>
      </c>
      <c r="G1232" s="11">
        <v>0</v>
      </c>
      <c r="H1232" s="11">
        <v>0</v>
      </c>
      <c r="I1232" s="11">
        <v>0</v>
      </c>
      <c r="J1232" s="11">
        <v>0</v>
      </c>
      <c r="K1232" s="11">
        <v>0</v>
      </c>
      <c r="L1232" s="11" t="str" cm="1">
        <f t="array" ref="L1232">IFERROR(_xlfn.XLOOKUP(C1232&amp;A1232, ESPN!A:A&amp;ESPN!C:C, ESPN!D:D), "N/A")</f>
        <v>N/A</v>
      </c>
      <c r="M1232" s="23" t="str" cm="1">
        <f t="array" ref="M1232">IFERROR(_xlfn.XLOOKUP(C1232&amp;A1232, ESPN!A:A&amp;ESPN!C:C, ESPN!G:G), "N/A")</f>
        <v>N/A</v>
      </c>
      <c r="N1232" s="23" t="str" cm="1">
        <f t="array" ref="N1232">IFERROR(_xlfn.XLOOKUP(C1232&amp;A1232, ESPN!A:A&amp;ESPN!C:C, ESPN!H:H), "N/A")</f>
        <v>N/A</v>
      </c>
      <c r="O1232" s="26" t="str" cm="1">
        <f t="array" ref="O1232">IFERROR(_xlfn.XLOOKUP(C1232&amp;A1232, ESPN!A:A&amp;ESPN!C:C, ESPN!I:I), "N/A")</f>
        <v>N/A</v>
      </c>
      <c r="P1232" s="26" t="str" cm="1">
        <f t="array" ref="P1232">IFERROR(_xlfn.XLOOKUP(C1232&amp;A1232, ESPN!A:A&amp;ESPN!C:C, ESPN!J:J), "N/A")</f>
        <v>N/A</v>
      </c>
      <c r="Q1232" s="26" t="str" cm="1">
        <f t="array" ref="Q1232">IFERROR(_xlfn.XLOOKUP(C1232&amp;A1232, ESPN!A:A&amp;ESPN!C:C, ESPN!K:K), "N/A")</f>
        <v>N/A</v>
      </c>
    </row>
    <row r="1233" spans="1:17" x14ac:dyDescent="0.45">
      <c r="A1233" s="7">
        <v>2019</v>
      </c>
      <c r="B1233" s="3" t="s">
        <v>672</v>
      </c>
      <c r="C1233" s="4" t="str">
        <f t="shared" si="38"/>
        <v>Robert Turbin</v>
      </c>
      <c r="D1233" s="4" t="str">
        <f t="shared" si="39"/>
        <v>SEA</v>
      </c>
      <c r="E1233" s="4">
        <v>2</v>
      </c>
      <c r="F1233" s="12">
        <v>0</v>
      </c>
      <c r="G1233" s="11">
        <v>0</v>
      </c>
      <c r="H1233" s="11">
        <v>0</v>
      </c>
      <c r="I1233" s="11">
        <v>0</v>
      </c>
      <c r="J1233" s="11">
        <v>0</v>
      </c>
      <c r="K1233" s="11">
        <v>0</v>
      </c>
      <c r="L1233" s="11" t="str" cm="1">
        <f t="array" ref="L1233">IFERROR(_xlfn.XLOOKUP(C1233&amp;A1233, ESPN!A:A&amp;ESPN!C:C, ESPN!D:D), "N/A")</f>
        <v>N/A</v>
      </c>
      <c r="M1233" s="23" t="str" cm="1">
        <f t="array" ref="M1233">IFERROR(_xlfn.XLOOKUP(C1233&amp;A1233, ESPN!A:A&amp;ESPN!C:C, ESPN!G:G), "N/A")</f>
        <v>N/A</v>
      </c>
      <c r="N1233" s="23" t="str" cm="1">
        <f t="array" ref="N1233">IFERROR(_xlfn.XLOOKUP(C1233&amp;A1233, ESPN!A:A&amp;ESPN!C:C, ESPN!H:H), "N/A")</f>
        <v>N/A</v>
      </c>
      <c r="O1233" s="26" t="str" cm="1">
        <f t="array" ref="O1233">IFERROR(_xlfn.XLOOKUP(C1233&amp;A1233, ESPN!A:A&amp;ESPN!C:C, ESPN!I:I), "N/A")</f>
        <v>N/A</v>
      </c>
      <c r="P1233" s="26" t="str" cm="1">
        <f t="array" ref="P1233">IFERROR(_xlfn.XLOOKUP(C1233&amp;A1233, ESPN!A:A&amp;ESPN!C:C, ESPN!J:J), "N/A")</f>
        <v>N/A</v>
      </c>
      <c r="Q1233" s="26" t="str" cm="1">
        <f t="array" ref="Q1233">IFERROR(_xlfn.XLOOKUP(C1233&amp;A1233, ESPN!A:A&amp;ESPN!C:C, ESPN!K:K), "N/A")</f>
        <v>N/A</v>
      </c>
    </row>
    <row r="1234" spans="1:17" x14ac:dyDescent="0.45">
      <c r="A1234" s="6">
        <v>2019</v>
      </c>
      <c r="B1234" s="1" t="s">
        <v>673</v>
      </c>
      <c r="C1234" s="2" t="str">
        <f t="shared" si="38"/>
        <v>Travaris Cadet</v>
      </c>
      <c r="D1234" s="2" t="str">
        <f t="shared" si="39"/>
        <v>CAR</v>
      </c>
      <c r="E1234" s="2">
        <v>1</v>
      </c>
      <c r="F1234" s="12">
        <v>0</v>
      </c>
      <c r="G1234" s="11">
        <v>0</v>
      </c>
      <c r="H1234" s="11">
        <v>0</v>
      </c>
      <c r="I1234" s="11">
        <v>0</v>
      </c>
      <c r="J1234" s="11">
        <v>0</v>
      </c>
      <c r="K1234" s="11">
        <v>0</v>
      </c>
      <c r="L1234" s="11" t="str" cm="1">
        <f t="array" ref="L1234">IFERROR(_xlfn.XLOOKUP(C1234&amp;A1234, ESPN!A:A&amp;ESPN!C:C, ESPN!D:D), "N/A")</f>
        <v>N/A</v>
      </c>
      <c r="M1234" s="23" t="str" cm="1">
        <f t="array" ref="M1234">IFERROR(_xlfn.XLOOKUP(C1234&amp;A1234, ESPN!A:A&amp;ESPN!C:C, ESPN!G:G), "N/A")</f>
        <v>N/A</v>
      </c>
      <c r="N1234" s="23" t="str" cm="1">
        <f t="array" ref="N1234">IFERROR(_xlfn.XLOOKUP(C1234&amp;A1234, ESPN!A:A&amp;ESPN!C:C, ESPN!H:H), "N/A")</f>
        <v>N/A</v>
      </c>
      <c r="O1234" s="26" t="str" cm="1">
        <f t="array" ref="O1234">IFERROR(_xlfn.XLOOKUP(C1234&amp;A1234, ESPN!A:A&amp;ESPN!C:C, ESPN!I:I), "N/A")</f>
        <v>N/A</v>
      </c>
      <c r="P1234" s="26" t="str" cm="1">
        <f t="array" ref="P1234">IFERROR(_xlfn.XLOOKUP(C1234&amp;A1234, ESPN!A:A&amp;ESPN!C:C, ESPN!J:J), "N/A")</f>
        <v>N/A</v>
      </c>
      <c r="Q1234" s="26" t="str" cm="1">
        <f t="array" ref="Q1234">IFERROR(_xlfn.XLOOKUP(C1234&amp;A1234, ESPN!A:A&amp;ESPN!C:C, ESPN!K:K), "N/A")</f>
        <v>N/A</v>
      </c>
    </row>
    <row r="1235" spans="1:17" x14ac:dyDescent="0.45">
      <c r="A1235" s="7">
        <v>2019</v>
      </c>
      <c r="B1235" s="3" t="s">
        <v>674</v>
      </c>
      <c r="C1235" s="4" t="str">
        <f t="shared" si="38"/>
        <v>Jamize Olawale</v>
      </c>
      <c r="D1235" s="4" t="str">
        <f t="shared" si="39"/>
        <v>DAL</v>
      </c>
      <c r="E1235" s="4">
        <v>16</v>
      </c>
      <c r="F1235" s="12">
        <v>2</v>
      </c>
      <c r="G1235" s="11">
        <v>0</v>
      </c>
      <c r="H1235" s="11">
        <v>0</v>
      </c>
      <c r="I1235" s="11">
        <v>0</v>
      </c>
      <c r="J1235" s="11">
        <v>0</v>
      </c>
      <c r="K1235" s="11">
        <v>0</v>
      </c>
      <c r="L1235" s="11" t="str" cm="1">
        <f t="array" ref="L1235">IFERROR(_xlfn.XLOOKUP(C1235&amp;A1235, ESPN!A:A&amp;ESPN!C:C, ESPN!D:D), "N/A")</f>
        <v>N/A</v>
      </c>
      <c r="M1235" s="23" t="str" cm="1">
        <f t="array" ref="M1235">IFERROR(_xlfn.XLOOKUP(C1235&amp;A1235, ESPN!A:A&amp;ESPN!C:C, ESPN!G:G), "N/A")</f>
        <v>N/A</v>
      </c>
      <c r="N1235" s="23" t="str" cm="1">
        <f t="array" ref="N1235">IFERROR(_xlfn.XLOOKUP(C1235&amp;A1235, ESPN!A:A&amp;ESPN!C:C, ESPN!H:H), "N/A")</f>
        <v>N/A</v>
      </c>
      <c r="O1235" s="26" t="str" cm="1">
        <f t="array" ref="O1235">IFERROR(_xlfn.XLOOKUP(C1235&amp;A1235, ESPN!A:A&amp;ESPN!C:C, ESPN!I:I), "N/A")</f>
        <v>N/A</v>
      </c>
      <c r="P1235" s="26" t="str" cm="1">
        <f t="array" ref="P1235">IFERROR(_xlfn.XLOOKUP(C1235&amp;A1235, ESPN!A:A&amp;ESPN!C:C, ESPN!J:J), "N/A")</f>
        <v>N/A</v>
      </c>
      <c r="Q1235" s="26" t="str" cm="1">
        <f t="array" ref="Q1235">IFERROR(_xlfn.XLOOKUP(C1235&amp;A1235, ESPN!A:A&amp;ESPN!C:C, ESPN!K:K), "N/A")</f>
        <v>N/A</v>
      </c>
    </row>
    <row r="1236" spans="1:17" x14ac:dyDescent="0.45">
      <c r="A1236" s="6">
        <v>2019</v>
      </c>
      <c r="B1236" s="1" t="s">
        <v>675</v>
      </c>
      <c r="C1236" s="2" t="str">
        <f t="shared" si="38"/>
        <v>Mike Gillislee</v>
      </c>
      <c r="D1236" s="2" t="str">
        <f t="shared" si="39"/>
        <v>NO</v>
      </c>
      <c r="E1236" s="2">
        <v>1</v>
      </c>
      <c r="F1236" s="12">
        <v>0</v>
      </c>
      <c r="G1236" s="11">
        <v>0</v>
      </c>
      <c r="H1236" s="11">
        <v>0</v>
      </c>
      <c r="I1236" s="11">
        <v>0</v>
      </c>
      <c r="J1236" s="11">
        <v>0</v>
      </c>
      <c r="K1236" s="11">
        <v>0</v>
      </c>
      <c r="L1236" s="11" t="str" cm="1">
        <f t="array" ref="L1236">IFERROR(_xlfn.XLOOKUP(C1236&amp;A1236, ESPN!A:A&amp;ESPN!C:C, ESPN!D:D), "N/A")</f>
        <v>N/A</v>
      </c>
      <c r="M1236" s="23" t="str" cm="1">
        <f t="array" ref="M1236">IFERROR(_xlfn.XLOOKUP(C1236&amp;A1236, ESPN!A:A&amp;ESPN!C:C, ESPN!G:G), "N/A")</f>
        <v>N/A</v>
      </c>
      <c r="N1236" s="23" t="str" cm="1">
        <f t="array" ref="N1236">IFERROR(_xlfn.XLOOKUP(C1236&amp;A1236, ESPN!A:A&amp;ESPN!C:C, ESPN!H:H), "N/A")</f>
        <v>N/A</v>
      </c>
      <c r="O1236" s="26" t="str" cm="1">
        <f t="array" ref="O1236">IFERROR(_xlfn.XLOOKUP(C1236&amp;A1236, ESPN!A:A&amp;ESPN!C:C, ESPN!I:I), "N/A")</f>
        <v>N/A</v>
      </c>
      <c r="P1236" s="26" t="str" cm="1">
        <f t="array" ref="P1236">IFERROR(_xlfn.XLOOKUP(C1236&amp;A1236, ESPN!A:A&amp;ESPN!C:C, ESPN!J:J), "N/A")</f>
        <v>N/A</v>
      </c>
      <c r="Q1236" s="26" t="str" cm="1">
        <f t="array" ref="Q1236">IFERROR(_xlfn.XLOOKUP(C1236&amp;A1236, ESPN!A:A&amp;ESPN!C:C, ESPN!K:K), "N/A")</f>
        <v>N/A</v>
      </c>
    </row>
    <row r="1237" spans="1:17" x14ac:dyDescent="0.45">
      <c r="A1237" s="7">
        <v>2019</v>
      </c>
      <c r="B1237" s="3" t="s">
        <v>676</v>
      </c>
      <c r="C1237" s="4" t="str">
        <f t="shared" si="38"/>
        <v>Christine Michael</v>
      </c>
      <c r="D1237" s="4" t="str">
        <f t="shared" si="39"/>
        <v>IND</v>
      </c>
      <c r="E1237" s="4">
        <v>1</v>
      </c>
      <c r="F1237" s="12">
        <v>0</v>
      </c>
      <c r="G1237" s="11">
        <v>0</v>
      </c>
      <c r="H1237" s="11">
        <v>0</v>
      </c>
      <c r="I1237" s="11">
        <v>0</v>
      </c>
      <c r="J1237" s="11">
        <v>0</v>
      </c>
      <c r="K1237" s="11">
        <v>0</v>
      </c>
      <c r="L1237" s="11" t="str" cm="1">
        <f t="array" ref="L1237">IFERROR(_xlfn.XLOOKUP(C1237&amp;A1237, ESPN!A:A&amp;ESPN!C:C, ESPN!D:D), "N/A")</f>
        <v>N/A</v>
      </c>
      <c r="M1237" s="23" t="str" cm="1">
        <f t="array" ref="M1237">IFERROR(_xlfn.XLOOKUP(C1237&amp;A1237, ESPN!A:A&amp;ESPN!C:C, ESPN!G:G), "N/A")</f>
        <v>N/A</v>
      </c>
      <c r="N1237" s="23" t="str" cm="1">
        <f t="array" ref="N1237">IFERROR(_xlfn.XLOOKUP(C1237&amp;A1237, ESPN!A:A&amp;ESPN!C:C, ESPN!H:H), "N/A")</f>
        <v>N/A</v>
      </c>
      <c r="O1237" s="26" t="str" cm="1">
        <f t="array" ref="O1237">IFERROR(_xlfn.XLOOKUP(C1237&amp;A1237, ESPN!A:A&amp;ESPN!C:C, ESPN!I:I), "N/A")</f>
        <v>N/A</v>
      </c>
      <c r="P1237" s="26" t="str" cm="1">
        <f t="array" ref="P1237">IFERROR(_xlfn.XLOOKUP(C1237&amp;A1237, ESPN!A:A&amp;ESPN!C:C, ESPN!J:J), "N/A")</f>
        <v>N/A</v>
      </c>
      <c r="Q1237" s="26" t="str" cm="1">
        <f t="array" ref="Q1237">IFERROR(_xlfn.XLOOKUP(C1237&amp;A1237, ESPN!A:A&amp;ESPN!C:C, ESPN!K:K), "N/A")</f>
        <v>N/A</v>
      </c>
    </row>
    <row r="1238" spans="1:17" x14ac:dyDescent="0.45">
      <c r="A1238" s="6">
        <v>2019</v>
      </c>
      <c r="B1238" s="1" t="s">
        <v>677</v>
      </c>
      <c r="C1238" s="2" t="str">
        <f t="shared" si="38"/>
        <v>Derrick Coleman</v>
      </c>
      <c r="D1238" s="2" t="str">
        <f t="shared" si="39"/>
        <v>ARI</v>
      </c>
      <c r="E1238" s="2">
        <v>1</v>
      </c>
      <c r="F1238" s="12">
        <v>0</v>
      </c>
      <c r="G1238" s="11">
        <v>0</v>
      </c>
      <c r="H1238" s="11">
        <v>0</v>
      </c>
      <c r="I1238" s="11">
        <v>0</v>
      </c>
      <c r="J1238" s="11">
        <v>0</v>
      </c>
      <c r="K1238" s="11">
        <v>0</v>
      </c>
      <c r="L1238" s="11" t="str" cm="1">
        <f t="array" ref="L1238">IFERROR(_xlfn.XLOOKUP(C1238&amp;A1238, ESPN!A:A&amp;ESPN!C:C, ESPN!D:D), "N/A")</f>
        <v>N/A</v>
      </c>
      <c r="M1238" s="23" t="str" cm="1">
        <f t="array" ref="M1238">IFERROR(_xlfn.XLOOKUP(C1238&amp;A1238, ESPN!A:A&amp;ESPN!C:C, ESPN!G:G), "N/A")</f>
        <v>N/A</v>
      </c>
      <c r="N1238" s="23" t="str" cm="1">
        <f t="array" ref="N1238">IFERROR(_xlfn.XLOOKUP(C1238&amp;A1238, ESPN!A:A&amp;ESPN!C:C, ESPN!H:H), "N/A")</f>
        <v>N/A</v>
      </c>
      <c r="O1238" s="26" t="str" cm="1">
        <f t="array" ref="O1238">IFERROR(_xlfn.XLOOKUP(C1238&amp;A1238, ESPN!A:A&amp;ESPN!C:C, ESPN!I:I), "N/A")</f>
        <v>N/A</v>
      </c>
      <c r="P1238" s="26" t="str" cm="1">
        <f t="array" ref="P1238">IFERROR(_xlfn.XLOOKUP(C1238&amp;A1238, ESPN!A:A&amp;ESPN!C:C, ESPN!J:J), "N/A")</f>
        <v>N/A</v>
      </c>
      <c r="Q1238" s="26" t="str" cm="1">
        <f t="array" ref="Q1238">IFERROR(_xlfn.XLOOKUP(C1238&amp;A1238, ESPN!A:A&amp;ESPN!C:C, ESPN!K:K), "N/A")</f>
        <v>N/A</v>
      </c>
    </row>
    <row r="1239" spans="1:17" x14ac:dyDescent="0.45">
      <c r="A1239" s="7">
        <v>2019</v>
      </c>
      <c r="B1239" s="3" t="s">
        <v>678</v>
      </c>
      <c r="C1239" s="4" t="str">
        <f t="shared" si="38"/>
        <v>Jeremy Hill</v>
      </c>
      <c r="D1239" s="4" t="str">
        <f t="shared" si="39"/>
        <v>NE</v>
      </c>
      <c r="E1239" s="4">
        <v>1</v>
      </c>
      <c r="F1239" s="12">
        <v>0</v>
      </c>
      <c r="G1239" s="11">
        <v>0</v>
      </c>
      <c r="H1239" s="11">
        <v>0</v>
      </c>
      <c r="I1239" s="11">
        <v>0</v>
      </c>
      <c r="J1239" s="11">
        <v>0</v>
      </c>
      <c r="K1239" s="11">
        <v>0</v>
      </c>
      <c r="L1239" s="11" t="str" cm="1">
        <f t="array" ref="L1239">IFERROR(_xlfn.XLOOKUP(C1239&amp;A1239, ESPN!A:A&amp;ESPN!C:C, ESPN!D:D), "N/A")</f>
        <v>N/A</v>
      </c>
      <c r="M1239" s="23" t="str" cm="1">
        <f t="array" ref="M1239">IFERROR(_xlfn.XLOOKUP(C1239&amp;A1239, ESPN!A:A&amp;ESPN!C:C, ESPN!G:G), "N/A")</f>
        <v>N/A</v>
      </c>
      <c r="N1239" s="23" t="str" cm="1">
        <f t="array" ref="N1239">IFERROR(_xlfn.XLOOKUP(C1239&amp;A1239, ESPN!A:A&amp;ESPN!C:C, ESPN!H:H), "N/A")</f>
        <v>N/A</v>
      </c>
      <c r="O1239" s="26" t="str" cm="1">
        <f t="array" ref="O1239">IFERROR(_xlfn.XLOOKUP(C1239&amp;A1239, ESPN!A:A&amp;ESPN!C:C, ESPN!I:I), "N/A")</f>
        <v>N/A</v>
      </c>
      <c r="P1239" s="26" t="str" cm="1">
        <f t="array" ref="P1239">IFERROR(_xlfn.XLOOKUP(C1239&amp;A1239, ESPN!A:A&amp;ESPN!C:C, ESPN!J:J), "N/A")</f>
        <v>N/A</v>
      </c>
      <c r="Q1239" s="26" t="str" cm="1">
        <f t="array" ref="Q1239">IFERROR(_xlfn.XLOOKUP(C1239&amp;A1239, ESPN!A:A&amp;ESPN!C:C, ESPN!K:K), "N/A")</f>
        <v>N/A</v>
      </c>
    </row>
    <row r="1240" spans="1:17" x14ac:dyDescent="0.45">
      <c r="A1240" s="6">
        <v>2019</v>
      </c>
      <c r="B1240" s="1" t="s">
        <v>679</v>
      </c>
      <c r="C1240" s="2" t="str">
        <f t="shared" si="38"/>
        <v>David Fluellen</v>
      </c>
      <c r="D1240" s="2" t="str">
        <f t="shared" si="39"/>
        <v>TEN</v>
      </c>
      <c r="E1240" s="2">
        <v>2</v>
      </c>
      <c r="F1240" s="12">
        <v>0</v>
      </c>
      <c r="G1240" s="11">
        <v>0</v>
      </c>
      <c r="H1240" s="11">
        <v>0</v>
      </c>
      <c r="I1240" s="11">
        <v>0</v>
      </c>
      <c r="J1240" s="11">
        <v>0</v>
      </c>
      <c r="K1240" s="11">
        <v>0</v>
      </c>
      <c r="L1240" s="11" t="str" cm="1">
        <f t="array" ref="L1240">IFERROR(_xlfn.XLOOKUP(C1240&amp;A1240, ESPN!A:A&amp;ESPN!C:C, ESPN!D:D), "N/A")</f>
        <v>N/A</v>
      </c>
      <c r="M1240" s="23" t="str" cm="1">
        <f t="array" ref="M1240">IFERROR(_xlfn.XLOOKUP(C1240&amp;A1240, ESPN!A:A&amp;ESPN!C:C, ESPN!G:G), "N/A")</f>
        <v>N/A</v>
      </c>
      <c r="N1240" s="23" t="str" cm="1">
        <f t="array" ref="N1240">IFERROR(_xlfn.XLOOKUP(C1240&amp;A1240, ESPN!A:A&amp;ESPN!C:C, ESPN!H:H), "N/A")</f>
        <v>N/A</v>
      </c>
      <c r="O1240" s="26" t="str" cm="1">
        <f t="array" ref="O1240">IFERROR(_xlfn.XLOOKUP(C1240&amp;A1240, ESPN!A:A&amp;ESPN!C:C, ESPN!I:I), "N/A")</f>
        <v>N/A</v>
      </c>
      <c r="P1240" s="26" t="str" cm="1">
        <f t="array" ref="P1240">IFERROR(_xlfn.XLOOKUP(C1240&amp;A1240, ESPN!A:A&amp;ESPN!C:C, ESPN!J:J), "N/A")</f>
        <v>N/A</v>
      </c>
      <c r="Q1240" s="26" t="str" cm="1">
        <f t="array" ref="Q1240">IFERROR(_xlfn.XLOOKUP(C1240&amp;A1240, ESPN!A:A&amp;ESPN!C:C, ESPN!K:K), "N/A")</f>
        <v>N/A</v>
      </c>
    </row>
    <row r="1241" spans="1:17" x14ac:dyDescent="0.45">
      <c r="A1241" s="7">
        <v>2019</v>
      </c>
      <c r="B1241" s="3" t="s">
        <v>680</v>
      </c>
      <c r="C1241" s="4" t="str">
        <f t="shared" si="38"/>
        <v>Cameron Artis-Payne</v>
      </c>
      <c r="D1241" s="4" t="str">
        <f t="shared" si="39"/>
        <v>CAR</v>
      </c>
      <c r="E1241" s="4">
        <v>1</v>
      </c>
      <c r="F1241" s="12">
        <v>0</v>
      </c>
      <c r="G1241" s="11">
        <v>0</v>
      </c>
      <c r="H1241" s="11">
        <v>0</v>
      </c>
      <c r="I1241" s="11">
        <v>0</v>
      </c>
      <c r="J1241" s="11">
        <v>0</v>
      </c>
      <c r="K1241" s="11">
        <v>0</v>
      </c>
      <c r="L1241" s="11" t="str" cm="1">
        <f t="array" ref="L1241">IFERROR(_xlfn.XLOOKUP(C1241&amp;A1241, ESPN!A:A&amp;ESPN!C:C, ESPN!D:D), "N/A")</f>
        <v>N/A</v>
      </c>
      <c r="M1241" s="23" t="str" cm="1">
        <f t="array" ref="M1241">IFERROR(_xlfn.XLOOKUP(C1241&amp;A1241, ESPN!A:A&amp;ESPN!C:C, ESPN!G:G), "N/A")</f>
        <v>N/A</v>
      </c>
      <c r="N1241" s="23" t="str" cm="1">
        <f t="array" ref="N1241">IFERROR(_xlfn.XLOOKUP(C1241&amp;A1241, ESPN!A:A&amp;ESPN!C:C, ESPN!H:H), "N/A")</f>
        <v>N/A</v>
      </c>
      <c r="O1241" s="26" t="str" cm="1">
        <f t="array" ref="O1241">IFERROR(_xlfn.XLOOKUP(C1241&amp;A1241, ESPN!A:A&amp;ESPN!C:C, ESPN!I:I), "N/A")</f>
        <v>N/A</v>
      </c>
      <c r="P1241" s="26" t="str" cm="1">
        <f t="array" ref="P1241">IFERROR(_xlfn.XLOOKUP(C1241&amp;A1241, ESPN!A:A&amp;ESPN!C:C, ESPN!J:J), "N/A")</f>
        <v>N/A</v>
      </c>
      <c r="Q1241" s="26" t="str" cm="1">
        <f t="array" ref="Q1241">IFERROR(_xlfn.XLOOKUP(C1241&amp;A1241, ESPN!A:A&amp;ESPN!C:C, ESPN!K:K), "N/A")</f>
        <v>N/A</v>
      </c>
    </row>
    <row r="1242" spans="1:17" x14ac:dyDescent="0.45">
      <c r="A1242" s="6">
        <v>2019</v>
      </c>
      <c r="B1242" s="1" t="s">
        <v>681</v>
      </c>
      <c r="C1242" s="2" t="str">
        <f t="shared" si="38"/>
        <v>Jeremy Langford</v>
      </c>
      <c r="D1242" s="2" t="str">
        <f t="shared" si="39"/>
        <v>ATL</v>
      </c>
      <c r="E1242" s="2">
        <v>1</v>
      </c>
      <c r="F1242" s="12">
        <v>0</v>
      </c>
      <c r="G1242" s="11">
        <v>0</v>
      </c>
      <c r="H1242" s="11">
        <v>0</v>
      </c>
      <c r="I1242" s="11">
        <v>0</v>
      </c>
      <c r="J1242" s="11">
        <v>0</v>
      </c>
      <c r="K1242" s="11">
        <v>0</v>
      </c>
      <c r="L1242" s="11" t="str" cm="1">
        <f t="array" ref="L1242">IFERROR(_xlfn.XLOOKUP(C1242&amp;A1242, ESPN!A:A&amp;ESPN!C:C, ESPN!D:D), "N/A")</f>
        <v>N/A</v>
      </c>
      <c r="M1242" s="23" t="str" cm="1">
        <f t="array" ref="M1242">IFERROR(_xlfn.XLOOKUP(C1242&amp;A1242, ESPN!A:A&amp;ESPN!C:C, ESPN!G:G), "N/A")</f>
        <v>N/A</v>
      </c>
      <c r="N1242" s="23" t="str" cm="1">
        <f t="array" ref="N1242">IFERROR(_xlfn.XLOOKUP(C1242&amp;A1242, ESPN!A:A&amp;ESPN!C:C, ESPN!H:H), "N/A")</f>
        <v>N/A</v>
      </c>
      <c r="O1242" s="26" t="str" cm="1">
        <f t="array" ref="O1242">IFERROR(_xlfn.XLOOKUP(C1242&amp;A1242, ESPN!A:A&amp;ESPN!C:C, ESPN!I:I), "N/A")</f>
        <v>N/A</v>
      </c>
      <c r="P1242" s="26" t="str" cm="1">
        <f t="array" ref="P1242">IFERROR(_xlfn.XLOOKUP(C1242&amp;A1242, ESPN!A:A&amp;ESPN!C:C, ESPN!J:J), "N/A")</f>
        <v>N/A</v>
      </c>
      <c r="Q1242" s="26" t="str" cm="1">
        <f t="array" ref="Q1242">IFERROR(_xlfn.XLOOKUP(C1242&amp;A1242, ESPN!A:A&amp;ESPN!C:C, ESPN!K:K), "N/A")</f>
        <v>N/A</v>
      </c>
    </row>
    <row r="1243" spans="1:17" x14ac:dyDescent="0.45">
      <c r="A1243" s="7">
        <v>2019</v>
      </c>
      <c r="B1243" s="3" t="s">
        <v>682</v>
      </c>
      <c r="C1243" s="4" t="str">
        <f t="shared" si="38"/>
        <v>Michael Burton</v>
      </c>
      <c r="D1243" s="4" t="str">
        <f t="shared" si="39"/>
        <v>WAS</v>
      </c>
      <c r="E1243" s="4">
        <v>11</v>
      </c>
      <c r="F1243" s="12">
        <v>1</v>
      </c>
      <c r="G1243" s="11">
        <v>0</v>
      </c>
      <c r="H1243" s="11">
        <v>0</v>
      </c>
      <c r="I1243" s="11">
        <v>0</v>
      </c>
      <c r="J1243" s="11">
        <v>0</v>
      </c>
      <c r="K1243" s="11">
        <v>0</v>
      </c>
      <c r="L1243" s="11" t="str" cm="1">
        <f t="array" ref="L1243">IFERROR(_xlfn.XLOOKUP(C1243&amp;A1243, ESPN!A:A&amp;ESPN!C:C, ESPN!D:D), "N/A")</f>
        <v>N/A</v>
      </c>
      <c r="M1243" s="23" t="str" cm="1">
        <f t="array" ref="M1243">IFERROR(_xlfn.XLOOKUP(C1243&amp;A1243, ESPN!A:A&amp;ESPN!C:C, ESPN!G:G), "N/A")</f>
        <v>N/A</v>
      </c>
      <c r="N1243" s="23" t="str" cm="1">
        <f t="array" ref="N1243">IFERROR(_xlfn.XLOOKUP(C1243&amp;A1243, ESPN!A:A&amp;ESPN!C:C, ESPN!H:H), "N/A")</f>
        <v>N/A</v>
      </c>
      <c r="O1243" s="26" t="str" cm="1">
        <f t="array" ref="O1243">IFERROR(_xlfn.XLOOKUP(C1243&amp;A1243, ESPN!A:A&amp;ESPN!C:C, ESPN!I:I), "N/A")</f>
        <v>N/A</v>
      </c>
      <c r="P1243" s="26" t="str" cm="1">
        <f t="array" ref="P1243">IFERROR(_xlfn.XLOOKUP(C1243&amp;A1243, ESPN!A:A&amp;ESPN!C:C, ESPN!J:J), "N/A")</f>
        <v>N/A</v>
      </c>
      <c r="Q1243" s="26" t="str" cm="1">
        <f t="array" ref="Q1243">IFERROR(_xlfn.XLOOKUP(C1243&amp;A1243, ESPN!A:A&amp;ESPN!C:C, ESPN!K:K), "N/A")</f>
        <v>N/A</v>
      </c>
    </row>
    <row r="1244" spans="1:17" x14ac:dyDescent="0.45">
      <c r="A1244" s="6">
        <v>2019</v>
      </c>
      <c r="B1244" s="1" t="s">
        <v>683</v>
      </c>
      <c r="C1244" s="2" t="str">
        <f t="shared" si="38"/>
        <v>Rod Smith</v>
      </c>
      <c r="D1244" s="2" t="str">
        <f t="shared" si="39"/>
        <v>OAK</v>
      </c>
      <c r="E1244" s="2">
        <v>7</v>
      </c>
      <c r="F1244" s="12">
        <v>0</v>
      </c>
      <c r="G1244" s="11">
        <v>0</v>
      </c>
      <c r="H1244" s="11">
        <v>0</v>
      </c>
      <c r="I1244" s="11">
        <v>0</v>
      </c>
      <c r="J1244" s="11">
        <v>0</v>
      </c>
      <c r="K1244" s="11">
        <v>0</v>
      </c>
      <c r="L1244" s="11" t="str" cm="1">
        <f t="array" ref="L1244">IFERROR(_xlfn.XLOOKUP(C1244&amp;A1244, ESPN!A:A&amp;ESPN!C:C, ESPN!D:D), "N/A")</f>
        <v>N/A</v>
      </c>
      <c r="M1244" s="23" t="str" cm="1">
        <f t="array" ref="M1244">IFERROR(_xlfn.XLOOKUP(C1244&amp;A1244, ESPN!A:A&amp;ESPN!C:C, ESPN!G:G), "N/A")</f>
        <v>N/A</v>
      </c>
      <c r="N1244" s="23" t="str" cm="1">
        <f t="array" ref="N1244">IFERROR(_xlfn.XLOOKUP(C1244&amp;A1244, ESPN!A:A&amp;ESPN!C:C, ESPN!H:H), "N/A")</f>
        <v>N/A</v>
      </c>
      <c r="O1244" s="26" t="str" cm="1">
        <f t="array" ref="O1244">IFERROR(_xlfn.XLOOKUP(C1244&amp;A1244, ESPN!A:A&amp;ESPN!C:C, ESPN!I:I), "N/A")</f>
        <v>N/A</v>
      </c>
      <c r="P1244" s="26" t="str" cm="1">
        <f t="array" ref="P1244">IFERROR(_xlfn.XLOOKUP(C1244&amp;A1244, ESPN!A:A&amp;ESPN!C:C, ESPN!J:J), "N/A")</f>
        <v>N/A</v>
      </c>
      <c r="Q1244" s="26" t="str" cm="1">
        <f t="array" ref="Q1244">IFERROR(_xlfn.XLOOKUP(C1244&amp;A1244, ESPN!A:A&amp;ESPN!C:C, ESPN!K:K), "N/A")</f>
        <v>N/A</v>
      </c>
    </row>
    <row r="1245" spans="1:17" x14ac:dyDescent="0.45">
      <c r="A1245" s="7">
        <v>2019</v>
      </c>
      <c r="B1245" s="3" t="s">
        <v>684</v>
      </c>
      <c r="C1245" s="4" t="str">
        <f t="shared" si="38"/>
        <v>Alex Collins</v>
      </c>
      <c r="D1245" s="4" t="str">
        <f t="shared" si="39"/>
        <v>BAL</v>
      </c>
      <c r="E1245" s="4">
        <v>1</v>
      </c>
      <c r="F1245" s="12">
        <v>0</v>
      </c>
      <c r="G1245" s="11">
        <v>0</v>
      </c>
      <c r="H1245" s="11">
        <v>0</v>
      </c>
      <c r="I1245" s="11">
        <v>0</v>
      </c>
      <c r="J1245" s="11">
        <v>0</v>
      </c>
      <c r="K1245" s="11">
        <v>0</v>
      </c>
      <c r="L1245" s="11" t="str" cm="1">
        <f t="array" ref="L1245">IFERROR(_xlfn.XLOOKUP(C1245&amp;A1245, ESPN!A:A&amp;ESPN!C:C, ESPN!D:D), "N/A")</f>
        <v>N/A</v>
      </c>
      <c r="M1245" s="23" t="str" cm="1">
        <f t="array" ref="M1245">IFERROR(_xlfn.XLOOKUP(C1245&amp;A1245, ESPN!A:A&amp;ESPN!C:C, ESPN!G:G), "N/A")</f>
        <v>N/A</v>
      </c>
      <c r="N1245" s="23" t="str" cm="1">
        <f t="array" ref="N1245">IFERROR(_xlfn.XLOOKUP(C1245&amp;A1245, ESPN!A:A&amp;ESPN!C:C, ESPN!H:H), "N/A")</f>
        <v>N/A</v>
      </c>
      <c r="O1245" s="26" t="str" cm="1">
        <f t="array" ref="O1245">IFERROR(_xlfn.XLOOKUP(C1245&amp;A1245, ESPN!A:A&amp;ESPN!C:C, ESPN!I:I), "N/A")</f>
        <v>N/A</v>
      </c>
      <c r="P1245" s="26" t="str" cm="1">
        <f t="array" ref="P1245">IFERROR(_xlfn.XLOOKUP(C1245&amp;A1245, ESPN!A:A&amp;ESPN!C:C, ESPN!J:J), "N/A")</f>
        <v>N/A</v>
      </c>
      <c r="Q1245" s="26" t="str" cm="1">
        <f t="array" ref="Q1245">IFERROR(_xlfn.XLOOKUP(C1245&amp;A1245, ESPN!A:A&amp;ESPN!C:C, ESPN!K:K), "N/A")</f>
        <v>N/A</v>
      </c>
    </row>
    <row r="1246" spans="1:17" x14ac:dyDescent="0.45">
      <c r="A1246" s="6">
        <v>2019</v>
      </c>
      <c r="B1246" s="1" t="s">
        <v>685</v>
      </c>
      <c r="C1246" s="2" t="str">
        <f t="shared" si="38"/>
        <v>Kenneth Dixon</v>
      </c>
      <c r="D1246" s="2" t="str">
        <f t="shared" si="39"/>
        <v>BAL</v>
      </c>
      <c r="E1246" s="2">
        <v>1</v>
      </c>
      <c r="F1246" s="12">
        <v>0</v>
      </c>
      <c r="G1246" s="11">
        <v>0</v>
      </c>
      <c r="H1246" s="11">
        <v>0</v>
      </c>
      <c r="I1246" s="11">
        <v>0</v>
      </c>
      <c r="J1246" s="11">
        <v>0</v>
      </c>
      <c r="K1246" s="11">
        <v>0</v>
      </c>
      <c r="L1246" s="11" t="str" cm="1">
        <f t="array" ref="L1246">IFERROR(_xlfn.XLOOKUP(C1246&amp;A1246, ESPN!A:A&amp;ESPN!C:C, ESPN!D:D), "N/A")</f>
        <v>N/A</v>
      </c>
      <c r="M1246" s="23" t="str" cm="1">
        <f t="array" ref="M1246">IFERROR(_xlfn.XLOOKUP(C1246&amp;A1246, ESPN!A:A&amp;ESPN!C:C, ESPN!G:G), "N/A")</f>
        <v>N/A</v>
      </c>
      <c r="N1246" s="23" t="str" cm="1">
        <f t="array" ref="N1246">IFERROR(_xlfn.XLOOKUP(C1246&amp;A1246, ESPN!A:A&amp;ESPN!C:C, ESPN!H:H), "N/A")</f>
        <v>N/A</v>
      </c>
      <c r="O1246" s="26" t="str" cm="1">
        <f t="array" ref="O1246">IFERROR(_xlfn.XLOOKUP(C1246&amp;A1246, ESPN!A:A&amp;ESPN!C:C, ESPN!I:I), "N/A")</f>
        <v>N/A</v>
      </c>
      <c r="P1246" s="26" t="str" cm="1">
        <f t="array" ref="P1246">IFERROR(_xlfn.XLOOKUP(C1246&amp;A1246, ESPN!A:A&amp;ESPN!C:C, ESPN!J:J), "N/A")</f>
        <v>N/A</v>
      </c>
      <c r="Q1246" s="26" t="str" cm="1">
        <f t="array" ref="Q1246">IFERROR(_xlfn.XLOOKUP(C1246&amp;A1246, ESPN!A:A&amp;ESPN!C:C, ESPN!K:K), "N/A")</f>
        <v>N/A</v>
      </c>
    </row>
    <row r="1247" spans="1:17" x14ac:dyDescent="0.45">
      <c r="A1247" s="7">
        <v>2019</v>
      </c>
      <c r="B1247" s="3" t="s">
        <v>580</v>
      </c>
      <c r="C1247" s="4" t="str">
        <f t="shared" si="38"/>
        <v>D.J. Foster</v>
      </c>
      <c r="D1247" s="4" t="str">
        <f t="shared" si="39"/>
        <v>ARI</v>
      </c>
      <c r="E1247" s="4">
        <v>6</v>
      </c>
      <c r="F1247" s="12">
        <v>0</v>
      </c>
      <c r="G1247" s="11">
        <v>0</v>
      </c>
      <c r="H1247" s="11">
        <v>0</v>
      </c>
      <c r="I1247" s="11">
        <v>0</v>
      </c>
      <c r="J1247" s="11">
        <v>0</v>
      </c>
      <c r="K1247" s="11">
        <v>0</v>
      </c>
      <c r="L1247" s="11" t="str" cm="1">
        <f t="array" ref="L1247">IFERROR(_xlfn.XLOOKUP(C1247&amp;A1247, ESPN!A:A&amp;ESPN!C:C, ESPN!D:D), "N/A")</f>
        <v>N/A</v>
      </c>
      <c r="M1247" s="23" t="str" cm="1">
        <f t="array" ref="M1247">IFERROR(_xlfn.XLOOKUP(C1247&amp;A1247, ESPN!A:A&amp;ESPN!C:C, ESPN!G:G), "N/A")</f>
        <v>N/A</v>
      </c>
      <c r="N1247" s="23" t="str" cm="1">
        <f t="array" ref="N1247">IFERROR(_xlfn.XLOOKUP(C1247&amp;A1247, ESPN!A:A&amp;ESPN!C:C, ESPN!H:H), "N/A")</f>
        <v>N/A</v>
      </c>
      <c r="O1247" s="26" t="str" cm="1">
        <f t="array" ref="O1247">IFERROR(_xlfn.XLOOKUP(C1247&amp;A1247, ESPN!A:A&amp;ESPN!C:C, ESPN!I:I), "N/A")</f>
        <v>N/A</v>
      </c>
      <c r="P1247" s="26" t="str" cm="1">
        <f t="array" ref="P1247">IFERROR(_xlfn.XLOOKUP(C1247&amp;A1247, ESPN!A:A&amp;ESPN!C:C, ESPN!J:J), "N/A")</f>
        <v>N/A</v>
      </c>
      <c r="Q1247" s="26" t="str" cm="1">
        <f t="array" ref="Q1247">IFERROR(_xlfn.XLOOKUP(C1247&amp;A1247, ESPN!A:A&amp;ESPN!C:C, ESPN!K:K), "N/A")</f>
        <v>N/A</v>
      </c>
    </row>
    <row r="1248" spans="1:17" x14ac:dyDescent="0.45">
      <c r="A1248" s="6">
        <v>2019</v>
      </c>
      <c r="B1248" s="1" t="s">
        <v>502</v>
      </c>
      <c r="C1248" s="2" t="str">
        <f t="shared" si="38"/>
        <v>J.P. Holtz</v>
      </c>
      <c r="D1248" s="2" t="str">
        <f t="shared" si="39"/>
        <v>CHI</v>
      </c>
      <c r="E1248" s="2">
        <v>15</v>
      </c>
      <c r="F1248" s="12">
        <v>8</v>
      </c>
      <c r="G1248" s="11">
        <v>7</v>
      </c>
      <c r="H1248" s="11">
        <v>91</v>
      </c>
      <c r="I1248" s="11">
        <v>13</v>
      </c>
      <c r="J1248" s="11">
        <v>0</v>
      </c>
      <c r="K1248" s="11">
        <v>0</v>
      </c>
      <c r="L1248" s="11" t="str" cm="1">
        <f t="array" ref="L1248">IFERROR(_xlfn.XLOOKUP(C1248&amp;A1248, ESPN!A:A&amp;ESPN!C:C, ESPN!D:D), "N/A")</f>
        <v>N/A</v>
      </c>
      <c r="M1248" s="23" t="str" cm="1">
        <f t="array" ref="M1248">IFERROR(_xlfn.XLOOKUP(C1248&amp;A1248, ESPN!A:A&amp;ESPN!C:C, ESPN!G:G), "N/A")</f>
        <v>N/A</v>
      </c>
      <c r="N1248" s="23" t="str" cm="1">
        <f t="array" ref="N1248">IFERROR(_xlfn.XLOOKUP(C1248&amp;A1248, ESPN!A:A&amp;ESPN!C:C, ESPN!H:H), "N/A")</f>
        <v>N/A</v>
      </c>
      <c r="O1248" s="26" t="str" cm="1">
        <f t="array" ref="O1248">IFERROR(_xlfn.XLOOKUP(C1248&amp;A1248, ESPN!A:A&amp;ESPN!C:C, ESPN!I:I), "N/A")</f>
        <v>N/A</v>
      </c>
      <c r="P1248" s="26" t="str" cm="1">
        <f t="array" ref="P1248">IFERROR(_xlfn.XLOOKUP(C1248&amp;A1248, ESPN!A:A&amp;ESPN!C:C, ESPN!J:J), "N/A")</f>
        <v>N/A</v>
      </c>
      <c r="Q1248" s="26" t="str" cm="1">
        <f t="array" ref="Q1248">IFERROR(_xlfn.XLOOKUP(C1248&amp;A1248, ESPN!A:A&amp;ESPN!C:C, ESPN!K:K), "N/A")</f>
        <v>N/A</v>
      </c>
    </row>
    <row r="1249" spans="1:17" x14ac:dyDescent="0.45">
      <c r="A1249" s="7">
        <v>2019</v>
      </c>
      <c r="B1249" s="3" t="s">
        <v>686</v>
      </c>
      <c r="C1249" s="4" t="str">
        <f t="shared" si="38"/>
        <v>Brandin Bryant</v>
      </c>
      <c r="D1249" s="4" t="str">
        <f t="shared" si="39"/>
        <v>CLE</v>
      </c>
      <c r="E1249" s="4">
        <v>4</v>
      </c>
      <c r="F1249" s="12">
        <v>0</v>
      </c>
      <c r="G1249" s="11">
        <v>0</v>
      </c>
      <c r="H1249" s="11">
        <v>0</v>
      </c>
      <c r="I1249" s="11">
        <v>0</v>
      </c>
      <c r="J1249" s="11">
        <v>0</v>
      </c>
      <c r="K1249" s="11">
        <v>0</v>
      </c>
      <c r="L1249" s="11" t="str" cm="1">
        <f t="array" ref="L1249">IFERROR(_xlfn.XLOOKUP(C1249&amp;A1249, ESPN!A:A&amp;ESPN!C:C, ESPN!D:D), "N/A")</f>
        <v>N/A</v>
      </c>
      <c r="M1249" s="23" t="str" cm="1">
        <f t="array" ref="M1249">IFERROR(_xlfn.XLOOKUP(C1249&amp;A1249, ESPN!A:A&amp;ESPN!C:C, ESPN!G:G), "N/A")</f>
        <v>N/A</v>
      </c>
      <c r="N1249" s="23" t="str" cm="1">
        <f t="array" ref="N1249">IFERROR(_xlfn.XLOOKUP(C1249&amp;A1249, ESPN!A:A&amp;ESPN!C:C, ESPN!H:H), "N/A")</f>
        <v>N/A</v>
      </c>
      <c r="O1249" s="26" t="str" cm="1">
        <f t="array" ref="O1249">IFERROR(_xlfn.XLOOKUP(C1249&amp;A1249, ESPN!A:A&amp;ESPN!C:C, ESPN!I:I), "N/A")</f>
        <v>N/A</v>
      </c>
      <c r="P1249" s="26" t="str" cm="1">
        <f t="array" ref="P1249">IFERROR(_xlfn.XLOOKUP(C1249&amp;A1249, ESPN!A:A&amp;ESPN!C:C, ESPN!J:J), "N/A")</f>
        <v>N/A</v>
      </c>
      <c r="Q1249" s="26" t="str" cm="1">
        <f t="array" ref="Q1249">IFERROR(_xlfn.XLOOKUP(C1249&amp;A1249, ESPN!A:A&amp;ESPN!C:C, ESPN!K:K), "N/A")</f>
        <v>N/A</v>
      </c>
    </row>
    <row r="1250" spans="1:17" x14ac:dyDescent="0.45">
      <c r="A1250" s="6">
        <v>2019</v>
      </c>
      <c r="B1250" s="1" t="s">
        <v>687</v>
      </c>
      <c r="C1250" s="2" t="str">
        <f t="shared" si="38"/>
        <v>Tre Madden</v>
      </c>
      <c r="D1250" s="2" t="str">
        <f t="shared" si="39"/>
        <v>SEA</v>
      </c>
      <c r="E1250" s="2">
        <v>1</v>
      </c>
      <c r="F1250" s="12">
        <v>0</v>
      </c>
      <c r="G1250" s="11">
        <v>0</v>
      </c>
      <c r="H1250" s="11">
        <v>0</v>
      </c>
      <c r="I1250" s="11">
        <v>0</v>
      </c>
      <c r="J1250" s="11">
        <v>0</v>
      </c>
      <c r="K1250" s="11">
        <v>0</v>
      </c>
      <c r="L1250" s="11" t="str" cm="1">
        <f t="array" ref="L1250">IFERROR(_xlfn.XLOOKUP(C1250&amp;A1250, ESPN!A:A&amp;ESPN!C:C, ESPN!D:D), "N/A")</f>
        <v>N/A</v>
      </c>
      <c r="M1250" s="23" t="str" cm="1">
        <f t="array" ref="M1250">IFERROR(_xlfn.XLOOKUP(C1250&amp;A1250, ESPN!A:A&amp;ESPN!C:C, ESPN!G:G), "N/A")</f>
        <v>N/A</v>
      </c>
      <c r="N1250" s="23" t="str" cm="1">
        <f t="array" ref="N1250">IFERROR(_xlfn.XLOOKUP(C1250&amp;A1250, ESPN!A:A&amp;ESPN!C:C, ESPN!H:H), "N/A")</f>
        <v>N/A</v>
      </c>
      <c r="O1250" s="26" t="str" cm="1">
        <f t="array" ref="O1250">IFERROR(_xlfn.XLOOKUP(C1250&amp;A1250, ESPN!A:A&amp;ESPN!C:C, ESPN!I:I), "N/A")</f>
        <v>N/A</v>
      </c>
      <c r="P1250" s="26" t="str" cm="1">
        <f t="array" ref="P1250">IFERROR(_xlfn.XLOOKUP(C1250&amp;A1250, ESPN!A:A&amp;ESPN!C:C, ESPN!J:J), "N/A")</f>
        <v>N/A</v>
      </c>
      <c r="Q1250" s="26" t="str" cm="1">
        <f t="array" ref="Q1250">IFERROR(_xlfn.XLOOKUP(C1250&amp;A1250, ESPN!A:A&amp;ESPN!C:C, ESPN!K:K), "N/A")</f>
        <v>N/A</v>
      </c>
    </row>
    <row r="1251" spans="1:17" x14ac:dyDescent="0.45">
      <c r="A1251" s="7">
        <v>2019</v>
      </c>
      <c r="B1251" s="3" t="s">
        <v>688</v>
      </c>
      <c r="C1251" s="4" t="str">
        <f t="shared" si="38"/>
        <v>Jeremy McNichols</v>
      </c>
      <c r="D1251" s="4" t="str">
        <f t="shared" si="39"/>
        <v>JAC</v>
      </c>
      <c r="E1251" s="4">
        <v>1</v>
      </c>
      <c r="F1251" s="12">
        <v>0</v>
      </c>
      <c r="G1251" s="11">
        <v>0</v>
      </c>
      <c r="H1251" s="11">
        <v>0</v>
      </c>
      <c r="I1251" s="11">
        <v>0</v>
      </c>
      <c r="J1251" s="11">
        <v>0</v>
      </c>
      <c r="K1251" s="11">
        <v>0</v>
      </c>
      <c r="L1251" s="11" t="str" cm="1">
        <f t="array" ref="L1251">IFERROR(_xlfn.XLOOKUP(C1251&amp;A1251, ESPN!A:A&amp;ESPN!C:C, ESPN!D:D), "N/A")</f>
        <v>N/A</v>
      </c>
      <c r="M1251" s="23" t="str" cm="1">
        <f t="array" ref="M1251">IFERROR(_xlfn.XLOOKUP(C1251&amp;A1251, ESPN!A:A&amp;ESPN!C:C, ESPN!G:G), "N/A")</f>
        <v>N/A</v>
      </c>
      <c r="N1251" s="23" t="str" cm="1">
        <f t="array" ref="N1251">IFERROR(_xlfn.XLOOKUP(C1251&amp;A1251, ESPN!A:A&amp;ESPN!C:C, ESPN!H:H), "N/A")</f>
        <v>N/A</v>
      </c>
      <c r="O1251" s="26" t="str" cm="1">
        <f t="array" ref="O1251">IFERROR(_xlfn.XLOOKUP(C1251&amp;A1251, ESPN!A:A&amp;ESPN!C:C, ESPN!I:I), "N/A")</f>
        <v>N/A</v>
      </c>
      <c r="P1251" s="26" t="str" cm="1">
        <f t="array" ref="P1251">IFERROR(_xlfn.XLOOKUP(C1251&amp;A1251, ESPN!A:A&amp;ESPN!C:C, ESPN!J:J), "N/A")</f>
        <v>N/A</v>
      </c>
      <c r="Q1251" s="26" t="str" cm="1">
        <f t="array" ref="Q1251">IFERROR(_xlfn.XLOOKUP(C1251&amp;A1251, ESPN!A:A&amp;ESPN!C:C, ESPN!K:K), "N/A")</f>
        <v>N/A</v>
      </c>
    </row>
    <row r="1252" spans="1:17" x14ac:dyDescent="0.45">
      <c r="A1252" s="6">
        <v>2019</v>
      </c>
      <c r="B1252" s="1" t="s">
        <v>689</v>
      </c>
      <c r="C1252" s="2" t="str">
        <f t="shared" si="38"/>
        <v>Joe Williams</v>
      </c>
      <c r="D1252" s="2" t="str">
        <f t="shared" si="39"/>
        <v>NO</v>
      </c>
      <c r="E1252" s="2">
        <v>1</v>
      </c>
      <c r="F1252" s="12">
        <v>0</v>
      </c>
      <c r="G1252" s="11">
        <v>0</v>
      </c>
      <c r="H1252" s="11">
        <v>0</v>
      </c>
      <c r="I1252" s="11">
        <v>0</v>
      </c>
      <c r="J1252" s="11">
        <v>0</v>
      </c>
      <c r="K1252" s="11">
        <v>0</v>
      </c>
      <c r="L1252" s="11" t="str" cm="1">
        <f t="array" ref="L1252">IFERROR(_xlfn.XLOOKUP(C1252&amp;A1252, ESPN!A:A&amp;ESPN!C:C, ESPN!D:D), "N/A")</f>
        <v>N/A</v>
      </c>
      <c r="M1252" s="23" t="str" cm="1">
        <f t="array" ref="M1252">IFERROR(_xlfn.XLOOKUP(C1252&amp;A1252, ESPN!A:A&amp;ESPN!C:C, ESPN!G:G), "N/A")</f>
        <v>N/A</v>
      </c>
      <c r="N1252" s="23" t="str" cm="1">
        <f t="array" ref="N1252">IFERROR(_xlfn.XLOOKUP(C1252&amp;A1252, ESPN!A:A&amp;ESPN!C:C, ESPN!H:H), "N/A")</f>
        <v>N/A</v>
      </c>
      <c r="O1252" s="26" t="str" cm="1">
        <f t="array" ref="O1252">IFERROR(_xlfn.XLOOKUP(C1252&amp;A1252, ESPN!A:A&amp;ESPN!C:C, ESPN!I:I), "N/A")</f>
        <v>N/A</v>
      </c>
      <c r="P1252" s="26" t="str" cm="1">
        <f t="array" ref="P1252">IFERROR(_xlfn.XLOOKUP(C1252&amp;A1252, ESPN!A:A&amp;ESPN!C:C, ESPN!J:J), "N/A")</f>
        <v>N/A</v>
      </c>
      <c r="Q1252" s="26" t="str" cm="1">
        <f t="array" ref="Q1252">IFERROR(_xlfn.XLOOKUP(C1252&amp;A1252, ESPN!A:A&amp;ESPN!C:C, ESPN!K:K), "N/A")</f>
        <v>N/A</v>
      </c>
    </row>
    <row r="1253" spans="1:17" x14ac:dyDescent="0.45">
      <c r="A1253" s="7">
        <v>2019</v>
      </c>
      <c r="B1253" s="3" t="s">
        <v>590</v>
      </c>
      <c r="C1253" s="4" t="str">
        <f t="shared" si="38"/>
        <v>Cethan Carter</v>
      </c>
      <c r="D1253" s="4" t="str">
        <f t="shared" si="39"/>
        <v>CIN</v>
      </c>
      <c r="E1253" s="4">
        <v>15</v>
      </c>
      <c r="F1253" s="12">
        <v>3</v>
      </c>
      <c r="G1253" s="11">
        <v>2</v>
      </c>
      <c r="H1253" s="11">
        <v>13</v>
      </c>
      <c r="I1253" s="11">
        <v>6.5</v>
      </c>
      <c r="J1253" s="11">
        <v>1</v>
      </c>
      <c r="K1253" s="11">
        <v>0</v>
      </c>
      <c r="L1253" s="11" t="str" cm="1">
        <f t="array" ref="L1253">IFERROR(_xlfn.XLOOKUP(C1253&amp;A1253, ESPN!A:A&amp;ESPN!C:C, ESPN!D:D), "N/A")</f>
        <v>N/A</v>
      </c>
      <c r="M1253" s="23" t="str" cm="1">
        <f t="array" ref="M1253">IFERROR(_xlfn.XLOOKUP(C1253&amp;A1253, ESPN!A:A&amp;ESPN!C:C, ESPN!G:G), "N/A")</f>
        <v>N/A</v>
      </c>
      <c r="N1253" s="23" t="str" cm="1">
        <f t="array" ref="N1253">IFERROR(_xlfn.XLOOKUP(C1253&amp;A1253, ESPN!A:A&amp;ESPN!C:C, ESPN!H:H), "N/A")</f>
        <v>N/A</v>
      </c>
      <c r="O1253" s="26" t="str" cm="1">
        <f t="array" ref="O1253">IFERROR(_xlfn.XLOOKUP(C1253&amp;A1253, ESPN!A:A&amp;ESPN!C:C, ESPN!I:I), "N/A")</f>
        <v>N/A</v>
      </c>
      <c r="P1253" s="26" t="str" cm="1">
        <f t="array" ref="P1253">IFERROR(_xlfn.XLOOKUP(C1253&amp;A1253, ESPN!A:A&amp;ESPN!C:C, ESPN!J:J), "N/A")</f>
        <v>N/A</v>
      </c>
      <c r="Q1253" s="26" t="str" cm="1">
        <f t="array" ref="Q1253">IFERROR(_xlfn.XLOOKUP(C1253&amp;A1253, ESPN!A:A&amp;ESPN!C:C, ESPN!K:K), "N/A")</f>
        <v>N/A</v>
      </c>
    </row>
    <row r="1254" spans="1:17" x14ac:dyDescent="0.45">
      <c r="A1254" s="6">
        <v>2019</v>
      </c>
      <c r="B1254" s="1" t="s">
        <v>690</v>
      </c>
      <c r="C1254" s="2" t="str">
        <f t="shared" si="38"/>
        <v>Justin Davis</v>
      </c>
      <c r="D1254" s="2" t="str">
        <f t="shared" si="39"/>
        <v>LAR</v>
      </c>
      <c r="E1254" s="2">
        <v>1</v>
      </c>
      <c r="F1254" s="12">
        <v>0</v>
      </c>
      <c r="G1254" s="11">
        <v>0</v>
      </c>
      <c r="H1254" s="11">
        <v>0</v>
      </c>
      <c r="I1254" s="11">
        <v>0</v>
      </c>
      <c r="J1254" s="11">
        <v>0</v>
      </c>
      <c r="K1254" s="11">
        <v>0</v>
      </c>
      <c r="L1254" s="11" t="str" cm="1">
        <f t="array" ref="L1254">IFERROR(_xlfn.XLOOKUP(C1254&amp;A1254, ESPN!A:A&amp;ESPN!C:C, ESPN!D:D), "N/A")</f>
        <v>N/A</v>
      </c>
      <c r="M1254" s="23" t="str" cm="1">
        <f t="array" ref="M1254">IFERROR(_xlfn.XLOOKUP(C1254&amp;A1254, ESPN!A:A&amp;ESPN!C:C, ESPN!G:G), "N/A")</f>
        <v>N/A</v>
      </c>
      <c r="N1254" s="23" t="str" cm="1">
        <f t="array" ref="N1254">IFERROR(_xlfn.XLOOKUP(C1254&amp;A1254, ESPN!A:A&amp;ESPN!C:C, ESPN!H:H), "N/A")</f>
        <v>N/A</v>
      </c>
      <c r="O1254" s="26" t="str" cm="1">
        <f t="array" ref="O1254">IFERROR(_xlfn.XLOOKUP(C1254&amp;A1254, ESPN!A:A&amp;ESPN!C:C, ESPN!I:I), "N/A")</f>
        <v>N/A</v>
      </c>
      <c r="P1254" s="26" t="str" cm="1">
        <f t="array" ref="P1254">IFERROR(_xlfn.XLOOKUP(C1254&amp;A1254, ESPN!A:A&amp;ESPN!C:C, ESPN!J:J), "N/A")</f>
        <v>N/A</v>
      </c>
      <c r="Q1254" s="26" t="str" cm="1">
        <f t="array" ref="Q1254">IFERROR(_xlfn.XLOOKUP(C1254&amp;A1254, ESPN!A:A&amp;ESPN!C:C, ESPN!K:K), "N/A")</f>
        <v>N/A</v>
      </c>
    </row>
    <row r="1255" spans="1:17" x14ac:dyDescent="0.45">
      <c r="A1255" s="7">
        <v>2019</v>
      </c>
      <c r="B1255" s="3" t="s">
        <v>691</v>
      </c>
      <c r="C1255" s="4" t="str">
        <f t="shared" si="38"/>
        <v>Lavon Coleman</v>
      </c>
      <c r="D1255" s="4" t="str">
        <f t="shared" si="39"/>
        <v>GB</v>
      </c>
      <c r="E1255" s="4">
        <v>1</v>
      </c>
      <c r="F1255" s="12">
        <v>0</v>
      </c>
      <c r="G1255" s="11">
        <v>0</v>
      </c>
      <c r="H1255" s="11">
        <v>0</v>
      </c>
      <c r="I1255" s="11">
        <v>0</v>
      </c>
      <c r="J1255" s="11">
        <v>0</v>
      </c>
      <c r="K1255" s="11">
        <v>0</v>
      </c>
      <c r="L1255" s="11" t="str" cm="1">
        <f t="array" ref="L1255">IFERROR(_xlfn.XLOOKUP(C1255&amp;A1255, ESPN!A:A&amp;ESPN!C:C, ESPN!D:D), "N/A")</f>
        <v>N/A</v>
      </c>
      <c r="M1255" s="23" t="str" cm="1">
        <f t="array" ref="M1255">IFERROR(_xlfn.XLOOKUP(C1255&amp;A1255, ESPN!A:A&amp;ESPN!C:C, ESPN!G:G), "N/A")</f>
        <v>N/A</v>
      </c>
      <c r="N1255" s="23" t="str" cm="1">
        <f t="array" ref="N1255">IFERROR(_xlfn.XLOOKUP(C1255&amp;A1255, ESPN!A:A&amp;ESPN!C:C, ESPN!H:H), "N/A")</f>
        <v>N/A</v>
      </c>
      <c r="O1255" s="26" t="str" cm="1">
        <f t="array" ref="O1255">IFERROR(_xlfn.XLOOKUP(C1255&amp;A1255, ESPN!A:A&amp;ESPN!C:C, ESPN!I:I), "N/A")</f>
        <v>N/A</v>
      </c>
      <c r="P1255" s="26" t="str" cm="1">
        <f t="array" ref="P1255">IFERROR(_xlfn.XLOOKUP(C1255&amp;A1255, ESPN!A:A&amp;ESPN!C:C, ESPN!J:J), "N/A")</f>
        <v>N/A</v>
      </c>
      <c r="Q1255" s="26" t="str" cm="1">
        <f t="array" ref="Q1255">IFERROR(_xlfn.XLOOKUP(C1255&amp;A1255, ESPN!A:A&amp;ESPN!C:C, ESPN!K:K), "N/A")</f>
        <v>N/A</v>
      </c>
    </row>
    <row r="1256" spans="1:17" x14ac:dyDescent="0.45">
      <c r="A1256" s="6">
        <v>2019</v>
      </c>
      <c r="B1256" s="1" t="s">
        <v>326</v>
      </c>
      <c r="C1256" s="2" t="str">
        <f t="shared" si="38"/>
        <v>Jason Cabinda</v>
      </c>
      <c r="D1256" s="2" t="str">
        <f t="shared" si="39"/>
        <v>DET</v>
      </c>
      <c r="E1256" s="2">
        <v>5</v>
      </c>
      <c r="F1256" s="12">
        <v>0</v>
      </c>
      <c r="G1256" s="11">
        <v>0</v>
      </c>
      <c r="H1256" s="11">
        <v>0</v>
      </c>
      <c r="I1256" s="11">
        <v>0</v>
      </c>
      <c r="J1256" s="11">
        <v>0</v>
      </c>
      <c r="K1256" s="11">
        <v>0</v>
      </c>
      <c r="L1256" s="11" t="str" cm="1">
        <f t="array" ref="L1256">IFERROR(_xlfn.XLOOKUP(C1256&amp;A1256, ESPN!A:A&amp;ESPN!C:C, ESPN!D:D), "N/A")</f>
        <v>N/A</v>
      </c>
      <c r="M1256" s="23" t="str" cm="1">
        <f t="array" ref="M1256">IFERROR(_xlfn.XLOOKUP(C1256&amp;A1256, ESPN!A:A&amp;ESPN!C:C, ESPN!G:G), "N/A")</f>
        <v>N/A</v>
      </c>
      <c r="N1256" s="23" t="str" cm="1">
        <f t="array" ref="N1256">IFERROR(_xlfn.XLOOKUP(C1256&amp;A1256, ESPN!A:A&amp;ESPN!C:C, ESPN!H:H), "N/A")</f>
        <v>N/A</v>
      </c>
      <c r="O1256" s="26" t="str" cm="1">
        <f t="array" ref="O1256">IFERROR(_xlfn.XLOOKUP(C1256&amp;A1256, ESPN!A:A&amp;ESPN!C:C, ESPN!I:I), "N/A")</f>
        <v>N/A</v>
      </c>
      <c r="P1256" s="26" t="str" cm="1">
        <f t="array" ref="P1256">IFERROR(_xlfn.XLOOKUP(C1256&amp;A1256, ESPN!A:A&amp;ESPN!C:C, ESPN!J:J), "N/A")</f>
        <v>N/A</v>
      </c>
      <c r="Q1256" s="26" t="str" cm="1">
        <f t="array" ref="Q1256">IFERROR(_xlfn.XLOOKUP(C1256&amp;A1256, ESPN!A:A&amp;ESPN!C:C, ESPN!K:K), "N/A")</f>
        <v>N/A</v>
      </c>
    </row>
    <row r="1257" spans="1:17" x14ac:dyDescent="0.45">
      <c r="A1257" s="7">
        <v>2019</v>
      </c>
      <c r="B1257" s="3" t="s">
        <v>692</v>
      </c>
      <c r="C1257" s="4" t="str">
        <f t="shared" si="38"/>
        <v>Trenton Cannon</v>
      </c>
      <c r="D1257" s="4" t="str">
        <f t="shared" si="39"/>
        <v>NYJ</v>
      </c>
      <c r="E1257" s="4">
        <v>4</v>
      </c>
      <c r="F1257" s="12">
        <v>0</v>
      </c>
      <c r="G1257" s="11">
        <v>0</v>
      </c>
      <c r="H1257" s="11">
        <v>0</v>
      </c>
      <c r="I1257" s="11">
        <v>0</v>
      </c>
      <c r="J1257" s="11">
        <v>0</v>
      </c>
      <c r="K1257" s="11">
        <v>0</v>
      </c>
      <c r="L1257" s="11" t="str" cm="1">
        <f t="array" ref="L1257">IFERROR(_xlfn.XLOOKUP(C1257&amp;A1257, ESPN!A:A&amp;ESPN!C:C, ESPN!D:D), "N/A")</f>
        <v>N/A</v>
      </c>
      <c r="M1257" s="23" t="str" cm="1">
        <f t="array" ref="M1257">IFERROR(_xlfn.XLOOKUP(C1257&amp;A1257, ESPN!A:A&amp;ESPN!C:C, ESPN!G:G), "N/A")</f>
        <v>N/A</v>
      </c>
      <c r="N1257" s="23" t="str" cm="1">
        <f t="array" ref="N1257">IFERROR(_xlfn.XLOOKUP(C1257&amp;A1257, ESPN!A:A&amp;ESPN!C:C, ESPN!H:H), "N/A")</f>
        <v>N/A</v>
      </c>
      <c r="O1257" s="26" t="str" cm="1">
        <f t="array" ref="O1257">IFERROR(_xlfn.XLOOKUP(C1257&amp;A1257, ESPN!A:A&amp;ESPN!C:C, ESPN!I:I), "N/A")</f>
        <v>N/A</v>
      </c>
      <c r="P1257" s="26" t="str" cm="1">
        <f t="array" ref="P1257">IFERROR(_xlfn.XLOOKUP(C1257&amp;A1257, ESPN!A:A&amp;ESPN!C:C, ESPN!J:J), "N/A")</f>
        <v>N/A</v>
      </c>
      <c r="Q1257" s="26" t="str" cm="1">
        <f t="array" ref="Q1257">IFERROR(_xlfn.XLOOKUP(C1257&amp;A1257, ESPN!A:A&amp;ESPN!C:C, ESPN!K:K), "N/A")</f>
        <v>N/A</v>
      </c>
    </row>
    <row r="1258" spans="1:17" x14ac:dyDescent="0.45">
      <c r="A1258" s="6">
        <v>2019</v>
      </c>
      <c r="B1258" s="1" t="s">
        <v>693</v>
      </c>
      <c r="C1258" s="2" t="str">
        <f t="shared" si="38"/>
        <v>Detrez Newsome</v>
      </c>
      <c r="D1258" s="2" t="str">
        <f t="shared" si="39"/>
        <v>LAC</v>
      </c>
      <c r="E1258" s="2">
        <v>1</v>
      </c>
      <c r="F1258" s="12">
        <v>0</v>
      </c>
      <c r="G1258" s="11">
        <v>0</v>
      </c>
      <c r="H1258" s="11">
        <v>0</v>
      </c>
      <c r="I1258" s="11">
        <v>0</v>
      </c>
      <c r="J1258" s="11">
        <v>0</v>
      </c>
      <c r="K1258" s="11">
        <v>0</v>
      </c>
      <c r="L1258" s="11" t="str" cm="1">
        <f t="array" ref="L1258">IFERROR(_xlfn.XLOOKUP(C1258&amp;A1258, ESPN!A:A&amp;ESPN!C:C, ESPN!D:D), "N/A")</f>
        <v>N/A</v>
      </c>
      <c r="M1258" s="23" t="str" cm="1">
        <f t="array" ref="M1258">IFERROR(_xlfn.XLOOKUP(C1258&amp;A1258, ESPN!A:A&amp;ESPN!C:C, ESPN!G:G), "N/A")</f>
        <v>N/A</v>
      </c>
      <c r="N1258" s="23" t="str" cm="1">
        <f t="array" ref="N1258">IFERROR(_xlfn.XLOOKUP(C1258&amp;A1258, ESPN!A:A&amp;ESPN!C:C, ESPN!H:H), "N/A")</f>
        <v>N/A</v>
      </c>
      <c r="O1258" s="26" t="str" cm="1">
        <f t="array" ref="O1258">IFERROR(_xlfn.XLOOKUP(C1258&amp;A1258, ESPN!A:A&amp;ESPN!C:C, ESPN!I:I), "N/A")</f>
        <v>N/A</v>
      </c>
      <c r="P1258" s="26" t="str" cm="1">
        <f t="array" ref="P1258">IFERROR(_xlfn.XLOOKUP(C1258&amp;A1258, ESPN!A:A&amp;ESPN!C:C, ESPN!J:J), "N/A")</f>
        <v>N/A</v>
      </c>
      <c r="Q1258" s="26" t="str" cm="1">
        <f t="array" ref="Q1258">IFERROR(_xlfn.XLOOKUP(C1258&amp;A1258, ESPN!A:A&amp;ESPN!C:C, ESPN!K:K), "N/A")</f>
        <v>N/A</v>
      </c>
    </row>
    <row r="1259" spans="1:17" x14ac:dyDescent="0.45">
      <c r="A1259" s="7">
        <v>2019</v>
      </c>
      <c r="B1259" s="3" t="s">
        <v>694</v>
      </c>
      <c r="C1259" s="4" t="str">
        <f t="shared" si="38"/>
        <v>Jordan Chunn</v>
      </c>
      <c r="D1259" s="4" t="str">
        <f t="shared" si="39"/>
        <v>DAL</v>
      </c>
      <c r="E1259" s="4">
        <v>1</v>
      </c>
      <c r="F1259" s="12">
        <v>0</v>
      </c>
      <c r="G1259" s="11">
        <v>0</v>
      </c>
      <c r="H1259" s="11">
        <v>0</v>
      </c>
      <c r="I1259" s="11">
        <v>0</v>
      </c>
      <c r="J1259" s="11">
        <v>0</v>
      </c>
      <c r="K1259" s="11">
        <v>0</v>
      </c>
      <c r="L1259" s="11" t="str" cm="1">
        <f t="array" ref="L1259">IFERROR(_xlfn.XLOOKUP(C1259&amp;A1259, ESPN!A:A&amp;ESPN!C:C, ESPN!D:D), "N/A")</f>
        <v>N/A</v>
      </c>
      <c r="M1259" s="23" t="str" cm="1">
        <f t="array" ref="M1259">IFERROR(_xlfn.XLOOKUP(C1259&amp;A1259, ESPN!A:A&amp;ESPN!C:C, ESPN!G:G), "N/A")</f>
        <v>N/A</v>
      </c>
      <c r="N1259" s="23" t="str" cm="1">
        <f t="array" ref="N1259">IFERROR(_xlfn.XLOOKUP(C1259&amp;A1259, ESPN!A:A&amp;ESPN!C:C, ESPN!H:H), "N/A")</f>
        <v>N/A</v>
      </c>
      <c r="O1259" s="26" t="str" cm="1">
        <f t="array" ref="O1259">IFERROR(_xlfn.XLOOKUP(C1259&amp;A1259, ESPN!A:A&amp;ESPN!C:C, ESPN!I:I), "N/A")</f>
        <v>N/A</v>
      </c>
      <c r="P1259" s="26" t="str" cm="1">
        <f t="array" ref="P1259">IFERROR(_xlfn.XLOOKUP(C1259&amp;A1259, ESPN!A:A&amp;ESPN!C:C, ESPN!J:J), "N/A")</f>
        <v>N/A</v>
      </c>
      <c r="Q1259" s="26" t="str" cm="1">
        <f t="array" ref="Q1259">IFERROR(_xlfn.XLOOKUP(C1259&amp;A1259, ESPN!A:A&amp;ESPN!C:C, ESPN!K:K), "N/A")</f>
        <v>N/A</v>
      </c>
    </row>
    <row r="1260" spans="1:17" x14ac:dyDescent="0.45">
      <c r="A1260" s="6">
        <v>2019</v>
      </c>
      <c r="B1260" s="1" t="s">
        <v>695</v>
      </c>
      <c r="C1260" s="2" t="str">
        <f t="shared" si="38"/>
        <v>Donnie Ernsberger</v>
      </c>
      <c r="D1260" s="2" t="str">
        <f t="shared" si="39"/>
        <v>TB</v>
      </c>
      <c r="E1260" s="2">
        <v>1</v>
      </c>
      <c r="F1260" s="12">
        <v>0</v>
      </c>
      <c r="G1260" s="11">
        <v>0</v>
      </c>
      <c r="H1260" s="11">
        <v>0</v>
      </c>
      <c r="I1260" s="11">
        <v>0</v>
      </c>
      <c r="J1260" s="11">
        <v>0</v>
      </c>
      <c r="K1260" s="11">
        <v>0</v>
      </c>
      <c r="L1260" s="11" t="str" cm="1">
        <f t="array" ref="L1260">IFERROR(_xlfn.XLOOKUP(C1260&amp;A1260, ESPN!A:A&amp;ESPN!C:C, ESPN!D:D), "N/A")</f>
        <v>N/A</v>
      </c>
      <c r="M1260" s="23" t="str" cm="1">
        <f t="array" ref="M1260">IFERROR(_xlfn.XLOOKUP(C1260&amp;A1260, ESPN!A:A&amp;ESPN!C:C, ESPN!G:G), "N/A")</f>
        <v>N/A</v>
      </c>
      <c r="N1260" s="23" t="str" cm="1">
        <f t="array" ref="N1260">IFERROR(_xlfn.XLOOKUP(C1260&amp;A1260, ESPN!A:A&amp;ESPN!C:C, ESPN!H:H), "N/A")</f>
        <v>N/A</v>
      </c>
      <c r="O1260" s="26" t="str" cm="1">
        <f t="array" ref="O1260">IFERROR(_xlfn.XLOOKUP(C1260&amp;A1260, ESPN!A:A&amp;ESPN!C:C, ESPN!I:I), "N/A")</f>
        <v>N/A</v>
      </c>
      <c r="P1260" s="26" t="str" cm="1">
        <f t="array" ref="P1260">IFERROR(_xlfn.XLOOKUP(C1260&amp;A1260, ESPN!A:A&amp;ESPN!C:C, ESPN!J:J), "N/A")</f>
        <v>N/A</v>
      </c>
      <c r="Q1260" s="26" t="str" cm="1">
        <f t="array" ref="Q1260">IFERROR(_xlfn.XLOOKUP(C1260&amp;A1260, ESPN!A:A&amp;ESPN!C:C, ESPN!K:K), "N/A")</f>
        <v>N/A</v>
      </c>
    </row>
    <row r="1261" spans="1:17" x14ac:dyDescent="0.45">
      <c r="A1261" s="7">
        <v>2019</v>
      </c>
      <c r="B1261" s="3" t="s">
        <v>696</v>
      </c>
      <c r="C1261" s="4" t="str">
        <f t="shared" si="38"/>
        <v>Bryce Love</v>
      </c>
      <c r="D1261" s="4" t="str">
        <f t="shared" si="39"/>
        <v>WAS</v>
      </c>
      <c r="E1261" s="4">
        <v>1</v>
      </c>
      <c r="F1261" s="12">
        <v>0</v>
      </c>
      <c r="G1261" s="11">
        <v>0</v>
      </c>
      <c r="H1261" s="11">
        <v>0</v>
      </c>
      <c r="I1261" s="11">
        <v>0</v>
      </c>
      <c r="J1261" s="11">
        <v>0</v>
      </c>
      <c r="K1261" s="11">
        <v>0</v>
      </c>
      <c r="L1261" s="11" t="str" cm="1">
        <f t="array" ref="L1261">IFERROR(_xlfn.XLOOKUP(C1261&amp;A1261, ESPN!A:A&amp;ESPN!C:C, ESPN!D:D), "N/A")</f>
        <v>N/A</v>
      </c>
      <c r="M1261" s="23" t="str" cm="1">
        <f t="array" ref="M1261">IFERROR(_xlfn.XLOOKUP(C1261&amp;A1261, ESPN!A:A&amp;ESPN!C:C, ESPN!G:G), "N/A")</f>
        <v>N/A</v>
      </c>
      <c r="N1261" s="23" t="str" cm="1">
        <f t="array" ref="N1261">IFERROR(_xlfn.XLOOKUP(C1261&amp;A1261, ESPN!A:A&amp;ESPN!C:C, ESPN!H:H), "N/A")</f>
        <v>N/A</v>
      </c>
      <c r="O1261" s="26" t="str" cm="1">
        <f t="array" ref="O1261">IFERROR(_xlfn.XLOOKUP(C1261&amp;A1261, ESPN!A:A&amp;ESPN!C:C, ESPN!I:I), "N/A")</f>
        <v>N/A</v>
      </c>
      <c r="P1261" s="26" t="str" cm="1">
        <f t="array" ref="P1261">IFERROR(_xlfn.XLOOKUP(C1261&amp;A1261, ESPN!A:A&amp;ESPN!C:C, ESPN!J:J), "N/A")</f>
        <v>N/A</v>
      </c>
      <c r="Q1261" s="26" t="str" cm="1">
        <f t="array" ref="Q1261">IFERROR(_xlfn.XLOOKUP(C1261&amp;A1261, ESPN!A:A&amp;ESPN!C:C, ESPN!K:K), "N/A")</f>
        <v>N/A</v>
      </c>
    </row>
    <row r="1262" spans="1:17" x14ac:dyDescent="0.45">
      <c r="A1262" s="6">
        <v>2019</v>
      </c>
      <c r="B1262" s="1" t="s">
        <v>236</v>
      </c>
      <c r="C1262" s="2" t="str">
        <f t="shared" si="38"/>
        <v>Trayveon Williams</v>
      </c>
      <c r="D1262" s="2" t="str">
        <f t="shared" si="39"/>
        <v>CIN</v>
      </c>
      <c r="E1262" s="2">
        <v>11</v>
      </c>
      <c r="F1262" s="12">
        <v>0</v>
      </c>
      <c r="G1262" s="11">
        <v>0</v>
      </c>
      <c r="H1262" s="11">
        <v>0</v>
      </c>
      <c r="I1262" s="11">
        <v>0</v>
      </c>
      <c r="J1262" s="11">
        <v>0</v>
      </c>
      <c r="K1262" s="11">
        <v>0</v>
      </c>
      <c r="L1262" s="11" t="str" cm="1">
        <f t="array" ref="L1262">IFERROR(_xlfn.XLOOKUP(C1262&amp;A1262, ESPN!A:A&amp;ESPN!C:C, ESPN!D:D), "N/A")</f>
        <v>N/A</v>
      </c>
      <c r="M1262" s="23" t="str" cm="1">
        <f t="array" ref="M1262">IFERROR(_xlfn.XLOOKUP(C1262&amp;A1262, ESPN!A:A&amp;ESPN!C:C, ESPN!G:G), "N/A")</f>
        <v>N/A</v>
      </c>
      <c r="N1262" s="23" t="str" cm="1">
        <f t="array" ref="N1262">IFERROR(_xlfn.XLOOKUP(C1262&amp;A1262, ESPN!A:A&amp;ESPN!C:C, ESPN!H:H), "N/A")</f>
        <v>N/A</v>
      </c>
      <c r="O1262" s="26" t="str" cm="1">
        <f t="array" ref="O1262">IFERROR(_xlfn.XLOOKUP(C1262&amp;A1262, ESPN!A:A&amp;ESPN!C:C, ESPN!I:I), "N/A")</f>
        <v>N/A</v>
      </c>
      <c r="P1262" s="26" t="str" cm="1">
        <f t="array" ref="P1262">IFERROR(_xlfn.XLOOKUP(C1262&amp;A1262, ESPN!A:A&amp;ESPN!C:C, ESPN!J:J), "N/A")</f>
        <v>N/A</v>
      </c>
      <c r="Q1262" s="26" t="str" cm="1">
        <f t="array" ref="Q1262">IFERROR(_xlfn.XLOOKUP(C1262&amp;A1262, ESPN!A:A&amp;ESPN!C:C, ESPN!K:K), "N/A")</f>
        <v>N/A</v>
      </c>
    </row>
    <row r="1263" spans="1:17" x14ac:dyDescent="0.45">
      <c r="A1263" s="7">
        <v>2019</v>
      </c>
      <c r="B1263" s="3" t="s">
        <v>581</v>
      </c>
      <c r="C1263" s="4" t="str">
        <f t="shared" si="38"/>
        <v>Chandler Cox</v>
      </c>
      <c r="D1263" s="4" t="str">
        <f t="shared" si="39"/>
        <v>MIA</v>
      </c>
      <c r="E1263" s="4">
        <v>13</v>
      </c>
      <c r="F1263" s="12">
        <v>0</v>
      </c>
      <c r="G1263" s="11">
        <v>0</v>
      </c>
      <c r="H1263" s="11">
        <v>0</v>
      </c>
      <c r="I1263" s="11">
        <v>0</v>
      </c>
      <c r="J1263" s="11">
        <v>0</v>
      </c>
      <c r="K1263" s="11">
        <v>0</v>
      </c>
      <c r="L1263" s="11" t="str" cm="1">
        <f t="array" ref="L1263">IFERROR(_xlfn.XLOOKUP(C1263&amp;A1263, ESPN!A:A&amp;ESPN!C:C, ESPN!D:D), "N/A")</f>
        <v>N/A</v>
      </c>
      <c r="M1263" s="23" t="str" cm="1">
        <f t="array" ref="M1263">IFERROR(_xlfn.XLOOKUP(C1263&amp;A1263, ESPN!A:A&amp;ESPN!C:C, ESPN!G:G), "N/A")</f>
        <v>N/A</v>
      </c>
      <c r="N1263" s="23" t="str" cm="1">
        <f t="array" ref="N1263">IFERROR(_xlfn.XLOOKUP(C1263&amp;A1263, ESPN!A:A&amp;ESPN!C:C, ESPN!H:H), "N/A")</f>
        <v>N/A</v>
      </c>
      <c r="O1263" s="26" t="str" cm="1">
        <f t="array" ref="O1263">IFERROR(_xlfn.XLOOKUP(C1263&amp;A1263, ESPN!A:A&amp;ESPN!C:C, ESPN!I:I), "N/A")</f>
        <v>N/A</v>
      </c>
      <c r="P1263" s="26" t="str" cm="1">
        <f t="array" ref="P1263">IFERROR(_xlfn.XLOOKUP(C1263&amp;A1263, ESPN!A:A&amp;ESPN!C:C, ESPN!J:J), "N/A")</f>
        <v>N/A</v>
      </c>
      <c r="Q1263" s="26" t="str" cm="1">
        <f t="array" ref="Q1263">IFERROR(_xlfn.XLOOKUP(C1263&amp;A1263, ESPN!A:A&amp;ESPN!C:C, ESPN!K:K), "N/A")</f>
        <v>N/A</v>
      </c>
    </row>
    <row r="1264" spans="1:17" x14ac:dyDescent="0.45">
      <c r="A1264" s="6">
        <v>2019</v>
      </c>
      <c r="B1264" s="1" t="s">
        <v>586</v>
      </c>
      <c r="C1264" s="2" t="str">
        <f t="shared" si="38"/>
        <v>Cullen Gillaspia</v>
      </c>
      <c r="D1264" s="2" t="str">
        <f t="shared" si="39"/>
        <v>HOU</v>
      </c>
      <c r="E1264" s="2">
        <v>16</v>
      </c>
      <c r="F1264" s="12">
        <v>0</v>
      </c>
      <c r="G1264" s="11">
        <v>0</v>
      </c>
      <c r="H1264" s="11">
        <v>0</v>
      </c>
      <c r="I1264" s="11">
        <v>0</v>
      </c>
      <c r="J1264" s="11">
        <v>0</v>
      </c>
      <c r="K1264" s="11">
        <v>0</v>
      </c>
      <c r="L1264" s="11" t="str" cm="1">
        <f t="array" ref="L1264">IFERROR(_xlfn.XLOOKUP(C1264&amp;A1264, ESPN!A:A&amp;ESPN!C:C, ESPN!D:D), "N/A")</f>
        <v>N/A</v>
      </c>
      <c r="M1264" s="23" t="str" cm="1">
        <f t="array" ref="M1264">IFERROR(_xlfn.XLOOKUP(C1264&amp;A1264, ESPN!A:A&amp;ESPN!C:C, ESPN!G:G), "N/A")</f>
        <v>N/A</v>
      </c>
      <c r="N1264" s="23" t="str" cm="1">
        <f t="array" ref="N1264">IFERROR(_xlfn.XLOOKUP(C1264&amp;A1264, ESPN!A:A&amp;ESPN!C:C, ESPN!H:H), "N/A")</f>
        <v>N/A</v>
      </c>
      <c r="O1264" s="26" t="str" cm="1">
        <f t="array" ref="O1264">IFERROR(_xlfn.XLOOKUP(C1264&amp;A1264, ESPN!A:A&amp;ESPN!C:C, ESPN!I:I), "N/A")</f>
        <v>N/A</v>
      </c>
      <c r="P1264" s="26" t="str" cm="1">
        <f t="array" ref="P1264">IFERROR(_xlfn.XLOOKUP(C1264&amp;A1264, ESPN!A:A&amp;ESPN!C:C, ESPN!J:J), "N/A")</f>
        <v>N/A</v>
      </c>
      <c r="Q1264" s="26" t="str" cm="1">
        <f t="array" ref="Q1264">IFERROR(_xlfn.XLOOKUP(C1264&amp;A1264, ESPN!A:A&amp;ESPN!C:C, ESPN!K:K), "N/A")</f>
        <v>N/A</v>
      </c>
    </row>
    <row r="1265" spans="1:17" x14ac:dyDescent="0.45">
      <c r="A1265" s="7">
        <v>2019</v>
      </c>
      <c r="B1265" s="3" t="s">
        <v>415</v>
      </c>
      <c r="C1265" s="4" t="str">
        <f t="shared" si="38"/>
        <v>Andrew Beck</v>
      </c>
      <c r="D1265" s="4" t="str">
        <f t="shared" si="39"/>
        <v>DEN</v>
      </c>
      <c r="E1265" s="4">
        <v>16</v>
      </c>
      <c r="F1265" s="12">
        <v>12</v>
      </c>
      <c r="G1265" s="11">
        <v>9</v>
      </c>
      <c r="H1265" s="11">
        <v>90</v>
      </c>
      <c r="I1265" s="11">
        <v>10</v>
      </c>
      <c r="J1265" s="11">
        <v>1</v>
      </c>
      <c r="K1265" s="11">
        <v>0</v>
      </c>
      <c r="L1265" s="11" t="str" cm="1">
        <f t="array" ref="L1265">IFERROR(_xlfn.XLOOKUP(C1265&amp;A1265, ESPN!A:A&amp;ESPN!C:C, ESPN!D:D), "N/A")</f>
        <v>N/A</v>
      </c>
      <c r="M1265" s="23" t="str" cm="1">
        <f t="array" ref="M1265">IFERROR(_xlfn.XLOOKUP(C1265&amp;A1265, ESPN!A:A&amp;ESPN!C:C, ESPN!G:G), "N/A")</f>
        <v>N/A</v>
      </c>
      <c r="N1265" s="23" t="str" cm="1">
        <f t="array" ref="N1265">IFERROR(_xlfn.XLOOKUP(C1265&amp;A1265, ESPN!A:A&amp;ESPN!C:C, ESPN!H:H), "N/A")</f>
        <v>N/A</v>
      </c>
      <c r="O1265" s="26" t="str" cm="1">
        <f t="array" ref="O1265">IFERROR(_xlfn.XLOOKUP(C1265&amp;A1265, ESPN!A:A&amp;ESPN!C:C, ESPN!I:I), "N/A")</f>
        <v>N/A</v>
      </c>
      <c r="P1265" s="26" t="str" cm="1">
        <f t="array" ref="P1265">IFERROR(_xlfn.XLOOKUP(C1265&amp;A1265, ESPN!A:A&amp;ESPN!C:C, ESPN!J:J), "N/A")</f>
        <v>N/A</v>
      </c>
      <c r="Q1265" s="26" t="str" cm="1">
        <f t="array" ref="Q1265">IFERROR(_xlfn.XLOOKUP(C1265&amp;A1265, ESPN!A:A&amp;ESPN!C:C, ESPN!K:K), "N/A")</f>
        <v>N/A</v>
      </c>
    </row>
    <row r="1266" spans="1:17" x14ac:dyDescent="0.45">
      <c r="A1266" s="6">
        <v>2019</v>
      </c>
      <c r="B1266" s="1" t="s">
        <v>697</v>
      </c>
      <c r="C1266" s="2" t="str">
        <f t="shared" si="38"/>
        <v>Austin Walter</v>
      </c>
      <c r="D1266" s="2" t="str">
        <f t="shared" si="39"/>
        <v>NYG</v>
      </c>
      <c r="E1266" s="2">
        <v>1</v>
      </c>
      <c r="F1266" s="12">
        <v>0</v>
      </c>
      <c r="G1266" s="11">
        <v>0</v>
      </c>
      <c r="H1266" s="11">
        <v>0</v>
      </c>
      <c r="I1266" s="11">
        <v>0</v>
      </c>
      <c r="J1266" s="11">
        <v>0</v>
      </c>
      <c r="K1266" s="11">
        <v>0</v>
      </c>
      <c r="L1266" s="11" t="str" cm="1">
        <f t="array" ref="L1266">IFERROR(_xlfn.XLOOKUP(C1266&amp;A1266, ESPN!A:A&amp;ESPN!C:C, ESPN!D:D), "N/A")</f>
        <v>N/A</v>
      </c>
      <c r="M1266" s="23" t="str" cm="1">
        <f t="array" ref="M1266">IFERROR(_xlfn.XLOOKUP(C1266&amp;A1266, ESPN!A:A&amp;ESPN!C:C, ESPN!G:G), "N/A")</f>
        <v>N/A</v>
      </c>
      <c r="N1266" s="23" t="str" cm="1">
        <f t="array" ref="N1266">IFERROR(_xlfn.XLOOKUP(C1266&amp;A1266, ESPN!A:A&amp;ESPN!C:C, ESPN!H:H), "N/A")</f>
        <v>N/A</v>
      </c>
      <c r="O1266" s="26" t="str" cm="1">
        <f t="array" ref="O1266">IFERROR(_xlfn.XLOOKUP(C1266&amp;A1266, ESPN!A:A&amp;ESPN!C:C, ESPN!I:I), "N/A")</f>
        <v>N/A</v>
      </c>
      <c r="P1266" s="26" t="str" cm="1">
        <f t="array" ref="P1266">IFERROR(_xlfn.XLOOKUP(C1266&amp;A1266, ESPN!A:A&amp;ESPN!C:C, ESPN!J:J), "N/A")</f>
        <v>N/A</v>
      </c>
      <c r="Q1266" s="26" t="str" cm="1">
        <f t="array" ref="Q1266">IFERROR(_xlfn.XLOOKUP(C1266&amp;A1266, ESPN!A:A&amp;ESPN!C:C, ESPN!K:K), "N/A")</f>
        <v>N/A</v>
      </c>
    </row>
    <row r="1267" spans="1:17" x14ac:dyDescent="0.45">
      <c r="A1267" s="7">
        <v>2019</v>
      </c>
      <c r="B1267" s="3" t="s">
        <v>698</v>
      </c>
      <c r="C1267" s="4" t="str">
        <f t="shared" si="38"/>
        <v>Craig Reynolds</v>
      </c>
      <c r="D1267" s="4" t="str">
        <f t="shared" si="39"/>
        <v>WAS</v>
      </c>
      <c r="E1267" s="4">
        <v>3</v>
      </c>
      <c r="F1267" s="12">
        <v>0</v>
      </c>
      <c r="G1267" s="11">
        <v>0</v>
      </c>
      <c r="H1267" s="11">
        <v>0</v>
      </c>
      <c r="I1267" s="11">
        <v>0</v>
      </c>
      <c r="J1267" s="11">
        <v>0</v>
      </c>
      <c r="K1267" s="11">
        <v>0</v>
      </c>
      <c r="L1267" s="11" t="str" cm="1">
        <f t="array" ref="L1267">IFERROR(_xlfn.XLOOKUP(C1267&amp;A1267, ESPN!A:A&amp;ESPN!C:C, ESPN!D:D), "N/A")</f>
        <v>N/A</v>
      </c>
      <c r="M1267" s="23" t="str" cm="1">
        <f t="array" ref="M1267">IFERROR(_xlfn.XLOOKUP(C1267&amp;A1267, ESPN!A:A&amp;ESPN!C:C, ESPN!G:G), "N/A")</f>
        <v>N/A</v>
      </c>
      <c r="N1267" s="23" t="str" cm="1">
        <f t="array" ref="N1267">IFERROR(_xlfn.XLOOKUP(C1267&amp;A1267, ESPN!A:A&amp;ESPN!C:C, ESPN!H:H), "N/A")</f>
        <v>N/A</v>
      </c>
      <c r="O1267" s="26" t="str" cm="1">
        <f t="array" ref="O1267">IFERROR(_xlfn.XLOOKUP(C1267&amp;A1267, ESPN!A:A&amp;ESPN!C:C, ESPN!I:I), "N/A")</f>
        <v>N/A</v>
      </c>
      <c r="P1267" s="26" t="str" cm="1">
        <f t="array" ref="P1267">IFERROR(_xlfn.XLOOKUP(C1267&amp;A1267, ESPN!A:A&amp;ESPN!C:C, ESPN!J:J), "N/A")</f>
        <v>N/A</v>
      </c>
      <c r="Q1267" s="26" t="str" cm="1">
        <f t="array" ref="Q1267">IFERROR(_xlfn.XLOOKUP(C1267&amp;A1267, ESPN!A:A&amp;ESPN!C:C, ESPN!K:K), "N/A")</f>
        <v>N/A</v>
      </c>
    </row>
    <row r="1268" spans="1:17" x14ac:dyDescent="0.45">
      <c r="A1268" s="6">
        <v>2019</v>
      </c>
      <c r="B1268" s="1" t="s">
        <v>561</v>
      </c>
      <c r="C1268" s="2" t="str">
        <f t="shared" si="38"/>
        <v>Corey Clement</v>
      </c>
      <c r="D1268" s="2" t="str">
        <f t="shared" si="39"/>
        <v>PHI</v>
      </c>
      <c r="E1268" s="2">
        <v>4</v>
      </c>
      <c r="F1268" s="12">
        <v>0</v>
      </c>
      <c r="G1268" s="11">
        <v>0</v>
      </c>
      <c r="H1268" s="11">
        <v>0</v>
      </c>
      <c r="I1268" s="11">
        <v>0</v>
      </c>
      <c r="J1268" s="11">
        <v>0</v>
      </c>
      <c r="K1268" s="11">
        <v>2</v>
      </c>
      <c r="L1268" s="11" t="str" cm="1">
        <f t="array" ref="L1268">IFERROR(_xlfn.XLOOKUP(C1268&amp;A1268, ESPN!A:A&amp;ESPN!C:C, ESPN!D:D), "N/A")</f>
        <v>N/A</v>
      </c>
      <c r="M1268" s="23" t="str" cm="1">
        <f t="array" ref="M1268">IFERROR(_xlfn.XLOOKUP(C1268&amp;A1268, ESPN!A:A&amp;ESPN!C:C, ESPN!G:G), "N/A")</f>
        <v>N/A</v>
      </c>
      <c r="N1268" s="23" t="str" cm="1">
        <f t="array" ref="N1268">IFERROR(_xlfn.XLOOKUP(C1268&amp;A1268, ESPN!A:A&amp;ESPN!C:C, ESPN!H:H), "N/A")</f>
        <v>N/A</v>
      </c>
      <c r="O1268" s="26" t="str" cm="1">
        <f t="array" ref="O1268">IFERROR(_xlfn.XLOOKUP(C1268&amp;A1268, ESPN!A:A&amp;ESPN!C:C, ESPN!I:I), "N/A")</f>
        <v>N/A</v>
      </c>
      <c r="P1268" s="26" t="str" cm="1">
        <f t="array" ref="P1268">IFERROR(_xlfn.XLOOKUP(C1268&amp;A1268, ESPN!A:A&amp;ESPN!C:C, ESPN!J:J), "N/A")</f>
        <v>N/A</v>
      </c>
      <c r="Q1268" s="26" t="str" cm="1">
        <f t="array" ref="Q1268">IFERROR(_xlfn.XLOOKUP(C1268&amp;A1268, ESPN!A:A&amp;ESPN!C:C, ESPN!K:K), "N/A")</f>
        <v>N/A</v>
      </c>
    </row>
    <row r="1269" spans="1:17" x14ac:dyDescent="0.45">
      <c r="A1269" s="7">
        <v>2018</v>
      </c>
      <c r="B1269" s="3" t="s">
        <v>600</v>
      </c>
      <c r="C1269" s="4" t="str">
        <f t="shared" si="38"/>
        <v>Todd Gurley II</v>
      </c>
      <c r="D1269" s="4" t="str">
        <f t="shared" si="39"/>
        <v>LAR</v>
      </c>
      <c r="E1269" s="4">
        <v>14</v>
      </c>
      <c r="F1269" s="12">
        <v>81</v>
      </c>
      <c r="G1269" s="11">
        <v>59</v>
      </c>
      <c r="H1269" s="11">
        <v>580</v>
      </c>
      <c r="I1269" s="11">
        <v>9.8000000000000007</v>
      </c>
      <c r="J1269" s="11">
        <v>4</v>
      </c>
      <c r="K1269" s="11">
        <v>1</v>
      </c>
      <c r="L1269" s="11" cm="1">
        <f t="array" ref="L1269">IFERROR(_xlfn.XLOOKUP(C1269&amp;A1269, ESPN!A:A&amp;ESPN!C:C, ESPN!D:D), "N/A")</f>
        <v>356</v>
      </c>
      <c r="M1269" s="23" cm="1">
        <f t="array" ref="M1269">IFERROR(_xlfn.XLOOKUP(C1269&amp;A1269, ESPN!A:A&amp;ESPN!C:C, ESPN!G:G), "N/A")</f>
        <v>1.64</v>
      </c>
      <c r="N1269" s="23" cm="1">
        <f t="array" ref="N1269">IFERROR(_xlfn.XLOOKUP(C1269&amp;A1269, ESPN!A:A&amp;ESPN!C:C, ESPN!H:H), "N/A")</f>
        <v>45</v>
      </c>
      <c r="O1269" s="26" cm="1">
        <f t="array" ref="O1269">IFERROR(_xlfn.XLOOKUP(C1269&amp;A1269, ESPN!A:A&amp;ESPN!C:C, ESPN!I:I), "N/A")</f>
        <v>25</v>
      </c>
      <c r="P1269" s="26" cm="1">
        <f t="array" ref="P1269">IFERROR(_xlfn.XLOOKUP(C1269&amp;A1269, ESPN!A:A&amp;ESPN!C:C, ESPN!J:J), "N/A")</f>
        <v>66</v>
      </c>
      <c r="Q1269" s="26" cm="1">
        <f t="array" ref="Q1269">IFERROR(_xlfn.XLOOKUP(C1269&amp;A1269, ESPN!A:A&amp;ESPN!C:C, ESPN!K:K), "N/A")</f>
        <v>49</v>
      </c>
    </row>
    <row r="1270" spans="1:17" x14ac:dyDescent="0.45">
      <c r="A1270" s="6">
        <v>2018</v>
      </c>
      <c r="B1270" s="1" t="s">
        <v>254</v>
      </c>
      <c r="C1270" s="2" t="str">
        <f t="shared" si="38"/>
        <v>Saquon Barkley</v>
      </c>
      <c r="D1270" s="2" t="str">
        <f t="shared" si="39"/>
        <v>NYG</v>
      </c>
      <c r="E1270" s="2">
        <v>16</v>
      </c>
      <c r="F1270" s="12">
        <v>121</v>
      </c>
      <c r="G1270" s="11">
        <v>91</v>
      </c>
      <c r="H1270" s="11">
        <v>721</v>
      </c>
      <c r="I1270" s="11">
        <v>7.9</v>
      </c>
      <c r="J1270" s="11">
        <v>4</v>
      </c>
      <c r="K1270" s="11">
        <v>0</v>
      </c>
      <c r="L1270" s="11" t="str" cm="1">
        <f t="array" ref="L1270">IFERROR(_xlfn.XLOOKUP(C1270&amp;A1270, ESPN!A:A&amp;ESPN!C:C, ESPN!D:D), "N/A")</f>
        <v>N/A</v>
      </c>
      <c r="M1270" s="23" t="str" cm="1">
        <f t="array" ref="M1270">IFERROR(_xlfn.XLOOKUP(C1270&amp;A1270, ESPN!A:A&amp;ESPN!C:C, ESPN!G:G), "N/A")</f>
        <v>N/A</v>
      </c>
      <c r="N1270" s="23" t="str" cm="1">
        <f t="array" ref="N1270">IFERROR(_xlfn.XLOOKUP(C1270&amp;A1270, ESPN!A:A&amp;ESPN!C:C, ESPN!H:H), "N/A")</f>
        <v>N/A</v>
      </c>
      <c r="O1270" s="26" t="str" cm="1">
        <f t="array" ref="O1270">IFERROR(_xlfn.XLOOKUP(C1270&amp;A1270, ESPN!A:A&amp;ESPN!C:C, ESPN!I:I), "N/A")</f>
        <v>N/A</v>
      </c>
      <c r="P1270" s="26" t="str" cm="1">
        <f t="array" ref="P1270">IFERROR(_xlfn.XLOOKUP(C1270&amp;A1270, ESPN!A:A&amp;ESPN!C:C, ESPN!J:J), "N/A")</f>
        <v>N/A</v>
      </c>
      <c r="Q1270" s="26" t="str" cm="1">
        <f t="array" ref="Q1270">IFERROR(_xlfn.XLOOKUP(C1270&amp;A1270, ESPN!A:A&amp;ESPN!C:C, ESPN!K:K), "N/A")</f>
        <v>N/A</v>
      </c>
    </row>
    <row r="1271" spans="1:17" x14ac:dyDescent="0.45">
      <c r="A1271" s="7">
        <v>2018</v>
      </c>
      <c r="B1271" s="3" t="s">
        <v>431</v>
      </c>
      <c r="C1271" s="4" t="str">
        <f t="shared" si="38"/>
        <v>Christian McCaffrey</v>
      </c>
      <c r="D1271" s="4" t="str">
        <f t="shared" si="39"/>
        <v>CAR</v>
      </c>
      <c r="E1271" s="4">
        <v>16</v>
      </c>
      <c r="F1271" s="12">
        <v>124</v>
      </c>
      <c r="G1271" s="11">
        <v>107</v>
      </c>
      <c r="H1271" s="11">
        <v>867</v>
      </c>
      <c r="I1271" s="11">
        <v>8.1</v>
      </c>
      <c r="J1271" s="11">
        <v>6</v>
      </c>
      <c r="K1271" s="11">
        <v>1</v>
      </c>
      <c r="L1271" s="11" cm="1">
        <f t="array" ref="L1271">IFERROR(_xlfn.XLOOKUP(C1271&amp;A1271, ESPN!A:A&amp;ESPN!C:C, ESPN!D:D), "N/A")</f>
        <v>355</v>
      </c>
      <c r="M1271" s="23" cm="1">
        <f t="array" ref="M1271">IFERROR(_xlfn.XLOOKUP(C1271&amp;A1271, ESPN!A:A&amp;ESPN!C:C, ESPN!G:G), "N/A")</f>
        <v>2.44</v>
      </c>
      <c r="N1271" s="23" cm="1">
        <f t="array" ref="N1271">IFERROR(_xlfn.XLOOKUP(C1271&amp;A1271, ESPN!A:A&amp;ESPN!C:C, ESPN!H:H), "N/A")</f>
        <v>63</v>
      </c>
      <c r="O1271" s="26" cm="1">
        <f t="array" ref="O1271">IFERROR(_xlfn.XLOOKUP(C1271&amp;A1271, ESPN!A:A&amp;ESPN!C:C, ESPN!I:I), "N/A")</f>
        <v>99</v>
      </c>
      <c r="P1271" s="26" cm="1">
        <f t="array" ref="P1271">IFERROR(_xlfn.XLOOKUP(C1271&amp;A1271, ESPN!A:A&amp;ESPN!C:C, ESPN!J:J), "N/A")</f>
        <v>50</v>
      </c>
      <c r="Q1271" s="26" cm="1">
        <f t="array" ref="Q1271">IFERROR(_xlfn.XLOOKUP(C1271&amp;A1271, ESPN!A:A&amp;ESPN!C:C, ESPN!K:K), "N/A")</f>
        <v>83</v>
      </c>
    </row>
    <row r="1272" spans="1:17" x14ac:dyDescent="0.45">
      <c r="A1272" s="6">
        <v>2018</v>
      </c>
      <c r="B1272" s="1" t="s">
        <v>49</v>
      </c>
      <c r="C1272" s="2" t="str">
        <f t="shared" si="38"/>
        <v>Alvin Kamara</v>
      </c>
      <c r="D1272" s="2" t="str">
        <f t="shared" si="39"/>
        <v>NO</v>
      </c>
      <c r="E1272" s="2">
        <v>15</v>
      </c>
      <c r="F1272" s="12">
        <v>105</v>
      </c>
      <c r="G1272" s="11">
        <v>81</v>
      </c>
      <c r="H1272" s="11">
        <v>709</v>
      </c>
      <c r="I1272" s="11">
        <v>8.8000000000000007</v>
      </c>
      <c r="J1272" s="11">
        <v>4</v>
      </c>
      <c r="K1272" s="11">
        <v>0</v>
      </c>
      <c r="L1272" s="11" cm="1">
        <f t="array" ref="L1272">IFERROR(_xlfn.XLOOKUP(C1272&amp;A1272, ESPN!A:A&amp;ESPN!C:C, ESPN!D:D), "N/A")</f>
        <v>317</v>
      </c>
      <c r="M1272" s="23" cm="1">
        <f t="array" ref="M1272">IFERROR(_xlfn.XLOOKUP(C1272&amp;A1272, ESPN!A:A&amp;ESPN!C:C, ESPN!G:G), "N/A")</f>
        <v>2.65</v>
      </c>
      <c r="N1272" s="23" cm="1">
        <f t="array" ref="N1272">IFERROR(_xlfn.XLOOKUP(C1272&amp;A1272, ESPN!A:A&amp;ESPN!C:C, ESPN!H:H), "N/A")</f>
        <v>33</v>
      </c>
      <c r="O1272" s="26" cm="1">
        <f t="array" ref="O1272">IFERROR(_xlfn.XLOOKUP(C1272&amp;A1272, ESPN!A:A&amp;ESPN!C:C, ESPN!I:I), "N/A")</f>
        <v>69</v>
      </c>
      <c r="P1272" s="26" cm="1">
        <f t="array" ref="P1272">IFERROR(_xlfn.XLOOKUP(C1272&amp;A1272, ESPN!A:A&amp;ESPN!C:C, ESPN!J:J), "N/A")</f>
        <v>67</v>
      </c>
      <c r="Q1272" s="26" cm="1">
        <f t="array" ref="Q1272">IFERROR(_xlfn.XLOOKUP(C1272&amp;A1272, ESPN!A:A&amp;ESPN!C:C, ESPN!K:K), "N/A")</f>
        <v>67</v>
      </c>
    </row>
    <row r="1273" spans="1:17" x14ac:dyDescent="0.45">
      <c r="A1273" s="7">
        <v>2018</v>
      </c>
      <c r="B1273" s="3" t="s">
        <v>195</v>
      </c>
      <c r="C1273" s="4" t="str">
        <f t="shared" si="38"/>
        <v>Ezekiel Elliott</v>
      </c>
      <c r="D1273" s="4" t="str">
        <f t="shared" si="39"/>
        <v>DAL</v>
      </c>
      <c r="E1273" s="4">
        <v>15</v>
      </c>
      <c r="F1273" s="12">
        <v>95</v>
      </c>
      <c r="G1273" s="11">
        <v>77</v>
      </c>
      <c r="H1273" s="11">
        <v>567</v>
      </c>
      <c r="I1273" s="11">
        <v>7.4</v>
      </c>
      <c r="J1273" s="11">
        <v>3</v>
      </c>
      <c r="K1273" s="11">
        <v>1</v>
      </c>
      <c r="L1273" s="11" cm="1">
        <f t="array" ref="L1273">IFERROR(_xlfn.XLOOKUP(C1273&amp;A1273, ESPN!A:A&amp;ESPN!C:C, ESPN!D:D), "N/A")</f>
        <v>313</v>
      </c>
      <c r="M1273" s="23" cm="1">
        <f t="array" ref="M1273">IFERROR(_xlfn.XLOOKUP(C1273&amp;A1273, ESPN!A:A&amp;ESPN!C:C, ESPN!G:G), "N/A")</f>
        <v>1.97</v>
      </c>
      <c r="N1273" s="23" cm="1">
        <f t="array" ref="N1273">IFERROR(_xlfn.XLOOKUP(C1273&amp;A1273, ESPN!A:A&amp;ESPN!C:C, ESPN!H:H), "N/A")</f>
        <v>49</v>
      </c>
      <c r="O1273" s="26" cm="1">
        <f t="array" ref="O1273">IFERROR(_xlfn.XLOOKUP(C1273&amp;A1273, ESPN!A:A&amp;ESPN!C:C, ESPN!I:I), "N/A")</f>
        <v>60</v>
      </c>
      <c r="P1273" s="26" cm="1">
        <f t="array" ref="P1273">IFERROR(_xlfn.XLOOKUP(C1273&amp;A1273, ESPN!A:A&amp;ESPN!C:C, ESPN!J:J), "N/A")</f>
        <v>53</v>
      </c>
      <c r="Q1273" s="26" cm="1">
        <f t="array" ref="Q1273">IFERROR(_xlfn.XLOOKUP(C1273&amp;A1273, ESPN!A:A&amp;ESPN!C:C, ESPN!K:K), "N/A")</f>
        <v>58</v>
      </c>
    </row>
    <row r="1274" spans="1:17" x14ac:dyDescent="0.45">
      <c r="A1274" s="6">
        <v>2018</v>
      </c>
      <c r="B1274" s="1" t="s">
        <v>605</v>
      </c>
      <c r="C1274" s="2" t="str">
        <f t="shared" si="38"/>
        <v>Melvin Gordon III</v>
      </c>
      <c r="D1274" s="2" t="str">
        <f t="shared" si="39"/>
        <v>LAC</v>
      </c>
      <c r="E1274" s="2">
        <v>12</v>
      </c>
      <c r="F1274" s="12">
        <v>66</v>
      </c>
      <c r="G1274" s="11">
        <v>50</v>
      </c>
      <c r="H1274" s="11">
        <v>490</v>
      </c>
      <c r="I1274" s="11">
        <v>9.8000000000000007</v>
      </c>
      <c r="J1274" s="11">
        <v>4</v>
      </c>
      <c r="K1274" s="11">
        <v>0</v>
      </c>
      <c r="L1274" s="11" cm="1">
        <f t="array" ref="L1274">IFERROR(_xlfn.XLOOKUP(C1274&amp;A1274, ESPN!A:A&amp;ESPN!C:C, ESPN!D:D), "N/A")</f>
        <v>198</v>
      </c>
      <c r="M1274" s="23" cm="1">
        <f t="array" ref="M1274">IFERROR(_xlfn.XLOOKUP(C1274&amp;A1274, ESPN!A:A&amp;ESPN!C:C, ESPN!G:G), "N/A")</f>
        <v>2.5499999999999998</v>
      </c>
      <c r="N1274" s="23" cm="1">
        <f t="array" ref="N1274">IFERROR(_xlfn.XLOOKUP(C1274&amp;A1274, ESPN!A:A&amp;ESPN!C:C, ESPN!H:H), "N/A")</f>
        <v>48</v>
      </c>
      <c r="O1274" s="26" cm="1">
        <f t="array" ref="O1274">IFERROR(_xlfn.XLOOKUP(C1274&amp;A1274, ESPN!A:A&amp;ESPN!C:C, ESPN!I:I), "N/A")</f>
        <v>40</v>
      </c>
      <c r="P1274" s="26" cm="1">
        <f t="array" ref="P1274">IFERROR(_xlfn.XLOOKUP(C1274&amp;A1274, ESPN!A:A&amp;ESPN!C:C, ESPN!J:J), "N/A")</f>
        <v>67</v>
      </c>
      <c r="Q1274" s="26" cm="1">
        <f t="array" ref="Q1274">IFERROR(_xlfn.XLOOKUP(C1274&amp;A1274, ESPN!A:A&amp;ESPN!C:C, ESPN!K:K), "N/A")</f>
        <v>59</v>
      </c>
    </row>
    <row r="1275" spans="1:17" x14ac:dyDescent="0.45">
      <c r="A1275" s="7">
        <v>2018</v>
      </c>
      <c r="B1275" s="3" t="s">
        <v>529</v>
      </c>
      <c r="C1275" s="4" t="str">
        <f t="shared" si="38"/>
        <v>James Conner</v>
      </c>
      <c r="D1275" s="4" t="str">
        <f t="shared" si="39"/>
        <v>PIT</v>
      </c>
      <c r="E1275" s="4">
        <v>13</v>
      </c>
      <c r="F1275" s="12">
        <v>71</v>
      </c>
      <c r="G1275" s="11">
        <v>55</v>
      </c>
      <c r="H1275" s="11">
        <v>497</v>
      </c>
      <c r="I1275" s="11">
        <v>9</v>
      </c>
      <c r="J1275" s="11">
        <v>1</v>
      </c>
      <c r="K1275" s="11">
        <v>2</v>
      </c>
      <c r="L1275" s="11" cm="1">
        <f t="array" ref="L1275">IFERROR(_xlfn.XLOOKUP(C1275&amp;A1275, ESPN!A:A&amp;ESPN!C:C, ESPN!D:D), "N/A")</f>
        <v>237</v>
      </c>
      <c r="M1275" s="23" cm="1">
        <f t="array" ref="M1275">IFERROR(_xlfn.XLOOKUP(C1275&amp;A1275, ESPN!A:A&amp;ESPN!C:C, ESPN!G:G), "N/A")</f>
        <v>2.1</v>
      </c>
      <c r="N1275" s="23" cm="1">
        <f t="array" ref="N1275">IFERROR(_xlfn.XLOOKUP(C1275&amp;A1275, ESPN!A:A&amp;ESPN!C:C, ESPN!H:H), "N/A")</f>
        <v>36</v>
      </c>
      <c r="O1275" s="26" cm="1">
        <f t="array" ref="O1275">IFERROR(_xlfn.XLOOKUP(C1275&amp;A1275, ESPN!A:A&amp;ESPN!C:C, ESPN!I:I), "N/A")</f>
        <v>32</v>
      </c>
      <c r="P1275" s="26" cm="1">
        <f t="array" ref="P1275">IFERROR(_xlfn.XLOOKUP(C1275&amp;A1275, ESPN!A:A&amp;ESPN!C:C, ESPN!J:J), "N/A")</f>
        <v>77</v>
      </c>
      <c r="Q1275" s="26" cm="1">
        <f t="array" ref="Q1275">IFERROR(_xlfn.XLOOKUP(C1275&amp;A1275, ESPN!A:A&amp;ESPN!C:C, ESPN!K:K), "N/A")</f>
        <v>59</v>
      </c>
    </row>
    <row r="1276" spans="1:17" x14ac:dyDescent="0.45">
      <c r="A1276" s="6">
        <v>2018</v>
      </c>
      <c r="B1276" s="1" t="s">
        <v>36</v>
      </c>
      <c r="C1276" s="2" t="str">
        <f t="shared" si="38"/>
        <v>Kareem Hunt</v>
      </c>
      <c r="D1276" s="2" t="str">
        <f t="shared" si="39"/>
        <v>KC</v>
      </c>
      <c r="E1276" s="2">
        <v>11</v>
      </c>
      <c r="F1276" s="12">
        <v>35</v>
      </c>
      <c r="G1276" s="11">
        <v>26</v>
      </c>
      <c r="H1276" s="11">
        <v>378</v>
      </c>
      <c r="I1276" s="11">
        <v>14.5</v>
      </c>
      <c r="J1276" s="11">
        <v>7</v>
      </c>
      <c r="K1276" s="11">
        <v>0</v>
      </c>
      <c r="L1276" s="11" cm="1">
        <f t="array" ref="L1276">IFERROR(_xlfn.XLOOKUP(C1276&amp;A1276, ESPN!A:A&amp;ESPN!C:C, ESPN!D:D), "N/A")</f>
        <v>190</v>
      </c>
      <c r="M1276" s="23" cm="1">
        <f t="array" ref="M1276">IFERROR(_xlfn.XLOOKUP(C1276&amp;A1276, ESPN!A:A&amp;ESPN!C:C, ESPN!G:G), "N/A")</f>
        <v>1.99</v>
      </c>
      <c r="N1276" s="23" cm="1">
        <f t="array" ref="N1276">IFERROR(_xlfn.XLOOKUP(C1276&amp;A1276, ESPN!A:A&amp;ESPN!C:C, ESPN!H:H), "N/A")</f>
        <v>32</v>
      </c>
      <c r="O1276" s="26" cm="1">
        <f t="array" ref="O1276">IFERROR(_xlfn.XLOOKUP(C1276&amp;A1276, ESPN!A:A&amp;ESPN!C:C, ESPN!I:I), "N/A")</f>
        <v>50</v>
      </c>
      <c r="P1276" s="26" cm="1">
        <f t="array" ref="P1276">IFERROR(_xlfn.XLOOKUP(C1276&amp;A1276, ESPN!A:A&amp;ESPN!C:C, ESPN!J:J), "N/A")</f>
        <v>99</v>
      </c>
      <c r="Q1276" s="26" cm="1">
        <f t="array" ref="Q1276">IFERROR(_xlfn.XLOOKUP(C1276&amp;A1276, ESPN!A:A&amp;ESPN!C:C, ESPN!K:K), "N/A")</f>
        <v>87</v>
      </c>
    </row>
    <row r="1277" spans="1:17" x14ac:dyDescent="0.45">
      <c r="A1277" s="7">
        <v>2018</v>
      </c>
      <c r="B1277" s="3" t="s">
        <v>253</v>
      </c>
      <c r="C1277" s="4" t="str">
        <f t="shared" si="38"/>
        <v>Joe Mixon</v>
      </c>
      <c r="D1277" s="4" t="str">
        <f t="shared" si="39"/>
        <v>CIN</v>
      </c>
      <c r="E1277" s="4">
        <v>14</v>
      </c>
      <c r="F1277" s="12">
        <v>55</v>
      </c>
      <c r="G1277" s="11">
        <v>43</v>
      </c>
      <c r="H1277" s="11">
        <v>296</v>
      </c>
      <c r="I1277" s="11">
        <v>6.9</v>
      </c>
      <c r="J1277" s="11">
        <v>1</v>
      </c>
      <c r="K1277" s="11">
        <v>0</v>
      </c>
      <c r="L1277" s="11" t="str" cm="1">
        <f t="array" ref="L1277">IFERROR(_xlfn.XLOOKUP(C1277&amp;A1277, ESPN!A:A&amp;ESPN!C:C, ESPN!D:D), "N/A")</f>
        <v>N/A</v>
      </c>
      <c r="M1277" s="23" t="str" cm="1">
        <f t="array" ref="M1277">IFERROR(_xlfn.XLOOKUP(C1277&amp;A1277, ESPN!A:A&amp;ESPN!C:C, ESPN!G:G), "N/A")</f>
        <v>N/A</v>
      </c>
      <c r="N1277" s="23" t="str" cm="1">
        <f t="array" ref="N1277">IFERROR(_xlfn.XLOOKUP(C1277&amp;A1277, ESPN!A:A&amp;ESPN!C:C, ESPN!H:H), "N/A")</f>
        <v>N/A</v>
      </c>
      <c r="O1277" s="26" t="str" cm="1">
        <f t="array" ref="O1277">IFERROR(_xlfn.XLOOKUP(C1277&amp;A1277, ESPN!A:A&amp;ESPN!C:C, ESPN!I:I), "N/A")</f>
        <v>N/A</v>
      </c>
      <c r="P1277" s="26" t="str" cm="1">
        <f t="array" ref="P1277">IFERROR(_xlfn.XLOOKUP(C1277&amp;A1277, ESPN!A:A&amp;ESPN!C:C, ESPN!J:J), "N/A")</f>
        <v>N/A</v>
      </c>
      <c r="Q1277" s="26" t="str" cm="1">
        <f t="array" ref="Q1277">IFERROR(_xlfn.XLOOKUP(C1277&amp;A1277, ESPN!A:A&amp;ESPN!C:C, ESPN!K:K), "N/A")</f>
        <v>N/A</v>
      </c>
    </row>
    <row r="1278" spans="1:17" x14ac:dyDescent="0.45">
      <c r="A1278" s="6">
        <v>2018</v>
      </c>
      <c r="B1278" s="1" t="s">
        <v>609</v>
      </c>
      <c r="C1278" s="2" t="str">
        <f t="shared" si="38"/>
        <v>David Johnson</v>
      </c>
      <c r="D1278" s="2" t="str">
        <f t="shared" si="39"/>
        <v>ARI</v>
      </c>
      <c r="E1278" s="2">
        <v>16</v>
      </c>
      <c r="F1278" s="12">
        <v>76</v>
      </c>
      <c r="G1278" s="11">
        <v>50</v>
      </c>
      <c r="H1278" s="11">
        <v>446</v>
      </c>
      <c r="I1278" s="11">
        <v>8.9</v>
      </c>
      <c r="J1278" s="11">
        <v>3</v>
      </c>
      <c r="K1278" s="11">
        <v>2</v>
      </c>
      <c r="L1278" s="11" cm="1">
        <f t="array" ref="L1278">IFERROR(_xlfn.XLOOKUP(C1278&amp;A1278, ESPN!A:A&amp;ESPN!C:C, ESPN!D:D), "N/A")</f>
        <v>200</v>
      </c>
      <c r="M1278" s="23" cm="1">
        <f t="array" ref="M1278">IFERROR(_xlfn.XLOOKUP(C1278&amp;A1278, ESPN!A:A&amp;ESPN!C:C, ESPN!G:G), "N/A")</f>
        <v>2.23</v>
      </c>
      <c r="N1278" s="23" cm="1">
        <f t="array" ref="N1278">IFERROR(_xlfn.XLOOKUP(C1278&amp;A1278, ESPN!A:A&amp;ESPN!C:C, ESPN!H:H), "N/A")</f>
        <v>25</v>
      </c>
      <c r="O1278" s="26" cm="1">
        <f t="array" ref="O1278">IFERROR(_xlfn.XLOOKUP(C1278&amp;A1278, ESPN!A:A&amp;ESPN!C:C, ESPN!I:I), "N/A")</f>
        <v>42</v>
      </c>
      <c r="P1278" s="26" cm="1">
        <f t="array" ref="P1278">IFERROR(_xlfn.XLOOKUP(C1278&amp;A1278, ESPN!A:A&amp;ESPN!C:C, ESPN!J:J), "N/A")</f>
        <v>58</v>
      </c>
      <c r="Q1278" s="26" cm="1">
        <f t="array" ref="Q1278">IFERROR(_xlfn.XLOOKUP(C1278&amp;A1278, ESPN!A:A&amp;ESPN!C:C, ESPN!K:K), "N/A")</f>
        <v>43</v>
      </c>
    </row>
    <row r="1279" spans="1:17" x14ac:dyDescent="0.45">
      <c r="A1279" s="7">
        <v>2018</v>
      </c>
      <c r="B1279" s="3" t="s">
        <v>465</v>
      </c>
      <c r="C1279" s="4" t="str">
        <f t="shared" si="38"/>
        <v>James White</v>
      </c>
      <c r="D1279" s="4" t="str">
        <f t="shared" si="39"/>
        <v>NE</v>
      </c>
      <c r="E1279" s="4">
        <v>16</v>
      </c>
      <c r="F1279" s="12">
        <v>123</v>
      </c>
      <c r="G1279" s="11">
        <v>87</v>
      </c>
      <c r="H1279" s="11">
        <v>751</v>
      </c>
      <c r="I1279" s="11">
        <v>8.6</v>
      </c>
      <c r="J1279" s="11">
        <v>7</v>
      </c>
      <c r="K1279" s="11">
        <v>0</v>
      </c>
      <c r="L1279" s="11" cm="1">
        <f t="array" ref="L1279">IFERROR(_xlfn.XLOOKUP(C1279&amp;A1279, ESPN!A:A&amp;ESPN!C:C, ESPN!D:D), "N/A")</f>
        <v>358</v>
      </c>
      <c r="M1279" s="23" cm="1">
        <f t="array" ref="M1279">IFERROR(_xlfn.XLOOKUP(C1279&amp;A1279, ESPN!A:A&amp;ESPN!C:C, ESPN!G:G), "N/A")</f>
        <v>2.52</v>
      </c>
      <c r="N1279" s="23" cm="1">
        <f t="array" ref="N1279">IFERROR(_xlfn.XLOOKUP(C1279&amp;A1279, ESPN!A:A&amp;ESPN!C:C, ESPN!H:H), "N/A")</f>
        <v>62</v>
      </c>
      <c r="O1279" s="26" cm="1">
        <f t="array" ref="O1279">IFERROR(_xlfn.XLOOKUP(C1279&amp;A1279, ESPN!A:A&amp;ESPN!C:C, ESPN!I:I), "N/A")</f>
        <v>45</v>
      </c>
      <c r="P1279" s="26" cm="1">
        <f t="array" ref="P1279">IFERROR(_xlfn.XLOOKUP(C1279&amp;A1279, ESPN!A:A&amp;ESPN!C:C, ESPN!J:J), "N/A")</f>
        <v>54</v>
      </c>
      <c r="Q1279" s="26" cm="1">
        <f t="array" ref="Q1279">IFERROR(_xlfn.XLOOKUP(C1279&amp;A1279, ESPN!A:A&amp;ESPN!C:C, ESPN!K:K), "N/A")</f>
        <v>55</v>
      </c>
    </row>
    <row r="1280" spans="1:17" x14ac:dyDescent="0.45">
      <c r="A1280" s="6">
        <v>2018</v>
      </c>
      <c r="B1280" s="1" t="s">
        <v>543</v>
      </c>
      <c r="C1280" s="2" t="str">
        <f t="shared" si="38"/>
        <v>Phillip Lindsay</v>
      </c>
      <c r="D1280" s="2" t="str">
        <f t="shared" si="39"/>
        <v>DEN</v>
      </c>
      <c r="E1280" s="2">
        <v>15</v>
      </c>
      <c r="F1280" s="12">
        <v>47</v>
      </c>
      <c r="G1280" s="11">
        <v>35</v>
      </c>
      <c r="H1280" s="11">
        <v>241</v>
      </c>
      <c r="I1280" s="11">
        <v>6.9</v>
      </c>
      <c r="J1280" s="11">
        <v>1</v>
      </c>
      <c r="K1280" s="11">
        <v>0</v>
      </c>
      <c r="L1280" s="11" cm="1">
        <f t="array" ref="L1280">IFERROR(_xlfn.XLOOKUP(C1280&amp;A1280, ESPN!A:A&amp;ESPN!C:C, ESPN!D:D), "N/A")</f>
        <v>118</v>
      </c>
      <c r="M1280" s="23" cm="1">
        <f t="array" ref="M1280">IFERROR(_xlfn.XLOOKUP(C1280&amp;A1280, ESPN!A:A&amp;ESPN!C:C, ESPN!G:G), "N/A")</f>
        <v>2.04</v>
      </c>
      <c r="N1280" s="23" cm="1">
        <f t="array" ref="N1280">IFERROR(_xlfn.XLOOKUP(C1280&amp;A1280, ESPN!A:A&amp;ESPN!C:C, ESPN!H:H), "N/A")</f>
        <v>44</v>
      </c>
      <c r="O1280" s="26" cm="1">
        <f t="array" ref="O1280">IFERROR(_xlfn.XLOOKUP(C1280&amp;A1280, ESPN!A:A&amp;ESPN!C:C, ESPN!I:I), "N/A")</f>
        <v>31</v>
      </c>
      <c r="P1280" s="26" cm="1">
        <f t="array" ref="P1280">IFERROR(_xlfn.XLOOKUP(C1280&amp;A1280, ESPN!A:A&amp;ESPN!C:C, ESPN!J:J), "N/A")</f>
        <v>73</v>
      </c>
      <c r="Q1280" s="26" cm="1">
        <f t="array" ref="Q1280">IFERROR(_xlfn.XLOOKUP(C1280&amp;A1280, ESPN!A:A&amp;ESPN!C:C, ESPN!K:K), "N/A")</f>
        <v>58</v>
      </c>
    </row>
    <row r="1281" spans="1:17" x14ac:dyDescent="0.45">
      <c r="A1281" s="7">
        <v>2018</v>
      </c>
      <c r="B1281" s="3" t="s">
        <v>252</v>
      </c>
      <c r="C1281" s="4" t="str">
        <f t="shared" si="38"/>
        <v>Derrick Henry</v>
      </c>
      <c r="D1281" s="4" t="str">
        <f t="shared" si="39"/>
        <v>TEN</v>
      </c>
      <c r="E1281" s="4">
        <v>16</v>
      </c>
      <c r="F1281" s="12">
        <v>18</v>
      </c>
      <c r="G1281" s="11">
        <v>15</v>
      </c>
      <c r="H1281" s="11">
        <v>99</v>
      </c>
      <c r="I1281" s="11">
        <v>6.6</v>
      </c>
      <c r="J1281" s="11">
        <v>0</v>
      </c>
      <c r="K1281" s="11">
        <v>1</v>
      </c>
      <c r="L1281" s="11" t="str" cm="1">
        <f t="array" ref="L1281">IFERROR(_xlfn.XLOOKUP(C1281&amp;A1281, ESPN!A:A&amp;ESPN!C:C, ESPN!D:D), "N/A")</f>
        <v>N/A</v>
      </c>
      <c r="M1281" s="23" t="str" cm="1">
        <f t="array" ref="M1281">IFERROR(_xlfn.XLOOKUP(C1281&amp;A1281, ESPN!A:A&amp;ESPN!C:C, ESPN!G:G), "N/A")</f>
        <v>N/A</v>
      </c>
      <c r="N1281" s="23" t="str" cm="1">
        <f t="array" ref="N1281">IFERROR(_xlfn.XLOOKUP(C1281&amp;A1281, ESPN!A:A&amp;ESPN!C:C, ESPN!H:H), "N/A")</f>
        <v>N/A</v>
      </c>
      <c r="O1281" s="26" t="str" cm="1">
        <f t="array" ref="O1281">IFERROR(_xlfn.XLOOKUP(C1281&amp;A1281, ESPN!A:A&amp;ESPN!C:C, ESPN!I:I), "N/A")</f>
        <v>N/A</v>
      </c>
      <c r="P1281" s="26" t="str" cm="1">
        <f t="array" ref="P1281">IFERROR(_xlfn.XLOOKUP(C1281&amp;A1281, ESPN!A:A&amp;ESPN!C:C, ESPN!J:J), "N/A")</f>
        <v>N/A</v>
      </c>
      <c r="Q1281" s="26" t="str" cm="1">
        <f t="array" ref="Q1281">IFERROR(_xlfn.XLOOKUP(C1281&amp;A1281, ESPN!A:A&amp;ESPN!C:C, ESPN!K:K), "N/A")</f>
        <v>N/A</v>
      </c>
    </row>
    <row r="1282" spans="1:17" x14ac:dyDescent="0.45">
      <c r="A1282" s="6">
        <v>2018</v>
      </c>
      <c r="B1282" s="1" t="s">
        <v>448</v>
      </c>
      <c r="C1282" s="2" t="str">
        <f t="shared" ref="C1282:C1345" si="40">TRIM(LEFT(B1282, LEN(B1282) - LEN(TRIM(RIGHT(SUBSTITUTE(TRIM(B1282)," ",REPT(" ",100)),100)))))</f>
        <v>Chris Carson</v>
      </c>
      <c r="D1282" s="2" t="str">
        <f t="shared" ref="D1282:D1345" si="41">MID(B1282, FIND("(", B1282) + 1, FIND(")", B1282) - FIND("(", B1282) - 1)</f>
        <v>SEA</v>
      </c>
      <c r="E1282" s="2">
        <v>14</v>
      </c>
      <c r="F1282" s="12">
        <v>24</v>
      </c>
      <c r="G1282" s="11">
        <v>20</v>
      </c>
      <c r="H1282" s="11">
        <v>163</v>
      </c>
      <c r="I1282" s="11">
        <v>8.1999999999999993</v>
      </c>
      <c r="J1282" s="11">
        <v>0</v>
      </c>
      <c r="K1282" s="11">
        <v>2</v>
      </c>
      <c r="L1282" s="11" cm="1">
        <f t="array" ref="L1282">IFERROR(_xlfn.XLOOKUP(C1282&amp;A1282, ESPN!A:A&amp;ESPN!C:C, ESPN!D:D), "N/A")</f>
        <v>106</v>
      </c>
      <c r="M1282" s="23" cm="1">
        <f t="array" ref="M1282">IFERROR(_xlfn.XLOOKUP(C1282&amp;A1282, ESPN!A:A&amp;ESPN!C:C, ESPN!G:G), "N/A")</f>
        <v>1.53</v>
      </c>
      <c r="N1282" s="23" cm="1">
        <f t="array" ref="N1282">IFERROR(_xlfn.XLOOKUP(C1282&amp;A1282, ESPN!A:A&amp;ESPN!C:C, ESPN!H:H), "N/A")</f>
        <v>52</v>
      </c>
      <c r="O1282" s="26" cm="1">
        <f t="array" ref="O1282">IFERROR(_xlfn.XLOOKUP(C1282&amp;A1282, ESPN!A:A&amp;ESPN!C:C, ESPN!I:I), "N/A")</f>
        <v>42</v>
      </c>
      <c r="P1282" s="26" cm="1">
        <f t="array" ref="P1282">IFERROR(_xlfn.XLOOKUP(C1282&amp;A1282, ESPN!A:A&amp;ESPN!C:C, ESPN!J:J), "N/A")</f>
        <v>37</v>
      </c>
      <c r="Q1282" s="26" cm="1">
        <f t="array" ref="Q1282">IFERROR(_xlfn.XLOOKUP(C1282&amp;A1282, ESPN!A:A&amp;ESPN!C:C, ESPN!K:K), "N/A")</f>
        <v>36</v>
      </c>
    </row>
    <row r="1283" spans="1:17" x14ac:dyDescent="0.45">
      <c r="A1283" s="7">
        <v>2018</v>
      </c>
      <c r="B1283" s="3" t="s">
        <v>190</v>
      </c>
      <c r="C1283" s="4" t="str">
        <f t="shared" si="40"/>
        <v>Nick Chubb</v>
      </c>
      <c r="D1283" s="4" t="str">
        <f t="shared" si="41"/>
        <v>CLE</v>
      </c>
      <c r="E1283" s="4">
        <v>16</v>
      </c>
      <c r="F1283" s="12">
        <v>29</v>
      </c>
      <c r="G1283" s="11">
        <v>20</v>
      </c>
      <c r="H1283" s="11">
        <v>149</v>
      </c>
      <c r="I1283" s="11">
        <v>7.5</v>
      </c>
      <c r="J1283" s="11">
        <v>2</v>
      </c>
      <c r="K1283" s="11">
        <v>0</v>
      </c>
      <c r="L1283" s="11" t="str" cm="1">
        <f t="array" ref="L1283">IFERROR(_xlfn.XLOOKUP(C1283&amp;A1283, ESPN!A:A&amp;ESPN!C:C, ESPN!D:D), "N/A")</f>
        <v>N/A</v>
      </c>
      <c r="M1283" s="23" t="str" cm="1">
        <f t="array" ref="M1283">IFERROR(_xlfn.XLOOKUP(C1283&amp;A1283, ESPN!A:A&amp;ESPN!C:C, ESPN!G:G), "N/A")</f>
        <v>N/A</v>
      </c>
      <c r="N1283" s="23" t="str" cm="1">
        <f t="array" ref="N1283">IFERROR(_xlfn.XLOOKUP(C1283&amp;A1283, ESPN!A:A&amp;ESPN!C:C, ESPN!H:H), "N/A")</f>
        <v>N/A</v>
      </c>
      <c r="O1283" s="26" t="str" cm="1">
        <f t="array" ref="O1283">IFERROR(_xlfn.XLOOKUP(C1283&amp;A1283, ESPN!A:A&amp;ESPN!C:C, ESPN!I:I), "N/A")</f>
        <v>N/A</v>
      </c>
      <c r="P1283" s="26" t="str" cm="1">
        <f t="array" ref="P1283">IFERROR(_xlfn.XLOOKUP(C1283&amp;A1283, ESPN!A:A&amp;ESPN!C:C, ESPN!J:J), "N/A")</f>
        <v>N/A</v>
      </c>
      <c r="Q1283" s="26" t="str" cm="1">
        <f t="array" ref="Q1283">IFERROR(_xlfn.XLOOKUP(C1283&amp;A1283, ESPN!A:A&amp;ESPN!C:C, ESPN!K:K), "N/A")</f>
        <v>N/A</v>
      </c>
    </row>
    <row r="1284" spans="1:17" x14ac:dyDescent="0.45">
      <c r="A1284" s="6">
        <v>2018</v>
      </c>
      <c r="B1284" s="1" t="s">
        <v>607</v>
      </c>
      <c r="C1284" s="2" t="str">
        <f t="shared" si="40"/>
        <v>Adrian Peterson</v>
      </c>
      <c r="D1284" s="2" t="str">
        <f t="shared" si="41"/>
        <v>WAS</v>
      </c>
      <c r="E1284" s="2">
        <v>16</v>
      </c>
      <c r="F1284" s="12">
        <v>26</v>
      </c>
      <c r="G1284" s="11">
        <v>20</v>
      </c>
      <c r="H1284" s="11">
        <v>208</v>
      </c>
      <c r="I1284" s="11">
        <v>10.4</v>
      </c>
      <c r="J1284" s="11">
        <v>1</v>
      </c>
      <c r="K1284" s="11">
        <v>2</v>
      </c>
      <c r="L1284" s="11" cm="1">
        <f t="array" ref="L1284">IFERROR(_xlfn.XLOOKUP(C1284&amp;A1284, ESPN!A:A&amp;ESPN!C:C, ESPN!D:D), "N/A")</f>
        <v>112</v>
      </c>
      <c r="M1284" s="23" cm="1">
        <f t="array" ref="M1284">IFERROR(_xlfn.XLOOKUP(C1284&amp;A1284, ESPN!A:A&amp;ESPN!C:C, ESPN!G:G), "N/A")</f>
        <v>1.86</v>
      </c>
      <c r="N1284" s="23" cm="1">
        <f t="array" ref="N1284">IFERROR(_xlfn.XLOOKUP(C1284&amp;A1284, ESPN!A:A&amp;ESPN!C:C, ESPN!H:H), "N/A")</f>
        <v>51</v>
      </c>
      <c r="O1284" s="26" cm="1">
        <f t="array" ref="O1284">IFERROR(_xlfn.XLOOKUP(C1284&amp;A1284, ESPN!A:A&amp;ESPN!C:C, ESPN!I:I), "N/A")</f>
        <v>40</v>
      </c>
      <c r="P1284" s="26" cm="1">
        <f t="array" ref="P1284">IFERROR(_xlfn.XLOOKUP(C1284&amp;A1284, ESPN!A:A&amp;ESPN!C:C, ESPN!J:J), "N/A")</f>
        <v>72</v>
      </c>
      <c r="Q1284" s="26" cm="1">
        <f t="array" ref="Q1284">IFERROR(_xlfn.XLOOKUP(C1284&amp;A1284, ESPN!A:A&amp;ESPN!C:C, ESPN!K:K), "N/A")</f>
        <v>64</v>
      </c>
    </row>
    <row r="1285" spans="1:17" x14ac:dyDescent="0.45">
      <c r="A1285" s="7">
        <v>2018</v>
      </c>
      <c r="B1285" s="3" t="s">
        <v>504</v>
      </c>
      <c r="C1285" s="4" t="str">
        <f t="shared" si="40"/>
        <v>Tarik Cohen</v>
      </c>
      <c r="D1285" s="4" t="str">
        <f t="shared" si="41"/>
        <v>CHI</v>
      </c>
      <c r="E1285" s="4">
        <v>16</v>
      </c>
      <c r="F1285" s="12">
        <v>91</v>
      </c>
      <c r="G1285" s="11">
        <v>71</v>
      </c>
      <c r="H1285" s="11">
        <v>725</v>
      </c>
      <c r="I1285" s="11">
        <v>10.199999999999999</v>
      </c>
      <c r="J1285" s="11">
        <v>5</v>
      </c>
      <c r="K1285" s="11">
        <v>3</v>
      </c>
      <c r="L1285" s="11" cm="1">
        <f t="array" ref="L1285">IFERROR(_xlfn.XLOOKUP(C1285&amp;A1285, ESPN!A:A&amp;ESPN!C:C, ESPN!D:D), "N/A")</f>
        <v>270</v>
      </c>
      <c r="M1285" s="23" cm="1">
        <f t="array" ref="M1285">IFERROR(_xlfn.XLOOKUP(C1285&amp;A1285, ESPN!A:A&amp;ESPN!C:C, ESPN!G:G), "N/A")</f>
        <v>2.79</v>
      </c>
      <c r="N1285" s="23" cm="1">
        <f t="array" ref="N1285">IFERROR(_xlfn.XLOOKUP(C1285&amp;A1285, ESPN!A:A&amp;ESPN!C:C, ESPN!H:H), "N/A")</f>
        <v>48</v>
      </c>
      <c r="O1285" s="26" cm="1">
        <f t="array" ref="O1285">IFERROR(_xlfn.XLOOKUP(C1285&amp;A1285, ESPN!A:A&amp;ESPN!C:C, ESPN!I:I), "N/A")</f>
        <v>86</v>
      </c>
      <c r="P1285" s="26" cm="1">
        <f t="array" ref="P1285">IFERROR(_xlfn.XLOOKUP(C1285&amp;A1285, ESPN!A:A&amp;ESPN!C:C, ESPN!J:J), "N/A")</f>
        <v>55</v>
      </c>
      <c r="Q1285" s="26" cm="1">
        <f t="array" ref="Q1285">IFERROR(_xlfn.XLOOKUP(C1285&amp;A1285, ESPN!A:A&amp;ESPN!C:C, ESPN!K:K), "N/A")</f>
        <v>71</v>
      </c>
    </row>
    <row r="1286" spans="1:17" x14ac:dyDescent="0.45">
      <c r="A1286" s="6">
        <v>2018</v>
      </c>
      <c r="B1286" s="1" t="s">
        <v>699</v>
      </c>
      <c r="C1286" s="2" t="str">
        <f t="shared" si="40"/>
        <v>Tevin Coleman</v>
      </c>
      <c r="D1286" s="2" t="str">
        <f t="shared" si="41"/>
        <v>ATL</v>
      </c>
      <c r="E1286" s="2">
        <v>16</v>
      </c>
      <c r="F1286" s="12">
        <v>44</v>
      </c>
      <c r="G1286" s="11">
        <v>32</v>
      </c>
      <c r="H1286" s="11">
        <v>276</v>
      </c>
      <c r="I1286" s="11">
        <v>8.6</v>
      </c>
      <c r="J1286" s="11">
        <v>5</v>
      </c>
      <c r="K1286" s="11">
        <v>0</v>
      </c>
      <c r="L1286" s="11" cm="1">
        <f t="array" ref="L1286">IFERROR(_xlfn.XLOOKUP(C1286&amp;A1286, ESPN!A:A&amp;ESPN!C:C, ESPN!D:D), "N/A")</f>
        <v>206</v>
      </c>
      <c r="M1286" s="23" cm="1">
        <f t="array" ref="M1286">IFERROR(_xlfn.XLOOKUP(C1286&amp;A1286, ESPN!A:A&amp;ESPN!C:C, ESPN!G:G), "N/A")</f>
        <v>1.34</v>
      </c>
      <c r="N1286" s="23" cm="1">
        <f t="array" ref="N1286">IFERROR(_xlfn.XLOOKUP(C1286&amp;A1286, ESPN!A:A&amp;ESPN!C:C, ESPN!H:H), "N/A")</f>
        <v>51</v>
      </c>
      <c r="O1286" s="26" cm="1">
        <f t="array" ref="O1286">IFERROR(_xlfn.XLOOKUP(C1286&amp;A1286, ESPN!A:A&amp;ESPN!C:C, ESPN!I:I), "N/A")</f>
        <v>53</v>
      </c>
      <c r="P1286" s="26" cm="1">
        <f t="array" ref="P1286">IFERROR(_xlfn.XLOOKUP(C1286&amp;A1286, ESPN!A:A&amp;ESPN!C:C, ESPN!J:J), "N/A")</f>
        <v>74</v>
      </c>
      <c r="Q1286" s="26" cm="1">
        <f t="array" ref="Q1286">IFERROR(_xlfn.XLOOKUP(C1286&amp;A1286, ESPN!A:A&amp;ESPN!C:C, ESPN!K:K), "N/A")</f>
        <v>72</v>
      </c>
    </row>
    <row r="1287" spans="1:17" x14ac:dyDescent="0.45">
      <c r="A1287" s="7">
        <v>2018</v>
      </c>
      <c r="B1287" s="3" t="s">
        <v>473</v>
      </c>
      <c r="C1287" s="4" t="str">
        <f t="shared" si="40"/>
        <v>Marlon Mack</v>
      </c>
      <c r="D1287" s="4" t="str">
        <f t="shared" si="41"/>
        <v>IND</v>
      </c>
      <c r="E1287" s="4">
        <v>12</v>
      </c>
      <c r="F1287" s="12">
        <v>26</v>
      </c>
      <c r="G1287" s="11">
        <v>17</v>
      </c>
      <c r="H1287" s="11">
        <v>103</v>
      </c>
      <c r="I1287" s="11">
        <v>6.1</v>
      </c>
      <c r="J1287" s="11">
        <v>1</v>
      </c>
      <c r="K1287" s="11">
        <v>2</v>
      </c>
      <c r="L1287" s="11" cm="1">
        <f t="array" ref="L1287">IFERROR(_xlfn.XLOOKUP(C1287&amp;A1287, ESPN!A:A&amp;ESPN!C:C, ESPN!D:D), "N/A")</f>
        <v>153</v>
      </c>
      <c r="M1287" s="23" cm="1">
        <f t="array" ref="M1287">IFERROR(_xlfn.XLOOKUP(C1287&amp;A1287, ESPN!A:A&amp;ESPN!C:C, ESPN!G:G), "N/A")</f>
        <v>0.71</v>
      </c>
      <c r="N1287" s="23" cm="1">
        <f t="array" ref="N1287">IFERROR(_xlfn.XLOOKUP(C1287&amp;A1287, ESPN!A:A&amp;ESPN!C:C, ESPN!H:H), "N/A")</f>
        <v>45</v>
      </c>
      <c r="O1287" s="26" cm="1">
        <f t="array" ref="O1287">IFERROR(_xlfn.XLOOKUP(C1287&amp;A1287, ESPN!A:A&amp;ESPN!C:C, ESPN!I:I), "N/A")</f>
        <v>34</v>
      </c>
      <c r="P1287" s="26" cm="1">
        <f t="array" ref="P1287">IFERROR(_xlfn.XLOOKUP(C1287&amp;A1287, ESPN!A:A&amp;ESPN!C:C, ESPN!J:J), "N/A")</f>
        <v>36</v>
      </c>
      <c r="Q1287" s="26" cm="1">
        <f t="array" ref="Q1287">IFERROR(_xlfn.XLOOKUP(C1287&amp;A1287, ESPN!A:A&amp;ESPN!C:C, ESPN!K:K), "N/A")</f>
        <v>29</v>
      </c>
    </row>
    <row r="1288" spans="1:17" x14ac:dyDescent="0.45">
      <c r="A1288" s="6">
        <v>2018</v>
      </c>
      <c r="B1288" s="1" t="s">
        <v>700</v>
      </c>
      <c r="C1288" s="2" t="str">
        <f t="shared" si="40"/>
        <v>Jordan Howard</v>
      </c>
      <c r="D1288" s="2" t="str">
        <f t="shared" si="41"/>
        <v>CHI</v>
      </c>
      <c r="E1288" s="2">
        <v>16</v>
      </c>
      <c r="F1288" s="12">
        <v>27</v>
      </c>
      <c r="G1288" s="11">
        <v>20</v>
      </c>
      <c r="H1288" s="11">
        <v>145</v>
      </c>
      <c r="I1288" s="11">
        <v>7.3</v>
      </c>
      <c r="J1288" s="11">
        <v>0</v>
      </c>
      <c r="K1288" s="11">
        <v>1</v>
      </c>
      <c r="L1288" s="11" cm="1">
        <f t="array" ref="L1288">IFERROR(_xlfn.XLOOKUP(C1288&amp;A1288, ESPN!A:A&amp;ESPN!C:C, ESPN!D:D), "N/A")</f>
        <v>152</v>
      </c>
      <c r="M1288" s="23" cm="1">
        <f t="array" ref="M1288">IFERROR(_xlfn.XLOOKUP(C1288&amp;A1288, ESPN!A:A&amp;ESPN!C:C, ESPN!G:G), "N/A")</f>
        <v>0.95</v>
      </c>
      <c r="N1288" s="23" cm="1">
        <f t="array" ref="N1288">IFERROR(_xlfn.XLOOKUP(C1288&amp;A1288, ESPN!A:A&amp;ESPN!C:C, ESPN!H:H), "N/A")</f>
        <v>29</v>
      </c>
      <c r="O1288" s="26" cm="1">
        <f t="array" ref="O1288">IFERROR(_xlfn.XLOOKUP(C1288&amp;A1288, ESPN!A:A&amp;ESPN!C:C, ESPN!I:I), "N/A")</f>
        <v>41</v>
      </c>
      <c r="P1288" s="26" cm="1">
        <f t="array" ref="P1288">IFERROR(_xlfn.XLOOKUP(C1288&amp;A1288, ESPN!A:A&amp;ESPN!C:C, ESPN!J:J), "N/A")</f>
        <v>49</v>
      </c>
      <c r="Q1288" s="26" cm="1">
        <f t="array" ref="Q1288">IFERROR(_xlfn.XLOOKUP(C1288&amp;A1288, ESPN!A:A&amp;ESPN!C:C, ESPN!K:K), "N/A")</f>
        <v>37</v>
      </c>
    </row>
    <row r="1289" spans="1:17" x14ac:dyDescent="0.45">
      <c r="A1289" s="7">
        <v>2018</v>
      </c>
      <c r="B1289" s="3" t="s">
        <v>701</v>
      </c>
      <c r="C1289" s="4" t="str">
        <f t="shared" si="40"/>
        <v>Kenyan Drake</v>
      </c>
      <c r="D1289" s="4" t="str">
        <f t="shared" si="41"/>
        <v>MIA</v>
      </c>
      <c r="E1289" s="4">
        <v>16</v>
      </c>
      <c r="F1289" s="12">
        <v>73</v>
      </c>
      <c r="G1289" s="11">
        <v>53</v>
      </c>
      <c r="H1289" s="11">
        <v>477</v>
      </c>
      <c r="I1289" s="11">
        <v>9</v>
      </c>
      <c r="J1289" s="11">
        <v>5</v>
      </c>
      <c r="K1289" s="11">
        <v>1</v>
      </c>
      <c r="L1289" s="11" cm="1">
        <f t="array" ref="L1289">IFERROR(_xlfn.XLOOKUP(C1289&amp;A1289, ESPN!A:A&amp;ESPN!C:C, ESPN!D:D), "N/A")</f>
        <v>210</v>
      </c>
      <c r="M1289" s="23" cm="1">
        <f t="array" ref="M1289">IFERROR(_xlfn.XLOOKUP(C1289&amp;A1289, ESPN!A:A&amp;ESPN!C:C, ESPN!G:G), "N/A")</f>
        <v>2.27</v>
      </c>
      <c r="N1289" s="23" cm="1">
        <f t="array" ref="N1289">IFERROR(_xlfn.XLOOKUP(C1289&amp;A1289, ESPN!A:A&amp;ESPN!C:C, ESPN!H:H), "N/A")</f>
        <v>48</v>
      </c>
      <c r="O1289" s="26" cm="1">
        <f t="array" ref="O1289">IFERROR(_xlfn.XLOOKUP(C1289&amp;A1289, ESPN!A:A&amp;ESPN!C:C, ESPN!I:I), "N/A")</f>
        <v>55</v>
      </c>
      <c r="P1289" s="26" cm="1">
        <f t="array" ref="P1289">IFERROR(_xlfn.XLOOKUP(C1289&amp;A1289, ESPN!A:A&amp;ESPN!C:C, ESPN!J:J), "N/A")</f>
        <v>52</v>
      </c>
      <c r="Q1289" s="26" cm="1">
        <f t="array" ref="Q1289">IFERROR(_xlfn.XLOOKUP(C1289&amp;A1289, ESPN!A:A&amp;ESPN!C:C, ESPN!K:K), "N/A")</f>
        <v>53</v>
      </c>
    </row>
    <row r="1290" spans="1:17" x14ac:dyDescent="0.45">
      <c r="A1290" s="6">
        <v>2018</v>
      </c>
      <c r="B1290" s="1" t="s">
        <v>671</v>
      </c>
      <c r="C1290" s="2" t="str">
        <f t="shared" si="40"/>
        <v>Lamar Miller</v>
      </c>
      <c r="D1290" s="2" t="str">
        <f t="shared" si="41"/>
        <v>HOU</v>
      </c>
      <c r="E1290" s="2">
        <v>14</v>
      </c>
      <c r="F1290" s="12">
        <v>35</v>
      </c>
      <c r="G1290" s="11">
        <v>25</v>
      </c>
      <c r="H1290" s="11">
        <v>163</v>
      </c>
      <c r="I1290" s="11">
        <v>6.5</v>
      </c>
      <c r="J1290" s="11">
        <v>1</v>
      </c>
      <c r="K1290" s="11">
        <v>1</v>
      </c>
      <c r="L1290" s="11" cm="1">
        <f t="array" ref="L1290">IFERROR(_xlfn.XLOOKUP(C1290&amp;A1290, ESPN!A:A&amp;ESPN!C:C, ESPN!D:D), "N/A")</f>
        <v>207</v>
      </c>
      <c r="M1290" s="23" cm="1">
        <f t="array" ref="M1290">IFERROR(_xlfn.XLOOKUP(C1290&amp;A1290, ESPN!A:A&amp;ESPN!C:C, ESPN!G:G), "N/A")</f>
        <v>1.0900000000000001</v>
      </c>
      <c r="N1290" s="23" cm="1">
        <f t="array" ref="N1290">IFERROR(_xlfn.XLOOKUP(C1290&amp;A1290, ESPN!A:A&amp;ESPN!C:C, ESPN!H:H), "N/A")</f>
        <v>53</v>
      </c>
      <c r="O1290" s="26" cm="1">
        <f t="array" ref="O1290">IFERROR(_xlfn.XLOOKUP(C1290&amp;A1290, ESPN!A:A&amp;ESPN!C:C, ESPN!I:I), "N/A")</f>
        <v>52</v>
      </c>
      <c r="P1290" s="26" cm="1">
        <f t="array" ref="P1290">IFERROR(_xlfn.XLOOKUP(C1290&amp;A1290, ESPN!A:A&amp;ESPN!C:C, ESPN!J:J), "N/A")</f>
        <v>44</v>
      </c>
      <c r="Q1290" s="26" cm="1">
        <f t="array" ref="Q1290">IFERROR(_xlfn.XLOOKUP(C1290&amp;A1290, ESPN!A:A&amp;ESPN!C:C, ESPN!K:K), "N/A")</f>
        <v>47</v>
      </c>
    </row>
    <row r="1291" spans="1:17" x14ac:dyDescent="0.45">
      <c r="A1291" s="7">
        <v>2018</v>
      </c>
      <c r="B1291" s="3" t="s">
        <v>263</v>
      </c>
      <c r="C1291" s="4" t="str">
        <f t="shared" si="40"/>
        <v>Aaron Jones Sr.</v>
      </c>
      <c r="D1291" s="4" t="str">
        <f t="shared" si="41"/>
        <v>GB</v>
      </c>
      <c r="E1291" s="4">
        <v>12</v>
      </c>
      <c r="F1291" s="12">
        <v>35</v>
      </c>
      <c r="G1291" s="11">
        <v>26</v>
      </c>
      <c r="H1291" s="11">
        <v>206</v>
      </c>
      <c r="I1291" s="11">
        <v>7.9</v>
      </c>
      <c r="J1291" s="11">
        <v>1</v>
      </c>
      <c r="K1291" s="11">
        <v>1</v>
      </c>
      <c r="L1291" s="11" cm="1">
        <f t="array" ref="L1291">IFERROR(_xlfn.XLOOKUP(C1291&amp;A1291, ESPN!A:A&amp;ESPN!C:C, ESPN!D:D), "N/A")</f>
        <v>145</v>
      </c>
      <c r="M1291" s="23" cm="1">
        <f t="array" ref="M1291">IFERROR(_xlfn.XLOOKUP(C1291&amp;A1291, ESPN!A:A&amp;ESPN!C:C, ESPN!G:G), "N/A")</f>
        <v>1.42</v>
      </c>
      <c r="N1291" s="23" cm="1">
        <f t="array" ref="N1291">IFERROR(_xlfn.XLOOKUP(C1291&amp;A1291, ESPN!A:A&amp;ESPN!C:C, ESPN!H:H), "N/A")</f>
        <v>34</v>
      </c>
      <c r="O1291" s="26" cm="1">
        <f t="array" ref="O1291">IFERROR(_xlfn.XLOOKUP(C1291&amp;A1291, ESPN!A:A&amp;ESPN!C:C, ESPN!I:I), "N/A")</f>
        <v>53</v>
      </c>
      <c r="P1291" s="26" cm="1">
        <f t="array" ref="P1291">IFERROR(_xlfn.XLOOKUP(C1291&amp;A1291, ESPN!A:A&amp;ESPN!C:C, ESPN!J:J), "N/A")</f>
        <v>54</v>
      </c>
      <c r="Q1291" s="26" cm="1">
        <f t="array" ref="Q1291">IFERROR(_xlfn.XLOOKUP(C1291&amp;A1291, ESPN!A:A&amp;ESPN!C:C, ESPN!K:K), "N/A")</f>
        <v>49</v>
      </c>
    </row>
    <row r="1292" spans="1:17" x14ac:dyDescent="0.45">
      <c r="A1292" s="6">
        <v>2018</v>
      </c>
      <c r="B1292" s="1" t="s">
        <v>613</v>
      </c>
      <c r="C1292" s="2" t="str">
        <f t="shared" si="40"/>
        <v>Matt Breida</v>
      </c>
      <c r="D1292" s="2" t="str">
        <f t="shared" si="41"/>
        <v>SF</v>
      </c>
      <c r="E1292" s="2">
        <v>14</v>
      </c>
      <c r="F1292" s="12">
        <v>31</v>
      </c>
      <c r="G1292" s="11">
        <v>27</v>
      </c>
      <c r="H1292" s="11">
        <v>261</v>
      </c>
      <c r="I1292" s="11">
        <v>9.6999999999999993</v>
      </c>
      <c r="J1292" s="11">
        <v>2</v>
      </c>
      <c r="K1292" s="11">
        <v>1</v>
      </c>
      <c r="L1292" s="11" cm="1">
        <f t="array" ref="L1292">IFERROR(_xlfn.XLOOKUP(C1292&amp;A1292, ESPN!A:A&amp;ESPN!C:C, ESPN!D:D), "N/A")</f>
        <v>126</v>
      </c>
      <c r="M1292" s="23" cm="1">
        <f t="array" ref="M1292">IFERROR(_xlfn.XLOOKUP(C1292&amp;A1292, ESPN!A:A&amp;ESPN!C:C, ESPN!G:G), "N/A")</f>
        <v>2.0699999999999998</v>
      </c>
      <c r="N1292" s="23" cm="1">
        <f t="array" ref="N1292">IFERROR(_xlfn.XLOOKUP(C1292&amp;A1292, ESPN!A:A&amp;ESPN!C:C, ESPN!H:H), "N/A")</f>
        <v>36</v>
      </c>
      <c r="O1292" s="26" cm="1">
        <f t="array" ref="O1292">IFERROR(_xlfn.XLOOKUP(C1292&amp;A1292, ESPN!A:A&amp;ESPN!C:C, ESPN!I:I), "N/A")</f>
        <v>62</v>
      </c>
      <c r="P1292" s="26" cm="1">
        <f t="array" ref="P1292">IFERROR(_xlfn.XLOOKUP(C1292&amp;A1292, ESPN!A:A&amp;ESPN!C:C, ESPN!J:J), "N/A")</f>
        <v>72</v>
      </c>
      <c r="Q1292" s="26" cm="1">
        <f t="array" ref="Q1292">IFERROR(_xlfn.XLOOKUP(C1292&amp;A1292, ESPN!A:A&amp;ESPN!C:C, ESPN!K:K), "N/A")</f>
        <v>70</v>
      </c>
    </row>
    <row r="1293" spans="1:17" x14ac:dyDescent="0.45">
      <c r="A1293" s="7">
        <v>2018</v>
      </c>
      <c r="B1293" s="3" t="s">
        <v>541</v>
      </c>
      <c r="C1293" s="4" t="str">
        <f t="shared" si="40"/>
        <v>Sony Michel</v>
      </c>
      <c r="D1293" s="4" t="str">
        <f t="shared" si="41"/>
        <v>NE</v>
      </c>
      <c r="E1293" s="4">
        <v>13</v>
      </c>
      <c r="F1293" s="12">
        <v>11</v>
      </c>
      <c r="G1293" s="11">
        <v>7</v>
      </c>
      <c r="H1293" s="11">
        <v>50</v>
      </c>
      <c r="I1293" s="11">
        <v>7.1</v>
      </c>
      <c r="J1293" s="11">
        <v>0</v>
      </c>
      <c r="K1293" s="11">
        <v>1</v>
      </c>
      <c r="L1293" s="11" t="str" cm="1">
        <f t="array" ref="L1293">IFERROR(_xlfn.XLOOKUP(C1293&amp;A1293, ESPN!A:A&amp;ESPN!C:C, ESPN!D:D), "N/A")</f>
        <v>N/A</v>
      </c>
      <c r="M1293" s="23" t="str" cm="1">
        <f t="array" ref="M1293">IFERROR(_xlfn.XLOOKUP(C1293&amp;A1293, ESPN!A:A&amp;ESPN!C:C, ESPN!G:G), "N/A")</f>
        <v>N/A</v>
      </c>
      <c r="N1293" s="23" t="str" cm="1">
        <f t="array" ref="N1293">IFERROR(_xlfn.XLOOKUP(C1293&amp;A1293, ESPN!A:A&amp;ESPN!C:C, ESPN!H:H), "N/A")</f>
        <v>N/A</v>
      </c>
      <c r="O1293" s="26" t="str" cm="1">
        <f t="array" ref="O1293">IFERROR(_xlfn.XLOOKUP(C1293&amp;A1293, ESPN!A:A&amp;ESPN!C:C, ESPN!I:I), "N/A")</f>
        <v>N/A</v>
      </c>
      <c r="P1293" s="26" t="str" cm="1">
        <f t="array" ref="P1293">IFERROR(_xlfn.XLOOKUP(C1293&amp;A1293, ESPN!A:A&amp;ESPN!C:C, ESPN!J:J), "N/A")</f>
        <v>N/A</v>
      </c>
      <c r="Q1293" s="26" t="str" cm="1">
        <f t="array" ref="Q1293">IFERROR(_xlfn.XLOOKUP(C1293&amp;A1293, ESPN!A:A&amp;ESPN!C:C, ESPN!K:K), "N/A")</f>
        <v>N/A</v>
      </c>
    </row>
    <row r="1294" spans="1:17" x14ac:dyDescent="0.45">
      <c r="A1294" s="6">
        <v>2018</v>
      </c>
      <c r="B1294" s="1" t="s">
        <v>610</v>
      </c>
      <c r="C1294" s="2" t="str">
        <f t="shared" si="40"/>
        <v>Peyton Barber</v>
      </c>
      <c r="D1294" s="2" t="str">
        <f t="shared" si="41"/>
        <v>TB</v>
      </c>
      <c r="E1294" s="2">
        <v>16</v>
      </c>
      <c r="F1294" s="12">
        <v>29</v>
      </c>
      <c r="G1294" s="11">
        <v>20</v>
      </c>
      <c r="H1294" s="11">
        <v>92</v>
      </c>
      <c r="I1294" s="11">
        <v>4.5999999999999996</v>
      </c>
      <c r="J1294" s="11">
        <v>1</v>
      </c>
      <c r="K1294" s="11">
        <v>1</v>
      </c>
      <c r="L1294" s="11" cm="1">
        <f t="array" ref="L1294">IFERROR(_xlfn.XLOOKUP(C1294&amp;A1294, ESPN!A:A&amp;ESPN!C:C, ESPN!D:D), "N/A")</f>
        <v>195</v>
      </c>
      <c r="M1294" s="23" cm="1">
        <f t="array" ref="M1294">IFERROR(_xlfn.XLOOKUP(C1294&amp;A1294, ESPN!A:A&amp;ESPN!C:C, ESPN!G:G), "N/A")</f>
        <v>0.47</v>
      </c>
      <c r="N1294" s="23" cm="1">
        <f t="array" ref="N1294">IFERROR(_xlfn.XLOOKUP(C1294&amp;A1294, ESPN!A:A&amp;ESPN!C:C, ESPN!H:H), "N/A")</f>
        <v>55</v>
      </c>
      <c r="O1294" s="26" cm="1">
        <f t="array" ref="O1294">IFERROR(_xlfn.XLOOKUP(C1294&amp;A1294, ESPN!A:A&amp;ESPN!C:C, ESPN!I:I), "N/A")</f>
        <v>38</v>
      </c>
      <c r="P1294" s="26" cm="1">
        <f t="array" ref="P1294">IFERROR(_xlfn.XLOOKUP(C1294&amp;A1294, ESPN!A:A&amp;ESPN!C:C, ESPN!J:J), "N/A")</f>
        <v>36</v>
      </c>
      <c r="Q1294" s="26" cm="1">
        <f t="array" ref="Q1294">IFERROR(_xlfn.XLOOKUP(C1294&amp;A1294, ESPN!A:A&amp;ESPN!C:C, ESPN!K:K), "N/A")</f>
        <v>34</v>
      </c>
    </row>
    <row r="1295" spans="1:17" x14ac:dyDescent="0.45">
      <c r="A1295" s="7">
        <v>2018</v>
      </c>
      <c r="B1295" s="3" t="s">
        <v>261</v>
      </c>
      <c r="C1295" s="4" t="str">
        <f t="shared" si="40"/>
        <v>Austin Ekeler</v>
      </c>
      <c r="D1295" s="4" t="str">
        <f t="shared" si="41"/>
        <v>LAC</v>
      </c>
      <c r="E1295" s="4">
        <v>14</v>
      </c>
      <c r="F1295" s="12">
        <v>53</v>
      </c>
      <c r="G1295" s="11">
        <v>39</v>
      </c>
      <c r="H1295" s="11">
        <v>404</v>
      </c>
      <c r="I1295" s="11">
        <v>10.4</v>
      </c>
      <c r="J1295" s="11">
        <v>3</v>
      </c>
      <c r="K1295" s="11">
        <v>1</v>
      </c>
      <c r="L1295" s="11" cm="1">
        <f t="array" ref="L1295">IFERROR(_xlfn.XLOOKUP(C1295&amp;A1295, ESPN!A:A&amp;ESPN!C:C, ESPN!D:D), "N/A")</f>
        <v>179</v>
      </c>
      <c r="M1295" s="23" cm="1">
        <f t="array" ref="M1295">IFERROR(_xlfn.XLOOKUP(C1295&amp;A1295, ESPN!A:A&amp;ESPN!C:C, ESPN!G:G), "N/A")</f>
        <v>2.44</v>
      </c>
      <c r="N1295" s="23" cm="1">
        <f t="array" ref="N1295">IFERROR(_xlfn.XLOOKUP(C1295&amp;A1295, ESPN!A:A&amp;ESPN!C:C, ESPN!H:H), "N/A")</f>
        <v>35</v>
      </c>
      <c r="O1295" s="26" cm="1">
        <f t="array" ref="O1295">IFERROR(_xlfn.XLOOKUP(C1295&amp;A1295, ESPN!A:A&amp;ESPN!C:C, ESPN!I:I), "N/A")</f>
        <v>36</v>
      </c>
      <c r="P1295" s="26" cm="1">
        <f t="array" ref="P1295">IFERROR(_xlfn.XLOOKUP(C1295&amp;A1295, ESPN!A:A&amp;ESPN!C:C, ESPN!J:J), "N/A")</f>
        <v>77</v>
      </c>
      <c r="Q1295" s="26" cm="1">
        <f t="array" ref="Q1295">IFERROR(_xlfn.XLOOKUP(C1295&amp;A1295, ESPN!A:A&amp;ESPN!C:C, ESPN!K:K), "N/A")</f>
        <v>61</v>
      </c>
    </row>
    <row r="1296" spans="1:17" x14ac:dyDescent="0.45">
      <c r="A1296" s="6">
        <v>2018</v>
      </c>
      <c r="B1296" s="1" t="s">
        <v>366</v>
      </c>
      <c r="C1296" s="2" t="str">
        <f t="shared" si="40"/>
        <v>Mark Ingram II</v>
      </c>
      <c r="D1296" s="2" t="str">
        <f t="shared" si="41"/>
        <v>NO</v>
      </c>
      <c r="E1296" s="2">
        <v>12</v>
      </c>
      <c r="F1296" s="12">
        <v>27</v>
      </c>
      <c r="G1296" s="11">
        <v>21</v>
      </c>
      <c r="H1296" s="11">
        <v>170</v>
      </c>
      <c r="I1296" s="11">
        <v>8.1</v>
      </c>
      <c r="J1296" s="11">
        <v>1</v>
      </c>
      <c r="K1296" s="11">
        <v>1</v>
      </c>
      <c r="L1296" s="11" cm="1">
        <f t="array" ref="L1296">IFERROR(_xlfn.XLOOKUP(C1296&amp;A1296, ESPN!A:A&amp;ESPN!C:C, ESPN!D:D), "N/A")</f>
        <v>109</v>
      </c>
      <c r="M1296" s="23" cm="1">
        <f t="array" ref="M1296">IFERROR(_xlfn.XLOOKUP(C1296&amp;A1296, ESPN!A:A&amp;ESPN!C:C, ESPN!G:G), "N/A")</f>
        <v>1.7</v>
      </c>
      <c r="N1296" s="23" cm="1">
        <f t="array" ref="N1296">IFERROR(_xlfn.XLOOKUP(C1296&amp;A1296, ESPN!A:A&amp;ESPN!C:C, ESPN!H:H), "N/A")</f>
        <v>26</v>
      </c>
      <c r="O1296" s="26" cm="1">
        <f t="array" ref="O1296">IFERROR(_xlfn.XLOOKUP(C1296&amp;A1296, ESPN!A:A&amp;ESPN!C:C, ESPN!I:I), "N/A")</f>
        <v>53</v>
      </c>
      <c r="P1296" s="26" cm="1">
        <f t="array" ref="P1296">IFERROR(_xlfn.XLOOKUP(C1296&amp;A1296, ESPN!A:A&amp;ESPN!C:C, ESPN!J:J), "N/A")</f>
        <v>59</v>
      </c>
      <c r="Q1296" s="26" cm="1">
        <f t="array" ref="Q1296">IFERROR(_xlfn.XLOOKUP(C1296&amp;A1296, ESPN!A:A&amp;ESPN!C:C, ESPN!K:K), "N/A")</f>
        <v>50</v>
      </c>
    </row>
    <row r="1297" spans="1:17" x14ac:dyDescent="0.45">
      <c r="A1297" s="7">
        <v>2018</v>
      </c>
      <c r="B1297" s="3" t="s">
        <v>702</v>
      </c>
      <c r="C1297" s="4" t="str">
        <f t="shared" si="40"/>
        <v>Isaiah Crowell</v>
      </c>
      <c r="D1297" s="4" t="str">
        <f t="shared" si="41"/>
        <v>NYJ</v>
      </c>
      <c r="E1297" s="4">
        <v>13</v>
      </c>
      <c r="F1297" s="12">
        <v>28</v>
      </c>
      <c r="G1297" s="11">
        <v>21</v>
      </c>
      <c r="H1297" s="11">
        <v>152</v>
      </c>
      <c r="I1297" s="11">
        <v>7.2</v>
      </c>
      <c r="J1297" s="11">
        <v>0</v>
      </c>
      <c r="K1297" s="11">
        <v>0</v>
      </c>
      <c r="L1297" s="11" t="str" cm="1">
        <f t="array" ref="L1297">IFERROR(_xlfn.XLOOKUP(C1297&amp;A1297, ESPN!A:A&amp;ESPN!C:C, ESPN!D:D), "N/A")</f>
        <v>N/A</v>
      </c>
      <c r="M1297" s="23" t="str" cm="1">
        <f t="array" ref="M1297">IFERROR(_xlfn.XLOOKUP(C1297&amp;A1297, ESPN!A:A&amp;ESPN!C:C, ESPN!G:G), "N/A")</f>
        <v>N/A</v>
      </c>
      <c r="N1297" s="23" t="str" cm="1">
        <f t="array" ref="N1297">IFERROR(_xlfn.XLOOKUP(C1297&amp;A1297, ESPN!A:A&amp;ESPN!C:C, ESPN!H:H), "N/A")</f>
        <v>N/A</v>
      </c>
      <c r="O1297" s="26" t="str" cm="1">
        <f t="array" ref="O1297">IFERROR(_xlfn.XLOOKUP(C1297&amp;A1297, ESPN!A:A&amp;ESPN!C:C, ESPN!I:I), "N/A")</f>
        <v>N/A</v>
      </c>
      <c r="P1297" s="26" t="str" cm="1">
        <f t="array" ref="P1297">IFERROR(_xlfn.XLOOKUP(C1297&amp;A1297, ESPN!A:A&amp;ESPN!C:C, ESPN!J:J), "N/A")</f>
        <v>N/A</v>
      </c>
      <c r="Q1297" s="26" t="str" cm="1">
        <f t="array" ref="Q1297">IFERROR(_xlfn.XLOOKUP(C1297&amp;A1297, ESPN!A:A&amp;ESPN!C:C, ESPN!K:K), "N/A")</f>
        <v>N/A</v>
      </c>
    </row>
    <row r="1298" spans="1:17" x14ac:dyDescent="0.45">
      <c r="A1298" s="6">
        <v>2018</v>
      </c>
      <c r="B1298" s="1" t="s">
        <v>703</v>
      </c>
      <c r="C1298" s="2" t="str">
        <f t="shared" si="40"/>
        <v>T.J. Yeldon</v>
      </c>
      <c r="D1298" s="2" t="str">
        <f t="shared" si="41"/>
        <v>JAC</v>
      </c>
      <c r="E1298" s="2">
        <v>14</v>
      </c>
      <c r="F1298" s="12">
        <v>78</v>
      </c>
      <c r="G1298" s="11">
        <v>55</v>
      </c>
      <c r="H1298" s="11">
        <v>487</v>
      </c>
      <c r="I1298" s="11">
        <v>8.9</v>
      </c>
      <c r="J1298" s="11">
        <v>4</v>
      </c>
      <c r="K1298" s="11">
        <v>1</v>
      </c>
      <c r="L1298" s="11" cm="1">
        <f t="array" ref="L1298">IFERROR(_xlfn.XLOOKUP(C1298&amp;A1298, ESPN!A:A&amp;ESPN!C:C, ESPN!D:D), "N/A")</f>
        <v>215</v>
      </c>
      <c r="M1298" s="23" cm="1">
        <f t="array" ref="M1298">IFERROR(_xlfn.XLOOKUP(C1298&amp;A1298, ESPN!A:A&amp;ESPN!C:C, ESPN!G:G), "N/A")</f>
        <v>2.27</v>
      </c>
      <c r="N1298" s="23" cm="1">
        <f t="array" ref="N1298">IFERROR(_xlfn.XLOOKUP(C1298&amp;A1298, ESPN!A:A&amp;ESPN!C:C, ESPN!H:H), "N/A")</f>
        <v>74</v>
      </c>
      <c r="O1298" s="26" cm="1">
        <f t="array" ref="O1298">IFERROR(_xlfn.XLOOKUP(C1298&amp;A1298, ESPN!A:A&amp;ESPN!C:C, ESPN!I:I), "N/A")</f>
        <v>39</v>
      </c>
      <c r="P1298" s="26" cm="1">
        <f t="array" ref="P1298">IFERROR(_xlfn.XLOOKUP(C1298&amp;A1298, ESPN!A:A&amp;ESPN!C:C, ESPN!J:J), "N/A")</f>
        <v>33</v>
      </c>
      <c r="Q1298" s="26" cm="1">
        <f t="array" ref="Q1298">IFERROR(_xlfn.XLOOKUP(C1298&amp;A1298, ESPN!A:A&amp;ESPN!C:C, ESPN!K:K), "N/A")</f>
        <v>39</v>
      </c>
    </row>
    <row r="1299" spans="1:17" x14ac:dyDescent="0.45">
      <c r="A1299" s="7">
        <v>2018</v>
      </c>
      <c r="B1299" s="3" t="s">
        <v>342</v>
      </c>
      <c r="C1299" s="4" t="str">
        <f t="shared" si="40"/>
        <v>Dalvin Cook</v>
      </c>
      <c r="D1299" s="4" t="str">
        <f t="shared" si="41"/>
        <v>MIN</v>
      </c>
      <c r="E1299" s="4">
        <v>11</v>
      </c>
      <c r="F1299" s="12">
        <v>49</v>
      </c>
      <c r="G1299" s="11">
        <v>40</v>
      </c>
      <c r="H1299" s="11">
        <v>305</v>
      </c>
      <c r="I1299" s="11">
        <v>7.6</v>
      </c>
      <c r="J1299" s="11">
        <v>2</v>
      </c>
      <c r="K1299" s="11">
        <v>2</v>
      </c>
      <c r="L1299" s="11" cm="1">
        <f t="array" ref="L1299">IFERROR(_xlfn.XLOOKUP(C1299&amp;A1299, ESPN!A:A&amp;ESPN!C:C, ESPN!D:D), "N/A")</f>
        <v>146</v>
      </c>
      <c r="M1299" s="23" cm="1">
        <f t="array" ref="M1299">IFERROR(_xlfn.XLOOKUP(C1299&amp;A1299, ESPN!A:A&amp;ESPN!C:C, ESPN!G:G), "N/A")</f>
        <v>2.09</v>
      </c>
      <c r="N1299" s="23" cm="1">
        <f t="array" ref="N1299">IFERROR(_xlfn.XLOOKUP(C1299&amp;A1299, ESPN!A:A&amp;ESPN!C:C, ESPN!H:H), "N/A")</f>
        <v>51</v>
      </c>
      <c r="O1299" s="26" cm="1">
        <f t="array" ref="O1299">IFERROR(_xlfn.XLOOKUP(C1299&amp;A1299, ESPN!A:A&amp;ESPN!C:C, ESPN!I:I), "N/A")</f>
        <v>47</v>
      </c>
      <c r="P1299" s="26" cm="1">
        <f t="array" ref="P1299">IFERROR(_xlfn.XLOOKUP(C1299&amp;A1299, ESPN!A:A&amp;ESPN!C:C, ESPN!J:J), "N/A")</f>
        <v>64</v>
      </c>
      <c r="Q1299" s="26" cm="1">
        <f t="array" ref="Q1299">IFERROR(_xlfn.XLOOKUP(C1299&amp;A1299, ESPN!A:A&amp;ESPN!C:C, ESPN!K:K), "N/A")</f>
        <v>61</v>
      </c>
    </row>
    <row r="1300" spans="1:17" x14ac:dyDescent="0.45">
      <c r="A1300" s="6">
        <v>2018</v>
      </c>
      <c r="B1300" s="1" t="s">
        <v>704</v>
      </c>
      <c r="C1300" s="2" t="str">
        <f t="shared" si="40"/>
        <v>Latavius Murray</v>
      </c>
      <c r="D1300" s="2" t="str">
        <f t="shared" si="41"/>
        <v>MIN</v>
      </c>
      <c r="E1300" s="2">
        <v>16</v>
      </c>
      <c r="F1300" s="12">
        <v>26</v>
      </c>
      <c r="G1300" s="11">
        <v>22</v>
      </c>
      <c r="H1300" s="11">
        <v>141</v>
      </c>
      <c r="I1300" s="11">
        <v>6.4</v>
      </c>
      <c r="J1300" s="11">
        <v>0</v>
      </c>
      <c r="K1300" s="11">
        <v>0</v>
      </c>
      <c r="L1300" s="11" t="str" cm="1">
        <f t="array" ref="L1300">IFERROR(_xlfn.XLOOKUP(C1300&amp;A1300, ESPN!A:A&amp;ESPN!C:C, ESPN!D:D), "N/A")</f>
        <v>N/A</v>
      </c>
      <c r="M1300" s="23" t="str" cm="1">
        <f t="array" ref="M1300">IFERROR(_xlfn.XLOOKUP(C1300&amp;A1300, ESPN!A:A&amp;ESPN!C:C, ESPN!G:G), "N/A")</f>
        <v>N/A</v>
      </c>
      <c r="N1300" s="23" t="str" cm="1">
        <f t="array" ref="N1300">IFERROR(_xlfn.XLOOKUP(C1300&amp;A1300, ESPN!A:A&amp;ESPN!C:C, ESPN!H:H), "N/A")</f>
        <v>N/A</v>
      </c>
      <c r="O1300" s="26" t="str" cm="1">
        <f t="array" ref="O1300">IFERROR(_xlfn.XLOOKUP(C1300&amp;A1300, ESPN!A:A&amp;ESPN!C:C, ESPN!I:I), "N/A")</f>
        <v>N/A</v>
      </c>
      <c r="P1300" s="26" t="str" cm="1">
        <f t="array" ref="P1300">IFERROR(_xlfn.XLOOKUP(C1300&amp;A1300, ESPN!A:A&amp;ESPN!C:C, ESPN!J:J), "N/A")</f>
        <v>N/A</v>
      </c>
      <c r="Q1300" s="26" t="str" cm="1">
        <f t="array" ref="Q1300">IFERROR(_xlfn.XLOOKUP(C1300&amp;A1300, ESPN!A:A&amp;ESPN!C:C, ESPN!K:K), "N/A")</f>
        <v>N/A</v>
      </c>
    </row>
    <row r="1301" spans="1:17" x14ac:dyDescent="0.45">
      <c r="A1301" s="7">
        <v>2018</v>
      </c>
      <c r="B1301" s="3" t="s">
        <v>546</v>
      </c>
      <c r="C1301" s="4" t="str">
        <f t="shared" si="40"/>
        <v>Kerryon Johnson</v>
      </c>
      <c r="D1301" s="4" t="str">
        <f t="shared" si="41"/>
        <v>DET</v>
      </c>
      <c r="E1301" s="4">
        <v>10</v>
      </c>
      <c r="F1301" s="12">
        <v>39</v>
      </c>
      <c r="G1301" s="11">
        <v>32</v>
      </c>
      <c r="H1301" s="11">
        <v>213</v>
      </c>
      <c r="I1301" s="11">
        <v>6.7</v>
      </c>
      <c r="J1301" s="11">
        <v>1</v>
      </c>
      <c r="K1301" s="11">
        <v>1</v>
      </c>
      <c r="L1301" s="11" cm="1">
        <f t="array" ref="L1301">IFERROR(_xlfn.XLOOKUP(C1301&amp;A1301, ESPN!A:A&amp;ESPN!C:C, ESPN!D:D), "N/A")</f>
        <v>122</v>
      </c>
      <c r="M1301" s="23" cm="1">
        <f t="array" ref="M1301">IFERROR(_xlfn.XLOOKUP(C1301&amp;A1301, ESPN!A:A&amp;ESPN!C:C, ESPN!G:G), "N/A")</f>
        <v>1.75</v>
      </c>
      <c r="N1301" s="23" cm="1">
        <f t="array" ref="N1301">IFERROR(_xlfn.XLOOKUP(C1301&amp;A1301, ESPN!A:A&amp;ESPN!C:C, ESPN!H:H), "N/A")</f>
        <v>63</v>
      </c>
      <c r="O1301" s="26" cm="1">
        <f t="array" ref="O1301">IFERROR(_xlfn.XLOOKUP(C1301&amp;A1301, ESPN!A:A&amp;ESPN!C:C, ESPN!I:I), "N/A")</f>
        <v>57</v>
      </c>
      <c r="P1301" s="26" cm="1">
        <f t="array" ref="P1301">IFERROR(_xlfn.XLOOKUP(C1301&amp;A1301, ESPN!A:A&amp;ESPN!C:C, ESPN!J:J), "N/A")</f>
        <v>50</v>
      </c>
      <c r="Q1301" s="26" cm="1">
        <f t="array" ref="Q1301">IFERROR(_xlfn.XLOOKUP(C1301&amp;A1301, ESPN!A:A&amp;ESPN!C:C, ESPN!K:K), "N/A")</f>
        <v>58</v>
      </c>
    </row>
    <row r="1302" spans="1:17" x14ac:dyDescent="0.45">
      <c r="A1302" s="6">
        <v>2018</v>
      </c>
      <c r="B1302" s="1" t="s">
        <v>705</v>
      </c>
      <c r="C1302" s="2" t="str">
        <f t="shared" si="40"/>
        <v>Mike Davis</v>
      </c>
      <c r="D1302" s="2" t="str">
        <f t="shared" si="41"/>
        <v>SEA</v>
      </c>
      <c r="E1302" s="2">
        <v>15</v>
      </c>
      <c r="F1302" s="12">
        <v>42</v>
      </c>
      <c r="G1302" s="11">
        <v>34</v>
      </c>
      <c r="H1302" s="11">
        <v>214</v>
      </c>
      <c r="I1302" s="11">
        <v>6.3</v>
      </c>
      <c r="J1302" s="11">
        <v>1</v>
      </c>
      <c r="K1302" s="11">
        <v>0</v>
      </c>
      <c r="L1302" s="11" cm="1">
        <f t="array" ref="L1302">IFERROR(_xlfn.XLOOKUP(C1302&amp;A1302, ESPN!A:A&amp;ESPN!C:C, ESPN!D:D), "N/A")</f>
        <v>144</v>
      </c>
      <c r="M1302" s="23" cm="1">
        <f t="array" ref="M1302">IFERROR(_xlfn.XLOOKUP(C1302&amp;A1302, ESPN!A:A&amp;ESPN!C:C, ESPN!G:G), "N/A")</f>
        <v>1.64</v>
      </c>
      <c r="N1302" s="23" cm="1">
        <f t="array" ref="N1302">IFERROR(_xlfn.XLOOKUP(C1302&amp;A1302, ESPN!A:A&amp;ESPN!C:C, ESPN!H:H), "N/A")</f>
        <v>61</v>
      </c>
      <c r="O1302" s="26" cm="1">
        <f t="array" ref="O1302">IFERROR(_xlfn.XLOOKUP(C1302&amp;A1302, ESPN!A:A&amp;ESPN!C:C, ESPN!I:I), "N/A")</f>
        <v>42</v>
      </c>
      <c r="P1302" s="26" cm="1">
        <f t="array" ref="P1302">IFERROR(_xlfn.XLOOKUP(C1302&amp;A1302, ESPN!A:A&amp;ESPN!C:C, ESPN!J:J), "N/A")</f>
        <v>39</v>
      </c>
      <c r="Q1302" s="26" cm="1">
        <f t="array" ref="Q1302">IFERROR(_xlfn.XLOOKUP(C1302&amp;A1302, ESPN!A:A&amp;ESPN!C:C, ESPN!K:K), "N/A")</f>
        <v>41</v>
      </c>
    </row>
    <row r="1303" spans="1:17" x14ac:dyDescent="0.45">
      <c r="A1303" s="7">
        <v>2018</v>
      </c>
      <c r="B1303" s="3" t="s">
        <v>706</v>
      </c>
      <c r="C1303" s="4" t="str">
        <f t="shared" si="40"/>
        <v>Doug Martin</v>
      </c>
      <c r="D1303" s="4" t="str">
        <f t="shared" si="41"/>
        <v>OAK</v>
      </c>
      <c r="E1303" s="4">
        <v>16</v>
      </c>
      <c r="F1303" s="12">
        <v>24</v>
      </c>
      <c r="G1303" s="11">
        <v>18</v>
      </c>
      <c r="H1303" s="11">
        <v>116</v>
      </c>
      <c r="I1303" s="11">
        <v>6.4</v>
      </c>
      <c r="J1303" s="11">
        <v>0</v>
      </c>
      <c r="K1303" s="11">
        <v>3</v>
      </c>
      <c r="L1303" s="11" cm="1">
        <f t="array" ref="L1303">IFERROR(_xlfn.XLOOKUP(C1303&amp;A1303, ESPN!A:A&amp;ESPN!C:C, ESPN!D:D), "N/A")</f>
        <v>89</v>
      </c>
      <c r="M1303" s="23" cm="1">
        <f t="array" ref="M1303">IFERROR(_xlfn.XLOOKUP(C1303&amp;A1303, ESPN!A:A&amp;ESPN!C:C, ESPN!G:G), "N/A")</f>
        <v>1.3</v>
      </c>
      <c r="N1303" s="23" cm="1">
        <f t="array" ref="N1303">IFERROR(_xlfn.XLOOKUP(C1303&amp;A1303, ESPN!A:A&amp;ESPN!C:C, ESPN!H:H), "N/A")</f>
        <v>50</v>
      </c>
      <c r="O1303" s="26" cm="1">
        <f t="array" ref="O1303">IFERROR(_xlfn.XLOOKUP(C1303&amp;A1303, ESPN!A:A&amp;ESPN!C:C, ESPN!I:I), "N/A")</f>
        <v>48</v>
      </c>
      <c r="P1303" s="26" cm="1">
        <f t="array" ref="P1303">IFERROR(_xlfn.XLOOKUP(C1303&amp;A1303, ESPN!A:A&amp;ESPN!C:C, ESPN!J:J), "N/A")</f>
        <v>33</v>
      </c>
      <c r="Q1303" s="26" cm="1">
        <f t="array" ref="Q1303">IFERROR(_xlfn.XLOOKUP(C1303&amp;A1303, ESPN!A:A&amp;ESPN!C:C, ESPN!K:K), "N/A")</f>
        <v>35</v>
      </c>
    </row>
    <row r="1304" spans="1:17" x14ac:dyDescent="0.45">
      <c r="A1304" s="6">
        <v>2018</v>
      </c>
      <c r="B1304" s="1" t="s">
        <v>620</v>
      </c>
      <c r="C1304" s="2" t="str">
        <f t="shared" si="40"/>
        <v>Dion Lewis</v>
      </c>
      <c r="D1304" s="2" t="str">
        <f t="shared" si="41"/>
        <v>TEN</v>
      </c>
      <c r="E1304" s="2">
        <v>16</v>
      </c>
      <c r="F1304" s="12">
        <v>67</v>
      </c>
      <c r="G1304" s="11">
        <v>59</v>
      </c>
      <c r="H1304" s="11">
        <v>400</v>
      </c>
      <c r="I1304" s="11">
        <v>6.8</v>
      </c>
      <c r="J1304" s="11">
        <v>1</v>
      </c>
      <c r="K1304" s="11">
        <v>1</v>
      </c>
      <c r="L1304" s="11" cm="1">
        <f t="array" ref="L1304">IFERROR(_xlfn.XLOOKUP(C1304&amp;A1304, ESPN!A:A&amp;ESPN!C:C, ESPN!D:D), "N/A")</f>
        <v>218</v>
      </c>
      <c r="M1304" s="23" cm="1">
        <f t="array" ref="M1304">IFERROR(_xlfn.XLOOKUP(C1304&amp;A1304, ESPN!A:A&amp;ESPN!C:C, ESPN!G:G), "N/A")</f>
        <v>1.83</v>
      </c>
      <c r="N1304" s="23" cm="1">
        <f t="array" ref="N1304">IFERROR(_xlfn.XLOOKUP(C1304&amp;A1304, ESPN!A:A&amp;ESPN!C:C, ESPN!H:H), "N/A")</f>
        <v>69</v>
      </c>
      <c r="O1304" s="26" cm="1">
        <f t="array" ref="O1304">IFERROR(_xlfn.XLOOKUP(C1304&amp;A1304, ESPN!A:A&amp;ESPN!C:C, ESPN!I:I), "N/A")</f>
        <v>56</v>
      </c>
      <c r="P1304" s="26" cm="1">
        <f t="array" ref="P1304">IFERROR(_xlfn.XLOOKUP(C1304&amp;A1304, ESPN!A:A&amp;ESPN!C:C, ESPN!J:J), "N/A")</f>
        <v>49</v>
      </c>
      <c r="Q1304" s="26" cm="1">
        <f t="array" ref="Q1304">IFERROR(_xlfn.XLOOKUP(C1304&amp;A1304, ESPN!A:A&amp;ESPN!C:C, ESPN!K:K), "N/A")</f>
        <v>59</v>
      </c>
    </row>
    <row r="1305" spans="1:17" x14ac:dyDescent="0.45">
      <c r="A1305" s="7">
        <v>2018</v>
      </c>
      <c r="B1305" s="3" t="s">
        <v>601</v>
      </c>
      <c r="C1305" s="4" t="str">
        <f t="shared" si="40"/>
        <v>Leonard Fournette</v>
      </c>
      <c r="D1305" s="4" t="str">
        <f t="shared" si="41"/>
        <v>JAC</v>
      </c>
      <c r="E1305" s="4">
        <v>8</v>
      </c>
      <c r="F1305" s="12">
        <v>26</v>
      </c>
      <c r="G1305" s="11">
        <v>22</v>
      </c>
      <c r="H1305" s="11">
        <v>185</v>
      </c>
      <c r="I1305" s="11">
        <v>8.4</v>
      </c>
      <c r="J1305" s="11">
        <v>1</v>
      </c>
      <c r="K1305" s="11">
        <v>0</v>
      </c>
      <c r="L1305" s="11" t="str" cm="1">
        <f t="array" ref="L1305">IFERROR(_xlfn.XLOOKUP(C1305&amp;A1305, ESPN!A:A&amp;ESPN!C:C, ESPN!D:D), "N/A")</f>
        <v>N/A</v>
      </c>
      <c r="M1305" s="23" t="str" cm="1">
        <f t="array" ref="M1305">IFERROR(_xlfn.XLOOKUP(C1305&amp;A1305, ESPN!A:A&amp;ESPN!C:C, ESPN!G:G), "N/A")</f>
        <v>N/A</v>
      </c>
      <c r="N1305" s="23" t="str" cm="1">
        <f t="array" ref="N1305">IFERROR(_xlfn.XLOOKUP(C1305&amp;A1305, ESPN!A:A&amp;ESPN!C:C, ESPN!H:H), "N/A")</f>
        <v>N/A</v>
      </c>
      <c r="O1305" s="26" t="str" cm="1">
        <f t="array" ref="O1305">IFERROR(_xlfn.XLOOKUP(C1305&amp;A1305, ESPN!A:A&amp;ESPN!C:C, ESPN!I:I), "N/A")</f>
        <v>N/A</v>
      </c>
      <c r="P1305" s="26" t="str" cm="1">
        <f t="array" ref="P1305">IFERROR(_xlfn.XLOOKUP(C1305&amp;A1305, ESPN!A:A&amp;ESPN!C:C, ESPN!J:J), "N/A")</f>
        <v>N/A</v>
      </c>
      <c r="Q1305" s="26" t="str" cm="1">
        <f t="array" ref="Q1305">IFERROR(_xlfn.XLOOKUP(C1305&amp;A1305, ESPN!A:A&amp;ESPN!C:C, ESPN!K:K), "N/A")</f>
        <v>N/A</v>
      </c>
    </row>
    <row r="1306" spans="1:17" x14ac:dyDescent="0.45">
      <c r="A1306" s="6">
        <v>2018</v>
      </c>
      <c r="B1306" s="1" t="s">
        <v>435</v>
      </c>
      <c r="C1306" s="2" t="str">
        <f t="shared" si="40"/>
        <v>Nyheim Miller-Hines</v>
      </c>
      <c r="D1306" s="2" t="str">
        <f t="shared" si="41"/>
        <v>IND</v>
      </c>
      <c r="E1306" s="2">
        <v>16</v>
      </c>
      <c r="F1306" s="12">
        <v>81</v>
      </c>
      <c r="G1306" s="11">
        <v>63</v>
      </c>
      <c r="H1306" s="11">
        <v>425</v>
      </c>
      <c r="I1306" s="11">
        <v>6.7</v>
      </c>
      <c r="J1306" s="11">
        <v>2</v>
      </c>
      <c r="K1306" s="11">
        <v>0</v>
      </c>
      <c r="L1306" s="11" cm="1">
        <f t="array" ref="L1306">IFERROR(_xlfn.XLOOKUP(C1306&amp;A1306, ESPN!A:A&amp;ESPN!C:C, ESPN!D:D), "N/A")</f>
        <v>270</v>
      </c>
      <c r="M1306" s="23" cm="1">
        <f t="array" ref="M1306">IFERROR(_xlfn.XLOOKUP(C1306&amp;A1306, ESPN!A:A&amp;ESPN!C:C, ESPN!G:G), "N/A")</f>
        <v>1.57</v>
      </c>
      <c r="N1306" s="23" cm="1">
        <f t="array" ref="N1306">IFERROR(_xlfn.XLOOKUP(C1306&amp;A1306, ESPN!A:A&amp;ESPN!C:C, ESPN!H:H), "N/A")</f>
        <v>58</v>
      </c>
      <c r="O1306" s="26" cm="1">
        <f t="array" ref="O1306">IFERROR(_xlfn.XLOOKUP(C1306&amp;A1306, ESPN!A:A&amp;ESPN!C:C, ESPN!I:I), "N/A")</f>
        <v>57</v>
      </c>
      <c r="P1306" s="26" cm="1">
        <f t="array" ref="P1306">IFERROR(_xlfn.XLOOKUP(C1306&amp;A1306, ESPN!A:A&amp;ESPN!C:C, ESPN!J:J), "N/A")</f>
        <v>40</v>
      </c>
      <c r="Q1306" s="26" cm="1">
        <f t="array" ref="Q1306">IFERROR(_xlfn.XLOOKUP(C1306&amp;A1306, ESPN!A:A&amp;ESPN!C:C, ESPN!K:K), "N/A")</f>
        <v>48</v>
      </c>
    </row>
    <row r="1307" spans="1:17" x14ac:dyDescent="0.45">
      <c r="A1307" s="7">
        <v>2018</v>
      </c>
      <c r="B1307" s="3" t="s">
        <v>684</v>
      </c>
      <c r="C1307" s="4" t="str">
        <f t="shared" si="40"/>
        <v>Alex Collins</v>
      </c>
      <c r="D1307" s="4" t="str">
        <f t="shared" si="41"/>
        <v>BAL</v>
      </c>
      <c r="E1307" s="4">
        <v>10</v>
      </c>
      <c r="F1307" s="12">
        <v>21</v>
      </c>
      <c r="G1307" s="11">
        <v>15</v>
      </c>
      <c r="H1307" s="11">
        <v>105</v>
      </c>
      <c r="I1307" s="11">
        <v>7</v>
      </c>
      <c r="J1307" s="11">
        <v>1</v>
      </c>
      <c r="K1307" s="11">
        <v>3</v>
      </c>
      <c r="L1307" s="11" t="str" cm="1">
        <f t="array" ref="L1307">IFERROR(_xlfn.XLOOKUP(C1307&amp;A1307, ESPN!A:A&amp;ESPN!C:C, ESPN!D:D), "N/A")</f>
        <v>N/A</v>
      </c>
      <c r="M1307" s="23" t="str" cm="1">
        <f t="array" ref="M1307">IFERROR(_xlfn.XLOOKUP(C1307&amp;A1307, ESPN!A:A&amp;ESPN!C:C, ESPN!G:G), "N/A")</f>
        <v>N/A</v>
      </c>
      <c r="N1307" s="23" t="str" cm="1">
        <f t="array" ref="N1307">IFERROR(_xlfn.XLOOKUP(C1307&amp;A1307, ESPN!A:A&amp;ESPN!C:C, ESPN!H:H), "N/A")</f>
        <v>N/A</v>
      </c>
      <c r="O1307" s="26" t="str" cm="1">
        <f t="array" ref="O1307">IFERROR(_xlfn.XLOOKUP(C1307&amp;A1307, ESPN!A:A&amp;ESPN!C:C, ESPN!I:I), "N/A")</f>
        <v>N/A</v>
      </c>
      <c r="P1307" s="26" t="str" cm="1">
        <f t="array" ref="P1307">IFERROR(_xlfn.XLOOKUP(C1307&amp;A1307, ESPN!A:A&amp;ESPN!C:C, ESPN!J:J), "N/A")</f>
        <v>N/A</v>
      </c>
      <c r="Q1307" s="26" t="str" cm="1">
        <f t="array" ref="Q1307">IFERROR(_xlfn.XLOOKUP(C1307&amp;A1307, ESPN!A:A&amp;ESPN!C:C, ESPN!K:K), "N/A")</f>
        <v>N/A</v>
      </c>
    </row>
    <row r="1308" spans="1:17" x14ac:dyDescent="0.45">
      <c r="A1308" s="6">
        <v>2018</v>
      </c>
      <c r="B1308" s="1" t="s">
        <v>707</v>
      </c>
      <c r="C1308" s="2" t="str">
        <f t="shared" si="40"/>
        <v>LeSean McCoy</v>
      </c>
      <c r="D1308" s="2" t="str">
        <f t="shared" si="41"/>
        <v>BUF</v>
      </c>
      <c r="E1308" s="2">
        <v>14</v>
      </c>
      <c r="F1308" s="12">
        <v>46</v>
      </c>
      <c r="G1308" s="11">
        <v>34</v>
      </c>
      <c r="H1308" s="11">
        <v>238</v>
      </c>
      <c r="I1308" s="11">
        <v>7</v>
      </c>
      <c r="J1308" s="11">
        <v>0</v>
      </c>
      <c r="K1308" s="11">
        <v>0</v>
      </c>
      <c r="L1308" s="11" cm="1">
        <f t="array" ref="L1308">IFERROR(_xlfn.XLOOKUP(C1308&amp;A1308, ESPN!A:A&amp;ESPN!C:C, ESPN!D:D), "N/A")</f>
        <v>166</v>
      </c>
      <c r="M1308" s="23" cm="1">
        <f t="array" ref="M1308">IFERROR(_xlfn.XLOOKUP(C1308&amp;A1308, ESPN!A:A&amp;ESPN!C:C, ESPN!G:G), "N/A")</f>
        <v>1.43</v>
      </c>
      <c r="N1308" s="23" cm="1">
        <f t="array" ref="N1308">IFERROR(_xlfn.XLOOKUP(C1308&amp;A1308, ESPN!A:A&amp;ESPN!C:C, ESPN!H:H), "N/A")</f>
        <v>43</v>
      </c>
      <c r="O1308" s="26" cm="1">
        <f t="array" ref="O1308">IFERROR(_xlfn.XLOOKUP(C1308&amp;A1308, ESPN!A:A&amp;ESPN!C:C, ESPN!I:I), "N/A")</f>
        <v>43</v>
      </c>
      <c r="P1308" s="26" cm="1">
        <f t="array" ref="P1308">IFERROR(_xlfn.XLOOKUP(C1308&amp;A1308, ESPN!A:A&amp;ESPN!C:C, ESPN!J:J), "N/A")</f>
        <v>46</v>
      </c>
      <c r="Q1308" s="26" cm="1">
        <f t="array" ref="Q1308">IFERROR(_xlfn.XLOOKUP(C1308&amp;A1308, ESPN!A:A&amp;ESPN!C:C, ESPN!K:K), "N/A")</f>
        <v>41</v>
      </c>
    </row>
    <row r="1309" spans="1:17" x14ac:dyDescent="0.45">
      <c r="A1309" s="7">
        <v>2018</v>
      </c>
      <c r="B1309" s="3" t="s">
        <v>708</v>
      </c>
      <c r="C1309" s="4" t="str">
        <f t="shared" si="40"/>
        <v>Frank Gore</v>
      </c>
      <c r="D1309" s="4" t="str">
        <f t="shared" si="41"/>
        <v>MIA</v>
      </c>
      <c r="E1309" s="4">
        <v>14</v>
      </c>
      <c r="F1309" s="12">
        <v>16</v>
      </c>
      <c r="G1309" s="11">
        <v>12</v>
      </c>
      <c r="H1309" s="11">
        <v>124</v>
      </c>
      <c r="I1309" s="11">
        <v>10.3</v>
      </c>
      <c r="J1309" s="11">
        <v>1</v>
      </c>
      <c r="K1309" s="11">
        <v>0</v>
      </c>
      <c r="L1309" s="11" t="str" cm="1">
        <f t="array" ref="L1309">IFERROR(_xlfn.XLOOKUP(C1309&amp;A1309, ESPN!A:A&amp;ESPN!C:C, ESPN!D:D), "N/A")</f>
        <v>N/A</v>
      </c>
      <c r="M1309" s="23" t="str" cm="1">
        <f t="array" ref="M1309">IFERROR(_xlfn.XLOOKUP(C1309&amp;A1309, ESPN!A:A&amp;ESPN!C:C, ESPN!G:G), "N/A")</f>
        <v>N/A</v>
      </c>
      <c r="N1309" s="23" t="str" cm="1">
        <f t="array" ref="N1309">IFERROR(_xlfn.XLOOKUP(C1309&amp;A1309, ESPN!A:A&amp;ESPN!C:C, ESPN!H:H), "N/A")</f>
        <v>N/A</v>
      </c>
      <c r="O1309" s="26" t="str" cm="1">
        <f t="array" ref="O1309">IFERROR(_xlfn.XLOOKUP(C1309&amp;A1309, ESPN!A:A&amp;ESPN!C:C, ESPN!I:I), "N/A")</f>
        <v>N/A</v>
      </c>
      <c r="P1309" s="26" t="str" cm="1">
        <f t="array" ref="P1309">IFERROR(_xlfn.XLOOKUP(C1309&amp;A1309, ESPN!A:A&amp;ESPN!C:C, ESPN!J:J), "N/A")</f>
        <v>N/A</v>
      </c>
      <c r="Q1309" s="26" t="str" cm="1">
        <f t="array" ref="Q1309">IFERROR(_xlfn.XLOOKUP(C1309&amp;A1309, ESPN!A:A&amp;ESPN!C:C, ESPN!K:K), "N/A")</f>
        <v>N/A</v>
      </c>
    </row>
    <row r="1310" spans="1:17" x14ac:dyDescent="0.45">
      <c r="A1310" s="6">
        <v>2018</v>
      </c>
      <c r="B1310" s="1" t="s">
        <v>709</v>
      </c>
      <c r="C1310" s="2" t="str">
        <f t="shared" si="40"/>
        <v>Wendell Smallwood</v>
      </c>
      <c r="D1310" s="2" t="str">
        <f t="shared" si="41"/>
        <v>PHI</v>
      </c>
      <c r="E1310" s="2">
        <v>16</v>
      </c>
      <c r="F1310" s="12">
        <v>35</v>
      </c>
      <c r="G1310" s="11">
        <v>28</v>
      </c>
      <c r="H1310" s="11">
        <v>230</v>
      </c>
      <c r="I1310" s="11">
        <v>8.1999999999999993</v>
      </c>
      <c r="J1310" s="11">
        <v>2</v>
      </c>
      <c r="K1310" s="11">
        <v>1</v>
      </c>
      <c r="L1310" s="11" cm="1">
        <f t="array" ref="L1310">IFERROR(_xlfn.XLOOKUP(C1310&amp;A1310, ESPN!A:A&amp;ESPN!C:C, ESPN!D:D), "N/A")</f>
        <v>156</v>
      </c>
      <c r="M1310" s="23" cm="1">
        <f t="array" ref="M1310">IFERROR(_xlfn.XLOOKUP(C1310&amp;A1310, ESPN!A:A&amp;ESPN!C:C, ESPN!G:G), "N/A")</f>
        <v>1.64</v>
      </c>
      <c r="N1310" s="23" cm="1">
        <f t="array" ref="N1310">IFERROR(_xlfn.XLOOKUP(C1310&amp;A1310, ESPN!A:A&amp;ESPN!C:C, ESPN!H:H), "N/A")</f>
        <v>51</v>
      </c>
      <c r="O1310" s="26" cm="1">
        <f t="array" ref="O1310">IFERROR(_xlfn.XLOOKUP(C1310&amp;A1310, ESPN!A:A&amp;ESPN!C:C, ESPN!I:I), "N/A")</f>
        <v>45</v>
      </c>
      <c r="P1310" s="26" cm="1">
        <f t="array" ref="P1310">IFERROR(_xlfn.XLOOKUP(C1310&amp;A1310, ESPN!A:A&amp;ESPN!C:C, ESPN!J:J), "N/A")</f>
        <v>39</v>
      </c>
      <c r="Q1310" s="26" cm="1">
        <f t="array" ref="Q1310">IFERROR(_xlfn.XLOOKUP(C1310&amp;A1310, ESPN!A:A&amp;ESPN!C:C, ESPN!K:K), "N/A")</f>
        <v>39</v>
      </c>
    </row>
    <row r="1311" spans="1:17" x14ac:dyDescent="0.45">
      <c r="A1311" s="7">
        <v>2018</v>
      </c>
      <c r="B1311" s="3" t="s">
        <v>618</v>
      </c>
      <c r="C1311" s="4" t="str">
        <f t="shared" si="40"/>
        <v>Jalen Richard</v>
      </c>
      <c r="D1311" s="4" t="str">
        <f t="shared" si="41"/>
        <v>OAK</v>
      </c>
      <c r="E1311" s="4">
        <v>16</v>
      </c>
      <c r="F1311" s="12">
        <v>81</v>
      </c>
      <c r="G1311" s="11">
        <v>68</v>
      </c>
      <c r="H1311" s="11">
        <v>607</v>
      </c>
      <c r="I1311" s="11">
        <v>8.9</v>
      </c>
      <c r="J1311" s="11">
        <v>0</v>
      </c>
      <c r="K1311" s="11">
        <v>2</v>
      </c>
      <c r="L1311" s="11" cm="1">
        <f t="array" ref="L1311">IFERROR(_xlfn.XLOOKUP(C1311&amp;A1311, ESPN!A:A&amp;ESPN!C:C, ESPN!D:D), "N/A")</f>
        <v>177</v>
      </c>
      <c r="M1311" s="23" cm="1">
        <f t="array" ref="M1311">IFERROR(_xlfn.XLOOKUP(C1311&amp;A1311, ESPN!A:A&amp;ESPN!C:C, ESPN!G:G), "N/A")</f>
        <v>3.43</v>
      </c>
      <c r="N1311" s="23" cm="1">
        <f t="array" ref="N1311">IFERROR(_xlfn.XLOOKUP(C1311&amp;A1311, ESPN!A:A&amp;ESPN!C:C, ESPN!H:H), "N/A")</f>
        <v>78</v>
      </c>
      <c r="O1311" s="26" cm="1">
        <f t="array" ref="O1311">IFERROR(_xlfn.XLOOKUP(C1311&amp;A1311, ESPN!A:A&amp;ESPN!C:C, ESPN!I:I), "N/A")</f>
        <v>62</v>
      </c>
      <c r="P1311" s="26" cm="1">
        <f t="array" ref="P1311">IFERROR(_xlfn.XLOOKUP(C1311&amp;A1311, ESPN!A:A&amp;ESPN!C:C, ESPN!J:J), "N/A")</f>
        <v>45</v>
      </c>
      <c r="Q1311" s="26" cm="1">
        <f t="array" ref="Q1311">IFERROR(_xlfn.XLOOKUP(C1311&amp;A1311, ESPN!A:A&amp;ESPN!C:C, ESPN!K:K), "N/A")</f>
        <v>62</v>
      </c>
    </row>
    <row r="1312" spans="1:17" x14ac:dyDescent="0.45">
      <c r="A1312" s="6">
        <v>2018</v>
      </c>
      <c r="B1312" s="1" t="s">
        <v>454</v>
      </c>
      <c r="C1312" s="2" t="str">
        <f t="shared" si="40"/>
        <v>Carlos Hyde</v>
      </c>
      <c r="D1312" s="2" t="str">
        <f t="shared" si="41"/>
        <v>JAC</v>
      </c>
      <c r="E1312" s="2">
        <v>14</v>
      </c>
      <c r="F1312" s="12">
        <v>16</v>
      </c>
      <c r="G1312" s="11">
        <v>10</v>
      </c>
      <c r="H1312" s="11">
        <v>33</v>
      </c>
      <c r="I1312" s="11">
        <v>3.3</v>
      </c>
      <c r="J1312" s="11">
        <v>0</v>
      </c>
      <c r="K1312" s="11">
        <v>1</v>
      </c>
      <c r="L1312" s="11" t="str" cm="1">
        <f t="array" ref="L1312">IFERROR(_xlfn.XLOOKUP(C1312&amp;A1312, ESPN!A:A&amp;ESPN!C:C, ESPN!D:D), "N/A")</f>
        <v>N/A</v>
      </c>
      <c r="M1312" s="23" t="str" cm="1">
        <f t="array" ref="M1312">IFERROR(_xlfn.XLOOKUP(C1312&amp;A1312, ESPN!A:A&amp;ESPN!C:C, ESPN!G:G), "N/A")</f>
        <v>N/A</v>
      </c>
      <c r="N1312" s="23" t="str" cm="1">
        <f t="array" ref="N1312">IFERROR(_xlfn.XLOOKUP(C1312&amp;A1312, ESPN!A:A&amp;ESPN!C:C, ESPN!H:H), "N/A")</f>
        <v>N/A</v>
      </c>
      <c r="O1312" s="26" t="str" cm="1">
        <f t="array" ref="O1312">IFERROR(_xlfn.XLOOKUP(C1312&amp;A1312, ESPN!A:A&amp;ESPN!C:C, ESPN!I:I), "N/A")</f>
        <v>N/A</v>
      </c>
      <c r="P1312" s="26" t="str" cm="1">
        <f t="array" ref="P1312">IFERROR(_xlfn.XLOOKUP(C1312&amp;A1312, ESPN!A:A&amp;ESPN!C:C, ESPN!J:J), "N/A")</f>
        <v>N/A</v>
      </c>
      <c r="Q1312" s="26" t="str" cm="1">
        <f t="array" ref="Q1312">IFERROR(_xlfn.XLOOKUP(C1312&amp;A1312, ESPN!A:A&amp;ESPN!C:C, ESPN!K:K), "N/A")</f>
        <v>N/A</v>
      </c>
    </row>
    <row r="1313" spans="1:17" x14ac:dyDescent="0.45">
      <c r="A1313" s="7">
        <v>2018</v>
      </c>
      <c r="B1313" s="3" t="s">
        <v>255</v>
      </c>
      <c r="C1313" s="4" t="str">
        <f t="shared" si="40"/>
        <v>Gus Edwards</v>
      </c>
      <c r="D1313" s="4" t="str">
        <f t="shared" si="41"/>
        <v>BAL</v>
      </c>
      <c r="E1313" s="4">
        <v>11</v>
      </c>
      <c r="F1313" s="12">
        <v>2</v>
      </c>
      <c r="G1313" s="11">
        <v>2</v>
      </c>
      <c r="H1313" s="11">
        <v>20</v>
      </c>
      <c r="I1313" s="11">
        <v>10</v>
      </c>
      <c r="J1313" s="11">
        <v>0</v>
      </c>
      <c r="K1313" s="11">
        <v>0</v>
      </c>
      <c r="L1313" s="11" t="str" cm="1">
        <f t="array" ref="L1313">IFERROR(_xlfn.XLOOKUP(C1313&amp;A1313, ESPN!A:A&amp;ESPN!C:C, ESPN!D:D), "N/A")</f>
        <v>N/A</v>
      </c>
      <c r="M1313" s="23" t="str" cm="1">
        <f t="array" ref="M1313">IFERROR(_xlfn.XLOOKUP(C1313&amp;A1313, ESPN!A:A&amp;ESPN!C:C, ESPN!G:G), "N/A")</f>
        <v>N/A</v>
      </c>
      <c r="N1313" s="23" t="str" cm="1">
        <f t="array" ref="N1313">IFERROR(_xlfn.XLOOKUP(C1313&amp;A1313, ESPN!A:A&amp;ESPN!C:C, ESPN!H:H), "N/A")</f>
        <v>N/A</v>
      </c>
      <c r="O1313" s="26" t="str" cm="1">
        <f t="array" ref="O1313">IFERROR(_xlfn.XLOOKUP(C1313&amp;A1313, ESPN!A:A&amp;ESPN!C:C, ESPN!I:I), "N/A")</f>
        <v>N/A</v>
      </c>
      <c r="P1313" s="26" t="str" cm="1">
        <f t="array" ref="P1313">IFERROR(_xlfn.XLOOKUP(C1313&amp;A1313, ESPN!A:A&amp;ESPN!C:C, ESPN!J:J), "N/A")</f>
        <v>N/A</v>
      </c>
      <c r="Q1313" s="26" t="str" cm="1">
        <f t="array" ref="Q1313">IFERROR(_xlfn.XLOOKUP(C1313&amp;A1313, ESPN!A:A&amp;ESPN!C:C, ESPN!K:K), "N/A")</f>
        <v>N/A</v>
      </c>
    </row>
    <row r="1314" spans="1:17" x14ac:dyDescent="0.45">
      <c r="A1314" s="6">
        <v>2018</v>
      </c>
      <c r="B1314" s="1" t="s">
        <v>534</v>
      </c>
      <c r="C1314" s="2" t="str">
        <f t="shared" si="40"/>
        <v>Jamaal Williams</v>
      </c>
      <c r="D1314" s="2" t="str">
        <f t="shared" si="41"/>
        <v>GB</v>
      </c>
      <c r="E1314" s="2">
        <v>16</v>
      </c>
      <c r="F1314" s="12">
        <v>41</v>
      </c>
      <c r="G1314" s="11">
        <v>27</v>
      </c>
      <c r="H1314" s="11">
        <v>210</v>
      </c>
      <c r="I1314" s="11">
        <v>7.8</v>
      </c>
      <c r="J1314" s="11">
        <v>0</v>
      </c>
      <c r="K1314" s="11">
        <v>0</v>
      </c>
      <c r="L1314" s="11" cm="1">
        <f t="array" ref="L1314">IFERROR(_xlfn.XLOOKUP(C1314&amp;A1314, ESPN!A:A&amp;ESPN!C:C, ESPN!D:D), "N/A")</f>
        <v>191</v>
      </c>
      <c r="M1314" s="23" cm="1">
        <f t="array" ref="M1314">IFERROR(_xlfn.XLOOKUP(C1314&amp;A1314, ESPN!A:A&amp;ESPN!C:C, ESPN!G:G), "N/A")</f>
        <v>1.1000000000000001</v>
      </c>
      <c r="N1314" s="23" cm="1">
        <f t="array" ref="N1314">IFERROR(_xlfn.XLOOKUP(C1314&amp;A1314, ESPN!A:A&amp;ESPN!C:C, ESPN!H:H), "N/A")</f>
        <v>34</v>
      </c>
      <c r="O1314" s="26" cm="1">
        <f t="array" ref="O1314">IFERROR(_xlfn.XLOOKUP(C1314&amp;A1314, ESPN!A:A&amp;ESPN!C:C, ESPN!I:I), "N/A")</f>
        <v>51</v>
      </c>
      <c r="P1314" s="26" cm="1">
        <f t="array" ref="P1314">IFERROR(_xlfn.XLOOKUP(C1314&amp;A1314, ESPN!A:A&amp;ESPN!C:C, ESPN!J:J), "N/A")</f>
        <v>44</v>
      </c>
      <c r="Q1314" s="26" cm="1">
        <f t="array" ref="Q1314">IFERROR(_xlfn.XLOOKUP(C1314&amp;A1314, ESPN!A:A&amp;ESPN!C:C, ESPN!K:K), "N/A")</f>
        <v>40</v>
      </c>
    </row>
    <row r="1315" spans="1:17" x14ac:dyDescent="0.45">
      <c r="A1315" s="7">
        <v>2018</v>
      </c>
      <c r="B1315" s="3" t="s">
        <v>557</v>
      </c>
      <c r="C1315" s="4" t="str">
        <f t="shared" si="40"/>
        <v>Royce Freeman</v>
      </c>
      <c r="D1315" s="4" t="str">
        <f t="shared" si="41"/>
        <v>DEN</v>
      </c>
      <c r="E1315" s="4">
        <v>14</v>
      </c>
      <c r="F1315" s="12">
        <v>20</v>
      </c>
      <c r="G1315" s="11">
        <v>14</v>
      </c>
      <c r="H1315" s="11">
        <v>72</v>
      </c>
      <c r="I1315" s="11">
        <v>5.0999999999999996</v>
      </c>
      <c r="J1315" s="11">
        <v>0</v>
      </c>
      <c r="K1315" s="11">
        <v>1</v>
      </c>
      <c r="L1315" s="11" t="str" cm="1">
        <f t="array" ref="L1315">IFERROR(_xlfn.XLOOKUP(C1315&amp;A1315, ESPN!A:A&amp;ESPN!C:C, ESPN!D:D), "N/A")</f>
        <v>N/A</v>
      </c>
      <c r="M1315" s="23" t="str" cm="1">
        <f t="array" ref="M1315">IFERROR(_xlfn.XLOOKUP(C1315&amp;A1315, ESPN!A:A&amp;ESPN!C:C, ESPN!G:G), "N/A")</f>
        <v>N/A</v>
      </c>
      <c r="N1315" s="23" t="str" cm="1">
        <f t="array" ref="N1315">IFERROR(_xlfn.XLOOKUP(C1315&amp;A1315, ESPN!A:A&amp;ESPN!C:C, ESPN!H:H), "N/A")</f>
        <v>N/A</v>
      </c>
      <c r="O1315" s="26" t="str" cm="1">
        <f t="array" ref="O1315">IFERROR(_xlfn.XLOOKUP(C1315&amp;A1315, ESPN!A:A&amp;ESPN!C:C, ESPN!I:I), "N/A")</f>
        <v>N/A</v>
      </c>
      <c r="P1315" s="26" t="str" cm="1">
        <f t="array" ref="P1315">IFERROR(_xlfn.XLOOKUP(C1315&amp;A1315, ESPN!A:A&amp;ESPN!C:C, ESPN!J:J), "N/A")</f>
        <v>N/A</v>
      </c>
      <c r="Q1315" s="26" t="str" cm="1">
        <f t="array" ref="Q1315">IFERROR(_xlfn.XLOOKUP(C1315&amp;A1315, ESPN!A:A&amp;ESPN!C:C, ESPN!K:K), "N/A")</f>
        <v>N/A</v>
      </c>
    </row>
    <row r="1316" spans="1:17" x14ac:dyDescent="0.45">
      <c r="A1316" s="6">
        <v>2018</v>
      </c>
      <c r="B1316" s="1" t="s">
        <v>710</v>
      </c>
      <c r="C1316" s="2" t="str">
        <f t="shared" si="40"/>
        <v>Duke Johnson Jr.</v>
      </c>
      <c r="D1316" s="2" t="str">
        <f t="shared" si="41"/>
        <v>CLE</v>
      </c>
      <c r="E1316" s="2">
        <v>16</v>
      </c>
      <c r="F1316" s="12">
        <v>62</v>
      </c>
      <c r="G1316" s="11">
        <v>47</v>
      </c>
      <c r="H1316" s="11">
        <v>429</v>
      </c>
      <c r="I1316" s="11">
        <v>9.1</v>
      </c>
      <c r="J1316" s="11">
        <v>3</v>
      </c>
      <c r="K1316" s="11">
        <v>0</v>
      </c>
      <c r="L1316" s="11" cm="1">
        <f t="array" ref="L1316">IFERROR(_xlfn.XLOOKUP(C1316&amp;A1316, ESPN!A:A&amp;ESPN!C:C, ESPN!D:D), "N/A")</f>
        <v>232</v>
      </c>
      <c r="M1316" s="23" cm="1">
        <f t="array" ref="M1316">IFERROR(_xlfn.XLOOKUP(C1316&amp;A1316, ESPN!A:A&amp;ESPN!C:C, ESPN!G:G), "N/A")</f>
        <v>1.85</v>
      </c>
      <c r="N1316" s="23" cm="1">
        <f t="array" ref="N1316">IFERROR(_xlfn.XLOOKUP(C1316&amp;A1316, ESPN!A:A&amp;ESPN!C:C, ESPN!H:H), "N/A")</f>
        <v>49</v>
      </c>
      <c r="O1316" s="26" cm="1">
        <f t="array" ref="O1316">IFERROR(_xlfn.XLOOKUP(C1316&amp;A1316, ESPN!A:A&amp;ESPN!C:C, ESPN!I:I), "N/A")</f>
        <v>62</v>
      </c>
      <c r="P1316" s="26" cm="1">
        <f t="array" ref="P1316">IFERROR(_xlfn.XLOOKUP(C1316&amp;A1316, ESPN!A:A&amp;ESPN!C:C, ESPN!J:J), "N/A")</f>
        <v>43</v>
      </c>
      <c r="Q1316" s="26" cm="1">
        <f t="array" ref="Q1316">IFERROR(_xlfn.XLOOKUP(C1316&amp;A1316, ESPN!A:A&amp;ESPN!C:C, ESPN!K:K), "N/A")</f>
        <v>49</v>
      </c>
    </row>
    <row r="1317" spans="1:17" x14ac:dyDescent="0.45">
      <c r="A1317" s="7">
        <v>2018</v>
      </c>
      <c r="B1317" s="3" t="s">
        <v>711</v>
      </c>
      <c r="C1317" s="4" t="str">
        <f t="shared" si="40"/>
        <v>Alfred Blue</v>
      </c>
      <c r="D1317" s="4" t="str">
        <f t="shared" si="41"/>
        <v>HOU</v>
      </c>
      <c r="E1317" s="4">
        <v>16</v>
      </c>
      <c r="F1317" s="12">
        <v>27</v>
      </c>
      <c r="G1317" s="11">
        <v>20</v>
      </c>
      <c r="H1317" s="11">
        <v>154</v>
      </c>
      <c r="I1317" s="11">
        <v>7.7</v>
      </c>
      <c r="J1317" s="11">
        <v>0</v>
      </c>
      <c r="K1317" s="11">
        <v>0</v>
      </c>
      <c r="L1317" s="11" cm="1">
        <f t="array" ref="L1317">IFERROR(_xlfn.XLOOKUP(C1317&amp;A1317, ESPN!A:A&amp;ESPN!C:C, ESPN!D:D), "N/A")</f>
        <v>161</v>
      </c>
      <c r="M1317" s="23" cm="1">
        <f t="array" ref="M1317">IFERROR(_xlfn.XLOOKUP(C1317&amp;A1317, ESPN!A:A&amp;ESPN!C:C, ESPN!G:G), "N/A")</f>
        <v>1.02</v>
      </c>
      <c r="N1317" s="23" cm="1">
        <f t="array" ref="N1317">IFERROR(_xlfn.XLOOKUP(C1317&amp;A1317, ESPN!A:A&amp;ESPN!C:C, ESPN!H:H), "N/A")</f>
        <v>60</v>
      </c>
      <c r="O1317" s="26" cm="1">
        <f t="array" ref="O1317">IFERROR(_xlfn.XLOOKUP(C1317&amp;A1317, ESPN!A:A&amp;ESPN!C:C, ESPN!I:I), "N/A")</f>
        <v>55</v>
      </c>
      <c r="P1317" s="26" cm="1">
        <f t="array" ref="P1317">IFERROR(_xlfn.XLOOKUP(C1317&amp;A1317, ESPN!A:A&amp;ESPN!C:C, ESPN!J:J), "N/A")</f>
        <v>48</v>
      </c>
      <c r="Q1317" s="26" cm="1">
        <f t="array" ref="Q1317">IFERROR(_xlfn.XLOOKUP(C1317&amp;A1317, ESPN!A:A&amp;ESPN!C:C, ESPN!K:K), "N/A")</f>
        <v>54</v>
      </c>
    </row>
    <row r="1318" spans="1:17" x14ac:dyDescent="0.45">
      <c r="A1318" s="6">
        <v>2018</v>
      </c>
      <c r="B1318" s="1" t="s">
        <v>667</v>
      </c>
      <c r="C1318" s="2" t="str">
        <f t="shared" si="40"/>
        <v>LeGarrette Blount</v>
      </c>
      <c r="D1318" s="2" t="str">
        <f t="shared" si="41"/>
        <v>DET</v>
      </c>
      <c r="E1318" s="2">
        <v>16</v>
      </c>
      <c r="F1318" s="12">
        <v>15</v>
      </c>
      <c r="G1318" s="11">
        <v>10</v>
      </c>
      <c r="H1318" s="11">
        <v>67</v>
      </c>
      <c r="I1318" s="11">
        <v>6.7</v>
      </c>
      <c r="J1318" s="11">
        <v>0</v>
      </c>
      <c r="K1318" s="11">
        <v>1</v>
      </c>
      <c r="L1318" s="11" t="str" cm="1">
        <f t="array" ref="L1318">IFERROR(_xlfn.XLOOKUP(C1318&amp;A1318, ESPN!A:A&amp;ESPN!C:C, ESPN!D:D), "N/A")</f>
        <v>N/A</v>
      </c>
      <c r="M1318" s="23" t="str" cm="1">
        <f t="array" ref="M1318">IFERROR(_xlfn.XLOOKUP(C1318&amp;A1318, ESPN!A:A&amp;ESPN!C:C, ESPN!G:G), "N/A")</f>
        <v>N/A</v>
      </c>
      <c r="N1318" s="23" t="str" cm="1">
        <f t="array" ref="N1318">IFERROR(_xlfn.XLOOKUP(C1318&amp;A1318, ESPN!A:A&amp;ESPN!C:C, ESPN!H:H), "N/A")</f>
        <v>N/A</v>
      </c>
      <c r="O1318" s="26" t="str" cm="1">
        <f t="array" ref="O1318">IFERROR(_xlfn.XLOOKUP(C1318&amp;A1318, ESPN!A:A&amp;ESPN!C:C, ESPN!I:I), "N/A")</f>
        <v>N/A</v>
      </c>
      <c r="P1318" s="26" t="str" cm="1">
        <f t="array" ref="P1318">IFERROR(_xlfn.XLOOKUP(C1318&amp;A1318, ESPN!A:A&amp;ESPN!C:C, ESPN!J:J), "N/A")</f>
        <v>N/A</v>
      </c>
      <c r="Q1318" s="26" t="str" cm="1">
        <f t="array" ref="Q1318">IFERROR(_xlfn.XLOOKUP(C1318&amp;A1318, ESPN!A:A&amp;ESPN!C:C, ESPN!K:K), "N/A")</f>
        <v>N/A</v>
      </c>
    </row>
    <row r="1319" spans="1:17" x14ac:dyDescent="0.45">
      <c r="A1319" s="7">
        <v>2018</v>
      </c>
      <c r="B1319" s="3" t="s">
        <v>608</v>
      </c>
      <c r="C1319" s="4" t="str">
        <f t="shared" si="40"/>
        <v>Damien Williams</v>
      </c>
      <c r="D1319" s="4" t="str">
        <f t="shared" si="41"/>
        <v>KC</v>
      </c>
      <c r="E1319" s="4">
        <v>16</v>
      </c>
      <c r="F1319" s="12">
        <v>24</v>
      </c>
      <c r="G1319" s="11">
        <v>23</v>
      </c>
      <c r="H1319" s="11">
        <v>160</v>
      </c>
      <c r="I1319" s="11">
        <v>7</v>
      </c>
      <c r="J1319" s="11">
        <v>2</v>
      </c>
      <c r="K1319" s="11">
        <v>1</v>
      </c>
      <c r="L1319" s="11" cm="1">
        <f t="array" ref="L1319">IFERROR(_xlfn.XLOOKUP(C1319&amp;A1319, ESPN!A:A&amp;ESPN!C:C, ESPN!D:D), "N/A")</f>
        <v>126</v>
      </c>
      <c r="M1319" s="23" cm="1">
        <f t="array" ref="M1319">IFERROR(_xlfn.XLOOKUP(C1319&amp;A1319, ESPN!A:A&amp;ESPN!C:C, ESPN!G:G), "N/A")</f>
        <v>1.99</v>
      </c>
      <c r="N1319" s="23" cm="1">
        <f t="array" ref="N1319">IFERROR(_xlfn.XLOOKUP(C1319&amp;A1319, ESPN!A:A&amp;ESPN!C:C, ESPN!H:H), "N/A")</f>
        <v>48</v>
      </c>
      <c r="O1319" s="26" cm="1">
        <f t="array" ref="O1319">IFERROR(_xlfn.XLOOKUP(C1319&amp;A1319, ESPN!A:A&amp;ESPN!C:C, ESPN!I:I), "N/A")</f>
        <v>63</v>
      </c>
      <c r="P1319" s="26" cm="1">
        <f t="array" ref="P1319">IFERROR(_xlfn.XLOOKUP(C1319&amp;A1319, ESPN!A:A&amp;ESPN!C:C, ESPN!J:J), "N/A")</f>
        <v>56</v>
      </c>
      <c r="Q1319" s="26" cm="1">
        <f t="array" ref="Q1319">IFERROR(_xlfn.XLOOKUP(C1319&amp;A1319, ESPN!A:A&amp;ESPN!C:C, ESPN!K:K), "N/A")</f>
        <v>61</v>
      </c>
    </row>
    <row r="1320" spans="1:17" x14ac:dyDescent="0.45">
      <c r="A1320" s="6">
        <v>2018</v>
      </c>
      <c r="B1320" s="1" t="s">
        <v>712</v>
      </c>
      <c r="C1320" s="2" t="str">
        <f t="shared" si="40"/>
        <v>Josh Adams</v>
      </c>
      <c r="D1320" s="2" t="str">
        <f t="shared" si="41"/>
        <v>PHI</v>
      </c>
      <c r="E1320" s="2">
        <v>16</v>
      </c>
      <c r="F1320" s="12">
        <v>13</v>
      </c>
      <c r="G1320" s="11">
        <v>7</v>
      </c>
      <c r="H1320" s="11">
        <v>58</v>
      </c>
      <c r="I1320" s="11">
        <v>8.3000000000000007</v>
      </c>
      <c r="J1320" s="11">
        <v>0</v>
      </c>
      <c r="K1320" s="11">
        <v>1</v>
      </c>
      <c r="L1320" s="11" t="str" cm="1">
        <f t="array" ref="L1320">IFERROR(_xlfn.XLOOKUP(C1320&amp;A1320, ESPN!A:A&amp;ESPN!C:C, ESPN!D:D), "N/A")</f>
        <v>N/A</v>
      </c>
      <c r="M1320" s="23" t="str" cm="1">
        <f t="array" ref="M1320">IFERROR(_xlfn.XLOOKUP(C1320&amp;A1320, ESPN!A:A&amp;ESPN!C:C, ESPN!G:G), "N/A")</f>
        <v>N/A</v>
      </c>
      <c r="N1320" s="23" t="str" cm="1">
        <f t="array" ref="N1320">IFERROR(_xlfn.XLOOKUP(C1320&amp;A1320, ESPN!A:A&amp;ESPN!C:C, ESPN!H:H), "N/A")</f>
        <v>N/A</v>
      </c>
      <c r="O1320" s="26" t="str" cm="1">
        <f t="array" ref="O1320">IFERROR(_xlfn.XLOOKUP(C1320&amp;A1320, ESPN!A:A&amp;ESPN!C:C, ESPN!I:I), "N/A")</f>
        <v>N/A</v>
      </c>
      <c r="P1320" s="26" t="str" cm="1">
        <f t="array" ref="P1320">IFERROR(_xlfn.XLOOKUP(C1320&amp;A1320, ESPN!A:A&amp;ESPN!C:C, ESPN!J:J), "N/A")</f>
        <v>N/A</v>
      </c>
      <c r="Q1320" s="26" t="str" cm="1">
        <f t="array" ref="Q1320">IFERROR(_xlfn.XLOOKUP(C1320&amp;A1320, ESPN!A:A&amp;ESPN!C:C, ESPN!K:K), "N/A")</f>
        <v>N/A</v>
      </c>
    </row>
    <row r="1321" spans="1:17" x14ac:dyDescent="0.45">
      <c r="A1321" s="7">
        <v>2018</v>
      </c>
      <c r="B1321" s="3" t="s">
        <v>549</v>
      </c>
      <c r="C1321" s="4" t="str">
        <f t="shared" si="40"/>
        <v>Ito Smith</v>
      </c>
      <c r="D1321" s="4" t="str">
        <f t="shared" si="41"/>
        <v>ATL</v>
      </c>
      <c r="E1321" s="4">
        <v>14</v>
      </c>
      <c r="F1321" s="12">
        <v>32</v>
      </c>
      <c r="G1321" s="11">
        <v>27</v>
      </c>
      <c r="H1321" s="11">
        <v>152</v>
      </c>
      <c r="I1321" s="11">
        <v>5.6</v>
      </c>
      <c r="J1321" s="11">
        <v>0</v>
      </c>
      <c r="K1321" s="11">
        <v>0</v>
      </c>
      <c r="L1321" s="11" cm="1">
        <f t="array" ref="L1321">IFERROR(_xlfn.XLOOKUP(C1321&amp;A1321, ESPN!A:A&amp;ESPN!C:C, ESPN!D:D), "N/A")</f>
        <v>122</v>
      </c>
      <c r="M1321" s="23" cm="1">
        <f t="array" ref="M1321">IFERROR(_xlfn.XLOOKUP(C1321&amp;A1321, ESPN!A:A&amp;ESPN!C:C, ESPN!G:G), "N/A")</f>
        <v>1.25</v>
      </c>
      <c r="N1321" s="23" cm="1">
        <f t="array" ref="N1321">IFERROR(_xlfn.XLOOKUP(C1321&amp;A1321, ESPN!A:A&amp;ESPN!C:C, ESPN!H:H), "N/A")</f>
        <v>60</v>
      </c>
      <c r="O1321" s="26" cm="1">
        <f t="array" ref="O1321">IFERROR(_xlfn.XLOOKUP(C1321&amp;A1321, ESPN!A:A&amp;ESPN!C:C, ESPN!I:I), "N/A")</f>
        <v>64</v>
      </c>
      <c r="P1321" s="26" cm="1">
        <f t="array" ref="P1321">IFERROR(_xlfn.XLOOKUP(C1321&amp;A1321, ESPN!A:A&amp;ESPN!C:C, ESPN!J:J), "N/A")</f>
        <v>22</v>
      </c>
      <c r="Q1321" s="26" cm="1">
        <f t="array" ref="Q1321">IFERROR(_xlfn.XLOOKUP(C1321&amp;A1321, ESPN!A:A&amp;ESPN!C:C, ESPN!K:K), "N/A")</f>
        <v>37</v>
      </c>
    </row>
    <row r="1322" spans="1:17" x14ac:dyDescent="0.45">
      <c r="A1322" s="6">
        <v>2018</v>
      </c>
      <c r="B1322" s="1" t="s">
        <v>713</v>
      </c>
      <c r="C1322" s="2" t="str">
        <f t="shared" si="40"/>
        <v>Elijah McGuire</v>
      </c>
      <c r="D1322" s="2" t="str">
        <f t="shared" si="41"/>
        <v>NYJ</v>
      </c>
      <c r="E1322" s="2">
        <v>8</v>
      </c>
      <c r="F1322" s="12">
        <v>31</v>
      </c>
      <c r="G1322" s="11">
        <v>19</v>
      </c>
      <c r="H1322" s="11">
        <v>193</v>
      </c>
      <c r="I1322" s="11">
        <v>10.199999999999999</v>
      </c>
      <c r="J1322" s="11">
        <v>1</v>
      </c>
      <c r="K1322" s="11">
        <v>2</v>
      </c>
      <c r="L1322" s="11" cm="1">
        <f t="array" ref="L1322">IFERROR(_xlfn.XLOOKUP(C1322&amp;A1322, ESPN!A:A&amp;ESPN!C:C, ESPN!D:D), "N/A")</f>
        <v>129</v>
      </c>
      <c r="M1322" s="23" cm="1">
        <f t="array" ref="M1322">IFERROR(_xlfn.XLOOKUP(C1322&amp;A1322, ESPN!A:A&amp;ESPN!C:C, ESPN!G:G), "N/A")</f>
        <v>1.5</v>
      </c>
      <c r="N1322" s="23" cm="1">
        <f t="array" ref="N1322">IFERROR(_xlfn.XLOOKUP(C1322&amp;A1322, ESPN!A:A&amp;ESPN!C:C, ESPN!H:H), "N/A")</f>
        <v>67</v>
      </c>
      <c r="O1322" s="26" cm="1">
        <f t="array" ref="O1322">IFERROR(_xlfn.XLOOKUP(C1322&amp;A1322, ESPN!A:A&amp;ESPN!C:C, ESPN!I:I), "N/A")</f>
        <v>33</v>
      </c>
      <c r="P1322" s="26" cm="1">
        <f t="array" ref="P1322">IFERROR(_xlfn.XLOOKUP(C1322&amp;A1322, ESPN!A:A&amp;ESPN!C:C, ESPN!J:J), "N/A")</f>
        <v>58</v>
      </c>
      <c r="Q1322" s="26" cm="1">
        <f t="array" ref="Q1322">IFERROR(_xlfn.XLOOKUP(C1322&amp;A1322, ESPN!A:A&amp;ESPN!C:C, ESPN!K:K), "N/A")</f>
        <v>55</v>
      </c>
    </row>
    <row r="1323" spans="1:17" x14ac:dyDescent="0.45">
      <c r="A1323" s="7">
        <v>2018</v>
      </c>
      <c r="B1323" s="3" t="s">
        <v>668</v>
      </c>
      <c r="C1323" s="4" t="str">
        <f t="shared" si="40"/>
        <v>Chris Ivory</v>
      </c>
      <c r="D1323" s="4" t="str">
        <f t="shared" si="41"/>
        <v>BUF</v>
      </c>
      <c r="E1323" s="4">
        <v>13</v>
      </c>
      <c r="F1323" s="12">
        <v>21</v>
      </c>
      <c r="G1323" s="11">
        <v>13</v>
      </c>
      <c r="H1323" s="11">
        <v>205</v>
      </c>
      <c r="I1323" s="11">
        <v>15.8</v>
      </c>
      <c r="J1323" s="11">
        <v>0</v>
      </c>
      <c r="K1323" s="11">
        <v>0</v>
      </c>
      <c r="L1323" s="11" t="str" cm="1">
        <f t="array" ref="L1323">IFERROR(_xlfn.XLOOKUP(C1323&amp;A1323, ESPN!A:A&amp;ESPN!C:C, ESPN!D:D), "N/A")</f>
        <v>N/A</v>
      </c>
      <c r="M1323" s="23" t="str" cm="1">
        <f t="array" ref="M1323">IFERROR(_xlfn.XLOOKUP(C1323&amp;A1323, ESPN!A:A&amp;ESPN!C:C, ESPN!G:G), "N/A")</f>
        <v>N/A</v>
      </c>
      <c r="N1323" s="23" t="str" cm="1">
        <f t="array" ref="N1323">IFERROR(_xlfn.XLOOKUP(C1323&amp;A1323, ESPN!A:A&amp;ESPN!C:C, ESPN!H:H), "N/A")</f>
        <v>N/A</v>
      </c>
      <c r="O1323" s="26" t="str" cm="1">
        <f t="array" ref="O1323">IFERROR(_xlfn.XLOOKUP(C1323&amp;A1323, ESPN!A:A&amp;ESPN!C:C, ESPN!I:I), "N/A")</f>
        <v>N/A</v>
      </c>
      <c r="P1323" s="26" t="str" cm="1">
        <f t="array" ref="P1323">IFERROR(_xlfn.XLOOKUP(C1323&amp;A1323, ESPN!A:A&amp;ESPN!C:C, ESPN!J:J), "N/A")</f>
        <v>N/A</v>
      </c>
      <c r="Q1323" s="26" t="str" cm="1">
        <f t="array" ref="Q1323">IFERROR(_xlfn.XLOOKUP(C1323&amp;A1323, ESPN!A:A&amp;ESPN!C:C, ESPN!K:K), "N/A")</f>
        <v>N/A</v>
      </c>
    </row>
    <row r="1324" spans="1:17" x14ac:dyDescent="0.45">
      <c r="A1324" s="6">
        <v>2018</v>
      </c>
      <c r="B1324" s="1" t="s">
        <v>714</v>
      </c>
      <c r="C1324" s="2" t="str">
        <f t="shared" si="40"/>
        <v>Marshawn Lynch</v>
      </c>
      <c r="D1324" s="2" t="str">
        <f t="shared" si="41"/>
        <v>OAK</v>
      </c>
      <c r="E1324" s="2">
        <v>6</v>
      </c>
      <c r="F1324" s="12">
        <v>20</v>
      </c>
      <c r="G1324" s="11">
        <v>15</v>
      </c>
      <c r="H1324" s="11">
        <v>84</v>
      </c>
      <c r="I1324" s="11">
        <v>5.6</v>
      </c>
      <c r="J1324" s="11">
        <v>0</v>
      </c>
      <c r="K1324" s="11">
        <v>0</v>
      </c>
      <c r="L1324" s="11" t="str" cm="1">
        <f t="array" ref="L1324">IFERROR(_xlfn.XLOOKUP(C1324&amp;A1324, ESPN!A:A&amp;ESPN!C:C, ESPN!D:D), "N/A")</f>
        <v>N/A</v>
      </c>
      <c r="M1324" s="23" t="str" cm="1">
        <f t="array" ref="M1324">IFERROR(_xlfn.XLOOKUP(C1324&amp;A1324, ESPN!A:A&amp;ESPN!C:C, ESPN!G:G), "N/A")</f>
        <v>N/A</v>
      </c>
      <c r="N1324" s="23" t="str" cm="1">
        <f t="array" ref="N1324">IFERROR(_xlfn.XLOOKUP(C1324&amp;A1324, ESPN!A:A&amp;ESPN!C:C, ESPN!H:H), "N/A")</f>
        <v>N/A</v>
      </c>
      <c r="O1324" s="26" t="str" cm="1">
        <f t="array" ref="O1324">IFERROR(_xlfn.XLOOKUP(C1324&amp;A1324, ESPN!A:A&amp;ESPN!C:C, ESPN!I:I), "N/A")</f>
        <v>N/A</v>
      </c>
      <c r="P1324" s="26" t="str" cm="1">
        <f t="array" ref="P1324">IFERROR(_xlfn.XLOOKUP(C1324&amp;A1324, ESPN!A:A&amp;ESPN!C:C, ESPN!J:J), "N/A")</f>
        <v>N/A</v>
      </c>
      <c r="Q1324" s="26" t="str" cm="1">
        <f t="array" ref="Q1324">IFERROR(_xlfn.XLOOKUP(C1324&amp;A1324, ESPN!A:A&amp;ESPN!C:C, ESPN!K:K), "N/A")</f>
        <v>N/A</v>
      </c>
    </row>
    <row r="1325" spans="1:17" x14ac:dyDescent="0.45">
      <c r="A1325" s="7">
        <v>2018</v>
      </c>
      <c r="B1325" s="3" t="s">
        <v>569</v>
      </c>
      <c r="C1325" s="4" t="str">
        <f t="shared" si="40"/>
        <v>Jaylen Samuels</v>
      </c>
      <c r="D1325" s="4" t="str">
        <f t="shared" si="41"/>
        <v>PIT</v>
      </c>
      <c r="E1325" s="4">
        <v>14</v>
      </c>
      <c r="F1325" s="12">
        <v>29</v>
      </c>
      <c r="G1325" s="11">
        <v>26</v>
      </c>
      <c r="H1325" s="11">
        <v>199</v>
      </c>
      <c r="I1325" s="11">
        <v>7.7</v>
      </c>
      <c r="J1325" s="11">
        <v>3</v>
      </c>
      <c r="K1325" s="11">
        <v>0</v>
      </c>
      <c r="L1325" s="11" t="str" cm="1">
        <f t="array" ref="L1325">IFERROR(_xlfn.XLOOKUP(C1325&amp;A1325, ESPN!A:A&amp;ESPN!C:C, ESPN!D:D), "N/A")</f>
        <v>N/A</v>
      </c>
      <c r="M1325" s="23" t="str" cm="1">
        <f t="array" ref="M1325">IFERROR(_xlfn.XLOOKUP(C1325&amp;A1325, ESPN!A:A&amp;ESPN!C:C, ESPN!G:G), "N/A")</f>
        <v>N/A</v>
      </c>
      <c r="N1325" s="23" t="str" cm="1">
        <f t="array" ref="N1325">IFERROR(_xlfn.XLOOKUP(C1325&amp;A1325, ESPN!A:A&amp;ESPN!C:C, ESPN!H:H), "N/A")</f>
        <v>N/A</v>
      </c>
      <c r="O1325" s="26" t="str" cm="1">
        <f t="array" ref="O1325">IFERROR(_xlfn.XLOOKUP(C1325&amp;A1325, ESPN!A:A&amp;ESPN!C:C, ESPN!I:I), "N/A")</f>
        <v>N/A</v>
      </c>
      <c r="P1325" s="26" t="str" cm="1">
        <f t="array" ref="P1325">IFERROR(_xlfn.XLOOKUP(C1325&amp;A1325, ESPN!A:A&amp;ESPN!C:C, ESPN!J:J), "N/A")</f>
        <v>N/A</v>
      </c>
      <c r="Q1325" s="26" t="str" cm="1">
        <f t="array" ref="Q1325">IFERROR(_xlfn.XLOOKUP(C1325&amp;A1325, ESPN!A:A&amp;ESPN!C:C, ESPN!K:K), "N/A")</f>
        <v>N/A</v>
      </c>
    </row>
    <row r="1326" spans="1:17" x14ac:dyDescent="0.45">
      <c r="A1326" s="6">
        <v>2018</v>
      </c>
      <c r="B1326" s="1" t="s">
        <v>715</v>
      </c>
      <c r="C1326" s="2" t="str">
        <f t="shared" si="40"/>
        <v>C.J. Anderson</v>
      </c>
      <c r="D1326" s="2" t="str">
        <f t="shared" si="41"/>
        <v>LAR</v>
      </c>
      <c r="E1326" s="2">
        <v>11</v>
      </c>
      <c r="F1326" s="12">
        <v>9</v>
      </c>
      <c r="G1326" s="11">
        <v>5</v>
      </c>
      <c r="H1326" s="11">
        <v>41</v>
      </c>
      <c r="I1326" s="11">
        <v>8.1999999999999993</v>
      </c>
      <c r="J1326" s="11">
        <v>1</v>
      </c>
      <c r="K1326" s="11">
        <v>0</v>
      </c>
      <c r="L1326" s="11" t="str" cm="1">
        <f t="array" ref="L1326">IFERROR(_xlfn.XLOOKUP(C1326&amp;A1326, ESPN!A:A&amp;ESPN!C:C, ESPN!D:D), "N/A")</f>
        <v>N/A</v>
      </c>
      <c r="M1326" s="23" t="str" cm="1">
        <f t="array" ref="M1326">IFERROR(_xlfn.XLOOKUP(C1326&amp;A1326, ESPN!A:A&amp;ESPN!C:C, ESPN!G:G), "N/A")</f>
        <v>N/A</v>
      </c>
      <c r="N1326" s="23" t="str" cm="1">
        <f t="array" ref="N1326">IFERROR(_xlfn.XLOOKUP(C1326&amp;A1326, ESPN!A:A&amp;ESPN!C:C, ESPN!H:H), "N/A")</f>
        <v>N/A</v>
      </c>
      <c r="O1326" s="26" t="str" cm="1">
        <f t="array" ref="O1326">IFERROR(_xlfn.XLOOKUP(C1326&amp;A1326, ESPN!A:A&amp;ESPN!C:C, ESPN!I:I), "N/A")</f>
        <v>N/A</v>
      </c>
      <c r="P1326" s="26" t="str" cm="1">
        <f t="array" ref="P1326">IFERROR(_xlfn.XLOOKUP(C1326&amp;A1326, ESPN!A:A&amp;ESPN!C:C, ESPN!J:J), "N/A")</f>
        <v>N/A</v>
      </c>
      <c r="Q1326" s="26" t="str" cm="1">
        <f t="array" ref="Q1326">IFERROR(_xlfn.XLOOKUP(C1326&amp;A1326, ESPN!A:A&amp;ESPN!C:C, ESPN!K:K), "N/A")</f>
        <v>N/A</v>
      </c>
    </row>
    <row r="1327" spans="1:17" x14ac:dyDescent="0.45">
      <c r="A1327" s="7">
        <v>2018</v>
      </c>
      <c r="B1327" s="3" t="s">
        <v>361</v>
      </c>
      <c r="C1327" s="4" t="str">
        <f t="shared" si="40"/>
        <v>Rashaad Penny</v>
      </c>
      <c r="D1327" s="4" t="str">
        <f t="shared" si="41"/>
        <v>SEA</v>
      </c>
      <c r="E1327" s="4">
        <v>14</v>
      </c>
      <c r="F1327" s="12">
        <v>12</v>
      </c>
      <c r="G1327" s="11">
        <v>9</v>
      </c>
      <c r="H1327" s="11">
        <v>75</v>
      </c>
      <c r="I1327" s="11">
        <v>8.3000000000000007</v>
      </c>
      <c r="J1327" s="11">
        <v>0</v>
      </c>
      <c r="K1327" s="11">
        <v>0</v>
      </c>
      <c r="L1327" s="11" t="str" cm="1">
        <f t="array" ref="L1327">IFERROR(_xlfn.XLOOKUP(C1327&amp;A1327, ESPN!A:A&amp;ESPN!C:C, ESPN!D:D), "N/A")</f>
        <v>N/A</v>
      </c>
      <c r="M1327" s="23" t="str" cm="1">
        <f t="array" ref="M1327">IFERROR(_xlfn.XLOOKUP(C1327&amp;A1327, ESPN!A:A&amp;ESPN!C:C, ESPN!G:G), "N/A")</f>
        <v>N/A</v>
      </c>
      <c r="N1327" s="23" t="str" cm="1">
        <f t="array" ref="N1327">IFERROR(_xlfn.XLOOKUP(C1327&amp;A1327, ESPN!A:A&amp;ESPN!C:C, ESPN!H:H), "N/A")</f>
        <v>N/A</v>
      </c>
      <c r="O1327" s="26" t="str" cm="1">
        <f t="array" ref="O1327">IFERROR(_xlfn.XLOOKUP(C1327&amp;A1327, ESPN!A:A&amp;ESPN!C:C, ESPN!I:I), "N/A")</f>
        <v>N/A</v>
      </c>
      <c r="P1327" s="26" t="str" cm="1">
        <f t="array" ref="P1327">IFERROR(_xlfn.XLOOKUP(C1327&amp;A1327, ESPN!A:A&amp;ESPN!C:C, ESPN!J:J), "N/A")</f>
        <v>N/A</v>
      </c>
      <c r="Q1327" s="26" t="str" cm="1">
        <f t="array" ref="Q1327">IFERROR(_xlfn.XLOOKUP(C1327&amp;A1327, ESPN!A:A&amp;ESPN!C:C, ESPN!K:K), "N/A")</f>
        <v>N/A</v>
      </c>
    </row>
    <row r="1328" spans="1:17" x14ac:dyDescent="0.45">
      <c r="A1328" s="6">
        <v>2018</v>
      </c>
      <c r="B1328" s="1" t="s">
        <v>533</v>
      </c>
      <c r="C1328" s="2" t="str">
        <f t="shared" si="40"/>
        <v>Giovani Bernard</v>
      </c>
      <c r="D1328" s="2" t="str">
        <f t="shared" si="41"/>
        <v>CIN</v>
      </c>
      <c r="E1328" s="2">
        <v>12</v>
      </c>
      <c r="F1328" s="12">
        <v>48</v>
      </c>
      <c r="G1328" s="11">
        <v>35</v>
      </c>
      <c r="H1328" s="11">
        <v>218</v>
      </c>
      <c r="I1328" s="11">
        <v>6.2</v>
      </c>
      <c r="J1328" s="11">
        <v>0</v>
      </c>
      <c r="K1328" s="11">
        <v>0</v>
      </c>
      <c r="L1328" s="11" t="str" cm="1">
        <f t="array" ref="L1328">IFERROR(_xlfn.XLOOKUP(C1328&amp;A1328, ESPN!A:A&amp;ESPN!C:C, ESPN!D:D), "N/A")</f>
        <v>N/A</v>
      </c>
      <c r="M1328" s="23" t="str" cm="1">
        <f t="array" ref="M1328">IFERROR(_xlfn.XLOOKUP(C1328&amp;A1328, ESPN!A:A&amp;ESPN!C:C, ESPN!G:G), "N/A")</f>
        <v>N/A</v>
      </c>
      <c r="N1328" s="23" t="str" cm="1">
        <f t="array" ref="N1328">IFERROR(_xlfn.XLOOKUP(C1328&amp;A1328, ESPN!A:A&amp;ESPN!C:C, ESPN!H:H), "N/A")</f>
        <v>N/A</v>
      </c>
      <c r="O1328" s="26" t="str" cm="1">
        <f t="array" ref="O1328">IFERROR(_xlfn.XLOOKUP(C1328&amp;A1328, ESPN!A:A&amp;ESPN!C:C, ESPN!I:I), "N/A")</f>
        <v>N/A</v>
      </c>
      <c r="P1328" s="26" t="str" cm="1">
        <f t="array" ref="P1328">IFERROR(_xlfn.XLOOKUP(C1328&amp;A1328, ESPN!A:A&amp;ESPN!C:C, ESPN!J:J), "N/A")</f>
        <v>N/A</v>
      </c>
      <c r="Q1328" s="26" t="str" cm="1">
        <f t="array" ref="Q1328">IFERROR(_xlfn.XLOOKUP(C1328&amp;A1328, ESPN!A:A&amp;ESPN!C:C, ESPN!K:K), "N/A")</f>
        <v>N/A</v>
      </c>
    </row>
    <row r="1329" spans="1:17" x14ac:dyDescent="0.45">
      <c r="A1329" s="7">
        <v>2018</v>
      </c>
      <c r="B1329" s="3" t="s">
        <v>716</v>
      </c>
      <c r="C1329" s="4" t="str">
        <f t="shared" si="40"/>
        <v>Alfred Morris</v>
      </c>
      <c r="D1329" s="4" t="str">
        <f t="shared" si="41"/>
        <v>SF</v>
      </c>
      <c r="E1329" s="4">
        <v>12</v>
      </c>
      <c r="F1329" s="12">
        <v>13</v>
      </c>
      <c r="G1329" s="11">
        <v>8</v>
      </c>
      <c r="H1329" s="11">
        <v>73</v>
      </c>
      <c r="I1329" s="11">
        <v>9.1</v>
      </c>
      <c r="J1329" s="11">
        <v>0</v>
      </c>
      <c r="K1329" s="11">
        <v>1</v>
      </c>
      <c r="L1329" s="11" t="str" cm="1">
        <f t="array" ref="L1329">IFERROR(_xlfn.XLOOKUP(C1329&amp;A1329, ESPN!A:A&amp;ESPN!C:C, ESPN!D:D), "N/A")</f>
        <v>N/A</v>
      </c>
      <c r="M1329" s="23" t="str" cm="1">
        <f t="array" ref="M1329">IFERROR(_xlfn.XLOOKUP(C1329&amp;A1329, ESPN!A:A&amp;ESPN!C:C, ESPN!G:G), "N/A")</f>
        <v>N/A</v>
      </c>
      <c r="N1329" s="23" t="str" cm="1">
        <f t="array" ref="N1329">IFERROR(_xlfn.XLOOKUP(C1329&amp;A1329, ESPN!A:A&amp;ESPN!C:C, ESPN!H:H), "N/A")</f>
        <v>N/A</v>
      </c>
      <c r="O1329" s="26" t="str" cm="1">
        <f t="array" ref="O1329">IFERROR(_xlfn.XLOOKUP(C1329&amp;A1329, ESPN!A:A&amp;ESPN!C:C, ESPN!I:I), "N/A")</f>
        <v>N/A</v>
      </c>
      <c r="P1329" s="26" t="str" cm="1">
        <f t="array" ref="P1329">IFERROR(_xlfn.XLOOKUP(C1329&amp;A1329, ESPN!A:A&amp;ESPN!C:C, ESPN!J:J), "N/A")</f>
        <v>N/A</v>
      </c>
      <c r="Q1329" s="26" t="str" cm="1">
        <f t="array" ref="Q1329">IFERROR(_xlfn.XLOOKUP(C1329&amp;A1329, ESPN!A:A&amp;ESPN!C:C, ESPN!K:K), "N/A")</f>
        <v>N/A</v>
      </c>
    </row>
    <row r="1330" spans="1:17" x14ac:dyDescent="0.45">
      <c r="A1330" s="6">
        <v>2018</v>
      </c>
      <c r="B1330" s="1" t="s">
        <v>561</v>
      </c>
      <c r="C1330" s="2" t="str">
        <f t="shared" si="40"/>
        <v>Corey Clement</v>
      </c>
      <c r="D1330" s="2" t="str">
        <f t="shared" si="41"/>
        <v>PHI</v>
      </c>
      <c r="E1330" s="2">
        <v>11</v>
      </c>
      <c r="F1330" s="12">
        <v>25</v>
      </c>
      <c r="G1330" s="11">
        <v>22</v>
      </c>
      <c r="H1330" s="11">
        <v>192</v>
      </c>
      <c r="I1330" s="11">
        <v>8.6999999999999993</v>
      </c>
      <c r="J1330" s="11">
        <v>0</v>
      </c>
      <c r="K1330" s="11">
        <v>0</v>
      </c>
      <c r="L1330" s="11" t="str" cm="1">
        <f t="array" ref="L1330">IFERROR(_xlfn.XLOOKUP(C1330&amp;A1330, ESPN!A:A&amp;ESPN!C:C, ESPN!D:D), "N/A")</f>
        <v>N/A</v>
      </c>
      <c r="M1330" s="23" t="str" cm="1">
        <f t="array" ref="M1330">IFERROR(_xlfn.XLOOKUP(C1330&amp;A1330, ESPN!A:A&amp;ESPN!C:C, ESPN!G:G), "N/A")</f>
        <v>N/A</v>
      </c>
      <c r="N1330" s="23" t="str" cm="1">
        <f t="array" ref="N1330">IFERROR(_xlfn.XLOOKUP(C1330&amp;A1330, ESPN!A:A&amp;ESPN!C:C, ESPN!H:H), "N/A")</f>
        <v>N/A</v>
      </c>
      <c r="O1330" s="26" t="str" cm="1">
        <f t="array" ref="O1330">IFERROR(_xlfn.XLOOKUP(C1330&amp;A1330, ESPN!A:A&amp;ESPN!C:C, ESPN!I:I), "N/A")</f>
        <v>N/A</v>
      </c>
      <c r="P1330" s="26" t="str" cm="1">
        <f t="array" ref="P1330">IFERROR(_xlfn.XLOOKUP(C1330&amp;A1330, ESPN!A:A&amp;ESPN!C:C, ESPN!J:J), "N/A")</f>
        <v>N/A</v>
      </c>
      <c r="Q1330" s="26" t="str" cm="1">
        <f t="array" ref="Q1330">IFERROR(_xlfn.XLOOKUP(C1330&amp;A1330, ESPN!A:A&amp;ESPN!C:C, ESPN!K:K), "N/A")</f>
        <v>N/A</v>
      </c>
    </row>
    <row r="1331" spans="1:17" x14ac:dyDescent="0.45">
      <c r="A1331" s="7">
        <v>2018</v>
      </c>
      <c r="B1331" s="3" t="s">
        <v>640</v>
      </c>
      <c r="C1331" s="4" t="str">
        <f t="shared" si="40"/>
        <v>Spencer Ware</v>
      </c>
      <c r="D1331" s="4" t="str">
        <f t="shared" si="41"/>
        <v>KC</v>
      </c>
      <c r="E1331" s="4">
        <v>13</v>
      </c>
      <c r="F1331" s="12">
        <v>23</v>
      </c>
      <c r="G1331" s="11">
        <v>20</v>
      </c>
      <c r="H1331" s="11">
        <v>224</v>
      </c>
      <c r="I1331" s="11">
        <v>11.2</v>
      </c>
      <c r="J1331" s="11">
        <v>0</v>
      </c>
      <c r="K1331" s="11">
        <v>0</v>
      </c>
      <c r="L1331" s="11" t="str" cm="1">
        <f t="array" ref="L1331">IFERROR(_xlfn.XLOOKUP(C1331&amp;A1331, ESPN!A:A&amp;ESPN!C:C, ESPN!D:D), "N/A")</f>
        <v>N/A</v>
      </c>
      <c r="M1331" s="23" t="str" cm="1">
        <f t="array" ref="M1331">IFERROR(_xlfn.XLOOKUP(C1331&amp;A1331, ESPN!A:A&amp;ESPN!C:C, ESPN!G:G), "N/A")</f>
        <v>N/A</v>
      </c>
      <c r="N1331" s="23" t="str" cm="1">
        <f t="array" ref="N1331">IFERROR(_xlfn.XLOOKUP(C1331&amp;A1331, ESPN!A:A&amp;ESPN!C:C, ESPN!H:H), "N/A")</f>
        <v>N/A</v>
      </c>
      <c r="O1331" s="26" t="str" cm="1">
        <f t="array" ref="O1331">IFERROR(_xlfn.XLOOKUP(C1331&amp;A1331, ESPN!A:A&amp;ESPN!C:C, ESPN!I:I), "N/A")</f>
        <v>N/A</v>
      </c>
      <c r="P1331" s="26" t="str" cm="1">
        <f t="array" ref="P1331">IFERROR(_xlfn.XLOOKUP(C1331&amp;A1331, ESPN!A:A&amp;ESPN!C:C, ESPN!J:J), "N/A")</f>
        <v>N/A</v>
      </c>
      <c r="Q1331" s="26" t="str" cm="1">
        <f t="array" ref="Q1331">IFERROR(_xlfn.XLOOKUP(C1331&amp;A1331, ESPN!A:A&amp;ESPN!C:C, ESPN!K:K), "N/A")</f>
        <v>N/A</v>
      </c>
    </row>
    <row r="1332" spans="1:17" x14ac:dyDescent="0.45">
      <c r="A1332" s="6">
        <v>2018</v>
      </c>
      <c r="B1332" s="1" t="s">
        <v>717</v>
      </c>
      <c r="C1332" s="2" t="str">
        <f t="shared" si="40"/>
        <v>Javorius Allen</v>
      </c>
      <c r="D1332" s="2" t="str">
        <f t="shared" si="41"/>
        <v>BAL</v>
      </c>
      <c r="E1332" s="2">
        <v>14</v>
      </c>
      <c r="F1332" s="12">
        <v>43</v>
      </c>
      <c r="G1332" s="11">
        <v>35</v>
      </c>
      <c r="H1332" s="11">
        <v>196</v>
      </c>
      <c r="I1332" s="11">
        <v>5.6</v>
      </c>
      <c r="J1332" s="11">
        <v>2</v>
      </c>
      <c r="K1332" s="11">
        <v>1</v>
      </c>
      <c r="L1332" s="11" cm="1">
        <f t="array" ref="L1332">IFERROR(_xlfn.XLOOKUP(C1332&amp;A1332, ESPN!A:A&amp;ESPN!C:C, ESPN!D:D), "N/A")</f>
        <v>133</v>
      </c>
      <c r="M1332" s="23" cm="1">
        <f t="array" ref="M1332">IFERROR(_xlfn.XLOOKUP(C1332&amp;A1332, ESPN!A:A&amp;ESPN!C:C, ESPN!G:G), "N/A")</f>
        <v>1.47</v>
      </c>
      <c r="N1332" s="23" cm="1">
        <f t="array" ref="N1332">IFERROR(_xlfn.XLOOKUP(C1332&amp;A1332, ESPN!A:A&amp;ESPN!C:C, ESPN!H:H), "N/A")</f>
        <v>60</v>
      </c>
      <c r="O1332" s="26" cm="1">
        <f t="array" ref="O1332">IFERROR(_xlfn.XLOOKUP(C1332&amp;A1332, ESPN!A:A&amp;ESPN!C:C, ESPN!I:I), "N/A")</f>
        <v>60</v>
      </c>
      <c r="P1332" s="26" cm="1">
        <f t="array" ref="P1332">IFERROR(_xlfn.XLOOKUP(C1332&amp;A1332, ESPN!A:A&amp;ESPN!C:C, ESPN!J:J), "N/A")</f>
        <v>39</v>
      </c>
      <c r="Q1332" s="26" cm="1">
        <f t="array" ref="Q1332">IFERROR(_xlfn.XLOOKUP(C1332&amp;A1332, ESPN!A:A&amp;ESPN!C:C, ESPN!K:K), "N/A")</f>
        <v>49</v>
      </c>
    </row>
    <row r="1333" spans="1:17" x14ac:dyDescent="0.45">
      <c r="A1333" s="7">
        <v>2018</v>
      </c>
      <c r="B1333" s="3" t="s">
        <v>718</v>
      </c>
      <c r="C1333" s="4" t="str">
        <f t="shared" si="40"/>
        <v>Theo Riddick</v>
      </c>
      <c r="D1333" s="4" t="str">
        <f t="shared" si="41"/>
        <v>DET</v>
      </c>
      <c r="E1333" s="4">
        <v>14</v>
      </c>
      <c r="F1333" s="12">
        <v>74</v>
      </c>
      <c r="G1333" s="11">
        <v>61</v>
      </c>
      <c r="H1333" s="11">
        <v>384</v>
      </c>
      <c r="I1333" s="11">
        <v>6.3</v>
      </c>
      <c r="J1333" s="11">
        <v>0</v>
      </c>
      <c r="K1333" s="11">
        <v>0</v>
      </c>
      <c r="L1333" s="11" cm="1">
        <f t="array" ref="L1333">IFERROR(_xlfn.XLOOKUP(C1333&amp;A1333, ESPN!A:A&amp;ESPN!C:C, ESPN!D:D), "N/A")</f>
        <v>175</v>
      </c>
      <c r="M1333" s="23" cm="1">
        <f t="array" ref="M1333">IFERROR(_xlfn.XLOOKUP(C1333&amp;A1333, ESPN!A:A&amp;ESPN!C:C, ESPN!G:G), "N/A")</f>
        <v>2.19</v>
      </c>
      <c r="N1333" s="23" cm="1">
        <f t="array" ref="N1333">IFERROR(_xlfn.XLOOKUP(C1333&amp;A1333, ESPN!A:A&amp;ESPN!C:C, ESPN!H:H), "N/A")</f>
        <v>60</v>
      </c>
      <c r="O1333" s="26" cm="1">
        <f t="array" ref="O1333">IFERROR(_xlfn.XLOOKUP(C1333&amp;A1333, ESPN!A:A&amp;ESPN!C:C, ESPN!I:I), "N/A")</f>
        <v>46</v>
      </c>
      <c r="P1333" s="26" cm="1">
        <f t="array" ref="P1333">IFERROR(_xlfn.XLOOKUP(C1333&amp;A1333, ESPN!A:A&amp;ESPN!C:C, ESPN!J:J), "N/A")</f>
        <v>45</v>
      </c>
      <c r="Q1333" s="26" cm="1">
        <f t="array" ref="Q1333">IFERROR(_xlfn.XLOOKUP(C1333&amp;A1333, ESPN!A:A&amp;ESPN!C:C, ESPN!K:K), "N/A")</f>
        <v>48</v>
      </c>
    </row>
    <row r="1334" spans="1:17" x14ac:dyDescent="0.45">
      <c r="A1334" s="6">
        <v>2018</v>
      </c>
      <c r="B1334" s="1" t="s">
        <v>615</v>
      </c>
      <c r="C1334" s="2" t="str">
        <f t="shared" si="40"/>
        <v>Chris Thompson</v>
      </c>
      <c r="D1334" s="2" t="str">
        <f t="shared" si="41"/>
        <v>WAS</v>
      </c>
      <c r="E1334" s="2">
        <v>10</v>
      </c>
      <c r="F1334" s="12">
        <v>55</v>
      </c>
      <c r="G1334" s="11">
        <v>41</v>
      </c>
      <c r="H1334" s="11">
        <v>268</v>
      </c>
      <c r="I1334" s="11">
        <v>6.5</v>
      </c>
      <c r="J1334" s="11">
        <v>1</v>
      </c>
      <c r="K1334" s="11">
        <v>0</v>
      </c>
      <c r="L1334" s="11" cm="1">
        <f t="array" ref="L1334">IFERROR(_xlfn.XLOOKUP(C1334&amp;A1334, ESPN!A:A&amp;ESPN!C:C, ESPN!D:D), "N/A")</f>
        <v>164</v>
      </c>
      <c r="M1334" s="23" cm="1">
        <f t="array" ref="M1334">IFERROR(_xlfn.XLOOKUP(C1334&amp;A1334, ESPN!A:A&amp;ESPN!C:C, ESPN!G:G), "N/A")</f>
        <v>1.63</v>
      </c>
      <c r="N1334" s="23" cm="1">
        <f t="array" ref="N1334">IFERROR(_xlfn.XLOOKUP(C1334&amp;A1334, ESPN!A:A&amp;ESPN!C:C, ESPN!H:H), "N/A")</f>
        <v>54</v>
      </c>
      <c r="O1334" s="26" cm="1">
        <f t="array" ref="O1334">IFERROR(_xlfn.XLOOKUP(C1334&amp;A1334, ESPN!A:A&amp;ESPN!C:C, ESPN!I:I), "N/A")</f>
        <v>46</v>
      </c>
      <c r="P1334" s="26" cm="1">
        <f t="array" ref="P1334">IFERROR(_xlfn.XLOOKUP(C1334&amp;A1334, ESPN!A:A&amp;ESPN!C:C, ESPN!J:J), "N/A")</f>
        <v>19</v>
      </c>
      <c r="Q1334" s="26" cm="1">
        <f t="array" ref="Q1334">IFERROR(_xlfn.XLOOKUP(C1334&amp;A1334, ESPN!A:A&amp;ESPN!C:C, ESPN!K:K), "N/A")</f>
        <v>24</v>
      </c>
    </row>
    <row r="1335" spans="1:17" x14ac:dyDescent="0.45">
      <c r="A1335" s="7">
        <v>2018</v>
      </c>
      <c r="B1335" s="3" t="s">
        <v>719</v>
      </c>
      <c r="C1335" s="4" t="str">
        <f t="shared" si="40"/>
        <v>Zach Zenner</v>
      </c>
      <c r="D1335" s="4" t="str">
        <f t="shared" si="41"/>
        <v>DET</v>
      </c>
      <c r="E1335" s="4">
        <v>8</v>
      </c>
      <c r="F1335" s="12">
        <v>10</v>
      </c>
      <c r="G1335" s="11">
        <v>7</v>
      </c>
      <c r="H1335" s="11">
        <v>56</v>
      </c>
      <c r="I1335" s="11">
        <v>8</v>
      </c>
      <c r="J1335" s="11">
        <v>0</v>
      </c>
      <c r="K1335" s="11">
        <v>0</v>
      </c>
      <c r="L1335" s="11" t="str" cm="1">
        <f t="array" ref="L1335">IFERROR(_xlfn.XLOOKUP(C1335&amp;A1335, ESPN!A:A&amp;ESPN!C:C, ESPN!D:D), "N/A")</f>
        <v>N/A</v>
      </c>
      <c r="M1335" s="23" t="str" cm="1">
        <f t="array" ref="M1335">IFERROR(_xlfn.XLOOKUP(C1335&amp;A1335, ESPN!A:A&amp;ESPN!C:C, ESPN!G:G), "N/A")</f>
        <v>N/A</v>
      </c>
      <c r="N1335" s="23" t="str" cm="1">
        <f t="array" ref="N1335">IFERROR(_xlfn.XLOOKUP(C1335&amp;A1335, ESPN!A:A&amp;ESPN!C:C, ESPN!H:H), "N/A")</f>
        <v>N/A</v>
      </c>
      <c r="O1335" s="26" t="str" cm="1">
        <f t="array" ref="O1335">IFERROR(_xlfn.XLOOKUP(C1335&amp;A1335, ESPN!A:A&amp;ESPN!C:C, ESPN!I:I), "N/A")</f>
        <v>N/A</v>
      </c>
      <c r="P1335" s="26" t="str" cm="1">
        <f t="array" ref="P1335">IFERROR(_xlfn.XLOOKUP(C1335&amp;A1335, ESPN!A:A&amp;ESPN!C:C, ESPN!J:J), "N/A")</f>
        <v>N/A</v>
      </c>
      <c r="Q1335" s="26" t="str" cm="1">
        <f t="array" ref="Q1335">IFERROR(_xlfn.XLOOKUP(C1335&amp;A1335, ESPN!A:A&amp;ESPN!C:C, ESPN!K:K), "N/A")</f>
        <v>N/A</v>
      </c>
    </row>
    <row r="1336" spans="1:17" x14ac:dyDescent="0.45">
      <c r="A1336" s="6">
        <v>2018</v>
      </c>
      <c r="B1336" s="1" t="s">
        <v>641</v>
      </c>
      <c r="C1336" s="2" t="str">
        <f t="shared" si="40"/>
        <v>Devontae Booker</v>
      </c>
      <c r="D1336" s="2" t="str">
        <f t="shared" si="41"/>
        <v>DEN</v>
      </c>
      <c r="E1336" s="2">
        <v>16</v>
      </c>
      <c r="F1336" s="12">
        <v>51</v>
      </c>
      <c r="G1336" s="11">
        <v>38</v>
      </c>
      <c r="H1336" s="11">
        <v>275</v>
      </c>
      <c r="I1336" s="11">
        <v>7.2</v>
      </c>
      <c r="J1336" s="11">
        <v>0</v>
      </c>
      <c r="K1336" s="11">
        <v>1</v>
      </c>
      <c r="L1336" s="11" cm="1">
        <f t="array" ref="L1336">IFERROR(_xlfn.XLOOKUP(C1336&amp;A1336, ESPN!A:A&amp;ESPN!C:C, ESPN!D:D), "N/A")</f>
        <v>163</v>
      </c>
      <c r="M1336" s="23" cm="1">
        <f t="array" ref="M1336">IFERROR(_xlfn.XLOOKUP(C1336&amp;A1336, ESPN!A:A&amp;ESPN!C:C, ESPN!G:G), "N/A")</f>
        <v>1.69</v>
      </c>
      <c r="N1336" s="23" cm="1">
        <f t="array" ref="N1336">IFERROR(_xlfn.XLOOKUP(C1336&amp;A1336, ESPN!A:A&amp;ESPN!C:C, ESPN!H:H), "N/A")</f>
        <v>34</v>
      </c>
      <c r="O1336" s="26" cm="1">
        <f t="array" ref="O1336">IFERROR(_xlfn.XLOOKUP(C1336&amp;A1336, ESPN!A:A&amp;ESPN!C:C, ESPN!I:I), "N/A")</f>
        <v>38</v>
      </c>
      <c r="P1336" s="26" cm="1">
        <f t="array" ref="P1336">IFERROR(_xlfn.XLOOKUP(C1336&amp;A1336, ESPN!A:A&amp;ESPN!C:C, ESPN!J:J), "N/A")</f>
        <v>50</v>
      </c>
      <c r="Q1336" s="26" cm="1">
        <f t="array" ref="Q1336">IFERROR(_xlfn.XLOOKUP(C1336&amp;A1336, ESPN!A:A&amp;ESPN!C:C, ESPN!K:K), "N/A")</f>
        <v>38</v>
      </c>
    </row>
    <row r="1337" spans="1:17" x14ac:dyDescent="0.45">
      <c r="A1337" s="7">
        <v>2018</v>
      </c>
      <c r="B1337" s="3" t="s">
        <v>626</v>
      </c>
      <c r="C1337" s="4" t="str">
        <f t="shared" si="40"/>
        <v>Bilal Powell</v>
      </c>
      <c r="D1337" s="4" t="str">
        <f t="shared" si="41"/>
        <v>NYJ</v>
      </c>
      <c r="E1337" s="4">
        <v>7</v>
      </c>
      <c r="F1337" s="12">
        <v>18</v>
      </c>
      <c r="G1337" s="11">
        <v>11</v>
      </c>
      <c r="H1337" s="11">
        <v>110</v>
      </c>
      <c r="I1337" s="11">
        <v>10</v>
      </c>
      <c r="J1337" s="11">
        <v>1</v>
      </c>
      <c r="K1337" s="11">
        <v>1</v>
      </c>
      <c r="L1337" s="11" t="str" cm="1">
        <f t="array" ref="L1337">IFERROR(_xlfn.XLOOKUP(C1337&amp;A1337, ESPN!A:A&amp;ESPN!C:C, ESPN!D:D), "N/A")</f>
        <v>N/A</v>
      </c>
      <c r="M1337" s="23" t="str" cm="1">
        <f t="array" ref="M1337">IFERROR(_xlfn.XLOOKUP(C1337&amp;A1337, ESPN!A:A&amp;ESPN!C:C, ESPN!G:G), "N/A")</f>
        <v>N/A</v>
      </c>
      <c r="N1337" s="23" t="str" cm="1">
        <f t="array" ref="N1337">IFERROR(_xlfn.XLOOKUP(C1337&amp;A1337, ESPN!A:A&amp;ESPN!C:C, ESPN!H:H), "N/A")</f>
        <v>N/A</v>
      </c>
      <c r="O1337" s="26" t="str" cm="1">
        <f t="array" ref="O1337">IFERROR(_xlfn.XLOOKUP(C1337&amp;A1337, ESPN!A:A&amp;ESPN!C:C, ESPN!I:I), "N/A")</f>
        <v>N/A</v>
      </c>
      <c r="P1337" s="26" t="str" cm="1">
        <f t="array" ref="P1337">IFERROR(_xlfn.XLOOKUP(C1337&amp;A1337, ESPN!A:A&amp;ESPN!C:C, ESPN!J:J), "N/A")</f>
        <v>N/A</v>
      </c>
      <c r="Q1337" s="26" t="str" cm="1">
        <f t="array" ref="Q1337">IFERROR(_xlfn.XLOOKUP(C1337&amp;A1337, ESPN!A:A&amp;ESPN!C:C, ESPN!K:K), "N/A")</f>
        <v>N/A</v>
      </c>
    </row>
    <row r="1338" spans="1:17" x14ac:dyDescent="0.45">
      <c r="A1338" s="6">
        <v>2018</v>
      </c>
      <c r="B1338" s="1" t="s">
        <v>685</v>
      </c>
      <c r="C1338" s="2" t="str">
        <f t="shared" si="40"/>
        <v>Kenneth Dixon</v>
      </c>
      <c r="D1338" s="2" t="str">
        <f t="shared" si="41"/>
        <v>BAL</v>
      </c>
      <c r="E1338" s="2">
        <v>6</v>
      </c>
      <c r="F1338" s="12">
        <v>7</v>
      </c>
      <c r="G1338" s="11">
        <v>6</v>
      </c>
      <c r="H1338" s="11">
        <v>51</v>
      </c>
      <c r="I1338" s="11">
        <v>8.5</v>
      </c>
      <c r="J1338" s="11">
        <v>0</v>
      </c>
      <c r="K1338" s="11">
        <v>1</v>
      </c>
      <c r="L1338" s="11" t="str" cm="1">
        <f t="array" ref="L1338">IFERROR(_xlfn.XLOOKUP(C1338&amp;A1338, ESPN!A:A&amp;ESPN!C:C, ESPN!D:D), "N/A")</f>
        <v>N/A</v>
      </c>
      <c r="M1338" s="23" t="str" cm="1">
        <f t="array" ref="M1338">IFERROR(_xlfn.XLOOKUP(C1338&amp;A1338, ESPN!A:A&amp;ESPN!C:C, ESPN!G:G), "N/A")</f>
        <v>N/A</v>
      </c>
      <c r="N1338" s="23" t="str" cm="1">
        <f t="array" ref="N1338">IFERROR(_xlfn.XLOOKUP(C1338&amp;A1338, ESPN!A:A&amp;ESPN!C:C, ESPN!H:H), "N/A")</f>
        <v>N/A</v>
      </c>
      <c r="O1338" s="26" t="str" cm="1">
        <f t="array" ref="O1338">IFERROR(_xlfn.XLOOKUP(C1338&amp;A1338, ESPN!A:A&amp;ESPN!C:C, ESPN!I:I), "N/A")</f>
        <v>N/A</v>
      </c>
      <c r="P1338" s="26" t="str" cm="1">
        <f t="array" ref="P1338">IFERROR(_xlfn.XLOOKUP(C1338&amp;A1338, ESPN!A:A&amp;ESPN!C:C, ESPN!J:J), "N/A")</f>
        <v>N/A</v>
      </c>
      <c r="Q1338" s="26" t="str" cm="1">
        <f t="array" ref="Q1338">IFERROR(_xlfn.XLOOKUP(C1338&amp;A1338, ESPN!A:A&amp;ESPN!C:C, ESPN!K:K), "N/A")</f>
        <v>N/A</v>
      </c>
    </row>
    <row r="1339" spans="1:17" x14ac:dyDescent="0.45">
      <c r="A1339" s="7">
        <v>2018</v>
      </c>
      <c r="B1339" s="3" t="s">
        <v>720</v>
      </c>
      <c r="C1339" s="4" t="str">
        <f t="shared" si="40"/>
        <v>Cordarrelle Patterson</v>
      </c>
      <c r="D1339" s="4" t="str">
        <f t="shared" si="41"/>
        <v>NE</v>
      </c>
      <c r="E1339" s="4">
        <v>15</v>
      </c>
      <c r="F1339" s="12">
        <v>28</v>
      </c>
      <c r="G1339" s="11">
        <v>21</v>
      </c>
      <c r="H1339" s="11">
        <v>247</v>
      </c>
      <c r="I1339" s="11">
        <v>11.8</v>
      </c>
      <c r="J1339" s="11">
        <v>3</v>
      </c>
      <c r="K1339" s="11">
        <v>1</v>
      </c>
      <c r="L1339" s="11" t="str" cm="1">
        <f t="array" ref="L1339">IFERROR(_xlfn.XLOOKUP(C1339&amp;A1339, ESPN!A:A&amp;ESPN!C:C, ESPN!D:D), "N/A")</f>
        <v>N/A</v>
      </c>
      <c r="M1339" s="23" t="str" cm="1">
        <f t="array" ref="M1339">IFERROR(_xlfn.XLOOKUP(C1339&amp;A1339, ESPN!A:A&amp;ESPN!C:C, ESPN!G:G), "N/A")</f>
        <v>N/A</v>
      </c>
      <c r="N1339" s="23" t="str" cm="1">
        <f t="array" ref="N1339">IFERROR(_xlfn.XLOOKUP(C1339&amp;A1339, ESPN!A:A&amp;ESPN!C:C, ESPN!H:H), "N/A")</f>
        <v>N/A</v>
      </c>
      <c r="O1339" s="26" t="str" cm="1">
        <f t="array" ref="O1339">IFERROR(_xlfn.XLOOKUP(C1339&amp;A1339, ESPN!A:A&amp;ESPN!C:C, ESPN!I:I), "N/A")</f>
        <v>N/A</v>
      </c>
      <c r="P1339" s="26" t="str" cm="1">
        <f t="array" ref="P1339">IFERROR(_xlfn.XLOOKUP(C1339&amp;A1339, ESPN!A:A&amp;ESPN!C:C, ESPN!J:J), "N/A")</f>
        <v>N/A</v>
      </c>
      <c r="Q1339" s="26" t="str" cm="1">
        <f t="array" ref="Q1339">IFERROR(_xlfn.XLOOKUP(C1339&amp;A1339, ESPN!A:A&amp;ESPN!C:C, ESPN!K:K), "N/A")</f>
        <v>N/A</v>
      </c>
    </row>
    <row r="1340" spans="1:17" x14ac:dyDescent="0.45">
      <c r="A1340" s="6">
        <v>2018</v>
      </c>
      <c r="B1340" s="1" t="s">
        <v>721</v>
      </c>
      <c r="C1340" s="2" t="str">
        <f t="shared" si="40"/>
        <v>Ty Montgomery II</v>
      </c>
      <c r="D1340" s="2" t="str">
        <f t="shared" si="41"/>
        <v>BAL</v>
      </c>
      <c r="E1340" s="2">
        <v>13</v>
      </c>
      <c r="F1340" s="12">
        <v>40</v>
      </c>
      <c r="G1340" s="11">
        <v>25</v>
      </c>
      <c r="H1340" s="11">
        <v>235</v>
      </c>
      <c r="I1340" s="11">
        <v>9.4</v>
      </c>
      <c r="J1340" s="11">
        <v>0</v>
      </c>
      <c r="K1340" s="11">
        <v>1</v>
      </c>
      <c r="L1340" s="11" cm="1">
        <f t="array" ref="L1340">IFERROR(_xlfn.XLOOKUP(C1340&amp;A1340, ESPN!A:A&amp;ESPN!C:C, ESPN!D:D), "N/A")</f>
        <v>113</v>
      </c>
      <c r="M1340" s="23" cm="1">
        <f t="array" ref="M1340">IFERROR(_xlfn.XLOOKUP(C1340&amp;A1340, ESPN!A:A&amp;ESPN!C:C, ESPN!G:G), "N/A")</f>
        <v>2.08</v>
      </c>
      <c r="N1340" s="23" cm="1">
        <f t="array" ref="N1340">IFERROR(_xlfn.XLOOKUP(C1340&amp;A1340, ESPN!A:A&amp;ESPN!C:C, ESPN!H:H), "N/A")</f>
        <v>56</v>
      </c>
      <c r="O1340" s="26" cm="1">
        <f t="array" ref="O1340">IFERROR(_xlfn.XLOOKUP(C1340&amp;A1340, ESPN!A:A&amp;ESPN!C:C, ESPN!I:I), "N/A")</f>
        <v>42</v>
      </c>
      <c r="P1340" s="26" cm="1">
        <f t="array" ref="P1340">IFERROR(_xlfn.XLOOKUP(C1340&amp;A1340, ESPN!A:A&amp;ESPN!C:C, ESPN!J:J), "N/A")</f>
        <v>48</v>
      </c>
      <c r="Q1340" s="26" cm="1">
        <f t="array" ref="Q1340">IFERROR(_xlfn.XLOOKUP(C1340&amp;A1340, ESPN!A:A&amp;ESPN!C:C, ESPN!K:K), "N/A")</f>
        <v>46</v>
      </c>
    </row>
    <row r="1341" spans="1:17" x14ac:dyDescent="0.45">
      <c r="A1341" s="7">
        <v>2018</v>
      </c>
      <c r="B1341" s="3" t="s">
        <v>438</v>
      </c>
      <c r="C1341" s="4" t="str">
        <f t="shared" si="40"/>
        <v>Justin Jackson</v>
      </c>
      <c r="D1341" s="4" t="str">
        <f t="shared" si="41"/>
        <v>LAC</v>
      </c>
      <c r="E1341" s="4">
        <v>13</v>
      </c>
      <c r="F1341" s="12">
        <v>19</v>
      </c>
      <c r="G1341" s="11">
        <v>15</v>
      </c>
      <c r="H1341" s="11">
        <v>135</v>
      </c>
      <c r="I1341" s="11">
        <v>9</v>
      </c>
      <c r="J1341" s="11">
        <v>0</v>
      </c>
      <c r="K1341" s="11">
        <v>0</v>
      </c>
      <c r="L1341" s="11" t="str" cm="1">
        <f t="array" ref="L1341">IFERROR(_xlfn.XLOOKUP(C1341&amp;A1341, ESPN!A:A&amp;ESPN!C:C, ESPN!D:D), "N/A")</f>
        <v>N/A</v>
      </c>
      <c r="M1341" s="23" t="str" cm="1">
        <f t="array" ref="M1341">IFERROR(_xlfn.XLOOKUP(C1341&amp;A1341, ESPN!A:A&amp;ESPN!C:C, ESPN!G:G), "N/A")</f>
        <v>N/A</v>
      </c>
      <c r="N1341" s="23" t="str" cm="1">
        <f t="array" ref="N1341">IFERROR(_xlfn.XLOOKUP(C1341&amp;A1341, ESPN!A:A&amp;ESPN!C:C, ESPN!H:H), "N/A")</f>
        <v>N/A</v>
      </c>
      <c r="O1341" s="26" t="str" cm="1">
        <f t="array" ref="O1341">IFERROR(_xlfn.XLOOKUP(C1341&amp;A1341, ESPN!A:A&amp;ESPN!C:C, ESPN!I:I), "N/A")</f>
        <v>N/A</v>
      </c>
      <c r="P1341" s="26" t="str" cm="1">
        <f t="array" ref="P1341">IFERROR(_xlfn.XLOOKUP(C1341&amp;A1341, ESPN!A:A&amp;ESPN!C:C, ESPN!J:J), "N/A")</f>
        <v>N/A</v>
      </c>
      <c r="Q1341" s="26" t="str" cm="1">
        <f t="array" ref="Q1341">IFERROR(_xlfn.XLOOKUP(C1341&amp;A1341, ESPN!A:A&amp;ESPN!C:C, ESPN!K:K), "N/A")</f>
        <v>N/A</v>
      </c>
    </row>
    <row r="1342" spans="1:17" x14ac:dyDescent="0.45">
      <c r="A1342" s="6">
        <v>2018</v>
      </c>
      <c r="B1342" s="1" t="s">
        <v>633</v>
      </c>
      <c r="C1342" s="2" t="str">
        <f t="shared" si="40"/>
        <v>Darren Sproles</v>
      </c>
      <c r="D1342" s="2" t="str">
        <f t="shared" si="41"/>
        <v>PHI</v>
      </c>
      <c r="E1342" s="2">
        <v>6</v>
      </c>
      <c r="F1342" s="12">
        <v>23</v>
      </c>
      <c r="G1342" s="11">
        <v>15</v>
      </c>
      <c r="H1342" s="11">
        <v>160</v>
      </c>
      <c r="I1342" s="11">
        <v>10.7</v>
      </c>
      <c r="J1342" s="11">
        <v>2</v>
      </c>
      <c r="K1342" s="11">
        <v>0</v>
      </c>
      <c r="L1342" s="11" cm="1">
        <f t="array" ref="L1342">IFERROR(_xlfn.XLOOKUP(C1342&amp;A1342, ESPN!A:A&amp;ESPN!C:C, ESPN!D:D), "N/A")</f>
        <v>96</v>
      </c>
      <c r="M1342" s="23" cm="1">
        <f t="array" ref="M1342">IFERROR(_xlfn.XLOOKUP(C1342&amp;A1342, ESPN!A:A&amp;ESPN!C:C, ESPN!G:G), "N/A")</f>
        <v>2.0299999999999998</v>
      </c>
      <c r="N1342" s="23" cm="1">
        <f t="array" ref="N1342">IFERROR(_xlfn.XLOOKUP(C1342&amp;A1342, ESPN!A:A&amp;ESPN!C:C, ESPN!H:H), "N/A")</f>
        <v>32</v>
      </c>
      <c r="O1342" s="26" cm="1">
        <f t="array" ref="O1342">IFERROR(_xlfn.XLOOKUP(C1342&amp;A1342, ESPN!A:A&amp;ESPN!C:C, ESPN!I:I), "N/A")</f>
        <v>33</v>
      </c>
      <c r="P1342" s="26" cm="1">
        <f t="array" ref="P1342">IFERROR(_xlfn.XLOOKUP(C1342&amp;A1342, ESPN!A:A&amp;ESPN!C:C, ESPN!J:J), "N/A")</f>
        <v>65</v>
      </c>
      <c r="Q1342" s="26" cm="1">
        <f t="array" ref="Q1342">IFERROR(_xlfn.XLOOKUP(C1342&amp;A1342, ESPN!A:A&amp;ESPN!C:C, ESPN!K:K), "N/A")</f>
        <v>48</v>
      </c>
    </row>
    <row r="1343" spans="1:17" x14ac:dyDescent="0.45">
      <c r="A1343" s="7">
        <v>2018</v>
      </c>
      <c r="B1343" s="3" t="s">
        <v>722</v>
      </c>
      <c r="C1343" s="4" t="str">
        <f t="shared" si="40"/>
        <v>Kapri Bibbs</v>
      </c>
      <c r="D1343" s="4" t="str">
        <f t="shared" si="41"/>
        <v>GB</v>
      </c>
      <c r="E1343" s="4">
        <v>12</v>
      </c>
      <c r="F1343" s="12">
        <v>23</v>
      </c>
      <c r="G1343" s="11">
        <v>16</v>
      </c>
      <c r="H1343" s="11">
        <v>115</v>
      </c>
      <c r="I1343" s="11">
        <v>7.2</v>
      </c>
      <c r="J1343" s="11">
        <v>1</v>
      </c>
      <c r="K1343" s="11">
        <v>0</v>
      </c>
      <c r="L1343" s="11" t="str" cm="1">
        <f t="array" ref="L1343">IFERROR(_xlfn.XLOOKUP(C1343&amp;A1343, ESPN!A:A&amp;ESPN!C:C, ESPN!D:D), "N/A")</f>
        <v>N/A</v>
      </c>
      <c r="M1343" s="23" t="str" cm="1">
        <f t="array" ref="M1343">IFERROR(_xlfn.XLOOKUP(C1343&amp;A1343, ESPN!A:A&amp;ESPN!C:C, ESPN!G:G), "N/A")</f>
        <v>N/A</v>
      </c>
      <c r="N1343" s="23" t="str" cm="1">
        <f t="array" ref="N1343">IFERROR(_xlfn.XLOOKUP(C1343&amp;A1343, ESPN!A:A&amp;ESPN!C:C, ESPN!H:H), "N/A")</f>
        <v>N/A</v>
      </c>
      <c r="O1343" s="26" t="str" cm="1">
        <f t="array" ref="O1343">IFERROR(_xlfn.XLOOKUP(C1343&amp;A1343, ESPN!A:A&amp;ESPN!C:C, ESPN!I:I), "N/A")</f>
        <v>N/A</v>
      </c>
      <c r="P1343" s="26" t="str" cm="1">
        <f t="array" ref="P1343">IFERROR(_xlfn.XLOOKUP(C1343&amp;A1343, ESPN!A:A&amp;ESPN!C:C, ESPN!J:J), "N/A")</f>
        <v>N/A</v>
      </c>
      <c r="Q1343" s="26" t="str" cm="1">
        <f t="array" ref="Q1343">IFERROR(_xlfn.XLOOKUP(C1343&amp;A1343, ESPN!A:A&amp;ESPN!C:C, ESPN!K:K), "N/A")</f>
        <v>N/A</v>
      </c>
    </row>
    <row r="1344" spans="1:17" x14ac:dyDescent="0.45">
      <c r="A1344" s="6">
        <v>2018</v>
      </c>
      <c r="B1344" s="1" t="s">
        <v>723</v>
      </c>
      <c r="C1344" s="2" t="str">
        <f t="shared" si="40"/>
        <v>Jacquizz Rodgers</v>
      </c>
      <c r="D1344" s="2" t="str">
        <f t="shared" si="41"/>
        <v>TB</v>
      </c>
      <c r="E1344" s="2">
        <v>16</v>
      </c>
      <c r="F1344" s="12">
        <v>45</v>
      </c>
      <c r="G1344" s="11">
        <v>38</v>
      </c>
      <c r="H1344" s="11">
        <v>304</v>
      </c>
      <c r="I1344" s="11">
        <v>8</v>
      </c>
      <c r="J1344" s="11">
        <v>0</v>
      </c>
      <c r="K1344" s="11">
        <v>1</v>
      </c>
      <c r="L1344" s="11" cm="1">
        <f t="array" ref="L1344">IFERROR(_xlfn.XLOOKUP(C1344&amp;A1344, ESPN!A:A&amp;ESPN!C:C, ESPN!D:D), "N/A")</f>
        <v>186</v>
      </c>
      <c r="M1344" s="23" cm="1">
        <f t="array" ref="M1344">IFERROR(_xlfn.XLOOKUP(C1344&amp;A1344, ESPN!A:A&amp;ESPN!C:C, ESPN!G:G), "N/A")</f>
        <v>1.63</v>
      </c>
      <c r="N1344" s="23" cm="1">
        <f t="array" ref="N1344">IFERROR(_xlfn.XLOOKUP(C1344&amp;A1344, ESPN!A:A&amp;ESPN!C:C, ESPN!H:H), "N/A")</f>
        <v>62</v>
      </c>
      <c r="O1344" s="26" cm="1">
        <f t="array" ref="O1344">IFERROR(_xlfn.XLOOKUP(C1344&amp;A1344, ESPN!A:A&amp;ESPN!C:C, ESPN!I:I), "N/A")</f>
        <v>59</v>
      </c>
      <c r="P1344" s="26" cm="1">
        <f t="array" ref="P1344">IFERROR(_xlfn.XLOOKUP(C1344&amp;A1344, ESPN!A:A&amp;ESPN!C:C, ESPN!J:J), "N/A")</f>
        <v>31</v>
      </c>
      <c r="Q1344" s="26" cm="1">
        <f t="array" ref="Q1344">IFERROR(_xlfn.XLOOKUP(C1344&amp;A1344, ESPN!A:A&amp;ESPN!C:C, ESPN!K:K), "N/A")</f>
        <v>43</v>
      </c>
    </row>
    <row r="1345" spans="1:17" x14ac:dyDescent="0.45">
      <c r="A1345" s="7">
        <v>2018</v>
      </c>
      <c r="B1345" s="3" t="s">
        <v>385</v>
      </c>
      <c r="C1345" s="4" t="str">
        <f t="shared" si="40"/>
        <v>Jordan Wilkins</v>
      </c>
      <c r="D1345" s="4" t="str">
        <f t="shared" si="41"/>
        <v>IND</v>
      </c>
      <c r="E1345" s="4">
        <v>16</v>
      </c>
      <c r="F1345" s="12">
        <v>17</v>
      </c>
      <c r="G1345" s="11">
        <v>16</v>
      </c>
      <c r="H1345" s="11">
        <v>85</v>
      </c>
      <c r="I1345" s="11">
        <v>5.3</v>
      </c>
      <c r="J1345" s="11">
        <v>0</v>
      </c>
      <c r="K1345" s="11">
        <v>2</v>
      </c>
      <c r="L1345" s="11" t="str" cm="1">
        <f t="array" ref="L1345">IFERROR(_xlfn.XLOOKUP(C1345&amp;A1345, ESPN!A:A&amp;ESPN!C:C, ESPN!D:D), "N/A")</f>
        <v>N/A</v>
      </c>
      <c r="M1345" s="23" t="str" cm="1">
        <f t="array" ref="M1345">IFERROR(_xlfn.XLOOKUP(C1345&amp;A1345, ESPN!A:A&amp;ESPN!C:C, ESPN!G:G), "N/A")</f>
        <v>N/A</v>
      </c>
      <c r="N1345" s="23" t="str" cm="1">
        <f t="array" ref="N1345">IFERROR(_xlfn.XLOOKUP(C1345&amp;A1345, ESPN!A:A&amp;ESPN!C:C, ESPN!H:H), "N/A")</f>
        <v>N/A</v>
      </c>
      <c r="O1345" s="26" t="str" cm="1">
        <f t="array" ref="O1345">IFERROR(_xlfn.XLOOKUP(C1345&amp;A1345, ESPN!A:A&amp;ESPN!C:C, ESPN!I:I), "N/A")</f>
        <v>N/A</v>
      </c>
      <c r="P1345" s="26" t="str" cm="1">
        <f t="array" ref="P1345">IFERROR(_xlfn.XLOOKUP(C1345&amp;A1345, ESPN!A:A&amp;ESPN!C:C, ESPN!J:J), "N/A")</f>
        <v>N/A</v>
      </c>
      <c r="Q1345" s="26" t="str" cm="1">
        <f t="array" ref="Q1345">IFERROR(_xlfn.XLOOKUP(C1345&amp;A1345, ESPN!A:A&amp;ESPN!C:C, ESPN!K:K), "N/A")</f>
        <v>N/A</v>
      </c>
    </row>
    <row r="1346" spans="1:17" x14ac:dyDescent="0.45">
      <c r="A1346" s="6">
        <v>2018</v>
      </c>
      <c r="B1346" s="1" t="s">
        <v>428</v>
      </c>
      <c r="C1346" s="2" t="str">
        <f t="shared" ref="C1346:C1409" si="42">TRIM(LEFT(B1346, LEN(B1346) - LEN(TRIM(RIGHT(SUBSTITUTE(TRIM(B1346)," ",REPT(" ",100)),100)))))</f>
        <v>Chase Edmonds</v>
      </c>
      <c r="D1346" s="2" t="str">
        <f t="shared" ref="D1346:D1409" si="43">MID(B1346, FIND("(", B1346) + 1, FIND(")", B1346) - FIND("(", B1346) - 1)</f>
        <v>ARI</v>
      </c>
      <c r="E1346" s="2">
        <v>16</v>
      </c>
      <c r="F1346" s="12">
        <v>23</v>
      </c>
      <c r="G1346" s="11">
        <v>20</v>
      </c>
      <c r="H1346" s="11">
        <v>103</v>
      </c>
      <c r="I1346" s="11">
        <v>5.2</v>
      </c>
      <c r="J1346" s="11">
        <v>0</v>
      </c>
      <c r="K1346" s="11">
        <v>0</v>
      </c>
      <c r="L1346" s="11" t="str" cm="1">
        <f t="array" ref="L1346">IFERROR(_xlfn.XLOOKUP(C1346&amp;A1346, ESPN!A:A&amp;ESPN!C:C, ESPN!D:D), "N/A")</f>
        <v>N/A</v>
      </c>
      <c r="M1346" s="23" t="str" cm="1">
        <f t="array" ref="M1346">IFERROR(_xlfn.XLOOKUP(C1346&amp;A1346, ESPN!A:A&amp;ESPN!C:C, ESPN!G:G), "N/A")</f>
        <v>N/A</v>
      </c>
      <c r="N1346" s="23" t="str" cm="1">
        <f t="array" ref="N1346">IFERROR(_xlfn.XLOOKUP(C1346&amp;A1346, ESPN!A:A&amp;ESPN!C:C, ESPN!H:H), "N/A")</f>
        <v>N/A</v>
      </c>
      <c r="O1346" s="26" t="str" cm="1">
        <f t="array" ref="O1346">IFERROR(_xlfn.XLOOKUP(C1346&amp;A1346, ESPN!A:A&amp;ESPN!C:C, ESPN!I:I), "N/A")</f>
        <v>N/A</v>
      </c>
      <c r="P1346" s="26" t="str" cm="1">
        <f t="array" ref="P1346">IFERROR(_xlfn.XLOOKUP(C1346&amp;A1346, ESPN!A:A&amp;ESPN!C:C, ESPN!J:J), "N/A")</f>
        <v>N/A</v>
      </c>
      <c r="Q1346" s="26" t="str" cm="1">
        <f t="array" ref="Q1346">IFERROR(_xlfn.XLOOKUP(C1346&amp;A1346, ESPN!A:A&amp;ESPN!C:C, ESPN!K:K), "N/A")</f>
        <v>N/A</v>
      </c>
    </row>
    <row r="1347" spans="1:17" x14ac:dyDescent="0.45">
      <c r="A1347" s="7">
        <v>2018</v>
      </c>
      <c r="B1347" s="3" t="s">
        <v>649</v>
      </c>
      <c r="C1347" s="4" t="str">
        <f t="shared" si="42"/>
        <v>Jay Ajayi</v>
      </c>
      <c r="D1347" s="4" t="str">
        <f t="shared" si="43"/>
        <v>PHI</v>
      </c>
      <c r="E1347" s="4">
        <v>4</v>
      </c>
      <c r="F1347" s="12">
        <v>6</v>
      </c>
      <c r="G1347" s="11">
        <v>5</v>
      </c>
      <c r="H1347" s="11">
        <v>20</v>
      </c>
      <c r="I1347" s="11">
        <v>4</v>
      </c>
      <c r="J1347" s="11">
        <v>0</v>
      </c>
      <c r="K1347" s="11">
        <v>1</v>
      </c>
      <c r="L1347" s="11" t="str" cm="1">
        <f t="array" ref="L1347">IFERROR(_xlfn.XLOOKUP(C1347&amp;A1347, ESPN!A:A&amp;ESPN!C:C, ESPN!D:D), "N/A")</f>
        <v>N/A</v>
      </c>
      <c r="M1347" s="23" t="str" cm="1">
        <f t="array" ref="M1347">IFERROR(_xlfn.XLOOKUP(C1347&amp;A1347, ESPN!A:A&amp;ESPN!C:C, ESPN!G:G), "N/A")</f>
        <v>N/A</v>
      </c>
      <c r="N1347" s="23" t="str" cm="1">
        <f t="array" ref="N1347">IFERROR(_xlfn.XLOOKUP(C1347&amp;A1347, ESPN!A:A&amp;ESPN!C:C, ESPN!H:H), "N/A")</f>
        <v>N/A</v>
      </c>
      <c r="O1347" s="26" t="str" cm="1">
        <f t="array" ref="O1347">IFERROR(_xlfn.XLOOKUP(C1347&amp;A1347, ESPN!A:A&amp;ESPN!C:C, ESPN!I:I), "N/A")</f>
        <v>N/A</v>
      </c>
      <c r="P1347" s="26" t="str" cm="1">
        <f t="array" ref="P1347">IFERROR(_xlfn.XLOOKUP(C1347&amp;A1347, ESPN!A:A&amp;ESPN!C:C, ESPN!J:J), "N/A")</f>
        <v>N/A</v>
      </c>
      <c r="Q1347" s="26" t="str" cm="1">
        <f t="array" ref="Q1347">IFERROR(_xlfn.XLOOKUP(C1347&amp;A1347, ESPN!A:A&amp;ESPN!C:C, ESPN!K:K), "N/A")</f>
        <v>N/A</v>
      </c>
    </row>
    <row r="1348" spans="1:17" x14ac:dyDescent="0.45">
      <c r="A1348" s="6">
        <v>2018</v>
      </c>
      <c r="B1348" s="1" t="s">
        <v>176</v>
      </c>
      <c r="C1348" s="2" t="str">
        <f t="shared" si="42"/>
        <v>Kyle Juszczyk</v>
      </c>
      <c r="D1348" s="2" t="str">
        <f t="shared" si="43"/>
        <v>SF</v>
      </c>
      <c r="E1348" s="2">
        <v>16</v>
      </c>
      <c r="F1348" s="12">
        <v>41</v>
      </c>
      <c r="G1348" s="11">
        <v>30</v>
      </c>
      <c r="H1348" s="11">
        <v>324</v>
      </c>
      <c r="I1348" s="11">
        <v>10.8</v>
      </c>
      <c r="J1348" s="11">
        <v>1</v>
      </c>
      <c r="K1348" s="11">
        <v>2</v>
      </c>
      <c r="L1348" s="11" cm="1">
        <f t="array" ref="L1348">IFERROR(_xlfn.XLOOKUP(C1348&amp;A1348, ESPN!A:A&amp;ESPN!C:C, ESPN!D:D), "N/A")</f>
        <v>212</v>
      </c>
      <c r="M1348" s="23" cm="1">
        <f t="array" ref="M1348">IFERROR(_xlfn.XLOOKUP(C1348&amp;A1348, ESPN!A:A&amp;ESPN!C:C, ESPN!G:G), "N/A")</f>
        <v>1.53</v>
      </c>
      <c r="N1348" s="23" cm="1">
        <f t="array" ref="N1348">IFERROR(_xlfn.XLOOKUP(C1348&amp;A1348, ESPN!A:A&amp;ESPN!C:C, ESPN!H:H), "N/A")</f>
        <v>26</v>
      </c>
      <c r="O1348" s="26" cm="1">
        <f t="array" ref="O1348">IFERROR(_xlfn.XLOOKUP(C1348&amp;A1348, ESPN!A:A&amp;ESPN!C:C, ESPN!I:I), "N/A")</f>
        <v>58</v>
      </c>
      <c r="P1348" s="26" cm="1">
        <f t="array" ref="P1348">IFERROR(_xlfn.XLOOKUP(C1348&amp;A1348, ESPN!A:A&amp;ESPN!C:C, ESPN!J:J), "N/A")</f>
        <v>47</v>
      </c>
      <c r="Q1348" s="26" cm="1">
        <f t="array" ref="Q1348">IFERROR(_xlfn.XLOOKUP(C1348&amp;A1348, ESPN!A:A&amp;ESPN!C:C, ESPN!K:K), "N/A")</f>
        <v>43</v>
      </c>
    </row>
    <row r="1349" spans="1:17" x14ac:dyDescent="0.45">
      <c r="A1349" s="7">
        <v>2018</v>
      </c>
      <c r="B1349" s="3" t="s">
        <v>537</v>
      </c>
      <c r="C1349" s="4" t="str">
        <f t="shared" si="42"/>
        <v>Rex Burkhead</v>
      </c>
      <c r="D1349" s="4" t="str">
        <f t="shared" si="43"/>
        <v>NE</v>
      </c>
      <c r="E1349" s="4">
        <v>8</v>
      </c>
      <c r="F1349" s="12">
        <v>20</v>
      </c>
      <c r="G1349" s="11">
        <v>14</v>
      </c>
      <c r="H1349" s="11">
        <v>131</v>
      </c>
      <c r="I1349" s="11">
        <v>9.4</v>
      </c>
      <c r="J1349" s="11">
        <v>1</v>
      </c>
      <c r="K1349" s="11">
        <v>1</v>
      </c>
      <c r="L1349" s="11" cm="1">
        <f t="array" ref="L1349">IFERROR(_xlfn.XLOOKUP(C1349&amp;A1349, ESPN!A:A&amp;ESPN!C:C, ESPN!D:D), "N/A")</f>
        <v>82</v>
      </c>
      <c r="M1349" s="23" cm="1">
        <f t="array" ref="M1349">IFERROR(_xlfn.XLOOKUP(C1349&amp;A1349, ESPN!A:A&amp;ESPN!C:C, ESPN!G:G), "N/A")</f>
        <v>2.15</v>
      </c>
      <c r="N1349" s="23" cm="1">
        <f t="array" ref="N1349">IFERROR(_xlfn.XLOOKUP(C1349&amp;A1349, ESPN!A:A&amp;ESPN!C:C, ESPN!H:H), "N/A")</f>
        <v>66</v>
      </c>
      <c r="O1349" s="26" cm="1">
        <f t="array" ref="O1349">IFERROR(_xlfn.XLOOKUP(C1349&amp;A1349, ESPN!A:A&amp;ESPN!C:C, ESPN!I:I), "N/A")</f>
        <v>54</v>
      </c>
      <c r="P1349" s="26" cm="1">
        <f t="array" ref="P1349">IFERROR(_xlfn.XLOOKUP(C1349&amp;A1349, ESPN!A:A&amp;ESPN!C:C, ESPN!J:J), "N/A")</f>
        <v>55</v>
      </c>
      <c r="Q1349" s="26" cm="1">
        <f t="array" ref="Q1349">IFERROR(_xlfn.XLOOKUP(C1349&amp;A1349, ESPN!A:A&amp;ESPN!C:C, ESPN!K:K), "N/A")</f>
        <v>63</v>
      </c>
    </row>
    <row r="1350" spans="1:17" x14ac:dyDescent="0.45">
      <c r="A1350" s="6">
        <v>2018</v>
      </c>
      <c r="B1350" s="1" t="s">
        <v>374</v>
      </c>
      <c r="C1350" s="2" t="str">
        <f t="shared" si="42"/>
        <v>Malcolm Brown</v>
      </c>
      <c r="D1350" s="2" t="str">
        <f t="shared" si="43"/>
        <v>LAR</v>
      </c>
      <c r="E1350" s="2">
        <v>12</v>
      </c>
      <c r="F1350" s="12">
        <v>7</v>
      </c>
      <c r="G1350" s="11">
        <v>5</v>
      </c>
      <c r="H1350" s="11">
        <v>52</v>
      </c>
      <c r="I1350" s="11">
        <v>10.4</v>
      </c>
      <c r="J1350" s="11">
        <v>1</v>
      </c>
      <c r="K1350" s="11">
        <v>0</v>
      </c>
      <c r="L1350" s="11" t="str" cm="1">
        <f t="array" ref="L1350">IFERROR(_xlfn.XLOOKUP(C1350&amp;A1350, ESPN!A:A&amp;ESPN!C:C, ESPN!D:D), "N/A")</f>
        <v>N/A</v>
      </c>
      <c r="M1350" s="23" t="str" cm="1">
        <f t="array" ref="M1350">IFERROR(_xlfn.XLOOKUP(C1350&amp;A1350, ESPN!A:A&amp;ESPN!C:C, ESPN!G:G), "N/A")</f>
        <v>N/A</v>
      </c>
      <c r="N1350" s="23" t="str" cm="1">
        <f t="array" ref="N1350">IFERROR(_xlfn.XLOOKUP(C1350&amp;A1350, ESPN!A:A&amp;ESPN!C:C, ESPN!H:H), "N/A")</f>
        <v>N/A</v>
      </c>
      <c r="O1350" s="26" t="str" cm="1">
        <f t="array" ref="O1350">IFERROR(_xlfn.XLOOKUP(C1350&amp;A1350, ESPN!A:A&amp;ESPN!C:C, ESPN!I:I), "N/A")</f>
        <v>N/A</v>
      </c>
      <c r="P1350" s="26" t="str" cm="1">
        <f t="array" ref="P1350">IFERROR(_xlfn.XLOOKUP(C1350&amp;A1350, ESPN!A:A&amp;ESPN!C:C, ESPN!J:J), "N/A")</f>
        <v>N/A</v>
      </c>
      <c r="Q1350" s="26" t="str" cm="1">
        <f t="array" ref="Q1350">IFERROR(_xlfn.XLOOKUP(C1350&amp;A1350, ESPN!A:A&amp;ESPN!C:C, ESPN!K:K), "N/A")</f>
        <v>N/A</v>
      </c>
    </row>
    <row r="1351" spans="1:17" x14ac:dyDescent="0.45">
      <c r="A1351" s="7">
        <v>2018</v>
      </c>
      <c r="B1351" s="3" t="s">
        <v>490</v>
      </c>
      <c r="C1351" s="4" t="str">
        <f t="shared" si="42"/>
        <v>Raheem Mostert</v>
      </c>
      <c r="D1351" s="4" t="str">
        <f t="shared" si="43"/>
        <v>SF</v>
      </c>
      <c r="E1351" s="4">
        <v>9</v>
      </c>
      <c r="F1351" s="12">
        <v>7</v>
      </c>
      <c r="G1351" s="11">
        <v>6</v>
      </c>
      <c r="H1351" s="11">
        <v>25</v>
      </c>
      <c r="I1351" s="11">
        <v>4.2</v>
      </c>
      <c r="J1351" s="11">
        <v>0</v>
      </c>
      <c r="K1351" s="11">
        <v>1</v>
      </c>
      <c r="L1351" s="11" t="str" cm="1">
        <f t="array" ref="L1351">IFERROR(_xlfn.XLOOKUP(C1351&amp;A1351, ESPN!A:A&amp;ESPN!C:C, ESPN!D:D), "N/A")</f>
        <v>N/A</v>
      </c>
      <c r="M1351" s="23" t="str" cm="1">
        <f t="array" ref="M1351">IFERROR(_xlfn.XLOOKUP(C1351&amp;A1351, ESPN!A:A&amp;ESPN!C:C, ESPN!G:G), "N/A")</f>
        <v>N/A</v>
      </c>
      <c r="N1351" s="23" t="str" cm="1">
        <f t="array" ref="N1351">IFERROR(_xlfn.XLOOKUP(C1351&amp;A1351, ESPN!A:A&amp;ESPN!C:C, ESPN!H:H), "N/A")</f>
        <v>N/A</v>
      </c>
      <c r="O1351" s="26" t="str" cm="1">
        <f t="array" ref="O1351">IFERROR(_xlfn.XLOOKUP(C1351&amp;A1351, ESPN!A:A&amp;ESPN!C:C, ESPN!I:I), "N/A")</f>
        <v>N/A</v>
      </c>
      <c r="P1351" s="26" t="str" cm="1">
        <f t="array" ref="P1351">IFERROR(_xlfn.XLOOKUP(C1351&amp;A1351, ESPN!A:A&amp;ESPN!C:C, ESPN!J:J), "N/A")</f>
        <v>N/A</v>
      </c>
      <c r="Q1351" s="26" t="str" cm="1">
        <f t="array" ref="Q1351">IFERROR(_xlfn.XLOOKUP(C1351&amp;A1351, ESPN!A:A&amp;ESPN!C:C, ESPN!K:K), "N/A")</f>
        <v>N/A</v>
      </c>
    </row>
    <row r="1352" spans="1:17" x14ac:dyDescent="0.45">
      <c r="A1352" s="6">
        <v>2018</v>
      </c>
      <c r="B1352" s="1" t="s">
        <v>447</v>
      </c>
      <c r="C1352" s="2" t="str">
        <f t="shared" si="42"/>
        <v>Jeff Wilson Jr.</v>
      </c>
      <c r="D1352" s="2" t="str">
        <f t="shared" si="43"/>
        <v>SF</v>
      </c>
      <c r="E1352" s="2">
        <v>6</v>
      </c>
      <c r="F1352" s="12">
        <v>15</v>
      </c>
      <c r="G1352" s="11">
        <v>12</v>
      </c>
      <c r="H1352" s="11">
        <v>98</v>
      </c>
      <c r="I1352" s="11">
        <v>8.1999999999999993</v>
      </c>
      <c r="J1352" s="11">
        <v>0</v>
      </c>
      <c r="K1352" s="11">
        <v>2</v>
      </c>
      <c r="L1352" s="11" t="str" cm="1">
        <f t="array" ref="L1352">IFERROR(_xlfn.XLOOKUP(C1352&amp;A1352, ESPN!A:A&amp;ESPN!C:C, ESPN!D:D), "N/A")</f>
        <v>N/A</v>
      </c>
      <c r="M1352" s="23" t="str" cm="1">
        <f t="array" ref="M1352">IFERROR(_xlfn.XLOOKUP(C1352&amp;A1352, ESPN!A:A&amp;ESPN!C:C, ESPN!G:G), "N/A")</f>
        <v>N/A</v>
      </c>
      <c r="N1352" s="23" t="str" cm="1">
        <f t="array" ref="N1352">IFERROR(_xlfn.XLOOKUP(C1352&amp;A1352, ESPN!A:A&amp;ESPN!C:C, ESPN!H:H), "N/A")</f>
        <v>N/A</v>
      </c>
      <c r="O1352" s="26" t="str" cm="1">
        <f t="array" ref="O1352">IFERROR(_xlfn.XLOOKUP(C1352&amp;A1352, ESPN!A:A&amp;ESPN!C:C, ESPN!I:I), "N/A")</f>
        <v>N/A</v>
      </c>
      <c r="P1352" s="26" t="str" cm="1">
        <f t="array" ref="P1352">IFERROR(_xlfn.XLOOKUP(C1352&amp;A1352, ESPN!A:A&amp;ESPN!C:C, ESPN!J:J), "N/A")</f>
        <v>N/A</v>
      </c>
      <c r="Q1352" s="26" t="str" cm="1">
        <f t="array" ref="Q1352">IFERROR(_xlfn.XLOOKUP(C1352&amp;A1352, ESPN!A:A&amp;ESPN!C:C, ESPN!K:K), "N/A")</f>
        <v>N/A</v>
      </c>
    </row>
    <row r="1353" spans="1:17" x14ac:dyDescent="0.45">
      <c r="A1353" s="7">
        <v>2018</v>
      </c>
      <c r="B1353" s="3" t="s">
        <v>692</v>
      </c>
      <c r="C1353" s="4" t="str">
        <f t="shared" si="42"/>
        <v>Trenton Cannon</v>
      </c>
      <c r="D1353" s="4" t="str">
        <f t="shared" si="43"/>
        <v>NYJ</v>
      </c>
      <c r="E1353" s="4">
        <v>16</v>
      </c>
      <c r="F1353" s="12">
        <v>25</v>
      </c>
      <c r="G1353" s="11">
        <v>17</v>
      </c>
      <c r="H1353" s="11">
        <v>144</v>
      </c>
      <c r="I1353" s="11">
        <v>8.5</v>
      </c>
      <c r="J1353" s="11">
        <v>0</v>
      </c>
      <c r="K1353" s="11">
        <v>0</v>
      </c>
      <c r="L1353" s="11" cm="1">
        <f t="array" ref="L1353">IFERROR(_xlfn.XLOOKUP(C1353&amp;A1353, ESPN!A:A&amp;ESPN!C:C, ESPN!D:D), "N/A")</f>
        <v>87</v>
      </c>
      <c r="M1353" s="23" cm="1">
        <f t="array" ref="M1353">IFERROR(_xlfn.XLOOKUP(C1353&amp;A1353, ESPN!A:A&amp;ESPN!C:C, ESPN!G:G), "N/A")</f>
        <v>1.66</v>
      </c>
      <c r="N1353" s="23" cm="1">
        <f t="array" ref="N1353">IFERROR(_xlfn.XLOOKUP(C1353&amp;A1353, ESPN!A:A&amp;ESPN!C:C, ESPN!H:H), "N/A")</f>
        <v>60</v>
      </c>
      <c r="O1353" s="26" cm="1">
        <f t="array" ref="O1353">IFERROR(_xlfn.XLOOKUP(C1353&amp;A1353, ESPN!A:A&amp;ESPN!C:C, ESPN!I:I), "N/A")</f>
        <v>40</v>
      </c>
      <c r="P1353" s="26" cm="1">
        <f t="array" ref="P1353">IFERROR(_xlfn.XLOOKUP(C1353&amp;A1353, ESPN!A:A&amp;ESPN!C:C, ESPN!J:J), "N/A")</f>
        <v>38</v>
      </c>
      <c r="Q1353" s="26" cm="1">
        <f t="array" ref="Q1353">IFERROR(_xlfn.XLOOKUP(C1353&amp;A1353, ESPN!A:A&amp;ESPN!C:C, ESPN!K:K), "N/A")</f>
        <v>38</v>
      </c>
    </row>
    <row r="1354" spans="1:17" x14ac:dyDescent="0.45">
      <c r="A1354" s="6">
        <v>2018</v>
      </c>
      <c r="B1354" s="1" t="s">
        <v>664</v>
      </c>
      <c r="C1354" s="2" t="str">
        <f t="shared" si="42"/>
        <v>James Develin</v>
      </c>
      <c r="D1354" s="2" t="str">
        <f t="shared" si="43"/>
        <v>NE</v>
      </c>
      <c r="E1354" s="2">
        <v>16</v>
      </c>
      <c r="F1354" s="12">
        <v>18</v>
      </c>
      <c r="G1354" s="11">
        <v>12</v>
      </c>
      <c r="H1354" s="11">
        <v>61</v>
      </c>
      <c r="I1354" s="11">
        <v>5.0999999999999996</v>
      </c>
      <c r="J1354" s="11">
        <v>0</v>
      </c>
      <c r="K1354" s="11">
        <v>0</v>
      </c>
      <c r="L1354" s="11" t="str" cm="1">
        <f t="array" ref="L1354">IFERROR(_xlfn.XLOOKUP(C1354&amp;A1354, ESPN!A:A&amp;ESPN!C:C, ESPN!D:D), "N/A")</f>
        <v>N/A</v>
      </c>
      <c r="M1354" s="23" t="str" cm="1">
        <f t="array" ref="M1354">IFERROR(_xlfn.XLOOKUP(C1354&amp;A1354, ESPN!A:A&amp;ESPN!C:C, ESPN!G:G), "N/A")</f>
        <v>N/A</v>
      </c>
      <c r="N1354" s="23" t="str" cm="1">
        <f t="array" ref="N1354">IFERROR(_xlfn.XLOOKUP(C1354&amp;A1354, ESPN!A:A&amp;ESPN!C:C, ESPN!H:H), "N/A")</f>
        <v>N/A</v>
      </c>
      <c r="O1354" s="26" t="str" cm="1">
        <f t="array" ref="O1354">IFERROR(_xlfn.XLOOKUP(C1354&amp;A1354, ESPN!A:A&amp;ESPN!C:C, ESPN!I:I), "N/A")</f>
        <v>N/A</v>
      </c>
      <c r="P1354" s="26" t="str" cm="1">
        <f t="array" ref="P1354">IFERROR(_xlfn.XLOOKUP(C1354&amp;A1354, ESPN!A:A&amp;ESPN!C:C, ESPN!J:J), "N/A")</f>
        <v>N/A</v>
      </c>
      <c r="Q1354" s="26" t="str" cm="1">
        <f t="array" ref="Q1354">IFERROR(_xlfn.XLOOKUP(C1354&amp;A1354, ESPN!A:A&amp;ESPN!C:C, ESPN!K:K), "N/A")</f>
        <v>N/A</v>
      </c>
    </row>
    <row r="1355" spans="1:17" x14ac:dyDescent="0.45">
      <c r="A1355" s="7">
        <v>2018</v>
      </c>
      <c r="B1355" s="3" t="s">
        <v>530</v>
      </c>
      <c r="C1355" s="4" t="str">
        <f t="shared" si="42"/>
        <v>Wayne Gallman Jr.</v>
      </c>
      <c r="D1355" s="4" t="str">
        <f t="shared" si="43"/>
        <v>NYG</v>
      </c>
      <c r="E1355" s="4">
        <v>15</v>
      </c>
      <c r="F1355" s="12">
        <v>22</v>
      </c>
      <c r="G1355" s="11">
        <v>14</v>
      </c>
      <c r="H1355" s="11">
        <v>89</v>
      </c>
      <c r="I1355" s="11">
        <v>6.4</v>
      </c>
      <c r="J1355" s="11">
        <v>0</v>
      </c>
      <c r="K1355" s="11">
        <v>1</v>
      </c>
      <c r="L1355" s="11" t="str" cm="1">
        <f t="array" ref="L1355">IFERROR(_xlfn.XLOOKUP(C1355&amp;A1355, ESPN!A:A&amp;ESPN!C:C, ESPN!D:D), "N/A")</f>
        <v>N/A</v>
      </c>
      <c r="M1355" s="23" t="str" cm="1">
        <f t="array" ref="M1355">IFERROR(_xlfn.XLOOKUP(C1355&amp;A1355, ESPN!A:A&amp;ESPN!C:C, ESPN!G:G), "N/A")</f>
        <v>N/A</v>
      </c>
      <c r="N1355" s="23" t="str" cm="1">
        <f t="array" ref="N1355">IFERROR(_xlfn.XLOOKUP(C1355&amp;A1355, ESPN!A:A&amp;ESPN!C:C, ESPN!H:H), "N/A")</f>
        <v>N/A</v>
      </c>
      <c r="O1355" s="26" t="str" cm="1">
        <f t="array" ref="O1355">IFERROR(_xlfn.XLOOKUP(C1355&amp;A1355, ESPN!A:A&amp;ESPN!C:C, ESPN!I:I), "N/A")</f>
        <v>N/A</v>
      </c>
      <c r="P1355" s="26" t="str" cm="1">
        <f t="array" ref="P1355">IFERROR(_xlfn.XLOOKUP(C1355&amp;A1355, ESPN!A:A&amp;ESPN!C:C, ESPN!J:J), "N/A")</f>
        <v>N/A</v>
      </c>
      <c r="Q1355" s="26" t="str" cm="1">
        <f t="array" ref="Q1355">IFERROR(_xlfn.XLOOKUP(C1355&amp;A1355, ESPN!A:A&amp;ESPN!C:C, ESPN!K:K), "N/A")</f>
        <v>N/A</v>
      </c>
    </row>
    <row r="1356" spans="1:17" x14ac:dyDescent="0.45">
      <c r="A1356" s="6">
        <v>2018</v>
      </c>
      <c r="B1356" s="1" t="s">
        <v>622</v>
      </c>
      <c r="C1356" s="2" t="str">
        <f t="shared" si="42"/>
        <v>Kalen Ballage</v>
      </c>
      <c r="D1356" s="2" t="str">
        <f t="shared" si="43"/>
        <v>MIA</v>
      </c>
      <c r="E1356" s="2">
        <v>12</v>
      </c>
      <c r="F1356" s="12">
        <v>11</v>
      </c>
      <c r="G1356" s="11">
        <v>9</v>
      </c>
      <c r="H1356" s="11">
        <v>56</v>
      </c>
      <c r="I1356" s="11">
        <v>6.2</v>
      </c>
      <c r="J1356" s="11">
        <v>0</v>
      </c>
      <c r="K1356" s="11">
        <v>1</v>
      </c>
      <c r="L1356" s="11" t="str" cm="1">
        <f t="array" ref="L1356">IFERROR(_xlfn.XLOOKUP(C1356&amp;A1356, ESPN!A:A&amp;ESPN!C:C, ESPN!D:D), "N/A")</f>
        <v>N/A</v>
      </c>
      <c r="M1356" s="23" t="str" cm="1">
        <f t="array" ref="M1356">IFERROR(_xlfn.XLOOKUP(C1356&amp;A1356, ESPN!A:A&amp;ESPN!C:C, ESPN!G:G), "N/A")</f>
        <v>N/A</v>
      </c>
      <c r="N1356" s="23" t="str" cm="1">
        <f t="array" ref="N1356">IFERROR(_xlfn.XLOOKUP(C1356&amp;A1356, ESPN!A:A&amp;ESPN!C:C, ESPN!H:H), "N/A")</f>
        <v>N/A</v>
      </c>
      <c r="O1356" s="26" t="str" cm="1">
        <f t="array" ref="O1356">IFERROR(_xlfn.XLOOKUP(C1356&amp;A1356, ESPN!A:A&amp;ESPN!C:C, ESPN!I:I), "N/A")</f>
        <v>N/A</v>
      </c>
      <c r="P1356" s="26" t="str" cm="1">
        <f t="array" ref="P1356">IFERROR(_xlfn.XLOOKUP(C1356&amp;A1356, ESPN!A:A&amp;ESPN!C:C, ESPN!J:J), "N/A")</f>
        <v>N/A</v>
      </c>
      <c r="Q1356" s="26" t="str" cm="1">
        <f t="array" ref="Q1356">IFERROR(_xlfn.XLOOKUP(C1356&amp;A1356, ESPN!A:A&amp;ESPN!C:C, ESPN!K:K), "N/A")</f>
        <v>N/A</v>
      </c>
    </row>
    <row r="1357" spans="1:17" x14ac:dyDescent="0.45">
      <c r="A1357" s="7">
        <v>2018</v>
      </c>
      <c r="B1357" s="3" t="s">
        <v>724</v>
      </c>
      <c r="C1357" s="4" t="str">
        <f t="shared" si="42"/>
        <v>Marcus Murphy</v>
      </c>
      <c r="D1357" s="4" t="str">
        <f t="shared" si="43"/>
        <v>BUF</v>
      </c>
      <c r="E1357" s="4">
        <v>11</v>
      </c>
      <c r="F1357" s="12">
        <v>19</v>
      </c>
      <c r="G1357" s="11">
        <v>11</v>
      </c>
      <c r="H1357" s="11">
        <v>26</v>
      </c>
      <c r="I1357" s="11">
        <v>2.4</v>
      </c>
      <c r="J1357" s="11">
        <v>0</v>
      </c>
      <c r="K1357" s="11">
        <v>0</v>
      </c>
      <c r="L1357" s="11" t="str" cm="1">
        <f t="array" ref="L1357">IFERROR(_xlfn.XLOOKUP(C1357&amp;A1357, ESPN!A:A&amp;ESPN!C:C, ESPN!D:D), "N/A")</f>
        <v>N/A</v>
      </c>
      <c r="M1357" s="23" t="str" cm="1">
        <f t="array" ref="M1357">IFERROR(_xlfn.XLOOKUP(C1357&amp;A1357, ESPN!A:A&amp;ESPN!C:C, ESPN!G:G), "N/A")</f>
        <v>N/A</v>
      </c>
      <c r="N1357" s="23" t="str" cm="1">
        <f t="array" ref="N1357">IFERROR(_xlfn.XLOOKUP(C1357&amp;A1357, ESPN!A:A&amp;ESPN!C:C, ESPN!H:H), "N/A")</f>
        <v>N/A</v>
      </c>
      <c r="O1357" s="26" t="str" cm="1">
        <f t="array" ref="O1357">IFERROR(_xlfn.XLOOKUP(C1357&amp;A1357, ESPN!A:A&amp;ESPN!C:C, ESPN!I:I), "N/A")</f>
        <v>N/A</v>
      </c>
      <c r="P1357" s="26" t="str" cm="1">
        <f t="array" ref="P1357">IFERROR(_xlfn.XLOOKUP(C1357&amp;A1357, ESPN!A:A&amp;ESPN!C:C, ESPN!J:J), "N/A")</f>
        <v>N/A</v>
      </c>
      <c r="Q1357" s="26" t="str" cm="1">
        <f t="array" ref="Q1357">IFERROR(_xlfn.XLOOKUP(C1357&amp;A1357, ESPN!A:A&amp;ESPN!C:C, ESPN!K:K), "N/A")</f>
        <v>N/A</v>
      </c>
    </row>
    <row r="1358" spans="1:17" x14ac:dyDescent="0.45">
      <c r="A1358" s="6">
        <v>2018</v>
      </c>
      <c r="B1358" s="1" t="s">
        <v>725</v>
      </c>
      <c r="C1358" s="2" t="str">
        <f t="shared" si="42"/>
        <v>Brandon Bolden</v>
      </c>
      <c r="D1358" s="2" t="str">
        <f t="shared" si="43"/>
        <v>MIA</v>
      </c>
      <c r="E1358" s="2">
        <v>16</v>
      </c>
      <c r="F1358" s="12">
        <v>3</v>
      </c>
      <c r="G1358" s="11">
        <v>3</v>
      </c>
      <c r="H1358" s="11">
        <v>13</v>
      </c>
      <c r="I1358" s="11">
        <v>4.3</v>
      </c>
      <c r="J1358" s="11">
        <v>1</v>
      </c>
      <c r="K1358" s="11">
        <v>1</v>
      </c>
      <c r="L1358" s="11" t="str" cm="1">
        <f t="array" ref="L1358">IFERROR(_xlfn.XLOOKUP(C1358&amp;A1358, ESPN!A:A&amp;ESPN!C:C, ESPN!D:D), "N/A")</f>
        <v>N/A</v>
      </c>
      <c r="M1358" s="23" t="str" cm="1">
        <f t="array" ref="M1358">IFERROR(_xlfn.XLOOKUP(C1358&amp;A1358, ESPN!A:A&amp;ESPN!C:C, ESPN!G:G), "N/A")</f>
        <v>N/A</v>
      </c>
      <c r="N1358" s="23" t="str" cm="1">
        <f t="array" ref="N1358">IFERROR(_xlfn.XLOOKUP(C1358&amp;A1358, ESPN!A:A&amp;ESPN!C:C, ESPN!H:H), "N/A")</f>
        <v>N/A</v>
      </c>
      <c r="O1358" s="26" t="str" cm="1">
        <f t="array" ref="O1358">IFERROR(_xlfn.XLOOKUP(C1358&amp;A1358, ESPN!A:A&amp;ESPN!C:C, ESPN!I:I), "N/A")</f>
        <v>N/A</v>
      </c>
      <c r="P1358" s="26" t="str" cm="1">
        <f t="array" ref="P1358">IFERROR(_xlfn.XLOOKUP(C1358&amp;A1358, ESPN!A:A&amp;ESPN!C:C, ESPN!J:J), "N/A")</f>
        <v>N/A</v>
      </c>
      <c r="Q1358" s="26" t="str" cm="1">
        <f t="array" ref="Q1358">IFERROR(_xlfn.XLOOKUP(C1358&amp;A1358, ESPN!A:A&amp;ESPN!C:C, ESPN!K:K), "N/A")</f>
        <v>N/A</v>
      </c>
    </row>
    <row r="1359" spans="1:17" x14ac:dyDescent="0.45">
      <c r="A1359" s="7">
        <v>2018</v>
      </c>
      <c r="B1359" s="3" t="s">
        <v>726</v>
      </c>
      <c r="C1359" s="4" t="str">
        <f t="shared" si="42"/>
        <v>Rod Smith</v>
      </c>
      <c r="D1359" s="4" t="str">
        <f t="shared" si="43"/>
        <v>DAL</v>
      </c>
      <c r="E1359" s="4">
        <v>16</v>
      </c>
      <c r="F1359" s="12">
        <v>12</v>
      </c>
      <c r="G1359" s="11">
        <v>9</v>
      </c>
      <c r="H1359" s="11">
        <v>60</v>
      </c>
      <c r="I1359" s="11">
        <v>6.7</v>
      </c>
      <c r="J1359" s="11">
        <v>0</v>
      </c>
      <c r="K1359" s="11">
        <v>0</v>
      </c>
      <c r="L1359" s="11" t="str" cm="1">
        <f t="array" ref="L1359">IFERROR(_xlfn.XLOOKUP(C1359&amp;A1359, ESPN!A:A&amp;ESPN!C:C, ESPN!D:D), "N/A")</f>
        <v>N/A</v>
      </c>
      <c r="M1359" s="23" t="str" cm="1">
        <f t="array" ref="M1359">IFERROR(_xlfn.XLOOKUP(C1359&amp;A1359, ESPN!A:A&amp;ESPN!C:C, ESPN!G:G), "N/A")</f>
        <v>N/A</v>
      </c>
      <c r="N1359" s="23" t="str" cm="1">
        <f t="array" ref="N1359">IFERROR(_xlfn.XLOOKUP(C1359&amp;A1359, ESPN!A:A&amp;ESPN!C:C, ESPN!H:H), "N/A")</f>
        <v>N/A</v>
      </c>
      <c r="O1359" s="26" t="str" cm="1">
        <f t="array" ref="O1359">IFERROR(_xlfn.XLOOKUP(C1359&amp;A1359, ESPN!A:A&amp;ESPN!C:C, ESPN!I:I), "N/A")</f>
        <v>N/A</v>
      </c>
      <c r="P1359" s="26" t="str" cm="1">
        <f t="array" ref="P1359">IFERROR(_xlfn.XLOOKUP(C1359&amp;A1359, ESPN!A:A&amp;ESPN!C:C, ESPN!J:J), "N/A")</f>
        <v>N/A</v>
      </c>
      <c r="Q1359" s="26" t="str" cm="1">
        <f t="array" ref="Q1359">IFERROR(_xlfn.XLOOKUP(C1359&amp;A1359, ESPN!A:A&amp;ESPN!C:C, ESPN!K:K), "N/A")</f>
        <v>N/A</v>
      </c>
    </row>
    <row r="1360" spans="1:17" x14ac:dyDescent="0.45">
      <c r="A1360" s="6">
        <v>2018</v>
      </c>
      <c r="B1360" s="1" t="s">
        <v>635</v>
      </c>
      <c r="C1360" s="2" t="str">
        <f t="shared" si="42"/>
        <v>Andy Janovich</v>
      </c>
      <c r="D1360" s="2" t="str">
        <f t="shared" si="43"/>
        <v>DEN</v>
      </c>
      <c r="E1360" s="2">
        <v>16</v>
      </c>
      <c r="F1360" s="12">
        <v>10</v>
      </c>
      <c r="G1360" s="11">
        <v>8</v>
      </c>
      <c r="H1360" s="11">
        <v>112</v>
      </c>
      <c r="I1360" s="11">
        <v>14</v>
      </c>
      <c r="J1360" s="11">
        <v>1</v>
      </c>
      <c r="K1360" s="11">
        <v>0</v>
      </c>
      <c r="L1360" s="11" t="str" cm="1">
        <f t="array" ref="L1360">IFERROR(_xlfn.XLOOKUP(C1360&amp;A1360, ESPN!A:A&amp;ESPN!C:C, ESPN!D:D), "N/A")</f>
        <v>N/A</v>
      </c>
      <c r="M1360" s="23" t="str" cm="1">
        <f t="array" ref="M1360">IFERROR(_xlfn.XLOOKUP(C1360&amp;A1360, ESPN!A:A&amp;ESPN!C:C, ESPN!G:G), "N/A")</f>
        <v>N/A</v>
      </c>
      <c r="N1360" s="23" t="str" cm="1">
        <f t="array" ref="N1360">IFERROR(_xlfn.XLOOKUP(C1360&amp;A1360, ESPN!A:A&amp;ESPN!C:C, ESPN!H:H), "N/A")</f>
        <v>N/A</v>
      </c>
      <c r="O1360" s="26" t="str" cm="1">
        <f t="array" ref="O1360">IFERROR(_xlfn.XLOOKUP(C1360&amp;A1360, ESPN!A:A&amp;ESPN!C:C, ESPN!I:I), "N/A")</f>
        <v>N/A</v>
      </c>
      <c r="P1360" s="26" t="str" cm="1">
        <f t="array" ref="P1360">IFERROR(_xlfn.XLOOKUP(C1360&amp;A1360, ESPN!A:A&amp;ESPN!C:C, ESPN!J:J), "N/A")</f>
        <v>N/A</v>
      </c>
      <c r="Q1360" s="26" t="str" cm="1">
        <f t="array" ref="Q1360">IFERROR(_xlfn.XLOOKUP(C1360&amp;A1360, ESPN!A:A&amp;ESPN!C:C, ESPN!K:K), "N/A")</f>
        <v>N/A</v>
      </c>
    </row>
    <row r="1361" spans="1:17" x14ac:dyDescent="0.45">
      <c r="A1361" s="7">
        <v>2018</v>
      </c>
      <c r="B1361" s="3" t="s">
        <v>643</v>
      </c>
      <c r="C1361" s="4" t="str">
        <f t="shared" si="42"/>
        <v>Zach Line</v>
      </c>
      <c r="D1361" s="4" t="str">
        <f t="shared" si="43"/>
        <v>NO</v>
      </c>
      <c r="E1361" s="4">
        <v>16</v>
      </c>
      <c r="F1361" s="12">
        <v>10</v>
      </c>
      <c r="G1361" s="11">
        <v>5</v>
      </c>
      <c r="H1361" s="11">
        <v>14</v>
      </c>
      <c r="I1361" s="11">
        <v>2.8</v>
      </c>
      <c r="J1361" s="11">
        <v>2</v>
      </c>
      <c r="K1361" s="11">
        <v>0</v>
      </c>
      <c r="L1361" s="11" t="str" cm="1">
        <f t="array" ref="L1361">IFERROR(_xlfn.XLOOKUP(C1361&amp;A1361, ESPN!A:A&amp;ESPN!C:C, ESPN!D:D), "N/A")</f>
        <v>N/A</v>
      </c>
      <c r="M1361" s="23" t="str" cm="1">
        <f t="array" ref="M1361">IFERROR(_xlfn.XLOOKUP(C1361&amp;A1361, ESPN!A:A&amp;ESPN!C:C, ESPN!G:G), "N/A")</f>
        <v>N/A</v>
      </c>
      <c r="N1361" s="23" t="str" cm="1">
        <f t="array" ref="N1361">IFERROR(_xlfn.XLOOKUP(C1361&amp;A1361, ESPN!A:A&amp;ESPN!C:C, ESPN!H:H), "N/A")</f>
        <v>N/A</v>
      </c>
      <c r="O1361" s="26" t="str" cm="1">
        <f t="array" ref="O1361">IFERROR(_xlfn.XLOOKUP(C1361&amp;A1361, ESPN!A:A&amp;ESPN!C:C, ESPN!I:I), "N/A")</f>
        <v>N/A</v>
      </c>
      <c r="P1361" s="26" t="str" cm="1">
        <f t="array" ref="P1361">IFERROR(_xlfn.XLOOKUP(C1361&amp;A1361, ESPN!A:A&amp;ESPN!C:C, ESPN!J:J), "N/A")</f>
        <v>N/A</v>
      </c>
      <c r="Q1361" s="26" t="str" cm="1">
        <f t="array" ref="Q1361">IFERROR(_xlfn.XLOOKUP(C1361&amp;A1361, ESPN!A:A&amp;ESPN!C:C, ESPN!K:K), "N/A")</f>
        <v>N/A</v>
      </c>
    </row>
    <row r="1362" spans="1:17" x14ac:dyDescent="0.45">
      <c r="A1362" s="6">
        <v>2018</v>
      </c>
      <c r="B1362" s="1" t="s">
        <v>570</v>
      </c>
      <c r="C1362" s="2" t="str">
        <f t="shared" si="42"/>
        <v>Anthony Sherman</v>
      </c>
      <c r="D1362" s="2" t="str">
        <f t="shared" si="43"/>
        <v>KC</v>
      </c>
      <c r="E1362" s="2">
        <v>16</v>
      </c>
      <c r="F1362" s="12">
        <v>9</v>
      </c>
      <c r="G1362" s="11">
        <v>8</v>
      </c>
      <c r="H1362" s="11">
        <v>96</v>
      </c>
      <c r="I1362" s="11">
        <v>12</v>
      </c>
      <c r="J1362" s="11">
        <v>1</v>
      </c>
      <c r="K1362" s="11">
        <v>0</v>
      </c>
      <c r="L1362" s="11" t="str" cm="1">
        <f t="array" ref="L1362">IFERROR(_xlfn.XLOOKUP(C1362&amp;A1362, ESPN!A:A&amp;ESPN!C:C, ESPN!D:D), "N/A")</f>
        <v>N/A</v>
      </c>
      <c r="M1362" s="23" t="str" cm="1">
        <f t="array" ref="M1362">IFERROR(_xlfn.XLOOKUP(C1362&amp;A1362, ESPN!A:A&amp;ESPN!C:C, ESPN!G:G), "N/A")</f>
        <v>N/A</v>
      </c>
      <c r="N1362" s="23" t="str" cm="1">
        <f t="array" ref="N1362">IFERROR(_xlfn.XLOOKUP(C1362&amp;A1362, ESPN!A:A&amp;ESPN!C:C, ESPN!H:H), "N/A")</f>
        <v>N/A</v>
      </c>
      <c r="O1362" s="26" t="str" cm="1">
        <f t="array" ref="O1362">IFERROR(_xlfn.XLOOKUP(C1362&amp;A1362, ESPN!A:A&amp;ESPN!C:C, ESPN!I:I), "N/A")</f>
        <v>N/A</v>
      </c>
      <c r="P1362" s="26" t="str" cm="1">
        <f t="array" ref="P1362">IFERROR(_xlfn.XLOOKUP(C1362&amp;A1362, ESPN!A:A&amp;ESPN!C:C, ESPN!J:J), "N/A")</f>
        <v>N/A</v>
      </c>
      <c r="Q1362" s="26" t="str" cm="1">
        <f t="array" ref="Q1362">IFERROR(_xlfn.XLOOKUP(C1362&amp;A1362, ESPN!A:A&amp;ESPN!C:C, ESPN!K:K), "N/A")</f>
        <v>N/A</v>
      </c>
    </row>
    <row r="1363" spans="1:17" x14ac:dyDescent="0.45">
      <c r="A1363" s="7">
        <v>2018</v>
      </c>
      <c r="B1363" s="3" t="s">
        <v>391</v>
      </c>
      <c r="C1363" s="4" t="str">
        <f t="shared" si="42"/>
        <v>Dwayne Washington</v>
      </c>
      <c r="D1363" s="4" t="str">
        <f t="shared" si="43"/>
        <v>NO</v>
      </c>
      <c r="E1363" s="4">
        <v>13</v>
      </c>
      <c r="F1363" s="12">
        <v>0</v>
      </c>
      <c r="G1363" s="11">
        <v>0</v>
      </c>
      <c r="H1363" s="11">
        <v>0</v>
      </c>
      <c r="I1363" s="11">
        <v>0</v>
      </c>
      <c r="J1363" s="11">
        <v>0</v>
      </c>
      <c r="K1363" s="11">
        <v>0</v>
      </c>
      <c r="L1363" s="11" t="str" cm="1">
        <f t="array" ref="L1363">IFERROR(_xlfn.XLOOKUP(C1363&amp;A1363, ESPN!A:A&amp;ESPN!C:C, ESPN!D:D), "N/A")</f>
        <v>N/A</v>
      </c>
      <c r="M1363" s="23" t="str" cm="1">
        <f t="array" ref="M1363">IFERROR(_xlfn.XLOOKUP(C1363&amp;A1363, ESPN!A:A&amp;ESPN!C:C, ESPN!G:G), "N/A")</f>
        <v>N/A</v>
      </c>
      <c r="N1363" s="23" t="str" cm="1">
        <f t="array" ref="N1363">IFERROR(_xlfn.XLOOKUP(C1363&amp;A1363, ESPN!A:A&amp;ESPN!C:C, ESPN!H:H), "N/A")</f>
        <v>N/A</v>
      </c>
      <c r="O1363" s="26" t="str" cm="1">
        <f t="array" ref="O1363">IFERROR(_xlfn.XLOOKUP(C1363&amp;A1363, ESPN!A:A&amp;ESPN!C:C, ESPN!I:I), "N/A")</f>
        <v>N/A</v>
      </c>
      <c r="P1363" s="26" t="str" cm="1">
        <f t="array" ref="P1363">IFERROR(_xlfn.XLOOKUP(C1363&amp;A1363, ESPN!A:A&amp;ESPN!C:C, ESPN!J:J), "N/A")</f>
        <v>N/A</v>
      </c>
      <c r="Q1363" s="26" t="str" cm="1">
        <f t="array" ref="Q1363">IFERROR(_xlfn.XLOOKUP(C1363&amp;A1363, ESPN!A:A&amp;ESPN!C:C, ESPN!K:K), "N/A")</f>
        <v>N/A</v>
      </c>
    </row>
    <row r="1364" spans="1:17" x14ac:dyDescent="0.45">
      <c r="A1364" s="6">
        <v>2018</v>
      </c>
      <c r="B1364" s="1" t="s">
        <v>727</v>
      </c>
      <c r="C1364" s="2" t="str">
        <f t="shared" si="42"/>
        <v>Taquan Mizzell</v>
      </c>
      <c r="D1364" s="2" t="str">
        <f t="shared" si="43"/>
        <v>CHI</v>
      </c>
      <c r="E1364" s="2">
        <v>9</v>
      </c>
      <c r="F1364" s="12">
        <v>10</v>
      </c>
      <c r="G1364" s="11">
        <v>8</v>
      </c>
      <c r="H1364" s="11">
        <v>78</v>
      </c>
      <c r="I1364" s="11">
        <v>9.8000000000000007</v>
      </c>
      <c r="J1364" s="11">
        <v>1</v>
      </c>
      <c r="K1364" s="11">
        <v>0</v>
      </c>
      <c r="L1364" s="11" t="str" cm="1">
        <f t="array" ref="L1364">IFERROR(_xlfn.XLOOKUP(C1364&amp;A1364, ESPN!A:A&amp;ESPN!C:C, ESPN!D:D), "N/A")</f>
        <v>N/A</v>
      </c>
      <c r="M1364" s="23" t="str" cm="1">
        <f t="array" ref="M1364">IFERROR(_xlfn.XLOOKUP(C1364&amp;A1364, ESPN!A:A&amp;ESPN!C:C, ESPN!G:G), "N/A")</f>
        <v>N/A</v>
      </c>
      <c r="N1364" s="23" t="str" cm="1">
        <f t="array" ref="N1364">IFERROR(_xlfn.XLOOKUP(C1364&amp;A1364, ESPN!A:A&amp;ESPN!C:C, ESPN!H:H), "N/A")</f>
        <v>N/A</v>
      </c>
      <c r="O1364" s="26" t="str" cm="1">
        <f t="array" ref="O1364">IFERROR(_xlfn.XLOOKUP(C1364&amp;A1364, ESPN!A:A&amp;ESPN!C:C, ESPN!I:I), "N/A")</f>
        <v>N/A</v>
      </c>
      <c r="P1364" s="26" t="str" cm="1">
        <f t="array" ref="P1364">IFERROR(_xlfn.XLOOKUP(C1364&amp;A1364, ESPN!A:A&amp;ESPN!C:C, ESPN!J:J), "N/A")</f>
        <v>N/A</v>
      </c>
      <c r="Q1364" s="26" t="str" cm="1">
        <f t="array" ref="Q1364">IFERROR(_xlfn.XLOOKUP(C1364&amp;A1364, ESPN!A:A&amp;ESPN!C:C, ESPN!K:K), "N/A")</f>
        <v>N/A</v>
      </c>
    </row>
    <row r="1365" spans="1:17" x14ac:dyDescent="0.45">
      <c r="A1365" s="7">
        <v>2018</v>
      </c>
      <c r="B1365" s="3" t="s">
        <v>538</v>
      </c>
      <c r="C1365" s="4" t="str">
        <f t="shared" si="42"/>
        <v>Brian Hill</v>
      </c>
      <c r="D1365" s="4" t="str">
        <f t="shared" si="43"/>
        <v>ATL</v>
      </c>
      <c r="E1365" s="4">
        <v>10</v>
      </c>
      <c r="F1365" s="12">
        <v>2</v>
      </c>
      <c r="G1365" s="11">
        <v>1</v>
      </c>
      <c r="H1365" s="11">
        <v>9</v>
      </c>
      <c r="I1365" s="11">
        <v>9</v>
      </c>
      <c r="J1365" s="11">
        <v>0</v>
      </c>
      <c r="K1365" s="11">
        <v>1</v>
      </c>
      <c r="L1365" s="11" t="str" cm="1">
        <f t="array" ref="L1365">IFERROR(_xlfn.XLOOKUP(C1365&amp;A1365, ESPN!A:A&amp;ESPN!C:C, ESPN!D:D), "N/A")</f>
        <v>N/A</v>
      </c>
      <c r="M1365" s="23" t="str" cm="1">
        <f t="array" ref="M1365">IFERROR(_xlfn.XLOOKUP(C1365&amp;A1365, ESPN!A:A&amp;ESPN!C:C, ESPN!G:G), "N/A")</f>
        <v>N/A</v>
      </c>
      <c r="N1365" s="23" t="str" cm="1">
        <f t="array" ref="N1365">IFERROR(_xlfn.XLOOKUP(C1365&amp;A1365, ESPN!A:A&amp;ESPN!C:C, ESPN!H:H), "N/A")</f>
        <v>N/A</v>
      </c>
      <c r="O1365" s="26" t="str" cm="1">
        <f t="array" ref="O1365">IFERROR(_xlfn.XLOOKUP(C1365&amp;A1365, ESPN!A:A&amp;ESPN!C:C, ESPN!I:I), "N/A")</f>
        <v>N/A</v>
      </c>
      <c r="P1365" s="26" t="str" cm="1">
        <f t="array" ref="P1365">IFERROR(_xlfn.XLOOKUP(C1365&amp;A1365, ESPN!A:A&amp;ESPN!C:C, ESPN!J:J), "N/A")</f>
        <v>N/A</v>
      </c>
      <c r="Q1365" s="26" t="str" cm="1">
        <f t="array" ref="Q1365">IFERROR(_xlfn.XLOOKUP(C1365&amp;A1365, ESPN!A:A&amp;ESPN!C:C, ESPN!K:K), "N/A")</f>
        <v>N/A</v>
      </c>
    </row>
    <row r="1366" spans="1:17" x14ac:dyDescent="0.45">
      <c r="A1366" s="6">
        <v>2018</v>
      </c>
      <c r="B1366" s="1" t="s">
        <v>680</v>
      </c>
      <c r="C1366" s="2" t="str">
        <f t="shared" si="42"/>
        <v>Cameron Artis-Payne</v>
      </c>
      <c r="D1366" s="2" t="str">
        <f t="shared" si="43"/>
        <v>CAR</v>
      </c>
      <c r="E1366" s="2">
        <v>9</v>
      </c>
      <c r="F1366" s="12">
        <v>4</v>
      </c>
      <c r="G1366" s="11">
        <v>3</v>
      </c>
      <c r="H1366" s="11">
        <v>15</v>
      </c>
      <c r="I1366" s="11">
        <v>5</v>
      </c>
      <c r="J1366" s="11">
        <v>0</v>
      </c>
      <c r="K1366" s="11">
        <v>0</v>
      </c>
      <c r="L1366" s="11" t="str" cm="1">
        <f t="array" ref="L1366">IFERROR(_xlfn.XLOOKUP(C1366&amp;A1366, ESPN!A:A&amp;ESPN!C:C, ESPN!D:D), "N/A")</f>
        <v>N/A</v>
      </c>
      <c r="M1366" s="23" t="str" cm="1">
        <f t="array" ref="M1366">IFERROR(_xlfn.XLOOKUP(C1366&amp;A1366, ESPN!A:A&amp;ESPN!C:C, ESPN!G:G), "N/A")</f>
        <v>N/A</v>
      </c>
      <c r="N1366" s="23" t="str" cm="1">
        <f t="array" ref="N1366">IFERROR(_xlfn.XLOOKUP(C1366&amp;A1366, ESPN!A:A&amp;ESPN!C:C, ESPN!H:H), "N/A")</f>
        <v>N/A</v>
      </c>
      <c r="O1366" s="26" t="str" cm="1">
        <f t="array" ref="O1366">IFERROR(_xlfn.XLOOKUP(C1366&amp;A1366, ESPN!A:A&amp;ESPN!C:C, ESPN!I:I), "N/A")</f>
        <v>N/A</v>
      </c>
      <c r="P1366" s="26" t="str" cm="1">
        <f t="array" ref="P1366">IFERROR(_xlfn.XLOOKUP(C1366&amp;A1366, ESPN!A:A&amp;ESPN!C:C, ESPN!J:J), "N/A")</f>
        <v>N/A</v>
      </c>
      <c r="Q1366" s="26" t="str" cm="1">
        <f t="array" ref="Q1366">IFERROR(_xlfn.XLOOKUP(C1366&amp;A1366, ESPN!A:A&amp;ESPN!C:C, ESPN!K:K), "N/A")</f>
        <v>N/A</v>
      </c>
    </row>
    <row r="1367" spans="1:17" x14ac:dyDescent="0.45">
      <c r="A1367" s="7">
        <v>2018</v>
      </c>
      <c r="B1367" s="3" t="s">
        <v>578</v>
      </c>
      <c r="C1367" s="4" t="str">
        <f t="shared" si="42"/>
        <v>Alex Armah Jr.</v>
      </c>
      <c r="D1367" s="4" t="str">
        <f t="shared" si="43"/>
        <v>CAR</v>
      </c>
      <c r="E1367" s="4">
        <v>16</v>
      </c>
      <c r="F1367" s="12">
        <v>1</v>
      </c>
      <c r="G1367" s="11">
        <v>1</v>
      </c>
      <c r="H1367" s="11">
        <v>5</v>
      </c>
      <c r="I1367" s="11">
        <v>5</v>
      </c>
      <c r="J1367" s="11">
        <v>0</v>
      </c>
      <c r="K1367" s="11">
        <v>0</v>
      </c>
      <c r="L1367" s="11" t="str" cm="1">
        <f t="array" ref="L1367">IFERROR(_xlfn.XLOOKUP(C1367&amp;A1367, ESPN!A:A&amp;ESPN!C:C, ESPN!D:D), "N/A")</f>
        <v>N/A</v>
      </c>
      <c r="M1367" s="23" t="str" cm="1">
        <f t="array" ref="M1367">IFERROR(_xlfn.XLOOKUP(C1367&amp;A1367, ESPN!A:A&amp;ESPN!C:C, ESPN!G:G), "N/A")</f>
        <v>N/A</v>
      </c>
      <c r="N1367" s="23" t="str" cm="1">
        <f t="array" ref="N1367">IFERROR(_xlfn.XLOOKUP(C1367&amp;A1367, ESPN!A:A&amp;ESPN!C:C, ESPN!H:H), "N/A")</f>
        <v>N/A</v>
      </c>
      <c r="O1367" s="26" t="str" cm="1">
        <f t="array" ref="O1367">IFERROR(_xlfn.XLOOKUP(C1367&amp;A1367, ESPN!A:A&amp;ESPN!C:C, ESPN!I:I), "N/A")</f>
        <v>N/A</v>
      </c>
      <c r="P1367" s="26" t="str" cm="1">
        <f t="array" ref="P1367">IFERROR(_xlfn.XLOOKUP(C1367&amp;A1367, ESPN!A:A&amp;ESPN!C:C, ESPN!J:J), "N/A")</f>
        <v>N/A</v>
      </c>
      <c r="Q1367" s="26" t="str" cm="1">
        <f t="array" ref="Q1367">IFERROR(_xlfn.XLOOKUP(C1367&amp;A1367, ESPN!A:A&amp;ESPN!C:C, ESPN!K:K), "N/A")</f>
        <v>N/A</v>
      </c>
    </row>
    <row r="1368" spans="1:17" x14ac:dyDescent="0.45">
      <c r="A1368" s="6">
        <v>2018</v>
      </c>
      <c r="B1368" s="1" t="s">
        <v>437</v>
      </c>
      <c r="C1368" s="2" t="str">
        <f t="shared" si="42"/>
        <v>Ronald Jones II</v>
      </c>
      <c r="D1368" s="2" t="str">
        <f t="shared" si="43"/>
        <v>TB</v>
      </c>
      <c r="E1368" s="2">
        <v>9</v>
      </c>
      <c r="F1368" s="12">
        <v>9</v>
      </c>
      <c r="G1368" s="11">
        <v>7</v>
      </c>
      <c r="H1368" s="11">
        <v>33</v>
      </c>
      <c r="I1368" s="11">
        <v>4.7</v>
      </c>
      <c r="J1368" s="11">
        <v>0</v>
      </c>
      <c r="K1368" s="11">
        <v>0</v>
      </c>
      <c r="L1368" s="11" t="str" cm="1">
        <f t="array" ref="L1368">IFERROR(_xlfn.XLOOKUP(C1368&amp;A1368, ESPN!A:A&amp;ESPN!C:C, ESPN!D:D), "N/A")</f>
        <v>N/A</v>
      </c>
      <c r="M1368" s="23" t="str" cm="1">
        <f t="array" ref="M1368">IFERROR(_xlfn.XLOOKUP(C1368&amp;A1368, ESPN!A:A&amp;ESPN!C:C, ESPN!G:G), "N/A")</f>
        <v>N/A</v>
      </c>
      <c r="N1368" s="23" t="str" cm="1">
        <f t="array" ref="N1368">IFERROR(_xlfn.XLOOKUP(C1368&amp;A1368, ESPN!A:A&amp;ESPN!C:C, ESPN!H:H), "N/A")</f>
        <v>N/A</v>
      </c>
      <c r="O1368" s="26" t="str" cm="1">
        <f t="array" ref="O1368">IFERROR(_xlfn.XLOOKUP(C1368&amp;A1368, ESPN!A:A&amp;ESPN!C:C, ESPN!I:I), "N/A")</f>
        <v>N/A</v>
      </c>
      <c r="P1368" s="26" t="str" cm="1">
        <f t="array" ref="P1368">IFERROR(_xlfn.XLOOKUP(C1368&amp;A1368, ESPN!A:A&amp;ESPN!C:C, ESPN!J:J), "N/A")</f>
        <v>N/A</v>
      </c>
      <c r="Q1368" s="26" t="str" cm="1">
        <f t="array" ref="Q1368">IFERROR(_xlfn.XLOOKUP(C1368&amp;A1368, ESPN!A:A&amp;ESPN!C:C, ESPN!K:K), "N/A")</f>
        <v>N/A</v>
      </c>
    </row>
    <row r="1369" spans="1:17" x14ac:dyDescent="0.45">
      <c r="A1369" s="7">
        <v>2018</v>
      </c>
      <c r="B1369" s="3" t="s">
        <v>423</v>
      </c>
      <c r="C1369" s="4" t="str">
        <f t="shared" si="42"/>
        <v>Darrel Williams</v>
      </c>
      <c r="D1369" s="4" t="str">
        <f t="shared" si="43"/>
        <v>KC</v>
      </c>
      <c r="E1369" s="4">
        <v>6</v>
      </c>
      <c r="F1369" s="12">
        <v>3</v>
      </c>
      <c r="G1369" s="11">
        <v>3</v>
      </c>
      <c r="H1369" s="11">
        <v>27</v>
      </c>
      <c r="I1369" s="11">
        <v>9</v>
      </c>
      <c r="J1369" s="11">
        <v>1</v>
      </c>
      <c r="K1369" s="11">
        <v>0</v>
      </c>
      <c r="L1369" s="11" t="str" cm="1">
        <f t="array" ref="L1369">IFERROR(_xlfn.XLOOKUP(C1369&amp;A1369, ESPN!A:A&amp;ESPN!C:C, ESPN!D:D), "N/A")</f>
        <v>N/A</v>
      </c>
      <c r="M1369" s="23" t="str" cm="1">
        <f t="array" ref="M1369">IFERROR(_xlfn.XLOOKUP(C1369&amp;A1369, ESPN!A:A&amp;ESPN!C:C, ESPN!G:G), "N/A")</f>
        <v>N/A</v>
      </c>
      <c r="N1369" s="23" t="str" cm="1">
        <f t="array" ref="N1369">IFERROR(_xlfn.XLOOKUP(C1369&amp;A1369, ESPN!A:A&amp;ESPN!C:C, ESPN!H:H), "N/A")</f>
        <v>N/A</v>
      </c>
      <c r="O1369" s="26" t="str" cm="1">
        <f t="array" ref="O1369">IFERROR(_xlfn.XLOOKUP(C1369&amp;A1369, ESPN!A:A&amp;ESPN!C:C, ESPN!I:I), "N/A")</f>
        <v>N/A</v>
      </c>
      <c r="P1369" s="26" t="str" cm="1">
        <f t="array" ref="P1369">IFERROR(_xlfn.XLOOKUP(C1369&amp;A1369, ESPN!A:A&amp;ESPN!C:C, ESPN!J:J), "N/A")</f>
        <v>N/A</v>
      </c>
      <c r="Q1369" s="26" t="str" cm="1">
        <f t="array" ref="Q1369">IFERROR(_xlfn.XLOOKUP(C1369&amp;A1369, ESPN!A:A&amp;ESPN!C:C, ESPN!K:K), "N/A")</f>
        <v>N/A</v>
      </c>
    </row>
    <row r="1370" spans="1:17" x14ac:dyDescent="0.45">
      <c r="A1370" s="6">
        <v>2018</v>
      </c>
      <c r="B1370" s="1" t="s">
        <v>669</v>
      </c>
      <c r="C1370" s="2" t="str">
        <f t="shared" si="42"/>
        <v>Stevan Ridley</v>
      </c>
      <c r="D1370" s="2" t="str">
        <f t="shared" si="43"/>
        <v>PIT</v>
      </c>
      <c r="E1370" s="2">
        <v>10</v>
      </c>
      <c r="F1370" s="12">
        <v>4</v>
      </c>
      <c r="G1370" s="11">
        <v>3</v>
      </c>
      <c r="H1370" s="11">
        <v>18</v>
      </c>
      <c r="I1370" s="11">
        <v>6</v>
      </c>
      <c r="J1370" s="11">
        <v>0</v>
      </c>
      <c r="K1370" s="11">
        <v>2</v>
      </c>
      <c r="L1370" s="11" t="str" cm="1">
        <f t="array" ref="L1370">IFERROR(_xlfn.XLOOKUP(C1370&amp;A1370, ESPN!A:A&amp;ESPN!C:C, ESPN!D:D), "N/A")</f>
        <v>N/A</v>
      </c>
      <c r="M1370" s="23" t="str" cm="1">
        <f t="array" ref="M1370">IFERROR(_xlfn.XLOOKUP(C1370&amp;A1370, ESPN!A:A&amp;ESPN!C:C, ESPN!G:G), "N/A")</f>
        <v>N/A</v>
      </c>
      <c r="N1370" s="23" t="str" cm="1">
        <f t="array" ref="N1370">IFERROR(_xlfn.XLOOKUP(C1370&amp;A1370, ESPN!A:A&amp;ESPN!C:C, ESPN!H:H), "N/A")</f>
        <v>N/A</v>
      </c>
      <c r="O1370" s="26" t="str" cm="1">
        <f t="array" ref="O1370">IFERROR(_xlfn.XLOOKUP(C1370&amp;A1370, ESPN!A:A&amp;ESPN!C:C, ESPN!I:I), "N/A")</f>
        <v>N/A</v>
      </c>
      <c r="P1370" s="26" t="str" cm="1">
        <f t="array" ref="P1370">IFERROR(_xlfn.XLOOKUP(C1370&amp;A1370, ESPN!A:A&amp;ESPN!C:C, ESPN!J:J), "N/A")</f>
        <v>N/A</v>
      </c>
      <c r="Q1370" s="26" t="str" cm="1">
        <f t="array" ref="Q1370">IFERROR(_xlfn.XLOOKUP(C1370&amp;A1370, ESPN!A:A&amp;ESPN!C:C, ESPN!K:K), "N/A")</f>
        <v>N/A</v>
      </c>
    </row>
    <row r="1371" spans="1:17" x14ac:dyDescent="0.45">
      <c r="A1371" s="7">
        <v>2018</v>
      </c>
      <c r="B1371" s="3" t="s">
        <v>728</v>
      </c>
      <c r="C1371" s="4" t="str">
        <f t="shared" si="42"/>
        <v>Corey Grant</v>
      </c>
      <c r="D1371" s="4" t="str">
        <f t="shared" si="43"/>
        <v>JAC</v>
      </c>
      <c r="E1371" s="4">
        <v>5</v>
      </c>
      <c r="F1371" s="12">
        <v>12</v>
      </c>
      <c r="G1371" s="11">
        <v>9</v>
      </c>
      <c r="H1371" s="11">
        <v>67</v>
      </c>
      <c r="I1371" s="11">
        <v>7.4</v>
      </c>
      <c r="J1371" s="11">
        <v>0</v>
      </c>
      <c r="K1371" s="11">
        <v>0</v>
      </c>
      <c r="L1371" s="11" t="str" cm="1">
        <f t="array" ref="L1371">IFERROR(_xlfn.XLOOKUP(C1371&amp;A1371, ESPN!A:A&amp;ESPN!C:C, ESPN!D:D), "N/A")</f>
        <v>N/A</v>
      </c>
      <c r="M1371" s="23" t="str" cm="1">
        <f t="array" ref="M1371">IFERROR(_xlfn.XLOOKUP(C1371&amp;A1371, ESPN!A:A&amp;ESPN!C:C, ESPN!G:G), "N/A")</f>
        <v>N/A</v>
      </c>
      <c r="N1371" s="23" t="str" cm="1">
        <f t="array" ref="N1371">IFERROR(_xlfn.XLOOKUP(C1371&amp;A1371, ESPN!A:A&amp;ESPN!C:C, ESPN!H:H), "N/A")</f>
        <v>N/A</v>
      </c>
      <c r="O1371" s="26" t="str" cm="1">
        <f t="array" ref="O1371">IFERROR(_xlfn.XLOOKUP(C1371&amp;A1371, ESPN!A:A&amp;ESPN!C:C, ESPN!I:I), "N/A")</f>
        <v>N/A</v>
      </c>
      <c r="P1371" s="26" t="str" cm="1">
        <f t="array" ref="P1371">IFERROR(_xlfn.XLOOKUP(C1371&amp;A1371, ESPN!A:A&amp;ESPN!C:C, ESPN!J:J), "N/A")</f>
        <v>N/A</v>
      </c>
      <c r="Q1371" s="26" t="str" cm="1">
        <f t="array" ref="Q1371">IFERROR(_xlfn.XLOOKUP(C1371&amp;A1371, ESPN!A:A&amp;ESPN!C:C, ESPN!K:K), "N/A")</f>
        <v>N/A</v>
      </c>
    </row>
    <row r="1372" spans="1:17" x14ac:dyDescent="0.45">
      <c r="A1372" s="6">
        <v>2018</v>
      </c>
      <c r="B1372" s="1" t="s">
        <v>612</v>
      </c>
      <c r="C1372" s="2" t="str">
        <f t="shared" si="42"/>
        <v>DeAndre Washington</v>
      </c>
      <c r="D1372" s="2" t="str">
        <f t="shared" si="43"/>
        <v>OAK</v>
      </c>
      <c r="E1372" s="2">
        <v>10</v>
      </c>
      <c r="F1372" s="12">
        <v>1</v>
      </c>
      <c r="G1372" s="11">
        <v>1</v>
      </c>
      <c r="H1372" s="11">
        <v>9</v>
      </c>
      <c r="I1372" s="11">
        <v>9</v>
      </c>
      <c r="J1372" s="11">
        <v>0</v>
      </c>
      <c r="K1372" s="11">
        <v>1</v>
      </c>
      <c r="L1372" s="11" t="str" cm="1">
        <f t="array" ref="L1372">IFERROR(_xlfn.XLOOKUP(C1372&amp;A1372, ESPN!A:A&amp;ESPN!C:C, ESPN!D:D), "N/A")</f>
        <v>N/A</v>
      </c>
      <c r="M1372" s="23" t="str" cm="1">
        <f t="array" ref="M1372">IFERROR(_xlfn.XLOOKUP(C1372&amp;A1372, ESPN!A:A&amp;ESPN!C:C, ESPN!G:G), "N/A")</f>
        <v>N/A</v>
      </c>
      <c r="N1372" s="23" t="str" cm="1">
        <f t="array" ref="N1372">IFERROR(_xlfn.XLOOKUP(C1372&amp;A1372, ESPN!A:A&amp;ESPN!C:C, ESPN!H:H), "N/A")</f>
        <v>N/A</v>
      </c>
      <c r="O1372" s="26" t="str" cm="1">
        <f t="array" ref="O1372">IFERROR(_xlfn.XLOOKUP(C1372&amp;A1372, ESPN!A:A&amp;ESPN!C:C, ESPN!I:I), "N/A")</f>
        <v>N/A</v>
      </c>
      <c r="P1372" s="26" t="str" cm="1">
        <f t="array" ref="P1372">IFERROR(_xlfn.XLOOKUP(C1372&amp;A1372, ESPN!A:A&amp;ESPN!C:C, ESPN!J:J), "N/A")</f>
        <v>N/A</v>
      </c>
      <c r="Q1372" s="26" t="str" cm="1">
        <f t="array" ref="Q1372">IFERROR(_xlfn.XLOOKUP(C1372&amp;A1372, ESPN!A:A&amp;ESPN!C:C, ESPN!K:K), "N/A")</f>
        <v>N/A</v>
      </c>
    </row>
    <row r="1373" spans="1:17" x14ac:dyDescent="0.45">
      <c r="A1373" s="7">
        <v>2018</v>
      </c>
      <c r="B1373" s="3" t="s">
        <v>656</v>
      </c>
      <c r="C1373" s="4" t="str">
        <f t="shared" si="42"/>
        <v>John Kelly Jr.</v>
      </c>
      <c r="D1373" s="4" t="str">
        <f t="shared" si="43"/>
        <v>LAR</v>
      </c>
      <c r="E1373" s="4">
        <v>4</v>
      </c>
      <c r="F1373" s="12">
        <v>3</v>
      </c>
      <c r="G1373" s="11">
        <v>2</v>
      </c>
      <c r="H1373" s="11">
        <v>27</v>
      </c>
      <c r="I1373" s="11">
        <v>13.5</v>
      </c>
      <c r="J1373" s="11">
        <v>0</v>
      </c>
      <c r="K1373" s="11">
        <v>0</v>
      </c>
      <c r="L1373" s="11" t="str" cm="1">
        <f t="array" ref="L1373">IFERROR(_xlfn.XLOOKUP(C1373&amp;A1373, ESPN!A:A&amp;ESPN!C:C, ESPN!D:D), "N/A")</f>
        <v>N/A</v>
      </c>
      <c r="M1373" s="23" t="str" cm="1">
        <f t="array" ref="M1373">IFERROR(_xlfn.XLOOKUP(C1373&amp;A1373, ESPN!A:A&amp;ESPN!C:C, ESPN!G:G), "N/A")</f>
        <v>N/A</v>
      </c>
      <c r="N1373" s="23" t="str" cm="1">
        <f t="array" ref="N1373">IFERROR(_xlfn.XLOOKUP(C1373&amp;A1373, ESPN!A:A&amp;ESPN!C:C, ESPN!H:H), "N/A")</f>
        <v>N/A</v>
      </c>
      <c r="O1373" s="26" t="str" cm="1">
        <f t="array" ref="O1373">IFERROR(_xlfn.XLOOKUP(C1373&amp;A1373, ESPN!A:A&amp;ESPN!C:C, ESPN!I:I), "N/A")</f>
        <v>N/A</v>
      </c>
      <c r="P1373" s="26" t="str" cm="1">
        <f t="array" ref="P1373">IFERROR(_xlfn.XLOOKUP(C1373&amp;A1373, ESPN!A:A&amp;ESPN!C:C, ESPN!J:J), "N/A")</f>
        <v>N/A</v>
      </c>
      <c r="Q1373" s="26" t="str" cm="1">
        <f t="array" ref="Q1373">IFERROR(_xlfn.XLOOKUP(C1373&amp;A1373, ESPN!A:A&amp;ESPN!C:C, ESPN!K:K), "N/A")</f>
        <v>N/A</v>
      </c>
    </row>
    <row r="1374" spans="1:17" x14ac:dyDescent="0.45">
      <c r="A1374" s="6">
        <v>2018</v>
      </c>
      <c r="B1374" s="1" t="s">
        <v>729</v>
      </c>
      <c r="C1374" s="2" t="str">
        <f t="shared" si="42"/>
        <v>Keith Ford</v>
      </c>
      <c r="D1374" s="2" t="str">
        <f t="shared" si="43"/>
        <v>BUF</v>
      </c>
      <c r="E1374" s="2">
        <v>2</v>
      </c>
      <c r="F1374" s="12">
        <v>5</v>
      </c>
      <c r="G1374" s="11">
        <v>3</v>
      </c>
      <c r="H1374" s="11">
        <v>21</v>
      </c>
      <c r="I1374" s="11">
        <v>7</v>
      </c>
      <c r="J1374" s="11">
        <v>0</v>
      </c>
      <c r="K1374" s="11">
        <v>0</v>
      </c>
      <c r="L1374" s="11" t="str" cm="1">
        <f t="array" ref="L1374">IFERROR(_xlfn.XLOOKUP(C1374&amp;A1374, ESPN!A:A&amp;ESPN!C:C, ESPN!D:D), "N/A")</f>
        <v>N/A</v>
      </c>
      <c r="M1374" s="23" t="str" cm="1">
        <f t="array" ref="M1374">IFERROR(_xlfn.XLOOKUP(C1374&amp;A1374, ESPN!A:A&amp;ESPN!C:C, ESPN!G:G), "N/A")</f>
        <v>N/A</v>
      </c>
      <c r="N1374" s="23" t="str" cm="1">
        <f t="array" ref="N1374">IFERROR(_xlfn.XLOOKUP(C1374&amp;A1374, ESPN!A:A&amp;ESPN!C:C, ESPN!H:H), "N/A")</f>
        <v>N/A</v>
      </c>
      <c r="O1374" s="26" t="str" cm="1">
        <f t="array" ref="O1374">IFERROR(_xlfn.XLOOKUP(C1374&amp;A1374, ESPN!A:A&amp;ESPN!C:C, ESPN!I:I), "N/A")</f>
        <v>N/A</v>
      </c>
      <c r="P1374" s="26" t="str" cm="1">
        <f t="array" ref="P1374">IFERROR(_xlfn.XLOOKUP(C1374&amp;A1374, ESPN!A:A&amp;ESPN!C:C, ESPN!J:J), "N/A")</f>
        <v>N/A</v>
      </c>
      <c r="Q1374" s="26" t="str" cm="1">
        <f t="array" ref="Q1374">IFERROR(_xlfn.XLOOKUP(C1374&amp;A1374, ESPN!A:A&amp;ESPN!C:C, ESPN!K:K), "N/A")</f>
        <v>N/A</v>
      </c>
    </row>
    <row r="1375" spans="1:17" x14ac:dyDescent="0.45">
      <c r="A1375" s="7">
        <v>2018</v>
      </c>
      <c r="B1375" s="3" t="s">
        <v>730</v>
      </c>
      <c r="C1375" s="4" t="str">
        <f t="shared" si="42"/>
        <v>Charcandrick West</v>
      </c>
      <c r="D1375" s="4" t="str">
        <f t="shared" si="43"/>
        <v>KC</v>
      </c>
      <c r="E1375" s="4">
        <v>3</v>
      </c>
      <c r="F1375" s="12">
        <v>3</v>
      </c>
      <c r="G1375" s="11">
        <v>2</v>
      </c>
      <c r="H1375" s="11">
        <v>37</v>
      </c>
      <c r="I1375" s="11">
        <v>18.5</v>
      </c>
      <c r="J1375" s="11">
        <v>1</v>
      </c>
      <c r="K1375" s="11">
        <v>0</v>
      </c>
      <c r="L1375" s="11" t="str" cm="1">
        <f t="array" ref="L1375">IFERROR(_xlfn.XLOOKUP(C1375&amp;A1375, ESPN!A:A&amp;ESPN!C:C, ESPN!D:D), "N/A")</f>
        <v>N/A</v>
      </c>
      <c r="M1375" s="23" t="str" cm="1">
        <f t="array" ref="M1375">IFERROR(_xlfn.XLOOKUP(C1375&amp;A1375, ESPN!A:A&amp;ESPN!C:C, ESPN!G:G), "N/A")</f>
        <v>N/A</v>
      </c>
      <c r="N1375" s="23" t="str" cm="1">
        <f t="array" ref="N1375">IFERROR(_xlfn.XLOOKUP(C1375&amp;A1375, ESPN!A:A&amp;ESPN!C:C, ESPN!H:H), "N/A")</f>
        <v>N/A</v>
      </c>
      <c r="O1375" s="26" t="str" cm="1">
        <f t="array" ref="O1375">IFERROR(_xlfn.XLOOKUP(C1375&amp;A1375, ESPN!A:A&amp;ESPN!C:C, ESPN!I:I), "N/A")</f>
        <v>N/A</v>
      </c>
      <c r="P1375" s="26" t="str" cm="1">
        <f t="array" ref="P1375">IFERROR(_xlfn.XLOOKUP(C1375&amp;A1375, ESPN!A:A&amp;ESPN!C:C, ESPN!J:J), "N/A")</f>
        <v>N/A</v>
      </c>
      <c r="Q1375" s="26" t="str" cm="1">
        <f t="array" ref="Q1375">IFERROR(_xlfn.XLOOKUP(C1375&amp;A1375, ESPN!A:A&amp;ESPN!C:C, ESPN!K:K), "N/A")</f>
        <v>N/A</v>
      </c>
    </row>
    <row r="1376" spans="1:17" x14ac:dyDescent="0.45">
      <c r="A1376" s="6">
        <v>2018</v>
      </c>
      <c r="B1376" s="1" t="s">
        <v>139</v>
      </c>
      <c r="C1376" s="2" t="str">
        <f t="shared" si="42"/>
        <v>C.J. Ham</v>
      </c>
      <c r="D1376" s="2" t="str">
        <f t="shared" si="43"/>
        <v>MIN</v>
      </c>
      <c r="E1376" s="2">
        <v>15</v>
      </c>
      <c r="F1376" s="12">
        <v>15</v>
      </c>
      <c r="G1376" s="11">
        <v>11</v>
      </c>
      <c r="H1376" s="11">
        <v>85</v>
      </c>
      <c r="I1376" s="11">
        <v>7.7</v>
      </c>
      <c r="J1376" s="11">
        <v>0</v>
      </c>
      <c r="K1376" s="11">
        <v>0</v>
      </c>
      <c r="L1376" s="11" t="str" cm="1">
        <f t="array" ref="L1376">IFERROR(_xlfn.XLOOKUP(C1376&amp;A1376, ESPN!A:A&amp;ESPN!C:C, ESPN!D:D), "N/A")</f>
        <v>N/A</v>
      </c>
      <c r="M1376" s="23" t="str" cm="1">
        <f t="array" ref="M1376">IFERROR(_xlfn.XLOOKUP(C1376&amp;A1376, ESPN!A:A&amp;ESPN!C:C, ESPN!G:G), "N/A")</f>
        <v>N/A</v>
      </c>
      <c r="N1376" s="23" t="str" cm="1">
        <f t="array" ref="N1376">IFERROR(_xlfn.XLOOKUP(C1376&amp;A1376, ESPN!A:A&amp;ESPN!C:C, ESPN!H:H), "N/A")</f>
        <v>N/A</v>
      </c>
      <c r="O1376" s="26" t="str" cm="1">
        <f t="array" ref="O1376">IFERROR(_xlfn.XLOOKUP(C1376&amp;A1376, ESPN!A:A&amp;ESPN!C:C, ESPN!I:I), "N/A")</f>
        <v>N/A</v>
      </c>
      <c r="P1376" s="26" t="str" cm="1">
        <f t="array" ref="P1376">IFERROR(_xlfn.XLOOKUP(C1376&amp;A1376, ESPN!A:A&amp;ESPN!C:C, ESPN!J:J), "N/A")</f>
        <v>N/A</v>
      </c>
      <c r="Q1376" s="26" t="str" cm="1">
        <f t="array" ref="Q1376">IFERROR(_xlfn.XLOOKUP(C1376&amp;A1376, ESPN!A:A&amp;ESPN!C:C, ESPN!K:K), "N/A")</f>
        <v>N/A</v>
      </c>
    </row>
    <row r="1377" spans="1:17" x14ac:dyDescent="0.45">
      <c r="A1377" s="7">
        <v>2018</v>
      </c>
      <c r="B1377" s="3" t="s">
        <v>606</v>
      </c>
      <c r="C1377" s="4" t="str">
        <f t="shared" si="42"/>
        <v>Devonta Freeman</v>
      </c>
      <c r="D1377" s="4" t="str">
        <f t="shared" si="43"/>
        <v>ATL</v>
      </c>
      <c r="E1377" s="4">
        <v>2</v>
      </c>
      <c r="F1377" s="12">
        <v>7</v>
      </c>
      <c r="G1377" s="11">
        <v>5</v>
      </c>
      <c r="H1377" s="11">
        <v>23</v>
      </c>
      <c r="I1377" s="11">
        <v>4.5999999999999996</v>
      </c>
      <c r="J1377" s="11">
        <v>0</v>
      </c>
      <c r="K1377" s="11">
        <v>0</v>
      </c>
      <c r="L1377" s="11" t="str" cm="1">
        <f t="array" ref="L1377">IFERROR(_xlfn.XLOOKUP(C1377&amp;A1377, ESPN!A:A&amp;ESPN!C:C, ESPN!D:D), "N/A")</f>
        <v>N/A</v>
      </c>
      <c r="M1377" s="23" t="str" cm="1">
        <f t="array" ref="M1377">IFERROR(_xlfn.XLOOKUP(C1377&amp;A1377, ESPN!A:A&amp;ESPN!C:C, ESPN!G:G), "N/A")</f>
        <v>N/A</v>
      </c>
      <c r="N1377" s="23" t="str" cm="1">
        <f t="array" ref="N1377">IFERROR(_xlfn.XLOOKUP(C1377&amp;A1377, ESPN!A:A&amp;ESPN!C:C, ESPN!H:H), "N/A")</f>
        <v>N/A</v>
      </c>
      <c r="O1377" s="26" t="str" cm="1">
        <f t="array" ref="O1377">IFERROR(_xlfn.XLOOKUP(C1377&amp;A1377, ESPN!A:A&amp;ESPN!C:C, ESPN!I:I), "N/A")</f>
        <v>N/A</v>
      </c>
      <c r="P1377" s="26" t="str" cm="1">
        <f t="array" ref="P1377">IFERROR(_xlfn.XLOOKUP(C1377&amp;A1377, ESPN!A:A&amp;ESPN!C:C, ESPN!J:J), "N/A")</f>
        <v>N/A</v>
      </c>
      <c r="Q1377" s="26" t="str" cm="1">
        <f t="array" ref="Q1377">IFERROR(_xlfn.XLOOKUP(C1377&amp;A1377, ESPN!A:A&amp;ESPN!C:C, ESPN!K:K), "N/A")</f>
        <v>N/A</v>
      </c>
    </row>
    <row r="1378" spans="1:17" x14ac:dyDescent="0.45">
      <c r="A1378" s="6">
        <v>2018</v>
      </c>
      <c r="B1378" s="1" t="s">
        <v>731</v>
      </c>
      <c r="C1378" s="2" t="str">
        <f t="shared" si="42"/>
        <v>D'Onta Foreman</v>
      </c>
      <c r="D1378" s="2" t="str">
        <f t="shared" si="43"/>
        <v>HOU</v>
      </c>
      <c r="E1378" s="2">
        <v>1</v>
      </c>
      <c r="F1378" s="12">
        <v>2</v>
      </c>
      <c r="G1378" s="11">
        <v>2</v>
      </c>
      <c r="H1378" s="11">
        <v>28</v>
      </c>
      <c r="I1378" s="11">
        <v>14</v>
      </c>
      <c r="J1378" s="11">
        <v>1</v>
      </c>
      <c r="K1378" s="11">
        <v>0</v>
      </c>
      <c r="L1378" s="11" t="str" cm="1">
        <f t="array" ref="L1378">IFERROR(_xlfn.XLOOKUP(C1378&amp;A1378, ESPN!A:A&amp;ESPN!C:C, ESPN!D:D), "N/A")</f>
        <v>N/A</v>
      </c>
      <c r="M1378" s="23" t="str" cm="1">
        <f t="array" ref="M1378">IFERROR(_xlfn.XLOOKUP(C1378&amp;A1378, ESPN!A:A&amp;ESPN!C:C, ESPN!G:G), "N/A")</f>
        <v>N/A</v>
      </c>
      <c r="N1378" s="23" t="str" cm="1">
        <f t="array" ref="N1378">IFERROR(_xlfn.XLOOKUP(C1378&amp;A1378, ESPN!A:A&amp;ESPN!C:C, ESPN!H:H), "N/A")</f>
        <v>N/A</v>
      </c>
      <c r="O1378" s="26" t="str" cm="1">
        <f t="array" ref="O1378">IFERROR(_xlfn.XLOOKUP(C1378&amp;A1378, ESPN!A:A&amp;ESPN!C:C, ESPN!I:I), "N/A")</f>
        <v>N/A</v>
      </c>
      <c r="P1378" s="26" t="str" cm="1">
        <f t="array" ref="P1378">IFERROR(_xlfn.XLOOKUP(C1378&amp;A1378, ESPN!A:A&amp;ESPN!C:C, ESPN!J:J), "N/A")</f>
        <v>N/A</v>
      </c>
      <c r="Q1378" s="26" t="str" cm="1">
        <f t="array" ref="Q1378">IFERROR(_xlfn.XLOOKUP(C1378&amp;A1378, ESPN!A:A&amp;ESPN!C:C, ESPN!K:K), "N/A")</f>
        <v>N/A</v>
      </c>
    </row>
    <row r="1379" spans="1:17" x14ac:dyDescent="0.45">
      <c r="A1379" s="7">
        <v>2018</v>
      </c>
      <c r="B1379" s="3" t="s">
        <v>627</v>
      </c>
      <c r="C1379" s="4" t="str">
        <f t="shared" si="42"/>
        <v>Dontrell Hilliard</v>
      </c>
      <c r="D1379" s="4" t="str">
        <f t="shared" si="43"/>
        <v>CLE</v>
      </c>
      <c r="E1379" s="4">
        <v>11</v>
      </c>
      <c r="F1379" s="12">
        <v>10</v>
      </c>
      <c r="G1379" s="11">
        <v>9</v>
      </c>
      <c r="H1379" s="11">
        <v>105</v>
      </c>
      <c r="I1379" s="11">
        <v>11.7</v>
      </c>
      <c r="J1379" s="11">
        <v>0</v>
      </c>
      <c r="K1379" s="11">
        <v>0</v>
      </c>
      <c r="L1379" s="11" t="str" cm="1">
        <f t="array" ref="L1379">IFERROR(_xlfn.XLOOKUP(C1379&amp;A1379, ESPN!A:A&amp;ESPN!C:C, ESPN!D:D), "N/A")</f>
        <v>N/A</v>
      </c>
      <c r="M1379" s="23" t="str" cm="1">
        <f t="array" ref="M1379">IFERROR(_xlfn.XLOOKUP(C1379&amp;A1379, ESPN!A:A&amp;ESPN!C:C, ESPN!G:G), "N/A")</f>
        <v>N/A</v>
      </c>
      <c r="N1379" s="23" t="str" cm="1">
        <f t="array" ref="N1379">IFERROR(_xlfn.XLOOKUP(C1379&amp;A1379, ESPN!A:A&amp;ESPN!C:C, ESPN!H:H), "N/A")</f>
        <v>N/A</v>
      </c>
      <c r="O1379" s="26" t="str" cm="1">
        <f t="array" ref="O1379">IFERROR(_xlfn.XLOOKUP(C1379&amp;A1379, ESPN!A:A&amp;ESPN!C:C, ESPN!I:I), "N/A")</f>
        <v>N/A</v>
      </c>
      <c r="P1379" s="26" t="str" cm="1">
        <f t="array" ref="P1379">IFERROR(_xlfn.XLOOKUP(C1379&amp;A1379, ESPN!A:A&amp;ESPN!C:C, ESPN!J:J), "N/A")</f>
        <v>N/A</v>
      </c>
      <c r="Q1379" s="26" t="str" cm="1">
        <f t="array" ref="Q1379">IFERROR(_xlfn.XLOOKUP(C1379&amp;A1379, ESPN!A:A&amp;ESPN!C:C, ESPN!K:K), "N/A")</f>
        <v>N/A</v>
      </c>
    </row>
    <row r="1380" spans="1:17" x14ac:dyDescent="0.45">
      <c r="A1380" s="6">
        <v>2018</v>
      </c>
      <c r="B1380" s="1" t="s">
        <v>457</v>
      </c>
      <c r="C1380" s="2" t="str">
        <f t="shared" si="42"/>
        <v>Elijhaa Penny</v>
      </c>
      <c r="D1380" s="2" t="str">
        <f t="shared" si="43"/>
        <v>NYG</v>
      </c>
      <c r="E1380" s="2">
        <v>14</v>
      </c>
      <c r="F1380" s="12">
        <v>9</v>
      </c>
      <c r="G1380" s="11">
        <v>8</v>
      </c>
      <c r="H1380" s="11">
        <v>50</v>
      </c>
      <c r="I1380" s="11">
        <v>6.3</v>
      </c>
      <c r="J1380" s="11">
        <v>0</v>
      </c>
      <c r="K1380" s="11">
        <v>0</v>
      </c>
      <c r="L1380" s="11" t="str" cm="1">
        <f t="array" ref="L1380">IFERROR(_xlfn.XLOOKUP(C1380&amp;A1380, ESPN!A:A&amp;ESPN!C:C, ESPN!D:D), "N/A")</f>
        <v>N/A</v>
      </c>
      <c r="M1380" s="23" t="str" cm="1">
        <f t="array" ref="M1380">IFERROR(_xlfn.XLOOKUP(C1380&amp;A1380, ESPN!A:A&amp;ESPN!C:C, ESPN!G:G), "N/A")</f>
        <v>N/A</v>
      </c>
      <c r="N1380" s="23" t="str" cm="1">
        <f t="array" ref="N1380">IFERROR(_xlfn.XLOOKUP(C1380&amp;A1380, ESPN!A:A&amp;ESPN!C:C, ESPN!H:H), "N/A")</f>
        <v>N/A</v>
      </c>
      <c r="O1380" s="26" t="str" cm="1">
        <f t="array" ref="O1380">IFERROR(_xlfn.XLOOKUP(C1380&amp;A1380, ESPN!A:A&amp;ESPN!C:C, ESPN!I:I), "N/A")</f>
        <v>N/A</v>
      </c>
      <c r="P1380" s="26" t="str" cm="1">
        <f t="array" ref="P1380">IFERROR(_xlfn.XLOOKUP(C1380&amp;A1380, ESPN!A:A&amp;ESPN!C:C, ESPN!J:J), "N/A")</f>
        <v>N/A</v>
      </c>
      <c r="Q1380" s="26" t="str" cm="1">
        <f t="array" ref="Q1380">IFERROR(_xlfn.XLOOKUP(C1380&amp;A1380, ESPN!A:A&amp;ESPN!C:C, ESPN!K:K), "N/A")</f>
        <v>N/A</v>
      </c>
    </row>
    <row r="1381" spans="1:17" x14ac:dyDescent="0.45">
      <c r="A1381" s="7">
        <v>2018</v>
      </c>
      <c r="B1381" s="3" t="s">
        <v>732</v>
      </c>
      <c r="C1381" s="4" t="str">
        <f t="shared" si="42"/>
        <v>Mark Walton</v>
      </c>
      <c r="D1381" s="4" t="str">
        <f t="shared" si="43"/>
        <v>CIN</v>
      </c>
      <c r="E1381" s="4">
        <v>14</v>
      </c>
      <c r="F1381" s="12">
        <v>8</v>
      </c>
      <c r="G1381" s="11">
        <v>5</v>
      </c>
      <c r="H1381" s="11">
        <v>41</v>
      </c>
      <c r="I1381" s="11">
        <v>8.1999999999999993</v>
      </c>
      <c r="J1381" s="11">
        <v>0</v>
      </c>
      <c r="K1381" s="11">
        <v>0</v>
      </c>
      <c r="L1381" s="11" t="str" cm="1">
        <f t="array" ref="L1381">IFERROR(_xlfn.XLOOKUP(C1381&amp;A1381, ESPN!A:A&amp;ESPN!C:C, ESPN!D:D), "N/A")</f>
        <v>N/A</v>
      </c>
      <c r="M1381" s="23" t="str" cm="1">
        <f t="array" ref="M1381">IFERROR(_xlfn.XLOOKUP(C1381&amp;A1381, ESPN!A:A&amp;ESPN!C:C, ESPN!G:G), "N/A")</f>
        <v>N/A</v>
      </c>
      <c r="N1381" s="23" t="str" cm="1">
        <f t="array" ref="N1381">IFERROR(_xlfn.XLOOKUP(C1381&amp;A1381, ESPN!A:A&amp;ESPN!C:C, ESPN!H:H), "N/A")</f>
        <v>N/A</v>
      </c>
      <c r="O1381" s="26" t="str" cm="1">
        <f t="array" ref="O1381">IFERROR(_xlfn.XLOOKUP(C1381&amp;A1381, ESPN!A:A&amp;ESPN!C:C, ESPN!I:I), "N/A")</f>
        <v>N/A</v>
      </c>
      <c r="P1381" s="26" t="str" cm="1">
        <f t="array" ref="P1381">IFERROR(_xlfn.XLOOKUP(C1381&amp;A1381, ESPN!A:A&amp;ESPN!C:C, ESPN!J:J), "N/A")</f>
        <v>N/A</v>
      </c>
      <c r="Q1381" s="26" t="str" cm="1">
        <f t="array" ref="Q1381">IFERROR(_xlfn.XLOOKUP(C1381&amp;A1381, ESPN!A:A&amp;ESPN!C:C, ESPN!K:K), "N/A")</f>
        <v>N/A</v>
      </c>
    </row>
    <row r="1382" spans="1:17" x14ac:dyDescent="0.45">
      <c r="A1382" s="6">
        <v>2018</v>
      </c>
      <c r="B1382" s="1" t="s">
        <v>733</v>
      </c>
      <c r="C1382" s="2" t="str">
        <f t="shared" si="42"/>
        <v>Kenjon Barner</v>
      </c>
      <c r="D1382" s="2" t="str">
        <f t="shared" si="43"/>
        <v>CAR</v>
      </c>
      <c r="E1382" s="2">
        <v>9</v>
      </c>
      <c r="F1382" s="12">
        <v>1</v>
      </c>
      <c r="G1382" s="11">
        <v>1</v>
      </c>
      <c r="H1382" s="11">
        <v>3</v>
      </c>
      <c r="I1382" s="11">
        <v>3</v>
      </c>
      <c r="J1382" s="11">
        <v>0</v>
      </c>
      <c r="K1382" s="11">
        <v>0</v>
      </c>
      <c r="L1382" s="11" t="str" cm="1">
        <f t="array" ref="L1382">IFERROR(_xlfn.XLOOKUP(C1382&amp;A1382, ESPN!A:A&amp;ESPN!C:C, ESPN!D:D), "N/A")</f>
        <v>N/A</v>
      </c>
      <c r="M1382" s="23" t="str" cm="1">
        <f t="array" ref="M1382">IFERROR(_xlfn.XLOOKUP(C1382&amp;A1382, ESPN!A:A&amp;ESPN!C:C, ESPN!G:G), "N/A")</f>
        <v>N/A</v>
      </c>
      <c r="N1382" s="23" t="str" cm="1">
        <f t="array" ref="N1382">IFERROR(_xlfn.XLOOKUP(C1382&amp;A1382, ESPN!A:A&amp;ESPN!C:C, ESPN!H:H), "N/A")</f>
        <v>N/A</v>
      </c>
      <c r="O1382" s="26" t="str" cm="1">
        <f t="array" ref="O1382">IFERROR(_xlfn.XLOOKUP(C1382&amp;A1382, ESPN!A:A&amp;ESPN!C:C, ESPN!I:I), "N/A")</f>
        <v>N/A</v>
      </c>
      <c r="P1382" s="26" t="str" cm="1">
        <f t="array" ref="P1382">IFERROR(_xlfn.XLOOKUP(C1382&amp;A1382, ESPN!A:A&amp;ESPN!C:C, ESPN!J:J), "N/A")</f>
        <v>N/A</v>
      </c>
      <c r="Q1382" s="26" t="str" cm="1">
        <f t="array" ref="Q1382">IFERROR(_xlfn.XLOOKUP(C1382&amp;A1382, ESPN!A:A&amp;ESPN!C:C, ESPN!K:K), "N/A")</f>
        <v>N/A</v>
      </c>
    </row>
    <row r="1383" spans="1:17" x14ac:dyDescent="0.45">
      <c r="A1383" s="7">
        <v>2018</v>
      </c>
      <c r="B1383" s="3" t="s">
        <v>646</v>
      </c>
      <c r="C1383" s="4" t="str">
        <f t="shared" si="42"/>
        <v>Patrick DiMarco</v>
      </c>
      <c r="D1383" s="4" t="str">
        <f t="shared" si="43"/>
        <v>BUF</v>
      </c>
      <c r="E1383" s="4">
        <v>16</v>
      </c>
      <c r="F1383" s="12">
        <v>4</v>
      </c>
      <c r="G1383" s="11">
        <v>3</v>
      </c>
      <c r="H1383" s="11">
        <v>62</v>
      </c>
      <c r="I1383" s="11">
        <v>20.7</v>
      </c>
      <c r="J1383" s="11">
        <v>0</v>
      </c>
      <c r="K1383" s="11">
        <v>0</v>
      </c>
      <c r="L1383" s="11" t="str" cm="1">
        <f t="array" ref="L1383">IFERROR(_xlfn.XLOOKUP(C1383&amp;A1383, ESPN!A:A&amp;ESPN!C:C, ESPN!D:D), "N/A")</f>
        <v>N/A</v>
      </c>
      <c r="M1383" s="23" t="str" cm="1">
        <f t="array" ref="M1383">IFERROR(_xlfn.XLOOKUP(C1383&amp;A1383, ESPN!A:A&amp;ESPN!C:C, ESPN!G:G), "N/A")</f>
        <v>N/A</v>
      </c>
      <c r="N1383" s="23" t="str" cm="1">
        <f t="array" ref="N1383">IFERROR(_xlfn.XLOOKUP(C1383&amp;A1383, ESPN!A:A&amp;ESPN!C:C, ESPN!H:H), "N/A")</f>
        <v>N/A</v>
      </c>
      <c r="O1383" s="26" t="str" cm="1">
        <f t="array" ref="O1383">IFERROR(_xlfn.XLOOKUP(C1383&amp;A1383, ESPN!A:A&amp;ESPN!C:C, ESPN!I:I), "N/A")</f>
        <v>N/A</v>
      </c>
      <c r="P1383" s="26" t="str" cm="1">
        <f t="array" ref="P1383">IFERROR(_xlfn.XLOOKUP(C1383&amp;A1383, ESPN!A:A&amp;ESPN!C:C, ESPN!J:J), "N/A")</f>
        <v>N/A</v>
      </c>
      <c r="Q1383" s="26" t="str" cm="1">
        <f t="array" ref="Q1383">IFERROR(_xlfn.XLOOKUP(C1383&amp;A1383, ESPN!A:A&amp;ESPN!C:C, ESPN!K:K), "N/A")</f>
        <v>N/A</v>
      </c>
    </row>
    <row r="1384" spans="1:17" x14ac:dyDescent="0.45">
      <c r="A1384" s="6">
        <v>2018</v>
      </c>
      <c r="B1384" s="1" t="s">
        <v>693</v>
      </c>
      <c r="C1384" s="2" t="str">
        <f t="shared" si="42"/>
        <v>Detrez Newsome</v>
      </c>
      <c r="D1384" s="2" t="str">
        <f t="shared" si="43"/>
        <v>LAC</v>
      </c>
      <c r="E1384" s="2">
        <v>9</v>
      </c>
      <c r="F1384" s="12">
        <v>2</v>
      </c>
      <c r="G1384" s="11">
        <v>2</v>
      </c>
      <c r="H1384" s="11">
        <v>19</v>
      </c>
      <c r="I1384" s="11">
        <v>9.5</v>
      </c>
      <c r="J1384" s="11">
        <v>0</v>
      </c>
      <c r="K1384" s="11">
        <v>0</v>
      </c>
      <c r="L1384" s="11" t="str" cm="1">
        <f t="array" ref="L1384">IFERROR(_xlfn.XLOOKUP(C1384&amp;A1384, ESPN!A:A&amp;ESPN!C:C, ESPN!D:D), "N/A")</f>
        <v>N/A</v>
      </c>
      <c r="M1384" s="23" t="str" cm="1">
        <f t="array" ref="M1384">IFERROR(_xlfn.XLOOKUP(C1384&amp;A1384, ESPN!A:A&amp;ESPN!C:C, ESPN!G:G), "N/A")</f>
        <v>N/A</v>
      </c>
      <c r="N1384" s="23" t="str" cm="1">
        <f t="array" ref="N1384">IFERROR(_xlfn.XLOOKUP(C1384&amp;A1384, ESPN!A:A&amp;ESPN!C:C, ESPN!H:H), "N/A")</f>
        <v>N/A</v>
      </c>
      <c r="O1384" s="26" t="str" cm="1">
        <f t="array" ref="O1384">IFERROR(_xlfn.XLOOKUP(C1384&amp;A1384, ESPN!A:A&amp;ESPN!C:C, ESPN!I:I), "N/A")</f>
        <v>N/A</v>
      </c>
      <c r="P1384" s="26" t="str" cm="1">
        <f t="array" ref="P1384">IFERROR(_xlfn.XLOOKUP(C1384&amp;A1384, ESPN!A:A&amp;ESPN!C:C, ESPN!J:J), "N/A")</f>
        <v>N/A</v>
      </c>
      <c r="Q1384" s="26" t="str" cm="1">
        <f t="array" ref="Q1384">IFERROR(_xlfn.XLOOKUP(C1384&amp;A1384, ESPN!A:A&amp;ESPN!C:C, ESPN!K:K), "N/A")</f>
        <v>N/A</v>
      </c>
    </row>
    <row r="1385" spans="1:17" x14ac:dyDescent="0.45">
      <c r="A1385" s="7">
        <v>2018</v>
      </c>
      <c r="B1385" s="3" t="s">
        <v>734</v>
      </c>
      <c r="C1385" s="4" t="str">
        <f t="shared" si="42"/>
        <v>Ryan Hewitt</v>
      </c>
      <c r="D1385" s="4" t="str">
        <f t="shared" si="43"/>
        <v>IND</v>
      </c>
      <c r="E1385" s="4">
        <v>12</v>
      </c>
      <c r="F1385" s="12">
        <v>2</v>
      </c>
      <c r="G1385" s="11">
        <v>1</v>
      </c>
      <c r="H1385" s="11">
        <v>1</v>
      </c>
      <c r="I1385" s="11">
        <v>1</v>
      </c>
      <c r="J1385" s="11">
        <v>1</v>
      </c>
      <c r="K1385" s="11">
        <v>0</v>
      </c>
      <c r="L1385" s="11" t="str" cm="1">
        <f t="array" ref="L1385">IFERROR(_xlfn.XLOOKUP(C1385&amp;A1385, ESPN!A:A&amp;ESPN!C:C, ESPN!D:D), "N/A")</f>
        <v>N/A</v>
      </c>
      <c r="M1385" s="23" t="str" cm="1">
        <f t="array" ref="M1385">IFERROR(_xlfn.XLOOKUP(C1385&amp;A1385, ESPN!A:A&amp;ESPN!C:C, ESPN!G:G), "N/A")</f>
        <v>N/A</v>
      </c>
      <c r="N1385" s="23" t="str" cm="1">
        <f t="array" ref="N1385">IFERROR(_xlfn.XLOOKUP(C1385&amp;A1385, ESPN!A:A&amp;ESPN!C:C, ESPN!H:H), "N/A")</f>
        <v>N/A</v>
      </c>
      <c r="O1385" s="26" t="str" cm="1">
        <f t="array" ref="O1385">IFERROR(_xlfn.XLOOKUP(C1385&amp;A1385, ESPN!A:A&amp;ESPN!C:C, ESPN!I:I), "N/A")</f>
        <v>N/A</v>
      </c>
      <c r="P1385" s="26" t="str" cm="1">
        <f t="array" ref="P1385">IFERROR(_xlfn.XLOOKUP(C1385&amp;A1385, ESPN!A:A&amp;ESPN!C:C, ESPN!J:J), "N/A")</f>
        <v>N/A</v>
      </c>
      <c r="Q1385" s="26" t="str" cm="1">
        <f t="array" ref="Q1385">IFERROR(_xlfn.XLOOKUP(C1385&amp;A1385, ESPN!A:A&amp;ESPN!C:C, ESPN!K:K), "N/A")</f>
        <v>N/A</v>
      </c>
    </row>
    <row r="1386" spans="1:17" x14ac:dyDescent="0.45">
      <c r="A1386" s="6">
        <v>2018</v>
      </c>
      <c r="B1386" s="1" t="s">
        <v>735</v>
      </c>
      <c r="C1386" s="2" t="str">
        <f t="shared" si="42"/>
        <v>Roc Thomas</v>
      </c>
      <c r="D1386" s="2" t="str">
        <f t="shared" si="43"/>
        <v>MIN</v>
      </c>
      <c r="E1386" s="2">
        <v>5</v>
      </c>
      <c r="F1386" s="12">
        <v>4</v>
      </c>
      <c r="G1386" s="11">
        <v>2</v>
      </c>
      <c r="H1386" s="11">
        <v>21</v>
      </c>
      <c r="I1386" s="11">
        <v>10.5</v>
      </c>
      <c r="J1386" s="11">
        <v>0</v>
      </c>
      <c r="K1386" s="11">
        <v>0</v>
      </c>
      <c r="L1386" s="11" t="str" cm="1">
        <f t="array" ref="L1386">IFERROR(_xlfn.XLOOKUP(C1386&amp;A1386, ESPN!A:A&amp;ESPN!C:C, ESPN!D:D), "N/A")</f>
        <v>N/A</v>
      </c>
      <c r="M1386" s="23" t="str" cm="1">
        <f t="array" ref="M1386">IFERROR(_xlfn.XLOOKUP(C1386&amp;A1386, ESPN!A:A&amp;ESPN!C:C, ESPN!G:G), "N/A")</f>
        <v>N/A</v>
      </c>
      <c r="N1386" s="23" t="str" cm="1">
        <f t="array" ref="N1386">IFERROR(_xlfn.XLOOKUP(C1386&amp;A1386, ESPN!A:A&amp;ESPN!C:C, ESPN!H:H), "N/A")</f>
        <v>N/A</v>
      </c>
      <c r="O1386" s="26" t="str" cm="1">
        <f t="array" ref="O1386">IFERROR(_xlfn.XLOOKUP(C1386&amp;A1386, ESPN!A:A&amp;ESPN!C:C, ESPN!I:I), "N/A")</f>
        <v>N/A</v>
      </c>
      <c r="P1386" s="26" t="str" cm="1">
        <f t="array" ref="P1386">IFERROR(_xlfn.XLOOKUP(C1386&amp;A1386, ESPN!A:A&amp;ESPN!C:C, ESPN!J:J), "N/A")</f>
        <v>N/A</v>
      </c>
      <c r="Q1386" s="26" t="str" cm="1">
        <f t="array" ref="Q1386">IFERROR(_xlfn.XLOOKUP(C1386&amp;A1386, ESPN!A:A&amp;ESPN!C:C, ESPN!K:K), "N/A")</f>
        <v>N/A</v>
      </c>
    </row>
    <row r="1387" spans="1:17" x14ac:dyDescent="0.45">
      <c r="A1387" s="7">
        <v>2018</v>
      </c>
      <c r="B1387" s="3" t="s">
        <v>565</v>
      </c>
      <c r="C1387" s="4" t="str">
        <f t="shared" si="42"/>
        <v>Mike Boone</v>
      </c>
      <c r="D1387" s="4" t="str">
        <f t="shared" si="43"/>
        <v>MIN</v>
      </c>
      <c r="E1387" s="4">
        <v>8</v>
      </c>
      <c r="F1387" s="12">
        <v>3</v>
      </c>
      <c r="G1387" s="11">
        <v>2</v>
      </c>
      <c r="H1387" s="11">
        <v>1</v>
      </c>
      <c r="I1387" s="11">
        <v>0.5</v>
      </c>
      <c r="J1387" s="11">
        <v>0</v>
      </c>
      <c r="K1387" s="11">
        <v>0</v>
      </c>
      <c r="L1387" s="11" t="str" cm="1">
        <f t="array" ref="L1387">IFERROR(_xlfn.XLOOKUP(C1387&amp;A1387, ESPN!A:A&amp;ESPN!C:C, ESPN!D:D), "N/A")</f>
        <v>N/A</v>
      </c>
      <c r="M1387" s="23" t="str" cm="1">
        <f t="array" ref="M1387">IFERROR(_xlfn.XLOOKUP(C1387&amp;A1387, ESPN!A:A&amp;ESPN!C:C, ESPN!G:G), "N/A")</f>
        <v>N/A</v>
      </c>
      <c r="N1387" s="23" t="str" cm="1">
        <f t="array" ref="N1387">IFERROR(_xlfn.XLOOKUP(C1387&amp;A1387, ESPN!A:A&amp;ESPN!C:C, ESPN!H:H), "N/A")</f>
        <v>N/A</v>
      </c>
      <c r="O1387" s="26" t="str" cm="1">
        <f t="array" ref="O1387">IFERROR(_xlfn.XLOOKUP(C1387&amp;A1387, ESPN!A:A&amp;ESPN!C:C, ESPN!I:I), "N/A")</f>
        <v>N/A</v>
      </c>
      <c r="P1387" s="26" t="str" cm="1">
        <f t="array" ref="P1387">IFERROR(_xlfn.XLOOKUP(C1387&amp;A1387, ESPN!A:A&amp;ESPN!C:C, ESPN!J:J), "N/A")</f>
        <v>N/A</v>
      </c>
      <c r="Q1387" s="26" t="str" cm="1">
        <f t="array" ref="Q1387">IFERROR(_xlfn.XLOOKUP(C1387&amp;A1387, ESPN!A:A&amp;ESPN!C:C, ESPN!K:K), "N/A")</f>
        <v>N/A</v>
      </c>
    </row>
    <row r="1388" spans="1:17" x14ac:dyDescent="0.45">
      <c r="A1388" s="6">
        <v>2018</v>
      </c>
      <c r="B1388" s="1" t="s">
        <v>663</v>
      </c>
      <c r="C1388" s="2" t="str">
        <f t="shared" si="42"/>
        <v>Roosevelt Nix</v>
      </c>
      <c r="D1388" s="2" t="str">
        <f t="shared" si="43"/>
        <v>PIT</v>
      </c>
      <c r="E1388" s="2">
        <v>16</v>
      </c>
      <c r="F1388" s="12">
        <v>6</v>
      </c>
      <c r="G1388" s="11">
        <v>4</v>
      </c>
      <c r="H1388" s="11">
        <v>38</v>
      </c>
      <c r="I1388" s="11">
        <v>9.5</v>
      </c>
      <c r="J1388" s="11">
        <v>0</v>
      </c>
      <c r="K1388" s="11">
        <v>0</v>
      </c>
      <c r="L1388" s="11" t="str" cm="1">
        <f t="array" ref="L1388">IFERROR(_xlfn.XLOOKUP(C1388&amp;A1388, ESPN!A:A&amp;ESPN!C:C, ESPN!D:D), "N/A")</f>
        <v>N/A</v>
      </c>
      <c r="M1388" s="23" t="str" cm="1">
        <f t="array" ref="M1388">IFERROR(_xlfn.XLOOKUP(C1388&amp;A1388, ESPN!A:A&amp;ESPN!C:C, ESPN!G:G), "N/A")</f>
        <v>N/A</v>
      </c>
      <c r="N1388" s="23" t="str" cm="1">
        <f t="array" ref="N1388">IFERROR(_xlfn.XLOOKUP(C1388&amp;A1388, ESPN!A:A&amp;ESPN!C:C, ESPN!H:H), "N/A")</f>
        <v>N/A</v>
      </c>
      <c r="O1388" s="26" t="str" cm="1">
        <f t="array" ref="O1388">IFERROR(_xlfn.XLOOKUP(C1388&amp;A1388, ESPN!A:A&amp;ESPN!C:C, ESPN!I:I), "N/A")</f>
        <v>N/A</v>
      </c>
      <c r="P1388" s="26" t="str" cm="1">
        <f t="array" ref="P1388">IFERROR(_xlfn.XLOOKUP(C1388&amp;A1388, ESPN!A:A&amp;ESPN!C:C, ESPN!J:J), "N/A")</f>
        <v>N/A</v>
      </c>
      <c r="Q1388" s="26" t="str" cm="1">
        <f t="array" ref="Q1388">IFERROR(_xlfn.XLOOKUP(C1388&amp;A1388, ESPN!A:A&amp;ESPN!C:C, ESPN!K:K), "N/A")</f>
        <v>N/A</v>
      </c>
    </row>
    <row r="1389" spans="1:17" x14ac:dyDescent="0.45">
      <c r="A1389" s="7">
        <v>2018</v>
      </c>
      <c r="B1389" s="3" t="s">
        <v>736</v>
      </c>
      <c r="C1389" s="4" t="str">
        <f t="shared" si="42"/>
        <v>Tommy Bohanon</v>
      </c>
      <c r="D1389" s="4" t="str">
        <f t="shared" si="43"/>
        <v>JAC</v>
      </c>
      <c r="E1389" s="4">
        <v>16</v>
      </c>
      <c r="F1389" s="12">
        <v>9</v>
      </c>
      <c r="G1389" s="11">
        <v>6</v>
      </c>
      <c r="H1389" s="11">
        <v>41</v>
      </c>
      <c r="I1389" s="11">
        <v>6.8</v>
      </c>
      <c r="J1389" s="11">
        <v>0</v>
      </c>
      <c r="K1389" s="11">
        <v>0</v>
      </c>
      <c r="L1389" s="11" t="str" cm="1">
        <f t="array" ref="L1389">IFERROR(_xlfn.XLOOKUP(C1389&amp;A1389, ESPN!A:A&amp;ESPN!C:C, ESPN!D:D), "N/A")</f>
        <v>N/A</v>
      </c>
      <c r="M1389" s="23" t="str" cm="1">
        <f t="array" ref="M1389">IFERROR(_xlfn.XLOOKUP(C1389&amp;A1389, ESPN!A:A&amp;ESPN!C:C, ESPN!G:G), "N/A")</f>
        <v>N/A</v>
      </c>
      <c r="N1389" s="23" t="str" cm="1">
        <f t="array" ref="N1389">IFERROR(_xlfn.XLOOKUP(C1389&amp;A1389, ESPN!A:A&amp;ESPN!C:C, ESPN!H:H), "N/A")</f>
        <v>N/A</v>
      </c>
      <c r="O1389" s="26" t="str" cm="1">
        <f t="array" ref="O1389">IFERROR(_xlfn.XLOOKUP(C1389&amp;A1389, ESPN!A:A&amp;ESPN!C:C, ESPN!I:I), "N/A")</f>
        <v>N/A</v>
      </c>
      <c r="P1389" s="26" t="str" cm="1">
        <f t="array" ref="P1389">IFERROR(_xlfn.XLOOKUP(C1389&amp;A1389, ESPN!A:A&amp;ESPN!C:C, ESPN!J:J), "N/A")</f>
        <v>N/A</v>
      </c>
      <c r="Q1389" s="26" t="str" cm="1">
        <f t="array" ref="Q1389">IFERROR(_xlfn.XLOOKUP(C1389&amp;A1389, ESPN!A:A&amp;ESPN!C:C, ESPN!K:K), "N/A")</f>
        <v>N/A</v>
      </c>
    </row>
    <row r="1390" spans="1:17" x14ac:dyDescent="0.45">
      <c r="A1390" s="6">
        <v>2018</v>
      </c>
      <c r="B1390" s="1" t="s">
        <v>737</v>
      </c>
      <c r="C1390" s="2" t="str">
        <f t="shared" si="42"/>
        <v>Byron Marshall</v>
      </c>
      <c r="D1390" s="2" t="str">
        <f t="shared" si="43"/>
        <v>WAS</v>
      </c>
      <c r="E1390" s="2">
        <v>6</v>
      </c>
      <c r="F1390" s="12">
        <v>6</v>
      </c>
      <c r="G1390" s="11">
        <v>4</v>
      </c>
      <c r="H1390" s="11">
        <v>30</v>
      </c>
      <c r="I1390" s="11">
        <v>7.5</v>
      </c>
      <c r="J1390" s="11">
        <v>0</v>
      </c>
      <c r="K1390" s="11">
        <v>0</v>
      </c>
      <c r="L1390" s="11" t="str" cm="1">
        <f t="array" ref="L1390">IFERROR(_xlfn.XLOOKUP(C1390&amp;A1390, ESPN!A:A&amp;ESPN!C:C, ESPN!D:D), "N/A")</f>
        <v>N/A</v>
      </c>
      <c r="M1390" s="23" t="str" cm="1">
        <f t="array" ref="M1390">IFERROR(_xlfn.XLOOKUP(C1390&amp;A1390, ESPN!A:A&amp;ESPN!C:C, ESPN!G:G), "N/A")</f>
        <v>N/A</v>
      </c>
      <c r="N1390" s="23" t="str" cm="1">
        <f t="array" ref="N1390">IFERROR(_xlfn.XLOOKUP(C1390&amp;A1390, ESPN!A:A&amp;ESPN!C:C, ESPN!H:H), "N/A")</f>
        <v>N/A</v>
      </c>
      <c r="O1390" s="26" t="str" cm="1">
        <f t="array" ref="O1390">IFERROR(_xlfn.XLOOKUP(C1390&amp;A1390, ESPN!A:A&amp;ESPN!C:C, ESPN!I:I), "N/A")</f>
        <v>N/A</v>
      </c>
      <c r="P1390" s="26" t="str" cm="1">
        <f t="array" ref="P1390">IFERROR(_xlfn.XLOOKUP(C1390&amp;A1390, ESPN!A:A&amp;ESPN!C:C, ESPN!J:J), "N/A")</f>
        <v>N/A</v>
      </c>
      <c r="Q1390" s="26" t="str" cm="1">
        <f t="array" ref="Q1390">IFERROR(_xlfn.XLOOKUP(C1390&amp;A1390, ESPN!A:A&amp;ESPN!C:C, ESPN!K:K), "N/A")</f>
        <v>N/A</v>
      </c>
    </row>
    <row r="1391" spans="1:17" x14ac:dyDescent="0.45">
      <c r="A1391" s="7">
        <v>2018</v>
      </c>
      <c r="B1391" s="3" t="s">
        <v>738</v>
      </c>
      <c r="C1391" s="4" t="str">
        <f t="shared" si="42"/>
        <v>T.J. Logan</v>
      </c>
      <c r="D1391" s="4" t="str">
        <f t="shared" si="43"/>
        <v>ARI</v>
      </c>
      <c r="E1391" s="4">
        <v>10</v>
      </c>
      <c r="F1391" s="12">
        <v>7</v>
      </c>
      <c r="G1391" s="11">
        <v>7</v>
      </c>
      <c r="H1391" s="11">
        <v>37</v>
      </c>
      <c r="I1391" s="11">
        <v>5.3</v>
      </c>
      <c r="J1391" s="11">
        <v>0</v>
      </c>
      <c r="K1391" s="11">
        <v>0</v>
      </c>
      <c r="L1391" s="11" t="str" cm="1">
        <f t="array" ref="L1391">IFERROR(_xlfn.XLOOKUP(C1391&amp;A1391, ESPN!A:A&amp;ESPN!C:C, ESPN!D:D), "N/A")</f>
        <v>N/A</v>
      </c>
      <c r="M1391" s="23" t="str" cm="1">
        <f t="array" ref="M1391">IFERROR(_xlfn.XLOOKUP(C1391&amp;A1391, ESPN!A:A&amp;ESPN!C:C, ESPN!G:G), "N/A")</f>
        <v>N/A</v>
      </c>
      <c r="N1391" s="23" t="str" cm="1">
        <f t="array" ref="N1391">IFERROR(_xlfn.XLOOKUP(C1391&amp;A1391, ESPN!A:A&amp;ESPN!C:C, ESPN!H:H), "N/A")</f>
        <v>N/A</v>
      </c>
      <c r="O1391" s="26" t="str" cm="1">
        <f t="array" ref="O1391">IFERROR(_xlfn.XLOOKUP(C1391&amp;A1391, ESPN!A:A&amp;ESPN!C:C, ESPN!I:I), "N/A")</f>
        <v>N/A</v>
      </c>
      <c r="P1391" s="26" t="str" cm="1">
        <f t="array" ref="P1391">IFERROR(_xlfn.XLOOKUP(C1391&amp;A1391, ESPN!A:A&amp;ESPN!C:C, ESPN!J:J), "N/A")</f>
        <v>N/A</v>
      </c>
      <c r="Q1391" s="26" t="str" cm="1">
        <f t="array" ref="Q1391">IFERROR(_xlfn.XLOOKUP(C1391&amp;A1391, ESPN!A:A&amp;ESPN!C:C, ESPN!K:K), "N/A")</f>
        <v>N/A</v>
      </c>
    </row>
    <row r="1392" spans="1:17" x14ac:dyDescent="0.45">
      <c r="A1392" s="6">
        <v>2018</v>
      </c>
      <c r="B1392" s="1" t="s">
        <v>687</v>
      </c>
      <c r="C1392" s="2" t="str">
        <f t="shared" si="42"/>
        <v>Tre Madden</v>
      </c>
      <c r="D1392" s="2" t="str">
        <f t="shared" si="43"/>
        <v>SEA</v>
      </c>
      <c r="E1392" s="2">
        <v>14</v>
      </c>
      <c r="F1392" s="12">
        <v>3</v>
      </c>
      <c r="G1392" s="11">
        <v>2</v>
      </c>
      <c r="H1392" s="11">
        <v>35</v>
      </c>
      <c r="I1392" s="11">
        <v>17.5</v>
      </c>
      <c r="J1392" s="11">
        <v>0</v>
      </c>
      <c r="K1392" s="11">
        <v>0</v>
      </c>
      <c r="L1392" s="11" t="str" cm="1">
        <f t="array" ref="L1392">IFERROR(_xlfn.XLOOKUP(C1392&amp;A1392, ESPN!A:A&amp;ESPN!C:C, ESPN!D:D), "N/A")</f>
        <v>N/A</v>
      </c>
      <c r="M1392" s="23" t="str" cm="1">
        <f t="array" ref="M1392">IFERROR(_xlfn.XLOOKUP(C1392&amp;A1392, ESPN!A:A&amp;ESPN!C:C, ESPN!G:G), "N/A")</f>
        <v>N/A</v>
      </c>
      <c r="N1392" s="23" t="str" cm="1">
        <f t="array" ref="N1392">IFERROR(_xlfn.XLOOKUP(C1392&amp;A1392, ESPN!A:A&amp;ESPN!C:C, ESPN!H:H), "N/A")</f>
        <v>N/A</v>
      </c>
      <c r="O1392" s="26" t="str" cm="1">
        <f t="array" ref="O1392">IFERROR(_xlfn.XLOOKUP(C1392&amp;A1392, ESPN!A:A&amp;ESPN!C:C, ESPN!I:I), "N/A")</f>
        <v>N/A</v>
      </c>
      <c r="P1392" s="26" t="str" cm="1">
        <f t="array" ref="P1392">IFERROR(_xlfn.XLOOKUP(C1392&amp;A1392, ESPN!A:A&amp;ESPN!C:C, ESPN!J:J), "N/A")</f>
        <v>N/A</v>
      </c>
      <c r="Q1392" s="26" t="str" cm="1">
        <f t="array" ref="Q1392">IFERROR(_xlfn.XLOOKUP(C1392&amp;A1392, ESPN!A:A&amp;ESPN!C:C, ESPN!K:K), "N/A")</f>
        <v>N/A</v>
      </c>
    </row>
    <row r="1393" spans="1:17" x14ac:dyDescent="0.45">
      <c r="A1393" s="7">
        <v>2018</v>
      </c>
      <c r="B1393" s="3" t="s">
        <v>739</v>
      </c>
      <c r="C1393" s="4" t="str">
        <f t="shared" si="42"/>
        <v>Samaje Perine</v>
      </c>
      <c r="D1393" s="4" t="str">
        <f t="shared" si="43"/>
        <v>WAS</v>
      </c>
      <c r="E1393" s="4">
        <v>5</v>
      </c>
      <c r="F1393" s="12">
        <v>4</v>
      </c>
      <c r="G1393" s="11">
        <v>3</v>
      </c>
      <c r="H1393" s="11">
        <v>5</v>
      </c>
      <c r="I1393" s="11">
        <v>1.7</v>
      </c>
      <c r="J1393" s="11">
        <v>0</v>
      </c>
      <c r="K1393" s="11">
        <v>0</v>
      </c>
      <c r="L1393" s="11" t="str" cm="1">
        <f t="array" ref="L1393">IFERROR(_xlfn.XLOOKUP(C1393&amp;A1393, ESPN!A:A&amp;ESPN!C:C, ESPN!D:D), "N/A")</f>
        <v>N/A</v>
      </c>
      <c r="M1393" s="23" t="str" cm="1">
        <f t="array" ref="M1393">IFERROR(_xlfn.XLOOKUP(C1393&amp;A1393, ESPN!A:A&amp;ESPN!C:C, ESPN!G:G), "N/A")</f>
        <v>N/A</v>
      </c>
      <c r="N1393" s="23" t="str" cm="1">
        <f t="array" ref="N1393">IFERROR(_xlfn.XLOOKUP(C1393&amp;A1393, ESPN!A:A&amp;ESPN!C:C, ESPN!H:H), "N/A")</f>
        <v>N/A</v>
      </c>
      <c r="O1393" s="26" t="str" cm="1">
        <f t="array" ref="O1393">IFERROR(_xlfn.XLOOKUP(C1393&amp;A1393, ESPN!A:A&amp;ESPN!C:C, ESPN!I:I), "N/A")</f>
        <v>N/A</v>
      </c>
      <c r="P1393" s="26" t="str" cm="1">
        <f t="array" ref="P1393">IFERROR(_xlfn.XLOOKUP(C1393&amp;A1393, ESPN!A:A&amp;ESPN!C:C, ESPN!J:J), "N/A")</f>
        <v>N/A</v>
      </c>
      <c r="Q1393" s="26" t="str" cm="1">
        <f t="array" ref="Q1393">IFERROR(_xlfn.XLOOKUP(C1393&amp;A1393, ESPN!A:A&amp;ESPN!C:C, ESPN!K:K), "N/A")</f>
        <v>N/A</v>
      </c>
    </row>
    <row r="1394" spans="1:17" x14ac:dyDescent="0.45">
      <c r="A1394" s="6">
        <v>2018</v>
      </c>
      <c r="B1394" s="1" t="s">
        <v>740</v>
      </c>
      <c r="C1394" s="2" t="str">
        <f t="shared" si="42"/>
        <v>David Williams</v>
      </c>
      <c r="D1394" s="2" t="str">
        <f t="shared" si="43"/>
        <v>JAC</v>
      </c>
      <c r="E1394" s="2">
        <v>6</v>
      </c>
      <c r="F1394" s="12">
        <v>0</v>
      </c>
      <c r="G1394" s="11">
        <v>0</v>
      </c>
      <c r="H1394" s="11">
        <v>0</v>
      </c>
      <c r="I1394" s="11">
        <v>0</v>
      </c>
      <c r="J1394" s="11">
        <v>0</v>
      </c>
      <c r="K1394" s="11">
        <v>0</v>
      </c>
      <c r="L1394" s="11" t="str" cm="1">
        <f t="array" ref="L1394">IFERROR(_xlfn.XLOOKUP(C1394&amp;A1394, ESPN!A:A&amp;ESPN!C:C, ESPN!D:D), "N/A")</f>
        <v>N/A</v>
      </c>
      <c r="M1394" s="23" t="str" cm="1">
        <f t="array" ref="M1394">IFERROR(_xlfn.XLOOKUP(C1394&amp;A1394, ESPN!A:A&amp;ESPN!C:C, ESPN!G:G), "N/A")</f>
        <v>N/A</v>
      </c>
      <c r="N1394" s="23" t="str" cm="1">
        <f t="array" ref="N1394">IFERROR(_xlfn.XLOOKUP(C1394&amp;A1394, ESPN!A:A&amp;ESPN!C:C, ESPN!H:H), "N/A")</f>
        <v>N/A</v>
      </c>
      <c r="O1394" s="26" t="str" cm="1">
        <f t="array" ref="O1394">IFERROR(_xlfn.XLOOKUP(C1394&amp;A1394, ESPN!A:A&amp;ESPN!C:C, ESPN!I:I), "N/A")</f>
        <v>N/A</v>
      </c>
      <c r="P1394" s="26" t="str" cm="1">
        <f t="array" ref="P1394">IFERROR(_xlfn.XLOOKUP(C1394&amp;A1394, ESPN!A:A&amp;ESPN!C:C, ESPN!J:J), "N/A")</f>
        <v>N/A</v>
      </c>
      <c r="Q1394" s="26" t="str" cm="1">
        <f t="array" ref="Q1394">IFERROR(_xlfn.XLOOKUP(C1394&amp;A1394, ESPN!A:A&amp;ESPN!C:C, ESPN!K:K), "N/A")</f>
        <v>N/A</v>
      </c>
    </row>
    <row r="1395" spans="1:17" x14ac:dyDescent="0.45">
      <c r="A1395" s="7">
        <v>2018</v>
      </c>
      <c r="B1395" s="3" t="s">
        <v>741</v>
      </c>
      <c r="C1395" s="4" t="str">
        <f t="shared" si="42"/>
        <v>Tyler Ervin</v>
      </c>
      <c r="D1395" s="4" t="str">
        <f t="shared" si="43"/>
        <v>HOU</v>
      </c>
      <c r="E1395" s="4">
        <v>9</v>
      </c>
      <c r="F1395" s="12">
        <v>4</v>
      </c>
      <c r="G1395" s="11">
        <v>3</v>
      </c>
      <c r="H1395" s="11">
        <v>35</v>
      </c>
      <c r="I1395" s="11">
        <v>11.7</v>
      </c>
      <c r="J1395" s="11">
        <v>0</v>
      </c>
      <c r="K1395" s="11">
        <v>0</v>
      </c>
      <c r="L1395" s="11" t="str" cm="1">
        <f t="array" ref="L1395">IFERROR(_xlfn.XLOOKUP(C1395&amp;A1395, ESPN!A:A&amp;ESPN!C:C, ESPN!D:D), "N/A")</f>
        <v>N/A</v>
      </c>
      <c r="M1395" s="23" t="str" cm="1">
        <f t="array" ref="M1395">IFERROR(_xlfn.XLOOKUP(C1395&amp;A1395, ESPN!A:A&amp;ESPN!C:C, ESPN!G:G), "N/A")</f>
        <v>N/A</v>
      </c>
      <c r="N1395" s="23" t="str" cm="1">
        <f t="array" ref="N1395">IFERROR(_xlfn.XLOOKUP(C1395&amp;A1395, ESPN!A:A&amp;ESPN!C:C, ESPN!H:H), "N/A")</f>
        <v>N/A</v>
      </c>
      <c r="O1395" s="26" t="str" cm="1">
        <f t="array" ref="O1395">IFERROR(_xlfn.XLOOKUP(C1395&amp;A1395, ESPN!A:A&amp;ESPN!C:C, ESPN!I:I), "N/A")</f>
        <v>N/A</v>
      </c>
      <c r="P1395" s="26" t="str" cm="1">
        <f t="array" ref="P1395">IFERROR(_xlfn.XLOOKUP(C1395&amp;A1395, ESPN!A:A&amp;ESPN!C:C, ESPN!J:J), "N/A")</f>
        <v>N/A</v>
      </c>
      <c r="Q1395" s="26" t="str" cm="1">
        <f t="array" ref="Q1395">IFERROR(_xlfn.XLOOKUP(C1395&amp;A1395, ESPN!A:A&amp;ESPN!C:C, ESPN!K:K), "N/A")</f>
        <v>N/A</v>
      </c>
    </row>
    <row r="1396" spans="1:17" x14ac:dyDescent="0.45">
      <c r="A1396" s="6">
        <v>2018</v>
      </c>
      <c r="B1396" s="1" t="s">
        <v>742</v>
      </c>
      <c r="C1396" s="2" t="str">
        <f t="shared" si="42"/>
        <v>Shaun Wilson</v>
      </c>
      <c r="D1396" s="2" t="str">
        <f t="shared" si="43"/>
        <v>TB</v>
      </c>
      <c r="E1396" s="2">
        <v>5</v>
      </c>
      <c r="F1396" s="12">
        <v>5</v>
      </c>
      <c r="G1396" s="11">
        <v>3</v>
      </c>
      <c r="H1396" s="11">
        <v>5</v>
      </c>
      <c r="I1396" s="11">
        <v>1.7</v>
      </c>
      <c r="J1396" s="11">
        <v>0</v>
      </c>
      <c r="K1396" s="11">
        <v>0</v>
      </c>
      <c r="L1396" s="11" t="str" cm="1">
        <f t="array" ref="L1396">IFERROR(_xlfn.XLOOKUP(C1396&amp;A1396, ESPN!A:A&amp;ESPN!C:C, ESPN!D:D), "N/A")</f>
        <v>N/A</v>
      </c>
      <c r="M1396" s="23" t="str" cm="1">
        <f t="array" ref="M1396">IFERROR(_xlfn.XLOOKUP(C1396&amp;A1396, ESPN!A:A&amp;ESPN!C:C, ESPN!G:G), "N/A")</f>
        <v>N/A</v>
      </c>
      <c r="N1396" s="23" t="str" cm="1">
        <f t="array" ref="N1396">IFERROR(_xlfn.XLOOKUP(C1396&amp;A1396, ESPN!A:A&amp;ESPN!C:C, ESPN!H:H), "N/A")</f>
        <v>N/A</v>
      </c>
      <c r="O1396" s="26" t="str" cm="1">
        <f t="array" ref="O1396">IFERROR(_xlfn.XLOOKUP(C1396&amp;A1396, ESPN!A:A&amp;ESPN!C:C, ESPN!I:I), "N/A")</f>
        <v>N/A</v>
      </c>
      <c r="P1396" s="26" t="str" cm="1">
        <f t="array" ref="P1396">IFERROR(_xlfn.XLOOKUP(C1396&amp;A1396, ESPN!A:A&amp;ESPN!C:C, ESPN!J:J), "N/A")</f>
        <v>N/A</v>
      </c>
      <c r="Q1396" s="26" t="str" cm="1">
        <f t="array" ref="Q1396">IFERROR(_xlfn.XLOOKUP(C1396&amp;A1396, ESPN!A:A&amp;ESPN!C:C, ESPN!K:K), "N/A")</f>
        <v>N/A</v>
      </c>
    </row>
    <row r="1397" spans="1:17" x14ac:dyDescent="0.45">
      <c r="A1397" s="7">
        <v>2018</v>
      </c>
      <c r="B1397" s="3" t="s">
        <v>675</v>
      </c>
      <c r="C1397" s="4" t="str">
        <f t="shared" si="42"/>
        <v>Mike Gillislee</v>
      </c>
      <c r="D1397" s="4" t="str">
        <f t="shared" si="43"/>
        <v>NO</v>
      </c>
      <c r="E1397" s="4">
        <v>4</v>
      </c>
      <c r="F1397" s="12">
        <v>1</v>
      </c>
      <c r="G1397" s="11">
        <v>1</v>
      </c>
      <c r="H1397" s="11">
        <v>9</v>
      </c>
      <c r="I1397" s="11">
        <v>9</v>
      </c>
      <c r="J1397" s="11">
        <v>0</v>
      </c>
      <c r="K1397" s="11">
        <v>1</v>
      </c>
      <c r="L1397" s="11" t="str" cm="1">
        <f t="array" ref="L1397">IFERROR(_xlfn.XLOOKUP(C1397&amp;A1397, ESPN!A:A&amp;ESPN!C:C, ESPN!D:D), "N/A")</f>
        <v>N/A</v>
      </c>
      <c r="M1397" s="23" t="str" cm="1">
        <f t="array" ref="M1397">IFERROR(_xlfn.XLOOKUP(C1397&amp;A1397, ESPN!A:A&amp;ESPN!C:C, ESPN!G:G), "N/A")</f>
        <v>N/A</v>
      </c>
      <c r="N1397" s="23" t="str" cm="1">
        <f t="array" ref="N1397">IFERROR(_xlfn.XLOOKUP(C1397&amp;A1397, ESPN!A:A&amp;ESPN!C:C, ESPN!H:H), "N/A")</f>
        <v>N/A</v>
      </c>
      <c r="O1397" s="26" t="str" cm="1">
        <f t="array" ref="O1397">IFERROR(_xlfn.XLOOKUP(C1397&amp;A1397, ESPN!A:A&amp;ESPN!C:C, ESPN!I:I), "N/A")</f>
        <v>N/A</v>
      </c>
      <c r="P1397" s="26" t="str" cm="1">
        <f t="array" ref="P1397">IFERROR(_xlfn.XLOOKUP(C1397&amp;A1397, ESPN!A:A&amp;ESPN!C:C, ESPN!J:J), "N/A")</f>
        <v>N/A</v>
      </c>
      <c r="Q1397" s="26" t="str" cm="1">
        <f t="array" ref="Q1397">IFERROR(_xlfn.XLOOKUP(C1397&amp;A1397, ESPN!A:A&amp;ESPN!C:C, ESPN!K:K), "N/A")</f>
        <v>N/A</v>
      </c>
    </row>
    <row r="1398" spans="1:17" x14ac:dyDescent="0.45">
      <c r="A1398" s="6">
        <v>2018</v>
      </c>
      <c r="B1398" s="1" t="s">
        <v>678</v>
      </c>
      <c r="C1398" s="2" t="str">
        <f t="shared" si="42"/>
        <v>Jeremy Hill</v>
      </c>
      <c r="D1398" s="2" t="str">
        <f t="shared" si="43"/>
        <v>NE</v>
      </c>
      <c r="E1398" s="2">
        <v>1</v>
      </c>
      <c r="F1398" s="12">
        <v>1</v>
      </c>
      <c r="G1398" s="11">
        <v>1</v>
      </c>
      <c r="H1398" s="11">
        <v>6</v>
      </c>
      <c r="I1398" s="11">
        <v>6</v>
      </c>
      <c r="J1398" s="11">
        <v>0</v>
      </c>
      <c r="K1398" s="11">
        <v>0</v>
      </c>
      <c r="L1398" s="11" t="str" cm="1">
        <f t="array" ref="L1398">IFERROR(_xlfn.XLOOKUP(C1398&amp;A1398, ESPN!A:A&amp;ESPN!C:C, ESPN!D:D), "N/A")</f>
        <v>N/A</v>
      </c>
      <c r="M1398" s="23" t="str" cm="1">
        <f t="array" ref="M1398">IFERROR(_xlfn.XLOOKUP(C1398&amp;A1398, ESPN!A:A&amp;ESPN!C:C, ESPN!G:G), "N/A")</f>
        <v>N/A</v>
      </c>
      <c r="N1398" s="23" t="str" cm="1">
        <f t="array" ref="N1398">IFERROR(_xlfn.XLOOKUP(C1398&amp;A1398, ESPN!A:A&amp;ESPN!C:C, ESPN!H:H), "N/A")</f>
        <v>N/A</v>
      </c>
      <c r="O1398" s="26" t="str" cm="1">
        <f t="array" ref="O1398">IFERROR(_xlfn.XLOOKUP(C1398&amp;A1398, ESPN!A:A&amp;ESPN!C:C, ESPN!I:I), "N/A")</f>
        <v>N/A</v>
      </c>
      <c r="P1398" s="26" t="str" cm="1">
        <f t="array" ref="P1398">IFERROR(_xlfn.XLOOKUP(C1398&amp;A1398, ESPN!A:A&amp;ESPN!C:C, ESPN!J:J), "N/A")</f>
        <v>N/A</v>
      </c>
      <c r="Q1398" s="26" t="str" cm="1">
        <f t="array" ref="Q1398">IFERROR(_xlfn.XLOOKUP(C1398&amp;A1398, ESPN!A:A&amp;ESPN!C:C, ESPN!K:K), "N/A")</f>
        <v>N/A</v>
      </c>
    </row>
    <row r="1399" spans="1:17" x14ac:dyDescent="0.45">
      <c r="A1399" s="7">
        <v>2018</v>
      </c>
      <c r="B1399" s="3" t="s">
        <v>743</v>
      </c>
      <c r="C1399" s="4" t="str">
        <f t="shared" si="42"/>
        <v>Benny Cunningham Jr.</v>
      </c>
      <c r="D1399" s="4" t="str">
        <f t="shared" si="43"/>
        <v>CHI</v>
      </c>
      <c r="E1399" s="4">
        <v>15</v>
      </c>
      <c r="F1399" s="12">
        <v>2</v>
      </c>
      <c r="G1399" s="11">
        <v>1</v>
      </c>
      <c r="H1399" s="11">
        <v>9</v>
      </c>
      <c r="I1399" s="11">
        <v>9</v>
      </c>
      <c r="J1399" s="11">
        <v>0</v>
      </c>
      <c r="K1399" s="11">
        <v>0</v>
      </c>
      <c r="L1399" s="11" t="str" cm="1">
        <f t="array" ref="L1399">IFERROR(_xlfn.XLOOKUP(C1399&amp;A1399, ESPN!A:A&amp;ESPN!C:C, ESPN!D:D), "N/A")</f>
        <v>N/A</v>
      </c>
      <c r="M1399" s="23" t="str" cm="1">
        <f t="array" ref="M1399">IFERROR(_xlfn.XLOOKUP(C1399&amp;A1399, ESPN!A:A&amp;ESPN!C:C, ESPN!G:G), "N/A")</f>
        <v>N/A</v>
      </c>
      <c r="N1399" s="23" t="str" cm="1">
        <f t="array" ref="N1399">IFERROR(_xlfn.XLOOKUP(C1399&amp;A1399, ESPN!A:A&amp;ESPN!C:C, ESPN!H:H), "N/A")</f>
        <v>N/A</v>
      </c>
      <c r="O1399" s="26" t="str" cm="1">
        <f t="array" ref="O1399">IFERROR(_xlfn.XLOOKUP(C1399&amp;A1399, ESPN!A:A&amp;ESPN!C:C, ESPN!I:I), "N/A")</f>
        <v>N/A</v>
      </c>
      <c r="P1399" s="26" t="str" cm="1">
        <f t="array" ref="P1399">IFERROR(_xlfn.XLOOKUP(C1399&amp;A1399, ESPN!A:A&amp;ESPN!C:C, ESPN!J:J), "N/A")</f>
        <v>N/A</v>
      </c>
      <c r="Q1399" s="26" t="str" cm="1">
        <f t="array" ref="Q1399">IFERROR(_xlfn.XLOOKUP(C1399&amp;A1399, ESPN!A:A&amp;ESPN!C:C, ESPN!K:K), "N/A")</f>
        <v>N/A</v>
      </c>
    </row>
    <row r="1400" spans="1:17" x14ac:dyDescent="0.45">
      <c r="A1400" s="6">
        <v>2018</v>
      </c>
      <c r="B1400" s="1" t="s">
        <v>681</v>
      </c>
      <c r="C1400" s="2" t="str">
        <f t="shared" si="42"/>
        <v>Jeremy Langford</v>
      </c>
      <c r="D1400" s="2" t="str">
        <f t="shared" si="43"/>
        <v>ATL</v>
      </c>
      <c r="E1400" s="2">
        <v>1</v>
      </c>
      <c r="F1400" s="12">
        <v>0</v>
      </c>
      <c r="G1400" s="11">
        <v>0</v>
      </c>
      <c r="H1400" s="11">
        <v>0</v>
      </c>
      <c r="I1400" s="11">
        <v>0</v>
      </c>
      <c r="J1400" s="11">
        <v>0</v>
      </c>
      <c r="K1400" s="11">
        <v>0</v>
      </c>
      <c r="L1400" s="11" t="str" cm="1">
        <f t="array" ref="L1400">IFERROR(_xlfn.XLOOKUP(C1400&amp;A1400, ESPN!A:A&amp;ESPN!C:C, ESPN!D:D), "N/A")</f>
        <v>N/A</v>
      </c>
      <c r="M1400" s="23" t="str" cm="1">
        <f t="array" ref="M1400">IFERROR(_xlfn.XLOOKUP(C1400&amp;A1400, ESPN!A:A&amp;ESPN!C:C, ESPN!G:G), "N/A")</f>
        <v>N/A</v>
      </c>
      <c r="N1400" s="23" t="str" cm="1">
        <f t="array" ref="N1400">IFERROR(_xlfn.XLOOKUP(C1400&amp;A1400, ESPN!A:A&amp;ESPN!C:C, ESPN!H:H), "N/A")</f>
        <v>N/A</v>
      </c>
      <c r="O1400" s="26" t="str" cm="1">
        <f t="array" ref="O1400">IFERROR(_xlfn.XLOOKUP(C1400&amp;A1400, ESPN!A:A&amp;ESPN!C:C, ESPN!I:I), "N/A")</f>
        <v>N/A</v>
      </c>
      <c r="P1400" s="26" t="str" cm="1">
        <f t="array" ref="P1400">IFERROR(_xlfn.XLOOKUP(C1400&amp;A1400, ESPN!A:A&amp;ESPN!C:C, ESPN!J:J), "N/A")</f>
        <v>N/A</v>
      </c>
      <c r="Q1400" s="26" t="str" cm="1">
        <f t="array" ref="Q1400">IFERROR(_xlfn.XLOOKUP(C1400&amp;A1400, ESPN!A:A&amp;ESPN!C:C, ESPN!K:K), "N/A")</f>
        <v>N/A</v>
      </c>
    </row>
    <row r="1401" spans="1:17" x14ac:dyDescent="0.45">
      <c r="A1401" s="7">
        <v>2018</v>
      </c>
      <c r="B1401" s="3" t="s">
        <v>744</v>
      </c>
      <c r="C1401" s="4" t="str">
        <f t="shared" si="42"/>
        <v>Keith Smith</v>
      </c>
      <c r="D1401" s="4" t="str">
        <f t="shared" si="43"/>
        <v>OAK</v>
      </c>
      <c r="E1401" s="4">
        <v>16</v>
      </c>
      <c r="F1401" s="12">
        <v>7</v>
      </c>
      <c r="G1401" s="11">
        <v>5</v>
      </c>
      <c r="H1401" s="11">
        <v>23</v>
      </c>
      <c r="I1401" s="11">
        <v>4.5999999999999996</v>
      </c>
      <c r="J1401" s="11">
        <v>0</v>
      </c>
      <c r="K1401" s="11">
        <v>0</v>
      </c>
      <c r="L1401" s="11" t="str" cm="1">
        <f t="array" ref="L1401">IFERROR(_xlfn.XLOOKUP(C1401&amp;A1401, ESPN!A:A&amp;ESPN!C:C, ESPN!D:D), "N/A")</f>
        <v>N/A</v>
      </c>
      <c r="M1401" s="23" t="str" cm="1">
        <f t="array" ref="M1401">IFERROR(_xlfn.XLOOKUP(C1401&amp;A1401, ESPN!A:A&amp;ESPN!C:C, ESPN!G:G), "N/A")</f>
        <v>N/A</v>
      </c>
      <c r="N1401" s="23" t="str" cm="1">
        <f t="array" ref="N1401">IFERROR(_xlfn.XLOOKUP(C1401&amp;A1401, ESPN!A:A&amp;ESPN!C:C, ESPN!H:H), "N/A")</f>
        <v>N/A</v>
      </c>
      <c r="O1401" s="26" t="str" cm="1">
        <f t="array" ref="O1401">IFERROR(_xlfn.XLOOKUP(C1401&amp;A1401, ESPN!A:A&amp;ESPN!C:C, ESPN!I:I), "N/A")</f>
        <v>N/A</v>
      </c>
      <c r="P1401" s="26" t="str" cm="1">
        <f t="array" ref="P1401">IFERROR(_xlfn.XLOOKUP(C1401&amp;A1401, ESPN!A:A&amp;ESPN!C:C, ESPN!J:J), "N/A")</f>
        <v>N/A</v>
      </c>
      <c r="Q1401" s="26" t="str" cm="1">
        <f t="array" ref="Q1401">IFERROR(_xlfn.XLOOKUP(C1401&amp;A1401, ESPN!A:A&amp;ESPN!C:C, ESPN!K:K), "N/A")</f>
        <v>N/A</v>
      </c>
    </row>
    <row r="1402" spans="1:17" x14ac:dyDescent="0.45">
      <c r="A1402" s="6">
        <v>2018</v>
      </c>
      <c r="B1402" s="1" t="s">
        <v>673</v>
      </c>
      <c r="C1402" s="2" t="str">
        <f t="shared" si="42"/>
        <v>Travaris Cadet</v>
      </c>
      <c r="D1402" s="2" t="str">
        <f t="shared" si="43"/>
        <v>CAR</v>
      </c>
      <c r="E1402" s="2">
        <v>1</v>
      </c>
      <c r="F1402" s="12">
        <v>1</v>
      </c>
      <c r="G1402" s="11">
        <v>1</v>
      </c>
      <c r="H1402" s="11">
        <v>5</v>
      </c>
      <c r="I1402" s="11">
        <v>5</v>
      </c>
      <c r="J1402" s="11">
        <v>0</v>
      </c>
      <c r="K1402" s="11">
        <v>0</v>
      </c>
      <c r="L1402" s="11" t="str" cm="1">
        <f t="array" ref="L1402">IFERROR(_xlfn.XLOOKUP(C1402&amp;A1402, ESPN!A:A&amp;ESPN!C:C, ESPN!D:D), "N/A")</f>
        <v>N/A</v>
      </c>
      <c r="M1402" s="23" t="str" cm="1">
        <f t="array" ref="M1402">IFERROR(_xlfn.XLOOKUP(C1402&amp;A1402, ESPN!A:A&amp;ESPN!C:C, ESPN!G:G), "N/A")</f>
        <v>N/A</v>
      </c>
      <c r="N1402" s="23" t="str" cm="1">
        <f t="array" ref="N1402">IFERROR(_xlfn.XLOOKUP(C1402&amp;A1402, ESPN!A:A&amp;ESPN!C:C, ESPN!H:H), "N/A")</f>
        <v>N/A</v>
      </c>
      <c r="O1402" s="26" t="str" cm="1">
        <f t="array" ref="O1402">IFERROR(_xlfn.XLOOKUP(C1402&amp;A1402, ESPN!A:A&amp;ESPN!C:C, ESPN!I:I), "N/A")</f>
        <v>N/A</v>
      </c>
      <c r="P1402" s="26" t="str" cm="1">
        <f t="array" ref="P1402">IFERROR(_xlfn.XLOOKUP(C1402&amp;A1402, ESPN!A:A&amp;ESPN!C:C, ESPN!J:J), "N/A")</f>
        <v>N/A</v>
      </c>
      <c r="Q1402" s="26" t="str" cm="1">
        <f t="array" ref="Q1402">IFERROR(_xlfn.XLOOKUP(C1402&amp;A1402, ESPN!A:A&amp;ESPN!C:C, ESPN!K:K), "N/A")</f>
        <v>N/A</v>
      </c>
    </row>
    <row r="1403" spans="1:17" x14ac:dyDescent="0.45">
      <c r="A1403" s="7">
        <v>2018</v>
      </c>
      <c r="B1403" s="3" t="s">
        <v>745</v>
      </c>
      <c r="C1403" s="4" t="str">
        <f t="shared" si="42"/>
        <v>De'Lance Turner</v>
      </c>
      <c r="D1403" s="4" t="str">
        <f t="shared" si="43"/>
        <v>BAL</v>
      </c>
      <c r="E1403" s="4">
        <v>4</v>
      </c>
      <c r="F1403" s="12">
        <v>2</v>
      </c>
      <c r="G1403" s="11">
        <v>2</v>
      </c>
      <c r="H1403" s="11">
        <v>17</v>
      </c>
      <c r="I1403" s="11">
        <v>8.5</v>
      </c>
      <c r="J1403" s="11">
        <v>0</v>
      </c>
      <c r="K1403" s="11">
        <v>0</v>
      </c>
      <c r="L1403" s="11" t="str" cm="1">
        <f t="array" ref="L1403">IFERROR(_xlfn.XLOOKUP(C1403&amp;A1403, ESPN!A:A&amp;ESPN!C:C, ESPN!D:D), "N/A")</f>
        <v>N/A</v>
      </c>
      <c r="M1403" s="23" t="str" cm="1">
        <f t="array" ref="M1403">IFERROR(_xlfn.XLOOKUP(C1403&amp;A1403, ESPN!A:A&amp;ESPN!C:C, ESPN!G:G), "N/A")</f>
        <v>N/A</v>
      </c>
      <c r="N1403" s="23" t="str" cm="1">
        <f t="array" ref="N1403">IFERROR(_xlfn.XLOOKUP(C1403&amp;A1403, ESPN!A:A&amp;ESPN!C:C, ESPN!H:H), "N/A")</f>
        <v>N/A</v>
      </c>
      <c r="O1403" s="26" t="str" cm="1">
        <f t="array" ref="O1403">IFERROR(_xlfn.XLOOKUP(C1403&amp;A1403, ESPN!A:A&amp;ESPN!C:C, ESPN!I:I), "N/A")</f>
        <v>N/A</v>
      </c>
      <c r="P1403" s="26" t="str" cm="1">
        <f t="array" ref="P1403">IFERROR(_xlfn.XLOOKUP(C1403&amp;A1403, ESPN!A:A&amp;ESPN!C:C, ESPN!J:J), "N/A")</f>
        <v>N/A</v>
      </c>
      <c r="Q1403" s="26" t="str" cm="1">
        <f t="array" ref="Q1403">IFERROR(_xlfn.XLOOKUP(C1403&amp;A1403, ESPN!A:A&amp;ESPN!C:C, ESPN!K:K), "N/A")</f>
        <v>N/A</v>
      </c>
    </row>
    <row r="1404" spans="1:17" x14ac:dyDescent="0.45">
      <c r="A1404" s="6">
        <v>2018</v>
      </c>
      <c r="B1404" s="1" t="s">
        <v>677</v>
      </c>
      <c r="C1404" s="2" t="str">
        <f t="shared" si="42"/>
        <v>Derrick Coleman</v>
      </c>
      <c r="D1404" s="2" t="str">
        <f t="shared" si="43"/>
        <v>ARI</v>
      </c>
      <c r="E1404" s="2">
        <v>16</v>
      </c>
      <c r="F1404" s="12">
        <v>3</v>
      </c>
      <c r="G1404" s="11">
        <v>2</v>
      </c>
      <c r="H1404" s="11">
        <v>17</v>
      </c>
      <c r="I1404" s="11">
        <v>8.5</v>
      </c>
      <c r="J1404" s="11">
        <v>0</v>
      </c>
      <c r="K1404" s="11">
        <v>0</v>
      </c>
      <c r="L1404" s="11" t="str" cm="1">
        <f t="array" ref="L1404">IFERROR(_xlfn.XLOOKUP(C1404&amp;A1404, ESPN!A:A&amp;ESPN!C:C, ESPN!D:D), "N/A")</f>
        <v>N/A</v>
      </c>
      <c r="M1404" s="23" t="str" cm="1">
        <f t="array" ref="M1404">IFERROR(_xlfn.XLOOKUP(C1404&amp;A1404, ESPN!A:A&amp;ESPN!C:C, ESPN!G:G), "N/A")</f>
        <v>N/A</v>
      </c>
      <c r="N1404" s="23" t="str" cm="1">
        <f t="array" ref="N1404">IFERROR(_xlfn.XLOOKUP(C1404&amp;A1404, ESPN!A:A&amp;ESPN!C:C, ESPN!H:H), "N/A")</f>
        <v>N/A</v>
      </c>
      <c r="O1404" s="26" t="str" cm="1">
        <f t="array" ref="O1404">IFERROR(_xlfn.XLOOKUP(C1404&amp;A1404, ESPN!A:A&amp;ESPN!C:C, ESPN!I:I), "N/A")</f>
        <v>N/A</v>
      </c>
      <c r="P1404" s="26" t="str" cm="1">
        <f t="array" ref="P1404">IFERROR(_xlfn.XLOOKUP(C1404&amp;A1404, ESPN!A:A&amp;ESPN!C:C, ESPN!J:J), "N/A")</f>
        <v>N/A</v>
      </c>
      <c r="Q1404" s="26" t="str" cm="1">
        <f t="array" ref="Q1404">IFERROR(_xlfn.XLOOKUP(C1404&amp;A1404, ESPN!A:A&amp;ESPN!C:C, ESPN!K:K), "N/A")</f>
        <v>N/A</v>
      </c>
    </row>
    <row r="1405" spans="1:17" x14ac:dyDescent="0.45">
      <c r="A1405" s="7">
        <v>2018</v>
      </c>
      <c r="B1405" s="3" t="s">
        <v>629</v>
      </c>
      <c r="C1405" s="4" t="str">
        <f t="shared" si="42"/>
        <v>C.J. Prosise</v>
      </c>
      <c r="D1405" s="4" t="str">
        <f t="shared" si="43"/>
        <v>SEA</v>
      </c>
      <c r="E1405" s="4">
        <v>5</v>
      </c>
      <c r="F1405" s="12">
        <v>3</v>
      </c>
      <c r="G1405" s="11">
        <v>3</v>
      </c>
      <c r="H1405" s="11">
        <v>22</v>
      </c>
      <c r="I1405" s="11">
        <v>7.3</v>
      </c>
      <c r="J1405" s="11">
        <v>0</v>
      </c>
      <c r="K1405" s="11">
        <v>0</v>
      </c>
      <c r="L1405" s="11" t="str" cm="1">
        <f t="array" ref="L1405">IFERROR(_xlfn.XLOOKUP(C1405&amp;A1405, ESPN!A:A&amp;ESPN!C:C, ESPN!D:D), "N/A")</f>
        <v>N/A</v>
      </c>
      <c r="M1405" s="23" t="str" cm="1">
        <f t="array" ref="M1405">IFERROR(_xlfn.XLOOKUP(C1405&amp;A1405, ESPN!A:A&amp;ESPN!C:C, ESPN!G:G), "N/A")</f>
        <v>N/A</v>
      </c>
      <c r="N1405" s="23" t="str" cm="1">
        <f t="array" ref="N1405">IFERROR(_xlfn.XLOOKUP(C1405&amp;A1405, ESPN!A:A&amp;ESPN!C:C, ESPN!H:H), "N/A")</f>
        <v>N/A</v>
      </c>
      <c r="O1405" s="26" t="str" cm="1">
        <f t="array" ref="O1405">IFERROR(_xlfn.XLOOKUP(C1405&amp;A1405, ESPN!A:A&amp;ESPN!C:C, ESPN!I:I), "N/A")</f>
        <v>N/A</v>
      </c>
      <c r="P1405" s="26" t="str" cm="1">
        <f t="array" ref="P1405">IFERROR(_xlfn.XLOOKUP(C1405&amp;A1405, ESPN!A:A&amp;ESPN!C:C, ESPN!J:J), "N/A")</f>
        <v>N/A</v>
      </c>
      <c r="Q1405" s="26" t="str" cm="1">
        <f t="array" ref="Q1405">IFERROR(_xlfn.XLOOKUP(C1405&amp;A1405, ESPN!A:A&amp;ESPN!C:C, ESPN!K:K), "N/A")</f>
        <v>N/A</v>
      </c>
    </row>
    <row r="1406" spans="1:17" x14ac:dyDescent="0.45">
      <c r="A1406" s="6">
        <v>2018</v>
      </c>
      <c r="B1406" s="1" t="s">
        <v>690</v>
      </c>
      <c r="C1406" s="2" t="str">
        <f t="shared" si="42"/>
        <v>Justin Davis</v>
      </c>
      <c r="D1406" s="2" t="str">
        <f t="shared" si="43"/>
        <v>LAR</v>
      </c>
      <c r="E1406" s="2">
        <v>11</v>
      </c>
      <c r="F1406" s="12">
        <v>0</v>
      </c>
      <c r="G1406" s="11">
        <v>0</v>
      </c>
      <c r="H1406" s="11">
        <v>0</v>
      </c>
      <c r="I1406" s="11">
        <v>0</v>
      </c>
      <c r="J1406" s="11">
        <v>0</v>
      </c>
      <c r="K1406" s="11">
        <v>0</v>
      </c>
      <c r="L1406" s="11" t="str" cm="1">
        <f t="array" ref="L1406">IFERROR(_xlfn.XLOOKUP(C1406&amp;A1406, ESPN!A:A&amp;ESPN!C:C, ESPN!D:D), "N/A")</f>
        <v>N/A</v>
      </c>
      <c r="M1406" s="23" t="str" cm="1">
        <f t="array" ref="M1406">IFERROR(_xlfn.XLOOKUP(C1406&amp;A1406, ESPN!A:A&amp;ESPN!C:C, ESPN!G:G), "N/A")</f>
        <v>N/A</v>
      </c>
      <c r="N1406" s="23" t="str" cm="1">
        <f t="array" ref="N1406">IFERROR(_xlfn.XLOOKUP(C1406&amp;A1406, ESPN!A:A&amp;ESPN!C:C, ESPN!H:H), "N/A")</f>
        <v>N/A</v>
      </c>
      <c r="O1406" s="26" t="str" cm="1">
        <f t="array" ref="O1406">IFERROR(_xlfn.XLOOKUP(C1406&amp;A1406, ESPN!A:A&amp;ESPN!C:C, ESPN!I:I), "N/A")</f>
        <v>N/A</v>
      </c>
      <c r="P1406" s="26" t="str" cm="1">
        <f t="array" ref="P1406">IFERROR(_xlfn.XLOOKUP(C1406&amp;A1406, ESPN!A:A&amp;ESPN!C:C, ESPN!J:J), "N/A")</f>
        <v>N/A</v>
      </c>
      <c r="Q1406" s="26" t="str" cm="1">
        <f t="array" ref="Q1406">IFERROR(_xlfn.XLOOKUP(C1406&amp;A1406, ESPN!A:A&amp;ESPN!C:C, ESPN!K:K), "N/A")</f>
        <v>N/A</v>
      </c>
    </row>
    <row r="1407" spans="1:17" x14ac:dyDescent="0.45">
      <c r="A1407" s="7">
        <v>2018</v>
      </c>
      <c r="B1407" s="3" t="s">
        <v>666</v>
      </c>
      <c r="C1407" s="4" t="str">
        <f t="shared" si="42"/>
        <v>Jonathan Stewart</v>
      </c>
      <c r="D1407" s="4" t="str">
        <f t="shared" si="43"/>
        <v>NYG</v>
      </c>
      <c r="E1407" s="4">
        <v>3</v>
      </c>
      <c r="F1407" s="12">
        <v>0</v>
      </c>
      <c r="G1407" s="11">
        <v>0</v>
      </c>
      <c r="H1407" s="11">
        <v>0</v>
      </c>
      <c r="I1407" s="11">
        <v>0</v>
      </c>
      <c r="J1407" s="11">
        <v>0</v>
      </c>
      <c r="K1407" s="11">
        <v>0</v>
      </c>
      <c r="L1407" s="11" t="str" cm="1">
        <f t="array" ref="L1407">IFERROR(_xlfn.XLOOKUP(C1407&amp;A1407, ESPN!A:A&amp;ESPN!C:C, ESPN!D:D), "N/A")</f>
        <v>N/A</v>
      </c>
      <c r="M1407" s="23" t="str" cm="1">
        <f t="array" ref="M1407">IFERROR(_xlfn.XLOOKUP(C1407&amp;A1407, ESPN!A:A&amp;ESPN!C:C, ESPN!G:G), "N/A")</f>
        <v>N/A</v>
      </c>
      <c r="N1407" s="23" t="str" cm="1">
        <f t="array" ref="N1407">IFERROR(_xlfn.XLOOKUP(C1407&amp;A1407, ESPN!A:A&amp;ESPN!C:C, ESPN!H:H), "N/A")</f>
        <v>N/A</v>
      </c>
      <c r="O1407" s="26" t="str" cm="1">
        <f t="array" ref="O1407">IFERROR(_xlfn.XLOOKUP(C1407&amp;A1407, ESPN!A:A&amp;ESPN!C:C, ESPN!I:I), "N/A")</f>
        <v>N/A</v>
      </c>
      <c r="P1407" s="26" t="str" cm="1">
        <f t="array" ref="P1407">IFERROR(_xlfn.XLOOKUP(C1407&amp;A1407, ESPN!A:A&amp;ESPN!C:C, ESPN!J:J), "N/A")</f>
        <v>N/A</v>
      </c>
      <c r="Q1407" s="26" t="str" cm="1">
        <f t="array" ref="Q1407">IFERROR(_xlfn.XLOOKUP(C1407&amp;A1407, ESPN!A:A&amp;ESPN!C:C, ESPN!K:K), "N/A")</f>
        <v>N/A</v>
      </c>
    </row>
    <row r="1408" spans="1:17" x14ac:dyDescent="0.45">
      <c r="A1408" s="6">
        <v>2018</v>
      </c>
      <c r="B1408" s="1" t="s">
        <v>679</v>
      </c>
      <c r="C1408" s="2" t="str">
        <f t="shared" si="42"/>
        <v>David Fluellen</v>
      </c>
      <c r="D1408" s="2" t="str">
        <f t="shared" si="43"/>
        <v>TEN</v>
      </c>
      <c r="E1408" s="2">
        <v>7</v>
      </c>
      <c r="F1408" s="12">
        <v>0</v>
      </c>
      <c r="G1408" s="11">
        <v>0</v>
      </c>
      <c r="H1408" s="11">
        <v>0</v>
      </c>
      <c r="I1408" s="11">
        <v>0</v>
      </c>
      <c r="J1408" s="11">
        <v>0</v>
      </c>
      <c r="K1408" s="11">
        <v>0</v>
      </c>
      <c r="L1408" s="11" t="str" cm="1">
        <f t="array" ref="L1408">IFERROR(_xlfn.XLOOKUP(C1408&amp;A1408, ESPN!A:A&amp;ESPN!C:C, ESPN!D:D), "N/A")</f>
        <v>N/A</v>
      </c>
      <c r="M1408" s="23" t="str" cm="1">
        <f t="array" ref="M1408">IFERROR(_xlfn.XLOOKUP(C1408&amp;A1408, ESPN!A:A&amp;ESPN!C:C, ESPN!G:G), "N/A")</f>
        <v>N/A</v>
      </c>
      <c r="N1408" s="23" t="str" cm="1">
        <f t="array" ref="N1408">IFERROR(_xlfn.XLOOKUP(C1408&amp;A1408, ESPN!A:A&amp;ESPN!C:C, ESPN!H:H), "N/A")</f>
        <v>N/A</v>
      </c>
      <c r="O1408" s="26" t="str" cm="1">
        <f t="array" ref="O1408">IFERROR(_xlfn.XLOOKUP(C1408&amp;A1408, ESPN!A:A&amp;ESPN!C:C, ESPN!I:I), "N/A")</f>
        <v>N/A</v>
      </c>
      <c r="P1408" s="26" t="str" cm="1">
        <f t="array" ref="P1408">IFERROR(_xlfn.XLOOKUP(C1408&amp;A1408, ESPN!A:A&amp;ESPN!C:C, ESPN!J:J), "N/A")</f>
        <v>N/A</v>
      </c>
      <c r="Q1408" s="26" t="str" cm="1">
        <f t="array" ref="Q1408">IFERROR(_xlfn.XLOOKUP(C1408&amp;A1408, ESPN!A:A&amp;ESPN!C:C, ESPN!K:K), "N/A")</f>
        <v>N/A</v>
      </c>
    </row>
    <row r="1409" spans="1:17" x14ac:dyDescent="0.45">
      <c r="A1409" s="7">
        <v>2018</v>
      </c>
      <c r="B1409" s="3" t="s">
        <v>746</v>
      </c>
      <c r="C1409" s="4" t="str">
        <f t="shared" si="42"/>
        <v>Darius Jackson</v>
      </c>
      <c r="D1409" s="4" t="str">
        <f t="shared" si="43"/>
        <v>DAL</v>
      </c>
      <c r="E1409" s="4">
        <v>4</v>
      </c>
      <c r="F1409" s="12">
        <v>1</v>
      </c>
      <c r="G1409" s="11">
        <v>0</v>
      </c>
      <c r="H1409" s="11">
        <v>0</v>
      </c>
      <c r="I1409" s="11">
        <v>0</v>
      </c>
      <c r="J1409" s="11">
        <v>0</v>
      </c>
      <c r="K1409" s="11">
        <v>0</v>
      </c>
      <c r="L1409" s="11" t="str" cm="1">
        <f t="array" ref="L1409">IFERROR(_xlfn.XLOOKUP(C1409&amp;A1409, ESPN!A:A&amp;ESPN!C:C, ESPN!D:D), "N/A")</f>
        <v>N/A</v>
      </c>
      <c r="M1409" s="23" t="str" cm="1">
        <f t="array" ref="M1409">IFERROR(_xlfn.XLOOKUP(C1409&amp;A1409, ESPN!A:A&amp;ESPN!C:C, ESPN!G:G), "N/A")</f>
        <v>N/A</v>
      </c>
      <c r="N1409" s="23" t="str" cm="1">
        <f t="array" ref="N1409">IFERROR(_xlfn.XLOOKUP(C1409&amp;A1409, ESPN!A:A&amp;ESPN!C:C, ESPN!H:H), "N/A")</f>
        <v>N/A</v>
      </c>
      <c r="O1409" s="26" t="str" cm="1">
        <f t="array" ref="O1409">IFERROR(_xlfn.XLOOKUP(C1409&amp;A1409, ESPN!A:A&amp;ESPN!C:C, ESPN!I:I), "N/A")</f>
        <v>N/A</v>
      </c>
      <c r="P1409" s="26" t="str" cm="1">
        <f t="array" ref="P1409">IFERROR(_xlfn.XLOOKUP(C1409&amp;A1409, ESPN!A:A&amp;ESPN!C:C, ESPN!J:J), "N/A")</f>
        <v>N/A</v>
      </c>
      <c r="Q1409" s="26" t="str" cm="1">
        <f t="array" ref="Q1409">IFERROR(_xlfn.XLOOKUP(C1409&amp;A1409, ESPN!A:A&amp;ESPN!C:C, ESPN!K:K), "N/A")</f>
        <v>N/A</v>
      </c>
    </row>
    <row r="1410" spans="1:17" x14ac:dyDescent="0.45">
      <c r="A1410" s="6">
        <v>2018</v>
      </c>
      <c r="B1410" s="1" t="s">
        <v>747</v>
      </c>
      <c r="C1410" s="2" t="str">
        <f t="shared" ref="C1410:C1441" si="44">TRIM(LEFT(B1410, LEN(B1410) - LEN(TRIM(RIGHT(SUBSTITUTE(TRIM(B1410)," ",REPT(" ",100)),100)))))</f>
        <v>Brandon Wilds</v>
      </c>
      <c r="D1410" s="2" t="str">
        <f t="shared" ref="D1410:D1441" si="45">MID(B1410, FIND("(", B1410) + 1, FIND(")", B1410) - FIND("(", B1410) - 1)</f>
        <v>JAC</v>
      </c>
      <c r="E1410" s="2">
        <v>3</v>
      </c>
      <c r="F1410" s="12">
        <v>0</v>
      </c>
      <c r="G1410" s="11">
        <v>0</v>
      </c>
      <c r="H1410" s="11">
        <v>0</v>
      </c>
      <c r="I1410" s="11">
        <v>0</v>
      </c>
      <c r="J1410" s="11">
        <v>0</v>
      </c>
      <c r="K1410" s="11">
        <v>0</v>
      </c>
      <c r="L1410" s="11" t="str" cm="1">
        <f t="array" ref="L1410">IFERROR(_xlfn.XLOOKUP(C1410&amp;A1410, ESPN!A:A&amp;ESPN!C:C, ESPN!D:D), "N/A")</f>
        <v>N/A</v>
      </c>
      <c r="M1410" s="23" t="str" cm="1">
        <f t="array" ref="M1410">IFERROR(_xlfn.XLOOKUP(C1410&amp;A1410, ESPN!A:A&amp;ESPN!C:C, ESPN!G:G), "N/A")</f>
        <v>N/A</v>
      </c>
      <c r="N1410" s="23" t="str" cm="1">
        <f t="array" ref="N1410">IFERROR(_xlfn.XLOOKUP(C1410&amp;A1410, ESPN!A:A&amp;ESPN!C:C, ESPN!H:H), "N/A")</f>
        <v>N/A</v>
      </c>
      <c r="O1410" s="26" t="str" cm="1">
        <f t="array" ref="O1410">IFERROR(_xlfn.XLOOKUP(C1410&amp;A1410, ESPN!A:A&amp;ESPN!C:C, ESPN!I:I), "N/A")</f>
        <v>N/A</v>
      </c>
      <c r="P1410" s="26" t="str" cm="1">
        <f t="array" ref="P1410">IFERROR(_xlfn.XLOOKUP(C1410&amp;A1410, ESPN!A:A&amp;ESPN!C:C, ESPN!J:J), "N/A")</f>
        <v>N/A</v>
      </c>
      <c r="Q1410" s="26" t="str" cm="1">
        <f t="array" ref="Q1410">IFERROR(_xlfn.XLOOKUP(C1410&amp;A1410, ESPN!A:A&amp;ESPN!C:C, ESPN!K:K), "N/A")</f>
        <v>N/A</v>
      </c>
    </row>
    <row r="1411" spans="1:17" x14ac:dyDescent="0.45">
      <c r="A1411" s="7">
        <v>2018</v>
      </c>
      <c r="B1411" s="3" t="s">
        <v>665</v>
      </c>
      <c r="C1411" s="4" t="str">
        <f t="shared" si="44"/>
        <v>Jamaal Charles</v>
      </c>
      <c r="D1411" s="4" t="str">
        <f t="shared" si="45"/>
        <v>JAC</v>
      </c>
      <c r="E1411" s="4">
        <v>2</v>
      </c>
      <c r="F1411" s="12">
        <v>3</v>
      </c>
      <c r="G1411" s="11">
        <v>2</v>
      </c>
      <c r="H1411" s="11">
        <v>7</v>
      </c>
      <c r="I1411" s="11">
        <v>3.5</v>
      </c>
      <c r="J1411" s="11">
        <v>0</v>
      </c>
      <c r="K1411" s="11">
        <v>0</v>
      </c>
      <c r="L1411" s="11" t="str" cm="1">
        <f t="array" ref="L1411">IFERROR(_xlfn.XLOOKUP(C1411&amp;A1411, ESPN!A:A&amp;ESPN!C:C, ESPN!D:D), "N/A")</f>
        <v>N/A</v>
      </c>
      <c r="M1411" s="23" t="str" cm="1">
        <f t="array" ref="M1411">IFERROR(_xlfn.XLOOKUP(C1411&amp;A1411, ESPN!A:A&amp;ESPN!C:C, ESPN!G:G), "N/A")</f>
        <v>N/A</v>
      </c>
      <c r="N1411" s="23" t="str" cm="1">
        <f t="array" ref="N1411">IFERROR(_xlfn.XLOOKUP(C1411&amp;A1411, ESPN!A:A&amp;ESPN!C:C, ESPN!H:H), "N/A")</f>
        <v>N/A</v>
      </c>
      <c r="O1411" s="26" t="str" cm="1">
        <f t="array" ref="O1411">IFERROR(_xlfn.XLOOKUP(C1411&amp;A1411, ESPN!A:A&amp;ESPN!C:C, ESPN!I:I), "N/A")</f>
        <v>N/A</v>
      </c>
      <c r="P1411" s="26" t="str" cm="1">
        <f t="array" ref="P1411">IFERROR(_xlfn.XLOOKUP(C1411&amp;A1411, ESPN!A:A&amp;ESPN!C:C, ESPN!J:J), "N/A")</f>
        <v>N/A</v>
      </c>
      <c r="Q1411" s="26" t="str" cm="1">
        <f t="array" ref="Q1411">IFERROR(_xlfn.XLOOKUP(C1411&amp;A1411, ESPN!A:A&amp;ESPN!C:C, ESPN!K:K), "N/A")</f>
        <v>N/A</v>
      </c>
    </row>
    <row r="1412" spans="1:17" x14ac:dyDescent="0.45">
      <c r="A1412" s="6">
        <v>2018</v>
      </c>
      <c r="B1412" s="1" t="s">
        <v>674</v>
      </c>
      <c r="C1412" s="2" t="str">
        <f t="shared" si="44"/>
        <v>Jamize Olawale</v>
      </c>
      <c r="D1412" s="2" t="str">
        <f t="shared" si="45"/>
        <v>DAL</v>
      </c>
      <c r="E1412" s="2">
        <v>16</v>
      </c>
      <c r="F1412" s="12">
        <v>4</v>
      </c>
      <c r="G1412" s="11">
        <v>2</v>
      </c>
      <c r="H1412" s="11">
        <v>13</v>
      </c>
      <c r="I1412" s="11">
        <v>6.5</v>
      </c>
      <c r="J1412" s="11">
        <v>0</v>
      </c>
      <c r="K1412" s="11">
        <v>0</v>
      </c>
      <c r="L1412" s="11" t="str" cm="1">
        <f t="array" ref="L1412">IFERROR(_xlfn.XLOOKUP(C1412&amp;A1412, ESPN!A:A&amp;ESPN!C:C, ESPN!D:D), "N/A")</f>
        <v>N/A</v>
      </c>
      <c r="M1412" s="23" t="str" cm="1">
        <f t="array" ref="M1412">IFERROR(_xlfn.XLOOKUP(C1412&amp;A1412, ESPN!A:A&amp;ESPN!C:C, ESPN!G:G), "N/A")</f>
        <v>N/A</v>
      </c>
      <c r="N1412" s="23" t="str" cm="1">
        <f t="array" ref="N1412">IFERROR(_xlfn.XLOOKUP(C1412&amp;A1412, ESPN!A:A&amp;ESPN!C:C, ESPN!H:H), "N/A")</f>
        <v>N/A</v>
      </c>
      <c r="O1412" s="26" t="str" cm="1">
        <f t="array" ref="O1412">IFERROR(_xlfn.XLOOKUP(C1412&amp;A1412, ESPN!A:A&amp;ESPN!C:C, ESPN!I:I), "N/A")</f>
        <v>N/A</v>
      </c>
      <c r="P1412" s="26" t="str" cm="1">
        <f t="array" ref="P1412">IFERROR(_xlfn.XLOOKUP(C1412&amp;A1412, ESPN!A:A&amp;ESPN!C:C, ESPN!J:J), "N/A")</f>
        <v>N/A</v>
      </c>
      <c r="Q1412" s="26" t="str" cm="1">
        <f t="array" ref="Q1412">IFERROR(_xlfn.XLOOKUP(C1412&amp;A1412, ESPN!A:A&amp;ESPN!C:C, ESPN!K:K), "N/A")</f>
        <v>N/A</v>
      </c>
    </row>
    <row r="1413" spans="1:17" x14ac:dyDescent="0.45">
      <c r="A1413" s="7">
        <v>2018</v>
      </c>
      <c r="B1413" s="3" t="s">
        <v>636</v>
      </c>
      <c r="C1413" s="4" t="str">
        <f t="shared" si="44"/>
        <v>Derek Watt</v>
      </c>
      <c r="D1413" s="4" t="str">
        <f t="shared" si="45"/>
        <v>LAC</v>
      </c>
      <c r="E1413" s="4">
        <v>16</v>
      </c>
      <c r="F1413" s="12">
        <v>1</v>
      </c>
      <c r="G1413" s="11">
        <v>1</v>
      </c>
      <c r="H1413" s="11">
        <v>2</v>
      </c>
      <c r="I1413" s="11">
        <v>2</v>
      </c>
      <c r="J1413" s="11">
        <v>0</v>
      </c>
      <c r="K1413" s="11">
        <v>0</v>
      </c>
      <c r="L1413" s="11" t="str" cm="1">
        <f t="array" ref="L1413">IFERROR(_xlfn.XLOOKUP(C1413&amp;A1413, ESPN!A:A&amp;ESPN!C:C, ESPN!D:D), "N/A")</f>
        <v>N/A</v>
      </c>
      <c r="M1413" s="23" t="str" cm="1">
        <f t="array" ref="M1413">IFERROR(_xlfn.XLOOKUP(C1413&amp;A1413, ESPN!A:A&amp;ESPN!C:C, ESPN!G:G), "N/A")</f>
        <v>N/A</v>
      </c>
      <c r="N1413" s="23" t="str" cm="1">
        <f t="array" ref="N1413">IFERROR(_xlfn.XLOOKUP(C1413&amp;A1413, ESPN!A:A&amp;ESPN!C:C, ESPN!H:H), "N/A")</f>
        <v>N/A</v>
      </c>
      <c r="O1413" s="26" t="str" cm="1">
        <f t="array" ref="O1413">IFERROR(_xlfn.XLOOKUP(C1413&amp;A1413, ESPN!A:A&amp;ESPN!C:C, ESPN!I:I), "N/A")</f>
        <v>N/A</v>
      </c>
      <c r="P1413" s="26" t="str" cm="1">
        <f t="array" ref="P1413">IFERROR(_xlfn.XLOOKUP(C1413&amp;A1413, ESPN!A:A&amp;ESPN!C:C, ESPN!J:J), "N/A")</f>
        <v>N/A</v>
      </c>
      <c r="Q1413" s="26" t="str" cm="1">
        <f t="array" ref="Q1413">IFERROR(_xlfn.XLOOKUP(C1413&amp;A1413, ESPN!A:A&amp;ESPN!C:C, ESPN!K:K), "N/A")</f>
        <v>N/A</v>
      </c>
    </row>
    <row r="1414" spans="1:17" x14ac:dyDescent="0.45">
      <c r="A1414" s="6">
        <v>2018</v>
      </c>
      <c r="B1414" s="1" t="s">
        <v>748</v>
      </c>
      <c r="C1414" s="2" t="str">
        <f t="shared" si="44"/>
        <v>Ricky Ortiz</v>
      </c>
      <c r="D1414" s="2" t="str">
        <f t="shared" si="45"/>
        <v>ATL</v>
      </c>
      <c r="E1414" s="2">
        <v>12</v>
      </c>
      <c r="F1414" s="12">
        <v>4</v>
      </c>
      <c r="G1414" s="11">
        <v>3</v>
      </c>
      <c r="H1414" s="11">
        <v>11</v>
      </c>
      <c r="I1414" s="11">
        <v>3.7</v>
      </c>
      <c r="J1414" s="11">
        <v>0</v>
      </c>
      <c r="K1414" s="11">
        <v>0</v>
      </c>
      <c r="L1414" s="11" t="str" cm="1">
        <f t="array" ref="L1414">IFERROR(_xlfn.XLOOKUP(C1414&amp;A1414, ESPN!A:A&amp;ESPN!C:C, ESPN!D:D), "N/A")</f>
        <v>N/A</v>
      </c>
      <c r="M1414" s="23" t="str" cm="1">
        <f t="array" ref="M1414">IFERROR(_xlfn.XLOOKUP(C1414&amp;A1414, ESPN!A:A&amp;ESPN!C:C, ESPN!G:G), "N/A")</f>
        <v>N/A</v>
      </c>
      <c r="N1414" s="23" t="str" cm="1">
        <f t="array" ref="N1414">IFERROR(_xlfn.XLOOKUP(C1414&amp;A1414, ESPN!A:A&amp;ESPN!C:C, ESPN!H:H), "N/A")</f>
        <v>N/A</v>
      </c>
      <c r="O1414" s="26" t="str" cm="1">
        <f t="array" ref="O1414">IFERROR(_xlfn.XLOOKUP(C1414&amp;A1414, ESPN!A:A&amp;ESPN!C:C, ESPN!I:I), "N/A")</f>
        <v>N/A</v>
      </c>
      <c r="P1414" s="26" t="str" cm="1">
        <f t="array" ref="P1414">IFERROR(_xlfn.XLOOKUP(C1414&amp;A1414, ESPN!A:A&amp;ESPN!C:C, ESPN!J:J), "N/A")</f>
        <v>N/A</v>
      </c>
      <c r="Q1414" s="26" t="str" cm="1">
        <f t="array" ref="Q1414">IFERROR(_xlfn.XLOOKUP(C1414&amp;A1414, ESPN!A:A&amp;ESPN!C:C, ESPN!K:K), "N/A")</f>
        <v>N/A</v>
      </c>
    </row>
    <row r="1415" spans="1:17" x14ac:dyDescent="0.45">
      <c r="A1415" s="7">
        <v>2018</v>
      </c>
      <c r="B1415" s="3" t="s">
        <v>676</v>
      </c>
      <c r="C1415" s="4" t="str">
        <f t="shared" si="44"/>
        <v>Christine Michael</v>
      </c>
      <c r="D1415" s="4" t="str">
        <f t="shared" si="45"/>
        <v>IND</v>
      </c>
      <c r="E1415" s="4">
        <v>1</v>
      </c>
      <c r="F1415" s="12">
        <v>0</v>
      </c>
      <c r="G1415" s="11">
        <v>0</v>
      </c>
      <c r="H1415" s="11">
        <v>0</v>
      </c>
      <c r="I1415" s="11">
        <v>0</v>
      </c>
      <c r="J1415" s="11">
        <v>0</v>
      </c>
      <c r="K1415" s="11">
        <v>0</v>
      </c>
      <c r="L1415" s="11" t="str" cm="1">
        <f t="array" ref="L1415">IFERROR(_xlfn.XLOOKUP(C1415&amp;A1415, ESPN!A:A&amp;ESPN!C:C, ESPN!D:D), "N/A")</f>
        <v>N/A</v>
      </c>
      <c r="M1415" s="23" t="str" cm="1">
        <f t="array" ref="M1415">IFERROR(_xlfn.XLOOKUP(C1415&amp;A1415, ESPN!A:A&amp;ESPN!C:C, ESPN!G:G), "N/A")</f>
        <v>N/A</v>
      </c>
      <c r="N1415" s="23" t="str" cm="1">
        <f t="array" ref="N1415">IFERROR(_xlfn.XLOOKUP(C1415&amp;A1415, ESPN!A:A&amp;ESPN!C:C, ESPN!H:H), "N/A")</f>
        <v>N/A</v>
      </c>
      <c r="O1415" s="26" t="str" cm="1">
        <f t="array" ref="O1415">IFERROR(_xlfn.XLOOKUP(C1415&amp;A1415, ESPN!A:A&amp;ESPN!C:C, ESPN!I:I), "N/A")</f>
        <v>N/A</v>
      </c>
      <c r="P1415" s="26" t="str" cm="1">
        <f t="array" ref="P1415">IFERROR(_xlfn.XLOOKUP(C1415&amp;A1415, ESPN!A:A&amp;ESPN!C:C, ESPN!J:J), "N/A")</f>
        <v>N/A</v>
      </c>
      <c r="Q1415" s="26" t="str" cm="1">
        <f t="array" ref="Q1415">IFERROR(_xlfn.XLOOKUP(C1415&amp;A1415, ESPN!A:A&amp;ESPN!C:C, ESPN!K:K), "N/A")</f>
        <v>N/A</v>
      </c>
    </row>
    <row r="1416" spans="1:17" x14ac:dyDescent="0.45">
      <c r="A1416" s="6">
        <v>2018</v>
      </c>
      <c r="B1416" s="1" t="s">
        <v>559</v>
      </c>
      <c r="C1416" s="2" t="str">
        <f t="shared" si="44"/>
        <v>Ameer Abdullah</v>
      </c>
      <c r="D1416" s="2" t="str">
        <f t="shared" si="45"/>
        <v>MIN</v>
      </c>
      <c r="E1416" s="2">
        <v>10</v>
      </c>
      <c r="F1416" s="12">
        <v>4</v>
      </c>
      <c r="G1416" s="11">
        <v>3</v>
      </c>
      <c r="H1416" s="11">
        <v>28</v>
      </c>
      <c r="I1416" s="11">
        <v>9.3000000000000007</v>
      </c>
      <c r="J1416" s="11">
        <v>0</v>
      </c>
      <c r="K1416" s="11">
        <v>1</v>
      </c>
      <c r="L1416" s="11" t="str" cm="1">
        <f t="array" ref="L1416">IFERROR(_xlfn.XLOOKUP(C1416&amp;A1416, ESPN!A:A&amp;ESPN!C:C, ESPN!D:D), "N/A")</f>
        <v>N/A</v>
      </c>
      <c r="M1416" s="23" t="str" cm="1">
        <f t="array" ref="M1416">IFERROR(_xlfn.XLOOKUP(C1416&amp;A1416, ESPN!A:A&amp;ESPN!C:C, ESPN!G:G), "N/A")</f>
        <v>N/A</v>
      </c>
      <c r="N1416" s="23" t="str" cm="1">
        <f t="array" ref="N1416">IFERROR(_xlfn.XLOOKUP(C1416&amp;A1416, ESPN!A:A&amp;ESPN!C:C, ESPN!H:H), "N/A")</f>
        <v>N/A</v>
      </c>
      <c r="O1416" s="26" t="str" cm="1">
        <f t="array" ref="O1416">IFERROR(_xlfn.XLOOKUP(C1416&amp;A1416, ESPN!A:A&amp;ESPN!C:C, ESPN!I:I), "N/A")</f>
        <v>N/A</v>
      </c>
      <c r="P1416" s="26" t="str" cm="1">
        <f t="array" ref="P1416">IFERROR(_xlfn.XLOOKUP(C1416&amp;A1416, ESPN!A:A&amp;ESPN!C:C, ESPN!J:J), "N/A")</f>
        <v>N/A</v>
      </c>
      <c r="Q1416" s="26" t="str" cm="1">
        <f t="array" ref="Q1416">IFERROR(_xlfn.XLOOKUP(C1416&amp;A1416, ESPN!A:A&amp;ESPN!C:C, ESPN!K:K), "N/A")</f>
        <v>N/A</v>
      </c>
    </row>
    <row r="1417" spans="1:17" x14ac:dyDescent="0.45">
      <c r="A1417" s="7">
        <v>2018</v>
      </c>
      <c r="B1417" s="3" t="s">
        <v>749</v>
      </c>
      <c r="C1417" s="4" t="str">
        <f t="shared" si="44"/>
        <v>Robert Kelley</v>
      </c>
      <c r="D1417" s="4" t="str">
        <f t="shared" si="45"/>
        <v>WAS</v>
      </c>
      <c r="E1417" s="4">
        <v>2</v>
      </c>
      <c r="F1417" s="12">
        <v>0</v>
      </c>
      <c r="G1417" s="11">
        <v>0</v>
      </c>
      <c r="H1417" s="11">
        <v>0</v>
      </c>
      <c r="I1417" s="11">
        <v>0</v>
      </c>
      <c r="J1417" s="11">
        <v>0</v>
      </c>
      <c r="K1417" s="11">
        <v>0</v>
      </c>
      <c r="L1417" s="11" t="str" cm="1">
        <f t="array" ref="L1417">IFERROR(_xlfn.XLOOKUP(C1417&amp;A1417, ESPN!A:A&amp;ESPN!C:C, ESPN!D:D), "N/A")</f>
        <v>N/A</v>
      </c>
      <c r="M1417" s="23" t="str" cm="1">
        <f t="array" ref="M1417">IFERROR(_xlfn.XLOOKUP(C1417&amp;A1417, ESPN!A:A&amp;ESPN!C:C, ESPN!G:G), "N/A")</f>
        <v>N/A</v>
      </c>
      <c r="N1417" s="23" t="str" cm="1">
        <f t="array" ref="N1417">IFERROR(_xlfn.XLOOKUP(C1417&amp;A1417, ESPN!A:A&amp;ESPN!C:C, ESPN!H:H), "N/A")</f>
        <v>N/A</v>
      </c>
      <c r="O1417" s="26" t="str" cm="1">
        <f t="array" ref="O1417">IFERROR(_xlfn.XLOOKUP(C1417&amp;A1417, ESPN!A:A&amp;ESPN!C:C, ESPN!I:I), "N/A")</f>
        <v>N/A</v>
      </c>
      <c r="P1417" s="26" t="str" cm="1">
        <f t="array" ref="P1417">IFERROR(_xlfn.XLOOKUP(C1417&amp;A1417, ESPN!A:A&amp;ESPN!C:C, ESPN!J:J), "N/A")</f>
        <v>N/A</v>
      </c>
      <c r="Q1417" s="26" t="str" cm="1">
        <f t="array" ref="Q1417">IFERROR(_xlfn.XLOOKUP(C1417&amp;A1417, ESPN!A:A&amp;ESPN!C:C, ESPN!K:K), "N/A")</f>
        <v>N/A</v>
      </c>
    </row>
    <row r="1418" spans="1:17" x14ac:dyDescent="0.45">
      <c r="A1418" s="6">
        <v>2018</v>
      </c>
      <c r="B1418" s="1" t="s">
        <v>750</v>
      </c>
      <c r="C1418" s="2" t="str">
        <f t="shared" si="44"/>
        <v>J.D. McKissic</v>
      </c>
      <c r="D1418" s="2" t="str">
        <f t="shared" si="45"/>
        <v>SEA</v>
      </c>
      <c r="E1418" s="2">
        <v>5</v>
      </c>
      <c r="F1418" s="12">
        <v>1</v>
      </c>
      <c r="G1418" s="11">
        <v>0</v>
      </c>
      <c r="H1418" s="11">
        <v>0</v>
      </c>
      <c r="I1418" s="11">
        <v>0</v>
      </c>
      <c r="J1418" s="11">
        <v>0</v>
      </c>
      <c r="K1418" s="11">
        <v>0</v>
      </c>
      <c r="L1418" s="11" t="str" cm="1">
        <f t="array" ref="L1418">IFERROR(_xlfn.XLOOKUP(C1418&amp;A1418, ESPN!A:A&amp;ESPN!C:C, ESPN!D:D), "N/A")</f>
        <v>N/A</v>
      </c>
      <c r="M1418" s="23" t="str" cm="1">
        <f t="array" ref="M1418">IFERROR(_xlfn.XLOOKUP(C1418&amp;A1418, ESPN!A:A&amp;ESPN!C:C, ESPN!G:G), "N/A")</f>
        <v>N/A</v>
      </c>
      <c r="N1418" s="23" t="str" cm="1">
        <f t="array" ref="N1418">IFERROR(_xlfn.XLOOKUP(C1418&amp;A1418, ESPN!A:A&amp;ESPN!C:C, ESPN!H:H), "N/A")</f>
        <v>N/A</v>
      </c>
      <c r="O1418" s="26" t="str" cm="1">
        <f t="array" ref="O1418">IFERROR(_xlfn.XLOOKUP(C1418&amp;A1418, ESPN!A:A&amp;ESPN!C:C, ESPN!I:I), "N/A")</f>
        <v>N/A</v>
      </c>
      <c r="P1418" s="26" t="str" cm="1">
        <f t="array" ref="P1418">IFERROR(_xlfn.XLOOKUP(C1418&amp;A1418, ESPN!A:A&amp;ESPN!C:C, ESPN!J:J), "N/A")</f>
        <v>N/A</v>
      </c>
      <c r="Q1418" s="26" t="str" cm="1">
        <f t="array" ref="Q1418">IFERROR(_xlfn.XLOOKUP(C1418&amp;A1418, ESPN!A:A&amp;ESPN!C:C, ESPN!K:K), "N/A")</f>
        <v>N/A</v>
      </c>
    </row>
    <row r="1419" spans="1:17" x14ac:dyDescent="0.45">
      <c r="A1419" s="7">
        <v>2018</v>
      </c>
      <c r="B1419" s="3" t="s">
        <v>751</v>
      </c>
      <c r="C1419" s="4" t="str">
        <f t="shared" si="44"/>
        <v>Michael Burton</v>
      </c>
      <c r="D1419" s="4" t="str">
        <f t="shared" si="45"/>
        <v>CHI</v>
      </c>
      <c r="E1419" s="4">
        <v>8</v>
      </c>
      <c r="F1419" s="12">
        <v>1</v>
      </c>
      <c r="G1419" s="11">
        <v>1</v>
      </c>
      <c r="H1419" s="11">
        <v>6</v>
      </c>
      <c r="I1419" s="11">
        <v>6</v>
      </c>
      <c r="J1419" s="11">
        <v>0</v>
      </c>
      <c r="K1419" s="11">
        <v>0</v>
      </c>
      <c r="L1419" s="11" t="str" cm="1">
        <f t="array" ref="L1419">IFERROR(_xlfn.XLOOKUP(C1419&amp;A1419, ESPN!A:A&amp;ESPN!C:C, ESPN!D:D), "N/A")</f>
        <v>N/A</v>
      </c>
      <c r="M1419" s="23" t="str" cm="1">
        <f t="array" ref="M1419">IFERROR(_xlfn.XLOOKUP(C1419&amp;A1419, ESPN!A:A&amp;ESPN!C:C, ESPN!G:G), "N/A")</f>
        <v>N/A</v>
      </c>
      <c r="N1419" s="23" t="str" cm="1">
        <f t="array" ref="N1419">IFERROR(_xlfn.XLOOKUP(C1419&amp;A1419, ESPN!A:A&amp;ESPN!C:C, ESPN!H:H), "N/A")</f>
        <v>N/A</v>
      </c>
      <c r="O1419" s="26" t="str" cm="1">
        <f t="array" ref="O1419">IFERROR(_xlfn.XLOOKUP(C1419&amp;A1419, ESPN!A:A&amp;ESPN!C:C, ESPN!I:I), "N/A")</f>
        <v>N/A</v>
      </c>
      <c r="P1419" s="26" t="str" cm="1">
        <f t="array" ref="P1419">IFERROR(_xlfn.XLOOKUP(C1419&amp;A1419, ESPN!A:A&amp;ESPN!C:C, ESPN!J:J), "N/A")</f>
        <v>N/A</v>
      </c>
      <c r="Q1419" s="26" t="str" cm="1">
        <f t="array" ref="Q1419">IFERROR(_xlfn.XLOOKUP(C1419&amp;A1419, ESPN!A:A&amp;ESPN!C:C, ESPN!K:K), "N/A")</f>
        <v>N/A</v>
      </c>
    </row>
    <row r="1420" spans="1:17" x14ac:dyDescent="0.45">
      <c r="A1420" s="6">
        <v>2018</v>
      </c>
      <c r="B1420" s="1" t="s">
        <v>752</v>
      </c>
      <c r="C1420" s="2" t="str">
        <f t="shared" si="44"/>
        <v>Jeremy McNichols</v>
      </c>
      <c r="D1420" s="2" t="str">
        <f t="shared" si="45"/>
        <v>IND</v>
      </c>
      <c r="E1420" s="2">
        <v>1</v>
      </c>
      <c r="F1420" s="12">
        <v>0</v>
      </c>
      <c r="G1420" s="11">
        <v>0</v>
      </c>
      <c r="H1420" s="11">
        <v>0</v>
      </c>
      <c r="I1420" s="11">
        <v>0</v>
      </c>
      <c r="J1420" s="11">
        <v>0</v>
      </c>
      <c r="K1420" s="11">
        <v>0</v>
      </c>
      <c r="L1420" s="11" t="str" cm="1">
        <f t="array" ref="L1420">IFERROR(_xlfn.XLOOKUP(C1420&amp;A1420, ESPN!A:A&amp;ESPN!C:C, ESPN!D:D), "N/A")</f>
        <v>N/A</v>
      </c>
      <c r="M1420" s="23" t="str" cm="1">
        <f t="array" ref="M1420">IFERROR(_xlfn.XLOOKUP(C1420&amp;A1420, ESPN!A:A&amp;ESPN!C:C, ESPN!G:G), "N/A")</f>
        <v>N/A</v>
      </c>
      <c r="N1420" s="23" t="str" cm="1">
        <f t="array" ref="N1420">IFERROR(_xlfn.XLOOKUP(C1420&amp;A1420, ESPN!A:A&amp;ESPN!C:C, ESPN!H:H), "N/A")</f>
        <v>N/A</v>
      </c>
      <c r="O1420" s="26" t="str" cm="1">
        <f t="array" ref="O1420">IFERROR(_xlfn.XLOOKUP(C1420&amp;A1420, ESPN!A:A&amp;ESPN!C:C, ESPN!I:I), "N/A")</f>
        <v>N/A</v>
      </c>
      <c r="P1420" s="26" t="str" cm="1">
        <f t="array" ref="P1420">IFERROR(_xlfn.XLOOKUP(C1420&amp;A1420, ESPN!A:A&amp;ESPN!C:C, ESPN!J:J), "N/A")</f>
        <v>N/A</v>
      </c>
      <c r="Q1420" s="26" t="str" cm="1">
        <f t="array" ref="Q1420">IFERROR(_xlfn.XLOOKUP(C1420&amp;A1420, ESPN!A:A&amp;ESPN!C:C, ESPN!K:K), "N/A")</f>
        <v>N/A</v>
      </c>
    </row>
    <row r="1421" spans="1:17" x14ac:dyDescent="0.45">
      <c r="A1421" s="7">
        <v>2018</v>
      </c>
      <c r="B1421" s="3" t="s">
        <v>637</v>
      </c>
      <c r="C1421" s="4" t="str">
        <f t="shared" si="44"/>
        <v>Danny Vitale</v>
      </c>
      <c r="D1421" s="4" t="str">
        <f t="shared" si="45"/>
        <v>GB</v>
      </c>
      <c r="E1421" s="4">
        <v>5</v>
      </c>
      <c r="F1421" s="12">
        <v>2</v>
      </c>
      <c r="G1421" s="11">
        <v>1</v>
      </c>
      <c r="H1421" s="11">
        <v>2</v>
      </c>
      <c r="I1421" s="11">
        <v>2</v>
      </c>
      <c r="J1421" s="11">
        <v>0</v>
      </c>
      <c r="K1421" s="11">
        <v>0</v>
      </c>
      <c r="L1421" s="11" t="str" cm="1">
        <f t="array" ref="L1421">IFERROR(_xlfn.XLOOKUP(C1421&amp;A1421, ESPN!A:A&amp;ESPN!C:C, ESPN!D:D), "N/A")</f>
        <v>N/A</v>
      </c>
      <c r="M1421" s="23" t="str" cm="1">
        <f t="array" ref="M1421">IFERROR(_xlfn.XLOOKUP(C1421&amp;A1421, ESPN!A:A&amp;ESPN!C:C, ESPN!G:G), "N/A")</f>
        <v>N/A</v>
      </c>
      <c r="N1421" s="23" t="str" cm="1">
        <f t="array" ref="N1421">IFERROR(_xlfn.XLOOKUP(C1421&amp;A1421, ESPN!A:A&amp;ESPN!C:C, ESPN!H:H), "N/A")</f>
        <v>N/A</v>
      </c>
      <c r="O1421" s="26" t="str" cm="1">
        <f t="array" ref="O1421">IFERROR(_xlfn.XLOOKUP(C1421&amp;A1421, ESPN!A:A&amp;ESPN!C:C, ESPN!I:I), "N/A")</f>
        <v>N/A</v>
      </c>
      <c r="P1421" s="26" t="str" cm="1">
        <f t="array" ref="P1421">IFERROR(_xlfn.XLOOKUP(C1421&amp;A1421, ESPN!A:A&amp;ESPN!C:C, ESPN!J:J), "N/A")</f>
        <v>N/A</v>
      </c>
      <c r="Q1421" s="26" t="str" cm="1">
        <f t="array" ref="Q1421">IFERROR(_xlfn.XLOOKUP(C1421&amp;A1421, ESPN!A:A&amp;ESPN!C:C, ESPN!K:K), "N/A")</f>
        <v>N/A</v>
      </c>
    </row>
    <row r="1422" spans="1:17" x14ac:dyDescent="0.45">
      <c r="A1422" s="6">
        <v>2018</v>
      </c>
      <c r="B1422" s="1" t="s">
        <v>753</v>
      </c>
      <c r="C1422" s="2" t="str">
        <f t="shared" si="44"/>
        <v>Jonathan Williams</v>
      </c>
      <c r="D1422" s="2" t="str">
        <f t="shared" si="45"/>
        <v>NO</v>
      </c>
      <c r="E1422" s="2">
        <v>3</v>
      </c>
      <c r="F1422" s="12">
        <v>1</v>
      </c>
      <c r="G1422" s="11">
        <v>1</v>
      </c>
      <c r="H1422" s="11">
        <v>1</v>
      </c>
      <c r="I1422" s="11">
        <v>1</v>
      </c>
      <c r="J1422" s="11">
        <v>0</v>
      </c>
      <c r="K1422" s="11">
        <v>0</v>
      </c>
      <c r="L1422" s="11" t="str" cm="1">
        <f t="array" ref="L1422">IFERROR(_xlfn.XLOOKUP(C1422&amp;A1422, ESPN!A:A&amp;ESPN!C:C, ESPN!D:D), "N/A")</f>
        <v>N/A</v>
      </c>
      <c r="M1422" s="23" t="str" cm="1">
        <f t="array" ref="M1422">IFERROR(_xlfn.XLOOKUP(C1422&amp;A1422, ESPN!A:A&amp;ESPN!C:C, ESPN!G:G), "N/A")</f>
        <v>N/A</v>
      </c>
      <c r="N1422" s="23" t="str" cm="1">
        <f t="array" ref="N1422">IFERROR(_xlfn.XLOOKUP(C1422&amp;A1422, ESPN!A:A&amp;ESPN!C:C, ESPN!H:H), "N/A")</f>
        <v>N/A</v>
      </c>
      <c r="O1422" s="26" t="str" cm="1">
        <f t="array" ref="O1422">IFERROR(_xlfn.XLOOKUP(C1422&amp;A1422, ESPN!A:A&amp;ESPN!C:C, ESPN!I:I), "N/A")</f>
        <v>N/A</v>
      </c>
      <c r="P1422" s="26" t="str" cm="1">
        <f t="array" ref="P1422">IFERROR(_xlfn.XLOOKUP(C1422&amp;A1422, ESPN!A:A&amp;ESPN!C:C, ESPN!J:J), "N/A")</f>
        <v>N/A</v>
      </c>
      <c r="Q1422" s="26" t="str" cm="1">
        <f t="array" ref="Q1422">IFERROR(_xlfn.XLOOKUP(C1422&amp;A1422, ESPN!A:A&amp;ESPN!C:C, ESPN!K:K), "N/A")</f>
        <v>N/A</v>
      </c>
    </row>
    <row r="1423" spans="1:17" x14ac:dyDescent="0.45">
      <c r="A1423" s="7">
        <v>2018</v>
      </c>
      <c r="B1423" s="3" t="s">
        <v>422</v>
      </c>
      <c r="C1423" s="4" t="str">
        <f t="shared" si="44"/>
        <v>Taiwan Jones</v>
      </c>
      <c r="D1423" s="4" t="str">
        <f t="shared" si="45"/>
        <v>BUF</v>
      </c>
      <c r="E1423" s="4">
        <v>6</v>
      </c>
      <c r="F1423" s="12">
        <v>2</v>
      </c>
      <c r="G1423" s="11">
        <v>0</v>
      </c>
      <c r="H1423" s="11">
        <v>0</v>
      </c>
      <c r="I1423" s="11">
        <v>0</v>
      </c>
      <c r="J1423" s="11">
        <v>0</v>
      </c>
      <c r="K1423" s="11">
        <v>0</v>
      </c>
      <c r="L1423" s="11" t="str" cm="1">
        <f t="array" ref="L1423">IFERROR(_xlfn.XLOOKUP(C1423&amp;A1423, ESPN!A:A&amp;ESPN!C:C, ESPN!D:D), "N/A")</f>
        <v>N/A</v>
      </c>
      <c r="M1423" s="23" t="str" cm="1">
        <f t="array" ref="M1423">IFERROR(_xlfn.XLOOKUP(C1423&amp;A1423, ESPN!A:A&amp;ESPN!C:C, ESPN!G:G), "N/A")</f>
        <v>N/A</v>
      </c>
      <c r="N1423" s="23" t="str" cm="1">
        <f t="array" ref="N1423">IFERROR(_xlfn.XLOOKUP(C1423&amp;A1423, ESPN!A:A&amp;ESPN!C:C, ESPN!H:H), "N/A")</f>
        <v>N/A</v>
      </c>
      <c r="O1423" s="26" t="str" cm="1">
        <f t="array" ref="O1423">IFERROR(_xlfn.XLOOKUP(C1423&amp;A1423, ESPN!A:A&amp;ESPN!C:C, ESPN!I:I), "N/A")</f>
        <v>N/A</v>
      </c>
      <c r="P1423" s="26" t="str" cm="1">
        <f t="array" ref="P1423">IFERROR(_xlfn.XLOOKUP(C1423&amp;A1423, ESPN!A:A&amp;ESPN!C:C, ESPN!J:J), "N/A")</f>
        <v>N/A</v>
      </c>
      <c r="Q1423" s="26" t="str" cm="1">
        <f t="array" ref="Q1423">IFERROR(_xlfn.XLOOKUP(C1423&amp;A1423, ESPN!A:A&amp;ESPN!C:C, ESPN!K:K), "N/A")</f>
        <v>N/A</v>
      </c>
    </row>
    <row r="1424" spans="1:17" x14ac:dyDescent="0.45">
      <c r="A1424" s="6">
        <v>2018</v>
      </c>
      <c r="B1424" s="1" t="s">
        <v>754</v>
      </c>
      <c r="C1424" s="2" t="str">
        <f t="shared" si="44"/>
        <v>Senorise Perry</v>
      </c>
      <c r="D1424" s="2" t="str">
        <f t="shared" si="45"/>
        <v>MIA</v>
      </c>
      <c r="E1424" s="2">
        <v>16</v>
      </c>
      <c r="F1424" s="12">
        <v>0</v>
      </c>
      <c r="G1424" s="11">
        <v>0</v>
      </c>
      <c r="H1424" s="11">
        <v>0</v>
      </c>
      <c r="I1424" s="11">
        <v>0</v>
      </c>
      <c r="J1424" s="11">
        <v>0</v>
      </c>
      <c r="K1424" s="11">
        <v>0</v>
      </c>
      <c r="L1424" s="11" t="str" cm="1">
        <f t="array" ref="L1424">IFERROR(_xlfn.XLOOKUP(C1424&amp;A1424, ESPN!A:A&amp;ESPN!C:C, ESPN!D:D), "N/A")</f>
        <v>N/A</v>
      </c>
      <c r="M1424" s="23" t="str" cm="1">
        <f t="array" ref="M1424">IFERROR(_xlfn.XLOOKUP(C1424&amp;A1424, ESPN!A:A&amp;ESPN!C:C, ESPN!G:G), "N/A")</f>
        <v>N/A</v>
      </c>
      <c r="N1424" s="23" t="str" cm="1">
        <f t="array" ref="N1424">IFERROR(_xlfn.XLOOKUP(C1424&amp;A1424, ESPN!A:A&amp;ESPN!C:C, ESPN!H:H), "N/A")</f>
        <v>N/A</v>
      </c>
      <c r="O1424" s="26" t="str" cm="1">
        <f t="array" ref="O1424">IFERROR(_xlfn.XLOOKUP(C1424&amp;A1424, ESPN!A:A&amp;ESPN!C:C, ESPN!I:I), "N/A")</f>
        <v>N/A</v>
      </c>
      <c r="P1424" s="26" t="str" cm="1">
        <f t="array" ref="P1424">IFERROR(_xlfn.XLOOKUP(C1424&amp;A1424, ESPN!A:A&amp;ESPN!C:C, ESPN!J:J), "N/A")</f>
        <v>N/A</v>
      </c>
      <c r="Q1424" s="26" t="str" cm="1">
        <f t="array" ref="Q1424">IFERROR(_xlfn.XLOOKUP(C1424&amp;A1424, ESPN!A:A&amp;ESPN!C:C, ESPN!K:K), "N/A")</f>
        <v>N/A</v>
      </c>
    </row>
    <row r="1425" spans="1:17" x14ac:dyDescent="0.45">
      <c r="A1425" s="7">
        <v>2018</v>
      </c>
      <c r="B1425" s="3" t="s">
        <v>755</v>
      </c>
      <c r="C1425" s="4" t="str">
        <f t="shared" si="44"/>
        <v>Thomas Rawls</v>
      </c>
      <c r="D1425" s="4" t="str">
        <f t="shared" si="45"/>
        <v>CIN</v>
      </c>
      <c r="E1425" s="4">
        <v>1</v>
      </c>
      <c r="F1425" s="12">
        <v>0</v>
      </c>
      <c r="G1425" s="11">
        <v>0</v>
      </c>
      <c r="H1425" s="11">
        <v>0</v>
      </c>
      <c r="I1425" s="11">
        <v>0</v>
      </c>
      <c r="J1425" s="11">
        <v>0</v>
      </c>
      <c r="K1425" s="11">
        <v>0</v>
      </c>
      <c r="L1425" s="11" t="str" cm="1">
        <f t="array" ref="L1425">IFERROR(_xlfn.XLOOKUP(C1425&amp;A1425, ESPN!A:A&amp;ESPN!C:C, ESPN!D:D), "N/A")</f>
        <v>N/A</v>
      </c>
      <c r="M1425" s="23" t="str" cm="1">
        <f t="array" ref="M1425">IFERROR(_xlfn.XLOOKUP(C1425&amp;A1425, ESPN!A:A&amp;ESPN!C:C, ESPN!G:G), "N/A")</f>
        <v>N/A</v>
      </c>
      <c r="N1425" s="23" t="str" cm="1">
        <f t="array" ref="N1425">IFERROR(_xlfn.XLOOKUP(C1425&amp;A1425, ESPN!A:A&amp;ESPN!C:C, ESPN!H:H), "N/A")</f>
        <v>N/A</v>
      </c>
      <c r="O1425" s="26" t="str" cm="1">
        <f t="array" ref="O1425">IFERROR(_xlfn.XLOOKUP(C1425&amp;A1425, ESPN!A:A&amp;ESPN!C:C, ESPN!I:I), "N/A")</f>
        <v>N/A</v>
      </c>
      <c r="P1425" s="26" t="str" cm="1">
        <f t="array" ref="P1425">IFERROR(_xlfn.XLOOKUP(C1425&amp;A1425, ESPN!A:A&amp;ESPN!C:C, ESPN!J:J), "N/A")</f>
        <v>N/A</v>
      </c>
      <c r="Q1425" s="26" t="str" cm="1">
        <f t="array" ref="Q1425">IFERROR(_xlfn.XLOOKUP(C1425&amp;A1425, ESPN!A:A&amp;ESPN!C:C, ESPN!K:K), "N/A")</f>
        <v>N/A</v>
      </c>
    </row>
    <row r="1426" spans="1:17" x14ac:dyDescent="0.45">
      <c r="A1426" s="6">
        <v>2018</v>
      </c>
      <c r="B1426" s="1" t="s">
        <v>756</v>
      </c>
      <c r="C1426" s="2" t="str">
        <f t="shared" si="44"/>
        <v>Tra Carson</v>
      </c>
      <c r="D1426" s="2" t="str">
        <f t="shared" si="45"/>
        <v>GB</v>
      </c>
      <c r="E1426" s="2">
        <v>6</v>
      </c>
      <c r="F1426" s="12">
        <v>0</v>
      </c>
      <c r="G1426" s="11">
        <v>0</v>
      </c>
      <c r="H1426" s="11">
        <v>0</v>
      </c>
      <c r="I1426" s="11">
        <v>0</v>
      </c>
      <c r="J1426" s="11">
        <v>0</v>
      </c>
      <c r="K1426" s="11">
        <v>0</v>
      </c>
      <c r="L1426" s="11" t="str" cm="1">
        <f t="array" ref="L1426">IFERROR(_xlfn.XLOOKUP(C1426&amp;A1426, ESPN!A:A&amp;ESPN!C:C, ESPN!D:D), "N/A")</f>
        <v>N/A</v>
      </c>
      <c r="M1426" s="23" t="str" cm="1">
        <f t="array" ref="M1426">IFERROR(_xlfn.XLOOKUP(C1426&amp;A1426, ESPN!A:A&amp;ESPN!C:C, ESPN!G:G), "N/A")</f>
        <v>N/A</v>
      </c>
      <c r="N1426" s="23" t="str" cm="1">
        <f t="array" ref="N1426">IFERROR(_xlfn.XLOOKUP(C1426&amp;A1426, ESPN!A:A&amp;ESPN!C:C, ESPN!H:H), "N/A")</f>
        <v>N/A</v>
      </c>
      <c r="O1426" s="26" t="str" cm="1">
        <f t="array" ref="O1426">IFERROR(_xlfn.XLOOKUP(C1426&amp;A1426, ESPN!A:A&amp;ESPN!C:C, ESPN!I:I), "N/A")</f>
        <v>N/A</v>
      </c>
      <c r="P1426" s="26" t="str" cm="1">
        <f t="array" ref="P1426">IFERROR(_xlfn.XLOOKUP(C1426&amp;A1426, ESPN!A:A&amp;ESPN!C:C, ESPN!J:J), "N/A")</f>
        <v>N/A</v>
      </c>
      <c r="Q1426" s="26" t="str" cm="1">
        <f t="array" ref="Q1426">IFERROR(_xlfn.XLOOKUP(C1426&amp;A1426, ESPN!A:A&amp;ESPN!C:C, ESPN!K:K), "N/A")</f>
        <v>N/A</v>
      </c>
    </row>
    <row r="1427" spans="1:17" x14ac:dyDescent="0.45">
      <c r="A1427" s="7">
        <v>2018</v>
      </c>
      <c r="B1427" s="3" t="s">
        <v>689</v>
      </c>
      <c r="C1427" s="4" t="str">
        <f t="shared" si="44"/>
        <v>Joe Williams</v>
      </c>
      <c r="D1427" s="4" t="str">
        <f t="shared" si="45"/>
        <v>NO</v>
      </c>
      <c r="E1427" s="4">
        <v>3</v>
      </c>
      <c r="F1427" s="12">
        <v>0</v>
      </c>
      <c r="G1427" s="11">
        <v>0</v>
      </c>
      <c r="H1427" s="11">
        <v>0</v>
      </c>
      <c r="I1427" s="11">
        <v>0</v>
      </c>
      <c r="J1427" s="11">
        <v>0</v>
      </c>
      <c r="K1427" s="11">
        <v>0</v>
      </c>
      <c r="L1427" s="11" t="str" cm="1">
        <f t="array" ref="L1427">IFERROR(_xlfn.XLOOKUP(C1427&amp;A1427, ESPN!A:A&amp;ESPN!C:C, ESPN!D:D), "N/A")</f>
        <v>N/A</v>
      </c>
      <c r="M1427" s="23" t="str" cm="1">
        <f t="array" ref="M1427">IFERROR(_xlfn.XLOOKUP(C1427&amp;A1427, ESPN!A:A&amp;ESPN!C:C, ESPN!G:G), "N/A")</f>
        <v>N/A</v>
      </c>
      <c r="N1427" s="23" t="str" cm="1">
        <f t="array" ref="N1427">IFERROR(_xlfn.XLOOKUP(C1427&amp;A1427, ESPN!A:A&amp;ESPN!C:C, ESPN!H:H), "N/A")</f>
        <v>N/A</v>
      </c>
      <c r="O1427" s="26" t="str" cm="1">
        <f t="array" ref="O1427">IFERROR(_xlfn.XLOOKUP(C1427&amp;A1427, ESPN!A:A&amp;ESPN!C:C, ESPN!I:I), "N/A")</f>
        <v>N/A</v>
      </c>
      <c r="P1427" s="26" t="str" cm="1">
        <f t="array" ref="P1427">IFERROR(_xlfn.XLOOKUP(C1427&amp;A1427, ESPN!A:A&amp;ESPN!C:C, ESPN!J:J), "N/A")</f>
        <v>N/A</v>
      </c>
      <c r="Q1427" s="26" t="str" cm="1">
        <f t="array" ref="Q1427">IFERROR(_xlfn.XLOOKUP(C1427&amp;A1427, ESPN!A:A&amp;ESPN!C:C, ESPN!K:K), "N/A")</f>
        <v>N/A</v>
      </c>
    </row>
    <row r="1428" spans="1:17" x14ac:dyDescent="0.45">
      <c r="A1428" s="6">
        <v>2018</v>
      </c>
      <c r="B1428" s="1" t="s">
        <v>757</v>
      </c>
      <c r="C1428" s="2" t="str">
        <f t="shared" si="44"/>
        <v>Matt Dayes</v>
      </c>
      <c r="D1428" s="2" t="str">
        <f t="shared" si="45"/>
        <v>SF</v>
      </c>
      <c r="E1428" s="2">
        <v>7</v>
      </c>
      <c r="F1428" s="12">
        <v>0</v>
      </c>
      <c r="G1428" s="11">
        <v>0</v>
      </c>
      <c r="H1428" s="11">
        <v>0</v>
      </c>
      <c r="I1428" s="11">
        <v>0</v>
      </c>
      <c r="J1428" s="11">
        <v>0</v>
      </c>
      <c r="K1428" s="11">
        <v>0</v>
      </c>
      <c r="L1428" s="11" t="str" cm="1">
        <f t="array" ref="L1428">IFERROR(_xlfn.XLOOKUP(C1428&amp;A1428, ESPN!A:A&amp;ESPN!C:C, ESPN!D:D), "N/A")</f>
        <v>N/A</v>
      </c>
      <c r="M1428" s="23" t="str" cm="1">
        <f t="array" ref="M1428">IFERROR(_xlfn.XLOOKUP(C1428&amp;A1428, ESPN!A:A&amp;ESPN!C:C, ESPN!G:G), "N/A")</f>
        <v>N/A</v>
      </c>
      <c r="N1428" s="23" t="str" cm="1">
        <f t="array" ref="N1428">IFERROR(_xlfn.XLOOKUP(C1428&amp;A1428, ESPN!A:A&amp;ESPN!C:C, ESPN!H:H), "N/A")</f>
        <v>N/A</v>
      </c>
      <c r="O1428" s="26" t="str" cm="1">
        <f t="array" ref="O1428">IFERROR(_xlfn.XLOOKUP(C1428&amp;A1428, ESPN!A:A&amp;ESPN!C:C, ESPN!I:I), "N/A")</f>
        <v>N/A</v>
      </c>
      <c r="P1428" s="26" t="str" cm="1">
        <f t="array" ref="P1428">IFERROR(_xlfn.XLOOKUP(C1428&amp;A1428, ESPN!A:A&amp;ESPN!C:C, ESPN!J:J), "N/A")</f>
        <v>N/A</v>
      </c>
      <c r="Q1428" s="26" t="str" cm="1">
        <f t="array" ref="Q1428">IFERROR(_xlfn.XLOOKUP(C1428&amp;A1428, ESPN!A:A&amp;ESPN!C:C, ESPN!K:K), "N/A")</f>
        <v>N/A</v>
      </c>
    </row>
    <row r="1429" spans="1:17" x14ac:dyDescent="0.45">
      <c r="A1429" s="7">
        <v>2018</v>
      </c>
      <c r="B1429" s="3" t="s">
        <v>621</v>
      </c>
      <c r="C1429" s="4" t="str">
        <f t="shared" si="44"/>
        <v>Dare Ogunbowale</v>
      </c>
      <c r="D1429" s="4" t="str">
        <f t="shared" si="45"/>
        <v>TB</v>
      </c>
      <c r="E1429" s="4">
        <v>2</v>
      </c>
      <c r="F1429" s="12">
        <v>0</v>
      </c>
      <c r="G1429" s="11">
        <v>0</v>
      </c>
      <c r="H1429" s="11">
        <v>0</v>
      </c>
      <c r="I1429" s="11">
        <v>0</v>
      </c>
      <c r="J1429" s="11">
        <v>0</v>
      </c>
      <c r="K1429" s="11">
        <v>0</v>
      </c>
      <c r="L1429" s="11" t="str" cm="1">
        <f t="array" ref="L1429">IFERROR(_xlfn.XLOOKUP(C1429&amp;A1429, ESPN!A:A&amp;ESPN!C:C, ESPN!D:D), "N/A")</f>
        <v>N/A</v>
      </c>
      <c r="M1429" s="23" t="str" cm="1">
        <f t="array" ref="M1429">IFERROR(_xlfn.XLOOKUP(C1429&amp;A1429, ESPN!A:A&amp;ESPN!C:C, ESPN!G:G), "N/A")</f>
        <v>N/A</v>
      </c>
      <c r="N1429" s="23" t="str" cm="1">
        <f t="array" ref="N1429">IFERROR(_xlfn.XLOOKUP(C1429&amp;A1429, ESPN!A:A&amp;ESPN!C:C, ESPN!H:H), "N/A")</f>
        <v>N/A</v>
      </c>
      <c r="O1429" s="26" t="str" cm="1">
        <f t="array" ref="O1429">IFERROR(_xlfn.XLOOKUP(C1429&amp;A1429, ESPN!A:A&amp;ESPN!C:C, ESPN!I:I), "N/A")</f>
        <v>N/A</v>
      </c>
      <c r="P1429" s="26" t="str" cm="1">
        <f t="array" ref="P1429">IFERROR(_xlfn.XLOOKUP(C1429&amp;A1429, ESPN!A:A&amp;ESPN!C:C, ESPN!J:J), "N/A")</f>
        <v>N/A</v>
      </c>
      <c r="Q1429" s="26" t="str" cm="1">
        <f t="array" ref="Q1429">IFERROR(_xlfn.XLOOKUP(C1429&amp;A1429, ESPN!A:A&amp;ESPN!C:C, ESPN!K:K), "N/A")</f>
        <v>N/A</v>
      </c>
    </row>
    <row r="1430" spans="1:17" x14ac:dyDescent="0.45">
      <c r="A1430" s="6">
        <v>2018</v>
      </c>
      <c r="B1430" s="1" t="s">
        <v>758</v>
      </c>
      <c r="C1430" s="2" t="str">
        <f t="shared" si="44"/>
        <v>Shane Smith</v>
      </c>
      <c r="D1430" s="2" t="str">
        <f t="shared" si="45"/>
        <v>NYG</v>
      </c>
      <c r="E1430" s="2">
        <v>2</v>
      </c>
      <c r="F1430" s="12">
        <v>0</v>
      </c>
      <c r="G1430" s="11">
        <v>0</v>
      </c>
      <c r="H1430" s="11">
        <v>0</v>
      </c>
      <c r="I1430" s="11">
        <v>0</v>
      </c>
      <c r="J1430" s="11">
        <v>0</v>
      </c>
      <c r="K1430" s="11">
        <v>0</v>
      </c>
      <c r="L1430" s="11" t="str" cm="1">
        <f t="array" ref="L1430">IFERROR(_xlfn.XLOOKUP(C1430&amp;A1430, ESPN!A:A&amp;ESPN!C:C, ESPN!D:D), "N/A")</f>
        <v>N/A</v>
      </c>
      <c r="M1430" s="23" t="str" cm="1">
        <f t="array" ref="M1430">IFERROR(_xlfn.XLOOKUP(C1430&amp;A1430, ESPN!A:A&amp;ESPN!C:C, ESPN!G:G), "N/A")</f>
        <v>N/A</v>
      </c>
      <c r="N1430" s="23" t="str" cm="1">
        <f t="array" ref="N1430">IFERROR(_xlfn.XLOOKUP(C1430&amp;A1430, ESPN!A:A&amp;ESPN!C:C, ESPN!H:H), "N/A")</f>
        <v>N/A</v>
      </c>
      <c r="O1430" s="26" t="str" cm="1">
        <f t="array" ref="O1430">IFERROR(_xlfn.XLOOKUP(C1430&amp;A1430, ESPN!A:A&amp;ESPN!C:C, ESPN!I:I), "N/A")</f>
        <v>N/A</v>
      </c>
      <c r="P1430" s="26" t="str" cm="1">
        <f t="array" ref="P1430">IFERROR(_xlfn.XLOOKUP(C1430&amp;A1430, ESPN!A:A&amp;ESPN!C:C, ESPN!J:J), "N/A")</f>
        <v>N/A</v>
      </c>
      <c r="Q1430" s="26" t="str" cm="1">
        <f t="array" ref="Q1430">IFERROR(_xlfn.XLOOKUP(C1430&amp;A1430, ESPN!A:A&amp;ESPN!C:C, ESPN!K:K), "N/A")</f>
        <v>N/A</v>
      </c>
    </row>
    <row r="1431" spans="1:17" x14ac:dyDescent="0.45">
      <c r="A1431" s="7">
        <v>2018</v>
      </c>
      <c r="B1431" s="3" t="s">
        <v>144</v>
      </c>
      <c r="C1431" s="4" t="str">
        <f t="shared" si="44"/>
        <v>Patrick Ricard</v>
      </c>
      <c r="D1431" s="4" t="str">
        <f t="shared" si="45"/>
        <v>BAL</v>
      </c>
      <c r="E1431" s="4">
        <v>10</v>
      </c>
      <c r="F1431" s="12">
        <v>0</v>
      </c>
      <c r="G1431" s="11">
        <v>0</v>
      </c>
      <c r="H1431" s="11">
        <v>0</v>
      </c>
      <c r="I1431" s="11">
        <v>0</v>
      </c>
      <c r="J1431" s="11">
        <v>0</v>
      </c>
      <c r="K1431" s="11">
        <v>0</v>
      </c>
      <c r="L1431" s="11" t="str" cm="1">
        <f t="array" ref="L1431">IFERROR(_xlfn.XLOOKUP(C1431&amp;A1431, ESPN!A:A&amp;ESPN!C:C, ESPN!D:D), "N/A")</f>
        <v>N/A</v>
      </c>
      <c r="M1431" s="23" t="str" cm="1">
        <f t="array" ref="M1431">IFERROR(_xlfn.XLOOKUP(C1431&amp;A1431, ESPN!A:A&amp;ESPN!C:C, ESPN!G:G), "N/A")</f>
        <v>N/A</v>
      </c>
      <c r="N1431" s="23" t="str" cm="1">
        <f t="array" ref="N1431">IFERROR(_xlfn.XLOOKUP(C1431&amp;A1431, ESPN!A:A&amp;ESPN!C:C, ESPN!H:H), "N/A")</f>
        <v>N/A</v>
      </c>
      <c r="O1431" s="26" t="str" cm="1">
        <f t="array" ref="O1431">IFERROR(_xlfn.XLOOKUP(C1431&amp;A1431, ESPN!A:A&amp;ESPN!C:C, ESPN!I:I), "N/A")</f>
        <v>N/A</v>
      </c>
      <c r="P1431" s="26" t="str" cm="1">
        <f t="array" ref="P1431">IFERROR(_xlfn.XLOOKUP(C1431&amp;A1431, ESPN!A:A&amp;ESPN!C:C, ESPN!J:J), "N/A")</f>
        <v>N/A</v>
      </c>
      <c r="Q1431" s="26" t="str" cm="1">
        <f t="array" ref="Q1431">IFERROR(_xlfn.XLOOKUP(C1431&amp;A1431, ESPN!A:A&amp;ESPN!C:C, ESPN!K:K), "N/A")</f>
        <v>N/A</v>
      </c>
    </row>
    <row r="1432" spans="1:17" x14ac:dyDescent="0.45">
      <c r="A1432" s="6">
        <v>2018</v>
      </c>
      <c r="B1432" s="1" t="s">
        <v>507</v>
      </c>
      <c r="C1432" s="2" t="str">
        <f t="shared" si="44"/>
        <v>Trey Edmunds</v>
      </c>
      <c r="D1432" s="2" t="str">
        <f t="shared" si="45"/>
        <v>PIT</v>
      </c>
      <c r="E1432" s="2">
        <v>4</v>
      </c>
      <c r="F1432" s="12">
        <v>0</v>
      </c>
      <c r="G1432" s="11">
        <v>0</v>
      </c>
      <c r="H1432" s="11">
        <v>0</v>
      </c>
      <c r="I1432" s="11">
        <v>0</v>
      </c>
      <c r="J1432" s="11">
        <v>0</v>
      </c>
      <c r="K1432" s="11">
        <v>0</v>
      </c>
      <c r="L1432" s="11" t="str" cm="1">
        <f t="array" ref="L1432">IFERROR(_xlfn.XLOOKUP(C1432&amp;A1432, ESPN!A:A&amp;ESPN!C:C, ESPN!D:D), "N/A")</f>
        <v>N/A</v>
      </c>
      <c r="M1432" s="23" t="str" cm="1">
        <f t="array" ref="M1432">IFERROR(_xlfn.XLOOKUP(C1432&amp;A1432, ESPN!A:A&amp;ESPN!C:C, ESPN!G:G), "N/A")</f>
        <v>N/A</v>
      </c>
      <c r="N1432" s="23" t="str" cm="1">
        <f t="array" ref="N1432">IFERROR(_xlfn.XLOOKUP(C1432&amp;A1432, ESPN!A:A&amp;ESPN!C:C, ESPN!H:H), "N/A")</f>
        <v>N/A</v>
      </c>
      <c r="O1432" s="26" t="str" cm="1">
        <f t="array" ref="O1432">IFERROR(_xlfn.XLOOKUP(C1432&amp;A1432, ESPN!A:A&amp;ESPN!C:C, ESPN!I:I), "N/A")</f>
        <v>N/A</v>
      </c>
      <c r="P1432" s="26" t="str" cm="1">
        <f t="array" ref="P1432">IFERROR(_xlfn.XLOOKUP(C1432&amp;A1432, ESPN!A:A&amp;ESPN!C:C, ESPN!J:J), "N/A")</f>
        <v>N/A</v>
      </c>
      <c r="Q1432" s="26" t="str" cm="1">
        <f t="array" ref="Q1432">IFERROR(_xlfn.XLOOKUP(C1432&amp;A1432, ESPN!A:A&amp;ESPN!C:C, ESPN!K:K), "N/A")</f>
        <v>N/A</v>
      </c>
    </row>
    <row r="1433" spans="1:17" x14ac:dyDescent="0.45">
      <c r="A1433" s="7">
        <v>2018</v>
      </c>
      <c r="B1433" s="3" t="s">
        <v>691</v>
      </c>
      <c r="C1433" s="4" t="str">
        <f t="shared" si="44"/>
        <v>Lavon Coleman</v>
      </c>
      <c r="D1433" s="4" t="str">
        <f t="shared" si="45"/>
        <v>GB</v>
      </c>
      <c r="E1433" s="4">
        <v>1</v>
      </c>
      <c r="F1433" s="12">
        <v>0</v>
      </c>
      <c r="G1433" s="11">
        <v>0</v>
      </c>
      <c r="H1433" s="11">
        <v>0</v>
      </c>
      <c r="I1433" s="11">
        <v>0</v>
      </c>
      <c r="J1433" s="11">
        <v>0</v>
      </c>
      <c r="K1433" s="11">
        <v>0</v>
      </c>
      <c r="L1433" s="11" t="str" cm="1">
        <f t="array" ref="L1433">IFERROR(_xlfn.XLOOKUP(C1433&amp;A1433, ESPN!A:A&amp;ESPN!C:C, ESPN!D:D), "N/A")</f>
        <v>N/A</v>
      </c>
      <c r="M1433" s="23" t="str" cm="1">
        <f t="array" ref="M1433">IFERROR(_xlfn.XLOOKUP(C1433&amp;A1433, ESPN!A:A&amp;ESPN!C:C, ESPN!G:G), "N/A")</f>
        <v>N/A</v>
      </c>
      <c r="N1433" s="23" t="str" cm="1">
        <f t="array" ref="N1433">IFERROR(_xlfn.XLOOKUP(C1433&amp;A1433, ESPN!A:A&amp;ESPN!C:C, ESPN!H:H), "N/A")</f>
        <v>N/A</v>
      </c>
      <c r="O1433" s="26" t="str" cm="1">
        <f t="array" ref="O1433">IFERROR(_xlfn.XLOOKUP(C1433&amp;A1433, ESPN!A:A&amp;ESPN!C:C, ESPN!I:I), "N/A")</f>
        <v>N/A</v>
      </c>
      <c r="P1433" s="26" t="str" cm="1">
        <f t="array" ref="P1433">IFERROR(_xlfn.XLOOKUP(C1433&amp;A1433, ESPN!A:A&amp;ESPN!C:C, ESPN!J:J), "N/A")</f>
        <v>N/A</v>
      </c>
      <c r="Q1433" s="26" t="str" cm="1">
        <f t="array" ref="Q1433">IFERROR(_xlfn.XLOOKUP(C1433&amp;A1433, ESPN!A:A&amp;ESPN!C:C, ESPN!K:K), "N/A")</f>
        <v>N/A</v>
      </c>
    </row>
    <row r="1434" spans="1:17" x14ac:dyDescent="0.45">
      <c r="A1434" s="6">
        <v>2018</v>
      </c>
      <c r="B1434" s="1" t="s">
        <v>759</v>
      </c>
      <c r="C1434" s="2" t="str">
        <f t="shared" si="44"/>
        <v>Godwin Igwebuike</v>
      </c>
      <c r="D1434" s="2" t="str">
        <f t="shared" si="45"/>
        <v>SF</v>
      </c>
      <c r="E1434" s="2">
        <v>6</v>
      </c>
      <c r="F1434" s="12">
        <v>0</v>
      </c>
      <c r="G1434" s="11">
        <v>0</v>
      </c>
      <c r="H1434" s="11">
        <v>0</v>
      </c>
      <c r="I1434" s="11">
        <v>0</v>
      </c>
      <c r="J1434" s="11">
        <v>0</v>
      </c>
      <c r="K1434" s="11">
        <v>0</v>
      </c>
      <c r="L1434" s="11" t="str" cm="1">
        <f t="array" ref="L1434">IFERROR(_xlfn.XLOOKUP(C1434&amp;A1434, ESPN!A:A&amp;ESPN!C:C, ESPN!D:D), "N/A")</f>
        <v>N/A</v>
      </c>
      <c r="M1434" s="23" t="str" cm="1">
        <f t="array" ref="M1434">IFERROR(_xlfn.XLOOKUP(C1434&amp;A1434, ESPN!A:A&amp;ESPN!C:C, ESPN!G:G), "N/A")</f>
        <v>N/A</v>
      </c>
      <c r="N1434" s="23" t="str" cm="1">
        <f t="array" ref="N1434">IFERROR(_xlfn.XLOOKUP(C1434&amp;A1434, ESPN!A:A&amp;ESPN!C:C, ESPN!H:H), "N/A")</f>
        <v>N/A</v>
      </c>
      <c r="O1434" s="26" t="str" cm="1">
        <f t="array" ref="O1434">IFERROR(_xlfn.XLOOKUP(C1434&amp;A1434, ESPN!A:A&amp;ESPN!C:C, ESPN!I:I), "N/A")</f>
        <v>N/A</v>
      </c>
      <c r="P1434" s="26" t="str" cm="1">
        <f t="array" ref="P1434">IFERROR(_xlfn.XLOOKUP(C1434&amp;A1434, ESPN!A:A&amp;ESPN!C:C, ESPN!J:J), "N/A")</f>
        <v>N/A</v>
      </c>
      <c r="Q1434" s="26" t="str" cm="1">
        <f t="array" ref="Q1434">IFERROR(_xlfn.XLOOKUP(C1434&amp;A1434, ESPN!A:A&amp;ESPN!C:C, ESPN!K:K), "N/A")</f>
        <v>N/A</v>
      </c>
    </row>
    <row r="1435" spans="1:17" x14ac:dyDescent="0.45">
      <c r="A1435" s="7">
        <v>2018</v>
      </c>
      <c r="B1435" s="3" t="s">
        <v>760</v>
      </c>
      <c r="C1435" s="4" t="str">
        <f t="shared" si="44"/>
        <v>Jason Cabinda</v>
      </c>
      <c r="D1435" s="4" t="str">
        <f t="shared" si="45"/>
        <v>OAK</v>
      </c>
      <c r="E1435" s="4">
        <v>10</v>
      </c>
      <c r="F1435" s="12">
        <v>0</v>
      </c>
      <c r="G1435" s="11">
        <v>0</v>
      </c>
      <c r="H1435" s="11">
        <v>0</v>
      </c>
      <c r="I1435" s="11">
        <v>0</v>
      </c>
      <c r="J1435" s="11">
        <v>0</v>
      </c>
      <c r="K1435" s="11">
        <v>0</v>
      </c>
      <c r="L1435" s="11" t="str" cm="1">
        <f t="array" ref="L1435">IFERROR(_xlfn.XLOOKUP(C1435&amp;A1435, ESPN!A:A&amp;ESPN!C:C, ESPN!D:D), "N/A")</f>
        <v>N/A</v>
      </c>
      <c r="M1435" s="23" t="str" cm="1">
        <f t="array" ref="M1435">IFERROR(_xlfn.XLOOKUP(C1435&amp;A1435, ESPN!A:A&amp;ESPN!C:C, ESPN!G:G), "N/A")</f>
        <v>N/A</v>
      </c>
      <c r="N1435" s="23" t="str" cm="1">
        <f t="array" ref="N1435">IFERROR(_xlfn.XLOOKUP(C1435&amp;A1435, ESPN!A:A&amp;ESPN!C:C, ESPN!H:H), "N/A")</f>
        <v>N/A</v>
      </c>
      <c r="O1435" s="26" t="str" cm="1">
        <f t="array" ref="O1435">IFERROR(_xlfn.XLOOKUP(C1435&amp;A1435, ESPN!A:A&amp;ESPN!C:C, ESPN!I:I), "N/A")</f>
        <v>N/A</v>
      </c>
      <c r="P1435" s="26" t="str" cm="1">
        <f t="array" ref="P1435">IFERROR(_xlfn.XLOOKUP(C1435&amp;A1435, ESPN!A:A&amp;ESPN!C:C, ESPN!J:J), "N/A")</f>
        <v>N/A</v>
      </c>
      <c r="Q1435" s="26" t="str" cm="1">
        <f t="array" ref="Q1435">IFERROR(_xlfn.XLOOKUP(C1435&amp;A1435, ESPN!A:A&amp;ESPN!C:C, ESPN!K:K), "N/A")</f>
        <v>N/A</v>
      </c>
    </row>
    <row r="1436" spans="1:17" x14ac:dyDescent="0.45">
      <c r="A1436" s="6">
        <v>2018</v>
      </c>
      <c r="B1436" s="1" t="s">
        <v>288</v>
      </c>
      <c r="C1436" s="2" t="str">
        <f t="shared" si="44"/>
        <v>Boston Scott</v>
      </c>
      <c r="D1436" s="2" t="str">
        <f t="shared" si="45"/>
        <v>PHI</v>
      </c>
      <c r="E1436" s="2">
        <v>2</v>
      </c>
      <c r="F1436" s="12">
        <v>0</v>
      </c>
      <c r="G1436" s="11">
        <v>0</v>
      </c>
      <c r="H1436" s="11">
        <v>0</v>
      </c>
      <c r="I1436" s="11">
        <v>0</v>
      </c>
      <c r="J1436" s="11">
        <v>0</v>
      </c>
      <c r="K1436" s="11">
        <v>0</v>
      </c>
      <c r="L1436" s="11" t="str" cm="1">
        <f t="array" ref="L1436">IFERROR(_xlfn.XLOOKUP(C1436&amp;A1436, ESPN!A:A&amp;ESPN!C:C, ESPN!D:D), "N/A")</f>
        <v>N/A</v>
      </c>
      <c r="M1436" s="23" t="str" cm="1">
        <f t="array" ref="M1436">IFERROR(_xlfn.XLOOKUP(C1436&amp;A1436, ESPN!A:A&amp;ESPN!C:C, ESPN!G:G), "N/A")</f>
        <v>N/A</v>
      </c>
      <c r="N1436" s="23" t="str" cm="1">
        <f t="array" ref="N1436">IFERROR(_xlfn.XLOOKUP(C1436&amp;A1436, ESPN!A:A&amp;ESPN!C:C, ESPN!H:H), "N/A")</f>
        <v>N/A</v>
      </c>
      <c r="O1436" s="26" t="str" cm="1">
        <f t="array" ref="O1436">IFERROR(_xlfn.XLOOKUP(C1436&amp;A1436, ESPN!A:A&amp;ESPN!C:C, ESPN!I:I), "N/A")</f>
        <v>N/A</v>
      </c>
      <c r="P1436" s="26" t="str" cm="1">
        <f t="array" ref="P1436">IFERROR(_xlfn.XLOOKUP(C1436&amp;A1436, ESPN!A:A&amp;ESPN!C:C, ESPN!J:J), "N/A")</f>
        <v>N/A</v>
      </c>
      <c r="Q1436" s="26" t="str" cm="1">
        <f t="array" ref="Q1436">IFERROR(_xlfn.XLOOKUP(C1436&amp;A1436, ESPN!A:A&amp;ESPN!C:C, ESPN!K:K), "N/A")</f>
        <v>N/A</v>
      </c>
    </row>
    <row r="1437" spans="1:17" x14ac:dyDescent="0.45">
      <c r="A1437" s="7">
        <v>2018</v>
      </c>
      <c r="B1437" s="3" t="s">
        <v>571</v>
      </c>
      <c r="C1437" s="4" t="str">
        <f t="shared" si="44"/>
        <v>Buddy Howell</v>
      </c>
      <c r="D1437" s="4" t="str">
        <f t="shared" si="45"/>
        <v>HOU</v>
      </c>
      <c r="E1437" s="4">
        <v>15</v>
      </c>
      <c r="F1437" s="12">
        <v>0</v>
      </c>
      <c r="G1437" s="11">
        <v>0</v>
      </c>
      <c r="H1437" s="11">
        <v>0</v>
      </c>
      <c r="I1437" s="11">
        <v>0</v>
      </c>
      <c r="J1437" s="11">
        <v>0</v>
      </c>
      <c r="K1437" s="11">
        <v>0</v>
      </c>
      <c r="L1437" s="11" t="str" cm="1">
        <f t="array" ref="L1437">IFERROR(_xlfn.XLOOKUP(C1437&amp;A1437, ESPN!A:A&amp;ESPN!C:C, ESPN!D:D), "N/A")</f>
        <v>N/A</v>
      </c>
      <c r="M1437" s="23" t="str" cm="1">
        <f t="array" ref="M1437">IFERROR(_xlfn.XLOOKUP(C1437&amp;A1437, ESPN!A:A&amp;ESPN!C:C, ESPN!G:G), "N/A")</f>
        <v>N/A</v>
      </c>
      <c r="N1437" s="23" t="str" cm="1">
        <f t="array" ref="N1437">IFERROR(_xlfn.XLOOKUP(C1437&amp;A1437, ESPN!A:A&amp;ESPN!C:C, ESPN!H:H), "N/A")</f>
        <v>N/A</v>
      </c>
      <c r="O1437" s="26" t="str" cm="1">
        <f t="array" ref="O1437">IFERROR(_xlfn.XLOOKUP(C1437&amp;A1437, ESPN!A:A&amp;ESPN!C:C, ESPN!I:I), "N/A")</f>
        <v>N/A</v>
      </c>
      <c r="P1437" s="26" t="str" cm="1">
        <f t="array" ref="P1437">IFERROR(_xlfn.XLOOKUP(C1437&amp;A1437, ESPN!A:A&amp;ESPN!C:C, ESPN!J:J), "N/A")</f>
        <v>N/A</v>
      </c>
      <c r="Q1437" s="26" t="str" cm="1">
        <f t="array" ref="Q1437">IFERROR(_xlfn.XLOOKUP(C1437&amp;A1437, ESPN!A:A&amp;ESPN!C:C, ESPN!K:K), "N/A")</f>
        <v>N/A</v>
      </c>
    </row>
    <row r="1438" spans="1:17" x14ac:dyDescent="0.45">
      <c r="A1438" s="6">
        <v>2018</v>
      </c>
      <c r="B1438" s="1" t="s">
        <v>695</v>
      </c>
      <c r="C1438" s="2" t="str">
        <f t="shared" si="44"/>
        <v>Donnie Ernsberger</v>
      </c>
      <c r="D1438" s="2" t="str">
        <f t="shared" si="45"/>
        <v>TB</v>
      </c>
      <c r="E1438" s="2">
        <v>2</v>
      </c>
      <c r="F1438" s="12">
        <v>0</v>
      </c>
      <c r="G1438" s="11">
        <v>0</v>
      </c>
      <c r="H1438" s="11">
        <v>0</v>
      </c>
      <c r="I1438" s="11">
        <v>0</v>
      </c>
      <c r="J1438" s="11">
        <v>0</v>
      </c>
      <c r="K1438" s="11">
        <v>0</v>
      </c>
      <c r="L1438" s="11" t="str" cm="1">
        <f t="array" ref="L1438">IFERROR(_xlfn.XLOOKUP(C1438&amp;A1438, ESPN!A:A&amp;ESPN!C:C, ESPN!D:D), "N/A")</f>
        <v>N/A</v>
      </c>
      <c r="M1438" s="23" t="str" cm="1">
        <f t="array" ref="M1438">IFERROR(_xlfn.XLOOKUP(C1438&amp;A1438, ESPN!A:A&amp;ESPN!C:C, ESPN!G:G), "N/A")</f>
        <v>N/A</v>
      </c>
      <c r="N1438" s="23" t="str" cm="1">
        <f t="array" ref="N1438">IFERROR(_xlfn.XLOOKUP(C1438&amp;A1438, ESPN!A:A&amp;ESPN!C:C, ESPN!H:H), "N/A")</f>
        <v>N/A</v>
      </c>
      <c r="O1438" s="26" t="str" cm="1">
        <f t="array" ref="O1438">IFERROR(_xlfn.XLOOKUP(C1438&amp;A1438, ESPN!A:A&amp;ESPN!C:C, ESPN!I:I), "N/A")</f>
        <v>N/A</v>
      </c>
      <c r="P1438" s="26" t="str" cm="1">
        <f t="array" ref="P1438">IFERROR(_xlfn.XLOOKUP(C1438&amp;A1438, ESPN!A:A&amp;ESPN!C:C, ESPN!J:J), "N/A")</f>
        <v>N/A</v>
      </c>
      <c r="Q1438" s="26" t="str" cm="1">
        <f t="array" ref="Q1438">IFERROR(_xlfn.XLOOKUP(C1438&amp;A1438, ESPN!A:A&amp;ESPN!C:C, ESPN!K:K), "N/A")</f>
        <v>N/A</v>
      </c>
    </row>
    <row r="1439" spans="1:17" x14ac:dyDescent="0.45">
      <c r="A1439" s="7">
        <v>2018</v>
      </c>
      <c r="B1439" s="3" t="s">
        <v>650</v>
      </c>
      <c r="C1439" s="4" t="str">
        <f t="shared" si="44"/>
        <v>Dalyn Dawkins</v>
      </c>
      <c r="D1439" s="4" t="str">
        <f t="shared" si="45"/>
        <v>TEN</v>
      </c>
      <c r="E1439" s="4">
        <v>2</v>
      </c>
      <c r="F1439" s="12">
        <v>0</v>
      </c>
      <c r="G1439" s="11">
        <v>0</v>
      </c>
      <c r="H1439" s="11">
        <v>0</v>
      </c>
      <c r="I1439" s="11">
        <v>0</v>
      </c>
      <c r="J1439" s="11">
        <v>0</v>
      </c>
      <c r="K1439" s="11">
        <v>0</v>
      </c>
      <c r="L1439" s="11" t="str" cm="1">
        <f t="array" ref="L1439">IFERROR(_xlfn.XLOOKUP(C1439&amp;A1439, ESPN!A:A&amp;ESPN!C:C, ESPN!D:D), "N/A")</f>
        <v>N/A</v>
      </c>
      <c r="M1439" s="23" t="str" cm="1">
        <f t="array" ref="M1439">IFERROR(_xlfn.XLOOKUP(C1439&amp;A1439, ESPN!A:A&amp;ESPN!C:C, ESPN!G:G), "N/A")</f>
        <v>N/A</v>
      </c>
      <c r="N1439" s="23" t="str" cm="1">
        <f t="array" ref="N1439">IFERROR(_xlfn.XLOOKUP(C1439&amp;A1439, ESPN!A:A&amp;ESPN!C:C, ESPN!H:H), "N/A")</f>
        <v>N/A</v>
      </c>
      <c r="O1439" s="26" t="str" cm="1">
        <f t="array" ref="O1439">IFERROR(_xlfn.XLOOKUP(C1439&amp;A1439, ESPN!A:A&amp;ESPN!C:C, ESPN!I:I), "N/A")</f>
        <v>N/A</v>
      </c>
      <c r="P1439" s="26" t="str" cm="1">
        <f t="array" ref="P1439">IFERROR(_xlfn.XLOOKUP(C1439&amp;A1439, ESPN!A:A&amp;ESPN!C:C, ESPN!J:J), "N/A")</f>
        <v>N/A</v>
      </c>
      <c r="Q1439" s="26" t="str" cm="1">
        <f t="array" ref="Q1439">IFERROR(_xlfn.XLOOKUP(C1439&amp;A1439, ESPN!A:A&amp;ESPN!C:C, ESPN!K:K), "N/A")</f>
        <v>N/A</v>
      </c>
    </row>
    <row r="1440" spans="1:17" x14ac:dyDescent="0.45">
      <c r="A1440" s="6">
        <v>2018</v>
      </c>
      <c r="B1440" s="1" t="s">
        <v>761</v>
      </c>
      <c r="C1440" s="2" t="str">
        <f t="shared" si="44"/>
        <v>De'Angelo Henderson Sr.</v>
      </c>
      <c r="D1440" s="2" t="str">
        <f t="shared" si="45"/>
        <v>NYJ</v>
      </c>
      <c r="E1440" s="2">
        <v>3</v>
      </c>
      <c r="F1440" s="12">
        <v>0</v>
      </c>
      <c r="G1440" s="11">
        <v>0</v>
      </c>
      <c r="H1440" s="11">
        <v>0</v>
      </c>
      <c r="I1440" s="11">
        <v>0</v>
      </c>
      <c r="J1440" s="11">
        <v>0</v>
      </c>
      <c r="K1440" s="11">
        <v>1</v>
      </c>
      <c r="L1440" s="11" t="str" cm="1">
        <f t="array" ref="L1440">IFERROR(_xlfn.XLOOKUP(C1440&amp;A1440, ESPN!A:A&amp;ESPN!C:C, ESPN!D:D), "N/A")</f>
        <v>N/A</v>
      </c>
      <c r="M1440" s="23" t="str" cm="1">
        <f t="array" ref="M1440">IFERROR(_xlfn.XLOOKUP(C1440&amp;A1440, ESPN!A:A&amp;ESPN!C:C, ESPN!G:G), "N/A")</f>
        <v>N/A</v>
      </c>
      <c r="N1440" s="23" t="str" cm="1">
        <f t="array" ref="N1440">IFERROR(_xlfn.XLOOKUP(C1440&amp;A1440, ESPN!A:A&amp;ESPN!C:C, ESPN!H:H), "N/A")</f>
        <v>N/A</v>
      </c>
      <c r="O1440" s="26" t="str" cm="1">
        <f t="array" ref="O1440">IFERROR(_xlfn.XLOOKUP(C1440&amp;A1440, ESPN!A:A&amp;ESPN!C:C, ESPN!I:I), "N/A")</f>
        <v>N/A</v>
      </c>
      <c r="P1440" s="26" t="str" cm="1">
        <f t="array" ref="P1440">IFERROR(_xlfn.XLOOKUP(C1440&amp;A1440, ESPN!A:A&amp;ESPN!C:C, ESPN!J:J), "N/A")</f>
        <v>N/A</v>
      </c>
      <c r="Q1440" s="26" t="str" cm="1">
        <f t="array" ref="Q1440">IFERROR(_xlfn.XLOOKUP(C1440&amp;A1440, ESPN!A:A&amp;ESPN!C:C, ESPN!K:K), "N/A")</f>
        <v>N/A</v>
      </c>
    </row>
    <row r="1441" spans="1:17" x14ac:dyDescent="0.45">
      <c r="A1441" s="8">
        <v>2018</v>
      </c>
      <c r="B1441" s="9" t="s">
        <v>762</v>
      </c>
      <c r="C1441" s="10" t="str">
        <f t="shared" si="44"/>
        <v>Robert Turbin</v>
      </c>
      <c r="D1441" s="10" t="str">
        <f t="shared" si="45"/>
        <v>IND</v>
      </c>
      <c r="E1441" s="10">
        <v>2</v>
      </c>
      <c r="F1441" s="12">
        <v>2</v>
      </c>
      <c r="G1441" s="11">
        <v>1</v>
      </c>
      <c r="H1441" s="11">
        <v>3</v>
      </c>
      <c r="I1441" s="11">
        <v>3</v>
      </c>
      <c r="J1441" s="11">
        <v>0</v>
      </c>
      <c r="K1441" s="11">
        <v>1</v>
      </c>
      <c r="L1441" s="11" t="str" cm="1">
        <f t="array" ref="L1441">IFERROR(_xlfn.XLOOKUP(C1441&amp;A1441, ESPN!A:A&amp;ESPN!C:C, ESPN!D:D), "N/A")</f>
        <v>N/A</v>
      </c>
      <c r="M1441" s="23" t="str" cm="1">
        <f t="array" ref="M1441">IFERROR(_xlfn.XLOOKUP(C1441&amp;A1441, ESPN!A:A&amp;ESPN!C:C, ESPN!G:G), "N/A")</f>
        <v>N/A</v>
      </c>
      <c r="N1441" s="23" t="str" cm="1">
        <f t="array" ref="N1441">IFERROR(_xlfn.XLOOKUP(C1441&amp;A1441, ESPN!A:A&amp;ESPN!C:C, ESPN!H:H), "N/A")</f>
        <v>N/A</v>
      </c>
      <c r="O1441" s="26" t="str" cm="1">
        <f t="array" ref="O1441">IFERROR(_xlfn.XLOOKUP(C1441&amp;A1441, ESPN!A:A&amp;ESPN!C:C, ESPN!I:I), "N/A")</f>
        <v>N/A</v>
      </c>
      <c r="P1441" s="26" t="str" cm="1">
        <f t="array" ref="P1441">IFERROR(_xlfn.XLOOKUP(C1441&amp;A1441, ESPN!A:A&amp;ESPN!C:C, ESPN!J:J), "N/A")</f>
        <v>N/A</v>
      </c>
      <c r="Q1441" s="26" t="str" cm="1">
        <f t="array" ref="Q1441">IFERROR(_xlfn.XLOOKUP(C1441&amp;A1441, ESPN!A:A&amp;ESPN!C:C, ESPN!K:K), "N/A")</f>
        <v>N/A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D7874-1D31-4967-8FF8-6EBDAFBFB999}">
  <dimension ref="A1:L391"/>
  <sheetViews>
    <sheetView workbookViewId="0">
      <selection activeCell="B17" sqref="B17"/>
    </sheetView>
  </sheetViews>
  <sheetFormatPr defaultRowHeight="14.25" x14ac:dyDescent="0.45"/>
  <cols>
    <col min="1" max="1" width="20.6640625" customWidth="1"/>
  </cols>
  <sheetData>
    <row r="1" spans="1:12" x14ac:dyDescent="0.45">
      <c r="A1" t="s">
        <v>2</v>
      </c>
      <c r="B1" t="s">
        <v>763</v>
      </c>
      <c r="C1" t="s">
        <v>0</v>
      </c>
      <c r="D1" t="s">
        <v>764</v>
      </c>
      <c r="E1" t="s">
        <v>765</v>
      </c>
      <c r="F1" t="s">
        <v>766</v>
      </c>
      <c r="G1" t="s">
        <v>767</v>
      </c>
      <c r="H1" t="s">
        <v>768</v>
      </c>
      <c r="I1" t="s">
        <v>769</v>
      </c>
      <c r="J1" t="s">
        <v>770</v>
      </c>
      <c r="K1" t="s">
        <v>771</v>
      </c>
    </row>
    <row r="2" spans="1:12" x14ac:dyDescent="0.45">
      <c r="A2" s="24" t="s">
        <v>772</v>
      </c>
      <c r="B2" t="s">
        <v>773</v>
      </c>
      <c r="C2">
        <v>2018</v>
      </c>
      <c r="D2">
        <v>190</v>
      </c>
      <c r="E2">
        <v>25</v>
      </c>
      <c r="F2">
        <v>378</v>
      </c>
      <c r="G2">
        <v>1.99</v>
      </c>
      <c r="H2">
        <v>32</v>
      </c>
      <c r="I2">
        <v>50</v>
      </c>
      <c r="J2">
        <v>99</v>
      </c>
      <c r="K2">
        <v>87</v>
      </c>
      <c r="L2" s="22"/>
    </row>
    <row r="3" spans="1:12" x14ac:dyDescent="0.45">
      <c r="A3" s="24" t="s">
        <v>774</v>
      </c>
      <c r="B3" t="s">
        <v>775</v>
      </c>
      <c r="C3">
        <v>2018</v>
      </c>
      <c r="D3">
        <v>355</v>
      </c>
      <c r="E3">
        <v>103</v>
      </c>
      <c r="F3">
        <v>867</v>
      </c>
      <c r="G3">
        <v>2.44</v>
      </c>
      <c r="H3">
        <v>63</v>
      </c>
      <c r="I3">
        <v>99</v>
      </c>
      <c r="J3">
        <v>50</v>
      </c>
      <c r="K3">
        <v>83</v>
      </c>
      <c r="L3" s="22"/>
    </row>
    <row r="4" spans="1:12" x14ac:dyDescent="0.45">
      <c r="A4" s="24" t="s">
        <v>776</v>
      </c>
      <c r="B4" t="s">
        <v>777</v>
      </c>
      <c r="C4">
        <v>2018</v>
      </c>
      <c r="D4">
        <v>206</v>
      </c>
      <c r="E4">
        <v>34</v>
      </c>
      <c r="F4">
        <v>276</v>
      </c>
      <c r="G4">
        <v>1.34</v>
      </c>
      <c r="H4">
        <v>51</v>
      </c>
      <c r="I4">
        <v>53</v>
      </c>
      <c r="J4">
        <v>74</v>
      </c>
      <c r="K4">
        <v>72</v>
      </c>
      <c r="L4" s="22"/>
    </row>
    <row r="5" spans="1:12" x14ac:dyDescent="0.45">
      <c r="A5" s="24" t="s">
        <v>778</v>
      </c>
      <c r="B5" t="s">
        <v>779</v>
      </c>
      <c r="C5">
        <v>2018</v>
      </c>
      <c r="D5">
        <v>270</v>
      </c>
      <c r="E5">
        <v>69</v>
      </c>
      <c r="F5">
        <v>752</v>
      </c>
      <c r="G5">
        <v>2.79</v>
      </c>
      <c r="H5">
        <v>48</v>
      </c>
      <c r="I5">
        <v>86</v>
      </c>
      <c r="J5">
        <v>55</v>
      </c>
      <c r="K5">
        <v>71</v>
      </c>
      <c r="L5" s="22"/>
    </row>
    <row r="6" spans="1:12" x14ac:dyDescent="0.45">
      <c r="A6" s="24" t="s">
        <v>780</v>
      </c>
      <c r="B6" t="s">
        <v>781</v>
      </c>
      <c r="C6">
        <v>2018</v>
      </c>
      <c r="D6">
        <v>126</v>
      </c>
      <c r="E6">
        <v>20</v>
      </c>
      <c r="F6">
        <v>261</v>
      </c>
      <c r="G6">
        <v>2.0699999999999998</v>
      </c>
      <c r="H6">
        <v>36</v>
      </c>
      <c r="I6">
        <v>62</v>
      </c>
      <c r="J6">
        <v>72</v>
      </c>
      <c r="K6">
        <v>70</v>
      </c>
      <c r="L6" s="22"/>
    </row>
    <row r="7" spans="1:12" x14ac:dyDescent="0.45">
      <c r="A7" s="24" t="s">
        <v>782</v>
      </c>
      <c r="B7" t="s">
        <v>783</v>
      </c>
      <c r="C7">
        <v>2018</v>
      </c>
      <c r="D7">
        <v>317</v>
      </c>
      <c r="E7">
        <v>92</v>
      </c>
      <c r="F7">
        <v>840</v>
      </c>
      <c r="G7">
        <v>2.65</v>
      </c>
      <c r="H7">
        <v>33</v>
      </c>
      <c r="I7">
        <v>69</v>
      </c>
      <c r="J7">
        <v>67</v>
      </c>
      <c r="K7">
        <v>67</v>
      </c>
      <c r="L7" s="22"/>
    </row>
    <row r="8" spans="1:12" x14ac:dyDescent="0.45">
      <c r="A8" s="24" t="s">
        <v>784</v>
      </c>
      <c r="B8" t="s">
        <v>785</v>
      </c>
      <c r="C8">
        <v>2018</v>
      </c>
      <c r="D8">
        <v>112</v>
      </c>
      <c r="E8">
        <v>21</v>
      </c>
      <c r="F8">
        <v>208</v>
      </c>
      <c r="G8">
        <v>1.86</v>
      </c>
      <c r="H8">
        <v>51</v>
      </c>
      <c r="I8">
        <v>40</v>
      </c>
      <c r="J8">
        <v>72</v>
      </c>
      <c r="K8">
        <v>64</v>
      </c>
      <c r="L8" s="22"/>
    </row>
    <row r="9" spans="1:12" x14ac:dyDescent="0.45">
      <c r="A9" s="24" t="s">
        <v>786</v>
      </c>
      <c r="B9" t="s">
        <v>787</v>
      </c>
      <c r="C9">
        <v>2018</v>
      </c>
      <c r="D9">
        <v>82</v>
      </c>
      <c r="E9">
        <v>24</v>
      </c>
      <c r="F9">
        <v>176</v>
      </c>
      <c r="G9">
        <v>2.15</v>
      </c>
      <c r="H9">
        <v>66</v>
      </c>
      <c r="I9">
        <v>54</v>
      </c>
      <c r="J9">
        <v>55</v>
      </c>
      <c r="K9">
        <v>63</v>
      </c>
      <c r="L9" s="22"/>
    </row>
    <row r="10" spans="1:12" x14ac:dyDescent="0.45">
      <c r="A10" s="24" t="s">
        <v>788</v>
      </c>
      <c r="B10" t="s">
        <v>789</v>
      </c>
      <c r="C10">
        <v>2018</v>
      </c>
      <c r="D10">
        <v>177</v>
      </c>
      <c r="E10">
        <v>61</v>
      </c>
      <c r="F10">
        <v>607</v>
      </c>
      <c r="G10">
        <v>3.43</v>
      </c>
      <c r="H10">
        <v>78</v>
      </c>
      <c r="I10">
        <v>62</v>
      </c>
      <c r="J10">
        <v>45</v>
      </c>
      <c r="K10">
        <v>62</v>
      </c>
      <c r="L10" s="22"/>
    </row>
    <row r="11" spans="1:12" x14ac:dyDescent="0.45">
      <c r="A11" s="24" t="s">
        <v>790</v>
      </c>
      <c r="B11" t="s">
        <v>773</v>
      </c>
      <c r="C11">
        <v>2018</v>
      </c>
      <c r="D11">
        <v>126</v>
      </c>
      <c r="E11">
        <v>22</v>
      </c>
      <c r="F11">
        <v>251</v>
      </c>
      <c r="G11">
        <v>1.99</v>
      </c>
      <c r="H11">
        <v>48</v>
      </c>
      <c r="I11">
        <v>63</v>
      </c>
      <c r="J11">
        <v>56</v>
      </c>
      <c r="K11">
        <v>61</v>
      </c>
      <c r="L11" s="22"/>
    </row>
    <row r="12" spans="1:12" x14ac:dyDescent="0.45">
      <c r="A12" s="24" t="s">
        <v>791</v>
      </c>
      <c r="B12" t="s">
        <v>792</v>
      </c>
      <c r="C12">
        <v>2018</v>
      </c>
      <c r="D12">
        <v>179</v>
      </c>
      <c r="E12">
        <v>53</v>
      </c>
      <c r="F12">
        <v>437</v>
      </c>
      <c r="G12">
        <v>2.44</v>
      </c>
      <c r="H12">
        <v>35</v>
      </c>
      <c r="I12">
        <v>36</v>
      </c>
      <c r="J12">
        <v>77</v>
      </c>
      <c r="K12">
        <v>61</v>
      </c>
      <c r="L12" s="22"/>
    </row>
    <row r="13" spans="1:12" x14ac:dyDescent="0.45">
      <c r="A13" s="24" t="s">
        <v>793</v>
      </c>
      <c r="B13" t="s">
        <v>794</v>
      </c>
      <c r="C13">
        <v>2018</v>
      </c>
      <c r="D13">
        <v>146</v>
      </c>
      <c r="E13">
        <v>29</v>
      </c>
      <c r="F13">
        <v>305</v>
      </c>
      <c r="G13">
        <v>2.09</v>
      </c>
      <c r="H13">
        <v>51</v>
      </c>
      <c r="I13">
        <v>47</v>
      </c>
      <c r="J13">
        <v>64</v>
      </c>
      <c r="K13">
        <v>61</v>
      </c>
      <c r="L13" s="22"/>
    </row>
    <row r="14" spans="1:12" x14ac:dyDescent="0.45">
      <c r="A14" s="24" t="s">
        <v>795</v>
      </c>
      <c r="B14" t="s">
        <v>796</v>
      </c>
      <c r="C14">
        <v>2018</v>
      </c>
      <c r="D14">
        <v>218</v>
      </c>
      <c r="E14">
        <v>43</v>
      </c>
      <c r="F14">
        <v>400</v>
      </c>
      <c r="G14">
        <v>1.83</v>
      </c>
      <c r="H14">
        <v>69</v>
      </c>
      <c r="I14">
        <v>56</v>
      </c>
      <c r="J14">
        <v>49</v>
      </c>
      <c r="K14">
        <v>59</v>
      </c>
      <c r="L14" s="22"/>
    </row>
    <row r="15" spans="1:12" x14ac:dyDescent="0.45">
      <c r="A15" s="24" t="s">
        <v>945</v>
      </c>
      <c r="B15" t="s">
        <v>792</v>
      </c>
      <c r="C15">
        <v>2018</v>
      </c>
      <c r="D15">
        <v>198</v>
      </c>
      <c r="E15">
        <v>50</v>
      </c>
      <c r="F15">
        <v>504</v>
      </c>
      <c r="G15">
        <v>2.5499999999999998</v>
      </c>
      <c r="H15">
        <v>48</v>
      </c>
      <c r="I15">
        <v>40</v>
      </c>
      <c r="J15">
        <v>67</v>
      </c>
      <c r="K15">
        <v>59</v>
      </c>
      <c r="L15" s="22"/>
    </row>
    <row r="16" spans="1:12" x14ac:dyDescent="0.45">
      <c r="A16" s="24" t="s">
        <v>797</v>
      </c>
      <c r="B16" t="s">
        <v>798</v>
      </c>
      <c r="C16">
        <v>2018</v>
      </c>
      <c r="D16">
        <v>237</v>
      </c>
      <c r="E16">
        <v>45</v>
      </c>
      <c r="F16">
        <v>497</v>
      </c>
      <c r="G16">
        <v>2.1</v>
      </c>
      <c r="H16">
        <v>36</v>
      </c>
      <c r="I16">
        <v>32</v>
      </c>
      <c r="J16">
        <v>77</v>
      </c>
      <c r="K16">
        <v>59</v>
      </c>
      <c r="L16" s="22"/>
    </row>
    <row r="17" spans="1:12" x14ac:dyDescent="0.45">
      <c r="A17" s="24" t="s">
        <v>799</v>
      </c>
      <c r="B17" t="s">
        <v>800</v>
      </c>
      <c r="C17">
        <v>2018</v>
      </c>
      <c r="D17">
        <v>313</v>
      </c>
      <c r="E17">
        <v>75</v>
      </c>
      <c r="F17">
        <v>618</v>
      </c>
      <c r="G17">
        <v>1.97</v>
      </c>
      <c r="H17">
        <v>49</v>
      </c>
      <c r="I17">
        <v>60</v>
      </c>
      <c r="J17">
        <v>53</v>
      </c>
      <c r="K17">
        <v>58</v>
      </c>
      <c r="L17" s="22"/>
    </row>
    <row r="18" spans="1:12" x14ac:dyDescent="0.45">
      <c r="A18" s="24" t="s">
        <v>801</v>
      </c>
      <c r="B18" t="s">
        <v>802</v>
      </c>
      <c r="C18">
        <v>2018</v>
      </c>
      <c r="D18">
        <v>118</v>
      </c>
      <c r="E18">
        <v>29</v>
      </c>
      <c r="F18">
        <v>241</v>
      </c>
      <c r="G18">
        <v>2.04</v>
      </c>
      <c r="H18">
        <v>44</v>
      </c>
      <c r="I18">
        <v>31</v>
      </c>
      <c r="J18">
        <v>73</v>
      </c>
      <c r="K18">
        <v>58</v>
      </c>
      <c r="L18" s="22"/>
    </row>
    <row r="19" spans="1:12" x14ac:dyDescent="0.45">
      <c r="A19" s="24" t="s">
        <v>803</v>
      </c>
      <c r="B19" t="s">
        <v>804</v>
      </c>
      <c r="C19">
        <v>2018</v>
      </c>
      <c r="D19">
        <v>122</v>
      </c>
      <c r="E19">
        <v>29</v>
      </c>
      <c r="F19">
        <v>213</v>
      </c>
      <c r="G19">
        <v>1.75</v>
      </c>
      <c r="H19">
        <v>63</v>
      </c>
      <c r="I19">
        <v>57</v>
      </c>
      <c r="J19">
        <v>50</v>
      </c>
      <c r="K19">
        <v>58</v>
      </c>
      <c r="L19" s="22"/>
    </row>
    <row r="20" spans="1:12" x14ac:dyDescent="0.45">
      <c r="A20" s="24" t="s">
        <v>805</v>
      </c>
      <c r="B20" t="s">
        <v>787</v>
      </c>
      <c r="C20">
        <v>2018</v>
      </c>
      <c r="D20">
        <v>358</v>
      </c>
      <c r="E20">
        <v>112</v>
      </c>
      <c r="F20">
        <v>902</v>
      </c>
      <c r="G20">
        <v>2.52</v>
      </c>
      <c r="H20">
        <v>62</v>
      </c>
      <c r="I20">
        <v>45</v>
      </c>
      <c r="J20">
        <v>54</v>
      </c>
      <c r="K20">
        <v>55</v>
      </c>
      <c r="L20" s="22"/>
    </row>
    <row r="21" spans="1:12" x14ac:dyDescent="0.45">
      <c r="A21" s="24" t="s">
        <v>806</v>
      </c>
      <c r="B21" t="s">
        <v>807</v>
      </c>
      <c r="C21">
        <v>2018</v>
      </c>
      <c r="D21">
        <v>129</v>
      </c>
      <c r="E21">
        <v>26</v>
      </c>
      <c r="F21">
        <v>193</v>
      </c>
      <c r="G21">
        <v>1.5</v>
      </c>
      <c r="H21">
        <v>67</v>
      </c>
      <c r="I21">
        <v>33</v>
      </c>
      <c r="J21">
        <v>58</v>
      </c>
      <c r="K21">
        <v>55</v>
      </c>
      <c r="L21" s="22"/>
    </row>
    <row r="22" spans="1:12" x14ac:dyDescent="0.45">
      <c r="A22" s="24" t="s">
        <v>808</v>
      </c>
      <c r="B22" t="s">
        <v>809</v>
      </c>
      <c r="C22">
        <v>2018</v>
      </c>
      <c r="D22">
        <v>161</v>
      </c>
      <c r="E22">
        <v>28</v>
      </c>
      <c r="F22">
        <v>165</v>
      </c>
      <c r="G22">
        <v>1.02</v>
      </c>
      <c r="H22">
        <v>60</v>
      </c>
      <c r="I22">
        <v>55</v>
      </c>
      <c r="J22">
        <v>48</v>
      </c>
      <c r="K22">
        <v>54</v>
      </c>
      <c r="L22" s="22"/>
    </row>
    <row r="23" spans="1:12" x14ac:dyDescent="0.45">
      <c r="A23" s="24" t="s">
        <v>810</v>
      </c>
      <c r="B23" t="s">
        <v>811</v>
      </c>
      <c r="C23">
        <v>2018</v>
      </c>
      <c r="D23">
        <v>210</v>
      </c>
      <c r="E23">
        <v>61</v>
      </c>
      <c r="F23">
        <v>477</v>
      </c>
      <c r="G23">
        <v>2.27</v>
      </c>
      <c r="H23">
        <v>48</v>
      </c>
      <c r="I23">
        <v>55</v>
      </c>
      <c r="J23">
        <v>52</v>
      </c>
      <c r="K23">
        <v>53</v>
      </c>
      <c r="L23" s="22"/>
    </row>
    <row r="24" spans="1:12" x14ac:dyDescent="0.45">
      <c r="A24" s="24" t="s">
        <v>946</v>
      </c>
      <c r="B24" t="s">
        <v>783</v>
      </c>
      <c r="C24">
        <v>2018</v>
      </c>
      <c r="D24">
        <v>109</v>
      </c>
      <c r="E24">
        <v>24</v>
      </c>
      <c r="F24">
        <v>185</v>
      </c>
      <c r="G24">
        <v>1.7</v>
      </c>
      <c r="H24">
        <v>26</v>
      </c>
      <c r="I24">
        <v>53</v>
      </c>
      <c r="J24">
        <v>59</v>
      </c>
      <c r="K24">
        <v>50</v>
      </c>
      <c r="L24" s="22"/>
    </row>
    <row r="25" spans="1:12" x14ac:dyDescent="0.45">
      <c r="A25" s="24" t="s">
        <v>812</v>
      </c>
      <c r="B25" t="s">
        <v>813</v>
      </c>
      <c r="C25">
        <v>2018</v>
      </c>
      <c r="D25">
        <v>133</v>
      </c>
      <c r="E25">
        <v>37</v>
      </c>
      <c r="F25">
        <v>196</v>
      </c>
      <c r="G25">
        <v>1.47</v>
      </c>
      <c r="H25">
        <v>60</v>
      </c>
      <c r="I25">
        <v>60</v>
      </c>
      <c r="J25">
        <v>39</v>
      </c>
      <c r="K25">
        <v>49</v>
      </c>
      <c r="L25" s="22"/>
    </row>
    <row r="26" spans="1:12" x14ac:dyDescent="0.45">
      <c r="A26" s="24" t="s">
        <v>947</v>
      </c>
      <c r="B26" t="s">
        <v>814</v>
      </c>
      <c r="C26">
        <v>2018</v>
      </c>
      <c r="D26">
        <v>356</v>
      </c>
      <c r="E26">
        <v>61</v>
      </c>
      <c r="F26">
        <v>585</v>
      </c>
      <c r="G26">
        <v>1.64</v>
      </c>
      <c r="H26">
        <v>45</v>
      </c>
      <c r="I26">
        <v>25</v>
      </c>
      <c r="J26">
        <v>66</v>
      </c>
      <c r="K26">
        <v>49</v>
      </c>
      <c r="L26" s="22"/>
    </row>
    <row r="27" spans="1:12" x14ac:dyDescent="0.45">
      <c r="A27" s="24" t="s">
        <v>948</v>
      </c>
      <c r="B27" t="s">
        <v>815</v>
      </c>
      <c r="C27">
        <v>2018</v>
      </c>
      <c r="D27">
        <v>232</v>
      </c>
      <c r="E27">
        <v>45</v>
      </c>
      <c r="F27">
        <v>429</v>
      </c>
      <c r="G27">
        <v>1.85</v>
      </c>
      <c r="H27">
        <v>49</v>
      </c>
      <c r="I27">
        <v>62</v>
      </c>
      <c r="J27">
        <v>43</v>
      </c>
      <c r="K27">
        <v>49</v>
      </c>
      <c r="L27" s="22"/>
    </row>
    <row r="28" spans="1:12" x14ac:dyDescent="0.45">
      <c r="A28" s="24" t="s">
        <v>949</v>
      </c>
      <c r="B28" t="s">
        <v>816</v>
      </c>
      <c r="C28">
        <v>2018</v>
      </c>
      <c r="D28">
        <v>145</v>
      </c>
      <c r="E28">
        <v>24</v>
      </c>
      <c r="F28">
        <v>206</v>
      </c>
      <c r="G28">
        <v>1.42</v>
      </c>
      <c r="H28">
        <v>34</v>
      </c>
      <c r="I28">
        <v>53</v>
      </c>
      <c r="J28">
        <v>54</v>
      </c>
      <c r="K28">
        <v>49</v>
      </c>
      <c r="L28" s="22"/>
    </row>
    <row r="29" spans="1:12" x14ac:dyDescent="0.45">
      <c r="A29" s="24" t="s">
        <v>817</v>
      </c>
      <c r="B29" t="s">
        <v>818</v>
      </c>
      <c r="C29">
        <v>2018</v>
      </c>
      <c r="D29">
        <v>96</v>
      </c>
      <c r="E29">
        <v>26</v>
      </c>
      <c r="F29">
        <v>195</v>
      </c>
      <c r="G29">
        <v>2.0299999999999998</v>
      </c>
      <c r="H29">
        <v>32</v>
      </c>
      <c r="I29">
        <v>33</v>
      </c>
      <c r="J29">
        <v>65</v>
      </c>
      <c r="K29">
        <v>48</v>
      </c>
      <c r="L29" s="22"/>
    </row>
    <row r="30" spans="1:12" x14ac:dyDescent="0.45">
      <c r="A30" s="24" t="s">
        <v>819</v>
      </c>
      <c r="B30" t="s">
        <v>804</v>
      </c>
      <c r="C30">
        <v>2018</v>
      </c>
      <c r="D30">
        <v>175</v>
      </c>
      <c r="E30">
        <v>53</v>
      </c>
      <c r="F30">
        <v>384</v>
      </c>
      <c r="G30">
        <v>2.19</v>
      </c>
      <c r="H30">
        <v>60</v>
      </c>
      <c r="I30">
        <v>46</v>
      </c>
      <c r="J30">
        <v>45</v>
      </c>
      <c r="K30">
        <v>48</v>
      </c>
      <c r="L30" s="22"/>
    </row>
    <row r="31" spans="1:12" x14ac:dyDescent="0.45">
      <c r="A31" s="24" t="s">
        <v>950</v>
      </c>
      <c r="B31" t="s">
        <v>820</v>
      </c>
      <c r="C31">
        <v>2018</v>
      </c>
      <c r="D31">
        <v>270</v>
      </c>
      <c r="E31">
        <v>64</v>
      </c>
      <c r="F31">
        <v>425</v>
      </c>
      <c r="G31">
        <v>1.57</v>
      </c>
      <c r="H31">
        <v>58</v>
      </c>
      <c r="I31">
        <v>57</v>
      </c>
      <c r="J31">
        <v>40</v>
      </c>
      <c r="K31">
        <v>48</v>
      </c>
      <c r="L31" s="22"/>
    </row>
    <row r="32" spans="1:12" x14ac:dyDescent="0.45">
      <c r="A32" s="24" t="s">
        <v>821</v>
      </c>
      <c r="B32" t="s">
        <v>809</v>
      </c>
      <c r="C32">
        <v>2018</v>
      </c>
      <c r="D32">
        <v>207</v>
      </c>
      <c r="E32">
        <v>38</v>
      </c>
      <c r="F32">
        <v>226</v>
      </c>
      <c r="G32">
        <v>1.0900000000000001</v>
      </c>
      <c r="H32">
        <v>53</v>
      </c>
      <c r="I32">
        <v>52</v>
      </c>
      <c r="J32">
        <v>44</v>
      </c>
      <c r="K32">
        <v>47</v>
      </c>
      <c r="L32" s="22"/>
    </row>
    <row r="33" spans="1:12" x14ac:dyDescent="0.45">
      <c r="A33" s="24" t="s">
        <v>951</v>
      </c>
      <c r="B33" t="s">
        <v>813</v>
      </c>
      <c r="C33">
        <v>2018</v>
      </c>
      <c r="D33">
        <v>113</v>
      </c>
      <c r="E33">
        <v>29</v>
      </c>
      <c r="F33">
        <v>235</v>
      </c>
      <c r="G33">
        <v>2.08</v>
      </c>
      <c r="H33">
        <v>56</v>
      </c>
      <c r="I33">
        <v>42</v>
      </c>
      <c r="J33">
        <v>48</v>
      </c>
      <c r="K33">
        <v>46</v>
      </c>
      <c r="L33" s="22"/>
    </row>
    <row r="34" spans="1:12" x14ac:dyDescent="0.45">
      <c r="A34" s="24" t="s">
        <v>822</v>
      </c>
      <c r="B34" t="s">
        <v>823</v>
      </c>
      <c r="C34">
        <v>2018</v>
      </c>
      <c r="D34">
        <v>186</v>
      </c>
      <c r="E34">
        <v>39</v>
      </c>
      <c r="F34">
        <v>304</v>
      </c>
      <c r="G34">
        <v>1.63</v>
      </c>
      <c r="H34">
        <v>62</v>
      </c>
      <c r="I34">
        <v>59</v>
      </c>
      <c r="J34">
        <v>31</v>
      </c>
      <c r="K34">
        <v>43</v>
      </c>
      <c r="L34" s="22"/>
    </row>
    <row r="35" spans="1:12" x14ac:dyDescent="0.45">
      <c r="A35" s="24" t="s">
        <v>824</v>
      </c>
      <c r="B35" t="s">
        <v>781</v>
      </c>
      <c r="C35">
        <v>2018</v>
      </c>
      <c r="D35">
        <v>212</v>
      </c>
      <c r="E35">
        <v>38</v>
      </c>
      <c r="F35">
        <v>324</v>
      </c>
      <c r="G35">
        <v>1.53</v>
      </c>
      <c r="H35">
        <v>26</v>
      </c>
      <c r="I35">
        <v>58</v>
      </c>
      <c r="J35">
        <v>47</v>
      </c>
      <c r="K35">
        <v>43</v>
      </c>
      <c r="L35" s="22"/>
    </row>
    <row r="36" spans="1:12" x14ac:dyDescent="0.45">
      <c r="A36" s="24" t="s">
        <v>825</v>
      </c>
      <c r="B36" t="s">
        <v>826</v>
      </c>
      <c r="C36">
        <v>2018</v>
      </c>
      <c r="D36">
        <v>200</v>
      </c>
      <c r="E36">
        <v>39</v>
      </c>
      <c r="F36">
        <v>446</v>
      </c>
      <c r="G36">
        <v>2.23</v>
      </c>
      <c r="H36">
        <v>25</v>
      </c>
      <c r="I36">
        <v>42</v>
      </c>
      <c r="J36">
        <v>58</v>
      </c>
      <c r="K36">
        <v>43</v>
      </c>
      <c r="L36" s="22"/>
    </row>
    <row r="37" spans="1:12" x14ac:dyDescent="0.45">
      <c r="A37" s="24" t="s">
        <v>827</v>
      </c>
      <c r="B37" t="s">
        <v>828</v>
      </c>
      <c r="C37">
        <v>2018</v>
      </c>
      <c r="D37">
        <v>166</v>
      </c>
      <c r="E37">
        <v>35</v>
      </c>
      <c r="F37">
        <v>238</v>
      </c>
      <c r="G37">
        <v>1.43</v>
      </c>
      <c r="H37">
        <v>43</v>
      </c>
      <c r="I37">
        <v>43</v>
      </c>
      <c r="J37">
        <v>46</v>
      </c>
      <c r="K37">
        <v>41</v>
      </c>
      <c r="L37" s="22"/>
    </row>
    <row r="38" spans="1:12" x14ac:dyDescent="0.45">
      <c r="A38" s="24" t="s">
        <v>829</v>
      </c>
      <c r="B38" t="s">
        <v>830</v>
      </c>
      <c r="C38">
        <v>2018</v>
      </c>
      <c r="D38">
        <v>144</v>
      </c>
      <c r="E38">
        <v>34</v>
      </c>
      <c r="F38">
        <v>236</v>
      </c>
      <c r="G38">
        <v>1.64</v>
      </c>
      <c r="H38">
        <v>61</v>
      </c>
      <c r="I38">
        <v>42</v>
      </c>
      <c r="J38">
        <v>39</v>
      </c>
      <c r="K38">
        <v>41</v>
      </c>
      <c r="L38" s="22"/>
    </row>
    <row r="39" spans="1:12" x14ac:dyDescent="0.45">
      <c r="A39" s="24" t="s">
        <v>831</v>
      </c>
      <c r="B39" t="s">
        <v>816</v>
      </c>
      <c r="C39">
        <v>2018</v>
      </c>
      <c r="D39">
        <v>191</v>
      </c>
      <c r="E39">
        <v>29</v>
      </c>
      <c r="F39">
        <v>210</v>
      </c>
      <c r="G39">
        <v>1.1000000000000001</v>
      </c>
      <c r="H39">
        <v>34</v>
      </c>
      <c r="I39">
        <v>51</v>
      </c>
      <c r="J39">
        <v>44</v>
      </c>
      <c r="K39">
        <v>40</v>
      </c>
      <c r="L39" s="22"/>
    </row>
    <row r="40" spans="1:12" x14ac:dyDescent="0.45">
      <c r="A40" s="24" t="s">
        <v>832</v>
      </c>
      <c r="B40" t="s">
        <v>833</v>
      </c>
      <c r="C40">
        <v>2018</v>
      </c>
      <c r="D40">
        <v>215</v>
      </c>
      <c r="E40">
        <v>61</v>
      </c>
      <c r="F40">
        <v>487</v>
      </c>
      <c r="G40">
        <v>2.27</v>
      </c>
      <c r="H40">
        <v>74</v>
      </c>
      <c r="I40">
        <v>39</v>
      </c>
      <c r="J40">
        <v>33</v>
      </c>
      <c r="K40">
        <v>39</v>
      </c>
      <c r="L40" s="22"/>
    </row>
    <row r="41" spans="1:12" x14ac:dyDescent="0.45">
      <c r="A41" s="24" t="s">
        <v>834</v>
      </c>
      <c r="B41" t="s">
        <v>818</v>
      </c>
      <c r="C41">
        <v>2018</v>
      </c>
      <c r="D41">
        <v>156</v>
      </c>
      <c r="E41">
        <v>22</v>
      </c>
      <c r="F41">
        <v>256</v>
      </c>
      <c r="G41">
        <v>1.64</v>
      </c>
      <c r="H41">
        <v>51</v>
      </c>
      <c r="I41">
        <v>45</v>
      </c>
      <c r="J41">
        <v>39</v>
      </c>
      <c r="K41">
        <v>39</v>
      </c>
      <c r="L41" s="22"/>
    </row>
    <row r="42" spans="1:12" x14ac:dyDescent="0.45">
      <c r="A42" s="24" t="s">
        <v>835</v>
      </c>
      <c r="B42" t="s">
        <v>802</v>
      </c>
      <c r="C42">
        <v>2018</v>
      </c>
      <c r="D42">
        <v>163</v>
      </c>
      <c r="E42">
        <v>36</v>
      </c>
      <c r="F42">
        <v>275</v>
      </c>
      <c r="G42">
        <v>1.69</v>
      </c>
      <c r="H42">
        <v>34</v>
      </c>
      <c r="I42">
        <v>38</v>
      </c>
      <c r="J42">
        <v>50</v>
      </c>
      <c r="K42">
        <v>38</v>
      </c>
      <c r="L42" s="22"/>
    </row>
    <row r="43" spans="1:12" x14ac:dyDescent="0.45">
      <c r="A43" s="24" t="s">
        <v>836</v>
      </c>
      <c r="B43" t="s">
        <v>807</v>
      </c>
      <c r="C43">
        <v>2018</v>
      </c>
      <c r="D43">
        <v>87</v>
      </c>
      <c r="E43">
        <v>21</v>
      </c>
      <c r="F43">
        <v>144</v>
      </c>
      <c r="G43">
        <v>1.66</v>
      </c>
      <c r="H43">
        <v>60</v>
      </c>
      <c r="I43">
        <v>40</v>
      </c>
      <c r="J43">
        <v>38</v>
      </c>
      <c r="K43">
        <v>38</v>
      </c>
      <c r="L43" s="22"/>
    </row>
    <row r="44" spans="1:12" x14ac:dyDescent="0.45">
      <c r="A44" s="24" t="s">
        <v>837</v>
      </c>
      <c r="B44" t="s">
        <v>779</v>
      </c>
      <c r="C44">
        <v>2018</v>
      </c>
      <c r="D44">
        <v>152</v>
      </c>
      <c r="E44">
        <v>22</v>
      </c>
      <c r="F44">
        <v>145</v>
      </c>
      <c r="G44">
        <v>0.95</v>
      </c>
      <c r="H44">
        <v>29</v>
      </c>
      <c r="I44">
        <v>41</v>
      </c>
      <c r="J44">
        <v>49</v>
      </c>
      <c r="K44">
        <v>37</v>
      </c>
      <c r="L44" s="22"/>
    </row>
    <row r="45" spans="1:12" x14ac:dyDescent="0.45">
      <c r="A45" s="24" t="s">
        <v>838</v>
      </c>
      <c r="B45" t="s">
        <v>777</v>
      </c>
      <c r="C45">
        <v>2018</v>
      </c>
      <c r="D45">
        <v>122</v>
      </c>
      <c r="E45">
        <v>24</v>
      </c>
      <c r="F45">
        <v>152</v>
      </c>
      <c r="G45">
        <v>1.25</v>
      </c>
      <c r="H45">
        <v>60</v>
      </c>
      <c r="I45">
        <v>64</v>
      </c>
      <c r="J45">
        <v>22</v>
      </c>
      <c r="K45">
        <v>37</v>
      </c>
      <c r="L45" s="22"/>
    </row>
    <row r="46" spans="1:12" x14ac:dyDescent="0.45">
      <c r="A46" s="24" t="s">
        <v>839</v>
      </c>
      <c r="B46" t="s">
        <v>830</v>
      </c>
      <c r="C46">
        <v>2018</v>
      </c>
      <c r="D46">
        <v>106</v>
      </c>
      <c r="E46">
        <v>22</v>
      </c>
      <c r="F46">
        <v>162</v>
      </c>
      <c r="G46">
        <v>1.53</v>
      </c>
      <c r="H46">
        <v>52</v>
      </c>
      <c r="I46">
        <v>42</v>
      </c>
      <c r="J46">
        <v>37</v>
      </c>
      <c r="K46">
        <v>36</v>
      </c>
      <c r="L46" s="22"/>
    </row>
    <row r="47" spans="1:12" x14ac:dyDescent="0.45">
      <c r="A47" s="24" t="s">
        <v>840</v>
      </c>
      <c r="B47" t="s">
        <v>789</v>
      </c>
      <c r="C47">
        <v>2018</v>
      </c>
      <c r="D47">
        <v>89</v>
      </c>
      <c r="E47">
        <v>20</v>
      </c>
      <c r="F47">
        <v>116</v>
      </c>
      <c r="G47">
        <v>1.3</v>
      </c>
      <c r="H47">
        <v>50</v>
      </c>
      <c r="I47">
        <v>48</v>
      </c>
      <c r="J47">
        <v>33</v>
      </c>
      <c r="K47">
        <v>35</v>
      </c>
      <c r="L47" s="22"/>
    </row>
    <row r="48" spans="1:12" x14ac:dyDescent="0.45">
      <c r="A48" s="24" t="s">
        <v>841</v>
      </c>
      <c r="B48" t="s">
        <v>823</v>
      </c>
      <c r="C48">
        <v>2018</v>
      </c>
      <c r="D48">
        <v>195</v>
      </c>
      <c r="E48">
        <v>24</v>
      </c>
      <c r="F48">
        <v>92</v>
      </c>
      <c r="G48">
        <v>0.47</v>
      </c>
      <c r="H48">
        <v>55</v>
      </c>
      <c r="I48">
        <v>38</v>
      </c>
      <c r="J48">
        <v>36</v>
      </c>
      <c r="K48">
        <v>34</v>
      </c>
      <c r="L48" s="22"/>
    </row>
    <row r="49" spans="1:12" x14ac:dyDescent="0.45">
      <c r="A49" s="24" t="s">
        <v>842</v>
      </c>
      <c r="B49" t="s">
        <v>820</v>
      </c>
      <c r="C49">
        <v>2018</v>
      </c>
      <c r="D49">
        <v>153</v>
      </c>
      <c r="E49">
        <v>23</v>
      </c>
      <c r="F49">
        <v>109</v>
      </c>
      <c r="G49">
        <v>0.71</v>
      </c>
      <c r="H49">
        <v>45</v>
      </c>
      <c r="I49">
        <v>34</v>
      </c>
      <c r="J49">
        <v>36</v>
      </c>
      <c r="K49">
        <v>29</v>
      </c>
      <c r="L49" s="22"/>
    </row>
    <row r="50" spans="1:12" x14ac:dyDescent="0.45">
      <c r="A50" s="24" t="s">
        <v>843</v>
      </c>
      <c r="B50" t="s">
        <v>785</v>
      </c>
      <c r="C50">
        <v>2018</v>
      </c>
      <c r="D50">
        <v>164</v>
      </c>
      <c r="E50">
        <v>42</v>
      </c>
      <c r="F50">
        <v>268</v>
      </c>
      <c r="G50">
        <v>1.63</v>
      </c>
      <c r="H50">
        <v>54</v>
      </c>
      <c r="I50">
        <v>46</v>
      </c>
      <c r="J50">
        <v>19</v>
      </c>
      <c r="K50">
        <v>24</v>
      </c>
      <c r="L50" s="22"/>
    </row>
    <row r="51" spans="1:12" x14ac:dyDescent="0.45">
      <c r="A51" s="24" t="s">
        <v>791</v>
      </c>
      <c r="B51" t="s">
        <v>792</v>
      </c>
      <c r="C51">
        <v>2019</v>
      </c>
      <c r="D51">
        <v>267</v>
      </c>
      <c r="E51">
        <v>77</v>
      </c>
      <c r="F51">
        <v>993</v>
      </c>
      <c r="G51">
        <v>3.72</v>
      </c>
      <c r="H51">
        <v>63</v>
      </c>
      <c r="I51">
        <v>92</v>
      </c>
      <c r="J51">
        <v>72</v>
      </c>
      <c r="K51">
        <v>94</v>
      </c>
      <c r="L51" s="22"/>
    </row>
    <row r="52" spans="1:12" x14ac:dyDescent="0.45">
      <c r="A52" s="24" t="s">
        <v>797</v>
      </c>
      <c r="B52" t="s">
        <v>798</v>
      </c>
      <c r="C52">
        <v>2019</v>
      </c>
      <c r="D52">
        <v>92</v>
      </c>
      <c r="E52">
        <v>24</v>
      </c>
      <c r="F52">
        <v>251</v>
      </c>
      <c r="G52">
        <v>2.73</v>
      </c>
      <c r="H52">
        <v>43</v>
      </c>
      <c r="I52">
        <v>61</v>
      </c>
      <c r="J52">
        <v>82</v>
      </c>
      <c r="K52">
        <v>80</v>
      </c>
      <c r="L52" s="22"/>
    </row>
    <row r="53" spans="1:12" x14ac:dyDescent="0.45">
      <c r="A53" s="24" t="s">
        <v>793</v>
      </c>
      <c r="B53" t="s">
        <v>794</v>
      </c>
      <c r="C53">
        <v>2019</v>
      </c>
      <c r="D53">
        <v>212</v>
      </c>
      <c r="E53">
        <v>39</v>
      </c>
      <c r="F53">
        <v>563</v>
      </c>
      <c r="G53">
        <v>2.66</v>
      </c>
      <c r="H53">
        <v>50</v>
      </c>
      <c r="I53">
        <v>53</v>
      </c>
      <c r="J53">
        <v>74</v>
      </c>
      <c r="K53">
        <v>72</v>
      </c>
      <c r="L53" s="22"/>
    </row>
    <row r="54" spans="1:12" x14ac:dyDescent="0.45">
      <c r="A54" s="24" t="s">
        <v>946</v>
      </c>
      <c r="B54" t="s">
        <v>813</v>
      </c>
      <c r="C54">
        <v>2019</v>
      </c>
      <c r="D54">
        <v>139</v>
      </c>
      <c r="E54">
        <v>25</v>
      </c>
      <c r="F54">
        <v>256</v>
      </c>
      <c r="G54">
        <v>1.84</v>
      </c>
      <c r="H54">
        <v>61</v>
      </c>
      <c r="I54">
        <v>70</v>
      </c>
      <c r="J54">
        <v>59</v>
      </c>
      <c r="K54">
        <v>71</v>
      </c>
      <c r="L54" s="22"/>
    </row>
    <row r="55" spans="1:12" x14ac:dyDescent="0.45">
      <c r="A55" s="24" t="s">
        <v>825</v>
      </c>
      <c r="B55" t="s">
        <v>826</v>
      </c>
      <c r="C55">
        <v>2019</v>
      </c>
      <c r="D55">
        <v>155</v>
      </c>
      <c r="E55">
        <v>36</v>
      </c>
      <c r="F55">
        <v>370</v>
      </c>
      <c r="G55">
        <v>2.39</v>
      </c>
      <c r="H55">
        <v>51</v>
      </c>
      <c r="I55">
        <v>70</v>
      </c>
      <c r="J55">
        <v>62</v>
      </c>
      <c r="K55">
        <v>70</v>
      </c>
      <c r="L55" s="22"/>
    </row>
    <row r="56" spans="1:12" x14ac:dyDescent="0.45">
      <c r="A56" s="24" t="s">
        <v>844</v>
      </c>
      <c r="B56" t="s">
        <v>818</v>
      </c>
      <c r="C56">
        <v>2019</v>
      </c>
      <c r="D56">
        <v>251</v>
      </c>
      <c r="E56">
        <v>50</v>
      </c>
      <c r="F56">
        <v>517</v>
      </c>
      <c r="G56">
        <v>2.06</v>
      </c>
      <c r="H56">
        <v>41</v>
      </c>
      <c r="I56">
        <v>71</v>
      </c>
      <c r="J56">
        <v>61</v>
      </c>
      <c r="K56">
        <v>67</v>
      </c>
      <c r="L56" s="22"/>
    </row>
    <row r="57" spans="1:12" x14ac:dyDescent="0.45">
      <c r="A57" s="24" t="s">
        <v>774</v>
      </c>
      <c r="B57" t="s">
        <v>775</v>
      </c>
      <c r="C57">
        <v>2019</v>
      </c>
      <c r="D57">
        <v>439</v>
      </c>
      <c r="E57">
        <v>123</v>
      </c>
      <c r="F57">
        <v>1005</v>
      </c>
      <c r="G57">
        <v>2.29</v>
      </c>
      <c r="H57">
        <v>45</v>
      </c>
      <c r="I57">
        <v>65</v>
      </c>
      <c r="J57">
        <v>61</v>
      </c>
      <c r="K57">
        <v>65</v>
      </c>
      <c r="L57" s="22"/>
    </row>
    <row r="58" spans="1:12" x14ac:dyDescent="0.45">
      <c r="A58" s="24" t="s">
        <v>845</v>
      </c>
      <c r="B58" t="s">
        <v>783</v>
      </c>
      <c r="C58">
        <v>2019</v>
      </c>
      <c r="D58">
        <v>150</v>
      </c>
      <c r="E58">
        <v>30</v>
      </c>
      <c r="F58">
        <v>239</v>
      </c>
      <c r="G58">
        <v>1.59</v>
      </c>
      <c r="H58">
        <v>49</v>
      </c>
      <c r="I58">
        <v>48</v>
      </c>
      <c r="J58">
        <v>67</v>
      </c>
      <c r="K58">
        <v>63</v>
      </c>
      <c r="L58" s="22"/>
    </row>
    <row r="59" spans="1:12" x14ac:dyDescent="0.45">
      <c r="A59" s="24" t="s">
        <v>805</v>
      </c>
      <c r="B59" t="s">
        <v>787</v>
      </c>
      <c r="C59">
        <v>2019</v>
      </c>
      <c r="D59">
        <v>266</v>
      </c>
      <c r="E59">
        <v>75</v>
      </c>
      <c r="F59">
        <v>707</v>
      </c>
      <c r="G59">
        <v>2.66</v>
      </c>
      <c r="H59">
        <v>55</v>
      </c>
      <c r="I59">
        <v>68</v>
      </c>
      <c r="J59">
        <v>54</v>
      </c>
      <c r="K59">
        <v>63</v>
      </c>
      <c r="L59" s="22"/>
    </row>
    <row r="60" spans="1:12" x14ac:dyDescent="0.45">
      <c r="A60" s="24" t="s">
        <v>846</v>
      </c>
      <c r="B60" t="s">
        <v>807</v>
      </c>
      <c r="C60">
        <v>2019</v>
      </c>
      <c r="D60">
        <v>277</v>
      </c>
      <c r="E60">
        <v>64</v>
      </c>
      <c r="F60">
        <v>461</v>
      </c>
      <c r="G60">
        <v>1.66</v>
      </c>
      <c r="H60">
        <v>35</v>
      </c>
      <c r="I60">
        <v>81</v>
      </c>
      <c r="J60">
        <v>53</v>
      </c>
      <c r="K60">
        <v>62</v>
      </c>
      <c r="L60" s="22"/>
    </row>
    <row r="61" spans="1:12" x14ac:dyDescent="0.45">
      <c r="A61" s="24" t="s">
        <v>847</v>
      </c>
      <c r="B61" t="s">
        <v>789</v>
      </c>
      <c r="C61">
        <v>2019</v>
      </c>
      <c r="D61">
        <v>96</v>
      </c>
      <c r="E61">
        <v>23</v>
      </c>
      <c r="F61">
        <v>166</v>
      </c>
      <c r="G61">
        <v>1.73</v>
      </c>
      <c r="H61">
        <v>46</v>
      </c>
      <c r="I61">
        <v>37</v>
      </c>
      <c r="J61">
        <v>69</v>
      </c>
      <c r="K61">
        <v>59</v>
      </c>
      <c r="L61" s="22"/>
    </row>
    <row r="62" spans="1:12" x14ac:dyDescent="0.45">
      <c r="A62" s="24" t="s">
        <v>786</v>
      </c>
      <c r="B62" t="s">
        <v>787</v>
      </c>
      <c r="C62">
        <v>2019</v>
      </c>
      <c r="D62">
        <v>127</v>
      </c>
      <c r="E62">
        <v>30</v>
      </c>
      <c r="F62">
        <v>311</v>
      </c>
      <c r="G62">
        <v>2.4500000000000002</v>
      </c>
      <c r="H62">
        <v>50</v>
      </c>
      <c r="I62">
        <v>52</v>
      </c>
      <c r="J62">
        <v>57</v>
      </c>
      <c r="K62">
        <v>57</v>
      </c>
      <c r="L62" s="22"/>
    </row>
    <row r="63" spans="1:12" x14ac:dyDescent="0.45">
      <c r="A63" s="24" t="s">
        <v>788</v>
      </c>
      <c r="B63" t="s">
        <v>789</v>
      </c>
      <c r="C63">
        <v>2019</v>
      </c>
      <c r="D63">
        <v>153</v>
      </c>
      <c r="E63">
        <v>37</v>
      </c>
      <c r="F63">
        <v>323</v>
      </c>
      <c r="G63">
        <v>2.11</v>
      </c>
      <c r="H63">
        <v>68</v>
      </c>
      <c r="I63">
        <v>57</v>
      </c>
      <c r="J63">
        <v>45</v>
      </c>
      <c r="K63">
        <v>56</v>
      </c>
      <c r="L63" s="22"/>
    </row>
    <row r="64" spans="1:12" x14ac:dyDescent="0.45">
      <c r="A64" s="24" t="s">
        <v>831</v>
      </c>
      <c r="B64" t="s">
        <v>816</v>
      </c>
      <c r="C64">
        <v>2019</v>
      </c>
      <c r="D64">
        <v>154</v>
      </c>
      <c r="E64">
        <v>33</v>
      </c>
      <c r="F64">
        <v>263</v>
      </c>
      <c r="G64">
        <v>1.71</v>
      </c>
      <c r="H64">
        <v>53</v>
      </c>
      <c r="I64">
        <v>59</v>
      </c>
      <c r="J64">
        <v>49</v>
      </c>
      <c r="K64">
        <v>55</v>
      </c>
      <c r="L64" s="22"/>
    </row>
    <row r="65" spans="1:12" x14ac:dyDescent="0.45">
      <c r="A65" s="24" t="s">
        <v>948</v>
      </c>
      <c r="B65" t="s">
        <v>809</v>
      </c>
      <c r="C65">
        <v>2019</v>
      </c>
      <c r="D65">
        <v>341</v>
      </c>
      <c r="E65">
        <v>60</v>
      </c>
      <c r="F65">
        <v>463</v>
      </c>
      <c r="G65">
        <v>1.36</v>
      </c>
      <c r="H65">
        <v>39</v>
      </c>
      <c r="I65">
        <v>52</v>
      </c>
      <c r="J65">
        <v>59</v>
      </c>
      <c r="K65">
        <v>54</v>
      </c>
      <c r="L65" s="22"/>
    </row>
    <row r="66" spans="1:12" x14ac:dyDescent="0.45">
      <c r="A66" s="24" t="s">
        <v>848</v>
      </c>
      <c r="B66" t="s">
        <v>789</v>
      </c>
      <c r="C66">
        <v>2019</v>
      </c>
      <c r="D66">
        <v>89</v>
      </c>
      <c r="E66">
        <v>37</v>
      </c>
      <c r="F66">
        <v>292</v>
      </c>
      <c r="G66">
        <v>3.28</v>
      </c>
      <c r="H66">
        <v>68</v>
      </c>
      <c r="I66">
        <v>54</v>
      </c>
      <c r="J66">
        <v>44</v>
      </c>
      <c r="K66">
        <v>54</v>
      </c>
      <c r="L66" s="22"/>
    </row>
    <row r="67" spans="1:12" x14ac:dyDescent="0.45">
      <c r="A67" s="24" t="s">
        <v>849</v>
      </c>
      <c r="B67" t="s">
        <v>833</v>
      </c>
      <c r="C67">
        <v>2019</v>
      </c>
      <c r="D67">
        <v>347</v>
      </c>
      <c r="E67">
        <v>85</v>
      </c>
      <c r="F67">
        <v>522</v>
      </c>
      <c r="G67">
        <v>1.5</v>
      </c>
      <c r="H67">
        <v>64</v>
      </c>
      <c r="I67">
        <v>54</v>
      </c>
      <c r="J67">
        <v>46</v>
      </c>
      <c r="K67">
        <v>54</v>
      </c>
      <c r="L67" s="22"/>
    </row>
    <row r="68" spans="1:12" x14ac:dyDescent="0.45">
      <c r="A68" s="24" t="s">
        <v>772</v>
      </c>
      <c r="B68" t="s">
        <v>815</v>
      </c>
      <c r="C68">
        <v>2019</v>
      </c>
      <c r="D68">
        <v>141</v>
      </c>
      <c r="E68">
        <v>32</v>
      </c>
      <c r="F68">
        <v>285</v>
      </c>
      <c r="G68">
        <v>2.02</v>
      </c>
      <c r="H68">
        <v>50</v>
      </c>
      <c r="I68">
        <v>59</v>
      </c>
      <c r="J68">
        <v>49</v>
      </c>
      <c r="K68">
        <v>54</v>
      </c>
      <c r="L68" s="22"/>
    </row>
    <row r="69" spans="1:12" x14ac:dyDescent="0.45">
      <c r="A69" s="24" t="s">
        <v>850</v>
      </c>
      <c r="B69" t="s">
        <v>833</v>
      </c>
      <c r="C69">
        <v>2019</v>
      </c>
      <c r="D69">
        <v>75</v>
      </c>
      <c r="E69">
        <v>21</v>
      </c>
      <c r="F69">
        <v>144</v>
      </c>
      <c r="G69">
        <v>1.92</v>
      </c>
      <c r="H69">
        <v>75</v>
      </c>
      <c r="I69">
        <v>39</v>
      </c>
      <c r="J69">
        <v>50</v>
      </c>
      <c r="K69">
        <v>53</v>
      </c>
      <c r="L69" s="22"/>
    </row>
    <row r="70" spans="1:12" x14ac:dyDescent="0.45">
      <c r="A70" s="24" t="s">
        <v>851</v>
      </c>
      <c r="B70" t="s">
        <v>777</v>
      </c>
      <c r="C70">
        <v>2019</v>
      </c>
      <c r="D70">
        <v>235</v>
      </c>
      <c r="E70">
        <v>58</v>
      </c>
      <c r="F70">
        <v>410</v>
      </c>
      <c r="G70">
        <v>1.74</v>
      </c>
      <c r="H70">
        <v>51</v>
      </c>
      <c r="I70">
        <v>68</v>
      </c>
      <c r="J70">
        <v>41</v>
      </c>
      <c r="K70">
        <v>52</v>
      </c>
      <c r="L70" s="22"/>
    </row>
    <row r="71" spans="1:12" x14ac:dyDescent="0.45">
      <c r="A71" s="24" t="s">
        <v>790</v>
      </c>
      <c r="B71" t="s">
        <v>773</v>
      </c>
      <c r="C71">
        <v>2019</v>
      </c>
      <c r="D71">
        <v>231</v>
      </c>
      <c r="E71">
        <v>44</v>
      </c>
      <c r="F71">
        <v>307</v>
      </c>
      <c r="G71">
        <v>1.33</v>
      </c>
      <c r="H71">
        <v>36</v>
      </c>
      <c r="I71">
        <v>58</v>
      </c>
      <c r="J71">
        <v>53</v>
      </c>
      <c r="K71">
        <v>51</v>
      </c>
      <c r="L71" s="22"/>
    </row>
    <row r="72" spans="1:12" x14ac:dyDescent="0.45">
      <c r="A72" s="24" t="s">
        <v>852</v>
      </c>
      <c r="B72" t="s">
        <v>815</v>
      </c>
      <c r="C72">
        <v>2019</v>
      </c>
      <c r="D72">
        <v>168</v>
      </c>
      <c r="E72">
        <v>21</v>
      </c>
      <c r="F72">
        <v>278</v>
      </c>
      <c r="G72">
        <v>1.65</v>
      </c>
      <c r="H72">
        <v>31</v>
      </c>
      <c r="I72">
        <v>43</v>
      </c>
      <c r="J72">
        <v>64</v>
      </c>
      <c r="K72">
        <v>51</v>
      </c>
      <c r="L72" s="22"/>
    </row>
    <row r="73" spans="1:12" x14ac:dyDescent="0.45">
      <c r="A73" s="24" t="s">
        <v>945</v>
      </c>
      <c r="B73" t="s">
        <v>792</v>
      </c>
      <c r="C73">
        <v>2019</v>
      </c>
      <c r="D73">
        <v>156</v>
      </c>
      <c r="E73">
        <v>44</v>
      </c>
      <c r="F73">
        <v>296</v>
      </c>
      <c r="G73">
        <v>1.9</v>
      </c>
      <c r="H73">
        <v>46</v>
      </c>
      <c r="I73">
        <v>36</v>
      </c>
      <c r="J73">
        <v>61</v>
      </c>
      <c r="K73">
        <v>50</v>
      </c>
      <c r="L73" s="22"/>
    </row>
    <row r="74" spans="1:12" x14ac:dyDescent="0.45">
      <c r="A74" s="24" t="s">
        <v>853</v>
      </c>
      <c r="B74" t="s">
        <v>804</v>
      </c>
      <c r="C74">
        <v>2019</v>
      </c>
      <c r="D74">
        <v>117</v>
      </c>
      <c r="E74">
        <v>28</v>
      </c>
      <c r="F74">
        <v>233</v>
      </c>
      <c r="G74">
        <v>1.99</v>
      </c>
      <c r="H74">
        <v>56</v>
      </c>
      <c r="I74">
        <v>56</v>
      </c>
      <c r="J74">
        <v>43</v>
      </c>
      <c r="K74">
        <v>49</v>
      </c>
      <c r="L74" s="22"/>
    </row>
    <row r="75" spans="1:12" x14ac:dyDescent="0.45">
      <c r="A75" s="24" t="s">
        <v>843</v>
      </c>
      <c r="B75" t="s">
        <v>785</v>
      </c>
      <c r="C75">
        <v>2019</v>
      </c>
      <c r="D75">
        <v>176</v>
      </c>
      <c r="E75">
        <v>38</v>
      </c>
      <c r="F75">
        <v>378</v>
      </c>
      <c r="G75">
        <v>2.15</v>
      </c>
      <c r="H75">
        <v>33</v>
      </c>
      <c r="I75">
        <v>55</v>
      </c>
      <c r="J75">
        <v>52</v>
      </c>
      <c r="K75">
        <v>48</v>
      </c>
      <c r="L75" s="22"/>
    </row>
    <row r="76" spans="1:12" x14ac:dyDescent="0.45">
      <c r="A76" s="24" t="s">
        <v>776</v>
      </c>
      <c r="B76" t="s">
        <v>781</v>
      </c>
      <c r="C76">
        <v>2019</v>
      </c>
      <c r="D76">
        <v>125</v>
      </c>
      <c r="E76">
        <v>20</v>
      </c>
      <c r="F76">
        <v>183</v>
      </c>
      <c r="G76">
        <v>1.46</v>
      </c>
      <c r="H76">
        <v>44</v>
      </c>
      <c r="I76">
        <v>45</v>
      </c>
      <c r="J76">
        <v>53</v>
      </c>
      <c r="K76">
        <v>48</v>
      </c>
      <c r="L76" s="22"/>
    </row>
    <row r="77" spans="1:12" x14ac:dyDescent="0.45">
      <c r="A77" s="24" t="s">
        <v>782</v>
      </c>
      <c r="B77" t="s">
        <v>783</v>
      </c>
      <c r="C77">
        <v>2019</v>
      </c>
      <c r="D77">
        <v>297</v>
      </c>
      <c r="E77">
        <v>79</v>
      </c>
      <c r="F77">
        <v>567</v>
      </c>
      <c r="G77">
        <v>1.91</v>
      </c>
      <c r="H77">
        <v>51</v>
      </c>
      <c r="I77">
        <v>49</v>
      </c>
      <c r="J77">
        <v>48</v>
      </c>
      <c r="K77">
        <v>48</v>
      </c>
      <c r="L77" s="22"/>
    </row>
    <row r="78" spans="1:12" x14ac:dyDescent="0.45">
      <c r="A78" s="24" t="s">
        <v>854</v>
      </c>
      <c r="B78" t="s">
        <v>802</v>
      </c>
      <c r="C78">
        <v>2019</v>
      </c>
      <c r="D78">
        <v>207</v>
      </c>
      <c r="E78">
        <v>43</v>
      </c>
      <c r="F78">
        <v>256</v>
      </c>
      <c r="G78">
        <v>1.24</v>
      </c>
      <c r="H78">
        <v>47</v>
      </c>
      <c r="I78">
        <v>60</v>
      </c>
      <c r="J78">
        <v>43</v>
      </c>
      <c r="K78">
        <v>48</v>
      </c>
      <c r="L78" s="22"/>
    </row>
    <row r="79" spans="1:12" x14ac:dyDescent="0.45">
      <c r="A79" s="24" t="s">
        <v>949</v>
      </c>
      <c r="B79" t="s">
        <v>816</v>
      </c>
      <c r="C79">
        <v>2019</v>
      </c>
      <c r="D79">
        <v>249</v>
      </c>
      <c r="E79">
        <v>54</v>
      </c>
      <c r="F79">
        <v>505</v>
      </c>
      <c r="G79">
        <v>2.0299999999999998</v>
      </c>
      <c r="H79">
        <v>39</v>
      </c>
      <c r="I79">
        <v>46</v>
      </c>
      <c r="J79">
        <v>51</v>
      </c>
      <c r="K79">
        <v>45</v>
      </c>
      <c r="L79" s="22"/>
    </row>
    <row r="80" spans="1:12" x14ac:dyDescent="0.45">
      <c r="A80" s="24" t="s">
        <v>952</v>
      </c>
      <c r="B80" t="s">
        <v>823</v>
      </c>
      <c r="C80">
        <v>2019</v>
      </c>
      <c r="D80">
        <v>107</v>
      </c>
      <c r="E80">
        <v>29</v>
      </c>
      <c r="F80">
        <v>309</v>
      </c>
      <c r="G80">
        <v>2.89</v>
      </c>
      <c r="H80">
        <v>51</v>
      </c>
      <c r="I80">
        <v>41</v>
      </c>
      <c r="J80">
        <v>49</v>
      </c>
      <c r="K80">
        <v>45</v>
      </c>
      <c r="L80" s="22"/>
    </row>
    <row r="81" spans="1:12" x14ac:dyDescent="0.45">
      <c r="A81" s="24" t="s">
        <v>839</v>
      </c>
      <c r="B81" t="s">
        <v>830</v>
      </c>
      <c r="C81">
        <v>2019</v>
      </c>
      <c r="D81">
        <v>222</v>
      </c>
      <c r="E81">
        <v>33</v>
      </c>
      <c r="F81">
        <v>266</v>
      </c>
      <c r="G81">
        <v>1.2</v>
      </c>
      <c r="H81">
        <v>32</v>
      </c>
      <c r="I81">
        <v>41</v>
      </c>
      <c r="J81">
        <v>55</v>
      </c>
      <c r="K81">
        <v>43</v>
      </c>
      <c r="L81" s="22"/>
    </row>
    <row r="82" spans="1:12" x14ac:dyDescent="0.45">
      <c r="A82" s="24" t="s">
        <v>799</v>
      </c>
      <c r="B82" t="s">
        <v>800</v>
      </c>
      <c r="C82">
        <v>2019</v>
      </c>
      <c r="D82">
        <v>325</v>
      </c>
      <c r="E82">
        <v>57</v>
      </c>
      <c r="F82">
        <v>420</v>
      </c>
      <c r="G82">
        <v>1.29</v>
      </c>
      <c r="H82">
        <v>49</v>
      </c>
      <c r="I82">
        <v>26</v>
      </c>
      <c r="J82">
        <v>55</v>
      </c>
      <c r="K82">
        <v>42</v>
      </c>
      <c r="L82" s="22"/>
    </row>
    <row r="83" spans="1:12" x14ac:dyDescent="0.45">
      <c r="A83" s="24" t="s">
        <v>855</v>
      </c>
      <c r="B83" t="s">
        <v>811</v>
      </c>
      <c r="C83">
        <v>2019</v>
      </c>
      <c r="D83">
        <v>126</v>
      </c>
      <c r="E83">
        <v>24</v>
      </c>
      <c r="F83">
        <v>204</v>
      </c>
      <c r="G83">
        <v>1.62</v>
      </c>
      <c r="H83">
        <v>55</v>
      </c>
      <c r="I83">
        <v>42</v>
      </c>
      <c r="J83">
        <v>41</v>
      </c>
      <c r="K83">
        <v>41</v>
      </c>
      <c r="L83" s="22"/>
    </row>
    <row r="84" spans="1:12" x14ac:dyDescent="0.45">
      <c r="A84" s="24" t="s">
        <v>856</v>
      </c>
      <c r="B84" t="s">
        <v>828</v>
      </c>
      <c r="C84">
        <v>2019</v>
      </c>
      <c r="D84">
        <v>227</v>
      </c>
      <c r="E84">
        <v>35</v>
      </c>
      <c r="F84">
        <v>270</v>
      </c>
      <c r="G84">
        <v>1.19</v>
      </c>
      <c r="H84">
        <v>44</v>
      </c>
      <c r="I84">
        <v>31</v>
      </c>
      <c r="J84">
        <v>52</v>
      </c>
      <c r="K84">
        <v>40</v>
      </c>
      <c r="L84" s="22"/>
    </row>
    <row r="85" spans="1:12" x14ac:dyDescent="0.45">
      <c r="A85" s="24" t="s">
        <v>827</v>
      </c>
      <c r="B85" t="s">
        <v>773</v>
      </c>
      <c r="C85">
        <v>2019</v>
      </c>
      <c r="D85">
        <v>117</v>
      </c>
      <c r="E85">
        <v>27</v>
      </c>
      <c r="F85">
        <v>181</v>
      </c>
      <c r="G85">
        <v>1.55</v>
      </c>
      <c r="H85">
        <v>52</v>
      </c>
      <c r="I85">
        <v>60</v>
      </c>
      <c r="J85">
        <v>30</v>
      </c>
      <c r="K85">
        <v>39</v>
      </c>
      <c r="L85" s="22"/>
    </row>
    <row r="86" spans="1:12" x14ac:dyDescent="0.45">
      <c r="A86" s="24" t="s">
        <v>950</v>
      </c>
      <c r="B86" t="s">
        <v>820</v>
      </c>
      <c r="C86">
        <v>2019</v>
      </c>
      <c r="D86">
        <v>167</v>
      </c>
      <c r="E86">
        <v>49</v>
      </c>
      <c r="F86">
        <v>320</v>
      </c>
      <c r="G86">
        <v>1.92</v>
      </c>
      <c r="H86">
        <v>45</v>
      </c>
      <c r="I86">
        <v>32</v>
      </c>
      <c r="J86">
        <v>49</v>
      </c>
      <c r="K86">
        <v>39</v>
      </c>
      <c r="L86" s="22"/>
    </row>
    <row r="87" spans="1:12" x14ac:dyDescent="0.45">
      <c r="A87" s="24" t="s">
        <v>857</v>
      </c>
      <c r="B87" t="s">
        <v>779</v>
      </c>
      <c r="C87">
        <v>2019</v>
      </c>
      <c r="D87">
        <v>147</v>
      </c>
      <c r="E87">
        <v>24</v>
      </c>
      <c r="F87">
        <v>185</v>
      </c>
      <c r="G87">
        <v>1.26</v>
      </c>
      <c r="H87">
        <v>39</v>
      </c>
      <c r="I87">
        <v>47</v>
      </c>
      <c r="J87">
        <v>42</v>
      </c>
      <c r="K87">
        <v>38</v>
      </c>
      <c r="L87" s="22"/>
    </row>
    <row r="88" spans="1:12" x14ac:dyDescent="0.45">
      <c r="A88" s="24" t="s">
        <v>947</v>
      </c>
      <c r="B88" t="s">
        <v>814</v>
      </c>
      <c r="C88">
        <v>2019</v>
      </c>
      <c r="D88">
        <v>286</v>
      </c>
      <c r="E88">
        <v>39</v>
      </c>
      <c r="F88">
        <v>207</v>
      </c>
      <c r="G88">
        <v>0.72</v>
      </c>
      <c r="H88">
        <v>36</v>
      </c>
      <c r="I88">
        <v>31</v>
      </c>
      <c r="J88">
        <v>50</v>
      </c>
      <c r="K88">
        <v>36</v>
      </c>
      <c r="L88" s="22"/>
    </row>
    <row r="89" spans="1:12" x14ac:dyDescent="0.45">
      <c r="A89" s="24" t="s">
        <v>858</v>
      </c>
      <c r="B89" t="s">
        <v>798</v>
      </c>
      <c r="C89">
        <v>2019</v>
      </c>
      <c r="D89">
        <v>137</v>
      </c>
      <c r="E89">
        <v>40</v>
      </c>
      <c r="F89">
        <v>305</v>
      </c>
      <c r="G89">
        <v>2.23</v>
      </c>
      <c r="H89">
        <v>57</v>
      </c>
      <c r="I89">
        <v>35</v>
      </c>
      <c r="J89">
        <v>37</v>
      </c>
      <c r="K89">
        <v>34</v>
      </c>
      <c r="L89" s="22"/>
    </row>
    <row r="90" spans="1:12" x14ac:dyDescent="0.45">
      <c r="A90" s="24" t="s">
        <v>810</v>
      </c>
      <c r="B90" t="s">
        <v>826</v>
      </c>
      <c r="C90">
        <v>2019</v>
      </c>
      <c r="D90">
        <v>184</v>
      </c>
      <c r="E90">
        <v>45</v>
      </c>
      <c r="F90">
        <v>345</v>
      </c>
      <c r="G90">
        <v>1.88</v>
      </c>
      <c r="H90">
        <v>41</v>
      </c>
      <c r="I90">
        <v>29</v>
      </c>
      <c r="J90">
        <v>45</v>
      </c>
      <c r="K90">
        <v>32</v>
      </c>
      <c r="L90" s="22"/>
    </row>
    <row r="91" spans="1:12" x14ac:dyDescent="0.45">
      <c r="A91" s="24" t="s">
        <v>859</v>
      </c>
      <c r="B91" t="s">
        <v>823</v>
      </c>
      <c r="C91">
        <v>2019</v>
      </c>
      <c r="D91">
        <v>161</v>
      </c>
      <c r="E91">
        <v>39</v>
      </c>
      <c r="F91">
        <v>286</v>
      </c>
      <c r="G91">
        <v>1.78</v>
      </c>
      <c r="H91">
        <v>59</v>
      </c>
      <c r="I91">
        <v>56</v>
      </c>
      <c r="J91">
        <v>21</v>
      </c>
      <c r="K91">
        <v>32</v>
      </c>
      <c r="L91" s="22"/>
    </row>
    <row r="92" spans="1:12" x14ac:dyDescent="0.45">
      <c r="A92" s="24" t="s">
        <v>778</v>
      </c>
      <c r="B92" t="s">
        <v>779</v>
      </c>
      <c r="C92">
        <v>2019</v>
      </c>
      <c r="D92">
        <v>291</v>
      </c>
      <c r="E92">
        <v>77</v>
      </c>
      <c r="F92">
        <v>456</v>
      </c>
      <c r="G92">
        <v>1.57</v>
      </c>
      <c r="H92">
        <v>41</v>
      </c>
      <c r="I92">
        <v>30</v>
      </c>
      <c r="J92">
        <v>43</v>
      </c>
      <c r="K92">
        <v>31</v>
      </c>
      <c r="L92" s="22"/>
    </row>
    <row r="93" spans="1:12" x14ac:dyDescent="0.45">
      <c r="A93" s="24" t="s">
        <v>795</v>
      </c>
      <c r="B93" t="s">
        <v>796</v>
      </c>
      <c r="C93">
        <v>2019</v>
      </c>
      <c r="D93">
        <v>150</v>
      </c>
      <c r="E93">
        <v>22</v>
      </c>
      <c r="F93">
        <v>178</v>
      </c>
      <c r="G93">
        <v>1.19</v>
      </c>
      <c r="H93">
        <v>42</v>
      </c>
      <c r="I93">
        <v>50</v>
      </c>
      <c r="J93">
        <v>30</v>
      </c>
      <c r="K93">
        <v>30</v>
      </c>
      <c r="L93" s="22"/>
    </row>
    <row r="94" spans="1:12" x14ac:dyDescent="0.45">
      <c r="A94" s="24" t="s">
        <v>801</v>
      </c>
      <c r="B94" t="s">
        <v>802</v>
      </c>
      <c r="C94">
        <v>2019</v>
      </c>
      <c r="D94">
        <v>142</v>
      </c>
      <c r="E94">
        <v>32</v>
      </c>
      <c r="F94">
        <v>196</v>
      </c>
      <c r="G94">
        <v>1.38</v>
      </c>
      <c r="H94">
        <v>61</v>
      </c>
      <c r="I94">
        <v>23</v>
      </c>
      <c r="J94">
        <v>37</v>
      </c>
      <c r="K94">
        <v>30</v>
      </c>
      <c r="L94" s="22"/>
    </row>
    <row r="95" spans="1:12" x14ac:dyDescent="0.45">
      <c r="A95" s="24" t="s">
        <v>860</v>
      </c>
      <c r="B95" t="s">
        <v>804</v>
      </c>
      <c r="C95">
        <v>2019</v>
      </c>
      <c r="D95">
        <v>156</v>
      </c>
      <c r="E95">
        <v>22</v>
      </c>
      <c r="F95">
        <v>109</v>
      </c>
      <c r="G95">
        <v>0.7</v>
      </c>
      <c r="H95">
        <v>44</v>
      </c>
      <c r="I95">
        <v>47</v>
      </c>
      <c r="J95">
        <v>12</v>
      </c>
      <c r="K95">
        <v>15</v>
      </c>
      <c r="L95" s="22"/>
    </row>
    <row r="96" spans="1:12" x14ac:dyDescent="0.45">
      <c r="A96" s="24" t="s">
        <v>845</v>
      </c>
      <c r="B96" t="s">
        <v>783</v>
      </c>
      <c r="C96">
        <v>2020</v>
      </c>
      <c r="D96">
        <v>103</v>
      </c>
      <c r="E96">
        <v>22</v>
      </c>
      <c r="F96">
        <v>187</v>
      </c>
      <c r="G96">
        <v>1.82</v>
      </c>
      <c r="H96">
        <v>70</v>
      </c>
      <c r="I96">
        <v>64</v>
      </c>
      <c r="J96">
        <v>63</v>
      </c>
      <c r="K96">
        <v>75</v>
      </c>
      <c r="L96" s="22"/>
    </row>
    <row r="97" spans="1:12" x14ac:dyDescent="0.45">
      <c r="A97" s="24" t="s">
        <v>861</v>
      </c>
      <c r="B97" t="s">
        <v>811</v>
      </c>
      <c r="C97">
        <v>2020</v>
      </c>
      <c r="D97">
        <v>148</v>
      </c>
      <c r="E97">
        <v>30</v>
      </c>
      <c r="F97">
        <v>388</v>
      </c>
      <c r="G97">
        <v>2.62</v>
      </c>
      <c r="H97">
        <v>67</v>
      </c>
      <c r="I97">
        <v>57</v>
      </c>
      <c r="J97">
        <v>62</v>
      </c>
      <c r="K97">
        <v>70</v>
      </c>
      <c r="L97" s="22"/>
    </row>
    <row r="98" spans="1:12" x14ac:dyDescent="0.45">
      <c r="A98" s="24" t="s">
        <v>948</v>
      </c>
      <c r="B98" t="s">
        <v>809</v>
      </c>
      <c r="C98">
        <v>2020</v>
      </c>
      <c r="D98">
        <v>163</v>
      </c>
      <c r="E98">
        <v>25</v>
      </c>
      <c r="F98">
        <v>249</v>
      </c>
      <c r="G98">
        <v>1.53</v>
      </c>
      <c r="H98">
        <v>63</v>
      </c>
      <c r="I98">
        <v>53</v>
      </c>
      <c r="J98">
        <v>62</v>
      </c>
      <c r="K98">
        <v>66</v>
      </c>
      <c r="L98" s="22"/>
    </row>
    <row r="99" spans="1:12" x14ac:dyDescent="0.45">
      <c r="A99" s="24" t="s">
        <v>805</v>
      </c>
      <c r="B99" t="s">
        <v>787</v>
      </c>
      <c r="C99">
        <v>2020</v>
      </c>
      <c r="D99">
        <v>130</v>
      </c>
      <c r="E99">
        <v>43</v>
      </c>
      <c r="F99">
        <v>375</v>
      </c>
      <c r="G99">
        <v>2.88</v>
      </c>
      <c r="H99">
        <v>92</v>
      </c>
      <c r="I99">
        <v>56</v>
      </c>
      <c r="J99">
        <v>47</v>
      </c>
      <c r="K99">
        <v>65</v>
      </c>
      <c r="L99" s="22"/>
    </row>
    <row r="100" spans="1:12" x14ac:dyDescent="0.45">
      <c r="A100" s="24" t="s">
        <v>862</v>
      </c>
      <c r="B100" t="s">
        <v>826</v>
      </c>
      <c r="C100">
        <v>2020</v>
      </c>
      <c r="D100">
        <v>220</v>
      </c>
      <c r="E100">
        <v>56</v>
      </c>
      <c r="F100">
        <v>402</v>
      </c>
      <c r="G100">
        <v>1.83</v>
      </c>
      <c r="H100">
        <v>54</v>
      </c>
      <c r="I100">
        <v>72</v>
      </c>
      <c r="J100">
        <v>53</v>
      </c>
      <c r="K100">
        <v>65</v>
      </c>
      <c r="L100" s="22"/>
    </row>
    <row r="101" spans="1:12" x14ac:dyDescent="0.45">
      <c r="A101" s="24" t="s">
        <v>863</v>
      </c>
      <c r="B101" t="s">
        <v>800</v>
      </c>
      <c r="C101">
        <v>2020</v>
      </c>
      <c r="D101">
        <v>133</v>
      </c>
      <c r="E101">
        <v>29</v>
      </c>
      <c r="F101">
        <v>193</v>
      </c>
      <c r="G101">
        <v>1.45</v>
      </c>
      <c r="H101">
        <v>57</v>
      </c>
      <c r="I101">
        <v>37</v>
      </c>
      <c r="J101">
        <v>72</v>
      </c>
      <c r="K101">
        <v>65</v>
      </c>
      <c r="L101" s="22"/>
    </row>
    <row r="102" spans="1:12" x14ac:dyDescent="0.45">
      <c r="A102" s="24" t="s">
        <v>829</v>
      </c>
      <c r="B102" t="s">
        <v>775</v>
      </c>
      <c r="C102">
        <v>2020</v>
      </c>
      <c r="D102">
        <v>211</v>
      </c>
      <c r="E102">
        <v>52</v>
      </c>
      <c r="F102">
        <v>373</v>
      </c>
      <c r="G102">
        <v>1.77</v>
      </c>
      <c r="H102">
        <v>53</v>
      </c>
      <c r="I102">
        <v>58</v>
      </c>
      <c r="J102">
        <v>60</v>
      </c>
      <c r="K102">
        <v>63</v>
      </c>
      <c r="L102" s="22"/>
    </row>
    <row r="103" spans="1:12" x14ac:dyDescent="0.45">
      <c r="A103" s="24" t="s">
        <v>864</v>
      </c>
      <c r="B103" t="s">
        <v>833</v>
      </c>
      <c r="C103">
        <v>2020</v>
      </c>
      <c r="D103">
        <v>172</v>
      </c>
      <c r="E103">
        <v>45</v>
      </c>
      <c r="F103">
        <v>344</v>
      </c>
      <c r="G103">
        <v>2</v>
      </c>
      <c r="H103">
        <v>52</v>
      </c>
      <c r="I103">
        <v>53</v>
      </c>
      <c r="J103">
        <v>61</v>
      </c>
      <c r="K103">
        <v>62</v>
      </c>
      <c r="L103" s="22"/>
    </row>
    <row r="104" spans="1:12" x14ac:dyDescent="0.45">
      <c r="A104" s="24" t="s">
        <v>791</v>
      </c>
      <c r="B104" t="s">
        <v>792</v>
      </c>
      <c r="C104">
        <v>2020</v>
      </c>
      <c r="D104">
        <v>176</v>
      </c>
      <c r="E104">
        <v>43</v>
      </c>
      <c r="F104">
        <v>403</v>
      </c>
      <c r="G104">
        <v>2.29</v>
      </c>
      <c r="H104">
        <v>40</v>
      </c>
      <c r="I104">
        <v>53</v>
      </c>
      <c r="J104">
        <v>62</v>
      </c>
      <c r="K104">
        <v>58</v>
      </c>
      <c r="L104" s="22"/>
    </row>
    <row r="105" spans="1:12" x14ac:dyDescent="0.45">
      <c r="A105" s="24" t="s">
        <v>865</v>
      </c>
      <c r="B105" t="s">
        <v>792</v>
      </c>
      <c r="C105">
        <v>2020</v>
      </c>
      <c r="D105">
        <v>95</v>
      </c>
      <c r="E105">
        <v>21</v>
      </c>
      <c r="F105">
        <v>148</v>
      </c>
      <c r="G105">
        <v>1.56</v>
      </c>
      <c r="H105">
        <v>46</v>
      </c>
      <c r="I105">
        <v>67</v>
      </c>
      <c r="J105">
        <v>50</v>
      </c>
      <c r="K105">
        <v>57</v>
      </c>
      <c r="L105" s="22"/>
    </row>
    <row r="106" spans="1:12" x14ac:dyDescent="0.45">
      <c r="A106" s="24" t="s">
        <v>793</v>
      </c>
      <c r="B106" t="s">
        <v>794</v>
      </c>
      <c r="C106">
        <v>2020</v>
      </c>
      <c r="D106">
        <v>189</v>
      </c>
      <c r="E106">
        <v>34</v>
      </c>
      <c r="F106">
        <v>361</v>
      </c>
      <c r="G106">
        <v>1.91</v>
      </c>
      <c r="H106">
        <v>46</v>
      </c>
      <c r="I106">
        <v>49</v>
      </c>
      <c r="J106">
        <v>60</v>
      </c>
      <c r="K106">
        <v>56</v>
      </c>
      <c r="L106" s="22"/>
    </row>
    <row r="107" spans="1:12" x14ac:dyDescent="0.45">
      <c r="A107" s="24" t="s">
        <v>866</v>
      </c>
      <c r="B107" t="s">
        <v>867</v>
      </c>
      <c r="C107">
        <v>2020</v>
      </c>
      <c r="D107">
        <v>205</v>
      </c>
      <c r="E107">
        <v>42</v>
      </c>
      <c r="F107">
        <v>355</v>
      </c>
      <c r="G107">
        <v>1.73</v>
      </c>
      <c r="H107">
        <v>46</v>
      </c>
      <c r="I107">
        <v>47</v>
      </c>
      <c r="J107">
        <v>59</v>
      </c>
      <c r="K107">
        <v>55</v>
      </c>
      <c r="L107" s="22"/>
    </row>
    <row r="108" spans="1:12" x14ac:dyDescent="0.45">
      <c r="A108" s="24" t="s">
        <v>782</v>
      </c>
      <c r="B108" t="s">
        <v>783</v>
      </c>
      <c r="C108">
        <v>2020</v>
      </c>
      <c r="D108">
        <v>312</v>
      </c>
      <c r="E108">
        <v>83</v>
      </c>
      <c r="F108">
        <v>793</v>
      </c>
      <c r="G108">
        <v>2.54</v>
      </c>
      <c r="H108">
        <v>59</v>
      </c>
      <c r="I108">
        <v>21</v>
      </c>
      <c r="J108">
        <v>67</v>
      </c>
      <c r="K108">
        <v>54</v>
      </c>
      <c r="L108" s="22"/>
    </row>
    <row r="109" spans="1:12" x14ac:dyDescent="0.45">
      <c r="A109" s="24" t="s">
        <v>772</v>
      </c>
      <c r="B109" t="s">
        <v>815</v>
      </c>
      <c r="C109">
        <v>2020</v>
      </c>
      <c r="D109">
        <v>216</v>
      </c>
      <c r="E109">
        <v>41</v>
      </c>
      <c r="F109">
        <v>319</v>
      </c>
      <c r="G109">
        <v>1.48</v>
      </c>
      <c r="H109">
        <v>43</v>
      </c>
      <c r="I109">
        <v>43</v>
      </c>
      <c r="J109">
        <v>60</v>
      </c>
      <c r="K109">
        <v>53</v>
      </c>
      <c r="L109" s="22"/>
    </row>
    <row r="110" spans="1:12" x14ac:dyDescent="0.45">
      <c r="A110" s="24" t="s">
        <v>868</v>
      </c>
      <c r="B110" t="s">
        <v>804</v>
      </c>
      <c r="C110">
        <v>2020</v>
      </c>
      <c r="D110">
        <v>173</v>
      </c>
      <c r="E110">
        <v>45</v>
      </c>
      <c r="F110">
        <v>357</v>
      </c>
      <c r="G110">
        <v>2.06</v>
      </c>
      <c r="H110">
        <v>63</v>
      </c>
      <c r="I110">
        <v>42</v>
      </c>
      <c r="J110">
        <v>52</v>
      </c>
      <c r="K110">
        <v>53</v>
      </c>
      <c r="L110" s="22"/>
    </row>
    <row r="111" spans="1:12" x14ac:dyDescent="0.45">
      <c r="A111" s="24" t="s">
        <v>856</v>
      </c>
      <c r="B111" t="s">
        <v>828</v>
      </c>
      <c r="C111">
        <v>2020</v>
      </c>
      <c r="D111">
        <v>285</v>
      </c>
      <c r="E111">
        <v>43</v>
      </c>
      <c r="F111">
        <v>313</v>
      </c>
      <c r="G111">
        <v>1.1000000000000001</v>
      </c>
      <c r="H111">
        <v>39</v>
      </c>
      <c r="I111">
        <v>47</v>
      </c>
      <c r="J111">
        <v>59</v>
      </c>
      <c r="K111">
        <v>52</v>
      </c>
      <c r="L111" s="22"/>
    </row>
    <row r="112" spans="1:12" x14ac:dyDescent="0.45">
      <c r="A112" s="24" t="s">
        <v>825</v>
      </c>
      <c r="B112" t="s">
        <v>809</v>
      </c>
      <c r="C112">
        <v>2020</v>
      </c>
      <c r="D112">
        <v>246</v>
      </c>
      <c r="E112">
        <v>38</v>
      </c>
      <c r="F112">
        <v>314</v>
      </c>
      <c r="G112">
        <v>1.28</v>
      </c>
      <c r="H112">
        <v>51</v>
      </c>
      <c r="I112">
        <v>46</v>
      </c>
      <c r="J112">
        <v>53</v>
      </c>
      <c r="K112">
        <v>51</v>
      </c>
      <c r="L112" s="22"/>
    </row>
    <row r="113" spans="1:12" x14ac:dyDescent="0.45">
      <c r="A113" s="24" t="s">
        <v>869</v>
      </c>
      <c r="B113" t="s">
        <v>818</v>
      </c>
      <c r="C113">
        <v>2020</v>
      </c>
      <c r="D113">
        <v>157</v>
      </c>
      <c r="E113">
        <v>28</v>
      </c>
      <c r="F113">
        <v>212</v>
      </c>
      <c r="G113">
        <v>1.35</v>
      </c>
      <c r="H113">
        <v>23</v>
      </c>
      <c r="I113">
        <v>48</v>
      </c>
      <c r="J113">
        <v>64</v>
      </c>
      <c r="K113">
        <v>51</v>
      </c>
      <c r="L113" s="22"/>
    </row>
    <row r="114" spans="1:12" x14ac:dyDescent="0.45">
      <c r="A114" s="24" t="s">
        <v>950</v>
      </c>
      <c r="B114" t="s">
        <v>820</v>
      </c>
      <c r="C114">
        <v>2020</v>
      </c>
      <c r="D114">
        <v>222</v>
      </c>
      <c r="E114">
        <v>61</v>
      </c>
      <c r="F114">
        <v>490</v>
      </c>
      <c r="G114">
        <v>2.21</v>
      </c>
      <c r="H114">
        <v>43</v>
      </c>
      <c r="I114">
        <v>56</v>
      </c>
      <c r="J114">
        <v>49</v>
      </c>
      <c r="K114">
        <v>50</v>
      </c>
      <c r="L114" s="22"/>
    </row>
    <row r="115" spans="1:12" x14ac:dyDescent="0.45">
      <c r="A115" s="24" t="s">
        <v>835</v>
      </c>
      <c r="B115" t="s">
        <v>789</v>
      </c>
      <c r="C115">
        <v>2020</v>
      </c>
      <c r="D115">
        <v>66</v>
      </c>
      <c r="E115">
        <v>20</v>
      </c>
      <c r="F115">
        <v>84</v>
      </c>
      <c r="G115">
        <v>1.27</v>
      </c>
      <c r="H115">
        <v>55</v>
      </c>
      <c r="I115">
        <v>53</v>
      </c>
      <c r="J115">
        <v>43</v>
      </c>
      <c r="K115">
        <v>48</v>
      </c>
      <c r="L115" s="22"/>
    </row>
    <row r="116" spans="1:12" x14ac:dyDescent="0.45">
      <c r="A116" s="24" t="s">
        <v>949</v>
      </c>
      <c r="B116" t="s">
        <v>816</v>
      </c>
      <c r="C116">
        <v>2020</v>
      </c>
      <c r="D116">
        <v>208</v>
      </c>
      <c r="E116">
        <v>56</v>
      </c>
      <c r="F116">
        <v>376</v>
      </c>
      <c r="G116">
        <v>1.81</v>
      </c>
      <c r="H116">
        <v>36</v>
      </c>
      <c r="I116">
        <v>26</v>
      </c>
      <c r="J116">
        <v>66</v>
      </c>
      <c r="K116">
        <v>47</v>
      </c>
      <c r="L116" s="22"/>
    </row>
    <row r="117" spans="1:12" x14ac:dyDescent="0.45">
      <c r="A117" s="24" t="s">
        <v>870</v>
      </c>
      <c r="B117" t="s">
        <v>820</v>
      </c>
      <c r="C117">
        <v>2020</v>
      </c>
      <c r="D117">
        <v>161</v>
      </c>
      <c r="E117">
        <v>32</v>
      </c>
      <c r="F117">
        <v>305</v>
      </c>
      <c r="G117">
        <v>1.89</v>
      </c>
      <c r="H117">
        <v>30</v>
      </c>
      <c r="I117">
        <v>41</v>
      </c>
      <c r="J117">
        <v>59</v>
      </c>
      <c r="K117">
        <v>46</v>
      </c>
      <c r="L117" s="22"/>
    </row>
    <row r="118" spans="1:12" x14ac:dyDescent="0.45">
      <c r="A118" s="24" t="s">
        <v>871</v>
      </c>
      <c r="B118" t="s">
        <v>785</v>
      </c>
      <c r="C118">
        <v>2020</v>
      </c>
      <c r="D118">
        <v>133</v>
      </c>
      <c r="E118">
        <v>40</v>
      </c>
      <c r="F118">
        <v>251</v>
      </c>
      <c r="G118">
        <v>1.89</v>
      </c>
      <c r="H118">
        <v>40</v>
      </c>
      <c r="I118">
        <v>42</v>
      </c>
      <c r="J118">
        <v>52</v>
      </c>
      <c r="K118">
        <v>44</v>
      </c>
      <c r="L118" s="22"/>
    </row>
    <row r="119" spans="1:12" x14ac:dyDescent="0.45">
      <c r="A119" s="24" t="s">
        <v>872</v>
      </c>
      <c r="B119" t="s">
        <v>773</v>
      </c>
      <c r="C119">
        <v>2020</v>
      </c>
      <c r="D119">
        <v>269</v>
      </c>
      <c r="E119">
        <v>49</v>
      </c>
      <c r="F119">
        <v>320</v>
      </c>
      <c r="G119">
        <v>1.19</v>
      </c>
      <c r="H119">
        <v>23</v>
      </c>
      <c r="I119">
        <v>25</v>
      </c>
      <c r="J119">
        <v>68</v>
      </c>
      <c r="K119">
        <v>43</v>
      </c>
      <c r="L119" s="22"/>
    </row>
    <row r="120" spans="1:12" x14ac:dyDescent="0.45">
      <c r="A120" s="24" t="s">
        <v>873</v>
      </c>
      <c r="B120" t="s">
        <v>777</v>
      </c>
      <c r="C120">
        <v>2020</v>
      </c>
      <c r="D120">
        <v>134</v>
      </c>
      <c r="E120">
        <v>26</v>
      </c>
      <c r="F120">
        <v>199</v>
      </c>
      <c r="G120">
        <v>1.49</v>
      </c>
      <c r="H120">
        <v>62</v>
      </c>
      <c r="I120">
        <v>49</v>
      </c>
      <c r="J120">
        <v>36</v>
      </c>
      <c r="K120">
        <v>42</v>
      </c>
      <c r="L120" s="22"/>
    </row>
    <row r="121" spans="1:12" x14ac:dyDescent="0.45">
      <c r="A121" s="24" t="s">
        <v>839</v>
      </c>
      <c r="B121" t="s">
        <v>830</v>
      </c>
      <c r="C121">
        <v>2020</v>
      </c>
      <c r="D121">
        <v>166</v>
      </c>
      <c r="E121">
        <v>34</v>
      </c>
      <c r="F121">
        <v>292</v>
      </c>
      <c r="G121">
        <v>1.76</v>
      </c>
      <c r="H121">
        <v>22</v>
      </c>
      <c r="I121">
        <v>58</v>
      </c>
      <c r="J121">
        <v>48</v>
      </c>
      <c r="K121">
        <v>42</v>
      </c>
      <c r="L121" s="22"/>
    </row>
    <row r="122" spans="1:12" x14ac:dyDescent="0.45">
      <c r="A122" s="24" t="s">
        <v>847</v>
      </c>
      <c r="B122" t="s">
        <v>789</v>
      </c>
      <c r="C122">
        <v>2020</v>
      </c>
      <c r="D122">
        <v>148</v>
      </c>
      <c r="E122">
        <v>39</v>
      </c>
      <c r="F122">
        <v>238</v>
      </c>
      <c r="G122">
        <v>1.61</v>
      </c>
      <c r="H122">
        <v>40</v>
      </c>
      <c r="I122">
        <v>46</v>
      </c>
      <c r="J122">
        <v>47</v>
      </c>
      <c r="K122">
        <v>42</v>
      </c>
      <c r="L122" s="22"/>
    </row>
    <row r="123" spans="1:12" x14ac:dyDescent="0.45">
      <c r="A123" s="24" t="s">
        <v>874</v>
      </c>
      <c r="B123" t="s">
        <v>792</v>
      </c>
      <c r="C123">
        <v>2020</v>
      </c>
      <c r="D123">
        <v>106</v>
      </c>
      <c r="E123">
        <v>29</v>
      </c>
      <c r="F123">
        <v>166</v>
      </c>
      <c r="G123">
        <v>1.57</v>
      </c>
      <c r="H123">
        <v>53</v>
      </c>
      <c r="I123">
        <v>48</v>
      </c>
      <c r="J123">
        <v>39</v>
      </c>
      <c r="K123">
        <v>41</v>
      </c>
      <c r="L123" s="22"/>
    </row>
    <row r="124" spans="1:12" x14ac:dyDescent="0.45">
      <c r="A124" s="24" t="s">
        <v>953</v>
      </c>
      <c r="B124" t="s">
        <v>875</v>
      </c>
      <c r="C124">
        <v>2020</v>
      </c>
      <c r="D124">
        <v>112</v>
      </c>
      <c r="E124">
        <v>21</v>
      </c>
      <c r="F124">
        <v>114</v>
      </c>
      <c r="G124">
        <v>1.02</v>
      </c>
      <c r="H124">
        <v>40</v>
      </c>
      <c r="I124">
        <v>55</v>
      </c>
      <c r="J124">
        <v>40</v>
      </c>
      <c r="K124">
        <v>40</v>
      </c>
      <c r="L124" s="22"/>
    </row>
    <row r="125" spans="1:12" x14ac:dyDescent="0.45">
      <c r="A125" s="24" t="s">
        <v>799</v>
      </c>
      <c r="B125" t="s">
        <v>800</v>
      </c>
      <c r="C125">
        <v>2020</v>
      </c>
      <c r="D125">
        <v>230</v>
      </c>
      <c r="E125">
        <v>53</v>
      </c>
      <c r="F125">
        <v>338</v>
      </c>
      <c r="G125">
        <v>1.47</v>
      </c>
      <c r="H125">
        <v>49</v>
      </c>
      <c r="I125">
        <v>37</v>
      </c>
      <c r="J125">
        <v>45</v>
      </c>
      <c r="K125">
        <v>39</v>
      </c>
      <c r="L125" s="22"/>
    </row>
    <row r="126" spans="1:12" x14ac:dyDescent="0.45">
      <c r="A126" s="24" t="s">
        <v>947</v>
      </c>
      <c r="B126" t="s">
        <v>777</v>
      </c>
      <c r="C126">
        <v>2020</v>
      </c>
      <c r="D126">
        <v>162</v>
      </c>
      <c r="E126">
        <v>28</v>
      </c>
      <c r="F126">
        <v>164</v>
      </c>
      <c r="G126">
        <v>1.01</v>
      </c>
      <c r="H126">
        <v>51</v>
      </c>
      <c r="I126">
        <v>53</v>
      </c>
      <c r="J126">
        <v>34</v>
      </c>
      <c r="K126">
        <v>38</v>
      </c>
      <c r="L126" s="22"/>
    </row>
    <row r="127" spans="1:12" x14ac:dyDescent="0.45">
      <c r="A127" s="24" t="s">
        <v>797</v>
      </c>
      <c r="B127" t="s">
        <v>798</v>
      </c>
      <c r="C127">
        <v>2020</v>
      </c>
      <c r="D127">
        <v>166</v>
      </c>
      <c r="E127">
        <v>29</v>
      </c>
      <c r="F127">
        <v>245</v>
      </c>
      <c r="G127">
        <v>1.48</v>
      </c>
      <c r="H127">
        <v>45</v>
      </c>
      <c r="I127">
        <v>45</v>
      </c>
      <c r="J127">
        <v>39</v>
      </c>
      <c r="K127">
        <v>37</v>
      </c>
      <c r="L127" s="22"/>
    </row>
    <row r="128" spans="1:12" x14ac:dyDescent="0.45">
      <c r="A128" s="24" t="s">
        <v>876</v>
      </c>
      <c r="B128" t="s">
        <v>781</v>
      </c>
      <c r="C128">
        <v>2020</v>
      </c>
      <c r="D128">
        <v>170</v>
      </c>
      <c r="E128">
        <v>41</v>
      </c>
      <c r="F128">
        <v>253</v>
      </c>
      <c r="G128">
        <v>1.49</v>
      </c>
      <c r="H128">
        <v>50</v>
      </c>
      <c r="I128">
        <v>41</v>
      </c>
      <c r="J128">
        <v>38</v>
      </c>
      <c r="K128">
        <v>35</v>
      </c>
      <c r="L128" s="22"/>
    </row>
    <row r="129" spans="1:12" x14ac:dyDescent="0.45">
      <c r="A129" s="24" t="s">
        <v>853</v>
      </c>
      <c r="B129" t="s">
        <v>785</v>
      </c>
      <c r="C129">
        <v>2020</v>
      </c>
      <c r="D129">
        <v>310</v>
      </c>
      <c r="E129">
        <v>96</v>
      </c>
      <c r="F129">
        <v>597</v>
      </c>
      <c r="G129">
        <v>1.93</v>
      </c>
      <c r="H129">
        <v>55</v>
      </c>
      <c r="I129">
        <v>27</v>
      </c>
      <c r="J129">
        <v>43</v>
      </c>
      <c r="K129">
        <v>35</v>
      </c>
      <c r="L129" s="22"/>
    </row>
    <row r="130" spans="1:12" x14ac:dyDescent="0.45">
      <c r="A130" s="24" t="s">
        <v>857</v>
      </c>
      <c r="B130" t="s">
        <v>779</v>
      </c>
      <c r="C130">
        <v>2020</v>
      </c>
      <c r="D130">
        <v>291</v>
      </c>
      <c r="E130">
        <v>58</v>
      </c>
      <c r="F130">
        <v>438</v>
      </c>
      <c r="G130">
        <v>1.51</v>
      </c>
      <c r="H130">
        <v>31</v>
      </c>
      <c r="I130">
        <v>31</v>
      </c>
      <c r="J130">
        <v>52</v>
      </c>
      <c r="K130">
        <v>35</v>
      </c>
      <c r="L130" s="22"/>
    </row>
    <row r="131" spans="1:12" x14ac:dyDescent="0.45">
      <c r="A131" s="24" t="s">
        <v>795</v>
      </c>
      <c r="B131" t="s">
        <v>875</v>
      </c>
      <c r="C131">
        <v>2020</v>
      </c>
      <c r="D131">
        <v>146</v>
      </c>
      <c r="E131">
        <v>28</v>
      </c>
      <c r="F131">
        <v>127</v>
      </c>
      <c r="G131">
        <v>0.87</v>
      </c>
      <c r="H131">
        <v>49</v>
      </c>
      <c r="I131">
        <v>52</v>
      </c>
      <c r="J131">
        <v>30</v>
      </c>
      <c r="K131">
        <v>34</v>
      </c>
      <c r="L131" s="22"/>
    </row>
    <row r="132" spans="1:12" x14ac:dyDescent="0.45">
      <c r="A132" s="24" t="s">
        <v>877</v>
      </c>
      <c r="B132" t="s">
        <v>814</v>
      </c>
      <c r="C132">
        <v>2020</v>
      </c>
      <c r="D132">
        <v>204</v>
      </c>
      <c r="E132">
        <v>26</v>
      </c>
      <c r="F132">
        <v>175</v>
      </c>
      <c r="G132">
        <v>0.86</v>
      </c>
      <c r="H132">
        <v>43</v>
      </c>
      <c r="I132">
        <v>39</v>
      </c>
      <c r="J132">
        <v>39</v>
      </c>
      <c r="K132">
        <v>33</v>
      </c>
      <c r="L132" s="22"/>
    </row>
    <row r="133" spans="1:12" x14ac:dyDescent="0.45">
      <c r="A133" s="24" t="s">
        <v>831</v>
      </c>
      <c r="B133" t="s">
        <v>816</v>
      </c>
      <c r="C133">
        <v>2020</v>
      </c>
      <c r="D133">
        <v>164</v>
      </c>
      <c r="E133">
        <v>26</v>
      </c>
      <c r="F133">
        <v>258</v>
      </c>
      <c r="G133">
        <v>1.57</v>
      </c>
      <c r="H133">
        <v>34</v>
      </c>
      <c r="I133">
        <v>49</v>
      </c>
      <c r="J133">
        <v>38</v>
      </c>
      <c r="K133">
        <v>33</v>
      </c>
      <c r="L133" s="22"/>
    </row>
    <row r="134" spans="1:12" x14ac:dyDescent="0.45">
      <c r="A134" s="24" t="s">
        <v>849</v>
      </c>
      <c r="B134" t="s">
        <v>823</v>
      </c>
      <c r="C134">
        <v>2020</v>
      </c>
      <c r="D134">
        <v>221</v>
      </c>
      <c r="E134">
        <v>54</v>
      </c>
      <c r="F134">
        <v>381</v>
      </c>
      <c r="G134">
        <v>1.72</v>
      </c>
      <c r="H134">
        <v>56</v>
      </c>
      <c r="I134">
        <v>26</v>
      </c>
      <c r="J134">
        <v>40</v>
      </c>
      <c r="K134">
        <v>32</v>
      </c>
      <c r="L134" s="22"/>
    </row>
    <row r="135" spans="1:12" x14ac:dyDescent="0.45">
      <c r="A135" s="24" t="s">
        <v>838</v>
      </c>
      <c r="B135" t="s">
        <v>777</v>
      </c>
      <c r="C135">
        <v>2020</v>
      </c>
      <c r="D135">
        <v>103</v>
      </c>
      <c r="E135">
        <v>20</v>
      </c>
      <c r="F135">
        <v>75</v>
      </c>
      <c r="G135">
        <v>0.73</v>
      </c>
      <c r="H135">
        <v>39</v>
      </c>
      <c r="I135">
        <v>45</v>
      </c>
      <c r="J135">
        <v>35</v>
      </c>
      <c r="K135">
        <v>31</v>
      </c>
      <c r="L135" s="22"/>
    </row>
    <row r="136" spans="1:12" x14ac:dyDescent="0.45">
      <c r="A136" s="24" t="s">
        <v>878</v>
      </c>
      <c r="B136" t="s">
        <v>813</v>
      </c>
      <c r="C136">
        <v>2020</v>
      </c>
      <c r="D136">
        <v>188</v>
      </c>
      <c r="E136">
        <v>21</v>
      </c>
      <c r="F136">
        <v>165</v>
      </c>
      <c r="G136">
        <v>0.88</v>
      </c>
      <c r="H136">
        <v>48</v>
      </c>
      <c r="I136">
        <v>29</v>
      </c>
      <c r="J136">
        <v>39</v>
      </c>
      <c r="K136">
        <v>30</v>
      </c>
      <c r="L136" s="22"/>
    </row>
    <row r="137" spans="1:12" x14ac:dyDescent="0.45">
      <c r="A137" s="24" t="s">
        <v>879</v>
      </c>
      <c r="B137" t="s">
        <v>796</v>
      </c>
      <c r="C137">
        <v>2020</v>
      </c>
      <c r="D137">
        <v>170</v>
      </c>
      <c r="E137">
        <v>25</v>
      </c>
      <c r="F137">
        <v>125</v>
      </c>
      <c r="G137">
        <v>0.74</v>
      </c>
      <c r="H137">
        <v>28</v>
      </c>
      <c r="I137">
        <v>48</v>
      </c>
      <c r="J137">
        <v>35</v>
      </c>
      <c r="K137">
        <v>29</v>
      </c>
      <c r="L137" s="22"/>
    </row>
    <row r="138" spans="1:12" x14ac:dyDescent="0.45">
      <c r="A138" s="24" t="s">
        <v>954</v>
      </c>
      <c r="B138" t="s">
        <v>781</v>
      </c>
      <c r="C138">
        <v>2020</v>
      </c>
      <c r="D138">
        <v>102</v>
      </c>
      <c r="E138">
        <v>24</v>
      </c>
      <c r="F138">
        <v>133</v>
      </c>
      <c r="G138">
        <v>1.3</v>
      </c>
      <c r="H138">
        <v>41</v>
      </c>
      <c r="I138">
        <v>8</v>
      </c>
      <c r="J138">
        <v>52</v>
      </c>
      <c r="K138">
        <v>28</v>
      </c>
      <c r="L138" s="22"/>
    </row>
    <row r="139" spans="1:12" x14ac:dyDescent="0.45">
      <c r="A139" s="24" t="s">
        <v>810</v>
      </c>
      <c r="B139" t="s">
        <v>826</v>
      </c>
      <c r="C139">
        <v>2020</v>
      </c>
      <c r="D139">
        <v>161</v>
      </c>
      <c r="E139">
        <v>24</v>
      </c>
      <c r="F139">
        <v>137</v>
      </c>
      <c r="G139">
        <v>0.85</v>
      </c>
      <c r="H139">
        <v>35</v>
      </c>
      <c r="I139">
        <v>40</v>
      </c>
      <c r="J139">
        <v>30</v>
      </c>
      <c r="K139">
        <v>23</v>
      </c>
      <c r="L139" s="22"/>
    </row>
    <row r="140" spans="1:12" x14ac:dyDescent="0.45">
      <c r="A140" s="24" t="s">
        <v>880</v>
      </c>
      <c r="B140" t="s">
        <v>773</v>
      </c>
      <c r="C140">
        <v>2020</v>
      </c>
      <c r="D140">
        <v>206</v>
      </c>
      <c r="E140">
        <v>29</v>
      </c>
      <c r="F140">
        <v>151</v>
      </c>
      <c r="G140">
        <v>0.73</v>
      </c>
      <c r="H140">
        <v>17</v>
      </c>
      <c r="I140">
        <v>38</v>
      </c>
      <c r="J140">
        <v>35</v>
      </c>
      <c r="K140">
        <v>19</v>
      </c>
      <c r="L140" s="22"/>
    </row>
    <row r="141" spans="1:12" x14ac:dyDescent="0.45">
      <c r="A141" s="24" t="s">
        <v>844</v>
      </c>
      <c r="B141" t="s">
        <v>818</v>
      </c>
      <c r="C141">
        <v>2020</v>
      </c>
      <c r="D141">
        <v>216</v>
      </c>
      <c r="E141">
        <v>41</v>
      </c>
      <c r="F141">
        <v>197</v>
      </c>
      <c r="G141">
        <v>0.91</v>
      </c>
      <c r="H141">
        <v>43</v>
      </c>
      <c r="I141">
        <v>6</v>
      </c>
      <c r="J141">
        <v>41</v>
      </c>
      <c r="K141">
        <v>19</v>
      </c>
      <c r="L141" s="22"/>
    </row>
    <row r="142" spans="1:12" x14ac:dyDescent="0.45">
      <c r="A142" s="24" t="s">
        <v>952</v>
      </c>
      <c r="B142" t="s">
        <v>823</v>
      </c>
      <c r="C142">
        <v>2020</v>
      </c>
      <c r="D142">
        <v>139</v>
      </c>
      <c r="E142">
        <v>35</v>
      </c>
      <c r="F142">
        <v>165</v>
      </c>
      <c r="G142">
        <v>1.19</v>
      </c>
      <c r="H142">
        <v>54</v>
      </c>
      <c r="I142">
        <v>17</v>
      </c>
      <c r="J142">
        <v>24</v>
      </c>
      <c r="K142">
        <v>13</v>
      </c>
      <c r="L142" s="22"/>
    </row>
    <row r="143" spans="1:12" x14ac:dyDescent="0.45">
      <c r="A143" s="24" t="s">
        <v>945</v>
      </c>
      <c r="B143" t="s">
        <v>802</v>
      </c>
      <c r="C143">
        <v>2020</v>
      </c>
      <c r="D143">
        <v>216</v>
      </c>
      <c r="E143">
        <v>38</v>
      </c>
      <c r="F143">
        <v>158</v>
      </c>
      <c r="G143">
        <v>0.73</v>
      </c>
      <c r="H143">
        <v>19</v>
      </c>
      <c r="I143">
        <v>46</v>
      </c>
      <c r="J143">
        <v>12</v>
      </c>
      <c r="K143">
        <v>5</v>
      </c>
      <c r="L143" s="22"/>
    </row>
    <row r="144" spans="1:12" x14ac:dyDescent="0.45">
      <c r="A144" s="24" t="s">
        <v>881</v>
      </c>
      <c r="B144" t="s">
        <v>777</v>
      </c>
      <c r="C144">
        <v>2021</v>
      </c>
      <c r="D144">
        <v>195</v>
      </c>
      <c r="E144">
        <v>55</v>
      </c>
      <c r="F144">
        <v>548</v>
      </c>
      <c r="G144">
        <v>2.81</v>
      </c>
      <c r="H144">
        <v>54</v>
      </c>
      <c r="I144">
        <v>70</v>
      </c>
      <c r="J144">
        <v>80</v>
      </c>
      <c r="K144">
        <v>86</v>
      </c>
      <c r="L144" s="22"/>
    </row>
    <row r="145" spans="1:12" x14ac:dyDescent="0.45">
      <c r="A145" s="24" t="s">
        <v>955</v>
      </c>
      <c r="B145" t="s">
        <v>816</v>
      </c>
      <c r="C145">
        <v>2021</v>
      </c>
      <c r="D145">
        <v>156</v>
      </c>
      <c r="E145">
        <v>31</v>
      </c>
      <c r="F145">
        <v>313</v>
      </c>
      <c r="G145">
        <v>2.0099999999999998</v>
      </c>
      <c r="H145">
        <v>59</v>
      </c>
      <c r="I145">
        <v>74</v>
      </c>
      <c r="J145">
        <v>71</v>
      </c>
      <c r="K145">
        <v>83</v>
      </c>
      <c r="L145" s="22"/>
    </row>
    <row r="146" spans="1:12" x14ac:dyDescent="0.45">
      <c r="A146" s="24" t="s">
        <v>774</v>
      </c>
      <c r="B146" t="s">
        <v>775</v>
      </c>
      <c r="C146">
        <v>2021</v>
      </c>
      <c r="D146">
        <v>90</v>
      </c>
      <c r="E146">
        <v>33</v>
      </c>
      <c r="F146">
        <v>343</v>
      </c>
      <c r="G146">
        <v>3.81</v>
      </c>
      <c r="H146">
        <v>61</v>
      </c>
      <c r="I146">
        <v>92</v>
      </c>
      <c r="J146">
        <v>58</v>
      </c>
      <c r="K146">
        <v>81</v>
      </c>
      <c r="L146" s="22"/>
    </row>
    <row r="147" spans="1:12" x14ac:dyDescent="0.45">
      <c r="A147" s="24" t="s">
        <v>797</v>
      </c>
      <c r="B147" t="s">
        <v>826</v>
      </c>
      <c r="C147">
        <v>2021</v>
      </c>
      <c r="D147">
        <v>149</v>
      </c>
      <c r="E147">
        <v>25</v>
      </c>
      <c r="F147">
        <v>380</v>
      </c>
      <c r="G147">
        <v>2.5499999999999998</v>
      </c>
      <c r="H147">
        <v>28</v>
      </c>
      <c r="I147">
        <v>69</v>
      </c>
      <c r="J147">
        <v>85</v>
      </c>
      <c r="K147">
        <v>81</v>
      </c>
      <c r="L147" s="22"/>
    </row>
    <row r="148" spans="1:12" x14ac:dyDescent="0.45">
      <c r="A148" s="24" t="s">
        <v>882</v>
      </c>
      <c r="B148" t="s">
        <v>781</v>
      </c>
      <c r="C148">
        <v>2021</v>
      </c>
      <c r="D148">
        <v>138</v>
      </c>
      <c r="E148">
        <v>21</v>
      </c>
      <c r="F148">
        <v>194</v>
      </c>
      <c r="G148">
        <v>1.41</v>
      </c>
      <c r="H148">
        <v>42</v>
      </c>
      <c r="I148">
        <v>74</v>
      </c>
      <c r="J148">
        <v>70</v>
      </c>
      <c r="K148">
        <v>76</v>
      </c>
      <c r="L148" s="22"/>
    </row>
    <row r="149" spans="1:12" x14ac:dyDescent="0.45">
      <c r="A149" s="24" t="s">
        <v>860</v>
      </c>
      <c r="B149" t="s">
        <v>807</v>
      </c>
      <c r="C149">
        <v>2021</v>
      </c>
      <c r="D149">
        <v>216</v>
      </c>
      <c r="E149">
        <v>48</v>
      </c>
      <c r="F149">
        <v>372</v>
      </c>
      <c r="G149">
        <v>1.72</v>
      </c>
      <c r="H149">
        <v>55</v>
      </c>
      <c r="I149">
        <v>16</v>
      </c>
      <c r="J149">
        <v>96</v>
      </c>
      <c r="K149">
        <v>74</v>
      </c>
      <c r="L149" s="22"/>
    </row>
    <row r="150" spans="1:12" x14ac:dyDescent="0.45">
      <c r="A150" s="24" t="s">
        <v>853</v>
      </c>
      <c r="B150" t="s">
        <v>785</v>
      </c>
      <c r="C150">
        <v>2021</v>
      </c>
      <c r="D150">
        <v>173</v>
      </c>
      <c r="E150">
        <v>44</v>
      </c>
      <c r="F150">
        <v>397</v>
      </c>
      <c r="G150">
        <v>2.29</v>
      </c>
      <c r="H150">
        <v>53</v>
      </c>
      <c r="I150">
        <v>73</v>
      </c>
      <c r="J150">
        <v>63</v>
      </c>
      <c r="K150">
        <v>73</v>
      </c>
      <c r="L150" s="22"/>
    </row>
    <row r="151" spans="1:12" x14ac:dyDescent="0.45">
      <c r="A151" s="24" t="s">
        <v>863</v>
      </c>
      <c r="B151" t="s">
        <v>800</v>
      </c>
      <c r="C151">
        <v>2021</v>
      </c>
      <c r="D151">
        <v>130</v>
      </c>
      <c r="E151">
        <v>35</v>
      </c>
      <c r="F151">
        <v>349</v>
      </c>
      <c r="G151">
        <v>2.68</v>
      </c>
      <c r="H151">
        <v>72</v>
      </c>
      <c r="I151">
        <v>53</v>
      </c>
      <c r="J151">
        <v>66</v>
      </c>
      <c r="K151">
        <v>73</v>
      </c>
      <c r="L151" s="22"/>
    </row>
    <row r="152" spans="1:12" x14ac:dyDescent="0.45">
      <c r="A152" s="24" t="s">
        <v>883</v>
      </c>
      <c r="B152" t="s">
        <v>807</v>
      </c>
      <c r="C152">
        <v>2021</v>
      </c>
      <c r="D152">
        <v>168</v>
      </c>
      <c r="E152">
        <v>40</v>
      </c>
      <c r="F152">
        <v>325</v>
      </c>
      <c r="G152">
        <v>1.93</v>
      </c>
      <c r="H152">
        <v>44</v>
      </c>
      <c r="I152">
        <v>32</v>
      </c>
      <c r="J152">
        <v>83</v>
      </c>
      <c r="K152">
        <v>66</v>
      </c>
      <c r="L152" s="22"/>
    </row>
    <row r="153" spans="1:12" x14ac:dyDescent="0.45">
      <c r="A153" s="24" t="s">
        <v>791</v>
      </c>
      <c r="B153" t="s">
        <v>792</v>
      </c>
      <c r="C153">
        <v>2021</v>
      </c>
      <c r="D153">
        <v>346</v>
      </c>
      <c r="E153">
        <v>78</v>
      </c>
      <c r="F153">
        <v>647</v>
      </c>
      <c r="G153">
        <v>1.87</v>
      </c>
      <c r="H153">
        <v>43</v>
      </c>
      <c r="I153">
        <v>48</v>
      </c>
      <c r="J153">
        <v>71</v>
      </c>
      <c r="K153">
        <v>64</v>
      </c>
      <c r="L153" s="22"/>
    </row>
    <row r="154" spans="1:12" x14ac:dyDescent="0.45">
      <c r="A154" s="24" t="s">
        <v>810</v>
      </c>
      <c r="B154" t="s">
        <v>789</v>
      </c>
      <c r="C154">
        <v>2021</v>
      </c>
      <c r="D154">
        <v>123</v>
      </c>
      <c r="E154">
        <v>31</v>
      </c>
      <c r="F154">
        <v>291</v>
      </c>
      <c r="G154">
        <v>2.37</v>
      </c>
      <c r="H154">
        <v>53</v>
      </c>
      <c r="I154">
        <v>51</v>
      </c>
      <c r="J154">
        <v>64</v>
      </c>
      <c r="K154">
        <v>63</v>
      </c>
      <c r="L154" s="22"/>
    </row>
    <row r="155" spans="1:12" x14ac:dyDescent="0.45">
      <c r="A155" s="24" t="s">
        <v>884</v>
      </c>
      <c r="B155" t="s">
        <v>792</v>
      </c>
      <c r="C155">
        <v>2021</v>
      </c>
      <c r="D155">
        <v>95</v>
      </c>
      <c r="E155">
        <v>24</v>
      </c>
      <c r="F155">
        <v>178</v>
      </c>
      <c r="G155">
        <v>1.87</v>
      </c>
      <c r="H155">
        <v>73</v>
      </c>
      <c r="I155">
        <v>50</v>
      </c>
      <c r="J155">
        <v>54</v>
      </c>
      <c r="K155">
        <v>62</v>
      </c>
      <c r="L155" s="22"/>
    </row>
    <row r="156" spans="1:12" x14ac:dyDescent="0.45">
      <c r="A156" s="24" t="s">
        <v>876</v>
      </c>
      <c r="B156" t="s">
        <v>773</v>
      </c>
      <c r="C156">
        <v>2021</v>
      </c>
      <c r="D156">
        <v>188</v>
      </c>
      <c r="E156">
        <v>25</v>
      </c>
      <c r="F156">
        <v>272</v>
      </c>
      <c r="G156">
        <v>1.45</v>
      </c>
      <c r="H156">
        <v>17</v>
      </c>
      <c r="I156">
        <v>36</v>
      </c>
      <c r="J156">
        <v>83</v>
      </c>
      <c r="K156">
        <v>59</v>
      </c>
      <c r="L156" s="22"/>
    </row>
    <row r="157" spans="1:12" x14ac:dyDescent="0.45">
      <c r="A157" s="24" t="s">
        <v>949</v>
      </c>
      <c r="B157" t="s">
        <v>816</v>
      </c>
      <c r="C157">
        <v>2021</v>
      </c>
      <c r="D157">
        <v>237</v>
      </c>
      <c r="E157">
        <v>47</v>
      </c>
      <c r="F157">
        <v>520</v>
      </c>
      <c r="G157">
        <v>2.19</v>
      </c>
      <c r="H157">
        <v>43</v>
      </c>
      <c r="I157">
        <v>45</v>
      </c>
      <c r="J157">
        <v>66</v>
      </c>
      <c r="K157">
        <v>59</v>
      </c>
      <c r="L157" s="22"/>
    </row>
    <row r="158" spans="1:12" x14ac:dyDescent="0.45">
      <c r="A158" s="24" t="s">
        <v>885</v>
      </c>
      <c r="B158" t="s">
        <v>787</v>
      </c>
      <c r="C158">
        <v>2021</v>
      </c>
      <c r="D158">
        <v>178</v>
      </c>
      <c r="E158">
        <v>38</v>
      </c>
      <c r="F158">
        <v>432</v>
      </c>
      <c r="G158">
        <v>2.4300000000000002</v>
      </c>
      <c r="H158">
        <v>36</v>
      </c>
      <c r="I158">
        <v>44</v>
      </c>
      <c r="J158">
        <v>68</v>
      </c>
      <c r="K158">
        <v>57</v>
      </c>
      <c r="L158" s="22"/>
    </row>
    <row r="159" spans="1:12" x14ac:dyDescent="0.45">
      <c r="A159" s="24" t="s">
        <v>886</v>
      </c>
      <c r="B159" t="s">
        <v>796</v>
      </c>
      <c r="C159">
        <v>2021</v>
      </c>
      <c r="D159">
        <v>112</v>
      </c>
      <c r="E159">
        <v>23</v>
      </c>
      <c r="F159">
        <v>240</v>
      </c>
      <c r="G159">
        <v>2.14</v>
      </c>
      <c r="H159">
        <v>60</v>
      </c>
      <c r="I159">
        <v>37</v>
      </c>
      <c r="J159">
        <v>60</v>
      </c>
      <c r="K159">
        <v>56</v>
      </c>
      <c r="L159" s="22"/>
    </row>
    <row r="160" spans="1:12" x14ac:dyDescent="0.45">
      <c r="A160" s="24" t="s">
        <v>880</v>
      </c>
      <c r="B160" t="s">
        <v>773</v>
      </c>
      <c r="C160">
        <v>2021</v>
      </c>
      <c r="D160">
        <v>283</v>
      </c>
      <c r="E160">
        <v>48</v>
      </c>
      <c r="F160">
        <v>452</v>
      </c>
      <c r="G160">
        <v>1.6</v>
      </c>
      <c r="H160">
        <v>38</v>
      </c>
      <c r="I160">
        <v>70</v>
      </c>
      <c r="J160">
        <v>50</v>
      </c>
      <c r="K160">
        <v>56</v>
      </c>
      <c r="L160" s="22"/>
    </row>
    <row r="161" spans="1:12" x14ac:dyDescent="0.45">
      <c r="A161" s="24" t="s">
        <v>887</v>
      </c>
      <c r="B161" t="s">
        <v>867</v>
      </c>
      <c r="C161">
        <v>2021</v>
      </c>
      <c r="D161">
        <v>153</v>
      </c>
      <c r="E161">
        <v>32</v>
      </c>
      <c r="F161">
        <v>243</v>
      </c>
      <c r="G161">
        <v>1.59</v>
      </c>
      <c r="H161">
        <v>73</v>
      </c>
      <c r="I161">
        <v>47</v>
      </c>
      <c r="J161">
        <v>47</v>
      </c>
      <c r="K161">
        <v>55</v>
      </c>
      <c r="L161" s="22"/>
    </row>
    <row r="162" spans="1:12" x14ac:dyDescent="0.45">
      <c r="A162" s="24" t="s">
        <v>950</v>
      </c>
      <c r="B162" t="s">
        <v>820</v>
      </c>
      <c r="C162">
        <v>2021</v>
      </c>
      <c r="D162">
        <v>156</v>
      </c>
      <c r="E162">
        <v>41</v>
      </c>
      <c r="F162">
        <v>310</v>
      </c>
      <c r="G162">
        <v>1.99</v>
      </c>
      <c r="H162">
        <v>60</v>
      </c>
      <c r="I162">
        <v>51</v>
      </c>
      <c r="J162">
        <v>51</v>
      </c>
      <c r="K162">
        <v>55</v>
      </c>
      <c r="L162" s="22"/>
    </row>
    <row r="163" spans="1:12" x14ac:dyDescent="0.45">
      <c r="A163" s="24" t="s">
        <v>870</v>
      </c>
      <c r="B163" t="s">
        <v>820</v>
      </c>
      <c r="C163">
        <v>2021</v>
      </c>
      <c r="D163">
        <v>219</v>
      </c>
      <c r="E163">
        <v>35</v>
      </c>
      <c r="F163">
        <v>360</v>
      </c>
      <c r="G163">
        <v>1.64</v>
      </c>
      <c r="H163">
        <v>34</v>
      </c>
      <c r="I163">
        <v>53</v>
      </c>
      <c r="J163">
        <v>61</v>
      </c>
      <c r="K163">
        <v>55</v>
      </c>
      <c r="L163" s="22"/>
    </row>
    <row r="164" spans="1:12" x14ac:dyDescent="0.45">
      <c r="A164" s="24" t="s">
        <v>888</v>
      </c>
      <c r="B164" t="s">
        <v>802</v>
      </c>
      <c r="C164">
        <v>2021</v>
      </c>
      <c r="D164">
        <v>210</v>
      </c>
      <c r="E164">
        <v>40</v>
      </c>
      <c r="F164">
        <v>316</v>
      </c>
      <c r="G164">
        <v>1.5</v>
      </c>
      <c r="H164">
        <v>55</v>
      </c>
      <c r="I164">
        <v>60</v>
      </c>
      <c r="J164">
        <v>47</v>
      </c>
      <c r="K164">
        <v>54</v>
      </c>
      <c r="L164" s="22"/>
    </row>
    <row r="165" spans="1:12" x14ac:dyDescent="0.45">
      <c r="A165" s="24" t="s">
        <v>889</v>
      </c>
      <c r="B165" t="s">
        <v>867</v>
      </c>
      <c r="C165">
        <v>2021</v>
      </c>
      <c r="D165">
        <v>306</v>
      </c>
      <c r="E165">
        <v>56</v>
      </c>
      <c r="F165">
        <v>421</v>
      </c>
      <c r="G165">
        <v>1.38</v>
      </c>
      <c r="H165">
        <v>42</v>
      </c>
      <c r="I165">
        <v>55</v>
      </c>
      <c r="J165">
        <v>53</v>
      </c>
      <c r="K165">
        <v>53</v>
      </c>
      <c r="L165" s="22"/>
    </row>
    <row r="166" spans="1:12" x14ac:dyDescent="0.45">
      <c r="A166" s="24" t="s">
        <v>868</v>
      </c>
      <c r="B166" t="s">
        <v>804</v>
      </c>
      <c r="C166">
        <v>2021</v>
      </c>
      <c r="D166">
        <v>233</v>
      </c>
      <c r="E166">
        <v>60</v>
      </c>
      <c r="F166">
        <v>452</v>
      </c>
      <c r="G166">
        <v>1.94</v>
      </c>
      <c r="H166">
        <v>67</v>
      </c>
      <c r="I166">
        <v>37</v>
      </c>
      <c r="J166">
        <v>53</v>
      </c>
      <c r="K166">
        <v>52</v>
      </c>
      <c r="L166" s="22"/>
    </row>
    <row r="167" spans="1:12" x14ac:dyDescent="0.45">
      <c r="A167" s="24" t="s">
        <v>825</v>
      </c>
      <c r="B167" t="s">
        <v>809</v>
      </c>
      <c r="C167">
        <v>2021</v>
      </c>
      <c r="D167">
        <v>128</v>
      </c>
      <c r="E167">
        <v>31</v>
      </c>
      <c r="F167">
        <v>225</v>
      </c>
      <c r="G167">
        <v>1.76</v>
      </c>
      <c r="H167">
        <v>60</v>
      </c>
      <c r="I167">
        <v>58</v>
      </c>
      <c r="J167">
        <v>42</v>
      </c>
      <c r="K167">
        <v>51</v>
      </c>
      <c r="L167" s="22"/>
    </row>
    <row r="168" spans="1:12" x14ac:dyDescent="0.45">
      <c r="A168" s="24" t="s">
        <v>835</v>
      </c>
      <c r="B168" t="s">
        <v>875</v>
      </c>
      <c r="C168">
        <v>2021</v>
      </c>
      <c r="D168">
        <v>157</v>
      </c>
      <c r="E168">
        <v>31</v>
      </c>
      <c r="F168">
        <v>268</v>
      </c>
      <c r="G168">
        <v>1.71</v>
      </c>
      <c r="H168">
        <v>55</v>
      </c>
      <c r="I168">
        <v>58</v>
      </c>
      <c r="J168">
        <v>44</v>
      </c>
      <c r="K168">
        <v>51</v>
      </c>
      <c r="L168" s="22"/>
    </row>
    <row r="169" spans="1:12" x14ac:dyDescent="0.45">
      <c r="A169" s="24" t="s">
        <v>782</v>
      </c>
      <c r="B169" t="s">
        <v>783</v>
      </c>
      <c r="C169">
        <v>2021</v>
      </c>
      <c r="D169">
        <v>195</v>
      </c>
      <c r="E169">
        <v>51</v>
      </c>
      <c r="F169">
        <v>439</v>
      </c>
      <c r="G169">
        <v>2.25</v>
      </c>
      <c r="H169">
        <v>51</v>
      </c>
      <c r="I169">
        <v>15</v>
      </c>
      <c r="J169">
        <v>71</v>
      </c>
      <c r="K169">
        <v>51</v>
      </c>
      <c r="L169" s="22"/>
    </row>
    <row r="170" spans="1:12" x14ac:dyDescent="0.45">
      <c r="A170" s="24" t="s">
        <v>862</v>
      </c>
      <c r="B170" t="s">
        <v>826</v>
      </c>
      <c r="C170">
        <v>2021</v>
      </c>
      <c r="D170">
        <v>179</v>
      </c>
      <c r="E170">
        <v>38</v>
      </c>
      <c r="F170">
        <v>311</v>
      </c>
      <c r="G170">
        <v>1.74</v>
      </c>
      <c r="H170">
        <v>48</v>
      </c>
      <c r="I170">
        <v>60</v>
      </c>
      <c r="J170">
        <v>47</v>
      </c>
      <c r="K170">
        <v>51</v>
      </c>
      <c r="L170" s="22"/>
    </row>
    <row r="171" spans="1:12" x14ac:dyDescent="0.45">
      <c r="A171" s="24" t="s">
        <v>890</v>
      </c>
      <c r="B171" t="s">
        <v>794</v>
      </c>
      <c r="C171">
        <v>2021</v>
      </c>
      <c r="D171">
        <v>145</v>
      </c>
      <c r="E171">
        <v>29</v>
      </c>
      <c r="F171">
        <v>228</v>
      </c>
      <c r="G171">
        <v>1.57</v>
      </c>
      <c r="H171">
        <v>37</v>
      </c>
      <c r="I171">
        <v>54</v>
      </c>
      <c r="J171">
        <v>54</v>
      </c>
      <c r="K171">
        <v>51</v>
      </c>
      <c r="L171" s="22"/>
    </row>
    <row r="172" spans="1:12" x14ac:dyDescent="0.45">
      <c r="A172" s="24" t="s">
        <v>891</v>
      </c>
      <c r="B172" t="s">
        <v>828</v>
      </c>
      <c r="C172">
        <v>2021</v>
      </c>
      <c r="D172">
        <v>123</v>
      </c>
      <c r="E172">
        <v>24</v>
      </c>
      <c r="F172">
        <v>197</v>
      </c>
      <c r="G172">
        <v>1.6</v>
      </c>
      <c r="H172">
        <v>63</v>
      </c>
      <c r="I172">
        <v>37</v>
      </c>
      <c r="J172">
        <v>52</v>
      </c>
      <c r="K172">
        <v>51</v>
      </c>
      <c r="L172" s="22"/>
    </row>
    <row r="173" spans="1:12" x14ac:dyDescent="0.45">
      <c r="A173" s="24" t="s">
        <v>892</v>
      </c>
      <c r="B173" t="s">
        <v>775</v>
      </c>
      <c r="C173">
        <v>2021</v>
      </c>
      <c r="D173">
        <v>155</v>
      </c>
      <c r="E173">
        <v>42</v>
      </c>
      <c r="F173">
        <v>289</v>
      </c>
      <c r="G173">
        <v>1.86</v>
      </c>
      <c r="H173">
        <v>71</v>
      </c>
      <c r="I173">
        <v>47</v>
      </c>
      <c r="J173">
        <v>43</v>
      </c>
      <c r="K173">
        <v>50</v>
      </c>
      <c r="L173" s="22"/>
    </row>
    <row r="174" spans="1:12" x14ac:dyDescent="0.45">
      <c r="A174" s="24" t="s">
        <v>831</v>
      </c>
      <c r="B174" t="s">
        <v>804</v>
      </c>
      <c r="C174">
        <v>2021</v>
      </c>
      <c r="D174">
        <v>92</v>
      </c>
      <c r="E174">
        <v>25</v>
      </c>
      <c r="F174">
        <v>157</v>
      </c>
      <c r="G174">
        <v>1.71</v>
      </c>
      <c r="H174">
        <v>42</v>
      </c>
      <c r="I174">
        <v>59</v>
      </c>
      <c r="J174">
        <v>47</v>
      </c>
      <c r="K174">
        <v>49</v>
      </c>
      <c r="L174" s="22"/>
    </row>
    <row r="175" spans="1:12" x14ac:dyDescent="0.45">
      <c r="A175" s="24" t="s">
        <v>849</v>
      </c>
      <c r="B175" t="s">
        <v>823</v>
      </c>
      <c r="C175">
        <v>2021</v>
      </c>
      <c r="D175">
        <v>311</v>
      </c>
      <c r="E175">
        <v>74</v>
      </c>
      <c r="F175">
        <v>510</v>
      </c>
      <c r="G175">
        <v>1.64</v>
      </c>
      <c r="H175">
        <v>72</v>
      </c>
      <c r="I175">
        <v>40</v>
      </c>
      <c r="J175">
        <v>43</v>
      </c>
      <c r="K175">
        <v>47</v>
      </c>
      <c r="L175" s="22"/>
    </row>
    <row r="176" spans="1:12" x14ac:dyDescent="0.45">
      <c r="A176" s="24" t="s">
        <v>956</v>
      </c>
      <c r="B176" t="s">
        <v>781</v>
      </c>
      <c r="C176">
        <v>2021</v>
      </c>
      <c r="D176">
        <v>93</v>
      </c>
      <c r="E176">
        <v>27</v>
      </c>
      <c r="F176">
        <v>163</v>
      </c>
      <c r="G176">
        <v>1.75</v>
      </c>
      <c r="H176">
        <v>55</v>
      </c>
      <c r="I176">
        <v>53</v>
      </c>
      <c r="J176">
        <v>43</v>
      </c>
      <c r="K176">
        <v>47</v>
      </c>
      <c r="L176" s="22"/>
    </row>
    <row r="177" spans="1:12" x14ac:dyDescent="0.45">
      <c r="A177" s="24" t="s">
        <v>844</v>
      </c>
      <c r="B177" t="s">
        <v>818</v>
      </c>
      <c r="C177">
        <v>2021</v>
      </c>
      <c r="D177">
        <v>141</v>
      </c>
      <c r="E177">
        <v>29</v>
      </c>
      <c r="F177">
        <v>170</v>
      </c>
      <c r="G177">
        <v>1.21</v>
      </c>
      <c r="H177">
        <v>41</v>
      </c>
      <c r="I177">
        <v>46</v>
      </c>
      <c r="J177">
        <v>51</v>
      </c>
      <c r="K177">
        <v>46</v>
      </c>
      <c r="L177" s="22"/>
    </row>
    <row r="178" spans="1:12" x14ac:dyDescent="0.45">
      <c r="A178" s="24" t="s">
        <v>871</v>
      </c>
      <c r="B178" t="s">
        <v>785</v>
      </c>
      <c r="C178">
        <v>2021</v>
      </c>
      <c r="D178">
        <v>150</v>
      </c>
      <c r="E178">
        <v>36</v>
      </c>
      <c r="F178">
        <v>294</v>
      </c>
      <c r="G178">
        <v>1.96</v>
      </c>
      <c r="H178">
        <v>42</v>
      </c>
      <c r="I178">
        <v>46</v>
      </c>
      <c r="J178">
        <v>51</v>
      </c>
      <c r="K178">
        <v>46</v>
      </c>
      <c r="L178" s="22"/>
    </row>
    <row r="179" spans="1:12" x14ac:dyDescent="0.45">
      <c r="A179" s="24" t="s">
        <v>856</v>
      </c>
      <c r="B179" t="s">
        <v>828</v>
      </c>
      <c r="C179">
        <v>2021</v>
      </c>
      <c r="D179">
        <v>312</v>
      </c>
      <c r="E179">
        <v>48</v>
      </c>
      <c r="F179">
        <v>266</v>
      </c>
      <c r="G179">
        <v>0.85</v>
      </c>
      <c r="H179">
        <v>53</v>
      </c>
      <c r="I179">
        <v>39</v>
      </c>
      <c r="J179">
        <v>49</v>
      </c>
      <c r="K179">
        <v>45</v>
      </c>
      <c r="L179" s="22"/>
    </row>
    <row r="180" spans="1:12" x14ac:dyDescent="0.45">
      <c r="A180" s="24" t="s">
        <v>957</v>
      </c>
      <c r="B180" t="s">
        <v>818</v>
      </c>
      <c r="C180">
        <v>2021</v>
      </c>
      <c r="D180">
        <v>148</v>
      </c>
      <c r="E180">
        <v>40</v>
      </c>
      <c r="F180">
        <v>302</v>
      </c>
      <c r="G180">
        <v>2.04</v>
      </c>
      <c r="H180">
        <v>65</v>
      </c>
      <c r="I180">
        <v>28</v>
      </c>
      <c r="J180">
        <v>50</v>
      </c>
      <c r="K180">
        <v>45</v>
      </c>
      <c r="L180" s="22"/>
    </row>
    <row r="181" spans="1:12" x14ac:dyDescent="0.45">
      <c r="A181" s="24" t="s">
        <v>829</v>
      </c>
      <c r="B181" t="s">
        <v>777</v>
      </c>
      <c r="C181">
        <v>2021</v>
      </c>
      <c r="D181">
        <v>224</v>
      </c>
      <c r="E181">
        <v>49</v>
      </c>
      <c r="F181">
        <v>259</v>
      </c>
      <c r="G181">
        <v>1.1599999999999999</v>
      </c>
      <c r="H181">
        <v>47</v>
      </c>
      <c r="I181">
        <v>60</v>
      </c>
      <c r="J181">
        <v>38</v>
      </c>
      <c r="K181">
        <v>44</v>
      </c>
      <c r="L181" s="22"/>
    </row>
    <row r="182" spans="1:12" x14ac:dyDescent="0.45">
      <c r="A182" s="24" t="s">
        <v>893</v>
      </c>
      <c r="B182" t="s">
        <v>798</v>
      </c>
      <c r="C182">
        <v>2021</v>
      </c>
      <c r="D182">
        <v>248</v>
      </c>
      <c r="E182">
        <v>80</v>
      </c>
      <c r="F182">
        <v>466</v>
      </c>
      <c r="G182">
        <v>1.88</v>
      </c>
      <c r="H182">
        <v>65</v>
      </c>
      <c r="I182">
        <v>22</v>
      </c>
      <c r="J182">
        <v>53</v>
      </c>
      <c r="K182">
        <v>44</v>
      </c>
      <c r="L182" s="22"/>
    </row>
    <row r="183" spans="1:12" x14ac:dyDescent="0.45">
      <c r="A183" s="24" t="s">
        <v>857</v>
      </c>
      <c r="B183" t="s">
        <v>779</v>
      </c>
      <c r="C183">
        <v>2021</v>
      </c>
      <c r="D183">
        <v>221</v>
      </c>
      <c r="E183">
        <v>41</v>
      </c>
      <c r="F183">
        <v>301</v>
      </c>
      <c r="G183">
        <v>1.36</v>
      </c>
      <c r="H183">
        <v>41</v>
      </c>
      <c r="I183">
        <v>55</v>
      </c>
      <c r="J183">
        <v>43</v>
      </c>
      <c r="K183">
        <v>43</v>
      </c>
      <c r="L183" s="22"/>
    </row>
    <row r="184" spans="1:12" x14ac:dyDescent="0.45">
      <c r="A184" s="24" t="s">
        <v>894</v>
      </c>
      <c r="B184" t="s">
        <v>814</v>
      </c>
      <c r="C184">
        <v>2021</v>
      </c>
      <c r="D184">
        <v>222</v>
      </c>
      <c r="E184">
        <v>26</v>
      </c>
      <c r="F184">
        <v>120</v>
      </c>
      <c r="G184">
        <v>0.54</v>
      </c>
      <c r="H184">
        <v>50</v>
      </c>
      <c r="I184">
        <v>41</v>
      </c>
      <c r="J184">
        <v>46</v>
      </c>
      <c r="K184">
        <v>42</v>
      </c>
      <c r="L184" s="22"/>
    </row>
    <row r="185" spans="1:12" x14ac:dyDescent="0.45">
      <c r="A185" s="24" t="s">
        <v>945</v>
      </c>
      <c r="B185" t="s">
        <v>802</v>
      </c>
      <c r="C185">
        <v>2021</v>
      </c>
      <c r="D185">
        <v>198</v>
      </c>
      <c r="E185">
        <v>32</v>
      </c>
      <c r="F185">
        <v>213</v>
      </c>
      <c r="G185">
        <v>1.08</v>
      </c>
      <c r="H185">
        <v>28</v>
      </c>
      <c r="I185">
        <v>56</v>
      </c>
      <c r="J185">
        <v>44</v>
      </c>
      <c r="K185">
        <v>40</v>
      </c>
      <c r="L185" s="22"/>
    </row>
    <row r="186" spans="1:12" x14ac:dyDescent="0.45">
      <c r="A186" s="24" t="s">
        <v>847</v>
      </c>
      <c r="B186" t="s">
        <v>789</v>
      </c>
      <c r="C186">
        <v>2021</v>
      </c>
      <c r="D186">
        <v>214</v>
      </c>
      <c r="E186">
        <v>56</v>
      </c>
      <c r="F186">
        <v>392</v>
      </c>
      <c r="G186">
        <v>1.83</v>
      </c>
      <c r="H186">
        <v>52</v>
      </c>
      <c r="I186">
        <v>45</v>
      </c>
      <c r="J186">
        <v>39</v>
      </c>
      <c r="K186">
        <v>39</v>
      </c>
      <c r="L186" s="22"/>
    </row>
    <row r="187" spans="1:12" x14ac:dyDescent="0.45">
      <c r="A187" s="24" t="s">
        <v>851</v>
      </c>
      <c r="B187" t="s">
        <v>813</v>
      </c>
      <c r="C187">
        <v>2021</v>
      </c>
      <c r="D187">
        <v>225</v>
      </c>
      <c r="E187">
        <v>40</v>
      </c>
      <c r="F187">
        <v>190</v>
      </c>
      <c r="G187">
        <v>0.84</v>
      </c>
      <c r="H187">
        <v>50</v>
      </c>
      <c r="I187">
        <v>62</v>
      </c>
      <c r="J187">
        <v>29</v>
      </c>
      <c r="K187">
        <v>38</v>
      </c>
      <c r="L187" s="22"/>
    </row>
    <row r="188" spans="1:12" x14ac:dyDescent="0.45">
      <c r="A188" s="24" t="s">
        <v>895</v>
      </c>
      <c r="B188" t="s">
        <v>875</v>
      </c>
      <c r="C188">
        <v>2021</v>
      </c>
      <c r="D188">
        <v>187</v>
      </c>
      <c r="E188">
        <v>37</v>
      </c>
      <c r="F188">
        <v>263</v>
      </c>
      <c r="G188">
        <v>1.41</v>
      </c>
      <c r="H188">
        <v>57</v>
      </c>
      <c r="I188">
        <v>35</v>
      </c>
      <c r="J188">
        <v>41</v>
      </c>
      <c r="K188">
        <v>38</v>
      </c>
      <c r="L188" s="22"/>
    </row>
    <row r="189" spans="1:12" x14ac:dyDescent="0.45">
      <c r="A189" s="24" t="s">
        <v>946</v>
      </c>
      <c r="B189" t="s">
        <v>783</v>
      </c>
      <c r="C189">
        <v>2021</v>
      </c>
      <c r="D189">
        <v>101</v>
      </c>
      <c r="E189">
        <v>28</v>
      </c>
      <c r="F189">
        <v>162</v>
      </c>
      <c r="G189">
        <v>1.6</v>
      </c>
      <c r="H189">
        <v>44</v>
      </c>
      <c r="I189">
        <v>61</v>
      </c>
      <c r="J189">
        <v>31</v>
      </c>
      <c r="K189">
        <v>37</v>
      </c>
      <c r="L189" s="22"/>
    </row>
    <row r="190" spans="1:12" x14ac:dyDescent="0.45">
      <c r="A190" s="24" t="s">
        <v>861</v>
      </c>
      <c r="B190" t="s">
        <v>811</v>
      </c>
      <c r="C190">
        <v>2021</v>
      </c>
      <c r="D190">
        <v>206</v>
      </c>
      <c r="E190">
        <v>52</v>
      </c>
      <c r="F190">
        <v>234</v>
      </c>
      <c r="G190">
        <v>1.1399999999999999</v>
      </c>
      <c r="H190">
        <v>66</v>
      </c>
      <c r="I190">
        <v>52</v>
      </c>
      <c r="J190">
        <v>25</v>
      </c>
      <c r="K190">
        <v>35</v>
      </c>
      <c r="L190" s="22"/>
    </row>
    <row r="191" spans="1:12" x14ac:dyDescent="0.45">
      <c r="A191" s="24" t="s">
        <v>864</v>
      </c>
      <c r="B191" t="s">
        <v>833</v>
      </c>
      <c r="C191">
        <v>2021</v>
      </c>
      <c r="D191">
        <v>191</v>
      </c>
      <c r="E191">
        <v>36</v>
      </c>
      <c r="F191">
        <v>222</v>
      </c>
      <c r="G191">
        <v>1.1599999999999999</v>
      </c>
      <c r="H191">
        <v>52</v>
      </c>
      <c r="I191">
        <v>28</v>
      </c>
      <c r="J191">
        <v>44</v>
      </c>
      <c r="K191">
        <v>35</v>
      </c>
      <c r="L191" s="22"/>
    </row>
    <row r="192" spans="1:12" x14ac:dyDescent="0.45">
      <c r="A192" s="24" t="s">
        <v>793</v>
      </c>
      <c r="B192" t="s">
        <v>794</v>
      </c>
      <c r="C192">
        <v>2021</v>
      </c>
      <c r="D192">
        <v>179</v>
      </c>
      <c r="E192">
        <v>31</v>
      </c>
      <c r="F192">
        <v>224</v>
      </c>
      <c r="G192">
        <v>1.25</v>
      </c>
      <c r="H192">
        <v>44</v>
      </c>
      <c r="I192">
        <v>31</v>
      </c>
      <c r="J192">
        <v>44</v>
      </c>
      <c r="K192">
        <v>34</v>
      </c>
      <c r="L192" s="22"/>
    </row>
    <row r="193" spans="1:12" x14ac:dyDescent="0.45">
      <c r="A193" s="24" t="s">
        <v>786</v>
      </c>
      <c r="B193" t="s">
        <v>809</v>
      </c>
      <c r="C193">
        <v>2021</v>
      </c>
      <c r="D193">
        <v>137</v>
      </c>
      <c r="E193">
        <v>24</v>
      </c>
      <c r="F193">
        <v>186</v>
      </c>
      <c r="G193">
        <v>1.36</v>
      </c>
      <c r="H193">
        <v>49</v>
      </c>
      <c r="I193">
        <v>51</v>
      </c>
      <c r="J193">
        <v>30</v>
      </c>
      <c r="K193">
        <v>33</v>
      </c>
      <c r="L193" s="22"/>
    </row>
    <row r="194" spans="1:12" x14ac:dyDescent="0.45">
      <c r="A194" s="24" t="s">
        <v>866</v>
      </c>
      <c r="B194" t="s">
        <v>823</v>
      </c>
      <c r="C194">
        <v>2021</v>
      </c>
      <c r="D194">
        <v>98</v>
      </c>
      <c r="E194">
        <v>27</v>
      </c>
      <c r="F194">
        <v>162</v>
      </c>
      <c r="G194">
        <v>1.65</v>
      </c>
      <c r="H194">
        <v>33</v>
      </c>
      <c r="I194">
        <v>46</v>
      </c>
      <c r="J194">
        <v>38</v>
      </c>
      <c r="K194">
        <v>32</v>
      </c>
      <c r="L194" s="22"/>
    </row>
    <row r="195" spans="1:12" x14ac:dyDescent="0.45">
      <c r="A195" s="24" t="s">
        <v>799</v>
      </c>
      <c r="B195" t="s">
        <v>800</v>
      </c>
      <c r="C195">
        <v>2021</v>
      </c>
      <c r="D195">
        <v>305</v>
      </c>
      <c r="E195">
        <v>53</v>
      </c>
      <c r="F195">
        <v>287</v>
      </c>
      <c r="G195">
        <v>0.94</v>
      </c>
      <c r="H195">
        <v>32</v>
      </c>
      <c r="I195">
        <v>43</v>
      </c>
      <c r="J195">
        <v>39</v>
      </c>
      <c r="K195">
        <v>31</v>
      </c>
      <c r="L195" s="22"/>
    </row>
    <row r="196" spans="1:12" x14ac:dyDescent="0.45">
      <c r="A196" s="24" t="s">
        <v>958</v>
      </c>
      <c r="B196" t="s">
        <v>814</v>
      </c>
      <c r="C196">
        <v>2021</v>
      </c>
      <c r="D196">
        <v>199</v>
      </c>
      <c r="E196">
        <v>33</v>
      </c>
      <c r="F196">
        <v>219</v>
      </c>
      <c r="G196">
        <v>1.1000000000000001</v>
      </c>
      <c r="H196">
        <v>42</v>
      </c>
      <c r="I196">
        <v>47</v>
      </c>
      <c r="J196">
        <v>31</v>
      </c>
      <c r="K196">
        <v>30</v>
      </c>
      <c r="L196" s="22"/>
    </row>
    <row r="197" spans="1:12" x14ac:dyDescent="0.45">
      <c r="A197" s="24" t="s">
        <v>896</v>
      </c>
      <c r="B197" t="s">
        <v>775</v>
      </c>
      <c r="C197">
        <v>2021</v>
      </c>
      <c r="D197">
        <v>123</v>
      </c>
      <c r="E197">
        <v>29</v>
      </c>
      <c r="F197">
        <v>174</v>
      </c>
      <c r="G197">
        <v>1.41</v>
      </c>
      <c r="H197">
        <v>54</v>
      </c>
      <c r="I197">
        <v>26</v>
      </c>
      <c r="J197">
        <v>38</v>
      </c>
      <c r="K197">
        <v>29</v>
      </c>
      <c r="L197" s="22"/>
    </row>
    <row r="198" spans="1:12" x14ac:dyDescent="0.45">
      <c r="A198" s="24" t="s">
        <v>879</v>
      </c>
      <c r="B198" t="s">
        <v>796</v>
      </c>
      <c r="C198">
        <v>2022</v>
      </c>
      <c r="D198">
        <v>154</v>
      </c>
      <c r="E198">
        <v>26</v>
      </c>
      <c r="F198">
        <v>398</v>
      </c>
      <c r="G198">
        <v>2.58</v>
      </c>
      <c r="H198">
        <v>53</v>
      </c>
      <c r="I198">
        <v>63</v>
      </c>
      <c r="J198">
        <v>84</v>
      </c>
      <c r="K198">
        <v>87</v>
      </c>
      <c r="L198" s="22"/>
    </row>
    <row r="199" spans="1:12" x14ac:dyDescent="0.45">
      <c r="A199" s="24" t="s">
        <v>774</v>
      </c>
      <c r="B199" t="s">
        <v>781</v>
      </c>
      <c r="C199">
        <v>2022</v>
      </c>
      <c r="D199">
        <v>397</v>
      </c>
      <c r="E199">
        <v>89</v>
      </c>
      <c r="F199">
        <v>802</v>
      </c>
      <c r="G199">
        <v>2.02</v>
      </c>
      <c r="H199">
        <v>45</v>
      </c>
      <c r="I199">
        <v>99</v>
      </c>
      <c r="J199">
        <v>58</v>
      </c>
      <c r="K199">
        <v>87</v>
      </c>
      <c r="L199" s="22"/>
    </row>
    <row r="200" spans="1:12" x14ac:dyDescent="0.45">
      <c r="A200" s="24" t="s">
        <v>791</v>
      </c>
      <c r="B200" t="s">
        <v>792</v>
      </c>
      <c r="C200">
        <v>2022</v>
      </c>
      <c r="D200">
        <v>390</v>
      </c>
      <c r="E200">
        <v>96</v>
      </c>
      <c r="F200">
        <v>730</v>
      </c>
      <c r="G200">
        <v>1.87</v>
      </c>
      <c r="H200">
        <v>51</v>
      </c>
      <c r="I200">
        <v>99</v>
      </c>
      <c r="J200">
        <v>52</v>
      </c>
      <c r="K200">
        <v>82</v>
      </c>
      <c r="L200" s="22"/>
    </row>
    <row r="201" spans="1:12" x14ac:dyDescent="0.45">
      <c r="A201" s="24" t="s">
        <v>897</v>
      </c>
      <c r="B201" t="s">
        <v>798</v>
      </c>
      <c r="C201">
        <v>2022</v>
      </c>
      <c r="D201">
        <v>146</v>
      </c>
      <c r="E201">
        <v>28</v>
      </c>
      <c r="F201">
        <v>214</v>
      </c>
      <c r="G201">
        <v>1.47</v>
      </c>
      <c r="H201">
        <v>70</v>
      </c>
      <c r="I201">
        <v>82</v>
      </c>
      <c r="J201">
        <v>61</v>
      </c>
      <c r="K201">
        <v>82</v>
      </c>
      <c r="L201" s="22"/>
    </row>
    <row r="202" spans="1:12" x14ac:dyDescent="0.45">
      <c r="A202" s="24" t="s">
        <v>898</v>
      </c>
      <c r="B202" t="s">
        <v>820</v>
      </c>
      <c r="C202">
        <v>2022</v>
      </c>
      <c r="D202">
        <v>126</v>
      </c>
      <c r="E202">
        <v>29</v>
      </c>
      <c r="F202">
        <v>209</v>
      </c>
      <c r="G202">
        <v>1.66</v>
      </c>
      <c r="H202">
        <v>85</v>
      </c>
      <c r="I202">
        <v>81</v>
      </c>
      <c r="J202">
        <v>47</v>
      </c>
      <c r="K202">
        <v>75</v>
      </c>
      <c r="L202" s="22"/>
    </row>
    <row r="203" spans="1:12" x14ac:dyDescent="0.45">
      <c r="A203" s="24" t="s">
        <v>889</v>
      </c>
      <c r="B203" t="s">
        <v>867</v>
      </c>
      <c r="C203">
        <v>2022</v>
      </c>
      <c r="D203">
        <v>275</v>
      </c>
      <c r="E203">
        <v>72</v>
      </c>
      <c r="F203">
        <v>491</v>
      </c>
      <c r="G203">
        <v>1.79</v>
      </c>
      <c r="H203">
        <v>73</v>
      </c>
      <c r="I203">
        <v>68</v>
      </c>
      <c r="J203">
        <v>55</v>
      </c>
      <c r="K203">
        <v>71</v>
      </c>
      <c r="L203" s="22"/>
    </row>
    <row r="204" spans="1:12" x14ac:dyDescent="0.45">
      <c r="A204" s="24" t="s">
        <v>876</v>
      </c>
      <c r="B204" t="s">
        <v>773</v>
      </c>
      <c r="C204">
        <v>2022</v>
      </c>
      <c r="D204">
        <v>332</v>
      </c>
      <c r="E204">
        <v>54</v>
      </c>
      <c r="F204">
        <v>544</v>
      </c>
      <c r="G204">
        <v>1.64</v>
      </c>
      <c r="H204">
        <v>63</v>
      </c>
      <c r="I204">
        <v>79</v>
      </c>
      <c r="J204">
        <v>47</v>
      </c>
      <c r="K204">
        <v>66</v>
      </c>
      <c r="L204" s="22"/>
    </row>
    <row r="205" spans="1:12" x14ac:dyDescent="0.45">
      <c r="A205" s="24" t="s">
        <v>772</v>
      </c>
      <c r="B205" t="s">
        <v>815</v>
      </c>
      <c r="C205">
        <v>2022</v>
      </c>
      <c r="D205">
        <v>212</v>
      </c>
      <c r="E205">
        <v>34</v>
      </c>
      <c r="F205">
        <v>210</v>
      </c>
      <c r="G205">
        <v>0.99</v>
      </c>
      <c r="H205">
        <v>56</v>
      </c>
      <c r="I205">
        <v>80</v>
      </c>
      <c r="J205">
        <v>50</v>
      </c>
      <c r="K205">
        <v>66</v>
      </c>
      <c r="L205" s="22"/>
    </row>
    <row r="206" spans="1:12" x14ac:dyDescent="0.45">
      <c r="A206" s="24" t="s">
        <v>857</v>
      </c>
      <c r="B206" t="s">
        <v>779</v>
      </c>
      <c r="C206">
        <v>2022</v>
      </c>
      <c r="D206">
        <v>208</v>
      </c>
      <c r="E206">
        <v>26</v>
      </c>
      <c r="F206">
        <v>316</v>
      </c>
      <c r="G206">
        <v>1.52</v>
      </c>
      <c r="H206">
        <v>42</v>
      </c>
      <c r="I206">
        <v>70</v>
      </c>
      <c r="J206">
        <v>60</v>
      </c>
      <c r="K206">
        <v>65</v>
      </c>
      <c r="L206" s="22"/>
    </row>
    <row r="207" spans="1:12" x14ac:dyDescent="0.45">
      <c r="A207" s="24" t="s">
        <v>782</v>
      </c>
      <c r="B207" t="s">
        <v>783</v>
      </c>
      <c r="C207">
        <v>2022</v>
      </c>
      <c r="D207">
        <v>243</v>
      </c>
      <c r="E207">
        <v>64</v>
      </c>
      <c r="F207">
        <v>490</v>
      </c>
      <c r="G207">
        <v>2.02</v>
      </c>
      <c r="H207">
        <v>65</v>
      </c>
      <c r="I207">
        <v>66</v>
      </c>
      <c r="J207">
        <v>50</v>
      </c>
      <c r="K207">
        <v>63</v>
      </c>
      <c r="L207" s="22"/>
    </row>
    <row r="208" spans="1:12" x14ac:dyDescent="0.45">
      <c r="A208" s="24" t="s">
        <v>856</v>
      </c>
      <c r="B208" t="s">
        <v>828</v>
      </c>
      <c r="C208">
        <v>2022</v>
      </c>
      <c r="D208">
        <v>345</v>
      </c>
      <c r="E208">
        <v>54</v>
      </c>
      <c r="F208">
        <v>317</v>
      </c>
      <c r="G208">
        <v>0.92</v>
      </c>
      <c r="H208">
        <v>72</v>
      </c>
      <c r="I208">
        <v>46</v>
      </c>
      <c r="J208">
        <v>57</v>
      </c>
      <c r="K208">
        <v>63</v>
      </c>
      <c r="L208" s="22"/>
    </row>
    <row r="209" spans="1:12" x14ac:dyDescent="0.45">
      <c r="A209" s="24" t="s">
        <v>868</v>
      </c>
      <c r="B209" t="s">
        <v>804</v>
      </c>
      <c r="C209">
        <v>2022</v>
      </c>
      <c r="D209">
        <v>201</v>
      </c>
      <c r="E209">
        <v>53</v>
      </c>
      <c r="F209">
        <v>389</v>
      </c>
      <c r="G209">
        <v>1.94</v>
      </c>
      <c r="H209">
        <v>69</v>
      </c>
      <c r="I209">
        <v>49</v>
      </c>
      <c r="J209">
        <v>59</v>
      </c>
      <c r="K209">
        <v>63</v>
      </c>
      <c r="L209" s="22"/>
    </row>
    <row r="210" spans="1:12" x14ac:dyDescent="0.45">
      <c r="A210" s="24" t="s">
        <v>899</v>
      </c>
      <c r="B210" t="s">
        <v>807</v>
      </c>
      <c r="C210">
        <v>2022</v>
      </c>
      <c r="D210">
        <v>92</v>
      </c>
      <c r="E210">
        <v>29</v>
      </c>
      <c r="F210">
        <v>218</v>
      </c>
      <c r="G210">
        <v>2.37</v>
      </c>
      <c r="H210">
        <v>60</v>
      </c>
      <c r="I210">
        <v>34</v>
      </c>
      <c r="J210">
        <v>68</v>
      </c>
      <c r="K210">
        <v>62</v>
      </c>
      <c r="L210" s="22"/>
    </row>
    <row r="211" spans="1:12" x14ac:dyDescent="0.45">
      <c r="A211" s="24" t="s">
        <v>957</v>
      </c>
      <c r="B211" t="s">
        <v>818</v>
      </c>
      <c r="C211">
        <v>2022</v>
      </c>
      <c r="D211">
        <v>200</v>
      </c>
      <c r="E211">
        <v>30</v>
      </c>
      <c r="F211">
        <v>224</v>
      </c>
      <c r="G211">
        <v>1.1200000000000001</v>
      </c>
      <c r="H211">
        <v>80</v>
      </c>
      <c r="I211">
        <v>63</v>
      </c>
      <c r="J211">
        <v>43</v>
      </c>
      <c r="K211">
        <v>61</v>
      </c>
      <c r="L211" s="22"/>
    </row>
    <row r="212" spans="1:12" x14ac:dyDescent="0.45">
      <c r="A212" s="24" t="s">
        <v>883</v>
      </c>
      <c r="B212" t="s">
        <v>807</v>
      </c>
      <c r="C212">
        <v>2022</v>
      </c>
      <c r="D212">
        <v>221</v>
      </c>
      <c r="E212">
        <v>43</v>
      </c>
      <c r="F212">
        <v>288</v>
      </c>
      <c r="G212">
        <v>1.3</v>
      </c>
      <c r="H212">
        <v>65</v>
      </c>
      <c r="I212">
        <v>65</v>
      </c>
      <c r="J212">
        <v>43</v>
      </c>
      <c r="K212">
        <v>57</v>
      </c>
      <c r="L212" s="22"/>
    </row>
    <row r="213" spans="1:12" x14ac:dyDescent="0.45">
      <c r="A213" s="24" t="s">
        <v>887</v>
      </c>
      <c r="B213" t="s">
        <v>867</v>
      </c>
      <c r="C213">
        <v>2022</v>
      </c>
      <c r="D213">
        <v>270</v>
      </c>
      <c r="E213">
        <v>51</v>
      </c>
      <c r="F213">
        <v>322</v>
      </c>
      <c r="G213">
        <v>1.19</v>
      </c>
      <c r="H213">
        <v>52</v>
      </c>
      <c r="I213">
        <v>63</v>
      </c>
      <c r="J213">
        <v>49</v>
      </c>
      <c r="K213">
        <v>56</v>
      </c>
      <c r="L213" s="22"/>
    </row>
    <row r="214" spans="1:12" x14ac:dyDescent="0.45">
      <c r="A214" s="24" t="s">
        <v>950</v>
      </c>
      <c r="B214" t="s">
        <v>828</v>
      </c>
      <c r="C214">
        <v>2022</v>
      </c>
      <c r="D214">
        <v>124</v>
      </c>
      <c r="E214">
        <v>34</v>
      </c>
      <c r="F214">
        <v>252</v>
      </c>
      <c r="G214">
        <v>2.0299999999999998</v>
      </c>
      <c r="H214">
        <v>61</v>
      </c>
      <c r="I214">
        <v>79</v>
      </c>
      <c r="J214">
        <v>36</v>
      </c>
      <c r="K214">
        <v>56</v>
      </c>
      <c r="L214" s="22"/>
    </row>
    <row r="215" spans="1:12" x14ac:dyDescent="0.45">
      <c r="A215" s="24" t="s">
        <v>852</v>
      </c>
      <c r="B215" t="s">
        <v>815</v>
      </c>
      <c r="C215">
        <v>2022</v>
      </c>
      <c r="D215">
        <v>213</v>
      </c>
      <c r="E215">
        <v>27</v>
      </c>
      <c r="F215">
        <v>239</v>
      </c>
      <c r="G215">
        <v>1.1200000000000001</v>
      </c>
      <c r="H215">
        <v>16</v>
      </c>
      <c r="I215">
        <v>68</v>
      </c>
      <c r="J215">
        <v>62</v>
      </c>
      <c r="K215">
        <v>56</v>
      </c>
      <c r="L215" s="22"/>
    </row>
    <row r="216" spans="1:12" x14ac:dyDescent="0.45">
      <c r="A216" s="24" t="s">
        <v>900</v>
      </c>
      <c r="B216" t="s">
        <v>823</v>
      </c>
      <c r="C216">
        <v>2022</v>
      </c>
      <c r="D216">
        <v>243</v>
      </c>
      <c r="E216">
        <v>47</v>
      </c>
      <c r="F216">
        <v>326</v>
      </c>
      <c r="G216">
        <v>1.34</v>
      </c>
      <c r="H216">
        <v>61</v>
      </c>
      <c r="I216">
        <v>76</v>
      </c>
      <c r="J216">
        <v>37</v>
      </c>
      <c r="K216">
        <v>56</v>
      </c>
      <c r="L216" s="22"/>
    </row>
    <row r="217" spans="1:12" x14ac:dyDescent="0.45">
      <c r="A217" s="24" t="s">
        <v>847</v>
      </c>
      <c r="B217" t="s">
        <v>789</v>
      </c>
      <c r="C217">
        <v>2022</v>
      </c>
      <c r="D217">
        <v>298</v>
      </c>
      <c r="E217">
        <v>50</v>
      </c>
      <c r="F217">
        <v>400</v>
      </c>
      <c r="G217">
        <v>1.34</v>
      </c>
      <c r="H217">
        <v>76</v>
      </c>
      <c r="I217">
        <v>83</v>
      </c>
      <c r="J217">
        <v>26</v>
      </c>
      <c r="K217">
        <v>55</v>
      </c>
      <c r="L217" s="22"/>
    </row>
    <row r="218" spans="1:12" x14ac:dyDescent="0.45">
      <c r="A218" s="24" t="s">
        <v>892</v>
      </c>
      <c r="B218" t="s">
        <v>789</v>
      </c>
      <c r="C218">
        <v>2022</v>
      </c>
      <c r="D218">
        <v>114</v>
      </c>
      <c r="E218">
        <v>22</v>
      </c>
      <c r="F218">
        <v>211</v>
      </c>
      <c r="G218">
        <v>1.85</v>
      </c>
      <c r="H218">
        <v>50</v>
      </c>
      <c r="I218">
        <v>67</v>
      </c>
      <c r="J218">
        <v>44</v>
      </c>
      <c r="K218">
        <v>53</v>
      </c>
      <c r="L218" s="22"/>
    </row>
    <row r="219" spans="1:12" x14ac:dyDescent="0.45">
      <c r="A219" s="24" t="s">
        <v>901</v>
      </c>
      <c r="B219" t="s">
        <v>796</v>
      </c>
      <c r="C219">
        <v>2022</v>
      </c>
      <c r="D219">
        <v>118</v>
      </c>
      <c r="E219">
        <v>20</v>
      </c>
      <c r="F219">
        <v>177</v>
      </c>
      <c r="G219">
        <v>1.5</v>
      </c>
      <c r="H219">
        <v>40</v>
      </c>
      <c r="I219">
        <v>62</v>
      </c>
      <c r="J219">
        <v>50</v>
      </c>
      <c r="K219">
        <v>52</v>
      </c>
      <c r="L219" s="22"/>
    </row>
    <row r="220" spans="1:12" x14ac:dyDescent="0.45">
      <c r="A220" s="24" t="s">
        <v>902</v>
      </c>
      <c r="B220" t="s">
        <v>809</v>
      </c>
      <c r="C220">
        <v>2022</v>
      </c>
      <c r="D220">
        <v>143</v>
      </c>
      <c r="E220">
        <v>33</v>
      </c>
      <c r="F220">
        <v>165</v>
      </c>
      <c r="G220">
        <v>1.1499999999999999</v>
      </c>
      <c r="H220">
        <v>67</v>
      </c>
      <c r="I220">
        <v>53</v>
      </c>
      <c r="J220">
        <v>43</v>
      </c>
      <c r="K220">
        <v>52</v>
      </c>
      <c r="L220" s="22"/>
    </row>
    <row r="221" spans="1:12" x14ac:dyDescent="0.45">
      <c r="A221" s="24" t="s">
        <v>949</v>
      </c>
      <c r="B221" t="s">
        <v>816</v>
      </c>
      <c r="C221">
        <v>2022</v>
      </c>
      <c r="D221">
        <v>249</v>
      </c>
      <c r="E221">
        <v>43</v>
      </c>
      <c r="F221">
        <v>395</v>
      </c>
      <c r="G221">
        <v>1.59</v>
      </c>
      <c r="H221">
        <v>59</v>
      </c>
      <c r="I221">
        <v>66</v>
      </c>
      <c r="J221">
        <v>39</v>
      </c>
      <c r="K221">
        <v>51</v>
      </c>
      <c r="L221" s="22"/>
    </row>
    <row r="222" spans="1:12" x14ac:dyDescent="0.45">
      <c r="A222" s="24" t="s">
        <v>895</v>
      </c>
      <c r="B222" t="s">
        <v>875</v>
      </c>
      <c r="C222">
        <v>2022</v>
      </c>
      <c r="D222">
        <v>385</v>
      </c>
      <c r="E222">
        <v>67</v>
      </c>
      <c r="F222">
        <v>415</v>
      </c>
      <c r="G222">
        <v>1.08</v>
      </c>
      <c r="H222">
        <v>34</v>
      </c>
      <c r="I222">
        <v>54</v>
      </c>
      <c r="J222">
        <v>52</v>
      </c>
      <c r="K222">
        <v>49</v>
      </c>
      <c r="L222" s="22"/>
    </row>
    <row r="223" spans="1:12" x14ac:dyDescent="0.45">
      <c r="A223" s="24" t="s">
        <v>871</v>
      </c>
      <c r="B223" t="s">
        <v>785</v>
      </c>
      <c r="C223">
        <v>2022</v>
      </c>
      <c r="D223">
        <v>200</v>
      </c>
      <c r="E223">
        <v>48</v>
      </c>
      <c r="F223">
        <v>353</v>
      </c>
      <c r="G223">
        <v>1.76</v>
      </c>
      <c r="H223">
        <v>65</v>
      </c>
      <c r="I223">
        <v>78</v>
      </c>
      <c r="J223">
        <v>26</v>
      </c>
      <c r="K223">
        <v>49</v>
      </c>
      <c r="L223" s="22"/>
    </row>
    <row r="224" spans="1:12" x14ac:dyDescent="0.45">
      <c r="A224" s="24" t="s">
        <v>945</v>
      </c>
      <c r="B224" t="s">
        <v>802</v>
      </c>
      <c r="C224">
        <v>2022</v>
      </c>
      <c r="D224">
        <v>132</v>
      </c>
      <c r="E224">
        <v>23</v>
      </c>
      <c r="F224">
        <v>223</v>
      </c>
      <c r="G224">
        <v>1.69</v>
      </c>
      <c r="H224">
        <v>79</v>
      </c>
      <c r="I224">
        <v>49</v>
      </c>
      <c r="J224">
        <v>36</v>
      </c>
      <c r="K224">
        <v>48</v>
      </c>
      <c r="L224" s="22"/>
    </row>
    <row r="225" spans="1:12" x14ac:dyDescent="0.45">
      <c r="A225" s="24" t="s">
        <v>959</v>
      </c>
      <c r="B225" t="s">
        <v>830</v>
      </c>
      <c r="C225">
        <v>2022</v>
      </c>
      <c r="D225">
        <v>237</v>
      </c>
      <c r="E225">
        <v>29</v>
      </c>
      <c r="F225">
        <v>168</v>
      </c>
      <c r="G225">
        <v>0.71</v>
      </c>
      <c r="H225">
        <v>37</v>
      </c>
      <c r="I225">
        <v>52</v>
      </c>
      <c r="J225">
        <v>52</v>
      </c>
      <c r="K225">
        <v>48</v>
      </c>
      <c r="L225" s="22"/>
    </row>
    <row r="226" spans="1:12" x14ac:dyDescent="0.45">
      <c r="A226" s="24" t="s">
        <v>863</v>
      </c>
      <c r="B226" t="s">
        <v>800</v>
      </c>
      <c r="C226">
        <v>2022</v>
      </c>
      <c r="D226">
        <v>231</v>
      </c>
      <c r="E226">
        <v>51</v>
      </c>
      <c r="F226">
        <v>394</v>
      </c>
      <c r="G226">
        <v>1.71</v>
      </c>
      <c r="H226">
        <v>38</v>
      </c>
      <c r="I226">
        <v>64</v>
      </c>
      <c r="J226">
        <v>44</v>
      </c>
      <c r="K226">
        <v>47</v>
      </c>
      <c r="L226" s="22"/>
    </row>
    <row r="227" spans="1:12" x14ac:dyDescent="0.45">
      <c r="A227" s="24" t="s">
        <v>849</v>
      </c>
      <c r="B227" t="s">
        <v>823</v>
      </c>
      <c r="C227">
        <v>2022</v>
      </c>
      <c r="D227">
        <v>351</v>
      </c>
      <c r="E227">
        <v>73</v>
      </c>
      <c r="F227">
        <v>529</v>
      </c>
      <c r="G227">
        <v>1.51</v>
      </c>
      <c r="H227">
        <v>46</v>
      </c>
      <c r="I227">
        <v>73</v>
      </c>
      <c r="J227">
        <v>34</v>
      </c>
      <c r="K227">
        <v>46</v>
      </c>
      <c r="L227" s="22"/>
    </row>
    <row r="228" spans="1:12" x14ac:dyDescent="0.45">
      <c r="A228" s="24" t="s">
        <v>903</v>
      </c>
      <c r="B228" t="s">
        <v>811</v>
      </c>
      <c r="C228">
        <v>2022</v>
      </c>
      <c r="D228">
        <v>264</v>
      </c>
      <c r="E228">
        <v>39</v>
      </c>
      <c r="F228">
        <v>202</v>
      </c>
      <c r="G228">
        <v>0.77</v>
      </c>
      <c r="H228">
        <v>30</v>
      </c>
      <c r="I228">
        <v>51</v>
      </c>
      <c r="J228">
        <v>51</v>
      </c>
      <c r="K228">
        <v>45</v>
      </c>
      <c r="L228" s="22"/>
    </row>
    <row r="229" spans="1:12" x14ac:dyDescent="0.45">
      <c r="A229" s="24" t="s">
        <v>904</v>
      </c>
      <c r="B229" t="s">
        <v>787</v>
      </c>
      <c r="C229">
        <v>2022</v>
      </c>
      <c r="D229">
        <v>81</v>
      </c>
      <c r="E229">
        <v>22</v>
      </c>
      <c r="F229">
        <v>97</v>
      </c>
      <c r="G229">
        <v>1.2</v>
      </c>
      <c r="H229">
        <v>47</v>
      </c>
      <c r="I229">
        <v>50</v>
      </c>
      <c r="J229">
        <v>45</v>
      </c>
      <c r="K229">
        <v>45</v>
      </c>
      <c r="L229" s="22"/>
    </row>
    <row r="230" spans="1:12" x14ac:dyDescent="0.45">
      <c r="A230" s="24" t="s">
        <v>893</v>
      </c>
      <c r="B230" t="s">
        <v>798</v>
      </c>
      <c r="C230">
        <v>2022</v>
      </c>
      <c r="D230">
        <v>260</v>
      </c>
      <c r="E230">
        <v>50</v>
      </c>
      <c r="F230">
        <v>229</v>
      </c>
      <c r="G230">
        <v>0.88</v>
      </c>
      <c r="H230">
        <v>44</v>
      </c>
      <c r="I230">
        <v>64</v>
      </c>
      <c r="J230">
        <v>38</v>
      </c>
      <c r="K230">
        <v>44</v>
      </c>
      <c r="L230" s="22"/>
    </row>
    <row r="231" spans="1:12" x14ac:dyDescent="0.45">
      <c r="A231" s="24" t="s">
        <v>881</v>
      </c>
      <c r="B231" t="s">
        <v>777</v>
      </c>
      <c r="C231">
        <v>2022</v>
      </c>
      <c r="D231">
        <v>148</v>
      </c>
      <c r="E231">
        <v>25</v>
      </c>
      <c r="F231">
        <v>122</v>
      </c>
      <c r="G231">
        <v>0.82</v>
      </c>
      <c r="H231">
        <v>46</v>
      </c>
      <c r="I231">
        <v>46</v>
      </c>
      <c r="J231">
        <v>42</v>
      </c>
      <c r="K231">
        <v>40</v>
      </c>
      <c r="L231" s="22"/>
    </row>
    <row r="232" spans="1:12" x14ac:dyDescent="0.45">
      <c r="A232" s="24" t="s">
        <v>860</v>
      </c>
      <c r="B232" t="s">
        <v>807</v>
      </c>
      <c r="C232">
        <v>2022</v>
      </c>
      <c r="D232">
        <v>94</v>
      </c>
      <c r="E232">
        <v>24</v>
      </c>
      <c r="F232">
        <v>88</v>
      </c>
      <c r="G232">
        <v>0.94</v>
      </c>
      <c r="H232">
        <v>66</v>
      </c>
      <c r="I232">
        <v>22</v>
      </c>
      <c r="J232">
        <v>47</v>
      </c>
      <c r="K232">
        <v>40</v>
      </c>
      <c r="L232" s="22"/>
    </row>
    <row r="233" spans="1:12" x14ac:dyDescent="0.45">
      <c r="A233" s="24" t="s">
        <v>905</v>
      </c>
      <c r="B233" t="s">
        <v>783</v>
      </c>
      <c r="C233">
        <v>2022</v>
      </c>
      <c r="D233">
        <v>157</v>
      </c>
      <c r="E233">
        <v>26</v>
      </c>
      <c r="F233">
        <v>193</v>
      </c>
      <c r="G233">
        <v>1.23</v>
      </c>
      <c r="H233">
        <v>47</v>
      </c>
      <c r="I233">
        <v>41</v>
      </c>
      <c r="J233">
        <v>44</v>
      </c>
      <c r="K233">
        <v>40</v>
      </c>
      <c r="L233" s="22"/>
    </row>
    <row r="234" spans="1:12" x14ac:dyDescent="0.45">
      <c r="A234" s="24" t="s">
        <v>906</v>
      </c>
      <c r="B234" t="s">
        <v>787</v>
      </c>
      <c r="C234">
        <v>2022</v>
      </c>
      <c r="D234">
        <v>277</v>
      </c>
      <c r="E234">
        <v>63</v>
      </c>
      <c r="F234">
        <v>421</v>
      </c>
      <c r="G234">
        <v>1.52</v>
      </c>
      <c r="H234">
        <v>56</v>
      </c>
      <c r="I234">
        <v>56</v>
      </c>
      <c r="J234">
        <v>32</v>
      </c>
      <c r="K234">
        <v>40</v>
      </c>
      <c r="L234" s="22"/>
    </row>
    <row r="235" spans="1:12" x14ac:dyDescent="0.45">
      <c r="A235" s="24" t="s">
        <v>960</v>
      </c>
      <c r="B235" t="s">
        <v>833</v>
      </c>
      <c r="C235">
        <v>2022</v>
      </c>
      <c r="D235">
        <v>284</v>
      </c>
      <c r="E235">
        <v>29</v>
      </c>
      <c r="F235">
        <v>346</v>
      </c>
      <c r="G235">
        <v>1.22</v>
      </c>
      <c r="H235">
        <v>46</v>
      </c>
      <c r="I235">
        <v>54</v>
      </c>
      <c r="J235">
        <v>38</v>
      </c>
      <c r="K235">
        <v>40</v>
      </c>
      <c r="L235" s="22"/>
    </row>
    <row r="236" spans="1:12" x14ac:dyDescent="0.45">
      <c r="A236" s="24" t="s">
        <v>862</v>
      </c>
      <c r="B236" t="s">
        <v>802</v>
      </c>
      <c r="C236">
        <v>2022</v>
      </c>
      <c r="D236">
        <v>140</v>
      </c>
      <c r="E236">
        <v>21</v>
      </c>
      <c r="F236">
        <v>157</v>
      </c>
      <c r="G236">
        <v>1.1200000000000001</v>
      </c>
      <c r="H236">
        <v>69</v>
      </c>
      <c r="I236">
        <v>43</v>
      </c>
      <c r="J236">
        <v>33</v>
      </c>
      <c r="K236">
        <v>39</v>
      </c>
      <c r="L236" s="22"/>
    </row>
    <row r="237" spans="1:12" x14ac:dyDescent="0.45">
      <c r="A237" s="24" t="s">
        <v>955</v>
      </c>
      <c r="B237" t="s">
        <v>816</v>
      </c>
      <c r="C237">
        <v>2022</v>
      </c>
      <c r="D237">
        <v>189</v>
      </c>
      <c r="E237">
        <v>38</v>
      </c>
      <c r="F237">
        <v>206</v>
      </c>
      <c r="G237">
        <v>1.0900000000000001</v>
      </c>
      <c r="H237">
        <v>43</v>
      </c>
      <c r="I237">
        <v>51</v>
      </c>
      <c r="J237">
        <v>37</v>
      </c>
      <c r="K237">
        <v>37</v>
      </c>
      <c r="L237" s="22"/>
    </row>
    <row r="238" spans="1:12" x14ac:dyDescent="0.45">
      <c r="A238" s="24" t="s">
        <v>956</v>
      </c>
      <c r="B238" t="s">
        <v>833</v>
      </c>
      <c r="C238">
        <v>2022</v>
      </c>
      <c r="D238">
        <v>109</v>
      </c>
      <c r="E238">
        <v>23</v>
      </c>
      <c r="F238">
        <v>133</v>
      </c>
      <c r="G238">
        <v>1.22</v>
      </c>
      <c r="H238">
        <v>68</v>
      </c>
      <c r="I238">
        <v>42</v>
      </c>
      <c r="J238">
        <v>30</v>
      </c>
      <c r="K238">
        <v>36</v>
      </c>
      <c r="L238" s="22"/>
    </row>
    <row r="239" spans="1:12" x14ac:dyDescent="0.45">
      <c r="A239" s="24" t="s">
        <v>845</v>
      </c>
      <c r="B239" t="s">
        <v>802</v>
      </c>
      <c r="C239">
        <v>2022</v>
      </c>
      <c r="D239">
        <v>156</v>
      </c>
      <c r="E239">
        <v>27</v>
      </c>
      <c r="F239">
        <v>132</v>
      </c>
      <c r="G239">
        <v>0.85</v>
      </c>
      <c r="H239">
        <v>42</v>
      </c>
      <c r="I239">
        <v>64</v>
      </c>
      <c r="J239">
        <v>27</v>
      </c>
      <c r="K239">
        <v>34</v>
      </c>
      <c r="L239" s="22"/>
    </row>
    <row r="240" spans="1:12" x14ac:dyDescent="0.45">
      <c r="A240" s="24" t="s">
        <v>797</v>
      </c>
      <c r="B240" t="s">
        <v>826</v>
      </c>
      <c r="C240">
        <v>2022</v>
      </c>
      <c r="D240">
        <v>257</v>
      </c>
      <c r="E240">
        <v>40</v>
      </c>
      <c r="F240">
        <v>300</v>
      </c>
      <c r="G240">
        <v>1.17</v>
      </c>
      <c r="H240">
        <v>42</v>
      </c>
      <c r="I240">
        <v>38</v>
      </c>
      <c r="J240">
        <v>42</v>
      </c>
      <c r="K240">
        <v>34</v>
      </c>
      <c r="L240" s="22"/>
    </row>
    <row r="241" spans="1:12" x14ac:dyDescent="0.45">
      <c r="A241" s="24" t="s">
        <v>844</v>
      </c>
      <c r="B241" t="s">
        <v>818</v>
      </c>
      <c r="C241">
        <v>2022</v>
      </c>
      <c r="D241">
        <v>236</v>
      </c>
      <c r="E241">
        <v>25</v>
      </c>
      <c r="F241">
        <v>81</v>
      </c>
      <c r="G241">
        <v>0.34</v>
      </c>
      <c r="H241">
        <v>47</v>
      </c>
      <c r="I241">
        <v>51</v>
      </c>
      <c r="J241">
        <v>32</v>
      </c>
      <c r="K241">
        <v>34</v>
      </c>
      <c r="L241" s="22"/>
    </row>
    <row r="242" spans="1:12" x14ac:dyDescent="0.45">
      <c r="A242" s="24" t="s">
        <v>793</v>
      </c>
      <c r="B242" t="s">
        <v>794</v>
      </c>
      <c r="C242">
        <v>2022</v>
      </c>
      <c r="D242">
        <v>339</v>
      </c>
      <c r="E242">
        <v>41</v>
      </c>
      <c r="F242">
        <v>305</v>
      </c>
      <c r="G242">
        <v>0.9</v>
      </c>
      <c r="H242">
        <v>63</v>
      </c>
      <c r="I242">
        <v>41</v>
      </c>
      <c r="J242">
        <v>30</v>
      </c>
      <c r="K242">
        <v>33</v>
      </c>
      <c r="L242" s="22"/>
    </row>
    <row r="243" spans="1:12" x14ac:dyDescent="0.45">
      <c r="A243" s="24" t="s">
        <v>961</v>
      </c>
      <c r="B243" t="s">
        <v>828</v>
      </c>
      <c r="C243">
        <v>2022</v>
      </c>
      <c r="D243">
        <v>124</v>
      </c>
      <c r="E243">
        <v>28</v>
      </c>
      <c r="F243">
        <v>180</v>
      </c>
      <c r="G243">
        <v>1.45</v>
      </c>
      <c r="H243">
        <v>63</v>
      </c>
      <c r="I243">
        <v>41</v>
      </c>
      <c r="J243">
        <v>27</v>
      </c>
      <c r="K243">
        <v>31</v>
      </c>
      <c r="L243" s="22"/>
    </row>
    <row r="244" spans="1:12" x14ac:dyDescent="0.45">
      <c r="A244" s="24" t="s">
        <v>954</v>
      </c>
      <c r="B244" t="s">
        <v>811</v>
      </c>
      <c r="C244">
        <v>2022</v>
      </c>
      <c r="D244">
        <v>241</v>
      </c>
      <c r="E244">
        <v>35</v>
      </c>
      <c r="F244">
        <v>198</v>
      </c>
      <c r="G244">
        <v>0.82</v>
      </c>
      <c r="H244">
        <v>61</v>
      </c>
      <c r="I244">
        <v>29</v>
      </c>
      <c r="J244">
        <v>33</v>
      </c>
      <c r="K244">
        <v>30</v>
      </c>
      <c r="L244" s="22"/>
    </row>
    <row r="245" spans="1:12" x14ac:dyDescent="0.45">
      <c r="A245" s="24" t="s">
        <v>870</v>
      </c>
      <c r="B245" t="s">
        <v>820</v>
      </c>
      <c r="C245">
        <v>2022</v>
      </c>
      <c r="D245">
        <v>203</v>
      </c>
      <c r="E245">
        <v>30</v>
      </c>
      <c r="F245">
        <v>143</v>
      </c>
      <c r="G245">
        <v>0.7</v>
      </c>
      <c r="H245">
        <v>25</v>
      </c>
      <c r="I245">
        <v>41</v>
      </c>
      <c r="J245">
        <v>42</v>
      </c>
      <c r="K245">
        <v>30</v>
      </c>
      <c r="L245" s="22"/>
    </row>
    <row r="246" spans="1:12" x14ac:dyDescent="0.45">
      <c r="A246" s="24" t="s">
        <v>786</v>
      </c>
      <c r="B246" t="s">
        <v>809</v>
      </c>
      <c r="C246">
        <v>2022</v>
      </c>
      <c r="D246">
        <v>167</v>
      </c>
      <c r="E246">
        <v>38</v>
      </c>
      <c r="F246">
        <v>204</v>
      </c>
      <c r="G246">
        <v>1.22</v>
      </c>
      <c r="H246">
        <v>68</v>
      </c>
      <c r="I246">
        <v>56</v>
      </c>
      <c r="J246">
        <v>14</v>
      </c>
      <c r="K246">
        <v>29</v>
      </c>
      <c r="L246" s="22"/>
    </row>
    <row r="247" spans="1:12" x14ac:dyDescent="0.45">
      <c r="A247" s="24" t="s">
        <v>799</v>
      </c>
      <c r="B247" t="s">
        <v>800</v>
      </c>
      <c r="C247">
        <v>2022</v>
      </c>
      <c r="D247">
        <v>215</v>
      </c>
      <c r="E247">
        <v>26</v>
      </c>
      <c r="F247">
        <v>108</v>
      </c>
      <c r="G247">
        <v>0.5</v>
      </c>
      <c r="H247">
        <v>59</v>
      </c>
      <c r="I247">
        <v>36</v>
      </c>
      <c r="J247">
        <v>28</v>
      </c>
      <c r="K247">
        <v>28</v>
      </c>
      <c r="L247" s="22"/>
    </row>
    <row r="248" spans="1:12" x14ac:dyDescent="0.45">
      <c r="A248" s="24" t="s">
        <v>853</v>
      </c>
      <c r="B248" t="s">
        <v>785</v>
      </c>
      <c r="C248">
        <v>2022</v>
      </c>
      <c r="D248">
        <v>136</v>
      </c>
      <c r="E248">
        <v>35</v>
      </c>
      <c r="F248">
        <v>173</v>
      </c>
      <c r="G248">
        <v>1.27</v>
      </c>
      <c r="H248">
        <v>45</v>
      </c>
      <c r="I248">
        <v>35</v>
      </c>
      <c r="J248">
        <v>34</v>
      </c>
      <c r="K248">
        <v>27</v>
      </c>
      <c r="L248" s="22"/>
    </row>
    <row r="249" spans="1:12" x14ac:dyDescent="0.45">
      <c r="A249" s="24" t="s">
        <v>780</v>
      </c>
      <c r="B249" t="s">
        <v>875</v>
      </c>
      <c r="C249">
        <v>2022</v>
      </c>
      <c r="D249">
        <v>140</v>
      </c>
      <c r="E249">
        <v>20</v>
      </c>
      <c r="F249">
        <v>137</v>
      </c>
      <c r="G249">
        <v>0.98</v>
      </c>
      <c r="H249">
        <v>24</v>
      </c>
      <c r="I249">
        <v>66</v>
      </c>
      <c r="J249">
        <v>23</v>
      </c>
      <c r="K249">
        <v>26</v>
      </c>
      <c r="L249" s="22"/>
    </row>
    <row r="250" spans="1:12" x14ac:dyDescent="0.45">
      <c r="A250" s="24" t="s">
        <v>865</v>
      </c>
      <c r="B250" t="s">
        <v>792</v>
      </c>
      <c r="C250">
        <v>2022</v>
      </c>
      <c r="D250">
        <v>130</v>
      </c>
      <c r="E250">
        <v>24</v>
      </c>
      <c r="F250">
        <v>109</v>
      </c>
      <c r="G250">
        <v>0.84</v>
      </c>
      <c r="H250">
        <v>40</v>
      </c>
      <c r="I250">
        <v>37</v>
      </c>
      <c r="J250">
        <v>32</v>
      </c>
      <c r="K250">
        <v>25</v>
      </c>
      <c r="L250" s="22"/>
    </row>
    <row r="251" spans="1:12" x14ac:dyDescent="0.45">
      <c r="A251" s="24" t="s">
        <v>774</v>
      </c>
      <c r="B251" t="s">
        <v>781</v>
      </c>
      <c r="C251">
        <v>2023</v>
      </c>
      <c r="D251">
        <v>445</v>
      </c>
      <c r="E251">
        <v>87</v>
      </c>
      <c r="F251">
        <v>716</v>
      </c>
      <c r="G251">
        <v>1.61</v>
      </c>
      <c r="H251">
        <v>52</v>
      </c>
      <c r="I251">
        <v>99</v>
      </c>
      <c r="J251">
        <v>57</v>
      </c>
      <c r="K251">
        <v>96</v>
      </c>
      <c r="L251" s="22"/>
    </row>
    <row r="252" spans="1:12" x14ac:dyDescent="0.45">
      <c r="A252" s="24" t="s">
        <v>955</v>
      </c>
      <c r="B252" t="s">
        <v>816</v>
      </c>
      <c r="C252">
        <v>2023</v>
      </c>
      <c r="D252">
        <v>179</v>
      </c>
      <c r="E252">
        <v>23</v>
      </c>
      <c r="F252">
        <v>223</v>
      </c>
      <c r="G252">
        <v>1.25</v>
      </c>
      <c r="H252">
        <v>60</v>
      </c>
      <c r="I252">
        <v>68</v>
      </c>
      <c r="J252">
        <v>80</v>
      </c>
      <c r="K252">
        <v>88</v>
      </c>
      <c r="L252" s="22"/>
    </row>
    <row r="253" spans="1:12" x14ac:dyDescent="0.45">
      <c r="A253" s="24" t="s">
        <v>900</v>
      </c>
      <c r="B253" t="s">
        <v>823</v>
      </c>
      <c r="C253">
        <v>2023</v>
      </c>
      <c r="D253">
        <v>430</v>
      </c>
      <c r="E253">
        <v>68</v>
      </c>
      <c r="F253">
        <v>588</v>
      </c>
      <c r="G253">
        <v>1.37</v>
      </c>
      <c r="H253">
        <v>71</v>
      </c>
      <c r="I253">
        <v>73</v>
      </c>
      <c r="J253">
        <v>73</v>
      </c>
      <c r="K253">
        <v>88</v>
      </c>
      <c r="L253" s="22"/>
    </row>
    <row r="254" spans="1:12" x14ac:dyDescent="0.45">
      <c r="A254" s="24" t="s">
        <v>887</v>
      </c>
      <c r="B254" t="s">
        <v>802</v>
      </c>
      <c r="C254">
        <v>2023</v>
      </c>
      <c r="D254">
        <v>197</v>
      </c>
      <c r="E254">
        <v>45</v>
      </c>
      <c r="F254">
        <v>455</v>
      </c>
      <c r="G254">
        <v>2.31</v>
      </c>
      <c r="H254">
        <v>66</v>
      </c>
      <c r="I254">
        <v>83</v>
      </c>
      <c r="J254">
        <v>68</v>
      </c>
      <c r="K254">
        <v>87</v>
      </c>
      <c r="L254" s="22"/>
    </row>
    <row r="255" spans="1:12" x14ac:dyDescent="0.45">
      <c r="A255" s="24" t="s">
        <v>962</v>
      </c>
      <c r="B255" t="s">
        <v>785</v>
      </c>
      <c r="C255">
        <v>2023</v>
      </c>
      <c r="D255">
        <v>189</v>
      </c>
      <c r="E255">
        <v>32</v>
      </c>
      <c r="F255">
        <v>368</v>
      </c>
      <c r="G255">
        <v>1.95</v>
      </c>
      <c r="H255">
        <v>41</v>
      </c>
      <c r="I255">
        <v>84</v>
      </c>
      <c r="J255">
        <v>76</v>
      </c>
      <c r="K255">
        <v>85</v>
      </c>
      <c r="L255" s="22"/>
    </row>
    <row r="256" spans="1:12" x14ac:dyDescent="0.45">
      <c r="A256" s="24" t="s">
        <v>889</v>
      </c>
      <c r="B256" t="s">
        <v>867</v>
      </c>
      <c r="C256">
        <v>2023</v>
      </c>
      <c r="D256">
        <v>290</v>
      </c>
      <c r="E256">
        <v>39</v>
      </c>
      <c r="F256">
        <v>376</v>
      </c>
      <c r="G256">
        <v>1.3</v>
      </c>
      <c r="H256">
        <v>60</v>
      </c>
      <c r="I256">
        <v>77</v>
      </c>
      <c r="J256">
        <v>68</v>
      </c>
      <c r="K256">
        <v>81</v>
      </c>
      <c r="L256" s="22"/>
    </row>
    <row r="257" spans="1:12" x14ac:dyDescent="0.45">
      <c r="A257" s="24" t="s">
        <v>791</v>
      </c>
      <c r="B257" t="s">
        <v>792</v>
      </c>
      <c r="C257">
        <v>2023</v>
      </c>
      <c r="D257">
        <v>292</v>
      </c>
      <c r="E257">
        <v>53</v>
      </c>
      <c r="F257">
        <v>436</v>
      </c>
      <c r="G257">
        <v>1.49</v>
      </c>
      <c r="H257">
        <v>70</v>
      </c>
      <c r="I257">
        <v>46</v>
      </c>
      <c r="J257">
        <v>76</v>
      </c>
      <c r="K257">
        <v>78</v>
      </c>
      <c r="L257" s="22"/>
    </row>
    <row r="258" spans="1:12" x14ac:dyDescent="0.45">
      <c r="A258" s="24" t="s">
        <v>896</v>
      </c>
      <c r="B258" t="s">
        <v>775</v>
      </c>
      <c r="C258">
        <v>2023</v>
      </c>
      <c r="D258">
        <v>246</v>
      </c>
      <c r="E258">
        <v>41</v>
      </c>
      <c r="F258">
        <v>233</v>
      </c>
      <c r="G258">
        <v>0.95</v>
      </c>
      <c r="H258">
        <v>75</v>
      </c>
      <c r="I258">
        <v>99</v>
      </c>
      <c r="J258">
        <v>38</v>
      </c>
      <c r="K258">
        <v>73</v>
      </c>
      <c r="L258" s="22"/>
    </row>
    <row r="259" spans="1:12" x14ac:dyDescent="0.45">
      <c r="A259" s="24" t="s">
        <v>847</v>
      </c>
      <c r="B259" t="s">
        <v>789</v>
      </c>
      <c r="C259">
        <v>2023</v>
      </c>
      <c r="D259">
        <v>188</v>
      </c>
      <c r="E259">
        <v>43</v>
      </c>
      <c r="F259">
        <v>296</v>
      </c>
      <c r="G259">
        <v>1.57</v>
      </c>
      <c r="H259">
        <v>70</v>
      </c>
      <c r="I259">
        <v>62</v>
      </c>
      <c r="J259">
        <v>58</v>
      </c>
      <c r="K259">
        <v>70</v>
      </c>
      <c r="L259" s="22"/>
    </row>
    <row r="260" spans="1:12" x14ac:dyDescent="0.45">
      <c r="A260" s="24" t="s">
        <v>959</v>
      </c>
      <c r="B260" t="s">
        <v>830</v>
      </c>
      <c r="C260">
        <v>2023</v>
      </c>
      <c r="D260">
        <v>156</v>
      </c>
      <c r="E260">
        <v>28</v>
      </c>
      <c r="F260">
        <v>259</v>
      </c>
      <c r="G260">
        <v>1.66</v>
      </c>
      <c r="H260">
        <v>39</v>
      </c>
      <c r="I260">
        <v>40</v>
      </c>
      <c r="J260">
        <v>83</v>
      </c>
      <c r="K260">
        <v>69</v>
      </c>
      <c r="L260" s="22"/>
    </row>
    <row r="261" spans="1:12" x14ac:dyDescent="0.45">
      <c r="A261" s="24" t="s">
        <v>907</v>
      </c>
      <c r="B261" t="s">
        <v>796</v>
      </c>
      <c r="C261">
        <v>2023</v>
      </c>
      <c r="D261">
        <v>232</v>
      </c>
      <c r="E261">
        <v>42</v>
      </c>
      <c r="F261">
        <v>385</v>
      </c>
      <c r="G261">
        <v>1.66</v>
      </c>
      <c r="H261">
        <v>65</v>
      </c>
      <c r="I261">
        <v>46</v>
      </c>
      <c r="J261">
        <v>63</v>
      </c>
      <c r="K261">
        <v>65</v>
      </c>
      <c r="L261" s="22"/>
    </row>
    <row r="262" spans="1:12" x14ac:dyDescent="0.45">
      <c r="A262" s="24" t="s">
        <v>797</v>
      </c>
      <c r="B262" t="s">
        <v>826</v>
      </c>
      <c r="C262">
        <v>2023</v>
      </c>
      <c r="D262">
        <v>156</v>
      </c>
      <c r="E262">
        <v>27</v>
      </c>
      <c r="F262">
        <v>165</v>
      </c>
      <c r="G262">
        <v>1.06</v>
      </c>
      <c r="H262">
        <v>38</v>
      </c>
      <c r="I262">
        <v>69</v>
      </c>
      <c r="J262">
        <v>59</v>
      </c>
      <c r="K262">
        <v>63</v>
      </c>
      <c r="L262" s="22"/>
    </row>
    <row r="263" spans="1:12" x14ac:dyDescent="0.45">
      <c r="A263" s="24" t="s">
        <v>949</v>
      </c>
      <c r="B263" t="s">
        <v>816</v>
      </c>
      <c r="C263">
        <v>2023</v>
      </c>
      <c r="D263">
        <v>158</v>
      </c>
      <c r="E263">
        <v>34</v>
      </c>
      <c r="F263">
        <v>254</v>
      </c>
      <c r="G263">
        <v>1.61</v>
      </c>
      <c r="H263">
        <v>66</v>
      </c>
      <c r="I263">
        <v>54</v>
      </c>
      <c r="J263">
        <v>55</v>
      </c>
      <c r="K263">
        <v>62</v>
      </c>
      <c r="L263" s="22"/>
    </row>
    <row r="264" spans="1:12" x14ac:dyDescent="0.45">
      <c r="A264" s="24" t="s">
        <v>908</v>
      </c>
      <c r="B264" t="s">
        <v>830</v>
      </c>
      <c r="C264">
        <v>2023</v>
      </c>
      <c r="D264">
        <v>230</v>
      </c>
      <c r="E264">
        <v>34</v>
      </c>
      <c r="F264">
        <v>209</v>
      </c>
      <c r="G264">
        <v>0.91</v>
      </c>
      <c r="H264">
        <v>72</v>
      </c>
      <c r="I264">
        <v>53</v>
      </c>
      <c r="J264">
        <v>53</v>
      </c>
      <c r="K264">
        <v>62</v>
      </c>
      <c r="L264" s="22"/>
    </row>
    <row r="265" spans="1:12" x14ac:dyDescent="0.45">
      <c r="A265" s="24" t="s">
        <v>782</v>
      </c>
      <c r="B265" t="s">
        <v>783</v>
      </c>
      <c r="C265">
        <v>2023</v>
      </c>
      <c r="D265">
        <v>204</v>
      </c>
      <c r="E265">
        <v>68</v>
      </c>
      <c r="F265">
        <v>466</v>
      </c>
      <c r="G265">
        <v>2.2799999999999998</v>
      </c>
      <c r="H265">
        <v>72</v>
      </c>
      <c r="I265">
        <v>68</v>
      </c>
      <c r="J265">
        <v>43</v>
      </c>
      <c r="K265">
        <v>61</v>
      </c>
      <c r="L265" s="22"/>
    </row>
    <row r="266" spans="1:12" x14ac:dyDescent="0.45">
      <c r="A266" s="24" t="s">
        <v>897</v>
      </c>
      <c r="B266" t="s">
        <v>798</v>
      </c>
      <c r="C266">
        <v>2023</v>
      </c>
      <c r="D266">
        <v>214</v>
      </c>
      <c r="E266">
        <v>52</v>
      </c>
      <c r="F266">
        <v>386</v>
      </c>
      <c r="G266">
        <v>1.8</v>
      </c>
      <c r="H266">
        <v>57</v>
      </c>
      <c r="I266">
        <v>71</v>
      </c>
      <c r="J266">
        <v>47</v>
      </c>
      <c r="K266">
        <v>61</v>
      </c>
      <c r="L266" s="22"/>
    </row>
    <row r="267" spans="1:12" x14ac:dyDescent="0.45">
      <c r="A267" s="24" t="s">
        <v>871</v>
      </c>
      <c r="B267" t="s">
        <v>785</v>
      </c>
      <c r="C267">
        <v>2023</v>
      </c>
      <c r="D267">
        <v>280</v>
      </c>
      <c r="E267">
        <v>45</v>
      </c>
      <c r="F267">
        <v>389</v>
      </c>
      <c r="G267">
        <v>1.39</v>
      </c>
      <c r="H267">
        <v>38</v>
      </c>
      <c r="I267">
        <v>84</v>
      </c>
      <c r="J267">
        <v>48</v>
      </c>
      <c r="K267">
        <v>60</v>
      </c>
      <c r="L267" s="22"/>
    </row>
    <row r="268" spans="1:12" x14ac:dyDescent="0.45">
      <c r="A268" s="24" t="s">
        <v>909</v>
      </c>
      <c r="B268" t="s">
        <v>773</v>
      </c>
      <c r="C268">
        <v>2023</v>
      </c>
      <c r="D268">
        <v>298</v>
      </c>
      <c r="E268">
        <v>43</v>
      </c>
      <c r="F268">
        <v>304</v>
      </c>
      <c r="G268">
        <v>1.02</v>
      </c>
      <c r="H268">
        <v>63</v>
      </c>
      <c r="I268">
        <v>90</v>
      </c>
      <c r="J268">
        <v>31</v>
      </c>
      <c r="K268">
        <v>58</v>
      </c>
      <c r="L268" s="22"/>
    </row>
    <row r="269" spans="1:12" x14ac:dyDescent="0.45">
      <c r="A269" s="24" t="s">
        <v>910</v>
      </c>
      <c r="B269" t="s">
        <v>813</v>
      </c>
      <c r="C269">
        <v>2023</v>
      </c>
      <c r="D269">
        <v>232</v>
      </c>
      <c r="E269">
        <v>36</v>
      </c>
      <c r="F269">
        <v>251</v>
      </c>
      <c r="G269">
        <v>1.08</v>
      </c>
      <c r="H269">
        <v>50</v>
      </c>
      <c r="I269">
        <v>57</v>
      </c>
      <c r="J269">
        <v>55</v>
      </c>
      <c r="K269">
        <v>57</v>
      </c>
      <c r="L269" s="22"/>
    </row>
    <row r="270" spans="1:12" x14ac:dyDescent="0.45">
      <c r="A270" s="24" t="s">
        <v>899</v>
      </c>
      <c r="B270" t="s">
        <v>807</v>
      </c>
      <c r="C270">
        <v>2023</v>
      </c>
      <c r="D270">
        <v>266</v>
      </c>
      <c r="E270">
        <v>67</v>
      </c>
      <c r="F270">
        <v>591</v>
      </c>
      <c r="G270">
        <v>2.2200000000000002</v>
      </c>
      <c r="H270">
        <v>65</v>
      </c>
      <c r="I270">
        <v>75</v>
      </c>
      <c r="J270">
        <v>38</v>
      </c>
      <c r="K270">
        <v>57</v>
      </c>
      <c r="L270" s="22"/>
    </row>
    <row r="271" spans="1:12" x14ac:dyDescent="0.45">
      <c r="A271" s="24" t="s">
        <v>961</v>
      </c>
      <c r="B271" t="s">
        <v>828</v>
      </c>
      <c r="C271">
        <v>2023</v>
      </c>
      <c r="D271">
        <v>284</v>
      </c>
      <c r="E271">
        <v>53</v>
      </c>
      <c r="F271">
        <v>471</v>
      </c>
      <c r="G271">
        <v>1.66</v>
      </c>
      <c r="H271">
        <v>84</v>
      </c>
      <c r="I271">
        <v>60</v>
      </c>
      <c r="J271">
        <v>38</v>
      </c>
      <c r="K271">
        <v>56</v>
      </c>
      <c r="L271" s="22"/>
    </row>
    <row r="272" spans="1:12" x14ac:dyDescent="0.45">
      <c r="A272" s="24" t="s">
        <v>911</v>
      </c>
      <c r="B272" t="s">
        <v>802</v>
      </c>
      <c r="C272">
        <v>2023</v>
      </c>
      <c r="D272">
        <v>72</v>
      </c>
      <c r="E272">
        <v>23</v>
      </c>
      <c r="F272">
        <v>160</v>
      </c>
      <c r="G272">
        <v>2.2200000000000002</v>
      </c>
      <c r="H272">
        <v>48</v>
      </c>
      <c r="I272">
        <v>49</v>
      </c>
      <c r="J272">
        <v>59</v>
      </c>
      <c r="K272">
        <v>56</v>
      </c>
      <c r="L272" s="22"/>
    </row>
    <row r="273" spans="1:12" x14ac:dyDescent="0.45">
      <c r="A273" s="24" t="s">
        <v>912</v>
      </c>
      <c r="B273" t="s">
        <v>815</v>
      </c>
      <c r="C273">
        <v>2023</v>
      </c>
      <c r="D273">
        <v>286</v>
      </c>
      <c r="E273">
        <v>53</v>
      </c>
      <c r="F273">
        <v>334</v>
      </c>
      <c r="G273">
        <v>1.17</v>
      </c>
      <c r="H273">
        <v>62</v>
      </c>
      <c r="I273">
        <v>58</v>
      </c>
      <c r="J273">
        <v>45</v>
      </c>
      <c r="K273">
        <v>54</v>
      </c>
      <c r="L273" s="22"/>
    </row>
    <row r="274" spans="1:12" x14ac:dyDescent="0.45">
      <c r="A274" s="24" t="s">
        <v>799</v>
      </c>
      <c r="B274" t="s">
        <v>787</v>
      </c>
      <c r="C274">
        <v>2023</v>
      </c>
      <c r="D274">
        <v>200</v>
      </c>
      <c r="E274">
        <v>40</v>
      </c>
      <c r="F274">
        <v>313</v>
      </c>
      <c r="G274">
        <v>1.56</v>
      </c>
      <c r="H274">
        <v>42</v>
      </c>
      <c r="I274">
        <v>67</v>
      </c>
      <c r="J274">
        <v>47</v>
      </c>
      <c r="K274">
        <v>53</v>
      </c>
      <c r="L274" s="22"/>
    </row>
    <row r="275" spans="1:12" x14ac:dyDescent="0.45">
      <c r="A275" s="24" t="s">
        <v>891</v>
      </c>
      <c r="B275" t="s">
        <v>820</v>
      </c>
      <c r="C275">
        <v>2023</v>
      </c>
      <c r="D275">
        <v>187</v>
      </c>
      <c r="E275">
        <v>34</v>
      </c>
      <c r="F275">
        <v>192</v>
      </c>
      <c r="G275">
        <v>1.03</v>
      </c>
      <c r="H275">
        <v>58</v>
      </c>
      <c r="I275">
        <v>49</v>
      </c>
      <c r="J275">
        <v>50</v>
      </c>
      <c r="K275">
        <v>53</v>
      </c>
      <c r="L275" s="22"/>
    </row>
    <row r="276" spans="1:12" x14ac:dyDescent="0.45">
      <c r="A276" s="24" t="s">
        <v>963</v>
      </c>
      <c r="B276" t="s">
        <v>811</v>
      </c>
      <c r="C276">
        <v>2023</v>
      </c>
      <c r="D276">
        <v>139</v>
      </c>
      <c r="E276">
        <v>22</v>
      </c>
      <c r="F276">
        <v>218</v>
      </c>
      <c r="G276">
        <v>1.57</v>
      </c>
      <c r="H276">
        <v>40</v>
      </c>
      <c r="I276">
        <v>38</v>
      </c>
      <c r="J276">
        <v>64</v>
      </c>
      <c r="K276">
        <v>52</v>
      </c>
      <c r="L276" s="22"/>
    </row>
    <row r="277" spans="1:12" x14ac:dyDescent="0.45">
      <c r="A277" s="24" t="s">
        <v>957</v>
      </c>
      <c r="B277" t="s">
        <v>818</v>
      </c>
      <c r="C277">
        <v>2023</v>
      </c>
      <c r="D277">
        <v>213</v>
      </c>
      <c r="E277">
        <v>36</v>
      </c>
      <c r="F277">
        <v>193</v>
      </c>
      <c r="G277">
        <v>0.91</v>
      </c>
      <c r="H277">
        <v>67</v>
      </c>
      <c r="I277">
        <v>78</v>
      </c>
      <c r="J277">
        <v>23</v>
      </c>
      <c r="K277">
        <v>47</v>
      </c>
      <c r="L277" s="22"/>
    </row>
    <row r="278" spans="1:12" x14ac:dyDescent="0.45">
      <c r="A278" s="24" t="s">
        <v>845</v>
      </c>
      <c r="B278" t="s">
        <v>828</v>
      </c>
      <c r="C278">
        <v>2023</v>
      </c>
      <c r="D278">
        <v>179</v>
      </c>
      <c r="E278">
        <v>27</v>
      </c>
      <c r="F278">
        <v>159</v>
      </c>
      <c r="G278">
        <v>0.89</v>
      </c>
      <c r="H278">
        <v>62</v>
      </c>
      <c r="I278">
        <v>63</v>
      </c>
      <c r="J278">
        <v>31</v>
      </c>
      <c r="K278">
        <v>45</v>
      </c>
      <c r="L278" s="22"/>
    </row>
    <row r="279" spans="1:12" x14ac:dyDescent="0.45">
      <c r="A279" s="24" t="s">
        <v>888</v>
      </c>
      <c r="B279" t="s">
        <v>802</v>
      </c>
      <c r="C279">
        <v>2023</v>
      </c>
      <c r="D279">
        <v>148</v>
      </c>
      <c r="E279">
        <v>46</v>
      </c>
      <c r="F279">
        <v>228</v>
      </c>
      <c r="G279">
        <v>1.54</v>
      </c>
      <c r="H279">
        <v>76</v>
      </c>
      <c r="I279">
        <v>63</v>
      </c>
      <c r="J279">
        <v>25</v>
      </c>
      <c r="K279">
        <v>45</v>
      </c>
      <c r="L279" s="22"/>
    </row>
    <row r="280" spans="1:12" x14ac:dyDescent="0.45">
      <c r="A280" s="24" t="s">
        <v>856</v>
      </c>
      <c r="B280" t="s">
        <v>809</v>
      </c>
      <c r="C280">
        <v>2023</v>
      </c>
      <c r="D280">
        <v>282</v>
      </c>
      <c r="E280">
        <v>35</v>
      </c>
      <c r="F280">
        <v>245</v>
      </c>
      <c r="G280">
        <v>0.87</v>
      </c>
      <c r="H280">
        <v>58</v>
      </c>
      <c r="I280">
        <v>77</v>
      </c>
      <c r="J280">
        <v>22</v>
      </c>
      <c r="K280">
        <v>43</v>
      </c>
      <c r="L280" s="22"/>
    </row>
    <row r="281" spans="1:12" x14ac:dyDescent="0.45">
      <c r="A281" s="24" t="s">
        <v>913</v>
      </c>
      <c r="B281" t="s">
        <v>779</v>
      </c>
      <c r="C281">
        <v>2023</v>
      </c>
      <c r="D281">
        <v>119</v>
      </c>
      <c r="E281">
        <v>24</v>
      </c>
      <c r="F281">
        <v>134</v>
      </c>
      <c r="G281">
        <v>1.1299999999999999</v>
      </c>
      <c r="H281">
        <v>52</v>
      </c>
      <c r="I281">
        <v>47</v>
      </c>
      <c r="J281">
        <v>42</v>
      </c>
      <c r="K281">
        <v>43</v>
      </c>
      <c r="L281" s="22"/>
    </row>
    <row r="282" spans="1:12" x14ac:dyDescent="0.45">
      <c r="A282" s="24" t="s">
        <v>914</v>
      </c>
      <c r="B282" t="s">
        <v>779</v>
      </c>
      <c r="C282">
        <v>2023</v>
      </c>
      <c r="D282">
        <v>158</v>
      </c>
      <c r="E282">
        <v>31</v>
      </c>
      <c r="F282">
        <v>209</v>
      </c>
      <c r="G282">
        <v>1.32</v>
      </c>
      <c r="H282">
        <v>69</v>
      </c>
      <c r="I282">
        <v>73</v>
      </c>
      <c r="J282">
        <v>20</v>
      </c>
      <c r="K282">
        <v>43</v>
      </c>
      <c r="L282" s="22"/>
    </row>
    <row r="283" spans="1:12" x14ac:dyDescent="0.45">
      <c r="A283" s="24" t="s">
        <v>903</v>
      </c>
      <c r="B283" t="s">
        <v>811</v>
      </c>
      <c r="C283">
        <v>2023</v>
      </c>
      <c r="D283">
        <v>223</v>
      </c>
      <c r="E283">
        <v>23</v>
      </c>
      <c r="F283">
        <v>172</v>
      </c>
      <c r="G283">
        <v>0.77</v>
      </c>
      <c r="H283">
        <v>43</v>
      </c>
      <c r="I283">
        <v>48</v>
      </c>
      <c r="J283">
        <v>45</v>
      </c>
      <c r="K283">
        <v>42</v>
      </c>
      <c r="L283" s="22"/>
    </row>
    <row r="284" spans="1:12" x14ac:dyDescent="0.45">
      <c r="A284" s="24" t="s">
        <v>893</v>
      </c>
      <c r="B284" t="s">
        <v>798</v>
      </c>
      <c r="C284">
        <v>2023</v>
      </c>
      <c r="D284">
        <v>187</v>
      </c>
      <c r="E284">
        <v>37</v>
      </c>
      <c r="F284">
        <v>185</v>
      </c>
      <c r="G284">
        <v>0.99</v>
      </c>
      <c r="H284">
        <v>48</v>
      </c>
      <c r="I284">
        <v>70</v>
      </c>
      <c r="J284">
        <v>30</v>
      </c>
      <c r="K284">
        <v>42</v>
      </c>
      <c r="L284" s="22"/>
    </row>
    <row r="285" spans="1:12" x14ac:dyDescent="0.45">
      <c r="A285" s="24" t="s">
        <v>960</v>
      </c>
      <c r="B285" t="s">
        <v>833</v>
      </c>
      <c r="C285">
        <v>2023</v>
      </c>
      <c r="D285">
        <v>298</v>
      </c>
      <c r="E285">
        <v>47</v>
      </c>
      <c r="F285">
        <v>476</v>
      </c>
      <c r="G285">
        <v>1.6</v>
      </c>
      <c r="H285">
        <v>44</v>
      </c>
      <c r="I285">
        <v>58</v>
      </c>
      <c r="J285">
        <v>37</v>
      </c>
      <c r="K285">
        <v>41</v>
      </c>
      <c r="L285" s="22"/>
    </row>
    <row r="286" spans="1:12" x14ac:dyDescent="0.45">
      <c r="A286" s="24" t="s">
        <v>915</v>
      </c>
      <c r="B286" t="s">
        <v>777</v>
      </c>
      <c r="C286">
        <v>2023</v>
      </c>
      <c r="D286">
        <v>369</v>
      </c>
      <c r="E286">
        <v>67</v>
      </c>
      <c r="F286">
        <v>487</v>
      </c>
      <c r="G286">
        <v>1.32</v>
      </c>
      <c r="H286">
        <v>53</v>
      </c>
      <c r="I286">
        <v>41</v>
      </c>
      <c r="J286">
        <v>43</v>
      </c>
      <c r="K286">
        <v>41</v>
      </c>
      <c r="L286" s="22"/>
    </row>
    <row r="287" spans="1:12" x14ac:dyDescent="0.45">
      <c r="A287" s="24" t="s">
        <v>863</v>
      </c>
      <c r="B287" t="s">
        <v>800</v>
      </c>
      <c r="C287">
        <v>2023</v>
      </c>
      <c r="D287">
        <v>375</v>
      </c>
      <c r="E287">
        <v>56</v>
      </c>
      <c r="F287">
        <v>340</v>
      </c>
      <c r="G287">
        <v>0.91</v>
      </c>
      <c r="H287">
        <v>32</v>
      </c>
      <c r="I287">
        <v>74</v>
      </c>
      <c r="J287">
        <v>32</v>
      </c>
      <c r="K287">
        <v>40</v>
      </c>
      <c r="L287" s="22"/>
    </row>
    <row r="288" spans="1:12" x14ac:dyDescent="0.45">
      <c r="A288" s="24" t="s">
        <v>916</v>
      </c>
      <c r="B288" t="s">
        <v>814</v>
      </c>
      <c r="C288">
        <v>2023</v>
      </c>
      <c r="D288">
        <v>265</v>
      </c>
      <c r="E288">
        <v>34</v>
      </c>
      <c r="F288">
        <v>215</v>
      </c>
      <c r="G288">
        <v>0.81</v>
      </c>
      <c r="H288">
        <v>20</v>
      </c>
      <c r="I288">
        <v>46</v>
      </c>
      <c r="J288">
        <v>54</v>
      </c>
      <c r="K288">
        <v>40</v>
      </c>
      <c r="L288" s="22"/>
    </row>
    <row r="289" spans="1:12" x14ac:dyDescent="0.45">
      <c r="A289" s="24" t="s">
        <v>890</v>
      </c>
      <c r="B289" t="s">
        <v>794</v>
      </c>
      <c r="C289">
        <v>2023</v>
      </c>
      <c r="D289">
        <v>243</v>
      </c>
      <c r="E289">
        <v>35</v>
      </c>
      <c r="F289">
        <v>192</v>
      </c>
      <c r="G289">
        <v>0.79</v>
      </c>
      <c r="H289">
        <v>68</v>
      </c>
      <c r="I289">
        <v>42</v>
      </c>
      <c r="J289">
        <v>32</v>
      </c>
      <c r="K289">
        <v>37</v>
      </c>
      <c r="L289" s="22"/>
    </row>
    <row r="290" spans="1:12" x14ac:dyDescent="0.45">
      <c r="A290" s="24" t="s">
        <v>857</v>
      </c>
      <c r="B290" t="s">
        <v>804</v>
      </c>
      <c r="C290">
        <v>2023</v>
      </c>
      <c r="D290">
        <v>179</v>
      </c>
      <c r="E290">
        <v>24</v>
      </c>
      <c r="F290">
        <v>162</v>
      </c>
      <c r="G290">
        <v>0.91</v>
      </c>
      <c r="H290">
        <v>46</v>
      </c>
      <c r="I290">
        <v>45</v>
      </c>
      <c r="J290">
        <v>39</v>
      </c>
      <c r="K290">
        <v>37</v>
      </c>
      <c r="L290" s="22"/>
    </row>
    <row r="291" spans="1:12" x14ac:dyDescent="0.45">
      <c r="A291" s="24" t="s">
        <v>876</v>
      </c>
      <c r="B291" t="s">
        <v>773</v>
      </c>
      <c r="C291">
        <v>2023</v>
      </c>
      <c r="D291">
        <v>159</v>
      </c>
      <c r="E291">
        <v>26</v>
      </c>
      <c r="F291">
        <v>207</v>
      </c>
      <c r="G291">
        <v>1.3</v>
      </c>
      <c r="H291">
        <v>61</v>
      </c>
      <c r="I291">
        <v>49</v>
      </c>
      <c r="J291">
        <v>27</v>
      </c>
      <c r="K291">
        <v>34</v>
      </c>
      <c r="L291" s="22"/>
    </row>
    <row r="292" spans="1:12" x14ac:dyDescent="0.45">
      <c r="A292" s="24" t="s">
        <v>895</v>
      </c>
      <c r="B292" t="s">
        <v>875</v>
      </c>
      <c r="C292">
        <v>2023</v>
      </c>
      <c r="D292">
        <v>266</v>
      </c>
      <c r="E292">
        <v>51</v>
      </c>
      <c r="F292">
        <v>280</v>
      </c>
      <c r="G292">
        <v>1.05</v>
      </c>
      <c r="H292">
        <v>53</v>
      </c>
      <c r="I292">
        <v>61</v>
      </c>
      <c r="J292">
        <v>24</v>
      </c>
      <c r="K292">
        <v>34</v>
      </c>
      <c r="L292" s="22"/>
    </row>
    <row r="293" spans="1:12" x14ac:dyDescent="0.45">
      <c r="A293" s="24" t="s">
        <v>868</v>
      </c>
      <c r="B293" t="s">
        <v>818</v>
      </c>
      <c r="C293">
        <v>2023</v>
      </c>
      <c r="D293">
        <v>236</v>
      </c>
      <c r="E293">
        <v>39</v>
      </c>
      <c r="F293">
        <v>246</v>
      </c>
      <c r="G293">
        <v>1.04</v>
      </c>
      <c r="H293">
        <v>32</v>
      </c>
      <c r="I293">
        <v>53</v>
      </c>
      <c r="J293">
        <v>32</v>
      </c>
      <c r="K293">
        <v>29</v>
      </c>
      <c r="L293" s="22"/>
    </row>
    <row r="294" spans="1:12" x14ac:dyDescent="0.45">
      <c r="A294" s="24" t="s">
        <v>883</v>
      </c>
      <c r="B294" t="s">
        <v>826</v>
      </c>
      <c r="C294">
        <v>2023</v>
      </c>
      <c r="D294">
        <v>138</v>
      </c>
      <c r="E294">
        <v>28</v>
      </c>
      <c r="F294">
        <v>101</v>
      </c>
      <c r="G294">
        <v>0.73</v>
      </c>
      <c r="H294">
        <v>66</v>
      </c>
      <c r="I294">
        <v>48</v>
      </c>
      <c r="J294">
        <v>19</v>
      </c>
      <c r="K294">
        <v>29</v>
      </c>
      <c r="L294" s="22"/>
    </row>
    <row r="295" spans="1:12" x14ac:dyDescent="0.45">
      <c r="A295" s="24" t="s">
        <v>917</v>
      </c>
      <c r="B295" t="s">
        <v>804</v>
      </c>
      <c r="C295">
        <v>2023</v>
      </c>
      <c r="D295">
        <v>324</v>
      </c>
      <c r="E295">
        <v>70</v>
      </c>
      <c r="F295">
        <v>410</v>
      </c>
      <c r="G295">
        <v>1.27</v>
      </c>
      <c r="H295">
        <v>61</v>
      </c>
      <c r="I295">
        <v>26</v>
      </c>
      <c r="J295">
        <v>34</v>
      </c>
      <c r="K295">
        <v>29</v>
      </c>
      <c r="L295" s="22"/>
    </row>
    <row r="296" spans="1:12" x14ac:dyDescent="0.45">
      <c r="A296" s="24" t="s">
        <v>844</v>
      </c>
      <c r="B296" t="s">
        <v>775</v>
      </c>
      <c r="C296">
        <v>2023</v>
      </c>
      <c r="D296">
        <v>184</v>
      </c>
      <c r="E296">
        <v>33</v>
      </c>
      <c r="F296">
        <v>154</v>
      </c>
      <c r="G296">
        <v>0.84</v>
      </c>
      <c r="H296">
        <v>47</v>
      </c>
      <c r="I296">
        <v>48</v>
      </c>
      <c r="J296">
        <v>23</v>
      </c>
      <c r="K296">
        <v>25</v>
      </c>
      <c r="L296" s="22"/>
    </row>
    <row r="297" spans="1:12" x14ac:dyDescent="0.45">
      <c r="A297" s="24" t="s">
        <v>906</v>
      </c>
      <c r="B297" t="s">
        <v>787</v>
      </c>
      <c r="C297">
        <v>2023</v>
      </c>
      <c r="D297">
        <v>200</v>
      </c>
      <c r="E297">
        <v>41</v>
      </c>
      <c r="F297">
        <v>238</v>
      </c>
      <c r="G297">
        <v>1.19</v>
      </c>
      <c r="H297">
        <v>35</v>
      </c>
      <c r="I297">
        <v>34</v>
      </c>
      <c r="J297">
        <v>32</v>
      </c>
      <c r="K297">
        <v>22</v>
      </c>
      <c r="L297" s="22"/>
    </row>
    <row r="298" spans="1:12" x14ac:dyDescent="0.45">
      <c r="A298" s="24" t="s">
        <v>918</v>
      </c>
      <c r="B298" t="s">
        <v>826</v>
      </c>
      <c r="C298">
        <v>2023</v>
      </c>
      <c r="D298">
        <v>143</v>
      </c>
      <c r="E298">
        <v>27</v>
      </c>
      <c r="F298">
        <v>119</v>
      </c>
      <c r="G298">
        <v>0.83</v>
      </c>
      <c r="H298">
        <v>28</v>
      </c>
      <c r="I298">
        <v>40</v>
      </c>
      <c r="J298">
        <v>30</v>
      </c>
      <c r="K298">
        <v>21</v>
      </c>
      <c r="L298" s="22"/>
    </row>
    <row r="299" spans="1:12" x14ac:dyDescent="0.45">
      <c r="A299" s="24" t="s">
        <v>791</v>
      </c>
      <c r="B299" t="s">
        <v>785</v>
      </c>
      <c r="C299">
        <v>2024</v>
      </c>
      <c r="D299">
        <v>225</v>
      </c>
      <c r="E299">
        <v>41</v>
      </c>
      <c r="F299">
        <v>450</v>
      </c>
      <c r="G299">
        <v>2</v>
      </c>
      <c r="H299">
        <v>63</v>
      </c>
      <c r="I299">
        <v>65</v>
      </c>
      <c r="J299">
        <v>84</v>
      </c>
      <c r="K299">
        <v>91</v>
      </c>
      <c r="L299" s="22"/>
    </row>
    <row r="300" spans="1:12" x14ac:dyDescent="0.45">
      <c r="A300" s="24" t="s">
        <v>919</v>
      </c>
      <c r="B300" t="s">
        <v>823</v>
      </c>
      <c r="C300">
        <v>2024</v>
      </c>
      <c r="D300">
        <v>195</v>
      </c>
      <c r="E300">
        <v>32</v>
      </c>
      <c r="F300">
        <v>398</v>
      </c>
      <c r="G300">
        <v>2.04</v>
      </c>
      <c r="H300">
        <v>76</v>
      </c>
      <c r="I300">
        <v>54</v>
      </c>
      <c r="J300">
        <v>77</v>
      </c>
      <c r="K300">
        <v>84</v>
      </c>
      <c r="L300" s="22"/>
    </row>
    <row r="301" spans="1:12" x14ac:dyDescent="0.45">
      <c r="A301" s="24" t="s">
        <v>857</v>
      </c>
      <c r="B301" t="s">
        <v>804</v>
      </c>
      <c r="C301">
        <v>2024</v>
      </c>
      <c r="D301">
        <v>136</v>
      </c>
      <c r="E301">
        <v>30</v>
      </c>
      <c r="F301">
        <v>341</v>
      </c>
      <c r="G301">
        <v>2.5099999999999998</v>
      </c>
      <c r="H301">
        <v>68</v>
      </c>
      <c r="I301">
        <v>83</v>
      </c>
      <c r="J301">
        <v>60</v>
      </c>
      <c r="K301">
        <v>80</v>
      </c>
      <c r="L301" s="22"/>
    </row>
    <row r="302" spans="1:12" x14ac:dyDescent="0.45">
      <c r="A302" s="24" t="s">
        <v>847</v>
      </c>
      <c r="B302" t="s">
        <v>816</v>
      </c>
      <c r="C302">
        <v>2024</v>
      </c>
      <c r="D302">
        <v>210</v>
      </c>
      <c r="E302">
        <v>32</v>
      </c>
      <c r="F302">
        <v>382</v>
      </c>
      <c r="G302">
        <v>1.82</v>
      </c>
      <c r="H302">
        <v>39</v>
      </c>
      <c r="I302">
        <v>66</v>
      </c>
      <c r="J302">
        <v>78</v>
      </c>
      <c r="K302">
        <v>78</v>
      </c>
      <c r="L302" s="22"/>
    </row>
    <row r="303" spans="1:12" x14ac:dyDescent="0.45">
      <c r="A303" s="24" t="s">
        <v>907</v>
      </c>
      <c r="B303" t="s">
        <v>796</v>
      </c>
      <c r="C303">
        <v>2024</v>
      </c>
      <c r="D303">
        <v>137</v>
      </c>
      <c r="E303">
        <v>29</v>
      </c>
      <c r="F303">
        <v>224</v>
      </c>
      <c r="G303">
        <v>1.64</v>
      </c>
      <c r="H303">
        <v>73</v>
      </c>
      <c r="I303">
        <v>58</v>
      </c>
      <c r="J303">
        <v>66</v>
      </c>
      <c r="K303">
        <v>76</v>
      </c>
      <c r="L303" s="22"/>
    </row>
    <row r="304" spans="1:12" x14ac:dyDescent="0.45">
      <c r="A304" s="24" t="s">
        <v>915</v>
      </c>
      <c r="B304" t="s">
        <v>777</v>
      </c>
      <c r="C304">
        <v>2024</v>
      </c>
      <c r="D304">
        <v>315</v>
      </c>
      <c r="E304">
        <v>52</v>
      </c>
      <c r="F304">
        <v>431</v>
      </c>
      <c r="G304">
        <v>1.37</v>
      </c>
      <c r="H304">
        <v>60</v>
      </c>
      <c r="I304">
        <v>73</v>
      </c>
      <c r="J304">
        <v>63</v>
      </c>
      <c r="K304">
        <v>75</v>
      </c>
      <c r="L304" s="22"/>
    </row>
    <row r="305" spans="1:12" x14ac:dyDescent="0.45">
      <c r="A305" s="24" t="s">
        <v>900</v>
      </c>
      <c r="B305" t="s">
        <v>823</v>
      </c>
      <c r="C305">
        <v>2024</v>
      </c>
      <c r="D305">
        <v>245</v>
      </c>
      <c r="E305">
        <v>35</v>
      </c>
      <c r="F305">
        <v>407</v>
      </c>
      <c r="G305">
        <v>1.66</v>
      </c>
      <c r="H305">
        <v>38</v>
      </c>
      <c r="I305">
        <v>75</v>
      </c>
      <c r="J305">
        <v>69</v>
      </c>
      <c r="K305">
        <v>73</v>
      </c>
      <c r="L305" s="22"/>
    </row>
    <row r="306" spans="1:12" x14ac:dyDescent="0.45">
      <c r="A306" s="24" t="s">
        <v>868</v>
      </c>
      <c r="B306" t="s">
        <v>779</v>
      </c>
      <c r="C306">
        <v>2024</v>
      </c>
      <c r="D306">
        <v>277</v>
      </c>
      <c r="E306">
        <v>33</v>
      </c>
      <c r="F306">
        <v>386</v>
      </c>
      <c r="G306">
        <v>1.39</v>
      </c>
      <c r="H306">
        <v>50</v>
      </c>
      <c r="I306">
        <v>68</v>
      </c>
      <c r="J306">
        <v>63</v>
      </c>
      <c r="K306">
        <v>70</v>
      </c>
      <c r="L306" s="22"/>
    </row>
    <row r="307" spans="1:12" x14ac:dyDescent="0.45">
      <c r="A307" s="24" t="s">
        <v>879</v>
      </c>
      <c r="B307" t="s">
        <v>813</v>
      </c>
      <c r="C307">
        <v>2024</v>
      </c>
      <c r="D307">
        <v>166</v>
      </c>
      <c r="E307">
        <v>21</v>
      </c>
      <c r="F307">
        <v>193</v>
      </c>
      <c r="G307">
        <v>1.1599999999999999</v>
      </c>
      <c r="H307">
        <v>48</v>
      </c>
      <c r="I307">
        <v>55</v>
      </c>
      <c r="J307">
        <v>68</v>
      </c>
      <c r="K307">
        <v>67</v>
      </c>
      <c r="L307" s="22"/>
    </row>
    <row r="308" spans="1:12" x14ac:dyDescent="0.45">
      <c r="A308" s="24" t="s">
        <v>859</v>
      </c>
      <c r="B308" t="s">
        <v>809</v>
      </c>
      <c r="C308">
        <v>2024</v>
      </c>
      <c r="D308">
        <v>181</v>
      </c>
      <c r="E308">
        <v>26</v>
      </c>
      <c r="F308">
        <v>198</v>
      </c>
      <c r="G308">
        <v>1.0900000000000001</v>
      </c>
      <c r="H308">
        <v>74</v>
      </c>
      <c r="I308">
        <v>66</v>
      </c>
      <c r="J308">
        <v>50</v>
      </c>
      <c r="K308">
        <v>67</v>
      </c>
      <c r="L308" s="22"/>
    </row>
    <row r="309" spans="1:12" x14ac:dyDescent="0.45">
      <c r="A309" s="24" t="s">
        <v>797</v>
      </c>
      <c r="B309" t="s">
        <v>826</v>
      </c>
      <c r="C309">
        <v>2024</v>
      </c>
      <c r="D309">
        <v>216</v>
      </c>
      <c r="E309">
        <v>38</v>
      </c>
      <c r="F309">
        <v>414</v>
      </c>
      <c r="G309">
        <v>1.92</v>
      </c>
      <c r="H309">
        <v>34</v>
      </c>
      <c r="I309">
        <v>53</v>
      </c>
      <c r="J309">
        <v>74</v>
      </c>
      <c r="K309">
        <v>66</v>
      </c>
      <c r="L309" s="22"/>
    </row>
    <row r="310" spans="1:12" x14ac:dyDescent="0.45">
      <c r="A310" s="24" t="s">
        <v>889</v>
      </c>
      <c r="B310" t="s">
        <v>809</v>
      </c>
      <c r="C310">
        <v>2024</v>
      </c>
      <c r="D310">
        <v>228</v>
      </c>
      <c r="E310">
        <v>40</v>
      </c>
      <c r="F310">
        <v>334</v>
      </c>
      <c r="G310">
        <v>1.46</v>
      </c>
      <c r="H310">
        <v>55</v>
      </c>
      <c r="I310">
        <v>53</v>
      </c>
      <c r="J310">
        <v>63</v>
      </c>
      <c r="K310">
        <v>65</v>
      </c>
      <c r="L310" s="22"/>
    </row>
    <row r="311" spans="1:12" x14ac:dyDescent="0.45">
      <c r="A311" s="24" t="s">
        <v>890</v>
      </c>
      <c r="B311" t="s">
        <v>789</v>
      </c>
      <c r="C311">
        <v>2024</v>
      </c>
      <c r="D311">
        <v>187</v>
      </c>
      <c r="E311">
        <v>41</v>
      </c>
      <c r="F311">
        <v>294</v>
      </c>
      <c r="G311">
        <v>1.57</v>
      </c>
      <c r="H311">
        <v>71</v>
      </c>
      <c r="I311">
        <v>42</v>
      </c>
      <c r="J311">
        <v>61</v>
      </c>
      <c r="K311">
        <v>63</v>
      </c>
      <c r="L311" s="22"/>
    </row>
    <row r="312" spans="1:12" x14ac:dyDescent="0.45">
      <c r="A312" s="24" t="s">
        <v>917</v>
      </c>
      <c r="B312" t="s">
        <v>804</v>
      </c>
      <c r="C312">
        <v>2024</v>
      </c>
      <c r="D312">
        <v>288</v>
      </c>
      <c r="E312">
        <v>53</v>
      </c>
      <c r="F312">
        <v>587</v>
      </c>
      <c r="G312">
        <v>2.04</v>
      </c>
      <c r="H312">
        <v>63</v>
      </c>
      <c r="I312">
        <v>69</v>
      </c>
      <c r="J312">
        <v>49</v>
      </c>
      <c r="K312">
        <v>63</v>
      </c>
      <c r="L312" s="22"/>
    </row>
    <row r="313" spans="1:12" x14ac:dyDescent="0.45">
      <c r="A313" s="24" t="s">
        <v>893</v>
      </c>
      <c r="B313" t="s">
        <v>798</v>
      </c>
      <c r="C313">
        <v>2024</v>
      </c>
      <c r="D313">
        <v>199</v>
      </c>
      <c r="E313">
        <v>39</v>
      </c>
      <c r="F313">
        <v>324</v>
      </c>
      <c r="G313">
        <v>1.63</v>
      </c>
      <c r="H313">
        <v>59</v>
      </c>
      <c r="I313">
        <v>43</v>
      </c>
      <c r="J313">
        <v>63</v>
      </c>
      <c r="K313">
        <v>61</v>
      </c>
      <c r="L313" s="22"/>
    </row>
    <row r="314" spans="1:12" x14ac:dyDescent="0.45">
      <c r="A314" s="24" t="s">
        <v>895</v>
      </c>
      <c r="B314" t="s">
        <v>818</v>
      </c>
      <c r="C314">
        <v>2024</v>
      </c>
      <c r="D314">
        <v>315</v>
      </c>
      <c r="E314">
        <v>44</v>
      </c>
      <c r="F314">
        <v>353</v>
      </c>
      <c r="G314">
        <v>1.1200000000000001</v>
      </c>
      <c r="H314">
        <v>42</v>
      </c>
      <c r="I314">
        <v>80</v>
      </c>
      <c r="J314">
        <v>48</v>
      </c>
      <c r="K314">
        <v>60</v>
      </c>
      <c r="L314" s="22"/>
    </row>
    <row r="315" spans="1:12" x14ac:dyDescent="0.45">
      <c r="A315" s="24" t="s">
        <v>949</v>
      </c>
      <c r="B315" t="s">
        <v>794</v>
      </c>
      <c r="C315">
        <v>2024</v>
      </c>
      <c r="D315">
        <v>289</v>
      </c>
      <c r="E315">
        <v>42</v>
      </c>
      <c r="F315">
        <v>420</v>
      </c>
      <c r="G315">
        <v>1.45</v>
      </c>
      <c r="H315">
        <v>73</v>
      </c>
      <c r="I315">
        <v>61</v>
      </c>
      <c r="J315">
        <v>44</v>
      </c>
      <c r="K315">
        <v>59</v>
      </c>
      <c r="L315" s="22"/>
    </row>
    <row r="316" spans="1:12" x14ac:dyDescent="0.45">
      <c r="A316" s="24" t="s">
        <v>892</v>
      </c>
      <c r="B316" t="s">
        <v>789</v>
      </c>
      <c r="C316">
        <v>2024</v>
      </c>
      <c r="D316">
        <v>222</v>
      </c>
      <c r="E316">
        <v>41</v>
      </c>
      <c r="F316">
        <v>261</v>
      </c>
      <c r="G316">
        <v>1.18</v>
      </c>
      <c r="H316">
        <v>52</v>
      </c>
      <c r="I316">
        <v>78</v>
      </c>
      <c r="J316">
        <v>43</v>
      </c>
      <c r="K316">
        <v>58</v>
      </c>
      <c r="L316" s="22"/>
    </row>
    <row r="317" spans="1:12" x14ac:dyDescent="0.45">
      <c r="A317" s="24" t="s">
        <v>910</v>
      </c>
      <c r="B317" t="s">
        <v>813</v>
      </c>
      <c r="C317">
        <v>2024</v>
      </c>
      <c r="D317">
        <v>215</v>
      </c>
      <c r="E317">
        <v>38</v>
      </c>
      <c r="F317">
        <v>403</v>
      </c>
      <c r="G317">
        <v>1.87</v>
      </c>
      <c r="H317">
        <v>78</v>
      </c>
      <c r="I317">
        <v>71</v>
      </c>
      <c r="J317">
        <v>34</v>
      </c>
      <c r="K317">
        <v>57</v>
      </c>
      <c r="L317" s="22"/>
    </row>
    <row r="318" spans="1:12" x14ac:dyDescent="0.45">
      <c r="A318" s="24" t="s">
        <v>957</v>
      </c>
      <c r="B318" t="s">
        <v>818</v>
      </c>
      <c r="C318">
        <v>2024</v>
      </c>
      <c r="D318">
        <v>119</v>
      </c>
      <c r="E318">
        <v>22</v>
      </c>
      <c r="F318">
        <v>142</v>
      </c>
      <c r="G318">
        <v>1.19</v>
      </c>
      <c r="H318">
        <v>64</v>
      </c>
      <c r="I318">
        <v>49</v>
      </c>
      <c r="J318">
        <v>53</v>
      </c>
      <c r="K318">
        <v>57</v>
      </c>
      <c r="L318" s="22"/>
    </row>
    <row r="319" spans="1:12" x14ac:dyDescent="0.45">
      <c r="A319" s="24" t="s">
        <v>912</v>
      </c>
      <c r="B319" t="s">
        <v>815</v>
      </c>
      <c r="C319">
        <v>2024</v>
      </c>
      <c r="D319">
        <v>264</v>
      </c>
      <c r="E319">
        <v>30</v>
      </c>
      <c r="F319">
        <v>225</v>
      </c>
      <c r="G319">
        <v>0.85</v>
      </c>
      <c r="H319">
        <v>50</v>
      </c>
      <c r="I319">
        <v>78</v>
      </c>
      <c r="J319">
        <v>43</v>
      </c>
      <c r="K319">
        <v>57</v>
      </c>
      <c r="L319" s="22"/>
    </row>
    <row r="320" spans="1:12" x14ac:dyDescent="0.45">
      <c r="A320" s="24" t="s">
        <v>782</v>
      </c>
      <c r="B320" t="s">
        <v>783</v>
      </c>
      <c r="C320">
        <v>2024</v>
      </c>
      <c r="D320">
        <v>258</v>
      </c>
      <c r="E320">
        <v>65</v>
      </c>
      <c r="F320">
        <v>543</v>
      </c>
      <c r="G320">
        <v>2.1</v>
      </c>
      <c r="H320">
        <v>30</v>
      </c>
      <c r="I320">
        <v>66</v>
      </c>
      <c r="J320">
        <v>53</v>
      </c>
      <c r="K320">
        <v>53</v>
      </c>
      <c r="L320" s="22"/>
    </row>
    <row r="321" spans="1:12" x14ac:dyDescent="0.45">
      <c r="A321" s="24" t="s">
        <v>871</v>
      </c>
      <c r="B321" t="s">
        <v>787</v>
      </c>
      <c r="C321">
        <v>2024</v>
      </c>
      <c r="D321">
        <v>132</v>
      </c>
      <c r="E321">
        <v>21</v>
      </c>
      <c r="F321">
        <v>206</v>
      </c>
      <c r="G321">
        <v>1.56</v>
      </c>
      <c r="H321">
        <v>52</v>
      </c>
      <c r="I321">
        <v>69</v>
      </c>
      <c r="J321">
        <v>42</v>
      </c>
      <c r="K321">
        <v>53</v>
      </c>
      <c r="L321" s="22"/>
    </row>
    <row r="322" spans="1:12" x14ac:dyDescent="0.45">
      <c r="A322" s="24" t="s">
        <v>959</v>
      </c>
      <c r="B322" t="s">
        <v>830</v>
      </c>
      <c r="C322">
        <v>2024</v>
      </c>
      <c r="D322">
        <v>180</v>
      </c>
      <c r="E322">
        <v>36</v>
      </c>
      <c r="F322">
        <v>299</v>
      </c>
      <c r="G322">
        <v>1.66</v>
      </c>
      <c r="H322">
        <v>58</v>
      </c>
      <c r="I322">
        <v>57</v>
      </c>
      <c r="J322">
        <v>45</v>
      </c>
      <c r="K322">
        <v>52</v>
      </c>
      <c r="L322" s="22"/>
    </row>
    <row r="323" spans="1:12" x14ac:dyDescent="0.45">
      <c r="A323" s="24" t="s">
        <v>908</v>
      </c>
      <c r="B323" t="s">
        <v>830</v>
      </c>
      <c r="C323">
        <v>2024</v>
      </c>
      <c r="D323">
        <v>235</v>
      </c>
      <c r="E323">
        <v>42</v>
      </c>
      <c r="F323">
        <v>340</v>
      </c>
      <c r="G323">
        <v>1.45</v>
      </c>
      <c r="H323">
        <v>71</v>
      </c>
      <c r="I323">
        <v>59</v>
      </c>
      <c r="J323">
        <v>38</v>
      </c>
      <c r="K323">
        <v>52</v>
      </c>
      <c r="L323" s="22"/>
    </row>
    <row r="324" spans="1:12" x14ac:dyDescent="0.45">
      <c r="A324" s="24" t="s">
        <v>899</v>
      </c>
      <c r="B324" t="s">
        <v>807</v>
      </c>
      <c r="C324">
        <v>2024</v>
      </c>
      <c r="D324">
        <v>304</v>
      </c>
      <c r="E324">
        <v>59</v>
      </c>
      <c r="F324">
        <v>483</v>
      </c>
      <c r="G324">
        <v>1.59</v>
      </c>
      <c r="H324">
        <v>61</v>
      </c>
      <c r="I324">
        <v>40</v>
      </c>
      <c r="J324">
        <v>53</v>
      </c>
      <c r="K324">
        <v>51</v>
      </c>
      <c r="L324" s="22"/>
    </row>
    <row r="325" spans="1:12" x14ac:dyDescent="0.45">
      <c r="A325" s="24" t="s">
        <v>870</v>
      </c>
      <c r="B325" t="s">
        <v>820</v>
      </c>
      <c r="C325">
        <v>2024</v>
      </c>
      <c r="D325">
        <v>232</v>
      </c>
      <c r="E325">
        <v>21</v>
      </c>
      <c r="F325">
        <v>136</v>
      </c>
      <c r="G325">
        <v>0.59</v>
      </c>
      <c r="H325">
        <v>57</v>
      </c>
      <c r="I325">
        <v>48</v>
      </c>
      <c r="J325">
        <v>48</v>
      </c>
      <c r="K325">
        <v>50</v>
      </c>
      <c r="L325" s="22"/>
    </row>
    <row r="326" spans="1:12" x14ac:dyDescent="0.45">
      <c r="A326" s="24" t="s">
        <v>962</v>
      </c>
      <c r="B326" t="s">
        <v>785</v>
      </c>
      <c r="C326">
        <v>2024</v>
      </c>
      <c r="D326">
        <v>170</v>
      </c>
      <c r="E326">
        <v>21</v>
      </c>
      <c r="F326">
        <v>181</v>
      </c>
      <c r="G326">
        <v>1.06</v>
      </c>
      <c r="H326">
        <v>59</v>
      </c>
      <c r="I326">
        <v>60</v>
      </c>
      <c r="J326">
        <v>40</v>
      </c>
      <c r="K326">
        <v>50</v>
      </c>
      <c r="L326" s="22"/>
    </row>
    <row r="327" spans="1:12" x14ac:dyDescent="0.45">
      <c r="A327" s="24" t="s">
        <v>920</v>
      </c>
      <c r="B327" t="s">
        <v>867</v>
      </c>
      <c r="C327">
        <v>2024</v>
      </c>
      <c r="D327">
        <v>279</v>
      </c>
      <c r="E327">
        <v>50</v>
      </c>
      <c r="F327">
        <v>360</v>
      </c>
      <c r="G327">
        <v>1.29</v>
      </c>
      <c r="H327">
        <v>56</v>
      </c>
      <c r="I327">
        <v>47</v>
      </c>
      <c r="J327">
        <v>47</v>
      </c>
      <c r="K327">
        <v>49</v>
      </c>
      <c r="L327" s="22"/>
    </row>
    <row r="328" spans="1:12" x14ac:dyDescent="0.45">
      <c r="A328" s="24" t="s">
        <v>963</v>
      </c>
      <c r="B328" t="s">
        <v>811</v>
      </c>
      <c r="C328">
        <v>2024</v>
      </c>
      <c r="D328">
        <v>320</v>
      </c>
      <c r="E328">
        <v>54</v>
      </c>
      <c r="F328">
        <v>592</v>
      </c>
      <c r="G328">
        <v>1.85</v>
      </c>
      <c r="H328">
        <v>38</v>
      </c>
      <c r="I328">
        <v>75</v>
      </c>
      <c r="J328">
        <v>39</v>
      </c>
      <c r="K328">
        <v>48</v>
      </c>
      <c r="L328" s="22"/>
    </row>
    <row r="329" spans="1:12" x14ac:dyDescent="0.45">
      <c r="A329" s="24" t="s">
        <v>911</v>
      </c>
      <c r="B329" t="s">
        <v>802</v>
      </c>
      <c r="C329">
        <v>2024</v>
      </c>
      <c r="D329">
        <v>111</v>
      </c>
      <c r="E329">
        <v>20</v>
      </c>
      <c r="F329">
        <v>76</v>
      </c>
      <c r="G329">
        <v>0.68</v>
      </c>
      <c r="H329">
        <v>75</v>
      </c>
      <c r="I329">
        <v>66</v>
      </c>
      <c r="J329">
        <v>26</v>
      </c>
      <c r="K329">
        <v>46</v>
      </c>
      <c r="L329" s="22"/>
    </row>
    <row r="330" spans="1:12" x14ac:dyDescent="0.45">
      <c r="A330" s="24" t="s">
        <v>772</v>
      </c>
      <c r="B330" t="s">
        <v>773</v>
      </c>
      <c r="C330">
        <v>2024</v>
      </c>
      <c r="D330">
        <v>181</v>
      </c>
      <c r="E330">
        <v>22</v>
      </c>
      <c r="F330">
        <v>189</v>
      </c>
      <c r="G330">
        <v>1.04</v>
      </c>
      <c r="H330">
        <v>45</v>
      </c>
      <c r="I330">
        <v>58</v>
      </c>
      <c r="J330">
        <v>41</v>
      </c>
      <c r="K330">
        <v>45</v>
      </c>
      <c r="L330" s="22"/>
    </row>
    <row r="331" spans="1:12" x14ac:dyDescent="0.45">
      <c r="A331" s="24" t="s">
        <v>897</v>
      </c>
      <c r="B331" t="s">
        <v>798</v>
      </c>
      <c r="C331">
        <v>2024</v>
      </c>
      <c r="D331">
        <v>193</v>
      </c>
      <c r="E331">
        <v>45</v>
      </c>
      <c r="F331">
        <v>329</v>
      </c>
      <c r="G331">
        <v>1.7</v>
      </c>
      <c r="H331">
        <v>75</v>
      </c>
      <c r="I331">
        <v>50</v>
      </c>
      <c r="J331">
        <v>33</v>
      </c>
      <c r="K331">
        <v>45</v>
      </c>
      <c r="L331" s="22"/>
    </row>
    <row r="332" spans="1:12" x14ac:dyDescent="0.45">
      <c r="A332" s="24" t="s">
        <v>887</v>
      </c>
      <c r="B332" t="s">
        <v>773</v>
      </c>
      <c r="C332">
        <v>2024</v>
      </c>
      <c r="D332">
        <v>204</v>
      </c>
      <c r="E332">
        <v>26</v>
      </c>
      <c r="F332">
        <v>339</v>
      </c>
      <c r="G332">
        <v>1.66</v>
      </c>
      <c r="H332">
        <v>50</v>
      </c>
      <c r="I332">
        <v>36</v>
      </c>
      <c r="J332">
        <v>50</v>
      </c>
      <c r="K332">
        <v>43</v>
      </c>
      <c r="L332" s="22"/>
    </row>
    <row r="333" spans="1:12" x14ac:dyDescent="0.45">
      <c r="A333" s="24" t="s">
        <v>860</v>
      </c>
      <c r="B333" t="s">
        <v>828</v>
      </c>
      <c r="C333">
        <v>2024</v>
      </c>
      <c r="D333">
        <v>200</v>
      </c>
      <c r="E333">
        <v>24</v>
      </c>
      <c r="F333">
        <v>318</v>
      </c>
      <c r="G333">
        <v>1.59</v>
      </c>
      <c r="H333">
        <v>15</v>
      </c>
      <c r="I333">
        <v>69</v>
      </c>
      <c r="J333">
        <v>46</v>
      </c>
      <c r="K333">
        <v>43</v>
      </c>
      <c r="L333" s="22"/>
    </row>
    <row r="334" spans="1:12" x14ac:dyDescent="0.45">
      <c r="A334" s="24" t="s">
        <v>961</v>
      </c>
      <c r="B334" t="s">
        <v>828</v>
      </c>
      <c r="C334">
        <v>2024</v>
      </c>
      <c r="D334">
        <v>199</v>
      </c>
      <c r="E334">
        <v>37</v>
      </c>
      <c r="F334">
        <v>322</v>
      </c>
      <c r="G334">
        <v>1.62</v>
      </c>
      <c r="H334">
        <v>75</v>
      </c>
      <c r="I334">
        <v>63</v>
      </c>
      <c r="J334">
        <v>24</v>
      </c>
      <c r="K334">
        <v>43</v>
      </c>
      <c r="L334" s="22"/>
    </row>
    <row r="335" spans="1:12" x14ac:dyDescent="0.45">
      <c r="A335" s="24" t="s">
        <v>903</v>
      </c>
      <c r="B335" t="s">
        <v>811</v>
      </c>
      <c r="C335">
        <v>2024</v>
      </c>
      <c r="D335">
        <v>114</v>
      </c>
      <c r="E335">
        <v>20</v>
      </c>
      <c r="F335">
        <v>161</v>
      </c>
      <c r="G335">
        <v>1.41</v>
      </c>
      <c r="H335">
        <v>58</v>
      </c>
      <c r="I335">
        <v>58</v>
      </c>
      <c r="J335">
        <v>32</v>
      </c>
      <c r="K335">
        <v>42</v>
      </c>
      <c r="L335" s="22"/>
    </row>
    <row r="336" spans="1:12" x14ac:dyDescent="0.45">
      <c r="A336" s="24" t="s">
        <v>921</v>
      </c>
      <c r="B336" t="s">
        <v>875</v>
      </c>
      <c r="C336">
        <v>2024</v>
      </c>
      <c r="D336">
        <v>257</v>
      </c>
      <c r="E336">
        <v>46</v>
      </c>
      <c r="F336">
        <v>284</v>
      </c>
      <c r="G336">
        <v>1.1100000000000001</v>
      </c>
      <c r="H336">
        <v>50</v>
      </c>
      <c r="I336">
        <v>55</v>
      </c>
      <c r="J336">
        <v>36</v>
      </c>
      <c r="K336">
        <v>40</v>
      </c>
      <c r="L336" s="22"/>
    </row>
    <row r="337" spans="1:12" x14ac:dyDescent="0.45">
      <c r="A337" s="24" t="s">
        <v>896</v>
      </c>
      <c r="B337" t="s">
        <v>775</v>
      </c>
      <c r="C337">
        <v>2024</v>
      </c>
      <c r="D337">
        <v>296</v>
      </c>
      <c r="E337">
        <v>44</v>
      </c>
      <c r="F337">
        <v>171</v>
      </c>
      <c r="G337">
        <v>0.57999999999999996</v>
      </c>
      <c r="H337">
        <v>44</v>
      </c>
      <c r="I337">
        <v>63</v>
      </c>
      <c r="J337">
        <v>31</v>
      </c>
      <c r="K337">
        <v>38</v>
      </c>
      <c r="L337" s="22"/>
    </row>
    <row r="338" spans="1:12" x14ac:dyDescent="0.45">
      <c r="A338" s="24" t="s">
        <v>844</v>
      </c>
      <c r="B338" t="s">
        <v>775</v>
      </c>
      <c r="C338">
        <v>2024</v>
      </c>
      <c r="D338">
        <v>109</v>
      </c>
      <c r="E338">
        <v>23</v>
      </c>
      <c r="F338">
        <v>148</v>
      </c>
      <c r="G338">
        <v>1.36</v>
      </c>
      <c r="H338">
        <v>56</v>
      </c>
      <c r="I338">
        <v>65</v>
      </c>
      <c r="J338">
        <v>22</v>
      </c>
      <c r="K338">
        <v>36</v>
      </c>
      <c r="L338" s="22"/>
    </row>
    <row r="339" spans="1:12" x14ac:dyDescent="0.45">
      <c r="A339" s="24" t="s">
        <v>922</v>
      </c>
      <c r="B339" t="s">
        <v>807</v>
      </c>
      <c r="C339">
        <v>2024</v>
      </c>
      <c r="D339">
        <v>109</v>
      </c>
      <c r="E339">
        <v>21</v>
      </c>
      <c r="F339">
        <v>148</v>
      </c>
      <c r="G339">
        <v>1.36</v>
      </c>
      <c r="H339">
        <v>45</v>
      </c>
      <c r="I339">
        <v>38</v>
      </c>
      <c r="J339">
        <v>42</v>
      </c>
      <c r="K339">
        <v>36</v>
      </c>
      <c r="L339" s="22"/>
    </row>
    <row r="340" spans="1:12" x14ac:dyDescent="0.45">
      <c r="A340" s="24" t="s">
        <v>906</v>
      </c>
      <c r="B340" t="s">
        <v>787</v>
      </c>
      <c r="C340">
        <v>2024</v>
      </c>
      <c r="D340">
        <v>236</v>
      </c>
      <c r="E340">
        <v>32</v>
      </c>
      <c r="F340">
        <v>168</v>
      </c>
      <c r="G340">
        <v>0.71</v>
      </c>
      <c r="H340">
        <v>32</v>
      </c>
      <c r="I340">
        <v>61</v>
      </c>
      <c r="J340">
        <v>31</v>
      </c>
      <c r="K340">
        <v>33</v>
      </c>
      <c r="L340" s="22"/>
    </row>
    <row r="341" spans="1:12" x14ac:dyDescent="0.45">
      <c r="A341" s="24" t="s">
        <v>888</v>
      </c>
      <c r="B341" t="s">
        <v>802</v>
      </c>
      <c r="C341">
        <v>2024</v>
      </c>
      <c r="D341">
        <v>257</v>
      </c>
      <c r="E341">
        <v>54</v>
      </c>
      <c r="F341">
        <v>360</v>
      </c>
      <c r="G341">
        <v>1.4</v>
      </c>
      <c r="H341">
        <v>63</v>
      </c>
      <c r="I341">
        <v>57</v>
      </c>
      <c r="J341">
        <v>19</v>
      </c>
      <c r="K341">
        <v>32</v>
      </c>
      <c r="L341" s="22"/>
    </row>
    <row r="342" spans="1:12" x14ac:dyDescent="0.45">
      <c r="A342" s="24" t="s">
        <v>923</v>
      </c>
      <c r="B342" t="s">
        <v>800</v>
      </c>
      <c r="C342">
        <v>2024</v>
      </c>
      <c r="D342">
        <v>210</v>
      </c>
      <c r="E342">
        <v>38</v>
      </c>
      <c r="F342">
        <v>249</v>
      </c>
      <c r="G342">
        <v>1.19</v>
      </c>
      <c r="H342">
        <v>41</v>
      </c>
      <c r="I342">
        <v>54</v>
      </c>
      <c r="J342">
        <v>27</v>
      </c>
      <c r="K342">
        <v>29</v>
      </c>
      <c r="L342" s="22"/>
    </row>
    <row r="343" spans="1:12" x14ac:dyDescent="0.45">
      <c r="A343" s="24" t="s">
        <v>916</v>
      </c>
      <c r="B343" t="s">
        <v>814</v>
      </c>
      <c r="C343">
        <v>2024</v>
      </c>
      <c r="D343">
        <v>316</v>
      </c>
      <c r="E343">
        <v>32</v>
      </c>
      <c r="F343">
        <v>197</v>
      </c>
      <c r="G343">
        <v>0.62</v>
      </c>
      <c r="H343">
        <v>40</v>
      </c>
      <c r="I343">
        <v>64</v>
      </c>
      <c r="J343">
        <v>21</v>
      </c>
      <c r="K343">
        <v>29</v>
      </c>
      <c r="L343" s="22"/>
    </row>
    <row r="344" spans="1:12" x14ac:dyDescent="0.45">
      <c r="A344" s="24" t="s">
        <v>960</v>
      </c>
      <c r="B344" t="s">
        <v>833</v>
      </c>
      <c r="C344">
        <v>2024</v>
      </c>
      <c r="D344">
        <v>204</v>
      </c>
      <c r="E344">
        <v>41</v>
      </c>
      <c r="F344">
        <v>254</v>
      </c>
      <c r="G344">
        <v>1.25</v>
      </c>
      <c r="H344">
        <v>57</v>
      </c>
      <c r="I344">
        <v>40</v>
      </c>
      <c r="J344">
        <v>25</v>
      </c>
      <c r="K344">
        <v>27</v>
      </c>
      <c r="L344" s="22"/>
    </row>
    <row r="345" spans="1:12" x14ac:dyDescent="0.45">
      <c r="A345" s="24" t="s">
        <v>878</v>
      </c>
      <c r="B345" t="s">
        <v>792</v>
      </c>
      <c r="C345">
        <v>2024</v>
      </c>
      <c r="D345">
        <v>183</v>
      </c>
      <c r="E345">
        <v>29</v>
      </c>
      <c r="F345">
        <v>153</v>
      </c>
      <c r="G345">
        <v>0.84</v>
      </c>
      <c r="H345">
        <v>65</v>
      </c>
      <c r="I345">
        <v>59</v>
      </c>
      <c r="J345">
        <v>3</v>
      </c>
      <c r="K345">
        <v>20</v>
      </c>
      <c r="L345" s="22"/>
    </row>
    <row r="346" spans="1:12" x14ac:dyDescent="0.45">
      <c r="A346" s="24" t="s">
        <v>863</v>
      </c>
      <c r="B346" t="s">
        <v>796</v>
      </c>
      <c r="C346">
        <v>2024</v>
      </c>
      <c r="D346">
        <v>242</v>
      </c>
      <c r="E346">
        <v>38</v>
      </c>
      <c r="F346">
        <v>238</v>
      </c>
      <c r="G346">
        <v>0.98</v>
      </c>
      <c r="H346">
        <v>47</v>
      </c>
      <c r="I346">
        <v>43</v>
      </c>
      <c r="J346">
        <v>18</v>
      </c>
      <c r="K346">
        <v>18</v>
      </c>
      <c r="L346" s="22"/>
    </row>
    <row r="347" spans="1:12" x14ac:dyDescent="0.45">
      <c r="A347" s="24" t="s">
        <v>774</v>
      </c>
      <c r="B347" t="s">
        <v>781</v>
      </c>
      <c r="C347">
        <v>2025</v>
      </c>
      <c r="D347">
        <v>494</v>
      </c>
      <c r="E347">
        <v>120</v>
      </c>
      <c r="F347">
        <v>1029</v>
      </c>
      <c r="G347">
        <v>2.08</v>
      </c>
      <c r="H347">
        <v>59</v>
      </c>
      <c r="I347">
        <v>99</v>
      </c>
      <c r="J347">
        <v>51</v>
      </c>
      <c r="K347">
        <v>99</v>
      </c>
      <c r="L347" s="22"/>
    </row>
    <row r="348" spans="1:12" x14ac:dyDescent="0.45">
      <c r="A348" s="24" t="s">
        <v>915</v>
      </c>
      <c r="B348" t="s">
        <v>777</v>
      </c>
      <c r="C348">
        <v>2025</v>
      </c>
      <c r="D348">
        <v>377</v>
      </c>
      <c r="E348">
        <v>80</v>
      </c>
      <c r="F348">
        <v>820</v>
      </c>
      <c r="G348">
        <v>2.1800000000000002</v>
      </c>
      <c r="H348">
        <v>52</v>
      </c>
      <c r="I348">
        <v>95</v>
      </c>
      <c r="J348">
        <v>75</v>
      </c>
      <c r="K348">
        <v>94</v>
      </c>
      <c r="L348" s="22"/>
    </row>
    <row r="349" spans="1:12" x14ac:dyDescent="0.45">
      <c r="A349" s="24" t="s">
        <v>959</v>
      </c>
      <c r="B349" t="s">
        <v>830</v>
      </c>
      <c r="C349">
        <v>2025</v>
      </c>
      <c r="D349">
        <v>197</v>
      </c>
      <c r="E349">
        <v>37</v>
      </c>
      <c r="F349">
        <v>386</v>
      </c>
      <c r="G349">
        <v>1.96</v>
      </c>
      <c r="H349">
        <v>58</v>
      </c>
      <c r="I349">
        <v>72</v>
      </c>
      <c r="J349">
        <v>78</v>
      </c>
      <c r="K349">
        <v>88</v>
      </c>
      <c r="L349" s="22"/>
    </row>
    <row r="350" spans="1:12" x14ac:dyDescent="0.45">
      <c r="A350" s="24" t="s">
        <v>906</v>
      </c>
      <c r="B350" t="s">
        <v>787</v>
      </c>
      <c r="C350">
        <v>2025</v>
      </c>
      <c r="D350">
        <v>315</v>
      </c>
      <c r="E350">
        <v>46</v>
      </c>
      <c r="F350">
        <v>471</v>
      </c>
      <c r="G350">
        <v>1.5</v>
      </c>
      <c r="H350">
        <v>65</v>
      </c>
      <c r="I350">
        <v>99</v>
      </c>
      <c r="J350">
        <v>53</v>
      </c>
      <c r="K350">
        <v>87</v>
      </c>
      <c r="L350" s="22"/>
    </row>
    <row r="351" spans="1:12" x14ac:dyDescent="0.45">
      <c r="A351" s="24" t="s">
        <v>919</v>
      </c>
      <c r="B351" t="s">
        <v>823</v>
      </c>
      <c r="C351">
        <v>2025</v>
      </c>
      <c r="D351">
        <v>153</v>
      </c>
      <c r="E351">
        <v>27</v>
      </c>
      <c r="F351">
        <v>277</v>
      </c>
      <c r="G351">
        <v>1.81</v>
      </c>
      <c r="H351">
        <v>49</v>
      </c>
      <c r="I351">
        <v>61</v>
      </c>
      <c r="J351">
        <v>85</v>
      </c>
      <c r="K351">
        <v>84</v>
      </c>
      <c r="L351" s="22"/>
    </row>
    <row r="352" spans="1:12" x14ac:dyDescent="0.45">
      <c r="A352" s="24" t="s">
        <v>924</v>
      </c>
      <c r="B352" t="s">
        <v>815</v>
      </c>
      <c r="C352">
        <v>2025</v>
      </c>
      <c r="D352">
        <v>115</v>
      </c>
      <c r="E352">
        <v>30</v>
      </c>
      <c r="F352">
        <v>271</v>
      </c>
      <c r="G352">
        <v>2.36</v>
      </c>
      <c r="H352">
        <v>76</v>
      </c>
      <c r="I352">
        <v>74</v>
      </c>
      <c r="J352">
        <v>62</v>
      </c>
      <c r="K352">
        <v>82</v>
      </c>
      <c r="L352" s="22"/>
    </row>
    <row r="353" spans="1:12" x14ac:dyDescent="0.45">
      <c r="A353" s="24" t="s">
        <v>907</v>
      </c>
      <c r="B353" t="s">
        <v>796</v>
      </c>
      <c r="C353">
        <v>2025</v>
      </c>
      <c r="D353">
        <v>168</v>
      </c>
      <c r="E353">
        <v>35</v>
      </c>
      <c r="F353">
        <v>264</v>
      </c>
      <c r="G353">
        <v>1.57</v>
      </c>
      <c r="H353">
        <v>79</v>
      </c>
      <c r="I353">
        <v>88</v>
      </c>
      <c r="J353">
        <v>53</v>
      </c>
      <c r="K353">
        <v>81</v>
      </c>
      <c r="L353" s="22"/>
    </row>
    <row r="354" spans="1:12" x14ac:dyDescent="0.45">
      <c r="A354" s="24" t="s">
        <v>957</v>
      </c>
      <c r="B354" t="s">
        <v>798</v>
      </c>
      <c r="C354">
        <v>2025</v>
      </c>
      <c r="D354">
        <v>280</v>
      </c>
      <c r="E354">
        <v>64</v>
      </c>
      <c r="F354">
        <v>512</v>
      </c>
      <c r="G354">
        <v>1.83</v>
      </c>
      <c r="H354">
        <v>68</v>
      </c>
      <c r="I354">
        <v>99</v>
      </c>
      <c r="J354">
        <v>40</v>
      </c>
      <c r="K354">
        <v>80</v>
      </c>
      <c r="L354" s="22"/>
    </row>
    <row r="355" spans="1:12" x14ac:dyDescent="0.45">
      <c r="A355" s="24" t="s">
        <v>899</v>
      </c>
      <c r="B355" t="s">
        <v>807</v>
      </c>
      <c r="C355">
        <v>2025</v>
      </c>
      <c r="D355">
        <v>222</v>
      </c>
      <c r="E355">
        <v>36</v>
      </c>
      <c r="F355">
        <v>350</v>
      </c>
      <c r="G355">
        <v>1.58</v>
      </c>
      <c r="H355">
        <v>46</v>
      </c>
      <c r="I355">
        <v>83</v>
      </c>
      <c r="J355">
        <v>68</v>
      </c>
      <c r="K355">
        <v>79</v>
      </c>
      <c r="L355" s="22"/>
    </row>
    <row r="356" spans="1:12" x14ac:dyDescent="0.45">
      <c r="A356" s="24" t="s">
        <v>897</v>
      </c>
      <c r="B356" t="s">
        <v>798</v>
      </c>
      <c r="C356">
        <v>2025</v>
      </c>
      <c r="D356">
        <v>163</v>
      </c>
      <c r="E356">
        <v>34</v>
      </c>
      <c r="F356">
        <v>337</v>
      </c>
      <c r="G356">
        <v>2.0699999999999998</v>
      </c>
      <c r="H356">
        <v>56</v>
      </c>
      <c r="I356">
        <v>75</v>
      </c>
      <c r="J356">
        <v>64</v>
      </c>
      <c r="K356">
        <v>76</v>
      </c>
      <c r="L356" s="22"/>
    </row>
    <row r="357" spans="1:12" x14ac:dyDescent="0.45">
      <c r="A357" s="24" t="s">
        <v>886</v>
      </c>
      <c r="B357" t="s">
        <v>785</v>
      </c>
      <c r="C357">
        <v>2025</v>
      </c>
      <c r="D357">
        <v>168</v>
      </c>
      <c r="E357">
        <v>27</v>
      </c>
      <c r="F357">
        <v>196</v>
      </c>
      <c r="G357">
        <v>1.17</v>
      </c>
      <c r="H357">
        <v>87</v>
      </c>
      <c r="I357">
        <v>68</v>
      </c>
      <c r="J357">
        <v>52</v>
      </c>
      <c r="K357">
        <v>74</v>
      </c>
      <c r="L357" s="22"/>
    </row>
    <row r="358" spans="1:12" x14ac:dyDescent="0.45">
      <c r="A358" s="24" t="s">
        <v>917</v>
      </c>
      <c r="B358" t="s">
        <v>804</v>
      </c>
      <c r="C358">
        <v>2025</v>
      </c>
      <c r="D358">
        <v>314</v>
      </c>
      <c r="E358">
        <v>72</v>
      </c>
      <c r="F358">
        <v>616</v>
      </c>
      <c r="G358">
        <v>1.96</v>
      </c>
      <c r="H358">
        <v>71</v>
      </c>
      <c r="I358">
        <v>89</v>
      </c>
      <c r="J358">
        <v>46</v>
      </c>
      <c r="K358">
        <v>73</v>
      </c>
      <c r="L358" s="22"/>
    </row>
    <row r="359" spans="1:12" x14ac:dyDescent="0.45">
      <c r="A359" s="24" t="s">
        <v>896</v>
      </c>
      <c r="B359" t="s">
        <v>775</v>
      </c>
      <c r="C359">
        <v>2025</v>
      </c>
      <c r="D359">
        <v>213</v>
      </c>
      <c r="E359">
        <v>36</v>
      </c>
      <c r="F359">
        <v>236</v>
      </c>
      <c r="G359">
        <v>1.1100000000000001</v>
      </c>
      <c r="H359">
        <v>71</v>
      </c>
      <c r="I359">
        <v>46</v>
      </c>
      <c r="J359">
        <v>68</v>
      </c>
      <c r="K359">
        <v>71</v>
      </c>
      <c r="L359" s="22"/>
    </row>
    <row r="360" spans="1:12" x14ac:dyDescent="0.45">
      <c r="A360" s="24" t="s">
        <v>847</v>
      </c>
      <c r="B360" t="s">
        <v>816</v>
      </c>
      <c r="C360">
        <v>2025</v>
      </c>
      <c r="D360">
        <v>177</v>
      </c>
      <c r="E360">
        <v>39</v>
      </c>
      <c r="F360">
        <v>285</v>
      </c>
      <c r="G360">
        <v>1.61</v>
      </c>
      <c r="H360">
        <v>65</v>
      </c>
      <c r="I360">
        <v>81</v>
      </c>
      <c r="J360">
        <v>48</v>
      </c>
      <c r="K360">
        <v>69</v>
      </c>
      <c r="L360" s="22"/>
    </row>
    <row r="361" spans="1:12" x14ac:dyDescent="0.45">
      <c r="A361" s="24" t="s">
        <v>870</v>
      </c>
      <c r="B361" t="s">
        <v>820</v>
      </c>
      <c r="C361">
        <v>2025</v>
      </c>
      <c r="D361">
        <v>337</v>
      </c>
      <c r="E361">
        <v>42</v>
      </c>
      <c r="F361">
        <v>378</v>
      </c>
      <c r="G361">
        <v>1.1200000000000001</v>
      </c>
      <c r="H361">
        <v>52</v>
      </c>
      <c r="I361">
        <v>80</v>
      </c>
      <c r="J361">
        <v>55</v>
      </c>
      <c r="K361">
        <v>69</v>
      </c>
      <c r="L361" s="22"/>
    </row>
    <row r="362" spans="1:12" x14ac:dyDescent="0.45">
      <c r="A362" s="24" t="s">
        <v>883</v>
      </c>
      <c r="B362" t="s">
        <v>826</v>
      </c>
      <c r="C362">
        <v>2025</v>
      </c>
      <c r="D362">
        <v>211</v>
      </c>
      <c r="E362">
        <v>43</v>
      </c>
      <c r="F362">
        <v>267</v>
      </c>
      <c r="G362">
        <v>1.27</v>
      </c>
      <c r="H362">
        <v>84</v>
      </c>
      <c r="I362">
        <v>65</v>
      </c>
      <c r="J362">
        <v>49</v>
      </c>
      <c r="K362">
        <v>69</v>
      </c>
      <c r="L362" s="22"/>
    </row>
    <row r="363" spans="1:12" x14ac:dyDescent="0.45">
      <c r="A363" s="24" t="s">
        <v>925</v>
      </c>
      <c r="B363" t="s">
        <v>792</v>
      </c>
      <c r="C363">
        <v>2025</v>
      </c>
      <c r="D363">
        <v>159</v>
      </c>
      <c r="E363">
        <v>24</v>
      </c>
      <c r="F363">
        <v>192</v>
      </c>
      <c r="G363">
        <v>1.21</v>
      </c>
      <c r="H363">
        <v>62</v>
      </c>
      <c r="I363">
        <v>78</v>
      </c>
      <c r="J363">
        <v>50</v>
      </c>
      <c r="K363">
        <v>68</v>
      </c>
      <c r="L363" s="22"/>
    </row>
    <row r="364" spans="1:12" x14ac:dyDescent="0.45">
      <c r="A364" s="24" t="s">
        <v>960</v>
      </c>
      <c r="B364" t="s">
        <v>833</v>
      </c>
      <c r="C364">
        <v>2025</v>
      </c>
      <c r="D364">
        <v>228</v>
      </c>
      <c r="E364">
        <v>38</v>
      </c>
      <c r="F364">
        <v>341</v>
      </c>
      <c r="G364">
        <v>1.5</v>
      </c>
      <c r="H364">
        <v>73</v>
      </c>
      <c r="I364">
        <v>70</v>
      </c>
      <c r="J364">
        <v>48</v>
      </c>
      <c r="K364">
        <v>66</v>
      </c>
      <c r="L364" s="22"/>
    </row>
    <row r="365" spans="1:12" x14ac:dyDescent="0.45">
      <c r="A365" s="24" t="s">
        <v>926</v>
      </c>
      <c r="B365" t="s">
        <v>789</v>
      </c>
      <c r="C365">
        <v>2025</v>
      </c>
      <c r="D365">
        <v>297</v>
      </c>
      <c r="E365">
        <v>55</v>
      </c>
      <c r="F365">
        <v>346</v>
      </c>
      <c r="G365">
        <v>1.1599999999999999</v>
      </c>
      <c r="H365">
        <v>62</v>
      </c>
      <c r="I365">
        <v>70</v>
      </c>
      <c r="J365">
        <v>52</v>
      </c>
      <c r="K365">
        <v>66</v>
      </c>
      <c r="L365" s="22"/>
    </row>
    <row r="366" spans="1:12" x14ac:dyDescent="0.45">
      <c r="A366" s="24" t="s">
        <v>927</v>
      </c>
      <c r="B366" t="s">
        <v>802</v>
      </c>
      <c r="C366">
        <v>2025</v>
      </c>
      <c r="D366">
        <v>245</v>
      </c>
      <c r="E366">
        <v>59</v>
      </c>
      <c r="F366">
        <v>424</v>
      </c>
      <c r="G366">
        <v>1.73</v>
      </c>
      <c r="H366">
        <v>47</v>
      </c>
      <c r="I366">
        <v>84</v>
      </c>
      <c r="J366">
        <v>49</v>
      </c>
      <c r="K366">
        <v>65</v>
      </c>
      <c r="L366" s="22"/>
    </row>
    <row r="367" spans="1:12" x14ac:dyDescent="0.45">
      <c r="A367" s="24" t="s">
        <v>868</v>
      </c>
      <c r="B367" t="s">
        <v>779</v>
      </c>
      <c r="C367">
        <v>2025</v>
      </c>
      <c r="D367">
        <v>302</v>
      </c>
      <c r="E367">
        <v>36</v>
      </c>
      <c r="F367">
        <v>337</v>
      </c>
      <c r="G367">
        <v>1.1200000000000001</v>
      </c>
      <c r="H367">
        <v>63</v>
      </c>
      <c r="I367">
        <v>77</v>
      </c>
      <c r="J367">
        <v>46</v>
      </c>
      <c r="K367">
        <v>64</v>
      </c>
      <c r="L367" s="22"/>
    </row>
    <row r="368" spans="1:12" x14ac:dyDescent="0.45">
      <c r="A368" s="24" t="s">
        <v>949</v>
      </c>
      <c r="B368" t="s">
        <v>794</v>
      </c>
      <c r="C368">
        <v>2025</v>
      </c>
      <c r="D368">
        <v>153</v>
      </c>
      <c r="E368">
        <v>27</v>
      </c>
      <c r="F368">
        <v>199</v>
      </c>
      <c r="G368">
        <v>1.3</v>
      </c>
      <c r="H368">
        <v>64</v>
      </c>
      <c r="I368">
        <v>69</v>
      </c>
      <c r="J368">
        <v>47</v>
      </c>
      <c r="K368">
        <v>61</v>
      </c>
      <c r="L368" s="22"/>
    </row>
    <row r="369" spans="1:12" x14ac:dyDescent="0.45">
      <c r="A369" s="24" t="s">
        <v>910</v>
      </c>
      <c r="B369" t="s">
        <v>813</v>
      </c>
      <c r="C369">
        <v>2025</v>
      </c>
      <c r="D369">
        <v>101</v>
      </c>
      <c r="E369">
        <v>21</v>
      </c>
      <c r="F369">
        <v>169</v>
      </c>
      <c r="G369">
        <v>1.67</v>
      </c>
      <c r="H369">
        <v>58</v>
      </c>
      <c r="I369">
        <v>53</v>
      </c>
      <c r="J369">
        <v>55</v>
      </c>
      <c r="K369">
        <v>58</v>
      </c>
      <c r="L369" s="22"/>
    </row>
    <row r="370" spans="1:12" x14ac:dyDescent="0.45">
      <c r="A370" s="24" t="s">
        <v>923</v>
      </c>
      <c r="B370" t="s">
        <v>775</v>
      </c>
      <c r="C370">
        <v>2025</v>
      </c>
      <c r="D370">
        <v>239</v>
      </c>
      <c r="E370">
        <v>42</v>
      </c>
      <c r="F370">
        <v>303</v>
      </c>
      <c r="G370">
        <v>1.27</v>
      </c>
      <c r="H370">
        <v>48</v>
      </c>
      <c r="I370">
        <v>82</v>
      </c>
      <c r="J370">
        <v>43</v>
      </c>
      <c r="K370">
        <v>58</v>
      </c>
      <c r="L370" s="22"/>
    </row>
    <row r="371" spans="1:12" x14ac:dyDescent="0.45">
      <c r="A371" s="24" t="s">
        <v>928</v>
      </c>
      <c r="B371" t="s">
        <v>792</v>
      </c>
      <c r="C371">
        <v>2025</v>
      </c>
      <c r="D371">
        <v>197</v>
      </c>
      <c r="E371">
        <v>21</v>
      </c>
      <c r="F371">
        <v>156</v>
      </c>
      <c r="G371">
        <v>0.79</v>
      </c>
      <c r="H371">
        <v>45</v>
      </c>
      <c r="I371">
        <v>60</v>
      </c>
      <c r="J371">
        <v>55</v>
      </c>
      <c r="K371">
        <v>57</v>
      </c>
      <c r="L371" s="22"/>
    </row>
    <row r="372" spans="1:12" x14ac:dyDescent="0.45">
      <c r="A372" s="24" t="s">
        <v>929</v>
      </c>
      <c r="B372" t="s">
        <v>875</v>
      </c>
      <c r="C372">
        <v>2025</v>
      </c>
      <c r="D372">
        <v>113</v>
      </c>
      <c r="E372">
        <v>26</v>
      </c>
      <c r="F372">
        <v>207</v>
      </c>
      <c r="G372">
        <v>1.83</v>
      </c>
      <c r="H372">
        <v>60</v>
      </c>
      <c r="I372">
        <v>61</v>
      </c>
      <c r="J372">
        <v>45</v>
      </c>
      <c r="K372">
        <v>55</v>
      </c>
      <c r="L372" s="22"/>
    </row>
    <row r="373" spans="1:12" x14ac:dyDescent="0.45">
      <c r="A373" s="24" t="s">
        <v>895</v>
      </c>
      <c r="B373" t="s">
        <v>818</v>
      </c>
      <c r="C373">
        <v>2025</v>
      </c>
      <c r="D373">
        <v>301</v>
      </c>
      <c r="E373">
        <v>48</v>
      </c>
      <c r="F373">
        <v>298</v>
      </c>
      <c r="G373">
        <v>0.99</v>
      </c>
      <c r="H373">
        <v>64</v>
      </c>
      <c r="I373">
        <v>64</v>
      </c>
      <c r="J373">
        <v>39</v>
      </c>
      <c r="K373">
        <v>53</v>
      </c>
      <c r="L373" s="22"/>
    </row>
    <row r="374" spans="1:12" x14ac:dyDescent="0.45">
      <c r="A374" s="24" t="s">
        <v>916</v>
      </c>
      <c r="B374" t="s">
        <v>930</v>
      </c>
      <c r="C374">
        <v>2025</v>
      </c>
      <c r="D374">
        <v>335</v>
      </c>
      <c r="E374">
        <v>56</v>
      </c>
      <c r="F374">
        <v>351</v>
      </c>
      <c r="G374">
        <v>1.05</v>
      </c>
      <c r="H374">
        <v>60</v>
      </c>
      <c r="I374">
        <v>99</v>
      </c>
      <c r="J374">
        <v>20</v>
      </c>
      <c r="K374">
        <v>52</v>
      </c>
      <c r="L374" s="22"/>
    </row>
    <row r="375" spans="1:12" x14ac:dyDescent="0.45">
      <c r="A375" s="24" t="s">
        <v>931</v>
      </c>
      <c r="B375" t="s">
        <v>779</v>
      </c>
      <c r="C375">
        <v>2025</v>
      </c>
      <c r="D375">
        <v>214</v>
      </c>
      <c r="E375">
        <v>31</v>
      </c>
      <c r="F375">
        <v>222</v>
      </c>
      <c r="G375">
        <v>1.04</v>
      </c>
      <c r="H375">
        <v>54</v>
      </c>
      <c r="I375">
        <v>41</v>
      </c>
      <c r="J375">
        <v>56</v>
      </c>
      <c r="K375">
        <v>52</v>
      </c>
      <c r="L375" s="22"/>
    </row>
    <row r="376" spans="1:12" x14ac:dyDescent="0.45">
      <c r="A376" s="24" t="s">
        <v>932</v>
      </c>
      <c r="B376" t="s">
        <v>809</v>
      </c>
      <c r="C376">
        <v>2025</v>
      </c>
      <c r="D376">
        <v>250</v>
      </c>
      <c r="E376">
        <v>32</v>
      </c>
      <c r="F376">
        <v>227</v>
      </c>
      <c r="G376">
        <v>0.91</v>
      </c>
      <c r="H376">
        <v>57</v>
      </c>
      <c r="I376">
        <v>45</v>
      </c>
      <c r="J376">
        <v>52</v>
      </c>
      <c r="K376">
        <v>52</v>
      </c>
      <c r="L376" s="22"/>
    </row>
    <row r="377" spans="1:12" x14ac:dyDescent="0.45">
      <c r="A377" s="24" t="s">
        <v>857</v>
      </c>
      <c r="B377" t="s">
        <v>804</v>
      </c>
      <c r="C377">
        <v>2025</v>
      </c>
      <c r="D377">
        <v>144</v>
      </c>
      <c r="E377">
        <v>22</v>
      </c>
      <c r="F377">
        <v>192</v>
      </c>
      <c r="G377">
        <v>1.33</v>
      </c>
      <c r="H377">
        <v>50</v>
      </c>
      <c r="I377">
        <v>67</v>
      </c>
      <c r="J377">
        <v>41</v>
      </c>
      <c r="K377">
        <v>51</v>
      </c>
      <c r="L377" s="22"/>
    </row>
    <row r="378" spans="1:12" x14ac:dyDescent="0.45">
      <c r="A378" s="24" t="s">
        <v>933</v>
      </c>
      <c r="B378" t="s">
        <v>802</v>
      </c>
      <c r="C378">
        <v>2025</v>
      </c>
      <c r="D378">
        <v>127</v>
      </c>
      <c r="E378">
        <v>21</v>
      </c>
      <c r="F378">
        <v>148</v>
      </c>
      <c r="G378">
        <v>1.17</v>
      </c>
      <c r="H378">
        <v>77</v>
      </c>
      <c r="I378">
        <v>32</v>
      </c>
      <c r="J378">
        <v>51</v>
      </c>
      <c r="K378">
        <v>51</v>
      </c>
      <c r="L378" s="22"/>
    </row>
    <row r="379" spans="1:12" x14ac:dyDescent="0.45">
      <c r="A379" s="24" t="s">
        <v>934</v>
      </c>
      <c r="B379" t="s">
        <v>815</v>
      </c>
      <c r="C379">
        <v>2025</v>
      </c>
      <c r="D379">
        <v>133</v>
      </c>
      <c r="E379">
        <v>26</v>
      </c>
      <c r="F379">
        <v>171</v>
      </c>
      <c r="G379">
        <v>1.29</v>
      </c>
      <c r="H379">
        <v>65</v>
      </c>
      <c r="I379">
        <v>48</v>
      </c>
      <c r="J379">
        <v>45</v>
      </c>
      <c r="K379">
        <v>50</v>
      </c>
      <c r="L379" s="22"/>
    </row>
    <row r="380" spans="1:12" x14ac:dyDescent="0.45">
      <c r="A380" s="24" t="s">
        <v>935</v>
      </c>
      <c r="B380" t="s">
        <v>807</v>
      </c>
      <c r="C380">
        <v>2025</v>
      </c>
      <c r="D380">
        <v>141</v>
      </c>
      <c r="E380">
        <v>24</v>
      </c>
      <c r="F380">
        <v>186</v>
      </c>
      <c r="G380">
        <v>1.32</v>
      </c>
      <c r="H380">
        <v>55</v>
      </c>
      <c r="I380">
        <v>67</v>
      </c>
      <c r="J380">
        <v>37</v>
      </c>
      <c r="K380">
        <v>49</v>
      </c>
      <c r="L380" s="22"/>
    </row>
    <row r="381" spans="1:12" x14ac:dyDescent="0.45">
      <c r="A381" s="24" t="s">
        <v>936</v>
      </c>
      <c r="B381" t="s">
        <v>826</v>
      </c>
      <c r="C381">
        <v>2025</v>
      </c>
      <c r="D381">
        <v>112</v>
      </c>
      <c r="E381">
        <v>29</v>
      </c>
      <c r="F381">
        <v>160</v>
      </c>
      <c r="G381">
        <v>1.43</v>
      </c>
      <c r="H381">
        <v>73</v>
      </c>
      <c r="I381">
        <v>64</v>
      </c>
      <c r="J381">
        <v>30</v>
      </c>
      <c r="K381">
        <v>48</v>
      </c>
      <c r="L381" s="22"/>
    </row>
    <row r="382" spans="1:12" x14ac:dyDescent="0.45">
      <c r="A382" s="24" t="s">
        <v>937</v>
      </c>
      <c r="B382" t="s">
        <v>787</v>
      </c>
      <c r="C382">
        <v>2025</v>
      </c>
      <c r="D382">
        <v>246</v>
      </c>
      <c r="E382">
        <v>34</v>
      </c>
      <c r="F382">
        <v>254</v>
      </c>
      <c r="G382">
        <v>1.03</v>
      </c>
      <c r="H382">
        <v>78</v>
      </c>
      <c r="I382">
        <v>68</v>
      </c>
      <c r="J382">
        <v>25</v>
      </c>
      <c r="K382">
        <v>48</v>
      </c>
      <c r="L382" s="22"/>
    </row>
    <row r="383" spans="1:12" x14ac:dyDescent="0.45">
      <c r="A383" s="24" t="s">
        <v>920</v>
      </c>
      <c r="B383" t="s">
        <v>867</v>
      </c>
      <c r="C383">
        <v>2025</v>
      </c>
      <c r="D383">
        <v>354</v>
      </c>
      <c r="E383">
        <v>76</v>
      </c>
      <c r="F383">
        <v>437</v>
      </c>
      <c r="G383">
        <v>1.23</v>
      </c>
      <c r="H383">
        <v>61</v>
      </c>
      <c r="I383">
        <v>78</v>
      </c>
      <c r="J383">
        <v>23</v>
      </c>
      <c r="K383">
        <v>45</v>
      </c>
      <c r="L383" s="22"/>
    </row>
    <row r="384" spans="1:12" x14ac:dyDescent="0.45">
      <c r="A384" s="24" t="s">
        <v>782</v>
      </c>
      <c r="B384" t="s">
        <v>783</v>
      </c>
      <c r="C384">
        <v>2025</v>
      </c>
      <c r="D384">
        <v>187</v>
      </c>
      <c r="E384">
        <v>33</v>
      </c>
      <c r="F384">
        <v>186</v>
      </c>
      <c r="G384">
        <v>0.99</v>
      </c>
      <c r="H384">
        <v>56</v>
      </c>
      <c r="I384">
        <v>70</v>
      </c>
      <c r="J384">
        <v>27</v>
      </c>
      <c r="K384">
        <v>42</v>
      </c>
      <c r="L384" s="22"/>
    </row>
    <row r="385" spans="1:12" x14ac:dyDescent="0.45">
      <c r="A385" s="24" t="s">
        <v>963</v>
      </c>
      <c r="B385" t="s">
        <v>811</v>
      </c>
      <c r="C385">
        <v>2025</v>
      </c>
      <c r="D385">
        <v>284</v>
      </c>
      <c r="E385">
        <v>56</v>
      </c>
      <c r="F385">
        <v>488</v>
      </c>
      <c r="G385">
        <v>1.72</v>
      </c>
      <c r="H385">
        <v>45</v>
      </c>
      <c r="I385">
        <v>74</v>
      </c>
      <c r="J385">
        <v>29</v>
      </c>
      <c r="K385">
        <v>42</v>
      </c>
      <c r="L385" s="22"/>
    </row>
    <row r="386" spans="1:12" x14ac:dyDescent="0.45">
      <c r="A386" s="24" t="s">
        <v>863</v>
      </c>
      <c r="B386" t="s">
        <v>796</v>
      </c>
      <c r="C386">
        <v>2025</v>
      </c>
      <c r="D386">
        <v>243</v>
      </c>
      <c r="E386">
        <v>33</v>
      </c>
      <c r="F386">
        <v>206</v>
      </c>
      <c r="G386">
        <v>0.85</v>
      </c>
      <c r="H386">
        <v>68</v>
      </c>
      <c r="I386">
        <v>73</v>
      </c>
      <c r="J386">
        <v>19</v>
      </c>
      <c r="K386">
        <v>41</v>
      </c>
      <c r="L386" s="22"/>
    </row>
    <row r="387" spans="1:12" x14ac:dyDescent="0.45">
      <c r="A387" s="24" t="s">
        <v>921</v>
      </c>
      <c r="B387" t="s">
        <v>875</v>
      </c>
      <c r="C387">
        <v>2025</v>
      </c>
      <c r="D387">
        <v>238</v>
      </c>
      <c r="E387">
        <v>37</v>
      </c>
      <c r="F387">
        <v>288</v>
      </c>
      <c r="G387">
        <v>1.21</v>
      </c>
      <c r="H387">
        <v>37</v>
      </c>
      <c r="I387">
        <v>73</v>
      </c>
      <c r="J387">
        <v>27</v>
      </c>
      <c r="K387">
        <v>37</v>
      </c>
      <c r="L387" s="22"/>
    </row>
    <row r="388" spans="1:12" x14ac:dyDescent="0.45">
      <c r="A388" s="24" t="s">
        <v>912</v>
      </c>
      <c r="B388" t="s">
        <v>815</v>
      </c>
      <c r="C388">
        <v>2025</v>
      </c>
      <c r="D388">
        <v>148</v>
      </c>
      <c r="E388">
        <v>25</v>
      </c>
      <c r="F388">
        <v>103</v>
      </c>
      <c r="G388">
        <v>0.7</v>
      </c>
      <c r="H388">
        <v>66</v>
      </c>
      <c r="I388">
        <v>58</v>
      </c>
      <c r="J388">
        <v>21</v>
      </c>
      <c r="K388">
        <v>35</v>
      </c>
      <c r="L388" s="22"/>
    </row>
    <row r="389" spans="1:12" x14ac:dyDescent="0.45">
      <c r="A389" s="24" t="s">
        <v>961</v>
      </c>
      <c r="B389" t="s">
        <v>828</v>
      </c>
      <c r="C389">
        <v>2025</v>
      </c>
      <c r="D389">
        <v>254</v>
      </c>
      <c r="E389">
        <v>42</v>
      </c>
      <c r="F389">
        <v>320</v>
      </c>
      <c r="G389">
        <v>1.26</v>
      </c>
      <c r="H389">
        <v>46</v>
      </c>
      <c r="I389">
        <v>72</v>
      </c>
      <c r="J389">
        <v>19</v>
      </c>
      <c r="K389">
        <v>33</v>
      </c>
      <c r="L389" s="22"/>
    </row>
    <row r="390" spans="1:12" x14ac:dyDescent="0.45">
      <c r="A390" s="24" t="s">
        <v>888</v>
      </c>
      <c r="B390" t="s">
        <v>800</v>
      </c>
      <c r="C390">
        <v>2025</v>
      </c>
      <c r="D390">
        <v>297</v>
      </c>
      <c r="E390">
        <v>41</v>
      </c>
      <c r="F390">
        <v>137</v>
      </c>
      <c r="G390">
        <v>0.46</v>
      </c>
      <c r="H390">
        <v>53</v>
      </c>
      <c r="I390">
        <v>57</v>
      </c>
      <c r="J390">
        <v>17</v>
      </c>
      <c r="K390">
        <v>27</v>
      </c>
      <c r="L390" s="22"/>
    </row>
    <row r="391" spans="1:12" x14ac:dyDescent="0.45">
      <c r="A391" s="24" t="s">
        <v>909</v>
      </c>
      <c r="B391" t="s">
        <v>773</v>
      </c>
      <c r="C391">
        <v>2025</v>
      </c>
      <c r="D391">
        <v>195</v>
      </c>
      <c r="E391">
        <v>21</v>
      </c>
      <c r="F391">
        <v>101</v>
      </c>
      <c r="G391">
        <v>0.52</v>
      </c>
      <c r="H391">
        <v>32</v>
      </c>
      <c r="I391">
        <v>45</v>
      </c>
      <c r="J391">
        <v>18</v>
      </c>
      <c r="K391">
        <v>14</v>
      </c>
      <c r="L391" s="2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RB_rec</vt:lpstr>
      <vt:lpstr>ESPN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Michael Beckley</dc:creator>
  <cp:lastModifiedBy>Daniel Michael Beckley</cp:lastModifiedBy>
  <dcterms:created xsi:type="dcterms:W3CDTF">2026-08-12T07:27:18Z</dcterms:created>
  <dcterms:modified xsi:type="dcterms:W3CDTF">2026-08-13T06:44:34Z</dcterms:modified>
</cp:coreProperties>
</file>